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delo " sheetId="1" r:id="rId5"/>
    <sheet state="hidden" name="UBS Jardim Valquiria 1909" sheetId="2" r:id="rId6"/>
    <sheet state="hidden" name="OUTUBRO" sheetId="3" r:id="rId7"/>
    <sheet state="hidden" name="AMAUBS Jardim Capela 1709" sheetId="4" r:id="rId8"/>
    <sheet state="hidden" name="OUTUBRO " sheetId="5" r:id="rId9"/>
    <sheet state="hidden" name="NOVEMBRO" sheetId="6" r:id="rId10"/>
    <sheet state="hidden" name="DEZEMBRO25" sheetId="7" r:id="rId11"/>
    <sheet state="hidden" name="JANEIRO-26 - Dra. Camila Queiro" sheetId="8" r:id="rId12"/>
    <sheet state="hidden" name="JANEIRO-26 - Dra. Priscila Ferr" sheetId="9" r:id="rId13"/>
    <sheet state="hidden" name="FEVEREIRO26 - Dra. Camila Queir" sheetId="10" r:id="rId14"/>
    <sheet state="hidden" name="FEVEREIRO26 - Dra. Priscila Fer" sheetId="11" r:id="rId15"/>
    <sheet state="hidden" name="MARÇO26 - Dra. Camila Queiroga" sheetId="12" r:id="rId16"/>
    <sheet state="hidden" name="MARÇO26 - Dra. Priscila Ferreir" sheetId="13" r:id="rId17"/>
    <sheet state="hidden" name="ABRIL26 - Dra. Camila Queiroga" sheetId="14" r:id="rId18"/>
    <sheet state="hidden" name="ABRIL26 - Dra. Priscila Ferreir" sheetId="15" r:id="rId19"/>
    <sheet state="hidden" name="MAIO26 - Dra. Camila Queiroga" sheetId="16" r:id="rId20"/>
    <sheet state="hidden" name="MAIO26 - Dra. Priscila Ferreira" sheetId="17" r:id="rId21"/>
    <sheet state="hidden" name="JUNHO26 - Dra. Camila Queiroga" sheetId="18" r:id="rId22"/>
    <sheet state="hidden" name="JUNHO26 - Dra. Priscila Ferreir" sheetId="19" r:id="rId23"/>
    <sheet state="hidden" name="AGOSTO26 - Dra. Camila Queiroga" sheetId="20" r:id="rId24"/>
    <sheet state="visible" name="JULHO26 - Dra. Camila Queiroga" sheetId="21" r:id="rId25"/>
    <sheet state="visible" name="JULHO26 - Dra. Priscila Ferreir" sheetId="22" r:id="rId26"/>
    <sheet state="hidden" name="AGOSTO26 - Dra. Priscila Ferrei" sheetId="23" r:id="rId27"/>
    <sheet state="hidden" name="Página8" sheetId="24" r:id="rId28"/>
    <sheet state="hidden" name="Mboi " sheetId="25" r:id="rId29"/>
    <sheet state="hidden" name="Capão" sheetId="26" r:id="rId30"/>
    <sheet state="hidden" name="UBS Cidade Ipava 1709" sheetId="27" r:id="rId31"/>
    <sheet state="hidden" name="UBS Jardim Comercial 2309" sheetId="28" r:id="rId32"/>
    <sheet state="hidden" name="UBS Jardim Eledy 2409" sheetId="29" r:id="rId33"/>
    <sheet state="hidden" name="UBS Parque Novo Santo Amaro 250" sheetId="30" r:id="rId34"/>
    <sheet state="hidden" name="UBS Jardim Paranapanema 2609" sheetId="31" r:id="rId35"/>
  </sheets>
  <definedNames>
    <definedName hidden="1" localSheetId="23" name="_xlnm._FilterDatabase">'Página8'!$A$1:$AC$33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tc={042f035f-c7f5-48a8-8a74-7c8f427cb121}</author>
    <author>tc={072ed909-aca1-461e-9240-d89762061bed}</author>
    <author>tc={14cffd3d-2516-4a22-90d5-bdf529611627}</author>
    <author>tc={2f7316c0-1c24-4097-9f13-ddd825ab7558}</author>
    <author>tc={4c27ea80-0ec1-44d0-945f-946d28eba372}</author>
    <author>tc={5d0ffc40-0db0-4391-913d-f7c1e8797da9}</author>
    <author>tc={662e3a06-1fdb-43bc-9ef0-2326c15ed04a}</author>
    <author>tc={66e3310c-47e0-453a-b33c-6983391c89c0}</author>
    <author>tc={6975fc18-df4c-45d9-a0e4-989ced8f75a5}</author>
    <author>tc={7477663e-6092-4944-8f2e-3d33b4180523}</author>
    <author>tc={83aa375d-a515-42e7-9628-abdc10db925e}</author>
    <author>tc={8820697e-7a56-41ff-a04e-af7bde20ed98}</author>
    <author>tc={893e1196-e5a1-4c24-9b07-78dcfd7ef0fd}</author>
    <author>tc={ace0fd61-49af-49ea-9b1d-c9512638271d}</author>
    <author>tc={acf8f0b7-101b-4297-ad6f-fccced239739}</author>
    <author>tc={b107e2e1-692c-4131-9390-714b4c99df02}</author>
    <author>tc={b41ff0d4-7b4f-48dd-8140-1c4aa2c47386}</author>
    <author>tc={b521154a-7a41-4db1-a1f0-7fecbc3a91e9}</author>
    <author>tc={b75e61c6-6ef0-45df-a3e2-139c207edce5}</author>
    <author>tc={c53ddf03-a3b4-44f2-a014-59ec440169fa}</author>
    <author>tc={d048765b-6a48-43b0-aed4-f955f67f0bf4}</author>
    <author>tc={d23204e9-1edf-482b-bde9-0f29743a55ba}</author>
    <author>tc={d522dee2-4c96-44c7-8a63-619a16b4640d}</author>
    <author>tc={d5a49ed8-d33e-4e61-b05d-a05b609dbaa5}</author>
    <author>tc={e2373cd7-6761-4e2a-ae4c-f82e1cb1deb7}</author>
    <author>tc={f3887fbc-6ec0-4eba-8be5-c39eca048278}</author>
    <author>tc={faf34e01-6556-467b-ba9c-0f404d7a196f}</author>
    <author>tc={feefe0bf-4143-47ed-8521-1d3f94a4b378}</author>
  </authors>
  <commentList>
    <comment authorId="0" xr:uid="{042f035f-c7f5-48a8-8a74-7c8f427cb121}" ref="G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@ubsparquedoengenho@cejam.org.br
Reply:
	Prezada, bom dia.
A paciente já esta agendada conforme solicitado.
Att: Taline Santos Reis
Aux.Tec.Administrativo
</t>
      </text>
    </comment>
    <comment authorId="1" xr:uid="{072ed909-aca1-461e-9240-d89762061bed}" ref="G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PACIENTE NA VAGA DO SIGA @ubscomercial@cejam.org.br
</t>
      </text>
    </comment>
    <comment authorId="2" xr:uid="{14cffd3d-2516-4a22-90d5-bdf529611627}" ref="G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@ubsgermania@cejam.org.br
Atribuído a ubsgermania@cejam.org.br
</t>
      </text>
    </comment>
    <comment authorId="3" xr:uid="{2f7316c0-1c24-4097-9f13-ddd825ab7558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@ubsjardimcapela@cejam.org.br
Prezados, bom dia.
Pedimos a gentileza de inserir o paciente no SIGA.
Atribuído a ubsjardimcapela@cejam.org.br
</t>
      </text>
    </comment>
    <comment authorId="4" xr:uid="{4c27ea80-0ec1-44d0-945f-946d28eba372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 boa tarde.
Conforme alinhado na reunião de ontem, peço que realizem o agendamento dos pacientes no SIGA com a maior brevidade possível @ubscomercial@cejam.org.br
</t>
      </text>
    </comment>
    <comment authorId="5" xr:uid="{5d0ffc40-0db0-4391-913d-f7c1e8797da9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 boa tarde.
Conforme alinhado na reunião de ontem, peço que realizem o agendamento dos pacientes no SIGA com a maior brevidade possível @ubseledy@cejam.org.br
Reply:
	Marcada como resolvida
Reply:
	Pacientes agendados pelo Siga
Reaberta
</t>
      </text>
    </comment>
    <comment authorId="6" xr:uid="{662e3a06-1fdb-43bc-9ef0-2326c15ed04a}" ref="B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 
Prezados, bom dia.
Pedimos a gentileza de inserir o paciente no SIGA.
Atribuído a amaubspqfernanda@cejam.org.br
Reply:
	Marcado como concluído
Reply:
	obrigado
Reaberta
</t>
      </text>
    </comment>
    <comment authorId="7" xr:uid="{66e3310c-47e0-453a-b33c-6983391c89c0}" ref="G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@ubsparquedoengenho@cejam.org.br
Reply:
	Prezada, bom dia.
A paciente já esta agendada conforme solicitado.
Att: Taline Santos Reis
Aux.Tec.Administrativo
</t>
      </text>
    </comment>
    <comment authorId="8" xr:uid="{6975fc18-df4c-45d9-a0e4-989ced8f75a5}" ref="B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@ubsaracati@cejam.org.br 
Prezados, bom dia.
Pedimos a gentileza de inserir o paciente no SIGA.
Atribuído a ubsaracati@cejam.org.br
</t>
      </text>
    </comment>
    <comment authorId="9" xr:uid="{7477663e-6092-4944-8f2e-3d33b4180523}" ref="B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@ubs.jdherculano@cejam.org.br 
Prezados, bom dia.
Pedimos a gentileza de inserir o paciente no SIGA.
Atribuído a ubs.jdherculano@cejam.org.br
Reply:
	Inserindo.
</t>
      </text>
    </comment>
    <comment authorId="10" xr:uid="{83aa375d-a515-42e7-9628-abdc10db925e}" ref="E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Atribuído a ubsjardimcapela@cejam.org.br
Reply:
	Pacientes inseridas no SIGA
</t>
      </text>
    </comment>
    <comment authorId="11" xr:uid="{8820697e-7a56-41ff-a04e-af7bde20ed98}" ref="B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Prezados, bom dia.
Pedimos a gentileza de inserir o paciente no SIGA.
Atribuído a ubs.santalucia@cejam.org.br
Reply:
	Faremos a inserção. Obrigada
</t>
      </text>
    </comment>
    <comment authorId="12" xr:uid="{893e1196-e5a1-4c24-9b07-78dcfd7ef0fd}" ref="G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@ubs.santalucia@cejam.org.br
</t>
      </text>
    </comment>
    <comment authorId="13" xr:uid="{ace0fd61-49af-49ea-9b1d-c9512638271d}" ref="G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PACIENTE NA VAGA DO SIGA. @ubsvalquiria@cejam.org.br
</t>
      </text>
    </comment>
    <comment authorId="14" xr:uid="{acf8f0b7-101b-4297-ad6f-fccced239739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 boa tarde.
Conforme alinhado na reunião de ontem, peço que realizem o agendamento dos pacientes no SIGA com a maior brevidade possível @ubsvalquiria@cejam.org.br
</t>
      </text>
    </comment>
    <comment authorId="15" xr:uid="{b107e2e1-692c-4131-9390-714b4c99df02}" ref="G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@ubseledy@cejam.org.br
Reply:
	Paciente prefere atentedimento presencial
</t>
      </text>
    </comment>
    <comment authorId="16" xr:uid="{b41ff0d4-7b4f-48dd-8140-1c4aa2c47386}" ref="B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Prezados, bom dia.
Pedimos a gentileza de inserir o paciente no SIGA.
Reply:
	bom dia! 
pacientes inseridos.
Reply:
	Obrigada
</t>
      </text>
    </comment>
    <comment authorId="17" xr:uid="{b521154a-7a41-4db1-a1f0-7fecbc3a91e9}" ref="E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Atribuído a ubsjardimcapela@cejam.org.br
</t>
      </text>
    </comment>
    <comment authorId="18" xr:uid="{b75e61c6-6ef0-45df-a3e2-139c207edce5}" ref="B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@ubsmagdalena@cejam.org.br 
Prezados, bom dia.
Pedimos a gentileza de inserir o paciente no SIGA.
Atribuído a ubsmagdalena@cejam.org.br
</t>
      </text>
    </comment>
    <comment authorId="19" xr:uid="{c53ddf03-a3b4-44f2-a014-59ec440169fa}" ref="B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@ubsmagdalena@cejam.org.br 
Prezados, bom dia.
Pedimos a gentileza de inserir o paciente no SIGA.
Atribuído a ubsmagdalena@cejam.org.br
</t>
      </text>
    </comment>
    <comment authorId="20" xr:uid="{d048765b-6a48-43b0-aed4-f955f67f0bf4}" ref="E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favor, preencher corretamente a planilha @ubsgermania@cejam.org.br
Atribuído a ubsgermania@cejam.org.br
</t>
      </text>
    </comment>
    <comment authorId="21" xr:uid="{d23204e9-1edf-482b-bde9-0f29743a55ba}" ref="B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 Pedimos a gentileza de inserir todas as informações do paciente em questão, o não preenchimento acarretará na liberação da vaga para as demais unidades. Aguardamos retorno. Atenciosamente.
Atribuído a ubseledy@cejam.org.br
Reply:
	Bom dia, Taci! Pode liberar a vaga, já apegamos as vagas pertinentes.
</t>
      </text>
    </comment>
    <comment authorId="22" xr:uid="{d522dee2-4c96-44c7-8a63-619a16b4640d}" ref="G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PACIENTE NA VAGA DO SIGA. @ubscomercial@cejam.org.br
</t>
      </text>
    </comment>
    <comment authorId="23" xr:uid="{d5a49ed8-d33e-4e61-b05d-a05b609dbaa5}" ref="B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@ubsjardimcapela@cejam.org.br
Prezados, bom dia.
Pedimos a gentileza de inserir o paciente no SIGA.
Reply:
	Paciente inserido no SIGA
Reply:
	Marcada como resolvida
</t>
      </text>
    </comment>
    <comment authorId="24" xr:uid="{e2373cd7-6761-4e2a-ae4c-f82e1cb1deb7}" ref="G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@ubs.jdherculano@cejam.org.br
</t>
      </text>
    </comment>
    <comment authorId="25" xr:uid="{f3887fbc-6ec0-4eba-8be5-c39eca048278}" ref="B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Prezados, bom dia.
Pedimos a gentileza de inserir o paciente no SIGA.
</t>
      </text>
    </comment>
    <comment authorId="26" xr:uid="{faf34e01-6556-467b-ba9c-0f404d7a196f}" ref="F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
</t>
      </text>
    </comment>
    <comment authorId="27" xr:uid="{feefe0bf-4143-47ed-8521-1d3f94a4b378}" ref="F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
Solicito, por gentileza, que a planilha seja devidamente preenchida com os dados corretos do paciente.
@ubseledy@cejam.org.br
Atribuído a ubseledy@cejam.org.br
Reply:
	Bom dia Feito preenchimento correto.obrigada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tc={6761a79a-fbfe-4819-bca4-0cc0f86fb362}</author>
  </authors>
  <commentList>
    <comment authorId="0" xr:uid="{6761a79a-fbfe-4819-bca4-0cc0f86fb362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@ubsjardimcapela@cejam.org.br 
Favor inserir o motivo das faltas dos pacientes da especialidade
Atribuído a ubsjardimcapela@cejam.org.br
Reply:
	Marcado como concluído
Reply:
	Respondido
Reaberta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tc={05e686fc-a49f-4a0e-91cb-5a701bcb094a}</author>
    <author>tc={0c2b134a-5ab2-4507-858b-3f73a5b7e8f0}</author>
    <author>tc={0e04dbf8-1750-4f02-9276-32922a084e29}</author>
    <author>tc={0edcec18-8314-482b-9e79-75e4e6379e72}</author>
    <author>tc={12e69180-94a8-4471-b52d-10d2d023caa1}</author>
    <author>tc={18537d64-298f-4d74-a833-623a51ff1589}</author>
    <author>tc={198d698e-e206-43dc-ae0c-ff2a7d421a61}</author>
    <author>tc={1cfa78fc-87d1-4f8a-81e4-b6f6de787b90}</author>
    <author>tc={20e8dea0-1a68-4549-9d11-4dfb20dfe4de}</author>
    <author>tc={28b85b92-0d42-417d-b8c6-c340bd9e6183}</author>
    <author>tc={2960368a-454b-4113-86dc-3845804f1611}</author>
    <author>tc={2996e47b-8f9c-4bcd-95f1-82576ab95d4c}</author>
    <author>tc={29ff63ad-e0c4-4082-b9f1-4f69723278fe}</author>
    <author>tc={2c21229c-5860-4a3a-9354-c6e0589950ec}</author>
    <author>tc={33620c5c-ff4f-4638-a384-c5222fb6f632}</author>
    <author>tc={352d85cb-041f-402c-bd2e-a4c21d4e7192}</author>
    <author>tc={374d1eb0-df1c-4245-a307-736be4000880}</author>
    <author>tc={37c3378f-c9c4-47f4-9e0f-ae3a76566c56}</author>
    <author>tc={394546ea-ae0b-4df7-a58d-915c326f05cb}</author>
    <author>tc={3a90389e-eade-44d7-9556-8d2a926c6235}</author>
    <author>tc={3c04b439-6249-49e3-b328-1d41724fc73d}</author>
    <author>tc={3cb40523-fd97-49d4-afec-a283373d8114}</author>
    <author>tc={3ebc2d21-3720-4c32-8596-ea641b594432}</author>
    <author>tc={4055af2b-f008-4597-b532-e69e1ccc2c03}</author>
    <author>tc={41ae43a1-aa73-4da8-80c6-2de62d3346fe}</author>
    <author>tc={440e9095-5a3b-49ba-b0b3-f2184d1fd7ca}</author>
    <author>tc={45301aee-c19f-4d29-af99-e521f8133c6b}</author>
    <author>tc={49ff9fb8-8e2d-4dc9-90f8-40f629651c17}</author>
    <author>tc={4b2e7848-4cfd-4978-9edb-6e9583e14f2c}</author>
    <author>tc={4c59b35c-7dc5-4d03-a3f2-47d9efee9f21}</author>
    <author>tc={50600191-804a-4c81-a8c6-f4c3f7f302b1}</author>
    <author>tc={563c33ca-d60d-4def-be23-d49706c51737}</author>
    <author>tc={565da216-a7d8-460d-80a7-ca667bb99b83}</author>
    <author>tc={57e694e1-9260-4788-bc49-8a33e7d1cb00}</author>
    <author>tc={5865b8c4-b6d6-47ea-9553-1290eca61aee}</author>
    <author>tc={59a7d8f4-1a61-4797-9a82-d62358fecce3}</author>
    <author>tc={5c94f31e-59ac-4ceb-bd3a-0fb5b446ac1a}</author>
    <author>tc={615d040c-52df-4f81-b69d-b9aa40141227}</author>
    <author>tc={6d8eb301-88b4-435d-bb69-f343543eb1d2}</author>
    <author>tc={6db2a1db-d444-4a4b-9375-d77030b3a518}</author>
    <author>tc={6ee44454-b567-4ca7-af3c-f135df6db74b}</author>
    <author>tc={7141f230-e080-4a85-9f8c-e2ac4f7a4a98}</author>
    <author>tc={72f974c1-272a-4539-8cbf-679ef03467a6}</author>
    <author>tc={73411783-3e51-479b-a3fd-ccdabcc0f6cf}</author>
    <author>tc={75a4ce23-ed02-47db-b0c0-ee7d3bff5ede}</author>
    <author>tc={7831a2d3-ee88-42f8-b981-218ece2f88c9}</author>
    <author>tc={79caebd2-0069-49fb-a2ad-cfbac0452ed3}</author>
    <author>tc={79db28f2-86c1-40ef-8107-a14c20749e98}</author>
    <author>tc={7bb00fd7-0307-43ae-b46e-35af888eacd3}</author>
    <author>tc={8024b520-1bfc-474f-84b3-d899d433cbbe}</author>
    <author>tc={81bbbf63-b53c-4299-907a-ec5d657665e9}</author>
    <author>tc={84b57a8b-6e87-4c2b-8f26-6a70cfd630b8}</author>
    <author>tc={85132207-20fb-4154-a12e-70b0f5b225d2}</author>
    <author>tc={8ebfc407-17a8-4d86-aa6e-fa1c9dc2c8a7}</author>
    <author>tc={957f7c03-270a-480d-9f72-3d50a58f4609}</author>
    <author>tc={966e3c32-82ae-4a9a-bac3-bd62bb7e6446}</author>
    <author>tc={9e00ef22-40a0-4bc9-b8d7-175ce658c75f}</author>
    <author>tc={a4275790-1144-44f1-b95f-b4d0fac66b50}</author>
    <author>tc={a9fb11db-6560-4aa8-8547-82fb306ce986}</author>
    <author>tc={ad2b001e-6d00-4a4e-a7d3-65afc51aec3f}</author>
    <author>tc={aecb7472-2df0-412e-90db-0eecc07186cc}</author>
    <author>tc={ba6f04f5-34bd-4d3d-8a13-37d7be2cf78f}</author>
    <author>tc={bb99bf3a-5509-4fa1-adb3-f452a410ce91}</author>
    <author>tc={bc947fb5-5c0b-4e7f-9481-79bf445c5b56}</author>
    <author>tc={bd6e1318-f788-4032-9777-076c9077824e}</author>
    <author>tc={be36cbe2-a80e-4b7c-bd78-8d1d7978fa3b}</author>
    <author>tc={bed30b1e-e0cb-41d3-a595-9a84bb123d2a}</author>
    <author>tc={bf12e04f-a919-4afe-ac22-2657684032e6}</author>
    <author>tc={c13e4d50-e176-4b31-a8c4-1d66c260e75d}</author>
    <author>tc={c4ead85f-ca46-44d7-baf9-101201b69bba}</author>
    <author>tc={cac2f045-d0f9-485a-8a32-00eac57080f1}</author>
    <author>tc={caf5b833-1107-4f84-aac8-0a0333c2caac}</author>
    <author>tc={cee3662e-53e3-4065-a23b-980d4e77de79}</author>
    <author>tc={d143d1f5-a97d-487d-9dfc-fb8a4a4a8595}</author>
    <author>tc={d6ab08dd-71c3-49ce-ab8b-07e8e1ea0013}</author>
    <author>tc={d72c5b08-cd39-42f9-8050-315fd31a79aa}</author>
    <author>tc={d7ea2ba6-981a-4347-b91f-c2c9f01e990f}</author>
    <author>tc={dc002c96-e952-4de8-ac0f-51781cbac094}</author>
    <author>tc={dc837097-c73a-4b95-beb8-5753ae7fe4dd}</author>
    <author>tc={dca28a80-6488-4b19-9add-37fa7f4bfa70}</author>
    <author>tc={dfc7da2d-a522-4bca-b851-710702a0ce2b}</author>
    <author>tc={e02d502f-347f-4ebe-a1eb-ebfff9162bde}</author>
    <author>tc={e3956975-8868-4f5e-8dbb-90bbda2a70f6}</author>
    <author>tc={e4000520-a3dd-4bc1-87ef-437d56cd4bfc}</author>
    <author>tc={e4487b36-d2af-4612-bb16-abb54d5da17c}</author>
    <author>tc={e4a30b86-8fb7-480b-ad75-bc353314a814}</author>
    <author>tc={e5530b27-681c-4393-86f2-9fd993ca9c16}</author>
    <author>tc={e920502d-78e2-49ed-ae55-8cfd6bd8b5c6}</author>
    <author>tc={e9bc1329-68a2-4a70-a233-0eafa5f63b20}</author>
    <author>tc={f0821423-fa95-471e-bb9f-0b004167bcc7}</author>
    <author>tc={f14f5cbb-a253-4cf2-bc9e-69e1825dd9b8}</author>
    <author>tc={fcfef3b3-ee8c-46a0-bbb7-e79c61080d39}</author>
  </authors>
  <commentList>
    <comment authorId="0" xr:uid="{05e686fc-a49f-4a0e-91cb-5a701bcb094a}" ref="G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1" xr:uid="{0c2b134a-5ab2-4507-858b-3f73a5b7e8f0}" ref="B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@ubsaracati@cejam.org.br
</t>
      </text>
    </comment>
    <comment authorId="2" xr:uid="{0e04dbf8-1750-4f02-9276-32922a084e29}" ref="B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</t>
      </text>
    </comment>
    <comment authorId="3" xr:uid="{0edcec18-8314-482b-9e79-75e4e6379e72}" ref="B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Atribuído a ubsjardimcapela@cejam.org.br
</t>
      </text>
    </comment>
    <comment authorId="4" xr:uid="{12e69180-94a8-4471-b52d-10d2d023caa1}" ref="B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</t>
      </text>
    </comment>
    <comment authorId="5" xr:uid="{18537d64-298f-4d74-a833-623a51ff1589}" ref="B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@ubsluardosertao@cejam.org.br
</t>
      </text>
    </comment>
    <comment authorId="6" xr:uid="{198d698e-e206-43dc-ae0c-ff2a7d421a61}" ref="B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7" xr:uid="{1cfa78fc-87d1-4f8a-81e4-b6f6de787b90}" ref="B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
Conforme orientação essas vagas são destinadas ao DA CAMPO LIMPO, pedimos que o paciente seja remanejado para os dias que correspondem ao DA M'BOI MIRIM
Atribuído a ubs.vilacalu@cejam.org.br
</t>
      </text>
    </comment>
    <comment authorId="8" xr:uid="{20e8dea0-1a68-4549-9d11-4dfb20dfe4de}" ref="B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Por favor, solicito que seja realizado o agendamento da paciente no SIGA.
@ubseledy@cejam.org.br
Atribuído a ubseledy@cejam.org.br
Reply:
	Boa tarde .
Paciente inserido na sistema SIGA
</t>
      </text>
    </comment>
    <comment authorId="9" xr:uid="{28b85b92-0d42-417d-b8c6-c340bd9e6183}" ref="B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@amaubspqfernanda@cejam.org.br
</t>
      </text>
    </comment>
    <comment authorId="10" xr:uid="{2960368a-454b-4113-86dc-3845804f1611}" ref="B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Atribuído a ubsmaraca@cejam.org.br
</t>
      </text>
    </comment>
    <comment authorId="11" xr:uid="{2996e47b-8f9c-4bcd-95f1-82576ab95d4c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 
Conforme orientação essas vagas são destinadas ao DA CAMPO LIMPO, pedimos que o paciente seja remanejado para os dias que correspondem ao DA M'BOI MIRIM.
Atribuído a ubs.santalucia@cejam.org.br
Reply:
	Boa tarde,
Já realizei a retirada das pacientes, porém uma delas está apresentando erro ao tentar remover no SIGA , não estou conseguindo concluir a exclusão.
Minha orientadora digital sai às 14h, e ela precisa de um tempo para se deslocar entre as casas. Há disponibilidade de horário no período da manhã?
</t>
      </text>
    </comment>
    <comment authorId="12" xr:uid="{29ff63ad-e0c4-4082-b9f1-4f69723278fe}" ref="B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Por favor, solicito que seja realizado o agendamento da paciente no SIGA.
@ubs.jdcaicara@cejam.org.br
Atribuído a ubs.jdcaicara@cejam.org.br
</t>
      </text>
    </comment>
    <comment authorId="13" xr:uid="{2c21229c-5860-4a3a-9354-c6e0589950ec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agendado apenas no siga, por favor colocar ele no drive @ubs.santalucia@cejam.org.br
Reply:
	Boa tarde! Este paciente é da UBS Jd Aracati e não tem vaga no SIGA.
</t>
      </text>
    </comment>
    <comment authorId="14" xr:uid="{33620c5c-ff4f-4638-a384-c5222fb6f632}" ref="B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@ubsveracruz@cejam.org.br por favor agendar no siga
Atribuído a ubsveracruz@cejam.org.br
</t>
      </text>
    </comment>
    <comment authorId="15" xr:uid="{352d85cb-041f-402c-bd2e-a4c21d4e7192}" ref="B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Reply:
	Agendar paciente no siga @ubsjardimcapela@cejam.org.br
</t>
      </text>
    </comment>
    <comment authorId="16" xr:uid="{374d1eb0-df1c-4245-a307-736be4000880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@ubscomercial@cejam.org.br
</t>
      </text>
    </comment>
    <comment authorId="17" xr:uid="{37c3378f-c9c4-47f4-9e0f-ae3a76566c56}" ref="B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drive @ubsvalquiria@cejam.org.br
Atribuído a ubsvalquiria@cejam.org.br
</t>
      </text>
    </comment>
    <comment authorId="18" xr:uid="{394546ea-ae0b-4df7-a58d-915c326f05cb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Conforme orientação essas vagas são destinadas ao DA CAMPO LIMPO, pedimos que o paciente seja remanejado para os dias que correspondem ao DA M'BOI MIRIM.
Atribuído a ubs.santalucia@cejam.org.br
</t>
      </text>
    </comment>
    <comment authorId="19" xr:uid="{3a90389e-eade-44d7-9556-8d2a926c6235}" ref="B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</t>
      </text>
    </comment>
    <comment authorId="20" xr:uid="{3c04b439-6249-49e3-b328-1d41724fc73d}" ref="B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</t>
      </text>
    </comment>
    <comment authorId="21" xr:uid="{3cb40523-fd97-49d4-afec-a283373d8114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NA PLANILHA
@ubscomercial@cejam.org.br
Atribuído a ubscomercial@cejam.org.br
</t>
      </text>
    </comment>
    <comment authorId="22" xr:uid="{3ebc2d21-3720-4c32-8596-ea641b594432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pacientes no siga @ubssaobento@cejam.org.br
</t>
      </text>
    </comment>
    <comment authorId="23" xr:uid="{4055af2b-f008-4597-b532-e69e1ccc2c03}" ref="B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@ubsaracati@cejam.org.br
</t>
      </text>
    </comment>
    <comment authorId="24" xr:uid="{41ae43a1-aa73-4da8-80c6-2de62d3346fe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@ubscomercial@cejam.org.br 
Conforme orientação essas vagas são destinadas ao DA M'BOI MIRIM, pedimos que o paciente seja remanejado para os dias que correspondem ao DA CAMPO LIMPO.
Atenciosamente,
Atribuído a ubscomercial@cejam.org.br
</t>
      </text>
    </comment>
    <comment authorId="25" xr:uid="{440e9095-5a3b-49ba-b0b3-f2184d1fd7ca}" ref="B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@ubs.sta.margarida@cejam.org.br
</t>
      </text>
    </comment>
    <comment authorId="26" xr:uid="{45301aee-c19f-4d29-af99-e521f8133c6b}" ref="B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 já está disponível no siga @ubsvalquiria@cejam.org.br
Atribuído a ubsvalquiria@cejam.org.br
</t>
      </text>
    </comment>
    <comment authorId="27" xr:uid="{49ff9fb8-8e2d-4dc9-90f8-40f629651c17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@ubsmaraca@cejam.org.br
Reply:
	Marcada como resolvida
Reply:
	resolvido
Reaberta
</t>
      </text>
    </comment>
    <comment authorId="28" xr:uid="{4b2e7848-4cfd-4978-9edb-6e9583e14f2c}" ref="B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</t>
      </text>
    </comment>
    <comment authorId="29" xr:uid="{4c59b35c-7dc5-4d03-a3f2-47d9efee9f21}" ref="B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@amaubspqfernanda@cejam.org.br
</t>
      </text>
    </comment>
    <comment authorId="30" xr:uid="{50600191-804a-4c81-a8c6-f4c3f7f302b1}" ref="G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31" xr:uid="{563c33ca-d60d-4def-be23-d49706c51737}" ref="B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Poderia, verificar o agendamento no SIGA? Identificamos uma divergência: a paciente que consta na planilha é diferente da que está registrada no SIGA.
@ubsaracati@cejam.org.br
Atribuído a ubsaracati@cejam.org.br
</t>
      </text>
    </comment>
    <comment authorId="32" xr:uid="{565da216-a7d8-460d-80a7-ca667bb99b83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NA PLANILHA
@ubsluardosertao@cejam.org.br
Atribuído a ubsluardosertao@cejam.org.br
</t>
      </text>
    </comment>
    <comment authorId="33" xr:uid="{57e694e1-9260-4788-bc49-8a33e7d1cb00}" ref="B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Atribuído a amaubspqfernanda@cejam.org.br
</t>
      </text>
    </comment>
    <comment authorId="34" xr:uid="{5865b8c4-b6d6-47ea-9553-1290eca61aee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PC NA PLANILHA
@ubsluardosertao@cejam.org.br
</t>
      </text>
    </comment>
    <comment authorId="35" xr:uid="{59a7d8f4-1a61-4797-9a82-d62358fecce3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@ubsmagdalena@cejam.org.br
</t>
      </text>
    </comment>
    <comment authorId="36" xr:uid="{5c94f31e-59ac-4ceb-bd3a-0fb5b446ac1a}" ref="B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Atribuído a ubsmaraca@cejam.org.br
</t>
      </text>
    </comment>
    <comment authorId="37" xr:uid="{615d040c-52df-4f81-b69d-b9aa40141227}" ref="B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no siga @ubsluardosertao@cejam.org.br
</t>
      </text>
    </comment>
    <comment authorId="38" xr:uid="{6d8eb301-88b4-435d-bb69-f343543eb1d2}" ref="B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@ubsvalquiria@cejam.org.br
</t>
      </text>
    </comment>
    <comment authorId="39" xr:uid="{6db2a1db-d444-4a4b-9375-d77030b3a518}" ref="B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agendado apenas no siga, por favor colocar ele no drive @ubs.altodariviera@cejam.org.br
Reply:
	Prezada, agendamento cancelado
</t>
      </text>
    </comment>
    <comment authorId="40" xr:uid="{6ee44454-b567-4ca7-af3c-f135df6db74b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Reply:
	FEITO TODOS
</t>
      </text>
    </comment>
    <comment authorId="41" xr:uid="{7141f230-e080-4a85-9f8c-e2ac4f7a4a98}" ref="B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Atribuído a ubssaobento@cejam.org.br
</t>
      </text>
    </comment>
    <comment authorId="42" xr:uid="{72f974c1-272a-4539-8cbf-679ef03467a6}" ref="B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@ubsluardosertao@cejam.org.br
</t>
      </text>
    </comment>
    <comment authorId="43" xr:uid="{73411783-3e51-479b-a3fd-ccdabcc0f6cf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@amaubspqfernanda@cejam.org.br
</t>
      </text>
    </comment>
    <comment authorId="44" xr:uid="{75a4ce23-ed02-47db-b0c0-ee7d3bff5ede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 
Conforme orientação essas vagas são destinadas ao DA CAMPO LIMPO, pedimos que o paciente seja remanejado para os dias que correspondem ao DA M'BOI MIRIM.
Atribuído a ubs.vilacalu@cejam.org.br
</t>
      </text>
    </comment>
    <comment authorId="45" xr:uid="{7831a2d3-ee88-42f8-b981-218ece2f88c9}" ref="A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CAMPO LIMPO- CERTO?
</t>
      </text>
    </comment>
    <comment authorId="46" xr:uid="{79caebd2-0069-49fb-a2ad-cfbac0452ed3}" ref="B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SUPERVISÃO DE MBOI SO PODE ULTILIZAR AS VAGAS DO MBOI POR FAVOR REAGENDAR PACIENTE  @ubs.paranapanema@cejam.org.br
Atribuído a ubs.paranapanema@cejam.org.br
Reply:
	Pedimos desculpas pelo equívoco o agendamento foi feito incorretamente no Campo Limpo. Já realizamos a correção e retiramos a paciente da agenda.
</t>
      </text>
    </comment>
    <comment authorId="47" xr:uid="{79db28f2-86c1-40ef-8107-a14c20749e98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 NÃO DISPONIVEL NO SIGA @taciana.caciano@cejam.org.br FICO NO AGUARDO DA LIBERAÇÃO DO SIGA PARA O AGENDAMENTO
Reply:
	Prezados, conforme orientado via e-mail, não foi possível criar agenda na plataforma SIGA, seguindo assim o agendamento via planilha Google Drive. 
Atenciosamente.
</t>
      </text>
    </comment>
    <comment authorId="48" xr:uid="{7bb00fd7-0307-43ae-b46e-35af888eacd3}" ref="B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49" xr:uid="{8024b520-1bfc-474f-84b3-d899d433cbbe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Atribuído a amaubspqfernanda@cejam.org.br
</t>
      </text>
    </comment>
    <comment authorId="50" xr:uid="{81bbbf63-b53c-4299-907a-ec5d657665e9}" ref="B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</t>
      </text>
    </comment>
    <comment authorId="51" xr:uid="{84b57a8b-6e87-4c2b-8f26-6a70cfd630b8}" ref="B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</t>
      </text>
    </comment>
    <comment authorId="52" xr:uid="{85132207-20fb-4154-a12e-70b0f5b225d2}" ref="B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Atribuído a ubsmaraca@cejam.org.br
</t>
      </text>
    </comment>
    <comment authorId="53" xr:uid="{8ebfc407-17a8-4d86-aa6e-fa1c9dc2c8a7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 
Conforme orientação essas vagas são destinadas ao DA M'BOI MIRIM, pedimos que o paciente seja remanejado para os dias que correspondem ao DA CAMPO LIMPO.
Atenciosamente,
Atribuído a ubseledy@cejam.org.br
Reply:
	Boa tarde paciente retirada da planilha destinada ao M BOI MIRIM,
</t>
      </text>
    </comment>
    <comment authorId="54" xr:uid="{957f7c03-270a-480d-9f72-3d50a58f4609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conforme orientação essas vagas são destinadas ao DA CAMPO LIMPO, pedimos que o paciente seja remanejado para os dias que correspondem ao DA M'BOI MIRIM.
Atribuído a ubs.vilacalu@cejam.org.br
</t>
      </text>
    </comment>
    <comment authorId="55" xr:uid="{966e3c32-82ae-4a9a-bac3-bd62bb7e6446}" ref="B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@ubshorizonteazul@cejam.org.br
Reply:
	Paciente já agendado
</t>
      </text>
    </comment>
    <comment authorId="56" xr:uid="{9e00ef22-40a0-4bc9-b8d7-175ce658c75f}" ref="B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pacientes no siga @ubsmaraca@cejam.org.br
</t>
      </text>
    </comment>
    <comment authorId="57" xr:uid="{a4275790-1144-44f1-b95f-b4d0fac66b50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NA PLANILHA
@ubsgermania@cejam.org.br
Atribuído a ubsgermania@cejam.org.br
</t>
      </text>
    </comment>
    <comment authorId="58" xr:uid="{a9fb11db-6560-4aa8-8547-82fb306ce986}" ref="B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@ubs.jdcaicara@cejam.org.br
Reply:
	Pacientes inserido no siga.
</t>
      </text>
    </comment>
    <comment authorId="59" xr:uid="{ad2b001e-6d00-4a4e-a7d3-65afc51aec3f}" ref="G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60" xr:uid="{aecb7472-2df0-412e-90db-0eecc07186cc}" ref="B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
Conforme orientação essas vagas são destinadas ao DA CAMPO LIMPO, pedimos que o paciente seja remanejado para os dias que correspondem ao DA M'BOI MIRIM
Atribuído a ubs.vilacalu@cejam.org.br
</t>
      </text>
    </comment>
    <comment authorId="61" xr:uid="{ba6f04f5-34bd-4d3d-8a13-37d7be2cf78f}" ref="B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</t>
      </text>
    </comment>
    <comment authorId="62" xr:uid="{bb99bf3a-5509-4fa1-adb3-f452a410ce91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no siga @ubscomercial@cejam.org.br
</t>
      </text>
    </comment>
    <comment authorId="63" xr:uid="{bc947fb5-5c0b-4e7f-9481-79bf445c5b56}" ref="B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@ubsaracati@cejam.org.br
</t>
      </text>
    </comment>
    <comment authorId="64" xr:uid="{bd6e1318-f788-4032-9777-076c9077824e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@ubscomercial@cejam.org.br 
Conforme orientação essas vagas são destinadas ao DA M'BOI MIRIM, pedimos que o paciente seja remanejado para os dias que correspondem ao DA CAMPO LIMPO.
Atenciosamente,
Atribuído a ubscomercial@cejam.org.br
</t>
      </text>
    </comment>
    <comment authorId="65" xr:uid="{be36cbe2-a80e-4b7c-bd78-8d1d7978fa3b}" ref="B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@ubs.paranapanema@cejam.org.br
Atribuído a ubs.paranapanema@cejam.org.br
Reply:
	Paciente do dia 13/11 15:20 agendada.
</t>
      </text>
    </comment>
    <comment authorId="66" xr:uid="{bed30b1e-e0cb-41d3-a595-9a84bb123d2a}" ref="G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Lançar paciente na planilha @amaubspqfernanda@cejam.org.br
</t>
      </text>
    </comment>
    <comment authorId="67" xr:uid="{bf12e04f-a919-4afe-ac22-2657684032e6}" ref="B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</t>
      </text>
    </comment>
    <comment authorId="68" xr:uid="{c13e4d50-e176-4b31-a8c4-1d66c260e75d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@ubsluardosertao@cejam.org.br
</t>
      </text>
    </comment>
    <comment authorId="69" xr:uid="{c4ead85f-ca46-44d7-baf9-101201b69bba}" ref="B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@ubscomercial@cejam.org.br
</t>
      </text>
    </comment>
    <comment authorId="70" xr:uid="{cac2f045-d0f9-485a-8a32-00eac57080f1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na vaga do siga @ubs.jdguaruja@cejam.org.br
Reply:
	Agendado ás 11:13
</t>
      </text>
    </comment>
    <comment authorId="71" xr:uid="{caf5b833-1107-4f84-aac8-0a0333c2caac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 NÃO DISPONIVEL NO SIGA @taciana.caciano@cejam.org.br FICO NO AGUARDO DA LIBERAÇÃO DO SIGA PARA O AGENDAMENTO
Atribuído a taciana.caciano@cejam.org.br
Reply:
	Informamos que não foi possível criar a agenda da Dra. no SIGA. Dessa forma, os agendamentos serão realizados na planilha @ubs.vilacalu@cejam.org.br
Reply:
	Marcado como concluído
Reply:
	Informamos que não foi possível criar a agenda da Dra. no SIGA. Dessa forma, os agendamentos serão realizados na planilha @ubs.vilacalu@cejam.org.brexpand_moreShow moreexpand_lessShow less
Reaberta
</t>
      </text>
    </comment>
    <comment authorId="72" xr:uid="{cee3662e-53e3-4065-a23b-980d4e77de79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 
Conforme orientação essas vagas são destinadas ao DA M'BOI MIRIM, pedimos que o paciente seja remanejado para os dias que correspondem ao DA CAMPO LIMPO.
Atenciosamente,
Atribuído a amaubspqfernanda@cejam.org.br
</t>
      </text>
    </comment>
    <comment authorId="73" xr:uid="{d143d1f5-a97d-487d-9dfc-fb8a4a4a8595}" ref="B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Atribuído a ubssaobento@cejam.org.br
</t>
      </text>
    </comment>
    <comment authorId="74" xr:uid="{d6ab08dd-71c3-49ce-ab8b-07e8e1ea0013}" ref="B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agendado no siga por gentileza inserir na planilha tambem @ubs.altodariviera@cejam.org.br
</t>
      </text>
    </comment>
    <comment authorId="75" xr:uid="{d72c5b08-cd39-42f9-8050-315fd31a79aa}" ref="B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</t>
      </text>
    </comment>
    <comment authorId="76" xr:uid="{d7ea2ba6-981a-4347-b91f-c2c9f01e990f}" ref="B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@ubsmaraca@cejam.org.br
Reply:
	FEITO
</t>
      </text>
    </comment>
    <comment authorId="77" xr:uid="{dc002c96-e952-4de8-ac0f-51781cbac094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do siga na planilha
Reply:
	@ubsmacedonia@cejam.org.br
</t>
      </text>
    </comment>
    <comment authorId="78" xr:uid="{dc837097-c73a-4b95-beb8-5753ae7fe4dd}" ref="B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</t>
      </text>
    </comment>
    <comment authorId="79" xr:uid="{dca28a80-6488-4b19-9add-37fa7f4bfa70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@ubsmagdalena@cejam.org.br Agendar paciente no siga
</t>
      </text>
    </comment>
    <comment authorId="80" xr:uid="{dfc7da2d-a522-4bca-b851-710702a0ce2b}" ref="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@ubsmaraca@cejam.org.br
Reply:
	resolvido
</t>
      </text>
    </comment>
    <comment authorId="81" xr:uid="{e02d502f-347f-4ebe-a1eb-ebfff9162bde}" ref="B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no siga @ubsmaraca@cejam.org.br
Atribuído a ubsmaraca@cejam.org.br
</t>
      </text>
    </comment>
    <comment authorId="82" xr:uid="{e3956975-8868-4f5e-8dbb-90bbda2a70f6}" ref="B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 
Conforme orientação essas vagas são destinadas ao DA M'BOI MIRIM, pedimos que o paciente seja remanejado para os dias que correspondem ao DA CAMPO LIMPO.
Atribuído a amaubspqfernanda@cejam.org.br
Reply:
	OK! FAREI ISSO AGORA
</t>
      </text>
    </comment>
    <comment authorId="83" xr:uid="{e4000520-a3dd-4bc1-87ef-437d56cd4bfc}" ref="B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 
Conforme orientação essas vagas são destinadas ao DA M'BOI MIRIM, pedimos que o paciente seja remanejado para os dias que correspondem ao DA CAMPO LIMPO.
Atribuído a ubseledy@cejam.org.br
Reply:
	Boa tarde paciente retirada da planilha destinada ao MBOI MIRIM
</t>
      </text>
    </comment>
    <comment authorId="84" xr:uid="{e4487b36-d2af-4612-bb16-abb54d5da17c}" ref="B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 
Conforme orientação essas vagas são destinadas ao DA M'BOI MIRIM, pedimos que o paciente seja remanejado para os dias que correspondem ao DA CAMPO LIMPO.
Atribuído a amaubspqfernanda@cejam.org.br
</t>
      </text>
    </comment>
    <comment authorId="85" xr:uid="{e4a30b86-8fb7-480b-ad75-bc353314a814}" ref="B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
Conforme orientação essas vagas são destinadas ao DA M'BOI MIRIM, pedimos que o paciente seja remanejado para os dias que correspondem ao DA CAMPO LIMPO.
Atribuído a amaubspqfernanda@cejam.org.br
</t>
      </text>
    </comment>
    <comment authorId="86" xr:uid="{e5530b27-681c-4393-86f2-9fd993ca9c16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Reply:
	Feito!
</t>
      </text>
    </comment>
    <comment authorId="87" xr:uid="{e920502d-78e2-49ed-ae55-8cfd6bd8b5c6}" ref="B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@ubscomercial@cejam.org.br
</t>
      </text>
    </comment>
    <comment authorId="88" xr:uid="{e9bc1329-68a2-4a70-a233-0eafa5f63b20}" ref="B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no siga @ubsmaraca@cejam.org.br
</t>
      </text>
    </comment>
    <comment authorId="89" xr:uid="{f0821423-fa95-471e-bb9f-0b004167bcc7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
Conforme orientação essas vagas são destinadas ao DA CAMPO LIMPO, pedimos que o paciente seja remanejado para os dias que correspondem ao DA M'BOI MIRIM
Atribuído a ubs.vilacalu@cejam.org.br
</t>
      </text>
    </comment>
    <comment authorId="90" xr:uid="{f14f5cbb-a253-4cf2-bc9e-69e1825dd9b8}" ref="B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paciente na planilha @ubsmacedonia@cejam.org.br
</t>
      </text>
    </comment>
    <comment authorId="91" xr:uid="{fcfef3b3-ee8c-46a0-bbb7-e79c61080d39}" ref="B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Por favor, solicito que seja realizado o agendamento da paciente no SIGA.
@ubs.paranapanema@cejam.org.br
Atribuído a ubs.paranapanema@cejam.org.br
Reply:
	Paciente do dia 14/11 14:40 agendada.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tc={141774d0-fda3-4f77-bb52-679b748b55cf}</author>
  </authors>
  <commentList>
    <comment authorId="0" xr:uid="{141774d0-fda3-4f77-bb52-679b748b55cf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Lançamento equivocado na UBS Aracati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tc={6742678a-5883-48ee-9842-d0eb39e2d774}</author>
  </authors>
  <commentList>
    <comment authorId="0" xr:uid="{6742678a-5883-48ee-9842-d0eb39e2d7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CAMPO LIMPO- CERTO?
Reply:
	Não terá atendimento devido ao feriado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tc={1922fd4e-a9b6-4849-b4d4-016aff6d97a8}</author>
  </authors>
  <commentList>
    <comment authorId="0" xr:uid="{1922fd4e-a9b6-4849-b4d4-016aff6d97a8}" ref="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 Prezados, favor inserir os pacientes que foram atendidos e não atendidos na coluna status
Atribuído a ubseledy@cejam.org.br
Reply:
	Realizado
Marcado como concluído
</t>
      </text>
    </comment>
  </commentList>
</comments>
</file>

<file path=xl/sharedStrings.xml><?xml version="1.0" encoding="utf-8"?>
<sst xmlns="http://schemas.openxmlformats.org/spreadsheetml/2006/main" count="18357" uniqueCount="4317">
  <si>
    <t>UBS</t>
  </si>
  <si>
    <t>DATA</t>
  </si>
  <si>
    <t>DIA DA SEMANA</t>
  </si>
  <si>
    <t>UNIDADE DE REFERÊNCIA</t>
  </si>
  <si>
    <t>MÉDICO CARDIOLOGISTA</t>
  </si>
  <si>
    <t>HORÁRIO</t>
  </si>
  <si>
    <t>Nº CARTÃO SUS</t>
  </si>
  <si>
    <t>NOME COMPLETO</t>
  </si>
  <si>
    <t>DATA DE NASCIMENTO</t>
  </si>
  <si>
    <t>ENDEREÇO DO USÚARIO</t>
  </si>
  <si>
    <t>1</t>
  </si>
  <si>
    <t>2</t>
  </si>
  <si>
    <t>3</t>
  </si>
  <si>
    <t>4</t>
  </si>
  <si>
    <t>5</t>
  </si>
  <si>
    <t>6</t>
  </si>
  <si>
    <t>7</t>
  </si>
  <si>
    <t>8</t>
  </si>
  <si>
    <t xml:space="preserve">Dra. Priscila Ferreira da Silva - DA M'BOI MIRIM </t>
  </si>
  <si>
    <t xml:space="preserve">CPF </t>
  </si>
  <si>
    <t xml:space="preserve">STATUS </t>
  </si>
  <si>
    <t>Telefone 1</t>
  </si>
  <si>
    <t>Telefone 2</t>
  </si>
  <si>
    <t>Dr Alice Peixoto - UBS Jardim Valquíria</t>
  </si>
  <si>
    <t>19/09/2025 08:00 ás 12:00</t>
  </si>
  <si>
    <t xml:space="preserve">Telefone </t>
  </si>
  <si>
    <t>Motivo da Falta</t>
  </si>
  <si>
    <t>Especificar- Outros</t>
  </si>
  <si>
    <t xml:space="preserve">Data do Contato </t>
  </si>
  <si>
    <t>Profissional Responsavel Pelo Contato</t>
  </si>
  <si>
    <t>Observações</t>
  </si>
  <si>
    <t>Sexta</t>
  </si>
  <si>
    <t>UBS Jardim Valquiria</t>
  </si>
  <si>
    <t>ALICE PEIXOTO DA SILVA LOBO</t>
  </si>
  <si>
    <t>LEONOR FERREIRA</t>
  </si>
  <si>
    <t>AVENIDA CARLOS LACERDA, 3073 CASA 3</t>
  </si>
  <si>
    <t>Não atendindo</t>
  </si>
  <si>
    <t>5826-7124</t>
  </si>
  <si>
    <t>Duplicidade de cadastro no E-Saúde, não foi possível o atendimento pelo App.</t>
  </si>
  <si>
    <t>ANTONIO BATISTA DE ALMEIDA</t>
  </si>
  <si>
    <t>TRAVESSA CARLOS KRUGGER,31</t>
  </si>
  <si>
    <t>Atendido</t>
  </si>
  <si>
    <t>99804-6089</t>
  </si>
  <si>
    <t>ROSINEI RAMOS PEREIRA</t>
  </si>
  <si>
    <t>RUA JOSE MAXIMO PINHEIRO DE LIMA 164</t>
  </si>
  <si>
    <t>94050-1807</t>
  </si>
  <si>
    <t>GERIVALDA FERREIRA DA SILVA</t>
  </si>
  <si>
    <t>RUA JOSE MAXIMO PINHEIRO  LIMA, 299 CS 1</t>
  </si>
  <si>
    <t>95682-2495</t>
  </si>
  <si>
    <t>AURELICE VIEIRA DOS SANTOS</t>
  </si>
  <si>
    <t>RUA GASTAO RAUL  BOUSQUET, 618 MORESP</t>
  </si>
  <si>
    <t>96611-9588</t>
  </si>
  <si>
    <t>Problema no App do E-saúde da paciente.</t>
  </si>
  <si>
    <t>MARIA APARECIDA RESENDE DE OLIVEIRA</t>
  </si>
  <si>
    <t>RUA ARMANDO MAS LEITE, 3 CASA 01</t>
  </si>
  <si>
    <t>98263-6452</t>
  </si>
  <si>
    <t>APARECIDO DE PAULA DA ENCARNACAO</t>
  </si>
  <si>
    <t>RUA DOUTOR GODOFREDO WILKEN, 4</t>
  </si>
  <si>
    <t>96015-7027</t>
  </si>
  <si>
    <t>MAURA PEREIRA DA SILVA</t>
  </si>
  <si>
    <t>RUA DOUTOR GODOFREDO WILKEN, 12 CASA 2</t>
  </si>
  <si>
    <t>94829-3504</t>
  </si>
  <si>
    <t>Recusa de atendimento pela médica da tele.</t>
  </si>
  <si>
    <t>Dr Jessika Tolentino</t>
  </si>
  <si>
    <t>13/10/2025  08h às 12h</t>
  </si>
  <si>
    <t>UBS Jardim Comercial</t>
  </si>
  <si>
    <t xml:space="preserve">Segunda </t>
  </si>
  <si>
    <t xml:space="preserve">VERA LUCIA FONSECA
</t>
  </si>
  <si>
    <t xml:space="preserve">(11) 979700176
</t>
  </si>
  <si>
    <t>UBS Jardim Paranapanema</t>
  </si>
  <si>
    <t>ANDREA DE SOUSA NETO</t>
  </si>
  <si>
    <t>(11)933377895</t>
  </si>
  <si>
    <t>UBS Jardim Eledy</t>
  </si>
  <si>
    <t>FRANCISCO ALMIRTON DOS SANTOS SOUSA</t>
  </si>
  <si>
    <t xml:space="preserve">MANOEL SEVERINO DA SILVA
</t>
  </si>
  <si>
    <t xml:space="preserve">(11) 959604212
</t>
  </si>
  <si>
    <t>AUDINETE FELIX DE AZEVEDO</t>
  </si>
  <si>
    <t>(11)914548821</t>
  </si>
  <si>
    <t>ADAILSON DOS SANTOS BRITO</t>
  </si>
  <si>
    <t>Paciente nao estva na residencia no horario agendado</t>
  </si>
  <si>
    <t>Gilda Gomes de Freitas</t>
  </si>
  <si>
    <t xml:space="preserve">MAURA VIEIRA
</t>
  </si>
  <si>
    <t xml:space="preserve">(11) 998898421
</t>
  </si>
  <si>
    <t>OSMAR LACERDA DA SILVA</t>
  </si>
  <si>
    <t>99712 2855</t>
  </si>
  <si>
    <t>9</t>
  </si>
  <si>
    <t>ANTONIO DE PADUA MEDEIROS SILVA JUNIOR</t>
  </si>
  <si>
    <t>10</t>
  </si>
  <si>
    <t>MARIA DA GLORIA DE JESUS</t>
  </si>
  <si>
    <t>99780 9675</t>
  </si>
  <si>
    <t>11</t>
  </si>
  <si>
    <t>ANTONIA PEREIRA DE SOUSA</t>
  </si>
  <si>
    <t>(11)968105723</t>
  </si>
  <si>
    <t>12</t>
  </si>
  <si>
    <t>ANTONIA BORGES DA PAIXAO</t>
  </si>
  <si>
    <t>98518 4536</t>
  </si>
  <si>
    <t xml:space="preserve">Dr Camila Queiroga da Silveira </t>
  </si>
  <si>
    <t>13/10/2025  13h às 17h</t>
  </si>
  <si>
    <t>UBS Parque Novo Santo Amaro</t>
  </si>
  <si>
    <t>VANDALVA OLIVEIRA AMORIM</t>
  </si>
  <si>
    <t>ANTONIO JOSE DA SILVA</t>
  </si>
  <si>
    <t xml:space="preserve">(11) 986453576
</t>
  </si>
  <si>
    <t>UBS Cidade Ipava</t>
  </si>
  <si>
    <t>MIRANILDA FERREIRA DA SILVA</t>
  </si>
  <si>
    <t>MARIA DE JESUS GOMES DE LIMA</t>
  </si>
  <si>
    <t>(11) 965632067</t>
  </si>
  <si>
    <t>JOSE FERREIRA DOS SANTOS</t>
  </si>
  <si>
    <t xml:space="preserve">MARIA ROSALIA DOS SANTOS BROETTO
</t>
  </si>
  <si>
    <t xml:space="preserve">(11) 959582568
</t>
  </si>
  <si>
    <t>Ama/UBS Jardim Capela</t>
  </si>
  <si>
    <t xml:space="preserve">CONCEICAO APARECIDA FRONZI	</t>
  </si>
  <si>
    <t>VAGA LIVRE</t>
  </si>
  <si>
    <t xml:space="preserve">VAGA LIVRE </t>
  </si>
  <si>
    <t xml:space="preserve">MANOEL BARBOSA DE MOURA
</t>
  </si>
  <si>
    <t xml:space="preserve">(11) 985143240
</t>
  </si>
  <si>
    <t xml:space="preserve">CANCELADOS </t>
  </si>
  <si>
    <t>THAMIRES SANTOS DA SILVA</t>
  </si>
  <si>
    <t>(11) 957077605</t>
  </si>
  <si>
    <t>MARIA APARECIDA DIAS ALVES</t>
  </si>
  <si>
    <t>(11) 96812-9936</t>
  </si>
  <si>
    <t>Dr Viviane Lima</t>
  </si>
  <si>
    <t>14/10/2025    08h às 12h</t>
  </si>
  <si>
    <t xml:space="preserve">Terça </t>
  </si>
  <si>
    <t>WANTUIL JACINTO FERREIRA</t>
  </si>
  <si>
    <t>Paciente com a conexão de internet instavel</t>
  </si>
  <si>
    <t>MARIA APARECIDA CAMPANHOLI</t>
  </si>
  <si>
    <t xml:space="preserve">(11) 977110366
</t>
  </si>
  <si>
    <t>LUCINEIA MEIRA DO NASCIMENTO</t>
  </si>
  <si>
    <t>96631 3909</t>
  </si>
  <si>
    <t xml:space="preserve">SEBASTIANA APARECIDA VIEIRA DA SILVA
</t>
  </si>
  <si>
    <t xml:space="preserve">(11) 949477527
</t>
  </si>
  <si>
    <t>RITA MARIA PATRICIA DOS SANTOS</t>
  </si>
  <si>
    <t>ROSILDA FERREIRA DA SILVA NERI</t>
  </si>
  <si>
    <t xml:space="preserve">(11) 982432790
</t>
  </si>
  <si>
    <t>RAIMUNDO NONATO LIRA DE SOUSA</t>
  </si>
  <si>
    <t>Dr Verá Lucia Pereira</t>
  </si>
  <si>
    <t>15/10/2025 13h às 17h</t>
  </si>
  <si>
    <t xml:space="preserve">Quarta  </t>
  </si>
  <si>
    <t>NELSON WILLIAM DE OLIVEIRA</t>
  </si>
  <si>
    <t>(11)   981238627</t>
  </si>
  <si>
    <t>AMADEU DA SILVA MOREIRA</t>
  </si>
  <si>
    <t>(11) 953308436</t>
  </si>
  <si>
    <t>WILLIAM SANTOS OLIVEIRA</t>
  </si>
  <si>
    <t>(11)957220863</t>
  </si>
  <si>
    <t>JOSEFA MARIA DOS SANTOS</t>
  </si>
  <si>
    <t>(11) 9996-53045</t>
  </si>
  <si>
    <t>Devido a atrasos dos atendimentos anteriores</t>
  </si>
  <si>
    <t>Larissa Marcela</t>
  </si>
  <si>
    <t>Paciente foi atendida por outra profissional - Dra Priscila Ferreira Silva</t>
  </si>
  <si>
    <t xml:space="preserve">MANOEL MESSIAS ALBUQUERQUE SANTANA
</t>
  </si>
  <si>
    <t xml:space="preserve">(11) 984873729
</t>
  </si>
  <si>
    <t xml:space="preserve">JOSE EDIPO DA SILVA
</t>
  </si>
  <si>
    <t xml:space="preserve">(11) 995296855
</t>
  </si>
  <si>
    <t xml:space="preserve">  </t>
  </si>
  <si>
    <t>Dr Camila Queiroga da Silveira</t>
  </si>
  <si>
    <t>15/10/2025 08h às 12h</t>
  </si>
  <si>
    <t xml:space="preserve">VANIA APARECIDA CESARIO
</t>
  </si>
  <si>
    <t>(11) 994457269</t>
  </si>
  <si>
    <t>NATALINA INACIA DOS SANTOS</t>
  </si>
  <si>
    <t>(11)98518 4536</t>
  </si>
  <si>
    <t xml:space="preserve">VANDA MARIA DE CARVALHO ALVES
</t>
  </si>
  <si>
    <t>(11) 999023032</t>
  </si>
  <si>
    <t>ANA MARTA DE SOUZA BORGES</t>
  </si>
  <si>
    <t>11 94829 3504</t>
  </si>
  <si>
    <t xml:space="preserve">MANOEL BARBOSA DE MOURA
</t>
  </si>
  <si>
    <t>CANCELO</t>
  </si>
  <si>
    <t>PACIENTE INTERNADO</t>
  </si>
  <si>
    <t>ELIENE MARTINS SANTOS</t>
  </si>
  <si>
    <t>VALMIZA FERREIRA DA SILVA</t>
  </si>
  <si>
    <t>1195856 0016</t>
  </si>
  <si>
    <t>Dra° Priscila Ferreira Da Silva</t>
  </si>
  <si>
    <t>20/10/2025  08h às 12h</t>
  </si>
  <si>
    <t xml:space="preserve">Cancelada </t>
  </si>
  <si>
    <t xml:space="preserve">Cancelado </t>
  </si>
  <si>
    <t xml:space="preserve">706006334967340
</t>
  </si>
  <si>
    <t xml:space="preserve">JOVELINA NERES TEIXEIRA PEREIRA
</t>
  </si>
  <si>
    <t xml:space="preserve">201152331420009
</t>
  </si>
  <si>
    <t xml:space="preserve">MARIA DE LURDES DO NASCIMENTO
</t>
  </si>
  <si>
    <t xml:space="preserve">VAGA BLOQUEADA </t>
  </si>
  <si>
    <t xml:space="preserve"> </t>
  </si>
  <si>
    <t>20/10/2025 13h às 17h</t>
  </si>
  <si>
    <t>Vagas livres</t>
  </si>
  <si>
    <t xml:space="preserve">ANTONIO JORGE RODRIGUES CALHEIROS </t>
  </si>
  <si>
    <t xml:space="preserve">Atendido </t>
  </si>
  <si>
    <t>DAYANA PEREIRA SERAFIM</t>
  </si>
  <si>
    <t>(11)941850499</t>
  </si>
  <si>
    <t>JOAO DE SOUZA BATISTA</t>
  </si>
  <si>
    <t>GERALDA MARIA NICOMEDES RODRIGUES</t>
  </si>
  <si>
    <t>(11)946338852</t>
  </si>
  <si>
    <t>UBs Parque Novo Santo Amaro</t>
  </si>
  <si>
    <t>MARY AMORIM PEREIRA 01,02,44</t>
  </si>
  <si>
    <t>NORBELIA GOMES DOS SANTOS</t>
  </si>
  <si>
    <t>21/10/2025    08h às 12h</t>
  </si>
  <si>
    <t>UBS JARDIM SANTA MARGARIDA</t>
  </si>
  <si>
    <t>EVELLIN LOURDES LEAO RODRIGUES SANTOS</t>
  </si>
  <si>
    <t xml:space="preserve">Não atendido </t>
  </si>
  <si>
    <t xml:space="preserve"> 99725-9580</t>
  </si>
  <si>
    <t>problema no aplicativo</t>
  </si>
  <si>
    <t>UBS Jardim Valquíria</t>
  </si>
  <si>
    <t>JOSENILDO ANTONIO BARBOSA</t>
  </si>
  <si>
    <t>95231 2507</t>
  </si>
  <si>
    <t>Falha na conexção de internet</t>
  </si>
  <si>
    <t>UBS Luar do Sertão</t>
  </si>
  <si>
    <t>JOAQUIM SOARES DA SILVA</t>
  </si>
  <si>
    <t>(11) 962539144</t>
  </si>
  <si>
    <t>ORISVALDO CONSTANCIO DE MACEDO</t>
  </si>
  <si>
    <t>94970 3995</t>
  </si>
  <si>
    <t>Paciente saiu para o trabalho</t>
  </si>
  <si>
    <t>BRASILIA LIMA DOS REIS</t>
  </si>
  <si>
    <t>(11)981695921</t>
  </si>
  <si>
    <t>GIZEULDA MARIA DA SILVA</t>
  </si>
  <si>
    <t xml:space="preserve">Dra°  Vera Lucia Pereira Gardner - Agenda remanejada para dia 24/10 </t>
  </si>
  <si>
    <t>22/10/2025 13h às 17h</t>
  </si>
  <si>
    <t xml:space="preserve">Remanejada </t>
  </si>
  <si>
    <t>UBS PQ FERNANDA</t>
  </si>
  <si>
    <t>GISLENE PEREIRA DOS REIS</t>
  </si>
  <si>
    <t>11 963709014</t>
  </si>
  <si>
    <t>UBS Jardim Germânia</t>
  </si>
  <si>
    <t xml:space="preserve">NILZA FROTTA DOS SANTOS	</t>
  </si>
  <si>
    <t>(11) 995098006</t>
  </si>
  <si>
    <t>UBS JARDIM MARACA</t>
  </si>
  <si>
    <t>JOSE GERALDO MENDES</t>
  </si>
  <si>
    <t>(11) 998746134</t>
  </si>
  <si>
    <t>MARIA KANAE MORAES ROSA</t>
  </si>
  <si>
    <t>(11) 963673329</t>
  </si>
  <si>
    <t>ROSILENE MARIA DE ALMEIDA</t>
  </si>
  <si>
    <t>11 979593566</t>
  </si>
  <si>
    <t>OTIVA FERRAZ BARBOSA</t>
  </si>
  <si>
    <t>(11) 58738945</t>
  </si>
  <si>
    <t>22/10/2025 08h às 12h</t>
  </si>
  <si>
    <t>UBS Santa Lúcia</t>
  </si>
  <si>
    <t>MARIA DAS GRACAS LUCIANO - 03.05</t>
  </si>
  <si>
    <t>Não foi possivel logar, foram na casa do paciente mas não deu para atender devido demora.</t>
  </si>
  <si>
    <t>Ubs Jardim São Bento</t>
  </si>
  <si>
    <t xml:space="preserve">JOSEFA TEIXEIRA DE BARROS </t>
  </si>
  <si>
    <t xml:space="preserve">UBS ALTO DA RIVIERA </t>
  </si>
  <si>
    <t>MARIA CRISTINA BISPO CARDOZO</t>
  </si>
  <si>
    <t>FRANCISCA ELIEUDA DOS SANTOS</t>
  </si>
  <si>
    <t>(11)   948062255</t>
  </si>
  <si>
    <t>UBS Jardim Guarujá</t>
  </si>
  <si>
    <t>DERALDO DIAS DOS SANTOS</t>
  </si>
  <si>
    <t>UBS Guarujá</t>
  </si>
  <si>
    <t>JULIVAL REBOUCAS</t>
  </si>
  <si>
    <t xml:space="preserve">UBS Jardim Macedonia </t>
  </si>
  <si>
    <t>SOLANGE FIGUEIREDO DE SOUZA</t>
  </si>
  <si>
    <t>Dra°Camila Queiroga da Silveira   - Agenda remanejada do dia  22/10/2025</t>
  </si>
  <si>
    <t>24/10/2025 13h às 17h</t>
  </si>
  <si>
    <t xml:space="preserve">UBS Horizonte Azul </t>
  </si>
  <si>
    <t>LETICIA DOS SANTOS ARRUDA SILVA</t>
  </si>
  <si>
    <t>(11) 9301-43736</t>
  </si>
  <si>
    <t xml:space="preserve">Ubs Jardim Mecedonia </t>
  </si>
  <si>
    <t>JAILSON BARBOSA DUTRA</t>
  </si>
  <si>
    <t>AMA/UBS Jardim Capela</t>
  </si>
  <si>
    <t>JOSE DA ROCHA MARTINS</t>
  </si>
  <si>
    <t>(11)983308259</t>
  </si>
  <si>
    <t>CRISTIANE APARECIDA PEIXOTO</t>
  </si>
  <si>
    <t>(11) 965623574</t>
  </si>
  <si>
    <t xml:space="preserve">RIZOMAR FERREIRA DA COSTA </t>
  </si>
  <si>
    <t>(11)948443125</t>
  </si>
  <si>
    <t>UBS VILA CALU</t>
  </si>
  <si>
    <t>MARIA SENHORA ACIOLE DA SILVA</t>
  </si>
  <si>
    <t>(11) 998153643</t>
  </si>
  <si>
    <t>Dra° Viviane Lima Deitch</t>
  </si>
  <si>
    <t>28/10/2025    08h às 12h</t>
  </si>
  <si>
    <t>UBS PARQUE DO ENGENHO II</t>
  </si>
  <si>
    <t>MARIA PEREIRA DOS SANTOS</t>
  </si>
  <si>
    <t>(11) 9871-31034</t>
  </si>
  <si>
    <t xml:space="preserve">JOANA DARC DE CASTRO
</t>
  </si>
  <si>
    <t>(11) 96774-4759</t>
  </si>
  <si>
    <t xml:space="preserve">UBS ALTO RIVEIRA </t>
  </si>
  <si>
    <t>MARIA SANTOS DE SANTANA</t>
  </si>
  <si>
    <t>UBS Jardim Capela</t>
  </si>
  <si>
    <t>ONILSON CAIRES FREITAS</t>
  </si>
  <si>
    <t>(11)946429707</t>
  </si>
  <si>
    <t>UBS SANTA LUCIA</t>
  </si>
  <si>
    <t>MARIA EDUARDA DE SOUZA ALVES</t>
  </si>
  <si>
    <t>UBS JARDIM ELEDY</t>
  </si>
  <si>
    <t>LURDINETE BARBOSA DA SILVA</t>
  </si>
  <si>
    <t>UBS Jardim Herculano</t>
  </si>
  <si>
    <t>CICERA FARIAS DE JESUS FERREIRA</t>
  </si>
  <si>
    <t>(11) 97139-5652</t>
  </si>
  <si>
    <t>UBS JARDIM MACEDONIA</t>
  </si>
  <si>
    <t xml:space="preserve">ELIANE CARDOSO HABIA DA SILVA </t>
  </si>
  <si>
    <t>09/091987</t>
  </si>
  <si>
    <t>TAIS SILVA PEREIRA</t>
  </si>
  <si>
    <t>Dra°  Priscila Ferreira</t>
  </si>
  <si>
    <t>29/10/2025 13h às 17h</t>
  </si>
  <si>
    <t>UBS MARACA</t>
  </si>
  <si>
    <t>08001170934</t>
  </si>
  <si>
    <t>JOSE VIEIRA DANTAS</t>
  </si>
  <si>
    <t>(11) 989163263</t>
  </si>
  <si>
    <t>UBS Jardim Magdalena</t>
  </si>
  <si>
    <t>34481546875</t>
  </si>
  <si>
    <t>MARIZETE MOURA DA CONCEICAO</t>
  </si>
  <si>
    <t>(11) 9827-69774</t>
  </si>
  <si>
    <t>AMA UBS PARQUE FERNANDA</t>
  </si>
  <si>
    <t>25731809801</t>
  </si>
  <si>
    <t>VLADIMIR ROGERIO OLIVEIRA</t>
  </si>
  <si>
    <t>11 964469581</t>
  </si>
  <si>
    <t>Siga Ok</t>
  </si>
  <si>
    <t>94731756804</t>
  </si>
  <si>
    <t>ANTONIO BRANDAO DE MELO</t>
  </si>
  <si>
    <t>11 951417288</t>
  </si>
  <si>
    <t>04207338845</t>
  </si>
  <si>
    <t>EDITH DE FREITAS ROZA</t>
  </si>
  <si>
    <t>(11) 930079600</t>
  </si>
  <si>
    <t>UBS Jardim Aracati</t>
  </si>
  <si>
    <t>64966704553</t>
  </si>
  <si>
    <t>ELOISIA SANTANA DA SILVA</t>
  </si>
  <si>
    <t xml:space="preserve">(11) 972507596 </t>
  </si>
  <si>
    <t>Preencher Siga</t>
  </si>
  <si>
    <t>27591672835</t>
  </si>
  <si>
    <t xml:space="preserve">MARTA PEREIRA DA SILVA        </t>
  </si>
  <si>
    <t>11 997772782</t>
  </si>
  <si>
    <t>UBS jardim macedonia</t>
  </si>
  <si>
    <t>24876007802</t>
  </si>
  <si>
    <t>RITA DE CASSIA SANTOS LIMA</t>
  </si>
  <si>
    <t>11 988547465</t>
  </si>
  <si>
    <t xml:space="preserve">AMA/UBS Jardim Capela </t>
  </si>
  <si>
    <t>MANOEL GONCALVES DA SILVA</t>
  </si>
  <si>
    <t>(11)973608369</t>
  </si>
  <si>
    <t>Famíliar desistiu do atendimento</t>
  </si>
  <si>
    <t>Estamos em conferência de um paciente elegível para substituir a vaga</t>
  </si>
  <si>
    <t>29/10/2025 08h às 12h</t>
  </si>
  <si>
    <t>UBS JARDIM PARANAPANEMA</t>
  </si>
  <si>
    <t>MARIA JOSE RIBEIRO CHAVES</t>
  </si>
  <si>
    <t>(11)954783948</t>
  </si>
  <si>
    <t>APP do paciente não conectou (internet normal mas não teve conctividade no app)</t>
  </si>
  <si>
    <t xml:space="preserve">JOAQUIM MORAIS SODRE </t>
  </si>
  <si>
    <t>(11)932427505</t>
  </si>
  <si>
    <t xml:space="preserve">UBS Jardim São Bento </t>
  </si>
  <si>
    <t>TERESA CAIRES GOUVEIA</t>
  </si>
  <si>
    <t>(11)953689487</t>
  </si>
  <si>
    <t>UBS VERA CRUZ</t>
  </si>
  <si>
    <t>DIVANIA COSTA</t>
  </si>
  <si>
    <t>(11)984685567</t>
  </si>
  <si>
    <t xml:space="preserve">TEREZA RIBEIRO	</t>
  </si>
  <si>
    <t>(11)949222683</t>
  </si>
  <si>
    <t>Paciente  mesmo após orientações, assinatura do termo não estava em casa</t>
  </si>
  <si>
    <t>FRANCISCA MARIA PRUDENCIO</t>
  </si>
  <si>
    <t>11 999563170</t>
  </si>
  <si>
    <t>UBS JARDIM HERCULANO</t>
  </si>
  <si>
    <t>MARIA DE LOURDES</t>
  </si>
  <si>
    <t>(11) 963054805</t>
  </si>
  <si>
    <t>JOSE ARNALDO DE SOUZA</t>
  </si>
  <si>
    <t>11 991996963</t>
  </si>
  <si>
    <t>Siga OK</t>
  </si>
  <si>
    <t>Dra° Barbara Cavalheiro Lopes - AMA/UBS Jardim Capela</t>
  </si>
  <si>
    <t>17/09/2025   08:00 ás 12:00</t>
  </si>
  <si>
    <t>Quarta</t>
  </si>
  <si>
    <t>Barbara Cavalheiro Locks</t>
  </si>
  <si>
    <t>DOMINGAS DA SILVA SANTOS</t>
  </si>
  <si>
    <t>RUA BARAO DE PAIVA MANSO, 783</t>
  </si>
  <si>
    <t>(11) 98496-8867</t>
  </si>
  <si>
    <t>ELIAS PEREIRA DOS SANTOS</t>
  </si>
  <si>
    <t>JOELMA SOUZA MOREIRA</t>
  </si>
  <si>
    <t>RUA BARAO DE PAIVA MANSO, 392</t>
  </si>
  <si>
    <t>(11) 97397-5008</t>
  </si>
  <si>
    <t>JOSEFA MIGUEL DA SILVA SOUSA NASCIMENTO</t>
  </si>
  <si>
    <t>RUA BARAO DE PAIVA MANSO, 2</t>
  </si>
  <si>
    <t>(11) 94157-1637</t>
  </si>
  <si>
    <t>NEUSA DE FREITAS DOS SANTOS</t>
  </si>
  <si>
    <t>RUA JOSÉ ROBERTO SALES, 87</t>
  </si>
  <si>
    <t>(11) 5895-8764</t>
  </si>
  <si>
    <t>CONCEICAO APARECIDA FRONZI</t>
  </si>
  <si>
    <t>RUA JOSÉ ROBERTO SALES, 65</t>
  </si>
  <si>
    <t>(11) 5895-6608</t>
  </si>
  <si>
    <t>Essa paciente apesar de estar corretamente cadastrada no ESaude e aguardando a profissional, não foi atendida porque a médica informou que não consegui visualizar a paciente no sistema.</t>
  </si>
  <si>
    <t>RUA JOSE GOES, 217</t>
  </si>
  <si>
    <t>Devido o atraso durante os atendientos, a profissional informou que não iria atender os dois últimos pacientes. Solicitou que os mesmos fossem remarcados.</t>
  </si>
  <si>
    <t>RUA JOSE GOES, 410</t>
  </si>
  <si>
    <t>(11) 99855-5252</t>
  </si>
  <si>
    <t xml:space="preserve">Dra Jessika Tolentino  </t>
  </si>
  <si>
    <t>13/09/2025 08:00 ás 12:00</t>
  </si>
  <si>
    <t xml:space="preserve">Dra Camila Queiroga </t>
  </si>
  <si>
    <t>13/09/2025 13:00 ás 17:00</t>
  </si>
  <si>
    <t>Dra Viviane Lima</t>
  </si>
  <si>
    <t>14/09/2025 08:00 ás 12:00</t>
  </si>
  <si>
    <t>Dra° Camila Queiroga da Silveira - DA CAMPO LIMPO</t>
  </si>
  <si>
    <t>03/11/2025 13h às 17h</t>
  </si>
  <si>
    <t>UBS JARDIM MACEDÔNIA</t>
  </si>
  <si>
    <t>SEGUNDA</t>
  </si>
  <si>
    <t>37292820263</t>
  </si>
  <si>
    <t>ELIENE DO SOCORRO CARVALHO TAVARES</t>
  </si>
  <si>
    <t>(11) 9489-55523</t>
  </si>
  <si>
    <t>(11) 9784-59304</t>
  </si>
  <si>
    <t>Agendar paciente do siga na planilha</t>
  </si>
  <si>
    <t>Consolidado</t>
  </si>
  <si>
    <t>DA - Campo Limpo - 03/11</t>
  </si>
  <si>
    <t>UBS JARDIM MARACÁ</t>
  </si>
  <si>
    <t>04800356873</t>
  </si>
  <si>
    <t xml:space="preserve">MARIA DAS DORES FERREIRA DE OLIVEIRA </t>
  </si>
  <si>
    <t>(11) 9514-00158</t>
  </si>
  <si>
    <t>(11) 5825-4300</t>
  </si>
  <si>
    <t>SIGA fora do ar (31/10)</t>
  </si>
  <si>
    <t>UBS JARDIM VALQUÍRIA</t>
  </si>
  <si>
    <t>9220171821</t>
  </si>
  <si>
    <t>DELMINDA MARIA DO NASCIMENTO</t>
  </si>
  <si>
    <t>11 958607104</t>
  </si>
  <si>
    <t>UBS JARDIM MAGDALENA</t>
  </si>
  <si>
    <t>10036647845</t>
  </si>
  <si>
    <t>MARIA DO CARMO DOS SANTOS</t>
  </si>
  <si>
    <t>11 912389102</t>
  </si>
  <si>
    <t>Agendar paciente no siga</t>
  </si>
  <si>
    <t>03073756841</t>
  </si>
  <si>
    <t xml:space="preserve">ERNESTINA GORETTI DA SILVA </t>
  </si>
  <si>
    <t>(11) 9847-55160</t>
  </si>
  <si>
    <t>44872416856</t>
  </si>
  <si>
    <t>SOPHIA DUARTE GOMES</t>
  </si>
  <si>
    <t>(11) 9510-13752</t>
  </si>
  <si>
    <t>(11) 9533-22224</t>
  </si>
  <si>
    <t>04701286826</t>
  </si>
  <si>
    <t xml:space="preserve">LAUDISA PEREIRA ROCHA </t>
  </si>
  <si>
    <t>(11) 9491-15407</t>
  </si>
  <si>
    <t>(11) 9899-20516</t>
  </si>
  <si>
    <t>15715975816</t>
  </si>
  <si>
    <t>SILVIA SUSI POIT RODRIGUES DA SILVA</t>
  </si>
  <si>
    <t>(11) 9830-59294</t>
  </si>
  <si>
    <t>25576921828</t>
  </si>
  <si>
    <t>ANA MARIA PIRES MAROTTA</t>
  </si>
  <si>
    <t>(11)967583302</t>
  </si>
  <si>
    <t>(11)58740648</t>
  </si>
  <si>
    <t>26481064805</t>
  </si>
  <si>
    <t>JOSE ALVES DE SOUZA</t>
  </si>
  <si>
    <t>(11)979761600</t>
  </si>
  <si>
    <t>85841366815</t>
  </si>
  <si>
    <t>AMADO MALAQUIAS</t>
  </si>
  <si>
    <t xml:space="preserve">Dr Priscila Ferreira da Silva - DA M'BOI MIRIM  - Agendamento apenas no drive </t>
  </si>
  <si>
    <t>05/11/2025 13h às 17h</t>
  </si>
  <si>
    <t xml:space="preserve">UBS SANTA LUCIA </t>
  </si>
  <si>
    <t>QUARTA</t>
  </si>
  <si>
    <t>37999357898</t>
  </si>
  <si>
    <t xml:space="preserve">JAILANE DA CRUZ SILVA 02.04 </t>
  </si>
  <si>
    <t>UBS JARDIM CAPELA</t>
  </si>
  <si>
    <t>00702483893</t>
  </si>
  <si>
    <t>JOSÉ MARCOLINO DA SILVA</t>
  </si>
  <si>
    <t>DA - M'Boi - 05/11</t>
  </si>
  <si>
    <t>04245895837</t>
  </si>
  <si>
    <t xml:space="preserve">MARIA DAS GRACAS LUCIANO - 03.05 </t>
  </si>
  <si>
    <t>Bloqueada</t>
  </si>
  <si>
    <t>85783153834</t>
  </si>
  <si>
    <t>JUSCELINO DIAS LIMA</t>
  </si>
  <si>
    <t>agendado no siga</t>
  </si>
  <si>
    <t>UBS ALTO DA RIVIERA</t>
  </si>
  <si>
    <t>37681484833</t>
  </si>
  <si>
    <t xml:space="preserve">ANA PAULA RIBEIRO FERNANDES </t>
  </si>
  <si>
    <t>10685780848</t>
  </si>
  <si>
    <t xml:space="preserve">MARIA IVANI PEREIRA </t>
  </si>
  <si>
    <t>UBS CIDADE IPAVA</t>
  </si>
  <si>
    <t>01378438876</t>
  </si>
  <si>
    <t>LIONORA DA SILVA SOUZA</t>
  </si>
  <si>
    <t>13044822866</t>
  </si>
  <si>
    <t xml:space="preserve">APARECIDA DAS GRACAS MORAES CORREIA </t>
  </si>
  <si>
    <t>02972471660</t>
  </si>
  <si>
    <t>VERCINA GONCALVES DESOUSA RODRIGUES</t>
  </si>
  <si>
    <t>agendado no siga,</t>
  </si>
  <si>
    <t>Dr Camila Queiroga da Silveira - DA CAMPO LIMPO</t>
  </si>
  <si>
    <t>05/11/2025 08h às 12h</t>
  </si>
  <si>
    <t>UBS JARDIM SÃO BENTO</t>
  </si>
  <si>
    <t>16490468808</t>
  </si>
  <si>
    <t xml:space="preserve"> MARIA MOREIRA PEREIRA </t>
  </si>
  <si>
    <t>DA - Campo Limpo - 05/11</t>
  </si>
  <si>
    <t>34084937827</t>
  </si>
  <si>
    <t xml:space="preserve"> 	MARIA DE FATIMA MAGRI </t>
  </si>
  <si>
    <t xml:space="preserve">UBS JARDIM GUARUJA </t>
  </si>
  <si>
    <t>47809876791</t>
  </si>
  <si>
    <t>(11) 9693-06161</t>
  </si>
  <si>
    <t xml:space="preserve">UBS MACEDONIA </t>
  </si>
  <si>
    <t>85725706834</t>
  </si>
  <si>
    <t xml:space="preserve">ANTONIO JUVINIANO DE LIMA </t>
  </si>
  <si>
    <t>24/08/1653</t>
  </si>
  <si>
    <t>03147813827</t>
  </si>
  <si>
    <t>LOURDES SANTOS</t>
  </si>
  <si>
    <t>(11) 982411437</t>
  </si>
  <si>
    <t>22336095300</t>
  </si>
  <si>
    <t>JOSE PEREIRA FARIAS</t>
  </si>
  <si>
    <t>11984512681/11958320411</t>
  </si>
  <si>
    <t>31620082802</t>
  </si>
  <si>
    <t>08434440881</t>
  </si>
  <si>
    <t>(11) 9969-77755</t>
  </si>
  <si>
    <t xml:space="preserve">Dr Priscila Ferreira da Silva - DA M'BOI MIRIM - Agendamento apenas no drive </t>
  </si>
  <si>
    <t>06/11/2025 13h às 17h</t>
  </si>
  <si>
    <t>QUINTA</t>
  </si>
  <si>
    <t>16492581865</t>
  </si>
  <si>
    <t xml:space="preserve">(11)954783948 </t>
  </si>
  <si>
    <t>18464450869</t>
  </si>
  <si>
    <t>MARIA CELMA LUCAS (AGUARDO LIBERAR A VAGA NO SIGA)</t>
  </si>
  <si>
    <t>(11) 962892614</t>
  </si>
  <si>
    <t>(11) 968259508</t>
  </si>
  <si>
    <t>DA - Campo Limpo - 06/11</t>
  </si>
  <si>
    <t xml:space="preserve">UBS JARDIM CAPELA </t>
  </si>
  <si>
    <t>39881528895</t>
  </si>
  <si>
    <t>BRASILINA MARIA DE JESUS GONCALVES</t>
  </si>
  <si>
    <t>UBS JARDIM COIMBRA</t>
  </si>
  <si>
    <t>8444874817</t>
  </si>
  <si>
    <t>PAULO JOSE GABRIEL</t>
  </si>
  <si>
    <t>2290981850</t>
  </si>
  <si>
    <t>ADALGIZA MIRANDA DOS SANTOS</t>
  </si>
  <si>
    <t>27842676879</t>
  </si>
  <si>
    <t>ILZA SANTOS DE SOUZA ((AGUARDO LIBERAR A VAGA NO SIGA)</t>
  </si>
  <si>
    <t>(11) 992406438</t>
  </si>
  <si>
    <t>(11) 966135761</t>
  </si>
  <si>
    <t>743284844</t>
  </si>
  <si>
    <t>DIRCE RAMOS MUNHOES</t>
  </si>
  <si>
    <t>953888843 / 974841075</t>
  </si>
  <si>
    <t>02954286865</t>
  </si>
  <si>
    <t xml:space="preserve">GILVAN CLOVIS DE OLIVEIRA
</t>
  </si>
  <si>
    <t>(11) 963590131</t>
  </si>
  <si>
    <t>17215430820</t>
  </si>
  <si>
    <t>ADAO RODRIGUES DE MELO</t>
  </si>
  <si>
    <t xml:space="preserve"> (11)   958323095</t>
  </si>
  <si>
    <t>42238544968</t>
  </si>
  <si>
    <t>JOEDIR DE FARIA SILVA</t>
  </si>
  <si>
    <t xml:space="preserve">  (11)   952157080
</t>
  </si>
  <si>
    <t>97564907568</t>
  </si>
  <si>
    <t>CARLOS MAGNO DOS SANTOS</t>
  </si>
  <si>
    <t xml:space="preserve">  (11)   982118456</t>
  </si>
  <si>
    <t>07/11/2025 13h às 17h</t>
  </si>
  <si>
    <t>SEXTA</t>
  </si>
  <si>
    <t>11599531801</t>
  </si>
  <si>
    <t>11 987753724</t>
  </si>
  <si>
    <t>SIGA OK</t>
  </si>
  <si>
    <t>DA - Campo Limpo - 07/11</t>
  </si>
  <si>
    <t>00901744450</t>
  </si>
  <si>
    <t>GENILDA MATA DE ALMEIDA</t>
  </si>
  <si>
    <t>65160410406</t>
  </si>
  <si>
    <t>ERINALDO FERREIRA DA SILVA</t>
  </si>
  <si>
    <t>UBS JARDIM GERMANIA</t>
  </si>
  <si>
    <t>91103940872</t>
  </si>
  <si>
    <t>REGINA FAILLA GOUVEA</t>
  </si>
  <si>
    <t>(11) 953016963</t>
  </si>
  <si>
    <t>6452564803</t>
  </si>
  <si>
    <t xml:space="preserve">MANOEL MESSIAS ALBUQUERQUE SANTANA	</t>
  </si>
  <si>
    <t>(11) 977980585</t>
  </si>
  <si>
    <t>(11) 984873729</t>
  </si>
  <si>
    <t>8873820883</t>
  </si>
  <si>
    <t xml:space="preserve">EFIGENIA CAMILA BERNARDO
</t>
  </si>
  <si>
    <t>(11)944441126</t>
  </si>
  <si>
    <t>(11)980221352</t>
  </si>
  <si>
    <t>11325947822</t>
  </si>
  <si>
    <t>DALVA DIAS DE QUEIROZ</t>
  </si>
  <si>
    <t>7411711802</t>
  </si>
  <si>
    <t>ROSILDA SEVERINA GONÇALVES</t>
  </si>
  <si>
    <t>(11) 9867-32731</t>
  </si>
  <si>
    <t>31963461886</t>
  </si>
  <si>
    <t>TEREZINHA BATISTA VITORIO ALVES</t>
  </si>
  <si>
    <t>(11) 951935370</t>
  </si>
  <si>
    <t>8839125892</t>
  </si>
  <si>
    <t>VERA LUCIA MAGALHÃES</t>
  </si>
  <si>
    <t>11 988557620</t>
  </si>
  <si>
    <t>10/11/2025 13h às 17h</t>
  </si>
  <si>
    <t>14425982800</t>
  </si>
  <si>
    <t>ELIZABETH FERNANDES DE AQUINO</t>
  </si>
  <si>
    <t>UBS JARDIM GUARUJÁ</t>
  </si>
  <si>
    <t>26942330582</t>
  </si>
  <si>
    <t>ELIAS MATOS DOS SANTOS</t>
  </si>
  <si>
    <t>99812-1775</t>
  </si>
  <si>
    <t>DA - Campo Limpo - 10/11</t>
  </si>
  <si>
    <t>00366018884</t>
  </si>
  <si>
    <t>MANOEL ALVES DOS SANTOS</t>
  </si>
  <si>
    <t>37653606865</t>
  </si>
  <si>
    <t>HELENA ALVES DOS SANTOS</t>
  </si>
  <si>
    <t>UBS MACEDONIA</t>
  </si>
  <si>
    <t>07908082858</t>
  </si>
  <si>
    <t xml:space="preserve">MAURO BERNARDINO DA SILVA </t>
  </si>
  <si>
    <t>UBS JD COMERCIAL</t>
  </si>
  <si>
    <t>20520436830</t>
  </si>
  <si>
    <t xml:space="preserve">MARIA APARECIDA PEREIRA SANTOS </t>
  </si>
  <si>
    <t>(11) 949041441</t>
  </si>
  <si>
    <t>(11) 982037549</t>
  </si>
  <si>
    <t>UBS JD MAGDALENA</t>
  </si>
  <si>
    <t>22845271832</t>
  </si>
  <si>
    <t>VANUSA DE AGUIAR CATANHO</t>
  </si>
  <si>
    <t xml:space="preserve">UBS JD COMERCIAL </t>
  </si>
  <si>
    <t>23800223805</t>
  </si>
  <si>
    <t xml:space="preserve">ALESSANDRO CARLOS SILVA DA PURIFICAÇÃO </t>
  </si>
  <si>
    <t>(11) 964270547</t>
  </si>
  <si>
    <t xml:space="preserve">SIGA OK </t>
  </si>
  <si>
    <t>BLOQUEADA</t>
  </si>
  <si>
    <t>Dr Priscila Ferreira da Silva - DA M'BOI MIRIM</t>
  </si>
  <si>
    <t>11/11/2025 13h às 17h</t>
  </si>
  <si>
    <t>TERÇA</t>
  </si>
  <si>
    <t>16623863893</t>
  </si>
  <si>
    <t xml:space="preserve">MAURA PEREIRA RIBEIRO - SIGA OK </t>
  </si>
  <si>
    <t>44291870884</t>
  </si>
  <si>
    <t>DA - Campo Limpo - 11/11</t>
  </si>
  <si>
    <t>68549563404</t>
  </si>
  <si>
    <t>MARIA IVONETE SEVERO DA SILVA</t>
  </si>
  <si>
    <t>UBS JARDIM ARACATI</t>
  </si>
  <si>
    <t>28673952832</t>
  </si>
  <si>
    <t>EDVALDO RAMALHO PAIVA</t>
  </si>
  <si>
    <t>(11) 9812-91581</t>
  </si>
  <si>
    <t>32186366800</t>
  </si>
  <si>
    <t>SARA CRISTINA DE ALMEIDA</t>
  </si>
  <si>
    <t>33808229810</t>
  </si>
  <si>
    <t xml:space="preserve">BERNOVALDO BISPO DA SILVA  ( SIGA OK) </t>
  </si>
  <si>
    <t>UBS Horizonte Azul</t>
  </si>
  <si>
    <t>15377932846</t>
  </si>
  <si>
    <t>RAIMUNDO LEITE DA SILVA</t>
  </si>
  <si>
    <t>(11) 946325449</t>
  </si>
  <si>
    <t>(11) 952693269</t>
  </si>
  <si>
    <t>05941896832</t>
  </si>
  <si>
    <t>MARIA INEZ PEREIRA</t>
  </si>
  <si>
    <t xml:space="preserve">(11) 949427749 </t>
  </si>
  <si>
    <t>23270150814</t>
  </si>
  <si>
    <r>
      <rPr>
        <rFont val="Calibri"/>
        <color rgb="FF000000"/>
        <sz val="11.0"/>
      </rPr>
      <t xml:space="preserve">MARIA CARVALHO DE SOUZA ALVES 05.06 </t>
    </r>
    <r>
      <rPr>
        <rFont val="Calibri"/>
        <b/>
        <color rgb="FF000000"/>
        <sz val="11.0"/>
      </rPr>
      <t>siga ok</t>
    </r>
  </si>
  <si>
    <t>79039243891</t>
  </si>
  <si>
    <t>FRANCISCO LOURENCO DA SILVA</t>
  </si>
  <si>
    <t>(11) 9812-25719</t>
  </si>
  <si>
    <t xml:space="preserve">BLOQUEADA SIGA </t>
  </si>
  <si>
    <t>12/11/2025 08h às 12h</t>
  </si>
  <si>
    <t>DA - Campo Limpo - 12/11</t>
  </si>
  <si>
    <t>33258481415</t>
  </si>
  <si>
    <t>LUIZ GALDENCIO ALVES</t>
  </si>
  <si>
    <t>(11) 98720-6322</t>
  </si>
  <si>
    <t>UBJ JARDIM SÃO BENTO</t>
  </si>
  <si>
    <t>04149782504</t>
  </si>
  <si>
    <t>EDSON SILVA DE CARVALHO</t>
  </si>
  <si>
    <t>(11)983959650</t>
  </si>
  <si>
    <t xml:space="preserve">UBS LUAR DO SERTAO </t>
  </si>
  <si>
    <t>05405162876</t>
  </si>
  <si>
    <t>PAULO FELIPE DA ROCHA</t>
  </si>
  <si>
    <t>(11) 959347518</t>
  </si>
  <si>
    <t>UBS LUAR DO SERTAO</t>
  </si>
  <si>
    <t>02201270856</t>
  </si>
  <si>
    <t>MARIA DE FATIMA DE OLIVEIRA PEREIRA</t>
  </si>
  <si>
    <t>(11) 952926215</t>
  </si>
  <si>
    <t>27725152814</t>
  </si>
  <si>
    <t>IVONEIDE GOMES DA SILVA</t>
  </si>
  <si>
    <t>96867-2669</t>
  </si>
  <si>
    <t>67461255720</t>
  </si>
  <si>
    <t>GENILTON DURVAL AMORIM</t>
  </si>
  <si>
    <t>11 979994350</t>
  </si>
  <si>
    <t>19106917801</t>
  </si>
  <si>
    <t xml:space="preserve">SANDRA REGINA PEREIRA DA SILVA </t>
  </si>
  <si>
    <t>13/11/2025 13h às 17h</t>
  </si>
  <si>
    <t>UBS JARDIM CAIÇARA</t>
  </si>
  <si>
    <t>49511524879</t>
  </si>
  <si>
    <t>MARIA CELIA ALMEIDA MENDES</t>
  </si>
  <si>
    <t>(11) 9992-35763</t>
  </si>
  <si>
    <t>26386844220</t>
  </si>
  <si>
    <t xml:space="preserve">MARIA DA CONSOLACAO DA SILVA SANTOS </t>
  </si>
  <si>
    <t>DA - Campo Limpo - 13/11</t>
  </si>
  <si>
    <t>29145708568</t>
  </si>
  <si>
    <t xml:space="preserve">ALBERTO SOUZA DE JESUS </t>
  </si>
  <si>
    <t>11 950572931</t>
  </si>
  <si>
    <t>11 911505037</t>
  </si>
  <si>
    <t>3652348850</t>
  </si>
  <si>
    <t xml:space="preserve">JOSE PEDRO CARDOSO - </t>
  </si>
  <si>
    <t>(11)952472465</t>
  </si>
  <si>
    <t>(11)984211067</t>
  </si>
  <si>
    <t>58155694534</t>
  </si>
  <si>
    <t xml:space="preserve">MARIA DO CARMO DOS SANTOS SILVA </t>
  </si>
  <si>
    <t>11 940896518</t>
  </si>
  <si>
    <t>11 966597844</t>
  </si>
  <si>
    <t>37205075807</t>
  </si>
  <si>
    <t xml:space="preserve">ANELIZE FERREIRA DA SILVA  </t>
  </si>
  <si>
    <t>76674568449</t>
  </si>
  <si>
    <t>MARIA JOSE SOARES DE LIMA</t>
  </si>
  <si>
    <t>87730480468</t>
  </si>
  <si>
    <t>MARIA LOURDES DA PAZ</t>
  </si>
  <si>
    <t>(11)967150075</t>
  </si>
  <si>
    <t>05146368821</t>
  </si>
  <si>
    <r>
      <rPr>
        <rFont val="Calibri"/>
        <color theme="1"/>
        <sz val="11.0"/>
      </rPr>
      <t xml:space="preserve">ALAIDE JOANA DE JESUS 04.03 </t>
    </r>
    <r>
      <rPr>
        <rFont val="Calibri"/>
        <b/>
        <color theme="1"/>
        <sz val="11.0"/>
      </rPr>
      <t>siga ok</t>
    </r>
  </si>
  <si>
    <t>14/11/2025 13h às 17h</t>
  </si>
  <si>
    <t>06049237670</t>
  </si>
  <si>
    <t>MARIA DAS GRACAS ALVES DA SILVA</t>
  </si>
  <si>
    <t>11 	940587033</t>
  </si>
  <si>
    <t>UBS JARDIM VALQUIRIA</t>
  </si>
  <si>
    <t>41174413883</t>
  </si>
  <si>
    <t>JOSEFA TAVARES DO NASCIMENTO</t>
  </si>
  <si>
    <t>DA - Campo Limpo - 14/11</t>
  </si>
  <si>
    <t>03522666860</t>
  </si>
  <si>
    <t xml:space="preserve">MARIA LUCIA MARINHO </t>
  </si>
  <si>
    <t>(11) 9666-33830</t>
  </si>
  <si>
    <t>27679764549</t>
  </si>
  <si>
    <t>VALDEMAR DA SILVA SANTOS</t>
  </si>
  <si>
    <t>(11) 964678704</t>
  </si>
  <si>
    <t>02346169897</t>
  </si>
  <si>
    <t>EUFRASIO ALEXANDRE DA SILVA</t>
  </si>
  <si>
    <t>10690195850</t>
  </si>
  <si>
    <t>ANTONIO SOARES MARTINS</t>
  </si>
  <si>
    <t>(11) 971208183</t>
  </si>
  <si>
    <t>UBS JD GERMÂNIA</t>
  </si>
  <si>
    <t>33705550500</t>
  </si>
  <si>
    <t xml:space="preserve">EUGENIA FERREIRA DOS SANTOS	</t>
  </si>
  <si>
    <t>37745349850</t>
  </si>
  <si>
    <t>ELMITA FRANCISCA DE OLIVEIRA</t>
  </si>
  <si>
    <t>(11) 9546-22602</t>
  </si>
  <si>
    <t>paciente quer remarca</t>
  </si>
  <si>
    <t>16620065864</t>
  </si>
  <si>
    <t xml:space="preserve">MARIA VITALINA DOS SANTOS	</t>
  </si>
  <si>
    <t>(11) 9491-62431</t>
  </si>
  <si>
    <t>17/11/2025 13h às 17h</t>
  </si>
  <si>
    <t>08671899837</t>
  </si>
  <si>
    <t>MARCO ANTONIO NASCIMENTO TELES</t>
  </si>
  <si>
    <t>(11) 9485-32759</t>
  </si>
  <si>
    <t>paciente desistiu</t>
  </si>
  <si>
    <t>1532117385</t>
  </si>
  <si>
    <t>ODETE CONCEICAO FERNANDES</t>
  </si>
  <si>
    <t>(11) 967865336</t>
  </si>
  <si>
    <t>DA - Campo Limpo - 17/11</t>
  </si>
  <si>
    <t>35468378353</t>
  </si>
  <si>
    <t>MARIA APARECIDA DE FRANCA SILVA</t>
  </si>
  <si>
    <t>(11) 9695-87955</t>
  </si>
  <si>
    <t>UBS JARDIM GERMÂNIA</t>
  </si>
  <si>
    <t>WILSON GONCALVES DE BARROS JUNIOR</t>
  </si>
  <si>
    <t>11 985894799</t>
  </si>
  <si>
    <t xml:space="preserve">UBS Jd MACEDONIA </t>
  </si>
  <si>
    <t>12903359822</t>
  </si>
  <si>
    <t>MANOEL ALVES DA SILVA NETO</t>
  </si>
  <si>
    <t>14760734813</t>
  </si>
  <si>
    <t>ADELZA ROSA DOS SANTOS LEANDRO</t>
  </si>
  <si>
    <t>(11) 9835-11028</t>
  </si>
  <si>
    <t>(11) 5872-4308</t>
  </si>
  <si>
    <t>MARIA INACIO DA SILVA</t>
  </si>
  <si>
    <t>11 971680423</t>
  </si>
  <si>
    <t>11 940282591</t>
  </si>
  <si>
    <t xml:space="preserve">UBS JD COMERCIA </t>
  </si>
  <si>
    <t>1245222472025</t>
  </si>
  <si>
    <t xml:space="preserve">MARIA JUCILENE DA SILVA </t>
  </si>
  <si>
    <t>(11) 9826-50275</t>
  </si>
  <si>
    <t>33365534822</t>
  </si>
  <si>
    <t>ANDREIA BOAVENTURA ROSSAFA</t>
  </si>
  <si>
    <t>(11) 9844-97705</t>
  </si>
  <si>
    <t>11893107833</t>
  </si>
  <si>
    <t>MANOEL SEVERINO DA SILVA</t>
  </si>
  <si>
    <t>(11) 959604212</t>
  </si>
  <si>
    <t>18/11/2025 13h às 17h</t>
  </si>
  <si>
    <t>27831205500</t>
  </si>
  <si>
    <t xml:space="preserve">MARIA DE FATIMA SOUZA RAMOS        </t>
  </si>
  <si>
    <t>57184046820</t>
  </si>
  <si>
    <t xml:space="preserve">ALFEU HENRIQUE - SIGA OK </t>
  </si>
  <si>
    <t>(11)979548680</t>
  </si>
  <si>
    <t>DA - Campo Limpo - 18/11</t>
  </si>
  <si>
    <t>UBS JD CAIÇARA</t>
  </si>
  <si>
    <t>12806093899</t>
  </si>
  <si>
    <t>AGUSTINHA GONCALVES SILVA</t>
  </si>
  <si>
    <t xml:space="preserve">UBS JARDIM ARACATI </t>
  </si>
  <si>
    <t>05058761831</t>
  </si>
  <si>
    <t>MANOEL DA SILVA MARTINS</t>
  </si>
  <si>
    <t>(11) 9833-42291</t>
  </si>
  <si>
    <t>MARIA EDUARDA BARBOSA DOS REIS</t>
  </si>
  <si>
    <t>01011619806</t>
  </si>
  <si>
    <r>
      <rPr>
        <rFont val="Calibri"/>
        <color rgb="FF000000"/>
        <sz val="11.0"/>
      </rPr>
      <t>NOELIA RODRIGUES SANTOS 05.02</t>
    </r>
    <r>
      <rPr>
        <rFont val="Calibri"/>
        <b/>
        <color rgb="FF000000"/>
        <sz val="11.0"/>
      </rPr>
      <t xml:space="preserve"> siga ok</t>
    </r>
  </si>
  <si>
    <t>53731980304</t>
  </si>
  <si>
    <t>MARIA DE FATIMA COSTA DOS SANTOS</t>
  </si>
  <si>
    <t xml:space="preserve">(11) 959503008
</t>
  </si>
  <si>
    <t>02753931860</t>
  </si>
  <si>
    <r>
      <rPr>
        <rFont val="Calibri"/>
        <color rgb="FF000000"/>
        <sz val="11.0"/>
      </rPr>
      <t>RENATO REINALDO ONGARATTO 01.05</t>
    </r>
    <r>
      <rPr>
        <rFont val="Calibri"/>
        <b/>
        <color rgb="FF000000"/>
        <sz val="11.0"/>
      </rPr>
      <t xml:space="preserve"> siga ok</t>
    </r>
  </si>
  <si>
    <t xml:space="preserve">UBS ALTO DA RIVIEIRA </t>
  </si>
  <si>
    <t>08873571808</t>
  </si>
  <si>
    <t xml:space="preserve">ANGELA MARCIA DE JESUS SILVA OLIVEIRA        </t>
  </si>
  <si>
    <t xml:space="preserve">UBS VERA CRUZ </t>
  </si>
  <si>
    <t>04221422807</t>
  </si>
  <si>
    <t>CLAUDIONEI PEREIRA DA SILVA</t>
  </si>
  <si>
    <t>(11) 917790084</t>
  </si>
  <si>
    <t>19/11/2025 08h às 12h</t>
  </si>
  <si>
    <t>UBS Jardim Maracá</t>
  </si>
  <si>
    <t>08747346817</t>
  </si>
  <si>
    <t xml:space="preserve"> SANDRA REGINA GARCIA </t>
  </si>
  <si>
    <t xml:space="preserve">11 	991763382 </t>
  </si>
  <si>
    <t>25923365839</t>
  </si>
  <si>
    <t>MARIA FERNANDA SILVA DE ARAUJO</t>
  </si>
  <si>
    <t>DA - Campo Limpo - 19/11</t>
  </si>
  <si>
    <t>04802220880</t>
  </si>
  <si>
    <t xml:space="preserve"> DEVALDO FREIRES DA SILVA </t>
  </si>
  <si>
    <t xml:space="preserve">11 	958989073 </t>
  </si>
  <si>
    <t>04030780830</t>
  </si>
  <si>
    <t>ROSENEI BOMJARDIM BRAGA DE OLIVEIRA</t>
  </si>
  <si>
    <t>75014440720</t>
  </si>
  <si>
    <t>CARMEN LUCIA MARTINS</t>
  </si>
  <si>
    <t>66817455804</t>
  </si>
  <si>
    <t>MARIA DA GLORIA MATOS</t>
  </si>
  <si>
    <t>15370145873</t>
  </si>
  <si>
    <t xml:space="preserve"> CLAUDETE APARECIDA SALES ARAUJO </t>
  </si>
  <si>
    <t xml:space="preserve">11 	58342998 </t>
  </si>
  <si>
    <t>13553146826</t>
  </si>
  <si>
    <t xml:space="preserve"> SERGIO DE LAIA SILVA </t>
  </si>
  <si>
    <t xml:space="preserve">11 	951285443 </t>
  </si>
  <si>
    <t>31992758859</t>
  </si>
  <si>
    <t>VERALUCIA SANTOS DO ROSARIO</t>
  </si>
  <si>
    <t>15369556806</t>
  </si>
  <si>
    <t>DALVA FELIX DOS REIS</t>
  </si>
  <si>
    <t>21853858870</t>
  </si>
  <si>
    <t>GILBERTO DOS SANTOS</t>
  </si>
  <si>
    <t>28158232841</t>
  </si>
  <si>
    <t>MARIA DE LOURDES MACHADO</t>
  </si>
  <si>
    <t>9 67369400</t>
  </si>
  <si>
    <t>24/11/2025 13h às 17h</t>
  </si>
  <si>
    <t xml:space="preserve">UBS JD MACEDONIA </t>
  </si>
  <si>
    <t>MARIA ROSANGELA DO NASCIMENTO</t>
  </si>
  <si>
    <t>BENEDITA MARIA DA CONCEICAO</t>
  </si>
  <si>
    <t>LAURA FERREIRA DA CUNHA</t>
  </si>
  <si>
    <t>TEREZINHA MARTINS TABORDA</t>
  </si>
  <si>
    <t xml:space="preserve">   </t>
  </si>
  <si>
    <t>ROBERTO GOMES DE LIMA</t>
  </si>
  <si>
    <t>00777025574</t>
  </si>
  <si>
    <t>GILVANETE SANTOS PINHEIRO DE OLIVEIRA</t>
  </si>
  <si>
    <t>25/11/2025 13h às 17h</t>
  </si>
  <si>
    <t>LUCILIA ALVES DE SOUZA COSTA 07.04 siga ok</t>
  </si>
  <si>
    <t>CINTIA CAMARGO DOS SANTOS</t>
  </si>
  <si>
    <t>(11) 9872-02674</t>
  </si>
  <si>
    <t xml:space="preserve">FRANCISCA DA SILVA        </t>
  </si>
  <si>
    <t>(11) 988056670</t>
  </si>
  <si>
    <t>(11) 930194306</t>
  </si>
  <si>
    <t>ADRIANA JOSE DA SILVA</t>
  </si>
  <si>
    <t>MARIA APARECIDA DA SILVA</t>
  </si>
  <si>
    <t>11 993681811</t>
  </si>
  <si>
    <t>SEVERINO CABRAL DE SOUZA</t>
  </si>
  <si>
    <t>(11) 980940047</t>
  </si>
  <si>
    <t>(11)  966700334</t>
  </si>
  <si>
    <t>CECILIA DELFINA DA SILVA</t>
  </si>
  <si>
    <t>IZABEL CRISTINA DA SILVA GAMA</t>
  </si>
  <si>
    <t>(11) 9823-81102</t>
  </si>
  <si>
    <t>FRANCISCO AVELINO DA SILVA</t>
  </si>
  <si>
    <t xml:space="preserve">(11)980880592 </t>
  </si>
  <si>
    <t xml:space="preserve">LUIZ CARLOS DO AMOR DIVINO (SIGA OK) </t>
  </si>
  <si>
    <t>26/11/2025 08h às 12h</t>
  </si>
  <si>
    <t>Ubs Jardim Maracá</t>
  </si>
  <si>
    <t>IRIA SILVA DE OLIVEIRA</t>
  </si>
  <si>
    <t>11 987119557</t>
  </si>
  <si>
    <t>UBS Jardim São Bento</t>
  </si>
  <si>
    <t>NATAL MARTINS FERREIRA</t>
  </si>
  <si>
    <t>DARCILENE CARDOSO ABBRUZZESE</t>
  </si>
  <si>
    <t>11 971260170</t>
  </si>
  <si>
    <t>ADALICE ALVES DE BARROS SANTANA</t>
  </si>
  <si>
    <t>(11)968157755</t>
  </si>
  <si>
    <t>CLAUDIO DOS SANTOS COSTA</t>
  </si>
  <si>
    <t>11 953551130</t>
  </si>
  <si>
    <t>11  948539322</t>
  </si>
  <si>
    <t>SUNAMITA OLIVEIRA DA SILVA SANTOS</t>
  </si>
  <si>
    <t>11 953914284</t>
  </si>
  <si>
    <t>19 49494156</t>
  </si>
  <si>
    <t xml:space="preserve"> BENIGNO SIMONE NETO </t>
  </si>
  <si>
    <t xml:space="preserve">11 	58726490 </t>
  </si>
  <si>
    <t xml:space="preserve">11 	947681382 </t>
  </si>
  <si>
    <t xml:space="preserve"> JOSEFA ROSA BARBOSA DA SILVA </t>
  </si>
  <si>
    <t xml:space="preserve">11 	958262666 </t>
  </si>
  <si>
    <t xml:space="preserve">11	58922682 </t>
  </si>
  <si>
    <t xml:space="preserve"> MARIA DA GLORIA MATOS </t>
  </si>
  <si>
    <t xml:space="preserve">11	991256065 </t>
  </si>
  <si>
    <t xml:space="preserve"> SANDRA REGINA DE SIQUEIRA </t>
  </si>
  <si>
    <t xml:space="preserve">11 	984158548 </t>
  </si>
  <si>
    <t xml:space="preserve">11 	997833552 </t>
  </si>
  <si>
    <t xml:space="preserve"> MARIA DA GLORIA TEIXEIRA DE ALMEIDA </t>
  </si>
  <si>
    <t xml:space="preserve">11	989713348 </t>
  </si>
  <si>
    <t xml:space="preserve">11 	58734648 </t>
  </si>
  <si>
    <t xml:space="preserve"> DAMIANA VICENTE DO NASCIMENTO </t>
  </si>
  <si>
    <t xml:space="preserve">11 	994180842 </t>
  </si>
  <si>
    <t xml:space="preserve">11 	58723180 </t>
  </si>
  <si>
    <t>Dr Priscila Ferreira da Silva DA M'BOI MIRIM</t>
  </si>
  <si>
    <t>27/11/2025 13h às 17h</t>
  </si>
  <si>
    <t>JOSE ALVES DE OLIVEIRA 02.02 siga ok</t>
  </si>
  <si>
    <t>ROBSON MARTINS DOS SANTOS</t>
  </si>
  <si>
    <t xml:space="preserve"> 97075-4568</t>
  </si>
  <si>
    <t>UBS HORIZONTE AZUL</t>
  </si>
  <si>
    <t>CAIO ROBERTO MOURA GONCALVES</t>
  </si>
  <si>
    <t>SEBASTIANA MADALENA DE JESUS</t>
  </si>
  <si>
    <t>JOSE FRANCISCO NERES DA CONCEICAO</t>
  </si>
  <si>
    <t>(11)958086516</t>
  </si>
  <si>
    <t xml:space="preserve">UBS VALQUIRIA </t>
  </si>
  <si>
    <t>FERNANDA DAMIAO DA COSTA (SIGA OK)</t>
  </si>
  <si>
    <t>(11)940455463</t>
  </si>
  <si>
    <t>MARINALVA SILVA DOS SANTOS ( SIGA OK)</t>
  </si>
  <si>
    <t>ELIANA ALVES CARRIJO</t>
  </si>
  <si>
    <t>(11) 9921-28942</t>
  </si>
  <si>
    <t>CENTRAL DE TELEASSISTÊNCIA</t>
  </si>
  <si>
    <t>LUAN SANTOS OLIVEIRA( motorista)</t>
  </si>
  <si>
    <t>(11) 99235-2761</t>
  </si>
  <si>
    <t>UBS CAIÇARA</t>
  </si>
  <si>
    <t>CONCEICAO FERNANDES COUTINHO</t>
  </si>
  <si>
    <t>(11) 9722-03891</t>
  </si>
  <si>
    <t>Dr Camila Queiroga da Silveira  DA CAMPO LIMPO</t>
  </si>
  <si>
    <t>28/11/2025 13h às 17h</t>
  </si>
  <si>
    <t xml:space="preserve"> CESAR GRAVATA DA SILVA </t>
  </si>
  <si>
    <t xml:space="preserve">11 	949149278 </t>
  </si>
  <si>
    <t xml:space="preserve"> MARIZETE DE CARVALHO LOPES FERREIRA </t>
  </si>
  <si>
    <t xml:space="preserve">11 	983283252 </t>
  </si>
  <si>
    <t xml:space="preserve"> MAURINEY NASCIMENTO DE MORAIS </t>
  </si>
  <si>
    <t xml:space="preserve">11 	950176047 </t>
  </si>
  <si>
    <t xml:space="preserve"> WAGNER VIEIRA ROCHA </t>
  </si>
  <si>
    <t xml:space="preserve">11 	989892014 </t>
  </si>
  <si>
    <t xml:space="preserve">UBS JD GERMÂNIA </t>
  </si>
  <si>
    <t xml:space="preserve">SONIA REGINA PRADO MIQUELINO	</t>
  </si>
  <si>
    <t>(11) 9972-78675</t>
  </si>
  <si>
    <t xml:space="preserve"> JOSEFA MARIA DE SOUZA BARBOSA </t>
  </si>
  <si>
    <t xml:space="preserve">11 	980870651 </t>
  </si>
  <si>
    <t xml:space="preserve">ANTONIO JOAO DE LIMA	</t>
  </si>
  <si>
    <t>(11) 9531-04463</t>
  </si>
  <si>
    <t xml:space="preserve"> JOSE APARECIDO PIRES </t>
  </si>
  <si>
    <t xml:space="preserve">11 	916100969 </t>
  </si>
  <si>
    <t xml:space="preserve"> MARIA DOS REIS PEREIRA MORAES </t>
  </si>
  <si>
    <t xml:space="preserve">75    992087577 </t>
  </si>
  <si>
    <t xml:space="preserve">11 	958637074 </t>
  </si>
  <si>
    <t xml:space="preserve"> MONICA DE JESUS RIVAL </t>
  </si>
  <si>
    <t xml:space="preserve">11 	982143611 </t>
  </si>
  <si>
    <t xml:space="preserve">11 	964590895 </t>
  </si>
  <si>
    <t xml:space="preserve">UBS JARDIM COMERCIAL </t>
  </si>
  <si>
    <t xml:space="preserve"> MARIA DAS GRACAS PEREIRA DA SILVA </t>
  </si>
  <si>
    <t xml:space="preserve">11 	958670338 </t>
  </si>
  <si>
    <t>01/12/2025 13h às 17h - Segunda</t>
  </si>
  <si>
    <t xml:space="preserve">Dr Priscila Ferreira da Silva - DA M'BOI MIRIM </t>
  </si>
  <si>
    <t>02/12/2025 13h às 17h- Terça</t>
  </si>
  <si>
    <t xml:space="preserve">AMA UBS JARDIM CAPELA
</t>
  </si>
  <si>
    <t>25836569886</t>
  </si>
  <si>
    <t xml:space="preserve">MARIA MARTINS ROCHA
</t>
  </si>
  <si>
    <t>(11) 9877-21663</t>
  </si>
  <si>
    <t>(11) 5517-1169</t>
  </si>
  <si>
    <t>25035340821</t>
  </si>
  <si>
    <t xml:space="preserve"> ADAELSON SILVA ESTEVES  </t>
  </si>
  <si>
    <t>Paciente retirado so sistema</t>
  </si>
  <si>
    <t>24825328687</t>
  </si>
  <si>
    <t xml:space="preserve"> MARIA DA CONCEICAO BATISTA QUEIROZ  </t>
  </si>
  <si>
    <t>(11) 9651-22910</t>
  </si>
  <si>
    <t>(11) 9173-18086</t>
  </si>
  <si>
    <t>03918979857</t>
  </si>
  <si>
    <t xml:space="preserve">MARIA VALDELICE DOS SANTOS ARAUJO  </t>
  </si>
  <si>
    <t>(11) 9621-99448</t>
  </si>
  <si>
    <t>85780863849</t>
  </si>
  <si>
    <t xml:space="preserve"> LUIZ ALVES DE SOUSA  </t>
  </si>
  <si>
    <t>(11) 9712-66379</t>
  </si>
  <si>
    <t>08831902814</t>
  </si>
  <si>
    <t>MARINALVA SOUZA DE JESUS</t>
  </si>
  <si>
    <t>(11) 9814-26192</t>
  </si>
  <si>
    <t>00434253642</t>
  </si>
  <si>
    <t>ILMA CORDEIRO PEREIRA</t>
  </si>
  <si>
    <t>(11) 9608-51669</t>
  </si>
  <si>
    <t>03/12/2025 08h às 12h</t>
  </si>
  <si>
    <t>UBS JARDIM COMERCIAL</t>
  </si>
  <si>
    <t>00026084805</t>
  </si>
  <si>
    <t>MARIVALDA DE JESUS NASCIMENTO (OK)</t>
  </si>
  <si>
    <t xml:space="preserve">(11) 968749860
</t>
  </si>
  <si>
    <t>(11) 58212025</t>
  </si>
  <si>
    <t>13518370871</t>
  </si>
  <si>
    <t>AURYLEIDE GOMES DE LIMA (OK)</t>
  </si>
  <si>
    <t>11 984041993</t>
  </si>
  <si>
    <t>UBS LUAR DO SERTÃO</t>
  </si>
  <si>
    <t>08887278873</t>
  </si>
  <si>
    <t>ALZIRA DE ARAUJO SANTOS</t>
  </si>
  <si>
    <t>52595560891</t>
  </si>
  <si>
    <t>LUIZA MARIA DIAS DE TOLEDO (OK)</t>
  </si>
  <si>
    <t xml:space="preserve">(11) 994536735
</t>
  </si>
  <si>
    <t>15320625839</t>
  </si>
  <si>
    <t>MARIA MADALENA DA SILVA</t>
  </si>
  <si>
    <t>01115637800</t>
  </si>
  <si>
    <t xml:space="preserve">APARECIDA MARIA DOS SANTOS	</t>
  </si>
  <si>
    <t>(11) 972399184</t>
  </si>
  <si>
    <t>(11) 971451518</t>
  </si>
  <si>
    <t>15794929839</t>
  </si>
  <si>
    <t>MARLENE BORGES</t>
  </si>
  <si>
    <t>23344235800</t>
  </si>
  <si>
    <t>MARIA APARECIDA DA SILVA (OK)</t>
  </si>
  <si>
    <t xml:space="preserve"> (11) 985315187</t>
  </si>
  <si>
    <t>21588875830</t>
  </si>
  <si>
    <t>MARIA DA GLORIA OLIVEIRA SANTOS LIMA</t>
  </si>
  <si>
    <t>33508048888</t>
  </si>
  <si>
    <t>MICHELLE MATOS ARAUJO</t>
  </si>
  <si>
    <t>05/12/2025 13h às 17h</t>
  </si>
  <si>
    <t xml:space="preserve">	UBS CIDADE IPAVA</t>
  </si>
  <si>
    <t>01126780413</t>
  </si>
  <si>
    <t>LUIZ FERNANDO MELO</t>
  </si>
  <si>
    <t>(11) 9373-26467</t>
  </si>
  <si>
    <t>(11) 5895-6790</t>
  </si>
  <si>
    <t>08665421831</t>
  </si>
  <si>
    <t>Maria Onete de Souza</t>
  </si>
  <si>
    <t xml:space="preserve"> (11) 968295567</t>
  </si>
  <si>
    <t xml:space="preserve">  (11)  970636945</t>
  </si>
  <si>
    <t>43427421520</t>
  </si>
  <si>
    <t xml:space="preserve"> MARIA SIRLANEA ALMEIDA ARAUJO  </t>
  </si>
  <si>
    <t>(11) 9861-21275</t>
  </si>
  <si>
    <t>657.198.248-04</t>
  </si>
  <si>
    <t>Manuel domingos Gonçalves dos Ramos</t>
  </si>
  <si>
    <t>(11) 9681-66799</t>
  </si>
  <si>
    <t>(11) 9767-52184</t>
  </si>
  <si>
    <t>AMA UBS JARDIM CAPELA</t>
  </si>
  <si>
    <t>12979972800</t>
  </si>
  <si>
    <t>JUNITA SANTANA SILVA</t>
  </si>
  <si>
    <t>(11) 9865-56241</t>
  </si>
  <si>
    <t>(11) 5517-0960</t>
  </si>
  <si>
    <t>57139482349</t>
  </si>
  <si>
    <t>ELENILDO SERRA DINIZ</t>
  </si>
  <si>
    <t>(11) 9571-52514</t>
  </si>
  <si>
    <t>07315432892</t>
  </si>
  <si>
    <t>JOSE ANTONIO DE ARAGAO</t>
  </si>
  <si>
    <t>(11)  970374863</t>
  </si>
  <si>
    <t>08369271847</t>
  </si>
  <si>
    <t>ELTINA MARIA DOS SANTOS</t>
  </si>
  <si>
    <t>(11) 9749-19893</t>
  </si>
  <si>
    <t>(11) 9443-00504</t>
  </si>
  <si>
    <t>65719824804</t>
  </si>
  <si>
    <t>MANUEL DOMINGOS GONCALVES DOS RAMOS</t>
  </si>
  <si>
    <t>(11)  974497742</t>
  </si>
  <si>
    <t>(11)   973713245</t>
  </si>
  <si>
    <t>03268014801</t>
  </si>
  <si>
    <t>ARTUR DA SILVA COSTA</t>
  </si>
  <si>
    <t>16544408840</t>
  </si>
  <si>
    <t>APARECIDA LOCHE</t>
  </si>
  <si>
    <t>(11) 9608-14240</t>
  </si>
  <si>
    <t>21692645404</t>
  </si>
  <si>
    <t>MARIA DE LOURDES DA COSTA</t>
  </si>
  <si>
    <t>04739206897</t>
  </si>
  <si>
    <t>MARIA ZILDA VIEIRA NASCIMENTO</t>
  </si>
  <si>
    <t xml:space="preserve">UBS JARDIM MAGDALENA
</t>
  </si>
  <si>
    <t>38123330820</t>
  </si>
  <si>
    <t xml:space="preserve">ADEHIDES PEREIRA DOS SANTOS SILVA
</t>
  </si>
  <si>
    <t>03628486610</t>
  </si>
  <si>
    <t>GLORIA MARTIRIO DOS SANTOS</t>
  </si>
  <si>
    <t>08958296810</t>
  </si>
  <si>
    <t>ARINILDA PINTO DA SILVA LEITE</t>
  </si>
  <si>
    <t>80532829387</t>
  </si>
  <si>
    <t>ERONEIDE MOREIRA SILVA</t>
  </si>
  <si>
    <t>08/12/2025 13h às 17h</t>
  </si>
  <si>
    <t>29936000870</t>
  </si>
  <si>
    <t>MARIA DE LOURDES DA GLORIA FERREIRA</t>
  </si>
  <si>
    <t>25397635880</t>
  </si>
  <si>
    <t>JUDITH BARROSO FERREIRA</t>
  </si>
  <si>
    <t>22/02/0195</t>
  </si>
  <si>
    <t>03088422863</t>
  </si>
  <si>
    <t>BENEDITO CAZE DE ANDRADE</t>
  </si>
  <si>
    <t>03088415816</t>
  </si>
  <si>
    <t>MARGARIDA ANDRADE PEREIRA</t>
  </si>
  <si>
    <t>03418137881</t>
  </si>
  <si>
    <t>MARGARIDA DAS GRACAS SANTOS</t>
  </si>
  <si>
    <t>05046988690</t>
  </si>
  <si>
    <t>FERNANDA DAMIAO DA COSTA</t>
  </si>
  <si>
    <t>94579199804</t>
  </si>
  <si>
    <t>NOELIA BARBOSA CERQUEIRA</t>
  </si>
  <si>
    <t>68902956849</t>
  </si>
  <si>
    <t>SPARTACO DE LUCAS</t>
  </si>
  <si>
    <t>14274188884</t>
  </si>
  <si>
    <t>FELIX ROSA AMARAL</t>
  </si>
  <si>
    <t>09/12/2025 13h às 17h</t>
  </si>
  <si>
    <t>58538798634</t>
  </si>
  <si>
    <t>ALMIRO JOSE CAETANO DE ANDRADE NETO</t>
  </si>
  <si>
    <t>(11) 9713-55936</t>
  </si>
  <si>
    <t>(11) 9527-60925</t>
  </si>
  <si>
    <t>17089066819</t>
  </si>
  <si>
    <t>LUIZA GOMES FERREIRA</t>
  </si>
  <si>
    <t>(11) 9930-04379</t>
  </si>
  <si>
    <t>(11) 5831-2911</t>
  </si>
  <si>
    <t>03174144884</t>
  </si>
  <si>
    <t>MARIA LUCIA FERNANDES DA SILVA</t>
  </si>
  <si>
    <t>(11) 9955-21593</t>
  </si>
  <si>
    <t>(11) 9630-07855</t>
  </si>
  <si>
    <t>11194589863</t>
  </si>
  <si>
    <t>CARLUCIO PEREIRA DA SILVA</t>
  </si>
  <si>
    <t>(11) 9836-16166</t>
  </si>
  <si>
    <t>11606867857</t>
  </si>
  <si>
    <t xml:space="preserve">	RAQUEL CANDIDA TEIXEIRA GAMA</t>
  </si>
  <si>
    <t>(11) 9524-83036</t>
  </si>
  <si>
    <t>(11) 9300-75054</t>
  </si>
  <si>
    <t>11764174879</t>
  </si>
  <si>
    <t>VICENTE MOREIRA DOS SANTOS</t>
  </si>
  <si>
    <t>(11) 9586-85868</t>
  </si>
  <si>
    <t>UBS JARDIM VERA CRUZ</t>
  </si>
  <si>
    <t>06309010824</t>
  </si>
  <si>
    <t>JOSE AUGUSTO DA SILVA</t>
  </si>
  <si>
    <t>14228101860</t>
  </si>
  <si>
    <t>MARIA JOSE ALVES DOS SANTOS</t>
  </si>
  <si>
    <t>10/12/2025 08h às 12h</t>
  </si>
  <si>
    <t>08410902893</t>
  </si>
  <si>
    <t>DURCINETE VITURINO DE SALES</t>
  </si>
  <si>
    <t>22050185820</t>
  </si>
  <si>
    <t>ELIANE PEREIRA</t>
  </si>
  <si>
    <t>01254339809</t>
  </si>
  <si>
    <t>EDSON GOMES TRINDADE</t>
  </si>
  <si>
    <t>15409603826</t>
  </si>
  <si>
    <t xml:space="preserve">CRISTIANE LOPES SILVA </t>
  </si>
  <si>
    <t xml:space="preserve">UBS JARDIM SÃO BENTO </t>
  </si>
  <si>
    <t>28868755890</t>
  </si>
  <si>
    <t>VITORIA SUELI DE LIMA DIELLE</t>
  </si>
  <si>
    <t>11 967007345</t>
  </si>
  <si>
    <t>07363723850</t>
  </si>
  <si>
    <t>ADINAIR RODRIGUES DA SILVA</t>
  </si>
  <si>
    <t>03038977837</t>
  </si>
  <si>
    <t>CARLOS DE JESUS</t>
  </si>
  <si>
    <t>11702752810</t>
  </si>
  <si>
    <t>MARIA JOVENILDA SA CALDAS</t>
  </si>
  <si>
    <t>UBS PARQUE FERNANDA</t>
  </si>
  <si>
    <t>03320506889</t>
  </si>
  <si>
    <t>ORIVALDO AZAMBUJA</t>
  </si>
  <si>
    <t>40860949834</t>
  </si>
  <si>
    <t>JOSE CRUZ AMORIM</t>
  </si>
  <si>
    <t>24085375504</t>
  </si>
  <si>
    <t>VALDETE DE CARVALHO REGO</t>
  </si>
  <si>
    <t>27815421806</t>
  </si>
  <si>
    <t>MARCIO FERREIRA SOUZA</t>
  </si>
  <si>
    <t>11/12/2025 13h às 17h</t>
  </si>
  <si>
    <t>85427276815</t>
  </si>
  <si>
    <t>AMADEUS FELIX DA SILVA</t>
  </si>
  <si>
    <t>(11) 9839-33090</t>
  </si>
  <si>
    <t>01432253832</t>
  </si>
  <si>
    <t>GILDASIO MOREIRA LOPES</t>
  </si>
  <si>
    <t>(11) 9854-74342</t>
  </si>
  <si>
    <t>63693615853</t>
  </si>
  <si>
    <t>DOROTINO FERREIRA DIAS</t>
  </si>
  <si>
    <t>LUIZ ALVES DE SOUSA</t>
  </si>
  <si>
    <t>16568895873</t>
  </si>
  <si>
    <t>MARIA DE LURDES DA SILVA</t>
  </si>
  <si>
    <t>36576768800</t>
  </si>
  <si>
    <t>POLIANA SILVA DE JESUS</t>
  </si>
  <si>
    <t>16519291811</t>
  </si>
  <si>
    <t>REGINA LUCIA OLIVEIRA DE CARVALHO</t>
  </si>
  <si>
    <t>(11) 9656-79627</t>
  </si>
  <si>
    <t>(11) 9802-73573</t>
  </si>
  <si>
    <t>12/12/2025 13h às 17h</t>
  </si>
  <si>
    <t>42679856856</t>
  </si>
  <si>
    <t>STEPHANE SANTOS ARAUJO</t>
  </si>
  <si>
    <t>15776351839</t>
  </si>
  <si>
    <t>WINSTON WALLACE CONCEICAO DOS SANTOS</t>
  </si>
  <si>
    <t>79144241887</t>
  </si>
  <si>
    <t>PAULO ROBERTO MODESTO</t>
  </si>
  <si>
    <t>04075920836</t>
  </si>
  <si>
    <t>SERGIO ALTAFINI JUNIOR</t>
  </si>
  <si>
    <t>90667166815</t>
  </si>
  <si>
    <t>ANTONIA MARIA DO NASCIMENTO</t>
  </si>
  <si>
    <t>93707738868</t>
  </si>
  <si>
    <t>ELIZABETH CINTIA DE ABREU</t>
  </si>
  <si>
    <t>46054514806</t>
  </si>
  <si>
    <t>ANNA JULIA ARANTES MORAES</t>
  </si>
  <si>
    <t>05284640861</t>
  </si>
  <si>
    <t>ADILSON DO COUTO SOARES</t>
  </si>
  <si>
    <t>37701505890</t>
  </si>
  <si>
    <t>CAMILLY DINIZ SILVA</t>
  </si>
  <si>
    <r>
      <rPr>
        <rFont val="Calibri"/>
        <b/>
        <color rgb="FF000000"/>
        <sz val="24.0"/>
      </rPr>
      <t xml:space="preserve">Dr Camila Queiroga da Silveira - DA CAMPO LIMPO </t>
    </r>
    <r>
      <rPr>
        <rFont val="Calibri"/>
        <b/>
        <color rgb="FFFF0000"/>
        <sz val="24.0"/>
      </rPr>
      <t>(AGENDA CANCELADA)</t>
    </r>
    <r>
      <rPr>
        <rFont val="Calibri"/>
        <b/>
        <color rgb="FF000000"/>
        <sz val="24.0"/>
      </rPr>
      <t xml:space="preserve"> </t>
    </r>
  </si>
  <si>
    <t>15/12/2025 13h às 17h</t>
  </si>
  <si>
    <t>32063089841</t>
  </si>
  <si>
    <t>VANESSA NEVES DE PAULA</t>
  </si>
  <si>
    <t>23507029871</t>
  </si>
  <si>
    <t>MARIA MARTA SOUZA FERREIRA</t>
  </si>
  <si>
    <t>46239741892</t>
  </si>
  <si>
    <t>RAQUEL FERREIRA DE MELO</t>
  </si>
  <si>
    <t>28481386880</t>
  </si>
  <si>
    <t>NINHA FRANCA CAETANO</t>
  </si>
  <si>
    <t>12522241842</t>
  </si>
  <si>
    <t>AUDENIZ RAMOS DIAS</t>
  </si>
  <si>
    <t>09478120832</t>
  </si>
  <si>
    <t>IVONETE MARIA DE LOURDES MELO</t>
  </si>
  <si>
    <t>35604725803</t>
  </si>
  <si>
    <t>ANA CARLA DE LIMA ALVES</t>
  </si>
  <si>
    <t>50835833801</t>
  </si>
  <si>
    <t>FRANCISCO GABRIEL ARAUJO MARCAL</t>
  </si>
  <si>
    <t>28336404805</t>
  </si>
  <si>
    <t>MARIA DOS SANTOS COUTO</t>
  </si>
  <si>
    <t>18469883810</t>
  </si>
  <si>
    <t>JOCELIA GOMES GUERRA NOGUEIRA</t>
  </si>
  <si>
    <t>52271145368</t>
  </si>
  <si>
    <t>MARIA DE LOURDES FERREIRA LIMA</t>
  </si>
  <si>
    <t>31713457814</t>
  </si>
  <si>
    <t>SABRINA LOUZA SANTA CRUZ</t>
  </si>
  <si>
    <t>Dr Priscila Ferreira da Silva - DA M'BOI</t>
  </si>
  <si>
    <t>16/12/2025 13h às 17h</t>
  </si>
  <si>
    <t>TERÇA- FEIRA</t>
  </si>
  <si>
    <t>04479751610</t>
  </si>
  <si>
    <t>ROBERTO CARLOS DE SOUZA ARAUJO</t>
  </si>
  <si>
    <t>48519154549</t>
  </si>
  <si>
    <t>MARISETE DE JESUS BRITO SOUSA</t>
  </si>
  <si>
    <t>01474328555</t>
  </si>
  <si>
    <t>RAFAEL DO NASCIMENTO GUERRA</t>
  </si>
  <si>
    <t>00928115828</t>
  </si>
  <si>
    <t>GERALDO FELIPE DA SILVA</t>
  </si>
  <si>
    <t>64096378887</t>
  </si>
  <si>
    <t>DERALDO FERNANDES</t>
  </si>
  <si>
    <t>55756662391</t>
  </si>
  <si>
    <t>MARIA DE LOURDES DOS SANTOS COSTA FILHA</t>
  </si>
  <si>
    <t>69919054887</t>
  </si>
  <si>
    <t>JOSE FRANCISCO DOS SANTOS</t>
  </si>
  <si>
    <t>21662896816</t>
  </si>
  <si>
    <t>ROBSON GOMES DA SILVA</t>
  </si>
  <si>
    <t>50566067820</t>
  </si>
  <si>
    <t>JOSE FERREIRA DA CRUZ</t>
  </si>
  <si>
    <t>34408476838</t>
  </si>
  <si>
    <t>MADALENA DOS SANTOS</t>
  </si>
  <si>
    <t>14757752881</t>
  </si>
  <si>
    <t>JOAO CARLOS SOARES</t>
  </si>
  <si>
    <t>Dr Camila Queiroga da Silveira - DA CAPÃO</t>
  </si>
  <si>
    <t>17/12/2025 08h às 12h</t>
  </si>
  <si>
    <t>Quarta-feira</t>
  </si>
  <si>
    <t>16573156811</t>
  </si>
  <si>
    <t>LINDALVA FELIX DA SILVA PAZ</t>
  </si>
  <si>
    <t>10719721890</t>
  </si>
  <si>
    <t>ANGELA MARIA MOREIRA DE AQUINO</t>
  </si>
  <si>
    <t>71004696515</t>
  </si>
  <si>
    <t>JUCILENE NASCIMENTO SANTOS</t>
  </si>
  <si>
    <t>01377089800</t>
  </si>
  <si>
    <t>JOAO VERCOSA FELIX</t>
  </si>
  <si>
    <t>77051670859</t>
  </si>
  <si>
    <t>ESPEDITO PEREIRA DA SILVA</t>
  </si>
  <si>
    <t>37258464808</t>
  </si>
  <si>
    <t>JEANE ROCHA PEREIRA</t>
  </si>
  <si>
    <t>24921346879</t>
  </si>
  <si>
    <t>MARIA MARCIA DAS GRACAS</t>
  </si>
  <si>
    <t>49772619849</t>
  </si>
  <si>
    <t>JORGE VIEIRA DA SILVA</t>
  </si>
  <si>
    <t>26622451826</t>
  </si>
  <si>
    <t>MARLI ROSA DOS SANTOS</t>
  </si>
  <si>
    <t>03412722804</t>
  </si>
  <si>
    <t>SUELI SOUSA MACHADO</t>
  </si>
  <si>
    <t>01133903860</t>
  </si>
  <si>
    <t>PEDRO LISBOA PIRES</t>
  </si>
  <si>
    <t>09269171884</t>
  </si>
  <si>
    <t>MARIA JOSE TEIXEIRA CORDEIRO</t>
  </si>
  <si>
    <t>Dr Priscila Ferreira da Silva - DA MBOI</t>
  </si>
  <si>
    <t>18/12/2025 13h às 17h</t>
  </si>
  <si>
    <t>Quinta-feira</t>
  </si>
  <si>
    <t>15316621883</t>
  </si>
  <si>
    <t>JONAS LISBOA LOUREIRO</t>
  </si>
  <si>
    <t>03528378883</t>
  </si>
  <si>
    <t>MARIA JOSE DE SOUZA LOPES</t>
  </si>
  <si>
    <t>34560289891</t>
  </si>
  <si>
    <t>AGOSTINHO GONCALVES ROCHA</t>
  </si>
  <si>
    <t>70956979572</t>
  </si>
  <si>
    <t>ALBERIZA NIEL MACENA</t>
  </si>
  <si>
    <t>56976747834</t>
  </si>
  <si>
    <t>JOSE ROBERTO DO PRADO</t>
  </si>
  <si>
    <t>63648229834</t>
  </si>
  <si>
    <t>ELIAS LIMA NASCIMENTO</t>
  </si>
  <si>
    <t>15802678828</t>
  </si>
  <si>
    <t>WILMA FRANCISCA DE FREITAS</t>
  </si>
  <si>
    <t>83929053691</t>
  </si>
  <si>
    <t>ALAIDE FELICIANA FERREIRA</t>
  </si>
  <si>
    <t>19/12/2025 13h às 17h</t>
  </si>
  <si>
    <t>Sexta-feira</t>
  </si>
  <si>
    <t>CRENILDA DURAES MAGALHAES</t>
  </si>
  <si>
    <t>GILBERTO SOUSA DE OLIVERA</t>
  </si>
  <si>
    <t>UBS JARDIM LÍDIA</t>
  </si>
  <si>
    <t>VERA LUCIA JORGE</t>
  </si>
  <si>
    <t>MARIA JOSE RODRIGUES SANTOS</t>
  </si>
  <si>
    <t>MARCOS BOMJARDIM DA SILVA</t>
  </si>
  <si>
    <t>DAIANE BEZERRA DA SILVA</t>
  </si>
  <si>
    <t>ELZA MARIA DE SOUSA</t>
  </si>
  <si>
    <t>06457394809</t>
  </si>
  <si>
    <t>MARIA DE LOURDES LIMA DOS SANTOS</t>
  </si>
  <si>
    <t>LUIZ CARLOS DE LIRA</t>
  </si>
  <si>
    <t>MANOEL EDIVAR MELO</t>
  </si>
  <si>
    <t>EDVALDO DOS REIS SANTOS</t>
  </si>
  <si>
    <t>22/12/2025 13h às 17h</t>
  </si>
  <si>
    <t>BENEDITA MARIA CHAVES</t>
  </si>
  <si>
    <t>SIMONE UMBELINO DE SOUZA</t>
  </si>
  <si>
    <t>MARIA RAIMUNDA DOS ANJOS</t>
  </si>
  <si>
    <t>DOMINGOS FERREIRA DE SOUSA</t>
  </si>
  <si>
    <t>VANDA DE SOUZA FERREIRA</t>
  </si>
  <si>
    <t>GILDARIO JOSE PEREIRA</t>
  </si>
  <si>
    <t>PAULO TORRES DE ALBUQUERQUE</t>
  </si>
  <si>
    <t>CARLOS DOS SANTOS GOMES</t>
  </si>
  <si>
    <t>Dr Priscila Ferreira da Silva - DA CAMPO LIMPO</t>
  </si>
  <si>
    <t>UBS JARDIM HORIZONTE AZUL</t>
  </si>
  <si>
    <t>SEGUNDA-FEIRA</t>
  </si>
  <si>
    <t>MILTON ALVES DA SILVA</t>
  </si>
  <si>
    <t>MARIA SEVERINA DA CONCEICAO</t>
  </si>
  <si>
    <t>23/12/2025 08h às 12h</t>
  </si>
  <si>
    <t>SEBASTIANA HILARIO CORREIA</t>
  </si>
  <si>
    <t>UBS Vila Calu</t>
  </si>
  <si>
    <t>LEONOR MENEZES DE SOUZA</t>
  </si>
  <si>
    <t>JOAQUIM MOISES DE MELO</t>
  </si>
  <si>
    <t>VALDYR LOBO DE OLIVEIRA</t>
  </si>
  <si>
    <t>UBS Jardim CapelaUBS Vera Cruz</t>
  </si>
  <si>
    <t>MARIA APARECIDA NUNES DOS SANTOS</t>
  </si>
  <si>
    <t>ADEILDA VIEIRA DE MELO</t>
  </si>
  <si>
    <t>JOSE LUCIO MARTINS</t>
  </si>
  <si>
    <t>26/12/2025 13h às 17h</t>
  </si>
  <si>
    <t>CLEUSA FERREIRA PEIXINHO MARTINS</t>
  </si>
  <si>
    <t>JOSE NOGUEIRA E SILVA</t>
  </si>
  <si>
    <t>29/12/2025 13h às 17h</t>
  </si>
  <si>
    <t>ANA MARIA DA SILVA</t>
  </si>
  <si>
    <t>MARIA DEUZALINA FEITOSA NASCIMENTO</t>
  </si>
  <si>
    <t>CASEMIRO ZANIN</t>
  </si>
  <si>
    <t>MARINALVA BARBOSA</t>
  </si>
  <si>
    <t>ELIANA CARDOSO DOS SANTOS</t>
  </si>
  <si>
    <t>LUIZ CARLOS DA SILVA</t>
  </si>
  <si>
    <t>00013159860</t>
  </si>
  <si>
    <t>MARIA CLEMENCIA GONCALVES DE BRITO</t>
  </si>
  <si>
    <t>FERNANDO SOUSA DOS SANTOS</t>
  </si>
  <si>
    <t>LICIO DA COSTA SOUZA</t>
  </si>
  <si>
    <t>25977800827</t>
  </si>
  <si>
    <t>QUITERIA TAVARES DA SILVA</t>
  </si>
  <si>
    <t>MARIA APARECIDA PEREIRA SANTOS</t>
  </si>
  <si>
    <r>
      <rPr>
        <rFont val="Calibri"/>
        <b val="0"/>
        <color rgb="FF000000"/>
        <sz val="17.0"/>
      </rPr>
      <t>30/12/2025 13h às 17h</t>
    </r>
    <r>
      <rPr>
        <rFont val="Calibri"/>
        <b/>
        <color rgb="FF000000"/>
        <sz val="17.0"/>
      </rPr>
      <t xml:space="preserve"> - REMANEJADO PARA O DIA 22/12 13h às 17h</t>
    </r>
  </si>
  <si>
    <t>UBS Jd Capela</t>
  </si>
  <si>
    <t>02/01/2026 13h às 17h</t>
  </si>
  <si>
    <t>Sexta-Feira</t>
  </si>
  <si>
    <t>EZIO DOS SANTOS</t>
  </si>
  <si>
    <t>VILMAR TOMAZ DA SILVA</t>
  </si>
  <si>
    <t>CLODOALDO CORREIA SANTOS</t>
  </si>
  <si>
    <t>LIDIA LUIZ GOMES</t>
  </si>
  <si>
    <t>VANDERLEI DE LUCENA HILARIO</t>
  </si>
  <si>
    <t>WAGNER VIEIRA ROCHA</t>
  </si>
  <si>
    <t>MARCIO FERREIRA DE SOUZA</t>
  </si>
  <si>
    <t>LEONIDEO FERREIRA DA SILVA</t>
  </si>
  <si>
    <t>ALLAN FRANCISCO DA SILVA</t>
  </si>
  <si>
    <t>RAFAEL VITORINO DE SALES</t>
  </si>
  <si>
    <t>FERNANDA DA SILVA MIRANDA SANTOS</t>
  </si>
  <si>
    <t>ODAIR FERREIRA DA CRUZ</t>
  </si>
  <si>
    <t>05/01/2026 13h às 17h</t>
  </si>
  <si>
    <t>Segunda-Feira</t>
  </si>
  <si>
    <t>FABIANO NOVAES MAOZINO</t>
  </si>
  <si>
    <t xml:space="preserve">  (11)  993536278</t>
  </si>
  <si>
    <t>(011) 982658711</t>
  </si>
  <si>
    <t>ANTONIO CARLOS OLIVEIRA DA SILVA</t>
  </si>
  <si>
    <t xml:space="preserve">  (11) 983026655</t>
  </si>
  <si>
    <t xml:space="preserve">  (11)964523434/967871223</t>
  </si>
  <si>
    <t xml:space="preserve"> (11)   918332088</t>
  </si>
  <si>
    <t>(11)   965530767</t>
  </si>
  <si>
    <t>MARTA PEREIRA DA SILVA</t>
  </si>
  <si>
    <t>(11)  976578049</t>
  </si>
  <si>
    <t xml:space="preserve"> (11)   997772782</t>
  </si>
  <si>
    <t>EFIGENIA CAMILA BERNARDO</t>
  </si>
  <si>
    <t xml:space="preserve">	  (11)   944441126</t>
  </si>
  <si>
    <t>(11)   959758004</t>
  </si>
  <si>
    <t>MARIA AVELINA MACHADO SILVA</t>
  </si>
  <si>
    <t>(11)  964264490
  (11)   992367339</t>
  </si>
  <si>
    <t xml:space="preserve"> (11)   971011390
  (11)   963381466</t>
  </si>
  <si>
    <t>07/01/2026 08h às 13h</t>
  </si>
  <si>
    <t>Quarta-Feira</t>
  </si>
  <si>
    <t>06403880861</t>
  </si>
  <si>
    <t>MARIA DO MONTE DIAS DA SILVA</t>
  </si>
  <si>
    <t>02235954898</t>
  </si>
  <si>
    <t>ANTONIO CARLOS SPINOSI</t>
  </si>
  <si>
    <t>33986580832</t>
  </si>
  <si>
    <t>FABIANA COSTA DE SOUZA</t>
  </si>
  <si>
    <t>UBS JARDIM SAO BENTO</t>
  </si>
  <si>
    <t xml:space="preserve"> ARLINDO LEANDRO DE FREITAS </t>
  </si>
  <si>
    <t>68488750820</t>
  </si>
  <si>
    <t>ALVIDES ANTES DA COSTA</t>
  </si>
  <si>
    <t>16488054856</t>
  </si>
  <si>
    <t>RITA DE CASSIA RODRIGUES</t>
  </si>
  <si>
    <t>76443019849</t>
  </si>
  <si>
    <t>JOSE LUIS DE OLIVEIRA</t>
  </si>
  <si>
    <t>708403700919561 898001413594877</t>
  </si>
  <si>
    <t>JOSE COELHO VIANA</t>
  </si>
  <si>
    <t xml:space="preserve"> LAUDICEIA REBOUCAS CARNEIRO </t>
  </si>
  <si>
    <t>25872018886</t>
  </si>
  <si>
    <t>RITA PEREIRA DA SILVA</t>
  </si>
  <si>
    <t>09306074816</t>
  </si>
  <si>
    <t>SEBASTIAO MATIAS DAS NEVES</t>
  </si>
  <si>
    <t>09/01/2026 13h às 17h</t>
  </si>
  <si>
    <t xml:space="preserve"> 05097732812</t>
  </si>
  <si>
    <t xml:space="preserve">Maria Zita Gonçalves Carvalho 
</t>
  </si>
  <si>
    <t>80510612849</t>
  </si>
  <si>
    <t>203909782930007 801440484238707</t>
  </si>
  <si>
    <t>ADELIA ALVES DA SILVA OLIVEIRA</t>
  </si>
  <si>
    <t>04208780843</t>
  </si>
  <si>
    <t>MARIZETE DA CONCEICAO LIMA</t>
  </si>
  <si>
    <t>25255811807</t>
  </si>
  <si>
    <t>MARIA DAS MERCES URBANO DE ARAUJO</t>
  </si>
  <si>
    <t>32941853839</t>
  </si>
  <si>
    <t>ANA MARIA FERREIRA FOSS</t>
  </si>
  <si>
    <t>03894946407</t>
  </si>
  <si>
    <t>MARILEIDE XAVIER DE LIMA</t>
  </si>
  <si>
    <t>82468940644</t>
  </si>
  <si>
    <t>708003846114227 801440491910318</t>
  </si>
  <si>
    <t>ADEILSON VIEIRA DE JESUS</t>
  </si>
  <si>
    <t>TEOFILO ISAIAS LINS</t>
  </si>
  <si>
    <t>10721110800</t>
  </si>
  <si>
    <t>703404204830019 801440402353175</t>
  </si>
  <si>
    <t>MARIA SERAFIM FERREIRA</t>
  </si>
  <si>
    <t>12/01/2026 13h às 17h</t>
  </si>
  <si>
    <t>UBS Parque do Engenho II</t>
  </si>
  <si>
    <t>UBS Jd Macedônia</t>
  </si>
  <si>
    <t>MARLENE ANTONIA DA SILVA OLIVEIRA</t>
  </si>
  <si>
    <t>UBS Jd Eledy</t>
  </si>
  <si>
    <t>MARILENE CAETANO DA SILVA</t>
  </si>
  <si>
    <t>UBS Jd Magdalena</t>
  </si>
  <si>
    <t>SERGIO SIMOES PONTES</t>
  </si>
  <si>
    <t>ALAIDE MARIA CELESTINA</t>
  </si>
  <si>
    <t>LUZIA ANDRADE</t>
  </si>
  <si>
    <t>EDUARDO VIEIRA LIMA</t>
  </si>
  <si>
    <t>GERSINA PEREIRA DA SILVA</t>
  </si>
  <si>
    <t>14/01/2026 08h às 13h</t>
  </si>
  <si>
    <t>42934440842</t>
  </si>
  <si>
    <t>JAINE SOUZA EVANGELISTA</t>
  </si>
  <si>
    <t>42365787860</t>
  </si>
  <si>
    <t>AZIEL DAMASCENO MORAIS</t>
  </si>
  <si>
    <t>15206526827</t>
  </si>
  <si>
    <t>MARLIENE PEREIRA DA SILVA</t>
  </si>
  <si>
    <t>24782253877</t>
  </si>
  <si>
    <t>MARIA DE LOURDES DA SILVA</t>
  </si>
  <si>
    <t>08174358404</t>
  </si>
  <si>
    <t>PAULO HENRIQUE NUNES DE PONTES</t>
  </si>
  <si>
    <t>08646501833</t>
  </si>
  <si>
    <t>ITANESIA NUNES DE AMORIM</t>
  </si>
  <si>
    <t>08977787823</t>
  </si>
  <si>
    <t>JOANA VICENTE</t>
  </si>
  <si>
    <t>50439256801</t>
  </si>
  <si>
    <t>RAIMUNDO NONATO ALVES DA SILVA</t>
  </si>
  <si>
    <t>05754468466</t>
  </si>
  <si>
    <t>ROSELI BARBALHO DOS SANTOS</t>
  </si>
  <si>
    <t>07454564801</t>
  </si>
  <si>
    <t>ADELIA RODRIGUES TROI</t>
  </si>
  <si>
    <t>16/01/2026 13h às 17h</t>
  </si>
  <si>
    <t>00093291370</t>
  </si>
  <si>
    <t>MARIA LUCIA MELO DE JESUS</t>
  </si>
  <si>
    <t>UBS JARDIM LIDIA</t>
  </si>
  <si>
    <t>48158085890</t>
  </si>
  <si>
    <t>LUIZ FERNANDO SANTANA DA COSTA</t>
  </si>
  <si>
    <t>40409252700</t>
  </si>
  <si>
    <t>705702477227830 104167197640006</t>
  </si>
  <si>
    <t>JOAO JOSE NEVES</t>
  </si>
  <si>
    <t>23846809861</t>
  </si>
  <si>
    <t>898004987596328 898001495148590</t>
  </si>
  <si>
    <t>LUZINETE GONCALVES DE OLIVEIRA CRUZ</t>
  </si>
  <si>
    <t>32055482807</t>
  </si>
  <si>
    <t>708007399288127 801440408094457</t>
  </si>
  <si>
    <t>ALICE PEREIRA ANUNCIACAO</t>
  </si>
  <si>
    <t>10720548845</t>
  </si>
  <si>
    <t>HELENA ALVES DA SILVA</t>
  </si>
  <si>
    <t>04545097820</t>
  </si>
  <si>
    <t>ARNALDO DIAS GONCALVES</t>
  </si>
  <si>
    <t>22639659804</t>
  </si>
  <si>
    <t>NELSON EIITI IWAMA</t>
  </si>
  <si>
    <t>48691686855</t>
  </si>
  <si>
    <t>LILIAN ADRIANY SILVA DA COSTA</t>
  </si>
  <si>
    <t>51207073865</t>
  </si>
  <si>
    <t>VICTOR PIRES DE ARAUJO</t>
  </si>
  <si>
    <t>18448503821</t>
  </si>
  <si>
    <t>LAODICEA FERREIRA DA SILVA</t>
  </si>
  <si>
    <t>19/01/2021 13h às 17h</t>
  </si>
  <si>
    <t>30650291468</t>
  </si>
  <si>
    <t>JOSINA MORAIS DA SILVA BATISTA RODRIGUES</t>
  </si>
  <si>
    <t>23049668881</t>
  </si>
  <si>
    <t>AURELINA MARIA DE SOUSA</t>
  </si>
  <si>
    <t>01132665884</t>
  </si>
  <si>
    <t>DONARIA DO CARMO FREITAS</t>
  </si>
  <si>
    <t>18153941615</t>
  </si>
  <si>
    <t>ILDA MARIA DA SILVA</t>
  </si>
  <si>
    <t>27452369890</t>
  </si>
  <si>
    <t>YOLANDA DE SOUZA NASCIMENTO</t>
  </si>
  <si>
    <t>75747561634</t>
  </si>
  <si>
    <t>LUIZ MAURO DE PAULA DA SILVA</t>
  </si>
  <si>
    <t>04710484880</t>
  </si>
  <si>
    <t>705201409592077 801440401123982</t>
  </si>
  <si>
    <t>ORLANDO NUNES DE AZEVEDO</t>
  </si>
  <si>
    <t>27222475850</t>
  </si>
  <si>
    <t>MARIA DE LURDES HONESCO MARTINS</t>
  </si>
  <si>
    <t>15747609807</t>
  </si>
  <si>
    <t>LUIZA MARILEA FELIX DE CARVALHO</t>
  </si>
  <si>
    <t>38440423853</t>
  </si>
  <si>
    <t>ADEMAR CARDOSO</t>
  </si>
  <si>
    <t>53198857848</t>
  </si>
  <si>
    <t>DEYVID NASCIMENTO SOUSA</t>
  </si>
  <si>
    <t>32921331810</t>
  </si>
  <si>
    <t>CAMILA APARECIDA OLIVEIRA</t>
  </si>
  <si>
    <t>21/01/2026 08h às 13h</t>
  </si>
  <si>
    <t>13512791816</t>
  </si>
  <si>
    <t>EDNA XAVIER KORNISKI</t>
  </si>
  <si>
    <t>40983447934</t>
  </si>
  <si>
    <t>GENILDO NERY DOS SANTOS</t>
  </si>
  <si>
    <t>AMA UBS Pq. Fernanda</t>
  </si>
  <si>
    <t>18471059800</t>
  </si>
  <si>
    <t>SANDRA HELENA DA SILVA</t>
  </si>
  <si>
    <t>08590637808</t>
  </si>
  <si>
    <t>JOSEFA MARIA DA SILVA</t>
  </si>
  <si>
    <t>16944339862</t>
  </si>
  <si>
    <t>MARCIA APARECIDA DE SOUZA DA SILVA</t>
  </si>
  <si>
    <t>20460716468</t>
  </si>
  <si>
    <t>TEREZINHA NUNES DE OLIVEIRA</t>
  </si>
  <si>
    <t>44121809807</t>
  </si>
  <si>
    <t>NATALIA SIMOES SANTOS</t>
  </si>
  <si>
    <t>39783449800</t>
  </si>
  <si>
    <t>ALVARO AUGUSTO SILVA</t>
  </si>
  <si>
    <t>14126045830</t>
  </si>
  <si>
    <t xml:space="preserve">	JAIME DE SOUZA</t>
  </si>
  <si>
    <t>54277726852</t>
  </si>
  <si>
    <t>VALENTINA GOMES DA SILVA</t>
  </si>
  <si>
    <t>23/01/2026 13h às 17h</t>
  </si>
  <si>
    <t>00438240804</t>
  </si>
  <si>
    <t>RUBINEI SILVA QUEIROZ</t>
  </si>
  <si>
    <t>UBS Jardim Lídia</t>
  </si>
  <si>
    <t>24774430463</t>
  </si>
  <si>
    <t>GERCINA IZABEL DOS SANTOS</t>
  </si>
  <si>
    <t>63563029504</t>
  </si>
  <si>
    <t>LELITO SOUZA SILVA</t>
  </si>
  <si>
    <t>76413110830</t>
  </si>
  <si>
    <t>EDSON LOPES GUIMARAES</t>
  </si>
  <si>
    <t>06378938830</t>
  </si>
  <si>
    <t>EDSON SILVA SANTOS</t>
  </si>
  <si>
    <t>37397057870</t>
  </si>
  <si>
    <t>IARA APARECIDA BANQUERI SEIA</t>
  </si>
  <si>
    <t>25959094878</t>
  </si>
  <si>
    <t>IRACILDES DANIEL DE SOUZA</t>
  </si>
  <si>
    <t>59908351834</t>
  </si>
  <si>
    <t>FRANCISCO HELIO LOPES</t>
  </si>
  <si>
    <t>58018778868</t>
  </si>
  <si>
    <t>GASTAO JOSE DE SOUZA</t>
  </si>
  <si>
    <t>67810543504</t>
  </si>
  <si>
    <t>MARINALVA SANTOS RESSURREICAO</t>
  </si>
  <si>
    <t>69252971572</t>
  </si>
  <si>
    <t>703004859261371 801440402359238</t>
  </si>
  <si>
    <t>MARIA MATILDES DA SILVA</t>
  </si>
  <si>
    <t>04384002599</t>
  </si>
  <si>
    <t>DAMIANA BISPO DOS SANTOS</t>
  </si>
  <si>
    <t>(11)  969408647</t>
  </si>
  <si>
    <t>(11)   962419671</t>
  </si>
  <si>
    <t>(11) 953593970</t>
  </si>
  <si>
    <t xml:space="preserve">32875459813        </t>
  </si>
  <si>
    <t>706201503942068 131242389300000</t>
  </si>
  <si>
    <t>MARCOS DE OLIVEIRA</t>
  </si>
  <si>
    <t>(11) 981230349</t>
  </si>
  <si>
    <t>53544633868</t>
  </si>
  <si>
    <t>PEDRO DE CARVALHO DOS SANTOS</t>
  </si>
  <si>
    <t>(11) 989511134</t>
  </si>
  <si>
    <t>(11) 981004457</t>
  </si>
  <si>
    <t>04039981820</t>
  </si>
  <si>
    <t>ELISEU LUCIANO</t>
  </si>
  <si>
    <t>(11) 982448842</t>
  </si>
  <si>
    <t>30640341896</t>
  </si>
  <si>
    <t>SUZANA GONCALVES DOS SANTOS</t>
  </si>
  <si>
    <t>(11) 981952436</t>
  </si>
  <si>
    <t>14387534893</t>
  </si>
  <si>
    <t>MARIA IMACULADA HENRIQUE CANDIDO</t>
  </si>
  <si>
    <t>(11) 967213110</t>
  </si>
  <si>
    <t>08621470500</t>
  </si>
  <si>
    <t>CARLOS XAVIER TRINDADE</t>
  </si>
  <si>
    <t>08994343806</t>
  </si>
  <si>
    <t>ABELARDO PEREIRA NETO</t>
  </si>
  <si>
    <t>(11) 992185025</t>
  </si>
  <si>
    <t>(11) 983486955</t>
  </si>
  <si>
    <t>Vagas Livres</t>
  </si>
  <si>
    <t>41087501873</t>
  </si>
  <si>
    <t>TAMIRIS MARTINS NOBRE DA COSTA</t>
  </si>
  <si>
    <t>(11) 999898176</t>
  </si>
  <si>
    <t>28/01/2026 08h às 13h</t>
  </si>
  <si>
    <t>81571577815</t>
  </si>
  <si>
    <t xml:space="preserve">  (11)   986453576</t>
  </si>
  <si>
    <t>01130104869</t>
  </si>
  <si>
    <t>VERA LUCIA LOURENCO DA SILVA</t>
  </si>
  <si>
    <t xml:space="preserve">  (11)   951754073</t>
  </si>
  <si>
    <t>12747981835</t>
  </si>
  <si>
    <t>(11) 913037056</t>
  </si>
  <si>
    <t>(11) 957080808</t>
  </si>
  <si>
    <t>90226992420</t>
  </si>
  <si>
    <t>NOEMIA SERAFIM DA SILVA</t>
  </si>
  <si>
    <t>(11) 985471122</t>
  </si>
  <si>
    <t>(11) 983767854</t>
  </si>
  <si>
    <t>33918686191</t>
  </si>
  <si>
    <t>PAULO SIMEAO SANTANA</t>
  </si>
  <si>
    <t>(11) 915034545</t>
  </si>
  <si>
    <t>(11) 976288786</t>
  </si>
  <si>
    <t>01358584885</t>
  </si>
  <si>
    <t>DOMINGAS DA CONCEICAO NORONHA</t>
  </si>
  <si>
    <t>(11) 979660780</t>
  </si>
  <si>
    <t>(11) 984062369</t>
  </si>
  <si>
    <t>50643820817</t>
  </si>
  <si>
    <t>LARISSA JESUS FERRAZ</t>
  </si>
  <si>
    <t>(11) 962396864</t>
  </si>
  <si>
    <t>59031965863</t>
  </si>
  <si>
    <t>MIGUEL FRANKE ASTRATH TELES</t>
  </si>
  <si>
    <t>(11) 945136598</t>
  </si>
  <si>
    <t>(11) 994849651</t>
  </si>
  <si>
    <t>01671214803</t>
  </si>
  <si>
    <t>VALDEMAR FERREIRA</t>
  </si>
  <si>
    <t>(11) 977342602</t>
  </si>
  <si>
    <t>03272291520</t>
  </si>
  <si>
    <t>ROSIANE JESUS DE SOUZA</t>
  </si>
  <si>
    <t>(11) 994653644</t>
  </si>
  <si>
    <t>46588605897</t>
  </si>
  <si>
    <t>MATHEUS CLEMENTINO DA SILVA</t>
  </si>
  <si>
    <t>(11) 984878073</t>
  </si>
  <si>
    <t>37184296834</t>
  </si>
  <si>
    <t>IRANY DA SILVEIRA</t>
  </si>
  <si>
    <t>(11) 985787669</t>
  </si>
  <si>
    <t>30/01/2026 13h às 17h</t>
  </si>
  <si>
    <t>31462749810</t>
  </si>
  <si>
    <t>BENEDITA APARECIDA MENDES DE VASCONCELOS</t>
  </si>
  <si>
    <t xml:space="preserve">  (11)   991919746</t>
  </si>
  <si>
    <t>98643215872</t>
  </si>
  <si>
    <t>700005715859802 104373635510005</t>
  </si>
  <si>
    <t xml:space="preserve">  (11)   957872444</t>
  </si>
  <si>
    <t>04193480852</t>
  </si>
  <si>
    <t>SIDOMAR BEZERRA DA COSTA</t>
  </si>
  <si>
    <t xml:space="preserve">  (11)   964078399</t>
  </si>
  <si>
    <t>25752590884</t>
  </si>
  <si>
    <t>VALDIRA SOUSA RIBEIRO DE LIMA</t>
  </si>
  <si>
    <t xml:space="preserve">  (11)   930103810</t>
  </si>
  <si>
    <t>29303354320</t>
  </si>
  <si>
    <t>ROSBEMAGNO EZON MOREIRA</t>
  </si>
  <si>
    <t xml:space="preserve">  (11)   982197044</t>
  </si>
  <si>
    <t>02291937812</t>
  </si>
  <si>
    <t>AUREA CRESCENCIA E SILVA</t>
  </si>
  <si>
    <t xml:space="preserve">  (11)   957483563</t>
  </si>
  <si>
    <t xml:space="preserve">  (11)   994312207</t>
  </si>
  <si>
    <t xml:space="preserve">  (11)  972897849</t>
  </si>
  <si>
    <t xml:space="preserve">  (11)   983503562</t>
  </si>
  <si>
    <t>06406890515</t>
  </si>
  <si>
    <t>AURELINO BORGES PEREIRA</t>
  </si>
  <si>
    <t xml:space="preserve">  (11)  994738193</t>
  </si>
  <si>
    <t xml:space="preserve">  (11)   966135585</t>
  </si>
  <si>
    <t xml:space="preserve">  (11)  976461555</t>
  </si>
  <si>
    <t xml:space="preserve">  (11)   992408633</t>
  </si>
  <si>
    <t>02/02/2026 13h às 17h</t>
  </si>
  <si>
    <t>06/01/2026 13h às 17h</t>
  </si>
  <si>
    <t>Terça-Feira</t>
  </si>
  <si>
    <t>801440438737577
801440463490997</t>
  </si>
  <si>
    <t>(11) 9636-12801</t>
  </si>
  <si>
    <t>(11) 9611-27960</t>
  </si>
  <si>
    <t>AMA/UBS JD CAPELA</t>
  </si>
  <si>
    <t>(11) 97126-6379</t>
  </si>
  <si>
    <t>UBS PARQUE DO LAGO</t>
  </si>
  <si>
    <t>27748124884</t>
  </si>
  <si>
    <t>801440497630449
700505795797359</t>
  </si>
  <si>
    <t>JULIA MARIA DA CONCEICAO SOUZA</t>
  </si>
  <si>
    <t>(11) 9627-27419</t>
  </si>
  <si>
    <t>(11) 98010-9814</t>
  </si>
  <si>
    <t>31454725850</t>
  </si>
  <si>
    <t>MARIETA GOMES</t>
  </si>
  <si>
    <t>(11) 9603-00585</t>
  </si>
  <si>
    <t>88179575853</t>
  </si>
  <si>
    <t>ANTONIO DE JESUS PAULINO</t>
  </si>
  <si>
    <t>(11) 96898-9694</t>
  </si>
  <si>
    <t>(11) 9582-96171</t>
  </si>
  <si>
    <t>ADAELSON SILVA ESTEVES</t>
  </si>
  <si>
    <t>(11) 96205-5653</t>
  </si>
  <si>
    <t>(11) 9973-36804</t>
  </si>
  <si>
    <t>UBS JARDIM CAICARA</t>
  </si>
  <si>
    <t>36961254829</t>
  </si>
  <si>
    <t>ANDERSON DOS SANTOS</t>
  </si>
  <si>
    <t>(11) 9832-64244</t>
  </si>
  <si>
    <t>(11) 93935-6194</t>
  </si>
  <si>
    <t>UBS PARQUE NOVO STO AMARO</t>
  </si>
  <si>
    <t>09020880845</t>
  </si>
  <si>
    <t>ANTONIO ABILIO PEREIRA</t>
  </si>
  <si>
    <t>(11) 9815-30725</t>
  </si>
  <si>
    <t>UBS JARDIM GUARUJA</t>
  </si>
  <si>
    <t>99405806572</t>
  </si>
  <si>
    <t>JOVENTINA BARBOSA DOS SANTOS</t>
  </si>
  <si>
    <t xml:space="preserve">
(11) 9653-09537
</t>
  </si>
  <si>
    <t>(75) 9804-8512</t>
  </si>
  <si>
    <t xml:space="preserve">UBS Chácara Santa Maria </t>
  </si>
  <si>
    <t>17623756800</t>
  </si>
  <si>
    <t>MARIA DA PENHA GOMES</t>
  </si>
  <si>
    <t>(11) 9774-65468</t>
  </si>
  <si>
    <t>08/01/2026 13h às 17h</t>
  </si>
  <si>
    <t>Quinta-Feira</t>
  </si>
  <si>
    <t>11398978884</t>
  </si>
  <si>
    <t>ELVIRA SATELES DE JESUS</t>
  </si>
  <si>
    <t>11445678829</t>
  </si>
  <si>
    <t>ADAO GOMES DE LIMA</t>
  </si>
  <si>
    <t>31163368814</t>
  </si>
  <si>
    <t>VICENCIA SEVERINA DE SANTANA</t>
  </si>
  <si>
    <t>06374748808</t>
  </si>
  <si>
    <t>HELOISA HELENA CARROZZINO LOSONCZI</t>
  </si>
  <si>
    <t>03074359897</t>
  </si>
  <si>
    <t>JESSELIA DA SILVA PEREIRA</t>
  </si>
  <si>
    <t>08532685846</t>
  </si>
  <si>
    <t>LUIZ IDIMILSON DE SOUZA</t>
  </si>
  <si>
    <t>00796795878</t>
  </si>
  <si>
    <t>FRANCISCO ALEXANDRE DO NASCIMENTO</t>
  </si>
  <si>
    <t>86167057400</t>
  </si>
  <si>
    <t>LUZIA JOSEFA GONCALVES DE ARRUDA</t>
  </si>
  <si>
    <t>68354665534</t>
  </si>
  <si>
    <t>JORGE JOSE DE SOUZA</t>
  </si>
  <si>
    <t>21936232871</t>
  </si>
  <si>
    <t>ROSANGELA MARIA DA SILVA</t>
  </si>
  <si>
    <t>13/01/2026 13h às 17h ATENÇÃO NÃO HAVERÁ AGENDA NESSA DATA</t>
  </si>
  <si>
    <t xml:space="preserve">14/01/2026 13h às 17h </t>
  </si>
  <si>
    <t>66132860444</t>
  </si>
  <si>
    <t>SEVERINA DA CONCEICAO GOMES</t>
  </si>
  <si>
    <t>22459760884</t>
  </si>
  <si>
    <t>ROSANGELA DE SOUZA DA MATA</t>
  </si>
  <si>
    <t>44304919504</t>
  </si>
  <si>
    <t>FERNANDO RODRIGUES DE OLIVEIRA</t>
  </si>
  <si>
    <t>50651648866</t>
  </si>
  <si>
    <t>BEATRIZ PEREIRA DE SOUZA</t>
  </si>
  <si>
    <t>08555519845</t>
  </si>
  <si>
    <t>ANA MARIA DOS SANTOS</t>
  </si>
  <si>
    <t>MARIA APARECIDA DAS GRACAS CRUZ</t>
  </si>
  <si>
    <t>20/01/2026 13h às 17h</t>
  </si>
  <si>
    <t xml:space="preserve"> UBS Vila Calu</t>
  </si>
  <si>
    <t>28192065812</t>
  </si>
  <si>
    <t>PAULA SOUZA OLIVEIRA</t>
  </si>
  <si>
    <t>UBS Vera Cruz</t>
  </si>
  <si>
    <t>17220688504</t>
  </si>
  <si>
    <t>RAIMUNDO FRANCISCO DOS SANTOS</t>
  </si>
  <si>
    <t>02201684820</t>
  </si>
  <si>
    <t>MOIZAC GENUINO DO NASCIMENTO</t>
  </si>
  <si>
    <t>22253214850</t>
  </si>
  <si>
    <t>KLEBISON GALDINO DA SILVA</t>
  </si>
  <si>
    <t>92232477487</t>
  </si>
  <si>
    <t>VANDERLAN CARLOS DE MATOS FERREIRA</t>
  </si>
  <si>
    <t>50198521553</t>
  </si>
  <si>
    <t>700001289224204 124495504550009</t>
  </si>
  <si>
    <t>JOSE ALMEIDA DE SANTANA</t>
  </si>
  <si>
    <t xml:space="preserve"> UBS Parque Novo Santo Amaro</t>
  </si>
  <si>
    <t>24809250563</t>
  </si>
  <si>
    <t>DAVINA MARIA DOS SANTOS MACHADO</t>
  </si>
  <si>
    <t xml:space="preserve"> UBS Jardim Caiçara</t>
  </si>
  <si>
    <t>30415908833</t>
  </si>
  <si>
    <t>COSMA MARIA DA SILVA</t>
  </si>
  <si>
    <t>UBS Paranapanema</t>
  </si>
  <si>
    <t>01246576481</t>
  </si>
  <si>
    <t>706404631860189 898001400412864</t>
  </si>
  <si>
    <t>LUYZIANE GEORGIA FERREIRA GOMES</t>
  </si>
  <si>
    <t>UBS Jd Guaruja</t>
  </si>
  <si>
    <t>34998748815</t>
  </si>
  <si>
    <t>LUCIO DURVAL DE SOUZA BARROS</t>
  </si>
  <si>
    <t>21/01/2026 13h às 17h</t>
  </si>
  <si>
    <t>04975880300</t>
  </si>
  <si>
    <t>BERNUDEIS GOMES DOS SANTOS</t>
  </si>
  <si>
    <t>14894583879</t>
  </si>
  <si>
    <t>DARCISO FERREIRA MENDES</t>
  </si>
  <si>
    <t>39118368808</t>
  </si>
  <si>
    <t>JOSE FRANCISCO FERREIRA DA SILVA JUNIOR</t>
  </si>
  <si>
    <t>03949196889</t>
  </si>
  <si>
    <t>MARIA VIEIRA DA SILVA</t>
  </si>
  <si>
    <t>UBS CHACARA SANTA MARIA</t>
  </si>
  <si>
    <t>87752409553</t>
  </si>
  <si>
    <t>MARIA DALVA NUNES DE SOUZA</t>
  </si>
  <si>
    <t>30786009802</t>
  </si>
  <si>
    <t>SILVANIR MARIA DE JESUS</t>
  </si>
  <si>
    <t>22/01/2026 13h às 17h</t>
  </si>
  <si>
    <t>Setor  III UBS Jardim Santa Margarida</t>
  </si>
  <si>
    <t>13236498838</t>
  </si>
  <si>
    <t>LENI SANTOS DE SA</t>
  </si>
  <si>
    <t>Setor  III - UBS Alto da Rivieira</t>
  </si>
  <si>
    <t>27890197896</t>
  </si>
  <si>
    <t>706200776771770 204296644990006</t>
  </si>
  <si>
    <t>MARIA DOMINGAS COSTA CONCEICAO</t>
  </si>
  <si>
    <t xml:space="preserve">Setor  IV - UBS Jardim Herculano </t>
  </si>
  <si>
    <t>22927208840</t>
  </si>
  <si>
    <t>FLAVIANA DE MOURA BARRETO</t>
  </si>
  <si>
    <t>Setor  III - UBS Santa Lucia</t>
  </si>
  <si>
    <t>84248467887</t>
  </si>
  <si>
    <t>MARIA OLIMPIA DE MATOS</t>
  </si>
  <si>
    <t>80963960806</t>
  </si>
  <si>
    <t>JOSE SILVA PASSOS</t>
  </si>
  <si>
    <t>26400832874</t>
  </si>
  <si>
    <t>JURACI MONTES</t>
  </si>
  <si>
    <t xml:space="preserve">Setor  IV - UBS Jardim Aracati </t>
  </si>
  <si>
    <t>04913575830</t>
  </si>
  <si>
    <t>ANA GUIMARAES DE CASTRO</t>
  </si>
  <si>
    <t>14272278886</t>
  </si>
  <si>
    <t>ROBERTO ANTONIO FERRARI</t>
  </si>
  <si>
    <t>17092686890</t>
  </si>
  <si>
    <t>ANITA MATEUS PIMENTA</t>
  </si>
  <si>
    <t>Setor  IV - UBS Jardim Ipava</t>
  </si>
  <si>
    <t>03760853714</t>
  </si>
  <si>
    <t>CARSON GLEISON BERLARMINO</t>
  </si>
  <si>
    <t xml:space="preserve">Setor  IV - UBS Pq do Lago </t>
  </si>
  <si>
    <t>10872847837</t>
  </si>
  <si>
    <t>IGNEZ PRIMIANI FREITAS</t>
  </si>
  <si>
    <t>10316613878</t>
  </si>
  <si>
    <t>VALDIR COELHO</t>
  </si>
  <si>
    <t>27/01/2026 13h às 17h</t>
  </si>
  <si>
    <t>00312383860</t>
  </si>
  <si>
    <t>ELENIVAM NASCIMENTO DOS SANTOS</t>
  </si>
  <si>
    <t>(11)  934840034</t>
  </si>
  <si>
    <t xml:space="preserve">  (11)   964325759</t>
  </si>
  <si>
    <t>01399206842</t>
  </si>
  <si>
    <t>JOSE AFONSO CRISPIM</t>
  </si>
  <si>
    <t xml:space="preserve">  (21)   97921522</t>
  </si>
  <si>
    <t>04368526830</t>
  </si>
  <si>
    <t>OVIDIA SEBASTIANA ALVES</t>
  </si>
  <si>
    <t xml:space="preserve">  (11)   980393927</t>
  </si>
  <si>
    <t>29446610869</t>
  </si>
  <si>
    <t>GENILDA NICACIO SIQUEIRA</t>
  </si>
  <si>
    <t xml:space="preserve">  (11)   985002267</t>
  </si>
  <si>
    <t>10034603808</t>
  </si>
  <si>
    <t>DIRCE GERALDA DOS SANTOS</t>
  </si>
  <si>
    <t>(11) 955861239</t>
  </si>
  <si>
    <t>(11) 940382378</t>
  </si>
  <si>
    <t>46497268839</t>
  </si>
  <si>
    <t>705801486049735 801440487431125</t>
  </si>
  <si>
    <t>MARIA EDUARDA PEREIRA DE SOUZA SANTOS</t>
  </si>
  <si>
    <t>(11) 977273316</t>
  </si>
  <si>
    <t>26647943889</t>
  </si>
  <si>
    <t>CLEMENTINA DA SILVA OLIVEIRA</t>
  </si>
  <si>
    <t>(11) 987290682</t>
  </si>
  <si>
    <t>03955806847</t>
  </si>
  <si>
    <t>ELIZABETE GENEROSA DA CONCEICAO DE AQUINO</t>
  </si>
  <si>
    <t>(11) 947041951</t>
  </si>
  <si>
    <t>(11) 962478582</t>
  </si>
  <si>
    <t>70319871800</t>
  </si>
  <si>
    <t>BERLINDO PEREIRA</t>
  </si>
  <si>
    <t>(11) 988751084</t>
  </si>
  <si>
    <t>(11) 988051024</t>
  </si>
  <si>
    <t>09245810852</t>
  </si>
  <si>
    <t>MARIA FERREIRA TELES</t>
  </si>
  <si>
    <t>(11) 932769711</t>
  </si>
  <si>
    <t>(11) 912558179</t>
  </si>
  <si>
    <t>29/01/2026 13h às 17h</t>
  </si>
  <si>
    <t>Setor  III - UBS Jardim Nakamura</t>
  </si>
  <si>
    <t>28218439846</t>
  </si>
  <si>
    <t>705203433463577 204302303320006</t>
  </si>
  <si>
    <t>BARBARA SILVA DE SOUSA</t>
  </si>
  <si>
    <t xml:space="preserve">  (11)   984728794</t>
  </si>
  <si>
    <t>11194458840</t>
  </si>
  <si>
    <t>MARISA DAS GRACAS MESSIAS</t>
  </si>
  <si>
    <t xml:space="preserve">  (11)   970634368</t>
  </si>
  <si>
    <t xml:space="preserve">  (11)  993387780</t>
  </si>
  <si>
    <t>Setor  III - UBS Jardim Coimbra</t>
  </si>
  <si>
    <t>16411800804</t>
  </si>
  <si>
    <t>MARIA IZABEL MOREIRA DOS SANTOS</t>
  </si>
  <si>
    <t xml:space="preserve">  (11)   956853440</t>
  </si>
  <si>
    <t>26508192434</t>
  </si>
  <si>
    <t>INACIO GOMES DE SOUSA</t>
  </si>
  <si>
    <t>Setor  III - UBS Jardim Santa Margarida</t>
  </si>
  <si>
    <t xml:space="preserve">  (11)   954318296</t>
  </si>
  <si>
    <t xml:space="preserve">  (11)   963132975</t>
  </si>
  <si>
    <t>01297805534</t>
  </si>
  <si>
    <t>FRANCISCO ANTONIO DE SOUZA</t>
  </si>
  <si>
    <t xml:space="preserve">  (11)  964453694</t>
  </si>
  <si>
    <t xml:space="preserve">  (11)   948490230</t>
  </si>
  <si>
    <t>01085721884</t>
  </si>
  <si>
    <t>ERALDO REZENDE SANTANA</t>
  </si>
  <si>
    <t xml:space="preserve">  (11)   984414780</t>
  </si>
  <si>
    <t>24828989862</t>
  </si>
  <si>
    <t>ANA FERREIRA RODRIGUES DA SILVA</t>
  </si>
  <si>
    <t xml:space="preserve">  (11)   954470320</t>
  </si>
  <si>
    <t>31243526882</t>
  </si>
  <si>
    <t>ROSANGELA FERREIRA DA CRUZ</t>
  </si>
  <si>
    <t xml:space="preserve">  (11)  953603394</t>
  </si>
  <si>
    <t xml:space="preserve">  (11)   937566478</t>
  </si>
  <si>
    <t>14691595899</t>
  </si>
  <si>
    <t>MARIA IZABEL DA COSTA</t>
  </si>
  <si>
    <t xml:space="preserve">  (11)  993413905</t>
  </si>
  <si>
    <t xml:space="preserve">  (11)   993922909</t>
  </si>
  <si>
    <t>81835353800</t>
  </si>
  <si>
    <t>FRANCISCO VIANA DOS SANTOS</t>
  </si>
  <si>
    <t xml:space="preserve">  (11)  988753177</t>
  </si>
  <si>
    <t>09474117802</t>
  </si>
  <si>
    <t>ADERVAL ALVES PINTO</t>
  </si>
  <si>
    <t>ALDECI JESUS SANTOS DOMINGUES</t>
  </si>
  <si>
    <t>Desistência</t>
  </si>
  <si>
    <t>DA - Campo Limpo</t>
  </si>
  <si>
    <t>LAURINETE VIANA COSTA</t>
  </si>
  <si>
    <t>NILCA DIAS DE QUEIROZ</t>
  </si>
  <si>
    <t>APARECIDA CRUZ DOS SANTOS</t>
  </si>
  <si>
    <t>CARLOS EDUARDO DE LIMA</t>
  </si>
  <si>
    <t>ARNALDO RIBEIRO DE OLIVEIRA</t>
  </si>
  <si>
    <t>MARIA DA CONCEICAO BRITO SANTOS</t>
  </si>
  <si>
    <t>JOSE PEREIRA RIBEIRO</t>
  </si>
  <si>
    <t>JOAO MARCOS SILVEIRA SANTOS</t>
  </si>
  <si>
    <t>04/02/2026 08h às 13h</t>
  </si>
  <si>
    <t>ALESSANDRO CARLOS SILVA DA PURIFICACAO</t>
  </si>
  <si>
    <t>(11)   964270547</t>
  </si>
  <si>
    <t xml:space="preserve">  (11)   966002648</t>
  </si>
  <si>
    <t>708209179384844 80144040955111</t>
  </si>
  <si>
    <t>SELVINA RIBEIRO DOS SANTOS</t>
  </si>
  <si>
    <t xml:space="preserve">  (11)   910492251</t>
  </si>
  <si>
    <t xml:space="preserve">  (11)   984079670</t>
  </si>
  <si>
    <t>EUSTAQUIO PEREIRA DE OLIVEIRA</t>
  </si>
  <si>
    <t xml:space="preserve">  (11)  989461105</t>
  </si>
  <si>
    <t xml:space="preserve">  (11)   982973003</t>
  </si>
  <si>
    <t>ROSANGELA DA SILVA FERNANDES</t>
  </si>
  <si>
    <t xml:space="preserve">  (11)  960309368</t>
  </si>
  <si>
    <t xml:space="preserve">  (11)   969444254</t>
  </si>
  <si>
    <t>708002338639820 201155518530005</t>
  </si>
  <si>
    <t>EUNICE NUNES DA PENHA</t>
  </si>
  <si>
    <t xml:space="preserve">  (11)   986676423</t>
  </si>
  <si>
    <t>(11)   983930284</t>
  </si>
  <si>
    <t>MAURA MAGALHAES COELHO</t>
  </si>
  <si>
    <t>(11) 985340615</t>
  </si>
  <si>
    <t>700306937285932 801440499004820</t>
  </si>
  <si>
    <t>MARIA VIEIRA DO NASCIMENTO</t>
  </si>
  <si>
    <t xml:space="preserve">  (11)   947249407</t>
  </si>
  <si>
    <t>702807197285163 201155314100002</t>
  </si>
  <si>
    <t>MARIA JOSE DA SILVA BATISTA</t>
  </si>
  <si>
    <t>(11) 967348456</t>
  </si>
  <si>
    <t>(11) 954450488</t>
  </si>
  <si>
    <t>MARIA DA CONCEICAO SILVA</t>
  </si>
  <si>
    <t>(11) 978942295</t>
  </si>
  <si>
    <t>JELZA RITA DOS SANTOS</t>
  </si>
  <si>
    <t>(11) 984181311</t>
  </si>
  <si>
    <t>(11) 943744734</t>
  </si>
  <si>
    <t>HERMINIA MARIA DA CONCEICAO</t>
  </si>
  <si>
    <t>(11) 965548675</t>
  </si>
  <si>
    <t>06/02/2026 13h às 17h</t>
  </si>
  <si>
    <t>JORGE CARLOS CUNHA</t>
  </si>
  <si>
    <t xml:space="preserve">  (11)   989537465</t>
  </si>
  <si>
    <t xml:space="preserve">  (11)   966586224</t>
  </si>
  <si>
    <t xml:space="preserve">  (11)   910325563</t>
  </si>
  <si>
    <t>MARIA JOVELINA DE SOUZA</t>
  </si>
  <si>
    <t xml:space="preserve">  (11)   947669253</t>
  </si>
  <si>
    <t>MARIA CICERA DE OLIVEIRA NUNES</t>
  </si>
  <si>
    <t xml:space="preserve">  (11)  987124624</t>
  </si>
  <si>
    <t>MARIA JOSE LEITE</t>
  </si>
  <si>
    <t>(11) 968993708</t>
  </si>
  <si>
    <t>(11) 967132568</t>
  </si>
  <si>
    <t>MARIA EUNICE SILVA BARBOZA DA SILVA</t>
  </si>
  <si>
    <t>(11) 911229731</t>
  </si>
  <si>
    <t>(11) 984604699</t>
  </si>
  <si>
    <t>DERLIZIELMA JULIAO DOS SANTOS</t>
  </si>
  <si>
    <t>(11) 954784199</t>
  </si>
  <si>
    <t>ORICO DE OLIVEIRA</t>
  </si>
  <si>
    <t>(11) 986220255</t>
  </si>
  <si>
    <t>(11) 982908248</t>
  </si>
  <si>
    <t>MIGUEL JOSE DOS SANTOS FILHO</t>
  </si>
  <si>
    <t xml:space="preserve">  (11)   963112896</t>
  </si>
  <si>
    <t>700609924425862 801440412278761</t>
  </si>
  <si>
    <t>RAIMUNDA JESUS DOS SANTOS</t>
  </si>
  <si>
    <t>(11) 979650170</t>
  </si>
  <si>
    <t>(11) 948858495</t>
  </si>
  <si>
    <t>ARACY DE ALMEIDA CARNEIRO</t>
  </si>
  <si>
    <t>(11) 982044541</t>
  </si>
  <si>
    <t>(11) 970214773</t>
  </si>
  <si>
    <t>JOSENEIDE CORREIA</t>
  </si>
  <si>
    <t>(11) 983544642</t>
  </si>
  <si>
    <t xml:space="preserve">  (11)   951755496</t>
  </si>
  <si>
    <t>09/02/2026 13h às 17h</t>
  </si>
  <si>
    <t>MESSIAS SOUSA OLIVEIRA SANTOS</t>
  </si>
  <si>
    <t xml:space="preserve">  (11)   967874601</t>
  </si>
  <si>
    <t xml:space="preserve">  (11)   983906857</t>
  </si>
  <si>
    <t>JOAO DE DEUS GOMES BARBOSA</t>
  </si>
  <si>
    <t>(11) 993027638</t>
  </si>
  <si>
    <t>FERNANDA QUIRINO DE LIMA</t>
  </si>
  <si>
    <t>(11) 980746012</t>
  </si>
  <si>
    <t>(11) 962281171</t>
  </si>
  <si>
    <t>CARLOS ROBERTO DE OLIVEIRA</t>
  </si>
  <si>
    <t>(11) 956176578</t>
  </si>
  <si>
    <t>(11) 941290453</t>
  </si>
  <si>
    <t>LUZIA DE FATIMA FERRAZ DOS SANTOS</t>
  </si>
  <si>
    <t>(11) 964647544</t>
  </si>
  <si>
    <t>JUSCELINA ROSA DE JESUS SOUSA</t>
  </si>
  <si>
    <t>(11) 959155697</t>
  </si>
  <si>
    <t>(11) 987484571</t>
  </si>
  <si>
    <t>(11) 986031584</t>
  </si>
  <si>
    <t>(11) 970676184</t>
  </si>
  <si>
    <t>TAINA CHRISTINY CLEACE</t>
  </si>
  <si>
    <t>(11) 932236077</t>
  </si>
  <si>
    <t>(11) 986215132</t>
  </si>
  <si>
    <t>ANA MARIA SANTOS SOUZA</t>
  </si>
  <si>
    <t>(11) 992118088</t>
  </si>
  <si>
    <t>(11) 932021479</t>
  </si>
  <si>
    <t>ELIENE MARIETA MORAIS VIEIRA</t>
  </si>
  <si>
    <t>(11) 958543068</t>
  </si>
  <si>
    <t>(11) 948414570</t>
  </si>
  <si>
    <t>MARGARIDA MARIA DE OLIVEIRA CASTRO</t>
  </si>
  <si>
    <t>(11) 939285352</t>
  </si>
  <si>
    <t>MARIA DE FATIMA DA SILVA QUININO</t>
  </si>
  <si>
    <t>(11) 965145746</t>
  </si>
  <si>
    <t>(11) 950698885</t>
  </si>
  <si>
    <t>11/02/2026 08h às 13h</t>
  </si>
  <si>
    <t>VALDECI PEREIRA DE MELO</t>
  </si>
  <si>
    <t>MARIA LUCIA SILVA DA COSTA</t>
  </si>
  <si>
    <t>MARIA DE FATIMA GOMES DE LIMA HOLANDA</t>
  </si>
  <si>
    <t>KATIA REGINA VIEIRA MORAIS DO O</t>
  </si>
  <si>
    <t>MARIA HELENA DE CARVALHO XAVIER</t>
  </si>
  <si>
    <t>ISAAC ISRAEL DA SILVA</t>
  </si>
  <si>
    <t>JANETE FERREIRA LIMA NUNES</t>
  </si>
  <si>
    <t>DALVA EPIFANIA GONCALVES</t>
  </si>
  <si>
    <t>JOSE OSMARIO BRITO DE SOUZA</t>
  </si>
  <si>
    <t>EUDES DA FONSECA LEITE</t>
  </si>
  <si>
    <t>JOSE ANDRADE DOS SANTOS</t>
  </si>
  <si>
    <t>13/02/2026 13h às 17h</t>
  </si>
  <si>
    <t>NADIR FARIA DE ANDRADE</t>
  </si>
  <si>
    <t>(11) 9766-77094</t>
  </si>
  <si>
    <t>GILSON DA SILVA</t>
  </si>
  <si>
    <t>(11) 9584-06575</t>
  </si>
  <si>
    <t>BENEDITO APARECIDO DE SOUZA</t>
  </si>
  <si>
    <t>(11) 9848-10058</t>
  </si>
  <si>
    <t>ANTONIO CARLOS PEREIRA LOPES</t>
  </si>
  <si>
    <t>(11) 9643-04598</t>
  </si>
  <si>
    <t>JOSE FERREIRA DA SILVA</t>
  </si>
  <si>
    <t>(11) 9935-22109</t>
  </si>
  <si>
    <t>ELISETE DA COSTA BARROS</t>
  </si>
  <si>
    <t>(11) 9756-18413</t>
  </si>
  <si>
    <t>IVANETE FERREIRA DE ANDRADE RASTINI</t>
  </si>
  <si>
    <t>(11) 9861-75981</t>
  </si>
  <si>
    <t>(11) 9902-42229</t>
  </si>
  <si>
    <t>EDSON DE OLIVEIRA E SILVA</t>
  </si>
  <si>
    <t>(11) 9588-33866</t>
  </si>
  <si>
    <t>RUBENS MACHADO</t>
  </si>
  <si>
    <t>(11) 9870-51947</t>
  </si>
  <si>
    <t>RONALDO MARIANO DA SILVA</t>
  </si>
  <si>
    <t>(11) 9873-69772</t>
  </si>
  <si>
    <t>MARLUCIA DE OLIVEIRA SOARES</t>
  </si>
  <si>
    <t>(11) 9825-49541</t>
  </si>
  <si>
    <t>20/02/2026 13h às 17h</t>
  </si>
  <si>
    <t>JOAO FONSECA NETO</t>
  </si>
  <si>
    <t>HELENITA ALEXANDRINA PIRES PEIXOTO</t>
  </si>
  <si>
    <t>EDSON FLAVIO DA SILVA</t>
  </si>
  <si>
    <t>ARISTEU PARO</t>
  </si>
  <si>
    <t>MIGUEL BAUERMANN FISCHER</t>
  </si>
  <si>
    <t>JOAO CUSTODIO PINTO</t>
  </si>
  <si>
    <t>FRANCINETE DE ARAUJO LIMA</t>
  </si>
  <si>
    <t>MANOEL SOARES CABRAL</t>
  </si>
  <si>
    <t>JOSEFA ROSA BARBOSA DA SILVA</t>
  </si>
  <si>
    <t>JADE ALMEIDA SOUZA</t>
  </si>
  <si>
    <t>NOAH GABRIEL ALMEIDA</t>
  </si>
  <si>
    <t>23/02/2026 13h às 17h</t>
  </si>
  <si>
    <t>Setor VII - UBS Parque do Engenho II</t>
  </si>
  <si>
    <t>OSCAR MARTINS DOS SANTOS</t>
  </si>
  <si>
    <t>(11) 971836833</t>
  </si>
  <si>
    <t xml:space="preserve">  (11)   961152112</t>
  </si>
  <si>
    <t>Setor VII - UBS Jd Macedônia</t>
  </si>
  <si>
    <t>CACILDA VIANA DA SILVA DE LAIA</t>
  </si>
  <si>
    <t xml:space="preserve">  (11)   966639821</t>
  </si>
  <si>
    <t>(11) 978649999</t>
  </si>
  <si>
    <t>Setor VII - UBS Jd Eledy</t>
  </si>
  <si>
    <t>RITA RUFINO RAMOS</t>
  </si>
  <si>
    <t>(11) 987446937</t>
  </si>
  <si>
    <t>Setor VII - UBS Jd Magdalena</t>
  </si>
  <si>
    <t>LAUDILINO CARDOSO LEAL</t>
  </si>
  <si>
    <t>(11) 970215400</t>
  </si>
  <si>
    <t>(11) 957888784</t>
  </si>
  <si>
    <t>ARIDELSON ROSENDO DA SILVA</t>
  </si>
  <si>
    <t>(11) 983052311</t>
  </si>
  <si>
    <t>(11) 916991484</t>
  </si>
  <si>
    <t>JOVACYR CARLOS REZENDE MARTINS</t>
  </si>
  <si>
    <t>(11) 957617515</t>
  </si>
  <si>
    <t>ROSELITA MARIA DA COSTA</t>
  </si>
  <si>
    <t xml:space="preserve">  (11)  987163602</t>
  </si>
  <si>
    <t>TEODORA RODRIGUES</t>
  </si>
  <si>
    <t xml:space="preserve">  (11)   948654883</t>
  </si>
  <si>
    <t>SHAIANA TAINAN SANTOS SILVA</t>
  </si>
  <si>
    <t>(11) 951789291</t>
  </si>
  <si>
    <t>QUITERIA JERONIMO COSTA</t>
  </si>
  <si>
    <t>(11) 983807881</t>
  </si>
  <si>
    <t xml:space="preserve">  (11)  958075284</t>
  </si>
  <si>
    <t xml:space="preserve">  (11)   964489816</t>
  </si>
  <si>
    <t>JULIA DE OLIVEIRA SAVRACKY</t>
  </si>
  <si>
    <t>(11) 949231895</t>
  </si>
  <si>
    <t>25/02/2026 08h às 13h</t>
  </si>
  <si>
    <t>Setor VI - UBS Jardim Comercial</t>
  </si>
  <si>
    <t>705405402036790 898001452823636</t>
  </si>
  <si>
    <t>MANOEL ADAO SOARES DOS SANTOS</t>
  </si>
  <si>
    <t>(11)   962034050</t>
  </si>
  <si>
    <t>(11)   965548675</t>
  </si>
  <si>
    <t>Setor VI - UBS Luar do Sertão</t>
  </si>
  <si>
    <t>EDILEUSA MARIA DOS SANTOS</t>
  </si>
  <si>
    <t>Setor VI - AMA UBS Pq. Fernanda</t>
  </si>
  <si>
    <t>ANA MARIA DE SENA</t>
  </si>
  <si>
    <t xml:space="preserve">  (11)   968562314</t>
  </si>
  <si>
    <t>Setor VI - UBS Jardim São Bento</t>
  </si>
  <si>
    <t>ANDREIA LUIZ DA CONCEICAO</t>
  </si>
  <si>
    <t>(11) 959536559</t>
  </si>
  <si>
    <t>FILIPE DE BARROS SILVA SOARES</t>
  </si>
  <si>
    <t>(11) 991786325</t>
  </si>
  <si>
    <t>JETHERO MIYASHIRO LOPES</t>
  </si>
  <si>
    <t>(11)912866310</t>
  </si>
  <si>
    <t xml:space="preserve">(11)958708221
</t>
  </si>
  <si>
    <t>708902730803019 201152534450018</t>
  </si>
  <si>
    <t>(11) 985315187</t>
  </si>
  <si>
    <t>(11)965548675</t>
  </si>
  <si>
    <t>WALDIR BARROSO LIMA</t>
  </si>
  <si>
    <t>(11) 990114538</t>
  </si>
  <si>
    <t>(11) 942559689</t>
  </si>
  <si>
    <t>ADELIA RIBEIRO DA SILVA OLIVEIRA</t>
  </si>
  <si>
    <t xml:space="preserve">  (11)   949649849</t>
  </si>
  <si>
    <t>(11) 959368423</t>
  </si>
  <si>
    <t>MARIA DA COSTA OLIVEIRA SANTOS</t>
  </si>
  <si>
    <t>(11) 958820797</t>
  </si>
  <si>
    <t>(11) 948578181</t>
  </si>
  <si>
    <t>LUIZ CARLOS ALVES CAVALCANTE</t>
  </si>
  <si>
    <t xml:space="preserve">  (11)   978531442</t>
  </si>
  <si>
    <t>JONILTON FERNANDES DOS SANTOS</t>
  </si>
  <si>
    <t xml:space="preserve">  (11)   970599826</t>
  </si>
  <si>
    <t xml:space="preserve">  (11)   965548675</t>
  </si>
  <si>
    <t>27/02/2026 13h às 17h</t>
  </si>
  <si>
    <t>SEBASTIAO DE ALMEIDA SOUZA</t>
  </si>
  <si>
    <t xml:space="preserve">  (11)   981985176</t>
  </si>
  <si>
    <t>NADIR ROSA DA SILVA</t>
  </si>
  <si>
    <t>(11) 946656226</t>
  </si>
  <si>
    <t>(11) 996875346</t>
  </si>
  <si>
    <t>SEBASTIAO FRANCISCO DOS SANTOS</t>
  </si>
  <si>
    <t>(11) 9764-05204</t>
  </si>
  <si>
    <t>(11) 9595-09771</t>
  </si>
  <si>
    <t>EDUARDO CALISTO BORGES</t>
  </si>
  <si>
    <t xml:space="preserve">	  (11)   953819857</t>
  </si>
  <si>
    <t>ALEXANDRE ALVES MACHADO</t>
  </si>
  <si>
    <t>(11) 994738193</t>
  </si>
  <si>
    <t>(11) 966135585</t>
  </si>
  <si>
    <t>WILSON SANTOS OLIVEIRA</t>
  </si>
  <si>
    <t>(11) 984970485</t>
  </si>
  <si>
    <t>(11) 947278110</t>
  </si>
  <si>
    <t>EDIVAN ALVES DA SILVA</t>
  </si>
  <si>
    <t>(11) 949264303</t>
  </si>
  <si>
    <t>(11) 947374029</t>
  </si>
  <si>
    <t>ANGELA MARIA NASCIMENTO OLIVEIRA</t>
  </si>
  <si>
    <t>(11) 978181439</t>
  </si>
  <si>
    <t>JESSICA DAMASCENO</t>
  </si>
  <si>
    <t>(11) 985581707</t>
  </si>
  <si>
    <t>(11) 964538485</t>
  </si>
  <si>
    <t>JOSE FLORENTINO FILHO</t>
  </si>
  <si>
    <t>(11) 965547483</t>
  </si>
  <si>
    <t>(11) 990160997</t>
  </si>
  <si>
    <t>JURACI SOUSA SILVA</t>
  </si>
  <si>
    <t>(11) 957883077</t>
  </si>
  <si>
    <t>(11) 960738636</t>
  </si>
  <si>
    <t>Consolidado Final</t>
  </si>
  <si>
    <t>03/02/2026 13h às 17h</t>
  </si>
  <si>
    <t>Setor  I - UBS Vila Calu</t>
  </si>
  <si>
    <t>LENICE MOREIRA DOS SANTOS</t>
  </si>
  <si>
    <t>Setor  I - UBS Vera Cruz</t>
  </si>
  <si>
    <t>JOSEFINA DA CRUZ SILVA</t>
  </si>
  <si>
    <t>DA - M'Boi Mirim</t>
  </si>
  <si>
    <t>Setor  I - UBS Jardim Capela</t>
  </si>
  <si>
    <t>Cancelado</t>
  </si>
  <si>
    <t>Setor  I - UBS Horizonte Azul</t>
  </si>
  <si>
    <t>TADEU MARIO DE ARAUJO</t>
  </si>
  <si>
    <t>NELSON DA CONCEICAO</t>
  </si>
  <si>
    <t>APARECIDA SILVA</t>
  </si>
  <si>
    <t>Setor  II - UBS Parque Novo Santo Amaro</t>
  </si>
  <si>
    <t>Setor  II - UBS Jardim Caiçara</t>
  </si>
  <si>
    <t>Setor  II - UBS Jardim Guarujá</t>
  </si>
  <si>
    <t>Setor  II - UBS Paranapanema</t>
  </si>
  <si>
    <t>NIUZETE MARQUES DOS REIS</t>
  </si>
  <si>
    <t xml:space="preserve">Setor  II - UBS Chácara Santa Maria </t>
  </si>
  <si>
    <t>JOSE LUIZ SILVEIRA FREITAS</t>
  </si>
  <si>
    <t>05/02/2026 13h às 17h</t>
  </si>
  <si>
    <t>58676520844</t>
  </si>
  <si>
    <t>MARIA ISABEL DA SILVA</t>
  </si>
  <si>
    <t xml:space="preserve">  (11)   968099271</t>
  </si>
  <si>
    <t xml:space="preserve">  (11)   980429323</t>
  </si>
  <si>
    <t>26527125860</t>
  </si>
  <si>
    <t>MARIA MADRONA BATISTA</t>
  </si>
  <si>
    <t>(11) 930398749</t>
  </si>
  <si>
    <t>(11) 994750932</t>
  </si>
  <si>
    <t>57032874800</t>
  </si>
  <si>
    <t>VALDOMIRO LOPES</t>
  </si>
  <si>
    <t>(11) 959239282</t>
  </si>
  <si>
    <t>(11) 996067326</t>
  </si>
  <si>
    <t>09383794453</t>
  </si>
  <si>
    <t>LUIS CELESTINO DE LIMA</t>
  </si>
  <si>
    <t>(11) 985173889</t>
  </si>
  <si>
    <t>(11) 920072462</t>
  </si>
  <si>
    <t>38672388801</t>
  </si>
  <si>
    <t>ANDRESSA VIGUINI CAMPISTA SAO BENTO</t>
  </si>
  <si>
    <t>(11) 961309067</t>
  </si>
  <si>
    <t>17424502883</t>
  </si>
  <si>
    <t>GENILDO LOURENCO DA SILVA</t>
  </si>
  <si>
    <t>(11) 987692817</t>
  </si>
  <si>
    <t>00351120858</t>
  </si>
  <si>
    <t>ANTONIO RODRIGUES DOS SANTOS</t>
  </si>
  <si>
    <t>(11) 937451242</t>
  </si>
  <si>
    <t>05033619845</t>
  </si>
  <si>
    <t>MARIA CONCEICAO BISPO MACEDO</t>
  </si>
  <si>
    <t>(11) 969622020</t>
  </si>
  <si>
    <t>00073579319</t>
  </si>
  <si>
    <t>ELONEIDA BEZERRA DA SILVA</t>
  </si>
  <si>
    <t>(11) 962349916</t>
  </si>
  <si>
    <t>(11) 967137867</t>
  </si>
  <si>
    <t>21180318404</t>
  </si>
  <si>
    <t>CICERO JOSE DA SILVA</t>
  </si>
  <si>
    <t>(11) 930417062</t>
  </si>
  <si>
    <t>15202664800</t>
  </si>
  <si>
    <t>MARIA IZILDINHA DE JESUS PEREIRA</t>
  </si>
  <si>
    <t>(11) 982730245</t>
  </si>
  <si>
    <t>(11) 958036455</t>
  </si>
  <si>
    <t>(11) 953603394</t>
  </si>
  <si>
    <t>10/02/2026 13h às 17h</t>
  </si>
  <si>
    <t>09177389859</t>
  </si>
  <si>
    <t>FRANCISCO JOAQUIM TEIXEIRA</t>
  </si>
  <si>
    <t>23170246810</t>
  </si>
  <si>
    <t>JOVELINA PEREIRA DE CARVALHO COSTA</t>
  </si>
  <si>
    <t>32441462873</t>
  </si>
  <si>
    <t>JACI MARIA DE SOUSA LACO</t>
  </si>
  <si>
    <t>(11) 983570797</t>
  </si>
  <si>
    <t xml:space="preserve">  (11)   968271107</t>
  </si>
  <si>
    <t>11843948818</t>
  </si>
  <si>
    <t>GIVALDO DA SILVA</t>
  </si>
  <si>
    <t>13618613806</t>
  </si>
  <si>
    <t>MARIA DE FATIMA RODRIGUES DE OLIVEIRA SANTOS</t>
  </si>
  <si>
    <t>03634896817</t>
  </si>
  <si>
    <t>LUIZ BEZERRA DA SILVA</t>
  </si>
  <si>
    <t>01/051953</t>
  </si>
  <si>
    <t>MARIA JOSE</t>
  </si>
  <si>
    <t>11177949890</t>
  </si>
  <si>
    <t>MAURA APARECIDA MASSARO DE LUNA</t>
  </si>
  <si>
    <t xml:space="preserve">12/02/2026 13h às 17h </t>
  </si>
  <si>
    <t>95435859891</t>
  </si>
  <si>
    <t>EDES MARTINS DOS SANTOS</t>
  </si>
  <si>
    <t xml:space="preserve">  (11)  992186894</t>
  </si>
  <si>
    <t xml:space="preserve">  (11)   966168263</t>
  </si>
  <si>
    <t>01248031806</t>
  </si>
  <si>
    <t>707404083299272 801440420517478</t>
  </si>
  <si>
    <t>JOSE PEDRO DA SILVA</t>
  </si>
  <si>
    <t xml:space="preserve">  (11)   932817447</t>
  </si>
  <si>
    <t xml:space="preserve">  (11)   934898919</t>
  </si>
  <si>
    <t>14687890822</t>
  </si>
  <si>
    <t>NEIDE MARIA DA SILVA</t>
  </si>
  <si>
    <t>(11) 968184224</t>
  </si>
  <si>
    <t>(11) 964668587</t>
  </si>
  <si>
    <t>44718454891</t>
  </si>
  <si>
    <t>EUGENIO PEREIRA DOS SANTOS</t>
  </si>
  <si>
    <t>(11) 55432108</t>
  </si>
  <si>
    <t>35047201821</t>
  </si>
  <si>
    <t>KARINE DE CAMARGO SANTANA</t>
  </si>
  <si>
    <t>(11) 962199889</t>
  </si>
  <si>
    <t>95444556804</t>
  </si>
  <si>
    <t>700501718455453 204296236520007</t>
  </si>
  <si>
    <t>ASCENOR ANTONIO IZEQUIEL</t>
  </si>
  <si>
    <t>(11) 982717030</t>
  </si>
  <si>
    <t>(11) 948963737</t>
  </si>
  <si>
    <t>14339736856</t>
  </si>
  <si>
    <t>MARIA DAS GRACAS PEREIRA ALVES</t>
  </si>
  <si>
    <t>(11) 9460-98630</t>
  </si>
  <si>
    <t>03090322889</t>
  </si>
  <si>
    <t>VAGNER HEIBB DE ALMEIDA</t>
  </si>
  <si>
    <t>(11) 980133666</t>
  </si>
  <si>
    <t>(11) 967855046</t>
  </si>
  <si>
    <t>28268527870</t>
  </si>
  <si>
    <t>FRANCINELDA MARQUES DE SOUSA</t>
  </si>
  <si>
    <t>(11) 968305180</t>
  </si>
  <si>
    <t>11284555879</t>
  </si>
  <si>
    <t>MARTA DE FATIMA GONCALVES</t>
  </si>
  <si>
    <t>(11) 973481724</t>
  </si>
  <si>
    <t>(11) 937566478</t>
  </si>
  <si>
    <t>19/02/2026 13h às 17h</t>
  </si>
  <si>
    <t>22041613300</t>
  </si>
  <si>
    <t>MARLENE CRUZ DE SOUSA</t>
  </si>
  <si>
    <t>12474848827</t>
  </si>
  <si>
    <t>MARILEIDE LOBO DA CRUZ</t>
  </si>
  <si>
    <t>11453703810</t>
  </si>
  <si>
    <t>WILSON GONCALVES DA SILVA</t>
  </si>
  <si>
    <t>75633370830</t>
  </si>
  <si>
    <t>MANUEL JOSIAS DA SILVA</t>
  </si>
  <si>
    <t>22704073856</t>
  </si>
  <si>
    <t>SANDRA FERREIRA DA SILVA</t>
  </si>
  <si>
    <t>00024810819</t>
  </si>
  <si>
    <t>MARIA INEZ DE AVILA PRUDENCIO</t>
  </si>
  <si>
    <t>19582488867</t>
  </si>
  <si>
    <t>IRACEMA ARES PEREIRA</t>
  </si>
  <si>
    <t>90620186887</t>
  </si>
  <si>
    <t>JOSE EDILSON PRUDENCIO SILVA</t>
  </si>
  <si>
    <t>"00073579319"</t>
  </si>
  <si>
    <t>06479663870</t>
  </si>
  <si>
    <t>HILDA OLIVA DUTRA SOARES</t>
  </si>
  <si>
    <t>63789922820</t>
  </si>
  <si>
    <t>WILSON ROBERTO BIANCHI</t>
  </si>
  <si>
    <t>24/02/2026 13h às 17h</t>
  </si>
  <si>
    <t>ABDIAS JOSE DOS SANTOS</t>
  </si>
  <si>
    <t xml:space="preserve">  (11)   964152775</t>
  </si>
  <si>
    <t>MARIA DA PENHA OLIVEIRA SILVA</t>
  </si>
  <si>
    <t xml:space="preserve">  (11)  986788481</t>
  </si>
  <si>
    <t xml:space="preserve">  (11)   947717724</t>
  </si>
  <si>
    <t>JEZONIAS JOSIAS DE SOUZA</t>
  </si>
  <si>
    <t xml:space="preserve">  (11)  937035831</t>
  </si>
  <si>
    <t>RAUL VITOR DE ARAUJO</t>
  </si>
  <si>
    <t xml:space="preserve">  (11)  979879669</t>
  </si>
  <si>
    <t xml:space="preserve">  (11)   965123273</t>
  </si>
  <si>
    <t>LILIANA MARIA DO NASCIMENTO</t>
  </si>
  <si>
    <t xml:space="preserve">  (11)   977273479</t>
  </si>
  <si>
    <t>MATILDE JOSE DE OLIVEIRA</t>
  </si>
  <si>
    <t>(11)  959768650</t>
  </si>
  <si>
    <t>LUIZ PEREIRA DA SILVA</t>
  </si>
  <si>
    <t xml:space="preserve">  (11)   959958004</t>
  </si>
  <si>
    <t>26/02/2026 13h às 17h</t>
  </si>
  <si>
    <t>14666366881</t>
  </si>
  <si>
    <t>ALTAIR DOS SANTOS</t>
  </si>
  <si>
    <t xml:space="preserve">  (11)  986509448</t>
  </si>
  <si>
    <t xml:space="preserve">  (11)   971327741</t>
  </si>
  <si>
    <t>94416010800</t>
  </si>
  <si>
    <t>FRANCISCO CALISTO DE SOUZA</t>
  </si>
  <si>
    <t xml:space="preserve">  (11)  965825060</t>
  </si>
  <si>
    <t xml:space="preserve">  (11)   945410338</t>
  </si>
  <si>
    <t>15206380865</t>
  </si>
  <si>
    <t>MARIA DO CARMO GOUVEIA FERREIRA</t>
  </si>
  <si>
    <t>(11) 996016755</t>
  </si>
  <si>
    <t>18968749833</t>
  </si>
  <si>
    <t>(11) 913619385</t>
  </si>
  <si>
    <t>07337362897</t>
  </si>
  <si>
    <t>RAQUEL GOUVEIA MEYER</t>
  </si>
  <si>
    <t>(11) 963684389</t>
  </si>
  <si>
    <t>(11) 946797438</t>
  </si>
  <si>
    <t>13621853880</t>
  </si>
  <si>
    <t>CRISTINA LUIZA DE BARROS BARBOSA</t>
  </si>
  <si>
    <t>01244433896</t>
  </si>
  <si>
    <t>CLAUDIONOR SANTANA</t>
  </si>
  <si>
    <t>26757568810</t>
  </si>
  <si>
    <t>CLEUSA CECILA QUINTAO</t>
  </si>
  <si>
    <t>(11) 930980144</t>
  </si>
  <si>
    <t>(11) 987684465</t>
  </si>
  <si>
    <t>08934311843</t>
  </si>
  <si>
    <t>(11) 992832231</t>
  </si>
  <si>
    <t>12772236889</t>
  </si>
  <si>
    <t>VALDEMAR CARLOS FREIRE</t>
  </si>
  <si>
    <t>(11) 987406570</t>
  </si>
  <si>
    <t>(11) 986996813</t>
  </si>
  <si>
    <t>42323347420</t>
  </si>
  <si>
    <t>FRANCISCO FERREIRA DAS CHAGAS</t>
  </si>
  <si>
    <t>02/03/2026 13h às 17h</t>
  </si>
  <si>
    <t>87339242872</t>
  </si>
  <si>
    <t>JOAQUIM PEREIRA DO CARMO</t>
  </si>
  <si>
    <t>3181140899</t>
  </si>
  <si>
    <t>27851601851</t>
  </si>
  <si>
    <t>MARLOVE SILVA DE JESUS CASTRO</t>
  </si>
  <si>
    <t>11466569808</t>
  </si>
  <si>
    <t>NILDA MARIA DA SILVA</t>
  </si>
  <si>
    <t>5504884802</t>
  </si>
  <si>
    <t>JOAO FERREIRA DOS SANTOS</t>
  </si>
  <si>
    <t>35943826807</t>
  </si>
  <si>
    <t>VALDELICE DA CONCEICAO</t>
  </si>
  <si>
    <t>43215937867</t>
  </si>
  <si>
    <t>CAMILLY VITORIA DE CAMPOS OLIVEIRA CRUZ</t>
  </si>
  <si>
    <t>28292924809</t>
  </si>
  <si>
    <t>ALTAMIRA DA SILVA PEREIRA</t>
  </si>
  <si>
    <t>39658965806</t>
  </si>
  <si>
    <t>13670061479</t>
  </si>
  <si>
    <t>THALICIA NUNES SIQUEIRA</t>
  </si>
  <si>
    <t>27413993368</t>
  </si>
  <si>
    <t>REGINALDO DOS SANTOS LIRA</t>
  </si>
  <si>
    <t>26801222830</t>
  </si>
  <si>
    <t>RISALDO MENDES PEREIRA</t>
  </si>
  <si>
    <t xml:space="preserve">  (11)   953327159</t>
  </si>
  <si>
    <t xml:space="preserve">  (11)   984001091</t>
  </si>
  <si>
    <t>11 988604469</t>
  </si>
  <si>
    <t>40032917864</t>
  </si>
  <si>
    <t>ROSA DE JESUS ALVES DO OURO</t>
  </si>
  <si>
    <t xml:space="preserve">  (11)   951976534</t>
  </si>
  <si>
    <t>79567339449</t>
  </si>
  <si>
    <t>ROSILDA SEVERINA GONCALVES</t>
  </si>
  <si>
    <t>11 965552821</t>
  </si>
  <si>
    <t>11 997938865</t>
  </si>
  <si>
    <t>3522666860</t>
  </si>
  <si>
    <t>MARIA LUCIA MARINHO</t>
  </si>
  <si>
    <t>98161385572</t>
  </si>
  <si>
    <t>ANTONIO DE SOUZA ARAUJO</t>
  </si>
  <si>
    <t>(11)  951195263</t>
  </si>
  <si>
    <t>(11)   945845094</t>
  </si>
  <si>
    <t>38157738814</t>
  </si>
  <si>
    <t>CIBELE FERNANDES DE SOUZA</t>
  </si>
  <si>
    <t xml:space="preserve">  (11)   959501208</t>
  </si>
  <si>
    <t>45918740368</t>
  </si>
  <si>
    <t>MARIA VANDERLITA SOUSA</t>
  </si>
  <si>
    <t>8648418844</t>
  </si>
  <si>
    <t>VALDEMAR PIRES PEDROSO</t>
  </si>
  <si>
    <t>(11) 964386583</t>
  </si>
  <si>
    <t>FRANCISCA MARINHA DE SOUSA NETA</t>
  </si>
  <si>
    <t>2383923761</t>
  </si>
  <si>
    <t>JOSE SEVERINO DE SOUZA</t>
  </si>
  <si>
    <t>52669556868</t>
  </si>
  <si>
    <t>IVANALDO PEREIRA DOS SANTOS</t>
  </si>
  <si>
    <t>6521985892</t>
  </si>
  <si>
    <t>00022477802</t>
  </si>
  <si>
    <t>JUVENIL GERALDO ROMERO</t>
  </si>
  <si>
    <t>95238115849</t>
  </si>
  <si>
    <t>EDSON MENDES CAVALCANTI</t>
  </si>
  <si>
    <t>10708881769</t>
  </si>
  <si>
    <t>03346083845</t>
  </si>
  <si>
    <t>VICENTE WILTON DE SOUZA FELIPE</t>
  </si>
  <si>
    <t>26035906850</t>
  </si>
  <si>
    <t>NUBIA CRISTIANE NUNES SANTIAGO FADINI</t>
  </si>
  <si>
    <t>58638660472</t>
  </si>
  <si>
    <t>ABEL SEVERINO DA SILVA</t>
  </si>
  <si>
    <t>62269100468</t>
  </si>
  <si>
    <t>SEBASTIAO JOSE MARTINS DA COSTA</t>
  </si>
  <si>
    <t>6468722810</t>
  </si>
  <si>
    <t>MARIA EDNA DE ALMEIDA</t>
  </si>
  <si>
    <t>10175594813</t>
  </si>
  <si>
    <t>GILMAR ALVES PEREIRA</t>
  </si>
  <si>
    <t>80454470363</t>
  </si>
  <si>
    <t>MARIA LUCIA ALMEIDA DOS SANTOS LIMA</t>
  </si>
  <si>
    <t>34029988822</t>
  </si>
  <si>
    <t>JOSEMARIO VIEIRA DA SILVA</t>
  </si>
  <si>
    <t>34026121860</t>
  </si>
  <si>
    <t>FLAVIO JOSE SANTANA FERNANDES</t>
  </si>
  <si>
    <t>Vagas livre</t>
  </si>
  <si>
    <t>0930600843</t>
  </si>
  <si>
    <t>MARIA ROSARIA ALVES DE OLIVEIRA</t>
  </si>
  <si>
    <t>09192292801</t>
  </si>
  <si>
    <t>APARECIDA ELZA DA SILVA</t>
  </si>
  <si>
    <t>11 953499559</t>
  </si>
  <si>
    <t>12523776812</t>
  </si>
  <si>
    <t>MARTA MILHER FERNANDO CARDEAL</t>
  </si>
  <si>
    <t>21477905839</t>
  </si>
  <si>
    <t>SIVANILDA NOGUEIRA DA SILVA</t>
  </si>
  <si>
    <t>3385690498</t>
  </si>
  <si>
    <t>MARIA JULIA DA CONCEICAO MACHADO</t>
  </si>
  <si>
    <t>2346231878</t>
  </si>
  <si>
    <t>SEBASTIAO DA CRUZ</t>
  </si>
  <si>
    <t>11 988634750</t>
  </si>
  <si>
    <t>3733338898</t>
  </si>
  <si>
    <t>ANSELMO CICERO DO NASCIMENTO</t>
  </si>
  <si>
    <t>(11) 9584-18551</t>
  </si>
  <si>
    <t>11 58256634</t>
  </si>
  <si>
    <t>4875088400</t>
  </si>
  <si>
    <t>JOSIMARIO DA SILVA NASCIMENTO</t>
  </si>
  <si>
    <t>63684179868</t>
  </si>
  <si>
    <t>CONSTANTINO SAO JOSE DA SILVA</t>
  </si>
  <si>
    <t>66137276872</t>
  </si>
  <si>
    <t>JESUINO MARTINS DE ALMEIDA</t>
  </si>
  <si>
    <t>3596916844</t>
  </si>
  <si>
    <t>GILBERTO AMBROSIO DA SILVA</t>
  </si>
  <si>
    <t>11 991819296</t>
  </si>
  <si>
    <t>13440045803</t>
  </si>
  <si>
    <t>ELIZETE LUZ DE OLIVEIRA</t>
  </si>
  <si>
    <t>MARIA RAIMUNDA BORBA DOS SANTOS SILVA</t>
  </si>
  <si>
    <t>28080880867</t>
  </si>
  <si>
    <t>MARIA DE LURDES DO NASCIMENTO</t>
  </si>
  <si>
    <t>Setor V - UBS Jardim Maracá</t>
  </si>
  <si>
    <t>8650699804</t>
  </si>
  <si>
    <t>ANA BARBOSA PEREIRA</t>
  </si>
  <si>
    <t>Setor V - UBS Jardim Lídia</t>
  </si>
  <si>
    <t>48509167591</t>
  </si>
  <si>
    <t>VILSON NUNES LOPES</t>
  </si>
  <si>
    <t>Setor V - UBS Jardim Germânia</t>
  </si>
  <si>
    <t>29237245858</t>
  </si>
  <si>
    <t>LUIZA ALMEIDA CIPRIANO</t>
  </si>
  <si>
    <t>Setor V - UBS Jardim Valquíria</t>
  </si>
  <si>
    <t>04132820823</t>
  </si>
  <si>
    <t>EDILEUZA DE LOURDES COLOMBO DA COSTA</t>
  </si>
  <si>
    <t>9224579809</t>
  </si>
  <si>
    <t>LADISLAU ANTONIO SILVA NETO</t>
  </si>
  <si>
    <t>14892025879</t>
  </si>
  <si>
    <t>PATRICIA FERREIRA DE LIMA</t>
  </si>
  <si>
    <t>31417080884</t>
  </si>
  <si>
    <t>WESLEI ALVES</t>
  </si>
  <si>
    <t>32806755883</t>
  </si>
  <si>
    <t>MARIA SUELI FERREIRA DOS SANTOS</t>
  </si>
  <si>
    <t>10035617802</t>
  </si>
  <si>
    <t>NADIR NUNES DOS ANJOS PIRES</t>
  </si>
  <si>
    <t>12721607855</t>
  </si>
  <si>
    <t>MAURO DE JESUS BARROS</t>
  </si>
  <si>
    <t>09499840869</t>
  </si>
  <si>
    <t>MARIA DAS DORES PEREIRA</t>
  </si>
  <si>
    <t>91548136549</t>
  </si>
  <si>
    <t>MARIA NAILZA SOUZA DOS SANTOS</t>
  </si>
  <si>
    <t>13622057882</t>
  </si>
  <si>
    <t>CELIA MARIA PEREIRA GOMES DOS SANTOS</t>
  </si>
  <si>
    <t>04981516894</t>
  </si>
  <si>
    <t>DOMINGOS DE JESUS OLIVEIRA</t>
  </si>
  <si>
    <t>72120142734</t>
  </si>
  <si>
    <t>MARIA VANUZIA MARQUES</t>
  </si>
  <si>
    <t>04727664810</t>
  </si>
  <si>
    <t>DANIEL ALVES MARTINS</t>
  </si>
  <si>
    <t>04044384150</t>
  </si>
  <si>
    <t>NIDILENE DA SILVA FURTADO</t>
  </si>
  <si>
    <t>38356082153</t>
  </si>
  <si>
    <t>JOSENIR PINHEIRO COSTA</t>
  </si>
  <si>
    <t>94794537891</t>
  </si>
  <si>
    <t>HELENO MARINHO DE ESPINDOLA</t>
  </si>
  <si>
    <t>JOSE PAULINO PEREIRA</t>
  </si>
  <si>
    <t>10084863889</t>
  </si>
  <si>
    <t>MARCO ANTONIO DA SILVA</t>
  </si>
  <si>
    <t>05000066871</t>
  </si>
  <si>
    <t>ANTONIO PEREIRA</t>
  </si>
  <si>
    <t>04071290579</t>
  </si>
  <si>
    <t>GILMAR GUIMARAES BONFIM</t>
  </si>
  <si>
    <t>16941207833</t>
  </si>
  <si>
    <t>MARIA ROSA DOS ANJOS</t>
  </si>
  <si>
    <t xml:space="preserve">01085177807        </t>
  </si>
  <si>
    <t>ANILTON ROBERTO DA SILVA</t>
  </si>
  <si>
    <t>10707368804</t>
  </si>
  <si>
    <t>708601576345585</t>
  </si>
  <si>
    <t>MARIA DA PENHA SILVA DE OLIVEIRA</t>
  </si>
  <si>
    <t>22707158887</t>
  </si>
  <si>
    <t>VICENTE DE OLIVEIRA MACHADO</t>
  </si>
  <si>
    <t>25959269856</t>
  </si>
  <si>
    <t>07390005866</t>
  </si>
  <si>
    <t>MARIA DURCINEIA MARTINS</t>
  </si>
  <si>
    <t>28526913883</t>
  </si>
  <si>
    <t>MARIA CICERA PEREIRA DA SILVA</t>
  </si>
  <si>
    <t>14759178805</t>
  </si>
  <si>
    <t>CRISTINA MAIOTTI SEABRA GOMES</t>
  </si>
  <si>
    <t>06521985892</t>
  </si>
  <si>
    <t>33654676880</t>
  </si>
  <si>
    <t>MARIA DE SOUZA SANTANA</t>
  </si>
  <si>
    <t>11701505860</t>
  </si>
  <si>
    <t>MARIA ANGELA IBIAPINA EMIDIO</t>
  </si>
  <si>
    <t>22985329825</t>
  </si>
  <si>
    <t>DANILO SANTOS DA ENCARNACAO</t>
  </si>
  <si>
    <t>18417855807</t>
  </si>
  <si>
    <t>MARIA DE FATIMA LOPES MARIANO</t>
  </si>
  <si>
    <t>07470988831</t>
  </si>
  <si>
    <t>PAULO AFONSO DE OLIVEIRA</t>
  </si>
  <si>
    <t>73434264515</t>
  </si>
  <si>
    <t>ELIANA MARIA DE JESUS</t>
  </si>
  <si>
    <t>13238129899</t>
  </si>
  <si>
    <t>MARCIA MATIAS PEREIRA</t>
  </si>
  <si>
    <t>34320829832</t>
  </si>
  <si>
    <t>MARIA GENEROZA DE SOUZA SANTOS</t>
  </si>
  <si>
    <t>04891303484</t>
  </si>
  <si>
    <t>01222275813</t>
  </si>
  <si>
    <t>LUZINETE RIBEIRO DA SILVA</t>
  </si>
  <si>
    <t>19183458808</t>
  </si>
  <si>
    <t>AURA MAZZUIA</t>
  </si>
  <si>
    <t>03345853841</t>
  </si>
  <si>
    <t>CREMILDA OLIVEIRA</t>
  </si>
  <si>
    <t>SANDRA REGINA PEREIRA DA SILVA</t>
  </si>
  <si>
    <t>38852020934</t>
  </si>
  <si>
    <t>26399039851</t>
  </si>
  <si>
    <t>01312303794</t>
  </si>
  <si>
    <t>ROSINALDO MONTEIRO DE QUEIROZ</t>
  </si>
  <si>
    <t>22083380819</t>
  </si>
  <si>
    <t>EMERSON MATOS FERREIRA</t>
  </si>
  <si>
    <t>03564868852</t>
  </si>
  <si>
    <t>ANTONIO COSMO BARBOSA NOGUEIRA</t>
  </si>
  <si>
    <t>18475880851</t>
  </si>
  <si>
    <t>DILMA ALVES DE OLIVEIRA MENEZES</t>
  </si>
  <si>
    <t>03565180862</t>
  </si>
  <si>
    <t>VERA LUCIA GONCALVES FERREIRA</t>
  </si>
  <si>
    <t>10583353835</t>
  </si>
  <si>
    <t>OLIVIA MARIA DE LIMA E SOUZA</t>
  </si>
  <si>
    <t>24876896844</t>
  </si>
  <si>
    <t>SHIRLEY RAMOS SANTANA</t>
  </si>
  <si>
    <t>19655887863</t>
  </si>
  <si>
    <t>ROGERIO AFONSO SPIRITO</t>
  </si>
  <si>
    <t>09345717838</t>
  </si>
  <si>
    <t>22985358841</t>
  </si>
  <si>
    <t>ANDREZA FRANCISCA DOS SANTOS</t>
  </si>
  <si>
    <t>34447318504</t>
  </si>
  <si>
    <t>NAIR PEREIRA DOS SANTOS</t>
  </si>
  <si>
    <t>04414654807</t>
  </si>
  <si>
    <t>ROSIVAL MARIANO DA SILVA</t>
  </si>
  <si>
    <t>51242197850</t>
  </si>
  <si>
    <t>MATHEUS DOS SANTOS</t>
  </si>
  <si>
    <t>05448923801</t>
  </si>
  <si>
    <t>ELENI PINHEIRO BARBOSA</t>
  </si>
  <si>
    <t>57072809872</t>
  </si>
  <si>
    <t>AGAPIO DIAS DE LIMA</t>
  </si>
  <si>
    <t>11858293855</t>
  </si>
  <si>
    <t>JOANA DARC MORSELI DA SILVA</t>
  </si>
  <si>
    <t>10316156876</t>
  </si>
  <si>
    <t>MARIA DA CONSOLACAO COELHO</t>
  </si>
  <si>
    <t>08731033865</t>
  </si>
  <si>
    <t>MARIA LEOZINA DA SILVA</t>
  </si>
  <si>
    <t>30212126890</t>
  </si>
  <si>
    <t>SIMAURA MARIA DE JESUS</t>
  </si>
  <si>
    <t>ELIAS ANGELO DA SILVA</t>
  </si>
  <si>
    <t>12521325813</t>
  </si>
  <si>
    <t>JOSE LEITE DE MELO</t>
  </si>
  <si>
    <t>17072582878</t>
  </si>
  <si>
    <t>EDUARDO CANDIDO DA SILVA</t>
  </si>
  <si>
    <t>11397130865</t>
  </si>
  <si>
    <t>22169673865</t>
  </si>
  <si>
    <t>GILVANEY PEREIRA SALOMAO</t>
  </si>
  <si>
    <t>08797523860</t>
  </si>
  <si>
    <t>MARIA DAS GRACAS DE SOUZA</t>
  </si>
  <si>
    <t>19037546900</t>
  </si>
  <si>
    <t>OTAVIO DOMINGUES BAPTISTA</t>
  </si>
  <si>
    <t>19184322870</t>
  </si>
  <si>
    <t>JOSE RAIMUNDO SIMOES</t>
  </si>
  <si>
    <t>09307258678</t>
  </si>
  <si>
    <t>GERMANA IZABEL DE LANA EDUARDO</t>
  </si>
  <si>
    <t>45007063215</t>
  </si>
  <si>
    <t>ELIANE SANTOS GOMES</t>
  </si>
  <si>
    <t>08652828890</t>
  </si>
  <si>
    <t>APARECIDA MANOEL BAPTISTA</t>
  </si>
  <si>
    <t>55694411668</t>
  </si>
  <si>
    <t>VALDIVIO DE OLIVEIRA</t>
  </si>
  <si>
    <t>34159370896</t>
  </si>
  <si>
    <t>DAYANA FELIX DOS SANTOS</t>
  </si>
  <si>
    <t>26725262813</t>
  </si>
  <si>
    <t>JOSE DOS SANTOS GOMES</t>
  </si>
  <si>
    <t>10810049830</t>
  </si>
  <si>
    <t>700004378029604</t>
  </si>
  <si>
    <t>NALDI ERINS DA SILVA</t>
  </si>
  <si>
    <t>26990163810</t>
  </si>
  <si>
    <t>MARIA DAS GRACAS PAPACACIO DA SILVA</t>
  </si>
  <si>
    <t>03/03/2026 13h às 17h</t>
  </si>
  <si>
    <t>00704020866</t>
  </si>
  <si>
    <t>ANTONIA MARGARIDA DE OLIVEIRA NASCIMENTO</t>
  </si>
  <si>
    <t xml:space="preserve">  (11)  977253236</t>
  </si>
  <si>
    <t xml:space="preserve">  (11)   961160838</t>
  </si>
  <si>
    <t>17142989149</t>
  </si>
  <si>
    <t xml:space="preserve">NILSO DUARTE </t>
  </si>
  <si>
    <t xml:space="preserve">  (11)  977763159</t>
  </si>
  <si>
    <t xml:space="preserve">  (11)   948133077</t>
  </si>
  <si>
    <t>03572616824</t>
  </si>
  <si>
    <t>ALTEMIRANDO ROCHA</t>
  </si>
  <si>
    <t xml:space="preserve">  (11)   958015886</t>
  </si>
  <si>
    <t>19889087871</t>
  </si>
  <si>
    <t>SUSANA AMARAL DE OLIVEIRA</t>
  </si>
  <si>
    <t xml:space="preserve">  (11)  966581729</t>
  </si>
  <si>
    <t xml:space="preserve">  (11)   962841385</t>
  </si>
  <si>
    <t>15165931897</t>
  </si>
  <si>
    <t>705804467290336 201533966300008</t>
  </si>
  <si>
    <t>MARIA EUNICE PEREIRA DOS SANTOS SILVA</t>
  </si>
  <si>
    <t xml:space="preserve">  (11)  994577657</t>
  </si>
  <si>
    <t xml:space="preserve">  (11)   970601112</t>
  </si>
  <si>
    <t>40326070877</t>
  </si>
  <si>
    <t>MARCELO GOMES DE ALMEIDA</t>
  </si>
  <si>
    <t xml:space="preserve">  (11)   983494314</t>
  </si>
  <si>
    <t>05133285132</t>
  </si>
  <si>
    <t>ANALIA DOS SANTOS FERNANDES DE OLIVEIRA</t>
  </si>
  <si>
    <t>Não atendido</t>
  </si>
  <si>
    <t xml:space="preserve">  (11)   994626322</t>
  </si>
  <si>
    <t xml:space="preserve">  (11)  941176420</t>
  </si>
  <si>
    <t>13622689846</t>
  </si>
  <si>
    <t xml:space="preserve">Magda  Alves da Silva </t>
  </si>
  <si>
    <t>33431389830</t>
  </si>
  <si>
    <t>ALZIRA MARTINS GUTIERRE</t>
  </si>
  <si>
    <t xml:space="preserve">  (11)  985261201</t>
  </si>
  <si>
    <t xml:space="preserve">  (11)   952143988</t>
  </si>
  <si>
    <t>12982046822</t>
  </si>
  <si>
    <t>GERIMARIO EUSTAQUIO</t>
  </si>
  <si>
    <t xml:space="preserve">  (11)   977717467</t>
  </si>
  <si>
    <t>99333619887</t>
  </si>
  <si>
    <t>EUNICE DA CONCEICAO SILVA</t>
  </si>
  <si>
    <t xml:space="preserve">  (11)   991338850</t>
  </si>
  <si>
    <t xml:space="preserve">  (11)   981146867</t>
  </si>
  <si>
    <t>27432786844</t>
  </si>
  <si>
    <t>JOSE BENEDITO SIMOES</t>
  </si>
  <si>
    <t xml:space="preserve">  (11)  939368672</t>
  </si>
  <si>
    <t xml:space="preserve">  (11)   976543269</t>
  </si>
  <si>
    <t>64908461872</t>
  </si>
  <si>
    <t>LEONARDO ANTONIO DA COSTA</t>
  </si>
  <si>
    <t xml:space="preserve">  (11)   989581905</t>
  </si>
  <si>
    <t>37234383859</t>
  </si>
  <si>
    <t>FERNANDA DE SOUZA ALVES SILVA</t>
  </si>
  <si>
    <t xml:space="preserve">  (11)  962425005</t>
  </si>
  <si>
    <t xml:space="preserve">  (11)   969763363</t>
  </si>
  <si>
    <t>01192853806</t>
  </si>
  <si>
    <t>SELVINO FRANCISCO DE JESUS</t>
  </si>
  <si>
    <t xml:space="preserve">  (11)   939629980</t>
  </si>
  <si>
    <t>42636124420</t>
  </si>
  <si>
    <t>GERALDO LUIZ DA SILVA</t>
  </si>
  <si>
    <t xml:space="preserve">  (11)  959457783</t>
  </si>
  <si>
    <t xml:space="preserve">  (11)   992533414</t>
  </si>
  <si>
    <t>35398757865</t>
  </si>
  <si>
    <t>MICAELA APARECIDA BARROS SILVA</t>
  </si>
  <si>
    <t xml:space="preserve">  (11)   932557605</t>
  </si>
  <si>
    <t xml:space="preserve">  (11)   963534171</t>
  </si>
  <si>
    <t xml:space="preserve">  (11)   985079831</t>
  </si>
  <si>
    <t xml:space="preserve">  (11)   982809321</t>
  </si>
  <si>
    <t>05738559860</t>
  </si>
  <si>
    <t>RAIMUNDA ALVES ALEXANDRE ANDRADE</t>
  </si>
  <si>
    <t xml:space="preserve">  (11)   930703943</t>
  </si>
  <si>
    <t xml:space="preserve">  (11)   995395870</t>
  </si>
  <si>
    <t>33057924859</t>
  </si>
  <si>
    <t>ELIZETE SANTOS DA SILVA FERREIRA</t>
  </si>
  <si>
    <t xml:space="preserve">  (11)  966645016</t>
  </si>
  <si>
    <t xml:space="preserve">  (11)   969507291</t>
  </si>
  <si>
    <t>95169121849</t>
  </si>
  <si>
    <t>SISNANDO DE JESUS SALES</t>
  </si>
  <si>
    <t>04030284850</t>
  </si>
  <si>
    <t>FILOMENA GOMES DE CARVALHO</t>
  </si>
  <si>
    <t>17638410491</t>
  </si>
  <si>
    <t>CAMILO MIGUEL DA SILVA</t>
  </si>
  <si>
    <t>59917458891</t>
  </si>
  <si>
    <t>ADAO VIEIRA GUERRA</t>
  </si>
  <si>
    <t>26264876860</t>
  </si>
  <si>
    <t>NEUSA RODRIGUES SILVA</t>
  </si>
  <si>
    <t>09154777852</t>
  </si>
  <si>
    <t>MARIA LUCIMAR LOBATO MOTA</t>
  </si>
  <si>
    <t>80592139891</t>
  </si>
  <si>
    <t>VALDEMAR FERREIRA SALES</t>
  </si>
  <si>
    <t>11 982564226</t>
  </si>
  <si>
    <t>01513115448</t>
  </si>
  <si>
    <t>LUIZ MOIZES DE SANTANA</t>
  </si>
  <si>
    <t>11 968152829</t>
  </si>
  <si>
    <t>93756410820</t>
  </si>
  <si>
    <t>ERCILIO FRANCISCO DE OLIVEIRA</t>
  </si>
  <si>
    <t>41303725568</t>
  </si>
  <si>
    <t>ESTEPHANIA MARIA DE JESUS</t>
  </si>
  <si>
    <t>11 990015693</t>
  </si>
  <si>
    <t>41464139822</t>
  </si>
  <si>
    <t>FERNANDO GABRIEL VASCONCELOS DE ARAUJO</t>
  </si>
  <si>
    <t>11 984875309</t>
  </si>
  <si>
    <t>12638473820</t>
  </si>
  <si>
    <t>ODETE TEREZINHA DE CAMPOS</t>
  </si>
  <si>
    <t>34727582449</t>
  </si>
  <si>
    <t>SONIA MARIA FELIX</t>
  </si>
  <si>
    <t>85953954891</t>
  </si>
  <si>
    <t>ANTONIO GARCIA MORENO</t>
  </si>
  <si>
    <t>09302327809</t>
  </si>
  <si>
    <t>MARIA DAS GRACAS DO NASCIMENTO</t>
  </si>
  <si>
    <t>70394539834</t>
  </si>
  <si>
    <t>ALICE JOAQUINA DA ROCHA</t>
  </si>
  <si>
    <t>22302089855</t>
  </si>
  <si>
    <t>MIRIAN DE JESUS SOUZA</t>
  </si>
  <si>
    <t>Setor  IV - UBS Jardim Aracati</t>
  </si>
  <si>
    <t>26752491810</t>
  </si>
  <si>
    <t>JOSEANIA MARQUES DE SOUZA</t>
  </si>
  <si>
    <t>Setor  IV - UBS Pq do Lago</t>
  </si>
  <si>
    <t>12978816805</t>
  </si>
  <si>
    <t>SEBASTIAO JOAQUIM DA SILVA</t>
  </si>
  <si>
    <t>Setor  IV - UBS Jardim Herculano</t>
  </si>
  <si>
    <t xml:space="preserve">10440563801	</t>
  </si>
  <si>
    <t>ADILSON FIUZA PEDREIRA</t>
  </si>
  <si>
    <t>17901308320</t>
  </si>
  <si>
    <t>JOSE LUIZ RODRIGUES FERREIRA</t>
  </si>
  <si>
    <t>14758021880</t>
  </si>
  <si>
    <t>RITA NETA DE CASSIA</t>
  </si>
  <si>
    <t>36099268804</t>
  </si>
  <si>
    <t>IVONETE MOUREIRA DOS SANTOS</t>
  </si>
  <si>
    <t>25492888404</t>
  </si>
  <si>
    <t>DAMIAO ANTONIO DA SILVA</t>
  </si>
  <si>
    <t>09447495850</t>
  </si>
  <si>
    <t>EFIGENIA MARIA DA ROCHA</t>
  </si>
  <si>
    <t>11968366287</t>
  </si>
  <si>
    <t>13647960829</t>
  </si>
  <si>
    <t>ANTONIO LUIS DOMINGUES DE LIMA</t>
  </si>
  <si>
    <t>11984987249</t>
  </si>
  <si>
    <t>08576036800</t>
  </si>
  <si>
    <t>MARIA DAS MERCEDES DE CARVALHO GONCALVES</t>
  </si>
  <si>
    <t>11977937388</t>
  </si>
  <si>
    <t>94556270863</t>
  </si>
  <si>
    <t>GERALDO PEREIRA DA SILVA</t>
  </si>
  <si>
    <t>66130530820</t>
  </si>
  <si>
    <t>JOSE FRANCISCO DO O</t>
  </si>
  <si>
    <t>11960624804</t>
  </si>
  <si>
    <t>34032764816</t>
  </si>
  <si>
    <t>SAMANTHA EVELLYN SOUZA BATISTA</t>
  </si>
  <si>
    <t>11958540171</t>
  </si>
  <si>
    <t>75570408800</t>
  </si>
  <si>
    <t>JOSE AUGUSTO BORGES</t>
  </si>
  <si>
    <t>11986814230</t>
  </si>
  <si>
    <t>25921578835</t>
  </si>
  <si>
    <t>963229841</t>
  </si>
  <si>
    <t>14282827858</t>
  </si>
  <si>
    <t>ARLINDO INACIO DOS SANTOS FILHO</t>
  </si>
  <si>
    <t>79073760844</t>
  </si>
  <si>
    <t>AURELINA FELIX DA SILVA</t>
  </si>
  <si>
    <t>11762573822</t>
  </si>
  <si>
    <t>AIRTON CAMELO DE ARAUJO</t>
  </si>
  <si>
    <t>01196982856</t>
  </si>
  <si>
    <t>JOSE CAETANO VIEIRA</t>
  </si>
  <si>
    <t>04440990851</t>
  </si>
  <si>
    <t>MARIA DASIA RIBEIRO DE FREITAS</t>
  </si>
  <si>
    <t>93901550887</t>
  </si>
  <si>
    <t>ANETERIO SILVA SOUSA</t>
  </si>
  <si>
    <t>68326831620</t>
  </si>
  <si>
    <t>MARIA ANTONIA DE MELO FRITO</t>
  </si>
  <si>
    <t>31531222889</t>
  </si>
  <si>
    <t>EDNEIA KARAM MEDEIROS TEIXEIRA</t>
  </si>
  <si>
    <t>02764875835</t>
  </si>
  <si>
    <t>LEIDE ALVES RIBEIRO</t>
  </si>
  <si>
    <t>12477106880</t>
  </si>
  <si>
    <t>JOSE CARLOS TEIXEIRA</t>
  </si>
  <si>
    <t>39956261572</t>
  </si>
  <si>
    <t>NORMA LUCIA DOS SANTOS SOUZA</t>
  </si>
  <si>
    <t>11145461867</t>
  </si>
  <si>
    <t>SERGIO TADEU NEVES SOARES</t>
  </si>
  <si>
    <t>01458075842</t>
  </si>
  <si>
    <t>ADEMIR APARECIDO MATIAS</t>
  </si>
  <si>
    <t>22298365873</t>
  </si>
  <si>
    <t>ROSALINA CORREIA DE SOUZA NASCIMENTO</t>
  </si>
  <si>
    <t>19189561899</t>
  </si>
  <si>
    <t>JACI ALEXANDRINO PIRES</t>
  </si>
  <si>
    <t>38579138434</t>
  </si>
  <si>
    <t>ADAILTO AVELINO DA SILVA</t>
  </si>
  <si>
    <t>33742600559</t>
  </si>
  <si>
    <t>ARMANDO SANTOS PEREIRA</t>
  </si>
  <si>
    <t>36441465272</t>
  </si>
  <si>
    <t>VALDELI CRUZ DO NASCIMENTO</t>
  </si>
  <si>
    <t>18967685807</t>
  </si>
  <si>
    <t>MARIA APARECIDA DE LIMA SILVA</t>
  </si>
  <si>
    <t>49941712468</t>
  </si>
  <si>
    <t>MARIA DE FATIMA GALDINO DA SILVA</t>
  </si>
  <si>
    <t>68543328853</t>
  </si>
  <si>
    <t>LUIZ GONCALVES VIEIRA</t>
  </si>
  <si>
    <t>12735407861</t>
  </si>
  <si>
    <t>VINDILINO PEDRO SALES FILHO</t>
  </si>
  <si>
    <t>29644798449</t>
  </si>
  <si>
    <t>RIZETE FERREIRA DOS SANTOS</t>
  </si>
  <si>
    <t>39123790849</t>
  </si>
  <si>
    <t>JOSE DOS SANTOS</t>
  </si>
  <si>
    <t>32051457808</t>
  </si>
  <si>
    <t>EDIANA GOMES DE MOTA</t>
  </si>
  <si>
    <t>01116882809</t>
  </si>
  <si>
    <t>DEMERVAL MARINHO LIMA</t>
  </si>
  <si>
    <t>17452130820</t>
  </si>
  <si>
    <t>ROSANA DA SILVA SANTOS</t>
  </si>
  <si>
    <t>14228957854</t>
  </si>
  <si>
    <t>MARIA REGINA DA SILVA</t>
  </si>
  <si>
    <t>Odaemes Maria dos Santos 
Ubs Jardim Aracati</t>
  </si>
  <si>
    <t>28450566568</t>
  </si>
  <si>
    <t>MATILDE ARAUJO COSTA</t>
  </si>
  <si>
    <t>18966327850</t>
  </si>
  <si>
    <t>JAILSON SEBASTIAO DA SILVA</t>
  </si>
  <si>
    <t>22684869820</t>
  </si>
  <si>
    <t>SONIA NONATO SOUSA</t>
  </si>
  <si>
    <t>14912140821</t>
  </si>
  <si>
    <t>VILMA VIEIRA PEREIRA</t>
  </si>
  <si>
    <t>13576297880</t>
  </si>
  <si>
    <t>MARIA DE LOURDES DE SOUZA</t>
  </si>
  <si>
    <t>05937127811</t>
  </si>
  <si>
    <t>AMELIA CUSTODIO MEDINA</t>
  </si>
  <si>
    <t>08480172851</t>
  </si>
  <si>
    <t>ELZINA CAETANO DE SOUZA</t>
  </si>
  <si>
    <t>94328277804</t>
  </si>
  <si>
    <t>MARIA HELENA ALVES</t>
  </si>
  <si>
    <t>14684877876</t>
  </si>
  <si>
    <t>EVILASIO JOSE PIRES</t>
  </si>
  <si>
    <t>34190501867</t>
  </si>
  <si>
    <t>MICHEL RODRIGO DA PAIXAO</t>
  </si>
  <si>
    <t>36836532568</t>
  </si>
  <si>
    <t>JOSE CARLOS ARAUJO ALVES</t>
  </si>
  <si>
    <t>03579658840</t>
  </si>
  <si>
    <t>SERGIO LUIZ TEIXEIRA</t>
  </si>
  <si>
    <t>01562674382</t>
  </si>
  <si>
    <t>RITA NONATO DE ALMEIDA</t>
  </si>
  <si>
    <t>30/03/2026 13h às 17h</t>
  </si>
  <si>
    <t>11447411811</t>
  </si>
  <si>
    <t>RAQUEL DE SOUZA RIBEIRO</t>
  </si>
  <si>
    <t>05216351876</t>
  </si>
  <si>
    <t>RAIMUNDA FERNANDES DA CRUZ</t>
  </si>
  <si>
    <t>89062132634</t>
  </si>
  <si>
    <t>SALVINA VIEIRA DE OLIVEIRA</t>
  </si>
  <si>
    <t>33598456840</t>
  </si>
  <si>
    <t>ANICELIA DOS SANTOS SOARES</t>
  </si>
  <si>
    <t>55520856800</t>
  </si>
  <si>
    <t>EVELLYN DE JESUS SILVA</t>
  </si>
  <si>
    <t>08770971862</t>
  </si>
  <si>
    <t>MARIA GORETTI CANDIDA DA SILVA</t>
  </si>
  <si>
    <t>08425924820</t>
  </si>
  <si>
    <t>VERONICA SMYCHNIUCK</t>
  </si>
  <si>
    <t>00166461695</t>
  </si>
  <si>
    <t>53559738849</t>
  </si>
  <si>
    <t>JOSE RAIMUNDO DA SILVA</t>
  </si>
  <si>
    <t>19179521800</t>
  </si>
  <si>
    <t>LUZIA EUZEBIA DA COSTA NEVES</t>
  </si>
  <si>
    <t>08367480856</t>
  </si>
  <si>
    <t>ANA RAMOS DA SILVA</t>
  </si>
  <si>
    <t>29853859890</t>
  </si>
  <si>
    <t>ELIZANGELA ROCHA DOS SANTOS</t>
  </si>
  <si>
    <t>FERIADO</t>
  </si>
  <si>
    <t>83708197887</t>
  </si>
  <si>
    <t>JOSE COELHO DE SOUZA</t>
  </si>
  <si>
    <t>09042511877</t>
  </si>
  <si>
    <t>DJALMA LOURENCO DE ESMELIA</t>
  </si>
  <si>
    <t>73463523434</t>
  </si>
  <si>
    <t>EDILSON SEVERINO DA SILVA</t>
  </si>
  <si>
    <t>22531940855</t>
  </si>
  <si>
    <t>MARIA DE FATIMA ALVES DOS SANTOS</t>
  </si>
  <si>
    <t>48834017668</t>
  </si>
  <si>
    <t>TARCISIO DA SILVA CABRAL</t>
  </si>
  <si>
    <t>12806613809</t>
  </si>
  <si>
    <t>81220480800</t>
  </si>
  <si>
    <t>JOSE FRANCISCO NOVAIS</t>
  </si>
  <si>
    <t>03313720455</t>
  </si>
  <si>
    <t>ROSELI MARIA DA SILVA</t>
  </si>
  <si>
    <t>14686148863</t>
  </si>
  <si>
    <t>JOSE OSVALDO RIBEIRO</t>
  </si>
  <si>
    <t>57809402587</t>
  </si>
  <si>
    <t>FLORDINICE JESUS DE ALMEIDA</t>
  </si>
  <si>
    <t>17356462885</t>
  </si>
  <si>
    <t>PETRONILIA SOARES VIEIRA</t>
  </si>
  <si>
    <t>07725511890</t>
  </si>
  <si>
    <t>LUZINETE MARIA DE JESUS CERQUEIRA</t>
  </si>
  <si>
    <t>14889309888</t>
  </si>
  <si>
    <t>PLACIDO EDEN DA SILVA</t>
  </si>
  <si>
    <t>01075945879</t>
  </si>
  <si>
    <t>LINDEMAR MARQUES NOVAES</t>
  </si>
  <si>
    <t>94668523887</t>
  </si>
  <si>
    <t>FRANCISCA INACIO DE SOUZA E ROCHA</t>
  </si>
  <si>
    <t>79690777653</t>
  </si>
  <si>
    <t>TEREZINHA COELHO FARIAS</t>
  </si>
  <si>
    <t>32660554897</t>
  </si>
  <si>
    <t>MARIA DIVINA DUARTE DE OLIVEIRA</t>
  </si>
  <si>
    <t>03773830823</t>
  </si>
  <si>
    <t>JULIA MARIA DE JESUS</t>
  </si>
  <si>
    <t>39779047875</t>
  </si>
  <si>
    <t>JENIFFER ANTUNES MARCONDES GURGEL</t>
  </si>
  <si>
    <t>01115524860</t>
  </si>
  <si>
    <t>PAXAO ALVES DE FRANCA</t>
  </si>
  <si>
    <t>24887727801</t>
  </si>
  <si>
    <t>23259942874</t>
  </si>
  <si>
    <t>ASHRAF MOHAMED MOHAMED MOUSSA</t>
  </si>
  <si>
    <t>12234962790</t>
  </si>
  <si>
    <t>ANA PAULA OLIVEIRA QUARESMA</t>
  </si>
  <si>
    <t>10159827868</t>
  </si>
  <si>
    <t>ATHAIDE AMARAL</t>
  </si>
  <si>
    <t>14230088809</t>
  </si>
  <si>
    <t>VALDICE MEDEIROS DA SILVA</t>
  </si>
  <si>
    <t>07727830801</t>
  </si>
  <si>
    <t>MARIA SEVERINA DA CONCEICAO MOURA</t>
  </si>
  <si>
    <t>45733536829</t>
  </si>
  <si>
    <t>ISABELLA BEZERRA DE ALMEIDA</t>
  </si>
  <si>
    <t>14696196879</t>
  </si>
  <si>
    <t>MARLUCE MARIA DA SILVA</t>
  </si>
  <si>
    <t>44455658815</t>
  </si>
  <si>
    <t>JOSE LUIZ BARBOSA DOS SANTOS</t>
  </si>
  <si>
    <t>07340081801</t>
  </si>
  <si>
    <t>JOSE LUIZ DA SILVA</t>
  </si>
  <si>
    <t>57432067830</t>
  </si>
  <si>
    <t>YOHANESS GABRIEL MAGALHAES DOS SANTOS MIGUEL</t>
  </si>
  <si>
    <t>15203361878</t>
  </si>
  <si>
    <t>92004199849</t>
  </si>
  <si>
    <t>ZACARIAS NERI DOS SANTOS</t>
  </si>
  <si>
    <t xml:space="preserve">03310508463        </t>
  </si>
  <si>
    <t>EDVALDO LOPES VIANA</t>
  </si>
  <si>
    <t>14647002810</t>
  </si>
  <si>
    <t>VALMIR DE SOUZA SANTOS</t>
  </si>
  <si>
    <t>11606977873</t>
  </si>
  <si>
    <t>33662622653</t>
  </si>
  <si>
    <t>MARIA ORNELAS DE SOUZA</t>
  </si>
  <si>
    <t>06483708874</t>
  </si>
  <si>
    <t>SONIA MARIA VIEIRA DA SILVA</t>
  </si>
  <si>
    <t>39304213568</t>
  </si>
  <si>
    <t>47053371824</t>
  </si>
  <si>
    <t>ISRAEL BEZERRA BARBOZA</t>
  </si>
  <si>
    <t>17328649852</t>
  </si>
  <si>
    <t>MARINA MOREIRA NEPOMUCENO DE JESUS</t>
  </si>
  <si>
    <t>57103720800</t>
  </si>
  <si>
    <t>PEDRA DO PRADO ZILLIG VIANA</t>
  </si>
  <si>
    <t>66510520559</t>
  </si>
  <si>
    <t>LINDIMAR DE MATOS SALES</t>
  </si>
  <si>
    <t>14888828865</t>
  </si>
  <si>
    <t>VALDIR CHAVES CARNEIRO</t>
  </si>
  <si>
    <t>34133052803</t>
  </si>
  <si>
    <t>SAMUEL FIGUEIREDO</t>
  </si>
  <si>
    <t>14689348804</t>
  </si>
  <si>
    <t>ENES MARIA DA SILVA BARROSO</t>
  </si>
  <si>
    <t>55384099534</t>
  </si>
  <si>
    <t>MARIA LUZIA DE CASTRO</t>
  </si>
  <si>
    <t>11194185851</t>
  </si>
  <si>
    <t>PATRICIA MENDES LEONOR</t>
  </si>
  <si>
    <t>04582792855</t>
  </si>
  <si>
    <t>JOSE SEVERINO SOUZA CAVALCANTI</t>
  </si>
  <si>
    <t>79356982368</t>
  </si>
  <si>
    <t>MARIA ZULEIDE FERREIRA DE OLIVEIRA</t>
  </si>
  <si>
    <t>11968488669</t>
  </si>
  <si>
    <t>VINICIUS DA CRUZ BANDEIRA</t>
  </si>
  <si>
    <t>13670656820</t>
  </si>
  <si>
    <t>ELIAS FERREIRA CORREIA</t>
  </si>
  <si>
    <t>11606848801</t>
  </si>
  <si>
    <t>SOLANGE DAS DORES OLIVEIRA DOS SANTOS</t>
  </si>
  <si>
    <t>07450573814</t>
  </si>
  <si>
    <t>ORLANDO RAMOS DE OLIVEIRA</t>
  </si>
  <si>
    <t>25274733859</t>
  </si>
  <si>
    <t>DIONE BARBOSA SILVA</t>
  </si>
  <si>
    <t>01298193877</t>
  </si>
  <si>
    <t>700309959110232</t>
  </si>
  <si>
    <t>JOSE FRANCISCO REIS</t>
  </si>
  <si>
    <t>71859497349</t>
  </si>
  <si>
    <t>MARIA ADERALDO TORRES</t>
  </si>
  <si>
    <t>36876496600</t>
  </si>
  <si>
    <t>JOAO BATISTA NASCIMENTO DE SOUZA</t>
  </si>
  <si>
    <t>28337514434</t>
  </si>
  <si>
    <t>29415948841</t>
  </si>
  <si>
    <t>TEREZINHA RODRIGUES PEIXOTO DA PAIXAO</t>
  </si>
  <si>
    <t>28104430840</t>
  </si>
  <si>
    <t>CLAUDIA DA SILVA REIS</t>
  </si>
  <si>
    <t>01036900851</t>
  </si>
  <si>
    <t>ZILDA LINDAURA DOS SANTOS</t>
  </si>
  <si>
    <t>13031150856</t>
  </si>
  <si>
    <t>MARIA DE MATOS DE OLIVEIRA</t>
  </si>
  <si>
    <t>03818022801</t>
  </si>
  <si>
    <t>17484876801</t>
  </si>
  <si>
    <t>JOSE NILSON DA SILVA</t>
  </si>
  <si>
    <t>05208388820</t>
  </si>
  <si>
    <t>ANA LOPEZ CRISTOVAO</t>
  </si>
  <si>
    <t>EMENDA DE FERIADO</t>
  </si>
  <si>
    <t>72962186572</t>
  </si>
  <si>
    <t>MARIA DAS DORES DE ARAUJO PORTELA</t>
  </si>
  <si>
    <t>34551891568</t>
  </si>
  <si>
    <t>DEJANIRA SANTOS SOUZA</t>
  </si>
  <si>
    <t>83705325868</t>
  </si>
  <si>
    <t>ELIZABETE GOMES FERREIRA BRINGEL</t>
  </si>
  <si>
    <t>00500951705</t>
  </si>
  <si>
    <t>RAQUEL GONCALVES TORRES DE QUEIROS</t>
  </si>
  <si>
    <t>09084726847</t>
  </si>
  <si>
    <t>BARTOLOMEU CRISPIM</t>
  </si>
  <si>
    <t>14684041808</t>
  </si>
  <si>
    <t>SEBASTIANA APARECIDA VIEIRA</t>
  </si>
  <si>
    <t>18634486834</t>
  </si>
  <si>
    <t>JOSE CEZAR DALPOGETO</t>
  </si>
  <si>
    <t>12192343701</t>
  </si>
  <si>
    <t>JOENE DOS SANTOS BASTOS</t>
  </si>
  <si>
    <t>18298840852</t>
  </si>
  <si>
    <t>ELIANDRA LIBERATO DE LIMA</t>
  </si>
  <si>
    <t>12747567826</t>
  </si>
  <si>
    <t>ROSEMARY DE ARRUDA CARNEIRO</t>
  </si>
  <si>
    <t>27916350840</t>
  </si>
  <si>
    <t>WILLIAM ALVES CHAVES</t>
  </si>
  <si>
    <t>05143492807</t>
  </si>
  <si>
    <t>REGINA CELI GONCALVES</t>
  </si>
  <si>
    <t>24929900875</t>
  </si>
  <si>
    <t>TANIA LACERDA DA SILVA</t>
  </si>
  <si>
    <t>75961938891</t>
  </si>
  <si>
    <t>JOSE PEREIRA PARDIN</t>
  </si>
  <si>
    <t>39828532816</t>
  </si>
  <si>
    <t>MAURA DO NASCIMENTO CONCEICAO</t>
  </si>
  <si>
    <t>69475113649</t>
  </si>
  <si>
    <t>70761698434</t>
  </si>
  <si>
    <t>LUIZ SEVERINO DA SILVA</t>
  </si>
  <si>
    <t>04230891881</t>
  </si>
  <si>
    <t>JOAO JUNIOR FERREIRA</t>
  </si>
  <si>
    <t>28550195839</t>
  </si>
  <si>
    <t>01293429805</t>
  </si>
  <si>
    <t>SERGIO LUIZ DE LIMA</t>
  </si>
  <si>
    <t>85964743820</t>
  </si>
  <si>
    <t>WAGNER CARREIRO</t>
  </si>
  <si>
    <t>63678802834</t>
  </si>
  <si>
    <t>EDMILSON BERNARDO DA SILVA</t>
  </si>
  <si>
    <t>38393107415</t>
  </si>
  <si>
    <t>MARIA HELENA TENORIO DOS SANTOS</t>
  </si>
  <si>
    <t>19580043833</t>
  </si>
  <si>
    <t>MARIA APARECIDA GODOY</t>
  </si>
  <si>
    <t>57572585868</t>
  </si>
  <si>
    <t>HERVAL RODRIGUES DA SILVA</t>
  </si>
  <si>
    <t>61231258500</t>
  </si>
  <si>
    <t>UNALDO RODRIGUES MAGALHAES</t>
  </si>
  <si>
    <t>12577631804</t>
  </si>
  <si>
    <t>REJANE GOMES BRANDAO DE PAULA</t>
  </si>
  <si>
    <t>08687318898</t>
  </si>
  <si>
    <t>30910017840</t>
  </si>
  <si>
    <t>JAILSON SOUZA DOS SANTOS</t>
  </si>
  <si>
    <t>27968303818</t>
  </si>
  <si>
    <t>RENATA APARECIDA PEREIRA</t>
  </si>
  <si>
    <t>02234735882</t>
  </si>
  <si>
    <t>MARIA APARECIDA SOARES PIMENTEL</t>
  </si>
  <si>
    <t>21897499809</t>
  </si>
  <si>
    <t>MARIA JOSE DOS SANTOS MONZANI</t>
  </si>
  <si>
    <t>51831732491</t>
  </si>
  <si>
    <t>SEVERINO SOARES DA SILVA</t>
  </si>
  <si>
    <t>70438234472</t>
  </si>
  <si>
    <t>INILDO NOGUEIRA NUNES FILHO</t>
  </si>
  <si>
    <t>12907467883</t>
  </si>
  <si>
    <t>DANIEL MOREIRA DE ARAUJO JUNIOR</t>
  </si>
  <si>
    <t>25429099899</t>
  </si>
  <si>
    <t>CARLITO ALVES DOS SANTOS</t>
  </si>
  <si>
    <t>01116842777</t>
  </si>
  <si>
    <t>CECILIA SEVERINA GOMES</t>
  </si>
  <si>
    <t>Luzinete Belarmina de Lima</t>
  </si>
  <si>
    <t>07316594810</t>
  </si>
  <si>
    <t>NEUZA DE CAMPOS</t>
  </si>
  <si>
    <t>31/03/2026 13h às 17h</t>
  </si>
  <si>
    <t>05917651957</t>
  </si>
  <si>
    <t>JOANNA FIRMINO</t>
  </si>
  <si>
    <t>26283936890</t>
  </si>
  <si>
    <t>FRANCISCO PEREIRA DA CRUZ FILHO</t>
  </si>
  <si>
    <t>03769920856</t>
  </si>
  <si>
    <t>LEDA MARIA DOS SANTOS PINHEIRO</t>
  </si>
  <si>
    <t>96926015520</t>
  </si>
  <si>
    <t>TEREZINHA DA SILVA SANTOS</t>
  </si>
  <si>
    <t>36923710391</t>
  </si>
  <si>
    <t>FRANCISCO DE MACEDO</t>
  </si>
  <si>
    <t>84680466804</t>
  </si>
  <si>
    <t>SEBASTIAO MOURA DE MELO</t>
  </si>
  <si>
    <t>26705694807</t>
  </si>
  <si>
    <t>CARLA CRISTINA DE JESUS</t>
  </si>
  <si>
    <t>10440563801</t>
  </si>
  <si>
    <t>41418042587</t>
  </si>
  <si>
    <t>JOSE RAILTON COSTA SANTOS</t>
  </si>
  <si>
    <t>22371881813</t>
  </si>
  <si>
    <t>MARIA JOANA DA SILVA MELO</t>
  </si>
  <si>
    <t>14420786850</t>
  </si>
  <si>
    <t>FRANCISCO DE ASSIS MOURA PASTOR</t>
  </si>
  <si>
    <t>MARIA DA CONSOLACAO DA SILVA SANTOS</t>
  </si>
  <si>
    <t>23013459808</t>
  </si>
  <si>
    <t>RONNIE FRANCISCO DA SILVA</t>
  </si>
  <si>
    <t>26708119811</t>
  </si>
  <si>
    <t>GERALDA MARIA DA SILVA COUTINHO</t>
  </si>
  <si>
    <t>15800241813</t>
  </si>
  <si>
    <t>CARLOS ALBERTO MENDES</t>
  </si>
  <si>
    <t>29962912806</t>
  </si>
  <si>
    <t>MARIA DO CEU SOARES DA SILVA</t>
  </si>
  <si>
    <t>25205697865</t>
  </si>
  <si>
    <t>ABENILDE MENDES DE SIQUEIRA</t>
  </si>
  <si>
    <t>40900177691</t>
  </si>
  <si>
    <t>NEUZA VENCESLAU DUQUE</t>
  </si>
  <si>
    <t>39588246504</t>
  </si>
  <si>
    <t>ALONSO ROSA DE OLIVEIRA</t>
  </si>
  <si>
    <t>15679462400</t>
  </si>
  <si>
    <t>MARIA FERREIRA DE LIMA</t>
  </si>
  <si>
    <t>29329332803</t>
  </si>
  <si>
    <t>EDILSON LOPES DE ALMEIDA</t>
  </si>
  <si>
    <t>31513345800</t>
  </si>
  <si>
    <t>FRANCISCA SUELI DOS SANTOS</t>
  </si>
  <si>
    <t>54809487504</t>
  </si>
  <si>
    <t>ANTONIO JUSTINIANO DE JESUS</t>
  </si>
  <si>
    <t>09276355855</t>
  </si>
  <si>
    <t>GENILSON CAVALCANTE DE OLIVEIRA FREITAS</t>
  </si>
  <si>
    <t>09137701835</t>
  </si>
  <si>
    <t xml:space="preserve">	NOEMIA BENTO DE BRITO</t>
  </si>
  <si>
    <t>03085278877</t>
  </si>
  <si>
    <t>ANTONIA VIEIRA DA SILVA</t>
  </si>
  <si>
    <t>03598686811</t>
  </si>
  <si>
    <t>JOSEFA ETELVINA DA CONCEICAO RIBEIRO</t>
  </si>
  <si>
    <t>16413339870</t>
  </si>
  <si>
    <t>PEDRO DE JESUS LEAO</t>
  </si>
  <si>
    <t>40748710841</t>
  </si>
  <si>
    <t>RAMONILSON CORDEIRO DOS ANJOS</t>
  </si>
  <si>
    <t>16696678808</t>
  </si>
  <si>
    <t>PEDRINHA DALBOSCO DOS SANTOS</t>
  </si>
  <si>
    <t>33415121879</t>
  </si>
  <si>
    <t>MOISES SILVA BARBOSA</t>
  </si>
  <si>
    <t>23092075862</t>
  </si>
  <si>
    <t>25507868824</t>
  </si>
  <si>
    <t>SONIA MARIA DE FRANCA</t>
  </si>
  <si>
    <t>08254828873</t>
  </si>
  <si>
    <t>ELESENITA ESMERIA DOS SANTOS SOARES</t>
  </si>
  <si>
    <t>12721592807</t>
  </si>
  <si>
    <t>ELTUILTON NUNES RIBEIRO</t>
  </si>
  <si>
    <t>14027305515</t>
  </si>
  <si>
    <t>MARIA MADALENA DE JESUS BARBOSA</t>
  </si>
  <si>
    <t>38920849803</t>
  </si>
  <si>
    <t>RAFAELA DE SOUZA CAMPOS</t>
  </si>
  <si>
    <t>69472092853</t>
  </si>
  <si>
    <t>MANOEL FREITAS DE MIRANDA</t>
  </si>
  <si>
    <t>71657274500</t>
  </si>
  <si>
    <t>DORALICE FERREIRA DA SILVA</t>
  </si>
  <si>
    <t>37645500824</t>
  </si>
  <si>
    <t>VERONICA PEREIRA NASCIMENTO</t>
  </si>
  <si>
    <t>18276462847</t>
  </si>
  <si>
    <t>ROSALINA CERQUEIRA NASCIMENTO</t>
  </si>
  <si>
    <t>25594729704</t>
  </si>
  <si>
    <t>WILAMI PEREIRA DE MELO</t>
  </si>
  <si>
    <t>17096714839</t>
  </si>
  <si>
    <t>SOLANGE ALVES DE MACEDO LIMA</t>
  </si>
  <si>
    <t>17621714816</t>
  </si>
  <si>
    <t>MARIA JOAQUINA DO CARMO ROCHA</t>
  </si>
  <si>
    <t>63691230644</t>
  </si>
  <si>
    <t>MAURA LOURENCO BALBINO</t>
  </si>
  <si>
    <t>07417598889</t>
  </si>
  <si>
    <t>MARIA VIEIRA DE SOUZA</t>
  </si>
  <si>
    <t>08515984806</t>
  </si>
  <si>
    <t>JOSE DE ARIMATEIA MENDES DE FREITAS</t>
  </si>
  <si>
    <t>92918522520</t>
  </si>
  <si>
    <t>MARIA DA PAZ MIRANDA DOS SANTOS</t>
  </si>
  <si>
    <t>19578988877</t>
  </si>
  <si>
    <t>VERA LUCIA FREITAS DOS SANTOS</t>
  </si>
  <si>
    <t>11250257867</t>
  </si>
  <si>
    <t>FRANCISCA DAS GRACAS DA SILVA ALMEIDA</t>
  </si>
  <si>
    <t xml:space="preserve">Feriado </t>
  </si>
  <si>
    <t>22950532349</t>
  </si>
  <si>
    <t>LUIZ DENILTON DE MELO</t>
  </si>
  <si>
    <t>26281330838</t>
  </si>
  <si>
    <t>CONCEICAO FAUSTINA DOS SANTOS LOPES</t>
  </si>
  <si>
    <t>26232988825</t>
  </si>
  <si>
    <t>ELIANE MARIA DOS SANTOS MOURA</t>
  </si>
  <si>
    <t>14697144856</t>
  </si>
  <si>
    <t>NACISIO JANUARIO DOS SANTOS</t>
  </si>
  <si>
    <t>29659899866</t>
  </si>
  <si>
    <t>ISAURA MARIA DE OLIVEIRA SOUZA</t>
  </si>
  <si>
    <t>25880015807</t>
  </si>
  <si>
    <t>FABIO DA SILVA COSTA</t>
  </si>
  <si>
    <t>64667235853</t>
  </si>
  <si>
    <t>JESUS FERNANDES</t>
  </si>
  <si>
    <t>25858645887</t>
  </si>
  <si>
    <t>JOSE MARQUES DE LIMA NETO</t>
  </si>
  <si>
    <t>50593617568</t>
  </si>
  <si>
    <t>JOSE JESUS DA SILVA</t>
  </si>
  <si>
    <t>25785193825</t>
  </si>
  <si>
    <t>CENILZE ZACARIAS DE OLIVEIRA</t>
  </si>
  <si>
    <t>77652673453</t>
  </si>
  <si>
    <t>RONI RODRIGUES DA SILVA</t>
  </si>
  <si>
    <t xml:space="preserve">Dra. Priscila Ferreira da Silva - DA M'BOI MIRIM - Cancelado </t>
  </si>
  <si>
    <t>Plantão cancelado</t>
  </si>
  <si>
    <t>13619061890</t>
  </si>
  <si>
    <t>TEREZINHA DE JESUS MORAES LEITE</t>
  </si>
  <si>
    <t>70306737868</t>
  </si>
  <si>
    <t>JOAO DE MORAIS</t>
  </si>
  <si>
    <t>05111217843</t>
  </si>
  <si>
    <t>JOSE TEODOSIO DE MOURA</t>
  </si>
  <si>
    <t>09978099816</t>
  </si>
  <si>
    <t>MARIA FERREIRA DE MELO</t>
  </si>
  <si>
    <t>60260953814</t>
  </si>
  <si>
    <t>ESTHER AMERICO SILVERIO</t>
  </si>
  <si>
    <t>CLAUDINEY XAVIER TEIXEIRA</t>
  </si>
  <si>
    <t>16488240803</t>
  </si>
  <si>
    <t>MARIA SANTANA DE OLIVEIRA</t>
  </si>
  <si>
    <t>09605295601</t>
  </si>
  <si>
    <t>LUCIANA VIANA DE SOUZA OLIVEIRA</t>
  </si>
  <si>
    <t>RONI</t>
  </si>
  <si>
    <t>09096933826</t>
  </si>
  <si>
    <t>DOLORES ALVES DOS SANTOS</t>
  </si>
  <si>
    <t>18712354805</t>
  </si>
  <si>
    <t>ALDETINA SOUZA DE AZEVEDO</t>
  </si>
  <si>
    <t>01/05/2026 13h às 17h</t>
  </si>
  <si>
    <t>04/05/2026 13h às 17h</t>
  </si>
  <si>
    <t>03375190808</t>
  </si>
  <si>
    <t>JOSE LUCAS SOBRINHO</t>
  </si>
  <si>
    <t>01771110899</t>
  </si>
  <si>
    <t>OSMAR APARECIDO DOS SANTOS</t>
  </si>
  <si>
    <t>13255848865</t>
  </si>
  <si>
    <t>JOSE IVANILDO DA SILVA</t>
  </si>
  <si>
    <t>33371534880</t>
  </si>
  <si>
    <t>MARIA ISABEL EVANGELISTA MONTEIRO</t>
  </si>
  <si>
    <t>22458909817</t>
  </si>
  <si>
    <t>ALDECI GUILHERME FRAGOSO</t>
  </si>
  <si>
    <t>14270476850</t>
  </si>
  <si>
    <t>50701215534</t>
  </si>
  <si>
    <t>MARISTELA ROCHA DE BRITO</t>
  </si>
  <si>
    <t>87359600430</t>
  </si>
  <si>
    <t>ANTONIO JUSTINO DE FARIAS FILHO</t>
  </si>
  <si>
    <t>14927292487</t>
  </si>
  <si>
    <t>FLAVIO JOSE DE VASCONCELOS</t>
  </si>
  <si>
    <t>06815192822</t>
  </si>
  <si>
    <t>GILSON JOSE DO NASCIMENTO CORREIA</t>
  </si>
  <si>
    <t>02220257860</t>
  </si>
  <si>
    <t>ANTONIA JOSE DE MENDONCA</t>
  </si>
  <si>
    <t>09649152865</t>
  </si>
  <si>
    <t>LEONORA CANDIDO</t>
  </si>
  <si>
    <t>06649269832</t>
  </si>
  <si>
    <t>VERA LUCIA DE CARVALHO</t>
  </si>
  <si>
    <t>66203937800</t>
  </si>
  <si>
    <t>JOSE CAVALCANTE LOPES</t>
  </si>
  <si>
    <t>14872947860</t>
  </si>
  <si>
    <t>FRANCISCO WANDISON ISIDRO</t>
  </si>
  <si>
    <t>AURYLEIDE GOMES DE LIMA</t>
  </si>
  <si>
    <t>03823089803</t>
  </si>
  <si>
    <t>MARILENE DE JESUS SANTOS</t>
  </si>
  <si>
    <t>15320517866</t>
  </si>
  <si>
    <t>FABIO JOSE DE OLIVEIRA</t>
  </si>
  <si>
    <t>29626716835</t>
  </si>
  <si>
    <t>MARIA RITA FERREIRA</t>
  </si>
  <si>
    <t>15182401191</t>
  </si>
  <si>
    <t>DOMINGOS VICENTE PEREIRA</t>
  </si>
  <si>
    <t>Dra° Camila Queiroga da Silveira cobertura( Dra°ALICE PEIXOTO) DA CAMPO LIMPO</t>
  </si>
  <si>
    <t>95657665872</t>
  </si>
  <si>
    <t>LUIZ PEDRO DA SILVA</t>
  </si>
  <si>
    <t>15798977897</t>
  </si>
  <si>
    <t>REGINALDO VIEIRA DOS SANTOS</t>
  </si>
  <si>
    <t>18855501895</t>
  </si>
  <si>
    <t>SANDRA PEREIRA DE SOUZA</t>
  </si>
  <si>
    <t>25361040444</t>
  </si>
  <si>
    <t>ARNALDO BEZERRA DOS SANTOS</t>
  </si>
  <si>
    <t>07772266855</t>
  </si>
  <si>
    <t>VALDIR RODRIGUES DE FREITAS</t>
  </si>
  <si>
    <t>42998352553</t>
  </si>
  <si>
    <t>LIGIA CRISTINA SANTOS DA CRUZ</t>
  </si>
  <si>
    <t>11913457850</t>
  </si>
  <si>
    <t>JOSE NILSON DE LIMA MOREIRA</t>
  </si>
  <si>
    <t>31482872587</t>
  </si>
  <si>
    <t>ERON ANDRADE CRUZ</t>
  </si>
  <si>
    <t>14229536453</t>
  </si>
  <si>
    <t>JOSE SOARES BARRETO</t>
  </si>
  <si>
    <t>56013019800</t>
  </si>
  <si>
    <t>JOELISA LEMOS</t>
  </si>
  <si>
    <t>63408279691</t>
  </si>
  <si>
    <t>VALDEMAR ALVES DE SOUZA</t>
  </si>
  <si>
    <t>NOELIA DE JESUS</t>
  </si>
  <si>
    <t>90007919875</t>
  </si>
  <si>
    <t xml:space="preserve">CARLOS DANIEL DAS NEVES CRUZ </t>
  </si>
  <si>
    <t>03815421810</t>
  </si>
  <si>
    <t>AGENOR LIMA</t>
  </si>
  <si>
    <t>23010078803</t>
  </si>
  <si>
    <t>WAGNER DOS SANTOS SILVA</t>
  </si>
  <si>
    <t>14696441857</t>
  </si>
  <si>
    <t>NOADIAN SOUSA ROCHA TEIXEIRA</t>
  </si>
  <si>
    <t>11298338875</t>
  </si>
  <si>
    <t>LUCILA MARIA DE ARAUJO GAMA</t>
  </si>
  <si>
    <t>37175203500</t>
  </si>
  <si>
    <t>GECIONETO MARTINS DE SOUSA</t>
  </si>
  <si>
    <t>09240308873</t>
  </si>
  <si>
    <t>SONIA MARIA MALDONADO SAURA</t>
  </si>
  <si>
    <t>27445653856</t>
  </si>
  <si>
    <t>ADRIANE CRISTINE PEREIRA DOS SANTOS</t>
  </si>
  <si>
    <t>39358407808</t>
  </si>
  <si>
    <t>LUIZ FERNANDO BONIFACIO DA CRUZ</t>
  </si>
  <si>
    <t>10555279820</t>
  </si>
  <si>
    <t>MARLEIDE DAS GRACAS DE SOUSA</t>
  </si>
  <si>
    <t>45540039572</t>
  </si>
  <si>
    <t>MARCOS RODRIGUES TEXEIRA FILHO</t>
  </si>
  <si>
    <t>91143802853</t>
  </si>
  <si>
    <t>GERALDO MADALENA</t>
  </si>
  <si>
    <t>21578518873</t>
  </si>
  <si>
    <t>SIMONE DE SOUZA</t>
  </si>
  <si>
    <t>05940608850</t>
  </si>
  <si>
    <t>PAULO DE JESUS RAMOS</t>
  </si>
  <si>
    <t>94536058834</t>
  </si>
  <si>
    <t>EDIVAL PETRONILO DE LIMA</t>
  </si>
  <si>
    <t>03871311839</t>
  </si>
  <si>
    <t>DJALMA DOS SANTOS</t>
  </si>
  <si>
    <t>17721407400</t>
  </si>
  <si>
    <t>EDSON SILVESTRE DA SILVA</t>
  </si>
  <si>
    <t>00658512854</t>
  </si>
  <si>
    <t>JOSE NILO DE BRITO</t>
  </si>
  <si>
    <t>06012356811</t>
  </si>
  <si>
    <t>VALMIR LACERDA SILVA</t>
  </si>
  <si>
    <t>02180097808</t>
  </si>
  <si>
    <t>SEBASTIAO VICENTE DOS ANJOS</t>
  </si>
  <si>
    <t>08942678840</t>
  </si>
  <si>
    <t>JOAO BATISTA DE OLIVEIRA</t>
  </si>
  <si>
    <t>63988410420</t>
  </si>
  <si>
    <t>ANA MARIA BARBOSA</t>
  </si>
  <si>
    <t>14603440812</t>
  </si>
  <si>
    <t>BERNADETE LOURDES TEIXEIRA</t>
  </si>
  <si>
    <t>MARIA FRANCISCA DE SANTANA</t>
  </si>
  <si>
    <t>04850080847</t>
  </si>
  <si>
    <t>60284757500</t>
  </si>
  <si>
    <t>NEUSA NASCIMENTO SANTOS LEITE</t>
  </si>
  <si>
    <t>01224002830</t>
  </si>
  <si>
    <t>JOSE MARIA FIGUEIREDO DA SILVA</t>
  </si>
  <si>
    <t>98897586872</t>
  </si>
  <si>
    <t>GERALDO ROSENO</t>
  </si>
  <si>
    <t>94494347604</t>
  </si>
  <si>
    <t>LUCIANA DA SILVA SOUZA</t>
  </si>
  <si>
    <t>67460380849</t>
  </si>
  <si>
    <t>PEDRO PEREIRA FILHO</t>
  </si>
  <si>
    <t>43438920697</t>
  </si>
  <si>
    <t>ANGELA MARIA BATISTA</t>
  </si>
  <si>
    <t>95173803800</t>
  </si>
  <si>
    <t>AMARANTE JOAQUIM FERNANDES</t>
  </si>
  <si>
    <t>14426333873</t>
  </si>
  <si>
    <t>PAULO FERNANDO DE ARRUDA</t>
  </si>
  <si>
    <t>36385751520</t>
  </si>
  <si>
    <t>03708650492</t>
  </si>
  <si>
    <t>REJANE CORREIA DA SILVA</t>
  </si>
  <si>
    <t>03504771836</t>
  </si>
  <si>
    <t>MARIA IZILDA DOS SANTOS</t>
  </si>
  <si>
    <t>93755856891</t>
  </si>
  <si>
    <t>MARIA DE LOURDES BENEDITO</t>
  </si>
  <si>
    <t>04763430890</t>
  </si>
  <si>
    <t>MARIA LUZIA SANTANA SILVA</t>
  </si>
  <si>
    <t>10513967354</t>
  </si>
  <si>
    <t>RAMINY FELIX DA SILVA</t>
  </si>
  <si>
    <t>10036631841</t>
  </si>
  <si>
    <t>AGNALDO ROCHA DOS SANTOS</t>
  </si>
  <si>
    <t>VALDETE MARIA SAMPAIO</t>
  </si>
  <si>
    <t>26319508876</t>
  </si>
  <si>
    <t>REINILDA ALVES DOS ANJOS</t>
  </si>
  <si>
    <t>15112289899</t>
  </si>
  <si>
    <t>HAMILTON DA SILVA MATOS</t>
  </si>
  <si>
    <t>RITA DE CASSIA ALBUQUERQUE QUIRINO</t>
  </si>
  <si>
    <t>50606182853</t>
  </si>
  <si>
    <t>26391644810</t>
  </si>
  <si>
    <t>MARIA ELIZABETE GOMES</t>
  </si>
  <si>
    <t>18467521830</t>
  </si>
  <si>
    <t>ROBERVAL PALMEIRA DOS SANTOS</t>
  </si>
  <si>
    <t>28692930890</t>
  </si>
  <si>
    <t>CECILIA JESUS DE QUEIROZ DE ARAUJO</t>
  </si>
  <si>
    <t>00348973802</t>
  </si>
  <si>
    <t>ANTONIO CARLOS DE OLIVEIRA CUNHA</t>
  </si>
  <si>
    <t>10546741835</t>
  </si>
  <si>
    <t>801440436028927</t>
  </si>
  <si>
    <t>08828152885</t>
  </si>
  <si>
    <t>DERCI GINES PEREIRA</t>
  </si>
  <si>
    <t>23018610822</t>
  </si>
  <si>
    <t>MARIA DE FATIMA DA SILVA</t>
  </si>
  <si>
    <t>00129122807</t>
  </si>
  <si>
    <t>ERCILIA DA SILVA AZEVEDO</t>
  </si>
  <si>
    <t>51848422849</t>
  </si>
  <si>
    <t>IDEGALDO DA SILVA RODRIGUES</t>
  </si>
  <si>
    <t>00629589844</t>
  </si>
  <si>
    <t>SEBASTIAO JOSE FILHO</t>
  </si>
  <si>
    <t>13350203493</t>
  </si>
  <si>
    <t>MARIA IZABELLE SANTANA DOS SANTOS</t>
  </si>
  <si>
    <t>05507085889</t>
  </si>
  <si>
    <t>MARIA PEREIRA DE FRANCA SILVA</t>
  </si>
  <si>
    <t>12808020813</t>
  </si>
  <si>
    <t>JOSE DA SILVA GOMES</t>
  </si>
  <si>
    <t>01206080817</t>
  </si>
  <si>
    <t>FRANCISCO BEZERRA CAMPOS</t>
  </si>
  <si>
    <t>20925069434</t>
  </si>
  <si>
    <t>ANA MARIA DE MESSIAS</t>
  </si>
  <si>
    <t>99932415804</t>
  </si>
  <si>
    <t>DOMINGOS ROCHA PINTO</t>
  </si>
  <si>
    <t>14843351806</t>
  </si>
  <si>
    <t>LUZINETE VIANA SILVEIRA</t>
  </si>
  <si>
    <t>08420795801</t>
  </si>
  <si>
    <t>ANA JOAQUINA DE SANTANA ALMEIDA</t>
  </si>
  <si>
    <t>85669695887</t>
  </si>
  <si>
    <t>JOSE BELTRANO MONTEIRO</t>
  </si>
  <si>
    <t>08590448827</t>
  </si>
  <si>
    <t>IRANI FATIMA DO VALLE STEAGALL</t>
  </si>
  <si>
    <t>89356810320</t>
  </si>
  <si>
    <t>JOSE PEREIRA OLIVEIRA</t>
  </si>
  <si>
    <t>14368255801</t>
  </si>
  <si>
    <t>MARIA DAS NEVES ALVES DOS ANJOS</t>
  </si>
  <si>
    <t>64815323453</t>
  </si>
  <si>
    <t>MARIA RODRIGUES DA SILVA</t>
  </si>
  <si>
    <t>40536653453</t>
  </si>
  <si>
    <t>ALICE MARIA DE MESQUITA GOMES</t>
  </si>
  <si>
    <t>27339196870</t>
  </si>
  <si>
    <t>FERNANDA FERREIRA DE ARAUJO</t>
  </si>
  <si>
    <t>31561674877</t>
  </si>
  <si>
    <t>JULIO CESAR RODRIGUES DA SILVA</t>
  </si>
  <si>
    <t>05607534898</t>
  </si>
  <si>
    <t>ILSA ALVES DE OLIVEIRA</t>
  </si>
  <si>
    <t>03477191803</t>
  </si>
  <si>
    <t>JOSE ROSALVO SILVA</t>
  </si>
  <si>
    <t>NEUZA</t>
  </si>
  <si>
    <t>03430482801</t>
  </si>
  <si>
    <t>MANOEL MESSIAS DA SILVA</t>
  </si>
  <si>
    <t>25435070864</t>
  </si>
  <si>
    <t>JOSE BARBOSA FARIAS</t>
  </si>
  <si>
    <t>33933413320</t>
  </si>
  <si>
    <t>EGILDA DE ARAUJO MENESES</t>
  </si>
  <si>
    <t>04450470893</t>
  </si>
  <si>
    <t>LENEIDE GOMES DE CARVALHO SILVA</t>
  </si>
  <si>
    <t>27505657828</t>
  </si>
  <si>
    <t>MARIA DA PENHA VIEIRA VICENTE</t>
  </si>
  <si>
    <t>34389865749</t>
  </si>
  <si>
    <t>GILSON JAIRO DO NASCIMENTO</t>
  </si>
  <si>
    <t>55108157878</t>
  </si>
  <si>
    <t>RUTH SANTOS DA SILVA</t>
  </si>
  <si>
    <t>46013300925</t>
  </si>
  <si>
    <t>JANDIRA TERAZZIN TEIXEIRA DA SILVA</t>
  </si>
  <si>
    <t>17417791549</t>
  </si>
  <si>
    <t>MANOEL EXPEDITO NASCIMENTO</t>
  </si>
  <si>
    <t>03264242885</t>
  </si>
  <si>
    <t>GILBERTO PLACIDIO MOREIRA</t>
  </si>
  <si>
    <t>11606205803</t>
  </si>
  <si>
    <t>LUZIA LEANDRA FELIPE DE ALMEIDA</t>
  </si>
  <si>
    <t>60645040800</t>
  </si>
  <si>
    <t>SERGIO CIPRIANO DA SILVA</t>
  </si>
  <si>
    <t>19520793810</t>
  </si>
  <si>
    <t>MARIA INES SANTOS SOUZA</t>
  </si>
  <si>
    <t>56051656820</t>
  </si>
  <si>
    <t>DAVY LOUIS DE SOUZA PEREIRA</t>
  </si>
  <si>
    <t xml:space="preserve">        12979867845</t>
  </si>
  <si>
    <t>ROSELI TADEU GALDINO</t>
  </si>
  <si>
    <t>89651405872</t>
  </si>
  <si>
    <t>JOSE RAIMUNDO CANUTO DE OLIVEIRA</t>
  </si>
  <si>
    <t>51271067870</t>
  </si>
  <si>
    <t>JUAN PABLO MORAES SANTOS</t>
  </si>
  <si>
    <t>00609244892</t>
  </si>
  <si>
    <t>IRENO VIEIRA DIAS</t>
  </si>
  <si>
    <t>13241128830</t>
  </si>
  <si>
    <t>EVANI FERNANDES DE JESUS</t>
  </si>
  <si>
    <t>04734762589</t>
  </si>
  <si>
    <t>ROSANGELA SOARES FERREIRA</t>
  </si>
  <si>
    <t>39312566857</t>
  </si>
  <si>
    <t>RODRIGO JUSTINO DA SILVA</t>
  </si>
  <si>
    <t>33645300848</t>
  </si>
  <si>
    <t>ELIANA SANTANA DE SOUZA</t>
  </si>
  <si>
    <t>05/05/2026 13h às 17h</t>
  </si>
  <si>
    <t>75500124820</t>
  </si>
  <si>
    <t>ANTONIO DOS SANTOS SILVA</t>
  </si>
  <si>
    <t>MARINALVA SILVA DOS SANTOS</t>
  </si>
  <si>
    <t>MARIA IVANI PEREIRA</t>
  </si>
  <si>
    <t>02816934551</t>
  </si>
  <si>
    <t>MARILUCIA SANTOS DOS ANJOS</t>
  </si>
  <si>
    <t>76306747168</t>
  </si>
  <si>
    <t>FRANCISCA RODRIGUES DA SILVA</t>
  </si>
  <si>
    <t>12939334775</t>
  </si>
  <si>
    <t>ANA QUARESMA BARBOSA SALGUEIRO</t>
  </si>
  <si>
    <t>04697978510</t>
  </si>
  <si>
    <t>GERUSA GOMES SACRAMENTO</t>
  </si>
  <si>
    <t>28008188839</t>
  </si>
  <si>
    <t>36617210700</t>
  </si>
  <si>
    <t>JOSE DE OLIVEIRA CARDOSO FILHO</t>
  </si>
  <si>
    <t>22993098888</t>
  </si>
  <si>
    <t>IVONETE DE JESUS ANDRADE</t>
  </si>
  <si>
    <t>01135297835</t>
  </si>
  <si>
    <t>MARIA MARGARETE DA SILVA</t>
  </si>
  <si>
    <t>04869300842</t>
  </si>
  <si>
    <t>OSMAR FRANCISCO DE SOUSA</t>
  </si>
  <si>
    <t>76521508849</t>
  </si>
  <si>
    <t>MARIA APARECIDA CAVALCANTE DA SILVA</t>
  </si>
  <si>
    <t>14866696893</t>
  </si>
  <si>
    <t>GILDA DE SOUZA LIMA SILVA</t>
  </si>
  <si>
    <t>27426592855</t>
  </si>
  <si>
    <t>AVANI ROSA DA SILVA</t>
  </si>
  <si>
    <t>01435369823</t>
  </si>
  <si>
    <t>ARNALDO FERREIRA</t>
  </si>
  <si>
    <t>MARIA</t>
  </si>
  <si>
    <t>31710422823</t>
  </si>
  <si>
    <t>SELMA DOS SANTOS PALMEGIANO</t>
  </si>
  <si>
    <t>25631065835</t>
  </si>
  <si>
    <t>WAGNER DE OLIVEIRA</t>
  </si>
  <si>
    <t>MARIA SOCORRO</t>
  </si>
  <si>
    <t>03565170808</t>
  </si>
  <si>
    <t>MARIA HELENA DA SILVA</t>
  </si>
  <si>
    <t>15202967896</t>
  </si>
  <si>
    <t>ELENICE BARBOSA DA SILVA QUIRINO</t>
  </si>
  <si>
    <t>79824064400</t>
  </si>
  <si>
    <t>MARLENE MARIA DA CONCEICAO</t>
  </si>
  <si>
    <t>17622953857</t>
  </si>
  <si>
    <t>ANA NEUZA SOUZA ROCHA GONCALVES</t>
  </si>
  <si>
    <t>35280736830</t>
  </si>
  <si>
    <t>CRISTIANE APARECIDA GOMES CAVALCANTE</t>
  </si>
  <si>
    <t>12983601889</t>
  </si>
  <si>
    <t>CARLOS ANDERSON DA SILVA</t>
  </si>
  <si>
    <t>17487448878</t>
  </si>
  <si>
    <t>MARIA JULIA DE JESUS</t>
  </si>
  <si>
    <t>00733791824</t>
  </si>
  <si>
    <t>JOSE NARCISO</t>
  </si>
  <si>
    <t>04464512828</t>
  </si>
  <si>
    <t>IVETE FRANCISCA DA SILVA</t>
  </si>
  <si>
    <t>11476682801</t>
  </si>
  <si>
    <t>CLAUDETE DOS SANTOS FONSECA</t>
  </si>
  <si>
    <t>12142566539</t>
  </si>
  <si>
    <t>MARIA ANGELICA MACHADO DA SILVA</t>
  </si>
  <si>
    <t>39994901877</t>
  </si>
  <si>
    <t>KENNEDY APARECIDO DOS SANTOS</t>
  </si>
  <si>
    <t>11695542886</t>
  </si>
  <si>
    <t>MARIA LUCIA ALVES</t>
  </si>
  <si>
    <t>68292228691</t>
  </si>
  <si>
    <t>OSMAR DE CARVALHO</t>
  </si>
  <si>
    <t>31528718801</t>
  </si>
  <si>
    <t>ANTONIA VANDERLI DA FRANCA</t>
  </si>
  <si>
    <t>17996559899</t>
  </si>
  <si>
    <t>MARILENE GONCALVES BATISTA DOS SANTOS</t>
  </si>
  <si>
    <t>32214240861</t>
  </si>
  <si>
    <t>RENATA APARECIDA FONSECA GARCIA</t>
  </si>
  <si>
    <t>00726367850</t>
  </si>
  <si>
    <t>MARILENE CARDOSO DA SILVA</t>
  </si>
  <si>
    <t>29305725821</t>
  </si>
  <si>
    <t>MARIA HELENA SANTOS FERREIRA NEVES</t>
  </si>
  <si>
    <t>69903891849</t>
  </si>
  <si>
    <t>JORGE COSME DOS SANTOS</t>
  </si>
  <si>
    <t>01613134509</t>
  </si>
  <si>
    <t>ALZIRA ROSA DOS ANJOS</t>
  </si>
  <si>
    <t>28756147899</t>
  </si>
  <si>
    <t>LUIZ CICERO SIMPLICIO</t>
  </si>
  <si>
    <t>53218000572</t>
  </si>
  <si>
    <t>VERONICE SANTOS DE ANDRADE</t>
  </si>
  <si>
    <t>03484827521</t>
  </si>
  <si>
    <t>JOSE DANILO SANTOS MATOS</t>
  </si>
  <si>
    <t>14975351315</t>
  </si>
  <si>
    <t>MARIA DE JESUS OLIVEIRA DOS SANTOS</t>
  </si>
  <si>
    <t>00628198876</t>
  </si>
  <si>
    <t>JOSE ALVES DO NASCIMENTO</t>
  </si>
  <si>
    <t>39625504885</t>
  </si>
  <si>
    <t>TATIANE ESTEVAM DOS SANTOS</t>
  </si>
  <si>
    <t>01389665836</t>
  </si>
  <si>
    <t>MARIA JOSE DA SILVA ESTEVES</t>
  </si>
  <si>
    <t>10089327870</t>
  </si>
  <si>
    <t>CLAUDIO MONTEIRO</t>
  </si>
  <si>
    <t>11213994870</t>
  </si>
  <si>
    <t>ETELVINA JOANA LOPES</t>
  </si>
  <si>
    <t>12522517856</t>
  </si>
  <si>
    <t>MARIA DE LOURDES MARTINS</t>
  </si>
  <si>
    <t>11702101800</t>
  </si>
  <si>
    <t>ANA DA CONSOLACAO DE BARROS LOPES</t>
  </si>
  <si>
    <t>25806357856</t>
  </si>
  <si>
    <t>JOAQUIM TEXEIRA DOS SANTOS</t>
  </si>
  <si>
    <t>26885219851</t>
  </si>
  <si>
    <t>DENISE FABIANA ARRUDA BARBOSA</t>
  </si>
  <si>
    <t>28123730837</t>
  </si>
  <si>
    <t>JOSE DE OLIVEIRA BATISTA</t>
  </si>
  <si>
    <t>03981804589</t>
  </si>
  <si>
    <t>EVILANE FRANCISCA DE JESUS</t>
  </si>
  <si>
    <t>38262101820</t>
  </si>
  <si>
    <t>LETICIA CRISTINA DE SOUZA</t>
  </si>
  <si>
    <t>MARCOS FREIRE</t>
  </si>
  <si>
    <t>03987968664</t>
  </si>
  <si>
    <t>54989854870</t>
  </si>
  <si>
    <t>MATEUS LIMA DOS SANTOS</t>
  </si>
  <si>
    <t>38623368835</t>
  </si>
  <si>
    <t>ANDERSON FERREIRA DE SOUSA</t>
  </si>
  <si>
    <t>87778807815</t>
  </si>
  <si>
    <t>HIDEMBURGO MAGNO GALVINO</t>
  </si>
  <si>
    <t>02916539875</t>
  </si>
  <si>
    <t>SATURNILIO DE OLIVEIRA SANTOS</t>
  </si>
  <si>
    <t>24557179843</t>
  </si>
  <si>
    <t>HILDA MARIA CARDOSO DE LIMA</t>
  </si>
  <si>
    <t>94015325834</t>
  </si>
  <si>
    <t>JOAO DE OLIVEIRA NOVAIS</t>
  </si>
  <si>
    <t>05715489890</t>
  </si>
  <si>
    <t>ROSIVALDO SOUSA BASTOS</t>
  </si>
  <si>
    <t>14487828805</t>
  </si>
  <si>
    <t>LEONISIA ANTONIA DA SILVA</t>
  </si>
  <si>
    <t>39613093885</t>
  </si>
  <si>
    <t>GREICE RIBEIRO VIANA</t>
  </si>
  <si>
    <t>10451610806</t>
  </si>
  <si>
    <t>LUIZ CARLOS FABIANO</t>
  </si>
  <si>
    <t>39922735806</t>
  </si>
  <si>
    <t>SUELI NEVES ARAUJO</t>
  </si>
  <si>
    <t>28236204863</t>
  </si>
  <si>
    <t>EDSONIA MARIA ALVES PEREIRA</t>
  </si>
  <si>
    <t>00670187852</t>
  </si>
  <si>
    <t>FRANCISCO BRAZ FERREIRA</t>
  </si>
  <si>
    <t>86967860500</t>
  </si>
  <si>
    <t>CARMEM GUIMARAES LIMA</t>
  </si>
  <si>
    <t>01/06/2026 13h às 17h</t>
  </si>
  <si>
    <t>33851388844</t>
  </si>
  <si>
    <t>DAMIANA FERREIRA DE LIMA</t>
  </si>
  <si>
    <t>57886679849</t>
  </si>
  <si>
    <t>FRANCISCO FERREIRA DA SILVA</t>
  </si>
  <si>
    <t>90418913820</t>
  </si>
  <si>
    <t>JOSE ALVES DE OLIVEIRA</t>
  </si>
  <si>
    <t>JARCINEIDE</t>
  </si>
  <si>
    <t>30069865809</t>
  </si>
  <si>
    <t>MARLENE HENRIQUES TEIXEIRA</t>
  </si>
  <si>
    <t>07439813839</t>
  </si>
  <si>
    <t>Maria Aparecida Godoy</t>
  </si>
  <si>
    <t>75095548887</t>
  </si>
  <si>
    <t>RAIMUNDO RIBEIRO DA SILVA</t>
  </si>
  <si>
    <t>07622389846</t>
  </si>
  <si>
    <t>MARLI DE LOURDES MARANGONI</t>
  </si>
  <si>
    <t>07224514829</t>
  </si>
  <si>
    <t>INES MARIA DE JESUS</t>
  </si>
  <si>
    <t>64498590830</t>
  </si>
  <si>
    <t>PAULO DA SILVA</t>
  </si>
  <si>
    <t>05331059864</t>
  </si>
  <si>
    <t>MARIA JOSE DOS SANTOS</t>
  </si>
  <si>
    <t>08394818889</t>
  </si>
  <si>
    <t>FATIMA KHALIL FERREIRA</t>
  </si>
  <si>
    <t>56979864831</t>
  </si>
  <si>
    <t>ANA LUIZA ARAGAO BARAGATTI</t>
  </si>
  <si>
    <t>02105574513</t>
  </si>
  <si>
    <t>MARILENE BARBOSA DOS SANTOS</t>
  </si>
  <si>
    <t>03733338898</t>
  </si>
  <si>
    <t>29428279803</t>
  </si>
  <si>
    <t>JOAO PEREIRA DOS SANTOS</t>
  </si>
  <si>
    <t>08588683857</t>
  </si>
  <si>
    <t>MARLENE DA SILVA LEITE</t>
  </si>
  <si>
    <t>07325583877</t>
  </si>
  <si>
    <t>IDELZUITE RODRIGUES DA SILVA</t>
  </si>
  <si>
    <t>10057325820</t>
  </si>
  <si>
    <t>DORIVAL DE OLIVEIRA</t>
  </si>
  <si>
    <t>95140522853</t>
  </si>
  <si>
    <t>MARIA APARECIDA ALVES FERREIRA</t>
  </si>
  <si>
    <t>09457430840</t>
  </si>
  <si>
    <t>11855497816</t>
  </si>
  <si>
    <t>EXPEDITA MARIA GUIMARAES MARES</t>
  </si>
  <si>
    <t>09417328867</t>
  </si>
  <si>
    <t>EDINALDO SANTOS DA SILVA</t>
  </si>
  <si>
    <t>18549094870</t>
  </si>
  <si>
    <t>ANA TEREZA DOS SANTOS</t>
  </si>
  <si>
    <t>29574754804</t>
  </si>
  <si>
    <t>DENILU DUARTE SANTOS</t>
  </si>
  <si>
    <t>03747431852</t>
  </si>
  <si>
    <t>VALDEMAR GOMES DE SOUZA</t>
  </si>
  <si>
    <t>12830982886</t>
  </si>
  <si>
    <t>LINDINALVA CLEMENTE DE LIMA ZACARIAS</t>
  </si>
  <si>
    <t>26866071810</t>
  </si>
  <si>
    <t>ENI CESARIO SOARES</t>
  </si>
  <si>
    <t>40782565700</t>
  </si>
  <si>
    <t>CARLOS SABINO DE SOUSA</t>
  </si>
  <si>
    <t>50056378858</t>
  </si>
  <si>
    <t>GUILHERME ROBERTO ESTEVAO</t>
  </si>
  <si>
    <t>MARIA APARECIDA DOS SANTOS LIRA</t>
  </si>
  <si>
    <t>65585020897</t>
  </si>
  <si>
    <t>FRANCISCO BARBOSA</t>
  </si>
  <si>
    <t>24380776034</t>
  </si>
  <si>
    <t>JANETI ROSANE SOUZA RIBEIRO</t>
  </si>
  <si>
    <t>12836847808</t>
  </si>
  <si>
    <t>TEREZA SAEKO ONO</t>
  </si>
  <si>
    <t>22552935877</t>
  </si>
  <si>
    <t>JOANITA BARBOSA DOS SANTOS</t>
  </si>
  <si>
    <t>17092519802</t>
  </si>
  <si>
    <t>MARIA JOSE DE BRITO SANTOS</t>
  </si>
  <si>
    <t>13276813823</t>
  </si>
  <si>
    <t>ELSA ROSA DA SILVA</t>
  </si>
  <si>
    <t>01692353519</t>
  </si>
  <si>
    <t>JOANES LUCIO DOS SANTOS</t>
  </si>
  <si>
    <t>25527111893</t>
  </si>
  <si>
    <t>MARIA CELIA RODRIGUES DOS SANTOS</t>
  </si>
  <si>
    <t>03507652439</t>
  </si>
  <si>
    <t>NECI TARGINO DE BRITO</t>
  </si>
  <si>
    <t>05276435804</t>
  </si>
  <si>
    <t>CLEA NUNES ANDRADE</t>
  </si>
  <si>
    <t>08829205885</t>
  </si>
  <si>
    <t>ODETE BECHARA LEITE</t>
  </si>
  <si>
    <t>23907469852</t>
  </si>
  <si>
    <t>LOURDES MARIA</t>
  </si>
  <si>
    <t>00153833858</t>
  </si>
  <si>
    <t>JOSE CARLOS DA SILVA</t>
  </si>
  <si>
    <t>05524293842</t>
  </si>
  <si>
    <t>JOSE MARQUES DE SOUZA</t>
  </si>
  <si>
    <t>58875168873</t>
  </si>
  <si>
    <t>MARIA DAS GRACAS RIBEIRO</t>
  </si>
  <si>
    <t>25873607818</t>
  </si>
  <si>
    <t>VILMA APARECIDA DA SILVA</t>
  </si>
  <si>
    <t>08551870858</t>
  </si>
  <si>
    <t>LUIS ANTONIO DE LIMA</t>
  </si>
  <si>
    <t>70265350212</t>
  </si>
  <si>
    <t>OZIANA DORVILIER</t>
  </si>
  <si>
    <t>03760461808</t>
  </si>
  <si>
    <t>WILLIAME DONATO DE MATOS</t>
  </si>
  <si>
    <t>14229762895</t>
  </si>
  <si>
    <t>GILSON DIONISIO DA SILVA</t>
  </si>
  <si>
    <t>01076409881</t>
  </si>
  <si>
    <t>JULIO COSTA FERNANDES</t>
  </si>
  <si>
    <t>30387159487</t>
  </si>
  <si>
    <t>JOSE BESERRA DA SILVA</t>
  </si>
  <si>
    <t>87097753668</t>
  </si>
  <si>
    <t>JOSE GERALDO DA SILVA</t>
  </si>
  <si>
    <t>27814219876</t>
  </si>
  <si>
    <t>JOSEFINA BISPO DOS SANTOS</t>
  </si>
  <si>
    <t>40934225591</t>
  </si>
  <si>
    <t>GISELA OLIVEIRA ANDRADE CELESTINO</t>
  </si>
  <si>
    <t>24119691802</t>
  </si>
  <si>
    <t>HAYLA NICOLE SANTANA SOUZA DA SILVA</t>
  </si>
  <si>
    <t>15395636854</t>
  </si>
  <si>
    <t>MARLENE DE OLIVEIRA PONCIANO</t>
  </si>
  <si>
    <t>99015455872</t>
  </si>
  <si>
    <t>JUVENAL PEDRO DA SILVA</t>
  </si>
  <si>
    <t>73235954449</t>
  </si>
  <si>
    <t>ELIANE AFONSO DA SILVA</t>
  </si>
  <si>
    <t>14071569859</t>
  </si>
  <si>
    <t>JUNIOR ANTONIO DA SILVA</t>
  </si>
  <si>
    <t>14880291803</t>
  </si>
  <si>
    <t>NEIDE ALVES DOS SANTOS</t>
  </si>
  <si>
    <t>16386045840</t>
  </si>
  <si>
    <t>ANTONIO FERREIRA DOS SANTOS</t>
  </si>
  <si>
    <t>36093909808</t>
  </si>
  <si>
    <t>MARIA ROSALIA DOS SANTOS BROETTO</t>
  </si>
  <si>
    <t>02949675832</t>
  </si>
  <si>
    <t>MARIOVALDO MAFRA NUNES</t>
  </si>
  <si>
    <t>04188775807</t>
  </si>
  <si>
    <t>VALCI MORAIS DA ROCHA</t>
  </si>
  <si>
    <t>17365630841</t>
  </si>
  <si>
    <t>ANA MARGARETE DUTRA</t>
  </si>
  <si>
    <t>72171707372</t>
  </si>
  <si>
    <t>FRANCISCO FERREIRA DE CARVALHO</t>
  </si>
  <si>
    <t>04538089800</t>
  </si>
  <si>
    <t>ADELITA MARIA OLIVEIRA FERREIRA</t>
  </si>
  <si>
    <t>03761237880</t>
  </si>
  <si>
    <t>01391320824</t>
  </si>
  <si>
    <t>FRANCISCA VITORIA DOS SANTOS MELO</t>
  </si>
  <si>
    <t>65365976800</t>
  </si>
  <si>
    <t>707804673054711</t>
  </si>
  <si>
    <t>ANTONIO GARCIA SOBRINHO</t>
  </si>
  <si>
    <t>22466132800</t>
  </si>
  <si>
    <t>AMANDA SAMPAIO MIRANDA</t>
  </si>
  <si>
    <t>04503742892</t>
  </si>
  <si>
    <t>MARIA DE LOURDES PEREIRA DE SOUZA</t>
  </si>
  <si>
    <t>34495653890</t>
  </si>
  <si>
    <t>LAUDICEIA ANDRADE DE OLIVEIRA</t>
  </si>
  <si>
    <t>06648166819</t>
  </si>
  <si>
    <t>ELENALVA MARIA SANTOS MALAQUIAS</t>
  </si>
  <si>
    <t>08445004883</t>
  </si>
  <si>
    <t>SOLANGE DA SILVA RIBEIRO</t>
  </si>
  <si>
    <t>25069847805</t>
  </si>
  <si>
    <t>DIANA PAULA PEDROZA</t>
  </si>
  <si>
    <t>10717169804</t>
  </si>
  <si>
    <t>JOSEFA MAGALHAES ALVES</t>
  </si>
  <si>
    <t>35198186805</t>
  </si>
  <si>
    <t>DEUSDETIA SANTANA ARAUJO</t>
  </si>
  <si>
    <t>27526811869</t>
  </si>
  <si>
    <t>05021636820</t>
  </si>
  <si>
    <t>CARLOS ANTONIO DA SILVA</t>
  </si>
  <si>
    <t>13239979896</t>
  </si>
  <si>
    <t>MARIA JACIRA DOS SANTOS PINTO</t>
  </si>
  <si>
    <t>76282830800</t>
  </si>
  <si>
    <t>IVANIRA ALVES DA COSTA</t>
  </si>
  <si>
    <t>06617480813</t>
  </si>
  <si>
    <t>VALTER CASTRO SILVA</t>
  </si>
  <si>
    <t>36889493826</t>
  </si>
  <si>
    <t>FABIANA DE SOUZA</t>
  </si>
  <si>
    <t>12637771801</t>
  </si>
  <si>
    <t>JOAO BATISTA DE PAULO SARMENTO</t>
  </si>
  <si>
    <t>38152112801</t>
  </si>
  <si>
    <t>MARIA ELZA DOS SANTOS</t>
  </si>
  <si>
    <t>19580316821</t>
  </si>
  <si>
    <t>ELITA SOARES XAVIER PENHA</t>
  </si>
  <si>
    <t>26136017873</t>
  </si>
  <si>
    <t>EDNELSON SOBRAL DA SILVA</t>
  </si>
  <si>
    <t>40202719847</t>
  </si>
  <si>
    <t>RODRIGO FERREIRA DOS SANTOS</t>
  </si>
  <si>
    <t>59892897668</t>
  </si>
  <si>
    <t>JOSE IRINEU PEREIRA DE FREITAS</t>
  </si>
  <si>
    <t>10718620810</t>
  </si>
  <si>
    <t>CONCELITA ANTONIA REIS URBANO</t>
  </si>
  <si>
    <t>70319596834</t>
  </si>
  <si>
    <t>LAURO SANCHEZ</t>
  </si>
  <si>
    <t>42144540497</t>
  </si>
  <si>
    <t>ADEILDA CARMELITA PACHECO</t>
  </si>
  <si>
    <t>04574410892</t>
  </si>
  <si>
    <t>ROSELI GOMES</t>
  </si>
  <si>
    <t>51932686843</t>
  </si>
  <si>
    <t>VICTORIA RAYSSA GOMES DA SILVA</t>
  </si>
  <si>
    <t>19678179873</t>
  </si>
  <si>
    <t>LUIZA LOPES DOS SANTOS</t>
  </si>
  <si>
    <t>02327890888</t>
  </si>
  <si>
    <t>JUDITE SILVEIRA DOS SANTOS</t>
  </si>
  <si>
    <t>16050100306</t>
  </si>
  <si>
    <t>ADONIAS DA SILVA</t>
  </si>
  <si>
    <t>22928890807</t>
  </si>
  <si>
    <t>MARIA EDITE DE OLIVEIRA</t>
  </si>
  <si>
    <t>32791379851</t>
  </si>
  <si>
    <t>LUCINEIDE BATISTA DOS SANTOS</t>
  </si>
  <si>
    <t>22672310858</t>
  </si>
  <si>
    <t>IVONE DE JESUS DO CARMO</t>
  </si>
  <si>
    <t>65671767253</t>
  </si>
  <si>
    <t>ANDRE NASCIMENTO PAIVA</t>
  </si>
  <si>
    <t>55163226851</t>
  </si>
  <si>
    <t>MARCOS VINICIOS GONCALVEZ DA SILVA</t>
  </si>
  <si>
    <t>27444131864</t>
  </si>
  <si>
    <t>JOSE VITAL DOS SANTOS</t>
  </si>
  <si>
    <t>26570635867</t>
  </si>
  <si>
    <t>MOISES CALHEIROS DO SANTOS</t>
  </si>
  <si>
    <t>15745001801</t>
  </si>
  <si>
    <t>17093354831</t>
  </si>
  <si>
    <t>MARIA JOSE FERREIRA DA SILVA</t>
  </si>
  <si>
    <t>06519284866</t>
  </si>
  <si>
    <t>FLORDENICE DOS REIS</t>
  </si>
  <si>
    <t>15349498878</t>
  </si>
  <si>
    <t>MARIA DA SILVA BRITO</t>
  </si>
  <si>
    <t>33474978802</t>
  </si>
  <si>
    <t>CREUZA DAS GRACAS CRUZ</t>
  </si>
  <si>
    <t>14759247807</t>
  </si>
  <si>
    <t>ALMELISTO CANDIDO DE SA</t>
  </si>
  <si>
    <t>01246903865</t>
  </si>
  <si>
    <t>NEUSA ANFILO</t>
  </si>
  <si>
    <t>27767919846</t>
  </si>
  <si>
    <t>KELLY CRISTINA ANTONIO</t>
  </si>
  <si>
    <t>01040490816</t>
  </si>
  <si>
    <t>ANTONIO CARLOS BATISTA COSTA</t>
  </si>
  <si>
    <t>61331376491</t>
  </si>
  <si>
    <t>ELZA CAVALCANTE DE ALBUQUERQUE</t>
  </si>
  <si>
    <t>16620415865</t>
  </si>
  <si>
    <t>DERIVALDO VICENTE DA SILVA</t>
  </si>
  <si>
    <t>13519139804</t>
  </si>
  <si>
    <t>ERONILDO PEREIRA DA SILVA</t>
  </si>
  <si>
    <t>03175990894</t>
  </si>
  <si>
    <t>MARIA DO AMPARO BORGES SOUSA</t>
  </si>
  <si>
    <t>REAGENDAR</t>
  </si>
  <si>
    <t>08381808847</t>
  </si>
  <si>
    <t>ANTONELSON GUSMAO VIANA</t>
  </si>
  <si>
    <t>01109058810</t>
  </si>
  <si>
    <t>MANOEL BATISTA RIBEIRO</t>
  </si>
  <si>
    <t>05042559833</t>
  </si>
  <si>
    <t>LUIS EDUARDO SOUZA AZEVEDO</t>
  </si>
  <si>
    <t>05190028810</t>
  </si>
  <si>
    <t>JOSEFINA BELISARIO DE ARAUJO</t>
  </si>
  <si>
    <t>26663497804</t>
  </si>
  <si>
    <t>IZILDINHA DE FATIMA OLIVEIRA</t>
  </si>
  <si>
    <t>02490792598</t>
  </si>
  <si>
    <t>MARIA ADRIANA DOS SANTOS</t>
  </si>
  <si>
    <t>44441193572</t>
  </si>
  <si>
    <t>JOAQUINA MARIA DO CARMO SANTOS</t>
  </si>
  <si>
    <t>02/06/2026 13h às 17h</t>
  </si>
  <si>
    <t>13237793884</t>
  </si>
  <si>
    <t>AMELIA ROSA DE OLIVEIRA</t>
  </si>
  <si>
    <t>36953393572</t>
  </si>
  <si>
    <t>MIGUEL LIMA MENEZES</t>
  </si>
  <si>
    <t>00390528501</t>
  </si>
  <si>
    <t>ANTONIA PEREIRA SANTOS DOS SANTOS</t>
  </si>
  <si>
    <t>36664861852</t>
  </si>
  <si>
    <t>MARIA DAS DORES DA SILVA SANTOS</t>
  </si>
  <si>
    <t>60389460478</t>
  </si>
  <si>
    <t>HELIO MANUEL DA SILVA</t>
  </si>
  <si>
    <t>01203850824</t>
  </si>
  <si>
    <t>NIVALDO CARDOSO</t>
  </si>
  <si>
    <t>13036569812</t>
  </si>
  <si>
    <t>ANTONIA GOMES DA SILVA</t>
  </si>
  <si>
    <t>02348879824</t>
  </si>
  <si>
    <t>FLORISMUNDO ARAUJO</t>
  </si>
  <si>
    <t>25711450883</t>
  </si>
  <si>
    <t>SIRLEIDE ROSA DOS SANTOS</t>
  </si>
  <si>
    <t>06060993877</t>
  </si>
  <si>
    <t>JOAO PEREIRA DA SILVA</t>
  </si>
  <si>
    <t>27142218827</t>
  </si>
  <si>
    <t>ARIVAL MELO DE SOUZA</t>
  </si>
  <si>
    <t>22855628881</t>
  </si>
  <si>
    <t>ERIKA SOUZA SANTOS</t>
  </si>
  <si>
    <t>28348885234</t>
  </si>
  <si>
    <t>MARIA MARGARIDA FIGUEIREDO</t>
  </si>
  <si>
    <t>87844052872</t>
  </si>
  <si>
    <t>JOSE MARIA DE LIMA CHAVES</t>
  </si>
  <si>
    <t>31758856831</t>
  </si>
  <si>
    <t>SUELI GOMES LEAL DO NASCIMENTO</t>
  </si>
  <si>
    <t>01745598448</t>
  </si>
  <si>
    <t>SILVANA SOARES DA SILVA</t>
  </si>
  <si>
    <t>21378312287</t>
  </si>
  <si>
    <t>SEBASTIAO FERREIRA DOS SANTOS</t>
  </si>
  <si>
    <t>68475098487</t>
  </si>
  <si>
    <t>LAUDICEIA MARIA DA SILVA</t>
  </si>
  <si>
    <t>09240421840</t>
  </si>
  <si>
    <t>SANDRA REGINA DE PAULA CORDEIRO</t>
  </si>
  <si>
    <t>36730335491</t>
  </si>
  <si>
    <t>MANOEL SALUSTIANO DA SILVA</t>
  </si>
  <si>
    <t>36082819837</t>
  </si>
  <si>
    <t>VIVIANA DA CRUZ LUIZ</t>
  </si>
  <si>
    <t>52499456515</t>
  </si>
  <si>
    <t>EDVALDO RAIMUNDO DE JESUS</t>
  </si>
  <si>
    <t>27417458890</t>
  </si>
  <si>
    <t>HELEN ROSE NASCIMENTO MOURA DOS SANTOS</t>
  </si>
  <si>
    <t>19533031883</t>
  </si>
  <si>
    <t>RAIMUNDO SOARES</t>
  </si>
  <si>
    <t>09388021860</t>
  </si>
  <si>
    <t>MARINALVA OLIVEIRA DOS REIS SILVAA</t>
  </si>
  <si>
    <t>95017283820</t>
  </si>
  <si>
    <t>APARECIDO DONIZETE DA SILVA</t>
  </si>
  <si>
    <t>89417216872</t>
  </si>
  <si>
    <t>ANA MARIA DE SOUZA DIORIO</t>
  </si>
  <si>
    <t>03101188598</t>
  </si>
  <si>
    <t>LUCIANA TEIXEIRA GOMES</t>
  </si>
  <si>
    <t>65378490804</t>
  </si>
  <si>
    <t>JOAO DA SILVA</t>
  </si>
  <si>
    <t>39477341827</t>
  </si>
  <si>
    <t>JULIANA GOMES RAMOS</t>
  </si>
  <si>
    <t>52696936668</t>
  </si>
  <si>
    <t>44900023434</t>
  </si>
  <si>
    <t>JOSE ZACARIAS DA SILVA</t>
  </si>
  <si>
    <t>33957081874</t>
  </si>
  <si>
    <t>GISELE DOS SANTOS RODRIGUES</t>
  </si>
  <si>
    <t>13563519803</t>
  </si>
  <si>
    <t>IDEANA MARIA DA SILVA CHAGAS</t>
  </si>
  <si>
    <t>26434604807</t>
  </si>
  <si>
    <t>ELAINE CRISTINA SILVA</t>
  </si>
  <si>
    <t>63452790800</t>
  </si>
  <si>
    <t>LEONCIO DE LIMA</t>
  </si>
  <si>
    <t>JOANA</t>
  </si>
  <si>
    <t>JOAO JOSE</t>
  </si>
  <si>
    <t>52858421900</t>
  </si>
  <si>
    <t>JOACIR DE ABREU</t>
  </si>
  <si>
    <t>85454206849</t>
  </si>
  <si>
    <t>JOSE AMORIM CARDOSO</t>
  </si>
  <si>
    <t>17972051453</t>
  </si>
  <si>
    <t>MARIA JOSE DA CONCEICAO</t>
  </si>
  <si>
    <t>17092157803</t>
  </si>
  <si>
    <t>MARINALVA JULIA ALVES DE PAULA</t>
  </si>
  <si>
    <t>43179029587</t>
  </si>
  <si>
    <t>MARIVALDA DE JESUS COSTA</t>
  </si>
  <si>
    <t>11763103803</t>
  </si>
  <si>
    <t>VERA LUCIA FERREIRA</t>
  </si>
  <si>
    <t>78282942472</t>
  </si>
  <si>
    <t>ZEZA ALVES SILVA</t>
  </si>
  <si>
    <t>10122392841</t>
  </si>
  <si>
    <t>FRANCISCO APARECIDO LOPES DE SOUZA</t>
  </si>
  <si>
    <t>29572602802</t>
  </si>
  <si>
    <t>AMERICA ROSA MOREIRA</t>
  </si>
  <si>
    <t>68902425304</t>
  </si>
  <si>
    <t>JUSTINA CIPRIANA LEAO</t>
  </si>
  <si>
    <t>41204755817</t>
  </si>
  <si>
    <t>BIANCA DOS SANTOS BURAEN</t>
  </si>
  <si>
    <t>00461671026</t>
  </si>
  <si>
    <t>JOSELITA SANTOS FERREIRA</t>
  </si>
  <si>
    <t>22349848825</t>
  </si>
  <si>
    <t>JOSIEADA SILVA DA COSTA</t>
  </si>
  <si>
    <t>08238122864</t>
  </si>
  <si>
    <t>MARIA DE LOURDES GONCALVES PEREIRA</t>
  </si>
  <si>
    <t>ARLINDA</t>
  </si>
  <si>
    <t>12983671828</t>
  </si>
  <si>
    <t>HILDA SOUZA NUNES FERREIRA</t>
  </si>
  <si>
    <t>37444026491</t>
  </si>
  <si>
    <t>JOSE ANTONIO SALES</t>
  </si>
  <si>
    <t>39277889888</t>
  </si>
  <si>
    <t>NELY GADELHA DO NASCIMENTO</t>
  </si>
  <si>
    <t>08485248880</t>
  </si>
  <si>
    <t>MARIA ANA DA SILVA</t>
  </si>
  <si>
    <t>06640765802</t>
  </si>
  <si>
    <t>VITALINA VIDOY BERNARDO</t>
  </si>
  <si>
    <t>05103790874</t>
  </si>
  <si>
    <t>CREUSA MARIA FERREIRA</t>
  </si>
  <si>
    <t>02591616671</t>
  </si>
  <si>
    <t>ANA CIRLENE CANABRAVA DOS SANTOS</t>
  </si>
  <si>
    <t>15799860802</t>
  </si>
  <si>
    <t>IVONETE DE FRANCA SILVA</t>
  </si>
  <si>
    <t>03/08/2026 13h às 17h</t>
  </si>
  <si>
    <t>01/07/2026 08h às 13h</t>
  </si>
  <si>
    <t>88313590459</t>
  </si>
  <si>
    <t>LINDACI MARIA BARROS DE OLIVEIRA</t>
  </si>
  <si>
    <t>93572859891</t>
  </si>
  <si>
    <t>706201007218764</t>
  </si>
  <si>
    <t>CLEUZA MENDES DA SILVA</t>
  </si>
  <si>
    <t>49745956872</t>
  </si>
  <si>
    <t>MILTON CESARINO DOS SANTOS JUNIOR</t>
  </si>
  <si>
    <t>03138014879</t>
  </si>
  <si>
    <t>MARIA IZABEL DA SILVA NASCIMENTO</t>
  </si>
  <si>
    <t>90039424804</t>
  </si>
  <si>
    <t>JOAO BATISTA DA COSTA</t>
  </si>
  <si>
    <t>04051016862</t>
  </si>
  <si>
    <t>MARIA APARECIDA MESSIAS BUENO</t>
  </si>
  <si>
    <t>81774249804</t>
  </si>
  <si>
    <t>JUDITH MENDES DA SILVA</t>
  </si>
  <si>
    <t>67711715404</t>
  </si>
  <si>
    <t>ROBERTO CLEMENTINO SILVA</t>
  </si>
  <si>
    <t>14903375803</t>
  </si>
  <si>
    <t>LAURA DA CONCEICAO FERREIRA</t>
  </si>
  <si>
    <t>03983868894</t>
  </si>
  <si>
    <t>ELZA MARIA DE JESUS</t>
  </si>
  <si>
    <t>11674605889</t>
  </si>
  <si>
    <t>JURACY GENTIL DE LAET</t>
  </si>
  <si>
    <t>25568628823</t>
  </si>
  <si>
    <t>ADELINA MARIA DA ROCHA KINIKEL</t>
  </si>
  <si>
    <t>09503063809</t>
  </si>
  <si>
    <t>MARIA DO SOCORRO DAS DORES SILVA</t>
  </si>
  <si>
    <t>27609983802</t>
  </si>
  <si>
    <t>CLESIA DE QUEIROZ ALVES</t>
  </si>
  <si>
    <t>08210377817</t>
  </si>
  <si>
    <t>ENIO GIL DE LIMA BARBOSA</t>
  </si>
  <si>
    <t>63814986849</t>
  </si>
  <si>
    <t>ANTONIO TAVARES DE OLIVEIRA</t>
  </si>
  <si>
    <t>68887094853</t>
  </si>
  <si>
    <t>JOSE ARAUJO DA SILVA</t>
  </si>
  <si>
    <t>00818466812</t>
  </si>
  <si>
    <t>90230124887</t>
  </si>
  <si>
    <t>GIZONITA BEZERRA BENTES</t>
  </si>
  <si>
    <t>18302487821</t>
  </si>
  <si>
    <t>CARLOS EDUARDO FADINI</t>
  </si>
  <si>
    <t>31653731591</t>
  </si>
  <si>
    <t>PEDRO SANTOS ALVES</t>
  </si>
  <si>
    <t>02299303448</t>
  </si>
  <si>
    <t>MARIA LEONOR DA CONCEICAO DOS SANTOS</t>
  </si>
  <si>
    <t>00143800809</t>
  </si>
  <si>
    <t>NILDE PIRES DOS SANTOS</t>
  </si>
  <si>
    <t>12615325892</t>
  </si>
  <si>
    <t>VERIDIANA SATURNINO PINTO</t>
  </si>
  <si>
    <t>49258399854</t>
  </si>
  <si>
    <t>VITOR HENRIQUE SOUZA SILVA</t>
  </si>
  <si>
    <t>69620555872</t>
  </si>
  <si>
    <t>MILTON ANGELO GOMES</t>
  </si>
  <si>
    <t>11915435870</t>
  </si>
  <si>
    <t>JURACI RAMOS</t>
  </si>
  <si>
    <t>91371961891</t>
  </si>
  <si>
    <t>JOAO ATAIDE LIMA</t>
  </si>
  <si>
    <t>05550412128</t>
  </si>
  <si>
    <t>DAYANE VICENTE DE MEDEIROS</t>
  </si>
  <si>
    <t>03561980813</t>
  </si>
  <si>
    <t>MARIZAN CAMILO GOMES</t>
  </si>
  <si>
    <t>39128112881</t>
  </si>
  <si>
    <t>DANILO OLIVEIRA LIMA</t>
  </si>
  <si>
    <t>03652412885</t>
  </si>
  <si>
    <t>ELIANA MARQUES CERQUEIRA FILGUEIRAS</t>
  </si>
  <si>
    <t>09287463808</t>
  </si>
  <si>
    <t>JUDITE MARIA DOS SANTOS</t>
  </si>
  <si>
    <t>22802486896</t>
  </si>
  <si>
    <t>KELLY MARIA SILVA CORREIA</t>
  </si>
  <si>
    <t>30791308634</t>
  </si>
  <si>
    <t>00364939885</t>
  </si>
  <si>
    <t>PEDRO DE JESUS FALAVINHA</t>
  </si>
  <si>
    <t>03868428844</t>
  </si>
  <si>
    <t>DJAIR INACIO DE SOUZA</t>
  </si>
  <si>
    <t>23032029813</t>
  </si>
  <si>
    <t>LUCIA DUARTE DA SILVA</t>
  </si>
  <si>
    <t>33924090149</t>
  </si>
  <si>
    <t>DILVA FRANCISCA DA SILVA</t>
  </si>
  <si>
    <t>01012201899</t>
  </si>
  <si>
    <t>BELMIRO LINO GOMES</t>
  </si>
  <si>
    <t>26771932800</t>
  </si>
  <si>
    <t>ADEILSON PEREIRA DE SOUSA</t>
  </si>
  <si>
    <t>44655309865</t>
  </si>
  <si>
    <t>CINTIA ALVES BATISTA</t>
  </si>
  <si>
    <t>29447888844</t>
  </si>
  <si>
    <t>JOENIR PINHEIRO SOARES LEITE</t>
  </si>
  <si>
    <t>25743308896</t>
  </si>
  <si>
    <t>EVERALDINA DIAS FINATTI</t>
  </si>
  <si>
    <t>56932820587</t>
  </si>
  <si>
    <t>ANTONIO DOS SANTOS D OLIVEIRA</t>
  </si>
  <si>
    <t>25756875867</t>
  </si>
  <si>
    <t>ISAURA CRISTINA SOUZA COSTA</t>
  </si>
  <si>
    <t>06015141816</t>
  </si>
  <si>
    <t>ANTONIO MOISES FERREIRA GUEDES</t>
  </si>
  <si>
    <t>14871212882</t>
  </si>
  <si>
    <t>OCINEIA DIAS DA SILVEIRA</t>
  </si>
  <si>
    <t>MARCOS VINICIOS GONCALVES DA SILVA</t>
  </si>
  <si>
    <t>25227448876</t>
  </si>
  <si>
    <t>CLAUDIA RIBEIRO PRATES</t>
  </si>
  <si>
    <t>37466487858</t>
  </si>
  <si>
    <t>AFONSO NOLASCO COELHO</t>
  </si>
  <si>
    <t>87735415834</t>
  </si>
  <si>
    <t>206881475470007</t>
  </si>
  <si>
    <t>SANDOVAL DE LIMA FERREIRA</t>
  </si>
  <si>
    <t>30659021846</t>
  </si>
  <si>
    <t>MARIA SEVERINA DE OLIVEIRA</t>
  </si>
  <si>
    <t>92155391820</t>
  </si>
  <si>
    <t>FRANCISCO DAS CHAGAS MORAIS</t>
  </si>
  <si>
    <t>03331226823</t>
  </si>
  <si>
    <t>GUILHERME DE SOUZA</t>
  </si>
  <si>
    <t>02289597805</t>
  </si>
  <si>
    <t>PAULO DO NASCIMENTO SILVA</t>
  </si>
  <si>
    <t>81273819853</t>
  </si>
  <si>
    <t>MARIA DE LOURDES SANTOS</t>
  </si>
  <si>
    <t>03021069444</t>
  </si>
  <si>
    <t>GERALDA GOMES DA SILVA</t>
  </si>
  <si>
    <t>13513035896</t>
  </si>
  <si>
    <t>MARIA APARECIDA PEREIRA DE MENDONCA</t>
  </si>
  <si>
    <t>02515515983</t>
  </si>
  <si>
    <t>ROGERIO RIBEIRO DE SOUZA</t>
  </si>
  <si>
    <t>14698559847</t>
  </si>
  <si>
    <t>LUIS PAULO RAMOS</t>
  </si>
  <si>
    <t>07383060881</t>
  </si>
  <si>
    <t>VALDEMIR MOREIRA DA SILVA</t>
  </si>
  <si>
    <t>69859590834</t>
  </si>
  <si>
    <t>ANGELO DE ASSIS PINTO</t>
  </si>
  <si>
    <t>04453389892</t>
  </si>
  <si>
    <t>JOSE FERREIRA LEITE</t>
  </si>
  <si>
    <t>40857735500</t>
  </si>
  <si>
    <t>EDVALDO AMORIM GONCALVES</t>
  </si>
  <si>
    <t>23152636890</t>
  </si>
  <si>
    <t>RICARDO DANTAS DO NASCIMENTO</t>
  </si>
  <si>
    <t>11452721858</t>
  </si>
  <si>
    <t>SEVERINO SOBRAL MARTINS</t>
  </si>
  <si>
    <t>18303584804</t>
  </si>
  <si>
    <t>MARIA ERIDAN ALMEIDA DOS SANTOS</t>
  </si>
  <si>
    <t>00930600843</t>
  </si>
  <si>
    <t>32394145897</t>
  </si>
  <si>
    <t>ROZENILDE MARIA FERREIRA</t>
  </si>
  <si>
    <t>00750260823</t>
  </si>
  <si>
    <t>VALDEMAR ALMEIDA DOS SANTOS</t>
  </si>
  <si>
    <t>02212915802</t>
  </si>
  <si>
    <t>MARIA APARECIDA PEREZ DE SA</t>
  </si>
  <si>
    <t>14743711835</t>
  </si>
  <si>
    <t>RAMON HERNAN ORELLANA CONTRERAS</t>
  </si>
  <si>
    <t>18352229869</t>
  </si>
  <si>
    <t>MARGARIDA FRANCISCA SILVA DE SANTANA</t>
  </si>
  <si>
    <t>42397871300</t>
  </si>
  <si>
    <t>ALUIZIO FREIRE DE SOUSA</t>
  </si>
  <si>
    <t>IOLANDA DE MOURA SILVA</t>
  </si>
  <si>
    <t>DALVA NOGUEIRA CAJAIBA DOS SANTOS</t>
  </si>
  <si>
    <t>IZABEL TEODORO DE FREITAS</t>
  </si>
  <si>
    <t>JOAO JOSE DE PAULA</t>
  </si>
  <si>
    <t>ADAO FELICIO DOS SANTOS</t>
  </si>
  <si>
    <t>MIRALVA COSTA DA SILVA</t>
  </si>
  <si>
    <t>LOURDES DAS GRACAS FURTADO SARAIVA</t>
  </si>
  <si>
    <t>LUIZ CARLOS GOMES</t>
  </si>
  <si>
    <t>VALDEVINO BARBOSA DE OLIVEIRA</t>
  </si>
  <si>
    <t>OGENIA LOPES DO VALE</t>
  </si>
  <si>
    <t>ANA APARECIDA JANUARIA GOMES</t>
  </si>
  <si>
    <t>JOSE PEDRO DE ALMEIDA</t>
  </si>
  <si>
    <t>MARIA HELENA DO NASCIMENTO</t>
  </si>
  <si>
    <t>FRANCISCO DE LIMA SILVA</t>
  </si>
  <si>
    <t>JULIANA DA SILVA MACHADO</t>
  </si>
  <si>
    <t>ERICA PATRICIA DA SILVA</t>
  </si>
  <si>
    <t>JOSE IVAN BENEDITO</t>
  </si>
  <si>
    <t>CLAYTTON AMARANTE CIPRIANO</t>
  </si>
  <si>
    <t>JOSENILTO ARCANJO DE OLIVEIRA</t>
  </si>
  <si>
    <t>VERALUCIA LUIZA DA SILVA</t>
  </si>
  <si>
    <t>KATIA CRISTIANE FERREIRA DA SILVA INACIO</t>
  </si>
  <si>
    <t>MARIA MARLENE DE SOUSA SILVA</t>
  </si>
  <si>
    <t>MARIA DA CONCEICAO ROCHA</t>
  </si>
  <si>
    <t>02/07/2026 13h às 17h</t>
  </si>
  <si>
    <t>Remanejado para o dia 17/06</t>
  </si>
  <si>
    <t>Remanejado para o dia 17/07</t>
  </si>
  <si>
    <t>Remanejado para o dia 17/08</t>
  </si>
  <si>
    <t>Remanejado para o dia 17/09</t>
  </si>
  <si>
    <t>Remanejado para o dia 17/10</t>
  </si>
  <si>
    <t>Remanejado para o dia 17/11</t>
  </si>
  <si>
    <t>Remanejado para o dia 17/12</t>
  </si>
  <si>
    <t>Remanejado para o dia 17/13</t>
  </si>
  <si>
    <t>Remanejado para o dia 17/14</t>
  </si>
  <si>
    <t>Remanejado para o dia 17/15</t>
  </si>
  <si>
    <t>Remanejado para o dia 17/16</t>
  </si>
  <si>
    <t>Remanejado para o dia 17/17</t>
  </si>
  <si>
    <t>VALTER</t>
  </si>
  <si>
    <t>MAURA PEREIRA RIBEIRO</t>
  </si>
  <si>
    <t>81682638553</t>
  </si>
  <si>
    <t>QUELEN BONFIM DOS SANTOS OLIVEIRA</t>
  </si>
  <si>
    <t>06640417871</t>
  </si>
  <si>
    <t>MARIA SOUSA DE ALMEIDA</t>
  </si>
  <si>
    <t>25211467817</t>
  </si>
  <si>
    <t>EVA ALAIDE DOS SANTOS</t>
  </si>
  <si>
    <t>00608286842</t>
  </si>
  <si>
    <t>CICERO FERREIRA DE MELLO</t>
  </si>
  <si>
    <t>17617641877</t>
  </si>
  <si>
    <t>ADEVALDO BATISTA ALEIXO</t>
  </si>
  <si>
    <t>81097379868</t>
  </si>
  <si>
    <t>GUMERCINDO VALENCIO FILHO</t>
  </si>
  <si>
    <t>50220802572</t>
  </si>
  <si>
    <t>MARLUCIA NERI DOS SANTOS</t>
  </si>
  <si>
    <t>01186757884</t>
  </si>
  <si>
    <t>VALDEMAR PEREIRA DE LIMA</t>
  </si>
  <si>
    <t>10531489841</t>
  </si>
  <si>
    <t>MARIA EDNILDA DE ALMEIDA SANTOS FERNANDES</t>
  </si>
  <si>
    <t>32526291860</t>
  </si>
  <si>
    <t>CUSTODIA MARGARIDA FIALHO DE SOUSA</t>
  </si>
  <si>
    <t>98828487372</t>
  </si>
  <si>
    <t>MARIA DA CRUZ RIBEIRO ALVES AGUIAR</t>
  </si>
  <si>
    <t>08659538803</t>
  </si>
  <si>
    <t>ROBERTO ALEXANDRE DE OLIVEIRA</t>
  </si>
  <si>
    <t>38507613802</t>
  </si>
  <si>
    <t>MARILEIDE QUEIROZ SANTANA</t>
  </si>
  <si>
    <t>38977290163</t>
  </si>
  <si>
    <t>FRANCISCO EDMAR BEZERRA LIMA</t>
  </si>
  <si>
    <t>31664229604</t>
  </si>
  <si>
    <t>CARLOS ANTONIO ROSA</t>
  </si>
  <si>
    <t>34474074840</t>
  </si>
  <si>
    <t>CRISTIANE GUEDES DOS SANTOS</t>
  </si>
  <si>
    <t>02202427806</t>
  </si>
  <si>
    <t>FRANCISCO FIRMINO NETO</t>
  </si>
  <si>
    <t>90441419887</t>
  </si>
  <si>
    <t>NELSON MUNIZ BARRETO</t>
  </si>
  <si>
    <t>14230002858</t>
  </si>
  <si>
    <t>MARIA FILOMENA DA SILVA</t>
  </si>
  <si>
    <t>16492241843</t>
  </si>
  <si>
    <t>WILLIAM CAETANO DE FARIA</t>
  </si>
  <si>
    <t>95657304853</t>
  </si>
  <si>
    <t>JOSE LUIZ ALVES DA SILVA</t>
  </si>
  <si>
    <t>08506571804</t>
  </si>
  <si>
    <t>LAURINEIDE LEITE DA SILVA SANTOS</t>
  </si>
  <si>
    <t>26486193808</t>
  </si>
  <si>
    <t>JIVALDO IGINO DOS SANTOS</t>
  </si>
  <si>
    <t>17/07/2026 8h as 12h - REPOSIÇÃO DO DIA 02/07</t>
  </si>
  <si>
    <t>03531401807</t>
  </si>
  <si>
    <t>ANA MARIA DA ROCHA PERRI</t>
  </si>
  <si>
    <t>CRISTIANO FERREIRA ANULINO</t>
  </si>
  <si>
    <t>06519529800</t>
  </si>
  <si>
    <t>ADILSON ALVES DA SILVA</t>
  </si>
  <si>
    <t>25404012870</t>
  </si>
  <si>
    <t>MARIA IZABEL LABELLA BASSETI</t>
  </si>
  <si>
    <t>TERESINHA FERREIRA DA COSTA</t>
  </si>
  <si>
    <t>01138238864</t>
  </si>
  <si>
    <t>ROSALINA LEMES DE AQUINA SILVA</t>
  </si>
  <si>
    <t>09029674873</t>
  </si>
  <si>
    <t>RUI TADEU GOMES</t>
  </si>
  <si>
    <t>ROSELI ANGELA DE SALES GOMES</t>
  </si>
  <si>
    <t>16701138845</t>
  </si>
  <si>
    <t>VERONICE RIBEIRO DOS SANTOS</t>
  </si>
  <si>
    <t>43539211500</t>
  </si>
  <si>
    <t>BALBINA SANTANA BARBOSA MOREIRA</t>
  </si>
  <si>
    <t>03644335826</t>
  </si>
  <si>
    <t>ISALINO RAMOS DOS SANTOS</t>
  </si>
  <si>
    <t>90170040887</t>
  </si>
  <si>
    <t>IVANILDO PEDROZA DA SILVA</t>
  </si>
  <si>
    <t>12602378852</t>
  </si>
  <si>
    <t>MARICELIA GUILHERMINO DOS SANTOS</t>
  </si>
  <si>
    <t>18299151856</t>
  </si>
  <si>
    <t>SUELI CARLOS DOS SANTOS</t>
  </si>
  <si>
    <t>33201820563</t>
  </si>
  <si>
    <t>DAVID DANTAS PINTO</t>
  </si>
  <si>
    <t>JOSE ANTONIO MENDONCA</t>
  </si>
  <si>
    <t>ANTONIO PONTES</t>
  </si>
  <si>
    <t>ABEL VOLPATO</t>
  </si>
  <si>
    <t>NEUSA CARDOSO DA SILVA</t>
  </si>
  <si>
    <t>ZUMIRA VICTORIA DA CONCEICAO</t>
  </si>
  <si>
    <t>IVONE APARECIDA JANUARIO</t>
  </si>
  <si>
    <t>MARIA DO CARMO GOULART CAMPOS</t>
  </si>
  <si>
    <t>JACINTO JOSE DOS SANTOS</t>
  </si>
  <si>
    <t>04/08/2026 13h às 17h</t>
  </si>
  <si>
    <t>Nome Estab. Solicitante</t>
  </si>
  <si>
    <t>Equipe</t>
  </si>
  <si>
    <t>Vagas</t>
  </si>
  <si>
    <t>CARDIOLOGIA</t>
  </si>
  <si>
    <t>TOTAL DE VAGAS
 POR UNIDADE/MÊS</t>
  </si>
  <si>
    <t>MÉDIA DE VAGAS 
POR UNIDADE/MÊS</t>
  </si>
  <si>
    <t>MÉDIA DE VAGAS
 POR UNIDADE/SEMANA</t>
  </si>
  <si>
    <t>CL</t>
  </si>
  <si>
    <t>TOTAL FILA POR STS</t>
  </si>
  <si>
    <t>MB</t>
  </si>
  <si>
    <t>TOTAL VAGAS  POR STS</t>
  </si>
  <si>
    <t>UBS VERA CRUZ DR FERNANDO PROENCA DE GOUVEA</t>
  </si>
  <si>
    <t>UBS JARDIM NAKAMURA</t>
  </si>
  <si>
    <t>UBS PARQUE NOVO SANTO AMARO</t>
  </si>
  <si>
    <t xml:space="preserve">Dra Priscila Ferreira - UBS Jardim Ipava </t>
  </si>
  <si>
    <t>17/09/2025 13:00 ás 17:00</t>
  </si>
  <si>
    <t>Priscila Ferreira da Silva</t>
  </si>
  <si>
    <t>IVONE DE JESUS C DOS SANTOS</t>
  </si>
  <si>
    <t>CATANGUA,1</t>
  </si>
  <si>
    <t>MARLENE ALVES SANTOS</t>
  </si>
  <si>
    <t>CAPORANGA,67</t>
  </si>
  <si>
    <t>NICEILDA ALVES DANTAS</t>
  </si>
  <si>
    <t>ENG MILTON A PEIXOTO,308</t>
  </si>
  <si>
    <t>ANTONIO ESTEVAM DA S NETO</t>
  </si>
  <si>
    <t>CATANGUA 95</t>
  </si>
  <si>
    <t>MARIA LUCIA FERNANDESDA SILVA</t>
  </si>
  <si>
    <t>UTUCURA, 505</t>
  </si>
  <si>
    <t>EDSON FERREIRA LIMA</t>
  </si>
  <si>
    <t>CAPORANGA 22</t>
  </si>
  <si>
    <t>MARIA VERONICA GONÇALVES SILVA</t>
  </si>
  <si>
    <t>ITACURÉ 23</t>
  </si>
  <si>
    <t>REJANE  MARIA DA SILVA</t>
  </si>
  <si>
    <t>SABAUNA  49</t>
  </si>
  <si>
    <t>Dra Karizia Bianca Ferreira - UBS Jardim Comercial</t>
  </si>
  <si>
    <t>23/09/2025 08:00 ás 12:00</t>
  </si>
  <si>
    <t>Terça</t>
  </si>
  <si>
    <t>Karizia Bianca Ferreira</t>
  </si>
  <si>
    <t>646.682.748-87</t>
  </si>
  <si>
    <t xml:space="preserve">OSWALDO PALANDRANI </t>
  </si>
  <si>
    <t xml:space="preserve">RUA CAMNHAMO DA INDIO </t>
  </si>
  <si>
    <t>(11) 58215276</t>
  </si>
  <si>
    <t>011.974.978-54</t>
  </si>
  <si>
    <t>JOEL FONSECA SANTOS</t>
  </si>
  <si>
    <t>TRAVESSA PERA FIDALGA</t>
  </si>
  <si>
    <t>(11) 912688811</t>
  </si>
  <si>
    <t>075.322.138-11</t>
  </si>
  <si>
    <t>GABRIEL PEREIRA LIMA</t>
  </si>
  <si>
    <t>RUA CANHAMO DA INDIA</t>
  </si>
  <si>
    <t>(11) 58247534</t>
  </si>
  <si>
    <t>065.318.418-26</t>
  </si>
  <si>
    <t>MARIA JOSE PEREIRA DA CRUZ</t>
  </si>
  <si>
    <t>RUA LOURO DA BEIRA</t>
  </si>
  <si>
    <t>(11) 58241881</t>
  </si>
  <si>
    <t>111.947.838-30</t>
  </si>
  <si>
    <t>NADJA ANDRADE DE OLIVEIRA</t>
  </si>
  <si>
    <t>RUA MARMELEIRO DO CAMPO</t>
  </si>
  <si>
    <t>(11) 58233307</t>
  </si>
  <si>
    <t>035.088.318-17</t>
  </si>
  <si>
    <t>MARIA DO SOCORRO DE SOUSA</t>
  </si>
  <si>
    <t xml:space="preserve">TRAVESSA SAGUARAGI </t>
  </si>
  <si>
    <t>(11) 986209861</t>
  </si>
  <si>
    <t>Desistencia do paciente</t>
  </si>
  <si>
    <t>166.195.918-09</t>
  </si>
  <si>
    <t>CILENE SANTOS SILVA</t>
  </si>
  <si>
    <t>(11) 9541-89995</t>
  </si>
  <si>
    <t>Apos o atendimento do tele cardio a paciente tem preferencia pelo atendimento presencial</t>
  </si>
  <si>
    <t>318.110.988-60</t>
  </si>
  <si>
    <t>MARIA DE LOURDES ISMAEL PINTO</t>
  </si>
  <si>
    <t>(11) 952488715</t>
  </si>
  <si>
    <t>Dra Priscila Ferreira - UBS Jardim Eledy</t>
  </si>
  <si>
    <t>24/09/2025 08:00 ás 12:00</t>
  </si>
  <si>
    <t>Quinta</t>
  </si>
  <si>
    <t>MARIA NEUDA DUARTE DANIEL</t>
  </si>
  <si>
    <t>SEBASTIAO ADVINCULA DA CUNHA,4</t>
  </si>
  <si>
    <t>EDUARDO BRASILINO CORSI</t>
  </si>
  <si>
    <t>MARIO PEDERNEIRAS, 86</t>
  </si>
  <si>
    <t>NÃO ATENDEU</t>
  </si>
  <si>
    <t>22/09/2025 e 23/09/2025</t>
  </si>
  <si>
    <t>YASMIN FERREIRA DO NASCIMENTO</t>
  </si>
  <si>
    <t>AMBROSINA DE OLIVEIRA AQUINO</t>
  </si>
  <si>
    <t>BENEDITO DOMINGUES,31</t>
  </si>
  <si>
    <t>PAULO SIMPLICIO DE ASSUNCAO</t>
  </si>
  <si>
    <t>SEBASTIAO ADVINCULA DA CUNHA,77</t>
  </si>
  <si>
    <t>DEBORA MENDES SILVA</t>
  </si>
  <si>
    <t>RUA DAS PRAIAS DA COSTA VERDE, 48</t>
  </si>
  <si>
    <t>RUA ERNESTO BAVIO, 171</t>
  </si>
  <si>
    <t>JURACI GONCALVES DE CARVALHO</t>
  </si>
  <si>
    <t>RUA ERNESTO BAVIO, 170</t>
  </si>
  <si>
    <t>Dr Priscila Ferreira - UBS Parque Novo Santo Amaro</t>
  </si>
  <si>
    <t>25/09/2025 13:00 ás 17:00</t>
  </si>
  <si>
    <t>RUTE MARIA DUMONT DE MELO</t>
  </si>
  <si>
    <t xml:space="preserve">RUA FRANCISCA QUEIROS, 47 - PARQUE INDEPENDENCIA
</t>
  </si>
  <si>
    <t>11-958334541</t>
  </si>
  <si>
    <t>Paciente não atendeu a equipe na data, mas havia confirmado em  16/09/2025</t>
  </si>
  <si>
    <t>25/09/2025 as 12:40</t>
  </si>
  <si>
    <t xml:space="preserve">Alessandra Almeida </t>
  </si>
  <si>
    <t>RAIMUNDO LEMOS DE OLIVEIRA</t>
  </si>
  <si>
    <t xml:space="preserve">RUA FRANCISCA QUEIROS, 30 A - PARQUE INDEPENDENCIA
</t>
  </si>
  <si>
    <t>11-977247804</t>
  </si>
  <si>
    <t>JOSEFA MARIA DA SILVA BONFIM</t>
  </si>
  <si>
    <t xml:space="preserve">RUA COELHO LOUSADA, 1000 BL 3 AP 3025 - PARQUE NOVO SANTO AMARO
</t>
  </si>
  <si>
    <t>11-77124299</t>
  </si>
  <si>
    <t>JORGE ROBERTO BISPO SANTOS</t>
  </si>
  <si>
    <t xml:space="preserve">RUA COELHO LOUSADA, 1000 BL 05 APT 5307 - PARQUE NOVO SANTO AMARO
</t>
  </si>
  <si>
    <t>11- 99523469</t>
  </si>
  <si>
    <t>ANA PAULA MACEDO DA COSTA</t>
  </si>
  <si>
    <t xml:space="preserve">RUA COELHO LOUSADA, 90 B CASA 03 - PARQUE NOVO SANTO AMARO
</t>
  </si>
  <si>
    <t>11- 996541457</t>
  </si>
  <si>
    <t>Paciente mudou de ideia apos o patrão solicitar que a mesma fosse trabalhar. Agora quer presencial.</t>
  </si>
  <si>
    <t>Jonas Acs e equipe da consulta</t>
  </si>
  <si>
    <t>ALEXANDRE LOPES DA SILVA</t>
  </si>
  <si>
    <t xml:space="preserve">RUA COELHO LOUSADA, 501 CASA 2 -PARQUE NOVO SANTO AMARO
</t>
  </si>
  <si>
    <t>11-982907224</t>
  </si>
  <si>
    <t>ANA CARMO DA SILVA</t>
  </si>
  <si>
    <t xml:space="preserve">RUA COELHO LOUSADA, 42 CASA 1 - PARQUE NOVO SANTO AMARO
</t>
  </si>
  <si>
    <t>11- 989802516</t>
  </si>
  <si>
    <t>EUSTAQUIO FERREIRA DOS SANTOS</t>
  </si>
  <si>
    <t>RUA PADRE MARCELINO DUARTE, 127 CASA 3 - PARQUE NOVO SANTO AMARO</t>
  </si>
  <si>
    <t>11- 9602664358</t>
  </si>
  <si>
    <t xml:space="preserve">Dra Alice Peixoto - UBS Jardim Parapanema </t>
  </si>
  <si>
    <t>26/09/2025 08:00 ás 12:00</t>
  </si>
  <si>
    <t xml:space="preserve">Alice Peixoto </t>
  </si>
  <si>
    <t>ALDINEI JORGE GOMES DE OLIVEIRA</t>
  </si>
  <si>
    <t>RUA DOUTOR ADALBERTO PEREIRA DA FONSECA, 51 CASA 02 - PARQUE INDEPENDENCIA - SAO PAULO / SP</t>
  </si>
  <si>
    <t>(11)984270509</t>
  </si>
  <si>
    <t>PEDRO AGUIAR DOS SANTOS</t>
  </si>
  <si>
    <t>RUA TIJUAPE, 941 CASA 01 - MORRO DO INDIO - SAO PAULO / SP</t>
  </si>
  <si>
    <t>(11)932093270</t>
  </si>
  <si>
    <t>ELETICIA PEREIRA DOS SANTOS</t>
  </si>
  <si>
    <t>RUA DOUTOR FELIPE CABRAL DE VASCONCELLOS, 25 - MORRO DO INDIO - SAO PAULO / SP</t>
  </si>
  <si>
    <t>(11)982882841</t>
  </si>
  <si>
    <t>ANTONIO MOREIRA DE SOUSA</t>
  </si>
  <si>
    <t>RUA SIMAO CAETANO NUNES, 97 A VIELA 21 - MORRO DO INDIO - SAO PAULO / SP</t>
  </si>
  <si>
    <t>(11)988740148</t>
  </si>
  <si>
    <t>JOSE ALVES DE SOUSA</t>
  </si>
  <si>
    <t>RUA ABILIO CESAR, 79 TRAVESSA MARGARIDA - JARDIM SORAIA - SAO PAULO / SP</t>
  </si>
  <si>
    <t>(11)983525882</t>
  </si>
  <si>
    <t>ODETE AZEVEDO DOS SANTOS</t>
  </si>
  <si>
    <t>ESTRADA DO MBOI MIRIM, 5732 CASA 1 - PARQUE DO LAGO - SAO PAULO / SP</t>
  </si>
  <si>
    <t>(11)953787506</t>
  </si>
  <si>
    <t>JOSE CARDOSO DOS SANTOS</t>
  </si>
  <si>
    <t>IVONETE DOS SANTOS REZENDE</t>
  </si>
  <si>
    <t>RUA PIETRO DA MILANO, 66 - PARQUE INDEPENDENCIA - SAO PAULO / SP</t>
  </si>
  <si>
    <t>(11)949418284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</si>
</sst>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hh:mm"/>
    <numFmt numFmtId="167" formatCode="d/m/yyyy"/>
  </numFmts>
  <fonts count="64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11.0"/>
      <color rgb="FFFFFFFF"/>
      <name val="Calibri"/>
    </font>
    <font>
      <b/>
      <color rgb="FFFFFFFF"/>
      <name val="Arial"/>
    </font>
    <font>
      <sz val="10.0"/>
      <color theme="1"/>
      <name val="Calibri"/>
    </font>
    <font>
      <sz val="10.0"/>
      <color rgb="FF000000"/>
      <name val="Calibri"/>
    </font>
    <font>
      <b/>
      <sz val="24.0"/>
      <color rgb="FF000000"/>
      <name val="Calibri"/>
    </font>
    <font>
      <b/>
      <sz val="17.0"/>
      <color rgb="FF000000"/>
      <name val="Calibri"/>
    </font>
    <font>
      <b/>
      <sz val="11.0"/>
      <color rgb="FF000000"/>
      <name val="Calibri"/>
    </font>
    <font>
      <b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5.0"/>
      <color rgb="FFFFFFFF"/>
      <name val="Calibri"/>
    </font>
    <font>
      <sz val="9.0"/>
      <color rgb="FF000000"/>
      <name val="Arial"/>
    </font>
    <font>
      <sz val="11.0"/>
      <color rgb="FF000000"/>
      <name val="Calibri"/>
    </font>
    <font>
      <sz val="8.0"/>
      <color rgb="FF444444"/>
      <name val="Verdana"/>
    </font>
    <font>
      <sz val="9.0"/>
      <color theme="1"/>
      <name val="Arial"/>
      <scheme val="minor"/>
    </font>
    <font>
      <sz val="8.0"/>
      <color rgb="FF000000"/>
      <name val="Verdana"/>
    </font>
    <font>
      <sz val="11.0"/>
      <color rgb="FF000000"/>
      <name val="&quot;Times New Roman&quot;"/>
    </font>
    <font>
      <b/>
      <sz val="14.0"/>
      <color rgb="FFFF0000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0.0"/>
      <color rgb="FF000000"/>
      <name val="Arial"/>
    </font>
    <font>
      <sz val="10.0"/>
      <color rgb="FF000000"/>
      <name val="Verdana"/>
    </font>
    <font>
      <sz val="9.0"/>
      <color rgb="FF000000"/>
      <name val="Arial"/>
      <scheme val="minor"/>
    </font>
    <font>
      <sz val="0.0"/>
      <color rgb="FF000000"/>
      <name val="Arial"/>
    </font>
    <font>
      <b/>
      <sz val="17.0"/>
      <color rgb="FFFFFFFF"/>
      <name val="Calibri"/>
    </font>
    <font>
      <b/>
      <sz val="12.0"/>
      <color rgb="FF000000"/>
      <name val="Calibri"/>
    </font>
    <font>
      <sz val="11.0"/>
      <color rgb="FF000000"/>
      <name val="Arial"/>
      <scheme val="minor"/>
    </font>
    <font>
      <b/>
      <sz val="11.0"/>
      <color rgb="FF444444"/>
      <name val="Calibri"/>
    </font>
    <font>
      <b/>
      <sz val="18.0"/>
      <color rgb="FFFFFFFF"/>
      <name val="Calibri"/>
    </font>
    <font>
      <sz val="9.0"/>
      <color theme="1"/>
      <name val="Calibri"/>
    </font>
    <font>
      <color theme="1"/>
      <name val="Arial"/>
    </font>
    <font>
      <color theme="1"/>
      <name val="Calibri"/>
    </font>
    <font>
      <sz val="9.0"/>
      <color rgb="FF000000"/>
      <name val="Calibri"/>
    </font>
    <font>
      <sz val="9.0"/>
      <color rgb="FF000000"/>
      <name val="Verdana"/>
    </font>
    <font>
      <sz val="11.0"/>
      <color rgb="FF1F1F1F"/>
      <name val="Roboto"/>
    </font>
    <font>
      <sz val="11.0"/>
      <color rgb="FF444444"/>
      <name val="Calibri"/>
    </font>
    <font>
      <sz val="11.0"/>
      <color theme="1"/>
      <name val="Arial"/>
      <scheme val="minor"/>
    </font>
    <font>
      <sz val="11.0"/>
      <color theme="1"/>
      <name val="Times New Roman"/>
    </font>
    <font>
      <color theme="1"/>
      <name val="Inherit"/>
    </font>
    <font>
      <b/>
      <color theme="1"/>
      <name val="Arial"/>
      <scheme val="minor"/>
    </font>
    <font>
      <sz val="12.0"/>
      <color rgb="FF000000"/>
      <name val="Roboto"/>
    </font>
    <font>
      <color rgb="FF000000"/>
      <name val="Arial"/>
    </font>
    <font>
      <sz val="11.0"/>
      <color rgb="FF000000"/>
      <name val="Arial"/>
    </font>
    <font>
      <sz val="12.0"/>
      <color rgb="FF000000"/>
      <name val="Calibri"/>
    </font>
    <font>
      <sz val="9.0"/>
      <color theme="1"/>
      <name val="Arial"/>
    </font>
    <font>
      <sz val="10.0"/>
      <color rgb="FF000000"/>
      <name val="Roboto"/>
    </font>
    <font>
      <sz val="10.0"/>
      <color theme="1"/>
      <name val="Arial"/>
      <scheme val="minor"/>
    </font>
    <font>
      <color rgb="FF000000"/>
      <name val="Roboto"/>
    </font>
    <font>
      <b/>
      <sz val="24.0"/>
      <color theme="1"/>
      <name val="Calibri"/>
    </font>
    <font>
      <u/>
      <sz val="11.0"/>
      <color theme="1"/>
      <name val="Calibri"/>
    </font>
    <font>
      <sz val="10.0"/>
      <color rgb="FF2D567C"/>
      <name val="Roboto"/>
    </font>
    <font>
      <b/>
      <color theme="1"/>
      <name val="Arial"/>
    </font>
    <font>
      <color theme="1"/>
      <name val="Verdana"/>
    </font>
    <font>
      <b/>
      <sz val="17.0"/>
      <color theme="1"/>
      <name val="Calibri"/>
    </font>
    <font>
      <sz val="11.0"/>
      <color theme="1"/>
      <name val="Arial"/>
    </font>
    <font>
      <sz val="10.0"/>
      <color rgb="FFFFFFFF"/>
      <name val="Calibri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1.0"/>
      <color theme="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BD4F4"/>
        <bgColor rgb="FFBBD4F4"/>
      </patternFill>
    </fill>
    <fill>
      <patternFill patternType="solid">
        <fgColor rgb="FFC1D3FF"/>
        <bgColor rgb="FFC1D3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DEDED"/>
        <bgColor rgb="FFEDEDE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8FB98"/>
        <bgColor rgb="FF98FB98"/>
      </patternFill>
    </fill>
    <fill>
      <patternFill patternType="solid">
        <fgColor rgb="FFE6E6E6"/>
        <bgColor rgb="FFE6E6E6"/>
      </patternFill>
    </fill>
    <fill>
      <patternFill patternType="solid">
        <fgColor rgb="FF7F6000"/>
        <bgColor rgb="FF7F6000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1D3FF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165" xfId="0" applyAlignment="1" applyBorder="1" applyFont="1" applyNumberForma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4" fontId="5" numFmtId="49" xfId="0" applyAlignment="1" applyBorder="1" applyFill="1" applyFont="1" applyNumberFormat="1">
      <alignment horizontal="center" readingOrder="0"/>
    </xf>
    <xf borderId="4" fillId="4" fontId="5" numFmtId="164" xfId="0" applyAlignment="1" applyBorder="1" applyFont="1" applyNumberFormat="1">
      <alignment horizontal="center" readingOrder="0"/>
    </xf>
    <xf borderId="4" fillId="4" fontId="5" numFmtId="0" xfId="0" applyAlignment="1" applyBorder="1" applyFont="1">
      <alignment readingOrder="0"/>
    </xf>
    <xf borderId="4" fillId="4" fontId="5" numFmtId="166" xfId="0" applyAlignment="1" applyBorder="1" applyFont="1" applyNumberFormat="1">
      <alignment horizontal="center" readingOrder="0"/>
    </xf>
    <xf borderId="4" fillId="4" fontId="6" numFmtId="0" xfId="0" applyAlignment="1" applyBorder="1" applyFont="1">
      <alignment horizontal="center" readingOrder="0" shrinkToFit="0" vertical="center" wrapText="0"/>
    </xf>
    <xf borderId="4" fillId="4" fontId="6" numFmtId="0" xfId="0" applyAlignment="1" applyBorder="1" applyFont="1">
      <alignment horizontal="left" readingOrder="0" shrinkToFit="0" vertical="center" wrapText="0"/>
    </xf>
    <xf borderId="4" fillId="4" fontId="6" numFmtId="165" xfId="0" applyAlignment="1" applyBorder="1" applyFont="1" applyNumberFormat="1">
      <alignment horizontal="center" readingOrder="0" shrinkToFit="0" vertical="center" wrapText="0"/>
    </xf>
    <xf borderId="4" fillId="4" fontId="5" numFmtId="0" xfId="0" applyAlignment="1" applyBorder="1" applyFont="1">
      <alignment horizontal="center" shrinkToFit="0" vertical="center" wrapText="1"/>
    </xf>
    <xf borderId="4" fillId="4" fontId="5" numFmtId="164" xfId="0" applyAlignment="1" applyBorder="1" applyFont="1" applyNumberFormat="1">
      <alignment horizontal="center"/>
    </xf>
    <xf borderId="4" fillId="4" fontId="5" numFmtId="0" xfId="0" applyBorder="1" applyFont="1"/>
    <xf borderId="4" fillId="4" fontId="6" numFmtId="0" xfId="0" applyAlignment="1" applyBorder="1" applyFont="1">
      <alignment horizontal="left" readingOrder="0" shrinkToFit="0" vertical="bottom" wrapText="0"/>
    </xf>
    <xf borderId="1" fillId="5" fontId="7" numFmtId="49" xfId="0" applyAlignment="1" applyBorder="1" applyFill="1" applyFont="1" applyNumberFormat="1">
      <alignment horizontal="center" readingOrder="0" shrinkToFit="0" vertical="center" wrapText="1"/>
    </xf>
    <xf borderId="1" fillId="6" fontId="8" numFmtId="49" xfId="0" applyAlignment="1" applyBorder="1" applyFill="1" applyFont="1" applyNumberFormat="1">
      <alignment horizontal="center" readingOrder="0" shrinkToFit="0" vertical="center" wrapText="1"/>
    </xf>
    <xf borderId="4" fillId="5" fontId="9" numFmtId="49" xfId="0" applyAlignment="1" applyBorder="1" applyFont="1" applyNumberFormat="1">
      <alignment horizontal="center" shrinkToFit="0" vertical="center" wrapText="1"/>
    </xf>
    <xf borderId="4" fillId="5" fontId="9" numFmtId="164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vertical="center"/>
    </xf>
    <xf borderId="4" fillId="5" fontId="9" numFmtId="49" xfId="0" applyAlignment="1" applyBorder="1" applyFont="1" applyNumberFormat="1">
      <alignment horizontal="center" readingOrder="0" vertical="center"/>
    </xf>
    <xf borderId="4" fillId="5" fontId="9" numFmtId="165" xfId="0" applyAlignment="1" applyBorder="1" applyFont="1" applyNumberFormat="1">
      <alignment horizontal="center" shrinkToFit="0" vertical="center" wrapText="1"/>
    </xf>
    <xf borderId="4" fillId="5" fontId="10" numFmtId="0" xfId="0" applyAlignment="1" applyBorder="1" applyFont="1">
      <alignment horizontal="center" shrinkToFit="0" wrapText="1"/>
    </xf>
    <xf borderId="4" fillId="5" fontId="9" numFmtId="0" xfId="0" applyAlignment="1" applyBorder="1" applyFont="1">
      <alignment horizontal="center" readingOrder="0" vertical="center"/>
    </xf>
    <xf borderId="4" fillId="0" fontId="11" numFmtId="0" xfId="0" applyBorder="1" applyFont="1"/>
    <xf borderId="4" fillId="4" fontId="12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/>
    </xf>
    <xf borderId="0" fillId="4" fontId="14" numFmtId="0" xfId="0" applyAlignment="1" applyFont="1">
      <alignment horizontal="center" readingOrder="0" shrinkToFit="0" wrapText="0"/>
    </xf>
    <xf borderId="4" fillId="0" fontId="15" numFmtId="0" xfId="0" applyAlignment="1" applyBorder="1" applyFont="1">
      <alignment horizontal="left" readingOrder="0" shrinkToFit="0" wrapText="0"/>
    </xf>
    <xf borderId="0" fillId="4" fontId="16" numFmtId="0" xfId="0" applyAlignment="1" applyFont="1">
      <alignment readingOrder="0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vertical="center"/>
    </xf>
    <xf borderId="5" fillId="7" fontId="5" numFmtId="0" xfId="0" applyAlignment="1" applyBorder="1" applyFill="1" applyFont="1">
      <alignment readingOrder="0" vertical="center"/>
    </xf>
    <xf borderId="6" fillId="8" fontId="5" numFmtId="0" xfId="0" applyAlignment="1" applyBorder="1" applyFill="1" applyFont="1">
      <alignment readingOrder="0" shrinkToFit="0" vertical="center" wrapText="1"/>
    </xf>
    <xf borderId="6" fillId="9" fontId="5" numFmtId="165" xfId="0" applyAlignment="1" applyBorder="1" applyFill="1" applyFont="1" applyNumberFormat="1">
      <alignment readingOrder="0" vertical="center"/>
    </xf>
    <xf borderId="6" fillId="8" fontId="5" numFmtId="0" xfId="0" applyAlignment="1" applyBorder="1" applyFont="1">
      <alignment readingOrder="0" vertical="center"/>
    </xf>
    <xf borderId="7" fillId="8" fontId="5" numFmtId="0" xfId="0" applyAlignment="1" applyBorder="1" applyFont="1">
      <alignment readingOrder="0" vertical="center"/>
    </xf>
    <xf borderId="4" fillId="4" fontId="14" numFmtId="0" xfId="0" applyAlignment="1" applyBorder="1" applyFont="1">
      <alignment horizontal="center" readingOrder="0" shrinkToFit="0" vertical="center" wrapText="0"/>
    </xf>
    <xf borderId="4" fillId="4" fontId="15" numFmtId="0" xfId="0" applyAlignment="1" applyBorder="1" applyFont="1">
      <alignment horizontal="left" readingOrder="0" shrinkToFit="0" vertical="center" wrapText="0"/>
    </xf>
    <xf borderId="8" fillId="0" fontId="5" numFmtId="0" xfId="0" applyAlignment="1" applyBorder="1" applyFont="1">
      <alignment readingOrder="0" vertical="center"/>
    </xf>
    <xf borderId="9" fillId="4" fontId="17" numFmtId="0" xfId="0" applyAlignment="1" applyBorder="1" applyFont="1">
      <alignment readingOrder="0" vertical="center"/>
    </xf>
    <xf borderId="9" fillId="0" fontId="5" numFmtId="165" xfId="0" applyAlignment="1" applyBorder="1" applyFont="1" applyNumberFormat="1">
      <alignment readingOrder="0" vertical="center"/>
    </xf>
    <xf borderId="10" fillId="0" fontId="5" numFmtId="0" xfId="0" applyAlignment="1" applyBorder="1" applyFont="1">
      <alignment readingOrder="0" vertical="center"/>
    </xf>
    <xf borderId="8" fillId="7" fontId="5" numFmtId="0" xfId="0" applyAlignment="1" applyBorder="1" applyFont="1">
      <alignment readingOrder="0" vertical="center"/>
    </xf>
    <xf borderId="9" fillId="7" fontId="5" numFmtId="0" xfId="0" applyAlignment="1" applyBorder="1" applyFont="1">
      <alignment readingOrder="0" vertical="center"/>
    </xf>
    <xf borderId="9" fillId="7" fontId="5" numFmtId="165" xfId="0" applyAlignment="1" applyBorder="1" applyFont="1" applyNumberFormat="1">
      <alignment readingOrder="0" vertical="center"/>
    </xf>
    <xf borderId="10" fillId="7" fontId="5" numFmtId="0" xfId="0" applyAlignment="1" applyBorder="1" applyFont="1">
      <alignment readingOrder="0" vertical="center"/>
    </xf>
    <xf borderId="4" fillId="4" fontId="14" numFmtId="0" xfId="0" applyAlignment="1" applyBorder="1" applyFont="1">
      <alignment horizontal="center" readingOrder="0" shrinkToFit="0" wrapText="0"/>
    </xf>
    <xf borderId="4" fillId="4" fontId="15" numFmtId="0" xfId="0" applyAlignment="1" applyBorder="1" applyFont="1">
      <alignment horizontal="left" readingOrder="0" shrinkToFit="0" wrapText="0"/>
    </xf>
    <xf borderId="4" fillId="4" fontId="16" numFmtId="0" xfId="0" applyAlignment="1" applyBorder="1" applyFont="1">
      <alignment readingOrder="0"/>
    </xf>
    <xf borderId="9" fillId="0" fontId="5" numFmtId="0" xfId="0" applyAlignment="1" applyBorder="1" applyFont="1">
      <alignment readingOrder="0" vertical="center"/>
    </xf>
    <xf borderId="9" fillId="4" fontId="5" numFmtId="165" xfId="0" applyAlignment="1" applyBorder="1" applyFont="1" applyNumberFormat="1">
      <alignment readingOrder="0" vertical="center"/>
    </xf>
    <xf borderId="8" fillId="8" fontId="5" numFmtId="0" xfId="0" applyAlignment="1" applyBorder="1" applyFont="1">
      <alignment readingOrder="0" vertical="center"/>
    </xf>
    <xf borderId="9" fillId="8" fontId="5" numFmtId="0" xfId="0" applyAlignment="1" applyBorder="1" applyFont="1">
      <alignment readingOrder="0" vertical="center"/>
    </xf>
    <xf borderId="10" fillId="8" fontId="5" numFmtId="0" xfId="0" applyAlignment="1" applyBorder="1" applyFont="1">
      <alignment readingOrder="0" vertical="center"/>
    </xf>
    <xf borderId="4" fillId="4" fontId="14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horizontal="center"/>
    </xf>
    <xf borderId="0" fillId="4" fontId="11" numFmtId="0" xfId="0" applyFont="1"/>
    <xf borderId="1" fillId="2" fontId="13" numFmtId="49" xfId="0" applyAlignment="1" applyBorder="1" applyFont="1" applyNumberFormat="1">
      <alignment horizontal="center" readingOrder="0" shrinkToFit="0" vertical="center" wrapText="1"/>
    </xf>
    <xf borderId="4" fillId="2" fontId="3" numFmtId="49" xfId="0" applyAlignment="1" applyBorder="1" applyFont="1" applyNumberFormat="1">
      <alignment horizontal="center" shrinkToFit="0" vertical="center" wrapText="1"/>
    </xf>
    <xf borderId="4" fillId="2" fontId="3" numFmtId="0" xfId="0" applyAlignment="1" applyBorder="1" applyFont="1">
      <alignment horizontal="left" vertical="center"/>
    </xf>
    <xf borderId="4" fillId="3" fontId="4" numFmtId="0" xfId="0" applyAlignment="1" applyBorder="1" applyFont="1">
      <alignment horizontal="center" shrinkToFit="0" wrapText="1"/>
    </xf>
    <xf borderId="4" fillId="4" fontId="12" numFmtId="0" xfId="0" applyAlignment="1" applyBorder="1" applyFont="1">
      <alignment readingOrder="0"/>
    </xf>
    <xf borderId="4" fillId="4" fontId="12" numFmtId="0" xfId="0" applyAlignment="1" applyBorder="1" applyFont="1">
      <alignment horizontal="center" readingOrder="0"/>
    </xf>
    <xf borderId="4" fillId="4" fontId="12" numFmtId="166" xfId="0" applyAlignment="1" applyBorder="1" applyFont="1" applyNumberFormat="1">
      <alignment horizontal="center" readingOrder="0"/>
    </xf>
    <xf borderId="4" fillId="4" fontId="15" numFmtId="0" xfId="0" applyAlignment="1" applyBorder="1" applyFont="1">
      <alignment horizontal="center" readingOrder="0" shrinkToFit="0" vertical="center" wrapText="0"/>
    </xf>
    <xf borderId="4" fillId="4" fontId="15" numFmtId="165" xfId="0" applyAlignment="1" applyBorder="1" applyFont="1" applyNumberFormat="1">
      <alignment horizontal="center" readingOrder="0" shrinkToFit="0" vertical="center" wrapText="0"/>
    </xf>
    <xf borderId="6" fillId="9" fontId="5" numFmtId="0" xfId="0" applyAlignment="1" applyBorder="1" applyFont="1">
      <alignment readingOrder="0" vertical="center"/>
    </xf>
    <xf borderId="4" fillId="0" fontId="15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left" vertical="bottom"/>
    </xf>
    <xf borderId="4" fillId="0" fontId="12" numFmtId="165" xfId="0" applyAlignment="1" applyBorder="1" applyFont="1" applyNumberFormat="1">
      <alignment horizontal="center" vertical="bottom"/>
    </xf>
    <xf borderId="4" fillId="0" fontId="15" numFmtId="165" xfId="0" applyAlignment="1" applyBorder="1" applyFont="1" applyNumberFormat="1">
      <alignment horizontal="center" readingOrder="0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readingOrder="0"/>
    </xf>
    <xf borderId="11" fillId="0" fontId="5" numFmtId="0" xfId="0" applyAlignment="1" applyBorder="1" applyFont="1">
      <alignment readingOrder="0" vertical="center"/>
    </xf>
    <xf borderId="12" fillId="4" fontId="5" numFmtId="165" xfId="0" applyAlignment="1" applyBorder="1" applyFont="1" applyNumberFormat="1">
      <alignment readingOrder="0" vertical="center"/>
    </xf>
    <xf borderId="12" fillId="0" fontId="5" numFmtId="0" xfId="0" applyAlignment="1" applyBorder="1" applyFont="1">
      <alignment readingOrder="0" vertical="center"/>
    </xf>
    <xf borderId="13" fillId="0" fontId="5" numFmtId="0" xfId="0" applyAlignment="1" applyBorder="1" applyFont="1">
      <alignment readingOrder="0" vertical="center"/>
    </xf>
    <xf borderId="4" fillId="0" fontId="12" numFmtId="0" xfId="0" applyAlignment="1" applyBorder="1" applyFont="1">
      <alignment horizontal="left" readingOrder="0"/>
    </xf>
    <xf borderId="4" fillId="0" fontId="12" numFmtId="165" xfId="0" applyAlignment="1" applyBorder="1" applyFont="1" applyNumberFormat="1">
      <alignment horizontal="center" readingOrder="0"/>
    </xf>
    <xf borderId="0" fillId="4" fontId="1" numFmtId="49" xfId="0" applyAlignment="1" applyFont="1" applyNumberFormat="1">
      <alignment horizontal="center" readingOrder="0" shrinkToFit="0" vertical="center" wrapText="1"/>
    </xf>
    <xf borderId="0" fillId="4" fontId="3" numFmtId="49" xfId="0" applyAlignment="1" applyFont="1" applyNumberFormat="1">
      <alignment horizontal="center" readingOrder="0" shrinkToFit="0" vertical="center" wrapText="1"/>
    </xf>
    <xf borderId="0" fillId="4" fontId="3" numFmtId="49" xfId="0" applyAlignment="1" applyFont="1" applyNumberFormat="1">
      <alignment horizontal="left" readingOrder="0" shrinkToFit="0" vertical="center" wrapText="1"/>
    </xf>
    <xf borderId="0" fillId="4" fontId="3" numFmtId="165" xfId="0" applyAlignment="1" applyFont="1" applyNumberFormat="1">
      <alignment horizontal="center" readingOrder="0" shrinkToFit="0" vertical="center" wrapText="1"/>
    </xf>
    <xf borderId="0" fillId="4" fontId="9" numFmtId="49" xfId="0" applyAlignment="1" applyFont="1" applyNumberFormat="1">
      <alignment horizontal="center" readingOrder="0" shrinkToFit="0" vertical="center" wrapText="1"/>
    </xf>
    <xf borderId="0" fillId="4" fontId="9" numFmtId="49" xfId="0" applyAlignment="1" applyFont="1" applyNumberFormat="1">
      <alignment horizontal="left" readingOrder="0" shrinkToFit="0" vertical="center" wrapText="1"/>
    </xf>
    <xf borderId="0" fillId="4" fontId="9" numFmtId="165" xfId="0" applyAlignment="1" applyFont="1" applyNumberFormat="1">
      <alignment horizontal="center" readingOrder="0" shrinkToFit="0" vertical="center" wrapText="1"/>
    </xf>
    <xf borderId="14" fillId="2" fontId="1" numFmtId="49" xfId="0" applyAlignment="1" applyBorder="1" applyFont="1" applyNumberFormat="1">
      <alignment horizontal="center" readingOrder="0" shrinkToFit="0" vertical="center" wrapText="1"/>
    </xf>
    <xf borderId="15" fillId="0" fontId="2" numFmtId="0" xfId="0" applyBorder="1" applyFont="1"/>
    <xf borderId="16" fillId="0" fontId="2" numFmtId="0" xfId="0" applyBorder="1" applyFont="1"/>
    <xf borderId="4" fillId="0" fontId="18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center" readingOrder="0"/>
    </xf>
    <xf borderId="4" fillId="0" fontId="15" numFmtId="0" xfId="0" applyAlignment="1" applyBorder="1" applyFont="1">
      <alignment horizontal="left" readingOrder="0"/>
    </xf>
    <xf borderId="4" fillId="10" fontId="5" numFmtId="49" xfId="0" applyAlignment="1" applyBorder="1" applyFill="1" applyFont="1" applyNumberFormat="1">
      <alignment horizontal="center" readingOrder="0"/>
    </xf>
    <xf borderId="4" fillId="10" fontId="12" numFmtId="0" xfId="0" applyAlignment="1" applyBorder="1" applyFont="1">
      <alignment readingOrder="0"/>
    </xf>
    <xf borderId="4" fillId="10" fontId="12" numFmtId="166" xfId="0" applyAlignment="1" applyBorder="1" applyFont="1" applyNumberFormat="1">
      <alignment horizontal="center" readingOrder="0"/>
    </xf>
    <xf borderId="4" fillId="10" fontId="15" numFmtId="0" xfId="0" applyAlignment="1" applyBorder="1" applyFont="1">
      <alignment horizontal="center" readingOrder="0" shrinkToFit="0" vertical="bottom" wrapText="0"/>
    </xf>
    <xf borderId="4" fillId="10" fontId="15" numFmtId="0" xfId="0" applyAlignment="1" applyBorder="1" applyFont="1">
      <alignment horizontal="left" readingOrder="0" shrinkToFit="0" vertical="bottom" wrapText="0"/>
    </xf>
    <xf borderId="4" fillId="10" fontId="12" numFmtId="165" xfId="0" applyAlignment="1" applyBorder="1" applyFont="1" applyNumberFormat="1">
      <alignment horizontal="center" readingOrder="0"/>
    </xf>
    <xf borderId="4" fillId="10" fontId="5" numFmtId="0" xfId="0" applyAlignment="1" applyBorder="1" applyFont="1">
      <alignment horizontal="center" readingOrder="0" shrinkToFit="0" vertical="center" wrapText="1"/>
    </xf>
    <xf borderId="4" fillId="10" fontId="6" numFmtId="0" xfId="0" applyAlignment="1" applyBorder="1" applyFont="1">
      <alignment horizontal="center" readingOrder="0" vertical="center"/>
    </xf>
    <xf borderId="11" fillId="10" fontId="5" numFmtId="0" xfId="0" applyAlignment="1" applyBorder="1" applyFont="1">
      <alignment readingOrder="0" vertical="center"/>
    </xf>
    <xf borderId="12" fillId="10" fontId="5" numFmtId="165" xfId="0" applyAlignment="1" applyBorder="1" applyFont="1" applyNumberFormat="1">
      <alignment readingOrder="0" vertical="center"/>
    </xf>
    <xf borderId="12" fillId="10" fontId="5" numFmtId="0" xfId="0" applyAlignment="1" applyBorder="1" applyFont="1">
      <alignment readingOrder="0" vertical="center"/>
    </xf>
    <xf borderId="13" fillId="10" fontId="5" numFmtId="0" xfId="0" applyAlignment="1" applyBorder="1" applyFont="1">
      <alignment readingOrder="0" vertical="center"/>
    </xf>
    <xf borderId="0" fillId="10" fontId="11" numFmtId="0" xfId="0" applyFont="1"/>
    <xf borderId="4" fillId="10" fontId="15" numFmtId="0" xfId="0" applyAlignment="1" applyBorder="1" applyFont="1">
      <alignment horizontal="center" readingOrder="0" shrinkToFit="0" wrapText="0"/>
    </xf>
    <xf borderId="4" fillId="10" fontId="15" numFmtId="0" xfId="0" applyAlignment="1" applyBorder="1" applyFont="1">
      <alignment horizontal="left" readingOrder="0" shrinkToFit="0" wrapText="0"/>
    </xf>
    <xf borderId="8" fillId="10" fontId="5" numFmtId="0" xfId="0" applyAlignment="1" applyBorder="1" applyFont="1">
      <alignment readingOrder="0" vertical="center"/>
    </xf>
    <xf borderId="9" fillId="10" fontId="5" numFmtId="165" xfId="0" applyAlignment="1" applyBorder="1" applyFont="1" applyNumberFormat="1">
      <alignment readingOrder="0" vertical="center"/>
    </xf>
    <xf borderId="9" fillId="10" fontId="5" numFmtId="0" xfId="0" applyAlignment="1" applyBorder="1" applyFont="1">
      <alignment readingOrder="0" vertical="center"/>
    </xf>
    <xf borderId="4" fillId="10" fontId="12" numFmtId="0" xfId="0" applyAlignment="1" applyBorder="1" applyFont="1">
      <alignment horizontal="left" readingOrder="0"/>
    </xf>
    <xf borderId="4" fillId="10" fontId="6" numFmtId="0" xfId="0" applyAlignment="1" applyBorder="1" applyFont="1">
      <alignment horizontal="left" readingOrder="0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2" numFmtId="165" xfId="0" applyAlignment="1" applyFont="1" applyNumberFormat="1">
      <alignment horizontal="center"/>
    </xf>
    <xf borderId="4" fillId="4" fontId="12" numFmtId="0" xfId="0" applyAlignment="1" applyBorder="1" applyFont="1">
      <alignment horizontal="center" readingOrder="0" vertical="top"/>
    </xf>
    <xf borderId="4" fillId="4" fontId="12" numFmtId="0" xfId="0" applyAlignment="1" applyBorder="1" applyFont="1">
      <alignment horizontal="left" readingOrder="0" vertical="bottom"/>
    </xf>
    <xf borderId="4" fillId="4" fontId="12" numFmtId="165" xfId="0" applyAlignment="1" applyBorder="1" applyFont="1" applyNumberFormat="1">
      <alignment horizontal="center" readingOrder="0" vertical="bottom"/>
    </xf>
    <xf borderId="4" fillId="4" fontId="15" numFmtId="0" xfId="0" applyAlignment="1" applyBorder="1" applyFont="1">
      <alignment horizontal="center" readingOrder="0" shrinkToFit="0" wrapText="0"/>
    </xf>
    <xf borderId="4" fillId="0" fontId="12" numFmtId="0" xfId="0" applyAlignment="1" applyBorder="1" applyFont="1">
      <alignment horizontal="center"/>
    </xf>
    <xf borderId="4" fillId="0" fontId="12" numFmtId="165" xfId="0" applyAlignment="1" applyBorder="1" applyFont="1" applyNumberFormat="1">
      <alignment horizontal="center"/>
    </xf>
    <xf borderId="4" fillId="0" fontId="11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11" numFmtId="0" xfId="0" applyAlignment="1" applyBorder="1" applyFont="1">
      <alignment horizontal="center" readingOrder="0"/>
    </xf>
    <xf borderId="0" fillId="4" fontId="3" numFmtId="0" xfId="0" applyAlignment="1" applyFont="1">
      <alignment horizontal="left" readingOrder="0"/>
    </xf>
    <xf borderId="4" fillId="4" fontId="15" numFmtId="0" xfId="0" applyAlignment="1" applyBorder="1" applyFont="1">
      <alignment horizontal="center" readingOrder="0" shrinkToFit="0" vertical="center" wrapText="1"/>
    </xf>
    <xf borderId="4" fillId="4" fontId="15" numFmtId="0" xfId="0" applyAlignment="1" applyBorder="1" applyFont="1">
      <alignment horizontal="center" readingOrder="0" vertical="center"/>
    </xf>
    <xf borderId="4" fillId="11" fontId="15" numFmtId="0" xfId="0" applyAlignment="1" applyBorder="1" applyFill="1" applyFont="1">
      <alignment horizontal="center" readingOrder="0" vertical="bottom"/>
    </xf>
    <xf borderId="4" fillId="11" fontId="15" numFmtId="0" xfId="0" applyAlignment="1" applyBorder="1" applyFont="1">
      <alignment horizontal="left" readingOrder="0" vertical="bottom"/>
    </xf>
    <xf borderId="4" fillId="11" fontId="15" numFmtId="165" xfId="0" applyAlignment="1" applyBorder="1" applyFont="1" applyNumberFormat="1">
      <alignment horizontal="center" readingOrder="0" vertical="bottom"/>
    </xf>
    <xf borderId="4" fillId="11" fontId="15" numFmtId="0" xfId="0" applyAlignment="1" applyBorder="1" applyFont="1">
      <alignment horizontal="center" readingOrder="0" shrinkToFit="0" vertical="center" wrapText="1"/>
    </xf>
    <xf borderId="4" fillId="11" fontId="15" numFmtId="0" xfId="0" applyAlignment="1" applyBorder="1" applyFont="1">
      <alignment horizontal="center" readingOrder="0"/>
    </xf>
    <xf borderId="4" fillId="11" fontId="15" numFmtId="0" xfId="0" applyAlignment="1" applyBorder="1" applyFont="1">
      <alignment horizontal="center" readingOrder="0" shrinkToFit="0" wrapText="0"/>
    </xf>
    <xf borderId="4" fillId="11" fontId="15" numFmtId="0" xfId="0" applyAlignment="1" applyBorder="1" applyFont="1">
      <alignment horizontal="left" readingOrder="0"/>
    </xf>
    <xf borderId="4" fillId="11" fontId="15" numFmtId="165" xfId="0" applyAlignment="1" applyBorder="1" applyFont="1" applyNumberFormat="1">
      <alignment horizontal="center" readingOrder="0" shrinkToFit="0" wrapText="0"/>
    </xf>
    <xf borderId="4" fillId="11" fontId="15" numFmtId="0" xfId="0" applyAlignment="1" applyBorder="1" applyFont="1">
      <alignment horizontal="center" readingOrder="0" shrinkToFit="0" vertical="bottom" wrapText="0"/>
    </xf>
    <xf borderId="4" fillId="11" fontId="15" numFmtId="165" xfId="0" applyAlignment="1" applyBorder="1" applyFont="1" applyNumberFormat="1">
      <alignment horizontal="center"/>
    </xf>
    <xf borderId="4" fillId="11" fontId="15" numFmtId="0" xfId="0" applyAlignment="1" applyBorder="1" applyFont="1">
      <alignment horizontal="center"/>
    </xf>
    <xf borderId="4" fillId="11" fontId="15" numFmtId="165" xfId="0" applyAlignment="1" applyBorder="1" applyFont="1" applyNumberFormat="1">
      <alignment horizontal="center" readingOrder="0" shrinkToFit="0" vertical="bottom" wrapText="0"/>
    </xf>
    <xf borderId="8" fillId="8" fontId="5" numFmtId="0" xfId="0" applyAlignment="1" applyBorder="1" applyFont="1">
      <alignment readingOrder="0" shrinkToFit="0" vertical="center" wrapText="1"/>
    </xf>
    <xf borderId="10" fillId="8" fontId="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/>
    </xf>
    <xf borderId="4" fillId="0" fontId="15" numFmtId="165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horizontal="center"/>
    </xf>
    <xf borderId="4" fillId="0" fontId="15" numFmtId="165" xfId="0" applyAlignment="1" applyBorder="1" applyFont="1" applyNumberFormat="1">
      <alignment horizontal="center"/>
    </xf>
    <xf borderId="0" fillId="0" fontId="12" numFmtId="0" xfId="0" applyAlignment="1" applyFont="1">
      <alignment readingOrder="0"/>
    </xf>
    <xf borderId="4" fillId="4" fontId="15" numFmtId="0" xfId="0" applyAlignment="1" applyBorder="1" applyFont="1">
      <alignment horizontal="left" readingOrder="0" shrinkToFit="0" vertical="bottom" wrapText="0"/>
    </xf>
    <xf borderId="4" fillId="4" fontId="15" numFmtId="0" xfId="0" applyAlignment="1" applyBorder="1" applyFont="1">
      <alignment horizontal="center" readingOrder="0" shrinkToFit="0" vertical="bottom" wrapText="0"/>
    </xf>
    <xf borderId="4" fillId="4" fontId="15" numFmtId="165" xfId="0" applyAlignment="1" applyBorder="1" applyFont="1" applyNumberFormat="1">
      <alignment horizontal="center" readingOrder="0" shrinkToFit="0" vertical="bottom" wrapText="0"/>
    </xf>
    <xf borderId="4" fillId="4" fontId="15" numFmtId="0" xfId="0" applyAlignment="1" applyBorder="1" applyFont="1">
      <alignment horizontal="left" readingOrder="0" vertical="top"/>
    </xf>
    <xf borderId="0" fillId="0" fontId="19" numFmtId="165" xfId="0" applyAlignment="1" applyFont="1" applyNumberFormat="1">
      <alignment horizontal="center" readingOrder="0"/>
    </xf>
    <xf borderId="4" fillId="4" fontId="12" numFmtId="165" xfId="0" applyAlignment="1" applyBorder="1" applyFont="1" applyNumberFormat="1">
      <alignment horizontal="center" readingOrder="0"/>
    </xf>
    <xf borderId="4" fillId="4" fontId="12" numFmtId="0" xfId="0" applyAlignment="1" applyBorder="1" applyFont="1">
      <alignment horizontal="left" readingOrder="0"/>
    </xf>
    <xf borderId="4" fillId="0" fontId="12" numFmtId="0" xfId="0" applyAlignment="1" applyBorder="1" applyFont="1">
      <alignment readingOrder="0"/>
    </xf>
    <xf borderId="4" fillId="4" fontId="12" numFmtId="164" xfId="0" applyAlignment="1" applyBorder="1" applyFont="1" applyNumberFormat="1">
      <alignment horizontal="center" readingOrder="0"/>
    </xf>
    <xf borderId="4" fillId="4" fontId="12" numFmtId="165" xfId="0" applyAlignment="1" applyBorder="1" applyFont="1" applyNumberFormat="1">
      <alignment horizontal="center"/>
    </xf>
    <xf borderId="4" fillId="2" fontId="3" numFmtId="0" xfId="0" applyAlignment="1" applyBorder="1" applyFont="1">
      <alignment horizontal="center" readingOrder="0" vertical="center"/>
    </xf>
    <xf borderId="4" fillId="4" fontId="20" numFmtId="0" xfId="0" applyAlignment="1" applyBorder="1" applyFont="1">
      <alignment horizontal="left" readingOrder="0" shrinkToFit="0" vertical="center" wrapText="0"/>
    </xf>
    <xf borderId="4" fillId="4" fontId="3" numFmtId="49" xfId="0" applyAlignment="1" applyBorder="1" applyFont="1" applyNumberFormat="1">
      <alignment horizontal="center" readingOrder="0" shrinkToFit="0" vertical="center" wrapText="1"/>
    </xf>
    <xf borderId="4" fillId="4" fontId="9" numFmtId="49" xfId="0" applyAlignment="1" applyBorder="1" applyFont="1" applyNumberFormat="1">
      <alignment horizontal="center" readingOrder="0" shrinkToFit="0" vertical="center" wrapText="1"/>
    </xf>
    <xf borderId="4" fillId="4" fontId="9" numFmtId="165" xfId="0" applyAlignment="1" applyBorder="1" applyFont="1" applyNumberFormat="1">
      <alignment horizontal="center" readingOrder="0" shrinkToFit="0" vertical="center" wrapText="1"/>
    </xf>
    <xf borderId="4" fillId="4" fontId="1" numFmtId="49" xfId="0" applyAlignment="1" applyBorder="1" applyFont="1" applyNumberFormat="1">
      <alignment horizontal="center" readingOrder="0" shrinkToFit="0" vertical="center" wrapText="1"/>
    </xf>
    <xf borderId="4" fillId="4" fontId="21" numFmtId="49" xfId="0" applyAlignment="1" applyBorder="1" applyFont="1" applyNumberFormat="1">
      <alignment horizontal="left" readingOrder="0" shrinkToFit="0" vertical="center" wrapText="1"/>
    </xf>
    <xf borderId="4" fillId="4" fontId="15" numFmtId="49" xfId="0" applyAlignment="1" applyBorder="1" applyFont="1" applyNumberFormat="1">
      <alignment horizontal="left" readingOrder="0" shrinkToFit="0" vertical="center" wrapText="1"/>
    </xf>
    <xf borderId="4" fillId="4" fontId="9" numFmtId="164" xfId="0" applyAlignment="1" applyBorder="1" applyFont="1" applyNumberFormat="1">
      <alignment horizontal="center" readingOrder="0" shrinkToFit="0" vertical="center" wrapText="1"/>
    </xf>
    <xf borderId="4" fillId="4" fontId="9" numFmtId="49" xfId="0" applyAlignment="1" applyBorder="1" applyFont="1" applyNumberFormat="1">
      <alignment horizontal="left" readingOrder="0" shrinkToFit="0" vertical="center" wrapText="1"/>
    </xf>
    <xf borderId="4" fillId="0" fontId="22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0" fillId="0" fontId="11" numFmtId="165" xfId="0" applyFont="1" applyNumberFormat="1"/>
    <xf borderId="4" fillId="0" fontId="9" numFmtId="0" xfId="0" applyAlignment="1" applyBorder="1" applyFont="1">
      <alignment horizontal="left" readingOrder="0" shrinkToFit="0" vertical="bottom" wrapText="0"/>
    </xf>
    <xf borderId="4" fillId="4" fontId="15" numFmtId="0" xfId="0" applyAlignment="1" applyBorder="1" applyFont="1">
      <alignment horizontal="center" readingOrder="0"/>
    </xf>
    <xf borderId="0" fillId="4" fontId="9" numFmtId="0" xfId="0" applyAlignment="1" applyFont="1">
      <alignment horizontal="left" readingOrder="0"/>
    </xf>
    <xf borderId="0" fillId="4" fontId="15" numFmtId="0" xfId="0" applyAlignment="1" applyFont="1">
      <alignment horizontal="left" readingOrder="0" shrinkToFit="0" wrapText="0"/>
    </xf>
    <xf borderId="4" fillId="0" fontId="9" numFmtId="0" xfId="0" applyAlignment="1" applyBorder="1" applyFont="1">
      <alignment horizontal="left" readingOrder="0"/>
    </xf>
    <xf borderId="11" fillId="4" fontId="5" numFmtId="0" xfId="0" applyAlignment="1" applyBorder="1" applyFont="1">
      <alignment readingOrder="0" vertical="center"/>
    </xf>
    <xf borderId="12" fillId="4" fontId="5" numFmtId="0" xfId="0" applyAlignment="1" applyBorder="1" applyFont="1">
      <alignment readingOrder="0" vertical="center"/>
    </xf>
    <xf borderId="13" fillId="4" fontId="5" numFmtId="0" xfId="0" applyAlignment="1" applyBorder="1" applyFont="1">
      <alignment readingOrder="0" vertical="center"/>
    </xf>
    <xf borderId="8" fillId="4" fontId="5" numFmtId="0" xfId="0" applyAlignment="1" applyBorder="1" applyFont="1">
      <alignment readingOrder="0" vertical="center"/>
    </xf>
    <xf borderId="9" fillId="4" fontId="5" numFmtId="0" xfId="0" applyAlignment="1" applyBorder="1" applyFont="1">
      <alignment readingOrder="0" vertical="center"/>
    </xf>
    <xf borderId="4" fillId="4" fontId="6" numFmtId="0" xfId="0" applyAlignment="1" applyBorder="1" applyFont="1">
      <alignment horizontal="left" readingOrder="0" vertical="center"/>
    </xf>
    <xf borderId="4" fillId="11" fontId="15" numFmtId="165" xfId="0" applyAlignment="1" applyBorder="1" applyFont="1" applyNumberFormat="1">
      <alignment horizontal="center" readingOrder="0"/>
    </xf>
    <xf borderId="0" fillId="11" fontId="15" numFmtId="0" xfId="0" applyAlignment="1" applyFont="1">
      <alignment horizontal="center" readingOrder="0"/>
    </xf>
    <xf borderId="4" fillId="4" fontId="14" numFmtId="0" xfId="0" applyAlignment="1" applyBorder="1" applyFont="1">
      <alignment horizontal="center" readingOrder="0" shrinkToFit="0" wrapText="0"/>
    </xf>
    <xf borderId="4" fillId="4" fontId="15" numFmtId="0" xfId="0" applyAlignment="1" applyBorder="1" applyFont="1">
      <alignment horizontal="left" readingOrder="0" vertical="bottom"/>
    </xf>
    <xf borderId="4" fillId="4" fontId="23" numFmtId="0" xfId="0" applyAlignment="1" applyBorder="1" applyFont="1">
      <alignment horizontal="center" readingOrder="0" shrinkToFit="0" wrapText="0"/>
    </xf>
    <xf borderId="4" fillId="4" fontId="24" numFmtId="0" xfId="0" applyAlignment="1" applyBorder="1" applyFont="1">
      <alignment horizontal="center" readingOrder="0"/>
    </xf>
    <xf borderId="4" fillId="4" fontId="0" numFmtId="0" xfId="0" applyAlignment="1" applyBorder="1" applyFont="1">
      <alignment horizontal="center" readingOrder="0" vertical="center"/>
    </xf>
    <xf borderId="4" fillId="4" fontId="11" numFmtId="0" xfId="0" applyAlignment="1" applyBorder="1" applyFont="1">
      <alignment horizontal="center" readingOrder="0" vertical="top"/>
    </xf>
    <xf borderId="4" fillId="4" fontId="15" numFmtId="0" xfId="0" applyAlignment="1" applyBorder="1" applyFont="1">
      <alignment horizontal="left" readingOrder="0"/>
    </xf>
    <xf borderId="4" fillId="4" fontId="25" numFmtId="0" xfId="0" applyAlignment="1" applyBorder="1" applyFont="1">
      <alignment horizontal="center" readingOrder="0"/>
    </xf>
    <xf borderId="4" fillId="4" fontId="14" numFmtId="165" xfId="0" applyAlignment="1" applyBorder="1" applyFont="1" applyNumberFormat="1">
      <alignment horizontal="center" readingOrder="0" shrinkToFit="0" wrapText="0"/>
    </xf>
    <xf borderId="4" fillId="12" fontId="26" numFmtId="0" xfId="0" applyAlignment="1" applyBorder="1" applyFill="1" applyFont="1">
      <alignment horizontal="center"/>
    </xf>
    <xf borderId="4" fillId="0" fontId="11" numFmtId="0" xfId="0" applyAlignment="1" applyBorder="1" applyFont="1">
      <alignment readingOrder="0"/>
    </xf>
    <xf borderId="1" fillId="2" fontId="27" numFmtId="49" xfId="0" applyAlignment="1" applyBorder="1" applyFont="1" applyNumberFormat="1">
      <alignment horizontal="center" readingOrder="0" shrinkToFit="0" vertical="center" wrapText="1"/>
    </xf>
    <xf borderId="4" fillId="0" fontId="28" numFmtId="0" xfId="0" applyAlignment="1" applyBorder="1" applyFont="1">
      <alignment horizontal="left" readingOrder="0" shrinkToFit="0" vertical="bottom" wrapText="0"/>
    </xf>
    <xf borderId="0" fillId="4" fontId="15" numFmtId="0" xfId="0" applyAlignment="1" applyFont="1">
      <alignment horizontal="center" readingOrder="0" shrinkToFit="0" wrapText="0"/>
    </xf>
    <xf borderId="4" fillId="4" fontId="15" numFmtId="165" xfId="0" applyAlignment="1" applyBorder="1" applyFont="1" applyNumberFormat="1">
      <alignment horizontal="center" readingOrder="0" shrinkToFit="0" wrapText="0"/>
    </xf>
    <xf borderId="4" fillId="11" fontId="15" numFmtId="0" xfId="0" applyAlignment="1" applyBorder="1" applyFont="1">
      <alignment horizontal="left" readingOrder="0" shrinkToFit="0" vertical="bottom" wrapText="0"/>
    </xf>
    <xf borderId="4" fillId="4" fontId="12" numFmtId="165" xfId="0" applyAlignment="1" applyBorder="1" applyFont="1" applyNumberFormat="1">
      <alignment horizontal="center" readingOrder="0" vertical="top"/>
    </xf>
    <xf borderId="4" fillId="4" fontId="15" numFmtId="0" xfId="0" applyAlignment="1" applyBorder="1" applyFont="1">
      <alignment horizontal="center"/>
    </xf>
    <xf borderId="4" fillId="0" fontId="29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4" fillId="4" fontId="6" numFmtId="0" xfId="0" applyAlignment="1" applyBorder="1" applyFont="1">
      <alignment horizontal="left" readingOrder="0" shrinkToFit="0" vertical="bottom" wrapText="0"/>
    </xf>
    <xf borderId="0" fillId="0" fontId="30" numFmtId="0" xfId="0" applyAlignment="1" applyFont="1">
      <alignment horizontal="left" readingOrder="0"/>
    </xf>
    <xf borderId="1" fillId="2" fontId="31" numFmtId="49" xfId="0" applyAlignment="1" applyBorder="1" applyFont="1" applyNumberFormat="1">
      <alignment horizontal="center" readingOrder="0" shrinkToFit="0" vertical="center" wrapText="1"/>
    </xf>
    <xf borderId="4" fillId="11" fontId="15" numFmtId="0" xfId="0" applyAlignment="1" applyBorder="1" applyFont="1">
      <alignment horizontal="left" vertical="bottom"/>
    </xf>
    <xf borderId="4" fillId="11" fontId="15" numFmtId="165" xfId="0" applyAlignment="1" applyBorder="1" applyFont="1" applyNumberFormat="1">
      <alignment horizontal="center" vertical="bottom"/>
    </xf>
    <xf borderId="4" fillId="4" fontId="32" numFmtId="165" xfId="0" applyAlignment="1" applyBorder="1" applyFont="1" applyNumberFormat="1">
      <alignment horizontal="center" readingOrder="0" vertical="bottom"/>
    </xf>
    <xf borderId="4" fillId="4" fontId="18" numFmtId="0" xfId="0" applyAlignment="1" applyBorder="1" applyFont="1">
      <alignment horizontal="center" readingOrder="0"/>
    </xf>
    <xf borderId="4" fillId="4" fontId="17" numFmtId="0" xfId="0" applyAlignment="1" applyBorder="1" applyFont="1">
      <alignment horizontal="left" readingOrder="0" vertical="top"/>
    </xf>
    <xf borderId="4" fillId="4" fontId="17" numFmtId="165" xfId="0" applyAlignment="1" applyBorder="1" applyFont="1" applyNumberFormat="1">
      <alignment horizontal="center" readingOrder="0" vertical="top"/>
    </xf>
    <xf borderId="0" fillId="4" fontId="5" numFmtId="165" xfId="0" applyAlignment="1" applyFont="1" applyNumberFormat="1">
      <alignment horizontal="center" readingOrder="0" vertical="top"/>
    </xf>
    <xf borderId="4" fillId="4" fontId="12" numFmtId="0" xfId="0" applyAlignment="1" applyBorder="1" applyFont="1">
      <alignment vertical="bottom"/>
    </xf>
    <xf borderId="4" fillId="4" fontId="12" numFmtId="0" xfId="0" applyAlignment="1" applyBorder="1" applyFont="1">
      <alignment horizontal="center" vertical="bottom"/>
    </xf>
    <xf borderId="4" fillId="4" fontId="12" numFmtId="0" xfId="0" applyAlignment="1" applyBorder="1" applyFont="1">
      <alignment horizontal="left" vertical="bottom"/>
    </xf>
    <xf borderId="4" fillId="0" fontId="32" numFmtId="165" xfId="0" applyAlignment="1" applyBorder="1" applyFont="1" applyNumberFormat="1">
      <alignment horizontal="center" vertical="bottom"/>
    </xf>
    <xf borderId="4" fillId="0" fontId="33" numFmtId="0" xfId="0" applyBorder="1" applyFont="1"/>
    <xf borderId="4" fillId="4" fontId="34" numFmtId="0" xfId="0" applyAlignment="1" applyBorder="1" applyFont="1">
      <alignment horizontal="center"/>
    </xf>
    <xf borderId="4" fillId="4" fontId="12" numFmtId="0" xfId="0" applyAlignment="1" applyBorder="1" applyFont="1">
      <alignment readingOrder="0" vertical="bottom"/>
    </xf>
    <xf borderId="4" fillId="0" fontId="35" numFmtId="0" xfId="0" applyAlignment="1" applyBorder="1" applyFont="1">
      <alignment horizontal="center" readingOrder="0" shrinkToFit="0" vertical="bottom" wrapText="0"/>
    </xf>
    <xf borderId="0" fillId="4" fontId="14" numFmtId="0" xfId="0" applyAlignment="1" applyFont="1">
      <alignment horizontal="center" readingOrder="0" shrinkToFit="0" wrapText="0"/>
    </xf>
    <xf borderId="4" fillId="4" fontId="36" numFmtId="0" xfId="0" applyAlignment="1" applyBorder="1" applyFont="1">
      <alignment horizontal="left" readingOrder="0"/>
    </xf>
    <xf borderId="4" fillId="4" fontId="18" numFmtId="165" xfId="0" applyAlignment="1" applyBorder="1" applyFont="1" applyNumberFormat="1">
      <alignment horizontal="center" readingOrder="0"/>
    </xf>
    <xf borderId="4" fillId="4" fontId="18" numFmtId="0" xfId="0" applyAlignment="1" applyBorder="1" applyFont="1">
      <alignment horizontal="center" readingOrder="0" shrinkToFit="0" vertical="bottom" wrapText="0"/>
    </xf>
    <xf borderId="0" fillId="4" fontId="37" numFmtId="0" xfId="0" applyAlignment="1" applyFont="1">
      <alignment readingOrder="0"/>
    </xf>
    <xf borderId="4" fillId="3" fontId="4" numFmtId="0" xfId="0" applyAlignment="1" applyBorder="1" applyFont="1">
      <alignment horizontal="center" shrinkToFit="0" vertical="center" wrapText="1"/>
    </xf>
    <xf borderId="4" fillId="0" fontId="15" numFmtId="49" xfId="0" applyAlignment="1" applyBorder="1" applyFont="1" applyNumberFormat="1">
      <alignment horizontal="center" readingOrder="0" shrinkToFit="0" vertical="bottom" wrapText="0"/>
    </xf>
    <xf borderId="4" fillId="4" fontId="15" numFmtId="49" xfId="0" applyAlignment="1" applyBorder="1" applyFont="1" applyNumberFormat="1">
      <alignment horizontal="center" readingOrder="0" shrinkToFit="0" vertical="center" wrapText="0"/>
    </xf>
    <xf borderId="4" fillId="11" fontId="38" numFmtId="0" xfId="0" applyAlignment="1" applyBorder="1" applyFont="1">
      <alignment horizontal="center" readingOrder="0"/>
    </xf>
    <xf borderId="10" fillId="7" fontId="5" numFmtId="0" xfId="0" applyAlignment="1" applyBorder="1" applyFont="1">
      <alignment readingOrder="0" shrinkToFit="0" vertical="center" wrapText="1"/>
    </xf>
    <xf borderId="4" fillId="4" fontId="15" numFmtId="49" xfId="0" applyAlignment="1" applyBorder="1" applyFont="1" applyNumberFormat="1">
      <alignment horizontal="center" readingOrder="0" shrinkToFit="0" vertical="bottom" wrapText="0"/>
    </xf>
    <xf borderId="4" fillId="0" fontId="12" numFmtId="49" xfId="0" applyAlignment="1" applyBorder="1" applyFont="1" applyNumberFormat="1">
      <alignment horizontal="center" readingOrder="0"/>
    </xf>
    <xf borderId="4" fillId="0" fontId="12" numFmtId="0" xfId="0" applyBorder="1" applyFont="1"/>
    <xf borderId="4" fillId="0" fontId="39" numFmtId="0" xfId="0" applyBorder="1" applyFont="1"/>
    <xf borderId="4" fillId="0" fontId="19" numFmtId="165" xfId="0" applyAlignment="1" applyBorder="1" applyFont="1" applyNumberFormat="1">
      <alignment horizontal="center" readingOrder="0"/>
    </xf>
    <xf borderId="4" fillId="4" fontId="12" numFmtId="0" xfId="0" applyAlignment="1" applyBorder="1" applyFont="1">
      <alignment horizontal="center" vertical="top"/>
    </xf>
    <xf borderId="4" fillId="0" fontId="40" numFmtId="165" xfId="0" applyAlignment="1" applyBorder="1" applyFont="1" applyNumberFormat="1">
      <alignment horizontal="center" vertical="bottom"/>
    </xf>
    <xf borderId="17" fillId="11" fontId="41" numFmtId="165" xfId="0" applyAlignment="1" applyBorder="1" applyFont="1" applyNumberFormat="1">
      <alignment horizontal="left" readingOrder="0" shrinkToFit="0" wrapText="0"/>
    </xf>
    <xf borderId="4" fillId="4" fontId="5" numFmtId="164" xfId="0" applyAlignment="1" applyBorder="1" applyFont="1" applyNumberFormat="1">
      <alignment horizontal="left" readingOrder="0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0" fillId="11" fontId="14" numFmtId="0" xfId="0" applyAlignment="1" applyFont="1">
      <alignment horizontal="left" readingOrder="0" shrinkToFit="0" wrapText="0"/>
    </xf>
    <xf borderId="4" fillId="4" fontId="6" numFmtId="165" xfId="0" applyAlignment="1" applyBorder="1" applyFont="1" applyNumberFormat="1">
      <alignment horizontal="left" readingOrder="0" shrinkToFit="0" vertical="center" wrapText="0"/>
    </xf>
    <xf borderId="4" fillId="0" fontId="6" numFmtId="0" xfId="0" applyAlignment="1" applyBorder="1" applyFont="1">
      <alignment horizontal="left" readingOrder="0" shrinkToFit="0" wrapText="0"/>
    </xf>
    <xf borderId="4" fillId="0" fontId="15" numFmtId="0" xfId="0" applyAlignment="1" applyBorder="1" applyFont="1">
      <alignment horizontal="left" readingOrder="0" shrinkToFit="0" wrapText="0"/>
    </xf>
    <xf borderId="8" fillId="0" fontId="5" numFmtId="0" xfId="0" applyAlignment="1" applyBorder="1" applyFont="1">
      <alignment readingOrder="0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0" fillId="0" fontId="11" numFmtId="49" xfId="0" applyFont="1" applyNumberFormat="1"/>
    <xf borderId="0" fillId="0" fontId="11" numFmtId="166" xfId="0" applyAlignment="1" applyFont="1" applyNumberFormat="1">
      <alignment horizontal="center" readingOrder="0"/>
    </xf>
    <xf borderId="1" fillId="5" fontId="8" numFmtId="49" xfId="0" applyAlignment="1" applyBorder="1" applyFont="1" applyNumberFormat="1">
      <alignment horizontal="center" readingOrder="0" shrinkToFit="0" vertical="center" wrapText="1"/>
    </xf>
    <xf borderId="4" fillId="5" fontId="9" numFmtId="0" xfId="0" applyAlignment="1" applyBorder="1" applyFont="1">
      <alignment horizontal="left" vertical="center"/>
    </xf>
    <xf borderId="4" fillId="4" fontId="15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readingOrder="0" shrinkToFit="0" wrapText="0"/>
    </xf>
    <xf borderId="0" fillId="0" fontId="42" numFmtId="0" xfId="0" applyAlignment="1" applyFont="1">
      <alignment horizontal="center" readingOrder="0"/>
    </xf>
    <xf borderId="15" fillId="13" fontId="42" numFmtId="0" xfId="0" applyAlignment="1" applyBorder="1" applyFill="1" applyFont="1">
      <alignment horizontal="center" readingOrder="0"/>
    </xf>
    <xf borderId="0" fillId="4" fontId="15" numFmtId="0" xfId="0" applyAlignment="1" applyFont="1">
      <alignment horizontal="left" readingOrder="0"/>
    </xf>
    <xf borderId="2" fillId="13" fontId="42" numFmtId="0" xfId="0" applyAlignment="1" applyBorder="1" applyFont="1">
      <alignment horizontal="center" readingOrder="0"/>
    </xf>
    <xf borderId="3" fillId="0" fontId="42" numFmtId="0" xfId="0" applyAlignment="1" applyBorder="1" applyFont="1">
      <alignment horizontal="center" readingOrder="0"/>
    </xf>
    <xf borderId="4" fillId="0" fontId="42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 readingOrder="0"/>
    </xf>
    <xf borderId="4" fillId="4" fontId="14" numFmtId="49" xfId="0" applyAlignment="1" applyBorder="1" applyFont="1" applyNumberFormat="1">
      <alignment horizontal="center" readingOrder="0" shrinkToFit="0" wrapText="0"/>
    </xf>
    <xf borderId="18" fillId="0" fontId="11" numFmtId="0" xfId="0" applyAlignment="1" applyBorder="1" applyFont="1">
      <alignment horizontal="center"/>
    </xf>
    <xf borderId="19" fillId="0" fontId="11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4" fillId="0" fontId="15" numFmtId="49" xfId="0" applyAlignment="1" applyBorder="1" applyFont="1" applyNumberFormat="1">
      <alignment horizontal="center" readingOrder="0"/>
    </xf>
    <xf borderId="4" fillId="4" fontId="15" numFmtId="0" xfId="0" applyAlignment="1" applyBorder="1" applyFont="1">
      <alignment horizontal="left" readingOrder="0"/>
    </xf>
    <xf borderId="4" fillId="0" fontId="12" numFmtId="49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readingOrder="0" vertical="bottom"/>
    </xf>
    <xf borderId="4" fillId="11" fontId="6" numFmtId="49" xfId="0" applyAlignment="1" applyBorder="1" applyFont="1" applyNumberFormat="1">
      <alignment horizontal="center" readingOrder="0" shrinkToFit="0" vertical="bottom" wrapText="0"/>
    </xf>
    <xf borderId="0" fillId="11" fontId="18" numFmtId="0" xfId="0" applyAlignment="1" applyFont="1">
      <alignment horizontal="center" readingOrder="0"/>
    </xf>
    <xf borderId="4" fillId="11" fontId="6" numFmtId="0" xfId="0" applyAlignment="1" applyBorder="1" applyFont="1">
      <alignment horizontal="center" readingOrder="0"/>
    </xf>
    <xf borderId="0" fillId="11" fontId="6" numFmtId="165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4" fillId="4" fontId="12" numFmtId="49" xfId="0" applyAlignment="1" applyBorder="1" applyFont="1" applyNumberFormat="1">
      <alignment horizontal="center" readingOrder="0"/>
    </xf>
    <xf borderId="4" fillId="4" fontId="12" numFmtId="0" xfId="0" applyAlignment="1" applyBorder="1" applyFont="1">
      <alignment horizontal="center"/>
    </xf>
    <xf borderId="0" fillId="0" fontId="15" numFmtId="49" xfId="0" applyAlignment="1" applyFont="1" applyNumberFormat="1">
      <alignment horizontal="center" readingOrder="0" shrinkToFit="0" vertical="bottom" wrapText="0"/>
    </xf>
    <xf borderId="4" fillId="11" fontId="15" numFmtId="0" xfId="0" applyAlignment="1" applyBorder="1" applyFont="1">
      <alignment horizontal="center" readingOrder="0" shrinkToFit="0" wrapText="0"/>
    </xf>
    <xf borderId="0" fillId="0" fontId="15" numFmtId="165" xfId="0" applyAlignment="1" applyFont="1" applyNumberFormat="1">
      <alignment horizontal="center" readingOrder="0" shrinkToFit="0" vertical="bottom" wrapText="0"/>
    </xf>
    <xf borderId="0" fillId="11" fontId="15" numFmtId="49" xfId="0" applyAlignment="1" applyFont="1" applyNumberFormat="1">
      <alignment horizontal="center" readingOrder="0" shrinkToFit="0" wrapText="0"/>
    </xf>
    <xf borderId="0" fillId="11" fontId="15" numFmtId="165" xfId="0" applyAlignment="1" applyFont="1" applyNumberFormat="1">
      <alignment horizontal="center" readingOrder="0" shrinkToFit="0" wrapText="0"/>
    </xf>
    <xf borderId="4" fillId="0" fontId="15" numFmtId="0" xfId="0" applyAlignment="1" applyBorder="1" applyFont="1">
      <alignment horizontal="left" readingOrder="0"/>
    </xf>
    <xf borderId="4" fillId="4" fontId="15" numFmtId="49" xfId="0" applyAlignment="1" applyBorder="1" applyFont="1" applyNumberFormat="1">
      <alignment horizontal="center" readingOrder="0" shrinkToFit="0" wrapText="0"/>
    </xf>
    <xf borderId="0" fillId="0" fontId="18" numFmtId="0" xfId="0" applyAlignment="1" applyFont="1">
      <alignment readingOrder="0"/>
    </xf>
    <xf borderId="0" fillId="0" fontId="11" numFmtId="49" xfId="0" applyAlignment="1" applyFont="1" applyNumberFormat="1">
      <alignment horizontal="center" readingOrder="0"/>
    </xf>
    <xf borderId="4" fillId="4" fontId="15" numFmtId="164" xfId="0" applyAlignment="1" applyBorder="1" applyFont="1" applyNumberFormat="1">
      <alignment horizontal="center" readingOrder="0" shrinkToFit="0" vertical="center" wrapText="0"/>
    </xf>
    <xf borderId="17" fillId="4" fontId="41" numFmtId="49" xfId="0" applyAlignment="1" applyBorder="1" applyFont="1" applyNumberFormat="1">
      <alignment horizontal="center" readingOrder="0" shrinkToFit="0" wrapText="0"/>
    </xf>
    <xf borderId="0" fillId="4" fontId="43" numFmtId="0" xfId="0" applyAlignment="1" applyFont="1">
      <alignment readingOrder="0"/>
    </xf>
    <xf borderId="4" fillId="4" fontId="12" numFmtId="0" xfId="0" applyAlignment="1" applyBorder="1" applyFont="1">
      <alignment horizontal="center" readingOrder="0" vertical="bottom"/>
    </xf>
    <xf borderId="4" fillId="4" fontId="12" numFmtId="166" xfId="0" applyAlignment="1" applyBorder="1" applyFont="1" applyNumberFormat="1">
      <alignment horizontal="center" vertical="bottom"/>
    </xf>
    <xf borderId="4" fillId="4" fontId="12" numFmtId="49" xfId="0" applyAlignment="1" applyBorder="1" applyFont="1" applyNumberFormat="1">
      <alignment horizontal="center"/>
    </xf>
    <xf borderId="0" fillId="4" fontId="12" numFmtId="0" xfId="0" applyAlignment="1" applyFont="1">
      <alignment horizontal="left" readingOrder="0" vertical="bottom"/>
    </xf>
    <xf borderId="4" fillId="0" fontId="44" numFmtId="0" xfId="0" applyAlignment="1" applyBorder="1" applyFont="1">
      <alignment horizontal="center" readingOrder="0"/>
    </xf>
    <xf borderId="0" fillId="11" fontId="45" numFmtId="49" xfId="0" applyAlignment="1" applyFont="1" applyNumberFormat="1">
      <alignment horizontal="center" readingOrder="0" shrinkToFit="0" wrapText="0"/>
    </xf>
    <xf borderId="4" fillId="0" fontId="11" numFmtId="0" xfId="0" applyAlignment="1" applyBorder="1" applyFont="1">
      <alignment horizontal="left" readingOrder="0"/>
    </xf>
    <xf borderId="0" fillId="0" fontId="11" numFmtId="164" xfId="0" applyAlignment="1" applyFont="1" applyNumberFormat="1">
      <alignment horizontal="center" readingOrder="0"/>
    </xf>
    <xf borderId="4" fillId="0" fontId="44" numFmtId="0" xfId="0" applyAlignment="1" applyBorder="1" applyFont="1">
      <alignment readingOrder="0"/>
    </xf>
    <xf borderId="4" fillId="4" fontId="36" numFmtId="0" xfId="0" applyAlignment="1" applyBorder="1" applyFont="1">
      <alignment horizontal="center" readingOrder="0"/>
    </xf>
    <xf borderId="0" fillId="4" fontId="36" numFmtId="0" xfId="0" applyAlignment="1" applyFont="1">
      <alignment horizontal="center" readingOrder="0"/>
    </xf>
    <xf borderId="0" fillId="4" fontId="15" numFmtId="0" xfId="0" applyAlignment="1" applyFont="1">
      <alignment horizontal="left" readingOrder="0"/>
    </xf>
    <xf borderId="4" fillId="0" fontId="15" numFmtId="167" xfId="0" applyAlignment="1" applyBorder="1" applyFont="1" applyNumberFormat="1">
      <alignment horizontal="center" readingOrder="0" shrinkToFit="0" vertical="bottom" wrapText="0"/>
    </xf>
    <xf borderId="4" fillId="4" fontId="46" numFmtId="165" xfId="0" applyAlignment="1" applyBorder="1" applyFont="1" applyNumberFormat="1">
      <alignment horizontal="center" readingOrder="0" shrinkToFit="0" vertical="center" wrapText="0"/>
    </xf>
    <xf borderId="0" fillId="4" fontId="12" numFmtId="0" xfId="0" applyAlignment="1" applyFont="1">
      <alignment horizontal="center" readingOrder="0"/>
    </xf>
    <xf borderId="4" fillId="4" fontId="15" numFmtId="165" xfId="0" applyAlignment="1" applyBorder="1" applyFont="1" applyNumberFormat="1">
      <alignment horizontal="center" readingOrder="0"/>
    </xf>
    <xf borderId="0" fillId="4" fontId="14" numFmtId="49" xfId="0" applyAlignment="1" applyFont="1" applyNumberFormat="1">
      <alignment horizontal="center" readingOrder="0" shrinkToFit="0" wrapText="0"/>
    </xf>
    <xf borderId="4" fillId="4" fontId="47" numFmtId="0" xfId="0" applyAlignment="1" applyBorder="1" applyFont="1">
      <alignment horizontal="center" readingOrder="0" shrinkToFit="0" vertical="bottom" wrapText="0"/>
    </xf>
    <xf borderId="4" fillId="4" fontId="33" numFmtId="165" xfId="0" applyAlignment="1" applyBorder="1" applyFont="1" applyNumberFormat="1">
      <alignment horizontal="center" readingOrder="0" shrinkToFit="0" vertical="bottom" wrapText="0"/>
    </xf>
    <xf borderId="4" fillId="4" fontId="33" numFmtId="0" xfId="0" applyAlignment="1" applyBorder="1" applyFont="1">
      <alignment horizontal="center" readingOrder="0" shrinkToFit="0" vertical="bottom" wrapText="0"/>
    </xf>
    <xf borderId="0" fillId="5" fontId="15" numFmtId="0" xfId="0" applyAlignment="1" applyFont="1">
      <alignment horizontal="left" readingOrder="0" shrinkToFit="0" wrapText="0"/>
    </xf>
    <xf borderId="0" fillId="4" fontId="48" numFmtId="49" xfId="0" applyAlignment="1" applyFont="1" applyNumberFormat="1">
      <alignment horizontal="center" readingOrder="0"/>
    </xf>
    <xf borderId="4" fillId="0" fontId="18" numFmtId="0" xfId="0" applyAlignment="1" applyBorder="1" applyFont="1">
      <alignment horizontal="left" readingOrder="0" shrinkToFit="0" vertical="bottom" wrapText="0"/>
    </xf>
    <xf borderId="4" fillId="4" fontId="23" numFmtId="49" xfId="0" applyAlignment="1" applyBorder="1" applyFont="1" applyNumberFormat="1">
      <alignment horizontal="center" readingOrder="0" shrinkToFit="0" wrapText="0"/>
    </xf>
    <xf borderId="4" fillId="11" fontId="24" numFmtId="0" xfId="0" applyAlignment="1" applyBorder="1" applyFont="1">
      <alignment horizontal="center" readingOrder="0"/>
    </xf>
    <xf borderId="4" fillId="4" fontId="24" numFmtId="0" xfId="0" applyAlignment="1" applyBorder="1" applyFont="1">
      <alignment readingOrder="0"/>
    </xf>
    <xf borderId="4" fillId="0" fontId="15" numFmtId="0" xfId="0" applyAlignment="1" applyBorder="1" applyFont="1">
      <alignment horizontal="left" readingOrder="0" shrinkToFit="0" vertical="bottom" wrapText="0"/>
    </xf>
    <xf borderId="4" fillId="14" fontId="15" numFmtId="0" xfId="0" applyAlignment="1" applyBorder="1" applyFill="1" applyFont="1">
      <alignment horizontal="left" readingOrder="0" shrinkToFit="0" vertical="bottom" wrapText="0"/>
    </xf>
    <xf borderId="4" fillId="0" fontId="15" numFmtId="164" xfId="0" applyAlignment="1" applyBorder="1" applyFont="1" applyNumberFormat="1">
      <alignment horizontal="center" readingOrder="0" shrinkToFit="0" vertical="bottom" wrapText="0"/>
    </xf>
    <xf borderId="4" fillId="4" fontId="12" numFmtId="166" xfId="0" applyAlignment="1" applyBorder="1" applyFont="1" applyNumberFormat="1">
      <alignment horizontal="center" readingOrder="0" vertical="bottom"/>
    </xf>
    <xf borderId="4" fillId="4" fontId="12" numFmtId="49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readingOrder="0" vertical="bottom"/>
    </xf>
    <xf borderId="4" fillId="4" fontId="12" numFmtId="165" xfId="0" applyAlignment="1" applyBorder="1" applyFont="1" applyNumberFormat="1">
      <alignment horizontal="center" vertical="bottom"/>
    </xf>
    <xf borderId="0" fillId="11" fontId="41" numFmtId="0" xfId="0" applyAlignment="1" applyFont="1">
      <alignment horizontal="center" readingOrder="0" shrinkToFit="0" wrapText="0"/>
    </xf>
    <xf borderId="4" fillId="0" fontId="12" numFmtId="0" xfId="0" applyAlignment="1" applyBorder="1" applyFont="1">
      <alignment vertical="bottom"/>
    </xf>
    <xf borderId="0" fillId="15" fontId="18" numFmtId="0" xfId="0" applyAlignment="1" applyFill="1" applyFont="1">
      <alignment readingOrder="0"/>
    </xf>
    <xf borderId="4" fillId="4" fontId="41" numFmtId="0" xfId="0" applyAlignment="1" applyBorder="1" applyFont="1">
      <alignment horizontal="center" readingOrder="0" shrinkToFit="0" wrapText="0"/>
    </xf>
    <xf borderId="4" fillId="4" fontId="41" numFmtId="165" xfId="0" applyAlignment="1" applyBorder="1" applyFont="1" applyNumberFormat="1">
      <alignment horizontal="center" readingOrder="0" shrinkToFit="0" wrapText="0"/>
    </xf>
    <xf borderId="4" fillId="4" fontId="11" numFmtId="0" xfId="0" applyAlignment="1" applyBorder="1" applyFont="1">
      <alignment horizontal="center" readingOrder="0" vertical="bottom"/>
    </xf>
    <xf borderId="0" fillId="4" fontId="11" numFmtId="0" xfId="0" applyAlignment="1" applyFont="1">
      <alignment readingOrder="0" vertical="top"/>
    </xf>
    <xf borderId="0" fillId="4" fontId="18" numFmtId="0" xfId="0" applyAlignment="1" applyFont="1">
      <alignment readingOrder="0"/>
    </xf>
    <xf borderId="0" fillId="4" fontId="17" numFmtId="0" xfId="0" applyAlignment="1" applyFont="1">
      <alignment readingOrder="0" vertical="bottom"/>
    </xf>
    <xf borderId="4" fillId="4" fontId="11" numFmtId="165" xfId="0" applyAlignment="1" applyBorder="1" applyFont="1" applyNumberFormat="1">
      <alignment horizontal="center" readingOrder="0" vertical="top"/>
    </xf>
    <xf borderId="4" fillId="4" fontId="41" numFmtId="0" xfId="0" applyAlignment="1" applyBorder="1" applyFont="1">
      <alignment horizontal="center" readingOrder="0" shrinkToFit="0" vertical="bottom" wrapText="0"/>
    </xf>
    <xf borderId="17" fillId="4" fontId="41" numFmtId="165" xfId="0" applyAlignment="1" applyBorder="1" applyFont="1" applyNumberFormat="1">
      <alignment horizontal="center" readingOrder="0" shrinkToFit="0" wrapText="0"/>
    </xf>
    <xf borderId="4" fillId="4" fontId="11" numFmtId="0" xfId="0" applyAlignment="1" applyBorder="1" applyFont="1">
      <alignment readingOrder="0" vertical="top"/>
    </xf>
    <xf borderId="17" fillId="4" fontId="41" numFmtId="0" xfId="0" applyAlignment="1" applyBorder="1" applyFont="1">
      <alignment horizontal="left" readingOrder="0" shrinkToFit="0" wrapText="0"/>
    </xf>
    <xf borderId="0" fillId="0" fontId="44" numFmtId="0" xfId="0" applyAlignment="1" applyFont="1">
      <alignment horizontal="center" readingOrder="0"/>
    </xf>
    <xf borderId="0" fillId="4" fontId="14" numFmtId="0" xfId="0" applyAlignment="1" applyFont="1">
      <alignment horizontal="left" readingOrder="0" shrinkToFit="0" wrapText="0"/>
    </xf>
    <xf borderId="0" fillId="4" fontId="18" numFmtId="0" xfId="0" applyAlignment="1" applyFont="1">
      <alignment readingOrder="0"/>
    </xf>
    <xf borderId="4" fillId="0" fontId="39" numFmtId="0" xfId="0" applyAlignment="1" applyBorder="1" applyFont="1">
      <alignment readingOrder="0"/>
    </xf>
    <xf borderId="0" fillId="0" fontId="39" numFmtId="0" xfId="0" applyAlignment="1" applyFont="1">
      <alignment readingOrder="0"/>
    </xf>
    <xf borderId="4" fillId="0" fontId="39" numFmtId="0" xfId="0" applyAlignment="1" applyBorder="1" applyFont="1">
      <alignment horizontal="left" readingOrder="0"/>
    </xf>
    <xf borderId="4" fillId="4" fontId="49" numFmtId="0" xfId="0" applyAlignment="1" applyBorder="1" applyFont="1">
      <alignment horizontal="center" readingOrder="0" vertical="top"/>
    </xf>
    <xf borderId="0" fillId="4" fontId="24" numFmtId="165" xfId="0" applyAlignment="1" applyFont="1" applyNumberFormat="1">
      <alignment horizontal="center" readingOrder="0"/>
    </xf>
    <xf borderId="0" fillId="0" fontId="42" numFmtId="0" xfId="0" applyFont="1"/>
    <xf borderId="4" fillId="5" fontId="12" numFmtId="0" xfId="0" applyAlignment="1" applyBorder="1" applyFont="1">
      <alignment readingOrder="0"/>
    </xf>
    <xf borderId="4" fillId="5" fontId="12" numFmtId="0" xfId="0" applyAlignment="1" applyBorder="1" applyFont="1">
      <alignment horizontal="center" readingOrder="0"/>
    </xf>
    <xf borderId="4" fillId="5" fontId="12" numFmtId="166" xfId="0" applyAlignment="1" applyBorder="1" applyFont="1" applyNumberFormat="1">
      <alignment horizontal="center" readingOrder="0"/>
    </xf>
    <xf borderId="4" fillId="5" fontId="15" numFmtId="0" xfId="0" applyAlignment="1" applyBorder="1" applyFont="1">
      <alignment horizontal="center" readingOrder="0" shrinkToFit="0" vertical="bottom" wrapText="0"/>
    </xf>
    <xf borderId="4" fillId="5" fontId="15" numFmtId="0" xfId="0" applyAlignment="1" applyBorder="1" applyFont="1">
      <alignment horizontal="left" readingOrder="0" shrinkToFit="0" vertical="bottom" wrapText="0"/>
    </xf>
    <xf borderId="4" fillId="5" fontId="12" numFmtId="165" xfId="0" applyAlignment="1" applyBorder="1" applyFont="1" applyNumberFormat="1">
      <alignment horizontal="center" readingOrder="0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vertical="center"/>
    </xf>
    <xf borderId="0" fillId="4" fontId="14" numFmtId="165" xfId="0" applyAlignment="1" applyFont="1" applyNumberFormat="1">
      <alignment horizontal="center" readingOrder="0" shrinkToFit="0" wrapText="0"/>
    </xf>
    <xf borderId="0" fillId="0" fontId="11" numFmtId="166" xfId="0" applyAlignment="1" applyFont="1" applyNumberFormat="1">
      <alignment readingOrder="0"/>
    </xf>
    <xf borderId="4" fillId="16" fontId="5" numFmtId="0" xfId="0" applyAlignment="1" applyBorder="1" applyFill="1" applyFont="1">
      <alignment horizontal="center" readingOrder="0" shrinkToFit="0" vertical="center" wrapText="1"/>
    </xf>
    <xf borderId="4" fillId="9" fontId="12" numFmtId="166" xfId="0" applyAlignment="1" applyBorder="1" applyFont="1" applyNumberFormat="1">
      <alignment horizontal="center" readingOrder="0"/>
    </xf>
    <xf borderId="0" fillId="17" fontId="11" numFmtId="0" xfId="0" applyAlignment="1" applyFill="1" applyFont="1">
      <alignment horizontal="center" readingOrder="0"/>
    </xf>
    <xf borderId="4" fillId="17" fontId="12" numFmtId="0" xfId="0" applyAlignment="1" applyBorder="1" applyFont="1">
      <alignment horizontal="center" readingOrder="0"/>
    </xf>
    <xf borderId="4" fillId="17" fontId="12" numFmtId="166" xfId="0" applyAlignment="1" applyBorder="1" applyFont="1" applyNumberFormat="1">
      <alignment horizontal="center" readingOrder="0"/>
    </xf>
    <xf borderId="4" fillId="17" fontId="12" numFmtId="49" xfId="0" applyAlignment="1" applyBorder="1" applyFont="1" applyNumberFormat="1">
      <alignment horizontal="center" readingOrder="0"/>
    </xf>
    <xf borderId="4" fillId="17" fontId="12" numFmtId="165" xfId="0" applyAlignment="1" applyBorder="1" applyFont="1" applyNumberFormat="1">
      <alignment horizontal="center" readingOrder="0"/>
    </xf>
    <xf borderId="4" fillId="9" fontId="12" numFmtId="0" xfId="0" applyAlignment="1" applyBorder="1" applyFont="1">
      <alignment readingOrder="0"/>
    </xf>
    <xf borderId="4" fillId="9" fontId="12" numFmtId="0" xfId="0" applyAlignment="1" applyBorder="1" applyFont="1">
      <alignment horizontal="center" readingOrder="0"/>
    </xf>
    <xf borderId="4" fillId="9" fontId="15" numFmtId="49" xfId="0" applyAlignment="1" applyBorder="1" applyFont="1" applyNumberFormat="1">
      <alignment horizontal="center" readingOrder="0"/>
    </xf>
    <xf borderId="4" fillId="9" fontId="15" numFmtId="0" xfId="0" applyAlignment="1" applyBorder="1" applyFont="1">
      <alignment horizontal="center" readingOrder="0" shrinkToFit="0" vertical="bottom" wrapText="0"/>
    </xf>
    <xf borderId="4" fillId="9" fontId="15" numFmtId="0" xfId="0" applyAlignment="1" applyBorder="1" applyFont="1">
      <alignment horizontal="left" readingOrder="0" shrinkToFit="0" vertical="bottom" wrapText="0"/>
    </xf>
    <xf borderId="4" fillId="9" fontId="15" numFmtId="165" xfId="0" applyAlignment="1" applyBorder="1" applyFont="1" applyNumberFormat="1">
      <alignment horizontal="center" readingOrder="0" shrinkToFit="0" vertical="bottom" wrapText="0"/>
    </xf>
    <xf borderId="4" fillId="8" fontId="6" numFmtId="0" xfId="0" applyAlignment="1" applyBorder="1" applyFont="1">
      <alignment horizontal="center" readingOrder="0" vertical="center"/>
    </xf>
    <xf borderId="0" fillId="4" fontId="45" numFmtId="165" xfId="0" applyAlignment="1" applyFont="1" applyNumberFormat="1">
      <alignment horizontal="left" readingOrder="0" shrinkToFit="0" wrapText="0"/>
    </xf>
    <xf borderId="4" fillId="4" fontId="46" numFmtId="0" xfId="0" applyAlignment="1" applyBorder="1" applyFont="1">
      <alignment horizontal="center" readingOrder="0" shrinkToFit="0" vertical="center" wrapText="0"/>
    </xf>
    <xf borderId="4" fillId="4" fontId="11" numFmtId="0" xfId="0" applyAlignment="1" applyBorder="1" applyFont="1">
      <alignment horizontal="center" readingOrder="0"/>
    </xf>
    <xf borderId="4" fillId="4" fontId="33" numFmtId="49" xfId="0" applyAlignment="1" applyBorder="1" applyFont="1" applyNumberFormat="1">
      <alignment vertical="bottom"/>
    </xf>
    <xf borderId="4" fillId="4" fontId="33" numFmtId="0" xfId="0" applyAlignment="1" applyBorder="1" applyFont="1">
      <alignment vertical="bottom"/>
    </xf>
    <xf borderId="0" fillId="4" fontId="50" numFmtId="49" xfId="0" applyAlignment="1" applyFont="1" applyNumberFormat="1">
      <alignment horizontal="center" vertical="bottom"/>
    </xf>
    <xf borderId="4" fillId="4" fontId="9" numFmtId="0" xfId="0" applyAlignment="1" applyBorder="1" applyFont="1">
      <alignment horizontal="left" readingOrder="0"/>
    </xf>
    <xf borderId="4" fillId="4" fontId="45" numFmtId="49" xfId="0" applyAlignment="1" applyBorder="1" applyFont="1" applyNumberFormat="1">
      <alignment horizontal="center" readingOrder="0" shrinkToFit="0" wrapText="0"/>
    </xf>
    <xf borderId="0" fillId="4" fontId="11" numFmtId="0" xfId="0" applyAlignment="1" applyFont="1">
      <alignment horizontal="center"/>
    </xf>
    <xf borderId="4" fillId="4" fontId="15" numFmtId="164" xfId="0" applyAlignment="1" applyBorder="1" applyFont="1" applyNumberFormat="1">
      <alignment horizontal="center" readingOrder="0" shrinkToFit="0" vertical="bottom" wrapText="0"/>
    </xf>
    <xf borderId="4" fillId="4" fontId="12" numFmtId="49" xfId="0" applyAlignment="1" applyBorder="1" applyFont="1" applyNumberFormat="1">
      <alignment horizontal="center" readingOrder="0" vertical="bottom"/>
    </xf>
    <xf borderId="0" fillId="4" fontId="41" numFmtId="0" xfId="0" applyAlignment="1" applyFont="1">
      <alignment horizontal="center" readingOrder="0" shrinkToFit="0" wrapText="0"/>
    </xf>
    <xf borderId="0" fillId="4" fontId="18" numFmtId="0" xfId="0" applyAlignment="1" applyFont="1">
      <alignment horizontal="center" readingOrder="0"/>
    </xf>
    <xf borderId="4" fillId="4" fontId="0" numFmtId="49" xfId="0" applyAlignment="1" applyBorder="1" applyFont="1" applyNumberFormat="1">
      <alignment horizontal="center" readingOrder="0"/>
    </xf>
    <xf borderId="4" fillId="4" fontId="0" numFmtId="49" xfId="0" applyAlignment="1" applyBorder="1" applyFont="1" applyNumberFormat="1">
      <alignment horizontal="center" readingOrder="0" shrinkToFit="0" wrapText="0"/>
    </xf>
    <xf borderId="4" fillId="4" fontId="47" numFmtId="0" xfId="0" applyAlignment="1" applyBorder="1" applyFont="1">
      <alignment horizontal="center" vertical="bottom"/>
    </xf>
    <xf borderId="4" fillId="0" fontId="12" numFmtId="167" xfId="0" applyAlignment="1" applyBorder="1" applyFont="1" applyNumberFormat="1">
      <alignment horizontal="center" readingOrder="0"/>
    </xf>
    <xf borderId="1" fillId="5" fontId="51" numFmtId="49" xfId="0" applyAlignment="1" applyBorder="1" applyFont="1" applyNumberFormat="1">
      <alignment horizontal="center" shrinkToFit="0" wrapText="1"/>
    </xf>
    <xf borderId="4" fillId="11" fontId="17" numFmtId="0" xfId="0" applyAlignment="1" applyBorder="1" applyFont="1">
      <alignment horizontal="center" readingOrder="0"/>
    </xf>
    <xf borderId="4" fillId="11" fontId="17" numFmtId="166" xfId="0" applyAlignment="1" applyBorder="1" applyFont="1" applyNumberFormat="1">
      <alignment horizontal="center" readingOrder="0"/>
    </xf>
    <xf borderId="4" fillId="4" fontId="52" numFmtId="0" xfId="0" applyAlignment="1" applyBorder="1" applyFont="1">
      <alignment readingOrder="0"/>
    </xf>
    <xf borderId="4" fillId="4" fontId="22" numFmtId="0" xfId="0" applyAlignment="1" applyBorder="1" applyFont="1">
      <alignment horizontal="left" readingOrder="0"/>
    </xf>
    <xf borderId="4" fillId="4" fontId="11" numFmtId="0" xfId="0" applyBorder="1" applyFont="1"/>
    <xf borderId="4" fillId="4" fontId="29" numFmtId="0" xfId="0" applyAlignment="1" applyBorder="1" applyFont="1">
      <alignment horizontal="center" readingOrder="0"/>
    </xf>
    <xf borderId="4" fillId="0" fontId="29" numFmtId="0" xfId="0" applyAlignment="1" applyBorder="1" applyFont="1">
      <alignment horizontal="center" readingOrder="0" shrinkToFit="0" vertical="bottom" wrapText="0"/>
    </xf>
    <xf borderId="4" fillId="4" fontId="29" numFmtId="49" xfId="0" applyAlignment="1" applyBorder="1" applyFont="1" applyNumberFormat="1">
      <alignment horizontal="center" readingOrder="0"/>
    </xf>
    <xf borderId="1" fillId="18" fontId="8" numFmtId="49" xfId="0" applyAlignment="1" applyBorder="1" applyFill="1" applyFont="1" applyNumberFormat="1">
      <alignment horizontal="center" readingOrder="0" shrinkToFit="0" vertical="center" wrapText="1"/>
    </xf>
    <xf borderId="1" fillId="5" fontId="9" numFmtId="164" xfId="0" applyAlignment="1" applyBorder="1" applyFont="1" applyNumberFormat="1">
      <alignment horizontal="center" vertical="center"/>
    </xf>
    <xf borderId="4" fillId="0" fontId="39" numFmtId="0" xfId="0" applyAlignment="1" applyBorder="1" applyFont="1">
      <alignment horizontal="center" readingOrder="0" vertical="center"/>
    </xf>
    <xf borderId="4" fillId="0" fontId="15" numFmtId="164" xfId="0" applyAlignment="1" applyBorder="1" applyFont="1" applyNumberFormat="1">
      <alignment horizontal="center" readingOrder="0" shrinkToFit="0" vertical="center" wrapText="0"/>
    </xf>
    <xf borderId="4" fillId="4" fontId="6" numFmtId="49" xfId="0" applyAlignment="1" applyBorder="1" applyFont="1" applyNumberFormat="1">
      <alignment horizontal="center" readingOrder="0" shrinkToFit="0" vertical="bottom" wrapText="0"/>
    </xf>
    <xf borderId="0" fillId="4" fontId="18" numFmtId="0" xfId="0" applyAlignment="1" applyFont="1">
      <alignment horizontal="center" readingOrder="0"/>
    </xf>
    <xf borderId="4" fillId="4" fontId="6" numFmtId="0" xfId="0" applyAlignment="1" applyBorder="1" applyFont="1">
      <alignment horizontal="center" readingOrder="0"/>
    </xf>
    <xf borderId="0" fillId="4" fontId="6" numFmtId="165" xfId="0" applyAlignment="1" applyFont="1" applyNumberFormat="1">
      <alignment horizontal="center" readingOrder="0"/>
    </xf>
    <xf borderId="0" fillId="4" fontId="11" numFmtId="0" xfId="0" applyAlignment="1" applyFont="1">
      <alignment horizontal="center" readingOrder="0"/>
    </xf>
    <xf borderId="0" fillId="4" fontId="15" numFmtId="49" xfId="0" applyAlignment="1" applyFont="1" applyNumberFormat="1">
      <alignment horizontal="center" readingOrder="0" shrinkToFit="0" vertical="bottom" wrapText="0"/>
    </xf>
    <xf borderId="4" fillId="4" fontId="15" numFmtId="0" xfId="0" applyAlignment="1" applyBorder="1" applyFont="1">
      <alignment horizontal="center" readingOrder="0" shrinkToFit="0" wrapText="0"/>
    </xf>
    <xf borderId="0" fillId="4" fontId="15" numFmtId="164" xfId="0" applyAlignment="1" applyFont="1" applyNumberFormat="1">
      <alignment horizontal="center" readingOrder="0" shrinkToFit="0" vertical="bottom" wrapText="0"/>
    </xf>
    <xf borderId="4" fillId="4" fontId="15" numFmtId="49" xfId="0" applyAlignment="1" applyBorder="1" applyFont="1" applyNumberFormat="1">
      <alignment horizontal="center" readingOrder="0"/>
    </xf>
    <xf borderId="0" fillId="4" fontId="15" numFmtId="49" xfId="0" applyAlignment="1" applyFont="1" applyNumberFormat="1">
      <alignment horizontal="center" readingOrder="0" shrinkToFit="0" wrapText="0"/>
    </xf>
    <xf borderId="0" fillId="4" fontId="15" numFmtId="165" xfId="0" applyAlignment="1" applyFont="1" applyNumberFormat="1">
      <alignment horizontal="center" readingOrder="0" shrinkToFit="0" wrapText="0"/>
    </xf>
    <xf borderId="4" fillId="0" fontId="15" numFmtId="0" xfId="0" applyAlignment="1" applyBorder="1" applyFont="1">
      <alignment horizontal="center" readingOrder="0" shrinkToFit="0" vertical="bottom" wrapText="1"/>
    </xf>
    <xf borderId="0" fillId="4" fontId="48" numFmtId="0" xfId="0" applyAlignment="1" applyFont="1">
      <alignment horizontal="center" readingOrder="0"/>
    </xf>
    <xf borderId="4" fillId="4" fontId="48" numFmtId="165" xfId="0" applyAlignment="1" applyBorder="1" applyFont="1" applyNumberFormat="1">
      <alignment horizontal="center" readingOrder="0"/>
    </xf>
    <xf borderId="4" fillId="4" fontId="53" numFmtId="165" xfId="0" applyAlignment="1" applyBorder="1" applyFont="1" applyNumberFormat="1">
      <alignment horizontal="center"/>
    </xf>
    <xf borderId="4" fillId="4" fontId="15" numFmtId="0" xfId="0" applyAlignment="1" applyBorder="1" applyFont="1">
      <alignment horizontal="center" readingOrder="0" shrinkToFit="0" wrapText="1"/>
    </xf>
    <xf borderId="4" fillId="0" fontId="15" numFmtId="0" xfId="0" applyAlignment="1" applyBorder="1" applyFont="1">
      <alignment horizontal="center" readingOrder="0" shrinkToFit="0" wrapText="1"/>
    </xf>
    <xf borderId="4" fillId="17" fontId="5" numFmtId="49" xfId="0" applyAlignment="1" applyBorder="1" applyFont="1" applyNumberFormat="1">
      <alignment horizontal="center" readingOrder="0"/>
    </xf>
    <xf borderId="4" fillId="17" fontId="15" numFmtId="0" xfId="0" applyAlignment="1" applyBorder="1" applyFont="1">
      <alignment horizontal="center" readingOrder="0" shrinkToFit="0" wrapText="1"/>
    </xf>
    <xf borderId="4" fillId="17" fontId="15" numFmtId="0" xfId="0" applyAlignment="1" applyBorder="1" applyFont="1">
      <alignment horizontal="left" readingOrder="0" shrinkToFit="0" wrapText="0"/>
    </xf>
    <xf borderId="4" fillId="17" fontId="15" numFmtId="165" xfId="0" applyAlignment="1" applyBorder="1" applyFont="1" applyNumberFormat="1">
      <alignment horizontal="center" readingOrder="0" shrinkToFit="0" wrapText="0"/>
    </xf>
    <xf borderId="4" fillId="17" fontId="5" numFmtId="0" xfId="0" applyAlignment="1" applyBorder="1" applyFont="1">
      <alignment horizontal="center" readingOrder="0" shrinkToFit="0" vertical="center" wrapText="1"/>
    </xf>
    <xf borderId="4" fillId="17" fontId="11" numFmtId="0" xfId="0" applyAlignment="1" applyBorder="1" applyFont="1">
      <alignment horizontal="center" readingOrder="0"/>
    </xf>
    <xf borderId="4" fillId="17" fontId="11" numFmtId="0" xfId="0" applyBorder="1" applyFont="1"/>
    <xf borderId="4" fillId="19" fontId="12" numFmtId="0" xfId="0" applyAlignment="1" applyBorder="1" applyFill="1" applyFont="1">
      <alignment horizontal="center" readingOrder="0"/>
    </xf>
    <xf borderId="4" fillId="19" fontId="12" numFmtId="0" xfId="0" applyAlignment="1" applyBorder="1" applyFont="1">
      <alignment horizontal="left" vertical="bottom"/>
    </xf>
    <xf borderId="4" fillId="4" fontId="34" numFmtId="0" xfId="0" applyAlignment="1" applyBorder="1" applyFont="1">
      <alignment readingOrder="0" vertical="top"/>
    </xf>
    <xf borderId="4" fillId="4" fontId="34" numFmtId="0" xfId="0" applyAlignment="1" applyBorder="1" applyFont="1">
      <alignment vertical="top"/>
    </xf>
    <xf borderId="4" fillId="0" fontId="15" numFmtId="0" xfId="0" applyAlignment="1" applyBorder="1" applyFont="1">
      <alignment horizontal="left" shrinkToFit="0" vertical="bottom" wrapText="0"/>
    </xf>
    <xf borderId="4" fillId="4" fontId="12" numFmtId="0" xfId="0" applyAlignment="1" applyBorder="1" applyFont="1">
      <alignment horizontal="center" readingOrder="0" shrinkToFit="0" vertical="bottom" wrapText="1"/>
    </xf>
    <xf borderId="4" fillId="10" fontId="12" numFmtId="0" xfId="0" applyAlignment="1" applyBorder="1" applyFont="1">
      <alignment horizontal="center" vertical="bottom"/>
    </xf>
    <xf borderId="4" fillId="10" fontId="12" numFmtId="0" xfId="0" applyAlignment="1" applyBorder="1" applyFont="1">
      <alignment horizontal="center" readingOrder="0"/>
    </xf>
    <xf borderId="4" fillId="10" fontId="15" numFmtId="49" xfId="0" applyAlignment="1" applyBorder="1" applyFont="1" applyNumberFormat="1">
      <alignment horizontal="center" readingOrder="0" shrinkToFit="0" vertical="bottom" wrapText="0"/>
    </xf>
    <xf borderId="4" fillId="10" fontId="15" numFmtId="165" xfId="0" applyAlignment="1" applyBorder="1" applyFont="1" applyNumberFormat="1">
      <alignment horizontal="center" readingOrder="0" shrinkToFit="0" vertical="bottom" wrapText="0"/>
    </xf>
    <xf borderId="4" fillId="10" fontId="12" numFmtId="0" xfId="0" applyAlignment="1" applyBorder="1" applyFont="1">
      <alignment horizontal="center" readingOrder="0" shrinkToFit="0" vertical="center" wrapText="1"/>
    </xf>
    <xf borderId="4" fillId="4" fontId="15" numFmtId="49" xfId="0" applyAlignment="1" applyBorder="1" applyFont="1" applyNumberFormat="1">
      <alignment horizontal="center" readingOrder="0" shrinkToFit="0" wrapText="1"/>
    </xf>
    <xf borderId="4" fillId="4" fontId="12" numFmtId="0" xfId="0" applyAlignment="1" applyBorder="1" applyFont="1">
      <alignment horizontal="center" vertical="bottom"/>
    </xf>
    <xf borderId="4" fillId="10" fontId="15" numFmtId="49" xfId="0" applyAlignment="1" applyBorder="1" applyFont="1" applyNumberFormat="1">
      <alignment horizontal="center" readingOrder="0" shrinkToFit="0" wrapText="0"/>
    </xf>
    <xf borderId="4" fillId="10" fontId="18" numFmtId="0" xfId="0" applyAlignment="1" applyBorder="1" applyFont="1">
      <alignment horizontal="center" readingOrder="0" shrinkToFit="0" vertical="bottom" wrapText="0"/>
    </xf>
    <xf borderId="0" fillId="10" fontId="11" numFmtId="0" xfId="0" applyAlignment="1" applyFont="1">
      <alignment horizontal="center"/>
    </xf>
    <xf borderId="15" fillId="13" fontId="54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left" readingOrder="0" shrinkToFit="0" wrapText="1"/>
    </xf>
    <xf borderId="2" fillId="13" fontId="54" numFmtId="0" xfId="0" applyAlignment="1" applyBorder="1" applyFont="1">
      <alignment horizontal="center" vertical="bottom"/>
    </xf>
    <xf borderId="3" fillId="0" fontId="54" numFmtId="0" xfId="0" applyAlignment="1" applyBorder="1" applyFont="1">
      <alignment horizontal="center" vertical="bottom"/>
    </xf>
    <xf borderId="4" fillId="0" fontId="54" numFmtId="0" xfId="0" applyAlignment="1" applyBorder="1" applyFont="1">
      <alignment horizontal="center" vertical="bottom"/>
    </xf>
    <xf borderId="1" fillId="0" fontId="54" numFmtId="0" xfId="0" applyAlignment="1" applyBorder="1" applyFont="1">
      <alignment horizontal="center" vertical="bottom"/>
    </xf>
    <xf borderId="18" fillId="0" fontId="33" numFmtId="0" xfId="0" applyAlignment="1" applyBorder="1" applyFont="1">
      <alignment horizontal="center" vertical="bottom"/>
    </xf>
    <xf borderId="0" fillId="0" fontId="11" numFmtId="0" xfId="0" applyFont="1"/>
    <xf borderId="4" fillId="4" fontId="12" numFmtId="0" xfId="0" applyAlignment="1" applyBorder="1" applyFont="1">
      <alignment horizontal="center" readingOrder="0" shrinkToFit="0" wrapText="1"/>
    </xf>
    <xf borderId="4" fillId="4" fontId="55" numFmtId="0" xfId="0" applyAlignment="1" applyBorder="1" applyFont="1">
      <alignment vertical="top"/>
    </xf>
    <xf borderId="0" fillId="4" fontId="18" numFmtId="165" xfId="0" applyAlignment="1" applyFont="1" applyNumberFormat="1">
      <alignment horizontal="center" readingOrder="0"/>
    </xf>
    <xf borderId="0" fillId="4" fontId="45" numFmtId="165" xfId="0" applyAlignment="1" applyFont="1" applyNumberFormat="1">
      <alignment horizontal="center" readingOrder="0" shrinkToFit="0" wrapText="0"/>
    </xf>
    <xf borderId="1" fillId="19" fontId="8" numFmtId="49" xfId="0" applyAlignment="1" applyBorder="1" applyFont="1" applyNumberFormat="1">
      <alignment horizontal="center" readingOrder="0" shrinkToFit="0" vertical="center" wrapText="1"/>
    </xf>
    <xf borderId="4" fillId="4" fontId="55" numFmtId="0" xfId="0" applyAlignment="1" applyBorder="1" applyFont="1">
      <alignment readingOrder="0" vertical="top"/>
    </xf>
    <xf borderId="4" fillId="4" fontId="55" numFmtId="0" xfId="0" applyAlignment="1" applyBorder="1" applyFont="1">
      <alignment vertical="top"/>
    </xf>
    <xf borderId="4" fillId="4" fontId="15" numFmtId="0" xfId="0" applyAlignment="1" applyBorder="1" applyFont="1">
      <alignment horizontal="left" shrinkToFit="0" vertical="bottom" wrapText="0"/>
    </xf>
    <xf borderId="4" fillId="4" fontId="15" numFmtId="0" xfId="0" applyAlignment="1" applyBorder="1" applyFont="1">
      <alignment horizontal="left" shrinkToFit="0" wrapText="0"/>
    </xf>
    <xf borderId="1" fillId="5" fontId="56" numFmtId="49" xfId="0" applyAlignment="1" applyBorder="1" applyFont="1" applyNumberFormat="1">
      <alignment horizontal="center" readingOrder="0" shrinkToFit="0" wrapText="1"/>
    </xf>
    <xf borderId="4" fillId="5" fontId="33" numFmtId="49" xfId="0" applyBorder="1" applyFont="1" applyNumberFormat="1"/>
    <xf borderId="4" fillId="5" fontId="22" numFmtId="164" xfId="0" applyAlignment="1" applyBorder="1" applyFont="1" applyNumberFormat="1">
      <alignment horizontal="center"/>
    </xf>
    <xf borderId="4" fillId="5" fontId="22" numFmtId="0" xfId="0" applyAlignment="1" applyBorder="1" applyFont="1">
      <alignment horizontal="center" shrinkToFit="0" wrapText="1"/>
    </xf>
    <xf borderId="4" fillId="5" fontId="22" numFmtId="0" xfId="0" applyAlignment="1" applyBorder="1" applyFont="1">
      <alignment horizontal="center"/>
    </xf>
    <xf borderId="4" fillId="5" fontId="22" numFmtId="0" xfId="0" applyBorder="1" applyFont="1"/>
    <xf borderId="4" fillId="5" fontId="22" numFmtId="165" xfId="0" applyAlignment="1" applyBorder="1" applyFont="1" applyNumberFormat="1">
      <alignment horizontal="center" shrinkToFit="0" wrapText="1"/>
    </xf>
    <xf borderId="4" fillId="5" fontId="54" numFmtId="0" xfId="0" applyAlignment="1" applyBorder="1" applyFont="1">
      <alignment horizontal="center" shrinkToFit="0" vertical="bottom" wrapText="1"/>
    </xf>
    <xf borderId="4" fillId="4" fontId="34" numFmtId="49" xfId="0" applyAlignment="1" applyBorder="1" applyFont="1" applyNumberFormat="1">
      <alignment horizontal="center" vertical="bottom"/>
    </xf>
    <xf borderId="4" fillId="0" fontId="33" numFmtId="49" xfId="0" applyAlignment="1" applyBorder="1" applyFont="1" applyNumberFormat="1">
      <alignment horizontal="center" readingOrder="0" vertical="bottom"/>
    </xf>
    <xf borderId="4" fillId="0" fontId="33" numFmtId="0" xfId="0" applyAlignment="1" applyBorder="1" applyFont="1">
      <alignment readingOrder="0"/>
    </xf>
    <xf borderId="4" fillId="4" fontId="33" numFmtId="49" xfId="0" applyAlignment="1" applyBorder="1" applyFont="1" applyNumberFormat="1">
      <alignment horizontal="center" readingOrder="0"/>
    </xf>
    <xf borderId="4" fillId="4" fontId="33" numFmtId="49" xfId="0" applyAlignment="1" applyBorder="1" applyFont="1" applyNumberFormat="1">
      <alignment horizontal="center" readingOrder="0" vertical="bottom"/>
    </xf>
    <xf borderId="0" fillId="20" fontId="18" numFmtId="0" xfId="0" applyAlignment="1" applyFill="1" applyFont="1">
      <alignment readingOrder="0"/>
    </xf>
    <xf borderId="4" fillId="0" fontId="33" numFmtId="0" xfId="0" applyBorder="1" applyFont="1"/>
    <xf borderId="4" fillId="0" fontId="33" numFmtId="49" xfId="0" applyAlignment="1" applyBorder="1" applyFont="1" applyNumberFormat="1">
      <alignment vertical="bottom"/>
    </xf>
    <xf borderId="4" fillId="0" fontId="33" numFmtId="0" xfId="0" applyAlignment="1" applyBorder="1" applyFont="1">
      <alignment vertical="bottom"/>
    </xf>
    <xf borderId="4" fillId="4" fontId="33" numFmtId="0" xfId="0" applyAlignment="1" applyBorder="1" applyFont="1">
      <alignment vertical="bottom"/>
    </xf>
    <xf borderId="4" fillId="4" fontId="33" numFmtId="165" xfId="0" applyAlignment="1" applyBorder="1" applyFont="1" applyNumberFormat="1">
      <alignment vertical="bottom"/>
    </xf>
    <xf borderId="4" fillId="4" fontId="15" numFmtId="0" xfId="0" applyAlignment="1" applyBorder="1" applyFont="1">
      <alignment horizontal="center" readingOrder="0" shrinkToFit="0" vertical="bottom" wrapText="1"/>
    </xf>
    <xf borderId="4" fillId="4" fontId="12" numFmtId="0" xfId="0" applyAlignment="1" applyBorder="1" applyFont="1">
      <alignment vertical="bottom"/>
    </xf>
    <xf borderId="4" fillId="5" fontId="9" numFmtId="164" xfId="0" applyAlignment="1" applyBorder="1" applyFont="1" applyNumberFormat="1">
      <alignment horizontal="left" vertical="center"/>
    </xf>
    <xf borderId="0" fillId="4" fontId="33" numFmtId="0" xfId="0" applyAlignment="1" applyFont="1">
      <alignment vertical="bottom"/>
    </xf>
    <xf borderId="0" fillId="4" fontId="33" numFmtId="165" xfId="0" applyAlignment="1" applyFont="1" applyNumberFormat="1">
      <alignment vertical="bottom"/>
    </xf>
    <xf borderId="0" fillId="4" fontId="12" numFmtId="164" xfId="0" applyAlignment="1" applyFont="1" applyNumberFormat="1">
      <alignment horizontal="center" vertical="bottom"/>
    </xf>
    <xf borderId="0" fillId="4" fontId="12" numFmtId="0" xfId="0" applyAlignment="1" applyFont="1">
      <alignment vertical="bottom"/>
    </xf>
    <xf borderId="4" fillId="4" fontId="33" numFmtId="165" xfId="0" applyBorder="1" applyFont="1" applyNumberFormat="1"/>
    <xf borderId="4" fillId="4" fontId="12" numFmtId="164" xfId="0" applyAlignment="1" applyBorder="1" applyFont="1" applyNumberFormat="1">
      <alignment horizontal="center" vertical="bottom"/>
    </xf>
    <xf borderId="4" fillId="4" fontId="12" numFmtId="0" xfId="0" applyAlignment="1" applyBorder="1" applyFont="1">
      <alignment horizontal="left" readingOrder="0" shrinkToFit="0" wrapText="1"/>
    </xf>
    <xf borderId="0" fillId="21" fontId="18" numFmtId="0" xfId="0" applyAlignment="1" applyFill="1" applyFont="1">
      <alignment horizontal="center" readingOrder="0"/>
    </xf>
    <xf borderId="0" fillId="21" fontId="18" numFmtId="0" xfId="0" applyAlignment="1" applyFont="1">
      <alignment readingOrder="0"/>
    </xf>
    <xf borderId="4" fillId="4" fontId="12" numFmtId="20" xfId="0" applyAlignment="1" applyBorder="1" applyFont="1" applyNumberFormat="1">
      <alignment horizontal="center" vertical="bottom"/>
    </xf>
    <xf borderId="4" fillId="4" fontId="33" numFmtId="0" xfId="0" applyAlignment="1" applyBorder="1" applyFont="1">
      <alignment horizontal="center" readingOrder="0" vertical="bottom"/>
    </xf>
    <xf borderId="4" fillId="0" fontId="33" numFmtId="0" xfId="0" applyAlignment="1" applyBorder="1" applyFont="1">
      <alignment readingOrder="0" vertical="bottom"/>
    </xf>
    <xf borderId="4" fillId="4" fontId="15" numFmtId="164" xfId="0" applyAlignment="1" applyBorder="1" applyFont="1" applyNumberFormat="1">
      <alignment horizontal="center" readingOrder="0" shrinkToFit="0" vertical="bottom" wrapText="1"/>
    </xf>
    <xf borderId="0" fillId="4" fontId="5" numFmtId="49" xfId="0" applyAlignment="1" applyFont="1" applyNumberFormat="1">
      <alignment horizontal="center" readingOrder="0"/>
    </xf>
    <xf borderId="0" fillId="4" fontId="12" numFmtId="166" xfId="0" applyAlignment="1" applyFont="1" applyNumberFormat="1">
      <alignment horizontal="center" readingOrder="0"/>
    </xf>
    <xf borderId="0" fillId="0" fontId="15" numFmtId="49" xfId="0" applyAlignment="1" applyFont="1" applyNumberFormat="1">
      <alignment horizontal="center" readingOrder="0" shrinkToFit="0" vertical="bottom" wrapText="0"/>
    </xf>
    <xf borderId="0" fillId="4" fontId="15" numFmtId="0" xfId="0" applyAlignment="1" applyFon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165" xfId="0" applyAlignment="1" applyFont="1" applyNumberFormat="1">
      <alignment horizontal="center" readingOrder="0" shrinkToFit="0" vertical="bottom" wrapText="0"/>
    </xf>
    <xf borderId="0" fillId="4" fontId="12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bottom" wrapText="0"/>
    </xf>
    <xf borderId="1" fillId="13" fontId="8" numFmtId="49" xfId="0" applyAlignment="1" applyBorder="1" applyFont="1" applyNumberFormat="1">
      <alignment horizontal="center" readingOrder="0" shrinkToFit="0" vertical="center" wrapText="1"/>
    </xf>
    <xf borderId="4" fillId="6" fontId="12" numFmtId="166" xfId="0" applyAlignment="1" applyBorder="1" applyFont="1" applyNumberFormat="1">
      <alignment horizontal="center" readingOrder="0"/>
    </xf>
    <xf borderId="0" fillId="4" fontId="57" numFmtId="0" xfId="0" applyAlignment="1" applyFont="1">
      <alignment horizontal="center" readingOrder="0" vertical="bottom"/>
    </xf>
    <xf borderId="4" fillId="4" fontId="33" numFmtId="0" xfId="0" applyAlignment="1" applyBorder="1" applyFont="1">
      <alignment horizontal="left" readingOrder="0" vertical="bottom"/>
    </xf>
    <xf borderId="0" fillId="4" fontId="33" numFmtId="165" xfId="0" applyAlignment="1" applyFont="1" applyNumberFormat="1">
      <alignment horizontal="center" readingOrder="0" vertical="bottom"/>
    </xf>
    <xf borderId="0" fillId="4" fontId="12" numFmtId="164" xfId="0" applyAlignment="1" applyFont="1" applyNumberFormat="1">
      <alignment horizontal="center" readingOrder="0" vertical="bottom"/>
    </xf>
    <xf borderId="21" fillId="0" fontId="11" numFmtId="0" xfId="0" applyAlignment="1" applyBorder="1" applyFont="1">
      <alignment horizontal="center"/>
    </xf>
    <xf borderId="0" fillId="4" fontId="8" numFmtId="49" xfId="0" applyAlignment="1" applyFont="1" applyNumberFormat="1">
      <alignment horizontal="center" readingOrder="0" shrinkToFit="0" vertical="center" wrapText="1"/>
    </xf>
    <xf borderId="4" fillId="4" fontId="33" numFmtId="165" xfId="0" applyAlignment="1" applyBorder="1" applyFont="1" applyNumberFormat="1">
      <alignment horizontal="center" readingOrder="0"/>
    </xf>
    <xf borderId="4" fillId="4" fontId="57" numFmtId="0" xfId="0" applyAlignment="1" applyBorder="1" applyFont="1">
      <alignment horizontal="center" readingOrder="0" vertical="bottom"/>
    </xf>
    <xf borderId="4" fillId="4" fontId="12" numFmtId="164" xfId="0" applyAlignment="1" applyBorder="1" applyFont="1" applyNumberFormat="1">
      <alignment horizontal="center" readingOrder="0" vertical="bottom"/>
    </xf>
    <xf borderId="4" fillId="4" fontId="15" numFmtId="164" xfId="0" applyAlignment="1" applyBorder="1" applyFont="1" applyNumberFormat="1">
      <alignment horizontal="center" readingOrder="0" shrinkToFit="0" wrapText="0"/>
    </xf>
    <xf borderId="0" fillId="4" fontId="43" numFmtId="49" xfId="0" applyAlignment="1" applyFont="1" applyNumberFormat="1">
      <alignment readingOrder="0"/>
    </xf>
    <xf borderId="4" fillId="4" fontId="15" numFmtId="167" xfId="0" applyAlignment="1" applyBorder="1" applyFont="1" applyNumberFormat="1">
      <alignment horizontal="center" readingOrder="0" shrinkToFit="0" wrapText="0"/>
    </xf>
    <xf borderId="4" fillId="11" fontId="45" numFmtId="49" xfId="0" applyAlignment="1" applyBorder="1" applyFont="1" applyNumberFormat="1">
      <alignment horizontal="center" readingOrder="0" shrinkToFit="0" wrapText="0"/>
    </xf>
    <xf borderId="4" fillId="0" fontId="11" numFmtId="0" xfId="0" applyAlignment="1" applyBorder="1" applyFont="1">
      <alignment horizontal="center" readingOrder="0" shrinkToFit="0" wrapText="1"/>
    </xf>
    <xf borderId="4" fillId="4" fontId="48" numFmtId="49" xfId="0" applyAlignment="1" applyBorder="1" applyFont="1" applyNumberFormat="1">
      <alignment horizontal="center" readingOrder="0"/>
    </xf>
    <xf borderId="4" fillId="4" fontId="48" numFmtId="0" xfId="0" applyAlignment="1" applyBorder="1" applyFont="1">
      <alignment horizontal="center" readingOrder="0"/>
    </xf>
    <xf borderId="0" fillId="4" fontId="48" numFmtId="165" xfId="0" applyAlignment="1" applyFont="1" applyNumberFormat="1">
      <alignment horizontal="center" readingOrder="0"/>
    </xf>
    <xf borderId="4" fillId="5" fontId="22" numFmtId="49" xfId="0" applyAlignment="1" applyBorder="1" applyFont="1" applyNumberFormat="1">
      <alignment horizontal="center"/>
    </xf>
    <xf borderId="4" fillId="4" fontId="33" numFmtId="165" xfId="0" applyAlignment="1" applyBorder="1" applyFont="1" applyNumberFormat="1">
      <alignment horizontal="center" readingOrder="0" vertical="bottom"/>
    </xf>
    <xf borderId="4" fillId="5" fontId="12" numFmtId="0" xfId="0" applyAlignment="1" applyBorder="1" applyFont="1">
      <alignment vertical="bottom"/>
    </xf>
    <xf borderId="4" fillId="22" fontId="58" numFmtId="49" xfId="0" applyAlignment="1" applyBorder="1" applyFill="1" applyFont="1" applyNumberFormat="1">
      <alignment horizontal="center" readingOrder="0"/>
    </xf>
    <xf borderId="4" fillId="22" fontId="21" numFmtId="0" xfId="0" applyAlignment="1" applyBorder="1" applyFont="1">
      <alignment horizontal="left" vertical="bottom"/>
    </xf>
    <xf borderId="4" fillId="22" fontId="21" numFmtId="0" xfId="0" applyAlignment="1" applyBorder="1" applyFont="1">
      <alignment horizontal="center" readingOrder="0"/>
    </xf>
    <xf borderId="4" fillId="22" fontId="21" numFmtId="166" xfId="0" applyAlignment="1" applyBorder="1" applyFont="1" applyNumberFormat="1">
      <alignment horizontal="center" readingOrder="0"/>
    </xf>
    <xf borderId="4" fillId="22" fontId="21" numFmtId="49" xfId="0" applyAlignment="1" applyBorder="1" applyFont="1" applyNumberFormat="1">
      <alignment horizontal="center" readingOrder="0"/>
    </xf>
    <xf borderId="4" fillId="22" fontId="3" numFmtId="0" xfId="0" applyAlignment="1" applyBorder="1" applyFont="1">
      <alignment horizontal="left" readingOrder="0"/>
    </xf>
    <xf borderId="4" fillId="22" fontId="21" numFmtId="165" xfId="0" applyAlignment="1" applyBorder="1" applyFont="1" applyNumberFormat="1">
      <alignment horizontal="center" readingOrder="0" shrinkToFit="0" wrapText="0"/>
    </xf>
    <xf borderId="4" fillId="22" fontId="21" numFmtId="0" xfId="0" applyAlignment="1" applyBorder="1" applyFont="1">
      <alignment horizontal="center" readingOrder="0" shrinkToFit="0" vertical="center" wrapText="1"/>
    </xf>
    <xf borderId="0" fillId="22" fontId="59" numFmtId="0" xfId="0" applyFont="1"/>
    <xf borderId="0" fillId="4" fontId="59" numFmtId="0" xfId="0" applyFont="1"/>
    <xf borderId="15" fillId="6" fontId="60" numFmtId="0" xfId="0" applyAlignment="1" applyBorder="1" applyFont="1">
      <alignment horizontal="center" readingOrder="0"/>
    </xf>
    <xf borderId="0" fillId="6" fontId="59" numFmtId="0" xfId="0" applyFont="1"/>
    <xf borderId="0" fillId="6" fontId="59" numFmtId="0" xfId="0" applyAlignment="1" applyFont="1">
      <alignment horizontal="center"/>
    </xf>
    <xf borderId="3" fillId="6" fontId="60" numFmtId="0" xfId="0" applyAlignment="1" applyBorder="1" applyFont="1">
      <alignment horizontal="center" readingOrder="0"/>
    </xf>
    <xf borderId="4" fillId="6" fontId="60" numFmtId="0" xfId="0" applyAlignment="1" applyBorder="1" applyFont="1">
      <alignment horizontal="center" readingOrder="0"/>
    </xf>
    <xf borderId="1" fillId="6" fontId="60" numFmtId="0" xfId="0" applyAlignment="1" applyBorder="1" applyFont="1">
      <alignment horizontal="center" readingOrder="0"/>
    </xf>
    <xf borderId="0" fillId="6" fontId="61" numFmtId="0" xfId="0" applyAlignment="1" applyFont="1">
      <alignment horizontal="center" readingOrder="0"/>
    </xf>
    <xf borderId="18" fillId="6" fontId="61" numFmtId="0" xfId="0" applyAlignment="1" applyBorder="1" applyFont="1">
      <alignment horizontal="center"/>
    </xf>
    <xf borderId="0" fillId="6" fontId="61" numFmtId="0" xfId="0" applyAlignment="1" applyFont="1">
      <alignment horizontal="center"/>
    </xf>
    <xf borderId="4" fillId="22" fontId="21" numFmtId="164" xfId="0" applyAlignment="1" applyBorder="1" applyFont="1" applyNumberFormat="1">
      <alignment horizontal="center" readingOrder="0"/>
    </xf>
    <xf borderId="2" fillId="6" fontId="62" numFmtId="0" xfId="0" applyAlignment="1" applyBorder="1" applyFont="1">
      <alignment horizontal="center" readingOrder="0"/>
    </xf>
    <xf borderId="0" fillId="4" fontId="59" numFmtId="0" xfId="0" applyAlignment="1" applyFont="1">
      <alignment horizontal="center"/>
    </xf>
    <xf borderId="4" fillId="22" fontId="21" numFmtId="0" xfId="0" applyAlignment="1" applyBorder="1" applyFont="1">
      <alignment horizontal="center" readingOrder="0" shrinkToFit="0" wrapText="1"/>
    </xf>
    <xf borderId="4" fillId="22" fontId="21" numFmtId="164" xfId="0" applyAlignment="1" applyBorder="1" applyFont="1" applyNumberFormat="1">
      <alignment horizontal="center" readingOrder="0" shrinkToFit="0" wrapText="0"/>
    </xf>
    <xf borderId="4" fillId="23" fontId="12" numFmtId="0" xfId="0" applyAlignment="1" applyBorder="1" applyFill="1" applyFont="1">
      <alignment horizontal="left" readingOrder="0"/>
    </xf>
    <xf borderId="4" fillId="22" fontId="21" numFmtId="0" xfId="0" applyAlignment="1" applyBorder="1" applyFont="1">
      <alignment vertical="bottom"/>
    </xf>
    <xf borderId="15" fillId="22" fontId="62" numFmtId="0" xfId="0" applyAlignment="1" applyBorder="1" applyFont="1">
      <alignment horizontal="center" readingOrder="0"/>
    </xf>
    <xf borderId="2" fillId="22" fontId="62" numFmtId="0" xfId="0" applyAlignment="1" applyBorder="1" applyFont="1">
      <alignment horizontal="center" readingOrder="0"/>
    </xf>
    <xf borderId="3" fillId="22" fontId="62" numFmtId="0" xfId="0" applyAlignment="1" applyBorder="1" applyFont="1">
      <alignment horizontal="center" readingOrder="0"/>
    </xf>
    <xf borderId="4" fillId="22" fontId="62" numFmtId="0" xfId="0" applyAlignment="1" applyBorder="1" applyFont="1">
      <alignment horizontal="center" readingOrder="0"/>
    </xf>
    <xf borderId="1" fillId="22" fontId="62" numFmtId="0" xfId="0" applyAlignment="1" applyBorder="1" applyFont="1">
      <alignment horizontal="center" readingOrder="0"/>
    </xf>
    <xf borderId="0" fillId="22" fontId="59" numFmtId="0" xfId="0" applyAlignment="1" applyFont="1">
      <alignment horizontal="center" readingOrder="0"/>
    </xf>
    <xf borderId="18" fillId="22" fontId="59" numFmtId="0" xfId="0" applyAlignment="1" applyBorder="1" applyFont="1">
      <alignment horizontal="center"/>
    </xf>
    <xf borderId="0" fillId="22" fontId="59" numFmtId="0" xfId="0" applyAlignment="1" applyFont="1">
      <alignment horizontal="center"/>
    </xf>
    <xf borderId="4" fillId="17" fontId="12" numFmtId="0" xfId="0" applyAlignment="1" applyBorder="1" applyFont="1">
      <alignment horizontal="left" readingOrder="0"/>
    </xf>
    <xf borderId="1" fillId="19" fontId="7" numFmtId="49" xfId="0" applyAlignment="1" applyBorder="1" applyFont="1" applyNumberFormat="1">
      <alignment horizontal="center" readingOrder="0" shrinkToFit="0" vertical="center" wrapText="1"/>
    </xf>
    <xf borderId="4" fillId="19" fontId="21" numFmtId="49" xfId="0" applyAlignment="1" applyBorder="1" applyFont="1" applyNumberFormat="1">
      <alignment horizontal="center" readingOrder="0"/>
    </xf>
    <xf borderId="4" fillId="19" fontId="21" numFmtId="0" xfId="0" applyAlignment="1" applyBorder="1" applyFont="1">
      <alignment horizontal="center" readingOrder="0"/>
    </xf>
    <xf borderId="4" fillId="19" fontId="3" numFmtId="0" xfId="0" applyAlignment="1" applyBorder="1" applyFont="1">
      <alignment horizontal="left" readingOrder="0"/>
    </xf>
    <xf borderId="4" fillId="19" fontId="21" numFmtId="165" xfId="0" applyAlignment="1" applyBorder="1" applyFont="1" applyNumberFormat="1">
      <alignment horizontal="center" readingOrder="0" shrinkToFit="0" wrapText="0"/>
    </xf>
    <xf borderId="4" fillId="19" fontId="21" numFmtId="164" xfId="0" applyAlignment="1" applyBorder="1" applyFont="1" applyNumberFormat="1">
      <alignment horizontal="center" readingOrder="0"/>
    </xf>
    <xf borderId="4" fillId="19" fontId="21" numFmtId="0" xfId="0" applyAlignment="1" applyBorder="1" applyFont="1">
      <alignment horizontal="center" readingOrder="0" shrinkToFit="0" wrapText="1"/>
    </xf>
    <xf borderId="4" fillId="19" fontId="21" numFmtId="164" xfId="0" applyAlignment="1" applyBorder="1" applyFont="1" applyNumberFormat="1">
      <alignment horizontal="center" readingOrder="0" shrinkToFit="0" wrapText="0"/>
    </xf>
    <xf borderId="0" fillId="4" fontId="7" numFmtId="49" xfId="0" applyAlignment="1" applyFont="1" applyNumberFormat="1">
      <alignment horizontal="center" readingOrder="0" shrinkToFit="0" vertical="center" wrapText="1"/>
    </xf>
    <xf borderId="1" fillId="24" fontId="7" numFmtId="49" xfId="0" applyAlignment="1" applyBorder="1" applyFill="1" applyFont="1" applyNumberFormat="1">
      <alignment horizontal="center" readingOrder="0" shrinkToFit="0" vertical="center" wrapText="1"/>
    </xf>
    <xf borderId="4" fillId="10" fontId="12" numFmtId="49" xfId="0" applyAlignment="1" applyBorder="1" applyFont="1" applyNumberFormat="1">
      <alignment horizontal="center" readingOrder="0"/>
    </xf>
    <xf borderId="4" fillId="10" fontId="15" numFmtId="165" xfId="0" applyAlignment="1" applyBorder="1" applyFont="1" applyNumberFormat="1">
      <alignment horizontal="center" readingOrder="0" shrinkToFit="0" wrapText="0"/>
    </xf>
    <xf borderId="4" fillId="10" fontId="12" numFmtId="164" xfId="0" applyAlignment="1" applyBorder="1" applyFont="1" applyNumberFormat="1">
      <alignment horizontal="center" readingOrder="0"/>
    </xf>
    <xf borderId="4" fillId="10" fontId="12" numFmtId="0" xfId="0" applyAlignment="1" applyBorder="1" applyFont="1">
      <alignment horizontal="center" readingOrder="0" shrinkToFit="0" wrapText="1"/>
    </xf>
    <xf borderId="4" fillId="10" fontId="15" numFmtId="164" xfId="0" applyAlignment="1" applyBorder="1" applyFont="1" applyNumberFormat="1">
      <alignment horizontal="center" readingOrder="0" shrinkToFit="0" wrapText="0"/>
    </xf>
    <xf borderId="4" fillId="4" fontId="15" numFmtId="167" xfId="0" applyAlignment="1" applyBorder="1" applyFont="1" applyNumberFormat="1">
      <alignment horizontal="center" readingOrder="0" shrinkToFit="0" vertical="center" wrapText="0"/>
    </xf>
    <xf borderId="0" fillId="10" fontId="11" numFmtId="164" xfId="0" applyAlignment="1" applyFont="1" applyNumberFormat="1">
      <alignment horizontal="center" readingOrder="0"/>
    </xf>
    <xf borderId="4" fillId="10" fontId="15" numFmtId="49" xfId="0" applyAlignment="1" applyBorder="1" applyFont="1" applyNumberFormat="1">
      <alignment horizontal="center" readingOrder="0" shrinkToFit="0" vertical="center" wrapText="0"/>
    </xf>
    <xf borderId="4" fillId="10" fontId="15" numFmtId="49" xfId="0" applyAlignment="1" applyBorder="1" applyFont="1" applyNumberFormat="1">
      <alignment horizontal="center" readingOrder="0"/>
    </xf>
    <xf borderId="4" fillId="0" fontId="33" numFmtId="49" xfId="0" applyAlignment="1" applyBorder="1" applyFont="1" applyNumberFormat="1">
      <alignment horizontal="center" vertical="bottom"/>
    </xf>
    <xf borderId="4" fillId="0" fontId="49" numFmtId="49" xfId="0" applyAlignment="1" applyBorder="1" applyFont="1" applyNumberFormat="1">
      <alignment horizontal="center" readingOrder="0"/>
    </xf>
    <xf borderId="4" fillId="4" fontId="0" numFmtId="0" xfId="0" applyAlignment="1" applyBorder="1" applyFont="1">
      <alignment horizontal="center" readingOrder="0" shrinkToFit="0" wrapText="0"/>
    </xf>
    <xf borderId="4" fillId="4" fontId="0" numFmtId="165" xfId="0" applyAlignment="1" applyBorder="1" applyFont="1" applyNumberFormat="1">
      <alignment horizontal="center" readingOrder="0" shrinkToFit="0" wrapText="0"/>
    </xf>
    <xf borderId="4" fillId="4" fontId="49" numFmtId="49" xfId="0" applyAlignment="1" applyBorder="1" applyFont="1" applyNumberFormat="1">
      <alignment horizontal="center" readingOrder="0"/>
    </xf>
    <xf borderId="4" fillId="4" fontId="49" numFmtId="0" xfId="0" applyAlignment="1" applyBorder="1" applyFont="1">
      <alignment horizontal="center" readingOrder="0" vertical="bottom"/>
    </xf>
    <xf borderId="4" fillId="4" fontId="49" numFmtId="165" xfId="0" applyAlignment="1" applyBorder="1" applyFont="1" applyNumberFormat="1">
      <alignment horizontal="center" readingOrder="0"/>
    </xf>
    <xf borderId="4" fillId="0" fontId="49" numFmtId="0" xfId="0" applyAlignment="1" applyBorder="1" applyFont="1">
      <alignment horizontal="center"/>
    </xf>
    <xf borderId="4" fillId="0" fontId="49" numFmtId="0" xfId="0" applyAlignment="1" applyBorder="1" applyFont="1">
      <alignment horizontal="center" readingOrder="0"/>
    </xf>
    <xf borderId="4" fillId="0" fontId="49" numFmtId="164" xfId="0" applyAlignment="1" applyBorder="1" applyFont="1" applyNumberFormat="1">
      <alignment horizontal="center" readingOrder="0"/>
    </xf>
    <xf borderId="4" fillId="11" fontId="0" numFmtId="49" xfId="0" applyAlignment="1" applyBorder="1" applyFont="1" applyNumberFormat="1">
      <alignment horizontal="center" readingOrder="0" shrinkToFit="0" wrapText="0"/>
    </xf>
    <xf borderId="4" fillId="0" fontId="49" numFmtId="0" xfId="0" applyAlignment="1" applyBorder="1" applyFont="1">
      <alignment horizontal="center" readingOrder="0" shrinkToFit="0" wrapText="1"/>
    </xf>
    <xf borderId="4" fillId="0" fontId="0" numFmtId="49" xfId="0" applyAlignment="1" applyBorder="1" applyFont="1" applyNumberFormat="1">
      <alignment horizontal="center" readingOrder="0" shrinkToFit="0" vertical="bottom" wrapText="0"/>
    </xf>
    <xf borderId="4" fillId="0" fontId="0" numFmtId="0" xfId="0" applyAlignment="1" applyBorder="1" applyFont="1">
      <alignment horizontal="center" readingOrder="0" shrinkToFit="0" vertical="bottom" wrapText="0"/>
    </xf>
    <xf borderId="4" fillId="0" fontId="0" numFmtId="165" xfId="0" applyAlignment="1" applyBorder="1" applyFont="1" applyNumberFormat="1">
      <alignment horizontal="center" readingOrder="0" shrinkToFit="0" vertical="bottom" wrapText="0"/>
    </xf>
    <xf borderId="4" fillId="0" fontId="0" numFmtId="49" xfId="0" applyAlignment="1" applyBorder="1" applyFont="1" applyNumberFormat="1">
      <alignment horizontal="center" readingOrder="0"/>
    </xf>
    <xf borderId="4" fillId="0" fontId="0" numFmtId="0" xfId="0" applyAlignment="1" applyBorder="1" applyFont="1">
      <alignment horizontal="center" readingOrder="0"/>
    </xf>
    <xf borderId="4" fillId="0" fontId="49" numFmtId="165" xfId="0" applyAlignment="1" applyBorder="1" applyFont="1" applyNumberFormat="1">
      <alignment horizontal="center" readingOrder="0"/>
    </xf>
    <xf borderId="4" fillId="4" fontId="0" numFmtId="49" xfId="0" applyAlignment="1" applyBorder="1" applyFont="1" applyNumberFormat="1">
      <alignment horizontal="center" readingOrder="0" shrinkToFit="0" vertical="bottom" wrapText="0"/>
    </xf>
    <xf borderId="4" fillId="10" fontId="15" numFmtId="164" xfId="0" applyAlignment="1" applyBorder="1" applyFont="1" applyNumberFormat="1">
      <alignment horizontal="center" readingOrder="0" shrinkToFit="0" vertical="bottom" wrapText="0"/>
    </xf>
    <xf borderId="4" fillId="10" fontId="15" numFmtId="0" xfId="0" applyAlignment="1" applyBorder="1" applyFont="1">
      <alignment horizontal="center" readingOrder="0" shrinkToFit="0" vertical="bottom" wrapText="1"/>
    </xf>
    <xf borderId="4" fillId="10" fontId="15" numFmtId="164" xfId="0" applyAlignment="1" applyBorder="1" applyFont="1" applyNumberFormat="1">
      <alignment horizontal="center" readingOrder="0" shrinkToFit="0" vertical="bottom" wrapText="1"/>
    </xf>
    <xf borderId="4" fillId="10" fontId="12" numFmtId="0" xfId="0" applyAlignment="1" applyBorder="1" applyFont="1">
      <alignment vertical="bottom"/>
    </xf>
    <xf borderId="4" fillId="10" fontId="12" numFmtId="164" xfId="0" applyAlignment="1" applyBorder="1" applyFont="1" applyNumberFormat="1">
      <alignment horizontal="center" vertical="bottom"/>
    </xf>
    <xf borderId="0" fillId="4" fontId="12" numFmtId="0" xfId="0" applyAlignment="1" applyFont="1">
      <alignment readingOrder="0" vertical="bottom"/>
    </xf>
    <xf borderId="0" fillId="3" fontId="4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 shrinkToFit="0" wrapText="1"/>
    </xf>
    <xf borderId="0" fillId="4" fontId="33" numFmtId="0" xfId="0" applyAlignment="1" applyFont="1">
      <alignment readingOrder="0" vertical="bottom"/>
    </xf>
    <xf borderId="22" fillId="4" fontId="33" numFmtId="0" xfId="0" applyAlignment="1" applyBorder="1" applyFont="1">
      <alignment readingOrder="0" vertical="bottom"/>
    </xf>
    <xf borderId="23" fillId="0" fontId="33" numFmtId="0" xfId="0" applyAlignment="1" applyBorder="1" applyFont="1">
      <alignment horizontal="center" readingOrder="0" vertical="bottom"/>
    </xf>
    <xf borderId="24" fillId="0" fontId="33" numFmtId="0" xfId="0" applyAlignment="1" applyBorder="1" applyFont="1">
      <alignment horizontal="center" readingOrder="0" vertical="bottom"/>
    </xf>
    <xf borderId="0" fillId="0" fontId="11" numFmtId="10" xfId="0" applyAlignment="1" applyFont="1" applyNumberFormat="1">
      <alignment horizontal="center"/>
    </xf>
    <xf borderId="0" fillId="0" fontId="11" numFmtId="1" xfId="0" applyAlignment="1" applyFont="1" applyNumberFormat="1">
      <alignment horizontal="center"/>
    </xf>
    <xf borderId="0" fillId="4" fontId="11" numFmtId="1" xfId="0" applyAlignment="1" applyFont="1" applyNumberFormat="1">
      <alignment horizontal="center" readingOrder="0" vertical="center"/>
    </xf>
    <xf borderId="0" fillId="25" fontId="11" numFmtId="0" xfId="0" applyAlignment="1" applyFill="1" applyFont="1">
      <alignment horizontal="center" readingOrder="0" vertical="center"/>
    </xf>
    <xf borderId="0" fillId="9" fontId="11" numFmtId="0" xfId="0" applyAlignment="1" applyFont="1">
      <alignment horizontal="center" readingOrder="0" vertical="center"/>
    </xf>
    <xf borderId="0" fillId="9" fontId="11" numFmtId="0" xfId="0" applyAlignment="1" applyFont="1">
      <alignment horizontal="center" vertical="center"/>
    </xf>
    <xf borderId="0" fillId="0" fontId="33" numFmtId="0" xfId="0" applyAlignment="1" applyFont="1">
      <alignment readingOrder="0" vertical="bottom"/>
    </xf>
    <xf borderId="22" fillId="0" fontId="33" numFmtId="0" xfId="0" applyAlignment="1" applyBorder="1" applyFont="1">
      <alignment readingOrder="0" vertical="bottom"/>
    </xf>
    <xf borderId="4" fillId="4" fontId="33" numFmtId="0" xfId="0" applyAlignment="1" applyBorder="1" applyFont="1">
      <alignment readingOrder="0" vertical="bottom"/>
    </xf>
    <xf borderId="4" fillId="0" fontId="33" numFmtId="0" xfId="0" applyAlignment="1" applyBorder="1" applyFont="1">
      <alignment horizontal="center" readingOrder="0" vertical="bottom"/>
    </xf>
    <xf borderId="4" fillId="0" fontId="11" numFmtId="10" xfId="0" applyAlignment="1" applyBorder="1" applyFont="1" applyNumberFormat="1">
      <alignment horizontal="center"/>
    </xf>
    <xf borderId="4" fillId="0" fontId="11" numFmtId="1" xfId="0" applyAlignment="1" applyBorder="1" applyFont="1" applyNumberFormat="1">
      <alignment horizontal="center"/>
    </xf>
    <xf borderId="4" fillId="4" fontId="11" numFmtId="1" xfId="0" applyAlignment="1" applyBorder="1" applyFont="1" applyNumberFormat="1">
      <alignment horizontal="center" readingOrder="0" vertical="center"/>
    </xf>
    <xf borderId="4" fillId="4" fontId="5" numFmtId="164" xfId="0" applyAlignment="1" applyBorder="1" applyFont="1" applyNumberFormat="1">
      <alignment horizontal="center" readingOrder="0" shrinkToFit="0" vertical="center" wrapText="1"/>
    </xf>
    <xf borderId="4" fillId="2" fontId="63" numFmtId="0" xfId="0" applyAlignment="1" applyBorder="1" applyFont="1">
      <alignment horizontal="center" readingOrder="0" vertical="center"/>
    </xf>
    <xf borderId="4" fillId="0" fontId="61" numFmtId="49" xfId="0" applyAlignment="1" applyBorder="1" applyFont="1" applyNumberFormat="1">
      <alignment horizontal="left" readingOrder="0"/>
    </xf>
    <xf borderId="4" fillId="0" fontId="33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left" readingOrder="0" shrinkToFit="0" vertical="center" wrapText="0"/>
    </xf>
    <xf borderId="4" fillId="0" fontId="33" numFmtId="165" xfId="0" applyAlignment="1" applyBorder="1" applyFont="1" applyNumberFormat="1">
      <alignment horizontal="center" readingOrder="0" shrinkToFit="0" vertical="bottom" wrapText="0"/>
    </xf>
    <xf borderId="4" fillId="0" fontId="33" numFmtId="0" xfId="0" applyAlignment="1" applyBorder="1" applyFont="1">
      <alignment readingOrder="0" shrinkToFit="0" vertical="bottom" wrapText="0"/>
    </xf>
    <xf borderId="4" fillId="11" fontId="14" numFmtId="49" xfId="0" applyAlignment="1" applyBorder="1" applyFont="1" applyNumberFormat="1">
      <alignment horizontal="left" readingOrder="0" shrinkToFit="0" wrapText="0"/>
    </xf>
    <xf borderId="4" fillId="0" fontId="6" numFmtId="165" xfId="0" applyAlignment="1" applyBorder="1" applyFont="1" applyNumberFormat="1">
      <alignment horizontal="center" readingOrder="0" shrinkToFit="0" vertical="center" wrapText="0"/>
    </xf>
    <xf borderId="4" fillId="0" fontId="6" numFmtId="0" xfId="0" applyAlignment="1" applyBorder="1" applyFont="1">
      <alignment horizontal="left" readingOrder="0" shrinkToFit="0" vertical="bottom" wrapText="0"/>
    </xf>
    <xf borderId="0" fillId="4" fontId="14" numFmtId="49" xfId="0" applyAlignment="1" applyFont="1" applyNumberFormat="1">
      <alignment horizontal="left" readingOrder="0" shrinkToFit="0" wrapText="0"/>
    </xf>
    <xf borderId="4" fillId="11" fontId="44" numFmtId="49" xfId="0" applyAlignment="1" applyBorder="1" applyFont="1" applyNumberFormat="1">
      <alignment horizontal="left" readingOrder="0" shrinkToFit="0" vertical="bottom" wrapText="0"/>
    </xf>
    <xf borderId="4" fillId="0" fontId="44" numFmtId="49" xfId="0" applyAlignment="1" applyBorder="1" applyFont="1" applyNumberFormat="1">
      <alignment horizontal="left" readingOrder="0" shrinkToFit="0" vertical="bottom" wrapText="0"/>
    </xf>
    <xf borderId="4" fillId="4" fontId="5" numFmtId="164" xfId="0" applyAlignment="1" applyBorder="1" applyFont="1" applyNumberFormat="1">
      <alignment horizontal="center" readingOrder="0" shrinkToFit="0" wrapText="1"/>
    </xf>
    <xf borderId="4" fillId="4" fontId="45" numFmtId="0" xfId="0" applyAlignment="1" applyBorder="1" applyFont="1">
      <alignment horizontal="center" readingOrder="0"/>
    </xf>
    <xf borderId="9" fillId="0" fontId="5" numFmtId="0" xfId="0" applyAlignment="1" applyBorder="1" applyFont="1">
      <alignment readingOrder="0" shrinkToFit="0" vertical="center" wrapText="1"/>
    </xf>
    <xf borderId="0" fillId="21" fontId="18" numFmtId="0" xfId="0" applyAlignment="1" applyFont="1">
      <alignment readingOrder="0" shrinkToFit="0" wrapText="1"/>
    </xf>
    <xf borderId="4" fillId="4" fontId="5" numFmtId="167" xfId="0" applyAlignment="1" applyBorder="1" applyFont="1" applyNumberFormat="1">
      <alignment horizontal="center" readingOrder="0"/>
    </xf>
    <xf borderId="4" fillId="4" fontId="5" numFmtId="167" xfId="0" applyAlignment="1" applyBorder="1" applyFont="1" applyNumberFormat="1">
      <alignment horizontal="center" readingOrder="0" shrinkToFit="0" wrapText="1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6" numFmtId="165" xfId="0" applyAlignment="1" applyBorder="1" applyFont="1" applyNumberFormat="1">
      <alignment horizontal="center" readingOrder="0"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4" fillId="0" fontId="15" numFmtId="165" xfId="0" applyAlignment="1" applyBorder="1" applyFont="1" applyNumberFormat="1">
      <alignment horizontal="center" readingOrder="0" shrinkToFit="0" vertical="bottom" wrapText="0"/>
    </xf>
    <xf borderId="0" fillId="0" fontId="34" numFmtId="0" xfId="0" applyAlignment="1" applyFont="1">
      <alignment readingOrder="0"/>
    </xf>
    <xf borderId="4" fillId="0" fontId="34" numFmtId="164" xfId="0" applyAlignment="1" applyBorder="1" applyFont="1" applyNumberFormat="1">
      <alignment horizontal="center" readingOrder="0"/>
    </xf>
    <xf borderId="0" fillId="0" fontId="3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020aacd0-2e5c-4be0-a575-d4bdcbfc4ff2}">
    <Anchor>
      <Comment id="{d048765b-6a48-43b0-aed4-f955f67f0bf4}"/>
    </Anchor>
    <History>
      <Event time="2025-10-16T21:38:14.00" id="{308d07fe-9890-4d8a-9d88-79af0fce9f73}">
        <Attribution userId="placeholder@email.com" userName="Aryane Santos Pimenta" userProvider="google-sheets"/>
        <Anchor>
          <Comment id="{d048765b-6a48-43b0-aed4-f955f67f0bf4}"/>
        </Anchor>
        <Create/>
      </Event>
      <Event time="2025-10-16T21:38:14.00" id="{3989505d-2f8a-40e1-921e-b18166edc7fb}">
        <Attribution userId="placeholder@email.com" userName="Aryane Santos Pimenta" userProvider="google-sheets"/>
        <Anchor>
          <Comment id="{d048765b-6a48-43b0-aed4-f955f67f0bf4}"/>
        </Anchor>
        <Assign userId="ubsgermania@cejam.org.br" userName="ubsgermania@cejam.org.br" userProvider="google-sheets"/>
      </Event>
    </History>
  </Task>
  <Task id="{4931969d-4058-42f1-9679-fa240c599e0b}">
    <Anchor>
      <Comment id="{7477663e-6092-4944-8f2e-3d33b4180523}"/>
    </Anchor>
    <History>
      <Event time="2025-10-21T14:48:07.00" id="{a9584c13-066b-40ee-bc76-ba31212e1a0c}">
        <Attribution userId="placeholder@email.com" userName="Taciana Felix Caciano" userProvider="google-sheets"/>
        <Anchor>
          <Comment id="{7477663e-6092-4944-8f2e-3d33b4180523}"/>
        </Anchor>
        <Create/>
      </Event>
      <Event time="2025-10-21T14:48:07.00" id="{0308e9ff-321b-492c-af11-4c01626273b4}">
        <Attribution userId="placeholder@email.com" userName="Taciana Felix Caciano" userProvider="google-sheets"/>
        <Anchor>
          <Comment id="{7477663e-6092-4944-8f2e-3d33b4180523}"/>
        </Anchor>
        <Assign userId="ubs.jdherculano@cejam.org.br" userName="ubs.jdherculano@cejam.org.br" userProvider="google-sheets"/>
      </Event>
    </History>
  </Task>
  <Task id="{e0b017ca-9d98-4eac-9fd6-8d477c8cea36}">
    <Anchor>
      <Comment id="{8820697e-7a56-41ff-a04e-af7bde20ed98}"/>
    </Anchor>
    <History>
      <Event time="2025-10-21T14:47:43.00" id="{82264cd6-ac3d-421d-a939-4e1fb28e57c1}">
        <Attribution userId="placeholder@email.com" userName="Taciana Felix Caciano" userProvider="google-sheets"/>
        <Anchor>
          <Comment id="{8820697e-7a56-41ff-a04e-af7bde20ed98}"/>
        </Anchor>
        <Create/>
      </Event>
      <Event time="2025-10-21T14:47:43.00" id="{350a3efd-c1d9-42b1-9129-5a473330754f}">
        <Attribution userId="placeholder@email.com" userName="Taciana Felix Caciano" userProvider="google-sheets"/>
        <Anchor>
          <Comment id="{8820697e-7a56-41ff-a04e-af7bde20ed98}"/>
        </Anchor>
        <Assign userId="ubs.santalucia@cejam.org.br" userName="ubs.santalucia@cejam.org.br" userProvider="google-sheets"/>
      </Event>
    </History>
  </Task>
  <Task id="{096cede3-8bd8-4588-bfdb-99b651e722aa}">
    <Anchor>
      <Comment id="{6975fc18-df4c-45d9-a0e4-989ced8f75a5}"/>
    </Anchor>
    <History>
      <Event time="2025-10-21T14:50:24.00" id="{33198ab7-7698-4660-8195-6129d99afa70}">
        <Attribution userId="placeholder@email.com" userName="Taciana Felix Caciano" userProvider="google-sheets"/>
        <Anchor>
          <Comment id="{6975fc18-df4c-45d9-a0e4-989ced8f75a5}"/>
        </Anchor>
        <Create/>
      </Event>
      <Event time="2025-10-21T14:50:24.00" id="{eb1e1489-37e4-404b-9fa6-286f128d4fe6}">
        <Attribution userId="placeholder@email.com" userName="Taciana Felix Caciano" userProvider="google-sheets"/>
        <Anchor>
          <Comment id="{6975fc18-df4c-45d9-a0e4-989ced8f75a5}"/>
        </Anchor>
        <Assign userId="ubsaracati@cejam.org.br" userName="ubsaracati@cejam.org.br" userProvider="google-sheets"/>
      </Event>
    </History>
  </Task>
  <Task id="{39d1a65d-5738-4a2e-af5c-944d0eaeafc7}">
    <Anchor>
      <Comment id="{14cffd3d-2516-4a22-90d5-bdf529611627}"/>
    </Anchor>
    <History>
      <Event time="2025-10-17T13:24:04.00" id="{40489218-44b2-463f-9e8f-316ff26d55c7}">
        <Attribution userId="placeholder@email.com" userName="Aryane Santos Pimenta" userProvider="google-sheets"/>
        <Anchor>
          <Comment id="{14cffd3d-2516-4a22-90d5-bdf529611627}"/>
        </Anchor>
        <Create/>
      </Event>
      <Event time="2025-10-17T13:24:04.00" id="{b2f87221-5ebd-462d-aa66-b71d35f2c072}">
        <Attribution userId="placeholder@email.com" userName="Aryane Santos Pimenta" userProvider="google-sheets"/>
        <Anchor>
          <Comment id="{14cffd3d-2516-4a22-90d5-bdf529611627}"/>
        </Anchor>
        <Assign userId="ubsgermania@cejam.org.br" userName="ubsgermania@cejam.org.br" userProvider="google-sheets"/>
      </Event>
    </History>
  </Task>
  <Task id="{d8b56dd4-2d7f-40dd-bd5a-da0a958133ae}">
    <Anchor>
      <Comment id="{b75e61c6-6ef0-45df-a3e2-139c207edce5}"/>
    </Anchor>
    <History>
      <Event time="2025-10-21T14:49:20.00" id="{a88aec0a-b0b2-4692-bc78-1dc5e8cc6d93}">
        <Attribution userId="placeholder@email.com" userName="Taciana Felix Caciano" userProvider="google-sheets"/>
        <Anchor>
          <Comment id="{b75e61c6-6ef0-45df-a3e2-139c207edce5}"/>
        </Anchor>
        <Create/>
      </Event>
      <Event time="2025-10-21T14:49:20.00" id="{4bb27679-bba0-49f7-92fb-c86815b30abf}">
        <Attribution userId="placeholder@email.com" userName="Taciana Felix Caciano" userProvider="google-sheets"/>
        <Anchor>
          <Comment id="{b75e61c6-6ef0-45df-a3e2-139c207edce5}"/>
        </Anchor>
        <Assign userId="ubsmagdalena@cejam.org.br" userName="ubsmagdalena@cejam.org.br" userProvider="google-sheets"/>
      </Event>
    </History>
  </Task>
  <Task id="{a1de595f-af6c-4467-acb9-47ad80d97dfe}">
    <Anchor>
      <Comment id="{c53ddf03-a3b4-44f2-a014-59ec440169fa}"/>
    </Anchor>
    <History>
      <Event time="2025-10-21T14:50:37.00" id="{2adbf041-fb12-45b9-aaf0-c0c4a04b70ef}">
        <Attribution userId="placeholder@email.com" userName="Taciana Felix Caciano" userProvider="google-sheets"/>
        <Anchor>
          <Comment id="{c53ddf03-a3b4-44f2-a014-59ec440169fa}"/>
        </Anchor>
        <Create/>
      </Event>
      <Event time="2025-10-21T14:50:37.00" id="{fed5bedb-2e5d-4325-ad59-888f7bb5a2a7}">
        <Attribution userId="placeholder@email.com" userName="Taciana Felix Caciano" userProvider="google-sheets"/>
        <Anchor>
          <Comment id="{c53ddf03-a3b4-44f2-a014-59ec440169fa}"/>
        </Anchor>
        <Assign userId="ubsmagdalena@cejam.org.br" userName="ubsmagdalena@cejam.org.br" userProvider="google-sheets"/>
      </Event>
    </History>
  </Task>
  <Task id="{3c6120d2-a9a8-4b90-96a6-0e4c0af4382e}">
    <Anchor>
      <Comment id="{d23204e9-1edf-482b-bde9-0f29743a55ba}"/>
    </Anchor>
    <History>
      <Event time="2025-10-21T11:31:15.00" id="{c6cea063-21fc-4bd3-83b1-a7219ee7db97}">
        <Attribution userId="placeholder@email.com" userName="Taciana Felix Caciano" userProvider="google-sheets"/>
        <Anchor>
          <Comment id="{d23204e9-1edf-482b-bde9-0f29743a55ba}"/>
        </Anchor>
        <Create/>
      </Event>
      <Event time="2025-10-21T11:31:15.00" id="{c76923c9-ae53-44e6-bf5f-a721adf44d9d}">
        <Attribution userId="placeholder@email.com" userName="Taciana Felix Caciano" userProvider="google-sheets"/>
        <Anchor>
          <Comment id="{d23204e9-1edf-482b-bde9-0f29743a55ba}"/>
        </Anchor>
        <Assign userId="ubseledy@cejam.org.br" userName="ubseledy@cejam.org.br" userProvider="google-sheets"/>
      </Event>
    </History>
  </Task>
  <Task id="{4d4c0de6-ccfc-4a17-92ab-68de48c566cc}">
    <Anchor>
      <Comment id="{feefe0bf-4143-47ed-8521-1d3f94a4b378}"/>
    </Anchor>
    <History>
      <Event time="2025-10-17T13:03:49.00" id="{28d74f52-030d-4eab-a40a-27ec7a26232a}">
        <Attribution userId="placeholder@email.com" userName="Aryane Santos Pimenta" userProvider="google-sheets"/>
        <Anchor>
          <Comment id="{feefe0bf-4143-47ed-8521-1d3f94a4b378}"/>
        </Anchor>
        <Create/>
      </Event>
      <Event time="2025-10-17T13:03:49.00" id="{cf1cd975-0b10-4e3b-9baa-b7bf438faece}">
        <Attribution userId="placeholder@email.com" userName="Aryane Santos Pimenta" userProvider="google-sheets"/>
        <Anchor>
          <Comment id="{feefe0bf-4143-47ed-8521-1d3f94a4b378}"/>
        </Anchor>
        <Assign userId="ubseledy@cejam.org.br" userName="ubseledy@cejam.org.br" userProvider="google-sheets"/>
      </Event>
    </History>
  </Task>
  <Task id="{a84454d7-c585-4071-b780-432947e08abf}">
    <Anchor>
      <Comment id="{83aa375d-a515-42e7-9628-abdc10db925e}"/>
    </Anchor>
    <History>
      <Event time="2025-10-17T13:26:51.00" id="{47027e3b-7721-48aa-8619-8321257a3f56}">
        <Attribution userId="placeholder@email.com" userName="Aryane Santos Pimenta" userProvider="google-sheets"/>
        <Anchor>
          <Comment id="{83aa375d-a515-42e7-9628-abdc10db925e}"/>
        </Anchor>
        <Create/>
      </Event>
      <Event time="2025-10-17T13:26:51.00" id="{8effd132-5498-4c83-a994-a8f61be5eae3}">
        <Attribution userId="placeholder@email.com" userName="Aryane Santos Pimenta" userProvider="google-sheets"/>
        <Anchor>
          <Comment id="{83aa375d-a515-42e7-9628-abdc10db925e}"/>
        </Anchor>
        <Assign userId="ubsjardimcapela@cejam.org.br" userName="ubsjardimcapela@cejam.org.br" userProvider="google-sheets"/>
      </Event>
    </History>
  </Task>
  <Task id="{bb6be9ba-bedc-498f-ab9b-1bb67cb5dd4d}">
    <Anchor>
      <Comment id="{662e3a06-1fdb-43bc-9ef0-2326c15ed04a}"/>
    </Anchor>
    <History>
      <Event time="2025-10-24T12:38:52.00" id="{8428a1b3-e150-4f2f-9d41-03b72f3bdacb}">
        <Attribution userId="placeholder@email.com" userName="Erica Santos de Souza" userProvider="google-sheets"/>
        <Anchor>
          <Comment id="{662e3a06-1fdb-43bc-9ef0-2326c15ed04a}"/>
        </Anchor>
        <Create/>
      </Event>
      <Event time="2025-10-24T12:38:52.00" id="{c906695a-b750-4dba-8816-caa8756a3afd}">
        <Attribution userId="placeholder@email.com" userName="Erica Santos de Souza" userProvider="google-sheets"/>
        <Anchor>
          <Comment id="{662e3a06-1fdb-43bc-9ef0-2326c15ed04a}"/>
        </Anchor>
        <Assign userId="amaubspqfernanda@cejam.org.br" userName="amaubspqfernanda@cejam.org.br" userProvider="google-sheets"/>
      </Event>
    </History>
  </Task>
  <Task id="{01a9cf0e-fe0e-4be8-bd14-727346990f0e}">
    <Anchor>
      <Comment id="{2f7316c0-1c24-4097-9f13-ddd825ab7558}"/>
    </Anchor>
    <History>
      <Event time="2025-10-24T12:32:51.00" id="{8d2fbdfc-7f08-4299-90c6-1e2be7e41fad}">
        <Attribution userId="placeholder@email.com" userName="Erica Santos de Souza" userProvider="google-sheets"/>
        <Anchor>
          <Comment id="{2f7316c0-1c24-4097-9f13-ddd825ab7558}"/>
        </Anchor>
        <Create/>
      </Event>
      <Event time="2025-10-24T12:32:51.00" id="{e423458a-90fa-48b1-bc17-94ebbf90199f}">
        <Attribution userId="placeholder@email.com" userName="Erica Santos de Souza" userProvider="google-sheets"/>
        <Anchor>
          <Comment id="{2f7316c0-1c24-4097-9f13-ddd825ab7558}"/>
        </Anchor>
        <Assign userId="ubsjardimcapela@cejam.org.br" userName="ubsjardimcapela@cejam.org.br" userProvider="google-sheets"/>
      </Event>
    </History>
  </Task>
  <Task id="{a1bda0af-6bfe-4613-aa5d-193573fc3d1f}">
    <Anchor>
      <Comment id="{b521154a-7a41-4db1-a1f0-7fecbc3a91e9}"/>
    </Anchor>
    <History>
      <Event time="2025-10-17T13:26:13.00" id="{2f1ddb67-53a8-4513-85a4-780d76b094e5}">
        <Attribution userId="placeholder@email.com" userName="Aryane Santos Pimenta" userProvider="google-sheets"/>
        <Anchor>
          <Comment id="{b521154a-7a41-4db1-a1f0-7fecbc3a91e9}"/>
        </Anchor>
        <Create/>
      </Event>
      <Event time="2025-10-17T13:26:13.00" id="{7ae4de9b-8a15-4cc6-ba31-8ec0477942e3}">
        <Attribution userId="placeholder@email.com" userName="Aryane Santos Pimenta" userProvider="google-sheets"/>
        <Anchor>
          <Comment id="{b521154a-7a41-4db1-a1f0-7fecbc3a91e9}"/>
        </Anchor>
        <Assign userId="ubsjardimcapela@cejam.org.br" userName="ubsjardimcapela@cejam.org.br" userProvider="google-sheets"/>
      </Event>
    </History>
  </Task>
</Tasks>
</file>

<file path=xl/documenttasks/documenttask2.xml><?xml version="1.0" encoding="utf-8"?>
<Tasks xmlns="http://schemas.microsoft.com/office/tasks/2019/documenttasks">
  <Task id="{08fa1b50-d604-4a4a-9b30-dbd31654aef2}">
    <Anchor>
      <Comment id="{6761a79a-fbfe-4819-bca4-0cc0f86fb362}"/>
    </Anchor>
    <History>
      <Event time="2025-09-24T19:33:44.00" id="{a27e180c-029d-4972-ae04-a8cf7497b7dd}">
        <Attribution userId="placeholder@email.com" userName="Taciana Felix Caciano" userProvider="google-sheets"/>
        <Anchor>
          <Comment id="{6761a79a-fbfe-4819-bca4-0cc0f86fb362}"/>
        </Anchor>
        <Create/>
      </Event>
      <Event time="2025-09-24T19:33:44.00" id="{0979b2d7-c6b4-4e6a-8ee8-27b0ed4db719}">
        <Attribution userId="placeholder@email.com" userName="Taciana Felix Caciano" userProvider="google-sheets"/>
        <Anchor>
          <Comment id="{6761a79a-fbfe-4819-bca4-0cc0f86fb362}"/>
        </Anchor>
        <Assign userId="ubsjardimcapela@cejam.org.br" userName="ubsjardimcapela@cejam.org.br" userProvider="google-sheets"/>
      </Event>
    </History>
  </Task>
</Tasks>
</file>

<file path=xl/documenttasks/documenttask3.xml><?xml version="1.0" encoding="utf-8"?>
<Tasks xmlns="http://schemas.microsoft.com/office/tasks/2019/documenttasks">
  <Task id="{825f075d-7f78-4372-8367-18c954c8a3e9}">
    <Anchor>
      <Comment id="{e4487b36-d2af-4612-bb16-abb54d5da17c}"/>
    </Anchor>
    <History>
      <Event time="2025-10-28T17:40:31.00" id="{a47e2e52-ed9e-4e90-a462-0302bbed3511}">
        <Attribution userId="placeholder@email.com" userName="Taciana Felix Caciano" userProvider="google-sheets"/>
        <Anchor>
          <Comment id="{e4487b36-d2af-4612-bb16-abb54d5da17c}"/>
        </Anchor>
        <Create/>
      </Event>
      <Event time="2025-10-28T17:40:31.00" id="{949b2f31-32c9-4220-b40d-3a7b00cb7ee9}">
        <Attribution userId="placeholder@email.com" userName="Taciana Felix Caciano" userProvider="google-sheets"/>
        <Anchor>
          <Comment id="{e4487b36-d2af-4612-bb16-abb54d5da17c}"/>
        </Anchor>
        <Assign userId="amaubspqfernanda@cejam.org.br" userName="amaubspqfernanda@cejam.org.br" userProvider="google-sheets"/>
      </Event>
    </History>
  </Task>
  <Task id="{4bd43e0e-56ec-46c1-8d09-e4273bc7b006}">
    <Anchor>
      <Comment id="{fcfef3b3-ee8c-46a0-bbb7-e79c61080d39}"/>
    </Anchor>
    <History>
      <Event time="2025-11-11T11:33:14.00" id="{203cef6a-6194-4efd-b091-a5e122a7e820}">
        <Attribution userId="placeholder@email.com" userName="João Vitor Ferreira da Costa" userProvider="google-sheets"/>
        <Anchor>
          <Comment id="{fcfef3b3-ee8c-46a0-bbb7-e79c61080d39}"/>
        </Anchor>
        <Create/>
      </Event>
      <Event time="2025-11-11T11:33:14.00" id="{4a2c97ee-8863-4606-ac90-dd8403fcbcf2}">
        <Attribution userId="placeholder@email.com" userName="João Vitor Ferreira da Costa" userProvider="google-sheets"/>
        <Anchor>
          <Comment id="{fcfef3b3-ee8c-46a0-bbb7-e79c61080d39}"/>
        </Anchor>
        <Assign userId="ubs.paranapanema@cejam.org.br" userName="ubs.paranapanema@cejam.org.br" userProvider="google-sheets"/>
      </Event>
    </History>
  </Task>
  <Task id="{60afba11-112a-459e-8933-7d8f960e730a}">
    <Anchor>
      <Comment id="{e3956975-8868-4f5e-8dbb-90bbda2a70f6}"/>
    </Anchor>
    <History>
      <Event time="2025-10-28T17:40:25.00" id="{1b3ec26f-ac7b-4f55-9bb4-daaedfac6719}">
        <Attribution userId="placeholder@email.com" userName="Taciana Felix Caciano" userProvider="google-sheets"/>
        <Anchor>
          <Comment id="{e3956975-8868-4f5e-8dbb-90bbda2a70f6}"/>
        </Anchor>
        <Create/>
      </Event>
      <Event time="2025-10-28T17:40:25.00" id="{644c24aa-5183-48b8-b1fb-27f63e4967b7}">
        <Attribution userId="placeholder@email.com" userName="Taciana Felix Caciano" userProvider="google-sheets"/>
        <Anchor>
          <Comment id="{e3956975-8868-4f5e-8dbb-90bbda2a70f6}"/>
        </Anchor>
        <Assign userId="amaubspqfernanda@cejam.org.br" userName="amaubspqfernanda@cejam.org.br" userProvider="google-sheets"/>
      </Event>
    </History>
  </Task>
  <Task id="{4c899ea2-7fef-426e-bb68-c2cf6c5c138d}">
    <Anchor>
      <Comment id="{aecb7472-2df0-412e-90db-0eecc07186cc}"/>
    </Anchor>
    <History>
      <Event time="2025-10-28T17:39:31.00" id="{eea3049f-ef33-4d3d-8301-1dada1ac782d}">
        <Attribution userId="placeholder@email.com" userName="Taciana Felix Caciano" userProvider="google-sheets"/>
        <Anchor>
          <Comment id="{aecb7472-2df0-412e-90db-0eecc07186cc}"/>
        </Anchor>
        <Create/>
      </Event>
      <Event time="2025-10-28T17:39:31.00" id="{806cb132-20d9-4991-b491-e8151595e309}">
        <Attribution userId="placeholder@email.com" userName="Taciana Felix Caciano" userProvider="google-sheets"/>
        <Anchor>
          <Comment id="{aecb7472-2df0-412e-90db-0eecc07186cc}"/>
        </Anchor>
        <Assign userId="ubs.vilacalu@cejam.org.br" userName="ubs.vilacalu@cejam.org.br" userProvider="google-sheets"/>
      </Event>
    </History>
  </Task>
  <Task id="{3efe93c8-b75c-4eb1-b0a7-64d9c06d31cf}">
    <Anchor>
      <Comment id="{1cfa78fc-87d1-4f8a-81e4-b6f6de787b90}"/>
    </Anchor>
    <History>
      <Event time="2025-10-28T17:39:20.00" id="{a4887357-7f53-4313-80d6-06c04e42bdff}">
        <Attribution userId="placeholder@email.com" userName="Taciana Felix Caciano" userProvider="google-sheets"/>
        <Anchor>
          <Comment id="{1cfa78fc-87d1-4f8a-81e4-b6f6de787b90}"/>
        </Anchor>
        <Create/>
      </Event>
      <Event time="2025-10-28T17:39:20.00" id="{7fbbbb4f-1fd3-492b-aa6c-0ce87a584fff}">
        <Attribution userId="placeholder@email.com" userName="Taciana Felix Caciano" userProvider="google-sheets"/>
        <Anchor>
          <Comment id="{1cfa78fc-87d1-4f8a-81e4-b6f6de787b90}"/>
        </Anchor>
        <Assign userId="ubs.vilacalu@cejam.org.br" userName="ubs.vilacalu@cejam.org.br" userProvider="google-sheets"/>
      </Event>
    </History>
  </Task>
  <Task id="{ea502cd9-248c-4eae-a123-fa2733d40577}">
    <Anchor>
      <Comment id="{f0821423-fa95-471e-bb9f-0b004167bcc7}"/>
    </Anchor>
    <History>
      <Event time="2025-10-28T17:38:44.00" id="{e8d0662d-b5a7-4cdf-863d-b0da82b2a4e2}">
        <Attribution userId="placeholder@email.com" userName="Taciana Felix Caciano" userProvider="google-sheets"/>
        <Anchor>
          <Comment id="{f0821423-fa95-471e-bb9f-0b004167bcc7}"/>
        </Anchor>
        <Create/>
      </Event>
      <Event time="2025-10-28T17:38:44.00" id="{4ceea6c1-795d-410f-b0c6-b3487346b16b}">
        <Attribution userId="placeholder@email.com" userName="Taciana Felix Caciano" userProvider="google-sheets"/>
        <Anchor>
          <Comment id="{f0821423-fa95-471e-bb9f-0b004167bcc7}"/>
        </Anchor>
        <Assign userId="ubs.vilacalu@cejam.org.br" userName="ubs.vilacalu@cejam.org.br" userProvider="google-sheets"/>
      </Event>
    </History>
  </Task>
  <Task id="{ee81e2ff-b543-4419-a886-9ccefdeffc66}">
    <Anchor>
      <Comment id="{957f7c03-270a-480d-9f72-3d50a58f4609}"/>
    </Anchor>
    <History>
      <Event time="2025-10-28T17:36:02.00" id="{5c4965dd-b75b-495b-ba78-ad2e5c9ef589}">
        <Attribution userId="placeholder@email.com" userName="Taciana Felix Caciano" userProvider="google-sheets"/>
        <Anchor>
          <Comment id="{957f7c03-270a-480d-9f72-3d50a58f4609}"/>
        </Anchor>
        <Create/>
      </Event>
      <Event time="2025-10-28T17:36:02.00" id="{e9e883ef-144b-4466-bc3d-74816e5fa367}">
        <Attribution userId="placeholder@email.com" userName="Taciana Felix Caciano" userProvider="google-sheets"/>
        <Anchor>
          <Comment id="{957f7c03-270a-480d-9f72-3d50a58f4609}"/>
        </Anchor>
        <Assign userId="ubs.vilacalu@cejam.org.br" userName="ubs.vilacalu@cejam.org.br" userProvider="google-sheets"/>
      </Event>
    </History>
  </Task>
  <Task id="{e92095cb-5578-49cf-993f-418dcaecf286}">
    <Anchor>
      <Comment id="{75a4ce23-ed02-47db-b0c0-ee7d3bff5ede}"/>
    </Anchor>
    <History>
      <Event time="2025-10-28T17:35:22.00" id="{3bc05922-b118-4c04-bed8-9adc6615cb2e}">
        <Attribution userId="placeholder@email.com" userName="Taciana Felix Caciano" userProvider="google-sheets"/>
        <Anchor>
          <Comment id="{75a4ce23-ed02-47db-b0c0-ee7d3bff5ede}"/>
        </Anchor>
        <Create/>
      </Event>
      <Event time="2025-10-28T17:35:22.00" id="{b49ee2e9-3a88-4e40-bf3b-a6aeedd87d7a}">
        <Attribution userId="placeholder@email.com" userName="Taciana Felix Caciano" userProvider="google-sheets"/>
        <Anchor>
          <Comment id="{75a4ce23-ed02-47db-b0c0-ee7d3bff5ede}"/>
        </Anchor>
        <Assign userId="ubs.vilacalu@cejam.org.br" userName="ubs.vilacalu@cejam.org.br" userProvider="google-sheets"/>
      </Event>
    </History>
  </Task>
  <Task id="{fe6a7633-5e48-4623-92d8-4d6c84c5eeb3}">
    <Anchor>
      <Comment id="{caf5b833-1107-4f84-aac8-0a0333c2caac}"/>
    </Anchor>
    <History>
      <Event time="2025-10-28T18:53:40.00" id="{1d7cd319-bb82-40a4-b45f-163271be604a}">
        <Attribution userId="placeholder@email.com" userName="UBS Vila Calú" userProvider="google-sheets"/>
        <Anchor>
          <Comment id="{caf5b833-1107-4f84-aac8-0a0333c2caac}"/>
        </Anchor>
        <Create/>
      </Event>
      <Event time="2025-10-28T18:53:40.00" id="{a8bd8c6e-fd28-4f17-a589-854d943b020a}">
        <Attribution userId="placeholder@email.com" userName="UBS Vila Calú" userProvider="google-sheets"/>
        <Anchor>
          <Comment id="{caf5b833-1107-4f84-aac8-0a0333c2caac}"/>
        </Anchor>
        <Assign userId="taciana.caciano@cejam.org.br" userName="taciana.caciano@cejam.org.br" userProvider="google-sheets"/>
      </Event>
    </History>
  </Task>
  <Task id="{23b998bd-3f04-45dd-a805-0fe153a635f9}">
    <Anchor>
      <Comment id="{37c3378f-c9c4-47f4-9e0f-ae3a76566c56}"/>
    </Anchor>
    <History>
      <Event time="2025-11-12T18:05:11.00" id="{06a12e1d-83c3-4bb4-9cec-795e992d77e1}">
        <Attribution userId="placeholder@email.com" userName="Aryane Santos Pimenta" userProvider="google-sheets"/>
        <Anchor>
          <Comment id="{37c3378f-c9c4-47f4-9e0f-ae3a76566c56}"/>
        </Anchor>
        <Create/>
      </Event>
      <Event time="2025-11-12T18:05:11.00" id="{29a54373-13d8-4584-b968-d68af288b218}">
        <Attribution userId="placeholder@email.com" userName="Aryane Santos Pimenta" userProvider="google-sheets"/>
        <Anchor>
          <Comment id="{37c3378f-c9c4-47f4-9e0f-ae3a76566c56}"/>
        </Anchor>
        <Assign userId="ubsvalquiria@cejam.org.br" userName="ubsvalquiria@cejam.org.br" userProvider="google-sheets"/>
      </Event>
    </History>
  </Task>
  <Task id="{4cc66289-ffb8-44eb-b10e-224f12aefe72}">
    <Anchor>
      <Comment id="{198d698e-e206-43dc-ae0c-ff2a7d421a61}"/>
    </Anchor>
    <History>
      <Event time="2025-11-12T18:04:19.00" id="{7bc1c47a-4d86-4153-bc11-e69d7edd95ba}">
        <Attribution userId="placeholder@email.com" userName="Aryane Santos Pimenta" userProvider="google-sheets"/>
        <Anchor>
          <Comment id="{198d698e-e206-43dc-ae0c-ff2a7d421a61}"/>
        </Anchor>
        <Create/>
      </Event>
      <Event time="2025-11-12T18:04:19.00" id="{09f4ace6-37d6-4e05-90e3-ef0a39d79d98}">
        <Attribution userId="placeholder@email.com" userName="Aryane Santos Pimenta" userProvider="google-sheets"/>
        <Anchor>
          <Comment id="{198d698e-e206-43dc-ae0c-ff2a7d421a61}"/>
        </Anchor>
        <Assign userId="ubscomercial@cejam.org.br" userName="ubscomercial@cejam.org.br" userProvider="google-sheets"/>
      </Event>
    </History>
  </Task>
  <Task id="{8e39e87f-c87b-4c44-9be1-6c745adcd782}">
    <Anchor>
      <Comment id="{8ebfc407-17a8-4d86-aa6e-fa1c9dc2c8a7}"/>
    </Anchor>
    <History>
      <Event time="2025-10-28T17:44:46.00" id="{dabf2967-89ae-46f8-907a-4a43dd97cd7f}">
        <Attribution userId="placeholder@email.com" userName="Taciana Felix Caciano" userProvider="google-sheets"/>
        <Anchor>
          <Comment id="{8ebfc407-17a8-4d86-aa6e-fa1c9dc2c8a7}"/>
        </Anchor>
        <Create/>
      </Event>
      <Event time="2025-10-28T17:44:46.00" id="{082fff9b-e0a2-477e-a753-2ddf4e9d3c7a}">
        <Attribution userId="placeholder@email.com" userName="Taciana Felix Caciano" userProvider="google-sheets"/>
        <Anchor>
          <Comment id="{8ebfc407-17a8-4d86-aa6e-fa1c9dc2c8a7}"/>
        </Anchor>
        <Assign userId="ubseledy@cejam.org.br" userName="ubseledy@cejam.org.br" userProvider="google-sheets"/>
      </Event>
    </History>
  </Task>
  <Task id="{5116186e-9c69-4b73-a61d-e76c425334d0}">
    <Anchor>
      <Comment id="{bd6e1318-f788-4032-9777-076c9077824e}"/>
    </Anchor>
    <History>
      <Event time="2025-10-28T17:44:09.00" id="{aa64b0ca-5929-452e-af26-8e6b4b2b8636}">
        <Attribution userId="placeholder@email.com" userName="Taciana Felix Caciano" userProvider="google-sheets"/>
        <Anchor>
          <Comment id="{bd6e1318-f788-4032-9777-076c9077824e}"/>
        </Anchor>
        <Create/>
      </Event>
      <Event time="2025-10-28T17:44:09.00" id="{7208e2e9-2ad8-42e8-a343-0b134ad681ef}">
        <Attribution userId="placeholder@email.com" userName="Taciana Felix Caciano" userProvider="google-sheets"/>
        <Anchor>
          <Comment id="{bd6e1318-f788-4032-9777-076c9077824e}"/>
        </Anchor>
        <Assign userId="ubscomercial@cejam.org.br" userName="ubscomercial@cejam.org.br" userProvider="google-sheets"/>
      </Event>
    </History>
  </Task>
  <Task id="{73d08333-d73a-44ad-9f53-8842d9648b3c}">
    <Anchor>
      <Comment id="{41ae43a1-aa73-4da8-80c6-2de62d3346fe}"/>
    </Anchor>
    <History>
      <Event time="2025-10-28T17:43:43.00" id="{e2affcf1-cb07-48bb-b66e-128239bb1e05}">
        <Attribution userId="placeholder@email.com" userName="Taciana Felix Caciano" userProvider="google-sheets"/>
        <Anchor>
          <Comment id="{41ae43a1-aa73-4da8-80c6-2de62d3346fe}"/>
        </Anchor>
        <Create/>
      </Event>
      <Event time="2025-10-28T17:43:43.00" id="{ab0cf15b-9c37-4b76-aa07-5aefd6ef86ea}">
        <Attribution userId="placeholder@email.com" userName="Taciana Felix Caciano" userProvider="google-sheets"/>
        <Anchor>
          <Comment id="{41ae43a1-aa73-4da8-80c6-2de62d3346fe}"/>
        </Anchor>
        <Assign userId="ubscomercial@cejam.org.br" userName="ubscomercial@cejam.org.br" userProvider="google-sheets"/>
      </Event>
    </History>
  </Task>
  <Task id="{0a1e562f-9838-4474-b498-e947d349cedc}">
    <Anchor>
      <Comment id="{e4000520-a3dd-4bc1-87ef-437d56cd4bfc}"/>
    </Anchor>
    <History>
      <Event time="2025-10-28T17:40:40.00" id="{4bd154f1-ac7c-4378-8539-0bce2c52965d}">
        <Attribution userId="placeholder@email.com" userName="Taciana Felix Caciano" userProvider="google-sheets"/>
        <Anchor>
          <Comment id="{e4000520-a3dd-4bc1-87ef-437d56cd4bfc}"/>
        </Anchor>
        <Create/>
      </Event>
      <Event time="2025-10-28T17:40:40.00" id="{c21d8501-57e5-4f24-bffa-e4a96229a92d}">
        <Attribution userId="placeholder@email.com" userName="Taciana Felix Caciano" userProvider="google-sheets"/>
        <Anchor>
          <Comment id="{e4000520-a3dd-4bc1-87ef-437d56cd4bfc}"/>
        </Anchor>
        <Assign userId="ubseledy@cejam.org.br" userName="ubseledy@cejam.org.br" userProvider="google-sheets"/>
      </Event>
    </History>
  </Task>
  <Task id="{1e4cdb41-98c8-4a8a-beb8-c5495b7543cc}">
    <Anchor>
      <Comment id="{a4275790-1144-44f1-b95f-b4d0fac66b50}"/>
    </Anchor>
    <History>
      <Event time="2025-11-05T20:01:55.00" id="{d0879722-94fb-4bcf-b125-bfb30e3218be}">
        <Attribution userId="placeholder@email.com" userName="Erica Santos de Souza" userProvider="google-sheets"/>
        <Anchor>
          <Comment id="{a4275790-1144-44f1-b95f-b4d0fac66b50}"/>
        </Anchor>
        <Create/>
      </Event>
      <Event time="2025-11-05T20:01:55.00" id="{3c0ea0e7-77aa-42d3-9710-a32864d4a17a}">
        <Attribution userId="placeholder@email.com" userName="Erica Santos de Souza" userProvider="google-sheets"/>
        <Anchor>
          <Comment id="{a4275790-1144-44f1-b95f-b4d0fac66b50}"/>
        </Anchor>
        <Assign userId="ubsgermania@cejam.org.br" userName="ubsgermania@cejam.org.br" userProvider="google-sheets"/>
      </Event>
    </History>
  </Task>
  <Task id="{5a8e7418-08af-4b33-bde9-5089c88692ab}">
    <Anchor>
      <Comment id="{cee3662e-53e3-4065-a23b-980d4e77de79}"/>
    </Anchor>
    <History>
      <Event time="2025-10-28T17:34:13.00" id="{d30933e2-6d4b-41a3-ad5f-85563c0f8241}">
        <Attribution userId="placeholder@email.com" userName="Taciana Felix Caciano" userProvider="google-sheets"/>
        <Anchor>
          <Comment id="{cee3662e-53e3-4065-a23b-980d4e77de79}"/>
        </Anchor>
        <Create/>
      </Event>
      <Event time="2025-10-28T17:34:13.00" id="{134bcde9-4c68-4d45-babb-09ca78131441}">
        <Attribution userId="placeholder@email.com" userName="Taciana Felix Caciano" userProvider="google-sheets"/>
        <Anchor>
          <Comment id="{cee3662e-53e3-4065-a23b-980d4e77de79}"/>
        </Anchor>
        <Assign userId="amaubspqfernanda@cejam.org.br" userName="amaubspqfernanda@cejam.org.br" userProvider="google-sheets"/>
      </Event>
    </History>
  </Task>
  <Task id="{3ee8e311-fd9d-4eb4-b55f-1680a42297c1}">
    <Anchor>
      <Comment id="{79caebd2-0069-49fb-a2ad-cfbac0452ed3}"/>
    </Anchor>
    <History>
      <Event time="2025-11-12T18:06:40.00" id="{e6bd853e-ff42-431e-b4a2-25d9601016f3}">
        <Attribution userId="placeholder@email.com" userName="Aryane Santos Pimenta" userProvider="google-sheets"/>
        <Anchor>
          <Comment id="{79caebd2-0069-49fb-a2ad-cfbac0452ed3}"/>
        </Anchor>
        <Create/>
      </Event>
      <Event time="2025-11-12T18:06:40.00" id="{139b2f54-a53f-40c4-ac2c-c770a3ea6714}">
        <Attribution userId="placeholder@email.com" userName="Aryane Santos Pimenta" userProvider="google-sheets"/>
        <Anchor>
          <Comment id="{79caebd2-0069-49fb-a2ad-cfbac0452ed3}"/>
        </Anchor>
        <Assign userId="ubs.paranapanema@cejam.org.br" userName="ubs.paranapanema@cejam.org.br" userProvider="google-sheets"/>
      </Event>
    </History>
  </Task>
  <Task id="{079cdc00-5e64-49dd-bd8e-c79796e2f505}">
    <Anchor>
      <Comment id="{2996e47b-8f9c-4bcd-95f1-82576ab95d4c}"/>
    </Anchor>
    <History>
      <Event time="2025-10-28T17:35:06.00" id="{1df4efb5-7a83-4ca9-b26e-604b9881ecd4}">
        <Attribution userId="placeholder@email.com" userName="Taciana Felix Caciano" userProvider="google-sheets"/>
        <Anchor>
          <Comment id="{2996e47b-8f9c-4bcd-95f1-82576ab95d4c}"/>
        </Anchor>
        <Create/>
      </Event>
      <Event time="2025-10-28T17:35:06.00" id="{8cf6aef7-7c37-4de9-9a3e-075e179b71f0}">
        <Attribution userId="placeholder@email.com" userName="Taciana Felix Caciano" userProvider="google-sheets"/>
        <Anchor>
          <Comment id="{2996e47b-8f9c-4bcd-95f1-82576ab95d4c}"/>
        </Anchor>
        <Assign userId="ubs.santalucia@cejam.org.br" userName="ubs.santalucia@cejam.org.br" userProvider="google-sheets"/>
      </Event>
    </History>
  </Task>
  <Task id="{2f8467c2-7fae-4eb6-bcde-5d3ec6787b43}">
    <Anchor>
      <Comment id="{d143d1f5-a97d-487d-9dfc-fb8a4a4a8595}"/>
    </Anchor>
    <History>
      <Event time="2025-11-18T14:47:30.00" id="{c82fb47f-d186-47a6-af3b-29a554fc46d5}">
        <Attribution userId="placeholder@email.com" userName="Aryane Santos Pimenta" userProvider="google-sheets"/>
        <Anchor>
          <Comment id="{d143d1f5-a97d-487d-9dfc-fb8a4a4a8595}"/>
        </Anchor>
        <Create/>
      </Event>
      <Event time="2025-11-18T14:47:30.00" id="{b89f0c56-8a11-4a49-beed-e846f1062351}">
        <Attribution userId="placeholder@email.com" userName="Aryane Santos Pimenta" userProvider="google-sheets"/>
        <Anchor>
          <Comment id="{d143d1f5-a97d-487d-9dfc-fb8a4a4a8595}"/>
        </Anchor>
        <Assign userId="ubssaobento@cejam.org.br" userName="ubssaobento@cejam.org.br" userProvider="google-sheets"/>
      </Event>
    </History>
  </Task>
  <Task id="{d3888d60-3207-4642-8d89-699e390517d2}">
    <Anchor>
      <Comment id="{563c33ca-d60d-4def-be23-d49706c51737}"/>
    </Anchor>
    <History>
      <Event time="2025-11-11T11:47:29.00" id="{74d388cb-b093-465e-a614-ae37e5d1a28e}">
        <Attribution userId="placeholder@email.com" userName="João Vitor Ferreira da Costa" userProvider="google-sheets"/>
        <Anchor>
          <Comment id="{563c33ca-d60d-4def-be23-d49706c51737}"/>
        </Anchor>
        <Create/>
      </Event>
      <Event time="2025-11-11T11:47:29.00" id="{2f82af78-ffd3-4232-b058-f5625acef066}">
        <Attribution userId="placeholder@email.com" userName="João Vitor Ferreira da Costa" userProvider="google-sheets"/>
        <Anchor>
          <Comment id="{563c33ca-d60d-4def-be23-d49706c51737}"/>
        </Anchor>
        <Assign userId="ubsaracati@cejam.org.br" userName="ubsaracati@cejam.org.br" userProvider="google-sheets"/>
      </Event>
    </History>
  </Task>
  <Task id="{e39c931a-6f32-4209-981a-aaa2c1d3665e}">
    <Anchor>
      <Comment id="{33620c5c-ff4f-4638-a384-c5222fb6f632}"/>
    </Anchor>
    <History>
      <Event time="2025-11-13T13:35:12.00" id="{d1f305a2-abf7-44f8-a69c-cd544b2f3ffc}">
        <Attribution userId="placeholder@email.com" userName="Erica Santos de Souza" userProvider="google-sheets"/>
        <Anchor>
          <Comment id="{33620c5c-ff4f-4638-a384-c5222fb6f632}"/>
        </Anchor>
        <Create/>
      </Event>
      <Event time="2025-11-13T13:35:12.00" id="{50494e2c-d940-47e9-8177-7d9c354b2755}">
        <Attribution userId="placeholder@email.com" userName="Erica Santos de Souza" userProvider="google-sheets"/>
        <Anchor>
          <Comment id="{33620c5c-ff4f-4638-a384-c5222fb6f632}"/>
        </Anchor>
        <Assign userId="ubsveracruz@cejam.org.br" userName="ubsveracruz@cejam.org.br" userProvider="google-sheets"/>
      </Event>
    </History>
  </Task>
  <Task id="{5c6ff6cd-651f-408b-ae7c-1f77796d7414}">
    <Anchor>
      <Comment id="{394546ea-ae0b-4df7-a58d-915c326f05cb}"/>
    </Anchor>
    <History>
      <Event time="2025-10-28T17:34:59.00" id="{2cd9d2c3-c056-48aa-a172-537d69e2a103}">
        <Attribution userId="placeholder@email.com" userName="Taciana Felix Caciano" userProvider="google-sheets"/>
        <Anchor>
          <Comment id="{394546ea-ae0b-4df7-a58d-915c326f05cb}"/>
        </Anchor>
        <Create/>
      </Event>
      <Event time="2025-10-28T17:34:59.00" id="{c22c46f7-8112-4213-b23c-5f7056d64c77}">
        <Attribution userId="placeholder@email.com" userName="Taciana Felix Caciano" userProvider="google-sheets"/>
        <Anchor>
          <Comment id="{394546ea-ae0b-4df7-a58d-915c326f05cb}"/>
        </Anchor>
        <Assign userId="ubs.santalucia@cejam.org.br" userName="ubs.santalucia@cejam.org.br" userProvider="google-sheets"/>
      </Event>
    </History>
  </Task>
  <Task id="{8708c9d6-765b-4898-ab7c-b6c11d3910cb}">
    <Anchor>
      <Comment id="{20e8dea0-1a68-4549-9d11-4dfb20dfe4de}"/>
    </Anchor>
    <History>
      <Event time="2025-11-11T11:50:00.00" id="{ea5fdc89-c520-4f4c-a636-82e5ab1ee024}">
        <Attribution userId="placeholder@email.com" userName="João Vitor Ferreira da Costa" userProvider="google-sheets"/>
        <Anchor>
          <Comment id="{20e8dea0-1a68-4549-9d11-4dfb20dfe4de}"/>
        </Anchor>
        <Create/>
      </Event>
      <Event time="2025-11-11T11:50:00.00" id="{bd02e8a1-ba12-45d1-aab5-96d00b89776a}">
        <Attribution userId="placeholder@email.com" userName="João Vitor Ferreira da Costa" userProvider="google-sheets"/>
        <Anchor>
          <Comment id="{20e8dea0-1a68-4549-9d11-4dfb20dfe4de}"/>
        </Anchor>
        <Assign userId="ubseledy@cejam.org.br" userName="ubseledy@cejam.org.br" userProvider="google-sheets"/>
      </Event>
    </History>
  </Task>
  <Task id="{af184ccb-5bbd-42bf-b026-1307c1333c2c}">
    <Anchor>
      <Comment id="{8024b520-1bfc-474f-84b3-d899d433cbbe}"/>
    </Anchor>
    <History>
      <Event time="2025-11-18T14:39:18.00" id="{3f6010b1-c51b-4e20-ba83-7958cb0e423e}">
        <Attribution userId="placeholder@email.com" userName="Aryane Santos Pimenta" userProvider="google-sheets"/>
        <Anchor>
          <Comment id="{8024b520-1bfc-474f-84b3-d899d433cbbe}"/>
        </Anchor>
        <Create/>
      </Event>
      <Event time="2025-11-18T14:39:18.00" id="{8dcdb5eb-590f-451d-90ba-e782a40b5843}">
        <Attribution userId="placeholder@email.com" userName="Aryane Santos Pimenta" userProvider="google-sheets"/>
        <Anchor>
          <Comment id="{8024b520-1bfc-474f-84b3-d899d433cbbe}"/>
        </Anchor>
        <Assign userId="amaubspqfernanda@cejam.org.br" userName="amaubspqfernanda@cejam.org.br" userProvider="google-sheets"/>
      </Event>
    </History>
  </Task>
  <Task id="{74723a5b-0e89-4784-86fb-0fe54e0a5540}">
    <Anchor>
      <Comment id="{45301aee-c19f-4d29-af99-e521f8133c6b}"/>
    </Anchor>
    <History>
      <Event time="2025-11-12T18:35:58.00" id="{d2ca5806-e355-4801-9c40-b14ba2ec00a8}">
        <Attribution userId="placeholder@email.com" userName="Aryane Santos Pimenta" userProvider="google-sheets"/>
        <Anchor>
          <Comment id="{45301aee-c19f-4d29-af99-e521f8133c6b}"/>
        </Anchor>
        <Create/>
      </Event>
      <Event time="2025-11-12T18:35:58.00" id="{5e522d92-4ad0-4831-a70e-fec66ce609c9}">
        <Attribution userId="placeholder@email.com" userName="Aryane Santos Pimenta" userProvider="google-sheets"/>
        <Anchor>
          <Comment id="{45301aee-c19f-4d29-af99-e521f8133c6b}"/>
        </Anchor>
        <Assign userId="ubsvalquiria@cejam.org.br" userName="ubsvalquiria@cejam.org.br" userProvider="google-sheets"/>
      </Event>
    </History>
  </Task>
  <Task id="{42fa9b6c-d8d3-45ae-81f3-4966041b7d19}">
    <Anchor>
      <Comment id="{29ff63ad-e0c4-4082-b9f1-4f69723278fe}"/>
    </Anchor>
    <History>
      <Event time="2025-11-11T11:37:08.00" id="{65aef7ae-493e-4f5d-a219-728accee9a23}">
        <Attribution userId="placeholder@email.com" userName="João Vitor Ferreira da Costa" userProvider="google-sheets"/>
        <Anchor>
          <Comment id="{29ff63ad-e0c4-4082-b9f1-4f69723278fe}"/>
        </Anchor>
        <Create/>
      </Event>
      <Event time="2025-11-11T11:37:08.00" id="{67f2342d-3ae7-4dd9-8fd3-edda51d67463}">
        <Attribution userId="placeholder@email.com" userName="João Vitor Ferreira da Costa" userProvider="google-sheets"/>
        <Anchor>
          <Comment id="{29ff63ad-e0c4-4082-b9f1-4f69723278fe}"/>
        </Anchor>
        <Assign userId="ubs.jdcaicara@cejam.org.br" userName="ubs.jdcaicara@cejam.org.br" userProvider="google-sheets"/>
      </Event>
    </History>
  </Task>
  <Task id="{9e283d13-c829-4e61-99f4-dd3a996fd2ae}">
    <Anchor>
      <Comment id="{3cb40523-fd97-49d4-afec-a283373d8114}"/>
    </Anchor>
    <History>
      <Event time="2025-11-05T20:03:18.00" id="{e7f101ce-bd67-4324-b071-e2c5d950c777}">
        <Attribution userId="placeholder@email.com" userName="Erica Santos de Souza" userProvider="google-sheets"/>
        <Anchor>
          <Comment id="{3cb40523-fd97-49d4-afec-a283373d8114}"/>
        </Anchor>
        <Create/>
      </Event>
      <Event time="2025-11-05T20:03:18.00" id="{949a55a0-8673-4561-b396-aafa6ee0adc1}">
        <Attribution userId="placeholder@email.com" userName="Erica Santos de Souza" userProvider="google-sheets"/>
        <Anchor>
          <Comment id="{3cb40523-fd97-49d4-afec-a283373d8114}"/>
        </Anchor>
        <Assign userId="ubscomercial@cejam.org.br" userName="ubscomercial@cejam.org.br" userProvider="google-sheets"/>
      </Event>
    </History>
  </Task>
  <Task id="{8aa7228f-bcb2-4208-815d-11b4a1147616}">
    <Anchor>
      <Comment id="{565da216-a7d8-460d-80a7-ca667bb99b83}"/>
    </Anchor>
    <History>
      <Event time="2025-11-05T20:02:29.00" id="{0eea1e61-107c-44e8-b249-418bf97a50f2}">
        <Attribution userId="placeholder@email.com" userName="Erica Santos de Souza" userProvider="google-sheets"/>
        <Anchor>
          <Comment id="{565da216-a7d8-460d-80a7-ca667bb99b83}"/>
        </Anchor>
        <Create/>
      </Event>
      <Event time="2025-11-05T20:02:29.00" id="{71aa32f3-021e-43a1-89d9-55e7bc9e5625}">
        <Attribution userId="placeholder@email.com" userName="Erica Santos de Souza" userProvider="google-sheets"/>
        <Anchor>
          <Comment id="{565da216-a7d8-460d-80a7-ca667bb99b83}"/>
        </Anchor>
        <Assign userId="ubsluardosertao@cejam.org.br" userName="ubsluardosertao@cejam.org.br" userProvider="google-sheets"/>
      </Event>
    </History>
  </Task>
  <Task id="{8de15c98-a3aa-4b06-a803-29961f154161}">
    <Anchor>
      <Comment id="{2960368a-454b-4113-86dc-3845804f1611}"/>
    </Anchor>
    <History>
      <Event time="2025-11-14T16:58:02.00" id="{5bdd44bd-daa0-491b-a964-53508d792d1a}">
        <Attribution userId="placeholder@email.com" userName="Aryane Santos Pimenta" userProvider="google-sheets"/>
        <Anchor>
          <Comment id="{2960368a-454b-4113-86dc-3845804f1611}"/>
        </Anchor>
        <Create/>
      </Event>
      <Event time="2025-11-14T16:58:02.00" id="{d424a91f-fc4e-4ab0-bb60-3cc27aa2ad1d}">
        <Attribution userId="placeholder@email.com" userName="Aryane Santos Pimenta" userProvider="google-sheets"/>
        <Anchor>
          <Comment id="{2960368a-454b-4113-86dc-3845804f1611}"/>
        </Anchor>
        <Assign userId="ubsmaraca@cejam.org.br" userName="ubsmaraca@cejam.org.br" userProvider="google-sheets"/>
      </Event>
    </History>
  </Task>
  <Task id="{c7a229c5-14f0-4aee-9145-e5c952e0744c}">
    <Anchor>
      <Comment id="{57e694e1-9260-4788-bc49-8a33e7d1cb00}"/>
    </Anchor>
    <History>
      <Event time="2025-11-18T14:35:09.00" id="{feb1d993-8208-458b-b2bf-3e9ebc1a59f0}">
        <Attribution userId="placeholder@email.com" userName="Aryane Santos Pimenta" userProvider="google-sheets"/>
        <Anchor>
          <Comment id="{57e694e1-9260-4788-bc49-8a33e7d1cb00}"/>
        </Anchor>
        <Create/>
      </Event>
      <Event time="2025-11-18T14:35:09.00" id="{af9d5fb3-7fc3-40b4-a1fe-f06eeae55e24}">
        <Attribution userId="placeholder@email.com" userName="Aryane Santos Pimenta" userProvider="google-sheets"/>
        <Anchor>
          <Comment id="{57e694e1-9260-4788-bc49-8a33e7d1cb00}"/>
        </Anchor>
        <Assign userId="amaubspqfernanda@cejam.org.br" userName="amaubspqfernanda@cejam.org.br" userProvider="google-sheets"/>
      </Event>
    </History>
  </Task>
  <Task id="{d6f24493-f2a9-4e92-8ddb-ab7bfe9a9b29}">
    <Anchor>
      <Comment id="{ad2b001e-6d00-4a4e-a7d3-65afc51aec3f}"/>
    </Anchor>
    <History>
      <Event time="2025-11-14T17:11:55.00" id="{1390abb8-5f64-443f-ba24-3464608a48bd}">
        <Attribution userId="placeholder@email.com" userName="Aryane Santos Pimenta" userProvider="google-sheets"/>
        <Anchor>
          <Comment id="{ad2b001e-6d00-4a4e-a7d3-65afc51aec3f}"/>
        </Anchor>
        <Create/>
      </Event>
      <Event time="2025-11-14T17:11:55.00" id="{cceea1f9-ddd6-47be-9301-826e1e50c522}">
        <Attribution userId="placeholder@email.com" userName="Aryane Santos Pimenta" userProvider="google-sheets"/>
        <Anchor>
          <Comment id="{ad2b001e-6d00-4a4e-a7d3-65afc51aec3f}"/>
        </Anchor>
        <Assign userId="ubscomercial@cejam.org.br" userName="ubscomercial@cejam.org.br" userProvider="google-sheets"/>
      </Event>
    </History>
  </Task>
  <Task id="{8718a814-00ff-432a-9902-8b63c474f6c9}">
    <Anchor>
      <Comment id="{85132207-20fb-4154-a12e-70b0f5b225d2}"/>
    </Anchor>
    <History>
      <Event time="2025-11-14T16:57:43.00" id="{a575b3bf-26a6-4125-a784-1a98c1991f4d}">
        <Attribution userId="placeholder@email.com" userName="Aryane Santos Pimenta" userProvider="google-sheets"/>
        <Anchor>
          <Comment id="{85132207-20fb-4154-a12e-70b0f5b225d2}"/>
        </Anchor>
        <Create/>
      </Event>
      <Event time="2025-11-14T16:57:43.00" id="{9ddff012-bcd8-41b1-b3a5-4e22031235c4}">
        <Attribution userId="placeholder@email.com" userName="Aryane Santos Pimenta" userProvider="google-sheets"/>
        <Anchor>
          <Comment id="{85132207-20fb-4154-a12e-70b0f5b225d2}"/>
        </Anchor>
        <Assign userId="ubsmaraca@cejam.org.br" userName="ubsmaraca@cejam.org.br" userProvider="google-sheets"/>
      </Event>
    </History>
  </Task>
  <Task id="{36020981-2908-44c7-89ea-53524ab137f5}">
    <Anchor>
      <Comment id="{0edcec18-8314-482b-9e79-75e4e6379e72}"/>
    </Anchor>
    <History>
      <Event time="2025-11-18T14:52:08.00" id="{4da63325-fb80-43bb-84a0-9e4122b35742}">
        <Attribution userId="placeholder@email.com" userName="Aryane Santos Pimenta" userProvider="google-sheets"/>
        <Anchor>
          <Comment id="{0edcec18-8314-482b-9e79-75e4e6379e72}"/>
        </Anchor>
        <Create/>
      </Event>
      <Event time="2025-11-18T14:52:08.00" id="{bc86fcea-21b9-457a-befb-58055c77e881}">
        <Attribution userId="placeholder@email.com" userName="Aryane Santos Pimenta" userProvider="google-sheets"/>
        <Anchor>
          <Comment id="{0edcec18-8314-482b-9e79-75e4e6379e72}"/>
        </Anchor>
        <Assign userId="ubsjardimcapela@cejam.org.br" userName="ubsjardimcapela@cejam.org.br" userProvider="google-sheets"/>
      </Event>
    </History>
  </Task>
  <Task id="{03979b85-75c0-4d49-93bd-57b9569061d0}">
    <Anchor>
      <Comment id="{50600191-804a-4c81-a8c6-f4c3f7f302b1}"/>
    </Anchor>
    <History>
      <Event time="2025-11-14T17:11:22.00" id="{2e73d778-6113-47dd-84dc-42167683c879}">
        <Attribution userId="placeholder@email.com" userName="Aryane Santos Pimenta" userProvider="google-sheets"/>
        <Anchor>
          <Comment id="{50600191-804a-4c81-a8c6-f4c3f7f302b1}"/>
        </Anchor>
        <Create/>
      </Event>
      <Event time="2025-11-14T17:11:22.00" id="{d869a5ae-227f-41d2-8ba3-8b61f4e08381}">
        <Attribution userId="placeholder@email.com" userName="Aryane Santos Pimenta" userProvider="google-sheets"/>
        <Anchor>
          <Comment id="{50600191-804a-4c81-a8c6-f4c3f7f302b1}"/>
        </Anchor>
        <Assign userId="ubscomercial@cejam.org.br" userName="ubscomercial@cejam.org.br" userProvider="google-sheets"/>
      </Event>
    </History>
  </Task>
  <Task id="{d24bbefa-b7bd-40e8-8944-19ffb1ab0be5}">
    <Anchor>
      <Comment id="{05e686fc-a49f-4a0e-91cb-5a701bcb094a}"/>
    </Anchor>
    <History>
      <Event time="2025-11-14T17:11:02.00" id="{07d80d29-679c-4158-a6e1-2fe314896af2}">
        <Attribution userId="placeholder@email.com" userName="Aryane Santos Pimenta" userProvider="google-sheets"/>
        <Anchor>
          <Comment id="{05e686fc-a49f-4a0e-91cb-5a701bcb094a}"/>
        </Anchor>
        <Create/>
      </Event>
      <Event time="2025-11-14T17:11:02.00" id="{a5a8dd54-66c6-413c-8c55-4bf23a0798af}">
        <Attribution userId="placeholder@email.com" userName="Aryane Santos Pimenta" userProvider="google-sheets"/>
        <Anchor>
          <Comment id="{05e686fc-a49f-4a0e-91cb-5a701bcb094a}"/>
        </Anchor>
        <Assign userId="ubscomercial@cejam.org.br" userName="ubscomercial@cejam.org.br" userProvider="google-sheets"/>
      </Event>
    </History>
  </Task>
  <Task id="{db7c0b1e-0ef5-4a9d-9ea0-51b5366ecb8f}">
    <Anchor>
      <Comment id="{e4a30b86-8fb7-480b-ad75-bc353314a814}"/>
    </Anchor>
    <History>
      <Event time="2025-10-28T18:58:23.00" id="{9b0d6857-7082-4212-80fb-69d944686cbc}">
        <Attribution userId="placeholder@email.com" userName="Taciana Felix Caciano" userProvider="google-sheets"/>
        <Anchor>
          <Comment id="{e4a30b86-8fb7-480b-ad75-bc353314a814}"/>
        </Anchor>
        <Create/>
      </Event>
      <Event time="2025-10-28T18:58:23.00" id="{c3f8f5b9-0431-43b2-9dbf-ecd87cd8ad8d}">
        <Attribution userId="placeholder@email.com" userName="Taciana Felix Caciano" userProvider="google-sheets"/>
        <Anchor>
          <Comment id="{e4a30b86-8fb7-480b-ad75-bc353314a814}"/>
        </Anchor>
        <Assign userId="amaubspqfernanda@cejam.org.br" userName="amaubspqfernanda@cejam.org.br" userProvider="google-sheets"/>
      </Event>
    </History>
  </Task>
  <Task id="{e18bb105-a6c7-40c2-8f79-f8f033e2292c}">
    <Anchor>
      <Comment id="{7bb00fd7-0307-43ae-b46e-35af888eacd3}"/>
    </Anchor>
    <History>
      <Event time="2025-11-18T14:53:40.00" id="{0febf215-d9fb-4f6e-8b84-1864f92fbc75}">
        <Attribution userId="placeholder@email.com" userName="Aryane Santos Pimenta" userProvider="google-sheets"/>
        <Anchor>
          <Comment id="{7bb00fd7-0307-43ae-b46e-35af888eacd3}"/>
        </Anchor>
        <Create/>
      </Event>
      <Event time="2025-11-18T14:53:40.00" id="{8c90fd28-0802-4a3a-8e3f-22bb116e9949}">
        <Attribution userId="placeholder@email.com" userName="Aryane Santos Pimenta" userProvider="google-sheets"/>
        <Anchor>
          <Comment id="{7bb00fd7-0307-43ae-b46e-35af888eacd3}"/>
        </Anchor>
        <Assign userId="ubscomercial@cejam.org.br" userName="ubscomercial@cejam.org.br" userProvider="google-sheets"/>
      </Event>
    </History>
  </Task>
  <Task id="{ce0531e2-9db5-4c41-9dcc-533819c119dc}">
    <Anchor>
      <Comment id="{7141f230-e080-4a85-9f8c-e2ac4f7a4a98}"/>
    </Anchor>
    <History>
      <Event time="2025-11-18T14:48:31.00" id="{3461fad2-af0b-4939-b775-e1689322ce3b}">
        <Attribution userId="placeholder@email.com" userName="Aryane Santos Pimenta" userProvider="google-sheets"/>
        <Anchor>
          <Comment id="{7141f230-e080-4a85-9f8c-e2ac4f7a4a98}"/>
        </Anchor>
        <Create/>
      </Event>
      <Event time="2025-11-18T14:48:31.00" id="{8de23f31-6e2c-4970-938f-f6f7a792d446}">
        <Attribution userId="placeholder@email.com" userName="Aryane Santos Pimenta" userProvider="google-sheets"/>
        <Anchor>
          <Comment id="{7141f230-e080-4a85-9f8c-e2ac4f7a4a98}"/>
        </Anchor>
        <Assign userId="ubssaobento@cejam.org.br" userName="ubssaobento@cejam.org.br" userProvider="google-sheets"/>
      </Event>
    </History>
  </Task>
  <Task id="{edc35122-5c8d-4320-9bcb-fc201434bd6f}">
    <Anchor>
      <Comment id="{5c94f31e-59ac-4ceb-bd3a-0fb5b446ac1a}"/>
    </Anchor>
    <History>
      <Event time="2025-11-14T16:58:59.00" id="{83941011-09aa-433a-84ca-7d152035aff4}">
        <Attribution userId="placeholder@email.com" userName="Aryane Santos Pimenta" userProvider="google-sheets"/>
        <Anchor>
          <Comment id="{5c94f31e-59ac-4ceb-bd3a-0fb5b446ac1a}"/>
        </Anchor>
        <Create/>
      </Event>
      <Event time="2025-11-14T16:58:59.00" id="{40ea2791-7b76-4ce6-9c12-aa4bc56486a5}">
        <Attribution userId="placeholder@email.com" userName="Aryane Santos Pimenta" userProvider="google-sheets"/>
        <Anchor>
          <Comment id="{5c94f31e-59ac-4ceb-bd3a-0fb5b446ac1a}"/>
        </Anchor>
        <Assign userId="ubsmaraca@cejam.org.br" userName="ubsmaraca@cejam.org.br" userProvider="google-sheets"/>
      </Event>
    </History>
  </Task>
  <Task id="{f3a16cdb-815c-416f-87a3-fa7429128ea7}">
    <Anchor>
      <Comment id="{be36cbe2-a80e-4b7c-bd78-8d1d7978fa3b}"/>
    </Anchor>
    <History>
      <Event time="2025-11-06T14:59:36.00" id="{41d76866-7c4b-4402-93c9-96bde8a61611}">
        <Attribution userId="placeholder@email.com" userName="Aryane Santos Pimenta" userProvider="google-sheets"/>
        <Anchor>
          <Comment id="{be36cbe2-a80e-4b7c-bd78-8d1d7978fa3b}"/>
        </Anchor>
        <Create/>
      </Event>
      <Event time="2025-11-06T14:59:36.00" id="{e0e647fe-3507-4c61-be9d-5431251c20a0}">
        <Attribution userId="placeholder@email.com" userName="Aryane Santos Pimenta" userProvider="google-sheets"/>
        <Anchor>
          <Comment id="{be36cbe2-a80e-4b7c-bd78-8d1d7978fa3b}"/>
        </Anchor>
        <Assign userId="ubs.paranapanema@cejam.org.br" userName="ubs.paranapanema@cejam.org.br" userProvider="google-sheets"/>
      </Event>
    </History>
  </Task>
  <Task id="{644370a8-dbf5-4636-86c9-cda3c26baf16}">
    <Anchor>
      <Comment id="{e02d502f-347f-4ebe-a1eb-ebfff9162bde}"/>
    </Anchor>
    <History>
      <Event time="2025-11-14T16:58:19.00" id="{b9b00c05-ea4c-4169-9db1-2c272ff3ea4d}">
        <Attribution userId="placeholder@email.com" userName="Aryane Santos Pimenta" userProvider="google-sheets"/>
        <Anchor>
          <Comment id="{e02d502f-347f-4ebe-a1eb-ebfff9162bde}"/>
        </Anchor>
        <Create/>
      </Event>
      <Event time="2025-11-14T16:58:19.00" id="{29003119-9a26-4be6-a8a4-64b738097fbd}">
        <Attribution userId="placeholder@email.com" userName="Aryane Santos Pimenta" userProvider="google-sheets"/>
        <Anchor>
          <Comment id="{e02d502f-347f-4ebe-a1eb-ebfff9162bde}"/>
        </Anchor>
        <Assign userId="ubsmaraca@cejam.org.br" userName="ubsmaraca@cejam.org.br" userProvider="google-sheets"/>
      </Event>
    </History>
  </Task>
</Tasks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>
  <Task id="{bcb20c48-b34a-4bf9-bcd5-3efcb05f7335}">
    <Anchor>
      <Comment id="{1922fd4e-a9b6-4849-b4d4-016aff6d97a8}"/>
    </Anchor>
    <History>
      <Event time="2025-09-24T19:32:51.00" id="{6e2c2038-cef7-4eb1-85e1-f3d45e6d6ca3}">
        <Attribution userId="placeholder@email.com" userName="Taciana Felix Caciano" userProvider="google-sheets"/>
        <Anchor>
          <Comment id="{1922fd4e-a9b6-4849-b4d4-016aff6d97a8}"/>
        </Anchor>
        <Create/>
      </Event>
      <Event time="2025-09-24T19:32:51.00" id="{1965ca57-29c0-4134-ab4c-48c9879d8403}">
        <Attribution userId="placeholder@email.com" userName="Taciana Felix Caciano" userProvider="google-sheets"/>
        <Anchor>
          <Comment id="{1922fd4e-a9b6-4849-b4d4-016aff6d97a8}"/>
        </Anchor>
        <Assign userId="ubseledy@cejam.org.br" userName="ubseledy@cejam.org.br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bsmaraca@cejam.org.br" id="{be94098c-565f-40e3-8e2b-168c08ee10fb}" userId="ubsmaraca@cejam.org.br" providerId="google-sheets"/>
  <x18tc:person displayName="UBS Jardim Maracá" id="{0c3d7064-8ff9-480b-9457-97a000f0cbac}" providerId="google-sheets"/>
  <x18tc:person displayName="ubsparquedoengenho@cejam.org.br" id="{b78e4719-b27d-4a61-a1ec-d96ebc5bfaff}" userId="ubsparquedoengenho@cejam.org.br" providerId="google-sheets"/>
  <x18tc:person displayName="UBS Jardim Herculano" id="{94eb5335-2826-4297-8447-831fd9e17036}" providerId="google-sheets"/>
  <x18tc:person displayName="ubs.santalucia@cejam.org.br" id="{8088a5e4-f76b-4c31-8356-932705cf92cd}" userId="ubs.santalucia@cejam.org.br" providerId="google-sheets"/>
  <x18tc:person displayName="ubssaobento@cejam.org.br" id="{9ed1f745-a7e4-4559-9942-d2026bedb8fe}" userId="ubssaobento@cejam.org.br" providerId="google-sheets"/>
  <x18tc:person displayName="taciana.caciano@cejam.org.br" id="{e9e24025-0135-40bc-8371-f2476e58caee}" userId="taciana.caciano@cejam.org.br" providerId="google-sheets"/>
  <x18tc:person displayName="ubs.jdherculano@cejam.org.br" id="{b9808bd7-87f2-4ec5-974f-44e8b313513b}" userId="ubs.jdherculano@cejam.org.br" providerId="google-sheets"/>
  <x18tc:person displayName="Erica Santos de Souza" id="{cc1662e0-73b9-43d7-8cf0-9686c35eca92}" providerId="google-sheets"/>
  <x18tc:person displayName="Aryane Santos Pimenta" id="{93b269c0-4553-4b14-afa4-861c131f49b6}" providerId="google-sheets"/>
  <x18tc:person displayName="UBS Jardim Caiçara" id="{dbc02118-a1d8-4449-94f3-0ef6e7164610}" providerId="google-sheets"/>
  <x18tc:person displayName="UBS Parque do Engenho" id="{817b309f-e696-43c5-b30a-0e5d01bc1801}" providerId="google-sheets"/>
  <x18tc:person displayName="UBS Horizonte Azul" id="{4c44551d-b944-40d9-a407-1fd4cc3a66c5}" providerId="google-sheets"/>
  <x18tc:person displayName="UBS Jardim São Bento" id="{bee86a89-0510-450f-86d9-42cab4cc0fe6}" providerId="google-sheets"/>
  <x18tc:person displayName="UBS Vila Calú" id="{54dbd69d-229c-465c-9376-7697fdcacb80}" providerId="google-sheets"/>
  <x18tc:person displayName="Viviane Pressi Moreira" id="{6bf6b27b-ca53-4dcb-adab-ec21cc9c5fd7}" providerId="google-sheets"/>
  <x18tc:person displayName="UBS Jardim Eledy" id="{116ca1be-8764-4d8f-9a03-cabe29e08259}" providerId="google-sheets"/>
  <x18tc:person displayName="ubsvalquiria@cejam.org.br" id="{3308e1f5-9f79-46f0-ad86-6a6f7436844c}" userId="ubsvalquiria@cejam.org.br" providerId="google-sheets"/>
  <x18tc:person displayName="UBS Jardim Comercial" id="{32d2eae2-30ee-4b7a-b7ba-56cb7ec56f1d}" providerId="google-sheets"/>
  <x18tc:person displayName="ubs.jdguaruja@cejam.org.br" id="{3d284860-4d82-4aff-a397-bd2e303a3596}" userId="ubs.jdguaruja@cejam.org.br" providerId="google-sheets"/>
  <x18tc:person displayName="ubsmacedonia@cejam.org.br" id="{1836d12c-431c-446d-9b07-3fe30729544d}" userId="ubsmacedonia@cejam.org.br" providerId="google-sheets"/>
  <x18tc:person displayName="ubs.vilacalu@cejam.org.brexpand" id="{825ace14-a688-4e68-b46a-948f8291321f}" userId="ubs.vilacalu@cejam.org.brexpand" providerId="google-sheets"/>
  <x18tc:person displayName="ubsmagdalena@cejam.org.br" id="{f4bfc1a8-c2d0-4b45-bdd7-6dd0e712d9a8}" userId="ubsmagdalena@cejam.org.br" providerId="google-sheets"/>
  <x18tc:person displayName="João Vitor Ferreira da Costa" id="{c9b25987-e1a8-4bfc-95a9-a58f8682c145}" providerId="google-sheets"/>
  <x18tc:person displayName="UBS Jardim Guarujá" id="{02c28855-b5c5-4c8a-91fc-a33d286dd4fe}" providerId="google-sheets"/>
  <x18tc:person displayName="ubscomercial@cejam.org.br" id="{f67fc7a1-07ac-47f0-8962-1a22b0682ef8}" userId="ubscomercial@cejam.org.br" providerId="google-sheets"/>
  <x18tc:person displayName="AMA UBS Parque Fernanda" id="{dfd67e61-42a2-415f-8de9-c52d2842c4d2}" providerId="google-sheets"/>
  <x18tc:person displayName="AMA/UBS Jardim Capela" id="{86a2ee7e-8e38-4c76-bc35-8f488c1414ac}" providerId="google-sheets"/>
  <x18tc:person displayName="ubsveracruz@cejam.org.br" id="{59c42d87-7f3f-47ac-afe6-02a4ecf5ea7e}" userId="ubsveracruz@cejam.org.br" providerId="google-sheets"/>
  <x18tc:person displayName="ubs.paranapanema@cejam.org.br" id="{8d02da16-0574-4ca6-a2a1-ecb998d76d4f}" userId="ubs.paranapanema@cejam.org.br" providerId="google-sheets"/>
  <x18tc:person displayName="ubsjardimcapela@cejam.org.br" id="{c313c91c-86ea-4ff9-b3ae-6a925e7b701a}" userId="ubsjardimcapela@cejam.org.br" providerId="google-sheets"/>
  <x18tc:person displayName="Taciana Felix Caciano" id="{76f138a9-9786-40c1-8295-36f009f1c354}" providerId="google-sheets"/>
  <x18tc:person displayName="ubshorizonteazul@cejam.org.br" id="{200ca7e3-6742-4f53-950e-cc52c3cae088}" userId="ubshorizonteazul@cejam.org.br" providerId="google-sheets"/>
  <x18tc:person displayName="ubseledy@cejam.org.br" id="{a1166811-751b-4d92-a9a4-777d02331616}" userId="ubseledy@cejam.org.br" providerId="google-sheets"/>
  <x18tc:person displayName="ubsgermania@cejam.org.br" id="{4acfce7f-b36f-4488-a46f-0b6f6f85b588}" userId="ubsgermania@cejam.org.br" providerId="google-sheets"/>
  <x18tc:person displayName="ubs.altodariviera@cejam.org.br" id="{c3e92ff4-a09a-4335-8080-8b10e13aa0a7}" userId="ubs.altodariviera@cejam.org.br" providerId="google-sheets"/>
  <x18tc:person displayName="UBS Alto da Riviera" id="{64d35046-807b-4a53-897f-00fe5e1a5f6c}" providerId="google-sheets"/>
  <x18tc:person displayName="amaubspqfernanda@cejam.org.br" id="{6a0cd700-780c-45c2-bf33-717751de6f73}" userId="amaubspqfernanda@cejam.org.br" providerId="google-sheets"/>
  <x18tc:person displayName="UBS Santa Lúcia" id="{5a75f96a-5e59-4de0-b2a5-fa4c992868bb}" providerId="google-sheets"/>
  <x18tc:person displayName="ubsaracati@cejam.org.br" id="{7cca1088-60f7-4dca-9a85-531b3e7ad299}" userId="ubsaracati@cejam.org.br" providerId="google-sheets"/>
  <x18tc:person displayName="ubs.sta.margarida@cejam.org.br" id="{96662810-1c6f-4e2b-925b-da915e8ddd70}" userId="ubs.sta.margarida@cejam.org.br" providerId="google-sheets"/>
  <x18tc:person displayName="ubs.jdcaicara@cejam.org.br" id="{b26978a7-f52b-406c-b913-25320fbb141a}" userId="ubs.jdcaicara@cejam.org.br" providerId="google-sheets"/>
  <x18tc:person displayName="UBS Jardim Paranapanema" id="{f4327e05-0dff-4032-a21f-14ecb110a9e3}" providerId="google-sheets"/>
  <x18tc:person displayName="ubsluardosertao@cejam.org.br" id="{e9443fd5-8f13-4c17-98d8-5562e92bdcab}" userId="ubsluardosertao@cejam.org.br" providerId="google-sheets"/>
  <x18tc:person displayName="ubs.vilacalu@cejam.org.br" id="{6db7b8b6-144f-47a5-ac6f-0f9fc94d4f16}" userId="ubs.vilacalu@cejam.org.br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" dT="2025-10-10T13:30:43.00" personId="{93b269c0-4553-4b14-afa4-861c131f49b6}" id="{4c27ea80-0ec1-44d0-945f-946d28eba372}" done="1">
    <x18tc:text xml:space="preserve">Prezados, boa tarde.
Conforme alinhado na reunião de ontem, peço que realizem o agendamento dos pacientes no SIGA com a maior brevidade possível @ubscomercial@cejam.org.br</x18tc:text>
    <x18tc:mentions>
      <x18tc:mention mentionpersonId="{f67fc7a1-07ac-47f0-8962-1a22b0682ef8}" mentionId="{c8104250-fc1b-471b-a017-c0a7b0aba237}" startIndex="146" length="26"/>
    </x18tc:mentions>
  </x18tc:threadedComment>
  <x18tc:threadedComment ref="G11" dT="2025-10-10T16:04:31.00" personId="{93b269c0-4553-4b14-afa4-861c131f49b6}" id="{acf8f0b7-101b-4297-ad6f-fccced239739}" done="1">
    <x18tc:text xml:space="preserve">Prezados, boa tarde.
Conforme alinhado na reunião de ontem, peço que realizem o agendamento dos pacientes no SIGA com a maior brevidade possível @ubsvalquiria@cejam.org.br</x18tc:text>
    <x18tc:mentions>
      <x18tc:mention mentionpersonId="{3308e1f5-9f79-46f0-ad86-6a6f7436844c}" mentionId="{b24a15c0-e7eb-46e5-8408-08cca3afbea8}" startIndex="146" length="26"/>
    </x18tc:mentions>
  </x18tc:threadedComment>
  <x18tc:threadedComment ref="G234" dT="2025-10-21T17:48:50.00" personId="{93b269c0-4553-4b14-afa4-861c131f49b6}" id="{893e1196-e5a1-4c24-9b07-78dcfd7ef0fd}" done="1">
    <x18tc:text xml:space="preserve">Agendar paciente no siga @ubs.santalucia@cejam.org.br</x18tc:text>
    <x18tc:mentions>
      <x18tc:mention mentionpersonId="{8088a5e4-f76b-4c31-8356-932705cf92cd}" mentionId="{cfee64a2-a6fd-45c2-814a-cf8cf5a46c16}" startIndex="25" length="28"/>
    </x18tc:mentions>
  </x18tc:threadedComment>
  <x18tc:threadedComment ref="G231" dT="2025-10-21T17:48:14.00" personId="{93b269c0-4553-4b14-afa4-861c131f49b6}" id="{66e3310c-47e0-453a-b33c-6983391c89c0}" done="0">
    <x18tc:text xml:space="preserve">Agendar paciente no siga @ubsparquedoengenho@cejam.org.br</x18tc:text>
    <x18tc:mentions>
      <x18tc:mention mentionpersonId="{b78e4719-b27d-4a61-a1ec-d96ebc5bfaff}" mentionId="{dc995a81-b7d6-418f-9590-fa842f008b5f}" startIndex="25" length="32"/>
    </x18tc:mentions>
  </x18tc:threadedComment>
  <x18tc:threadedComment ref="G231" dT="2025-10-23T11:50:37.00" personId="{817b309f-e696-43c5-b30a-0e5d01bc1801}" id="{48d2d939-b7ba-48b1-8d64-461cc1d0f830}" parentId="{66e3310c-47e0-453a-b33c-6983391c89c0}">
    <x18tc:text xml:space="preserve">Prezada, bom dia.
A paciente já esta agendada conforme solicitado.
Att: Taline Santos Reis
Aux.Tec.Administrativo</x18tc:text>
  </x18tc:threadedComment>
  <x18tc:threadedComment ref="G236" dT="2025-10-21T17:49:34.00" personId="{93b269c0-4553-4b14-afa4-861c131f49b6}" id="{e2373cd7-6761-4e2a-ae4c-f82e1cb1deb7}" done="1">
    <x18tc:text xml:space="preserve">Agendar paciente no siga @ubs.jdherculano@cejam.org.br</x18tc:text>
    <x18tc:mentions>
      <x18tc:mention mentionpersonId="{b9808bd7-87f2-4ec5-974f-44e8b313513b}" mentionId="{6ce147b9-cb4a-4116-b45c-bb77a745863c}" startIndex="25" length="29"/>
    </x18tc:mentions>
  </x18tc:threadedComment>
  <x18tc:threadedComment ref="G6" dT="2025-10-10T16:03:57.00" personId="{93b269c0-4553-4b14-afa4-861c131f49b6}" id="{5d0ffc40-0db0-4391-913d-f7c1e8797da9}" done="1">
    <x18tc:text xml:space="preserve">Prezados, boa tarde.
Conforme alinhado na reunião de ontem, peço que realizem o agendamento dos pacientes no SIGA com a maior brevidade possível @ubseledy@cejam.org.br</x18tc:text>
    <x18tc:mentions>
      <x18tc:mention mentionpersonId="{a1166811-751b-4d92-a9a4-777d02331616}" mentionId="{2e2a6eb5-da6f-4d3d-8fc1-0446ca1dede8}" startIndex="146" length="22"/>
    </x18tc:mentions>
  </x18tc:threadedComment>
  <x18tc:threadedComment ref="G6" dT="2025-10-13T09:29:48.00" personId="{32d2eae2-30ee-4b7a-b7ba-56cb7ec56f1d}" id="{5a325adb-53dc-4f32-9cfb-ee3f3cad1da0}" parentId="{5d0ffc40-0db0-4391-913d-f7c1e8797da9}">
    <x18tc:text xml:space="preserve">Marcada como resolvida</x18tc:text>
  </x18tc:threadedComment>
  <x18tc:threadedComment ref="G6" dT="2025-10-13T10:30:35.00" personId="{116ca1be-8764-4d8f-9a03-cabe29e08259}" id="{c5a85383-5fed-4f83-9d90-aa26ff225a18}" parentId="{5d0ffc40-0db0-4391-913d-f7c1e8797da9}">
    <x18tc:text xml:space="preserve">Pacientes agendados pelo Siga
Reaberta</x18tc:text>
  </x18tc:threadedComment>
  <x18tc:threadedComment ref="G87" dT="2025-10-14T19:32:41.00" personId="{93b269c0-4553-4b14-afa4-861c131f49b6}" id="{072ed909-aca1-461e-9240-d89762061bed}" done="1">
    <x18tc:text xml:space="preserve">COLOCAR PACIENTE NA VAGA DO SIGA @ubscomercial@cejam.org.br</x18tc:text>
    <x18tc:mentions>
      <x18tc:mention mentionpersonId="{f67fc7a1-07ac-47f0-8962-1a22b0682ef8}" mentionId="{60f8dac2-838c-4bc0-91ba-a86d71b56b95}" startIndex="33" length="26"/>
    </x18tc:mentions>
  </x18tc:threadedComment>
  <x18tc:threadedComment ref="E167" dT="2025-10-16T21:38:14.00" personId="{93b269c0-4553-4b14-afa4-861c131f49b6}" id="{d048765b-6a48-43b0-aed4-f955f67f0bf4}" done="1">
    <x18tc:text xml:space="preserve">Por favor, preencher corretamente a planilha @ubsgermania@cejam.org.br
Atribuído a ubsgermania@cejam.org.br</x18tc:text>
    <x18tc:mentions>
      <x18tc:mention mentionpersonId="{4acfce7f-b36f-4488-a46f-0b6f6f85b588}" mentionId="{4184573f-0bf5-48c7-abd6-79fd19a547ed}" startIndex="45" length="25"/>
    </x18tc:mentions>
  </x18tc:threadedComment>
  <x18tc:threadedComment ref="B236" dT="2025-10-21T14:48:07.00" personId="{76f138a9-9786-40c1-8295-36f009f1c354}" id="{7477663e-6092-4944-8f2e-3d33b4180523}" done="1">
    <x18tc:text xml:space="preserve">@ubs.jdherculano@cejam.org.br 
Prezados, bom dia.
Pedimos a gentileza de inserir o paciente no SIGA.
Atribuído a ubs.jdherculano@cejam.org.br</x18tc:text>
    <x18tc:mentions>
      <x18tc:mention mentionpersonId="{b9808bd7-87f2-4ec5-974f-44e8b313513b}" mentionId="{f0a5cb96-3dc2-44c2-a54f-ed27fa94f41a}" startIndex="0" length="29"/>
    </x18tc:mentions>
  </x18tc:threadedComment>
  <x18tc:threadedComment ref="B236" dT="2025-10-21T14:55:16.00" personId="{94eb5335-2826-4297-8447-831fd9e17036}" id="{7b620721-a678-4e1c-8a89-9f6aecadfa40}" parentId="{7477663e-6092-4944-8f2e-3d33b4180523}">
    <x18tc:text xml:space="preserve">Inserindo.</x18tc:text>
  </x18tc:threadedComment>
  <x18tc:threadedComment ref="B238" dT="2025-10-21T14:48:29.00" personId="{76f138a9-9786-40c1-8295-36f009f1c354}" id="{f3887fbc-6ec0-4eba-8be5-c39eca048278}" done="0">
    <x18tc:text xml:space="preserve">@ubs.santalucia@cejam.org.br 
Prezados, bom dia.
Pedimos a gentileza de inserir o paciente no SIGA.</x18tc:text>
    <x18tc:mentions>
      <x18tc:mention mentionpersonId="{8088a5e4-f76b-4c31-8356-932705cf92cd}" mentionId="{19a48658-bcbf-419b-b06d-5eed29abc923}" startIndex="0" length="28"/>
    </x18tc:mentions>
  </x18tc:threadedComment>
  <x18tc:threadedComment ref="B234" dT="2025-10-21T14:47:43.00" personId="{76f138a9-9786-40c1-8295-36f009f1c354}" id="{8820697e-7a56-41ff-a04e-af7bde20ed98}" done="1">
    <x18tc:text xml:space="preserve">@ubs.santalucia@cejam.org.br 
Prezados, bom dia.
Pedimos a gentileza de inserir o paciente no SIGA.
Atribuído a ubs.santalucia@cejam.org.br</x18tc:text>
    <x18tc:mentions>
      <x18tc:mention mentionpersonId="{8088a5e4-f76b-4c31-8356-932705cf92cd}" mentionId="{a4452db5-c531-47bb-b1c7-c5fe628df468}" startIndex="0" length="28"/>
    </x18tc:mentions>
  </x18tc:threadedComment>
  <x18tc:threadedComment ref="B234" dT="2025-10-21T18:32:53.00" personId="{5a75f96a-5e59-4de0-b2a5-fa4c992868bb}" id="{7b48d63b-adee-4b34-a7bf-5ac7fdaa84a2}" parentId="{8820697e-7a56-41ff-a04e-af7bde20ed98}">
    <x18tc:text xml:space="preserve">Faremos a inserção. Obrigada</x18tc:text>
  </x18tc:threadedComment>
  <x18tc:threadedComment ref="B255" dT="2025-10-21T14:50:24.00" personId="{76f138a9-9786-40c1-8295-36f009f1c354}" id="{6975fc18-df4c-45d9-a0e4-989ced8f75a5}" done="0">
    <x18tc:text xml:space="preserve">@ubsaracati@cejam.org.br 
Prezados, bom dia.
Pedimos a gentileza de inserir o paciente no SIGA.
Atribuído a ubsaracati@cejam.org.br</x18tc:text>
    <x18tc:mentions>
      <x18tc:mention mentionpersonId="{7cca1088-60f7-4dca-9a85-531b3e7ad299}" mentionId="{c0de5dff-dfc3-46a0-b74e-ed751569a6d8}" startIndex="0" length="24"/>
    </x18tc:mentions>
  </x18tc:threadedComment>
  <x18tc:threadedComment ref="G164" dT="2025-10-17T13:24:04.00" personId="{93b269c0-4553-4b14-afa4-861c131f49b6}" id="{14cffd3d-2516-4a22-90d5-bdf529611627}" done="1">
    <x18tc:text xml:space="preserve">Agendar paciente no siga @ubsgermania@cejam.org.br
Atribuído a ubsgermania@cejam.org.br</x18tc:text>
    <x18tc:mentions>
      <x18tc:mention mentionpersonId="{4acfce7f-b36f-4488-a46f-0b6f6f85b588}" mentionId="{d6a18d1b-ac14-4c8f-a6bc-7257c2d96d4f}" startIndex="25" length="25"/>
    </x18tc:mentions>
  </x18tc:threadedComment>
  <x18tc:threadedComment ref="B250" dT="2025-10-21T14:49:20.00" personId="{76f138a9-9786-40c1-8295-36f009f1c354}" id="{b75e61c6-6ef0-45df-a3e2-139c207edce5}" done="1">
    <x18tc:text xml:space="preserve">@ubsmagdalena@cejam.org.br 
Prezados, bom dia.
Pedimos a gentileza de inserir o paciente no SIGA.
Atribuído a ubsmagdalena@cejam.org.br</x18tc:text>
    <x18tc:mentions>
      <x18tc:mention mentionpersonId="{f4bfc1a8-c2d0-4b45-bdd7-6dd0e712d9a8}" mentionId="{cfb4149e-5fae-4847-917c-edd019a39aa9}" startIndex="0" length="26"/>
    </x18tc:mentions>
  </x18tc:threadedComment>
  <x18tc:threadedComment ref="B251" dT="2025-10-21T14:49:33.00" personId="{76f138a9-9786-40c1-8295-36f009f1c354}" id="{d5a49ed8-d33e-4e61-b05d-a05b609dbaa5}" done="1">
    <x18tc:text xml:space="preserve">@ubsjardimcapela@cejam.org.br
Prezados, bom dia.
Pedimos a gentileza de inserir o paciente no SIGA.</x18tc:text>
    <x18tc:mentions>
      <x18tc:mention mentionpersonId="{c313c91c-86ea-4ff9-b3ae-6a925e7b701a}" mentionId="{83c3a75b-10ed-4d42-bf3d-a331bdc264d9}" startIndex="0" length="29"/>
    </x18tc:mentions>
  </x18tc:threadedComment>
  <x18tc:threadedComment ref="B251" dT="2025-10-21T23:09:00.00" personId="{86a2ee7e-8e38-4c76-bc35-8f488c1414ac}" id="{1048cef7-b08a-463f-b28d-101609480407}" parentId="{d5a49ed8-d33e-4e61-b05d-a05b609dbaa5}">
    <x18tc:text xml:space="preserve">Paciente inserido no SIGA</x18tc:text>
  </x18tc:threadedComment>
  <x18tc:threadedComment ref="B251" dT="2025-10-21T23:09:03.00" personId="{86a2ee7e-8e38-4c76-bc35-8f488c1414ac}" id="{49ccc9f6-1eae-47a4-91fe-bdcf7149c029}" parentId="{d5a49ed8-d33e-4e61-b05d-a05b609dbaa5}">
    <x18tc:text xml:space="preserve">Marcada como resolvida</x18tc:text>
  </x18tc:threadedComment>
  <x18tc:threadedComment ref="G162" dT="2025-10-17T13:23:07.00" personId="{93b269c0-4553-4b14-afa4-861c131f49b6}" id="{b107e2e1-692c-4131-9390-714b4c99df02}" done="1">
    <x18tc:text xml:space="preserve">Agendar paciente no siga @ubseledy@cejam.org.br</x18tc:text>
    <x18tc:mentions>
      <x18tc:mention mentionpersonId="{a1166811-751b-4d92-a9a4-777d02331616}" mentionId="{b23dfc01-7e23-406c-9fb8-e157e2b2d8d4}" startIndex="25" length="22"/>
    </x18tc:mentions>
  </x18tc:threadedComment>
  <x18tc:threadedComment ref="G162" dT="2025-10-17T14:03:54.00" personId="{116ca1be-8764-4d8f-9a03-cabe29e08259}" id="{cf9b8729-3917-4a4a-88c1-8b9b3ea7926f}" parentId="{b107e2e1-692c-4131-9390-714b4c99df02}">
    <x18tc:text xml:space="preserve">Paciente prefere atentedimento presencial</x18tc:text>
  </x18tc:threadedComment>
  <x18tc:threadedComment ref="B256" dT="2025-10-21T14:50:37.00" personId="{76f138a9-9786-40c1-8295-36f009f1c354}" id="{c53ddf03-a3b4-44f2-a014-59ec440169fa}" done="1">
    <x18tc:text xml:space="preserve">@ubsmagdalena@cejam.org.br 
Prezados, bom dia.
Pedimos a gentileza de inserir o paciente no SIGA.
Atribuído a ubsmagdalena@cejam.org.br</x18tc:text>
    <x18tc:mentions>
      <x18tc:mention mentionpersonId="{f4bfc1a8-c2d0-4b45-bdd7-6dd0e712d9a8}" mentionId="{7e896bf3-b365-4364-b96d-4296bdaa7334}" startIndex="0" length="26"/>
    </x18tc:mentions>
  </x18tc:threadedComment>
  <x18tc:threadedComment ref="G84" dT="2025-10-13T20:02:44.00" personId="{93b269c0-4553-4b14-afa4-861c131f49b6}" id="{d522dee2-4c96-44c7-8a63-619a16b4640d}" done="1">
    <x18tc:text xml:space="preserve">COLOCAR PACIENTE NA VAGA DO SIGA. @ubscomercial@cejam.org.br</x18tc:text>
    <x18tc:mentions>
      <x18tc:mention mentionpersonId="{f67fc7a1-07ac-47f0-8962-1a22b0682ef8}" mentionId="{60e462a2-579e-4554-8743-776c853a7ac2}" startIndex="34" length="26"/>
    </x18tc:mentions>
  </x18tc:threadedComment>
  <x18tc:threadedComment ref="B165" dT="2025-10-21T11:31:15.00" personId="{76f138a9-9786-40c1-8295-36f009f1c354}" id="{d23204e9-1edf-482b-bde9-0f29743a55ba}" done="1">
    <x18tc:text xml:space="preserve">@ubseledy@cejam.org.br Pedimos a gentileza de inserir todas as informações do paciente em questão, o não preenchimento acarretará na liberação da vaga para as demais unidades. Aguardamos retorno. Atenciosamente.
Atribuído a ubseledy@cejam.org.br</x18tc:text>
    <x18tc:mentions>
      <x18tc:mention mentionpersonId="{a1166811-751b-4d92-a9a4-777d02331616}" mentionId="{3de522e9-18db-433f-914f-a2813900aaf0}" startIndex="0" length="22"/>
    </x18tc:mentions>
  </x18tc:threadedComment>
  <x18tc:threadedComment ref="B165" dT="2025-10-21T11:41:53.00" personId="{116ca1be-8764-4d8f-9a03-cabe29e08259}" id="{168256eb-8d0f-40ab-91aa-b58723acb5ce}" parentId="{d23204e9-1edf-482b-bde9-0f29743a55ba}">
    <x18tc:text xml:space="preserve">Bom dia, Taci! Pode liberar a vaga, já apegamos as vagas pertinentes.</x18tc:text>
  </x18tc:threadedComment>
  <x18tc:threadedComment ref="G86" dT="2025-10-13T20:04:24.00" personId="{93b269c0-4553-4b14-afa4-861c131f49b6}" id="{ace0fd61-49af-49ea-9b1d-c9512638271d}" done="0">
    <x18tc:text xml:space="preserve">COLOCAR PACIENTE NA VAGA DO SIGA. @ubsvalquiria@cejam.org.br</x18tc:text>
    <x18tc:mentions>
      <x18tc:mention mentionpersonId="{3308e1f5-9f79-46f0-ad86-6a6f7436844c}" mentionId="{58cbec08-ae89-4a30-ae61-51a5ed1ff159}" startIndex="34" length="26"/>
    </x18tc:mentions>
  </x18tc:threadedComment>
  <x18tc:threadedComment ref="F162" dT="2025-10-17T13:03:49.00" personId="{93b269c0-4553-4b14-afa4-861c131f49b6}" id="{feefe0bf-4143-47ed-8521-1d3f94a4b378}" done="1">
    <x18tc:text xml:space="preserve">Prezados,
Solicito, por gentileza, que a planilha seja devidamente preenchida com os dados corretos do paciente.
@ubseledy@cejam.org.br
Atribuído a ubseledy@cejam.org.br</x18tc:text>
    <x18tc:mentions>
      <x18tc:mention mentionpersonId="{a1166811-751b-4d92-a9a4-777d02331616}" mentionId="{b2ddedb3-0721-44f7-9426-1e9768f753f5}" startIndex="113" length="22"/>
    </x18tc:mentions>
  </x18tc:threadedComment>
  <x18tc:threadedComment ref="F162" dT="2025-10-17T13:12:41.00" personId="{116ca1be-8764-4d8f-9a03-cabe29e08259}" id="{6b50a5af-72c8-47f3-a76e-201165dc20ed}" parentId="{feefe0bf-4143-47ed-8521-1d3f94a4b378}">
    <x18tc:text xml:space="preserve">Bom dia Feito preenchimento correto.obrigada</x18tc:text>
  </x18tc:threadedComment>
  <x18tc:threadedComment ref="E126" dT="2025-10-17T13:26:51.00" personId="{93b269c0-4553-4b14-afa4-861c131f49b6}" id="{83aa375d-a515-42e7-9628-abdc10db925e}" done="1">
    <x18tc:text xml:space="preserve">Agendar paciente no siga @ubsjardimcapela@cejam.org.br
Atribuído a ubsjardimcapela@cejam.org.br</x18tc:text>
    <x18tc:mentions>
      <x18tc:mention mentionpersonId="{c313c91c-86ea-4ff9-b3ae-6a925e7b701a}" mentionId="{80d36c25-885f-4456-9ba8-d45b1c55a89a}" startIndex="25" length="29"/>
    </x18tc:mentions>
  </x18tc:threadedComment>
  <x18tc:threadedComment ref="E126" dT="2025-10-20T16:03:01.00" personId="{86a2ee7e-8e38-4c76-bc35-8f488c1414ac}" id="{7491d35f-60d4-4010-8688-abf970154c81}" parentId="{83aa375d-a515-42e7-9628-abdc10db925e}">
    <x18tc:text xml:space="preserve">Pacientes inseridas no SIGA</x18tc:text>
  </x18tc:threadedComment>
  <x18tc:threadedComment ref="B252" dT="2025-10-24T12:38:52.00" personId="{cc1662e0-73b9-43d7-8cf0-9686c35eca92}" id="{662e3a06-1fdb-43bc-9ef0-2326c15ed04a}" done="1">
    <x18tc:text xml:space="preserve">@amaubspqfernanda@cejam.org.br 
Prezados, bom dia.
Pedimos a gentileza de inserir o paciente no SIGA.
Atribuído a amaubspqfernanda@cejam.org.br</x18tc:text>
    <x18tc:mentions>
      <x18tc:mention mentionpersonId="{6a0cd700-780c-45c2-bf33-717751de6f73}" mentionId="{3e228ea5-db68-4bb4-9e84-44985990ce73}" startIndex="0" length="30"/>
    </x18tc:mentions>
  </x18tc:threadedComment>
  <x18tc:threadedComment ref="B252" dT="2025-10-24T13:15:24.00" personId="{dfd67e61-42a2-415f-8de9-c52d2842c4d2}" id="{f2959921-ce6d-4bb9-b575-acb8b11354dc}" parentId="{662e3a06-1fdb-43bc-9ef0-2326c15ed04a}">
    <x18tc:text xml:space="preserve">Marcado como concluído</x18tc:text>
  </x18tc:threadedComment>
  <x18tc:threadedComment ref="B252" dT="2025-10-24T13:17:39.00" personId="{cc1662e0-73b9-43d7-8cf0-9686c35eca92}" id="{f0cdcdc7-c810-4c0b-8233-fd512b9b78d9}" parentId="{662e3a06-1fdb-43bc-9ef0-2326c15ed04a}">
    <x18tc:text xml:space="preserve">obrigado
Reaberta</x18tc:text>
  </x18tc:threadedComment>
  <x18tc:threadedComment ref="B234" dT="2025-10-24T12:34:34.00" personId="{cc1662e0-73b9-43d7-8cf0-9686c35eca92}" id="{b41ff0d4-7b4f-48dd-8140-1c4aa2c47386}" done="0">
    <x18tc:text xml:space="preserve">@ubs.santalucia@cejam.org.br 
Prezados, bom dia.
Pedimos a gentileza de inserir o paciente no SIGA.</x18tc:text>
    <x18tc:mentions>
      <x18tc:mention mentionpersonId="{8088a5e4-f76b-4c31-8356-932705cf92cd}" mentionId="{e77f85cb-c5d2-4510-89e1-5d54b3a2565e}" startIndex="0" length="28"/>
    </x18tc:mentions>
  </x18tc:threadedComment>
  <x18tc:threadedComment ref="B234" dT="2025-10-24T14:03:06.00" personId="{5a75f96a-5e59-4de0-b2a5-fa4c992868bb}" id="{bd32c702-7945-4825-b2dd-11b106934193}" parentId="{b41ff0d4-7b4f-48dd-8140-1c4aa2c47386}">
    <x18tc:text xml:space="preserve">bom dia! 
pacientes inseridos.</x18tc:text>
  </x18tc:threadedComment>
  <x18tc:threadedComment ref="B234" dT="2025-10-24T14:05:18.00" personId="{cc1662e0-73b9-43d7-8cf0-9686c35eca92}" id="{786d732f-7c48-40d4-ab44-b664f6d3a6c2}" parentId="{b41ff0d4-7b4f-48dd-8140-1c4aa2c47386}">
    <x18tc:text xml:space="preserve">Obrigada</x18tc:text>
  </x18tc:threadedComment>
  <x18tc:threadedComment ref="F167" dT="2025-10-17T13:24:44.00" personId="{93b269c0-4553-4b14-afa4-861c131f49b6}" id="{faf34e01-6556-467b-ba9c-0f404d7a196f}" done="1">
    <x18tc:text xml:space="preserve">agendar paciente no siga</x18tc:text>
  </x18tc:threadedComment>
  <x18tc:threadedComment ref="B233" dT="2025-10-24T12:32:51.00" personId="{cc1662e0-73b9-43d7-8cf0-9686c35eca92}" id="{2f7316c0-1c24-4097-9f13-ddd825ab7558}" done="0">
    <x18tc:text xml:space="preserve">@ubsjardimcapela@cejam.org.br
Prezados, bom dia.
Pedimos a gentileza de inserir o paciente no SIGA.
Atribuído a ubsjardimcapela@cejam.org.br</x18tc:text>
    <x18tc:mentions>
      <x18tc:mention mentionpersonId="{c313c91c-86ea-4ff9-b3ae-6a925e7b701a}" mentionId="{b893aded-7956-443c-b563-931590504b64}" startIndex="0" length="29"/>
    </x18tc:mentions>
  </x18tc:threadedComment>
  <x18tc:threadedComment ref="E123" dT="2025-10-17T13:26:13.00" personId="{93b269c0-4553-4b14-afa4-861c131f49b6}" id="{b521154a-7a41-4db1-a1f0-7fecbc3a91e9}" done="1">
    <x18tc:text xml:space="preserve">Agendar paciente no siga @ubsjardimcapela@cejam.org.br
Atribuído a ubsjardimcapela@cejam.org.br</x18tc:text>
    <x18tc:mentions>
      <x18tc:mention mentionpersonId="{c313c91c-86ea-4ff9-b3ae-6a925e7b701a}" mentionId="{5f60c1c5-2fcd-4ebc-94c2-bbf6f59c83c1}" startIndex="25" length="29"/>
    </x18tc:mentions>
  </x18tc:threadedComment>
  <x18tc:threadedComment ref="G230" dT="2025-10-21T17:47:43.00" personId="{93b269c0-4553-4b14-afa4-861c131f49b6}" id="{042f035f-c7f5-48a8-8a74-7c8f427cb121}" done="0">
    <x18tc:text xml:space="preserve">Agendar paciente no siga @ubsparquedoengenho@cejam.org.br</x18tc:text>
    <x18tc:mentions>
      <x18tc:mention mentionpersonId="{b78e4719-b27d-4a61-a1ec-d96ebc5bfaff}" mentionId="{599ec679-f6bf-4ee8-a606-d6d6c3528e7a}" startIndex="25" length="32"/>
    </x18tc:mentions>
  </x18tc:threadedComment>
  <x18tc:threadedComment ref="G230" dT="2025-10-23T11:50:28.00" personId="{817b309f-e696-43c5-b30a-0e5d01bc1801}" id="{2f37424f-d474-49e2-b31d-67542cdbb390}" parentId="{042f035f-c7f5-48a8-8a74-7c8f427cb121}">
    <x18tc:text xml:space="preserve">Prezada, bom dia.
A paciente já esta agendada conforme solicitado.
Att: Taline Santos Reis
Aux.Tec.Administrativo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9" dT="2025-09-24T19:33:44.00" personId="{76f138a9-9786-40c1-8295-36f009f1c354}" id="{6761a79a-fbfe-4819-bca4-0cc0f86fb362}" done="1">
    <x18tc:text xml:space="preserve">@ubsjardimcapela@cejam.org.br 
Favor inserir o motivo das faltas dos pacientes da especialidade
Atribuído a ubsjardimcapela@cejam.org.br</x18tc:text>
    <x18tc:mentions>
      <x18tc:mention mentionpersonId="{c313c91c-86ea-4ff9-b3ae-6a925e7b701a}" mentionId="{12d644d8-83bb-44a5-80c1-99f2c74b7eee}" startIndex="0" length="29"/>
    </x18tc:mentions>
  </x18tc:threadedComment>
  <x18tc:threadedComment ref="N9" dT="2025-09-24T19:55:23.00" personId="{86a2ee7e-8e38-4c76-bc35-8f488c1414ac}" id="{364952a9-08b4-4c60-a940-2f38a659be45}" parentId="{6761a79a-fbfe-4819-bca4-0cc0f86fb362}">
    <x18tc:text xml:space="preserve">Marcado como concluído</x18tc:text>
  </x18tc:threadedComment>
  <x18tc:threadedComment ref="N9" dT="2025-09-24T21:02:57.00" personId="{86a2ee7e-8e38-4c76-bc35-8f488c1414ac}" id="{6fa4e351-c259-475d-9bb8-f2085c373b3b}" parentId="{6761a79a-fbfe-4819-bca4-0cc0f86fb362}">
    <x18tc:text xml:space="preserve">Respondido
Reaberta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87" dT="2025-11-19T19:26:58.00" personId="{93b269c0-4553-4b14-afa4-861c131f49b6}" id="{6d8eb301-88b4-435d-bb69-f343543eb1d2}" done="0">
    <x18tc:text xml:space="preserve">Agendar paciente no siga @ubsvalquiria@cejam.org.br</x18tc:text>
    <x18tc:mentions>
      <x18tc:mention mentionpersonId="{3308e1f5-9f79-46f0-ad86-6a6f7436844c}" mentionId="{3f557459-0e4c-462c-98c1-6834bc39485d}" startIndex="25" length="26"/>
    </x18tc:mentions>
  </x18tc:threadedComment>
  <x18tc:threadedComment ref="B109" dT="2025-10-28T17:40:31.00" personId="{76f138a9-9786-40c1-8295-36f009f1c354}" id="{e4487b36-d2af-4612-bb16-abb54d5da17c}" done="1">
    <x18tc:text xml:space="preserve">@amaubspqfernanda@cejam.org.br 
Conforme orientação essas vagas são destinadas ao DA M'BOI MIRIM, pedimos que o paciente seja remanejado para os dias que correspondem ao DA CAMPO LIMPO.
Atribuído a amaubspqfernanda@cejam.org.br</x18tc:text>
    <x18tc:mentions>
      <x18tc:mention mentionpersonId="{6a0cd700-780c-45c2-bf33-717751de6f73}" mentionId="{26a43696-413f-4402-a929-ba845d65a75b}" startIndex="0" length="30"/>
    </x18tc:mentions>
  </x18tc:threadedComment>
  <x18tc:threadedComment ref="B165" dT="2025-11-11T11:33:14.00" personId="{c9b25987-e1a8-4bfc-95a9-a58f8682c145}" id="{fcfef3b3-ee8c-46a0-bbb7-e79c61080d39}" done="1">
    <x18tc:text xml:space="preserve">Bom dia.
Por favor, solicito que seja realizado o agendamento da paciente no SIGA.
@ubs.paranapanema@cejam.org.br
Atribuído a ubs.paranapanema@cejam.org.br</x18tc:text>
    <x18tc:mentions>
      <x18tc:mention mentionpersonId="{8d02da16-0574-4ca6-a2a1-ecb998d76d4f}" mentionId="{f8a2281e-5e9f-491d-b03e-94106a61fc61}" startIndex="84" length="30"/>
    </x18tc:mentions>
  </x18tc:threadedComment>
  <x18tc:threadedComment ref="B165" dT="2025-11-11T13:28:24.00" personId="{f4327e05-0dff-4032-a21f-14ecb110a9e3}" id="{7cd37fd3-a6c0-4522-91b0-fbfe2f2fd3df}" parentId="{fcfef3b3-ee8c-46a0-bbb7-e79c61080d39}">
    <x18tc:text xml:space="preserve">Paciente do dia 14/11 14:40 agendada.</x18tc:text>
  </x18tc:threadedComment>
  <x18tc:threadedComment ref="B114" dT="2025-10-28T17:40:25.00" personId="{76f138a9-9786-40c1-8295-36f009f1c354}" id="{e3956975-8868-4f5e-8dbb-90bbda2a70f6}" done="1">
    <x18tc:text xml:space="preserve">@amaubspqfernanda@cejam.org.br 
Conforme orientação essas vagas são destinadas ao DA M'BOI MIRIM, pedimos que o paciente seja remanejado para os dias que correspondem ao DA CAMPO LIMPO.
Atribuído a amaubspqfernanda@cejam.org.br</x18tc:text>
    <x18tc:mentions>
      <x18tc:mention mentionpersonId="{6a0cd700-780c-45c2-bf33-717751de6f73}" mentionId="{12a97661-584c-479f-9348-eee3dbadb9c1}" startIndex="0" length="30"/>
    </x18tc:mentions>
  </x18tc:threadedComment>
  <x18tc:threadedComment ref="B114" dT="2025-10-28T18:38:06.00" personId="{dfd67e61-42a2-415f-8de9-c52d2842c4d2}" id="{b9a832e3-6a72-4f23-81b8-8d9be17770cf}" parentId="{e3956975-8868-4f5e-8dbb-90bbda2a70f6}">
    <x18tc:text xml:space="preserve">OK! FAREI ISSO AGORA</x18tc:text>
  </x18tc:threadedComment>
  <x18tc:threadedComment ref="B178" dT="2025-10-28T17:39:31.00" personId="{76f138a9-9786-40c1-8295-36f009f1c354}" id="{aecb7472-2df0-412e-90db-0eecc07186cc}" done="1">
    <x18tc:text xml:space="preserve">@ubs.vilacalu@cejam.org.br 
Conforme orientação essas vagas são destinadas ao DA CAMPO LIMPO, pedimos que o paciente seja remanejado para os dias que correspondem ao DA M'BOI MIRIM
Atribuído a ubs.vilacalu@cejam.org.br</x18tc:text>
    <x18tc:mentions>
      <x18tc:mention mentionpersonId="{6db7b8b6-144f-47a5-ac6f-0f9fc94d4f16}" mentionId="{e86f81cb-d49d-4b43-a94a-17f4631a0213}" startIndex="0" length="26"/>
    </x18tc:mentions>
  </x18tc:threadedComment>
  <x18tc:threadedComment ref="B137" dT="2025-10-28T17:39:20.00" personId="{76f138a9-9786-40c1-8295-36f009f1c354}" id="{1cfa78fc-87d1-4f8a-81e4-b6f6de787b90}" done="1">
    <x18tc:text xml:space="preserve">@ubs.vilacalu@cejam.org.br 
Conforme orientação essas vagas são destinadas ao DA CAMPO LIMPO, pedimos que o paciente seja remanejado para os dias que correspondem ao DA M'BOI MIRIM
Atribuído a ubs.vilacalu@cejam.org.br</x18tc:text>
    <x18tc:mentions>
      <x18tc:mention mentionpersonId="{6db7b8b6-144f-47a5-ac6f-0f9fc94d4f16}" mentionId="{c9f108a1-5596-4836-bbac-d9d885d71473}" startIndex="0" length="26"/>
    </x18tc:mentions>
  </x18tc:threadedComment>
  <x18tc:threadedComment ref="B5" dT="2025-10-28T17:38:44.00" personId="{76f138a9-9786-40c1-8295-36f009f1c354}" id="{f0821423-fa95-471e-bb9f-0b004167bcc7}" done="1">
    <x18tc:text xml:space="preserve">@ubs.vilacalu@cejam.org.br 
Conforme orientação essas vagas são destinadas ao DA CAMPO LIMPO, pedimos que o paciente seja remanejado para os dias que correspondem ao DA M'BOI MIRIM
Atribuído a ubs.vilacalu@cejam.org.br</x18tc:text>
    <x18tc:mentions>
      <x18tc:mention mentionpersonId="{6db7b8b6-144f-47a5-ac6f-0f9fc94d4f16}" mentionId="{aa10b981-84b6-4a3d-86e0-7fd52729522d}" startIndex="0" length="26"/>
    </x18tc:mentions>
  </x18tc:threadedComment>
  <x18tc:threadedComment ref="B255" dT="2025-11-19T19:19:10.00" personId="{93b269c0-4553-4b14-afa4-861c131f49b6}" id="{f14f5cbb-a253-4cf2-bc9e-69e1825dd9b8}" done="1">
    <x18tc:text xml:space="preserve">Inserir paciente na planilha @ubsmacedonia@cejam.org.br</x18tc:text>
    <x18tc:mentions>
      <x18tc:mention mentionpersonId="{1836d12c-431c-446d-9b07-3fe30729544d}" mentionId="{f79a07dc-3ba5-4076-93e4-2e3d7243ea88}" startIndex="29" length="26"/>
    </x18tc:mentions>
  </x18tc:threadedComment>
  <x18tc:threadedComment ref="B92" dT="2025-10-28T17:36:02.00" personId="{76f138a9-9786-40c1-8295-36f009f1c354}" id="{957f7c03-270a-480d-9f72-3d50a58f4609}" done="1">
    <x18tc:text xml:space="preserve">@ubs.vilacalu@cejam.org.br conforme orientação essas vagas são destinadas ao DA CAMPO LIMPO, pedimos que o paciente seja remanejado para os dias que correspondem ao DA M'BOI MIRIM.
Atribuído a ubs.vilacalu@cejam.org.br</x18tc:text>
    <x18tc:mentions>
      <x18tc:mention mentionpersonId="{6db7b8b6-144f-47a5-ac6f-0f9fc94d4f16}" mentionId="{7be8e6e7-0b6f-4cd3-ba71-21f4125abee5}" startIndex="0" length="26"/>
    </x18tc:mentions>
  </x18tc:threadedComment>
  <x18tc:threadedComment ref="B49" dT="2025-10-28T17:35:22.00" personId="{76f138a9-9786-40c1-8295-36f009f1c354}" id="{75a4ce23-ed02-47db-b0c0-ee7d3bff5ede}" done="1">
    <x18tc:text xml:space="preserve">@ubs.vilacalu@cejam.org.br 
Conforme orientação essas vagas são destinadas ao DA CAMPO LIMPO, pedimos que o paciente seja remanejado para os dias que correspondem ao DA M'BOI MIRIM.
Atribuído a ubs.vilacalu@cejam.org.br</x18tc:text>
    <x18tc:mentions>
      <x18tc:mention mentionpersonId="{6db7b8b6-144f-47a5-ac6f-0f9fc94d4f16}" mentionId="{c6885b21-426a-4500-94c4-547c68c63119}" startIndex="0" length="26"/>
    </x18tc:mentions>
  </x18tc:threadedComment>
  <x18tc:threadedComment ref="B61" dT="2025-10-28T18:53:40.00" personId="{54dbd69d-229c-465c-9376-7697fdcacb80}" id="{caf5b833-1107-4f84-aac8-0a0333c2caac}" done="1">
    <x18tc:text xml:space="preserve">VAGA NÃO DISPONIVEL NO SIGA @taciana.caciano@cejam.org.br FICO NO AGUARDO DA LIBERAÇÃO DO SIGA PARA O AGENDAMENTO
Atribuído a taciana.caciano@cejam.org.br</x18tc:text>
    <x18tc:mentions>
      <x18tc:mention mentionpersonId="{e9e24025-0135-40bc-8371-f2476e58caee}" mentionId="{d3a29dad-4346-4945-9009-c61aa2dd4457}" startIndex="28" length="29"/>
    </x18tc:mentions>
  </x18tc:threadedComment>
  <x18tc:threadedComment ref="B61" dT="2025-10-28T19:02:47.00" personId="{93b269c0-4553-4b14-afa4-861c131f49b6}" id="{f53210e3-f66e-4ca7-ade1-f37d17d8cd69}" parentId="{caf5b833-1107-4f84-aac8-0a0333c2caac}">
    <x18tc:text xml:space="preserve">Informamos que não foi possível criar a agenda da Dra. no SIGA. Dessa forma, os agendamentos serão realizados na planilha @ubs.vilacalu@cejam.org.br</x18tc:text>
    <x18tc:mentions>
      <x18tc:mention mentionpersonId="{6db7b8b6-144f-47a5-ac6f-0f9fc94d4f16}" mentionId="{b3498dd4-aa89-4149-bbe8-9d8270610f53}" startIndex="122" length="26"/>
    </x18tc:mentions>
  </x18tc:threadedComment>
  <x18tc:threadedComment ref="B61" dT="2025-10-28T19:10:51.00" personId="{76f138a9-9786-40c1-8295-36f009f1c354}" id="{2b155704-40cc-4173-b472-87f240e015bd}" parentId="{caf5b833-1107-4f84-aac8-0a0333c2caac}">
    <x18tc:text xml:space="preserve">Marcado como concluído</x18tc:text>
  </x18tc:threadedComment>
  <x18tc:threadedComment ref="B61" dT="2025-10-28T19:11:05.00" personId="{76f138a9-9786-40c1-8295-36f009f1c354}" id="{289b8e3f-4a27-434d-a5dc-20c4884016ad}" parentId="{caf5b833-1107-4f84-aac8-0a0333c2caac}">
    <x18tc:text xml:space="preserve">Informamos que não foi possível criar a agenda da Dra. no SIGA. Dessa forma, os agendamentos serão realizados na planilha @ubs.vilacalu@cejam.org.brexpand_moreShow moreexpand_lessShow less
Reaberta</x18tc:text>
    <x18tc:mentions>
      <x18tc:mention mentionpersonId="{825ace14-a688-4e68-b46a-948f8291321f}" mentionId="{34fcd396-0927-4023-8312-0eb70263a719}" startIndex="122" length="32"/>
    </x18tc:mentions>
  </x18tc:threadedComment>
  <x18tc:threadedComment ref="B162" dT="2025-11-12T18:05:11.00" personId="{93b269c0-4553-4b14-afa4-861c131f49b6}" id="{37c3378f-c9c4-47f4-9e0f-ae3a76566c56}" done="0">
    <x18tc:text xml:space="preserve">Agendar paciente no drive @ubsvalquiria@cejam.org.br
Atribuído a ubsvalquiria@cejam.org.br</x18tc:text>
    <x18tc:mentions>
      <x18tc:mention mentionpersonId="{3308e1f5-9f79-46f0-ad86-6a6f7436844c}" mentionId="{facdb97a-f267-4a04-ad3a-7142dff6616b}" startIndex="26" length="26"/>
    </x18tc:mentions>
  </x18tc:threadedComment>
  <x18tc:threadedComment ref="B41" dT="2025-11-03T15:00:04.00" personId="{93b269c0-4553-4b14-afa4-861c131f49b6}" id="{3ebc2d21-3720-4c32-8596-ea641b594432}" done="0">
    <x18tc:text xml:space="preserve">Agendar pacientes no siga @ubssaobento@cejam.org.br</x18tc:text>
    <x18tc:mentions>
      <x18tc:mention mentionpersonId="{9ed1f745-a7e4-4559-9942-d2026bedb8fe}" mentionId="{8a8f28a7-00e6-4ac7-8470-2602f1d8d3b6}" startIndex="26" length="25"/>
    </x18tc:mentions>
  </x18tc:threadedComment>
  <x18tc:threadedComment ref="B163" dT="2025-11-12T18:04:19.00" personId="{93b269c0-4553-4b14-afa4-861c131f49b6}" id="{198d698e-e206-43dc-ae0c-ff2a7d421a61}" done="1">
    <x18tc:text xml:space="preserve">Agendar paciente no siga @ubscomercial@cejam.org.br
Atribuído a ubscomercial@cejam.org.br</x18tc:text>
    <x18tc:mentions>
      <x18tc:mention mentionpersonId="{f67fc7a1-07ac-47f0-8962-1a22b0682ef8}" mentionId="{50e3ad39-9149-4a53-b796-281e13a1a60a}" startIndex="25" length="26"/>
    </x18tc:mentions>
  </x18tc:threadedComment>
  <x18tc:threadedComment ref="B25" dT="2025-10-28T17:44:46.00" personId="{76f138a9-9786-40c1-8295-36f009f1c354}" id="{8ebfc407-17a8-4d86-aa6e-fa1c9dc2c8a7}" done="1">
    <x18tc:text xml:space="preserve">@ubseledy@cejam.org.br 
Conforme orientação essas vagas são destinadas ao DA M'BOI MIRIM, pedimos que o paciente seja remanejado para os dias que correspondem ao DA CAMPO LIMPO.
Atenciosamente,
Atribuído a ubseledy@cejam.org.br</x18tc:text>
    <x18tc:mentions>
      <x18tc:mention mentionpersonId="{a1166811-751b-4d92-a9a4-777d02331616}" mentionId="{c624eb22-41ce-4c2c-8c9e-06498be1a123}" startIndex="0" length="22"/>
    </x18tc:mentions>
  </x18tc:threadedComment>
  <x18tc:threadedComment ref="B25" dT="2025-10-28T18:17:40.00" personId="{116ca1be-8764-4d8f-9a03-cabe29e08259}" id="{ca1f14ee-0c35-4bb8-885d-9389477fd28b}" parentId="{8ebfc407-17a8-4d86-aa6e-fa1c9dc2c8a7}">
    <x18tc:text xml:space="preserve">Boa tarde paciente retirada da planilha destinada ao M BOI MIRIM,</x18tc:text>
  </x18tc:threadedComment>
  <x18tc:threadedComment ref="B63" dT="2025-10-28T17:44:09.00" personId="{76f138a9-9786-40c1-8295-36f009f1c354}" id="{bd6e1318-f788-4032-9777-076c9077824e}" done="1">
    <x18tc:text xml:space="preserve">@ubscomercial@cejam.org.br 
Conforme orientação essas vagas são destinadas ao DA M'BOI MIRIM, pedimos que o paciente seja remanejado para os dias que correspondem ao DA CAMPO LIMPO.
Atenciosamente,
Atribuído a ubscomercial@cejam.org.br</x18tc:text>
    <x18tc:mentions>
      <x18tc:mention mentionpersonId="{f67fc7a1-07ac-47f0-8962-1a22b0682ef8}" mentionId="{4dc78f77-cffd-4ecf-84ae-e424d74f5546}" startIndex="0" length="26"/>
    </x18tc:mentions>
  </x18tc:threadedComment>
  <x18tc:threadedComment ref="B57" dT="2025-10-28T18:52:48.00" personId="{54dbd69d-229c-465c-9376-7697fdcacb80}" id="{79db28f2-86c1-40ef-8107-a14c20749e98}" done="1">
    <x18tc:text xml:space="preserve">VAGA NÃO DISPONIVEL NO SIGA @taciana.caciano@cejam.org.br FICO NO AGUARDO DA LIBERAÇÃO DO SIGA PARA O AGENDAMENTO</x18tc:text>
    <x18tc:mentions>
      <x18tc:mention mentionpersonId="{e9e24025-0135-40bc-8371-f2476e58caee}" mentionId="{cfaea562-0559-40c6-9814-03d90381661d}" startIndex="28" length="29"/>
    </x18tc:mentions>
  </x18tc:threadedComment>
  <x18tc:threadedComment ref="B57" dT="2025-10-28T18:57:32.00" personId="{76f138a9-9786-40c1-8295-36f009f1c354}" id="{19bdd47e-2aa4-4760-a684-a28fc238d66d}" parentId="{79db28f2-86c1-40ef-8107-a14c20749e98}">
    <x18tc:text xml:space="preserve">Prezados, conforme orientado via e-mail, não foi possível criar agenda na plataforma SIGA, seguindo assim o agendamento via planilha Google Drive. 
Atenciosamente.</x18tc:text>
  </x18tc:threadedComment>
  <x18tc:threadedComment ref="B79" dT="2025-10-28T17:43:43.00" personId="{76f138a9-9786-40c1-8295-36f009f1c354}" id="{41ae43a1-aa73-4da8-80c6-2de62d3346fe}" done="1">
    <x18tc:text xml:space="preserve">@ubscomercial@cejam.org.br 
Conforme orientação essas vagas são destinadas ao DA M'BOI MIRIM, pedimos que o paciente seja remanejado para os dias que correspondem ao DA CAMPO LIMPO.
Atenciosamente,
Atribuído a ubscomercial@cejam.org.br</x18tc:text>
    <x18tc:mentions>
      <x18tc:mention mentionpersonId="{f67fc7a1-07ac-47f0-8962-1a22b0682ef8}" mentionId="{4fc12e8e-2ef0-4a6a-8908-51057bb4dd70}" startIndex="0" length="26"/>
    </x18tc:mentions>
  </x18tc:threadedComment>
  <x18tc:threadedComment ref="B113" dT="2025-10-28T17:40:40.00" personId="{76f138a9-9786-40c1-8295-36f009f1c354}" id="{e4000520-a3dd-4bc1-87ef-437d56cd4bfc}" done="1">
    <x18tc:text xml:space="preserve">@ubseledy@cejam.org.br 
Conforme orientação essas vagas são destinadas ao DA M'BOI MIRIM, pedimos que o paciente seja remanejado para os dias que correspondem ao DA CAMPO LIMPO.
Atribuído a ubseledy@cejam.org.br</x18tc:text>
    <x18tc:mentions>
      <x18tc:mention mentionpersonId="{a1166811-751b-4d92-a9a4-777d02331616}" mentionId="{67fdfd57-9bac-4316-9cd2-05e0e8a63a11}" startIndex="0" length="22"/>
    </x18tc:mentions>
  </x18tc:threadedComment>
  <x18tc:threadedComment ref="B113" dT="2025-10-28T18:16:39.00" personId="{116ca1be-8764-4d8f-9a03-cabe29e08259}" id="{9f159441-8893-4b02-8bf9-ab776365adbb}" parentId="{e4000520-a3dd-4bc1-87ef-437d56cd4bfc}">
    <x18tc:text xml:space="preserve">Boa tarde paciente retirada da planilha destinada ao MBOI MIRIM</x18tc:text>
  </x18tc:threadedComment>
  <x18tc:threadedComment ref="B132" dT="2025-11-10T20:04:18.00" personId="{93b269c0-4553-4b14-afa4-861c131f49b6}" id="{72f974c1-272a-4539-8cbf-679ef03467a6}" done="0">
    <x18tc:text xml:space="preserve">agendar paciente no siga @ubsluardosertao@cejam.org.br</x18tc:text>
    <x18tc:mentions>
      <x18tc:mention mentionpersonId="{e9443fd5-8f13-4c17-98d8-5562e92bdcab}" mentionId="{883b527a-d45c-49e3-99a9-95563606d367}" startIndex="25" length="29"/>
    </x18tc:mentions>
  </x18tc:threadedComment>
  <x18tc:threadedComment ref="B65" dT="2025-11-05T20:01:55.00" personId="{cc1662e0-73b9-43d7-8cf0-9686c35eca92}" id="{a4275790-1144-44f1-b95f-b4d0fac66b50}" done="1">
    <x18tc:text xml:space="preserve">AGENDA PACIENTE NA PLANILHA
@ubsgermania@cejam.org.br
Atribuído a ubsgermania@cejam.org.br</x18tc:text>
    <x18tc:mentions>
      <x18tc:mention mentionpersonId="{4acfce7f-b36f-4488-a46f-0b6f6f85b588}" mentionId="{b5406afc-f8b3-4fbc-89ba-c5a3ae3990a9}" startIndex="28" length="25"/>
    </x18tc:mentions>
  </x18tc:threadedComment>
  <x18tc:threadedComment ref="B129" dT="2025-11-10T20:03:10.00" personId="{93b269c0-4553-4b14-afa4-861c131f49b6}" id="{4b2e7848-4cfd-4978-9edb-6e9583e14f2c}" done="1">
    <x18tc:text xml:space="preserve">agendar paciente no siga @ubssaobento@cejam.org.br</x18tc:text>
    <x18tc:mentions>
      <x18tc:mention mentionpersonId="{9ed1f745-a7e4-4559-9942-d2026bedb8fe}" mentionId="{99f23800-00a9-4813-8468-9ce77a782036}" startIndex="25" length="25"/>
    </x18tc:mentions>
  </x18tc:threadedComment>
  <x18tc:threadedComment ref="B64" dT="2025-11-05T20:00:55.00" personId="{cc1662e0-73b9-43d7-8cf0-9686c35eca92}" id="{5865b8c4-b6d6-47ea-9553-1290eca61aee}" done="1">
    <x18tc:text xml:space="preserve">AGENDAR PC NA PLANILHA
@ubsluardosertao@cejam.org.br</x18tc:text>
    <x18tc:mentions>
      <x18tc:mention mentionpersonId="{e9443fd5-8f13-4c17-98d8-5562e92bdcab}" mentionId="{d44444a3-3c5f-4040-aadf-5b17b7e667d6}" startIndex="23" length="29"/>
    </x18tc:mentions>
  </x18tc:threadedComment>
  <x18tc:threadedComment ref="B130" dT="2025-11-10T20:03:43.00" personId="{93b269c0-4553-4b14-afa4-861c131f49b6}" id="{18537d64-298f-4d74-a833-623a51ff1589}" done="1">
    <x18tc:text xml:space="preserve">Agendar paciente no siga @ubsluardosertao@cejam.org.br</x18tc:text>
    <x18tc:mentions>
      <x18tc:mention mentionpersonId="{e9443fd5-8f13-4c17-98d8-5562e92bdcab}" mentionId="{1c67d1db-5562-4fbf-b645-874852efb3c6}" startIndex="25" length="29"/>
    </x18tc:mentions>
  </x18tc:threadedComment>
  <x18tc:threadedComment ref="B56" dT="2025-10-28T17:34:13.00" personId="{76f138a9-9786-40c1-8295-36f009f1c354}" id="{cee3662e-53e3-4065-a23b-980d4e77de79}" done="1">
    <x18tc:text xml:space="preserve">@amaubspqfernanda@cejam.org.br 
Conforme orientação essas vagas são destinadas ao DA M'BOI MIRIM, pedimos que o paciente seja remanejado para os dias que correspondem ao DA CAMPO LIMPO.
Atenciosamente,
Atribuído a amaubspqfernanda@cejam.org.br</x18tc:text>
    <x18tc:mentions>
      <x18tc:mention mentionpersonId="{6a0cd700-780c-45c2-bf33-717751de6f73}" mentionId="{1ff11467-cc54-4524-b4c4-15ac4ae063a5}" startIndex="0" length="30"/>
    </x18tc:mentions>
  </x18tc:threadedComment>
  <x18tc:threadedComment ref="B177" dT="2025-11-12T18:06:40.00" personId="{93b269c0-4553-4b14-afa4-861c131f49b6}" id="{79caebd2-0069-49fb-a2ad-cfbac0452ed3}" done="1">
    <x18tc:text xml:space="preserve">SUPERVISÃO DE MBOI SO PODE ULTILIZAR AS VAGAS DO MBOI POR FAVOR REAGENDAR PACIENTE  @ubs.paranapanema@cejam.org.br
Atribuído a ubs.paranapanema@cejam.org.br</x18tc:text>
    <x18tc:mentions>
      <x18tc:mention mentionpersonId="{8d02da16-0574-4ca6-a2a1-ecb998d76d4f}" mentionId="{d464193a-89aa-4efd-ba68-36e3f835ce79}" startIndex="84" length="30"/>
    </x18tc:mentions>
  </x18tc:threadedComment>
  <x18tc:threadedComment ref="B177" dT="2025-11-12T18:32:54.00" personId="{f4327e05-0dff-4032-a21f-14ecb110a9e3}" id="{b3a230b4-7ce8-4133-859d-7ef275338789}" parentId="{79caebd2-0069-49fb-a2ad-cfbac0452ed3}">
    <x18tc:text xml:space="preserve">Pedimos desculpas pelo equívoco o agendamento foi feito incorretamente no Campo Limpo. Já realizamos a correção e retiramos a paciente da agenda.</x18tc:text>
  </x18tc:threadedComment>
  <x18tc:threadedComment ref="B134" dT="2025-10-30T20:29:58.00" personId="{93b269c0-4553-4b14-afa4-861c131f49b6}" id="{bc947fb5-5c0b-4e7f-9481-79bf445c5b56}" done="1">
    <x18tc:text xml:space="preserve">Por gentileza agendar paciente no siga @ubsaracati@cejam.org.br</x18tc:text>
    <x18tc:mentions>
      <x18tc:mention mentionpersonId="{7cca1088-60f7-4dca-9a85-531b3e7ad299}" mentionId="{84ea5b16-c27e-4a6f-9f55-0605e610cd46}" startIndex="39" length="24"/>
    </x18tc:mentions>
  </x18tc:threadedComment>
  <x18tc:threadedComment ref="B44" dT="2025-10-28T17:35:06.00" personId="{76f138a9-9786-40c1-8295-36f009f1c354}" id="{2996e47b-8f9c-4bcd-95f1-82576ab95d4c}" done="1">
    <x18tc:text xml:space="preserve">@ubs.santalucia@cejam.org.br 
Conforme orientação essas vagas são destinadas ao DA CAMPO LIMPO, pedimos que o paciente seja remanejado para os dias que correspondem ao DA M'BOI MIRIM.
Atribuído a ubs.santalucia@cejam.org.br</x18tc:text>
    <x18tc:mentions>
      <x18tc:mention mentionpersonId="{8088a5e4-f76b-4c31-8356-932705cf92cd}" mentionId="{fe37d87e-32ce-4f88-8b65-4506edf0a625}" startIndex="0" length="28"/>
    </x18tc:mentions>
  </x18tc:threadedComment>
  <x18tc:threadedComment ref="B44" dT="2025-10-29T16:04:04.00" personId="{5a75f96a-5e59-4de0-b2a5-fa4c992868bb}" id="{e255c6c1-4f9f-403b-9839-9e8ceb7ec570}" parentId="{2996e47b-8f9c-4bcd-95f1-82576ab95d4c}">
    <x18tc:text xml:space="preserve">Boa tarde,
Já realizei a retirada das pacientes, porém uma delas está apresentando erro ao tentar remover no SIGA , não estou conseguindo concluir a exclusão.
Minha orientadora digital sai às 14h, e ela precisa de um tempo para se deslocar entre as casas. Há disponibilidade de horário no período da manhã?</x18tc:text>
  </x18tc:threadedComment>
  <x18tc:threadedComment ref="B268" dT="2025-11-18T14:47:30.00" personId="{93b269c0-4553-4b14-afa4-861c131f49b6}" id="{d143d1f5-a97d-487d-9dfc-fb8a4a4a8595}" done="0">
    <x18tc:text xml:space="preserve">Agendar paciente no siga @ubssaobento@cejam.org.br
Atribuído a ubssaobento@cejam.org.br</x18tc:text>
    <x18tc:mentions>
      <x18tc:mention mentionpersonId="{9ed1f745-a7e4-4559-9942-d2026bedb8fe}" mentionId="{4ebb59d7-3158-4e6d-aecb-2a1150fe4081}" startIndex="25" length="25"/>
    </x18tc:mentions>
  </x18tc:threadedComment>
  <x18tc:threadedComment ref="B47" dT="2025-10-30T20:20:30.00" personId="{93b269c0-4553-4b14-afa4-861c131f49b6}" id="{6ee44454-b567-4ca7-af3c-f135df6db74b}" done="1">
    <x18tc:text xml:space="preserve">Agendar paciente no siga @amaubspqfernanda@cejam.org.br</x18tc:text>
    <x18tc:mentions>
      <x18tc:mention mentionpersonId="{6a0cd700-780c-45c2-bf33-717751de6f73}" mentionId="{33a32db6-4106-49ba-b712-c7b98d1da053}" startIndex="25" length="30"/>
    </x18tc:mentions>
  </x18tc:threadedComment>
  <x18tc:threadedComment ref="B47" dT="2025-10-31T10:57:58.00" personId="{dfd67e61-42a2-415f-8de9-c52d2842c4d2}" id="{cbc2aadc-53c4-439d-a717-4d1a2a84cf14}" parentId="{6ee44454-b567-4ca7-af3c-f135df6db74b}">
    <x18tc:text xml:space="preserve">FEITO TODOS</x18tc:text>
  </x18tc:threadedComment>
  <x18tc:threadedComment ref="B200" dT="2025-11-11T11:47:29.00" personId="{c9b25987-e1a8-4bfc-95a9-a58f8682c145}" id="{563c33ca-d60d-4def-be23-d49706c51737}" done="1">
    <x18tc:text xml:space="preserve">Bom dia.
Poderia, verificar o agendamento no SIGA? Identificamos uma divergência: a paciente que consta na planilha é diferente da que está registrada no SIGA.
@ubsaracati@cejam.org.br
Atribuído a ubsaracati@cejam.org.br</x18tc:text>
    <x18tc:mentions>
      <x18tc:mention mentionpersonId="{7cca1088-60f7-4dca-9a85-531b3e7ad299}" mentionId="{0369cdd9-0486-4497-b9da-1afbd53f2a63}" startIndex="161" length="24"/>
    </x18tc:mentions>
  </x18tc:threadedComment>
  <x18tc:threadedComment ref="B80" dT="2025-11-04T13:56:50.00" personId="{93b269c0-4553-4b14-afa4-861c131f49b6}" id="{615d040c-52df-4f81-b69d-b9aa40141227}" done="1">
    <x18tc:text xml:space="preserve">Agenda paciente no siga @ubsluardosertao@cejam.org.br</x18tc:text>
    <x18tc:mentions>
      <x18tc:mention mentionpersonId="{e9443fd5-8f13-4c17-98d8-5562e92bdcab}" mentionId="{89906c1f-f0a6-4027-8072-412b17096855}" startIndex="24" length="29"/>
    </x18tc:mentions>
  </x18tc:threadedComment>
  <x18tc:threadedComment ref="B203" dT="2025-11-13T13:35:12.00" personId="{cc1662e0-73b9-43d7-8cf0-9686c35eca92}" id="{33620c5c-ff4f-4638-a384-c5222fb6f632}" done="1">
    <x18tc:text xml:space="preserve">@ubsveracruz@cejam.org.br por favor agendar no siga
Atribuído a ubsveracruz@cejam.org.br</x18tc:text>
    <x18tc:mentions>
      <x18tc:mention mentionpersonId="{59c42d87-7f3f-47ac-afe6-02a4ecf5ea7e}" mentionId="{a3e704d9-3c18-4905-8975-f21bfcf32ec1}" startIndex="0" length="25"/>
    </x18tc:mentions>
  </x18tc:threadedComment>
  <x18tc:threadedComment ref="B41" dT="2025-10-28T17:34:59.00" personId="{76f138a9-9786-40c1-8295-36f009f1c354}" id="{394546ea-ae0b-4df7-a58d-915c326f05cb}" done="1">
    <x18tc:text xml:space="preserve">@ubs.santalucia@cejam.org.br 
Conforme orientação essas vagas são destinadas ao DA CAMPO LIMPO, pedimos que o paciente seja remanejado para os dias que correspondem ao DA M'BOI MIRIM.
Atribuído a ubs.santalucia@cejam.org.br</x18tc:text>
    <x18tc:mentions>
      <x18tc:mention mentionpersonId="{8088a5e4-f76b-4c31-8356-932705cf92cd}" mentionId="{588083a2-c529-4b97-b246-2bed9989ee90}" startIndex="0" length="28"/>
    </x18tc:mentions>
  </x18tc:threadedComment>
  <x18tc:threadedComment ref="B221" dT="2025-11-11T11:50:00.00" personId="{c9b25987-e1a8-4bfc-95a9-a58f8682c145}" id="{20e8dea0-1a68-4549-9d11-4dfb20dfe4de}" done="1">
    <x18tc:text xml:space="preserve">Bom dia.
Por favor, solicito que seja realizado o agendamento da paciente no SIGA.
@ubseledy@cejam.org.br
Atribuído a ubseledy@cejam.org.br</x18tc:text>
    <x18tc:mentions>
      <x18tc:mention mentionpersonId="{a1166811-751b-4d92-a9a4-777d02331616}" mentionId="{5de10b2d-0789-4745-bd9f-fd9e5a977319}" startIndex="84" length="22"/>
    </x18tc:mentions>
  </x18tc:threadedComment>
  <x18tc:threadedComment ref="B221" dT="2025-11-11T15:49:42.00" personId="{116ca1be-8764-4d8f-9a03-cabe29e08259}" id="{98fc223a-dff8-4b10-a402-55d83809b606}" parentId="{20e8dea0-1a68-4549-9d11-4dfb20dfe4de}">
    <x18tc:text xml:space="preserve">Boa tarde .
Paciente inserido na sistema SIGA</x18tc:text>
  </x18tc:threadedComment>
  <x18tc:threadedComment ref="B82" dT="2025-11-04T13:57:25.00" personId="{93b269c0-4553-4b14-afa4-861c131f49b6}" id="{c13e4d50-e176-4b31-a8c4-1d66c260e75d}" done="1">
    <x18tc:text xml:space="preserve">agendar no siga @ubsluardosertao@cejam.org.br</x18tc:text>
    <x18tc:mentions>
      <x18tc:mention mentionpersonId="{e9443fd5-8f13-4c17-98d8-5562e92bdcab}" mentionId="{45d4a1d1-8d03-4846-b6aa-06fa772dc160}" startIndex="16" length="29"/>
    </x18tc:mentions>
  </x18tc:threadedComment>
  <x18tc:threadedComment ref="B233" dT="2025-11-18T14:39:18.00" personId="{93b269c0-4553-4b14-afa4-861c131f49b6}" id="{8024b520-1bfc-474f-84b3-d899d433cbbe}" done="1">
    <x18tc:text xml:space="preserve">Agendar paciente no siga @amaubspqfernanda@cejam.org.br
Atribuído a amaubspqfernanda@cejam.org.br</x18tc:text>
    <x18tc:mentions>
      <x18tc:mention mentionpersonId="{6a0cd700-780c-45c2-bf33-717751de6f73}" mentionId="{89f79358-4657-4e17-8ff9-fdf39e25f8d9}" startIndex="25" length="30"/>
    </x18tc:mentions>
  </x18tc:threadedComment>
  <x18tc:threadedComment ref="B165" dT="2025-11-12T18:35:58.00" personId="{93b269c0-4553-4b14-afa4-861c131f49b6}" id="{45301aee-c19f-4d29-af99-e521f8133c6b}" done="0">
    <x18tc:text xml:space="preserve">vaga já está disponível no siga @ubsvalquiria@cejam.org.br
Atribuído a ubsvalquiria@cejam.org.br</x18tc:text>
    <x18tc:mentions>
      <x18tc:mention mentionpersonId="{3308e1f5-9f79-46f0-ad86-6a6f7436844c}" mentionId="{df804a7e-d56f-40ad-85fe-e5e7cd57f8ed}" startIndex="32" length="26"/>
    </x18tc:mentions>
  </x18tc:threadedComment>
  <x18tc:threadedComment ref="B109" dT="2025-10-30T20:26:31.00" personId="{93b269c0-4553-4b14-afa4-861c131f49b6}" id="{3a90389e-eade-44d7-9556-8d2a926c6235}" done="1">
    <x18tc:text xml:space="preserve">Por gentileza agendar paciente no siga @ubsjardimcapela@cejam.org.br</x18tc:text>
    <x18tc:mentions>
      <x18tc:mention mentionpersonId="{c313c91c-86ea-4ff9-b3ae-6a925e7b701a}" mentionId="{4b867f47-d6ed-421e-b5f5-ceac35198871}" startIndex="39" length="29"/>
    </x18tc:mentions>
  </x18tc:threadedComment>
  <x18tc:threadedComment ref="B96" dT="2025-11-04T14:03:17.00" personId="{93b269c0-4553-4b14-afa4-861c131f49b6}" id="{e920502d-78e2-49ed-ae55-8cfd6bd8b5c6}" done="1">
    <x18tc:text xml:space="preserve">agendar no siga @ubscomercial@cejam.org.br</x18tc:text>
    <x18tc:mentions>
      <x18tc:mention mentionpersonId="{f67fc7a1-07ac-47f0-8962-1a22b0682ef8}" mentionId="{4a9ef79a-5caf-4551-b8b3-6169e3a91d0e}" startIndex="16" length="26"/>
    </x18tc:mentions>
  </x18tc:threadedComment>
  <x18tc:threadedComment ref="B196" dT="2025-11-11T11:37:08.00" personId="{c9b25987-e1a8-4bfc-95a9-a58f8682c145}" id="{29ff63ad-e0c4-4082-b9f1-4f69723278fe}" done="1">
    <x18tc:text xml:space="preserve">Bom dia.
Por favor, solicito que seja realizado o agendamento da paciente no SIGA.
@ubs.jdcaicara@cejam.org.br
Atribuído a ubs.jdcaicara@cejam.org.br</x18tc:text>
    <x18tc:mentions>
      <x18tc:mention mentionpersonId="{b26978a7-f52b-406c-b913-25320fbb141a}" mentionId="{63708fd4-5bc8-4b4f-82e8-04124a4a6aad}" startIndex="84" length="27"/>
    </x18tc:mentions>
  </x18tc:threadedComment>
  <x18tc:threadedComment ref="B99" dT="2025-11-04T14:06:18.00" personId="{93b269c0-4553-4b14-afa4-861c131f49b6}" id="{bb99bf3a-5509-4fa1-adb3-f452a410ce91}" done="1">
    <x18tc:text xml:space="preserve">agenda no siga @ubscomercial@cejam.org.br</x18tc:text>
    <x18tc:mentions>
      <x18tc:mention mentionpersonId="{f67fc7a1-07ac-47f0-8962-1a22b0682ef8}" mentionId="{53ca6d81-0743-4316-b925-20076c450034}" startIndex="15" length="26"/>
    </x18tc:mentions>
  </x18tc:threadedComment>
  <x18tc:threadedComment ref="B79" dT="2025-10-30T20:23:56.00" personId="{93b269c0-4553-4b14-afa4-861c131f49b6}" id="{374d1eb0-df1c-4245-a307-736be4000880}" done="1">
    <x18tc:text xml:space="preserve">Por gentileza agendar paciente no siga @ubscomercial@cejam.org.br</x18tc:text>
    <x18tc:mentions>
      <x18tc:mention mentionpersonId="{f67fc7a1-07ac-47f0-8962-1a22b0682ef8}" mentionId="{f2e0dbdf-baee-4562-8f6f-d788cc9373e4}" startIndex="39" length="26"/>
    </x18tc:mentions>
  </x18tc:threadedComment>
  <x18tc:threadedComment ref="B110" dT="2025-11-04T14:08:13.00" personId="{93b269c0-4553-4b14-afa4-861c131f49b6}" id="{440e9095-5a3b-49ba-b0b3-f2184d1fd7ca}" done="1">
    <x18tc:text xml:space="preserve">agendar paciente no siga @ubs.sta.margarida@cejam.org.br</x18tc:text>
    <x18tc:mentions>
      <x18tc:mention mentionpersonId="{96662810-1c6f-4e2b-925b-da915e8ddd70}" mentionId="{aa7d6496-818a-409f-9af5-54fafa71d66b}" startIndex="25" length="31"/>
    </x18tc:mentions>
  </x18tc:threadedComment>
  <x18tc:threadedComment ref="B66" dT="2025-11-05T20:03:18.00" personId="{cc1662e0-73b9-43d7-8cf0-9686c35eca92}" id="{3cb40523-fd97-49d4-afec-a283373d8114}" done="1">
    <x18tc:text xml:space="preserve">AGENDAR PACIENTE NA PLANILHA
@ubscomercial@cejam.org.br
Atribuído a ubscomercial@cejam.org.br</x18tc:text>
    <x18tc:mentions>
      <x18tc:mention mentionpersonId="{f67fc7a1-07ac-47f0-8962-1a22b0682ef8}" mentionId="{4dfe4b14-e01b-4522-b1f3-2fbb791057bc}" startIndex="29" length="26"/>
    </x18tc:mentions>
  </x18tc:threadedComment>
  <x18tc:threadedComment ref="B74" dT="2025-10-30T20:23:09.00" personId="{93b269c0-4553-4b14-afa4-861c131f49b6}" id="{73411783-3e51-479b-a3fd-ccdabcc0f6cf}" done="1">
    <x18tc:text xml:space="preserve">Por gentileza agendar paciente no siga @amaubspqfernanda@cejam.org.br</x18tc:text>
    <x18tc:mentions>
      <x18tc:mention mentionpersonId="{6a0cd700-780c-45c2-bf33-717751de6f73}" mentionId="{67e5b796-0438-4803-8508-42b5b58115c9}" startIndex="39" length="30"/>
    </x18tc:mentions>
  </x18tc:threadedComment>
  <x18tc:threadedComment ref="B112" dT="2025-11-04T14:08:42.00" personId="{93b269c0-4553-4b14-afa4-861c131f49b6}" id="{0c2b134a-5ab2-4507-858b-3f73a5b7e8f0}" done="1">
    <x18tc:text xml:space="preserve">agendar paciente no siga @ubsaracati@cejam.org.br</x18tc:text>
    <x18tc:mentions>
      <x18tc:mention mentionpersonId="{7cca1088-60f7-4dca-9a85-531b3e7ad299}" mentionId="{20f1dacd-1dd1-414e-af43-36169a5a8bc3}" startIndex="25" length="24"/>
    </x18tc:mentions>
  </x18tc:threadedComment>
  <x18tc:threadedComment ref="B135" dT="2025-10-30T20:30:33.00" personId="{93b269c0-4553-4b14-afa4-861c131f49b6}" id="{28b85b92-0d42-417d-b8c6-c340bd9e6183}" done="1">
    <x18tc:text xml:space="preserve">Por gentileza agendar paciente no siga @amaubspqfernanda@cejam.org.br</x18tc:text>
    <x18tc:mentions>
      <x18tc:mention mentionpersonId="{6a0cd700-780c-45c2-bf33-717751de6f73}" mentionId="{664de666-e168-44d0-8011-08169335205e}" startIndex="39" length="30"/>
    </x18tc:mentions>
  </x18tc:threadedComment>
  <x18tc:threadedComment ref="B64" dT="2025-11-05T20:02:29.00" personId="{cc1662e0-73b9-43d7-8cf0-9686c35eca92}" id="{565da216-a7d8-460d-80a7-ca667bb99b83}" done="1">
    <x18tc:text xml:space="preserve">AGENDA PACIENTE NA PLANILHA
@ubsluardosertao@cejam.org.br
Atribuído a ubsluardosertao@cejam.org.br</x18tc:text>
    <x18tc:mentions>
      <x18tc:mention mentionpersonId="{e9443fd5-8f13-4c17-98d8-5562e92bdcab}" mentionId="{f5c8bbc3-44f5-4de2-8d9e-787315d54d2b}" startIndex="28" length="29"/>
    </x18tc:mentions>
  </x18tc:threadedComment>
  <x18tc:threadedComment ref="B44" dT="2025-10-30T20:21:35.00" personId="{93b269c0-4553-4b14-afa4-861c131f49b6}" id="{2c21229c-5860-4a3a-9354-c6e0589950ec}" done="1">
    <x18tc:text xml:space="preserve">Paciente agendado apenas no siga, por favor colocar ele no drive @ubs.santalucia@cejam.org.br</x18tc:text>
    <x18tc:mentions>
      <x18tc:mention mentionpersonId="{8088a5e4-f76b-4c31-8356-932705cf92cd}" mentionId="{6a140cca-8067-4506-990e-7ce4ac7b9eaf}" startIndex="65" length="28"/>
    </x18tc:mentions>
  </x18tc:threadedComment>
  <x18tc:threadedComment ref="B44" dT="2025-11-04T18:35:55.00" personId="{6bf6b27b-ca53-4dcb-adab-ec21cc9c5fd7}" id="{f275d0df-afb7-4afc-b14f-8610d21f4b6e}" parentId="{2c21229c-5860-4a3a-9354-c6e0589950ec}">
    <x18tc:text xml:space="preserve">Boa tarde! Este paciente é da UBS Jd Aracati e não tem vaga no SIGA.</x18tc:text>
  </x18tc:threadedComment>
  <x18tc:threadedComment ref="B213" dT="2025-11-14T16:58:02.00" personId="{93b269c0-4553-4b14-afa4-861c131f49b6}" id="{2960368a-454b-4113-86dc-3845804f1611}" done="1">
    <x18tc:text xml:space="preserve">agendar no siga @ubsmaraca@cejam.org.br
Atribuído a ubsmaraca@cejam.org.br</x18tc:text>
    <x18tc:mentions>
      <x18tc:mention mentionpersonId="{be94098c-565f-40e3-8e2b-168c08ee10fb}" mentionId="{c2700a13-1d9b-452a-866e-cfc7c7dbe210}" startIndex="16" length="23"/>
    </x18tc:mentions>
  </x18tc:threadedComment>
  <x18tc:threadedComment ref="B238" dT="2025-11-18T14:35:09.00" personId="{93b269c0-4553-4b14-afa4-861c131f49b6}" id="{57e694e1-9260-4788-bc49-8a33e7d1cb00}" done="1">
    <x18tc:text xml:space="preserve">AGENDAR PACIENTE NO SIGA @amaubspqfernanda@cejam.org.br
Atribuído a amaubspqfernanda@cejam.org.br</x18tc:text>
    <x18tc:mentions>
      <x18tc:mention mentionpersonId="{6a0cd700-780c-45c2-bf33-717751de6f73}" mentionId="{39015221-81ff-41df-9cf7-d31857488cac}" startIndex="25" length="30"/>
    </x18tc:mentions>
  </x18tc:threadedComment>
  <x18tc:threadedComment ref="G185" dT="2025-11-14T17:11:55.00" personId="{93b269c0-4553-4b14-afa4-861c131f49b6}" id="{ad2b001e-6d00-4a4e-a7d3-65afc51aec3f}" done="1">
    <x18tc:text xml:space="preserve">agendar paciente no siga @ubscomercial@cejam.org.br
Atribuído a ubscomercial@cejam.org.br</x18tc:text>
    <x18tc:mentions>
      <x18tc:mention mentionpersonId="{f67fc7a1-07ac-47f0-8962-1a22b0682ef8}" mentionId="{99bc381a-eefe-4442-af38-c0679bf54db2}" startIndex="25" length="26"/>
    </x18tc:mentions>
  </x18tc:threadedComment>
  <x18tc:threadedComment ref="A228" dT="2025-11-12T18:54:38.00" personId="{54dbd69d-229c-465c-9376-7697fdcacb80}" id="{7831a2d3-ee88-42f8-b981-218ece2f88c9}" done="1">
    <x18tc:text xml:space="preserve">CAMPO LIMPO- CERTO?</x18tc:text>
  </x18tc:threadedComment>
  <x18tc:threadedComment ref="B219" dT="2025-10-30T20:57:46.00" personId="{93b269c0-4553-4b14-afa4-861c131f49b6}" id="{84b57a8b-6e87-4c2b-8f26-6a70cfd630b8}" done="1">
    <x18tc:text xml:space="preserve">Agendar paciente no siga @amaubspqfernanda@cejam.org.br</x18tc:text>
    <x18tc:mentions>
      <x18tc:mention mentionpersonId="{6a0cd700-780c-45c2-bf33-717751de6f73}" mentionId="{4cd63451-e9c1-4a74-aa24-f1cb6af73c4f}" startIndex="25" length="30"/>
    </x18tc:mentions>
  </x18tc:threadedComment>
  <x18tc:threadedComment ref="B143" dT="2025-11-11T16:16:12.00" personId="{93b269c0-4553-4b14-afa4-861c131f49b6}" id="{a9fb11db-6560-4aa8-8547-82fb306ce986}" done="1">
    <x18tc:text xml:space="preserve">Agendar paciente no siga @ubs.jdcaicara@cejam.org.br</x18tc:text>
    <x18tc:mentions>
      <x18tc:mention mentionpersonId="{b26978a7-f52b-406c-b913-25320fbb141a}" mentionId="{f0ee5a0a-d2d1-44b2-b5cd-f2a37367b602}" startIndex="25" length="27"/>
    </x18tc:mentions>
  </x18tc:threadedComment>
  <x18tc:threadedComment ref="B143" dT="2025-11-11T17:41:47.00" personId="{dbc02118-a1d8-4449-94f3-0ef6e7164610}" id="{12439b14-3a02-4cb5-96c3-b3bcf7c7e61b}" parentId="{a9fb11db-6560-4aa8-8547-82fb306ce986}">
    <x18tc:text xml:space="preserve">Pacientes inserido no siga.</x18tc:text>
  </x18tc:threadedComment>
  <x18tc:threadedComment ref="B128" dT="2025-11-06T14:56:42.00" personId="{93b269c0-4553-4b14-afa4-861c131f49b6}" id="{d7ea2ba6-981a-4347-b91f-c2c9f01e990f}" done="1">
    <x18tc:text xml:space="preserve">agendar paciente no siga @ubsmaraca@cejam.org.br</x18tc:text>
    <x18tc:mentions>
      <x18tc:mention mentionpersonId="{be94098c-565f-40e3-8e2b-168c08ee10fb}" mentionId="{ca2e2d66-0921-4b05-b8b6-213e446d2176}" startIndex="25" length="23"/>
    </x18tc:mentions>
  </x18tc:threadedComment>
  <x18tc:threadedComment ref="B128" dT="2025-11-06T15:21:14.00" personId="{0c3d7064-8ff9-480b-9457-97a000f0cbac}" id="{41093c08-36a2-419c-9d2a-3a1a46f37121}" parentId="{d7ea2ba6-981a-4347-b91f-c2c9f01e990f}">
    <x18tc:text xml:space="preserve">FEITO</x18tc:text>
  </x18tc:threadedComment>
  <x18tc:threadedComment ref="B218" dT="2025-10-30T20:57:03.00" personId="{93b269c0-4553-4b14-afa4-861c131f49b6}" id="{4055af2b-f008-4597-b532-e69e1ccc2c03}" done="1">
    <x18tc:text xml:space="preserve">Agendar paciente no siga @ubsaracati@cejam.org.br</x18tc:text>
    <x18tc:mentions>
      <x18tc:mention mentionpersonId="{7cca1088-60f7-4dca-9a85-531b3e7ad299}" mentionId="{64fc042f-8b8a-4a85-ad24-65e789c48ddf}" startIndex="25" length="24"/>
    </x18tc:mentions>
  </x18tc:threadedComment>
  <x18tc:threadedComment ref="B284" dT="2025-11-18T14:49:54.00" personId="{93b269c0-4553-4b14-afa4-861c131f49b6}" id="{966e3c32-82ae-4a9a-bac3-bd62bb7e6446}" done="1">
    <x18tc:text xml:space="preserve">Agendar paciente no siga @ubshorizonteazul@cejam.org.br</x18tc:text>
    <x18tc:mentions>
      <x18tc:mention mentionpersonId="{200ca7e3-6742-4f53-950e-cc52c3cae088}" mentionId="{faa5c294-98cf-43f4-8c7a-06dbfa37be8e}" startIndex="25" length="30"/>
    </x18tc:mentions>
  </x18tc:threadedComment>
  <x18tc:threadedComment ref="B284" dT="2025-11-18T16:23:28.00" personId="{4c44551d-b944-40d9-a407-1fd4cc3a66c5}" id="{9d674346-28fc-4b10-8b59-9bde2f30103b}" parentId="{966e3c32-82ae-4a9a-bac3-bd62bb7e6446}">
    <x18tc:text xml:space="preserve">Paciente já agendado</x18tc:text>
  </x18tc:threadedComment>
  <x18tc:threadedComment ref="B214" dT="2025-10-30T20:56:26.00" personId="{93b269c0-4553-4b14-afa4-861c131f49b6}" id="{6db2a1db-d444-4a4b-9375-d77030b3a518}" done="1">
    <x18tc:text xml:space="preserve">Paciente agendado apenas no siga, por favor colocar ele no drive @ubs.altodariviera@cejam.org.br</x18tc:text>
    <x18tc:mentions>
      <x18tc:mention mentionpersonId="{c3e92ff4-a09a-4335-8080-8b10e13aa0a7}" mentionId="{83bbdad9-6366-4bd8-8da2-10c00307f3c2}" startIndex="65" length="31"/>
    </x18tc:mentions>
  </x18tc:threadedComment>
  <x18tc:threadedComment ref="B214" dT="2025-10-30T21:49:48.00" personId="{64d35046-807b-4a53-897f-00fe5e1a5f6c}" id="{cc6d9727-fe6c-4e57-a53c-a2b6d95987d3}" parentId="{6db2a1db-d444-4a4b-9375-d77030b3a518}">
    <x18tc:text xml:space="preserve">Prezada, agendamento cancelado</x18tc:text>
  </x18tc:threadedComment>
  <x18tc:threadedComment ref="B212" dT="2025-11-14T16:57:43.00" personId="{93b269c0-4553-4b14-afa4-861c131f49b6}" id="{85132207-20fb-4154-a12e-70b0f5b225d2}" done="1">
    <x18tc:text xml:space="preserve">agendar no siga @ubsmaraca@cejam.org.br
Atribuído a ubsmaraca@cejam.org.br</x18tc:text>
    <x18tc:mentions>
      <x18tc:mention mentionpersonId="{be94098c-565f-40e3-8e2b-168c08ee10fb}" mentionId="{e7382667-11eb-428d-840c-c4f0f3c7f9b2}" startIndex="16" length="23"/>
    </x18tc:mentions>
  </x18tc:threadedComment>
  <x18tc:threadedComment ref="B291" dT="2025-11-18T14:52:08.00" personId="{93b269c0-4553-4b14-afa4-861c131f49b6}" id="{0edcec18-8314-482b-9e79-75e4e6379e72}" done="1">
    <x18tc:text xml:space="preserve">Agendar paciente no siga @ubsjardimcapela@cejam.org.br
Atribuído a ubsjardimcapela@cejam.org.br</x18tc:text>
    <x18tc:mentions>
      <x18tc:mention mentionpersonId="{c313c91c-86ea-4ff9-b3ae-6a925e7b701a}" mentionId="{bad56bf5-a62f-427a-b239-f830503ffeca}" startIndex="25" length="29"/>
    </x18tc:mentions>
  </x18tc:threadedComment>
  <x18tc:threadedComment ref="G232" dT="2025-11-24T12:50:44.00" personId="{cc1662e0-73b9-43d7-8cf0-9686c35eca92}" id="{bed30b1e-e0cb-41d3-a595-9a84bb123d2a}" done="1">
    <x18tc:text xml:space="preserve">Lançar paciente na planilha @amaubspqfernanda@cejam.org.br</x18tc:text>
    <x18tc:mentions>
      <x18tc:mention mentionpersonId="{6a0cd700-780c-45c2-bf33-717751de6f73}" mentionId="{5a828c03-6fc1-49f7-9081-f4f8ea897ca3}" startIndex="28" length="30"/>
    </x18tc:mentions>
  </x18tc:threadedComment>
  <x18tc:threadedComment ref="B211" dT="2025-11-14T16:57:24.00" personId="{93b269c0-4553-4b14-afa4-861c131f49b6}" id="{9e00ef22-40a0-4bc9-b8d7-175ce658c75f}" done="1">
    <x18tc:text xml:space="preserve">Agendar pacientes no siga @ubsmaraca@cejam.org.br</x18tc:text>
    <x18tc:mentions>
      <x18tc:mention mentionpersonId="{be94098c-565f-40e3-8e2b-168c08ee10fb}" mentionId="{909c8693-dd25-4887-9c9a-a5a455700c50}" startIndex="26" length="23"/>
    </x18tc:mentions>
  </x18tc:threadedComment>
  <x18tc:threadedComment ref="B46" dT="2025-11-04T13:36:04.00" personId="{93b269c0-4553-4b14-afa4-861c131f49b6}" id="{59a7d8f4-1a61-4797-9a82-d62358fecce3}" done="1">
    <x18tc:text xml:space="preserve">Agendar paciente no siga @ubsmagdalena@cejam.org.br</x18tc:text>
    <x18tc:mentions>
      <x18tc:mention mentionpersonId="{f4bfc1a8-c2d0-4b45-bdd7-6dd0e712d9a8}" mentionId="{5e3fa97f-6230-405f-a9bf-430d909ce3f3}" startIndex="25" length="26"/>
    </x18tc:mentions>
  </x18tc:threadedComment>
  <x18tc:threadedComment ref="B194" dT="2025-10-30T20:52:26.00" personId="{93b269c0-4553-4b14-afa4-861c131f49b6}" id="{d6ab08dd-71c3-49ce-ab8b-07e8e1ea0013}" done="1">
    <x18tc:text xml:space="preserve">Paciente agendado no siga por gentileza inserir na planilha tambem @ubs.altodariviera@cejam.org.br</x18tc:text>
    <x18tc:mentions>
      <x18tc:mention mentionpersonId="{c3e92ff4-a09a-4335-8080-8b10e13aa0a7}" mentionId="{8c1810ba-d75b-464a-800e-08405d653f30}" startIndex="67" length="31"/>
    </x18tc:mentions>
  </x18tc:threadedComment>
  <x18tc:threadedComment ref="B45" dT="2025-11-04T13:37:09.00" personId="{93b269c0-4553-4b14-afa4-861c131f49b6}" id="{dfc7da2d-a522-4bca-b851-710702a0ce2b}" done="0">
    <x18tc:text xml:space="preserve">agendar paciente no siga @ubsmaraca@cejam.org.br</x18tc:text>
    <x18tc:mentions>
      <x18tc:mention mentionpersonId="{be94098c-565f-40e3-8e2b-168c08ee10fb}" mentionId="{7b5b5aaf-b368-4d5f-a353-23a52825e2cb}" startIndex="25" length="23"/>
    </x18tc:mentions>
  </x18tc:threadedComment>
  <x18tc:threadedComment ref="B45" dT="2025-11-04T14:43:04.00" personId="{0c3d7064-8ff9-480b-9457-97a000f0cbac}" id="{5fe0f6bc-d53d-422a-8426-7456ec2e888d}" parentId="{dfc7da2d-a522-4bca-b851-710702a0ce2b}">
    <x18tc:text xml:space="preserve">resolvido</x18tc:text>
  </x18tc:threadedComment>
  <x18tc:threadedComment ref="B113" dT="2025-10-30T20:25:19.00" personId="{93b269c0-4553-4b14-afa4-861c131f49b6}" id="{352d85cb-041f-402c-bd2e-a4c21d4e7192}" done="0">
    <x18tc:text xml:space="preserve">Por gentileza agendar paciente no siga @ubsjardimcapela@cejam.org.br</x18tc:text>
    <x18tc:mentions>
      <x18tc:mention mentionpersonId="{c313c91c-86ea-4ff9-b3ae-6a925e7b701a}" mentionId="{126a6ff5-b4b2-4884-8755-5ad05aa62389}" startIndex="39" length="29"/>
    </x18tc:mentions>
  </x18tc:threadedComment>
  <x18tc:threadedComment ref="B113" dT="2025-11-10T20:01:48.00" personId="{93b269c0-4553-4b14-afa4-861c131f49b6}" id="{d0112989-dd50-4a28-9bb9-1fa75d558b27}" parentId="{352d85cb-041f-402c-bd2e-a4c21d4e7192}">
    <x18tc:text xml:space="preserve">Agendar paciente no siga @ubsjardimcapela@cejam.org.br</x18tc:text>
    <x18tc:mentions>
      <x18tc:mention mentionpersonId="{c313c91c-86ea-4ff9-b3ae-6a925e7b701a}" mentionId="{0254caec-4e46-48cd-b0df-15128efcec26}" startIndex="25" length="29"/>
    </x18tc:mentions>
  </x18tc:threadedComment>
  <x18tc:threadedComment ref="B195" dT="2025-10-30T20:53:02.00" personId="{93b269c0-4553-4b14-afa4-861c131f49b6}" id="{0e04dbf8-1750-4f02-9276-32922a084e29}" done="1">
    <x18tc:text xml:space="preserve">Agendar paciente no siga @ubsjardimcapela@cejam.org.br</x18tc:text>
    <x18tc:mentions>
      <x18tc:mention mentionpersonId="{c313c91c-86ea-4ff9-b3ae-6a925e7b701a}" mentionId="{b88a4f7f-3c97-4d7b-8c5e-5fb00ba68209}" startIndex="25" length="29"/>
    </x18tc:mentions>
  </x18tc:threadedComment>
  <x18tc:threadedComment ref="B84" dT="2025-10-30T20:24:24.00" personId="{93b269c0-4553-4b14-afa4-861c131f49b6}" id="{c4ead85f-ca46-44d7-baf9-101201b69bba}" done="1">
    <x18tc:text xml:space="preserve">Por gentileza agendar paciente no siga @ubscomercial@cejam.org.br</x18tc:text>
    <x18tc:mentions>
      <x18tc:mention mentionpersonId="{f67fc7a1-07ac-47f0-8962-1a22b0682ef8}" mentionId="{6d9a8387-a5e5-4020-a690-3e604607c076}" startIndex="39" length="26"/>
    </x18tc:mentions>
  </x18tc:threadedComment>
  <x18tc:threadedComment ref="B40" dT="2025-11-03T14:59:35.00" personId="{93b269c0-4553-4b14-afa4-861c131f49b6}" id="{49ff9fb8-8e2d-4dc9-90f8-40f629651c17}" done="0">
    <x18tc:text xml:space="preserve">Agendar paciente no siga @ubsmaraca@cejam.org.br</x18tc:text>
    <x18tc:mentions>
      <x18tc:mention mentionpersonId="{be94098c-565f-40e3-8e2b-168c08ee10fb}" mentionId="{4b8d6bbe-226a-4daf-9cc3-3d40f1772ce1}" startIndex="25" length="23"/>
    </x18tc:mentions>
  </x18tc:threadedComment>
  <x18tc:threadedComment ref="B40" dT="2025-11-04T13:37:36.00" personId="{93b269c0-4553-4b14-afa4-861c131f49b6}" id="{4291c5a9-0a81-468b-90dc-320aff0b1417}" parentId="{49ff9fb8-8e2d-4dc9-90f8-40f629651c17}">
    <x18tc:text xml:space="preserve">Marcada como resolvida</x18tc:text>
  </x18tc:threadedComment>
  <x18tc:threadedComment ref="B40" dT="2025-11-04T14:43:13.00" personId="{0c3d7064-8ff9-480b-9457-97a000f0cbac}" id="{8a97513c-2eaf-48fa-83ca-a13dcc6b5135}" parentId="{49ff9fb8-8e2d-4dc9-90f8-40f629651c17}">
    <x18tc:text xml:space="preserve">resolvido
Reaberta</x18tc:text>
  </x18tc:threadedComment>
  <x18tc:threadedComment ref="B149" dT="2025-10-30T19:58:37.00" personId="{93b269c0-4553-4b14-afa4-861c131f49b6}" id="{bf12e04f-a919-4afe-ac22-2657684032e6}" done="1">
    <x18tc:text xml:space="preserve">Por gentileza agendar paciente no siga @ubsjardimcapela@cejam.org.br</x18tc:text>
    <x18tc:mentions>
      <x18tc:mention mentionpersonId="{c313c91c-86ea-4ff9-b3ae-6a925e7b701a}" mentionId="{c723c180-61e5-4307-9432-ce9be5abe169}" startIndex="39" length="29"/>
    </x18tc:mentions>
  </x18tc:threadedComment>
  <x18tc:threadedComment ref="B39" dT="2025-11-03T14:59:06.00" personId="{93b269c0-4553-4b14-afa4-861c131f49b6}" id="{e5530b27-681c-4393-86f2-9fd993ca9c16}" done="0">
    <x18tc:text xml:space="preserve">Agendar paciente no siga @ubssaobento@cejam.org.br</x18tc:text>
    <x18tc:mentions>
      <x18tc:mention mentionpersonId="{9ed1f745-a7e4-4559-9942-d2026bedb8fe}" mentionId="{e6d111aa-99dc-4ed0-858f-c1841696a630}" startIndex="25" length="25"/>
    </x18tc:mentions>
  </x18tc:threadedComment>
  <x18tc:threadedComment ref="B39" dT="2025-11-19T10:26:10.00" personId="{bee86a89-0510-450f-86d9-42cab4cc0fe6}" id="{6b10f1e5-8d63-47af-9126-ac7ead026632}" parentId="{e5530b27-681c-4393-86f2-9fd993ca9c16}">
    <x18tc:text xml:space="preserve">Feito!</x18tc:text>
  </x18tc:threadedComment>
  <x18tc:threadedComment ref="G183" dT="2025-11-14T17:11:22.00" personId="{93b269c0-4553-4b14-afa4-861c131f49b6}" id="{50600191-804a-4c81-a8c6-f4c3f7f302b1}" done="1">
    <x18tc:text xml:space="preserve">Agendar paciente no siga @ubscomercial@cejam.org.br
Atribuído a ubscomercial@cejam.org.br</x18tc:text>
    <x18tc:mentions>
      <x18tc:mention mentionpersonId="{f67fc7a1-07ac-47f0-8962-1a22b0682ef8}" mentionId="{66eccba8-7839-4847-b209-49fd573cf74f}" startIndex="25" length="26"/>
    </x18tc:mentions>
  </x18tc:threadedComment>
  <x18tc:threadedComment ref="G182" dT="2025-11-14T17:11:02.00" personId="{93b269c0-4553-4b14-afa4-861c131f49b6}" id="{05e686fc-a49f-4a0e-91cb-5a701bcb094a}" done="1">
    <x18tc:text xml:space="preserve">Agendar paciente no siga @ubscomercial@cejam.org.br
Atribuído a ubscomercial@cejam.org.br</x18tc:text>
    <x18tc:mentions>
      <x18tc:mention mentionpersonId="{f67fc7a1-07ac-47f0-8962-1a22b0682ef8}" mentionId="{6ef0f512-8cfa-4c04-b545-91dd0041d5ad}" startIndex="25" length="26"/>
    </x18tc:mentions>
  </x18tc:threadedComment>
  <x18tc:threadedComment ref="B114" dT="2025-10-28T18:58:23.00" personId="{76f138a9-9786-40c1-8295-36f009f1c354}" id="{e4a30b86-8fb7-480b-ad75-bc353314a814}" done="1">
    <x18tc:text xml:space="preserve">@amaubspqfernanda@cejam.org.br
Conforme orientação essas vagas são destinadas ao DA M'BOI MIRIM, pedimos que o paciente seja remanejado para os dias que correspondem ao DA CAMPO LIMPO.
Atribuído a amaubspqfernanda@cejam.org.br</x18tc:text>
    <x18tc:mentions>
      <x18tc:mention mentionpersonId="{6a0cd700-780c-45c2-bf33-717751de6f73}" mentionId="{5d718900-3c74-4b1c-a6dc-b0bcc36a320a}" startIndex="0" length="30"/>
    </x18tc:mentions>
  </x18tc:threadedComment>
  <x18tc:threadedComment ref="B309" dT="2025-11-18T14:53:40.00" personId="{93b269c0-4553-4b14-afa4-861c131f49b6}" id="{7bb00fd7-0307-43ae-b46e-35af888eacd3}" done="1">
    <x18tc:text xml:space="preserve">Agendar paciente no siga @ubscomercial@cejam.org.br
Atribuído a ubscomercial@cejam.org.br</x18tc:text>
    <x18tc:mentions>
      <x18tc:mention mentionpersonId="{f67fc7a1-07ac-47f0-8962-1a22b0682ef8}" mentionId="{a11aa120-5e40-490e-b75f-18c54ed3c932}" startIndex="25" length="26"/>
    </x18tc:mentions>
  </x18tc:threadedComment>
  <x18tc:threadedComment ref="B160" dT="2025-10-30T20:45:29.00" personId="{93b269c0-4553-4b14-afa4-861c131f49b6}" id="{4c59b35c-7dc5-4d03-a3f2-47d9efee9f21}" done="1">
    <x18tc:text xml:space="preserve">Por gentileza agendar paciente no siga @amaubspqfernanda@cejam.org.br</x18tc:text>
    <x18tc:mentions>
      <x18tc:mention mentionpersonId="{6a0cd700-780c-45c2-bf33-717751de6f73}" mentionId="{3a2c4ca4-ca86-45df-bccf-f9415bf27843}" startIndex="39" length="30"/>
    </x18tc:mentions>
  </x18tc:threadedComment>
  <x18tc:threadedComment ref="B182" dT="2025-11-06T15:01:49.00" personId="{93b269c0-4553-4b14-afa4-861c131f49b6}" id="{dc837097-c73a-4b95-beb8-5753ae7fe4dd}" done="1">
    <x18tc:text xml:space="preserve">agendar paciente no siga @ubscomercial@cejam.org.br</x18tc:text>
    <x18tc:mentions>
      <x18tc:mention mentionpersonId="{f67fc7a1-07ac-47f0-8962-1a22b0682ef8}" mentionId="{079b7bd4-cc45-4d10-84e9-e5fe290554e7}" startIndex="25" length="26"/>
    </x18tc:mentions>
  </x18tc:threadedComment>
  <x18tc:threadedComment ref="B185" dT="2025-11-06T15:02:05.00" personId="{93b269c0-4553-4b14-afa4-861c131f49b6}" id="{12e69180-94a8-4471-b52d-10d2d023caa1}" done="1">
    <x18tc:text xml:space="preserve">agendar paciente no siga @ubscomercial@cejam.org.br</x18tc:text>
    <x18tc:mentions>
      <x18tc:mention mentionpersonId="{f67fc7a1-07ac-47f0-8962-1a22b0682ef8}" mentionId="{52090997-fb52-4cf2-988d-ca4b44e376da}" startIndex="25" length="26"/>
    </x18tc:mentions>
  </x18tc:threadedComment>
  <x18tc:threadedComment ref="B218" dT="2025-11-14T16:59:29.00" personId="{93b269c0-4553-4b14-afa4-861c131f49b6}" id="{d72c5b08-cd39-42f9-8050-315fd31a79aa}" done="1">
    <x18tc:text xml:space="preserve">Agendar no siga @ubsmaraca@cejam.org.br</x18tc:text>
    <x18tc:mentions>
      <x18tc:mention mentionpersonId="{be94098c-565f-40e3-8e2b-168c08ee10fb}" mentionId="{ecc3f728-1990-48a7-9e9b-6e23491dffe1}" startIndex="16" length="23"/>
    </x18tc:mentions>
  </x18tc:threadedComment>
  <x18tc:threadedComment ref="B266" dT="2025-11-18T14:48:31.00" personId="{93b269c0-4553-4b14-afa4-861c131f49b6}" id="{7141f230-e080-4a85-9f8c-e2ac4f7a4a98}" done="0">
    <x18tc:text xml:space="preserve">Agendar paciente no siga @ubssaobento@cejam.org.br
Atribuído a ubssaobento@cejam.org.br</x18tc:text>
    <x18tc:mentions>
      <x18tc:mention mentionpersonId="{9ed1f745-a7e4-4559-9942-d2026bedb8fe}" mentionId="{da61d41f-8318-406d-aacf-906240884479}" startIndex="25" length="25"/>
    </x18tc:mentions>
  </x18tc:threadedComment>
  <x18tc:threadedComment ref="B222" dT="2025-10-30T20:58:22.00" personId="{93b269c0-4553-4b14-afa4-861c131f49b6}" id="{ba6f04f5-34bd-4d3d-8a13-37d7be2cf78f}" done="1">
    <x18tc:text xml:space="preserve">Agendar paciente no siga @amaubspqfernanda@cejam.org.br</x18tc:text>
    <x18tc:mentions>
      <x18tc:mention mentionpersonId="{6a0cd700-780c-45c2-bf33-717751de6f73}" mentionId="{538c13a0-5aaa-4e94-8c77-b648990c86a8}" startIndex="25" length="30"/>
    </x18tc:mentions>
  </x18tc:threadedComment>
  <x18tc:threadedComment ref="B146" dT="2025-10-30T19:57:46.00" personId="{93b269c0-4553-4b14-afa4-861c131f49b6}" id="{81bbbf63-b53c-4299-907a-ec5d657665e9}" done="1">
    <x18tc:text xml:space="preserve">Por gentileza agendar paciente no siga @ubsjardimcapela@cejam.org.br</x18tc:text>
    <x18tc:mentions>
      <x18tc:mention mentionpersonId="{c313c91c-86ea-4ff9-b3ae-6a925e7b701a}" mentionId="{771930e1-acba-48fe-b8a8-eb4f65f0a423}" startIndex="39" length="29"/>
    </x18tc:mentions>
  </x18tc:threadedComment>
  <x18tc:threadedComment ref="B217" dT="2025-11-14T16:59:13.00" personId="{93b269c0-4553-4b14-afa4-861c131f49b6}" id="{e9bc1329-68a2-4a70-a233-0eafa5f63b20}" done="1">
    <x18tc:text xml:space="preserve">agenda no siga @ubsmaraca@cejam.org.br</x18tc:text>
    <x18tc:mentions>
      <x18tc:mention mentionpersonId="{be94098c-565f-40e3-8e2b-168c08ee10fb}" mentionId="{91f3f546-50fe-4a62-9974-356f636742b2}" startIndex="15" length="23"/>
    </x18tc:mentions>
  </x18tc:threadedComment>
  <x18tc:threadedComment ref="B92" dT="2025-11-06T14:11:41.00" personId="{93b269c0-4553-4b14-afa4-861c131f49b6}" id="{cac2f045-d0f9-485a-8a32-00eac57080f1}" done="0">
    <x18tc:text xml:space="preserve">agenda paciente na vaga do siga @ubs.jdguaruja@cejam.org.br</x18tc:text>
    <x18tc:mentions>
      <x18tc:mention mentionpersonId="{3d284860-4d82-4aff-a397-bd2e303a3596}" mentionId="{48811f3e-8749-4dbb-a773-4230bc632f1b}" startIndex="32" length="27"/>
    </x18tc:mentions>
  </x18tc:threadedComment>
  <x18tc:threadedComment ref="B92" dT="2025-11-06T14:19:53.00" personId="{02c28855-b5c5-4c8a-91fc-a33d286dd4fe}" id="{826989cb-c4d4-491e-9e96-9b87e6315287}" parentId="{cac2f045-d0f9-485a-8a32-00eac57080f1}">
    <x18tc:text xml:space="preserve">Agendado ás 11:13</x18tc:text>
  </x18tc:threadedComment>
  <x18tc:threadedComment ref="B216" dT="2025-11-14T16:58:59.00" personId="{93b269c0-4553-4b14-afa4-861c131f49b6}" id="{5c94f31e-59ac-4ceb-bd3a-0fb5b446ac1a}" done="1">
    <x18tc:text xml:space="preserve">Agendar no siga @ubsmaraca@cejam.org.br
Atribuído a ubsmaraca@cejam.org.br</x18tc:text>
    <x18tc:mentions>
      <x18tc:mention mentionpersonId="{be94098c-565f-40e3-8e2b-168c08ee10fb}" mentionId="{e0323fc1-3941-4843-b951-cbfb793618a3}" startIndex="16" length="23"/>
    </x18tc:mentions>
  </x18tc:threadedComment>
  <x18tc:threadedComment ref="B8" dT="2025-10-31T14:45:22.00" personId="{cc1662e0-73b9-43d7-8cf0-9686c35eca92}" id="{dca28a80-6488-4b19-9add-37fa7f4bfa70}" done="1">
    <x18tc:text xml:space="preserve">@ubsmagdalena@cejam.org.br Agendar paciente no siga</x18tc:text>
    <x18tc:mentions>
      <x18tc:mention mentionpersonId="{f4bfc1a8-c2d0-4b45-bdd7-6dd0e712d9a8}" mentionId="{77f87b73-8e1e-4bf5-a68a-776b5ee56143}" startIndex="0" length="26"/>
    </x18tc:mentions>
  </x18tc:threadedComment>
  <x18tc:threadedComment ref="B215" dT="2025-11-14T16:58:38.00" personId="{93b269c0-4553-4b14-afa4-861c131f49b6}" id="{3c04b439-6249-49e3-b328-1d41724fc73d}" done="1">
    <x18tc:text xml:space="preserve">Agendar no siga @ubsmaraca@cejam.org.br</x18tc:text>
    <x18tc:mentions>
      <x18tc:mention mentionpersonId="{be94098c-565f-40e3-8e2b-168c08ee10fb}" mentionId="{72942a9e-358b-44f3-bcab-9ef5cd1cca7e}" startIndex="16" length="23"/>
    </x18tc:mentions>
  </x18tc:threadedComment>
  <x18tc:threadedComment ref="B4" dT="2025-10-31T14:44:34.00" personId="{cc1662e0-73b9-43d7-8cf0-9686c35eca92}" id="{dc002c96-e952-4de8-ac0f-51781cbac094}" done="0">
    <x18tc:text xml:space="preserve">Agendar paciente do siga na planilha</x18tc:text>
  </x18tc:threadedComment>
  <x18tc:threadedComment ref="B4" dT="2025-10-31T15:19:12.00" personId="{cc1662e0-73b9-43d7-8cf0-9686c35eca92}" id="{8a2f1cef-9f62-45cd-8d72-30b0a7d7d98c}" parentId="{dc002c96-e952-4de8-ac0f-51781cbac094}">
    <x18tc:text xml:space="preserve">@ubsmacedonia@cejam.org.br</x18tc:text>
    <x18tc:mentions>
      <x18tc:mention mentionpersonId="{1836d12c-431c-446d-9b07-3fe30729544d}" mentionId="{8ecbf560-24dc-47ce-a0d7-42bc7c6ae098}" startIndex="0" length="26"/>
    </x18tc:mentions>
  </x18tc:threadedComment>
  <x18tc:threadedComment ref="B150" dT="2025-11-06T14:59:36.00" personId="{93b269c0-4553-4b14-afa4-861c131f49b6}" id="{be36cbe2-a80e-4b7c-bd78-8d1d7978fa3b}" done="1">
    <x18tc:text xml:space="preserve">Agendar paciente no siga @ubs.paranapanema@cejam.org.br
Atribuído a ubs.paranapanema@cejam.org.br</x18tc:text>
    <x18tc:mentions>
      <x18tc:mention mentionpersonId="{8d02da16-0574-4ca6-a2a1-ecb998d76d4f}" mentionId="{00a6f055-0c29-4127-a764-e5c18b8bae8f}" startIndex="25" length="30"/>
    </x18tc:mentions>
  </x18tc:threadedComment>
  <x18tc:threadedComment ref="B150" dT="2025-11-06T20:04:36.00" personId="{f4327e05-0dff-4032-a21f-14ecb110a9e3}" id="{ff75f717-e02e-4fca-8f0f-4669f008e14b}" parentId="{be36cbe2-a80e-4b7c-bd78-8d1d7978fa3b}">
    <x18tc:text xml:space="preserve">Paciente do dia 13/11 15:20 agendada.</x18tc:text>
  </x18tc:threadedComment>
  <x18tc:threadedComment ref="B214" dT="2025-11-14T16:58:19.00" personId="{93b269c0-4553-4b14-afa4-861c131f49b6}" id="{e02d502f-347f-4ebe-a1eb-ebfff9162bde}" done="1">
    <x18tc:text xml:space="preserve">Agenda no siga @ubsmaraca@cejam.org.br
Atribuído a ubsmaraca@cejam.org.br</x18tc:text>
    <x18tc:mentions>
      <x18tc:mention mentionpersonId="{be94098c-565f-40e3-8e2b-168c08ee10fb}" mentionId="{a2371dbc-ac21-432a-bac5-287061819e8d}" startIndex="15" length="23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3-04T10:55:03.00" personId="{c9b25987-e1a8-4bfc-95a9-a58f8682c145}" id="{141774d0-fda3-4f77-bb52-679b748b55cf}" done="0">
    <x18tc:text xml:space="preserve">Lançamento equivocado na UBS Aracati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12T18:53:52.00" personId="{54dbd69d-229c-465c-9376-7697fdcacb80}" id="{6742678a-5883-48ee-9842-d0eb39e2d774}" done="1">
    <x18tc:text xml:space="preserve">CAMPO LIMPO- CERTO?</x18tc:text>
  </x18tc:threadedComment>
  <x18tc:threadedComment ref="A1" dT="2025-11-12T19:15:59.00" personId="{93b269c0-4553-4b14-afa4-861c131f49b6}" id="{d27d165a-761b-4bb8-9e55-0bfa179a68fc}" parentId="{6742678a-5883-48ee-9842-d0eb39e2d774}">
    <x18tc:text xml:space="preserve">Não terá atendimento devido ao feriado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4" dT="2025-09-24T19:32:51.00" personId="{76f138a9-9786-40c1-8295-36f009f1c354}" id="{1922fd4e-a9b6-4849-b4d4-016aff6d97a8}" done="1">
    <x18tc:text xml:space="preserve">@ubseledy@cejam.org.br Prezados, favor inserir os pacientes que foram atendidos e não atendidos na coluna status
Atribuído a ubseledy@cejam.org.br</x18tc:text>
    <x18tc:mentions>
      <x18tc:mention mentionpersonId="{a1166811-751b-4d92-a9a4-777d02331616}" mentionId="{f3a0e2a1-f925-4a02-9f5b-ecbeeb75be9e}" startIndex="0" length="22"/>
    </x18tc:mentions>
  </x18tc:threadedComment>
  <x18tc:threadedComment ref="L4" dT="2025-09-24T19:55:12.00" personId="{116ca1be-8764-4d8f-9a03-cabe29e08259}" id="{97928725-48a6-4e73-89b3-1a7c9adcf497}" parentId="{1922fd4e-a9b6-4849-b4d4-016aff6d97a8}">
    <x18tc:text xml:space="preserve">Realizado
Marcado como concluído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4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5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3" max="3" width="16.25"/>
    <col customWidth="1" min="4" max="4" width="20.38"/>
    <col customWidth="1" min="5" max="5" width="24.88"/>
    <col customWidth="1" min="6" max="6" width="19.63"/>
    <col customWidth="1" min="7" max="7" width="45.5"/>
    <col customWidth="1" min="8" max="8" width="15.25"/>
    <col customWidth="1" min="9" max="9" width="18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1" t="s">
        <v>1</v>
      </c>
    </row>
    <row r="4">
      <c r="A4" s="12" t="s">
        <v>10</v>
      </c>
      <c r="B4" s="13"/>
      <c r="C4" s="14"/>
      <c r="D4" s="14"/>
      <c r="E4" s="14"/>
      <c r="F4" s="15"/>
      <c r="G4" s="16"/>
      <c r="H4" s="17"/>
      <c r="I4" s="18"/>
      <c r="J4" s="17"/>
      <c r="K4" s="19"/>
    </row>
    <row r="5">
      <c r="A5" s="12" t="s">
        <v>11</v>
      </c>
      <c r="B5" s="20"/>
      <c r="C5" s="21"/>
      <c r="D5" s="21"/>
      <c r="E5" s="14"/>
      <c r="F5" s="15"/>
      <c r="G5" s="16"/>
      <c r="H5" s="17"/>
      <c r="I5" s="18"/>
      <c r="J5" s="17"/>
      <c r="K5" s="19"/>
    </row>
    <row r="6">
      <c r="A6" s="12" t="s">
        <v>12</v>
      </c>
      <c r="B6" s="20"/>
      <c r="C6" s="21"/>
      <c r="D6" s="21"/>
      <c r="E6" s="14"/>
      <c r="F6" s="15"/>
      <c r="G6" s="16"/>
      <c r="H6" s="17"/>
      <c r="I6" s="18"/>
      <c r="J6" s="22"/>
      <c r="K6" s="19"/>
    </row>
    <row r="7">
      <c r="A7" s="12" t="s">
        <v>13</v>
      </c>
      <c r="B7" s="20"/>
      <c r="C7" s="21"/>
      <c r="D7" s="21"/>
      <c r="E7" s="14"/>
      <c r="F7" s="15"/>
      <c r="G7" s="16"/>
      <c r="H7" s="22"/>
      <c r="I7" s="18"/>
      <c r="J7" s="17"/>
      <c r="K7" s="19"/>
    </row>
    <row r="8">
      <c r="A8" s="12" t="s">
        <v>14</v>
      </c>
      <c r="B8" s="20"/>
      <c r="C8" s="21"/>
      <c r="D8" s="21"/>
      <c r="E8" s="14"/>
      <c r="F8" s="15"/>
      <c r="G8" s="16"/>
      <c r="H8" s="17"/>
      <c r="I8" s="18"/>
      <c r="J8" s="17"/>
      <c r="K8" s="19"/>
    </row>
    <row r="9">
      <c r="A9" s="12" t="s">
        <v>15</v>
      </c>
      <c r="B9" s="20"/>
      <c r="C9" s="21"/>
      <c r="D9" s="21"/>
      <c r="E9" s="14"/>
      <c r="F9" s="15"/>
      <c r="G9" s="16"/>
      <c r="H9" s="17"/>
      <c r="I9" s="18"/>
      <c r="J9" s="17"/>
      <c r="K9" s="19"/>
    </row>
    <row r="10">
      <c r="A10" s="12" t="s">
        <v>16</v>
      </c>
      <c r="B10" s="20"/>
      <c r="C10" s="21"/>
      <c r="D10" s="21"/>
      <c r="E10" s="14"/>
      <c r="F10" s="15"/>
      <c r="G10" s="16"/>
      <c r="H10" s="17"/>
      <c r="I10" s="18"/>
      <c r="J10" s="17"/>
      <c r="K10" s="19"/>
    </row>
    <row r="11">
      <c r="A11" s="12" t="s">
        <v>17</v>
      </c>
      <c r="B11" s="20"/>
      <c r="C11" s="21"/>
      <c r="D11" s="21"/>
      <c r="E11" s="14"/>
      <c r="F11" s="15"/>
      <c r="G11" s="16"/>
      <c r="H11" s="17"/>
      <c r="I11" s="18"/>
      <c r="J11" s="17"/>
      <c r="K11" s="19"/>
    </row>
    <row r="15" ht="36.0" customHeight="1">
      <c r="A15" s="23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>
      <c r="A16" s="24"/>
      <c r="B16" s="2"/>
      <c r="C16" s="2"/>
      <c r="D16" s="2"/>
      <c r="E16" s="2"/>
      <c r="F16" s="2"/>
      <c r="G16" s="2"/>
      <c r="H16" s="2"/>
      <c r="I16" s="2"/>
      <c r="J16" s="2"/>
      <c r="K16" s="3"/>
    </row>
    <row r="17">
      <c r="A17" s="25"/>
      <c r="B17" s="26" t="s">
        <v>3</v>
      </c>
      <c r="C17" s="27" t="s">
        <v>2</v>
      </c>
      <c r="D17" s="28" t="s">
        <v>5</v>
      </c>
      <c r="E17" s="29" t="s">
        <v>19</v>
      </c>
      <c r="F17" s="28" t="s">
        <v>6</v>
      </c>
      <c r="G17" s="28" t="s">
        <v>7</v>
      </c>
      <c r="H17" s="30" t="s">
        <v>8</v>
      </c>
      <c r="I17" s="31" t="s">
        <v>20</v>
      </c>
      <c r="J17" s="32" t="s">
        <v>21</v>
      </c>
      <c r="K17" s="32" t="s">
        <v>22</v>
      </c>
    </row>
    <row r="18">
      <c r="A18" s="12" t="s">
        <v>10</v>
      </c>
      <c r="B18" s="13"/>
      <c r="C18" s="33"/>
      <c r="D18" s="33"/>
      <c r="E18" s="33"/>
      <c r="F18" s="15"/>
      <c r="G18" s="16"/>
      <c r="H18" s="17"/>
      <c r="I18" s="34"/>
      <c r="J18" s="17"/>
      <c r="K18" s="19"/>
    </row>
    <row r="19">
      <c r="A19" s="12" t="s">
        <v>11</v>
      </c>
      <c r="B19" s="20"/>
      <c r="C19" s="33"/>
      <c r="D19" s="33"/>
      <c r="E19" s="33"/>
      <c r="F19" s="15"/>
      <c r="G19" s="16"/>
      <c r="H19" s="17"/>
      <c r="I19" s="34"/>
      <c r="J19" s="17"/>
      <c r="K19" s="19"/>
    </row>
    <row r="20">
      <c r="A20" s="12" t="s">
        <v>12</v>
      </c>
      <c r="B20" s="20"/>
      <c r="C20" s="33"/>
      <c r="D20" s="33"/>
      <c r="E20" s="33"/>
      <c r="F20" s="15"/>
      <c r="G20" s="16"/>
      <c r="H20" s="17"/>
      <c r="I20" s="34"/>
      <c r="J20" s="22"/>
      <c r="K20" s="19"/>
    </row>
    <row r="21">
      <c r="A21" s="12" t="s">
        <v>13</v>
      </c>
      <c r="B21" s="20"/>
      <c r="C21" s="33"/>
      <c r="D21" s="33"/>
      <c r="E21" s="33"/>
      <c r="F21" s="15"/>
      <c r="G21" s="16"/>
      <c r="H21" s="22"/>
      <c r="I21" s="34"/>
      <c r="J21" s="17"/>
      <c r="K21" s="19"/>
    </row>
    <row r="22">
      <c r="A22" s="12" t="s">
        <v>14</v>
      </c>
      <c r="B22" s="20"/>
      <c r="C22" s="33"/>
      <c r="D22" s="33"/>
      <c r="E22" s="33"/>
      <c r="F22" s="15"/>
      <c r="G22" s="16"/>
      <c r="H22" s="17"/>
      <c r="I22" s="34"/>
      <c r="J22" s="17"/>
      <c r="K22" s="19"/>
    </row>
    <row r="23">
      <c r="A23" s="12" t="s">
        <v>15</v>
      </c>
      <c r="B23" s="20"/>
      <c r="C23" s="33"/>
      <c r="D23" s="33"/>
      <c r="E23" s="33"/>
      <c r="F23" s="15"/>
      <c r="G23" s="16"/>
      <c r="H23" s="17"/>
      <c r="I23" s="34"/>
      <c r="J23" s="17"/>
      <c r="K23" s="19"/>
    </row>
    <row r="24">
      <c r="A24" s="12" t="s">
        <v>16</v>
      </c>
      <c r="B24" s="20"/>
      <c r="C24" s="33"/>
      <c r="D24" s="33"/>
      <c r="E24" s="33"/>
      <c r="F24" s="15"/>
      <c r="G24" s="16"/>
      <c r="H24" s="17"/>
      <c r="I24" s="34"/>
      <c r="J24" s="17"/>
      <c r="K24" s="19"/>
    </row>
    <row r="25">
      <c r="A25" s="12" t="s">
        <v>17</v>
      </c>
      <c r="B25" s="20"/>
      <c r="C25" s="33"/>
      <c r="D25" s="33"/>
      <c r="E25" s="33"/>
      <c r="F25" s="15"/>
      <c r="G25" s="16"/>
      <c r="H25" s="17"/>
      <c r="I25" s="34"/>
      <c r="J25" s="17"/>
      <c r="K25" s="19"/>
    </row>
    <row r="29" ht="36.0" customHeight="1">
      <c r="A29" s="1" t="s">
        <v>0</v>
      </c>
      <c r="B29" s="2"/>
      <c r="C29" s="2"/>
      <c r="D29" s="2"/>
      <c r="E29" s="2"/>
      <c r="F29" s="2"/>
      <c r="G29" s="2"/>
      <c r="H29" s="2"/>
      <c r="I29" s="2"/>
      <c r="J29" s="2"/>
      <c r="K29" s="3"/>
    </row>
    <row r="30">
      <c r="A30" s="4"/>
    </row>
    <row r="31">
      <c r="A31" s="5" t="s">
        <v>1</v>
      </c>
      <c r="B31" s="3"/>
      <c r="C31" s="6" t="s">
        <v>2</v>
      </c>
      <c r="D31" s="7" t="s">
        <v>3</v>
      </c>
      <c r="E31" s="6" t="s">
        <v>4</v>
      </c>
      <c r="F31" s="8" t="s">
        <v>5</v>
      </c>
      <c r="G31" s="8" t="s">
        <v>6</v>
      </c>
      <c r="H31" s="8" t="s">
        <v>7</v>
      </c>
      <c r="I31" s="9" t="s">
        <v>8</v>
      </c>
      <c r="J31" s="10" t="s">
        <v>9</v>
      </c>
      <c r="K31" s="11" t="s">
        <v>1</v>
      </c>
    </row>
    <row r="32">
      <c r="A32" s="12" t="s">
        <v>10</v>
      </c>
      <c r="B32" s="13"/>
      <c r="C32" s="14"/>
      <c r="D32" s="14"/>
      <c r="E32" s="14"/>
      <c r="F32" s="15"/>
      <c r="G32" s="16"/>
      <c r="H32" s="17"/>
      <c r="I32" s="18"/>
      <c r="J32" s="17"/>
      <c r="K32" s="19"/>
    </row>
    <row r="33">
      <c r="A33" s="12" t="s">
        <v>11</v>
      </c>
      <c r="B33" s="20"/>
      <c r="C33" s="21"/>
      <c r="D33" s="21"/>
      <c r="E33" s="14"/>
      <c r="F33" s="15"/>
      <c r="G33" s="16"/>
      <c r="H33" s="17"/>
      <c r="I33" s="18"/>
      <c r="J33" s="17"/>
      <c r="K33" s="19"/>
    </row>
    <row r="34">
      <c r="A34" s="12" t="s">
        <v>12</v>
      </c>
      <c r="B34" s="20"/>
      <c r="C34" s="21"/>
      <c r="D34" s="21"/>
      <c r="E34" s="14"/>
      <c r="F34" s="15"/>
      <c r="G34" s="16"/>
      <c r="H34" s="17"/>
      <c r="I34" s="18"/>
      <c r="J34" s="22"/>
      <c r="K34" s="19"/>
    </row>
    <row r="35">
      <c r="A35" s="12" t="s">
        <v>13</v>
      </c>
      <c r="B35" s="20"/>
      <c r="C35" s="21"/>
      <c r="D35" s="21"/>
      <c r="E35" s="14"/>
      <c r="F35" s="15"/>
      <c r="G35" s="16"/>
      <c r="H35" s="22"/>
      <c r="I35" s="18"/>
      <c r="J35" s="17"/>
      <c r="K35" s="19"/>
    </row>
    <row r="36">
      <c r="A36" s="12" t="s">
        <v>14</v>
      </c>
      <c r="B36" s="20"/>
      <c r="C36" s="21"/>
      <c r="D36" s="21"/>
      <c r="E36" s="14"/>
      <c r="F36" s="15"/>
      <c r="G36" s="16"/>
      <c r="H36" s="17"/>
      <c r="I36" s="18"/>
      <c r="J36" s="17"/>
      <c r="K36" s="19"/>
    </row>
    <row r="37">
      <c r="A37" s="12" t="s">
        <v>15</v>
      </c>
      <c r="B37" s="20"/>
      <c r="C37" s="21"/>
      <c r="D37" s="21"/>
      <c r="E37" s="14"/>
      <c r="F37" s="15"/>
      <c r="G37" s="16"/>
      <c r="H37" s="17"/>
      <c r="I37" s="18"/>
      <c r="J37" s="17"/>
      <c r="K37" s="19"/>
    </row>
    <row r="38">
      <c r="A38" s="12" t="s">
        <v>16</v>
      </c>
      <c r="B38" s="20"/>
      <c r="C38" s="21"/>
      <c r="D38" s="21"/>
      <c r="E38" s="14"/>
      <c r="F38" s="15"/>
      <c r="G38" s="16"/>
      <c r="H38" s="17"/>
      <c r="I38" s="18"/>
      <c r="J38" s="17"/>
      <c r="K38" s="19"/>
    </row>
    <row r="39">
      <c r="A39" s="12" t="s">
        <v>17</v>
      </c>
      <c r="B39" s="20"/>
      <c r="C39" s="21"/>
      <c r="D39" s="21"/>
      <c r="E39" s="14"/>
      <c r="F39" s="15"/>
      <c r="G39" s="16"/>
      <c r="H39" s="17"/>
      <c r="I39" s="18"/>
      <c r="J39" s="17"/>
      <c r="K39" s="19"/>
    </row>
  </sheetData>
  <mergeCells count="8">
    <mergeCell ref="A1:K1"/>
    <mergeCell ref="A2:K2"/>
    <mergeCell ref="A3:B3"/>
    <mergeCell ref="A15:K15"/>
    <mergeCell ref="A16:K16"/>
    <mergeCell ref="A29:K29"/>
    <mergeCell ref="A30:K30"/>
    <mergeCell ref="A31:B31"/>
  </mergeCells>
  <dataValidations>
    <dataValidation type="list" allowBlank="1" showErrorMessage="1" sqref="D4:D11 D32:D39">
      <formula1>Keys!$A:$A</formula1>
    </dataValidation>
    <dataValidation type="list" allowBlank="1" showErrorMessage="1" sqref="C4:C11 C32:C39">
      <formula1>"Segunda,Terça,Quarta,Quinta,Sexta,Sábado"</formula1>
    </dataValidation>
    <dataValidation type="list" allowBlank="1" showErrorMessage="1" sqref="E4:E11 E32:E39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Lobo"</formula1>
    </dataValidation>
    <dataValidation type="list" allowBlank="1" showErrorMessage="1" sqref="I18:I25">
      <formula1>"Não atendido ,Atendido ,Vagas livre,Desistência"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3" max="3" width="8.5"/>
    <col customWidth="1" min="4" max="4" width="24.5"/>
    <col customWidth="1" min="5" max="5" width="24.88"/>
    <col customWidth="1" min="7" max="7" width="14.38"/>
    <col customWidth="1" min="8" max="8" width="32.5"/>
    <col customWidth="1" min="10" max="10" width="33.25"/>
    <col customWidth="1" min="11" max="11" width="15.25"/>
    <col customWidth="1" min="14" max="14" width="30.38"/>
  </cols>
  <sheetData>
    <row r="1" ht="36.0" customHeight="1">
      <c r="A1" s="35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31.5" customHeight="1">
      <c r="A2" s="36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1" t="s">
        <v>20</v>
      </c>
      <c r="L3" s="8" t="s">
        <v>25</v>
      </c>
      <c r="M3" s="8" t="s">
        <v>26</v>
      </c>
      <c r="N3" s="8" t="s">
        <v>27</v>
      </c>
      <c r="O3" s="9" t="s">
        <v>28</v>
      </c>
      <c r="P3" s="6" t="s">
        <v>29</v>
      </c>
      <c r="Q3" s="9" t="s">
        <v>30</v>
      </c>
    </row>
    <row r="4">
      <c r="A4" s="12" t="s">
        <v>10</v>
      </c>
      <c r="B4" s="13">
        <v>45919.0</v>
      </c>
      <c r="C4" s="14" t="s">
        <v>31</v>
      </c>
      <c r="D4" s="37" t="s">
        <v>32</v>
      </c>
      <c r="E4" s="14" t="s">
        <v>33</v>
      </c>
      <c r="F4" s="15">
        <v>0.3333333333333333</v>
      </c>
      <c r="G4" s="38">
        <v>8.01440496741239E14</v>
      </c>
      <c r="H4" s="39" t="s">
        <v>34</v>
      </c>
      <c r="I4" s="18">
        <v>16256.0</v>
      </c>
      <c r="J4" s="40" t="s">
        <v>35</v>
      </c>
      <c r="K4" s="41" t="s">
        <v>36</v>
      </c>
      <c r="L4" s="42" t="s">
        <v>37</v>
      </c>
      <c r="M4" s="43"/>
      <c r="N4" s="44" t="s">
        <v>38</v>
      </c>
      <c r="O4" s="45"/>
      <c r="P4" s="46"/>
      <c r="Q4" s="47"/>
    </row>
    <row r="5">
      <c r="A5" s="12" t="s">
        <v>11</v>
      </c>
      <c r="B5" s="13">
        <v>45919.0</v>
      </c>
      <c r="C5" s="14" t="s">
        <v>31</v>
      </c>
      <c r="D5" s="37" t="s">
        <v>32</v>
      </c>
      <c r="E5" s="14" t="s">
        <v>33</v>
      </c>
      <c r="F5" s="15">
        <v>0.3541666666666667</v>
      </c>
      <c r="G5" s="48">
        <v>7.02607241875341E14</v>
      </c>
      <c r="H5" s="49" t="s">
        <v>39</v>
      </c>
      <c r="I5" s="18">
        <v>16162.0</v>
      </c>
      <c r="J5" s="17" t="s">
        <v>40</v>
      </c>
      <c r="K5" s="41" t="s">
        <v>41</v>
      </c>
      <c r="L5" s="42" t="s">
        <v>42</v>
      </c>
      <c r="M5" s="50"/>
      <c r="N5" s="51"/>
      <c r="O5" s="52"/>
      <c r="P5" s="51"/>
      <c r="Q5" s="53"/>
    </row>
    <row r="6">
      <c r="A6" s="12" t="s">
        <v>12</v>
      </c>
      <c r="B6" s="13">
        <v>45919.0</v>
      </c>
      <c r="C6" s="14" t="s">
        <v>31</v>
      </c>
      <c r="D6" s="37" t="s">
        <v>32</v>
      </c>
      <c r="E6" s="14" t="s">
        <v>33</v>
      </c>
      <c r="F6" s="15">
        <v>0.375</v>
      </c>
      <c r="G6" s="48">
        <v>7.0840539469497E14</v>
      </c>
      <c r="H6" s="49" t="s">
        <v>43</v>
      </c>
      <c r="I6" s="18">
        <v>23582.0</v>
      </c>
      <c r="J6" s="22" t="s">
        <v>44</v>
      </c>
      <c r="K6" s="41" t="s">
        <v>41</v>
      </c>
      <c r="L6" s="42" t="s">
        <v>45</v>
      </c>
      <c r="M6" s="54"/>
      <c r="N6" s="55"/>
      <c r="O6" s="56"/>
      <c r="P6" s="55"/>
      <c r="Q6" s="57"/>
    </row>
    <row r="7">
      <c r="A7" s="12" t="s">
        <v>13</v>
      </c>
      <c r="B7" s="13">
        <v>45919.0</v>
      </c>
      <c r="C7" s="14" t="s">
        <v>31</v>
      </c>
      <c r="D7" s="37" t="s">
        <v>32</v>
      </c>
      <c r="E7" s="14" t="s">
        <v>33</v>
      </c>
      <c r="F7" s="15">
        <v>0.3958333333333333</v>
      </c>
      <c r="G7" s="58">
        <v>2.06882539240008E14</v>
      </c>
      <c r="H7" s="59" t="s">
        <v>46</v>
      </c>
      <c r="I7" s="18">
        <v>19518.0</v>
      </c>
      <c r="J7" s="60" t="s">
        <v>47</v>
      </c>
      <c r="K7" s="41" t="s">
        <v>41</v>
      </c>
      <c r="L7" s="42" t="s">
        <v>48</v>
      </c>
      <c r="M7" s="50"/>
      <c r="N7" s="61"/>
      <c r="O7" s="62"/>
      <c r="P7" s="61"/>
      <c r="Q7" s="53"/>
    </row>
    <row r="8">
      <c r="A8" s="12" t="s">
        <v>14</v>
      </c>
      <c r="B8" s="13">
        <v>45919.0</v>
      </c>
      <c r="C8" s="14" t="s">
        <v>31</v>
      </c>
      <c r="D8" s="37" t="s">
        <v>32</v>
      </c>
      <c r="E8" s="14" t="s">
        <v>33</v>
      </c>
      <c r="F8" s="15">
        <v>0.4166666666666667</v>
      </c>
      <c r="G8" s="58">
        <v>1.25455019580005E14</v>
      </c>
      <c r="H8" s="59" t="s">
        <v>49</v>
      </c>
      <c r="I8" s="18">
        <v>19175.0</v>
      </c>
      <c r="J8" s="60" t="s">
        <v>50</v>
      </c>
      <c r="K8" s="41" t="s">
        <v>36</v>
      </c>
      <c r="L8" s="42" t="s">
        <v>51</v>
      </c>
      <c r="M8" s="63"/>
      <c r="N8" s="64" t="s">
        <v>52</v>
      </c>
      <c r="O8" s="56"/>
      <c r="P8" s="64"/>
      <c r="Q8" s="65"/>
    </row>
    <row r="9">
      <c r="A9" s="12" t="s">
        <v>15</v>
      </c>
      <c r="B9" s="13">
        <v>45919.0</v>
      </c>
      <c r="C9" s="14" t="s">
        <v>31</v>
      </c>
      <c r="D9" s="37" t="s">
        <v>32</v>
      </c>
      <c r="E9" s="14" t="s">
        <v>33</v>
      </c>
      <c r="F9" s="15">
        <v>0.4375</v>
      </c>
      <c r="G9" s="58">
        <v>8.01440493365155E14</v>
      </c>
      <c r="H9" s="59" t="s">
        <v>53</v>
      </c>
      <c r="I9" s="18">
        <v>12510.0</v>
      </c>
      <c r="J9" s="60" t="s">
        <v>54</v>
      </c>
      <c r="K9" s="41" t="s">
        <v>41</v>
      </c>
      <c r="L9" s="41" t="s">
        <v>55</v>
      </c>
      <c r="M9" s="50"/>
      <c r="N9" s="61"/>
      <c r="O9" s="62"/>
      <c r="P9" s="61"/>
      <c r="Q9" s="53"/>
    </row>
    <row r="10">
      <c r="A10" s="12" t="s">
        <v>16</v>
      </c>
      <c r="B10" s="13">
        <v>45919.0</v>
      </c>
      <c r="C10" s="14" t="s">
        <v>31</v>
      </c>
      <c r="D10" s="37" t="s">
        <v>32</v>
      </c>
      <c r="E10" s="14" t="s">
        <v>33</v>
      </c>
      <c r="F10" s="15">
        <v>0.4583333333333333</v>
      </c>
      <c r="G10" s="58">
        <v>2.06882030480007E14</v>
      </c>
      <c r="H10" s="59" t="s">
        <v>56</v>
      </c>
      <c r="I10" s="18">
        <v>21475.0</v>
      </c>
      <c r="J10" s="60" t="s">
        <v>57</v>
      </c>
      <c r="K10" s="41" t="s">
        <v>41</v>
      </c>
      <c r="L10" s="42" t="s">
        <v>58</v>
      </c>
      <c r="M10" s="63"/>
      <c r="N10" s="64"/>
      <c r="O10" s="56"/>
      <c r="P10" s="64"/>
      <c r="Q10" s="65"/>
    </row>
    <row r="11">
      <c r="A11" s="12" t="s">
        <v>17</v>
      </c>
      <c r="B11" s="13">
        <v>45919.0</v>
      </c>
      <c r="C11" s="14" t="s">
        <v>31</v>
      </c>
      <c r="D11" s="37" t="s">
        <v>32</v>
      </c>
      <c r="E11" s="14" t="s">
        <v>33</v>
      </c>
      <c r="F11" s="15">
        <v>0.4791666666666667</v>
      </c>
      <c r="G11" s="66">
        <v>1.05612898480004E14</v>
      </c>
      <c r="H11" s="59" t="s">
        <v>59</v>
      </c>
      <c r="I11" s="18">
        <v>17552.0</v>
      </c>
      <c r="J11" s="60" t="s">
        <v>60</v>
      </c>
      <c r="K11" s="41" t="s">
        <v>36</v>
      </c>
      <c r="L11" s="42" t="s">
        <v>61</v>
      </c>
      <c r="M11" s="50"/>
      <c r="N11" s="61" t="s">
        <v>62</v>
      </c>
      <c r="O11" s="62"/>
      <c r="P11" s="61"/>
      <c r="Q11" s="53"/>
    </row>
    <row r="12">
      <c r="D12" s="67"/>
    </row>
    <row r="13">
      <c r="D13" s="67"/>
    </row>
    <row r="14">
      <c r="D14" s="67"/>
      <c r="H14" s="68"/>
    </row>
    <row r="15">
      <c r="D15" s="67"/>
    </row>
    <row r="16">
      <c r="D16" s="67"/>
    </row>
    <row r="17">
      <c r="D17" s="67"/>
    </row>
    <row r="18">
      <c r="D18" s="67"/>
    </row>
    <row r="19">
      <c r="D19" s="67"/>
    </row>
    <row r="20">
      <c r="D20" s="67"/>
    </row>
    <row r="21">
      <c r="D21" s="67"/>
    </row>
    <row r="22">
      <c r="D22" s="67"/>
    </row>
    <row r="23">
      <c r="D23" s="67"/>
    </row>
    <row r="24">
      <c r="D24" s="67"/>
    </row>
    <row r="25">
      <c r="D25" s="67"/>
    </row>
    <row r="26">
      <c r="D26" s="67"/>
    </row>
    <row r="27">
      <c r="D27" s="67"/>
    </row>
    <row r="28">
      <c r="D28" s="67"/>
    </row>
    <row r="29">
      <c r="D29" s="67"/>
    </row>
    <row r="30">
      <c r="D30" s="67"/>
    </row>
    <row r="31">
      <c r="D31" s="67"/>
    </row>
    <row r="32">
      <c r="D32" s="67"/>
    </row>
    <row r="33">
      <c r="D33" s="67"/>
    </row>
    <row r="34">
      <c r="D34" s="67"/>
    </row>
    <row r="35">
      <c r="D35" s="67"/>
    </row>
    <row r="36">
      <c r="D36" s="67"/>
    </row>
    <row r="37">
      <c r="D37" s="67"/>
    </row>
    <row r="38">
      <c r="D38" s="67"/>
    </row>
    <row r="39">
      <c r="D39" s="67"/>
    </row>
    <row r="40">
      <c r="D40" s="67"/>
    </row>
    <row r="41">
      <c r="D41" s="67"/>
    </row>
    <row r="42">
      <c r="D42" s="67"/>
    </row>
    <row r="43">
      <c r="D43" s="67"/>
    </row>
    <row r="44">
      <c r="D44" s="67"/>
    </row>
    <row r="45">
      <c r="D45" s="67"/>
    </row>
    <row r="46">
      <c r="D46" s="67"/>
    </row>
    <row r="47">
      <c r="D47" s="67"/>
    </row>
    <row r="48">
      <c r="D48" s="67"/>
    </row>
    <row r="49">
      <c r="D49" s="67"/>
    </row>
    <row r="50">
      <c r="D50" s="67"/>
    </row>
    <row r="51">
      <c r="D51" s="67"/>
    </row>
    <row r="52">
      <c r="D52" s="67"/>
    </row>
    <row r="53">
      <c r="D53" s="67"/>
    </row>
    <row r="54">
      <c r="D54" s="67"/>
    </row>
    <row r="55">
      <c r="D55" s="67"/>
    </row>
    <row r="56">
      <c r="D56" s="67"/>
    </row>
    <row r="57">
      <c r="D57" s="67"/>
    </row>
    <row r="58">
      <c r="D58" s="67"/>
    </row>
    <row r="59">
      <c r="D59" s="67"/>
    </row>
    <row r="60">
      <c r="D60" s="67"/>
    </row>
    <row r="61">
      <c r="D61" s="67"/>
    </row>
    <row r="62">
      <c r="D62" s="67"/>
    </row>
    <row r="63">
      <c r="D63" s="67"/>
    </row>
    <row r="64">
      <c r="D64" s="67"/>
    </row>
    <row r="65">
      <c r="D65" s="67"/>
    </row>
    <row r="66">
      <c r="D66" s="67"/>
    </row>
    <row r="67">
      <c r="D67" s="67"/>
    </row>
    <row r="68">
      <c r="D68" s="67"/>
    </row>
    <row r="69">
      <c r="D69" s="67"/>
    </row>
    <row r="70">
      <c r="D70" s="67"/>
    </row>
    <row r="71">
      <c r="D71" s="67"/>
    </row>
    <row r="72">
      <c r="D72" s="67"/>
    </row>
    <row r="73">
      <c r="D73" s="67"/>
    </row>
    <row r="74">
      <c r="D74" s="67"/>
    </row>
    <row r="75">
      <c r="D75" s="67"/>
    </row>
    <row r="76">
      <c r="D76" s="67"/>
    </row>
    <row r="77">
      <c r="D77" s="67"/>
    </row>
    <row r="78">
      <c r="D78" s="67"/>
    </row>
    <row r="79">
      <c r="D79" s="67"/>
    </row>
    <row r="80">
      <c r="D80" s="67"/>
    </row>
    <row r="81">
      <c r="D81" s="67"/>
    </row>
    <row r="82">
      <c r="D82" s="67"/>
    </row>
    <row r="83">
      <c r="D83" s="67"/>
    </row>
    <row r="84">
      <c r="D84" s="67"/>
    </row>
    <row r="85">
      <c r="D85" s="67"/>
    </row>
    <row r="86">
      <c r="D86" s="67"/>
    </row>
    <row r="87">
      <c r="D87" s="67"/>
    </row>
    <row r="88">
      <c r="D88" s="67"/>
    </row>
    <row r="89">
      <c r="D89" s="67"/>
    </row>
    <row r="90">
      <c r="D90" s="67"/>
    </row>
    <row r="91">
      <c r="D91" s="67"/>
    </row>
    <row r="92">
      <c r="D92" s="67"/>
    </row>
    <row r="93">
      <c r="D93" s="67"/>
    </row>
    <row r="94">
      <c r="D94" s="67"/>
    </row>
    <row r="95">
      <c r="D95" s="67"/>
    </row>
    <row r="96">
      <c r="D96" s="67"/>
    </row>
    <row r="97">
      <c r="D97" s="67"/>
    </row>
    <row r="98">
      <c r="D98" s="67"/>
    </row>
    <row r="99">
      <c r="D99" s="67"/>
    </row>
    <row r="100">
      <c r="D100" s="67"/>
    </row>
    <row r="101">
      <c r="D101" s="67"/>
    </row>
    <row r="102">
      <c r="D102" s="67"/>
    </row>
    <row r="103">
      <c r="D103" s="67"/>
    </row>
    <row r="104">
      <c r="D104" s="67"/>
    </row>
    <row r="105">
      <c r="D105" s="67"/>
    </row>
    <row r="106">
      <c r="D106" s="67"/>
    </row>
    <row r="107">
      <c r="D107" s="67"/>
    </row>
    <row r="108">
      <c r="D108" s="67"/>
    </row>
    <row r="109">
      <c r="D109" s="67"/>
    </row>
    <row r="110">
      <c r="D110" s="67"/>
    </row>
    <row r="111">
      <c r="D111" s="67"/>
    </row>
    <row r="112">
      <c r="D112" s="67"/>
    </row>
    <row r="113">
      <c r="D113" s="67"/>
    </row>
    <row r="114">
      <c r="D114" s="67"/>
    </row>
    <row r="115">
      <c r="D115" s="67"/>
    </row>
    <row r="116">
      <c r="D116" s="67"/>
    </row>
    <row r="117">
      <c r="D117" s="67"/>
    </row>
    <row r="118">
      <c r="D118" s="67"/>
    </row>
    <row r="119">
      <c r="D119" s="67"/>
    </row>
    <row r="120">
      <c r="D120" s="67"/>
    </row>
    <row r="121">
      <c r="D121" s="67"/>
    </row>
    <row r="122">
      <c r="D122" s="67"/>
    </row>
    <row r="123">
      <c r="D123" s="67"/>
    </row>
    <row r="124">
      <c r="D124" s="67"/>
    </row>
    <row r="125">
      <c r="D125" s="67"/>
    </row>
    <row r="126">
      <c r="D126" s="67"/>
    </row>
    <row r="127">
      <c r="D127" s="67"/>
    </row>
    <row r="128">
      <c r="D128" s="67"/>
    </row>
    <row r="129">
      <c r="D129" s="67"/>
    </row>
    <row r="130">
      <c r="D130" s="67"/>
    </row>
    <row r="131">
      <c r="D131" s="67"/>
    </row>
    <row r="132">
      <c r="D132" s="67"/>
    </row>
    <row r="133">
      <c r="D133" s="67"/>
    </row>
    <row r="134">
      <c r="D134" s="67"/>
    </row>
    <row r="135">
      <c r="D135" s="67"/>
    </row>
    <row r="136">
      <c r="D136" s="67"/>
    </row>
    <row r="137">
      <c r="D137" s="67"/>
    </row>
    <row r="138">
      <c r="D138" s="67"/>
    </row>
    <row r="139">
      <c r="D139" s="67"/>
    </row>
    <row r="140">
      <c r="D140" s="67"/>
    </row>
    <row r="141">
      <c r="D141" s="67"/>
    </row>
    <row r="142">
      <c r="D142" s="67"/>
    </row>
    <row r="143">
      <c r="D143" s="67"/>
    </row>
    <row r="144">
      <c r="D144" s="67"/>
    </row>
    <row r="145">
      <c r="D145" s="67"/>
    </row>
    <row r="146">
      <c r="D146" s="67"/>
    </row>
    <row r="147">
      <c r="D147" s="67"/>
    </row>
    <row r="148">
      <c r="D148" s="67"/>
    </row>
    <row r="149">
      <c r="D149" s="67"/>
    </row>
    <row r="150">
      <c r="D150" s="67"/>
    </row>
    <row r="151">
      <c r="D151" s="67"/>
    </row>
    <row r="152">
      <c r="D152" s="67"/>
    </row>
    <row r="153">
      <c r="D153" s="67"/>
    </row>
    <row r="154">
      <c r="D154" s="67"/>
    </row>
    <row r="155">
      <c r="D155" s="67"/>
    </row>
    <row r="156">
      <c r="D156" s="67"/>
    </row>
    <row r="157">
      <c r="D157" s="67"/>
    </row>
    <row r="158">
      <c r="D158" s="67"/>
    </row>
    <row r="159">
      <c r="D159" s="67"/>
    </row>
    <row r="160">
      <c r="D160" s="67"/>
    </row>
    <row r="161">
      <c r="D161" s="67"/>
    </row>
    <row r="162">
      <c r="D162" s="67"/>
    </row>
    <row r="163">
      <c r="D163" s="67"/>
    </row>
    <row r="164">
      <c r="D164" s="67"/>
    </row>
    <row r="165">
      <c r="D165" s="67"/>
    </row>
    <row r="166">
      <c r="D166" s="67"/>
    </row>
    <row r="167">
      <c r="D167" s="67"/>
    </row>
    <row r="168">
      <c r="D168" s="67"/>
    </row>
    <row r="169">
      <c r="D169" s="67"/>
    </row>
    <row r="170">
      <c r="D170" s="67"/>
    </row>
    <row r="171">
      <c r="D171" s="67"/>
    </row>
    <row r="172">
      <c r="D172" s="67"/>
    </row>
    <row r="173">
      <c r="D173" s="67"/>
    </row>
    <row r="174">
      <c r="D174" s="67"/>
    </row>
    <row r="175">
      <c r="D175" s="67"/>
    </row>
    <row r="176">
      <c r="D176" s="67"/>
    </row>
    <row r="177">
      <c r="D177" s="67"/>
    </row>
    <row r="178">
      <c r="D178" s="67"/>
    </row>
    <row r="179">
      <c r="D179" s="67"/>
    </row>
    <row r="180">
      <c r="D180" s="67"/>
    </row>
    <row r="181">
      <c r="D181" s="67"/>
    </row>
    <row r="182">
      <c r="D182" s="67"/>
    </row>
    <row r="183">
      <c r="D183" s="67"/>
    </row>
    <row r="184">
      <c r="D184" s="67"/>
    </row>
    <row r="185">
      <c r="D185" s="67"/>
    </row>
    <row r="186">
      <c r="D186" s="67"/>
    </row>
    <row r="187">
      <c r="D187" s="67"/>
    </row>
    <row r="188">
      <c r="D188" s="67"/>
    </row>
    <row r="189">
      <c r="D189" s="67"/>
    </row>
    <row r="190">
      <c r="D190" s="67"/>
    </row>
    <row r="191">
      <c r="D191" s="67"/>
    </row>
    <row r="192">
      <c r="D192" s="67"/>
    </row>
    <row r="193">
      <c r="D193" s="67"/>
    </row>
    <row r="194">
      <c r="D194" s="67"/>
    </row>
    <row r="195">
      <c r="D195" s="67"/>
    </row>
    <row r="196">
      <c r="D196" s="67"/>
    </row>
    <row r="197">
      <c r="D197" s="67"/>
    </row>
    <row r="198">
      <c r="D198" s="67"/>
    </row>
    <row r="199">
      <c r="D199" s="67"/>
    </row>
    <row r="200">
      <c r="D200" s="67"/>
    </row>
    <row r="201">
      <c r="D201" s="67"/>
    </row>
    <row r="202">
      <c r="D202" s="67"/>
    </row>
    <row r="203">
      <c r="D203" s="67"/>
    </row>
    <row r="204">
      <c r="D204" s="67"/>
    </row>
    <row r="205">
      <c r="D205" s="67"/>
    </row>
    <row r="206">
      <c r="D206" s="67"/>
    </row>
    <row r="207">
      <c r="D207" s="67"/>
    </row>
    <row r="208">
      <c r="D208" s="67"/>
    </row>
    <row r="209">
      <c r="D209" s="67"/>
    </row>
    <row r="210">
      <c r="D210" s="67"/>
    </row>
    <row r="211">
      <c r="D211" s="67"/>
    </row>
    <row r="212">
      <c r="D212" s="67"/>
    </row>
    <row r="213">
      <c r="D213" s="67"/>
    </row>
    <row r="214">
      <c r="D214" s="67"/>
    </row>
    <row r="215">
      <c r="D215" s="67"/>
    </row>
    <row r="216">
      <c r="D216" s="67"/>
    </row>
    <row r="217">
      <c r="D217" s="67"/>
    </row>
    <row r="218">
      <c r="D218" s="67"/>
    </row>
    <row r="219">
      <c r="D219" s="67"/>
    </row>
    <row r="220">
      <c r="D220" s="67"/>
    </row>
    <row r="221">
      <c r="D221" s="67"/>
    </row>
    <row r="222">
      <c r="D222" s="67"/>
    </row>
    <row r="223">
      <c r="D223" s="67"/>
    </row>
    <row r="224">
      <c r="D224" s="67"/>
    </row>
    <row r="225">
      <c r="D225" s="67"/>
    </row>
    <row r="226">
      <c r="D226" s="67"/>
    </row>
    <row r="227">
      <c r="D227" s="67"/>
    </row>
    <row r="228">
      <c r="D228" s="67"/>
    </row>
    <row r="229">
      <c r="D229" s="67"/>
    </row>
    <row r="230">
      <c r="D230" s="67"/>
    </row>
    <row r="231">
      <c r="D231" s="67"/>
    </row>
    <row r="232">
      <c r="D232" s="67"/>
    </row>
    <row r="233">
      <c r="D233" s="67"/>
    </row>
    <row r="234">
      <c r="D234" s="67"/>
    </row>
    <row r="235">
      <c r="D235" s="67"/>
    </row>
    <row r="236">
      <c r="D236" s="67"/>
    </row>
    <row r="237">
      <c r="D237" s="67"/>
    </row>
    <row r="238">
      <c r="D238" s="67"/>
    </row>
    <row r="239">
      <c r="D239" s="67"/>
    </row>
    <row r="240">
      <c r="D240" s="67"/>
    </row>
    <row r="241">
      <c r="D241" s="67"/>
    </row>
    <row r="242">
      <c r="D242" s="67"/>
    </row>
    <row r="243">
      <c r="D243" s="67"/>
    </row>
    <row r="244">
      <c r="D244" s="67"/>
    </row>
    <row r="245">
      <c r="D245" s="67"/>
    </row>
    <row r="246">
      <c r="D246" s="67"/>
    </row>
    <row r="247">
      <c r="D247" s="67"/>
    </row>
    <row r="248">
      <c r="D248" s="67"/>
    </row>
    <row r="249">
      <c r="D249" s="67"/>
    </row>
    <row r="250">
      <c r="D250" s="67"/>
    </row>
    <row r="251">
      <c r="D251" s="67"/>
    </row>
    <row r="252">
      <c r="D252" s="67"/>
    </row>
    <row r="253">
      <c r="D253" s="67"/>
    </row>
    <row r="254">
      <c r="D254" s="67"/>
    </row>
    <row r="255">
      <c r="D255" s="67"/>
    </row>
    <row r="256">
      <c r="D256" s="67"/>
    </row>
    <row r="257">
      <c r="D257" s="67"/>
    </row>
    <row r="258">
      <c r="D258" s="67"/>
    </row>
    <row r="259">
      <c r="D259" s="67"/>
    </row>
    <row r="260">
      <c r="D260" s="67"/>
    </row>
    <row r="261">
      <c r="D261" s="67"/>
    </row>
    <row r="262">
      <c r="D262" s="67"/>
    </row>
    <row r="263">
      <c r="D263" s="67"/>
    </row>
    <row r="264">
      <c r="D264" s="67"/>
    </row>
    <row r="265">
      <c r="D265" s="67"/>
    </row>
    <row r="266">
      <c r="D266" s="67"/>
    </row>
    <row r="267">
      <c r="D267" s="67"/>
    </row>
    <row r="268">
      <c r="D268" s="67"/>
    </row>
    <row r="269">
      <c r="D269" s="67"/>
    </row>
    <row r="270">
      <c r="D270" s="67"/>
    </row>
    <row r="271">
      <c r="D271" s="67"/>
    </row>
    <row r="272">
      <c r="D272" s="67"/>
    </row>
    <row r="273">
      <c r="D273" s="67"/>
    </row>
    <row r="274">
      <c r="D274" s="67"/>
    </row>
    <row r="275">
      <c r="D275" s="67"/>
    </row>
    <row r="276">
      <c r="D276" s="67"/>
    </row>
    <row r="277">
      <c r="D277" s="67"/>
    </row>
    <row r="278">
      <c r="D278" s="67"/>
    </row>
    <row r="279">
      <c r="D279" s="67"/>
    </row>
    <row r="280">
      <c r="D280" s="67"/>
    </row>
    <row r="281">
      <c r="D281" s="67"/>
    </row>
    <row r="282">
      <c r="D282" s="67"/>
    </row>
    <row r="283">
      <c r="D283" s="67"/>
    </row>
    <row r="284">
      <c r="D284" s="67"/>
    </row>
    <row r="285">
      <c r="D285" s="67"/>
    </row>
    <row r="286">
      <c r="D286" s="67"/>
    </row>
    <row r="287">
      <c r="D287" s="67"/>
    </row>
    <row r="288">
      <c r="D288" s="67"/>
    </row>
    <row r="289">
      <c r="D289" s="67"/>
    </row>
    <row r="290">
      <c r="D290" s="67"/>
    </row>
    <row r="291">
      <c r="D291" s="67"/>
    </row>
    <row r="292">
      <c r="D292" s="67"/>
    </row>
    <row r="293">
      <c r="D293" s="67"/>
    </row>
    <row r="294">
      <c r="D294" s="67"/>
    </row>
    <row r="295">
      <c r="D295" s="67"/>
    </row>
    <row r="296">
      <c r="D296" s="67"/>
    </row>
    <row r="297">
      <c r="D297" s="67"/>
    </row>
    <row r="298">
      <c r="D298" s="67"/>
    </row>
    <row r="299">
      <c r="D299" s="67"/>
    </row>
    <row r="300">
      <c r="D300" s="67"/>
    </row>
    <row r="301">
      <c r="D301" s="67"/>
    </row>
    <row r="302">
      <c r="D302" s="67"/>
    </row>
    <row r="303">
      <c r="D303" s="67"/>
    </row>
    <row r="304">
      <c r="D304" s="67"/>
    </row>
    <row r="305">
      <c r="D305" s="67"/>
    </row>
    <row r="306">
      <c r="D306" s="67"/>
    </row>
    <row r="307">
      <c r="D307" s="67"/>
    </row>
    <row r="308">
      <c r="D308" s="67"/>
    </row>
    <row r="309">
      <c r="D309" s="67"/>
    </row>
    <row r="310">
      <c r="D310" s="67"/>
    </row>
    <row r="311">
      <c r="D311" s="67"/>
    </row>
    <row r="312">
      <c r="D312" s="67"/>
    </row>
    <row r="313">
      <c r="D313" s="67"/>
    </row>
    <row r="314">
      <c r="D314" s="67"/>
    </row>
    <row r="315">
      <c r="D315" s="67"/>
    </row>
    <row r="316">
      <c r="D316" s="67"/>
    </row>
    <row r="317">
      <c r="D317" s="67"/>
    </row>
    <row r="318">
      <c r="D318" s="67"/>
    </row>
    <row r="319">
      <c r="D319" s="67"/>
    </row>
    <row r="320">
      <c r="D320" s="67"/>
    </row>
    <row r="321">
      <c r="D321" s="67"/>
    </row>
    <row r="322">
      <c r="D322" s="67"/>
    </row>
    <row r="323">
      <c r="D323" s="67"/>
    </row>
    <row r="324">
      <c r="D324" s="67"/>
    </row>
    <row r="325">
      <c r="D325" s="67"/>
    </row>
    <row r="326">
      <c r="D326" s="67"/>
    </row>
    <row r="327">
      <c r="D327" s="67"/>
    </row>
    <row r="328">
      <c r="D328" s="67"/>
    </row>
    <row r="329">
      <c r="D329" s="67"/>
    </row>
    <row r="330">
      <c r="D330" s="67"/>
    </row>
    <row r="331">
      <c r="D331" s="67"/>
    </row>
    <row r="332">
      <c r="D332" s="67"/>
    </row>
    <row r="333">
      <c r="D333" s="67"/>
    </row>
    <row r="334">
      <c r="D334" s="67"/>
    </row>
    <row r="335">
      <c r="D335" s="67"/>
    </row>
    <row r="336">
      <c r="D336" s="67"/>
    </row>
    <row r="337">
      <c r="D337" s="67"/>
    </row>
    <row r="338">
      <c r="D338" s="67"/>
    </row>
    <row r="339">
      <c r="D339" s="67"/>
    </row>
    <row r="340">
      <c r="D340" s="67"/>
    </row>
    <row r="341">
      <c r="D341" s="67"/>
    </row>
    <row r="342">
      <c r="D342" s="67"/>
    </row>
    <row r="343">
      <c r="D343" s="67"/>
    </row>
    <row r="344">
      <c r="D344" s="67"/>
    </row>
    <row r="345">
      <c r="D345" s="67"/>
    </row>
    <row r="346">
      <c r="D346" s="67"/>
    </row>
    <row r="347">
      <c r="D347" s="67"/>
    </row>
    <row r="348">
      <c r="D348" s="67"/>
    </row>
    <row r="349">
      <c r="D349" s="67"/>
    </row>
    <row r="350">
      <c r="D350" s="67"/>
    </row>
    <row r="351">
      <c r="D351" s="67"/>
    </row>
    <row r="352">
      <c r="D352" s="67"/>
    </row>
    <row r="353">
      <c r="D353" s="67"/>
    </row>
    <row r="354">
      <c r="D354" s="67"/>
    </row>
    <row r="355">
      <c r="D355" s="67"/>
    </row>
    <row r="356">
      <c r="D356" s="67"/>
    </row>
    <row r="357">
      <c r="D357" s="67"/>
    </row>
    <row r="358">
      <c r="D358" s="67"/>
    </row>
    <row r="359">
      <c r="D359" s="67"/>
    </row>
    <row r="360">
      <c r="D360" s="67"/>
    </row>
    <row r="361">
      <c r="D361" s="67"/>
    </row>
    <row r="362">
      <c r="D362" s="67"/>
    </row>
    <row r="363">
      <c r="D363" s="67"/>
    </row>
    <row r="364">
      <c r="D364" s="67"/>
    </row>
    <row r="365">
      <c r="D365" s="67"/>
    </row>
    <row r="366">
      <c r="D366" s="67"/>
    </row>
    <row r="367">
      <c r="D367" s="67"/>
    </row>
    <row r="368">
      <c r="D368" s="67"/>
    </row>
    <row r="369">
      <c r="D369" s="67"/>
    </row>
    <row r="370">
      <c r="D370" s="67"/>
    </row>
    <row r="371">
      <c r="D371" s="67"/>
    </row>
    <row r="372">
      <c r="D372" s="67"/>
    </row>
    <row r="373">
      <c r="D373" s="67"/>
    </row>
    <row r="374">
      <c r="D374" s="67"/>
    </row>
    <row r="375">
      <c r="D375" s="67"/>
    </row>
    <row r="376">
      <c r="D376" s="67"/>
    </row>
    <row r="377">
      <c r="D377" s="67"/>
    </row>
    <row r="378">
      <c r="D378" s="67"/>
    </row>
    <row r="379">
      <c r="D379" s="67"/>
    </row>
    <row r="380">
      <c r="D380" s="67"/>
    </row>
    <row r="381">
      <c r="D381" s="67"/>
    </row>
    <row r="382">
      <c r="D382" s="67"/>
    </row>
    <row r="383">
      <c r="D383" s="67"/>
    </row>
    <row r="384">
      <c r="D384" s="67"/>
    </row>
    <row r="385">
      <c r="D385" s="67"/>
    </row>
    <row r="386">
      <c r="D386" s="67"/>
    </row>
    <row r="387">
      <c r="D387" s="67"/>
    </row>
    <row r="388">
      <c r="D388" s="67"/>
    </row>
    <row r="389">
      <c r="D389" s="67"/>
    </row>
    <row r="390">
      <c r="D390" s="67"/>
    </row>
    <row r="391">
      <c r="D391" s="67"/>
    </row>
    <row r="392">
      <c r="D392" s="67"/>
    </row>
    <row r="393">
      <c r="D393" s="67"/>
    </row>
    <row r="394">
      <c r="D394" s="67"/>
    </row>
    <row r="395">
      <c r="D395" s="67"/>
    </row>
    <row r="396">
      <c r="D396" s="67"/>
    </row>
    <row r="397">
      <c r="D397" s="67"/>
    </row>
    <row r="398">
      <c r="D398" s="67"/>
    </row>
    <row r="399">
      <c r="D399" s="67"/>
    </row>
    <row r="400">
      <c r="D400" s="67"/>
    </row>
    <row r="401">
      <c r="D401" s="67"/>
    </row>
    <row r="402">
      <c r="D402" s="67"/>
    </row>
    <row r="403">
      <c r="D403" s="67"/>
    </row>
    <row r="404">
      <c r="D404" s="67"/>
    </row>
    <row r="405">
      <c r="D405" s="67"/>
    </row>
    <row r="406">
      <c r="D406" s="67"/>
    </row>
    <row r="407">
      <c r="D407" s="67"/>
    </row>
    <row r="408">
      <c r="D408" s="67"/>
    </row>
    <row r="409">
      <c r="D409" s="67"/>
    </row>
    <row r="410">
      <c r="D410" s="67"/>
    </row>
    <row r="411">
      <c r="D411" s="67"/>
    </row>
    <row r="412">
      <c r="D412" s="67"/>
    </row>
    <row r="413">
      <c r="D413" s="67"/>
    </row>
    <row r="414">
      <c r="D414" s="67"/>
    </row>
    <row r="415">
      <c r="D415" s="67"/>
    </row>
    <row r="416">
      <c r="D416" s="67"/>
    </row>
    <row r="417">
      <c r="D417" s="67"/>
    </row>
    <row r="418">
      <c r="D418" s="67"/>
    </row>
    <row r="419">
      <c r="D419" s="67"/>
    </row>
    <row r="420">
      <c r="D420" s="67"/>
    </row>
    <row r="421">
      <c r="D421" s="67"/>
    </row>
    <row r="422">
      <c r="D422" s="67"/>
    </row>
    <row r="423">
      <c r="D423" s="67"/>
    </row>
    <row r="424">
      <c r="D424" s="67"/>
    </row>
    <row r="425">
      <c r="D425" s="67"/>
    </row>
    <row r="426">
      <c r="D426" s="67"/>
    </row>
    <row r="427">
      <c r="D427" s="67"/>
    </row>
    <row r="428">
      <c r="D428" s="67"/>
    </row>
    <row r="429">
      <c r="D429" s="67"/>
    </row>
    <row r="430">
      <c r="D430" s="67"/>
    </row>
    <row r="431">
      <c r="D431" s="67"/>
    </row>
    <row r="432">
      <c r="D432" s="67"/>
    </row>
    <row r="433">
      <c r="D433" s="67"/>
    </row>
    <row r="434">
      <c r="D434" s="67"/>
    </row>
    <row r="435">
      <c r="D435" s="67"/>
    </row>
    <row r="436">
      <c r="D436" s="67"/>
    </row>
    <row r="437">
      <c r="D437" s="67"/>
    </row>
    <row r="438">
      <c r="D438" s="67"/>
    </row>
    <row r="439">
      <c r="D439" s="67"/>
    </row>
    <row r="440">
      <c r="D440" s="67"/>
    </row>
    <row r="441">
      <c r="D441" s="67"/>
    </row>
    <row r="442">
      <c r="D442" s="67"/>
    </row>
    <row r="443">
      <c r="D443" s="67"/>
    </row>
    <row r="444">
      <c r="D444" s="67"/>
    </row>
    <row r="445">
      <c r="D445" s="67"/>
    </row>
    <row r="446">
      <c r="D446" s="67"/>
    </row>
    <row r="447">
      <c r="D447" s="67"/>
    </row>
    <row r="448">
      <c r="D448" s="67"/>
    </row>
    <row r="449">
      <c r="D449" s="67"/>
    </row>
    <row r="450">
      <c r="D450" s="67"/>
    </row>
    <row r="451">
      <c r="D451" s="67"/>
    </row>
    <row r="452">
      <c r="D452" s="67"/>
    </row>
    <row r="453">
      <c r="D453" s="67"/>
    </row>
    <row r="454">
      <c r="D454" s="67"/>
    </row>
    <row r="455">
      <c r="D455" s="67"/>
    </row>
    <row r="456">
      <c r="D456" s="67"/>
    </row>
    <row r="457">
      <c r="D457" s="67"/>
    </row>
    <row r="458">
      <c r="D458" s="67"/>
    </row>
    <row r="459">
      <c r="D459" s="67"/>
    </row>
    <row r="460">
      <c r="D460" s="67"/>
    </row>
    <row r="461">
      <c r="D461" s="67"/>
    </row>
    <row r="462">
      <c r="D462" s="67"/>
    </row>
    <row r="463">
      <c r="D463" s="67"/>
    </row>
    <row r="464">
      <c r="D464" s="67"/>
    </row>
    <row r="465">
      <c r="D465" s="67"/>
    </row>
    <row r="466">
      <c r="D466" s="67"/>
    </row>
    <row r="467">
      <c r="D467" s="67"/>
    </row>
    <row r="468">
      <c r="D468" s="67"/>
    </row>
    <row r="469">
      <c r="D469" s="67"/>
    </row>
    <row r="470">
      <c r="D470" s="67"/>
    </row>
    <row r="471">
      <c r="D471" s="67"/>
    </row>
    <row r="472">
      <c r="D472" s="67"/>
    </row>
    <row r="473">
      <c r="D473" s="67"/>
    </row>
    <row r="474">
      <c r="D474" s="67"/>
    </row>
    <row r="475">
      <c r="D475" s="67"/>
    </row>
    <row r="476">
      <c r="D476" s="67"/>
    </row>
    <row r="477">
      <c r="D477" s="67"/>
    </row>
    <row r="478">
      <c r="D478" s="67"/>
    </row>
    <row r="479">
      <c r="D479" s="67"/>
    </row>
    <row r="480">
      <c r="D480" s="67"/>
    </row>
    <row r="481">
      <c r="D481" s="67"/>
    </row>
    <row r="482">
      <c r="D482" s="67"/>
    </row>
    <row r="483">
      <c r="D483" s="67"/>
    </row>
    <row r="484">
      <c r="D484" s="67"/>
    </row>
    <row r="485">
      <c r="D485" s="67"/>
    </row>
    <row r="486">
      <c r="D486" s="67"/>
    </row>
    <row r="487">
      <c r="D487" s="67"/>
    </row>
    <row r="488">
      <c r="D488" s="67"/>
    </row>
    <row r="489">
      <c r="D489" s="67"/>
    </row>
    <row r="490">
      <c r="D490" s="67"/>
    </row>
    <row r="491">
      <c r="D491" s="67"/>
    </row>
    <row r="492">
      <c r="D492" s="67"/>
    </row>
    <row r="493">
      <c r="D493" s="67"/>
    </row>
    <row r="494">
      <c r="D494" s="67"/>
    </row>
    <row r="495">
      <c r="D495" s="67"/>
    </row>
    <row r="496">
      <c r="D496" s="67"/>
    </row>
    <row r="497">
      <c r="D497" s="67"/>
    </row>
    <row r="498">
      <c r="D498" s="67"/>
    </row>
    <row r="499">
      <c r="D499" s="67"/>
    </row>
    <row r="500">
      <c r="D500" s="67"/>
    </row>
    <row r="501">
      <c r="D501" s="67"/>
    </row>
    <row r="502">
      <c r="D502" s="67"/>
    </row>
    <row r="503">
      <c r="D503" s="67"/>
    </row>
    <row r="504">
      <c r="D504" s="67"/>
    </row>
    <row r="505">
      <c r="D505" s="67"/>
    </row>
    <row r="506">
      <c r="D506" s="67"/>
    </row>
    <row r="507">
      <c r="D507" s="67"/>
    </row>
    <row r="508">
      <c r="D508" s="67"/>
    </row>
    <row r="509">
      <c r="D509" s="67"/>
    </row>
    <row r="510">
      <c r="D510" s="67"/>
    </row>
    <row r="511">
      <c r="D511" s="67"/>
    </row>
    <row r="512">
      <c r="D512" s="67"/>
    </row>
    <row r="513">
      <c r="D513" s="67"/>
    </row>
    <row r="514">
      <c r="D514" s="67"/>
    </row>
    <row r="515">
      <c r="D515" s="67"/>
    </row>
    <row r="516">
      <c r="D516" s="67"/>
    </row>
    <row r="517">
      <c r="D517" s="67"/>
    </row>
    <row r="518">
      <c r="D518" s="67"/>
    </row>
    <row r="519">
      <c r="D519" s="67"/>
    </row>
    <row r="520">
      <c r="D520" s="67"/>
    </row>
    <row r="521">
      <c r="D521" s="67"/>
    </row>
    <row r="522">
      <c r="D522" s="67"/>
    </row>
    <row r="523">
      <c r="D523" s="67"/>
    </row>
    <row r="524">
      <c r="D524" s="67"/>
    </row>
    <row r="525">
      <c r="D525" s="67"/>
    </row>
    <row r="526">
      <c r="D526" s="67"/>
    </row>
    <row r="527">
      <c r="D527" s="67"/>
    </row>
    <row r="528">
      <c r="D528" s="67"/>
    </row>
    <row r="529">
      <c r="D529" s="67"/>
    </row>
    <row r="530">
      <c r="D530" s="67"/>
    </row>
    <row r="531">
      <c r="D531" s="67"/>
    </row>
    <row r="532">
      <c r="D532" s="67"/>
    </row>
    <row r="533">
      <c r="D533" s="67"/>
    </row>
    <row r="534">
      <c r="D534" s="67"/>
    </row>
    <row r="535">
      <c r="D535" s="67"/>
    </row>
    <row r="536">
      <c r="D536" s="67"/>
    </row>
    <row r="537">
      <c r="D537" s="67"/>
    </row>
    <row r="538">
      <c r="D538" s="67"/>
    </row>
    <row r="539">
      <c r="D539" s="67"/>
    </row>
    <row r="540">
      <c r="D540" s="67"/>
    </row>
    <row r="541">
      <c r="D541" s="67"/>
    </row>
    <row r="542">
      <c r="D542" s="67"/>
    </row>
    <row r="543">
      <c r="D543" s="67"/>
    </row>
    <row r="544">
      <c r="D544" s="67"/>
    </row>
    <row r="545">
      <c r="D545" s="67"/>
    </row>
    <row r="546">
      <c r="D546" s="67"/>
    </row>
    <row r="547">
      <c r="D547" s="67"/>
    </row>
    <row r="548">
      <c r="D548" s="67"/>
    </row>
    <row r="549">
      <c r="D549" s="67"/>
    </row>
    <row r="550">
      <c r="D550" s="67"/>
    </row>
    <row r="551">
      <c r="D551" s="67"/>
    </row>
    <row r="552">
      <c r="D552" s="67"/>
    </row>
    <row r="553">
      <c r="D553" s="67"/>
    </row>
    <row r="554">
      <c r="D554" s="67"/>
    </row>
    <row r="555">
      <c r="D555" s="67"/>
    </row>
    <row r="556">
      <c r="D556" s="67"/>
    </row>
    <row r="557">
      <c r="D557" s="67"/>
    </row>
    <row r="558">
      <c r="D558" s="67"/>
    </row>
    <row r="559">
      <c r="D559" s="67"/>
    </row>
    <row r="560">
      <c r="D560" s="67"/>
    </row>
    <row r="561">
      <c r="D561" s="67"/>
    </row>
    <row r="562">
      <c r="D562" s="67"/>
    </row>
    <row r="563">
      <c r="D563" s="67"/>
    </row>
    <row r="564">
      <c r="D564" s="67"/>
    </row>
    <row r="565">
      <c r="D565" s="67"/>
    </row>
    <row r="566">
      <c r="D566" s="67"/>
    </row>
    <row r="567">
      <c r="D567" s="67"/>
    </row>
    <row r="568">
      <c r="D568" s="67"/>
    </row>
    <row r="569">
      <c r="D569" s="67"/>
    </row>
    <row r="570">
      <c r="D570" s="67"/>
    </row>
    <row r="571">
      <c r="D571" s="67"/>
    </row>
    <row r="572">
      <c r="D572" s="67"/>
    </row>
    <row r="573">
      <c r="D573" s="67"/>
    </row>
    <row r="574">
      <c r="D574" s="67"/>
    </row>
    <row r="575">
      <c r="D575" s="67"/>
    </row>
    <row r="576">
      <c r="D576" s="67"/>
    </row>
    <row r="577">
      <c r="D577" s="67"/>
    </row>
    <row r="578">
      <c r="D578" s="67"/>
    </row>
    <row r="579">
      <c r="D579" s="67"/>
    </row>
    <row r="580">
      <c r="D580" s="67"/>
    </row>
    <row r="581">
      <c r="D581" s="67"/>
    </row>
    <row r="582">
      <c r="D582" s="67"/>
    </row>
    <row r="583">
      <c r="D583" s="67"/>
    </row>
    <row r="584">
      <c r="D584" s="67"/>
    </row>
    <row r="585">
      <c r="D585" s="67"/>
    </row>
    <row r="586">
      <c r="D586" s="67"/>
    </row>
    <row r="587">
      <c r="D587" s="67"/>
    </row>
    <row r="588">
      <c r="D588" s="67"/>
    </row>
    <row r="589">
      <c r="D589" s="67"/>
    </row>
    <row r="590">
      <c r="D590" s="67"/>
    </row>
    <row r="591">
      <c r="D591" s="67"/>
    </row>
    <row r="592">
      <c r="D592" s="67"/>
    </row>
    <row r="593">
      <c r="D593" s="67"/>
    </row>
    <row r="594">
      <c r="D594" s="67"/>
    </row>
    <row r="595">
      <c r="D595" s="67"/>
    </row>
    <row r="596">
      <c r="D596" s="67"/>
    </row>
    <row r="597">
      <c r="D597" s="67"/>
    </row>
    <row r="598">
      <c r="D598" s="67"/>
    </row>
    <row r="599">
      <c r="D599" s="67"/>
    </row>
    <row r="600">
      <c r="D600" s="67"/>
    </row>
    <row r="601">
      <c r="D601" s="67"/>
    </row>
    <row r="602">
      <c r="D602" s="67"/>
    </row>
    <row r="603">
      <c r="D603" s="67"/>
    </row>
    <row r="604">
      <c r="D604" s="67"/>
    </row>
    <row r="605">
      <c r="D605" s="67"/>
    </row>
    <row r="606">
      <c r="D606" s="67"/>
    </row>
    <row r="607">
      <c r="D607" s="67"/>
    </row>
    <row r="608">
      <c r="D608" s="67"/>
    </row>
    <row r="609">
      <c r="D609" s="67"/>
    </row>
    <row r="610">
      <c r="D610" s="67"/>
    </row>
    <row r="611">
      <c r="D611" s="67"/>
    </row>
    <row r="612">
      <c r="D612" s="67"/>
    </row>
    <row r="613">
      <c r="D613" s="67"/>
    </row>
    <row r="614">
      <c r="D614" s="67"/>
    </row>
    <row r="615">
      <c r="D615" s="67"/>
    </row>
    <row r="616">
      <c r="D616" s="67"/>
    </row>
    <row r="617">
      <c r="D617" s="67"/>
    </row>
    <row r="618">
      <c r="D618" s="67"/>
    </row>
    <row r="619">
      <c r="D619" s="67"/>
    </row>
    <row r="620">
      <c r="D620" s="67"/>
    </row>
    <row r="621">
      <c r="D621" s="67"/>
    </row>
    <row r="622">
      <c r="D622" s="67"/>
    </row>
    <row r="623">
      <c r="D623" s="67"/>
    </row>
    <row r="624">
      <c r="D624" s="67"/>
    </row>
    <row r="625">
      <c r="D625" s="67"/>
    </row>
    <row r="626">
      <c r="D626" s="67"/>
    </row>
    <row r="627">
      <c r="D627" s="67"/>
    </row>
    <row r="628">
      <c r="D628" s="67"/>
    </row>
    <row r="629">
      <c r="D629" s="67"/>
    </row>
    <row r="630">
      <c r="D630" s="67"/>
    </row>
    <row r="631">
      <c r="D631" s="67"/>
    </row>
    <row r="632">
      <c r="D632" s="67"/>
    </row>
    <row r="633">
      <c r="D633" s="67"/>
    </row>
    <row r="634">
      <c r="D634" s="67"/>
    </row>
    <row r="635">
      <c r="D635" s="67"/>
    </row>
    <row r="636">
      <c r="D636" s="67"/>
    </row>
    <row r="637">
      <c r="D637" s="67"/>
    </row>
    <row r="638">
      <c r="D638" s="67"/>
    </row>
    <row r="639">
      <c r="D639" s="67"/>
    </row>
    <row r="640">
      <c r="D640" s="67"/>
    </row>
    <row r="641">
      <c r="D641" s="67"/>
    </row>
    <row r="642">
      <c r="D642" s="67"/>
    </row>
    <row r="643">
      <c r="D643" s="67"/>
    </row>
    <row r="644">
      <c r="D644" s="67"/>
    </row>
    <row r="645">
      <c r="D645" s="67"/>
    </row>
    <row r="646">
      <c r="D646" s="67"/>
    </row>
    <row r="647">
      <c r="D647" s="67"/>
    </row>
    <row r="648">
      <c r="D648" s="67"/>
    </row>
    <row r="649">
      <c r="D649" s="67"/>
    </row>
    <row r="650">
      <c r="D650" s="67"/>
    </row>
    <row r="651">
      <c r="D651" s="67"/>
    </row>
    <row r="652">
      <c r="D652" s="67"/>
    </row>
    <row r="653">
      <c r="D653" s="67"/>
    </row>
    <row r="654">
      <c r="D654" s="67"/>
    </row>
    <row r="655">
      <c r="D655" s="67"/>
    </row>
    <row r="656">
      <c r="D656" s="67"/>
    </row>
    <row r="657">
      <c r="D657" s="67"/>
    </row>
    <row r="658">
      <c r="D658" s="67"/>
    </row>
    <row r="659">
      <c r="D659" s="67"/>
    </row>
    <row r="660">
      <c r="D660" s="67"/>
    </row>
    <row r="661">
      <c r="D661" s="67"/>
    </row>
    <row r="662">
      <c r="D662" s="67"/>
    </row>
    <row r="663">
      <c r="D663" s="67"/>
    </row>
    <row r="664">
      <c r="D664" s="67"/>
    </row>
    <row r="665">
      <c r="D665" s="67"/>
    </row>
    <row r="666">
      <c r="D666" s="67"/>
    </row>
    <row r="667">
      <c r="D667" s="67"/>
    </row>
    <row r="668">
      <c r="D668" s="67"/>
    </row>
    <row r="669">
      <c r="D669" s="67"/>
    </row>
    <row r="670">
      <c r="D670" s="67"/>
    </row>
    <row r="671">
      <c r="D671" s="67"/>
    </row>
    <row r="672">
      <c r="D672" s="67"/>
    </row>
    <row r="673">
      <c r="D673" s="67"/>
    </row>
    <row r="674">
      <c r="D674" s="67"/>
    </row>
    <row r="675">
      <c r="D675" s="67"/>
    </row>
    <row r="676">
      <c r="D676" s="67"/>
    </row>
    <row r="677">
      <c r="D677" s="67"/>
    </row>
    <row r="678">
      <c r="D678" s="67"/>
    </row>
    <row r="679">
      <c r="D679" s="67"/>
    </row>
    <row r="680">
      <c r="D680" s="67"/>
    </row>
    <row r="681">
      <c r="D681" s="67"/>
    </row>
    <row r="682">
      <c r="D682" s="67"/>
    </row>
    <row r="683">
      <c r="D683" s="67"/>
    </row>
    <row r="684">
      <c r="D684" s="67"/>
    </row>
    <row r="685">
      <c r="D685" s="67"/>
    </row>
    <row r="686">
      <c r="D686" s="67"/>
    </row>
    <row r="687">
      <c r="D687" s="67"/>
    </row>
    <row r="688">
      <c r="D688" s="67"/>
    </row>
    <row r="689">
      <c r="D689" s="67"/>
    </row>
    <row r="690">
      <c r="D690" s="67"/>
    </row>
    <row r="691">
      <c r="D691" s="67"/>
    </row>
    <row r="692">
      <c r="D692" s="67"/>
    </row>
    <row r="693">
      <c r="D693" s="67"/>
    </row>
    <row r="694">
      <c r="D694" s="67"/>
    </row>
    <row r="695">
      <c r="D695" s="67"/>
    </row>
    <row r="696">
      <c r="D696" s="67"/>
    </row>
    <row r="697">
      <c r="D697" s="67"/>
    </row>
    <row r="698">
      <c r="D698" s="67"/>
    </row>
    <row r="699">
      <c r="D699" s="67"/>
    </row>
    <row r="700">
      <c r="D700" s="67"/>
    </row>
    <row r="701">
      <c r="D701" s="67"/>
    </row>
    <row r="702">
      <c r="D702" s="67"/>
    </row>
    <row r="703">
      <c r="D703" s="67"/>
    </row>
    <row r="704">
      <c r="D704" s="67"/>
    </row>
    <row r="705">
      <c r="D705" s="67"/>
    </row>
    <row r="706">
      <c r="D706" s="67"/>
    </row>
    <row r="707">
      <c r="D707" s="67"/>
    </row>
    <row r="708">
      <c r="D708" s="67"/>
    </row>
    <row r="709">
      <c r="D709" s="67"/>
    </row>
    <row r="710">
      <c r="D710" s="67"/>
    </row>
    <row r="711">
      <c r="D711" s="67"/>
    </row>
    <row r="712">
      <c r="D712" s="67"/>
    </row>
    <row r="713">
      <c r="D713" s="67"/>
    </row>
    <row r="714">
      <c r="D714" s="67"/>
    </row>
    <row r="715">
      <c r="D715" s="67"/>
    </row>
    <row r="716">
      <c r="D716" s="67"/>
    </row>
    <row r="717">
      <c r="D717" s="67"/>
    </row>
    <row r="718">
      <c r="D718" s="67"/>
    </row>
    <row r="719">
      <c r="D719" s="67"/>
    </row>
    <row r="720">
      <c r="D720" s="67"/>
    </row>
    <row r="721">
      <c r="D721" s="67"/>
    </row>
    <row r="722">
      <c r="D722" s="67"/>
    </row>
    <row r="723">
      <c r="D723" s="67"/>
    </row>
    <row r="724">
      <c r="D724" s="67"/>
    </row>
    <row r="725">
      <c r="D725" s="67"/>
    </row>
    <row r="726">
      <c r="D726" s="67"/>
    </row>
    <row r="727">
      <c r="D727" s="67"/>
    </row>
    <row r="728">
      <c r="D728" s="67"/>
    </row>
    <row r="729">
      <c r="D729" s="67"/>
    </row>
    <row r="730">
      <c r="D730" s="67"/>
    </row>
    <row r="731">
      <c r="D731" s="67"/>
    </row>
    <row r="732">
      <c r="D732" s="67"/>
    </row>
    <row r="733">
      <c r="D733" s="67"/>
    </row>
    <row r="734">
      <c r="D734" s="67"/>
    </row>
    <row r="735">
      <c r="D735" s="67"/>
    </row>
    <row r="736">
      <c r="D736" s="67"/>
    </row>
    <row r="737">
      <c r="D737" s="67"/>
    </row>
    <row r="738">
      <c r="D738" s="67"/>
    </row>
    <row r="739">
      <c r="D739" s="67"/>
    </row>
    <row r="740">
      <c r="D740" s="67"/>
    </row>
    <row r="741">
      <c r="D741" s="67"/>
    </row>
    <row r="742">
      <c r="D742" s="67"/>
    </row>
    <row r="743">
      <c r="D743" s="67"/>
    </row>
    <row r="744">
      <c r="D744" s="67"/>
    </row>
    <row r="745">
      <c r="D745" s="67"/>
    </row>
    <row r="746">
      <c r="D746" s="67"/>
    </row>
    <row r="747">
      <c r="D747" s="67"/>
    </row>
    <row r="748">
      <c r="D748" s="67"/>
    </row>
    <row r="749">
      <c r="D749" s="67"/>
    </row>
    <row r="750">
      <c r="D750" s="67"/>
    </row>
    <row r="751">
      <c r="D751" s="67"/>
    </row>
    <row r="752">
      <c r="D752" s="67"/>
    </row>
    <row r="753">
      <c r="D753" s="67"/>
    </row>
    <row r="754">
      <c r="D754" s="67"/>
    </row>
    <row r="755">
      <c r="D755" s="67"/>
    </row>
    <row r="756">
      <c r="D756" s="67"/>
    </row>
    <row r="757">
      <c r="D757" s="67"/>
    </row>
    <row r="758">
      <c r="D758" s="67"/>
    </row>
    <row r="759">
      <c r="D759" s="67"/>
    </row>
    <row r="760">
      <c r="D760" s="67"/>
    </row>
    <row r="761">
      <c r="D761" s="67"/>
    </row>
    <row r="762">
      <c r="D762" s="67"/>
    </row>
    <row r="763">
      <c r="D763" s="67"/>
    </row>
    <row r="764">
      <c r="D764" s="67"/>
    </row>
    <row r="765">
      <c r="D765" s="67"/>
    </row>
    <row r="766">
      <c r="D766" s="67"/>
    </row>
    <row r="767">
      <c r="D767" s="67"/>
    </row>
    <row r="768">
      <c r="D768" s="67"/>
    </row>
    <row r="769">
      <c r="D769" s="67"/>
    </row>
    <row r="770">
      <c r="D770" s="67"/>
    </row>
    <row r="771">
      <c r="D771" s="67"/>
    </row>
    <row r="772">
      <c r="D772" s="67"/>
    </row>
    <row r="773">
      <c r="D773" s="67"/>
    </row>
    <row r="774">
      <c r="D774" s="67"/>
    </row>
    <row r="775">
      <c r="D775" s="67"/>
    </row>
    <row r="776">
      <c r="D776" s="67"/>
    </row>
    <row r="777">
      <c r="D777" s="67"/>
    </row>
    <row r="778">
      <c r="D778" s="67"/>
    </row>
    <row r="779">
      <c r="D779" s="67"/>
    </row>
    <row r="780">
      <c r="D780" s="67"/>
    </row>
    <row r="781">
      <c r="D781" s="67"/>
    </row>
    <row r="782">
      <c r="D782" s="67"/>
    </row>
    <row r="783">
      <c r="D783" s="67"/>
    </row>
    <row r="784">
      <c r="D784" s="67"/>
    </row>
    <row r="785">
      <c r="D785" s="67"/>
    </row>
    <row r="786">
      <c r="D786" s="67"/>
    </row>
    <row r="787">
      <c r="D787" s="67"/>
    </row>
    <row r="788">
      <c r="D788" s="67"/>
    </row>
    <row r="789">
      <c r="D789" s="67"/>
    </row>
    <row r="790">
      <c r="D790" s="67"/>
    </row>
    <row r="791">
      <c r="D791" s="67"/>
    </row>
    <row r="792">
      <c r="D792" s="67"/>
    </row>
    <row r="793">
      <c r="D793" s="67"/>
    </row>
    <row r="794">
      <c r="D794" s="67"/>
    </row>
    <row r="795">
      <c r="D795" s="67"/>
    </row>
    <row r="796">
      <c r="D796" s="67"/>
    </row>
    <row r="797">
      <c r="D797" s="67"/>
    </row>
    <row r="798">
      <c r="D798" s="67"/>
    </row>
    <row r="799">
      <c r="D799" s="67"/>
    </row>
    <row r="800">
      <c r="D800" s="67"/>
    </row>
    <row r="801">
      <c r="D801" s="67"/>
    </row>
    <row r="802">
      <c r="D802" s="67"/>
    </row>
    <row r="803">
      <c r="D803" s="67"/>
    </row>
    <row r="804">
      <c r="D804" s="67"/>
    </row>
    <row r="805">
      <c r="D805" s="67"/>
    </row>
    <row r="806">
      <c r="D806" s="67"/>
    </row>
    <row r="807">
      <c r="D807" s="67"/>
    </row>
    <row r="808">
      <c r="D808" s="67"/>
    </row>
    <row r="809">
      <c r="D809" s="67"/>
    </row>
    <row r="810">
      <c r="D810" s="67"/>
    </row>
    <row r="811">
      <c r="D811" s="67"/>
    </row>
    <row r="812">
      <c r="D812" s="67"/>
    </row>
    <row r="813">
      <c r="D813" s="67"/>
    </row>
    <row r="814">
      <c r="D814" s="67"/>
    </row>
    <row r="815">
      <c r="D815" s="67"/>
    </row>
    <row r="816">
      <c r="D816" s="67"/>
    </row>
    <row r="817">
      <c r="D817" s="67"/>
    </row>
    <row r="818">
      <c r="D818" s="67"/>
    </row>
    <row r="819">
      <c r="D819" s="67"/>
    </row>
    <row r="820">
      <c r="D820" s="67"/>
    </row>
    <row r="821">
      <c r="D821" s="67"/>
    </row>
    <row r="822">
      <c r="D822" s="67"/>
    </row>
    <row r="823">
      <c r="D823" s="67"/>
    </row>
    <row r="824">
      <c r="D824" s="67"/>
    </row>
    <row r="825">
      <c r="D825" s="67"/>
    </row>
    <row r="826">
      <c r="D826" s="67"/>
    </row>
    <row r="827">
      <c r="D827" s="67"/>
    </row>
    <row r="828">
      <c r="D828" s="67"/>
    </row>
    <row r="829">
      <c r="D829" s="67"/>
    </row>
    <row r="830">
      <c r="D830" s="67"/>
    </row>
    <row r="831">
      <c r="D831" s="67"/>
    </row>
    <row r="832">
      <c r="D832" s="67"/>
    </row>
    <row r="833">
      <c r="D833" s="67"/>
    </row>
    <row r="834">
      <c r="D834" s="67"/>
    </row>
    <row r="835">
      <c r="D835" s="67"/>
    </row>
    <row r="836">
      <c r="D836" s="67"/>
    </row>
    <row r="837">
      <c r="D837" s="67"/>
    </row>
    <row r="838">
      <c r="D838" s="67"/>
    </row>
    <row r="839">
      <c r="D839" s="67"/>
    </row>
    <row r="840">
      <c r="D840" s="67"/>
    </row>
    <row r="841">
      <c r="D841" s="67"/>
    </row>
    <row r="842">
      <c r="D842" s="67"/>
    </row>
    <row r="843">
      <c r="D843" s="67"/>
    </row>
    <row r="844">
      <c r="D844" s="67"/>
    </row>
    <row r="845">
      <c r="D845" s="67"/>
    </row>
    <row r="846">
      <c r="D846" s="67"/>
    </row>
    <row r="847">
      <c r="D847" s="67"/>
    </row>
    <row r="848">
      <c r="D848" s="67"/>
    </row>
    <row r="849">
      <c r="D849" s="67"/>
    </row>
    <row r="850">
      <c r="D850" s="67"/>
    </row>
    <row r="851">
      <c r="D851" s="67"/>
    </row>
    <row r="852">
      <c r="D852" s="67"/>
    </row>
    <row r="853">
      <c r="D853" s="67"/>
    </row>
    <row r="854">
      <c r="D854" s="67"/>
    </row>
    <row r="855">
      <c r="D855" s="67"/>
    </row>
    <row r="856">
      <c r="D856" s="67"/>
    </row>
    <row r="857">
      <c r="D857" s="67"/>
    </row>
    <row r="858">
      <c r="D858" s="67"/>
    </row>
    <row r="859">
      <c r="D859" s="67"/>
    </row>
    <row r="860">
      <c r="D860" s="67"/>
    </row>
    <row r="861">
      <c r="D861" s="67"/>
    </row>
    <row r="862">
      <c r="D862" s="67"/>
    </row>
    <row r="863">
      <c r="D863" s="67"/>
    </row>
    <row r="864">
      <c r="D864" s="67"/>
    </row>
    <row r="865">
      <c r="D865" s="67"/>
    </row>
    <row r="866">
      <c r="D866" s="67"/>
    </row>
    <row r="867">
      <c r="D867" s="67"/>
    </row>
    <row r="868">
      <c r="D868" s="67"/>
    </row>
    <row r="869">
      <c r="D869" s="67"/>
    </row>
    <row r="870">
      <c r="D870" s="67"/>
    </row>
    <row r="871">
      <c r="D871" s="67"/>
    </row>
    <row r="872">
      <c r="D872" s="67"/>
    </row>
    <row r="873">
      <c r="D873" s="67"/>
    </row>
    <row r="874">
      <c r="D874" s="67"/>
    </row>
    <row r="875">
      <c r="D875" s="67"/>
    </row>
    <row r="876">
      <c r="D876" s="67"/>
    </row>
    <row r="877">
      <c r="D877" s="67"/>
    </row>
    <row r="878">
      <c r="D878" s="67"/>
    </row>
    <row r="879">
      <c r="D879" s="67"/>
    </row>
    <row r="880">
      <c r="D880" s="67"/>
    </row>
    <row r="881">
      <c r="D881" s="67"/>
    </row>
    <row r="882">
      <c r="D882" s="67"/>
    </row>
    <row r="883">
      <c r="D883" s="67"/>
    </row>
    <row r="884">
      <c r="D884" s="67"/>
    </row>
    <row r="885">
      <c r="D885" s="67"/>
    </row>
    <row r="886">
      <c r="D886" s="67"/>
    </row>
    <row r="887">
      <c r="D887" s="67"/>
    </row>
    <row r="888">
      <c r="D888" s="67"/>
    </row>
    <row r="889">
      <c r="D889" s="67"/>
    </row>
    <row r="890">
      <c r="D890" s="67"/>
    </row>
    <row r="891">
      <c r="D891" s="67"/>
    </row>
    <row r="892">
      <c r="D892" s="67"/>
    </row>
    <row r="893">
      <c r="D893" s="67"/>
    </row>
    <row r="894">
      <c r="D894" s="67"/>
    </row>
    <row r="895">
      <c r="D895" s="67"/>
    </row>
    <row r="896">
      <c r="D896" s="67"/>
    </row>
    <row r="897">
      <c r="D897" s="67"/>
    </row>
    <row r="898">
      <c r="D898" s="67"/>
    </row>
    <row r="899">
      <c r="D899" s="67"/>
    </row>
    <row r="900">
      <c r="D900" s="67"/>
    </row>
    <row r="901">
      <c r="D901" s="67"/>
    </row>
    <row r="902">
      <c r="D902" s="67"/>
    </row>
    <row r="903">
      <c r="D903" s="67"/>
    </row>
    <row r="904">
      <c r="D904" s="67"/>
    </row>
    <row r="905">
      <c r="D905" s="67"/>
    </row>
    <row r="906">
      <c r="D906" s="67"/>
    </row>
    <row r="907">
      <c r="D907" s="67"/>
    </row>
    <row r="908">
      <c r="D908" s="67"/>
    </row>
    <row r="909">
      <c r="D909" s="67"/>
    </row>
    <row r="910">
      <c r="D910" s="67"/>
    </row>
    <row r="911">
      <c r="D911" s="67"/>
    </row>
    <row r="912">
      <c r="D912" s="67"/>
    </row>
    <row r="913">
      <c r="D913" s="67"/>
    </row>
    <row r="914">
      <c r="D914" s="67"/>
    </row>
    <row r="915">
      <c r="D915" s="67"/>
    </row>
    <row r="916">
      <c r="D916" s="67"/>
    </row>
    <row r="917">
      <c r="D917" s="67"/>
    </row>
    <row r="918">
      <c r="D918" s="67"/>
    </row>
    <row r="919">
      <c r="D919" s="67"/>
    </row>
    <row r="920">
      <c r="D920" s="67"/>
    </row>
    <row r="921">
      <c r="D921" s="67"/>
    </row>
    <row r="922">
      <c r="D922" s="67"/>
    </row>
    <row r="923">
      <c r="D923" s="67"/>
    </row>
    <row r="924">
      <c r="D924" s="67"/>
    </row>
    <row r="925">
      <c r="D925" s="67"/>
    </row>
    <row r="926">
      <c r="D926" s="67"/>
    </row>
    <row r="927">
      <c r="D927" s="67"/>
    </row>
    <row r="928">
      <c r="D928" s="67"/>
    </row>
    <row r="929">
      <c r="D929" s="67"/>
    </row>
    <row r="930">
      <c r="D930" s="67"/>
    </row>
    <row r="931">
      <c r="D931" s="67"/>
    </row>
    <row r="932">
      <c r="D932" s="67"/>
    </row>
    <row r="933">
      <c r="D933" s="67"/>
    </row>
    <row r="934">
      <c r="D934" s="67"/>
    </row>
    <row r="935">
      <c r="D935" s="67"/>
    </row>
    <row r="936">
      <c r="D936" s="67"/>
    </row>
    <row r="937">
      <c r="D937" s="67"/>
    </row>
    <row r="938">
      <c r="D938" s="67"/>
    </row>
    <row r="939">
      <c r="D939" s="67"/>
    </row>
    <row r="940">
      <c r="D940" s="67"/>
    </row>
    <row r="941">
      <c r="D941" s="67"/>
    </row>
    <row r="942">
      <c r="D942" s="67"/>
    </row>
    <row r="943">
      <c r="D943" s="67"/>
    </row>
    <row r="944">
      <c r="D944" s="67"/>
    </row>
    <row r="945">
      <c r="D945" s="67"/>
    </row>
    <row r="946">
      <c r="D946" s="67"/>
    </row>
    <row r="947">
      <c r="D947" s="67"/>
    </row>
    <row r="948">
      <c r="D948" s="67"/>
    </row>
  </sheetData>
  <mergeCells count="3">
    <mergeCell ref="A1:Q1"/>
    <mergeCell ref="A2:Q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K4:K11">
      <formula1>"Atendido,Não atendindo"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0.0"/>
    <col customWidth="1" min="3" max="3" width="11.63"/>
    <col customWidth="1" min="4" max="4" width="8.75"/>
    <col customWidth="1" min="5" max="6" width="18.63"/>
    <col customWidth="1" min="7" max="7" width="33.38"/>
    <col customWidth="1" min="8" max="8" width="13.88"/>
    <col customWidth="1" min="9" max="9" width="18.63"/>
    <col customWidth="1" min="10" max="10" width="15.13"/>
    <col customWidth="1" min="11" max="11" width="23.13"/>
    <col customWidth="1" min="13" max="13" width="17.75"/>
    <col customWidth="1" min="14" max="14" width="31.63"/>
  </cols>
  <sheetData>
    <row r="1">
      <c r="A1" s="35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69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70"/>
      <c r="B3" s="7" t="s">
        <v>3</v>
      </c>
      <c r="C3" s="10" t="s">
        <v>2</v>
      </c>
      <c r="D3" s="8" t="s">
        <v>5</v>
      </c>
      <c r="E3" s="8"/>
      <c r="F3" s="8" t="s">
        <v>6</v>
      </c>
      <c r="G3" s="71" t="s">
        <v>7</v>
      </c>
      <c r="H3" s="9" t="s">
        <v>8</v>
      </c>
      <c r="I3" s="72" t="s">
        <v>20</v>
      </c>
      <c r="J3" s="8" t="s">
        <v>25</v>
      </c>
      <c r="K3" s="8" t="s">
        <v>26</v>
      </c>
      <c r="L3" s="9" t="s">
        <v>28</v>
      </c>
      <c r="M3" s="6" t="s">
        <v>29</v>
      </c>
      <c r="N3" s="9" t="s">
        <v>30</v>
      </c>
    </row>
    <row r="4" ht="15.75" customHeight="1">
      <c r="A4" s="12" t="s">
        <v>10</v>
      </c>
      <c r="B4" s="73" t="s">
        <v>65</v>
      </c>
      <c r="C4" s="74" t="s">
        <v>66</v>
      </c>
      <c r="D4" s="75">
        <v>0.3333333333333333</v>
      </c>
      <c r="E4" s="76"/>
      <c r="F4" s="76">
        <v>7.08203652384642E14</v>
      </c>
      <c r="G4" s="49" t="s">
        <v>67</v>
      </c>
      <c r="H4" s="77">
        <v>18690.0</v>
      </c>
      <c r="I4" s="41" t="s">
        <v>36</v>
      </c>
      <c r="J4" s="42" t="s">
        <v>68</v>
      </c>
      <c r="K4" s="43"/>
      <c r="L4" s="78"/>
      <c r="M4" s="46"/>
      <c r="N4" s="47"/>
    </row>
    <row r="5" ht="17.25" customHeight="1">
      <c r="A5" s="12" t="s">
        <v>11</v>
      </c>
      <c r="B5" s="73" t="s">
        <v>69</v>
      </c>
      <c r="C5" s="74" t="s">
        <v>66</v>
      </c>
      <c r="D5" s="75">
        <v>0.3472222222222222</v>
      </c>
      <c r="E5" s="76"/>
      <c r="F5" s="76">
        <v>7.0260225167534E14</v>
      </c>
      <c r="G5" s="79" t="s">
        <v>70</v>
      </c>
      <c r="H5" s="77">
        <v>29657.0</v>
      </c>
      <c r="I5" s="41" t="s">
        <v>36</v>
      </c>
      <c r="J5" s="42" t="s">
        <v>71</v>
      </c>
      <c r="K5" s="50"/>
      <c r="L5" s="52"/>
      <c r="M5" s="51"/>
      <c r="N5" s="53"/>
    </row>
    <row r="6" ht="18.75" customHeight="1">
      <c r="A6" s="12" t="s">
        <v>12</v>
      </c>
      <c r="B6" s="73" t="s">
        <v>72</v>
      </c>
      <c r="C6" s="74" t="s">
        <v>66</v>
      </c>
      <c r="D6" s="75">
        <v>0.3611111111111111</v>
      </c>
      <c r="E6" s="80"/>
      <c r="F6" s="80">
        <v>7.0270867739076E14</v>
      </c>
      <c r="G6" s="81" t="s">
        <v>73</v>
      </c>
      <c r="H6" s="82">
        <v>26535.0</v>
      </c>
      <c r="I6" s="41" t="s">
        <v>41</v>
      </c>
      <c r="J6" s="42"/>
      <c r="K6" s="54"/>
      <c r="L6" s="56"/>
      <c r="M6" s="55"/>
      <c r="N6" s="57"/>
    </row>
    <row r="7">
      <c r="A7" s="12" t="s">
        <v>13</v>
      </c>
      <c r="B7" s="73" t="s">
        <v>65</v>
      </c>
      <c r="C7" s="74" t="s">
        <v>66</v>
      </c>
      <c r="D7" s="75">
        <v>0.375</v>
      </c>
      <c r="E7" s="76"/>
      <c r="F7" s="76">
        <v>2.0687732268E14</v>
      </c>
      <c r="G7" s="79" t="s">
        <v>74</v>
      </c>
      <c r="H7" s="83">
        <v>22434.0</v>
      </c>
      <c r="I7" s="41" t="s">
        <v>41</v>
      </c>
      <c r="J7" s="42" t="s">
        <v>75</v>
      </c>
      <c r="K7" s="50"/>
      <c r="L7" s="62"/>
      <c r="M7" s="61"/>
      <c r="N7" s="53"/>
    </row>
    <row r="8">
      <c r="A8" s="12" t="s">
        <v>14</v>
      </c>
      <c r="B8" s="73" t="s">
        <v>69</v>
      </c>
      <c r="C8" s="74" t="s">
        <v>66</v>
      </c>
      <c r="D8" s="75">
        <v>0.3888888888888889</v>
      </c>
      <c r="E8" s="84"/>
      <c r="F8" s="84">
        <v>1.24093223970006E14</v>
      </c>
      <c r="G8" s="79" t="s">
        <v>76</v>
      </c>
      <c r="H8" s="77">
        <v>23453.0</v>
      </c>
      <c r="I8" s="41"/>
      <c r="J8" s="42" t="s">
        <v>77</v>
      </c>
      <c r="K8" s="63"/>
      <c r="L8" s="56"/>
      <c r="M8" s="64"/>
      <c r="N8" s="65"/>
    </row>
    <row r="9">
      <c r="A9" s="12" t="s">
        <v>15</v>
      </c>
      <c r="B9" s="73" t="s">
        <v>72</v>
      </c>
      <c r="C9" s="74" t="s">
        <v>66</v>
      </c>
      <c r="D9" s="75">
        <v>0.4027777777777778</v>
      </c>
      <c r="E9" s="84"/>
      <c r="F9" s="84">
        <v>7.0500901060145E14</v>
      </c>
      <c r="G9" s="79" t="s">
        <v>78</v>
      </c>
      <c r="H9" s="83">
        <v>25096.0</v>
      </c>
      <c r="I9" s="41" t="s">
        <v>36</v>
      </c>
      <c r="J9" s="42"/>
      <c r="K9" s="50" t="s">
        <v>79</v>
      </c>
      <c r="L9" s="62">
        <v>45944.0</v>
      </c>
      <c r="M9" s="61" t="s">
        <v>80</v>
      </c>
      <c r="N9" s="53"/>
    </row>
    <row r="10">
      <c r="A10" s="12" t="s">
        <v>16</v>
      </c>
      <c r="B10" s="73" t="s">
        <v>65</v>
      </c>
      <c r="C10" s="74" t="s">
        <v>66</v>
      </c>
      <c r="D10" s="75">
        <v>0.4166666666666667</v>
      </c>
      <c r="E10" s="76"/>
      <c r="F10" s="76">
        <v>7.02507344720937E14</v>
      </c>
      <c r="G10" s="79" t="s">
        <v>81</v>
      </c>
      <c r="H10" s="77">
        <v>21065.0</v>
      </c>
      <c r="I10" s="41" t="s">
        <v>41</v>
      </c>
      <c r="J10" s="42" t="s">
        <v>82</v>
      </c>
      <c r="K10" s="63"/>
      <c r="L10" s="56"/>
      <c r="M10" s="64"/>
      <c r="N10" s="65"/>
    </row>
    <row r="11">
      <c r="A11" s="12" t="s">
        <v>17</v>
      </c>
      <c r="B11" s="73" t="s">
        <v>32</v>
      </c>
      <c r="C11" s="74" t="s">
        <v>66</v>
      </c>
      <c r="D11" s="75">
        <v>0.4305555555555556</v>
      </c>
      <c r="E11" s="85"/>
      <c r="F11" s="85">
        <v>8.01440407477123E14</v>
      </c>
      <c r="G11" s="79" t="s">
        <v>83</v>
      </c>
      <c r="H11" s="83">
        <v>30591.0</v>
      </c>
      <c r="I11" s="41"/>
      <c r="J11" s="42" t="s">
        <v>84</v>
      </c>
      <c r="K11" s="86"/>
      <c r="L11" s="87"/>
      <c r="M11" s="88"/>
      <c r="N11" s="89"/>
    </row>
    <row r="12">
      <c r="A12" s="12" t="s">
        <v>85</v>
      </c>
      <c r="B12" s="73" t="s">
        <v>72</v>
      </c>
      <c r="C12" s="74" t="s">
        <v>66</v>
      </c>
      <c r="D12" s="75">
        <v>0.4444444444444444</v>
      </c>
      <c r="E12" s="85"/>
      <c r="F12" s="85">
        <v>8.98002999524082E14</v>
      </c>
      <c r="G12" s="79" t="s">
        <v>86</v>
      </c>
      <c r="H12" s="83">
        <v>30174.0</v>
      </c>
      <c r="I12" s="41" t="s">
        <v>41</v>
      </c>
      <c r="J12" s="42"/>
      <c r="K12" s="63"/>
      <c r="L12" s="56"/>
      <c r="M12" s="64"/>
      <c r="N12" s="65"/>
    </row>
    <row r="13">
      <c r="A13" s="12" t="s">
        <v>87</v>
      </c>
      <c r="B13" s="73" t="s">
        <v>32</v>
      </c>
      <c r="C13" s="74" t="s">
        <v>66</v>
      </c>
      <c r="D13" s="75">
        <v>0.4583333333333333</v>
      </c>
      <c r="E13" s="85"/>
      <c r="F13" s="85">
        <v>7.08004885075122E14</v>
      </c>
      <c r="G13" s="90" t="s">
        <v>88</v>
      </c>
      <c r="H13" s="91">
        <v>16117.0</v>
      </c>
      <c r="I13" s="41"/>
      <c r="J13" s="42" t="s">
        <v>89</v>
      </c>
      <c r="K13" s="86"/>
      <c r="L13" s="87"/>
      <c r="M13" s="88"/>
      <c r="N13" s="89"/>
    </row>
    <row r="14">
      <c r="A14" s="12" t="s">
        <v>90</v>
      </c>
      <c r="B14" s="73" t="s">
        <v>69</v>
      </c>
      <c r="C14" s="74" t="s">
        <v>66</v>
      </c>
      <c r="D14" s="75">
        <v>0.4722222222222222</v>
      </c>
      <c r="E14" s="85"/>
      <c r="F14" s="85">
        <v>8.98003986634594E14</v>
      </c>
      <c r="G14" s="90" t="s">
        <v>91</v>
      </c>
      <c r="H14" s="91">
        <v>25660.0</v>
      </c>
      <c r="I14" s="41"/>
      <c r="J14" s="42" t="s">
        <v>92</v>
      </c>
      <c r="K14" s="63"/>
      <c r="L14" s="56"/>
      <c r="M14" s="64"/>
      <c r="N14" s="65"/>
    </row>
    <row r="15" ht="15.75" customHeight="1">
      <c r="A15" s="12" t="s">
        <v>93</v>
      </c>
      <c r="B15" s="73" t="s">
        <v>32</v>
      </c>
      <c r="C15" s="74" t="s">
        <v>66</v>
      </c>
      <c r="D15" s="75">
        <v>0.4861111111111111</v>
      </c>
      <c r="E15" s="85"/>
      <c r="F15" s="85">
        <v>7.05401401267493E14</v>
      </c>
      <c r="G15" s="90" t="s">
        <v>94</v>
      </c>
      <c r="H15" s="91">
        <v>20428.0</v>
      </c>
      <c r="I15" s="41" t="s">
        <v>36</v>
      </c>
      <c r="J15" s="42" t="s">
        <v>95</v>
      </c>
      <c r="K15" s="86"/>
      <c r="L15" s="87"/>
      <c r="M15" s="88"/>
      <c r="N15" s="89"/>
    </row>
    <row r="16">
      <c r="A16" s="92"/>
      <c r="B16" s="93"/>
      <c r="C16" s="93"/>
      <c r="D16" s="93"/>
      <c r="E16" s="93"/>
      <c r="F16" s="93"/>
      <c r="G16" s="94"/>
      <c r="H16" s="95"/>
      <c r="I16" s="92"/>
      <c r="J16" s="92"/>
      <c r="K16" s="92"/>
      <c r="L16" s="92"/>
      <c r="M16" s="92"/>
      <c r="N16" s="92"/>
      <c r="O16" s="68"/>
      <c r="P16" s="68"/>
      <c r="Q16" s="68"/>
      <c r="R16" s="68"/>
      <c r="S16" s="68"/>
      <c r="T16" s="68"/>
      <c r="U16" s="68"/>
      <c r="V16" s="68"/>
    </row>
    <row r="17">
      <c r="A17" s="92"/>
      <c r="B17" s="93"/>
      <c r="C17" s="93"/>
      <c r="D17" s="96"/>
      <c r="E17" s="96"/>
      <c r="F17" s="96"/>
      <c r="G17" s="97"/>
      <c r="H17" s="98"/>
      <c r="I17" s="92"/>
      <c r="J17" s="92"/>
      <c r="K17" s="92"/>
      <c r="L17" s="92"/>
      <c r="M17" s="92"/>
      <c r="N17" s="92"/>
      <c r="O17" s="68"/>
      <c r="P17" s="68"/>
      <c r="Q17" s="68"/>
      <c r="R17" s="68"/>
      <c r="S17" s="68"/>
      <c r="T17" s="68"/>
      <c r="U17" s="68"/>
      <c r="V17" s="68"/>
    </row>
    <row r="18">
      <c r="A18" s="92"/>
      <c r="B18" s="93"/>
      <c r="C18" s="93"/>
      <c r="D18" s="93"/>
      <c r="E18" s="93"/>
      <c r="F18" s="93"/>
      <c r="G18" s="94"/>
      <c r="H18" s="95"/>
      <c r="I18" s="92"/>
      <c r="J18" s="92"/>
      <c r="K18" s="92"/>
      <c r="L18" s="92"/>
      <c r="M18" s="92"/>
      <c r="N18" s="92"/>
      <c r="O18" s="68"/>
      <c r="P18" s="68"/>
      <c r="Q18" s="68"/>
      <c r="R18" s="68"/>
      <c r="S18" s="68"/>
      <c r="T18" s="68"/>
      <c r="U18" s="68"/>
      <c r="V18" s="68"/>
    </row>
    <row r="19">
      <c r="A19" s="92"/>
      <c r="B19" s="93"/>
      <c r="C19" s="93"/>
      <c r="D19" s="93"/>
      <c r="E19" s="93"/>
      <c r="F19" s="93"/>
      <c r="G19" s="94"/>
      <c r="H19" s="95"/>
      <c r="I19" s="92"/>
      <c r="J19" s="92"/>
      <c r="K19" s="92"/>
      <c r="L19" s="92"/>
      <c r="M19" s="92"/>
      <c r="N19" s="92"/>
      <c r="O19" s="68"/>
      <c r="P19" s="68"/>
      <c r="Q19" s="68"/>
      <c r="R19" s="68"/>
      <c r="S19" s="68"/>
      <c r="T19" s="68"/>
      <c r="U19" s="68"/>
      <c r="V19" s="68"/>
    </row>
    <row r="20">
      <c r="A20" s="99" t="s">
        <v>96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1"/>
    </row>
    <row r="21">
      <c r="A21" s="69" t="s">
        <v>97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>
      <c r="A22" s="70"/>
      <c r="B22" s="7" t="s">
        <v>3</v>
      </c>
      <c r="C22" s="10" t="s">
        <v>2</v>
      </c>
      <c r="D22" s="8" t="s">
        <v>5</v>
      </c>
      <c r="E22" s="8"/>
      <c r="F22" s="8" t="s">
        <v>6</v>
      </c>
      <c r="G22" s="71" t="s">
        <v>7</v>
      </c>
      <c r="H22" s="9" t="s">
        <v>8</v>
      </c>
      <c r="I22" s="72" t="s">
        <v>20</v>
      </c>
      <c r="J22" s="8" t="s">
        <v>25</v>
      </c>
      <c r="K22" s="8" t="s">
        <v>26</v>
      </c>
      <c r="L22" s="9" t="s">
        <v>28</v>
      </c>
      <c r="M22" s="6" t="s">
        <v>29</v>
      </c>
      <c r="N22" s="9" t="s">
        <v>30</v>
      </c>
    </row>
    <row r="23">
      <c r="A23" s="12" t="s">
        <v>10</v>
      </c>
      <c r="B23" s="73" t="s">
        <v>98</v>
      </c>
      <c r="C23" s="74" t="s">
        <v>66</v>
      </c>
      <c r="D23" s="75">
        <v>0.5416666666666666</v>
      </c>
      <c r="E23" s="84"/>
      <c r="F23" s="84">
        <v>2.01538096090018E14</v>
      </c>
      <c r="G23" s="79" t="s">
        <v>99</v>
      </c>
      <c r="H23" s="83">
        <v>22133.0</v>
      </c>
      <c r="I23" s="41" t="s">
        <v>41</v>
      </c>
      <c r="J23" s="102"/>
      <c r="K23" s="43"/>
      <c r="L23" s="78"/>
      <c r="M23" s="46"/>
      <c r="N23" s="47"/>
    </row>
    <row r="24">
      <c r="A24" s="12" t="s">
        <v>11</v>
      </c>
      <c r="B24" s="73" t="s">
        <v>65</v>
      </c>
      <c r="C24" s="74" t="s">
        <v>66</v>
      </c>
      <c r="D24" s="75">
        <v>0.5555555555555556</v>
      </c>
      <c r="E24" s="76"/>
      <c r="F24" s="76">
        <v>7.0310530509356E14</v>
      </c>
      <c r="G24" s="79" t="s">
        <v>100</v>
      </c>
      <c r="H24" s="77">
        <v>18225.0</v>
      </c>
      <c r="I24" s="41" t="s">
        <v>41</v>
      </c>
      <c r="J24" s="42" t="s">
        <v>101</v>
      </c>
      <c r="K24" s="50"/>
      <c r="L24" s="52"/>
      <c r="M24" s="51"/>
      <c r="N24" s="53"/>
    </row>
    <row r="25">
      <c r="A25" s="12" t="s">
        <v>12</v>
      </c>
      <c r="B25" s="73" t="s">
        <v>102</v>
      </c>
      <c r="C25" s="74" t="s">
        <v>66</v>
      </c>
      <c r="D25" s="75">
        <v>0.5694444444444444</v>
      </c>
      <c r="E25" s="85"/>
      <c r="F25" s="85">
        <v>8.01440470964877E14</v>
      </c>
      <c r="G25" s="90" t="s">
        <v>103</v>
      </c>
      <c r="H25" s="91">
        <v>25409.0</v>
      </c>
      <c r="I25" s="41"/>
      <c r="J25" s="42"/>
      <c r="K25" s="54"/>
      <c r="L25" s="56"/>
      <c r="M25" s="55"/>
      <c r="N25" s="57"/>
    </row>
    <row r="26">
      <c r="A26" s="12" t="s">
        <v>13</v>
      </c>
      <c r="B26" s="73" t="s">
        <v>98</v>
      </c>
      <c r="C26" s="74" t="s">
        <v>66</v>
      </c>
      <c r="D26" s="75">
        <v>0.5833333333333334</v>
      </c>
      <c r="E26" s="84"/>
      <c r="F26" s="84">
        <v>7.05000668870155E14</v>
      </c>
      <c r="G26" s="79" t="s">
        <v>104</v>
      </c>
      <c r="H26" s="83">
        <v>16255.0</v>
      </c>
      <c r="I26" s="41" t="s">
        <v>41</v>
      </c>
      <c r="J26" s="103" t="s">
        <v>105</v>
      </c>
      <c r="K26" s="50"/>
      <c r="L26" s="62"/>
      <c r="M26" s="61"/>
      <c r="N26" s="53"/>
    </row>
    <row r="27">
      <c r="A27" s="12" t="s">
        <v>14</v>
      </c>
      <c r="B27" s="73" t="s">
        <v>102</v>
      </c>
      <c r="C27" s="74" t="s">
        <v>66</v>
      </c>
      <c r="D27" s="75">
        <v>0.5972222222222222</v>
      </c>
      <c r="E27" s="104"/>
      <c r="F27" s="104">
        <v>7.03605099240333E14</v>
      </c>
      <c r="G27" s="90" t="s">
        <v>106</v>
      </c>
      <c r="H27" s="77">
        <v>17940.0</v>
      </c>
      <c r="I27" s="41"/>
      <c r="J27" s="42"/>
      <c r="K27" s="63"/>
      <c r="L27" s="56"/>
      <c r="M27" s="64"/>
      <c r="N27" s="65"/>
    </row>
    <row r="28">
      <c r="A28" s="12" t="s">
        <v>15</v>
      </c>
      <c r="B28" s="73" t="s">
        <v>65</v>
      </c>
      <c r="C28" s="74" t="s">
        <v>66</v>
      </c>
      <c r="D28" s="75">
        <v>0.6111111111111112</v>
      </c>
      <c r="E28" s="84"/>
      <c r="F28" s="84">
        <v>2.01152572890003E14</v>
      </c>
      <c r="G28" s="79" t="s">
        <v>107</v>
      </c>
      <c r="H28" s="83">
        <v>19035.0</v>
      </c>
      <c r="I28" s="41" t="s">
        <v>41</v>
      </c>
      <c r="J28" s="42" t="s">
        <v>108</v>
      </c>
      <c r="K28" s="50"/>
      <c r="L28" s="62"/>
      <c r="M28" s="61"/>
      <c r="N28" s="53"/>
    </row>
    <row r="29">
      <c r="A29" s="12" t="s">
        <v>16</v>
      </c>
      <c r="B29" s="73" t="s">
        <v>109</v>
      </c>
      <c r="C29" s="74" t="s">
        <v>66</v>
      </c>
      <c r="D29" s="75">
        <v>0.625</v>
      </c>
      <c r="E29" s="84"/>
      <c r="F29" s="84">
        <v>2.1014056685E14</v>
      </c>
      <c r="G29" s="79" t="s">
        <v>110</v>
      </c>
      <c r="H29" s="83">
        <v>15184.0</v>
      </c>
      <c r="I29" s="41" t="s">
        <v>36</v>
      </c>
      <c r="J29" s="103">
        <v>1.158956608E9</v>
      </c>
      <c r="K29" s="63"/>
      <c r="L29" s="56"/>
      <c r="M29" s="64"/>
      <c r="N29" s="65"/>
    </row>
    <row r="30">
      <c r="A30" s="12" t="s">
        <v>17</v>
      </c>
      <c r="B30" s="73"/>
      <c r="C30" s="74" t="s">
        <v>66</v>
      </c>
      <c r="D30" s="75">
        <v>0.6388888888888888</v>
      </c>
      <c r="E30" s="84"/>
      <c r="F30" s="84"/>
      <c r="G30" s="105" t="s">
        <v>111</v>
      </c>
      <c r="H30" s="83"/>
      <c r="I30" s="41" t="s">
        <v>112</v>
      </c>
      <c r="J30" s="42"/>
      <c r="K30" s="86"/>
      <c r="L30" s="87"/>
      <c r="M30" s="88"/>
      <c r="N30" s="89"/>
    </row>
    <row r="31">
      <c r="A31" s="12" t="s">
        <v>85</v>
      </c>
      <c r="B31" s="73" t="s">
        <v>102</v>
      </c>
      <c r="C31" s="74" t="s">
        <v>66</v>
      </c>
      <c r="D31" s="75">
        <v>0.6527777777777778</v>
      </c>
      <c r="E31" s="85"/>
      <c r="F31" s="85"/>
      <c r="G31" s="105" t="s">
        <v>111</v>
      </c>
      <c r="H31" s="91"/>
      <c r="I31" s="41" t="s">
        <v>112</v>
      </c>
      <c r="J31" s="42"/>
      <c r="K31" s="63"/>
      <c r="L31" s="56"/>
      <c r="M31" s="64"/>
      <c r="N31" s="65"/>
    </row>
    <row r="32">
      <c r="A32" s="106" t="s">
        <v>87</v>
      </c>
      <c r="B32" s="107" t="s">
        <v>65</v>
      </c>
      <c r="C32" s="74" t="s">
        <v>66</v>
      </c>
      <c r="D32" s="108">
        <v>0.6666666666666666</v>
      </c>
      <c r="E32" s="109"/>
      <c r="F32" s="109">
        <v>8.0144047890306E14</v>
      </c>
      <c r="G32" s="110" t="s">
        <v>113</v>
      </c>
      <c r="H32" s="111">
        <v>17507.0</v>
      </c>
      <c r="I32" s="112" t="s">
        <v>36</v>
      </c>
      <c r="J32" s="113" t="s">
        <v>114</v>
      </c>
      <c r="K32" s="114"/>
      <c r="L32" s="115"/>
      <c r="M32" s="116"/>
      <c r="N32" s="117" t="s">
        <v>115</v>
      </c>
      <c r="O32" s="118"/>
      <c r="P32" s="118"/>
      <c r="Q32" s="118"/>
      <c r="R32" s="118"/>
      <c r="S32" s="118"/>
      <c r="T32" s="118"/>
      <c r="U32" s="118"/>
      <c r="V32" s="118"/>
    </row>
    <row r="33">
      <c r="A33" s="106" t="s">
        <v>90</v>
      </c>
      <c r="B33" s="107" t="s">
        <v>109</v>
      </c>
      <c r="C33" s="74" t="s">
        <v>66</v>
      </c>
      <c r="D33" s="108">
        <v>0.6805555555555556</v>
      </c>
      <c r="E33" s="119"/>
      <c r="F33" s="119">
        <v>8.98001437786032E14</v>
      </c>
      <c r="G33" s="120" t="s">
        <v>116</v>
      </c>
      <c r="H33" s="111">
        <v>33751.0</v>
      </c>
      <c r="I33" s="112" t="s">
        <v>36</v>
      </c>
      <c r="J33" s="113" t="s">
        <v>117</v>
      </c>
      <c r="K33" s="121"/>
      <c r="L33" s="122"/>
      <c r="M33" s="123"/>
      <c r="N33" s="117" t="s">
        <v>115</v>
      </c>
      <c r="O33" s="118"/>
      <c r="P33" s="118"/>
      <c r="Q33" s="118"/>
      <c r="R33" s="118"/>
      <c r="S33" s="118"/>
      <c r="T33" s="118"/>
      <c r="U33" s="118"/>
      <c r="V33" s="118"/>
    </row>
    <row r="34">
      <c r="A34" s="106" t="s">
        <v>93</v>
      </c>
      <c r="B34" s="107" t="s">
        <v>109</v>
      </c>
      <c r="C34" s="74" t="s">
        <v>66</v>
      </c>
      <c r="D34" s="108">
        <v>0.6944444444444444</v>
      </c>
      <c r="E34" s="119"/>
      <c r="F34" s="119">
        <v>8.01440497037268E14</v>
      </c>
      <c r="G34" s="124" t="s">
        <v>118</v>
      </c>
      <c r="H34" s="111">
        <v>22715.0</v>
      </c>
      <c r="I34" s="112" t="s">
        <v>36</v>
      </c>
      <c r="J34" s="125" t="s">
        <v>119</v>
      </c>
      <c r="K34" s="114"/>
      <c r="L34" s="115"/>
      <c r="M34" s="116"/>
      <c r="N34" s="117" t="s">
        <v>115</v>
      </c>
      <c r="O34" s="118"/>
      <c r="P34" s="118"/>
      <c r="Q34" s="118"/>
      <c r="R34" s="118"/>
      <c r="S34" s="118"/>
      <c r="T34" s="118"/>
      <c r="U34" s="118"/>
      <c r="V34" s="118"/>
    </row>
    <row r="35">
      <c r="B35" s="126"/>
      <c r="C35" s="126"/>
      <c r="D35" s="126"/>
      <c r="E35" s="127"/>
      <c r="F35" s="127"/>
      <c r="G35" s="128"/>
      <c r="H35" s="129"/>
    </row>
    <row r="36">
      <c r="B36" s="126"/>
      <c r="C36" s="126"/>
      <c r="D36" s="126"/>
      <c r="E36" s="127"/>
      <c r="F36" s="127"/>
      <c r="G36" s="128"/>
      <c r="H36" s="129"/>
    </row>
    <row r="37">
      <c r="B37" s="126"/>
      <c r="C37" s="126"/>
      <c r="D37" s="126"/>
      <c r="E37" s="127"/>
      <c r="F37" s="127"/>
      <c r="G37" s="128"/>
      <c r="H37" s="129"/>
    </row>
    <row r="38">
      <c r="B38" s="126"/>
      <c r="C38" s="126"/>
      <c r="D38" s="126"/>
      <c r="E38" s="127"/>
      <c r="F38" s="127"/>
      <c r="G38" s="128"/>
      <c r="H38" s="129"/>
    </row>
    <row r="39">
      <c r="B39" s="126"/>
      <c r="C39" s="126"/>
      <c r="D39" s="126"/>
      <c r="E39" s="127"/>
      <c r="F39" s="127"/>
      <c r="G39" s="128"/>
      <c r="H39" s="129"/>
    </row>
    <row r="40">
      <c r="B40" s="126"/>
      <c r="C40" s="126"/>
      <c r="D40" s="126"/>
      <c r="E40" s="127"/>
      <c r="F40" s="127"/>
      <c r="G40" s="128"/>
      <c r="H40" s="129"/>
    </row>
    <row r="41">
      <c r="A41" s="35" t="s">
        <v>120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2">
      <c r="A42" s="69" t="s">
        <v>121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</row>
    <row r="43">
      <c r="A43" s="70"/>
      <c r="B43" s="7" t="s">
        <v>3</v>
      </c>
      <c r="C43" s="10" t="s">
        <v>2</v>
      </c>
      <c r="D43" s="8" t="s">
        <v>5</v>
      </c>
      <c r="E43" s="8"/>
      <c r="F43" s="8" t="s">
        <v>6</v>
      </c>
      <c r="G43" s="71" t="s">
        <v>7</v>
      </c>
      <c r="H43" s="9" t="s">
        <v>8</v>
      </c>
      <c r="I43" s="72" t="s">
        <v>20</v>
      </c>
      <c r="J43" s="8" t="s">
        <v>25</v>
      </c>
      <c r="K43" s="8" t="s">
        <v>26</v>
      </c>
      <c r="L43" s="9" t="s">
        <v>28</v>
      </c>
      <c r="M43" s="6" t="s">
        <v>29</v>
      </c>
      <c r="N43" s="9" t="s">
        <v>30</v>
      </c>
    </row>
    <row r="44">
      <c r="A44" s="12" t="s">
        <v>10</v>
      </c>
      <c r="B44" s="73"/>
      <c r="C44" s="74" t="s">
        <v>122</v>
      </c>
      <c r="D44" s="75">
        <v>0.3333333333333333</v>
      </c>
      <c r="E44" s="76"/>
      <c r="F44" s="76"/>
      <c r="G44" s="105" t="s">
        <v>111</v>
      </c>
      <c r="H44" s="77"/>
      <c r="I44" s="41" t="s">
        <v>112</v>
      </c>
      <c r="J44" s="42"/>
      <c r="K44" s="43"/>
      <c r="L44" s="78"/>
      <c r="M44" s="46"/>
      <c r="N44" s="47"/>
    </row>
    <row r="45">
      <c r="A45" s="12" t="s">
        <v>11</v>
      </c>
      <c r="B45" s="73"/>
      <c r="C45" s="74" t="s">
        <v>122</v>
      </c>
      <c r="D45" s="75">
        <v>0.3472222222222222</v>
      </c>
      <c r="E45" s="76"/>
      <c r="F45" s="76"/>
      <c r="G45" s="105" t="s">
        <v>111</v>
      </c>
      <c r="H45" s="77"/>
      <c r="I45" s="41" t="s">
        <v>112</v>
      </c>
      <c r="J45" s="42"/>
      <c r="K45" s="50"/>
      <c r="L45" s="52"/>
      <c r="M45" s="51"/>
      <c r="N45" s="53"/>
    </row>
    <row r="46">
      <c r="A46" s="12" t="s">
        <v>12</v>
      </c>
      <c r="B46" s="73"/>
      <c r="C46" s="74" t="s">
        <v>122</v>
      </c>
      <c r="D46" s="75">
        <v>0.3611111111111111</v>
      </c>
      <c r="E46" s="84"/>
      <c r="F46" s="84"/>
      <c r="G46" s="105" t="s">
        <v>111</v>
      </c>
      <c r="H46" s="83"/>
      <c r="I46" s="41" t="s">
        <v>112</v>
      </c>
      <c r="J46" s="42"/>
      <c r="K46" s="54"/>
      <c r="L46" s="56"/>
      <c r="M46" s="55"/>
      <c r="N46" s="57"/>
    </row>
    <row r="47">
      <c r="A47" s="12" t="s">
        <v>13</v>
      </c>
      <c r="B47" s="73" t="s">
        <v>72</v>
      </c>
      <c r="C47" s="74" t="s">
        <v>122</v>
      </c>
      <c r="D47" s="75">
        <v>0.375</v>
      </c>
      <c r="E47" s="130"/>
      <c r="F47" s="130">
        <v>8.01440403115618E14</v>
      </c>
      <c r="G47" s="131" t="s">
        <v>123</v>
      </c>
      <c r="H47" s="132">
        <v>21816.0</v>
      </c>
      <c r="I47" s="41" t="s">
        <v>36</v>
      </c>
      <c r="J47" s="42">
        <v>1.1990088346E10</v>
      </c>
      <c r="K47" s="50" t="s">
        <v>124</v>
      </c>
      <c r="L47" s="62">
        <v>45944.0</v>
      </c>
      <c r="M47" s="61" t="s">
        <v>80</v>
      </c>
      <c r="N47" s="53"/>
    </row>
    <row r="48">
      <c r="A48" s="12" t="s">
        <v>14</v>
      </c>
      <c r="B48" s="73" t="s">
        <v>65</v>
      </c>
      <c r="C48" s="74" t="s">
        <v>122</v>
      </c>
      <c r="D48" s="75">
        <v>0.3888888888888889</v>
      </c>
      <c r="E48" s="84"/>
      <c r="F48" s="84">
        <v>7.034029548254E14</v>
      </c>
      <c r="G48" s="79" t="s">
        <v>125</v>
      </c>
      <c r="H48" s="77">
        <v>17572.0</v>
      </c>
      <c r="I48" s="41" t="s">
        <v>41</v>
      </c>
      <c r="J48" s="42" t="s">
        <v>126</v>
      </c>
      <c r="K48" s="63"/>
      <c r="L48" s="56"/>
      <c r="M48" s="64"/>
      <c r="N48" s="65"/>
    </row>
    <row r="49">
      <c r="A49" s="12" t="s">
        <v>15</v>
      </c>
      <c r="B49" s="73"/>
      <c r="C49" s="74" t="s">
        <v>122</v>
      </c>
      <c r="D49" s="75">
        <v>0.4027777777777778</v>
      </c>
      <c r="E49" s="84"/>
      <c r="F49" s="84"/>
      <c r="G49" s="105" t="s">
        <v>111</v>
      </c>
      <c r="H49" s="83"/>
      <c r="I49" s="41"/>
      <c r="J49" s="42"/>
      <c r="K49" s="50"/>
      <c r="L49" s="62"/>
      <c r="M49" s="61"/>
      <c r="N49" s="53"/>
    </row>
    <row r="50">
      <c r="A50" s="12" t="s">
        <v>16</v>
      </c>
      <c r="B50" s="73" t="s">
        <v>32</v>
      </c>
      <c r="C50" s="74" t="s">
        <v>122</v>
      </c>
      <c r="D50" s="75">
        <v>0.4166666666666667</v>
      </c>
      <c r="E50" s="133"/>
      <c r="F50" s="133">
        <v>2.04161006560003E14</v>
      </c>
      <c r="G50" s="59" t="s">
        <v>127</v>
      </c>
      <c r="H50" s="83">
        <v>26915.0</v>
      </c>
      <c r="I50" s="41"/>
      <c r="J50" s="42" t="s">
        <v>128</v>
      </c>
      <c r="K50" s="63"/>
      <c r="L50" s="56"/>
      <c r="M50" s="64"/>
      <c r="N50" s="65"/>
    </row>
    <row r="51">
      <c r="A51" s="12" t="s">
        <v>17</v>
      </c>
      <c r="B51" s="73" t="s">
        <v>65</v>
      </c>
      <c r="C51" s="74" t="s">
        <v>122</v>
      </c>
      <c r="D51" s="75">
        <v>0.4305555555555556</v>
      </c>
      <c r="E51" s="84"/>
      <c r="F51" s="84">
        <v>2.01152823130004E14</v>
      </c>
      <c r="G51" s="79" t="s">
        <v>129</v>
      </c>
      <c r="H51" s="83">
        <v>21205.0</v>
      </c>
      <c r="I51" s="41" t="s">
        <v>41</v>
      </c>
      <c r="J51" s="42" t="s">
        <v>130</v>
      </c>
      <c r="K51" s="50"/>
      <c r="L51" s="62"/>
      <c r="M51" s="61"/>
      <c r="N51" s="53"/>
    </row>
    <row r="52">
      <c r="A52" s="12" t="s">
        <v>85</v>
      </c>
      <c r="B52" s="73"/>
      <c r="C52" s="74" t="s">
        <v>122</v>
      </c>
      <c r="D52" s="75">
        <v>0.4444444444444444</v>
      </c>
      <c r="E52" s="134"/>
      <c r="F52" s="134"/>
      <c r="G52" s="105" t="s">
        <v>111</v>
      </c>
      <c r="H52" s="135"/>
      <c r="I52" s="41" t="s">
        <v>112</v>
      </c>
      <c r="J52" s="136"/>
      <c r="K52" s="63"/>
      <c r="L52" s="56"/>
      <c r="M52" s="64"/>
      <c r="N52" s="65"/>
    </row>
    <row r="53">
      <c r="A53" s="12" t="s">
        <v>87</v>
      </c>
      <c r="B53" s="73" t="s">
        <v>98</v>
      </c>
      <c r="C53" s="74" t="s">
        <v>122</v>
      </c>
      <c r="D53" s="75">
        <v>0.4583333333333333</v>
      </c>
      <c r="E53" s="137"/>
      <c r="F53" s="137">
        <v>7.04705741609733E14</v>
      </c>
      <c r="G53" s="79" t="s">
        <v>131</v>
      </c>
      <c r="H53" s="83">
        <v>24443.0</v>
      </c>
      <c r="I53" s="41" t="s">
        <v>41</v>
      </c>
      <c r="J53" s="102"/>
      <c r="K53" s="50"/>
      <c r="L53" s="62"/>
      <c r="M53" s="61"/>
      <c r="N53" s="53"/>
    </row>
    <row r="54">
      <c r="A54" s="12" t="s">
        <v>90</v>
      </c>
      <c r="B54" s="73" t="s">
        <v>65</v>
      </c>
      <c r="C54" s="74" t="s">
        <v>122</v>
      </c>
      <c r="D54" s="75">
        <v>0.4722222222222222</v>
      </c>
      <c r="E54" s="85"/>
      <c r="F54" s="85">
        <v>8.01440406560574E14</v>
      </c>
      <c r="G54" s="90" t="s">
        <v>132</v>
      </c>
      <c r="H54" s="91">
        <v>25673.0</v>
      </c>
      <c r="I54" s="41" t="s">
        <v>41</v>
      </c>
      <c r="J54" s="138" t="s">
        <v>133</v>
      </c>
      <c r="K54" s="63"/>
      <c r="L54" s="56"/>
      <c r="M54" s="64"/>
      <c r="N54" s="65"/>
    </row>
    <row r="55">
      <c r="A55" s="12" t="s">
        <v>93</v>
      </c>
      <c r="B55" s="73" t="s">
        <v>109</v>
      </c>
      <c r="C55" s="74" t="s">
        <v>122</v>
      </c>
      <c r="D55" s="75">
        <v>0.4861111111111111</v>
      </c>
      <c r="E55" s="85"/>
      <c r="F55" s="85">
        <v>8.01440412497609E14</v>
      </c>
      <c r="G55" s="90" t="s">
        <v>134</v>
      </c>
      <c r="H55" s="91">
        <v>23435.0</v>
      </c>
      <c r="I55" s="41" t="s">
        <v>41</v>
      </c>
      <c r="J55" s="138">
        <v>9.59313154E8</v>
      </c>
      <c r="K55" s="50"/>
      <c r="L55" s="62"/>
      <c r="M55" s="61"/>
      <c r="N55" s="53"/>
    </row>
    <row r="56">
      <c r="B56" s="126"/>
      <c r="C56" s="126"/>
      <c r="D56" s="126"/>
      <c r="E56" s="127"/>
      <c r="F56" s="127"/>
      <c r="G56" s="128"/>
      <c r="H56" s="129"/>
    </row>
    <row r="57">
      <c r="B57" s="126"/>
      <c r="C57" s="126"/>
      <c r="D57" s="126"/>
      <c r="E57" s="127"/>
      <c r="F57" s="127"/>
      <c r="G57" s="128"/>
      <c r="H57" s="129"/>
    </row>
    <row r="58">
      <c r="B58" s="126"/>
      <c r="C58" s="126"/>
      <c r="D58" s="126"/>
      <c r="E58" s="127"/>
      <c r="F58" s="127"/>
      <c r="G58" s="139"/>
    </row>
    <row r="59">
      <c r="B59" s="126"/>
      <c r="C59" s="126"/>
      <c r="D59" s="126"/>
      <c r="E59" s="127"/>
      <c r="F59" s="127"/>
      <c r="G59" s="128"/>
      <c r="H59" s="129"/>
    </row>
    <row r="60">
      <c r="A60" s="35" t="s">
        <v>135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</row>
    <row r="61">
      <c r="A61" s="69" t="s">
        <v>136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</row>
    <row r="62">
      <c r="A62" s="70"/>
      <c r="B62" s="7" t="s">
        <v>3</v>
      </c>
      <c r="C62" s="10" t="s">
        <v>2</v>
      </c>
      <c r="D62" s="8" t="s">
        <v>5</v>
      </c>
      <c r="E62" s="8"/>
      <c r="F62" s="8" t="s">
        <v>6</v>
      </c>
      <c r="G62" s="71" t="s">
        <v>7</v>
      </c>
      <c r="H62" s="9" t="s">
        <v>8</v>
      </c>
      <c r="I62" s="72" t="s">
        <v>20</v>
      </c>
      <c r="J62" s="8" t="s">
        <v>25</v>
      </c>
      <c r="K62" s="8" t="s">
        <v>26</v>
      </c>
      <c r="L62" s="9" t="s">
        <v>28</v>
      </c>
      <c r="M62" s="6" t="s">
        <v>29</v>
      </c>
      <c r="N62" s="9" t="s">
        <v>30</v>
      </c>
    </row>
    <row r="63">
      <c r="A63" s="12" t="s">
        <v>10</v>
      </c>
      <c r="B63" s="73" t="s">
        <v>98</v>
      </c>
      <c r="C63" s="74" t="s">
        <v>137</v>
      </c>
      <c r="D63" s="75">
        <v>0.5416666666666666</v>
      </c>
      <c r="E63" s="84"/>
      <c r="F63" s="84">
        <v>8.01440473346325E14</v>
      </c>
      <c r="G63" s="79" t="s">
        <v>138</v>
      </c>
      <c r="H63" s="83">
        <v>18334.0</v>
      </c>
      <c r="I63" s="140"/>
      <c r="J63" s="84" t="s">
        <v>139</v>
      </c>
      <c r="K63" s="43"/>
      <c r="L63" s="78"/>
      <c r="M63" s="46"/>
      <c r="N63" s="47"/>
    </row>
    <row r="64" ht="15.75" customHeight="1">
      <c r="A64" s="12" t="s">
        <v>11</v>
      </c>
      <c r="B64" s="73"/>
      <c r="C64" s="74" t="s">
        <v>137</v>
      </c>
      <c r="D64" s="75">
        <v>0.5555555555555556</v>
      </c>
      <c r="E64" s="76"/>
      <c r="F64" s="76"/>
      <c r="G64" s="105" t="s">
        <v>111</v>
      </c>
      <c r="H64" s="77"/>
      <c r="I64" s="140" t="s">
        <v>112</v>
      </c>
      <c r="J64" s="141"/>
      <c r="K64" s="50"/>
      <c r="L64" s="52"/>
      <c r="M64" s="51"/>
      <c r="N64" s="53"/>
    </row>
    <row r="65" ht="15.75" customHeight="1">
      <c r="A65" s="12" t="s">
        <v>12</v>
      </c>
      <c r="B65" s="73"/>
      <c r="C65" s="74" t="s">
        <v>137</v>
      </c>
      <c r="D65" s="75">
        <v>0.5694444444444444</v>
      </c>
      <c r="E65" s="84"/>
      <c r="F65" s="84"/>
      <c r="G65" s="105" t="s">
        <v>111</v>
      </c>
      <c r="H65" s="83"/>
      <c r="I65" s="140" t="s">
        <v>112</v>
      </c>
      <c r="J65" s="141"/>
      <c r="K65" s="54"/>
      <c r="L65" s="56"/>
      <c r="M65" s="55"/>
      <c r="N65" s="57"/>
    </row>
    <row r="66" ht="15.75" customHeight="1">
      <c r="A66" s="12" t="s">
        <v>13</v>
      </c>
      <c r="B66" s="73" t="s">
        <v>98</v>
      </c>
      <c r="C66" s="74" t="s">
        <v>137</v>
      </c>
      <c r="D66" s="75">
        <v>0.5833333333333334</v>
      </c>
      <c r="E66" s="142"/>
      <c r="F66" s="142">
        <v>8.01440497047832E14</v>
      </c>
      <c r="G66" s="143" t="s">
        <v>140</v>
      </c>
      <c r="H66" s="144">
        <v>18401.0</v>
      </c>
      <c r="I66" s="145"/>
      <c r="J66" s="146" t="s">
        <v>141</v>
      </c>
      <c r="K66" s="50"/>
      <c r="L66" s="62"/>
      <c r="M66" s="61"/>
      <c r="N66" s="53"/>
    </row>
    <row r="67" ht="15.75" customHeight="1">
      <c r="A67" s="12" t="s">
        <v>14</v>
      </c>
      <c r="B67" s="73" t="s">
        <v>109</v>
      </c>
      <c r="C67" s="74" t="s">
        <v>137</v>
      </c>
      <c r="D67" s="75">
        <v>0.5972222222222222</v>
      </c>
      <c r="E67" s="147"/>
      <c r="F67" s="147">
        <v>7.0340321344101E14</v>
      </c>
      <c r="G67" s="148" t="s">
        <v>142</v>
      </c>
      <c r="H67" s="149">
        <v>35587.0</v>
      </c>
      <c r="I67" s="145" t="s">
        <v>41</v>
      </c>
      <c r="J67" s="146" t="s">
        <v>143</v>
      </c>
      <c r="K67" s="63"/>
      <c r="L67" s="56"/>
      <c r="M67" s="64"/>
      <c r="N67" s="65"/>
    </row>
    <row r="68" ht="15.75" customHeight="1">
      <c r="A68" s="12" t="s">
        <v>15</v>
      </c>
      <c r="B68" s="73"/>
      <c r="C68" s="74" t="s">
        <v>137</v>
      </c>
      <c r="D68" s="75">
        <v>0.6111111111111112</v>
      </c>
      <c r="E68" s="150"/>
      <c r="F68" s="150"/>
      <c r="G68" s="105" t="s">
        <v>111</v>
      </c>
      <c r="H68" s="151"/>
      <c r="I68" s="145" t="s">
        <v>112</v>
      </c>
      <c r="J68" s="152"/>
      <c r="K68" s="50"/>
      <c r="L68" s="62"/>
      <c r="M68" s="61"/>
      <c r="N68" s="53"/>
    </row>
    <row r="69">
      <c r="A69" s="12" t="s">
        <v>16</v>
      </c>
      <c r="B69" s="73" t="s">
        <v>109</v>
      </c>
      <c r="C69" s="74" t="s">
        <v>137</v>
      </c>
      <c r="D69" s="75">
        <v>0.625</v>
      </c>
      <c r="E69" s="146"/>
      <c r="F69" s="146">
        <v>1.24154687990005E14</v>
      </c>
      <c r="G69" s="148" t="s">
        <v>144</v>
      </c>
      <c r="H69" s="153">
        <v>20278.0</v>
      </c>
      <c r="I69" s="145" t="s">
        <v>36</v>
      </c>
      <c r="J69" s="150" t="s">
        <v>145</v>
      </c>
      <c r="K69" s="154" t="s">
        <v>146</v>
      </c>
      <c r="L69" s="56">
        <v>45945.0</v>
      </c>
      <c r="M69" s="64" t="s">
        <v>147</v>
      </c>
      <c r="N69" s="155" t="s">
        <v>148</v>
      </c>
    </row>
    <row r="70" ht="15.75" customHeight="1">
      <c r="A70" s="12" t="s">
        <v>17</v>
      </c>
      <c r="B70" s="73" t="s">
        <v>65</v>
      </c>
      <c r="C70" s="74" t="s">
        <v>137</v>
      </c>
      <c r="D70" s="75">
        <v>0.6388888888888888</v>
      </c>
      <c r="E70" s="156"/>
      <c r="F70" s="156">
        <v>8.01440407031079E14</v>
      </c>
      <c r="G70" s="105" t="s">
        <v>149</v>
      </c>
      <c r="H70" s="157">
        <v>23047.0</v>
      </c>
      <c r="I70" s="140"/>
      <c r="J70" s="156" t="s">
        <v>150</v>
      </c>
      <c r="K70" s="50"/>
      <c r="L70" s="62"/>
      <c r="M70" s="61"/>
      <c r="N70" s="53"/>
    </row>
    <row r="71" ht="15.75" customHeight="1">
      <c r="A71" s="12" t="s">
        <v>85</v>
      </c>
      <c r="B71" s="73"/>
      <c r="C71" s="74" t="s">
        <v>137</v>
      </c>
      <c r="D71" s="75">
        <v>0.6527777777777778</v>
      </c>
      <c r="E71" s="158"/>
      <c r="F71" s="158"/>
      <c r="G71" s="105" t="s">
        <v>111</v>
      </c>
      <c r="H71" s="159"/>
      <c r="I71" s="140" t="s">
        <v>112</v>
      </c>
      <c r="J71" s="158"/>
      <c r="K71" s="63"/>
      <c r="L71" s="56"/>
      <c r="M71" s="64"/>
      <c r="N71" s="65"/>
    </row>
    <row r="72" ht="15.75" customHeight="1">
      <c r="A72" s="12" t="s">
        <v>87</v>
      </c>
      <c r="B72" s="73" t="s">
        <v>65</v>
      </c>
      <c r="C72" s="74" t="s">
        <v>137</v>
      </c>
      <c r="D72" s="75">
        <v>0.6666666666666666</v>
      </c>
      <c r="E72" s="156"/>
      <c r="F72" s="156">
        <v>8.98001420209614E14</v>
      </c>
      <c r="G72" s="105" t="s">
        <v>151</v>
      </c>
      <c r="H72" s="157">
        <v>32274.0</v>
      </c>
      <c r="I72" s="140"/>
      <c r="J72" s="156" t="s">
        <v>152</v>
      </c>
      <c r="K72" s="50"/>
      <c r="L72" s="62"/>
      <c r="M72" s="61"/>
      <c r="N72" s="53"/>
    </row>
    <row r="73" ht="15.75" customHeight="1">
      <c r="A73" s="12" t="s">
        <v>90</v>
      </c>
      <c r="B73" s="73"/>
      <c r="C73" s="74" t="s">
        <v>137</v>
      </c>
      <c r="D73" s="75">
        <v>0.6805555555555556</v>
      </c>
      <c r="E73" s="158"/>
      <c r="F73" s="158"/>
      <c r="G73" s="105" t="s">
        <v>111</v>
      </c>
      <c r="H73" s="159"/>
      <c r="I73" s="140" t="s">
        <v>112</v>
      </c>
      <c r="J73" s="158"/>
      <c r="K73" s="63"/>
      <c r="L73" s="56"/>
      <c r="M73" s="64"/>
      <c r="N73" s="65"/>
    </row>
    <row r="74" ht="15.75" customHeight="1">
      <c r="A74" s="12" t="s">
        <v>93</v>
      </c>
      <c r="B74" s="73"/>
      <c r="C74" s="74" t="s">
        <v>137</v>
      </c>
      <c r="D74" s="75">
        <v>0.6944444444444444</v>
      </c>
      <c r="E74" s="158"/>
      <c r="F74" s="158"/>
      <c r="G74" s="105" t="s">
        <v>111</v>
      </c>
      <c r="H74" s="159"/>
      <c r="I74" s="140" t="s">
        <v>112</v>
      </c>
      <c r="J74" s="158"/>
      <c r="K74" s="50"/>
      <c r="L74" s="62"/>
      <c r="M74" s="61"/>
      <c r="N74" s="53"/>
    </row>
    <row r="75" ht="15.0" customHeight="1">
      <c r="B75" s="126"/>
      <c r="C75" s="126"/>
      <c r="D75" s="126"/>
      <c r="E75" s="127"/>
      <c r="F75" s="127"/>
      <c r="G75" s="128"/>
      <c r="H75" s="129"/>
    </row>
    <row r="76">
      <c r="B76" s="126"/>
      <c r="C76" s="160" t="s">
        <v>153</v>
      </c>
      <c r="D76" s="126"/>
      <c r="E76" s="127"/>
      <c r="F76" s="127"/>
      <c r="G76" s="128"/>
      <c r="H76" s="129"/>
    </row>
    <row r="77">
      <c r="B77" s="126"/>
      <c r="C77" s="126"/>
      <c r="D77" s="126"/>
      <c r="E77" s="127"/>
      <c r="F77" s="127"/>
      <c r="G77" s="128"/>
      <c r="H77" s="129"/>
    </row>
    <row r="78">
      <c r="B78" s="126"/>
      <c r="C78" s="126"/>
      <c r="D78" s="126"/>
      <c r="E78" s="127"/>
      <c r="F78" s="127"/>
      <c r="G78" s="128"/>
      <c r="H78" s="129"/>
    </row>
    <row r="79">
      <c r="A79" s="35" t="s">
        <v>154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0">
      <c r="A80" s="69" t="s">
        <v>155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</row>
    <row r="81">
      <c r="A81" s="70"/>
      <c r="B81" s="7" t="s">
        <v>3</v>
      </c>
      <c r="C81" s="10" t="s">
        <v>2</v>
      </c>
      <c r="D81" s="8" t="s">
        <v>5</v>
      </c>
      <c r="E81" s="8"/>
      <c r="F81" s="8" t="s">
        <v>6</v>
      </c>
      <c r="G81" s="71" t="s">
        <v>7</v>
      </c>
      <c r="H81" s="9" t="s">
        <v>8</v>
      </c>
      <c r="I81" s="72" t="s">
        <v>20</v>
      </c>
      <c r="J81" s="8" t="s">
        <v>25</v>
      </c>
      <c r="K81" s="8" t="s">
        <v>26</v>
      </c>
      <c r="L81" s="9" t="s">
        <v>28</v>
      </c>
      <c r="M81" s="6" t="s">
        <v>29</v>
      </c>
      <c r="N81" s="9" t="s">
        <v>30</v>
      </c>
    </row>
    <row r="82">
      <c r="A82" s="12" t="s">
        <v>10</v>
      </c>
      <c r="B82" s="73"/>
      <c r="C82" s="74" t="s">
        <v>137</v>
      </c>
      <c r="D82" s="75">
        <v>0.3333333333333333</v>
      </c>
      <c r="E82" s="76"/>
      <c r="F82" s="76"/>
      <c r="G82" s="161" t="s">
        <v>112</v>
      </c>
      <c r="H82" s="77"/>
      <c r="I82" s="41" t="s">
        <v>112</v>
      </c>
      <c r="J82" s="42"/>
      <c r="K82" s="43"/>
      <c r="L82" s="78"/>
      <c r="M82" s="46"/>
      <c r="N82" s="47"/>
    </row>
    <row r="83">
      <c r="A83" s="12" t="s">
        <v>11</v>
      </c>
      <c r="B83" s="73"/>
      <c r="C83" s="74" t="s">
        <v>137</v>
      </c>
      <c r="D83" s="75">
        <v>0.3472222222222222</v>
      </c>
      <c r="E83" s="76"/>
      <c r="F83" s="76"/>
      <c r="G83" s="161" t="s">
        <v>112</v>
      </c>
      <c r="H83" s="77"/>
      <c r="I83" s="41" t="s">
        <v>112</v>
      </c>
      <c r="J83" s="42"/>
      <c r="K83" s="50"/>
      <c r="L83" s="52"/>
      <c r="M83" s="51"/>
      <c r="N83" s="53"/>
    </row>
    <row r="84" ht="15.75" customHeight="1">
      <c r="A84" s="12" t="s">
        <v>12</v>
      </c>
      <c r="B84" s="73" t="s">
        <v>65</v>
      </c>
      <c r="C84" s="74" t="s">
        <v>137</v>
      </c>
      <c r="D84" s="75">
        <v>0.3611111111111111</v>
      </c>
      <c r="E84" s="162"/>
      <c r="F84" s="162">
        <v>8.01440450791705E14</v>
      </c>
      <c r="G84" s="161" t="s">
        <v>156</v>
      </c>
      <c r="H84" s="163">
        <v>28821.0</v>
      </c>
      <c r="I84" s="41" t="s">
        <v>41</v>
      </c>
      <c r="J84" s="141" t="s">
        <v>157</v>
      </c>
      <c r="K84" s="54"/>
      <c r="L84" s="56"/>
      <c r="M84" s="55"/>
      <c r="N84" s="57"/>
    </row>
    <row r="85" ht="15.75" customHeight="1">
      <c r="A85" s="12" t="s">
        <v>13</v>
      </c>
      <c r="B85" s="73" t="s">
        <v>72</v>
      </c>
      <c r="C85" s="74" t="s">
        <v>137</v>
      </c>
      <c r="D85" s="75">
        <v>0.375</v>
      </c>
      <c r="E85" s="162"/>
      <c r="F85" s="162">
        <v>7.08505305299379E14</v>
      </c>
      <c r="G85" s="164" t="s">
        <v>158</v>
      </c>
      <c r="H85" s="163">
        <v>18621.0</v>
      </c>
      <c r="I85" s="41" t="s">
        <v>41</v>
      </c>
      <c r="J85" s="141">
        <v>1.1954676137E10</v>
      </c>
      <c r="K85" s="50"/>
      <c r="L85" s="62"/>
      <c r="M85" s="61"/>
      <c r="N85" s="53"/>
    </row>
    <row r="86" ht="15.75" customHeight="1">
      <c r="A86" s="12" t="s">
        <v>14</v>
      </c>
      <c r="B86" s="73" t="s">
        <v>32</v>
      </c>
      <c r="C86" s="74" t="s">
        <v>137</v>
      </c>
      <c r="D86" s="75">
        <v>0.3888888888888889</v>
      </c>
      <c r="E86" s="85"/>
      <c r="F86" s="85">
        <v>7.05401401267493E14</v>
      </c>
      <c r="G86" s="90" t="s">
        <v>94</v>
      </c>
      <c r="H86" s="91">
        <v>20428.0</v>
      </c>
      <c r="I86" s="41"/>
      <c r="J86" s="141" t="s">
        <v>159</v>
      </c>
      <c r="K86" s="63"/>
      <c r="L86" s="56"/>
      <c r="M86" s="64"/>
      <c r="N86" s="65"/>
    </row>
    <row r="87" ht="15.75" customHeight="1">
      <c r="A87" s="12" t="s">
        <v>15</v>
      </c>
      <c r="B87" s="73" t="s">
        <v>65</v>
      </c>
      <c r="C87" s="74" t="s">
        <v>137</v>
      </c>
      <c r="D87" s="75">
        <v>0.4027777777777778</v>
      </c>
      <c r="E87" s="162"/>
      <c r="F87" s="162">
        <v>1.24144982870007E14</v>
      </c>
      <c r="G87" s="161" t="s">
        <v>160</v>
      </c>
      <c r="H87" s="163">
        <v>20555.0</v>
      </c>
      <c r="I87" s="41" t="s">
        <v>41</v>
      </c>
      <c r="J87" s="141" t="s">
        <v>161</v>
      </c>
      <c r="K87" s="50"/>
      <c r="L87" s="62"/>
      <c r="M87" s="61"/>
      <c r="N87" s="53"/>
    </row>
    <row r="88">
      <c r="A88" s="12" t="s">
        <v>16</v>
      </c>
      <c r="B88" s="73" t="s">
        <v>72</v>
      </c>
      <c r="C88" s="74" t="s">
        <v>137</v>
      </c>
      <c r="D88" s="75">
        <v>0.4166666666666667</v>
      </c>
      <c r="E88" s="130"/>
      <c r="F88" s="130">
        <v>7.00003673639409E14</v>
      </c>
      <c r="G88" s="161" t="s">
        <v>162</v>
      </c>
      <c r="H88" s="165">
        <v>25418.0</v>
      </c>
      <c r="I88" s="41" t="s">
        <v>41</v>
      </c>
      <c r="J88" s="156">
        <v>1.1986031584E10</v>
      </c>
      <c r="K88" s="63"/>
      <c r="L88" s="56"/>
      <c r="M88" s="64"/>
      <c r="N88" s="65"/>
    </row>
    <row r="89">
      <c r="A89" s="12" t="s">
        <v>17</v>
      </c>
      <c r="B89" s="73" t="s">
        <v>32</v>
      </c>
      <c r="C89" s="74" t="s">
        <v>137</v>
      </c>
      <c r="D89" s="75">
        <v>0.4305555555555556</v>
      </c>
      <c r="E89" s="133"/>
      <c r="F89" s="133">
        <v>1.05612898480004E14</v>
      </c>
      <c r="G89" s="161" t="s">
        <v>59</v>
      </c>
      <c r="H89" s="163">
        <v>17552.0</v>
      </c>
      <c r="I89" s="41"/>
      <c r="J89" s="141" t="s">
        <v>163</v>
      </c>
      <c r="K89" s="50"/>
      <c r="L89" s="62"/>
      <c r="M89" s="61"/>
      <c r="N89" s="53"/>
    </row>
    <row r="90" ht="15.75" customHeight="1">
      <c r="A90" s="12" t="s">
        <v>85</v>
      </c>
      <c r="B90" s="73" t="s">
        <v>65</v>
      </c>
      <c r="C90" s="74" t="s">
        <v>137</v>
      </c>
      <c r="D90" s="75">
        <v>0.4444444444444444</v>
      </c>
      <c r="E90" s="84"/>
      <c r="F90" s="84">
        <v>8.0144047890306E14</v>
      </c>
      <c r="G90" s="79" t="s">
        <v>164</v>
      </c>
      <c r="H90" s="83">
        <v>17507.0</v>
      </c>
      <c r="I90" s="41" t="s">
        <v>36</v>
      </c>
      <c r="J90" s="141" t="s">
        <v>114</v>
      </c>
      <c r="K90" s="63" t="s">
        <v>165</v>
      </c>
      <c r="L90" s="56"/>
      <c r="M90" s="64"/>
      <c r="N90" s="65" t="s">
        <v>166</v>
      </c>
    </row>
    <row r="91">
      <c r="A91" s="12" t="s">
        <v>87</v>
      </c>
      <c r="B91" s="73" t="s">
        <v>72</v>
      </c>
      <c r="C91" s="74" t="s">
        <v>137</v>
      </c>
      <c r="D91" s="75">
        <v>0.4583333333333333</v>
      </c>
      <c r="E91" s="156"/>
      <c r="F91" s="156">
        <v>7.0030840468144E14</v>
      </c>
      <c r="G91" s="105" t="s">
        <v>167</v>
      </c>
      <c r="H91" s="166">
        <v>14732.0</v>
      </c>
      <c r="I91" s="41" t="s">
        <v>41</v>
      </c>
      <c r="J91" s="85">
        <v>1.1986031584E10</v>
      </c>
      <c r="K91" s="50"/>
      <c r="L91" s="62"/>
      <c r="M91" s="61"/>
      <c r="N91" s="53"/>
    </row>
    <row r="92">
      <c r="A92" s="12" t="s">
        <v>90</v>
      </c>
      <c r="B92" s="73" t="s">
        <v>32</v>
      </c>
      <c r="C92" s="74" t="s">
        <v>137</v>
      </c>
      <c r="D92" s="75">
        <v>0.4722222222222222</v>
      </c>
      <c r="E92" s="74"/>
      <c r="F92" s="74">
        <v>7.00007245355708E14</v>
      </c>
      <c r="G92" s="167" t="s">
        <v>168</v>
      </c>
      <c r="H92" s="166">
        <v>21490.0</v>
      </c>
      <c r="I92" s="41"/>
      <c r="J92" s="168" t="s">
        <v>169</v>
      </c>
      <c r="K92" s="63"/>
      <c r="L92" s="56"/>
      <c r="M92" s="64"/>
      <c r="N92" s="65"/>
    </row>
    <row r="93">
      <c r="A93" s="12" t="s">
        <v>93</v>
      </c>
      <c r="B93" s="73"/>
      <c r="C93" s="74" t="s">
        <v>137</v>
      </c>
      <c r="D93" s="75">
        <v>0.4861111111111111</v>
      </c>
      <c r="E93" s="169"/>
      <c r="F93" s="169"/>
      <c r="G93" s="161" t="s">
        <v>112</v>
      </c>
      <c r="H93" s="170"/>
      <c r="I93" s="41" t="s">
        <v>112</v>
      </c>
      <c r="J93" s="33"/>
      <c r="K93" s="50"/>
      <c r="L93" s="62"/>
      <c r="M93" s="61"/>
      <c r="N93" s="53"/>
    </row>
    <row r="94">
      <c r="B94" s="126"/>
      <c r="C94" s="126"/>
      <c r="D94" s="126"/>
      <c r="E94" s="127"/>
      <c r="F94" s="127"/>
      <c r="G94" s="128"/>
      <c r="H94" s="129"/>
    </row>
    <row r="95">
      <c r="B95" s="126"/>
      <c r="C95" s="126"/>
      <c r="D95" s="126"/>
      <c r="E95" s="127"/>
      <c r="F95" s="127"/>
      <c r="G95" s="128"/>
      <c r="H95" s="129"/>
    </row>
    <row r="96">
      <c r="B96" s="126"/>
      <c r="C96" s="126"/>
      <c r="D96" s="126"/>
      <c r="E96" s="127"/>
      <c r="F96" s="127"/>
      <c r="G96" s="128"/>
      <c r="H96" s="129"/>
    </row>
    <row r="97">
      <c r="A97" s="35" t="s">
        <v>170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</row>
    <row r="98">
      <c r="A98" s="69" t="s">
        <v>171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</row>
    <row r="99">
      <c r="A99" s="70"/>
      <c r="B99" s="7" t="s">
        <v>3</v>
      </c>
      <c r="C99" s="10" t="s">
        <v>2</v>
      </c>
      <c r="D99" s="8" t="s">
        <v>5</v>
      </c>
      <c r="E99" s="171" t="s">
        <v>19</v>
      </c>
      <c r="F99" s="8" t="s">
        <v>6</v>
      </c>
      <c r="G99" s="71" t="s">
        <v>7</v>
      </c>
      <c r="H99" s="9" t="s">
        <v>8</v>
      </c>
      <c r="I99" s="72" t="s">
        <v>20</v>
      </c>
      <c r="J99" s="8" t="s">
        <v>25</v>
      </c>
      <c r="K99" s="8" t="s">
        <v>26</v>
      </c>
      <c r="L99" s="9" t="s">
        <v>28</v>
      </c>
      <c r="M99" s="6" t="s">
        <v>29</v>
      </c>
      <c r="N99" s="9" t="s">
        <v>30</v>
      </c>
    </row>
    <row r="100">
      <c r="A100" s="12" t="s">
        <v>10</v>
      </c>
      <c r="B100" s="73"/>
      <c r="C100" s="74" t="s">
        <v>66</v>
      </c>
      <c r="D100" s="75">
        <v>0.3333333333333333</v>
      </c>
      <c r="E100" s="76"/>
      <c r="F100" s="76"/>
      <c r="G100" s="172" t="s">
        <v>172</v>
      </c>
      <c r="H100" s="77"/>
      <c r="I100" s="41" t="s">
        <v>173</v>
      </c>
      <c r="J100" s="42"/>
      <c r="K100" s="43"/>
      <c r="L100" s="78"/>
      <c r="M100" s="46"/>
      <c r="N100" s="47"/>
    </row>
    <row r="101">
      <c r="A101" s="12" t="s">
        <v>11</v>
      </c>
      <c r="B101" s="73"/>
      <c r="C101" s="74" t="s">
        <v>66</v>
      </c>
      <c r="D101" s="75">
        <v>0.3472222222222222</v>
      </c>
      <c r="E101" s="76"/>
      <c r="F101" s="76"/>
      <c r="G101" s="172" t="s">
        <v>172</v>
      </c>
      <c r="H101" s="77"/>
      <c r="I101" s="41" t="s">
        <v>173</v>
      </c>
      <c r="J101" s="42"/>
      <c r="K101" s="50"/>
      <c r="L101" s="52"/>
      <c r="M101" s="51"/>
      <c r="N101" s="53"/>
    </row>
    <row r="102">
      <c r="A102" s="12" t="s">
        <v>12</v>
      </c>
      <c r="B102" s="173"/>
      <c r="C102" s="74" t="s">
        <v>66</v>
      </c>
      <c r="D102" s="75">
        <v>0.3611111111111111</v>
      </c>
      <c r="E102" s="174"/>
      <c r="F102" s="174"/>
      <c r="G102" s="172" t="s">
        <v>172</v>
      </c>
      <c r="H102" s="175"/>
      <c r="I102" s="41" t="s">
        <v>173</v>
      </c>
      <c r="J102" s="176"/>
      <c r="K102" s="54"/>
      <c r="L102" s="56"/>
      <c r="M102" s="55"/>
      <c r="N102" s="57"/>
    </row>
    <row r="103">
      <c r="A103" s="12" t="s">
        <v>13</v>
      </c>
      <c r="B103" s="177"/>
      <c r="C103" s="74" t="s">
        <v>66</v>
      </c>
      <c r="D103" s="75">
        <v>0.375</v>
      </c>
      <c r="E103" s="174"/>
      <c r="F103" s="174"/>
      <c r="G103" s="172" t="s">
        <v>172</v>
      </c>
      <c r="H103" s="175"/>
      <c r="I103" s="41" t="s">
        <v>173</v>
      </c>
      <c r="J103" s="176"/>
      <c r="K103" s="50"/>
      <c r="L103" s="62"/>
      <c r="M103" s="61"/>
      <c r="N103" s="53"/>
    </row>
    <row r="104">
      <c r="A104" s="12" t="s">
        <v>14</v>
      </c>
      <c r="B104" s="178"/>
      <c r="C104" s="74" t="s">
        <v>66</v>
      </c>
      <c r="D104" s="75">
        <v>0.3888888888888889</v>
      </c>
      <c r="E104" s="174"/>
      <c r="F104" s="174"/>
      <c r="G104" s="172" t="s">
        <v>172</v>
      </c>
      <c r="H104" s="179"/>
      <c r="I104" s="41" t="s">
        <v>173</v>
      </c>
      <c r="J104" s="174"/>
      <c r="K104" s="63"/>
      <c r="L104" s="56"/>
      <c r="M104" s="64"/>
      <c r="N104" s="65"/>
    </row>
    <row r="105">
      <c r="A105" s="12" t="s">
        <v>15</v>
      </c>
      <c r="B105" s="167" t="s">
        <v>65</v>
      </c>
      <c r="C105" s="74" t="s">
        <v>66</v>
      </c>
      <c r="D105" s="75">
        <v>0.4027777777777778</v>
      </c>
      <c r="E105" s="174"/>
      <c r="F105" s="174" t="s">
        <v>174</v>
      </c>
      <c r="G105" s="180" t="s">
        <v>175</v>
      </c>
      <c r="H105" s="175">
        <v>20879.0</v>
      </c>
      <c r="I105" s="41" t="s">
        <v>173</v>
      </c>
      <c r="J105" s="176"/>
      <c r="K105" s="50"/>
      <c r="L105" s="62"/>
      <c r="M105" s="61"/>
      <c r="N105" s="53"/>
    </row>
    <row r="106">
      <c r="A106" s="12" t="s">
        <v>16</v>
      </c>
      <c r="B106" s="177"/>
      <c r="C106" s="74" t="s">
        <v>66</v>
      </c>
      <c r="D106" s="75">
        <v>0.4166666666666667</v>
      </c>
      <c r="E106" s="174"/>
      <c r="F106" s="174"/>
      <c r="G106" s="172" t="s">
        <v>172</v>
      </c>
      <c r="H106" s="175"/>
      <c r="I106" s="41" t="s">
        <v>173</v>
      </c>
      <c r="J106" s="176"/>
      <c r="K106" s="63"/>
      <c r="L106" s="56"/>
      <c r="M106" s="64"/>
      <c r="N106" s="65"/>
    </row>
    <row r="107">
      <c r="A107" s="12" t="s">
        <v>17</v>
      </c>
      <c r="B107" s="178"/>
      <c r="C107" s="74" t="s">
        <v>66</v>
      </c>
      <c r="D107" s="75">
        <v>0.4305555555555556</v>
      </c>
      <c r="E107" s="174"/>
      <c r="F107" s="174"/>
      <c r="G107" s="172" t="s">
        <v>172</v>
      </c>
      <c r="H107" s="175"/>
      <c r="I107" s="41" t="s">
        <v>173</v>
      </c>
      <c r="J107" s="174"/>
      <c r="K107" s="50"/>
      <c r="L107" s="62"/>
      <c r="M107" s="61"/>
      <c r="N107" s="53"/>
    </row>
    <row r="108">
      <c r="A108" s="12" t="s">
        <v>85</v>
      </c>
      <c r="B108" s="167" t="s">
        <v>65</v>
      </c>
      <c r="C108" s="74" t="s">
        <v>66</v>
      </c>
      <c r="D108" s="75">
        <v>0.4444444444444444</v>
      </c>
      <c r="E108" s="174"/>
      <c r="F108" s="174" t="s">
        <v>176</v>
      </c>
      <c r="G108" s="90" t="s">
        <v>177</v>
      </c>
      <c r="H108" s="175">
        <v>21221.0</v>
      </c>
      <c r="I108" s="41" t="s">
        <v>173</v>
      </c>
      <c r="J108" s="176"/>
      <c r="K108" s="63"/>
      <c r="L108" s="56"/>
      <c r="M108" s="64"/>
      <c r="N108" s="65"/>
    </row>
    <row r="109">
      <c r="A109" s="12" t="s">
        <v>87</v>
      </c>
      <c r="B109" s="177"/>
      <c r="C109" s="74" t="s">
        <v>66</v>
      </c>
      <c r="D109" s="75">
        <v>0.4583333333333333</v>
      </c>
      <c r="E109" s="174"/>
      <c r="F109" s="174"/>
      <c r="G109" s="181" t="s">
        <v>178</v>
      </c>
      <c r="H109" s="175"/>
      <c r="I109" s="41" t="s">
        <v>173</v>
      </c>
      <c r="J109" s="176"/>
      <c r="K109" s="50"/>
      <c r="L109" s="62"/>
      <c r="M109" s="61"/>
      <c r="N109" s="53"/>
    </row>
    <row r="110">
      <c r="A110" s="12" t="s">
        <v>90</v>
      </c>
      <c r="B110" s="177"/>
      <c r="C110" s="74" t="s">
        <v>66</v>
      </c>
      <c r="D110" s="75">
        <v>0.4722222222222222</v>
      </c>
      <c r="E110" s="174"/>
      <c r="F110" s="174"/>
      <c r="G110" s="181" t="s">
        <v>178</v>
      </c>
      <c r="H110" s="175"/>
      <c r="I110" s="41" t="s">
        <v>173</v>
      </c>
      <c r="J110" s="176"/>
      <c r="K110" s="63"/>
      <c r="L110" s="56"/>
      <c r="M110" s="64"/>
      <c r="N110" s="65"/>
    </row>
    <row r="111">
      <c r="A111" s="12" t="s">
        <v>93</v>
      </c>
      <c r="B111" s="173"/>
      <c r="C111" s="74" t="s">
        <v>66</v>
      </c>
      <c r="D111" s="75">
        <v>0.4861111111111111</v>
      </c>
      <c r="E111" s="174"/>
      <c r="F111" s="174"/>
      <c r="G111" s="181" t="s">
        <v>178</v>
      </c>
      <c r="H111" s="175"/>
      <c r="I111" s="41" t="s">
        <v>173</v>
      </c>
      <c r="J111" s="176"/>
      <c r="K111" s="50"/>
      <c r="L111" s="62"/>
      <c r="M111" s="61"/>
      <c r="N111" s="53"/>
    </row>
    <row r="112">
      <c r="A112" s="92"/>
      <c r="B112" s="93"/>
      <c r="C112" s="93"/>
      <c r="D112" s="93"/>
      <c r="E112" s="93"/>
      <c r="F112" s="93"/>
      <c r="G112" s="94"/>
      <c r="H112" s="95"/>
      <c r="I112" s="92"/>
      <c r="J112" s="92"/>
      <c r="K112" s="92"/>
      <c r="L112" s="92"/>
      <c r="M112" s="92"/>
      <c r="N112" s="92"/>
    </row>
    <row r="113">
      <c r="A113" s="92"/>
      <c r="B113" s="93"/>
      <c r="C113" s="93"/>
      <c r="D113" s="93"/>
      <c r="E113" s="93"/>
      <c r="F113" s="93"/>
      <c r="G113" s="94"/>
      <c r="H113" s="95"/>
      <c r="I113" s="92"/>
      <c r="J113" s="92"/>
      <c r="K113" s="92"/>
      <c r="L113" s="92"/>
      <c r="M113" s="92"/>
      <c r="N113" s="92"/>
    </row>
    <row r="114">
      <c r="A114" s="92"/>
      <c r="B114" s="93"/>
      <c r="C114" s="93"/>
      <c r="D114" s="93"/>
      <c r="E114" s="93" t="s">
        <v>179</v>
      </c>
      <c r="F114" s="93"/>
      <c r="G114" s="94"/>
      <c r="H114" s="95"/>
      <c r="I114" s="92"/>
      <c r="J114" s="92"/>
      <c r="K114" s="92"/>
      <c r="L114" s="92"/>
      <c r="M114" s="92"/>
      <c r="N114" s="92"/>
    </row>
    <row r="115">
      <c r="G115" s="182"/>
      <c r="H115" s="183"/>
    </row>
    <row r="116">
      <c r="G116" s="182"/>
      <c r="H116" s="183"/>
    </row>
    <row r="117">
      <c r="G117" s="182"/>
      <c r="H117" s="183"/>
    </row>
    <row r="118">
      <c r="A118" s="35" t="s">
        <v>154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</row>
    <row r="119">
      <c r="A119" s="69" t="s">
        <v>180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</row>
    <row r="120">
      <c r="A120" s="70"/>
      <c r="B120" s="7" t="s">
        <v>3</v>
      </c>
      <c r="C120" s="10" t="s">
        <v>2</v>
      </c>
      <c r="D120" s="8" t="s">
        <v>5</v>
      </c>
      <c r="E120" s="171" t="s">
        <v>19</v>
      </c>
      <c r="F120" s="8" t="s">
        <v>6</v>
      </c>
      <c r="G120" s="71" t="s">
        <v>7</v>
      </c>
      <c r="H120" s="9" t="s">
        <v>8</v>
      </c>
      <c r="I120" s="72" t="s">
        <v>20</v>
      </c>
      <c r="J120" s="8" t="s">
        <v>25</v>
      </c>
      <c r="K120" s="8" t="s">
        <v>26</v>
      </c>
      <c r="L120" s="9" t="s">
        <v>28</v>
      </c>
      <c r="M120" s="6" t="s">
        <v>29</v>
      </c>
      <c r="N120" s="9" t="s">
        <v>30</v>
      </c>
    </row>
    <row r="121">
      <c r="A121" s="12" t="s">
        <v>10</v>
      </c>
      <c r="B121" s="73"/>
      <c r="C121" s="74" t="s">
        <v>66</v>
      </c>
      <c r="D121" s="75">
        <v>0.5416666666666666</v>
      </c>
      <c r="E121" s="84"/>
      <c r="F121" s="84"/>
      <c r="G121" s="184" t="s">
        <v>112</v>
      </c>
      <c r="H121" s="83"/>
      <c r="I121" s="41" t="s">
        <v>181</v>
      </c>
      <c r="J121" s="102"/>
      <c r="K121" s="43"/>
      <c r="L121" s="78"/>
      <c r="M121" s="46"/>
      <c r="N121" s="47"/>
    </row>
    <row r="122">
      <c r="A122" s="12" t="s">
        <v>11</v>
      </c>
      <c r="B122" s="73" t="s">
        <v>72</v>
      </c>
      <c r="C122" s="74" t="s">
        <v>66</v>
      </c>
      <c r="D122" s="75">
        <v>0.5555555555555556</v>
      </c>
      <c r="E122" s="76">
        <v>3.2092565869E10</v>
      </c>
      <c r="F122" s="185">
        <v>7.04205206763484E14</v>
      </c>
      <c r="G122" s="186" t="s">
        <v>182</v>
      </c>
      <c r="H122" s="77">
        <v>19978.0</v>
      </c>
      <c r="I122" s="41" t="s">
        <v>183</v>
      </c>
      <c r="J122" s="42">
        <v>1.1962630527E10</v>
      </c>
      <c r="K122" s="50"/>
      <c r="L122" s="52"/>
      <c r="M122" s="51"/>
      <c r="N122" s="53"/>
    </row>
    <row r="123">
      <c r="A123" s="12" t="s">
        <v>12</v>
      </c>
      <c r="B123" s="73" t="s">
        <v>109</v>
      </c>
      <c r="C123" s="74" t="s">
        <v>66</v>
      </c>
      <c r="D123" s="75">
        <v>0.5694444444444444</v>
      </c>
      <c r="E123" s="84">
        <v>4.130704087E10</v>
      </c>
      <c r="F123" s="84">
        <v>2.06869326620004E14</v>
      </c>
      <c r="G123" s="79" t="s">
        <v>184</v>
      </c>
      <c r="H123" s="83">
        <v>33538.0</v>
      </c>
      <c r="I123" s="41" t="s">
        <v>183</v>
      </c>
      <c r="J123" s="102" t="s">
        <v>185</v>
      </c>
      <c r="K123" s="54"/>
      <c r="L123" s="56"/>
      <c r="M123" s="55"/>
      <c r="N123" s="57"/>
    </row>
    <row r="124">
      <c r="A124" s="12" t="s">
        <v>13</v>
      </c>
      <c r="B124" s="73"/>
      <c r="C124" s="74" t="s">
        <v>66</v>
      </c>
      <c r="D124" s="75">
        <v>0.5833333333333334</v>
      </c>
      <c r="E124" s="84"/>
      <c r="F124" s="84"/>
      <c r="G124" s="184" t="s">
        <v>112</v>
      </c>
      <c r="H124" s="83"/>
      <c r="I124" s="41" t="s">
        <v>181</v>
      </c>
      <c r="J124" s="102"/>
      <c r="K124" s="50"/>
      <c r="L124" s="62"/>
      <c r="M124" s="61"/>
      <c r="N124" s="53"/>
    </row>
    <row r="125">
      <c r="A125" s="12" t="s">
        <v>14</v>
      </c>
      <c r="B125" s="73" t="s">
        <v>72</v>
      </c>
      <c r="C125" s="74" t="s">
        <v>66</v>
      </c>
      <c r="D125" s="75">
        <v>0.5972222222222222</v>
      </c>
      <c r="E125" s="156">
        <v>4.227631874E9</v>
      </c>
      <c r="F125" s="156">
        <v>8.9800145562202E13</v>
      </c>
      <c r="G125" s="187" t="s">
        <v>186</v>
      </c>
      <c r="H125" s="77">
        <v>18633.0</v>
      </c>
      <c r="I125" s="41" t="s">
        <v>183</v>
      </c>
      <c r="J125" s="42">
        <v>1.1966601918E10</v>
      </c>
      <c r="K125" s="63"/>
      <c r="L125" s="56"/>
      <c r="M125" s="64"/>
      <c r="N125" s="65"/>
    </row>
    <row r="126">
      <c r="A126" s="12" t="s">
        <v>15</v>
      </c>
      <c r="B126" s="73" t="s">
        <v>109</v>
      </c>
      <c r="C126" s="74" t="s">
        <v>66</v>
      </c>
      <c r="D126" s="75">
        <v>0.6111111111111112</v>
      </c>
      <c r="E126" s="84">
        <v>1.709153784E10</v>
      </c>
      <c r="F126" s="84">
        <v>7.00109943194816E14</v>
      </c>
      <c r="G126" s="79" t="s">
        <v>187</v>
      </c>
      <c r="H126" s="83">
        <v>23145.0</v>
      </c>
      <c r="I126" s="41" t="s">
        <v>183</v>
      </c>
      <c r="J126" s="42" t="s">
        <v>188</v>
      </c>
      <c r="K126" s="50"/>
      <c r="L126" s="62"/>
      <c r="M126" s="61"/>
      <c r="N126" s="53"/>
    </row>
    <row r="127">
      <c r="A127" s="12" t="s">
        <v>16</v>
      </c>
      <c r="B127" s="73" t="s">
        <v>189</v>
      </c>
      <c r="C127" s="74" t="s">
        <v>66</v>
      </c>
      <c r="D127" s="75">
        <v>0.625</v>
      </c>
      <c r="E127" s="84">
        <v>1.5203854807E10</v>
      </c>
      <c r="F127" s="84">
        <v>8.01440401876557E14</v>
      </c>
      <c r="G127" s="79" t="s">
        <v>190</v>
      </c>
      <c r="H127" s="83">
        <v>27315.0</v>
      </c>
      <c r="I127" s="41"/>
      <c r="J127" s="102">
        <v>9.5226379E8</v>
      </c>
      <c r="K127" s="63"/>
      <c r="L127" s="56"/>
      <c r="M127" s="64"/>
      <c r="N127" s="65"/>
    </row>
    <row r="128">
      <c r="A128" s="12" t="s">
        <v>17</v>
      </c>
      <c r="B128" s="73" t="s">
        <v>72</v>
      </c>
      <c r="C128" s="74" t="s">
        <v>66</v>
      </c>
      <c r="D128" s="75">
        <v>0.6388888888888888</v>
      </c>
      <c r="E128" s="84">
        <v>2.3775602534E10</v>
      </c>
      <c r="F128" s="84">
        <v>8.98002756332382E14</v>
      </c>
      <c r="G128" s="79" t="s">
        <v>191</v>
      </c>
      <c r="H128" s="83">
        <v>14921.0</v>
      </c>
      <c r="I128" s="41" t="s">
        <v>183</v>
      </c>
      <c r="J128" s="42">
        <v>1.1941193889E10</v>
      </c>
      <c r="K128" s="86"/>
      <c r="L128" s="87"/>
      <c r="M128" s="88"/>
      <c r="N128" s="89"/>
    </row>
    <row r="129">
      <c r="A129" s="12" t="s">
        <v>85</v>
      </c>
      <c r="B129" s="73"/>
      <c r="C129" s="74" t="s">
        <v>66</v>
      </c>
      <c r="D129" s="75">
        <v>0.6527777777777778</v>
      </c>
      <c r="E129" s="156"/>
      <c r="F129" s="156"/>
      <c r="G129" s="184" t="s">
        <v>112</v>
      </c>
      <c r="H129" s="91"/>
      <c r="I129" s="41" t="s">
        <v>181</v>
      </c>
      <c r="J129" s="42"/>
      <c r="K129" s="63"/>
      <c r="L129" s="56"/>
      <c r="M129" s="64"/>
      <c r="N129" s="65"/>
    </row>
    <row r="130">
      <c r="A130" s="12" t="s">
        <v>87</v>
      </c>
      <c r="B130" s="73"/>
      <c r="C130" s="74" t="s">
        <v>66</v>
      </c>
      <c r="D130" s="75">
        <v>0.6666666666666666</v>
      </c>
      <c r="E130" s="162"/>
      <c r="F130" s="162"/>
      <c r="G130" s="188" t="s">
        <v>178</v>
      </c>
      <c r="H130" s="166"/>
      <c r="I130" s="41"/>
      <c r="J130" s="42"/>
      <c r="K130" s="189"/>
      <c r="L130" s="87"/>
      <c r="M130" s="190"/>
      <c r="N130" s="191"/>
      <c r="O130" s="68"/>
      <c r="P130" s="68"/>
      <c r="Q130" s="68"/>
      <c r="R130" s="68"/>
      <c r="S130" s="68"/>
      <c r="T130" s="68"/>
      <c r="U130" s="68"/>
      <c r="V130" s="68"/>
    </row>
    <row r="131">
      <c r="A131" s="12" t="s">
        <v>90</v>
      </c>
      <c r="B131" s="73"/>
      <c r="C131" s="74" t="s">
        <v>66</v>
      </c>
      <c r="D131" s="75">
        <v>0.6805555555555556</v>
      </c>
      <c r="E131" s="133"/>
      <c r="F131" s="133"/>
      <c r="G131" s="188" t="s">
        <v>178</v>
      </c>
      <c r="H131" s="166"/>
      <c r="I131" s="41"/>
      <c r="J131" s="42"/>
      <c r="K131" s="192"/>
      <c r="L131" s="62"/>
      <c r="M131" s="193"/>
      <c r="N131" s="191"/>
      <c r="O131" s="68"/>
      <c r="P131" s="68"/>
      <c r="Q131" s="68"/>
      <c r="R131" s="68"/>
      <c r="S131" s="68"/>
      <c r="T131" s="68"/>
      <c r="U131" s="68"/>
      <c r="V131" s="68"/>
    </row>
    <row r="132">
      <c r="A132" s="12" t="s">
        <v>93</v>
      </c>
      <c r="B132" s="73"/>
      <c r="C132" s="74" t="s">
        <v>66</v>
      </c>
      <c r="D132" s="75">
        <v>0.6944444444444444</v>
      </c>
      <c r="E132" s="133"/>
      <c r="F132" s="133"/>
      <c r="G132" s="181" t="s">
        <v>178</v>
      </c>
      <c r="H132" s="166"/>
      <c r="I132" s="41"/>
      <c r="J132" s="194"/>
      <c r="K132" s="189"/>
      <c r="L132" s="87"/>
      <c r="M132" s="190"/>
      <c r="N132" s="191"/>
      <c r="O132" s="68"/>
      <c r="P132" s="68"/>
      <c r="Q132" s="68"/>
      <c r="R132" s="68"/>
      <c r="S132" s="68"/>
      <c r="T132" s="68"/>
      <c r="U132" s="68"/>
      <c r="V132" s="68"/>
    </row>
    <row r="133">
      <c r="B133" s="126"/>
      <c r="C133" s="126"/>
      <c r="D133" s="126"/>
      <c r="E133" s="127"/>
      <c r="F133" s="127"/>
      <c r="G133" s="128"/>
      <c r="H133" s="129"/>
    </row>
    <row r="134">
      <c r="B134" s="126"/>
      <c r="C134" s="126"/>
      <c r="D134" s="126"/>
      <c r="E134" s="127"/>
      <c r="F134" s="127"/>
      <c r="G134" s="128"/>
      <c r="H134" s="129"/>
    </row>
    <row r="135">
      <c r="B135" s="126"/>
      <c r="C135" s="126"/>
      <c r="D135" s="126"/>
      <c r="E135" s="127"/>
      <c r="F135" s="127"/>
      <c r="G135" s="128"/>
      <c r="H135" s="129"/>
    </row>
    <row r="136">
      <c r="B136" s="126"/>
      <c r="C136" s="126"/>
      <c r="D136" s="126"/>
      <c r="E136" s="127"/>
      <c r="F136" s="127"/>
      <c r="G136" s="128"/>
      <c r="H136" s="129"/>
    </row>
    <row r="137">
      <c r="B137" s="126"/>
      <c r="C137" s="126"/>
      <c r="D137" s="126"/>
      <c r="E137" s="127"/>
      <c r="F137" s="127"/>
      <c r="G137" s="128"/>
      <c r="H137" s="129"/>
    </row>
    <row r="138">
      <c r="B138" s="126"/>
      <c r="C138" s="126"/>
      <c r="D138" s="126"/>
      <c r="E138" s="127"/>
      <c r="F138" s="127"/>
      <c r="G138" s="128"/>
      <c r="H138" s="129"/>
    </row>
    <row r="139">
      <c r="A139" s="35" t="s">
        <v>170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</row>
    <row r="140">
      <c r="A140" s="69" t="s">
        <v>192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</row>
    <row r="141">
      <c r="A141" s="70"/>
      <c r="B141" s="7" t="s">
        <v>3</v>
      </c>
      <c r="C141" s="10" t="s">
        <v>2</v>
      </c>
      <c r="D141" s="8" t="s">
        <v>5</v>
      </c>
      <c r="E141" s="171" t="s">
        <v>19</v>
      </c>
      <c r="F141" s="8" t="s">
        <v>6</v>
      </c>
      <c r="G141" s="71" t="s">
        <v>7</v>
      </c>
      <c r="H141" s="9" t="s">
        <v>8</v>
      </c>
      <c r="I141" s="72" t="s">
        <v>20</v>
      </c>
      <c r="J141" s="8" t="s">
        <v>25</v>
      </c>
      <c r="K141" s="8" t="s">
        <v>26</v>
      </c>
      <c r="L141" s="9" t="s">
        <v>28</v>
      </c>
      <c r="M141" s="6" t="s">
        <v>29</v>
      </c>
      <c r="N141" s="9" t="s">
        <v>30</v>
      </c>
    </row>
    <row r="142">
      <c r="A142" s="12" t="s">
        <v>10</v>
      </c>
      <c r="B142" s="73"/>
      <c r="C142" s="74" t="s">
        <v>122</v>
      </c>
      <c r="D142" s="75">
        <v>0.3333333333333333</v>
      </c>
      <c r="E142" s="76"/>
      <c r="F142" s="76"/>
      <c r="G142" s="184" t="s">
        <v>112</v>
      </c>
      <c r="H142" s="77"/>
      <c r="I142" s="41" t="s">
        <v>181</v>
      </c>
      <c r="J142" s="42"/>
      <c r="K142" s="43"/>
      <c r="L142" s="78"/>
      <c r="M142" s="46"/>
      <c r="N142" s="47"/>
    </row>
    <row r="143">
      <c r="A143" s="12" t="s">
        <v>11</v>
      </c>
      <c r="B143" s="73"/>
      <c r="C143" s="74" t="s">
        <v>122</v>
      </c>
      <c r="D143" s="75">
        <v>0.3472222222222222</v>
      </c>
      <c r="E143" s="76"/>
      <c r="F143" s="76"/>
      <c r="G143" s="184" t="s">
        <v>112</v>
      </c>
      <c r="H143" s="77"/>
      <c r="I143" s="41" t="s">
        <v>181</v>
      </c>
      <c r="J143" s="42"/>
      <c r="K143" s="50"/>
      <c r="L143" s="52"/>
      <c r="M143" s="51"/>
      <c r="N143" s="53"/>
    </row>
    <row r="144">
      <c r="A144" s="12" t="s">
        <v>12</v>
      </c>
      <c r="B144" s="73" t="s">
        <v>193</v>
      </c>
      <c r="C144" s="74" t="s">
        <v>122</v>
      </c>
      <c r="D144" s="75">
        <v>0.3611111111111111</v>
      </c>
      <c r="E144" s="146">
        <v>4.4291870884E10</v>
      </c>
      <c r="F144" s="146">
        <v>8.01440498036575E14</v>
      </c>
      <c r="G144" s="143" t="s">
        <v>194</v>
      </c>
      <c r="H144" s="195">
        <v>35482.0</v>
      </c>
      <c r="I144" s="140" t="s">
        <v>195</v>
      </c>
      <c r="J144" s="196" t="s">
        <v>196</v>
      </c>
      <c r="K144" s="54" t="s">
        <v>197</v>
      </c>
      <c r="L144" s="56"/>
      <c r="M144" s="55"/>
      <c r="N144" s="57"/>
    </row>
    <row r="145">
      <c r="A145" s="12" t="s">
        <v>13</v>
      </c>
      <c r="B145" s="73" t="s">
        <v>198</v>
      </c>
      <c r="C145" s="74" t="s">
        <v>122</v>
      </c>
      <c r="D145" s="75">
        <v>0.375</v>
      </c>
      <c r="E145" s="197">
        <v>9.9460912834E10</v>
      </c>
      <c r="F145" s="130">
        <v>7.08507372552171E14</v>
      </c>
      <c r="G145" s="198" t="s">
        <v>199</v>
      </c>
      <c r="H145" s="132">
        <v>20297.0</v>
      </c>
      <c r="I145" s="41" t="s">
        <v>195</v>
      </c>
      <c r="J145" s="42" t="s">
        <v>200</v>
      </c>
      <c r="K145" s="50" t="s">
        <v>201</v>
      </c>
      <c r="L145" s="62"/>
      <c r="M145" s="61"/>
      <c r="N145" s="53"/>
    </row>
    <row r="146">
      <c r="A146" s="12" t="s">
        <v>14</v>
      </c>
      <c r="B146" s="73" t="s">
        <v>202</v>
      </c>
      <c r="C146" s="74" t="s">
        <v>122</v>
      </c>
      <c r="D146" s="75">
        <v>0.3888888888888889</v>
      </c>
      <c r="E146" s="199">
        <v>9.345717838E9</v>
      </c>
      <c r="F146" s="200">
        <v>2.03930005020009E14</v>
      </c>
      <c r="G146" s="164" t="s">
        <v>203</v>
      </c>
      <c r="H146" s="77">
        <v>23970.0</v>
      </c>
      <c r="I146" s="41" t="s">
        <v>183</v>
      </c>
      <c r="J146" s="201" t="s">
        <v>204</v>
      </c>
      <c r="K146" s="63"/>
      <c r="L146" s="56"/>
      <c r="M146" s="64"/>
      <c r="N146" s="65"/>
    </row>
    <row r="147">
      <c r="A147" s="12" t="s">
        <v>15</v>
      </c>
      <c r="B147" s="73"/>
      <c r="C147" s="74" t="s">
        <v>122</v>
      </c>
      <c r="D147" s="75">
        <v>0.4027777777777778</v>
      </c>
      <c r="E147" s="84"/>
      <c r="F147" s="84"/>
      <c r="G147" s="184" t="s">
        <v>112</v>
      </c>
      <c r="H147" s="83"/>
      <c r="I147" s="41" t="s">
        <v>181</v>
      </c>
      <c r="J147" s="42"/>
      <c r="K147" s="50"/>
      <c r="L147" s="62"/>
      <c r="M147" s="61"/>
      <c r="N147" s="53"/>
    </row>
    <row r="148">
      <c r="A148" s="12" t="s">
        <v>16</v>
      </c>
      <c r="B148" s="73" t="s">
        <v>198</v>
      </c>
      <c r="C148" s="74" t="s">
        <v>122</v>
      </c>
      <c r="D148" s="75">
        <v>0.4166666666666667</v>
      </c>
      <c r="E148" s="197">
        <v>4.293011897E9</v>
      </c>
      <c r="F148" s="133">
        <v>7.07609210050793E14</v>
      </c>
      <c r="G148" s="59" t="s">
        <v>205</v>
      </c>
      <c r="H148" s="83">
        <v>22227.0</v>
      </c>
      <c r="I148" s="41" t="s">
        <v>195</v>
      </c>
      <c r="J148" s="42" t="s">
        <v>206</v>
      </c>
      <c r="K148" s="63" t="s">
        <v>207</v>
      </c>
      <c r="L148" s="56"/>
      <c r="M148" s="64"/>
      <c r="N148" s="65"/>
    </row>
    <row r="149">
      <c r="A149" s="12" t="s">
        <v>17</v>
      </c>
      <c r="B149" s="73" t="s">
        <v>202</v>
      </c>
      <c r="C149" s="74" t="s">
        <v>122</v>
      </c>
      <c r="D149" s="75">
        <v>0.4305555555555556</v>
      </c>
      <c r="E149" s="199">
        <v>5.5215114587E10</v>
      </c>
      <c r="F149" s="202">
        <v>7.00509766942757E14</v>
      </c>
      <c r="G149" s="203" t="s">
        <v>208</v>
      </c>
      <c r="H149" s="83">
        <v>25003.0</v>
      </c>
      <c r="I149" s="41" t="s">
        <v>183</v>
      </c>
      <c r="J149" s="204" t="s">
        <v>209</v>
      </c>
      <c r="K149" s="50"/>
      <c r="L149" s="62"/>
      <c r="M149" s="61"/>
      <c r="N149" s="53"/>
    </row>
    <row r="150">
      <c r="A150" s="12" t="s">
        <v>85</v>
      </c>
      <c r="B150" s="73" t="s">
        <v>72</v>
      </c>
      <c r="C150" s="74" t="s">
        <v>122</v>
      </c>
      <c r="D150" s="75">
        <v>0.4444444444444444</v>
      </c>
      <c r="E150" s="197">
        <v>1.277067384E10</v>
      </c>
      <c r="F150" s="197">
        <v>7.05004023696256E14</v>
      </c>
      <c r="G150" s="59" t="s">
        <v>210</v>
      </c>
      <c r="H150" s="205">
        <v>23469.0</v>
      </c>
      <c r="I150" s="41" t="s">
        <v>183</v>
      </c>
      <c r="J150" s="197"/>
      <c r="K150" s="63"/>
      <c r="L150" s="56"/>
      <c r="M150" s="64"/>
      <c r="N150" s="65"/>
    </row>
    <row r="151">
      <c r="A151" s="12" t="s">
        <v>87</v>
      </c>
      <c r="B151" s="73"/>
      <c r="C151" s="74" t="s">
        <v>122</v>
      </c>
      <c r="D151" s="75">
        <v>0.4583333333333333</v>
      </c>
      <c r="E151" s="137"/>
      <c r="F151" s="206"/>
      <c r="G151" s="181" t="s">
        <v>178</v>
      </c>
      <c r="H151" s="83"/>
      <c r="I151" s="41"/>
      <c r="J151" s="102"/>
      <c r="K151" s="50"/>
      <c r="L151" s="62"/>
      <c r="M151" s="61"/>
      <c r="N151" s="53"/>
    </row>
    <row r="152">
      <c r="A152" s="12" t="s">
        <v>90</v>
      </c>
      <c r="B152" s="73"/>
      <c r="C152" s="74" t="s">
        <v>122</v>
      </c>
      <c r="D152" s="75">
        <v>0.4722222222222222</v>
      </c>
      <c r="E152" s="85"/>
      <c r="F152" s="85"/>
      <c r="G152" s="181" t="s">
        <v>178</v>
      </c>
      <c r="H152" s="91"/>
      <c r="I152" s="41"/>
      <c r="J152" s="207"/>
      <c r="K152" s="63"/>
      <c r="L152" s="56"/>
      <c r="M152" s="64"/>
      <c r="N152" s="65"/>
    </row>
    <row r="153">
      <c r="A153" s="12" t="s">
        <v>93</v>
      </c>
      <c r="B153" s="73"/>
      <c r="C153" s="74" t="s">
        <v>122</v>
      </c>
      <c r="D153" s="75">
        <v>0.4861111111111111</v>
      </c>
      <c r="E153" s="85"/>
      <c r="F153" s="85"/>
      <c r="G153" s="181" t="s">
        <v>178</v>
      </c>
      <c r="H153" s="91"/>
      <c r="I153" s="41"/>
      <c r="J153" s="207"/>
      <c r="K153" s="50"/>
      <c r="L153" s="62"/>
      <c r="M153" s="61"/>
      <c r="N153" s="53"/>
    </row>
    <row r="154">
      <c r="B154" s="126"/>
      <c r="C154" s="126"/>
      <c r="D154" s="126"/>
      <c r="E154" s="127"/>
      <c r="F154" s="127"/>
      <c r="G154" s="128"/>
      <c r="H154" s="129"/>
    </row>
    <row r="155">
      <c r="B155" s="126"/>
      <c r="C155" s="126"/>
      <c r="D155" s="126"/>
      <c r="E155" s="127"/>
      <c r="F155" s="127"/>
      <c r="G155" s="128"/>
      <c r="H155" s="129"/>
    </row>
    <row r="156">
      <c r="B156" s="126"/>
      <c r="C156" s="126"/>
      <c r="D156" s="126"/>
      <c r="E156" s="127"/>
      <c r="F156" s="127"/>
      <c r="G156" s="139"/>
    </row>
    <row r="157">
      <c r="B157" s="126"/>
      <c r="C157" s="126"/>
      <c r="D157" s="126"/>
      <c r="E157" s="127"/>
      <c r="F157" s="127"/>
      <c r="G157" s="128"/>
      <c r="H157" s="129"/>
    </row>
    <row r="158" ht="37.5" customHeight="1">
      <c r="A158" s="35" t="s">
        <v>211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</row>
    <row r="159" ht="30.0" customHeight="1">
      <c r="A159" s="208" t="s">
        <v>212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</row>
    <row r="160">
      <c r="A160" s="70"/>
      <c r="B160" s="7" t="s">
        <v>3</v>
      </c>
      <c r="C160" s="10" t="s">
        <v>2</v>
      </c>
      <c r="D160" s="8" t="s">
        <v>5</v>
      </c>
      <c r="E160" s="171" t="s">
        <v>19</v>
      </c>
      <c r="F160" s="8" t="s">
        <v>6</v>
      </c>
      <c r="G160" s="71" t="s">
        <v>7</v>
      </c>
      <c r="H160" s="9" t="s">
        <v>8</v>
      </c>
      <c r="I160" s="72" t="s">
        <v>20</v>
      </c>
      <c r="J160" s="8" t="s">
        <v>25</v>
      </c>
      <c r="K160" s="8" t="s">
        <v>26</v>
      </c>
      <c r="L160" s="9" t="s">
        <v>28</v>
      </c>
      <c r="M160" s="6" t="s">
        <v>29</v>
      </c>
      <c r="N160" s="9" t="s">
        <v>30</v>
      </c>
    </row>
    <row r="161">
      <c r="A161" s="12" t="s">
        <v>10</v>
      </c>
      <c r="B161" s="73"/>
      <c r="C161" s="74" t="s">
        <v>137</v>
      </c>
      <c r="D161" s="75">
        <v>0.5416666666666666</v>
      </c>
      <c r="E161" s="84"/>
      <c r="F161" s="84"/>
      <c r="G161" s="209" t="s">
        <v>213</v>
      </c>
      <c r="H161" s="83"/>
      <c r="I161" s="41"/>
      <c r="J161" s="84"/>
      <c r="K161" s="43"/>
      <c r="L161" s="78"/>
      <c r="M161" s="46"/>
      <c r="N161" s="47"/>
    </row>
    <row r="162">
      <c r="A162" s="12" t="s">
        <v>11</v>
      </c>
      <c r="B162" s="73"/>
      <c r="C162" s="74" t="s">
        <v>137</v>
      </c>
      <c r="D162" s="75">
        <v>0.5555555555555556</v>
      </c>
      <c r="E162" s="210"/>
      <c r="F162" s="76"/>
      <c r="G162" s="209" t="s">
        <v>213</v>
      </c>
      <c r="H162" s="211"/>
      <c r="I162" s="41"/>
      <c r="J162" s="141">
        <v>1.1960343886E10</v>
      </c>
      <c r="K162" s="50"/>
      <c r="L162" s="52"/>
      <c r="M162" s="51"/>
      <c r="N162" s="53"/>
    </row>
    <row r="163">
      <c r="A163" s="12" t="s">
        <v>12</v>
      </c>
      <c r="B163" s="73" t="s">
        <v>214</v>
      </c>
      <c r="C163" s="74" t="s">
        <v>137</v>
      </c>
      <c r="D163" s="75">
        <v>0.5694444444444444</v>
      </c>
      <c r="E163" s="84">
        <v>3.1620082802E10</v>
      </c>
      <c r="F163" s="84">
        <v>7.01402649558031E14</v>
      </c>
      <c r="G163" s="212" t="s">
        <v>215</v>
      </c>
      <c r="H163" s="83">
        <v>29787.0</v>
      </c>
      <c r="I163" s="41"/>
      <c r="J163" s="141" t="s">
        <v>216</v>
      </c>
      <c r="K163" s="54"/>
      <c r="L163" s="56"/>
      <c r="M163" s="55"/>
      <c r="N163" s="57"/>
    </row>
    <row r="164">
      <c r="A164" s="12" t="s">
        <v>13</v>
      </c>
      <c r="B164" s="73" t="s">
        <v>217</v>
      </c>
      <c r="C164" s="74" t="s">
        <v>137</v>
      </c>
      <c r="D164" s="75">
        <v>0.5833333333333334</v>
      </c>
      <c r="E164" s="142">
        <v>1.5715836883E10</v>
      </c>
      <c r="F164" s="142">
        <v>7.04009368662662E14</v>
      </c>
      <c r="G164" s="143" t="s">
        <v>218</v>
      </c>
      <c r="H164" s="144">
        <v>16277.0</v>
      </c>
      <c r="I164" s="41"/>
      <c r="J164" s="185" t="s">
        <v>219</v>
      </c>
      <c r="K164" s="50"/>
      <c r="L164" s="62"/>
      <c r="M164" s="61"/>
      <c r="N164" s="53"/>
    </row>
    <row r="165">
      <c r="A165" s="12" t="s">
        <v>14</v>
      </c>
      <c r="B165" s="73"/>
      <c r="C165" s="74" t="s">
        <v>137</v>
      </c>
      <c r="D165" s="75">
        <v>0.5972222222222222</v>
      </c>
      <c r="E165" s="146"/>
      <c r="F165" s="146"/>
      <c r="G165" s="209" t="s">
        <v>213</v>
      </c>
      <c r="H165" s="195"/>
      <c r="I165" s="41"/>
      <c r="J165" s="185"/>
      <c r="K165" s="63"/>
      <c r="L165" s="56"/>
      <c r="M165" s="64"/>
      <c r="N165" s="65"/>
    </row>
    <row r="166">
      <c r="A166" s="12" t="s">
        <v>15</v>
      </c>
      <c r="B166" s="167" t="s">
        <v>220</v>
      </c>
      <c r="C166" s="74" t="s">
        <v>137</v>
      </c>
      <c r="D166" s="75">
        <v>0.6111111111111112</v>
      </c>
      <c r="E166" s="104">
        <v>3.0810531887E10</v>
      </c>
      <c r="F166" s="146">
        <v>2.01151097780007E14</v>
      </c>
      <c r="G166" s="148" t="s">
        <v>221</v>
      </c>
      <c r="H166" s="195">
        <v>15049.0</v>
      </c>
      <c r="I166" s="41"/>
      <c r="J166" s="185" t="s">
        <v>222</v>
      </c>
      <c r="K166" s="50"/>
      <c r="L166" s="62"/>
      <c r="M166" s="61"/>
      <c r="N166" s="53"/>
    </row>
    <row r="167">
      <c r="A167" s="12" t="s">
        <v>16</v>
      </c>
      <c r="B167" s="73" t="s">
        <v>217</v>
      </c>
      <c r="C167" s="74" t="s">
        <v>137</v>
      </c>
      <c r="D167" s="75">
        <v>0.625</v>
      </c>
      <c r="E167" s="146">
        <v>2.7222803882E10</v>
      </c>
      <c r="F167" s="146">
        <v>7.02809600514767E14</v>
      </c>
      <c r="G167" s="148" t="s">
        <v>223</v>
      </c>
      <c r="H167" s="195">
        <v>16786.0</v>
      </c>
      <c r="I167" s="41"/>
      <c r="J167" s="162" t="s">
        <v>224</v>
      </c>
      <c r="K167" s="63"/>
      <c r="L167" s="56"/>
      <c r="M167" s="64"/>
      <c r="N167" s="65"/>
    </row>
    <row r="168">
      <c r="A168" s="12" t="s">
        <v>17</v>
      </c>
      <c r="B168" s="73" t="s">
        <v>214</v>
      </c>
      <c r="C168" s="74" t="s">
        <v>137</v>
      </c>
      <c r="D168" s="75">
        <v>0.6388888888888888</v>
      </c>
      <c r="E168" s="85">
        <v>1.1599531801E10</v>
      </c>
      <c r="F168" s="210">
        <v>7.08005383684522E14</v>
      </c>
      <c r="G168" s="59" t="s">
        <v>225</v>
      </c>
      <c r="H168" s="211">
        <v>23721.0</v>
      </c>
      <c r="I168" s="41"/>
      <c r="J168" s="185" t="s">
        <v>226</v>
      </c>
      <c r="K168" s="50"/>
      <c r="L168" s="62"/>
      <c r="M168" s="61"/>
      <c r="N168" s="53"/>
    </row>
    <row r="169">
      <c r="A169" s="12" t="s">
        <v>85</v>
      </c>
      <c r="B169" s="73" t="s">
        <v>220</v>
      </c>
      <c r="C169" s="74" t="s">
        <v>137</v>
      </c>
      <c r="D169" s="75">
        <v>0.6527777777777778</v>
      </c>
      <c r="E169" s="104">
        <v>2.5837294899E10</v>
      </c>
      <c r="F169" s="85">
        <v>7.04003338034064E14</v>
      </c>
      <c r="G169" s="203" t="s">
        <v>227</v>
      </c>
      <c r="H169" s="213">
        <v>14946.0</v>
      </c>
      <c r="I169" s="41"/>
      <c r="J169" s="185" t="s">
        <v>228</v>
      </c>
      <c r="K169" s="63"/>
      <c r="L169" s="56"/>
      <c r="M169" s="64"/>
      <c r="N169" s="65"/>
    </row>
    <row r="170">
      <c r="A170" s="12" t="s">
        <v>87</v>
      </c>
      <c r="B170" s="73"/>
      <c r="C170" s="74" t="s">
        <v>137</v>
      </c>
      <c r="D170" s="75">
        <v>0.6666666666666666</v>
      </c>
      <c r="E170" s="85"/>
      <c r="F170" s="85"/>
      <c r="G170" s="181" t="s">
        <v>178</v>
      </c>
      <c r="H170" s="91"/>
      <c r="I170" s="41"/>
      <c r="J170" s="185"/>
      <c r="K170" s="50"/>
      <c r="L170" s="62"/>
      <c r="M170" s="61"/>
      <c r="N170" s="53"/>
    </row>
    <row r="171">
      <c r="A171" s="12" t="s">
        <v>90</v>
      </c>
      <c r="B171" s="73"/>
      <c r="C171" s="74" t="s">
        <v>137</v>
      </c>
      <c r="D171" s="75">
        <v>0.6805555555555556</v>
      </c>
      <c r="E171" s="134"/>
      <c r="F171" s="134"/>
      <c r="G171" s="181" t="s">
        <v>178</v>
      </c>
      <c r="H171" s="135"/>
      <c r="I171" s="41"/>
      <c r="J171" s="214"/>
      <c r="K171" s="63"/>
      <c r="L171" s="56"/>
      <c r="M171" s="64"/>
      <c r="N171" s="65"/>
    </row>
    <row r="172">
      <c r="A172" s="12" t="s">
        <v>93</v>
      </c>
      <c r="B172" s="73"/>
      <c r="C172" s="74" t="s">
        <v>137</v>
      </c>
      <c r="D172" s="75">
        <v>0.6944444444444444</v>
      </c>
      <c r="E172" s="134"/>
      <c r="F172" s="134"/>
      <c r="G172" s="181" t="s">
        <v>178</v>
      </c>
      <c r="H172" s="135"/>
      <c r="I172" s="41"/>
      <c r="J172" s="215"/>
      <c r="K172" s="50"/>
      <c r="L172" s="62"/>
      <c r="M172" s="61"/>
      <c r="N172" s="53"/>
    </row>
    <row r="173">
      <c r="B173" s="126"/>
      <c r="C173" s="126"/>
      <c r="D173" s="126"/>
      <c r="E173" s="127"/>
      <c r="F173" s="127"/>
      <c r="G173" s="128"/>
      <c r="H173" s="129"/>
    </row>
    <row r="174">
      <c r="B174" s="126"/>
      <c r="C174" s="160" t="s">
        <v>153</v>
      </c>
      <c r="D174" s="126"/>
      <c r="E174" s="127"/>
      <c r="F174" s="127"/>
      <c r="G174" s="128"/>
      <c r="H174" s="129"/>
    </row>
    <row r="175">
      <c r="B175" s="126"/>
      <c r="C175" s="126"/>
      <c r="D175" s="126"/>
      <c r="E175" s="127"/>
      <c r="F175" s="127"/>
      <c r="G175" s="128"/>
      <c r="H175" s="129"/>
    </row>
    <row r="176">
      <c r="B176" s="126"/>
      <c r="C176" s="126"/>
      <c r="D176" s="126"/>
      <c r="E176" s="127"/>
      <c r="F176" s="127"/>
      <c r="G176" s="128"/>
      <c r="H176" s="129"/>
    </row>
    <row r="177">
      <c r="A177" s="35" t="s">
        <v>154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</row>
    <row r="178">
      <c r="A178" s="69" t="s">
        <v>229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</row>
    <row r="179">
      <c r="A179" s="70"/>
      <c r="B179" s="7" t="s">
        <v>3</v>
      </c>
      <c r="C179" s="10" t="s">
        <v>2</v>
      </c>
      <c r="D179" s="8" t="s">
        <v>5</v>
      </c>
      <c r="E179" s="171" t="s">
        <v>19</v>
      </c>
      <c r="F179" s="8" t="s">
        <v>6</v>
      </c>
      <c r="G179" s="71" t="s">
        <v>7</v>
      </c>
      <c r="H179" s="9" t="s">
        <v>8</v>
      </c>
      <c r="I179" s="72" t="s">
        <v>20</v>
      </c>
      <c r="J179" s="8" t="s">
        <v>25</v>
      </c>
      <c r="K179" s="8" t="s">
        <v>26</v>
      </c>
      <c r="L179" s="9" t="s">
        <v>28</v>
      </c>
      <c r="M179" s="6" t="s">
        <v>29</v>
      </c>
      <c r="N179" s="9" t="s">
        <v>30</v>
      </c>
    </row>
    <row r="180">
      <c r="A180" s="12" t="s">
        <v>10</v>
      </c>
      <c r="B180" s="216" t="s">
        <v>230</v>
      </c>
      <c r="C180" s="74" t="s">
        <v>137</v>
      </c>
      <c r="D180" s="75">
        <v>0.3333333333333333</v>
      </c>
      <c r="E180" s="76">
        <v>4.245895837E9</v>
      </c>
      <c r="F180" s="76">
        <v>2.04302288260001E14</v>
      </c>
      <c r="G180" s="49" t="s">
        <v>231</v>
      </c>
      <c r="H180" s="77">
        <v>19846.0</v>
      </c>
      <c r="I180" s="41" t="s">
        <v>173</v>
      </c>
      <c r="J180" s="42">
        <v>9.81710039E8</v>
      </c>
      <c r="K180" s="43"/>
      <c r="L180" s="78"/>
      <c r="M180" s="46"/>
      <c r="N180" s="47" t="s">
        <v>232</v>
      </c>
    </row>
    <row r="181">
      <c r="A181" s="12" t="s">
        <v>11</v>
      </c>
      <c r="B181" s="73" t="s">
        <v>233</v>
      </c>
      <c r="C181" s="74" t="s">
        <v>137</v>
      </c>
      <c r="D181" s="75">
        <v>0.3472222222222222</v>
      </c>
      <c r="E181" s="162">
        <v>1.0719225809E10</v>
      </c>
      <c r="F181" s="162">
        <v>8.01440400272364E14</v>
      </c>
      <c r="G181" s="161" t="s">
        <v>234</v>
      </c>
      <c r="H181" s="163">
        <v>19871.0</v>
      </c>
      <c r="I181" s="41" t="s">
        <v>183</v>
      </c>
      <c r="J181" s="141">
        <v>1.1953924453E10</v>
      </c>
      <c r="K181" s="50"/>
      <c r="L181" s="52"/>
      <c r="M181" s="51"/>
      <c r="N181" s="53"/>
    </row>
    <row r="182">
      <c r="A182" s="12" t="s">
        <v>12</v>
      </c>
      <c r="B182" s="73" t="s">
        <v>235</v>
      </c>
      <c r="C182" s="74" t="s">
        <v>137</v>
      </c>
      <c r="D182" s="75">
        <v>0.3611111111111111</v>
      </c>
      <c r="E182" s="162">
        <v>2.9143526896E10</v>
      </c>
      <c r="F182" s="162">
        <v>8.01440453794462E14</v>
      </c>
      <c r="G182" s="217" t="s">
        <v>236</v>
      </c>
      <c r="H182" s="163">
        <v>29640.0</v>
      </c>
      <c r="I182" s="41" t="s">
        <v>183</v>
      </c>
      <c r="J182" s="141">
        <v>9.77012474E8</v>
      </c>
      <c r="K182" s="54"/>
      <c r="L182" s="56"/>
      <c r="M182" s="55"/>
      <c r="N182" s="57"/>
    </row>
    <row r="183">
      <c r="A183" s="12" t="s">
        <v>13</v>
      </c>
      <c r="B183" s="73" t="s">
        <v>233</v>
      </c>
      <c r="C183" s="74" t="s">
        <v>137</v>
      </c>
      <c r="D183" s="75">
        <v>0.375</v>
      </c>
      <c r="E183" s="162">
        <v>3.20059383E8</v>
      </c>
      <c r="F183" s="162">
        <v>7.02104752053594E14</v>
      </c>
      <c r="G183" s="218" t="s">
        <v>237</v>
      </c>
      <c r="H183" s="163">
        <v>30047.0</v>
      </c>
      <c r="I183" s="41" t="s">
        <v>195</v>
      </c>
      <c r="J183" s="141" t="s">
        <v>238</v>
      </c>
      <c r="K183" s="50"/>
      <c r="L183" s="62"/>
      <c r="M183" s="61"/>
      <c r="N183" s="53"/>
    </row>
    <row r="184">
      <c r="A184" s="12" t="s">
        <v>14</v>
      </c>
      <c r="B184" s="73" t="s">
        <v>239</v>
      </c>
      <c r="C184" s="74" t="s">
        <v>137</v>
      </c>
      <c r="D184" s="75">
        <v>0.3888888888888889</v>
      </c>
      <c r="E184" s="85">
        <v>4.7809876791E10</v>
      </c>
      <c r="F184" s="85">
        <v>8.01440468370094E14</v>
      </c>
      <c r="G184" s="90" t="s">
        <v>240</v>
      </c>
      <c r="H184" s="91">
        <v>18757.0</v>
      </c>
      <c r="I184" s="41" t="s">
        <v>195</v>
      </c>
      <c r="J184" s="141">
        <v>9.57357692E8</v>
      </c>
      <c r="K184" s="63"/>
      <c r="L184" s="56"/>
      <c r="M184" s="64"/>
      <c r="N184" s="65"/>
    </row>
    <row r="185">
      <c r="A185" s="12" t="s">
        <v>15</v>
      </c>
      <c r="B185" s="73" t="s">
        <v>65</v>
      </c>
      <c r="C185" s="74" t="s">
        <v>137</v>
      </c>
      <c r="D185" s="75">
        <v>0.4027777777777778</v>
      </c>
      <c r="E185" s="162"/>
      <c r="F185" s="85">
        <v>7.0600633496734E14</v>
      </c>
      <c r="G185" s="90" t="s">
        <v>175</v>
      </c>
      <c r="H185" s="91">
        <v>20879.0</v>
      </c>
      <c r="I185" s="41" t="s">
        <v>183</v>
      </c>
      <c r="J185" s="141"/>
      <c r="K185" s="50"/>
      <c r="L185" s="62"/>
      <c r="M185" s="61"/>
      <c r="N185" s="53"/>
    </row>
    <row r="186">
      <c r="A186" s="12" t="s">
        <v>16</v>
      </c>
      <c r="B186" s="73" t="s">
        <v>241</v>
      </c>
      <c r="C186" s="74" t="s">
        <v>137</v>
      </c>
      <c r="D186" s="75">
        <v>0.4166666666666667</v>
      </c>
      <c r="E186" s="130">
        <v>8.434440881E9</v>
      </c>
      <c r="F186" s="130">
        <v>7.07808609448716E14</v>
      </c>
      <c r="G186" s="161" t="s">
        <v>242</v>
      </c>
      <c r="H186" s="165">
        <v>18324.0</v>
      </c>
      <c r="I186" s="41" t="s">
        <v>195</v>
      </c>
      <c r="J186" s="156">
        <v>9.96977755E8</v>
      </c>
      <c r="K186" s="63"/>
      <c r="L186" s="56"/>
      <c r="M186" s="64"/>
      <c r="N186" s="65"/>
    </row>
    <row r="187">
      <c r="A187" s="12" t="s">
        <v>17</v>
      </c>
      <c r="B187" s="73" t="s">
        <v>243</v>
      </c>
      <c r="C187" s="74" t="s">
        <v>137</v>
      </c>
      <c r="D187" s="75">
        <v>0.4305555555555556</v>
      </c>
      <c r="E187" s="76">
        <v>2.4895630846E10</v>
      </c>
      <c r="F187" s="76">
        <v>2.01155718540004E14</v>
      </c>
      <c r="G187" s="49" t="s">
        <v>244</v>
      </c>
      <c r="H187" s="163">
        <v>27841.0</v>
      </c>
      <c r="I187" s="41" t="s">
        <v>183</v>
      </c>
      <c r="J187" s="141">
        <v>1.1917197185E10</v>
      </c>
      <c r="K187" s="50"/>
      <c r="L187" s="62"/>
      <c r="M187" s="61"/>
      <c r="N187" s="53"/>
    </row>
    <row r="188">
      <c r="A188" s="12" t="s">
        <v>85</v>
      </c>
      <c r="B188" s="73" t="s">
        <v>65</v>
      </c>
      <c r="C188" s="74" t="s">
        <v>137</v>
      </c>
      <c r="D188" s="75">
        <v>0.4444444444444444</v>
      </c>
      <c r="E188" s="84"/>
      <c r="F188" s="76" t="s">
        <v>176</v>
      </c>
      <c r="G188" s="49" t="s">
        <v>177</v>
      </c>
      <c r="H188" s="163">
        <v>21221.0</v>
      </c>
      <c r="I188" s="41" t="s">
        <v>183</v>
      </c>
      <c r="J188" s="141"/>
      <c r="K188" s="63"/>
      <c r="L188" s="56"/>
      <c r="M188" s="64"/>
      <c r="N188" s="65"/>
    </row>
    <row r="189">
      <c r="A189" s="12" t="s">
        <v>87</v>
      </c>
      <c r="B189" s="73"/>
      <c r="C189" s="74" t="s">
        <v>137</v>
      </c>
      <c r="D189" s="75">
        <v>0.4583333333333333</v>
      </c>
      <c r="E189" s="156"/>
      <c r="F189" s="156"/>
      <c r="G189" s="181" t="s">
        <v>178</v>
      </c>
      <c r="H189" s="166"/>
      <c r="I189" s="41"/>
      <c r="J189" s="85"/>
      <c r="K189" s="50"/>
      <c r="L189" s="62"/>
      <c r="M189" s="61"/>
      <c r="N189" s="53"/>
    </row>
    <row r="190">
      <c r="A190" s="12" t="s">
        <v>90</v>
      </c>
      <c r="B190" s="73"/>
      <c r="C190" s="74" t="s">
        <v>137</v>
      </c>
      <c r="D190" s="75">
        <v>0.4722222222222222</v>
      </c>
      <c r="E190" s="74"/>
      <c r="F190" s="74"/>
      <c r="G190" s="181" t="s">
        <v>178</v>
      </c>
      <c r="H190" s="166"/>
      <c r="I190" s="41"/>
      <c r="J190" s="168"/>
      <c r="K190" s="63"/>
      <c r="L190" s="56"/>
      <c r="M190" s="64"/>
      <c r="N190" s="65"/>
    </row>
    <row r="191">
      <c r="A191" s="12" t="s">
        <v>93</v>
      </c>
      <c r="B191" s="73"/>
      <c r="C191" s="74" t="s">
        <v>137</v>
      </c>
      <c r="D191" s="75">
        <v>0.4861111111111111</v>
      </c>
      <c r="E191" s="169"/>
      <c r="F191" s="169"/>
      <c r="G191" s="181" t="s">
        <v>178</v>
      </c>
      <c r="H191" s="170"/>
      <c r="I191" s="41"/>
      <c r="J191" s="33"/>
      <c r="K191" s="50"/>
      <c r="L191" s="62"/>
      <c r="M191" s="61"/>
      <c r="N191" s="53"/>
    </row>
    <row r="192">
      <c r="B192" s="126"/>
      <c r="C192" s="126"/>
      <c r="D192" s="126"/>
      <c r="E192" s="127"/>
      <c r="F192" s="127"/>
      <c r="G192" s="128"/>
      <c r="H192" s="129"/>
    </row>
    <row r="193" ht="15.0" customHeight="1">
      <c r="B193" s="126"/>
      <c r="C193" s="126"/>
      <c r="D193" s="126"/>
      <c r="E193" s="127"/>
      <c r="F193" s="127"/>
      <c r="G193" s="128"/>
      <c r="H193" s="129"/>
    </row>
    <row r="194" ht="15.0" customHeight="1">
      <c r="B194" s="126"/>
      <c r="C194" s="126"/>
      <c r="D194" s="126"/>
      <c r="E194" s="127"/>
      <c r="F194" s="127"/>
      <c r="G194" s="128"/>
      <c r="H194" s="129"/>
    </row>
    <row r="195" ht="59.25" hidden="1" customHeight="1">
      <c r="B195" s="126"/>
      <c r="C195" s="126"/>
      <c r="D195" s="126"/>
      <c r="E195" s="127"/>
      <c r="F195" s="127"/>
      <c r="G195" s="128"/>
      <c r="H195" s="129"/>
    </row>
    <row r="196" hidden="1">
      <c r="B196" s="126"/>
      <c r="C196" s="126"/>
      <c r="D196" s="126"/>
      <c r="E196" s="127"/>
      <c r="F196" s="127"/>
      <c r="G196" s="128"/>
      <c r="H196" s="129"/>
    </row>
    <row r="197" hidden="1">
      <c r="B197" s="126"/>
      <c r="C197" s="126"/>
      <c r="D197" s="126"/>
      <c r="E197" s="127"/>
      <c r="F197" s="127"/>
      <c r="G197" s="128"/>
      <c r="H197" s="129"/>
    </row>
    <row r="198" hidden="1">
      <c r="B198" s="126"/>
      <c r="C198" s="126"/>
      <c r="D198" s="126"/>
      <c r="E198" s="127"/>
      <c r="F198" s="127"/>
      <c r="G198" s="128"/>
      <c r="H198" s="129"/>
    </row>
    <row r="199" hidden="1">
      <c r="B199" s="126"/>
      <c r="C199" s="126"/>
      <c r="D199" s="126"/>
      <c r="E199" s="127"/>
      <c r="F199" s="127"/>
      <c r="G199" s="128"/>
      <c r="H199" s="129"/>
    </row>
    <row r="200" hidden="1">
      <c r="B200" s="126"/>
      <c r="C200" s="126"/>
      <c r="D200" s="126"/>
      <c r="E200" s="127"/>
      <c r="F200" s="127"/>
      <c r="G200" s="128"/>
      <c r="H200" s="129"/>
    </row>
    <row r="201" hidden="1">
      <c r="B201" s="126"/>
      <c r="C201" s="126"/>
      <c r="D201" s="126"/>
      <c r="E201" s="127"/>
      <c r="F201" s="127"/>
      <c r="G201" s="128"/>
      <c r="H201" s="129"/>
    </row>
    <row r="202">
      <c r="B202" s="126"/>
      <c r="C202" s="126"/>
      <c r="D202" s="126"/>
      <c r="E202" s="127"/>
      <c r="F202" s="127"/>
      <c r="G202" s="128"/>
      <c r="H202" s="129"/>
    </row>
    <row r="203">
      <c r="B203" s="126"/>
      <c r="C203" s="126"/>
      <c r="D203" s="126"/>
      <c r="E203" s="127"/>
      <c r="F203" s="127"/>
      <c r="G203" s="128"/>
      <c r="H203" s="129"/>
    </row>
    <row r="204">
      <c r="B204" s="126"/>
      <c r="C204" s="126"/>
      <c r="D204" s="126"/>
      <c r="E204" s="127"/>
      <c r="F204" s="127"/>
      <c r="G204" s="128"/>
      <c r="H204" s="129"/>
    </row>
    <row r="205">
      <c r="A205" s="216" t="s">
        <v>179</v>
      </c>
      <c r="B205" s="126"/>
      <c r="C205" s="126"/>
      <c r="D205" s="126"/>
      <c r="E205" s="127"/>
      <c r="F205" s="127"/>
      <c r="G205" s="128"/>
      <c r="H205" s="129"/>
    </row>
    <row r="206">
      <c r="B206" s="126"/>
      <c r="C206" s="126"/>
      <c r="D206" s="126"/>
      <c r="E206" s="127"/>
      <c r="F206" s="127"/>
      <c r="G206" s="128"/>
      <c r="H206" s="129"/>
    </row>
    <row r="207">
      <c r="B207" s="126"/>
      <c r="C207" s="126"/>
      <c r="D207" s="126"/>
      <c r="E207" s="127"/>
      <c r="F207" s="127"/>
      <c r="G207" s="128"/>
      <c r="H207" s="129"/>
    </row>
    <row r="208" ht="37.5" customHeight="1">
      <c r="A208" s="35" t="s">
        <v>245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</row>
    <row r="209" ht="30.0" customHeight="1">
      <c r="A209" s="219" t="s">
        <v>246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</row>
    <row r="210">
      <c r="A210" s="70"/>
      <c r="B210" s="7" t="s">
        <v>3</v>
      </c>
      <c r="C210" s="10" t="s">
        <v>2</v>
      </c>
      <c r="D210" s="8" t="s">
        <v>5</v>
      </c>
      <c r="E210" s="171" t="s">
        <v>19</v>
      </c>
      <c r="F210" s="8" t="s">
        <v>6</v>
      </c>
      <c r="G210" s="71" t="s">
        <v>7</v>
      </c>
      <c r="H210" s="9" t="s">
        <v>8</v>
      </c>
      <c r="I210" s="72" t="s">
        <v>20</v>
      </c>
      <c r="J210" s="8" t="s">
        <v>25</v>
      </c>
      <c r="K210" s="8" t="s">
        <v>26</v>
      </c>
      <c r="L210" s="9" t="s">
        <v>28</v>
      </c>
      <c r="M210" s="6" t="s">
        <v>29</v>
      </c>
      <c r="N210" s="9" t="s">
        <v>30</v>
      </c>
    </row>
    <row r="211">
      <c r="A211" s="12" t="s">
        <v>10</v>
      </c>
      <c r="B211" s="73" t="s">
        <v>247</v>
      </c>
      <c r="C211" s="74" t="s">
        <v>31</v>
      </c>
      <c r="D211" s="75">
        <v>0.5416666666666666</v>
      </c>
      <c r="E211" s="84">
        <v>3.180565683E10</v>
      </c>
      <c r="F211" s="84">
        <v>8.01440478917126E14</v>
      </c>
      <c r="G211" s="79" t="s">
        <v>248</v>
      </c>
      <c r="H211" s="83">
        <v>33465.0</v>
      </c>
      <c r="I211" s="41" t="s">
        <v>183</v>
      </c>
      <c r="J211" s="84" t="s">
        <v>249</v>
      </c>
      <c r="K211" s="43"/>
      <c r="L211" s="78"/>
      <c r="M211" s="46"/>
      <c r="N211" s="47"/>
    </row>
    <row r="212">
      <c r="A212" s="12" t="s">
        <v>11</v>
      </c>
      <c r="B212" s="73" t="s">
        <v>250</v>
      </c>
      <c r="C212" s="74" t="s">
        <v>31</v>
      </c>
      <c r="D212" s="75">
        <v>0.5555555555555556</v>
      </c>
      <c r="E212" s="210">
        <v>4.891303484E9</v>
      </c>
      <c r="F212" s="76">
        <v>7.0000995213541E14</v>
      </c>
      <c r="G212" s="79" t="s">
        <v>251</v>
      </c>
      <c r="H212" s="211">
        <v>28485.0</v>
      </c>
      <c r="I212" s="41" t="s">
        <v>173</v>
      </c>
      <c r="J212" s="141">
        <v>1.1967857743E10</v>
      </c>
      <c r="K212" s="50"/>
      <c r="L212" s="52"/>
      <c r="M212" s="51"/>
      <c r="N212" s="53"/>
    </row>
    <row r="213">
      <c r="A213" s="12" t="s">
        <v>12</v>
      </c>
      <c r="B213" s="73" t="s">
        <v>252</v>
      </c>
      <c r="C213" s="74" t="s">
        <v>31</v>
      </c>
      <c r="D213" s="75">
        <v>0.5694444444444444</v>
      </c>
      <c r="E213" s="84">
        <v>3.987968664E9</v>
      </c>
      <c r="F213" s="84">
        <v>1.60386272010009E14</v>
      </c>
      <c r="G213" s="212" t="s">
        <v>253</v>
      </c>
      <c r="H213" s="83">
        <v>21663.0</v>
      </c>
      <c r="I213" s="41" t="s">
        <v>183</v>
      </c>
      <c r="J213" s="141" t="s">
        <v>254</v>
      </c>
      <c r="K213" s="54"/>
      <c r="L213" s="56"/>
      <c r="M213" s="55"/>
      <c r="N213" s="57"/>
    </row>
    <row r="214">
      <c r="A214" s="12" t="s">
        <v>13</v>
      </c>
      <c r="B214" s="73" t="s">
        <v>217</v>
      </c>
      <c r="C214" s="74" t="s">
        <v>31</v>
      </c>
      <c r="D214" s="75">
        <v>0.5833333333333334</v>
      </c>
      <c r="E214" s="142">
        <v>2.7317892807E10</v>
      </c>
      <c r="F214" s="142">
        <v>7.04308584371898E14</v>
      </c>
      <c r="G214" s="220" t="s">
        <v>255</v>
      </c>
      <c r="H214" s="221">
        <v>28911.0</v>
      </c>
      <c r="I214" s="41" t="s">
        <v>183</v>
      </c>
      <c r="J214" s="185" t="s">
        <v>256</v>
      </c>
      <c r="K214" s="50"/>
      <c r="L214" s="62"/>
      <c r="M214" s="61"/>
      <c r="N214" s="53"/>
    </row>
    <row r="215">
      <c r="A215" s="12" t="s">
        <v>14</v>
      </c>
      <c r="B215" s="73" t="s">
        <v>235</v>
      </c>
      <c r="C215" s="74" t="s">
        <v>31</v>
      </c>
      <c r="D215" s="75">
        <v>0.5972222222222222</v>
      </c>
      <c r="E215" s="74">
        <v>6.308990442E10</v>
      </c>
      <c r="F215" s="146">
        <v>8.01440468653045E14</v>
      </c>
      <c r="G215" s="167" t="s">
        <v>257</v>
      </c>
      <c r="H215" s="195">
        <v>25006.0</v>
      </c>
      <c r="I215" s="41" t="s">
        <v>173</v>
      </c>
      <c r="J215" s="185" t="s">
        <v>258</v>
      </c>
      <c r="K215" s="63"/>
      <c r="L215" s="56"/>
      <c r="M215" s="64"/>
      <c r="N215" s="65"/>
    </row>
    <row r="216">
      <c r="A216" s="12" t="s">
        <v>15</v>
      </c>
      <c r="B216" s="167" t="s">
        <v>220</v>
      </c>
      <c r="C216" s="74" t="s">
        <v>31</v>
      </c>
      <c r="D216" s="75">
        <v>0.6111111111111112</v>
      </c>
      <c r="E216" s="104">
        <v>3.0810531887E10</v>
      </c>
      <c r="F216" s="146">
        <v>2.01151097780007E14</v>
      </c>
      <c r="G216" s="148" t="s">
        <v>221</v>
      </c>
      <c r="H216" s="195">
        <v>15049.0</v>
      </c>
      <c r="I216" s="41" t="s">
        <v>183</v>
      </c>
      <c r="J216" s="185" t="s">
        <v>222</v>
      </c>
      <c r="K216" s="50"/>
      <c r="L216" s="62"/>
      <c r="M216" s="61"/>
      <c r="N216" s="53"/>
    </row>
    <row r="217">
      <c r="A217" s="12" t="s">
        <v>16</v>
      </c>
      <c r="B217" s="73" t="s">
        <v>217</v>
      </c>
      <c r="C217" s="74" t="s">
        <v>31</v>
      </c>
      <c r="D217" s="75">
        <v>0.625</v>
      </c>
      <c r="E217" s="146">
        <v>2.7222803882E10</v>
      </c>
      <c r="F217" s="146">
        <v>7.02809600514767E14</v>
      </c>
      <c r="G217" s="148" t="s">
        <v>223</v>
      </c>
      <c r="H217" s="195">
        <v>16786.0</v>
      </c>
      <c r="I217" s="41" t="s">
        <v>183</v>
      </c>
      <c r="J217" s="162" t="s">
        <v>224</v>
      </c>
      <c r="K217" s="63"/>
      <c r="L217" s="56"/>
      <c r="M217" s="64"/>
      <c r="N217" s="65"/>
    </row>
    <row r="218">
      <c r="A218" s="12" t="s">
        <v>17</v>
      </c>
      <c r="B218" s="73" t="s">
        <v>259</v>
      </c>
      <c r="C218" s="74" t="s">
        <v>31</v>
      </c>
      <c r="D218" s="75">
        <v>0.6388888888888888</v>
      </c>
      <c r="E218" s="85">
        <v>7.318117041E10</v>
      </c>
      <c r="F218" s="210">
        <v>7.00008762234409E14</v>
      </c>
      <c r="G218" s="59" t="s">
        <v>260</v>
      </c>
      <c r="H218" s="211">
        <v>15234.0</v>
      </c>
      <c r="I218" s="41" t="s">
        <v>183</v>
      </c>
      <c r="J218" s="185" t="s">
        <v>261</v>
      </c>
      <c r="K218" s="50"/>
      <c r="L218" s="62"/>
      <c r="M218" s="61"/>
      <c r="N218" s="53"/>
    </row>
    <row r="219">
      <c r="A219" s="12" t="s">
        <v>85</v>
      </c>
      <c r="B219" s="73" t="s">
        <v>220</v>
      </c>
      <c r="C219" s="74" t="s">
        <v>31</v>
      </c>
      <c r="D219" s="75">
        <v>0.6527777777777778</v>
      </c>
      <c r="E219" s="104">
        <v>2.5837294899E10</v>
      </c>
      <c r="F219" s="85">
        <v>7.04003338034064E14</v>
      </c>
      <c r="G219" s="203" t="s">
        <v>227</v>
      </c>
      <c r="H219" s="213">
        <v>14946.0</v>
      </c>
      <c r="I219" s="41" t="s">
        <v>183</v>
      </c>
      <c r="J219" s="185" t="s">
        <v>228</v>
      </c>
      <c r="K219" s="63"/>
      <c r="L219" s="56"/>
      <c r="M219" s="64"/>
      <c r="N219" s="65"/>
    </row>
    <row r="220">
      <c r="A220" s="12" t="s">
        <v>87</v>
      </c>
      <c r="B220" s="73"/>
      <c r="C220" s="74" t="s">
        <v>31</v>
      </c>
      <c r="D220" s="75">
        <v>0.6666666666666666</v>
      </c>
      <c r="E220" s="85"/>
      <c r="F220" s="85"/>
      <c r="G220" s="181" t="s">
        <v>178</v>
      </c>
      <c r="H220" s="91"/>
      <c r="I220" s="41"/>
      <c r="J220" s="185"/>
      <c r="K220" s="50"/>
      <c r="L220" s="62"/>
      <c r="M220" s="61"/>
      <c r="N220" s="53"/>
    </row>
    <row r="221">
      <c r="A221" s="12" t="s">
        <v>90</v>
      </c>
      <c r="B221" s="73"/>
      <c r="C221" s="74" t="s">
        <v>31</v>
      </c>
      <c r="D221" s="75">
        <v>0.6805555555555556</v>
      </c>
      <c r="E221" s="134"/>
      <c r="F221" s="134"/>
      <c r="G221" s="181" t="s">
        <v>178</v>
      </c>
      <c r="H221" s="135"/>
      <c r="I221" s="41"/>
      <c r="J221" s="214"/>
      <c r="K221" s="63"/>
      <c r="L221" s="56"/>
      <c r="M221" s="64"/>
      <c r="N221" s="65"/>
    </row>
    <row r="222">
      <c r="A222" s="12" t="s">
        <v>93</v>
      </c>
      <c r="B222" s="73"/>
      <c r="C222" s="74" t="s">
        <v>31</v>
      </c>
      <c r="D222" s="75">
        <v>0.6944444444444444</v>
      </c>
      <c r="E222" s="134"/>
      <c r="F222" s="134"/>
      <c r="G222" s="181" t="s">
        <v>178</v>
      </c>
      <c r="H222" s="135"/>
      <c r="I222" s="41"/>
      <c r="J222" s="215"/>
      <c r="K222" s="50"/>
      <c r="L222" s="62"/>
      <c r="M222" s="61"/>
      <c r="N222" s="53"/>
    </row>
    <row r="223">
      <c r="B223" s="126"/>
      <c r="C223" s="126"/>
      <c r="D223" s="126"/>
      <c r="E223" s="127"/>
      <c r="F223" s="127"/>
      <c r="G223" s="128"/>
      <c r="H223" s="129"/>
    </row>
    <row r="224">
      <c r="B224" s="126"/>
      <c r="C224" s="126"/>
      <c r="D224" s="126"/>
      <c r="E224" s="127"/>
      <c r="F224" s="127"/>
      <c r="G224" s="128"/>
      <c r="H224" s="129"/>
    </row>
    <row r="225">
      <c r="B225" s="126"/>
      <c r="C225" s="126"/>
      <c r="D225" s="126"/>
      <c r="E225" s="127"/>
      <c r="F225" s="127"/>
      <c r="G225" s="128"/>
      <c r="H225" s="129"/>
    </row>
    <row r="226">
      <c r="B226" s="126"/>
      <c r="C226" s="126"/>
      <c r="D226" s="126"/>
      <c r="E226" s="127"/>
      <c r="F226" s="127"/>
      <c r="G226" s="128"/>
      <c r="H226" s="129"/>
    </row>
    <row r="227" ht="33.75" customHeight="1">
      <c r="A227" s="35" t="s">
        <v>262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</row>
    <row r="228">
      <c r="A228" s="69" t="s">
        <v>263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</row>
    <row r="229">
      <c r="A229" s="70"/>
      <c r="B229" s="7" t="s">
        <v>3</v>
      </c>
      <c r="C229" s="10" t="s">
        <v>2</v>
      </c>
      <c r="D229" s="8" t="s">
        <v>5</v>
      </c>
      <c r="E229" s="171" t="s">
        <v>19</v>
      </c>
      <c r="F229" s="8" t="s">
        <v>6</v>
      </c>
      <c r="G229" s="71" t="s">
        <v>7</v>
      </c>
      <c r="H229" s="9" t="s">
        <v>8</v>
      </c>
      <c r="I229" s="72" t="s">
        <v>20</v>
      </c>
      <c r="J229" s="8" t="s">
        <v>25</v>
      </c>
      <c r="K229" s="8" t="s">
        <v>26</v>
      </c>
      <c r="L229" s="9" t="s">
        <v>28</v>
      </c>
      <c r="M229" s="6" t="s">
        <v>29</v>
      </c>
      <c r="N229" s="9" t="s">
        <v>30</v>
      </c>
    </row>
    <row r="230">
      <c r="A230" s="12" t="s">
        <v>10</v>
      </c>
      <c r="B230" s="73" t="s">
        <v>264</v>
      </c>
      <c r="C230" s="74" t="s">
        <v>122</v>
      </c>
      <c r="D230" s="75">
        <v>0.3333333333333333</v>
      </c>
      <c r="E230" s="76">
        <v>8.886186894E9</v>
      </c>
      <c r="F230" s="76">
        <v>7.0470306663924E14</v>
      </c>
      <c r="G230" s="49" t="s">
        <v>265</v>
      </c>
      <c r="H230" s="77">
        <v>17080.0</v>
      </c>
      <c r="I230" s="41"/>
      <c r="J230" s="42" t="s">
        <v>266</v>
      </c>
      <c r="K230" s="43"/>
      <c r="L230" s="78"/>
      <c r="M230" s="46"/>
      <c r="N230" s="47"/>
    </row>
    <row r="231">
      <c r="A231" s="12" t="s">
        <v>11</v>
      </c>
      <c r="B231" s="73" t="s">
        <v>264</v>
      </c>
      <c r="C231" s="74" t="s">
        <v>122</v>
      </c>
      <c r="D231" s="75">
        <v>0.3472222222222222</v>
      </c>
      <c r="E231" s="76">
        <v>1.1253229856E10</v>
      </c>
      <c r="F231" s="76">
        <v>2.01154538940003E14</v>
      </c>
      <c r="G231" s="79" t="s">
        <v>267</v>
      </c>
      <c r="H231" s="77">
        <v>24752.0</v>
      </c>
      <c r="I231" s="41"/>
      <c r="J231" s="42" t="s">
        <v>268</v>
      </c>
      <c r="K231" s="50"/>
      <c r="L231" s="52"/>
      <c r="M231" s="51"/>
      <c r="N231" s="53"/>
    </row>
    <row r="232">
      <c r="A232" s="12" t="s">
        <v>12</v>
      </c>
      <c r="B232" s="73" t="s">
        <v>269</v>
      </c>
      <c r="C232" s="74" t="s">
        <v>122</v>
      </c>
      <c r="D232" s="75">
        <v>0.3611111111111111</v>
      </c>
      <c r="E232" s="84">
        <v>1.8613918549E10</v>
      </c>
      <c r="F232" s="84">
        <v>7.00206913959624E14</v>
      </c>
      <c r="G232" s="79" t="s">
        <v>270</v>
      </c>
      <c r="H232" s="83">
        <v>18341.0</v>
      </c>
      <c r="I232" s="41"/>
      <c r="J232" s="42">
        <v>9.45888502E8</v>
      </c>
      <c r="K232" s="54"/>
      <c r="L232" s="56"/>
      <c r="M232" s="55"/>
      <c r="N232" s="57"/>
    </row>
    <row r="233">
      <c r="A233" s="12" t="s">
        <v>13</v>
      </c>
      <c r="B233" s="73" t="s">
        <v>271</v>
      </c>
      <c r="C233" s="74" t="s">
        <v>122</v>
      </c>
      <c r="D233" s="75">
        <v>0.375</v>
      </c>
      <c r="E233" s="130">
        <v>6.03132685E9</v>
      </c>
      <c r="F233" s="130">
        <v>8.01440483580223E14</v>
      </c>
      <c r="G233" s="131" t="s">
        <v>272</v>
      </c>
      <c r="H233" s="222">
        <v>17741.0</v>
      </c>
      <c r="I233" s="41" t="s">
        <v>183</v>
      </c>
      <c r="J233" s="42" t="s">
        <v>273</v>
      </c>
      <c r="K233" s="50"/>
      <c r="L233" s="62"/>
      <c r="M233" s="61"/>
      <c r="N233" s="53"/>
    </row>
    <row r="234">
      <c r="A234" s="12" t="s">
        <v>14</v>
      </c>
      <c r="B234" s="73" t="s">
        <v>274</v>
      </c>
      <c r="C234" s="74" t="s">
        <v>122</v>
      </c>
      <c r="D234" s="75">
        <v>0.3888888888888889</v>
      </c>
      <c r="E234" s="76">
        <v>4.9105567882E10</v>
      </c>
      <c r="F234" s="223">
        <v>2.04302307660006E14</v>
      </c>
      <c r="G234" s="224" t="s">
        <v>275</v>
      </c>
      <c r="H234" s="225">
        <v>37639.0</v>
      </c>
      <c r="I234" s="41"/>
      <c r="J234" s="223">
        <v>9.33017538E8</v>
      </c>
      <c r="K234" s="63"/>
      <c r="L234" s="56"/>
      <c r="M234" s="64"/>
      <c r="N234" s="65"/>
    </row>
    <row r="235">
      <c r="A235" s="12" t="s">
        <v>15</v>
      </c>
      <c r="B235" s="73" t="s">
        <v>276</v>
      </c>
      <c r="C235" s="74" t="s">
        <v>122</v>
      </c>
      <c r="D235" s="75">
        <v>0.4027777777777778</v>
      </c>
      <c r="E235" s="76">
        <v>7.4093495491E10</v>
      </c>
      <c r="F235" s="40">
        <v>8.01440413192194E14</v>
      </c>
      <c r="G235" s="203" t="s">
        <v>277</v>
      </c>
      <c r="H235" s="226">
        <v>24199.0</v>
      </c>
      <c r="I235" s="41" t="s">
        <v>183</v>
      </c>
      <c r="J235" s="42"/>
      <c r="K235" s="50"/>
      <c r="L235" s="62"/>
      <c r="M235" s="61"/>
      <c r="N235" s="53"/>
    </row>
    <row r="236">
      <c r="A236" s="12" t="s">
        <v>16</v>
      </c>
      <c r="B236" s="227" t="s">
        <v>278</v>
      </c>
      <c r="C236" s="74" t="s">
        <v>122</v>
      </c>
      <c r="D236" s="75">
        <v>0.4166666666666667</v>
      </c>
      <c r="E236" s="76">
        <v>3.4739122472E10</v>
      </c>
      <c r="F236" s="228">
        <v>7.06201048653767E14</v>
      </c>
      <c r="G236" s="229" t="s">
        <v>279</v>
      </c>
      <c r="H236" s="230">
        <v>12485.0</v>
      </c>
      <c r="I236" s="231"/>
      <c r="J236" s="232" t="s">
        <v>280</v>
      </c>
      <c r="K236" s="63"/>
      <c r="L236" s="56"/>
      <c r="M236" s="64"/>
      <c r="N236" s="65"/>
    </row>
    <row r="237">
      <c r="A237" s="12" t="s">
        <v>17</v>
      </c>
      <c r="B237" s="233" t="s">
        <v>281</v>
      </c>
      <c r="C237" s="74" t="s">
        <v>122</v>
      </c>
      <c r="D237" s="75">
        <v>0.4305555555555556</v>
      </c>
      <c r="E237" s="76">
        <v>3.6156421807E10</v>
      </c>
      <c r="F237" s="84">
        <v>7.034023330319E14</v>
      </c>
      <c r="G237" s="79" t="s">
        <v>282</v>
      </c>
      <c r="H237" s="234" t="s">
        <v>283</v>
      </c>
      <c r="I237" s="41"/>
      <c r="J237" s="42">
        <v>1.1985947829E10</v>
      </c>
      <c r="K237" s="50"/>
      <c r="L237" s="62"/>
      <c r="M237" s="61"/>
      <c r="N237" s="53"/>
    </row>
    <row r="238">
      <c r="A238" s="12" t="s">
        <v>85</v>
      </c>
      <c r="B238" s="73" t="s">
        <v>274</v>
      </c>
      <c r="C238" s="74" t="s">
        <v>122</v>
      </c>
      <c r="D238" s="75">
        <v>0.4444444444444444</v>
      </c>
      <c r="E238" s="235">
        <v>5.7530336878E10</v>
      </c>
      <c r="F238" s="223">
        <v>7.04203221249085E14</v>
      </c>
      <c r="G238" s="236" t="s">
        <v>284</v>
      </c>
      <c r="H238" s="237">
        <v>37130.0</v>
      </c>
      <c r="I238" s="41"/>
      <c r="J238" s="223">
        <v>9.8036554E8</v>
      </c>
      <c r="K238" s="63"/>
      <c r="L238" s="56"/>
      <c r="M238" s="64"/>
      <c r="N238" s="65"/>
    </row>
    <row r="239">
      <c r="A239" s="12" t="s">
        <v>87</v>
      </c>
      <c r="B239" s="73"/>
      <c r="C239" s="74" t="s">
        <v>122</v>
      </c>
      <c r="D239" s="75">
        <v>0.4583333333333333</v>
      </c>
      <c r="E239" s="137"/>
      <c r="F239" s="137"/>
      <c r="G239" s="181" t="s">
        <v>178</v>
      </c>
      <c r="H239" s="83"/>
      <c r="I239" s="41"/>
      <c r="J239" s="238"/>
      <c r="K239" s="50"/>
      <c r="L239" s="62"/>
      <c r="M239" s="61"/>
      <c r="N239" s="53"/>
    </row>
    <row r="240">
      <c r="A240" s="12" t="s">
        <v>90</v>
      </c>
      <c r="B240" s="73"/>
      <c r="C240" s="74" t="s">
        <v>122</v>
      </c>
      <c r="D240" s="75">
        <v>0.4722222222222222</v>
      </c>
      <c r="E240" s="85"/>
      <c r="F240" s="85"/>
      <c r="G240" s="181" t="s">
        <v>178</v>
      </c>
      <c r="H240" s="91"/>
      <c r="I240" s="41"/>
      <c r="J240" s="207"/>
      <c r="K240" s="63"/>
      <c r="L240" s="56"/>
      <c r="M240" s="64"/>
      <c r="N240" s="65"/>
    </row>
    <row r="241">
      <c r="A241" s="12" t="s">
        <v>93</v>
      </c>
      <c r="B241" s="73"/>
      <c r="C241" s="74" t="s">
        <v>122</v>
      </c>
      <c r="D241" s="75">
        <v>0.4861111111111111</v>
      </c>
      <c r="E241" s="85"/>
      <c r="F241" s="85"/>
      <c r="G241" s="181" t="s">
        <v>178</v>
      </c>
      <c r="H241" s="91"/>
      <c r="I241" s="41"/>
      <c r="J241" s="207"/>
      <c r="K241" s="50"/>
      <c r="L241" s="62"/>
      <c r="M241" s="61"/>
      <c r="N241" s="53"/>
    </row>
    <row r="242">
      <c r="B242" s="126"/>
      <c r="C242" s="126"/>
      <c r="D242" s="126"/>
      <c r="E242" s="127"/>
      <c r="F242" s="127"/>
      <c r="G242" s="128"/>
      <c r="H242" s="129"/>
    </row>
    <row r="243">
      <c r="B243" s="126"/>
      <c r="C243" s="126"/>
      <c r="D243" s="126"/>
      <c r="E243" s="127"/>
      <c r="F243" s="127"/>
      <c r="G243" s="128"/>
      <c r="H243" s="129"/>
    </row>
    <row r="244">
      <c r="B244" s="126"/>
      <c r="C244" s="126"/>
      <c r="D244" s="126"/>
      <c r="E244" s="127"/>
      <c r="F244" s="127"/>
      <c r="G244" s="139"/>
    </row>
    <row r="245">
      <c r="B245" s="126"/>
      <c r="C245" s="126"/>
      <c r="D245" s="126"/>
      <c r="E245" s="127"/>
      <c r="F245" s="127"/>
      <c r="G245" s="239"/>
      <c r="H245" s="129"/>
    </row>
    <row r="246">
      <c r="A246" s="35" t="s">
        <v>285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</row>
    <row r="247">
      <c r="A247" s="69" t="s">
        <v>286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</row>
    <row r="248">
      <c r="A248" s="70"/>
      <c r="B248" s="7" t="s">
        <v>3</v>
      </c>
      <c r="C248" s="10" t="s">
        <v>2</v>
      </c>
      <c r="D248" s="8" t="s">
        <v>5</v>
      </c>
      <c r="E248" s="171" t="s">
        <v>19</v>
      </c>
      <c r="F248" s="8" t="s">
        <v>6</v>
      </c>
      <c r="G248" s="71" t="s">
        <v>7</v>
      </c>
      <c r="H248" s="9" t="s">
        <v>8</v>
      </c>
      <c r="I248" s="240" t="s">
        <v>20</v>
      </c>
      <c r="J248" s="8" t="s">
        <v>25</v>
      </c>
      <c r="K248" s="8" t="s">
        <v>26</v>
      </c>
      <c r="L248" s="9" t="s">
        <v>28</v>
      </c>
      <c r="M248" s="6" t="s">
        <v>29</v>
      </c>
      <c r="N248" s="9" t="s">
        <v>30</v>
      </c>
    </row>
    <row r="249">
      <c r="A249" s="12" t="s">
        <v>10</v>
      </c>
      <c r="B249" s="73" t="s">
        <v>287</v>
      </c>
      <c r="C249" s="74" t="s">
        <v>137</v>
      </c>
      <c r="D249" s="75">
        <v>0.5416666666666666</v>
      </c>
      <c r="E249" s="241" t="s">
        <v>288</v>
      </c>
      <c r="F249" s="76">
        <v>7.0820815633914E14</v>
      </c>
      <c r="G249" s="79" t="s">
        <v>289</v>
      </c>
      <c r="H249" s="77">
        <v>11774.0</v>
      </c>
      <c r="I249" s="41" t="s">
        <v>183</v>
      </c>
      <c r="J249" s="141" t="s">
        <v>290</v>
      </c>
      <c r="K249" s="43"/>
      <c r="L249" s="78"/>
      <c r="M249" s="46"/>
      <c r="N249" s="47"/>
    </row>
    <row r="250">
      <c r="A250" s="12" t="s">
        <v>11</v>
      </c>
      <c r="B250" s="73" t="s">
        <v>291</v>
      </c>
      <c r="C250" s="74" t="s">
        <v>137</v>
      </c>
      <c r="D250" s="75">
        <v>0.5555555555555556</v>
      </c>
      <c r="E250" s="242" t="s">
        <v>292</v>
      </c>
      <c r="F250" s="76">
        <v>7.08200115407349E14</v>
      </c>
      <c r="G250" s="49" t="s">
        <v>293</v>
      </c>
      <c r="H250" s="77">
        <v>25345.0</v>
      </c>
      <c r="I250" s="41" t="s">
        <v>183</v>
      </c>
      <c r="J250" s="141" t="s">
        <v>294</v>
      </c>
      <c r="K250" s="50"/>
      <c r="L250" s="52"/>
      <c r="M250" s="51"/>
      <c r="N250" s="53"/>
    </row>
    <row r="251">
      <c r="A251" s="12" t="s">
        <v>12</v>
      </c>
      <c r="B251" s="73"/>
      <c r="C251" s="74"/>
      <c r="D251" s="75"/>
      <c r="E251" s="242"/>
      <c r="F251" s="76"/>
      <c r="G251" s="49"/>
      <c r="H251" s="77"/>
      <c r="I251" s="41" t="s">
        <v>173</v>
      </c>
      <c r="J251" s="243"/>
      <c r="K251" s="54"/>
      <c r="L251" s="56"/>
      <c r="M251" s="55"/>
      <c r="N251" s="244"/>
    </row>
    <row r="252">
      <c r="A252" s="12" t="s">
        <v>13</v>
      </c>
      <c r="B252" s="73" t="s">
        <v>295</v>
      </c>
      <c r="C252" s="74" t="s">
        <v>137</v>
      </c>
      <c r="D252" s="75">
        <v>0.5833333333333334</v>
      </c>
      <c r="E252" s="242" t="s">
        <v>296</v>
      </c>
      <c r="F252" s="76">
        <v>8.98002994541426E14</v>
      </c>
      <c r="G252" s="49" t="s">
        <v>297</v>
      </c>
      <c r="H252" s="77">
        <v>27802.0</v>
      </c>
      <c r="I252" s="41" t="s">
        <v>183</v>
      </c>
      <c r="J252" s="85" t="s">
        <v>298</v>
      </c>
      <c r="K252" s="50"/>
      <c r="L252" s="62"/>
      <c r="M252" s="61"/>
      <c r="N252" s="53" t="s">
        <v>299</v>
      </c>
    </row>
    <row r="253">
      <c r="A253" s="12" t="s">
        <v>14</v>
      </c>
      <c r="B253" s="73" t="s">
        <v>259</v>
      </c>
      <c r="C253" s="74" t="s">
        <v>137</v>
      </c>
      <c r="D253" s="75">
        <v>0.5972222222222222</v>
      </c>
      <c r="E253" s="242" t="s">
        <v>300</v>
      </c>
      <c r="F253" s="76">
        <v>7.07409072673679E14</v>
      </c>
      <c r="G253" s="49" t="s">
        <v>301</v>
      </c>
      <c r="H253" s="77">
        <v>14596.0</v>
      </c>
      <c r="I253" s="41" t="s">
        <v>183</v>
      </c>
      <c r="J253" s="141" t="s">
        <v>302</v>
      </c>
      <c r="K253" s="63"/>
      <c r="L253" s="56"/>
      <c r="M253" s="64"/>
      <c r="N253" s="65"/>
    </row>
    <row r="254">
      <c r="A254" s="12" t="s">
        <v>15</v>
      </c>
      <c r="B254" s="73" t="s">
        <v>287</v>
      </c>
      <c r="C254" s="74" t="s">
        <v>137</v>
      </c>
      <c r="D254" s="75">
        <v>0.6111111111111112</v>
      </c>
      <c r="E254" s="242" t="s">
        <v>303</v>
      </c>
      <c r="F254" s="76">
        <v>7.00201436743926E14</v>
      </c>
      <c r="G254" s="49" t="s">
        <v>304</v>
      </c>
      <c r="H254" s="77">
        <v>14091.0</v>
      </c>
      <c r="I254" s="41" t="s">
        <v>183</v>
      </c>
      <c r="J254" s="141" t="s">
        <v>305</v>
      </c>
      <c r="K254" s="50"/>
      <c r="L254" s="62"/>
      <c r="M254" s="61"/>
      <c r="N254" s="53"/>
    </row>
    <row r="255">
      <c r="A255" s="12" t="s">
        <v>16</v>
      </c>
      <c r="B255" s="73" t="s">
        <v>306</v>
      </c>
      <c r="C255" s="74" t="s">
        <v>137</v>
      </c>
      <c r="D255" s="75">
        <v>0.625</v>
      </c>
      <c r="E255" s="242" t="s">
        <v>307</v>
      </c>
      <c r="F255" s="76">
        <v>7.0780867801091E14</v>
      </c>
      <c r="G255" s="49" t="s">
        <v>308</v>
      </c>
      <c r="H255" s="77">
        <v>21358.0</v>
      </c>
      <c r="I255" s="41" t="s">
        <v>183</v>
      </c>
      <c r="J255" s="150" t="s">
        <v>309</v>
      </c>
      <c r="K255" s="63"/>
      <c r="L255" s="56"/>
      <c r="M255" s="64"/>
      <c r="N255" s="65" t="s">
        <v>310</v>
      </c>
    </row>
    <row r="256">
      <c r="A256" s="12" t="s">
        <v>17</v>
      </c>
      <c r="B256" s="73" t="s">
        <v>291</v>
      </c>
      <c r="C256" s="74" t="s">
        <v>137</v>
      </c>
      <c r="D256" s="75">
        <v>0.6388888888888888</v>
      </c>
      <c r="E256" s="242" t="s">
        <v>311</v>
      </c>
      <c r="F256" s="76">
        <v>7.07804616872117E14</v>
      </c>
      <c r="G256" s="49" t="s">
        <v>312</v>
      </c>
      <c r="H256" s="77">
        <v>28804.0</v>
      </c>
      <c r="I256" s="41" t="s">
        <v>183</v>
      </c>
      <c r="J256" s="85" t="s">
        <v>313</v>
      </c>
      <c r="K256" s="50"/>
      <c r="L256" s="62"/>
      <c r="M256" s="61"/>
      <c r="N256" s="53"/>
    </row>
    <row r="257">
      <c r="A257" s="12" t="s">
        <v>85</v>
      </c>
      <c r="B257" s="73" t="s">
        <v>314</v>
      </c>
      <c r="C257" s="74" t="s">
        <v>137</v>
      </c>
      <c r="D257" s="75">
        <v>0.6527777777777778</v>
      </c>
      <c r="E257" s="245" t="s">
        <v>315</v>
      </c>
      <c r="F257" s="162">
        <v>7.05405422875593E14</v>
      </c>
      <c r="G257" s="161" t="s">
        <v>316</v>
      </c>
      <c r="H257" s="163">
        <v>21221.0</v>
      </c>
      <c r="I257" s="41" t="s">
        <v>183</v>
      </c>
      <c r="J257" s="141" t="s">
        <v>317</v>
      </c>
      <c r="K257" s="63"/>
      <c r="L257" s="56"/>
      <c r="M257" s="64"/>
      <c r="N257" s="65"/>
    </row>
    <row r="258">
      <c r="A258" s="12" t="s">
        <v>87</v>
      </c>
      <c r="B258" s="73"/>
      <c r="C258" s="74" t="s">
        <v>137</v>
      </c>
      <c r="D258" s="75">
        <v>0.6666666666666666</v>
      </c>
      <c r="E258" s="246"/>
      <c r="F258" s="85"/>
      <c r="G258" s="181" t="s">
        <v>178</v>
      </c>
      <c r="H258" s="91"/>
      <c r="I258" s="41"/>
      <c r="J258" s="168"/>
      <c r="K258" s="50"/>
      <c r="L258" s="62"/>
      <c r="M258" s="61"/>
      <c r="N258" s="53"/>
    </row>
    <row r="259">
      <c r="A259" s="12" t="s">
        <v>90</v>
      </c>
      <c r="B259" s="73"/>
      <c r="C259" s="74" t="s">
        <v>137</v>
      </c>
      <c r="D259" s="75">
        <v>0.6805555555555556</v>
      </c>
      <c r="E259" s="134"/>
      <c r="F259" s="134"/>
      <c r="G259" s="181" t="s">
        <v>178</v>
      </c>
      <c r="H259" s="135"/>
      <c r="I259" s="41"/>
      <c r="J259" s="247"/>
      <c r="K259" s="63"/>
      <c r="L259" s="56"/>
      <c r="M259" s="64"/>
      <c r="N259" s="65"/>
    </row>
    <row r="260">
      <c r="A260" s="12" t="s">
        <v>93</v>
      </c>
      <c r="B260" s="73"/>
      <c r="C260" s="74" t="s">
        <v>137</v>
      </c>
      <c r="D260" s="75">
        <v>0.6944444444444444</v>
      </c>
      <c r="E260" s="134"/>
      <c r="F260" s="134"/>
      <c r="G260" s="181" t="s">
        <v>178</v>
      </c>
      <c r="H260" s="135"/>
      <c r="I260" s="41"/>
      <c r="J260" s="248"/>
      <c r="K260" s="50"/>
      <c r="L260" s="62"/>
      <c r="M260" s="61"/>
      <c r="N260" s="53"/>
    </row>
    <row r="261">
      <c r="B261" s="126"/>
      <c r="C261" s="126"/>
      <c r="D261" s="126"/>
      <c r="E261" s="127"/>
      <c r="F261" s="127"/>
      <c r="G261" s="128"/>
      <c r="H261" s="129"/>
    </row>
    <row r="262" ht="20.25" customHeight="1">
      <c r="B262" s="126"/>
      <c r="C262" s="126"/>
      <c r="D262" s="126"/>
      <c r="E262" s="127"/>
      <c r="F262" s="127"/>
      <c r="G262" s="128"/>
      <c r="H262" s="129"/>
    </row>
    <row r="263">
      <c r="A263" s="12" t="s">
        <v>12</v>
      </c>
      <c r="B263" s="73" t="s">
        <v>318</v>
      </c>
      <c r="C263" s="74" t="s">
        <v>137</v>
      </c>
      <c r="D263" s="75">
        <v>0.5694444444444444</v>
      </c>
      <c r="E263" s="76">
        <v>1.7459691879E10</v>
      </c>
      <c r="F263" s="76">
        <v>7.08407221744161E14</v>
      </c>
      <c r="G263" s="49" t="s">
        <v>319</v>
      </c>
      <c r="H263" s="77">
        <v>13473.0</v>
      </c>
      <c r="I263" s="41" t="s">
        <v>173</v>
      </c>
      <c r="J263" s="243" t="s">
        <v>320</v>
      </c>
      <c r="K263" s="54" t="s">
        <v>321</v>
      </c>
      <c r="L263" s="56">
        <v>45958.0</v>
      </c>
      <c r="M263" s="55" t="s">
        <v>147</v>
      </c>
      <c r="N263" s="244" t="s">
        <v>322</v>
      </c>
    </row>
    <row r="264">
      <c r="B264" s="126"/>
      <c r="C264" s="126"/>
      <c r="D264" s="126"/>
      <c r="E264" s="127"/>
      <c r="F264" s="127"/>
      <c r="G264" s="128"/>
      <c r="H264" s="129"/>
    </row>
    <row r="265">
      <c r="B265" s="126"/>
      <c r="C265" s="126"/>
      <c r="D265" s="126"/>
      <c r="E265" s="127"/>
      <c r="F265" s="127"/>
      <c r="G265" s="128"/>
      <c r="H265" s="129"/>
    </row>
    <row r="266">
      <c r="A266" s="35" t="s">
        <v>154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</row>
    <row r="267">
      <c r="A267" s="69" t="s">
        <v>323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</row>
    <row r="268">
      <c r="A268" s="70"/>
      <c r="B268" s="7" t="s">
        <v>3</v>
      </c>
      <c r="C268" s="10" t="s">
        <v>2</v>
      </c>
      <c r="D268" s="8" t="s">
        <v>5</v>
      </c>
      <c r="E268" s="171" t="s">
        <v>19</v>
      </c>
      <c r="F268" s="8" t="s">
        <v>6</v>
      </c>
      <c r="G268" s="71" t="s">
        <v>7</v>
      </c>
      <c r="H268" s="9" t="s">
        <v>8</v>
      </c>
      <c r="I268" s="240" t="s">
        <v>20</v>
      </c>
      <c r="J268" s="8" t="s">
        <v>25</v>
      </c>
      <c r="K268" s="8" t="s">
        <v>26</v>
      </c>
      <c r="L268" s="9" t="s">
        <v>28</v>
      </c>
      <c r="M268" s="6" t="s">
        <v>29</v>
      </c>
      <c r="N268" s="9" t="s">
        <v>30</v>
      </c>
    </row>
    <row r="269">
      <c r="A269" s="12" t="s">
        <v>10</v>
      </c>
      <c r="B269" s="73"/>
      <c r="C269" s="74" t="s">
        <v>137</v>
      </c>
      <c r="D269" s="75">
        <v>0.3333333333333333</v>
      </c>
      <c r="E269" s="76"/>
      <c r="F269" s="76"/>
      <c r="G269" s="49"/>
      <c r="H269" s="77"/>
      <c r="I269" s="41" t="s">
        <v>181</v>
      </c>
      <c r="J269" s="42"/>
      <c r="K269" s="43"/>
      <c r="L269" s="78"/>
      <c r="M269" s="46"/>
      <c r="N269" s="47"/>
    </row>
    <row r="270">
      <c r="A270" s="12" t="s">
        <v>11</v>
      </c>
      <c r="B270" s="73" t="s">
        <v>324</v>
      </c>
      <c r="C270" s="74" t="s">
        <v>137</v>
      </c>
      <c r="D270" s="75">
        <v>0.3472222222222222</v>
      </c>
      <c r="E270" s="76">
        <v>1.6492581865E10</v>
      </c>
      <c r="F270" s="76">
        <v>2.1014642223E14</v>
      </c>
      <c r="G270" s="161" t="s">
        <v>325</v>
      </c>
      <c r="H270" s="77">
        <v>24540.0</v>
      </c>
      <c r="I270" s="41" t="s">
        <v>173</v>
      </c>
      <c r="J270" s="42" t="s">
        <v>326</v>
      </c>
      <c r="K270" s="50" t="s">
        <v>327</v>
      </c>
      <c r="L270" s="52"/>
      <c r="M270" s="51"/>
      <c r="N270" s="53"/>
    </row>
    <row r="271">
      <c r="A271" s="12" t="s">
        <v>12</v>
      </c>
      <c r="B271" s="73" t="s">
        <v>235</v>
      </c>
      <c r="C271" s="74" t="s">
        <v>137</v>
      </c>
      <c r="D271" s="75">
        <v>0.3611111111111111</v>
      </c>
      <c r="E271" s="162">
        <v>9.1367107849E10</v>
      </c>
      <c r="F271" s="162">
        <v>1.03821666600001E14</v>
      </c>
      <c r="G271" s="161" t="s">
        <v>328</v>
      </c>
      <c r="H271" s="163">
        <v>19628.0</v>
      </c>
      <c r="I271" s="41" t="s">
        <v>173</v>
      </c>
      <c r="J271" s="141" t="s">
        <v>329</v>
      </c>
      <c r="K271" s="54"/>
      <c r="L271" s="56"/>
      <c r="M271" s="55"/>
      <c r="N271" s="57"/>
    </row>
    <row r="272">
      <c r="A272" s="12" t="s">
        <v>13</v>
      </c>
      <c r="B272" s="73" t="s">
        <v>330</v>
      </c>
      <c r="C272" s="74" t="s">
        <v>137</v>
      </c>
      <c r="D272" s="75">
        <v>0.375</v>
      </c>
      <c r="E272" s="162">
        <v>7.691221835E9</v>
      </c>
      <c r="F272" s="162">
        <v>8.01440481850436E14</v>
      </c>
      <c r="G272" s="164" t="s">
        <v>331</v>
      </c>
      <c r="H272" s="163">
        <v>16330.0</v>
      </c>
      <c r="I272" s="41" t="s">
        <v>183</v>
      </c>
      <c r="J272" s="141" t="s">
        <v>332</v>
      </c>
      <c r="K272" s="50"/>
      <c r="L272" s="62"/>
      <c r="M272" s="61"/>
      <c r="N272" s="53"/>
    </row>
    <row r="273">
      <c r="A273" s="12" t="s">
        <v>14</v>
      </c>
      <c r="B273" s="233" t="s">
        <v>333</v>
      </c>
      <c r="C273" s="74" t="s">
        <v>137</v>
      </c>
      <c r="D273" s="75">
        <v>0.3888888888888889</v>
      </c>
      <c r="E273" s="85">
        <v>1.0697966895E10</v>
      </c>
      <c r="F273" s="85">
        <v>2.0153552179E14</v>
      </c>
      <c r="G273" s="90" t="s">
        <v>334</v>
      </c>
      <c r="H273" s="91">
        <v>24355.0</v>
      </c>
      <c r="I273" s="41" t="s">
        <v>183</v>
      </c>
      <c r="J273" s="141" t="s">
        <v>335</v>
      </c>
      <c r="K273" s="63"/>
      <c r="L273" s="56"/>
      <c r="M273" s="64"/>
      <c r="N273" s="65"/>
    </row>
    <row r="274">
      <c r="A274" s="12" t="s">
        <v>15</v>
      </c>
      <c r="B274" s="233" t="s">
        <v>333</v>
      </c>
      <c r="C274" s="74" t="s">
        <v>137</v>
      </c>
      <c r="D274" s="75">
        <v>0.4027777777777778</v>
      </c>
      <c r="E274" s="162">
        <v>2.3144085863E10</v>
      </c>
      <c r="F274" s="162">
        <v>7.034033634216E14</v>
      </c>
      <c r="G274" s="161" t="s">
        <v>336</v>
      </c>
      <c r="H274" s="163">
        <v>18174.0</v>
      </c>
      <c r="I274" s="41" t="s">
        <v>195</v>
      </c>
      <c r="J274" s="141" t="s">
        <v>337</v>
      </c>
      <c r="K274" s="50" t="s">
        <v>338</v>
      </c>
      <c r="L274" s="62"/>
      <c r="M274" s="61"/>
      <c r="N274" s="53"/>
    </row>
    <row r="275">
      <c r="A275" s="12" t="s">
        <v>16</v>
      </c>
      <c r="B275" s="233" t="s">
        <v>259</v>
      </c>
      <c r="C275" s="74" t="s">
        <v>137</v>
      </c>
      <c r="D275" s="75">
        <v>0.4166666666666667</v>
      </c>
      <c r="E275" s="130">
        <v>4.8808342387E10</v>
      </c>
      <c r="F275" s="130">
        <v>7.04001821457363E14</v>
      </c>
      <c r="G275" s="161" t="s">
        <v>339</v>
      </c>
      <c r="H275" s="249">
        <v>21604.0</v>
      </c>
      <c r="I275" s="41" t="s">
        <v>183</v>
      </c>
      <c r="J275" s="156" t="s">
        <v>340</v>
      </c>
      <c r="K275" s="63"/>
      <c r="L275" s="56"/>
      <c r="M275" s="64"/>
      <c r="N275" s="65"/>
    </row>
    <row r="276">
      <c r="A276" s="12" t="s">
        <v>17</v>
      </c>
      <c r="B276" s="233" t="s">
        <v>341</v>
      </c>
      <c r="C276" s="74" t="s">
        <v>137</v>
      </c>
      <c r="D276" s="75">
        <v>0.4305555555555556</v>
      </c>
      <c r="E276" s="250">
        <v>2.7908176852E10</v>
      </c>
      <c r="F276" s="250">
        <v>2.07262911900004E14</v>
      </c>
      <c r="G276" s="229" t="s">
        <v>342</v>
      </c>
      <c r="H276" s="251">
        <v>11617.0</v>
      </c>
      <c r="I276" s="41" t="s">
        <v>183</v>
      </c>
      <c r="J276" s="141" t="s">
        <v>343</v>
      </c>
      <c r="K276" s="50"/>
      <c r="L276" s="62"/>
      <c r="M276" s="61"/>
      <c r="N276" s="53"/>
    </row>
    <row r="277">
      <c r="A277" s="12" t="s">
        <v>85</v>
      </c>
      <c r="B277" s="73" t="s">
        <v>295</v>
      </c>
      <c r="C277" s="74" t="s">
        <v>137</v>
      </c>
      <c r="D277" s="75">
        <v>0.4444444444444444</v>
      </c>
      <c r="E277" s="84">
        <v>5.160128867E9</v>
      </c>
      <c r="F277" s="84">
        <v>8.01434192919287E14</v>
      </c>
      <c r="G277" s="79" t="s">
        <v>344</v>
      </c>
      <c r="H277" s="83">
        <v>21942.0</v>
      </c>
      <c r="I277" s="41" t="s">
        <v>183</v>
      </c>
      <c r="J277" s="141" t="s">
        <v>345</v>
      </c>
      <c r="K277" s="63"/>
      <c r="L277" s="56"/>
      <c r="M277" s="64"/>
      <c r="N277" s="65" t="s">
        <v>346</v>
      </c>
    </row>
    <row r="278">
      <c r="A278" s="12" t="s">
        <v>87</v>
      </c>
      <c r="B278" s="73"/>
      <c r="C278" s="74" t="s">
        <v>137</v>
      </c>
      <c r="D278" s="75">
        <v>0.4583333333333333</v>
      </c>
      <c r="E278" s="156"/>
      <c r="F278" s="156"/>
      <c r="G278" s="181" t="s">
        <v>178</v>
      </c>
      <c r="H278" s="166"/>
      <c r="I278" s="41"/>
      <c r="J278" s="85"/>
      <c r="K278" s="50"/>
      <c r="L278" s="62"/>
      <c r="M278" s="61"/>
      <c r="N278" s="53"/>
    </row>
    <row r="279">
      <c r="A279" s="12" t="s">
        <v>90</v>
      </c>
      <c r="B279" s="73"/>
      <c r="C279" s="74" t="s">
        <v>137</v>
      </c>
      <c r="D279" s="75">
        <v>0.4722222222222222</v>
      </c>
      <c r="E279" s="74"/>
      <c r="F279" s="74"/>
      <c r="G279" s="181" t="s">
        <v>178</v>
      </c>
      <c r="H279" s="166"/>
      <c r="I279" s="41"/>
      <c r="J279" s="168"/>
      <c r="K279" s="63"/>
      <c r="L279" s="56"/>
      <c r="M279" s="64"/>
      <c r="N279" s="65"/>
    </row>
    <row r="280">
      <c r="A280" s="12" t="s">
        <v>93</v>
      </c>
      <c r="B280" s="73"/>
      <c r="C280" s="74" t="s">
        <v>137</v>
      </c>
      <c r="D280" s="75">
        <v>0.4861111111111111</v>
      </c>
      <c r="E280" s="169"/>
      <c r="F280" s="169"/>
      <c r="G280" s="181" t="s">
        <v>178</v>
      </c>
      <c r="H280" s="170"/>
      <c r="I280" s="41"/>
      <c r="J280" s="33"/>
      <c r="K280" s="50"/>
      <c r="L280" s="62"/>
      <c r="M280" s="61"/>
      <c r="N280" s="53"/>
    </row>
    <row r="281">
      <c r="B281" s="126"/>
      <c r="C281" s="126"/>
      <c r="D281" s="126"/>
      <c r="E281" s="127"/>
      <c r="F281" s="127"/>
      <c r="G281" s="128"/>
      <c r="H281" s="129"/>
    </row>
    <row r="282">
      <c r="B282" s="126"/>
      <c r="C282" s="126"/>
      <c r="D282" s="126"/>
      <c r="E282" s="127"/>
      <c r="F282" s="127"/>
      <c r="G282" s="128"/>
      <c r="H282" s="129"/>
    </row>
    <row r="283">
      <c r="B283" s="126"/>
      <c r="C283" s="126"/>
      <c r="D283" s="126"/>
      <c r="E283" s="127"/>
      <c r="F283" s="127"/>
      <c r="G283" s="128"/>
      <c r="H283" s="129"/>
    </row>
    <row r="284">
      <c r="B284" s="126"/>
      <c r="C284" s="126"/>
      <c r="D284" s="126"/>
      <c r="E284" s="127"/>
      <c r="F284" s="127"/>
      <c r="G284" s="128"/>
      <c r="H284" s="129"/>
    </row>
    <row r="285">
      <c r="G285" s="182"/>
    </row>
    <row r="286">
      <c r="B286" s="126"/>
      <c r="C286" s="126"/>
      <c r="D286" s="126"/>
      <c r="E286" s="127"/>
      <c r="F286" s="127"/>
      <c r="G286" s="128"/>
      <c r="H286" s="129"/>
    </row>
    <row r="287">
      <c r="B287" s="126"/>
      <c r="C287" s="126"/>
      <c r="D287" s="126"/>
      <c r="E287" s="127"/>
      <c r="F287" s="127"/>
      <c r="G287" s="128"/>
      <c r="H287" s="129"/>
    </row>
    <row r="288">
      <c r="B288" s="126"/>
      <c r="C288" s="126"/>
      <c r="D288" s="126"/>
      <c r="E288" s="127"/>
      <c r="F288" s="127"/>
      <c r="G288" s="128"/>
      <c r="H288" s="129"/>
    </row>
    <row r="289">
      <c r="B289" s="126"/>
      <c r="C289" s="126"/>
      <c r="D289" s="126"/>
      <c r="E289" s="127"/>
      <c r="F289" s="127"/>
      <c r="G289" s="128"/>
      <c r="H289" s="129"/>
    </row>
    <row r="290">
      <c r="B290" s="126"/>
      <c r="C290" s="126"/>
      <c r="D290" s="126"/>
      <c r="E290" s="127"/>
      <c r="F290" s="127"/>
      <c r="G290" s="128"/>
      <c r="H290" s="129"/>
    </row>
    <row r="291">
      <c r="B291" s="126"/>
      <c r="C291" s="126"/>
      <c r="D291" s="126"/>
      <c r="E291" s="127"/>
      <c r="F291" s="127"/>
      <c r="G291" s="128"/>
      <c r="H291" s="129"/>
    </row>
    <row r="292">
      <c r="B292" s="126"/>
      <c r="C292" s="126"/>
      <c r="D292" s="126"/>
      <c r="E292" s="127"/>
      <c r="F292" s="127"/>
      <c r="G292" s="128"/>
      <c r="H292" s="129"/>
    </row>
    <row r="293">
      <c r="B293" s="126"/>
      <c r="C293" s="126"/>
      <c r="D293" s="126"/>
      <c r="E293" s="127"/>
      <c r="F293" s="127"/>
      <c r="G293" s="128"/>
      <c r="H293" s="129"/>
    </row>
    <row r="294">
      <c r="B294" s="126"/>
      <c r="C294" s="126"/>
      <c r="D294" s="126"/>
      <c r="E294" s="127"/>
      <c r="F294" s="127"/>
      <c r="G294" s="128"/>
      <c r="H294" s="129"/>
    </row>
    <row r="295">
      <c r="B295" s="126"/>
      <c r="C295" s="126"/>
      <c r="D295" s="126"/>
      <c r="E295" s="127"/>
      <c r="F295" s="127"/>
      <c r="G295" s="128"/>
      <c r="H295" s="129"/>
    </row>
    <row r="296">
      <c r="B296" s="126"/>
      <c r="C296" s="126"/>
      <c r="D296" s="126"/>
      <c r="E296" s="127"/>
      <c r="F296" s="127"/>
      <c r="G296" s="128"/>
      <c r="H296" s="129"/>
    </row>
    <row r="297">
      <c r="B297" s="126"/>
      <c r="C297" s="126"/>
      <c r="D297" s="126"/>
      <c r="E297" s="127"/>
      <c r="F297" s="127"/>
      <c r="G297" s="128"/>
      <c r="H297" s="129"/>
    </row>
    <row r="298">
      <c r="B298" s="126"/>
      <c r="C298" s="126"/>
      <c r="D298" s="126"/>
      <c r="E298" s="127"/>
      <c r="F298" s="127"/>
      <c r="G298" s="128"/>
      <c r="H298" s="129"/>
    </row>
    <row r="299">
      <c r="B299" s="126"/>
      <c r="C299" s="126"/>
      <c r="D299" s="126"/>
      <c r="E299" s="127"/>
      <c r="F299" s="127"/>
      <c r="G299" s="128"/>
      <c r="H299" s="129"/>
    </row>
    <row r="300">
      <c r="B300" s="126"/>
      <c r="C300" s="126"/>
      <c r="D300" s="126"/>
      <c r="E300" s="127"/>
      <c r="F300" s="127"/>
      <c r="G300" s="128"/>
      <c r="H300" s="129"/>
    </row>
    <row r="301">
      <c r="B301" s="126"/>
      <c r="C301" s="126"/>
      <c r="D301" s="126"/>
      <c r="E301" s="127"/>
      <c r="F301" s="127"/>
      <c r="G301" s="128"/>
      <c r="H301" s="129"/>
    </row>
    <row r="302">
      <c r="B302" s="126"/>
      <c r="C302" s="126"/>
      <c r="D302" s="126"/>
      <c r="E302" s="127"/>
      <c r="F302" s="127"/>
      <c r="G302" s="128"/>
      <c r="H302" s="129"/>
    </row>
    <row r="303">
      <c r="B303" s="126"/>
      <c r="C303" s="126"/>
      <c r="D303" s="126"/>
      <c r="E303" s="127"/>
      <c r="F303" s="127"/>
      <c r="G303" s="128"/>
      <c r="H303" s="129"/>
    </row>
    <row r="304">
      <c r="B304" s="126"/>
      <c r="C304" s="126"/>
      <c r="D304" s="126"/>
      <c r="E304" s="127"/>
      <c r="F304" s="127"/>
      <c r="G304" s="128"/>
      <c r="H304" s="129"/>
    </row>
    <row r="305">
      <c r="B305" s="126"/>
      <c r="C305" s="126"/>
      <c r="D305" s="126"/>
      <c r="E305" s="127"/>
      <c r="F305" s="127"/>
      <c r="G305" s="128"/>
      <c r="H305" s="129"/>
    </row>
    <row r="306">
      <c r="B306" s="126"/>
      <c r="C306" s="126"/>
      <c r="D306" s="126"/>
      <c r="E306" s="127"/>
      <c r="F306" s="127"/>
      <c r="G306" s="128"/>
      <c r="H306" s="129"/>
    </row>
    <row r="307">
      <c r="B307" s="126"/>
      <c r="C307" s="126"/>
      <c r="D307" s="126"/>
      <c r="E307" s="127"/>
      <c r="F307" s="127"/>
      <c r="G307" s="128"/>
      <c r="H307" s="129"/>
    </row>
    <row r="308">
      <c r="B308" s="126"/>
      <c r="C308" s="126"/>
      <c r="D308" s="126"/>
      <c r="E308" s="127"/>
      <c r="F308" s="127"/>
      <c r="G308" s="128"/>
      <c r="H308" s="129"/>
    </row>
    <row r="309">
      <c r="B309" s="126"/>
      <c r="C309" s="126"/>
      <c r="D309" s="126"/>
      <c r="E309" s="127"/>
      <c r="F309" s="127"/>
      <c r="G309" s="128"/>
      <c r="H309" s="129"/>
    </row>
    <row r="310">
      <c r="B310" s="126"/>
      <c r="C310" s="126"/>
      <c r="D310" s="126"/>
      <c r="E310" s="127"/>
      <c r="F310" s="127"/>
      <c r="G310" s="128"/>
      <c r="H310" s="129"/>
    </row>
    <row r="311">
      <c r="B311" s="126"/>
      <c r="C311" s="126"/>
      <c r="D311" s="126"/>
      <c r="E311" s="127"/>
      <c r="F311" s="127"/>
      <c r="G311" s="128"/>
      <c r="H311" s="129"/>
    </row>
    <row r="312">
      <c r="B312" s="126"/>
      <c r="C312" s="126"/>
      <c r="D312" s="126"/>
      <c r="E312" s="127"/>
      <c r="F312" s="127"/>
      <c r="G312" s="128"/>
      <c r="H312" s="129"/>
    </row>
    <row r="313">
      <c r="B313" s="126"/>
      <c r="C313" s="126"/>
      <c r="D313" s="126"/>
      <c r="E313" s="127"/>
      <c r="F313" s="127"/>
      <c r="G313" s="128"/>
      <c r="H313" s="129"/>
    </row>
    <row r="314">
      <c r="B314" s="126"/>
      <c r="C314" s="126"/>
      <c r="D314" s="126"/>
      <c r="E314" s="127"/>
      <c r="F314" s="127"/>
      <c r="G314" s="128"/>
      <c r="H314" s="129"/>
    </row>
    <row r="315">
      <c r="B315" s="126"/>
      <c r="C315" s="126"/>
      <c r="D315" s="126"/>
      <c r="E315" s="127"/>
      <c r="F315" s="127"/>
      <c r="G315" s="128"/>
      <c r="H315" s="129"/>
    </row>
    <row r="316">
      <c r="B316" s="126"/>
      <c r="C316" s="126"/>
      <c r="D316" s="126"/>
      <c r="E316" s="127"/>
      <c r="F316" s="127"/>
      <c r="G316" s="128"/>
      <c r="H316" s="129"/>
    </row>
    <row r="317">
      <c r="B317" s="126"/>
      <c r="C317" s="126"/>
      <c r="D317" s="126"/>
      <c r="E317" s="127"/>
      <c r="F317" s="127"/>
      <c r="G317" s="128"/>
      <c r="H317" s="129"/>
    </row>
    <row r="318">
      <c r="B318" s="126"/>
      <c r="C318" s="126"/>
      <c r="D318" s="126"/>
      <c r="E318" s="127"/>
      <c r="F318" s="127"/>
      <c r="G318" s="128"/>
      <c r="H318" s="129"/>
    </row>
    <row r="319">
      <c r="B319" s="126"/>
      <c r="C319" s="126"/>
      <c r="D319" s="126"/>
      <c r="E319" s="127"/>
      <c r="F319" s="127"/>
      <c r="G319" s="128"/>
      <c r="H319" s="129"/>
    </row>
    <row r="320">
      <c r="B320" s="126"/>
      <c r="C320" s="126"/>
      <c r="D320" s="126"/>
      <c r="E320" s="127"/>
      <c r="F320" s="127"/>
      <c r="G320" s="128"/>
      <c r="H320" s="129"/>
    </row>
    <row r="321">
      <c r="B321" s="126"/>
      <c r="C321" s="126"/>
      <c r="D321" s="126"/>
      <c r="E321" s="127"/>
      <c r="F321" s="127"/>
      <c r="G321" s="128"/>
      <c r="H321" s="129"/>
    </row>
    <row r="322">
      <c r="B322" s="126"/>
      <c r="C322" s="126"/>
      <c r="D322" s="126"/>
      <c r="E322" s="127"/>
      <c r="F322" s="127"/>
      <c r="G322" s="128"/>
      <c r="H322" s="129"/>
    </row>
    <row r="323">
      <c r="B323" s="126"/>
      <c r="C323" s="126"/>
      <c r="D323" s="126"/>
      <c r="E323" s="127"/>
      <c r="F323" s="127"/>
      <c r="G323" s="128"/>
      <c r="H323" s="129"/>
    </row>
    <row r="324">
      <c r="B324" s="126"/>
      <c r="C324" s="126"/>
      <c r="D324" s="126"/>
      <c r="E324" s="127"/>
      <c r="F324" s="127"/>
      <c r="G324" s="128"/>
      <c r="H324" s="129"/>
    </row>
    <row r="325">
      <c r="B325" s="126"/>
      <c r="C325" s="126"/>
      <c r="D325" s="126"/>
      <c r="E325" s="127"/>
      <c r="F325" s="127"/>
      <c r="G325" s="128"/>
      <c r="H325" s="129"/>
    </row>
    <row r="326">
      <c r="B326" s="126"/>
      <c r="C326" s="126"/>
      <c r="D326" s="126"/>
      <c r="E326" s="127"/>
      <c r="F326" s="127"/>
      <c r="G326" s="128"/>
      <c r="H326" s="129"/>
    </row>
    <row r="327">
      <c r="B327" s="126"/>
      <c r="C327" s="126"/>
      <c r="D327" s="126"/>
      <c r="E327" s="127"/>
      <c r="F327" s="127"/>
      <c r="G327" s="128"/>
      <c r="H327" s="129"/>
    </row>
    <row r="328">
      <c r="B328" s="126"/>
      <c r="C328" s="126"/>
      <c r="D328" s="126"/>
      <c r="E328" s="127"/>
      <c r="F328" s="127"/>
      <c r="G328" s="128"/>
      <c r="H328" s="129"/>
    </row>
    <row r="329">
      <c r="B329" s="126"/>
      <c r="C329" s="126"/>
      <c r="D329" s="126"/>
      <c r="E329" s="127"/>
      <c r="F329" s="127"/>
      <c r="G329" s="128"/>
      <c r="H329" s="129"/>
    </row>
    <row r="330">
      <c r="B330" s="126"/>
      <c r="C330" s="126"/>
      <c r="D330" s="126"/>
      <c r="E330" s="127"/>
      <c r="F330" s="127"/>
      <c r="G330" s="128"/>
      <c r="H330" s="129"/>
    </row>
    <row r="331">
      <c r="B331" s="126"/>
      <c r="C331" s="126"/>
      <c r="D331" s="126"/>
      <c r="E331" s="127"/>
      <c r="F331" s="127"/>
      <c r="G331" s="128"/>
      <c r="H331" s="129"/>
    </row>
    <row r="332">
      <c r="B332" s="126"/>
      <c r="C332" s="126"/>
      <c r="D332" s="126"/>
      <c r="E332" s="127"/>
      <c r="F332" s="127"/>
      <c r="G332" s="128"/>
      <c r="H332" s="129"/>
    </row>
    <row r="333">
      <c r="B333" s="126"/>
      <c r="C333" s="126"/>
      <c r="D333" s="126"/>
      <c r="E333" s="127"/>
      <c r="F333" s="127"/>
      <c r="G333" s="128"/>
      <c r="H333" s="129"/>
    </row>
    <row r="334">
      <c r="B334" s="126"/>
      <c r="C334" s="126"/>
      <c r="D334" s="126"/>
      <c r="E334" s="127"/>
      <c r="F334" s="127"/>
      <c r="G334" s="128"/>
      <c r="H334" s="129"/>
    </row>
    <row r="335">
      <c r="B335" s="126"/>
      <c r="C335" s="126"/>
      <c r="D335" s="126"/>
      <c r="E335" s="127"/>
      <c r="F335" s="127"/>
      <c r="G335" s="128"/>
      <c r="H335" s="129"/>
    </row>
    <row r="336">
      <c r="B336" s="126"/>
      <c r="C336" s="126"/>
      <c r="D336" s="126"/>
      <c r="E336" s="127"/>
      <c r="F336" s="127"/>
      <c r="G336" s="128"/>
      <c r="H336" s="129"/>
    </row>
    <row r="337">
      <c r="B337" s="126"/>
      <c r="C337" s="126"/>
      <c r="D337" s="126"/>
      <c r="E337" s="127"/>
      <c r="F337" s="127"/>
      <c r="G337" s="128"/>
      <c r="H337" s="129"/>
    </row>
    <row r="338">
      <c r="B338" s="126"/>
      <c r="C338" s="126"/>
      <c r="D338" s="126"/>
      <c r="E338" s="127"/>
      <c r="F338" s="127"/>
      <c r="G338" s="128"/>
      <c r="H338" s="129"/>
    </row>
    <row r="339">
      <c r="B339" s="126"/>
      <c r="C339" s="126"/>
      <c r="D339" s="126"/>
      <c r="E339" s="127"/>
      <c r="F339" s="127"/>
      <c r="G339" s="128"/>
      <c r="H339" s="129"/>
    </row>
    <row r="340">
      <c r="B340" s="126"/>
      <c r="C340" s="126"/>
      <c r="D340" s="126"/>
      <c r="E340" s="127"/>
      <c r="F340" s="127"/>
      <c r="G340" s="128"/>
      <c r="H340" s="129"/>
    </row>
    <row r="341">
      <c r="B341" s="126"/>
      <c r="C341" s="126"/>
      <c r="D341" s="126"/>
      <c r="E341" s="127"/>
      <c r="F341" s="127"/>
      <c r="G341" s="128"/>
      <c r="H341" s="129"/>
    </row>
    <row r="342">
      <c r="B342" s="126"/>
      <c r="C342" s="126"/>
      <c r="D342" s="126"/>
      <c r="E342" s="127"/>
      <c r="F342" s="127"/>
      <c r="G342" s="128"/>
      <c r="H342" s="129"/>
    </row>
    <row r="343">
      <c r="B343" s="126"/>
      <c r="C343" s="126"/>
      <c r="D343" s="126"/>
      <c r="E343" s="127"/>
      <c r="F343" s="127"/>
      <c r="G343" s="128"/>
      <c r="H343" s="129"/>
    </row>
    <row r="344">
      <c r="B344" s="126"/>
      <c r="C344" s="126"/>
      <c r="D344" s="126"/>
      <c r="E344" s="127"/>
      <c r="F344" s="127"/>
      <c r="G344" s="128"/>
      <c r="H344" s="129"/>
    </row>
    <row r="345">
      <c r="B345" s="126"/>
      <c r="C345" s="126"/>
      <c r="D345" s="126"/>
      <c r="E345" s="127"/>
      <c r="F345" s="127"/>
      <c r="G345" s="128"/>
      <c r="H345" s="129"/>
    </row>
    <row r="346">
      <c r="B346" s="126"/>
      <c r="C346" s="126"/>
      <c r="D346" s="126"/>
      <c r="E346" s="127"/>
      <c r="F346" s="127"/>
      <c r="G346" s="128"/>
      <c r="H346" s="129"/>
    </row>
    <row r="347">
      <c r="B347" s="126"/>
      <c r="C347" s="126"/>
      <c r="D347" s="126"/>
      <c r="E347" s="127"/>
      <c r="F347" s="127"/>
      <c r="G347" s="128"/>
      <c r="H347" s="129"/>
    </row>
    <row r="348">
      <c r="B348" s="126"/>
      <c r="C348" s="126"/>
      <c r="D348" s="126"/>
      <c r="E348" s="127"/>
      <c r="F348" s="127"/>
      <c r="G348" s="128"/>
      <c r="H348" s="129"/>
    </row>
    <row r="349">
      <c r="B349" s="126"/>
      <c r="C349" s="126"/>
      <c r="D349" s="126"/>
      <c r="E349" s="127"/>
      <c r="F349" s="127"/>
      <c r="G349" s="128"/>
      <c r="H349" s="129"/>
    </row>
    <row r="350">
      <c r="B350" s="126"/>
      <c r="C350" s="126"/>
      <c r="D350" s="126"/>
      <c r="E350" s="127"/>
      <c r="F350" s="127"/>
      <c r="G350" s="128"/>
      <c r="H350" s="129"/>
    </row>
    <row r="351">
      <c r="B351" s="126"/>
      <c r="C351" s="126"/>
      <c r="D351" s="126"/>
      <c r="E351" s="127"/>
      <c r="F351" s="127"/>
      <c r="G351" s="128"/>
      <c r="H351" s="129"/>
    </row>
    <row r="352">
      <c r="B352" s="126"/>
      <c r="C352" s="126"/>
      <c r="D352" s="126"/>
      <c r="E352" s="127"/>
      <c r="F352" s="127"/>
      <c r="G352" s="128"/>
      <c r="H352" s="129"/>
    </row>
    <row r="353">
      <c r="B353" s="126"/>
      <c r="C353" s="126"/>
      <c r="D353" s="126"/>
      <c r="E353" s="127"/>
      <c r="F353" s="127"/>
      <c r="G353" s="128"/>
      <c r="H353" s="129"/>
    </row>
    <row r="354">
      <c r="B354" s="126"/>
      <c r="C354" s="126"/>
      <c r="D354" s="126"/>
      <c r="E354" s="127"/>
      <c r="F354" s="127"/>
      <c r="G354" s="128"/>
      <c r="H354" s="129"/>
    </row>
    <row r="355">
      <c r="B355" s="126"/>
      <c r="C355" s="126"/>
      <c r="D355" s="126"/>
      <c r="E355" s="127"/>
      <c r="F355" s="127"/>
      <c r="G355" s="128"/>
      <c r="H355" s="129"/>
    </row>
    <row r="356">
      <c r="B356" s="126"/>
      <c r="C356" s="126"/>
      <c r="D356" s="126"/>
      <c r="E356" s="127"/>
      <c r="F356" s="127"/>
      <c r="G356" s="128"/>
      <c r="H356" s="129"/>
    </row>
    <row r="357">
      <c r="B357" s="126"/>
      <c r="C357" s="126"/>
      <c r="D357" s="126"/>
      <c r="E357" s="127"/>
      <c r="F357" s="127"/>
      <c r="G357" s="128"/>
      <c r="H357" s="129"/>
    </row>
    <row r="358">
      <c r="B358" s="126"/>
      <c r="C358" s="126"/>
      <c r="D358" s="126"/>
      <c r="E358" s="127"/>
      <c r="F358" s="127"/>
      <c r="G358" s="128"/>
      <c r="H358" s="129"/>
    </row>
    <row r="359">
      <c r="B359" s="126"/>
      <c r="C359" s="126"/>
      <c r="D359" s="126"/>
      <c r="E359" s="127"/>
      <c r="F359" s="127"/>
      <c r="G359" s="128"/>
      <c r="H359" s="129"/>
    </row>
    <row r="360">
      <c r="B360" s="126"/>
      <c r="C360" s="126"/>
      <c r="D360" s="126"/>
      <c r="E360" s="127"/>
      <c r="F360" s="127"/>
      <c r="G360" s="128"/>
      <c r="H360" s="129"/>
    </row>
    <row r="361">
      <c r="B361" s="126"/>
      <c r="C361" s="126"/>
      <c r="D361" s="126"/>
      <c r="E361" s="127"/>
      <c r="F361" s="127"/>
      <c r="G361" s="128"/>
      <c r="H361" s="129"/>
    </row>
    <row r="362">
      <c r="B362" s="126"/>
      <c r="C362" s="126"/>
      <c r="D362" s="126"/>
      <c r="E362" s="127"/>
      <c r="F362" s="127"/>
      <c r="G362" s="128"/>
      <c r="H362" s="129"/>
    </row>
    <row r="363">
      <c r="B363" s="126"/>
      <c r="C363" s="126"/>
      <c r="D363" s="126"/>
      <c r="E363" s="127"/>
      <c r="F363" s="127"/>
      <c r="G363" s="128"/>
      <c r="H363" s="129"/>
    </row>
    <row r="364">
      <c r="B364" s="126"/>
      <c r="C364" s="126"/>
      <c r="D364" s="126"/>
      <c r="E364" s="127"/>
      <c r="F364" s="127"/>
      <c r="G364" s="128"/>
      <c r="H364" s="129"/>
    </row>
    <row r="365">
      <c r="B365" s="126"/>
      <c r="C365" s="126"/>
      <c r="D365" s="126"/>
      <c r="E365" s="127"/>
      <c r="F365" s="127"/>
      <c r="G365" s="128"/>
      <c r="H365" s="129"/>
    </row>
    <row r="366">
      <c r="B366" s="126"/>
      <c r="C366" s="126"/>
      <c r="D366" s="126"/>
      <c r="E366" s="127"/>
      <c r="F366" s="127"/>
      <c r="G366" s="128"/>
      <c r="H366" s="129"/>
    </row>
    <row r="367">
      <c r="B367" s="126"/>
      <c r="C367" s="126"/>
      <c r="D367" s="126"/>
      <c r="E367" s="127"/>
      <c r="F367" s="127"/>
      <c r="G367" s="128"/>
      <c r="H367" s="129"/>
    </row>
    <row r="368">
      <c r="B368" s="126"/>
      <c r="C368" s="126"/>
      <c r="D368" s="126"/>
      <c r="E368" s="127"/>
      <c r="F368" s="127"/>
      <c r="G368" s="128"/>
      <c r="H368" s="129"/>
    </row>
    <row r="369">
      <c r="B369" s="126"/>
      <c r="C369" s="126"/>
      <c r="D369" s="126"/>
      <c r="E369" s="127"/>
      <c r="F369" s="127"/>
      <c r="G369" s="128"/>
      <c r="H369" s="129"/>
    </row>
    <row r="370">
      <c r="B370" s="126"/>
      <c r="C370" s="126"/>
      <c r="D370" s="126"/>
      <c r="E370" s="127"/>
      <c r="F370" s="127"/>
      <c r="G370" s="128"/>
      <c r="H370" s="129"/>
    </row>
    <row r="371">
      <c r="B371" s="126"/>
      <c r="C371" s="126"/>
      <c r="D371" s="126"/>
      <c r="E371" s="127"/>
      <c r="F371" s="127"/>
      <c r="G371" s="128"/>
      <c r="H371" s="129"/>
    </row>
    <row r="372">
      <c r="B372" s="126"/>
      <c r="C372" s="126"/>
      <c r="D372" s="126"/>
      <c r="E372" s="127"/>
      <c r="F372" s="127"/>
      <c r="G372" s="128"/>
      <c r="H372" s="129"/>
    </row>
    <row r="373">
      <c r="B373" s="126"/>
      <c r="C373" s="126"/>
      <c r="D373" s="126"/>
      <c r="E373" s="127"/>
      <c r="F373" s="127"/>
      <c r="G373" s="128"/>
      <c r="H373" s="129"/>
    </row>
    <row r="374">
      <c r="B374" s="126"/>
      <c r="C374" s="126"/>
      <c r="D374" s="126"/>
      <c r="E374" s="127"/>
      <c r="F374" s="127"/>
      <c r="G374" s="128"/>
      <c r="H374" s="129"/>
    </row>
    <row r="375">
      <c r="B375" s="126"/>
      <c r="C375" s="126"/>
      <c r="D375" s="126"/>
      <c r="E375" s="127"/>
      <c r="F375" s="127"/>
      <c r="G375" s="128"/>
      <c r="H375" s="129"/>
    </row>
    <row r="376">
      <c r="B376" s="126"/>
      <c r="C376" s="126"/>
      <c r="D376" s="126"/>
      <c r="E376" s="127"/>
      <c r="F376" s="127"/>
      <c r="G376" s="128"/>
      <c r="H376" s="129"/>
    </row>
    <row r="377">
      <c r="B377" s="126"/>
      <c r="C377" s="126"/>
      <c r="D377" s="126"/>
      <c r="E377" s="127"/>
      <c r="F377" s="127"/>
      <c r="G377" s="128"/>
      <c r="H377" s="129"/>
    </row>
    <row r="378">
      <c r="B378" s="126"/>
      <c r="C378" s="126"/>
      <c r="D378" s="126"/>
      <c r="E378" s="127"/>
      <c r="F378" s="127"/>
      <c r="G378" s="128"/>
      <c r="H378" s="129"/>
    </row>
    <row r="379">
      <c r="B379" s="126"/>
      <c r="C379" s="126"/>
      <c r="D379" s="126"/>
      <c r="E379" s="127"/>
      <c r="F379" s="127"/>
      <c r="G379" s="128"/>
      <c r="H379" s="129"/>
    </row>
    <row r="380">
      <c r="B380" s="126"/>
      <c r="C380" s="126"/>
      <c r="D380" s="126"/>
      <c r="E380" s="127"/>
      <c r="F380" s="127"/>
      <c r="G380" s="128"/>
      <c r="H380" s="129"/>
    </row>
    <row r="381">
      <c r="B381" s="126"/>
      <c r="C381" s="126"/>
      <c r="D381" s="126"/>
      <c r="E381" s="127"/>
      <c r="F381" s="127"/>
      <c r="G381" s="128"/>
      <c r="H381" s="129"/>
    </row>
    <row r="382">
      <c r="B382" s="126"/>
      <c r="C382" s="126"/>
      <c r="D382" s="126"/>
      <c r="E382" s="127"/>
      <c r="F382" s="127"/>
      <c r="G382" s="128"/>
      <c r="H382" s="129"/>
    </row>
    <row r="383">
      <c r="B383" s="126"/>
      <c r="C383" s="126"/>
      <c r="D383" s="126"/>
      <c r="E383" s="127"/>
      <c r="F383" s="127"/>
      <c r="G383" s="128"/>
      <c r="H383" s="129"/>
    </row>
    <row r="384">
      <c r="B384" s="126"/>
      <c r="C384" s="126"/>
      <c r="D384" s="126"/>
      <c r="E384" s="127"/>
      <c r="F384" s="127"/>
      <c r="G384" s="128"/>
      <c r="H384" s="129"/>
    </row>
    <row r="385">
      <c r="B385" s="126"/>
      <c r="C385" s="126"/>
      <c r="D385" s="126"/>
      <c r="E385" s="127"/>
      <c r="F385" s="127"/>
      <c r="G385" s="128"/>
      <c r="H385" s="129"/>
    </row>
    <row r="386">
      <c r="B386" s="126"/>
      <c r="C386" s="126"/>
      <c r="D386" s="126"/>
      <c r="E386" s="127"/>
      <c r="F386" s="127"/>
      <c r="G386" s="128"/>
      <c r="H386" s="129"/>
    </row>
    <row r="387">
      <c r="B387" s="126"/>
      <c r="C387" s="126"/>
      <c r="D387" s="126"/>
      <c r="E387" s="127"/>
      <c r="F387" s="127"/>
      <c r="G387" s="128"/>
      <c r="H387" s="129"/>
    </row>
    <row r="388">
      <c r="B388" s="126"/>
      <c r="C388" s="126"/>
      <c r="D388" s="126"/>
      <c r="E388" s="127"/>
      <c r="F388" s="127"/>
      <c r="G388" s="128"/>
      <c r="H388" s="129"/>
    </row>
    <row r="389">
      <c r="B389" s="126"/>
      <c r="C389" s="126"/>
      <c r="D389" s="126"/>
      <c r="E389" s="127"/>
      <c r="F389" s="127"/>
      <c r="G389" s="128"/>
      <c r="H389" s="129"/>
    </row>
    <row r="390">
      <c r="B390" s="126"/>
      <c r="C390" s="126"/>
      <c r="D390" s="126"/>
      <c r="E390" s="127"/>
      <c r="F390" s="127"/>
      <c r="G390" s="128"/>
      <c r="H390" s="129"/>
    </row>
    <row r="391">
      <c r="B391" s="126"/>
      <c r="C391" s="126"/>
      <c r="D391" s="126"/>
      <c r="E391" s="127"/>
      <c r="F391" s="127"/>
      <c r="G391" s="128"/>
      <c r="H391" s="129"/>
    </row>
    <row r="392">
      <c r="B392" s="126"/>
      <c r="C392" s="126"/>
      <c r="D392" s="126"/>
      <c r="E392" s="127"/>
      <c r="F392" s="127"/>
      <c r="G392" s="128"/>
      <c r="H392" s="129"/>
    </row>
    <row r="393">
      <c r="B393" s="126"/>
      <c r="C393" s="126"/>
      <c r="D393" s="126"/>
      <c r="E393" s="127"/>
      <c r="F393" s="127"/>
      <c r="G393" s="128"/>
      <c r="H393" s="129"/>
    </row>
    <row r="394">
      <c r="B394" s="126"/>
      <c r="C394" s="126"/>
      <c r="D394" s="126"/>
      <c r="E394" s="127"/>
      <c r="F394" s="127"/>
      <c r="G394" s="128"/>
      <c r="H394" s="129"/>
    </row>
    <row r="395">
      <c r="B395" s="126"/>
      <c r="C395" s="126"/>
      <c r="D395" s="126"/>
      <c r="E395" s="127"/>
      <c r="F395" s="127"/>
      <c r="G395" s="128"/>
      <c r="H395" s="129"/>
    </row>
    <row r="396">
      <c r="B396" s="126"/>
      <c r="C396" s="126"/>
      <c r="D396" s="126"/>
      <c r="E396" s="127"/>
      <c r="F396" s="127"/>
      <c r="G396" s="128"/>
      <c r="H396" s="129"/>
    </row>
    <row r="397">
      <c r="B397" s="126"/>
      <c r="C397" s="126"/>
      <c r="D397" s="126"/>
      <c r="E397" s="127"/>
      <c r="F397" s="127"/>
      <c r="G397" s="128"/>
      <c r="H397" s="129"/>
    </row>
    <row r="398">
      <c r="B398" s="126"/>
      <c r="C398" s="126"/>
      <c r="D398" s="126"/>
      <c r="E398" s="127"/>
      <c r="F398" s="127"/>
      <c r="G398" s="128"/>
      <c r="H398" s="129"/>
    </row>
    <row r="399">
      <c r="B399" s="126"/>
      <c r="C399" s="126"/>
      <c r="D399" s="126"/>
      <c r="E399" s="127"/>
      <c r="F399" s="127"/>
      <c r="G399" s="128"/>
      <c r="H399" s="129"/>
    </row>
    <row r="400">
      <c r="B400" s="126"/>
      <c r="C400" s="126"/>
      <c r="D400" s="126"/>
      <c r="E400" s="127"/>
      <c r="F400" s="127"/>
      <c r="G400" s="128"/>
      <c r="H400" s="129"/>
    </row>
    <row r="401">
      <c r="B401" s="126"/>
      <c r="C401" s="126"/>
      <c r="D401" s="126"/>
      <c r="E401" s="127"/>
      <c r="F401" s="127"/>
      <c r="G401" s="128"/>
      <c r="H401" s="129"/>
    </row>
    <row r="402">
      <c r="B402" s="126"/>
      <c r="C402" s="126"/>
      <c r="D402" s="126"/>
      <c r="E402" s="127"/>
      <c r="F402" s="127"/>
      <c r="G402" s="128"/>
      <c r="H402" s="129"/>
    </row>
    <row r="403">
      <c r="B403" s="126"/>
      <c r="C403" s="126"/>
      <c r="D403" s="126"/>
      <c r="E403" s="127"/>
      <c r="F403" s="127"/>
      <c r="G403" s="128"/>
      <c r="H403" s="129"/>
    </row>
    <row r="404">
      <c r="B404" s="126"/>
      <c r="C404" s="126"/>
      <c r="D404" s="126"/>
      <c r="E404" s="127"/>
      <c r="F404" s="127"/>
      <c r="G404" s="128"/>
      <c r="H404" s="129"/>
    </row>
    <row r="405">
      <c r="B405" s="126"/>
      <c r="C405" s="126"/>
      <c r="D405" s="126"/>
      <c r="E405" s="127"/>
      <c r="F405" s="127"/>
      <c r="G405" s="128"/>
      <c r="H405" s="129"/>
    </row>
    <row r="406">
      <c r="B406" s="126"/>
      <c r="C406" s="126"/>
      <c r="D406" s="126"/>
      <c r="E406" s="127"/>
      <c r="F406" s="127"/>
      <c r="G406" s="128"/>
      <c r="H406" s="129"/>
    </row>
    <row r="407">
      <c r="B407" s="126"/>
      <c r="C407" s="126"/>
      <c r="D407" s="126"/>
      <c r="E407" s="127"/>
      <c r="F407" s="127"/>
      <c r="G407" s="128"/>
      <c r="H407" s="129"/>
    </row>
    <row r="408">
      <c r="B408" s="126"/>
      <c r="C408" s="126"/>
      <c r="D408" s="126"/>
      <c r="E408" s="127"/>
      <c r="F408" s="127"/>
      <c r="G408" s="128"/>
      <c r="H408" s="129"/>
    </row>
    <row r="409">
      <c r="B409" s="126"/>
      <c r="C409" s="126"/>
      <c r="D409" s="126"/>
      <c r="E409" s="127"/>
      <c r="F409" s="127"/>
      <c r="G409" s="128"/>
      <c r="H409" s="129"/>
    </row>
    <row r="410">
      <c r="B410" s="126"/>
      <c r="C410" s="126"/>
      <c r="D410" s="126"/>
      <c r="E410" s="127"/>
      <c r="F410" s="127"/>
      <c r="G410" s="128"/>
      <c r="H410" s="129"/>
    </row>
    <row r="411">
      <c r="B411" s="126"/>
      <c r="C411" s="126"/>
      <c r="D411" s="126"/>
      <c r="E411" s="127"/>
      <c r="F411" s="127"/>
      <c r="G411" s="128"/>
      <c r="H411" s="129"/>
    </row>
    <row r="412">
      <c r="B412" s="126"/>
      <c r="C412" s="126"/>
      <c r="D412" s="126"/>
      <c r="E412" s="127"/>
      <c r="F412" s="127"/>
      <c r="G412" s="128"/>
      <c r="H412" s="129"/>
    </row>
    <row r="413">
      <c r="B413" s="126"/>
      <c r="C413" s="126"/>
      <c r="D413" s="126"/>
      <c r="E413" s="127"/>
      <c r="F413" s="127"/>
      <c r="G413" s="128"/>
      <c r="H413" s="129"/>
    </row>
    <row r="414">
      <c r="B414" s="126"/>
      <c r="C414" s="126"/>
      <c r="D414" s="126"/>
      <c r="E414" s="127"/>
      <c r="F414" s="127"/>
      <c r="G414" s="128"/>
      <c r="H414" s="129"/>
    </row>
    <row r="415">
      <c r="B415" s="126"/>
      <c r="C415" s="126"/>
      <c r="D415" s="126"/>
      <c r="E415" s="127"/>
      <c r="F415" s="127"/>
      <c r="G415" s="128"/>
      <c r="H415" s="129"/>
    </row>
    <row r="416">
      <c r="B416" s="126"/>
      <c r="C416" s="126"/>
      <c r="D416" s="126"/>
      <c r="E416" s="127"/>
      <c r="F416" s="127"/>
      <c r="G416" s="128"/>
      <c r="H416" s="129"/>
    </row>
    <row r="417">
      <c r="B417" s="126"/>
      <c r="C417" s="126"/>
      <c r="D417" s="126"/>
      <c r="E417" s="127"/>
      <c r="F417" s="127"/>
      <c r="G417" s="128"/>
      <c r="H417" s="129"/>
    </row>
    <row r="418">
      <c r="B418" s="126"/>
      <c r="C418" s="126"/>
      <c r="D418" s="126"/>
      <c r="E418" s="127"/>
      <c r="F418" s="127"/>
      <c r="G418" s="128"/>
      <c r="H418" s="129"/>
    </row>
    <row r="419">
      <c r="B419" s="126"/>
      <c r="C419" s="126"/>
      <c r="D419" s="126"/>
      <c r="E419" s="127"/>
      <c r="F419" s="127"/>
      <c r="G419" s="128"/>
      <c r="H419" s="129"/>
    </row>
    <row r="420">
      <c r="B420" s="126"/>
      <c r="C420" s="126"/>
      <c r="D420" s="126"/>
      <c r="E420" s="127"/>
      <c r="F420" s="127"/>
      <c r="G420" s="128"/>
      <c r="H420" s="129"/>
    </row>
    <row r="421">
      <c r="B421" s="126"/>
      <c r="C421" s="126"/>
      <c r="D421" s="126"/>
      <c r="E421" s="127"/>
      <c r="F421" s="127"/>
      <c r="G421" s="128"/>
      <c r="H421" s="129"/>
    </row>
    <row r="422">
      <c r="B422" s="126"/>
      <c r="C422" s="126"/>
      <c r="D422" s="126"/>
      <c r="E422" s="127"/>
      <c r="F422" s="127"/>
      <c r="G422" s="128"/>
      <c r="H422" s="129"/>
    </row>
    <row r="423">
      <c r="B423" s="126"/>
      <c r="C423" s="126"/>
      <c r="D423" s="126"/>
      <c r="E423" s="127"/>
      <c r="F423" s="127"/>
      <c r="G423" s="128"/>
      <c r="H423" s="129"/>
    </row>
    <row r="424">
      <c r="B424" s="126"/>
      <c r="C424" s="126"/>
      <c r="D424" s="126"/>
      <c r="E424" s="127"/>
      <c r="F424" s="127"/>
      <c r="G424" s="128"/>
      <c r="H424" s="129"/>
    </row>
    <row r="425">
      <c r="B425" s="126"/>
      <c r="C425" s="126"/>
      <c r="D425" s="126"/>
      <c r="E425" s="127"/>
      <c r="F425" s="127"/>
      <c r="G425" s="128"/>
      <c r="H425" s="129"/>
    </row>
    <row r="426">
      <c r="B426" s="126"/>
      <c r="C426" s="126"/>
      <c r="D426" s="126"/>
      <c r="E426" s="127"/>
      <c r="F426" s="127"/>
      <c r="G426" s="128"/>
      <c r="H426" s="129"/>
    </row>
    <row r="427">
      <c r="B427" s="126"/>
      <c r="C427" s="126"/>
      <c r="D427" s="126"/>
      <c r="E427" s="127"/>
      <c r="F427" s="127"/>
      <c r="G427" s="128"/>
      <c r="H427" s="129"/>
    </row>
    <row r="428">
      <c r="B428" s="126"/>
      <c r="C428" s="126"/>
      <c r="D428" s="126"/>
      <c r="E428" s="127"/>
      <c r="F428" s="127"/>
      <c r="G428" s="128"/>
      <c r="H428" s="129"/>
    </row>
    <row r="429">
      <c r="B429" s="126"/>
      <c r="C429" s="126"/>
      <c r="D429" s="126"/>
      <c r="E429" s="127"/>
      <c r="F429" s="127"/>
      <c r="G429" s="128"/>
      <c r="H429" s="129"/>
    </row>
    <row r="430">
      <c r="B430" s="126"/>
      <c r="C430" s="126"/>
      <c r="D430" s="126"/>
      <c r="E430" s="127"/>
      <c r="F430" s="127"/>
      <c r="G430" s="128"/>
      <c r="H430" s="129"/>
    </row>
    <row r="431">
      <c r="B431" s="126"/>
      <c r="C431" s="126"/>
      <c r="D431" s="126"/>
      <c r="E431" s="127"/>
      <c r="F431" s="127"/>
      <c r="G431" s="128"/>
      <c r="H431" s="129"/>
    </row>
    <row r="432">
      <c r="B432" s="126"/>
      <c r="C432" s="126"/>
      <c r="D432" s="126"/>
      <c r="E432" s="127"/>
      <c r="F432" s="127"/>
      <c r="G432" s="128"/>
      <c r="H432" s="129"/>
    </row>
    <row r="433">
      <c r="B433" s="126"/>
      <c r="C433" s="126"/>
      <c r="D433" s="126"/>
      <c r="E433" s="127"/>
      <c r="F433" s="127"/>
      <c r="G433" s="128"/>
      <c r="H433" s="129"/>
    </row>
    <row r="434">
      <c r="B434" s="126"/>
      <c r="C434" s="126"/>
      <c r="D434" s="126"/>
      <c r="E434" s="127"/>
      <c r="F434" s="127"/>
      <c r="G434" s="128"/>
      <c r="H434" s="129"/>
    </row>
    <row r="435">
      <c r="B435" s="126"/>
      <c r="C435" s="126"/>
      <c r="D435" s="126"/>
      <c r="E435" s="127"/>
      <c r="F435" s="127"/>
      <c r="G435" s="128"/>
      <c r="H435" s="129"/>
    </row>
    <row r="436">
      <c r="B436" s="126"/>
      <c r="C436" s="126"/>
      <c r="D436" s="126"/>
      <c r="E436" s="127"/>
      <c r="F436" s="127"/>
      <c r="G436" s="128"/>
      <c r="H436" s="129"/>
    </row>
    <row r="437">
      <c r="B437" s="126"/>
      <c r="C437" s="126"/>
      <c r="D437" s="126"/>
      <c r="E437" s="127"/>
      <c r="F437" s="127"/>
      <c r="G437" s="128"/>
      <c r="H437" s="129"/>
    </row>
    <row r="438">
      <c r="B438" s="126"/>
      <c r="C438" s="126"/>
      <c r="D438" s="126"/>
      <c r="E438" s="127"/>
      <c r="F438" s="127"/>
      <c r="G438" s="128"/>
      <c r="H438" s="129"/>
    </row>
    <row r="439">
      <c r="B439" s="126"/>
      <c r="C439" s="126"/>
      <c r="D439" s="126"/>
      <c r="E439" s="127"/>
      <c r="F439" s="127"/>
      <c r="G439" s="128"/>
      <c r="H439" s="129"/>
    </row>
    <row r="440">
      <c r="B440" s="126"/>
      <c r="C440" s="126"/>
      <c r="D440" s="126"/>
      <c r="E440" s="127"/>
      <c r="F440" s="127"/>
      <c r="G440" s="128"/>
      <c r="H440" s="129"/>
    </row>
    <row r="441">
      <c r="B441" s="126"/>
      <c r="C441" s="126"/>
      <c r="D441" s="126"/>
      <c r="E441" s="127"/>
      <c r="F441" s="127"/>
      <c r="G441" s="128"/>
      <c r="H441" s="129"/>
    </row>
    <row r="442">
      <c r="B442" s="126"/>
      <c r="C442" s="126"/>
      <c r="D442" s="126"/>
      <c r="E442" s="127"/>
      <c r="F442" s="127"/>
      <c r="G442" s="128"/>
      <c r="H442" s="129"/>
    </row>
    <row r="443">
      <c r="B443" s="126"/>
      <c r="C443" s="126"/>
      <c r="D443" s="126"/>
      <c r="E443" s="127"/>
      <c r="F443" s="127"/>
      <c r="G443" s="128"/>
      <c r="H443" s="129"/>
    </row>
    <row r="444">
      <c r="B444" s="126"/>
      <c r="C444" s="126"/>
      <c r="D444" s="126"/>
      <c r="E444" s="127"/>
      <c r="F444" s="127"/>
      <c r="G444" s="128"/>
      <c r="H444" s="129"/>
    </row>
    <row r="445">
      <c r="B445" s="126"/>
      <c r="C445" s="126"/>
      <c r="D445" s="126"/>
      <c r="E445" s="127"/>
      <c r="F445" s="127"/>
      <c r="G445" s="128"/>
      <c r="H445" s="129"/>
    </row>
    <row r="446">
      <c r="B446" s="126"/>
      <c r="C446" s="126"/>
      <c r="D446" s="126"/>
      <c r="E446" s="127"/>
      <c r="F446" s="127"/>
      <c r="G446" s="128"/>
      <c r="H446" s="129"/>
    </row>
    <row r="447">
      <c r="B447" s="126"/>
      <c r="C447" s="126"/>
      <c r="D447" s="126"/>
      <c r="E447" s="127"/>
      <c r="F447" s="127"/>
      <c r="G447" s="128"/>
      <c r="H447" s="129"/>
    </row>
    <row r="448">
      <c r="B448" s="126"/>
      <c r="C448" s="126"/>
      <c r="D448" s="126"/>
      <c r="E448" s="127"/>
      <c r="F448" s="127"/>
      <c r="G448" s="128"/>
      <c r="H448" s="129"/>
    </row>
    <row r="449">
      <c r="B449" s="126"/>
      <c r="C449" s="126"/>
      <c r="D449" s="126"/>
      <c r="E449" s="127"/>
      <c r="F449" s="127"/>
      <c r="G449" s="128"/>
      <c r="H449" s="129"/>
    </row>
    <row r="450">
      <c r="B450" s="126"/>
      <c r="C450" s="126"/>
      <c r="D450" s="126"/>
      <c r="E450" s="127"/>
      <c r="F450" s="127"/>
      <c r="G450" s="128"/>
      <c r="H450" s="129"/>
    </row>
    <row r="451">
      <c r="B451" s="126"/>
      <c r="C451" s="126"/>
      <c r="D451" s="126"/>
      <c r="E451" s="127"/>
      <c r="F451" s="127"/>
      <c r="G451" s="128"/>
      <c r="H451" s="129"/>
    </row>
    <row r="452">
      <c r="B452" s="126"/>
      <c r="C452" s="126"/>
      <c r="D452" s="126"/>
      <c r="E452" s="127"/>
      <c r="F452" s="127"/>
      <c r="G452" s="128"/>
      <c r="H452" s="129"/>
    </row>
    <row r="453">
      <c r="B453" s="126"/>
      <c r="C453" s="126"/>
      <c r="D453" s="126"/>
      <c r="E453" s="127"/>
      <c r="F453" s="127"/>
      <c r="G453" s="128"/>
      <c r="H453" s="129"/>
    </row>
    <row r="454">
      <c r="B454" s="126"/>
      <c r="C454" s="126"/>
      <c r="D454" s="126"/>
      <c r="E454" s="127"/>
      <c r="F454" s="127"/>
      <c r="G454" s="128"/>
      <c r="H454" s="129"/>
    </row>
    <row r="455">
      <c r="B455" s="126"/>
      <c r="C455" s="126"/>
      <c r="D455" s="126"/>
      <c r="E455" s="127"/>
      <c r="F455" s="127"/>
      <c r="G455" s="128"/>
      <c r="H455" s="129"/>
    </row>
    <row r="456">
      <c r="B456" s="126"/>
      <c r="C456" s="126"/>
      <c r="D456" s="126"/>
      <c r="E456" s="127"/>
      <c r="F456" s="127"/>
      <c r="G456" s="128"/>
      <c r="H456" s="129"/>
    </row>
    <row r="457">
      <c r="B457" s="126"/>
      <c r="C457" s="126"/>
      <c r="D457" s="126"/>
      <c r="E457" s="127"/>
      <c r="F457" s="127"/>
      <c r="G457" s="128"/>
      <c r="H457" s="129"/>
    </row>
    <row r="458">
      <c r="B458" s="126"/>
      <c r="C458" s="126"/>
      <c r="D458" s="126"/>
      <c r="E458" s="127"/>
      <c r="F458" s="127"/>
      <c r="G458" s="128"/>
      <c r="H458" s="129"/>
    </row>
    <row r="459">
      <c r="B459" s="126"/>
      <c r="C459" s="126"/>
      <c r="D459" s="126"/>
      <c r="E459" s="127"/>
      <c r="F459" s="127"/>
      <c r="G459" s="128"/>
      <c r="H459" s="129"/>
    </row>
    <row r="460">
      <c r="B460" s="126"/>
      <c r="C460" s="126"/>
      <c r="D460" s="126"/>
      <c r="E460" s="127"/>
      <c r="F460" s="127"/>
      <c r="G460" s="128"/>
      <c r="H460" s="129"/>
    </row>
    <row r="461">
      <c r="B461" s="126"/>
      <c r="C461" s="126"/>
      <c r="D461" s="126"/>
      <c r="E461" s="127"/>
      <c r="F461" s="127"/>
      <c r="G461" s="128"/>
      <c r="H461" s="129"/>
    </row>
    <row r="462">
      <c r="B462" s="126"/>
      <c r="C462" s="126"/>
      <c r="D462" s="126"/>
      <c r="E462" s="127"/>
      <c r="F462" s="127"/>
      <c r="G462" s="128"/>
      <c r="H462" s="129"/>
    </row>
    <row r="463">
      <c r="B463" s="126"/>
      <c r="C463" s="126"/>
      <c r="D463" s="126"/>
      <c r="E463" s="127"/>
      <c r="F463" s="127"/>
      <c r="G463" s="128"/>
      <c r="H463" s="129"/>
    </row>
    <row r="464">
      <c r="B464" s="126"/>
      <c r="C464" s="126"/>
      <c r="D464" s="126"/>
      <c r="E464" s="127"/>
      <c r="F464" s="127"/>
      <c r="G464" s="128"/>
      <c r="H464" s="129"/>
    </row>
    <row r="465">
      <c r="B465" s="126"/>
      <c r="C465" s="126"/>
      <c r="D465" s="126"/>
      <c r="E465" s="127"/>
      <c r="F465" s="127"/>
      <c r="G465" s="128"/>
      <c r="H465" s="129"/>
    </row>
    <row r="466">
      <c r="B466" s="126"/>
      <c r="C466" s="126"/>
      <c r="D466" s="126"/>
      <c r="E466" s="127"/>
      <c r="F466" s="127"/>
      <c r="G466" s="128"/>
      <c r="H466" s="129"/>
    </row>
    <row r="467">
      <c r="B467" s="126"/>
      <c r="C467" s="126"/>
      <c r="D467" s="126"/>
      <c r="E467" s="127"/>
      <c r="F467" s="127"/>
      <c r="G467" s="128"/>
      <c r="H467" s="129"/>
    </row>
    <row r="468">
      <c r="B468" s="126"/>
      <c r="C468" s="126"/>
      <c r="D468" s="126"/>
      <c r="E468" s="127"/>
      <c r="F468" s="127"/>
      <c r="G468" s="128"/>
      <c r="H468" s="129"/>
    </row>
    <row r="469">
      <c r="B469" s="126"/>
      <c r="C469" s="126"/>
      <c r="D469" s="126"/>
      <c r="E469" s="127"/>
      <c r="F469" s="127"/>
      <c r="G469" s="128"/>
      <c r="H469" s="129"/>
    </row>
    <row r="470">
      <c r="B470" s="126"/>
      <c r="C470" s="126"/>
      <c r="D470" s="126"/>
      <c r="E470" s="127"/>
      <c r="F470" s="127"/>
      <c r="G470" s="128"/>
      <c r="H470" s="129"/>
    </row>
    <row r="471">
      <c r="B471" s="126"/>
      <c r="C471" s="126"/>
      <c r="D471" s="126"/>
      <c r="E471" s="127"/>
      <c r="F471" s="127"/>
      <c r="G471" s="128"/>
      <c r="H471" s="129"/>
    </row>
    <row r="472">
      <c r="B472" s="126"/>
      <c r="C472" s="126"/>
      <c r="D472" s="126"/>
      <c r="E472" s="127"/>
      <c r="F472" s="127"/>
      <c r="G472" s="128"/>
      <c r="H472" s="129"/>
    </row>
    <row r="473">
      <c r="B473" s="126"/>
      <c r="C473" s="126"/>
      <c r="D473" s="126"/>
      <c r="E473" s="127"/>
      <c r="F473" s="127"/>
      <c r="G473" s="128"/>
      <c r="H473" s="129"/>
    </row>
    <row r="474">
      <c r="B474" s="126"/>
      <c r="C474" s="126"/>
      <c r="D474" s="126"/>
      <c r="E474" s="127"/>
      <c r="F474" s="127"/>
      <c r="G474" s="128"/>
      <c r="H474" s="129"/>
    </row>
    <row r="475">
      <c r="B475" s="126"/>
      <c r="C475" s="126"/>
      <c r="D475" s="126"/>
      <c r="E475" s="127"/>
      <c r="F475" s="127"/>
      <c r="G475" s="128"/>
      <c r="H475" s="129"/>
    </row>
    <row r="476">
      <c r="B476" s="126"/>
      <c r="C476" s="126"/>
      <c r="D476" s="126"/>
      <c r="E476" s="127"/>
      <c r="F476" s="127"/>
      <c r="G476" s="128"/>
      <c r="H476" s="129"/>
    </row>
    <row r="477">
      <c r="B477" s="126"/>
      <c r="C477" s="126"/>
      <c r="D477" s="126"/>
      <c r="E477" s="127"/>
      <c r="F477" s="127"/>
      <c r="G477" s="128"/>
      <c r="H477" s="129"/>
    </row>
    <row r="478">
      <c r="B478" s="126"/>
      <c r="C478" s="126"/>
      <c r="D478" s="126"/>
      <c r="E478" s="127"/>
      <c r="F478" s="127"/>
      <c r="G478" s="128"/>
      <c r="H478" s="129"/>
    </row>
    <row r="479">
      <c r="B479" s="126"/>
      <c r="C479" s="126"/>
      <c r="D479" s="126"/>
      <c r="E479" s="127"/>
      <c r="F479" s="127"/>
      <c r="G479" s="128"/>
      <c r="H479" s="129"/>
    </row>
    <row r="480">
      <c r="B480" s="126"/>
      <c r="C480" s="126"/>
      <c r="D480" s="126"/>
      <c r="E480" s="127"/>
      <c r="F480" s="127"/>
      <c r="G480" s="128"/>
      <c r="H480" s="129"/>
    </row>
    <row r="481">
      <c r="B481" s="126"/>
      <c r="C481" s="126"/>
      <c r="D481" s="126"/>
      <c r="E481" s="127"/>
      <c r="F481" s="127"/>
      <c r="G481" s="128"/>
      <c r="H481" s="129"/>
    </row>
    <row r="482">
      <c r="B482" s="126"/>
      <c r="C482" s="126"/>
      <c r="D482" s="126"/>
      <c r="E482" s="127"/>
      <c r="F482" s="127"/>
      <c r="G482" s="128"/>
      <c r="H482" s="129"/>
    </row>
    <row r="483">
      <c r="B483" s="126"/>
      <c r="C483" s="126"/>
      <c r="D483" s="126"/>
      <c r="E483" s="127"/>
      <c r="F483" s="127"/>
      <c r="G483" s="128"/>
      <c r="H483" s="129"/>
    </row>
    <row r="484">
      <c r="B484" s="126"/>
      <c r="C484" s="126"/>
      <c r="D484" s="126"/>
      <c r="E484" s="127"/>
      <c r="F484" s="127"/>
      <c r="G484" s="128"/>
      <c r="H484" s="129"/>
    </row>
    <row r="485">
      <c r="B485" s="126"/>
      <c r="C485" s="126"/>
      <c r="D485" s="126"/>
      <c r="E485" s="127"/>
      <c r="F485" s="127"/>
      <c r="G485" s="128"/>
      <c r="H485" s="129"/>
    </row>
    <row r="486">
      <c r="B486" s="126"/>
      <c r="C486" s="126"/>
      <c r="D486" s="126"/>
      <c r="E486" s="127"/>
      <c r="F486" s="127"/>
      <c r="G486" s="128"/>
      <c r="H486" s="129"/>
    </row>
    <row r="487">
      <c r="B487" s="126"/>
      <c r="C487" s="126"/>
      <c r="D487" s="126"/>
      <c r="E487" s="127"/>
      <c r="F487" s="127"/>
      <c r="G487" s="128"/>
      <c r="H487" s="129"/>
    </row>
    <row r="488">
      <c r="B488" s="126"/>
      <c r="C488" s="126"/>
      <c r="D488" s="126"/>
      <c r="E488" s="127"/>
      <c r="F488" s="127"/>
      <c r="G488" s="128"/>
      <c r="H488" s="129"/>
    </row>
    <row r="489">
      <c r="B489" s="126"/>
      <c r="C489" s="126"/>
      <c r="D489" s="126"/>
      <c r="E489" s="127"/>
      <c r="F489" s="127"/>
      <c r="G489" s="128"/>
      <c r="H489" s="129"/>
    </row>
    <row r="490">
      <c r="B490" s="126"/>
      <c r="C490" s="126"/>
      <c r="D490" s="126"/>
      <c r="E490" s="127"/>
      <c r="F490" s="127"/>
      <c r="G490" s="128"/>
      <c r="H490" s="129"/>
    </row>
    <row r="491">
      <c r="B491" s="126"/>
      <c r="C491" s="126"/>
      <c r="D491" s="126"/>
      <c r="E491" s="127"/>
      <c r="F491" s="127"/>
      <c r="G491" s="128"/>
      <c r="H491" s="129"/>
    </row>
    <row r="492">
      <c r="B492" s="126"/>
      <c r="C492" s="126"/>
      <c r="D492" s="126"/>
      <c r="E492" s="127"/>
      <c r="F492" s="127"/>
      <c r="G492" s="128"/>
      <c r="H492" s="129"/>
    </row>
    <row r="493">
      <c r="B493" s="126"/>
      <c r="C493" s="126"/>
      <c r="D493" s="126"/>
      <c r="E493" s="127"/>
      <c r="F493" s="127"/>
      <c r="G493" s="128"/>
      <c r="H493" s="129"/>
    </row>
    <row r="494">
      <c r="B494" s="126"/>
      <c r="C494" s="126"/>
      <c r="D494" s="126"/>
      <c r="E494" s="127"/>
      <c r="F494" s="127"/>
      <c r="G494" s="128"/>
      <c r="H494" s="129"/>
    </row>
    <row r="495">
      <c r="B495" s="126"/>
      <c r="C495" s="126"/>
      <c r="D495" s="126"/>
      <c r="E495" s="127"/>
      <c r="F495" s="127"/>
      <c r="G495" s="128"/>
      <c r="H495" s="129"/>
    </row>
    <row r="496">
      <c r="B496" s="126"/>
      <c r="C496" s="126"/>
      <c r="D496" s="126"/>
      <c r="E496" s="127"/>
      <c r="F496" s="127"/>
      <c r="G496" s="128"/>
      <c r="H496" s="129"/>
    </row>
    <row r="497">
      <c r="B497" s="126"/>
      <c r="C497" s="126"/>
      <c r="D497" s="126"/>
      <c r="E497" s="127"/>
      <c r="F497" s="127"/>
      <c r="G497" s="128"/>
      <c r="H497" s="129"/>
    </row>
    <row r="498">
      <c r="B498" s="126"/>
      <c r="C498" s="126"/>
      <c r="D498" s="126"/>
      <c r="E498" s="127"/>
      <c r="F498" s="127"/>
      <c r="G498" s="128"/>
      <c r="H498" s="129"/>
    </row>
    <row r="499">
      <c r="B499" s="126"/>
      <c r="C499" s="126"/>
      <c r="D499" s="126"/>
      <c r="E499" s="127"/>
      <c r="F499" s="127"/>
      <c r="G499" s="128"/>
      <c r="H499" s="129"/>
    </row>
    <row r="500">
      <c r="B500" s="126"/>
      <c r="C500" s="126"/>
      <c r="D500" s="126"/>
      <c r="E500" s="127"/>
      <c r="F500" s="127"/>
      <c r="G500" s="128"/>
      <c r="H500" s="129"/>
    </row>
    <row r="501">
      <c r="B501" s="126"/>
      <c r="C501" s="126"/>
      <c r="D501" s="126"/>
      <c r="E501" s="127"/>
      <c r="F501" s="127"/>
      <c r="G501" s="128"/>
      <c r="H501" s="129"/>
    </row>
    <row r="502">
      <c r="B502" s="126"/>
      <c r="C502" s="126"/>
      <c r="D502" s="126"/>
      <c r="E502" s="127"/>
      <c r="F502" s="127"/>
      <c r="G502" s="128"/>
      <c r="H502" s="129"/>
    </row>
    <row r="503">
      <c r="B503" s="126"/>
      <c r="C503" s="126"/>
      <c r="D503" s="126"/>
      <c r="E503" s="127"/>
      <c r="F503" s="127"/>
      <c r="G503" s="128"/>
      <c r="H503" s="129"/>
    </row>
    <row r="504">
      <c r="B504" s="126"/>
      <c r="C504" s="126"/>
      <c r="D504" s="126"/>
      <c r="E504" s="127"/>
      <c r="F504" s="127"/>
      <c r="G504" s="128"/>
      <c r="H504" s="129"/>
    </row>
    <row r="505">
      <c r="B505" s="126"/>
      <c r="C505" s="126"/>
      <c r="D505" s="126"/>
      <c r="E505" s="127"/>
      <c r="F505" s="127"/>
      <c r="G505" s="128"/>
      <c r="H505" s="129"/>
    </row>
    <row r="506">
      <c r="B506" s="126"/>
      <c r="C506" s="126"/>
      <c r="D506" s="126"/>
      <c r="E506" s="127"/>
      <c r="F506" s="127"/>
      <c r="G506" s="128"/>
      <c r="H506" s="129"/>
    </row>
    <row r="507">
      <c r="B507" s="126"/>
      <c r="C507" s="126"/>
      <c r="D507" s="126"/>
      <c r="E507" s="127"/>
      <c r="F507" s="127"/>
      <c r="G507" s="128"/>
      <c r="H507" s="129"/>
    </row>
    <row r="508">
      <c r="B508" s="126"/>
      <c r="C508" s="126"/>
      <c r="D508" s="126"/>
      <c r="E508" s="127"/>
      <c r="F508" s="127"/>
      <c r="G508" s="128"/>
      <c r="H508" s="129"/>
    </row>
    <row r="509">
      <c r="B509" s="126"/>
      <c r="C509" s="126"/>
      <c r="D509" s="126"/>
      <c r="E509" s="127"/>
      <c r="F509" s="127"/>
      <c r="G509" s="128"/>
      <c r="H509" s="129"/>
    </row>
    <row r="510">
      <c r="B510" s="126"/>
      <c r="C510" s="126"/>
      <c r="D510" s="126"/>
      <c r="E510" s="127"/>
      <c r="F510" s="127"/>
      <c r="G510" s="128"/>
      <c r="H510" s="129"/>
    </row>
    <row r="511">
      <c r="B511" s="126"/>
      <c r="C511" s="126"/>
      <c r="D511" s="126"/>
      <c r="E511" s="127"/>
      <c r="F511" s="127"/>
      <c r="G511" s="128"/>
      <c r="H511" s="129"/>
    </row>
    <row r="512">
      <c r="B512" s="126"/>
      <c r="C512" s="126"/>
      <c r="D512" s="126"/>
      <c r="E512" s="127"/>
      <c r="F512" s="127"/>
      <c r="G512" s="128"/>
      <c r="H512" s="129"/>
    </row>
    <row r="513">
      <c r="B513" s="126"/>
      <c r="C513" s="126"/>
      <c r="D513" s="126"/>
      <c r="E513" s="127"/>
      <c r="F513" s="127"/>
      <c r="G513" s="128"/>
      <c r="H513" s="129"/>
    </row>
    <row r="514">
      <c r="B514" s="126"/>
      <c r="C514" s="126"/>
      <c r="D514" s="126"/>
      <c r="E514" s="127"/>
      <c r="F514" s="127"/>
      <c r="G514" s="128"/>
      <c r="H514" s="129"/>
    </row>
    <row r="515">
      <c r="B515" s="126"/>
      <c r="C515" s="126"/>
      <c r="D515" s="126"/>
      <c r="E515" s="127"/>
      <c r="F515" s="127"/>
      <c r="G515" s="128"/>
      <c r="H515" s="129"/>
    </row>
    <row r="516">
      <c r="B516" s="126"/>
      <c r="C516" s="126"/>
      <c r="D516" s="126"/>
      <c r="E516" s="127"/>
      <c r="F516" s="127"/>
      <c r="G516" s="128"/>
      <c r="H516" s="129"/>
    </row>
    <row r="517">
      <c r="B517" s="126"/>
      <c r="C517" s="126"/>
      <c r="D517" s="126"/>
      <c r="E517" s="127"/>
      <c r="F517" s="127"/>
      <c r="G517" s="128"/>
      <c r="H517" s="129"/>
    </row>
    <row r="518">
      <c r="B518" s="126"/>
      <c r="C518" s="126"/>
      <c r="D518" s="126"/>
      <c r="E518" s="127"/>
      <c r="F518" s="127"/>
      <c r="G518" s="128"/>
      <c r="H518" s="129"/>
    </row>
    <row r="519">
      <c r="B519" s="126"/>
      <c r="C519" s="126"/>
      <c r="D519" s="126"/>
      <c r="E519" s="127"/>
      <c r="F519" s="127"/>
      <c r="G519" s="128"/>
      <c r="H519" s="129"/>
    </row>
    <row r="520">
      <c r="B520" s="126"/>
      <c r="C520" s="126"/>
      <c r="D520" s="126"/>
      <c r="E520" s="127"/>
      <c r="F520" s="127"/>
      <c r="G520" s="128"/>
      <c r="H520" s="129"/>
    </row>
    <row r="521">
      <c r="B521" s="126"/>
      <c r="C521" s="126"/>
      <c r="D521" s="126"/>
      <c r="E521" s="127"/>
      <c r="F521" s="127"/>
      <c r="G521" s="128"/>
      <c r="H521" s="129"/>
    </row>
    <row r="522">
      <c r="B522" s="126"/>
      <c r="C522" s="126"/>
      <c r="D522" s="126"/>
      <c r="E522" s="127"/>
      <c r="F522" s="127"/>
      <c r="G522" s="128"/>
      <c r="H522" s="129"/>
    </row>
    <row r="523">
      <c r="B523" s="126"/>
      <c r="C523" s="126"/>
      <c r="D523" s="126"/>
      <c r="E523" s="127"/>
      <c r="F523" s="127"/>
      <c r="G523" s="128"/>
      <c r="H523" s="129"/>
    </row>
    <row r="524">
      <c r="B524" s="126"/>
      <c r="C524" s="126"/>
      <c r="D524" s="126"/>
      <c r="E524" s="127"/>
      <c r="F524" s="127"/>
      <c r="G524" s="128"/>
      <c r="H524" s="129"/>
    </row>
    <row r="525">
      <c r="B525" s="126"/>
      <c r="C525" s="126"/>
      <c r="D525" s="126"/>
      <c r="E525" s="127"/>
      <c r="F525" s="127"/>
      <c r="G525" s="128"/>
      <c r="H525" s="129"/>
    </row>
    <row r="526">
      <c r="B526" s="126"/>
      <c r="C526" s="126"/>
      <c r="D526" s="126"/>
      <c r="E526" s="127"/>
      <c r="F526" s="127"/>
      <c r="G526" s="128"/>
      <c r="H526" s="129"/>
    </row>
    <row r="527">
      <c r="B527" s="126"/>
      <c r="C527" s="126"/>
      <c r="D527" s="126"/>
      <c r="E527" s="127"/>
      <c r="F527" s="127"/>
      <c r="G527" s="128"/>
      <c r="H527" s="129"/>
    </row>
    <row r="528">
      <c r="B528" s="126"/>
      <c r="C528" s="126"/>
      <c r="D528" s="126"/>
      <c r="E528" s="127"/>
      <c r="F528" s="127"/>
      <c r="G528" s="128"/>
      <c r="H528" s="129"/>
    </row>
    <row r="529">
      <c r="B529" s="126"/>
      <c r="C529" s="126"/>
      <c r="D529" s="126"/>
      <c r="E529" s="127"/>
      <c r="F529" s="127"/>
      <c r="G529" s="128"/>
      <c r="H529" s="129"/>
    </row>
    <row r="530">
      <c r="B530" s="126"/>
      <c r="C530" s="126"/>
      <c r="D530" s="126"/>
      <c r="E530" s="127"/>
      <c r="F530" s="127"/>
      <c r="G530" s="128"/>
      <c r="H530" s="129"/>
    </row>
    <row r="531">
      <c r="B531" s="126"/>
      <c r="C531" s="126"/>
      <c r="D531" s="126"/>
      <c r="E531" s="127"/>
      <c r="F531" s="127"/>
      <c r="G531" s="128"/>
      <c r="H531" s="129"/>
    </row>
    <row r="532">
      <c r="B532" s="126"/>
      <c r="C532" s="126"/>
      <c r="D532" s="126"/>
      <c r="E532" s="127"/>
      <c r="F532" s="127"/>
      <c r="G532" s="128"/>
      <c r="H532" s="129"/>
    </row>
    <row r="533">
      <c r="B533" s="126"/>
      <c r="C533" s="126"/>
      <c r="D533" s="126"/>
      <c r="E533" s="127"/>
      <c r="F533" s="127"/>
      <c r="G533" s="128"/>
      <c r="H533" s="129"/>
    </row>
    <row r="534">
      <c r="B534" s="126"/>
      <c r="C534" s="126"/>
      <c r="D534" s="126"/>
      <c r="E534" s="127"/>
      <c r="F534" s="127"/>
      <c r="G534" s="128"/>
      <c r="H534" s="129"/>
    </row>
    <row r="535">
      <c r="B535" s="126"/>
      <c r="C535" s="126"/>
      <c r="D535" s="126"/>
      <c r="E535" s="127"/>
      <c r="F535" s="127"/>
      <c r="G535" s="128"/>
      <c r="H535" s="129"/>
    </row>
    <row r="536">
      <c r="B536" s="126"/>
      <c r="C536" s="126"/>
      <c r="D536" s="126"/>
      <c r="E536" s="127"/>
      <c r="F536" s="127"/>
      <c r="G536" s="128"/>
      <c r="H536" s="129"/>
    </row>
    <row r="537">
      <c r="B537" s="126"/>
      <c r="C537" s="126"/>
      <c r="D537" s="126"/>
      <c r="E537" s="127"/>
      <c r="F537" s="127"/>
      <c r="G537" s="128"/>
      <c r="H537" s="129"/>
    </row>
    <row r="538">
      <c r="B538" s="126"/>
      <c r="C538" s="126"/>
      <c r="D538" s="126"/>
      <c r="E538" s="127"/>
      <c r="F538" s="127"/>
      <c r="G538" s="128"/>
      <c r="H538" s="129"/>
    </row>
    <row r="539">
      <c r="B539" s="126"/>
      <c r="C539" s="126"/>
      <c r="D539" s="126"/>
      <c r="E539" s="127"/>
      <c r="F539" s="127"/>
      <c r="G539" s="128"/>
      <c r="H539" s="129"/>
    </row>
    <row r="540">
      <c r="B540" s="126"/>
      <c r="C540" s="126"/>
      <c r="D540" s="126"/>
      <c r="E540" s="127"/>
      <c r="F540" s="127"/>
      <c r="G540" s="128"/>
      <c r="H540" s="129"/>
    </row>
    <row r="541">
      <c r="B541" s="126"/>
      <c r="C541" s="126"/>
      <c r="D541" s="126"/>
      <c r="E541" s="127"/>
      <c r="F541" s="127"/>
      <c r="G541" s="128"/>
      <c r="H541" s="129"/>
    </row>
    <row r="542">
      <c r="B542" s="126"/>
      <c r="C542" s="126"/>
      <c r="D542" s="126"/>
      <c r="E542" s="127"/>
      <c r="F542" s="127"/>
      <c r="G542" s="128"/>
      <c r="H542" s="129"/>
    </row>
    <row r="543">
      <c r="B543" s="126"/>
      <c r="C543" s="126"/>
      <c r="D543" s="126"/>
      <c r="E543" s="127"/>
      <c r="F543" s="127"/>
      <c r="G543" s="128"/>
      <c r="H543" s="129"/>
    </row>
    <row r="544">
      <c r="B544" s="126"/>
      <c r="C544" s="126"/>
      <c r="D544" s="126"/>
      <c r="E544" s="127"/>
      <c r="F544" s="127"/>
      <c r="G544" s="128"/>
      <c r="H544" s="129"/>
    </row>
    <row r="545">
      <c r="B545" s="126"/>
      <c r="C545" s="126"/>
      <c r="D545" s="126"/>
      <c r="E545" s="127"/>
      <c r="F545" s="127"/>
      <c r="G545" s="128"/>
      <c r="H545" s="129"/>
    </row>
    <row r="546">
      <c r="B546" s="126"/>
      <c r="C546" s="126"/>
      <c r="D546" s="126"/>
      <c r="E546" s="127"/>
      <c r="F546" s="127"/>
      <c r="G546" s="128"/>
      <c r="H546" s="129"/>
    </row>
    <row r="547">
      <c r="B547" s="126"/>
      <c r="C547" s="126"/>
      <c r="D547" s="126"/>
      <c r="E547" s="127"/>
      <c r="F547" s="127"/>
      <c r="G547" s="128"/>
      <c r="H547" s="129"/>
    </row>
    <row r="548">
      <c r="B548" s="126"/>
      <c r="C548" s="126"/>
      <c r="D548" s="126"/>
      <c r="E548" s="127"/>
      <c r="F548" s="127"/>
      <c r="G548" s="128"/>
      <c r="H548" s="129"/>
    </row>
    <row r="549">
      <c r="B549" s="126"/>
      <c r="C549" s="126"/>
      <c r="D549" s="126"/>
      <c r="E549" s="127"/>
      <c r="F549" s="127"/>
      <c r="G549" s="128"/>
      <c r="H549" s="129"/>
    </row>
    <row r="550">
      <c r="B550" s="126"/>
      <c r="C550" s="126"/>
      <c r="D550" s="126"/>
      <c r="E550" s="127"/>
      <c r="F550" s="127"/>
      <c r="G550" s="128"/>
      <c r="H550" s="129"/>
    </row>
    <row r="551">
      <c r="B551" s="126"/>
      <c r="C551" s="126"/>
      <c r="D551" s="126"/>
      <c r="E551" s="127"/>
      <c r="F551" s="127"/>
      <c r="G551" s="128"/>
      <c r="H551" s="129"/>
    </row>
    <row r="552">
      <c r="B552" s="126"/>
      <c r="C552" s="126"/>
      <c r="D552" s="126"/>
      <c r="E552" s="127"/>
      <c r="F552" s="127"/>
      <c r="G552" s="128"/>
      <c r="H552" s="129"/>
    </row>
    <row r="553">
      <c r="B553" s="126"/>
      <c r="C553" s="126"/>
      <c r="D553" s="126"/>
      <c r="E553" s="127"/>
      <c r="F553" s="127"/>
      <c r="G553" s="128"/>
      <c r="H553" s="129"/>
    </row>
    <row r="554">
      <c r="B554" s="126"/>
      <c r="C554" s="126"/>
      <c r="D554" s="126"/>
      <c r="E554" s="127"/>
      <c r="F554" s="127"/>
      <c r="G554" s="128"/>
      <c r="H554" s="129"/>
    </row>
    <row r="555">
      <c r="B555" s="126"/>
      <c r="C555" s="126"/>
      <c r="D555" s="126"/>
      <c r="E555" s="127"/>
      <c r="F555" s="127"/>
      <c r="G555" s="128"/>
      <c r="H555" s="129"/>
    </row>
    <row r="556">
      <c r="B556" s="126"/>
      <c r="C556" s="126"/>
      <c r="D556" s="126"/>
      <c r="E556" s="127"/>
      <c r="F556" s="127"/>
      <c r="G556" s="128"/>
      <c r="H556" s="129"/>
    </row>
    <row r="557">
      <c r="B557" s="126"/>
      <c r="C557" s="126"/>
      <c r="D557" s="126"/>
      <c r="E557" s="127"/>
      <c r="F557" s="127"/>
      <c r="G557" s="128"/>
      <c r="H557" s="129"/>
    </row>
    <row r="558">
      <c r="B558" s="126"/>
      <c r="C558" s="126"/>
      <c r="D558" s="126"/>
      <c r="E558" s="127"/>
      <c r="F558" s="127"/>
      <c r="G558" s="128"/>
      <c r="H558" s="129"/>
    </row>
    <row r="559">
      <c r="B559" s="126"/>
      <c r="C559" s="126"/>
      <c r="D559" s="126"/>
      <c r="E559" s="127"/>
      <c r="F559" s="127"/>
      <c r="G559" s="128"/>
      <c r="H559" s="129"/>
    </row>
    <row r="560">
      <c r="B560" s="126"/>
      <c r="C560" s="126"/>
      <c r="D560" s="126"/>
      <c r="E560" s="127"/>
      <c r="F560" s="127"/>
      <c r="G560" s="128"/>
      <c r="H560" s="129"/>
    </row>
    <row r="561">
      <c r="B561" s="126"/>
      <c r="C561" s="126"/>
      <c r="D561" s="126"/>
      <c r="E561" s="127"/>
      <c r="F561" s="127"/>
      <c r="G561" s="128"/>
      <c r="H561" s="129"/>
    </row>
    <row r="562">
      <c r="B562" s="126"/>
      <c r="C562" s="126"/>
      <c r="D562" s="126"/>
      <c r="E562" s="127"/>
      <c r="F562" s="127"/>
      <c r="G562" s="128"/>
      <c r="H562" s="129"/>
    </row>
    <row r="563">
      <c r="B563" s="126"/>
      <c r="C563" s="126"/>
      <c r="D563" s="126"/>
      <c r="E563" s="127"/>
      <c r="F563" s="127"/>
      <c r="G563" s="128"/>
      <c r="H563" s="129"/>
    </row>
    <row r="564">
      <c r="B564" s="126"/>
      <c r="C564" s="126"/>
      <c r="D564" s="126"/>
      <c r="E564" s="127"/>
      <c r="F564" s="127"/>
      <c r="G564" s="128"/>
      <c r="H564" s="129"/>
    </row>
    <row r="565">
      <c r="B565" s="126"/>
      <c r="C565" s="126"/>
      <c r="D565" s="126"/>
      <c r="E565" s="127"/>
      <c r="F565" s="127"/>
      <c r="G565" s="128"/>
      <c r="H565" s="129"/>
    </row>
    <row r="566">
      <c r="B566" s="126"/>
      <c r="C566" s="126"/>
      <c r="D566" s="126"/>
      <c r="E566" s="127"/>
      <c r="F566" s="127"/>
      <c r="G566" s="128"/>
      <c r="H566" s="129"/>
    </row>
    <row r="567">
      <c r="B567" s="126"/>
      <c r="C567" s="126"/>
      <c r="D567" s="126"/>
      <c r="E567" s="127"/>
      <c r="F567" s="127"/>
      <c r="G567" s="128"/>
      <c r="H567" s="129"/>
    </row>
    <row r="568">
      <c r="B568" s="126"/>
      <c r="C568" s="126"/>
      <c r="D568" s="126"/>
      <c r="E568" s="127"/>
      <c r="F568" s="127"/>
      <c r="G568" s="128"/>
      <c r="H568" s="129"/>
    </row>
    <row r="569">
      <c r="B569" s="126"/>
      <c r="C569" s="126"/>
      <c r="D569" s="126"/>
      <c r="E569" s="127"/>
      <c r="F569" s="127"/>
      <c r="G569" s="128"/>
      <c r="H569" s="129"/>
    </row>
    <row r="570">
      <c r="B570" s="126"/>
      <c r="C570" s="126"/>
      <c r="D570" s="126"/>
      <c r="E570" s="127"/>
      <c r="F570" s="127"/>
      <c r="G570" s="128"/>
      <c r="H570" s="129"/>
    </row>
    <row r="571">
      <c r="B571" s="126"/>
      <c r="C571" s="126"/>
      <c r="D571" s="126"/>
      <c r="E571" s="127"/>
      <c r="F571" s="127"/>
      <c r="G571" s="128"/>
      <c r="H571" s="129"/>
    </row>
    <row r="572">
      <c r="B572" s="126"/>
      <c r="C572" s="126"/>
      <c r="D572" s="126"/>
      <c r="E572" s="127"/>
      <c r="F572" s="127"/>
      <c r="G572" s="128"/>
      <c r="H572" s="129"/>
    </row>
    <row r="573">
      <c r="B573" s="126"/>
      <c r="C573" s="126"/>
      <c r="D573" s="126"/>
      <c r="E573" s="127"/>
      <c r="F573" s="127"/>
      <c r="G573" s="128"/>
      <c r="H573" s="129"/>
    </row>
    <row r="574">
      <c r="B574" s="126"/>
      <c r="C574" s="126"/>
      <c r="D574" s="126"/>
      <c r="E574" s="127"/>
      <c r="F574" s="127"/>
      <c r="G574" s="128"/>
      <c r="H574" s="129"/>
    </row>
    <row r="575">
      <c r="B575" s="126"/>
      <c r="C575" s="126"/>
      <c r="D575" s="126"/>
      <c r="E575" s="127"/>
      <c r="F575" s="127"/>
      <c r="G575" s="128"/>
      <c r="H575" s="129"/>
    </row>
    <row r="576">
      <c r="B576" s="126"/>
      <c r="C576" s="126"/>
      <c r="D576" s="126"/>
      <c r="E576" s="127"/>
      <c r="F576" s="127"/>
      <c r="G576" s="128"/>
      <c r="H576" s="129"/>
    </row>
    <row r="577">
      <c r="B577" s="126"/>
      <c r="C577" s="126"/>
      <c r="D577" s="126"/>
      <c r="E577" s="127"/>
      <c r="F577" s="127"/>
      <c r="G577" s="128"/>
      <c r="H577" s="129"/>
    </row>
    <row r="578">
      <c r="B578" s="126"/>
      <c r="C578" s="126"/>
      <c r="D578" s="126"/>
      <c r="E578" s="127"/>
      <c r="F578" s="127"/>
      <c r="G578" s="128"/>
      <c r="H578" s="129"/>
    </row>
    <row r="579">
      <c r="B579" s="126"/>
      <c r="C579" s="126"/>
      <c r="D579" s="126"/>
      <c r="E579" s="127"/>
      <c r="F579" s="127"/>
      <c r="G579" s="128"/>
      <c r="H579" s="129"/>
    </row>
    <row r="580">
      <c r="B580" s="126"/>
      <c r="C580" s="126"/>
      <c r="D580" s="126"/>
      <c r="E580" s="127"/>
      <c r="F580" s="127"/>
      <c r="G580" s="128"/>
      <c r="H580" s="129"/>
    </row>
    <row r="581">
      <c r="B581" s="126"/>
      <c r="C581" s="126"/>
      <c r="D581" s="126"/>
      <c r="E581" s="127"/>
      <c r="F581" s="127"/>
      <c r="G581" s="128"/>
      <c r="H581" s="129"/>
    </row>
    <row r="582">
      <c r="B582" s="126"/>
      <c r="C582" s="126"/>
      <c r="D582" s="126"/>
      <c r="E582" s="127"/>
      <c r="F582" s="127"/>
      <c r="G582" s="128"/>
      <c r="H582" s="129"/>
    </row>
    <row r="583">
      <c r="B583" s="126"/>
      <c r="C583" s="126"/>
      <c r="D583" s="126"/>
      <c r="E583" s="127"/>
      <c r="F583" s="127"/>
      <c r="G583" s="128"/>
      <c r="H583" s="129"/>
    </row>
    <row r="584">
      <c r="B584" s="126"/>
      <c r="C584" s="126"/>
      <c r="D584" s="126"/>
      <c r="E584" s="127"/>
      <c r="F584" s="127"/>
      <c r="G584" s="128"/>
      <c r="H584" s="129"/>
    </row>
    <row r="585">
      <c r="B585" s="126"/>
      <c r="C585" s="126"/>
      <c r="D585" s="126"/>
      <c r="E585" s="127"/>
      <c r="F585" s="127"/>
      <c r="G585" s="128"/>
      <c r="H585" s="129"/>
    </row>
    <row r="586">
      <c r="B586" s="126"/>
      <c r="C586" s="126"/>
      <c r="D586" s="126"/>
      <c r="E586" s="127"/>
      <c r="F586" s="127"/>
      <c r="G586" s="128"/>
      <c r="H586" s="129"/>
    </row>
    <row r="587">
      <c r="B587" s="126"/>
      <c r="C587" s="126"/>
      <c r="D587" s="126"/>
      <c r="E587" s="127"/>
      <c r="F587" s="127"/>
      <c r="G587" s="128"/>
      <c r="H587" s="129"/>
    </row>
    <row r="588">
      <c r="B588" s="126"/>
      <c r="C588" s="126"/>
      <c r="D588" s="126"/>
      <c r="E588" s="127"/>
      <c r="F588" s="127"/>
      <c r="G588" s="128"/>
      <c r="H588" s="129"/>
    </row>
    <row r="589">
      <c r="B589" s="126"/>
      <c r="C589" s="126"/>
      <c r="D589" s="126"/>
      <c r="E589" s="127"/>
      <c r="F589" s="127"/>
      <c r="G589" s="128"/>
      <c r="H589" s="129"/>
    </row>
    <row r="590">
      <c r="B590" s="126"/>
      <c r="C590" s="126"/>
      <c r="D590" s="126"/>
      <c r="E590" s="127"/>
      <c r="F590" s="127"/>
      <c r="G590" s="128"/>
      <c r="H590" s="129"/>
    </row>
    <row r="591">
      <c r="B591" s="126"/>
      <c r="C591" s="126"/>
      <c r="D591" s="126"/>
      <c r="E591" s="127"/>
      <c r="F591" s="127"/>
      <c r="G591" s="128"/>
      <c r="H591" s="129"/>
    </row>
    <row r="592">
      <c r="B592" s="126"/>
      <c r="C592" s="126"/>
      <c r="D592" s="126"/>
      <c r="E592" s="127"/>
      <c r="F592" s="127"/>
      <c r="G592" s="128"/>
      <c r="H592" s="129"/>
    </row>
    <row r="593">
      <c r="B593" s="126"/>
      <c r="C593" s="126"/>
      <c r="D593" s="126"/>
      <c r="E593" s="127"/>
      <c r="F593" s="127"/>
      <c r="G593" s="128"/>
      <c r="H593" s="129"/>
    </row>
    <row r="594">
      <c r="B594" s="126"/>
      <c r="C594" s="126"/>
      <c r="D594" s="126"/>
      <c r="E594" s="127"/>
      <c r="F594" s="127"/>
      <c r="G594" s="128"/>
      <c r="H594" s="129"/>
    </row>
    <row r="595">
      <c r="B595" s="126"/>
      <c r="C595" s="126"/>
      <c r="D595" s="126"/>
      <c r="E595" s="127"/>
      <c r="F595" s="127"/>
      <c r="G595" s="128"/>
      <c r="H595" s="129"/>
    </row>
    <row r="596">
      <c r="B596" s="126"/>
      <c r="C596" s="126"/>
      <c r="D596" s="126"/>
      <c r="E596" s="127"/>
      <c r="F596" s="127"/>
      <c r="G596" s="128"/>
      <c r="H596" s="129"/>
    </row>
    <row r="597">
      <c r="B597" s="126"/>
      <c r="C597" s="126"/>
      <c r="D597" s="126"/>
      <c r="E597" s="127"/>
      <c r="F597" s="127"/>
      <c r="G597" s="128"/>
      <c r="H597" s="129"/>
    </row>
    <row r="598">
      <c r="B598" s="126"/>
      <c r="C598" s="126"/>
      <c r="D598" s="126"/>
      <c r="E598" s="127"/>
      <c r="F598" s="127"/>
      <c r="G598" s="128"/>
      <c r="H598" s="129"/>
    </row>
    <row r="599">
      <c r="B599" s="126"/>
      <c r="C599" s="126"/>
      <c r="D599" s="126"/>
      <c r="E599" s="127"/>
      <c r="F599" s="127"/>
      <c r="G599" s="128"/>
      <c r="H599" s="129"/>
    </row>
    <row r="600">
      <c r="B600" s="126"/>
      <c r="C600" s="126"/>
      <c r="D600" s="126"/>
      <c r="E600" s="127"/>
      <c r="F600" s="127"/>
      <c r="G600" s="128"/>
      <c r="H600" s="129"/>
    </row>
    <row r="601">
      <c r="B601" s="126"/>
      <c r="C601" s="126"/>
      <c r="D601" s="126"/>
      <c r="E601" s="127"/>
      <c r="F601" s="127"/>
      <c r="G601" s="128"/>
      <c r="H601" s="129"/>
    </row>
    <row r="602">
      <c r="B602" s="126"/>
      <c r="C602" s="126"/>
      <c r="D602" s="126"/>
      <c r="E602" s="127"/>
      <c r="F602" s="127"/>
      <c r="G602" s="128"/>
      <c r="H602" s="129"/>
    </row>
    <row r="603">
      <c r="B603" s="126"/>
      <c r="C603" s="126"/>
      <c r="D603" s="126"/>
      <c r="E603" s="127"/>
      <c r="F603" s="127"/>
      <c r="G603" s="128"/>
      <c r="H603" s="129"/>
    </row>
    <row r="604">
      <c r="B604" s="126"/>
      <c r="C604" s="126"/>
      <c r="D604" s="126"/>
      <c r="E604" s="127"/>
      <c r="F604" s="127"/>
      <c r="G604" s="128"/>
      <c r="H604" s="129"/>
    </row>
    <row r="605">
      <c r="B605" s="126"/>
      <c r="C605" s="126"/>
      <c r="D605" s="126"/>
      <c r="E605" s="127"/>
      <c r="F605" s="127"/>
      <c r="G605" s="128"/>
      <c r="H605" s="129"/>
    </row>
    <row r="606">
      <c r="B606" s="126"/>
      <c r="C606" s="126"/>
      <c r="D606" s="126"/>
      <c r="E606" s="127"/>
      <c r="F606" s="127"/>
      <c r="G606" s="128"/>
      <c r="H606" s="129"/>
    </row>
    <row r="607">
      <c r="B607" s="126"/>
      <c r="C607" s="126"/>
      <c r="D607" s="126"/>
      <c r="E607" s="127"/>
      <c r="F607" s="127"/>
      <c r="G607" s="128"/>
      <c r="H607" s="129"/>
    </row>
    <row r="608">
      <c r="B608" s="126"/>
      <c r="C608" s="126"/>
      <c r="D608" s="126"/>
      <c r="E608" s="127"/>
      <c r="F608" s="127"/>
      <c r="G608" s="128"/>
      <c r="H608" s="129"/>
    </row>
    <row r="609">
      <c r="B609" s="126"/>
      <c r="C609" s="126"/>
      <c r="D609" s="126"/>
      <c r="E609" s="127"/>
      <c r="F609" s="127"/>
      <c r="G609" s="128"/>
      <c r="H609" s="129"/>
    </row>
    <row r="610">
      <c r="B610" s="126"/>
      <c r="C610" s="126"/>
      <c r="D610" s="126"/>
      <c r="E610" s="127"/>
      <c r="F610" s="127"/>
      <c r="G610" s="128"/>
      <c r="H610" s="129"/>
    </row>
    <row r="611">
      <c r="B611" s="126"/>
      <c r="C611" s="126"/>
      <c r="D611" s="126"/>
      <c r="E611" s="127"/>
      <c r="F611" s="127"/>
      <c r="G611" s="128"/>
      <c r="H611" s="129"/>
    </row>
    <row r="612">
      <c r="B612" s="126"/>
      <c r="C612" s="126"/>
      <c r="D612" s="126"/>
      <c r="E612" s="127"/>
      <c r="F612" s="127"/>
      <c r="G612" s="128"/>
      <c r="H612" s="129"/>
    </row>
    <row r="613">
      <c r="B613" s="126"/>
      <c r="C613" s="126"/>
      <c r="D613" s="126"/>
      <c r="E613" s="127"/>
      <c r="F613" s="127"/>
      <c r="G613" s="128"/>
      <c r="H613" s="129"/>
    </row>
    <row r="614">
      <c r="B614" s="126"/>
      <c r="C614" s="126"/>
      <c r="D614" s="126"/>
      <c r="E614" s="127"/>
      <c r="F614" s="127"/>
      <c r="G614" s="128"/>
      <c r="H614" s="129"/>
    </row>
    <row r="615">
      <c r="B615" s="126"/>
      <c r="C615" s="126"/>
      <c r="D615" s="126"/>
      <c r="E615" s="127"/>
      <c r="F615" s="127"/>
      <c r="G615" s="128"/>
      <c r="H615" s="129"/>
    </row>
    <row r="616">
      <c r="B616" s="126"/>
      <c r="C616" s="126"/>
      <c r="D616" s="126"/>
      <c r="E616" s="127"/>
      <c r="F616" s="127"/>
      <c r="G616" s="128"/>
      <c r="H616" s="129"/>
    </row>
    <row r="617">
      <c r="B617" s="126"/>
      <c r="C617" s="126"/>
      <c r="D617" s="126"/>
      <c r="E617" s="127"/>
      <c r="F617" s="127"/>
      <c r="G617" s="128"/>
      <c r="H617" s="129"/>
    </row>
    <row r="618">
      <c r="B618" s="126"/>
      <c r="C618" s="126"/>
      <c r="D618" s="126"/>
      <c r="E618" s="127"/>
      <c r="F618" s="127"/>
      <c r="G618" s="128"/>
      <c r="H618" s="129"/>
    </row>
    <row r="619">
      <c r="B619" s="126"/>
      <c r="C619" s="126"/>
      <c r="D619" s="126"/>
      <c r="E619" s="127"/>
      <c r="F619" s="127"/>
      <c r="G619" s="128"/>
      <c r="H619" s="129"/>
    </row>
    <row r="620">
      <c r="B620" s="126"/>
      <c r="C620" s="126"/>
      <c r="D620" s="126"/>
      <c r="E620" s="127"/>
      <c r="F620" s="127"/>
      <c r="G620" s="128"/>
      <c r="H620" s="129"/>
    </row>
    <row r="621">
      <c r="B621" s="126"/>
      <c r="C621" s="126"/>
      <c r="D621" s="126"/>
      <c r="E621" s="127"/>
      <c r="F621" s="127"/>
      <c r="G621" s="128"/>
      <c r="H621" s="129"/>
    </row>
    <row r="622">
      <c r="B622" s="126"/>
      <c r="C622" s="126"/>
      <c r="D622" s="126"/>
      <c r="E622" s="127"/>
      <c r="F622" s="127"/>
      <c r="G622" s="128"/>
      <c r="H622" s="129"/>
    </row>
    <row r="623">
      <c r="B623" s="126"/>
      <c r="C623" s="126"/>
      <c r="D623" s="126"/>
      <c r="E623" s="127"/>
      <c r="F623" s="127"/>
      <c r="G623" s="128"/>
      <c r="H623" s="129"/>
    </row>
    <row r="624">
      <c r="B624" s="126"/>
      <c r="C624" s="126"/>
      <c r="D624" s="126"/>
      <c r="E624" s="127"/>
      <c r="F624" s="127"/>
      <c r="G624" s="128"/>
      <c r="H624" s="129"/>
    </row>
    <row r="625">
      <c r="B625" s="126"/>
      <c r="C625" s="126"/>
      <c r="D625" s="126"/>
      <c r="E625" s="127"/>
      <c r="F625" s="127"/>
      <c r="G625" s="128"/>
      <c r="H625" s="129"/>
    </row>
    <row r="626">
      <c r="B626" s="126"/>
      <c r="C626" s="126"/>
      <c r="D626" s="126"/>
      <c r="E626" s="127"/>
      <c r="F626" s="127"/>
      <c r="G626" s="128"/>
      <c r="H626" s="129"/>
    </row>
    <row r="627">
      <c r="B627" s="126"/>
      <c r="C627" s="126"/>
      <c r="D627" s="126"/>
      <c r="E627" s="127"/>
      <c r="F627" s="127"/>
      <c r="G627" s="128"/>
      <c r="H627" s="129"/>
    </row>
    <row r="628">
      <c r="B628" s="126"/>
      <c r="C628" s="126"/>
      <c r="D628" s="126"/>
      <c r="E628" s="127"/>
      <c r="F628" s="127"/>
      <c r="G628" s="128"/>
      <c r="H628" s="129"/>
    </row>
    <row r="629">
      <c r="B629" s="126"/>
      <c r="C629" s="126"/>
      <c r="D629" s="126"/>
      <c r="E629" s="127"/>
      <c r="F629" s="127"/>
      <c r="G629" s="128"/>
      <c r="H629" s="129"/>
    </row>
    <row r="630">
      <c r="B630" s="126"/>
      <c r="C630" s="126"/>
      <c r="D630" s="126"/>
      <c r="E630" s="127"/>
      <c r="F630" s="127"/>
      <c r="G630" s="128"/>
      <c r="H630" s="129"/>
    </row>
    <row r="631">
      <c r="B631" s="126"/>
      <c r="C631" s="126"/>
      <c r="D631" s="126"/>
      <c r="E631" s="127"/>
      <c r="F631" s="127"/>
      <c r="G631" s="128"/>
      <c r="H631" s="129"/>
    </row>
    <row r="632">
      <c r="B632" s="126"/>
      <c r="C632" s="126"/>
      <c r="D632" s="126"/>
      <c r="E632" s="127"/>
      <c r="F632" s="127"/>
      <c r="G632" s="128"/>
      <c r="H632" s="129"/>
    </row>
    <row r="633">
      <c r="B633" s="126"/>
      <c r="C633" s="126"/>
      <c r="D633" s="126"/>
      <c r="E633" s="127"/>
      <c r="F633" s="127"/>
      <c r="G633" s="128"/>
      <c r="H633" s="129"/>
    </row>
    <row r="634">
      <c r="B634" s="126"/>
      <c r="C634" s="126"/>
      <c r="D634" s="126"/>
      <c r="E634" s="127"/>
      <c r="F634" s="127"/>
      <c r="G634" s="128"/>
      <c r="H634" s="129"/>
    </row>
    <row r="635">
      <c r="B635" s="126"/>
      <c r="C635" s="126"/>
      <c r="D635" s="126"/>
      <c r="E635" s="127"/>
      <c r="F635" s="127"/>
      <c r="G635" s="128"/>
      <c r="H635" s="129"/>
    </row>
    <row r="636">
      <c r="B636" s="126"/>
      <c r="C636" s="126"/>
      <c r="D636" s="126"/>
      <c r="E636" s="127"/>
      <c r="F636" s="127"/>
      <c r="G636" s="128"/>
      <c r="H636" s="129"/>
    </row>
    <row r="637">
      <c r="B637" s="126"/>
      <c r="C637" s="126"/>
      <c r="D637" s="126"/>
      <c r="E637" s="127"/>
      <c r="F637" s="127"/>
      <c r="G637" s="128"/>
      <c r="H637" s="129"/>
    </row>
    <row r="638">
      <c r="B638" s="126"/>
      <c r="C638" s="126"/>
      <c r="D638" s="126"/>
      <c r="E638" s="127"/>
      <c r="F638" s="127"/>
      <c r="G638" s="128"/>
      <c r="H638" s="129"/>
    </row>
    <row r="639">
      <c r="B639" s="126"/>
      <c r="C639" s="126"/>
      <c r="D639" s="126"/>
      <c r="E639" s="127"/>
      <c r="F639" s="127"/>
      <c r="G639" s="128"/>
      <c r="H639" s="129"/>
    </row>
    <row r="640">
      <c r="B640" s="126"/>
      <c r="C640" s="126"/>
      <c r="D640" s="126"/>
      <c r="E640" s="127"/>
      <c r="F640" s="127"/>
      <c r="G640" s="128"/>
      <c r="H640" s="129"/>
    </row>
    <row r="641">
      <c r="B641" s="126"/>
      <c r="C641" s="126"/>
      <c r="D641" s="126"/>
      <c r="E641" s="127"/>
      <c r="F641" s="127"/>
      <c r="G641" s="128"/>
      <c r="H641" s="129"/>
    </row>
    <row r="642">
      <c r="B642" s="126"/>
      <c r="C642" s="126"/>
      <c r="D642" s="126"/>
      <c r="E642" s="127"/>
      <c r="F642" s="127"/>
      <c r="G642" s="128"/>
      <c r="H642" s="129"/>
    </row>
    <row r="643">
      <c r="B643" s="126"/>
      <c r="C643" s="126"/>
      <c r="D643" s="126"/>
      <c r="E643" s="127"/>
      <c r="F643" s="127"/>
      <c r="G643" s="128"/>
      <c r="H643" s="129"/>
    </row>
    <row r="644">
      <c r="B644" s="126"/>
      <c r="C644" s="126"/>
      <c r="D644" s="126"/>
      <c r="E644" s="127"/>
      <c r="F644" s="127"/>
      <c r="G644" s="128"/>
      <c r="H644" s="129"/>
    </row>
    <row r="645">
      <c r="B645" s="126"/>
      <c r="C645" s="126"/>
      <c r="D645" s="126"/>
      <c r="E645" s="127"/>
      <c r="F645" s="127"/>
      <c r="G645" s="128"/>
      <c r="H645" s="129"/>
    </row>
    <row r="646">
      <c r="B646" s="126"/>
      <c r="C646" s="126"/>
      <c r="D646" s="126"/>
      <c r="E646" s="127"/>
      <c r="F646" s="127"/>
      <c r="G646" s="128"/>
      <c r="H646" s="129"/>
    </row>
    <row r="647">
      <c r="B647" s="126"/>
      <c r="C647" s="126"/>
      <c r="D647" s="126"/>
      <c r="E647" s="127"/>
      <c r="F647" s="127"/>
      <c r="G647" s="128"/>
      <c r="H647" s="129"/>
    </row>
    <row r="648">
      <c r="B648" s="126"/>
      <c r="C648" s="126"/>
      <c r="D648" s="126"/>
      <c r="E648" s="127"/>
      <c r="F648" s="127"/>
      <c r="G648" s="128"/>
      <c r="H648" s="129"/>
    </row>
    <row r="649">
      <c r="B649" s="126"/>
      <c r="C649" s="126"/>
      <c r="D649" s="126"/>
      <c r="E649" s="127"/>
      <c r="F649" s="127"/>
      <c r="G649" s="128"/>
      <c r="H649" s="129"/>
    </row>
    <row r="650">
      <c r="B650" s="126"/>
      <c r="C650" s="126"/>
      <c r="D650" s="126"/>
      <c r="E650" s="127"/>
      <c r="F650" s="127"/>
      <c r="G650" s="128"/>
      <c r="H650" s="129"/>
    </row>
    <row r="651">
      <c r="B651" s="126"/>
      <c r="C651" s="126"/>
      <c r="D651" s="126"/>
      <c r="E651" s="127"/>
      <c r="F651" s="127"/>
      <c r="G651" s="128"/>
      <c r="H651" s="129"/>
    </row>
    <row r="652">
      <c r="B652" s="126"/>
      <c r="C652" s="126"/>
      <c r="D652" s="126"/>
      <c r="E652" s="127"/>
      <c r="F652" s="127"/>
      <c r="G652" s="128"/>
      <c r="H652" s="129"/>
    </row>
    <row r="653">
      <c r="B653" s="126"/>
      <c r="C653" s="126"/>
      <c r="D653" s="126"/>
      <c r="E653" s="127"/>
      <c r="F653" s="127"/>
      <c r="G653" s="128"/>
      <c r="H653" s="129"/>
    </row>
    <row r="654">
      <c r="B654" s="126"/>
      <c r="C654" s="126"/>
      <c r="D654" s="126"/>
      <c r="E654" s="127"/>
      <c r="F654" s="127"/>
      <c r="G654" s="128"/>
      <c r="H654" s="129"/>
    </row>
    <row r="655">
      <c r="B655" s="126"/>
      <c r="C655" s="126"/>
      <c r="D655" s="126"/>
      <c r="E655" s="127"/>
      <c r="F655" s="127"/>
      <c r="G655" s="128"/>
      <c r="H655" s="129"/>
    </row>
    <row r="656">
      <c r="B656" s="126"/>
      <c r="C656" s="126"/>
      <c r="D656" s="126"/>
      <c r="E656" s="127"/>
      <c r="F656" s="127"/>
      <c r="G656" s="128"/>
      <c r="H656" s="129"/>
    </row>
    <row r="657">
      <c r="B657" s="126"/>
      <c r="C657" s="126"/>
      <c r="D657" s="126"/>
      <c r="E657" s="127"/>
      <c r="F657" s="127"/>
      <c r="G657" s="128"/>
      <c r="H657" s="129"/>
    </row>
    <row r="658">
      <c r="B658" s="126"/>
      <c r="C658" s="126"/>
      <c r="D658" s="126"/>
      <c r="E658" s="127"/>
      <c r="F658" s="127"/>
      <c r="G658" s="128"/>
      <c r="H658" s="129"/>
    </row>
    <row r="659">
      <c r="B659" s="126"/>
      <c r="C659" s="126"/>
      <c r="D659" s="126"/>
      <c r="E659" s="127"/>
      <c r="F659" s="127"/>
      <c r="G659" s="128"/>
      <c r="H659" s="129"/>
    </row>
    <row r="660">
      <c r="B660" s="126"/>
      <c r="C660" s="126"/>
      <c r="D660" s="126"/>
      <c r="E660" s="127"/>
      <c r="F660" s="127"/>
      <c r="G660" s="128"/>
      <c r="H660" s="129"/>
    </row>
    <row r="661">
      <c r="B661" s="126"/>
      <c r="C661" s="126"/>
      <c r="D661" s="126"/>
      <c r="E661" s="127"/>
      <c r="F661" s="127"/>
      <c r="G661" s="128"/>
      <c r="H661" s="129"/>
    </row>
    <row r="662">
      <c r="B662" s="126"/>
      <c r="C662" s="126"/>
      <c r="D662" s="126"/>
      <c r="E662" s="127"/>
      <c r="F662" s="127"/>
      <c r="G662" s="128"/>
      <c r="H662" s="129"/>
    </row>
    <row r="663">
      <c r="B663" s="126"/>
      <c r="C663" s="126"/>
      <c r="D663" s="126"/>
      <c r="E663" s="127"/>
      <c r="F663" s="127"/>
      <c r="G663" s="128"/>
      <c r="H663" s="129"/>
    </row>
    <row r="664">
      <c r="B664" s="126"/>
      <c r="C664" s="126"/>
      <c r="D664" s="126"/>
      <c r="E664" s="127"/>
      <c r="F664" s="127"/>
      <c r="G664" s="128"/>
      <c r="H664" s="129"/>
    </row>
    <row r="665">
      <c r="B665" s="126"/>
      <c r="C665" s="126"/>
      <c r="D665" s="126"/>
      <c r="E665" s="127"/>
      <c r="F665" s="127"/>
      <c r="G665" s="128"/>
      <c r="H665" s="129"/>
    </row>
    <row r="666">
      <c r="B666" s="126"/>
      <c r="C666" s="126"/>
      <c r="D666" s="126"/>
      <c r="E666" s="127"/>
      <c r="F666" s="127"/>
      <c r="G666" s="128"/>
      <c r="H666" s="129"/>
    </row>
    <row r="667">
      <c r="B667" s="126"/>
      <c r="C667" s="126"/>
      <c r="D667" s="126"/>
      <c r="E667" s="127"/>
      <c r="F667" s="127"/>
      <c r="G667" s="128"/>
      <c r="H667" s="129"/>
    </row>
    <row r="668">
      <c r="B668" s="126"/>
      <c r="C668" s="126"/>
      <c r="D668" s="126"/>
      <c r="E668" s="127"/>
      <c r="F668" s="127"/>
      <c r="G668" s="128"/>
      <c r="H668" s="129"/>
    </row>
    <row r="669">
      <c r="B669" s="126"/>
      <c r="C669" s="126"/>
      <c r="D669" s="126"/>
      <c r="E669" s="127"/>
      <c r="F669" s="127"/>
      <c r="G669" s="128"/>
      <c r="H669" s="129"/>
    </row>
    <row r="670">
      <c r="B670" s="126"/>
      <c r="C670" s="126"/>
      <c r="D670" s="126"/>
      <c r="E670" s="127"/>
      <c r="F670" s="127"/>
      <c r="G670" s="128"/>
      <c r="H670" s="129"/>
    </row>
    <row r="671">
      <c r="B671" s="126"/>
      <c r="C671" s="126"/>
      <c r="D671" s="126"/>
      <c r="E671" s="127"/>
      <c r="F671" s="127"/>
      <c r="G671" s="128"/>
      <c r="H671" s="129"/>
    </row>
    <row r="672">
      <c r="B672" s="126"/>
      <c r="C672" s="126"/>
      <c r="D672" s="126"/>
      <c r="E672" s="127"/>
      <c r="F672" s="127"/>
      <c r="G672" s="128"/>
      <c r="H672" s="129"/>
    </row>
    <row r="673">
      <c r="B673" s="126"/>
      <c r="C673" s="126"/>
      <c r="D673" s="126"/>
      <c r="E673" s="127"/>
      <c r="F673" s="127"/>
      <c r="G673" s="128"/>
      <c r="H673" s="129"/>
    </row>
    <row r="674">
      <c r="B674" s="126"/>
      <c r="C674" s="126"/>
      <c r="D674" s="126"/>
      <c r="E674" s="127"/>
      <c r="F674" s="127"/>
      <c r="G674" s="128"/>
      <c r="H674" s="129"/>
    </row>
    <row r="675">
      <c r="B675" s="126"/>
      <c r="C675" s="126"/>
      <c r="D675" s="126"/>
      <c r="E675" s="127"/>
      <c r="F675" s="127"/>
      <c r="G675" s="128"/>
      <c r="H675" s="129"/>
    </row>
    <row r="676">
      <c r="B676" s="126"/>
      <c r="C676" s="126"/>
      <c r="D676" s="126"/>
      <c r="E676" s="127"/>
      <c r="F676" s="127"/>
      <c r="G676" s="128"/>
      <c r="H676" s="129"/>
    </row>
    <row r="677">
      <c r="B677" s="126"/>
      <c r="C677" s="126"/>
      <c r="D677" s="126"/>
      <c r="E677" s="127"/>
      <c r="F677" s="127"/>
      <c r="G677" s="128"/>
      <c r="H677" s="129"/>
    </row>
    <row r="678">
      <c r="B678" s="126"/>
      <c r="C678" s="126"/>
      <c r="D678" s="126"/>
      <c r="E678" s="127"/>
      <c r="F678" s="127"/>
      <c r="G678" s="128"/>
      <c r="H678" s="129"/>
    </row>
    <row r="679">
      <c r="B679" s="126"/>
      <c r="C679" s="126"/>
      <c r="D679" s="126"/>
      <c r="E679" s="127"/>
      <c r="F679" s="127"/>
      <c r="G679" s="128"/>
      <c r="H679" s="129"/>
    </row>
    <row r="680">
      <c r="B680" s="126"/>
      <c r="C680" s="126"/>
      <c r="D680" s="126"/>
      <c r="E680" s="127"/>
      <c r="F680" s="127"/>
      <c r="G680" s="128"/>
      <c r="H680" s="129"/>
    </row>
    <row r="681">
      <c r="B681" s="126"/>
      <c r="C681" s="126"/>
      <c r="D681" s="126"/>
      <c r="E681" s="127"/>
      <c r="F681" s="127"/>
      <c r="G681" s="128"/>
      <c r="H681" s="129"/>
    </row>
    <row r="682">
      <c r="B682" s="126"/>
      <c r="C682" s="126"/>
      <c r="D682" s="126"/>
      <c r="E682" s="127"/>
      <c r="F682" s="127"/>
      <c r="G682" s="128"/>
      <c r="H682" s="129"/>
    </row>
    <row r="683">
      <c r="B683" s="126"/>
      <c r="C683" s="126"/>
      <c r="D683" s="126"/>
      <c r="E683" s="127"/>
      <c r="F683" s="127"/>
      <c r="G683" s="128"/>
      <c r="H683" s="129"/>
    </row>
    <row r="684">
      <c r="B684" s="126"/>
      <c r="C684" s="126"/>
      <c r="D684" s="126"/>
      <c r="E684" s="127"/>
      <c r="F684" s="127"/>
      <c r="G684" s="128"/>
      <c r="H684" s="129"/>
    </row>
    <row r="685">
      <c r="B685" s="126"/>
      <c r="C685" s="126"/>
      <c r="D685" s="126"/>
      <c r="E685" s="127"/>
      <c r="F685" s="127"/>
      <c r="G685" s="128"/>
      <c r="H685" s="129"/>
    </row>
    <row r="686">
      <c r="B686" s="126"/>
      <c r="C686" s="126"/>
      <c r="D686" s="126"/>
      <c r="E686" s="127"/>
      <c r="F686" s="127"/>
      <c r="G686" s="128"/>
      <c r="H686" s="129"/>
    </row>
    <row r="687">
      <c r="B687" s="126"/>
      <c r="C687" s="126"/>
      <c r="D687" s="126"/>
      <c r="E687" s="127"/>
      <c r="F687" s="127"/>
      <c r="G687" s="128"/>
      <c r="H687" s="129"/>
    </row>
    <row r="688">
      <c r="B688" s="126"/>
      <c r="C688" s="126"/>
      <c r="D688" s="126"/>
      <c r="E688" s="127"/>
      <c r="F688" s="127"/>
      <c r="G688" s="128"/>
      <c r="H688" s="129"/>
    </row>
    <row r="689">
      <c r="B689" s="126"/>
      <c r="C689" s="126"/>
      <c r="D689" s="126"/>
      <c r="E689" s="127"/>
      <c r="F689" s="127"/>
      <c r="G689" s="128"/>
      <c r="H689" s="129"/>
    </row>
    <row r="690">
      <c r="B690" s="126"/>
      <c r="C690" s="126"/>
      <c r="D690" s="126"/>
      <c r="E690" s="127"/>
      <c r="F690" s="127"/>
      <c r="G690" s="128"/>
      <c r="H690" s="129"/>
    </row>
    <row r="691">
      <c r="B691" s="126"/>
      <c r="C691" s="126"/>
      <c r="D691" s="126"/>
      <c r="E691" s="127"/>
      <c r="F691" s="127"/>
      <c r="G691" s="128"/>
      <c r="H691" s="129"/>
    </row>
    <row r="692">
      <c r="B692" s="126"/>
      <c r="C692" s="126"/>
      <c r="D692" s="126"/>
      <c r="E692" s="127"/>
      <c r="F692" s="127"/>
      <c r="G692" s="128"/>
      <c r="H692" s="129"/>
    </row>
    <row r="693">
      <c r="B693" s="126"/>
      <c r="C693" s="126"/>
      <c r="D693" s="126"/>
      <c r="E693" s="127"/>
      <c r="F693" s="127"/>
      <c r="G693" s="128"/>
      <c r="H693" s="129"/>
    </row>
    <row r="694">
      <c r="B694" s="126"/>
      <c r="C694" s="126"/>
      <c r="D694" s="126"/>
      <c r="E694" s="127"/>
      <c r="F694" s="127"/>
      <c r="G694" s="128"/>
      <c r="H694" s="129"/>
    </row>
    <row r="695">
      <c r="B695" s="126"/>
      <c r="C695" s="126"/>
      <c r="D695" s="126"/>
      <c r="E695" s="127"/>
      <c r="F695" s="127"/>
      <c r="G695" s="128"/>
      <c r="H695" s="129"/>
    </row>
    <row r="696">
      <c r="B696" s="126"/>
      <c r="C696" s="126"/>
      <c r="D696" s="126"/>
      <c r="E696" s="127"/>
      <c r="F696" s="127"/>
      <c r="G696" s="128"/>
      <c r="H696" s="129"/>
    </row>
    <row r="697">
      <c r="B697" s="126"/>
      <c r="C697" s="126"/>
      <c r="D697" s="126"/>
      <c r="E697" s="127"/>
      <c r="F697" s="127"/>
      <c r="G697" s="128"/>
      <c r="H697" s="129"/>
    </row>
    <row r="698">
      <c r="B698" s="126"/>
      <c r="C698" s="126"/>
      <c r="D698" s="126"/>
      <c r="E698" s="127"/>
      <c r="F698" s="127"/>
      <c r="G698" s="128"/>
      <c r="H698" s="129"/>
    </row>
    <row r="699">
      <c r="B699" s="126"/>
      <c r="C699" s="126"/>
      <c r="D699" s="126"/>
      <c r="E699" s="127"/>
      <c r="F699" s="127"/>
      <c r="G699" s="128"/>
      <c r="H699" s="129"/>
    </row>
    <row r="700">
      <c r="B700" s="126"/>
      <c r="C700" s="126"/>
      <c r="D700" s="126"/>
      <c r="E700" s="127"/>
      <c r="F700" s="127"/>
      <c r="G700" s="128"/>
      <c r="H700" s="129"/>
    </row>
    <row r="701">
      <c r="B701" s="126"/>
      <c r="C701" s="126"/>
      <c r="D701" s="126"/>
      <c r="E701" s="127"/>
      <c r="F701" s="127"/>
      <c r="G701" s="128"/>
      <c r="H701" s="129"/>
    </row>
    <row r="702">
      <c r="B702" s="126"/>
      <c r="C702" s="126"/>
      <c r="D702" s="126"/>
      <c r="E702" s="127"/>
      <c r="F702" s="127"/>
      <c r="G702" s="128"/>
      <c r="H702" s="129"/>
    </row>
    <row r="703">
      <c r="B703" s="126"/>
      <c r="C703" s="126"/>
      <c r="D703" s="126"/>
      <c r="E703" s="127"/>
      <c r="F703" s="127"/>
      <c r="G703" s="128"/>
      <c r="H703" s="129"/>
    </row>
    <row r="704">
      <c r="B704" s="126"/>
      <c r="C704" s="126"/>
      <c r="D704" s="126"/>
      <c r="E704" s="127"/>
      <c r="F704" s="127"/>
      <c r="G704" s="128"/>
      <c r="H704" s="129"/>
    </row>
    <row r="705">
      <c r="B705" s="126"/>
      <c r="C705" s="126"/>
      <c r="D705" s="126"/>
      <c r="E705" s="127"/>
      <c r="F705" s="127"/>
      <c r="G705" s="128"/>
      <c r="H705" s="129"/>
    </row>
    <row r="706">
      <c r="B706" s="126"/>
      <c r="C706" s="126"/>
      <c r="D706" s="126"/>
      <c r="E706" s="127"/>
      <c r="F706" s="127"/>
      <c r="G706" s="128"/>
      <c r="H706" s="129"/>
    </row>
    <row r="707">
      <c r="B707" s="126"/>
      <c r="C707" s="126"/>
      <c r="D707" s="126"/>
      <c r="E707" s="127"/>
      <c r="F707" s="127"/>
      <c r="G707" s="128"/>
      <c r="H707" s="129"/>
    </row>
    <row r="708">
      <c r="B708" s="126"/>
      <c r="C708" s="126"/>
      <c r="D708" s="126"/>
      <c r="E708" s="127"/>
      <c r="F708" s="127"/>
      <c r="G708" s="128"/>
      <c r="H708" s="129"/>
    </row>
    <row r="709">
      <c r="B709" s="126"/>
      <c r="C709" s="126"/>
      <c r="D709" s="126"/>
      <c r="E709" s="127"/>
      <c r="F709" s="127"/>
      <c r="G709" s="128"/>
      <c r="H709" s="129"/>
    </row>
    <row r="710">
      <c r="B710" s="126"/>
      <c r="C710" s="126"/>
      <c r="D710" s="126"/>
      <c r="E710" s="127"/>
      <c r="F710" s="127"/>
      <c r="G710" s="128"/>
      <c r="H710" s="129"/>
    </row>
    <row r="711">
      <c r="B711" s="126"/>
      <c r="C711" s="126"/>
      <c r="D711" s="126"/>
      <c r="E711" s="127"/>
      <c r="F711" s="127"/>
      <c r="G711" s="128"/>
      <c r="H711" s="129"/>
    </row>
    <row r="712">
      <c r="B712" s="126"/>
      <c r="C712" s="126"/>
      <c r="D712" s="126"/>
      <c r="E712" s="127"/>
      <c r="F712" s="127"/>
      <c r="G712" s="128"/>
      <c r="H712" s="129"/>
    </row>
    <row r="713">
      <c r="B713" s="126"/>
      <c r="C713" s="126"/>
      <c r="D713" s="126"/>
      <c r="E713" s="127"/>
      <c r="F713" s="127"/>
      <c r="G713" s="128"/>
      <c r="H713" s="129"/>
    </row>
    <row r="714">
      <c r="B714" s="126"/>
      <c r="C714" s="126"/>
      <c r="D714" s="126"/>
      <c r="E714" s="127"/>
      <c r="F714" s="127"/>
      <c r="G714" s="128"/>
      <c r="H714" s="129"/>
    </row>
    <row r="715">
      <c r="B715" s="126"/>
      <c r="C715" s="126"/>
      <c r="D715" s="126"/>
      <c r="E715" s="127"/>
      <c r="F715" s="127"/>
      <c r="G715" s="128"/>
      <c r="H715" s="129"/>
    </row>
    <row r="716">
      <c r="B716" s="126"/>
      <c r="C716" s="126"/>
      <c r="D716" s="126"/>
      <c r="E716" s="127"/>
      <c r="F716" s="127"/>
      <c r="G716" s="128"/>
      <c r="H716" s="129"/>
    </row>
    <row r="717">
      <c r="B717" s="126"/>
      <c r="C717" s="126"/>
      <c r="D717" s="126"/>
      <c r="E717" s="127"/>
      <c r="F717" s="127"/>
      <c r="G717" s="128"/>
      <c r="H717" s="129"/>
    </row>
    <row r="718">
      <c r="B718" s="126"/>
      <c r="C718" s="126"/>
      <c r="D718" s="126"/>
      <c r="E718" s="127"/>
      <c r="F718" s="127"/>
      <c r="G718" s="128"/>
      <c r="H718" s="129"/>
    </row>
    <row r="719">
      <c r="B719" s="126"/>
      <c r="C719" s="126"/>
      <c r="D719" s="126"/>
      <c r="E719" s="127"/>
      <c r="F719" s="127"/>
      <c r="G719" s="128"/>
      <c r="H719" s="129"/>
    </row>
    <row r="720">
      <c r="B720" s="126"/>
      <c r="C720" s="126"/>
      <c r="D720" s="126"/>
      <c r="E720" s="127"/>
      <c r="F720" s="127"/>
      <c r="G720" s="128"/>
      <c r="H720" s="129"/>
    </row>
    <row r="721">
      <c r="B721" s="126"/>
      <c r="C721" s="126"/>
      <c r="D721" s="126"/>
      <c r="E721" s="127"/>
      <c r="F721" s="127"/>
      <c r="G721" s="128"/>
      <c r="H721" s="129"/>
    </row>
    <row r="722">
      <c r="B722" s="126"/>
      <c r="C722" s="126"/>
      <c r="D722" s="126"/>
      <c r="E722" s="127"/>
      <c r="F722" s="127"/>
      <c r="G722" s="128"/>
      <c r="H722" s="129"/>
    </row>
    <row r="723">
      <c r="B723" s="126"/>
      <c r="C723" s="126"/>
      <c r="D723" s="126"/>
      <c r="E723" s="127"/>
      <c r="F723" s="127"/>
      <c r="G723" s="128"/>
      <c r="H723" s="129"/>
    </row>
    <row r="724">
      <c r="B724" s="126"/>
      <c r="C724" s="126"/>
      <c r="D724" s="126"/>
      <c r="E724" s="127"/>
      <c r="F724" s="127"/>
      <c r="G724" s="128"/>
      <c r="H724" s="129"/>
    </row>
    <row r="725">
      <c r="B725" s="126"/>
      <c r="C725" s="126"/>
      <c r="D725" s="126"/>
      <c r="E725" s="127"/>
      <c r="F725" s="127"/>
      <c r="G725" s="128"/>
      <c r="H725" s="129"/>
    </row>
    <row r="726">
      <c r="B726" s="126"/>
      <c r="C726" s="126"/>
      <c r="D726" s="126"/>
      <c r="E726" s="127"/>
      <c r="F726" s="127"/>
      <c r="G726" s="128"/>
      <c r="H726" s="129"/>
    </row>
    <row r="727">
      <c r="B727" s="126"/>
      <c r="C727" s="126"/>
      <c r="D727" s="126"/>
      <c r="E727" s="127"/>
      <c r="F727" s="127"/>
      <c r="G727" s="128"/>
      <c r="H727" s="129"/>
    </row>
    <row r="728">
      <c r="B728" s="126"/>
      <c r="C728" s="126"/>
      <c r="D728" s="126"/>
      <c r="E728" s="127"/>
      <c r="F728" s="127"/>
      <c r="G728" s="128"/>
      <c r="H728" s="129"/>
    </row>
    <row r="729">
      <c r="B729" s="126"/>
      <c r="C729" s="126"/>
      <c r="D729" s="126"/>
      <c r="E729" s="127"/>
      <c r="F729" s="127"/>
      <c r="G729" s="128"/>
      <c r="H729" s="129"/>
    </row>
    <row r="730">
      <c r="B730" s="126"/>
      <c r="C730" s="126"/>
      <c r="D730" s="126"/>
      <c r="E730" s="127"/>
      <c r="F730" s="127"/>
      <c r="G730" s="128"/>
      <c r="H730" s="129"/>
    </row>
    <row r="731">
      <c r="B731" s="126"/>
      <c r="C731" s="126"/>
      <c r="D731" s="126"/>
      <c r="E731" s="127"/>
      <c r="F731" s="127"/>
      <c r="G731" s="128"/>
      <c r="H731" s="129"/>
    </row>
    <row r="732">
      <c r="B732" s="126"/>
      <c r="C732" s="126"/>
      <c r="D732" s="126"/>
      <c r="E732" s="127"/>
      <c r="F732" s="127"/>
      <c r="G732" s="128"/>
      <c r="H732" s="129"/>
    </row>
    <row r="733">
      <c r="B733" s="126"/>
      <c r="C733" s="126"/>
      <c r="D733" s="126"/>
      <c r="E733" s="127"/>
      <c r="F733" s="127"/>
      <c r="G733" s="128"/>
      <c r="H733" s="129"/>
    </row>
    <row r="734">
      <c r="B734" s="126"/>
      <c r="C734" s="126"/>
      <c r="D734" s="126"/>
      <c r="E734" s="127"/>
      <c r="F734" s="127"/>
      <c r="G734" s="128"/>
      <c r="H734" s="129"/>
    </row>
    <row r="735">
      <c r="B735" s="126"/>
      <c r="C735" s="126"/>
      <c r="D735" s="126"/>
      <c r="E735" s="127"/>
      <c r="F735" s="127"/>
      <c r="G735" s="128"/>
      <c r="H735" s="129"/>
    </row>
    <row r="736">
      <c r="B736" s="126"/>
      <c r="C736" s="126"/>
      <c r="D736" s="126"/>
      <c r="E736" s="127"/>
      <c r="F736" s="127"/>
      <c r="G736" s="128"/>
      <c r="H736" s="129"/>
    </row>
    <row r="737">
      <c r="B737" s="126"/>
      <c r="C737" s="126"/>
      <c r="D737" s="126"/>
      <c r="E737" s="127"/>
      <c r="F737" s="127"/>
      <c r="G737" s="128"/>
      <c r="H737" s="129"/>
    </row>
    <row r="738">
      <c r="B738" s="126"/>
      <c r="C738" s="126"/>
      <c r="D738" s="126"/>
      <c r="E738" s="127"/>
      <c r="F738" s="127"/>
      <c r="G738" s="128"/>
      <c r="H738" s="129"/>
    </row>
    <row r="739">
      <c r="B739" s="126"/>
      <c r="C739" s="126"/>
      <c r="D739" s="126"/>
      <c r="E739" s="127"/>
      <c r="F739" s="127"/>
      <c r="G739" s="128"/>
      <c r="H739" s="129"/>
    </row>
    <row r="740">
      <c r="B740" s="126"/>
      <c r="C740" s="126"/>
      <c r="D740" s="126"/>
      <c r="E740" s="127"/>
      <c r="F740" s="127"/>
      <c r="G740" s="128"/>
      <c r="H740" s="129"/>
    </row>
    <row r="741">
      <c r="B741" s="126"/>
      <c r="C741" s="126"/>
      <c r="D741" s="126"/>
      <c r="E741" s="127"/>
      <c r="F741" s="127"/>
      <c r="G741" s="128"/>
      <c r="H741" s="129"/>
    </row>
    <row r="742">
      <c r="B742" s="126"/>
      <c r="C742" s="126"/>
      <c r="D742" s="126"/>
      <c r="E742" s="127"/>
      <c r="F742" s="127"/>
      <c r="G742" s="128"/>
      <c r="H742" s="129"/>
    </row>
    <row r="743">
      <c r="B743" s="126"/>
      <c r="C743" s="126"/>
      <c r="D743" s="126"/>
      <c r="E743" s="127"/>
      <c r="F743" s="127"/>
      <c r="G743" s="128"/>
      <c r="H743" s="129"/>
    </row>
    <row r="744">
      <c r="B744" s="126"/>
      <c r="C744" s="126"/>
      <c r="D744" s="126"/>
      <c r="E744" s="127"/>
      <c r="F744" s="127"/>
      <c r="G744" s="128"/>
      <c r="H744" s="129"/>
    </row>
    <row r="745">
      <c r="B745" s="126"/>
      <c r="C745" s="126"/>
      <c r="D745" s="126"/>
      <c r="E745" s="127"/>
      <c r="F745" s="127"/>
      <c r="G745" s="128"/>
      <c r="H745" s="129"/>
    </row>
    <row r="746">
      <c r="B746" s="126"/>
      <c r="C746" s="126"/>
      <c r="D746" s="126"/>
      <c r="E746" s="127"/>
      <c r="F746" s="127"/>
      <c r="G746" s="128"/>
      <c r="H746" s="129"/>
    </row>
    <row r="747">
      <c r="B747" s="126"/>
      <c r="C747" s="126"/>
      <c r="D747" s="126"/>
      <c r="E747" s="127"/>
      <c r="F747" s="127"/>
      <c r="G747" s="128"/>
      <c r="H747" s="129"/>
    </row>
    <row r="748">
      <c r="B748" s="126"/>
      <c r="C748" s="126"/>
      <c r="D748" s="126"/>
      <c r="E748" s="127"/>
      <c r="F748" s="127"/>
      <c r="G748" s="128"/>
      <c r="H748" s="129"/>
    </row>
    <row r="749">
      <c r="B749" s="126"/>
      <c r="C749" s="126"/>
      <c r="D749" s="126"/>
      <c r="E749" s="127"/>
      <c r="F749" s="127"/>
      <c r="G749" s="128"/>
      <c r="H749" s="129"/>
    </row>
    <row r="750">
      <c r="B750" s="126"/>
      <c r="C750" s="126"/>
      <c r="D750" s="126"/>
      <c r="E750" s="127"/>
      <c r="F750" s="127"/>
      <c r="G750" s="128"/>
      <c r="H750" s="129"/>
    </row>
    <row r="751">
      <c r="B751" s="126"/>
      <c r="C751" s="126"/>
      <c r="D751" s="126"/>
      <c r="E751" s="127"/>
      <c r="F751" s="127"/>
      <c r="G751" s="128"/>
      <c r="H751" s="129"/>
    </row>
    <row r="752">
      <c r="B752" s="126"/>
      <c r="C752" s="126"/>
      <c r="D752" s="126"/>
      <c r="E752" s="127"/>
      <c r="F752" s="127"/>
      <c r="G752" s="128"/>
      <c r="H752" s="129"/>
    </row>
    <row r="753">
      <c r="B753" s="126"/>
      <c r="C753" s="126"/>
      <c r="D753" s="126"/>
      <c r="E753" s="127"/>
      <c r="F753" s="127"/>
      <c r="G753" s="128"/>
      <c r="H753" s="129"/>
    </row>
    <row r="754">
      <c r="B754" s="126"/>
      <c r="C754" s="126"/>
      <c r="D754" s="126"/>
      <c r="E754" s="127"/>
      <c r="F754" s="127"/>
      <c r="G754" s="128"/>
      <c r="H754" s="129"/>
    </row>
    <row r="755">
      <c r="B755" s="126"/>
      <c r="C755" s="126"/>
      <c r="D755" s="126"/>
      <c r="E755" s="127"/>
      <c r="F755" s="127"/>
      <c r="G755" s="128"/>
      <c r="H755" s="129"/>
    </row>
    <row r="756">
      <c r="B756" s="126"/>
      <c r="C756" s="126"/>
      <c r="D756" s="126"/>
      <c r="E756" s="127"/>
      <c r="F756" s="127"/>
      <c r="G756" s="128"/>
      <c r="H756" s="129"/>
    </row>
    <row r="757">
      <c r="B757" s="126"/>
      <c r="C757" s="126"/>
      <c r="D757" s="126"/>
      <c r="E757" s="127"/>
      <c r="F757" s="127"/>
      <c r="G757" s="128"/>
      <c r="H757" s="129"/>
    </row>
    <row r="758">
      <c r="B758" s="126"/>
      <c r="C758" s="126"/>
      <c r="D758" s="126"/>
      <c r="E758" s="127"/>
      <c r="F758" s="127"/>
      <c r="G758" s="128"/>
      <c r="H758" s="129"/>
    </row>
    <row r="759">
      <c r="B759" s="126"/>
      <c r="C759" s="126"/>
      <c r="D759" s="126"/>
      <c r="E759" s="127"/>
      <c r="F759" s="127"/>
      <c r="G759" s="128"/>
      <c r="H759" s="129"/>
    </row>
    <row r="760">
      <c r="B760" s="126"/>
      <c r="C760" s="126"/>
      <c r="D760" s="126"/>
      <c r="E760" s="127"/>
      <c r="F760" s="127"/>
      <c r="G760" s="128"/>
      <c r="H760" s="129"/>
    </row>
    <row r="761">
      <c r="B761" s="126"/>
      <c r="C761" s="126"/>
      <c r="D761" s="126"/>
      <c r="E761" s="127"/>
      <c r="F761" s="127"/>
      <c r="G761" s="128"/>
      <c r="H761" s="129"/>
    </row>
    <row r="762">
      <c r="B762" s="126"/>
      <c r="C762" s="126"/>
      <c r="D762" s="126"/>
      <c r="E762" s="127"/>
      <c r="F762" s="127"/>
      <c r="G762" s="128"/>
      <c r="H762" s="129"/>
    </row>
    <row r="763">
      <c r="B763" s="126"/>
      <c r="C763" s="126"/>
      <c r="D763" s="126"/>
      <c r="E763" s="127"/>
      <c r="F763" s="127"/>
      <c r="G763" s="128"/>
      <c r="H763" s="129"/>
    </row>
    <row r="764">
      <c r="B764" s="126"/>
      <c r="C764" s="126"/>
      <c r="D764" s="126"/>
      <c r="E764" s="127"/>
      <c r="F764" s="127"/>
      <c r="G764" s="128"/>
      <c r="H764" s="129"/>
    </row>
    <row r="765">
      <c r="B765" s="126"/>
      <c r="C765" s="126"/>
      <c r="D765" s="126"/>
      <c r="E765" s="127"/>
      <c r="F765" s="127"/>
      <c r="G765" s="128"/>
      <c r="H765" s="129"/>
    </row>
    <row r="766">
      <c r="B766" s="126"/>
      <c r="C766" s="126"/>
      <c r="D766" s="126"/>
      <c r="E766" s="127"/>
      <c r="F766" s="127"/>
      <c r="G766" s="128"/>
      <c r="H766" s="129"/>
    </row>
    <row r="767">
      <c r="B767" s="126"/>
      <c r="C767" s="126"/>
      <c r="D767" s="126"/>
      <c r="E767" s="127"/>
      <c r="F767" s="127"/>
      <c r="G767" s="128"/>
      <c r="H767" s="129"/>
    </row>
    <row r="768">
      <c r="B768" s="126"/>
      <c r="C768" s="126"/>
      <c r="D768" s="126"/>
      <c r="E768" s="127"/>
      <c r="F768" s="127"/>
      <c r="G768" s="128"/>
      <c r="H768" s="129"/>
    </row>
    <row r="769">
      <c r="B769" s="126"/>
      <c r="C769" s="126"/>
      <c r="D769" s="126"/>
      <c r="E769" s="127"/>
      <c r="F769" s="127"/>
      <c r="G769" s="128"/>
      <c r="H769" s="129"/>
    </row>
    <row r="770">
      <c r="B770" s="126"/>
      <c r="C770" s="126"/>
      <c r="D770" s="126"/>
      <c r="E770" s="127"/>
      <c r="F770" s="127"/>
      <c r="G770" s="128"/>
      <c r="H770" s="129"/>
    </row>
    <row r="771">
      <c r="B771" s="126"/>
      <c r="C771" s="126"/>
      <c r="D771" s="126"/>
      <c r="E771" s="127"/>
      <c r="F771" s="127"/>
      <c r="G771" s="128"/>
      <c r="H771" s="129"/>
    </row>
    <row r="772">
      <c r="B772" s="126"/>
      <c r="C772" s="126"/>
      <c r="D772" s="126"/>
      <c r="E772" s="127"/>
      <c r="F772" s="127"/>
      <c r="G772" s="128"/>
      <c r="H772" s="129"/>
    </row>
    <row r="773">
      <c r="B773" s="126"/>
      <c r="C773" s="126"/>
      <c r="D773" s="126"/>
      <c r="E773" s="127"/>
      <c r="F773" s="127"/>
      <c r="G773" s="128"/>
      <c r="H773" s="129"/>
    </row>
    <row r="774">
      <c r="B774" s="126"/>
      <c r="C774" s="126"/>
      <c r="D774" s="126"/>
      <c r="E774" s="127"/>
      <c r="F774" s="127"/>
      <c r="G774" s="128"/>
      <c r="H774" s="129"/>
    </row>
    <row r="775">
      <c r="B775" s="126"/>
      <c r="C775" s="126"/>
      <c r="D775" s="126"/>
      <c r="E775" s="127"/>
      <c r="F775" s="127"/>
      <c r="G775" s="128"/>
      <c r="H775" s="129"/>
    </row>
    <row r="776">
      <c r="B776" s="126"/>
      <c r="C776" s="126"/>
      <c r="D776" s="126"/>
      <c r="E776" s="127"/>
      <c r="F776" s="127"/>
      <c r="G776" s="128"/>
      <c r="H776" s="129"/>
    </row>
    <row r="777">
      <c r="B777" s="126"/>
      <c r="C777" s="126"/>
      <c r="D777" s="126"/>
      <c r="E777" s="127"/>
      <c r="F777" s="127"/>
      <c r="G777" s="128"/>
      <c r="H777" s="129"/>
    </row>
    <row r="778">
      <c r="B778" s="126"/>
      <c r="C778" s="126"/>
      <c r="D778" s="126"/>
      <c r="E778" s="127"/>
      <c r="F778" s="127"/>
      <c r="G778" s="128"/>
      <c r="H778" s="129"/>
    </row>
    <row r="779">
      <c r="B779" s="126"/>
      <c r="C779" s="126"/>
      <c r="D779" s="126"/>
      <c r="E779" s="127"/>
      <c r="F779" s="127"/>
      <c r="G779" s="128"/>
      <c r="H779" s="129"/>
    </row>
    <row r="780">
      <c r="B780" s="126"/>
      <c r="C780" s="126"/>
      <c r="D780" s="126"/>
      <c r="E780" s="127"/>
      <c r="F780" s="127"/>
      <c r="G780" s="128"/>
      <c r="H780" s="129"/>
    </row>
    <row r="781">
      <c r="B781" s="126"/>
      <c r="C781" s="126"/>
      <c r="D781" s="126"/>
      <c r="E781" s="127"/>
      <c r="F781" s="127"/>
      <c r="G781" s="128"/>
      <c r="H781" s="129"/>
    </row>
    <row r="782">
      <c r="B782" s="126"/>
      <c r="C782" s="126"/>
      <c r="D782" s="126"/>
      <c r="E782" s="127"/>
      <c r="F782" s="127"/>
      <c r="G782" s="128"/>
      <c r="H782" s="129"/>
    </row>
    <row r="783">
      <c r="B783" s="126"/>
      <c r="C783" s="126"/>
      <c r="D783" s="126"/>
      <c r="E783" s="127"/>
      <c r="F783" s="127"/>
      <c r="G783" s="128"/>
      <c r="H783" s="129"/>
    </row>
    <row r="784">
      <c r="B784" s="126"/>
      <c r="C784" s="126"/>
      <c r="D784" s="126"/>
      <c r="E784" s="127"/>
      <c r="F784" s="127"/>
      <c r="G784" s="128"/>
      <c r="H784" s="129"/>
    </row>
    <row r="785">
      <c r="B785" s="126"/>
      <c r="C785" s="126"/>
      <c r="D785" s="126"/>
      <c r="E785" s="127"/>
      <c r="F785" s="127"/>
      <c r="G785" s="128"/>
      <c r="H785" s="129"/>
    </row>
    <row r="786">
      <c r="B786" s="126"/>
      <c r="C786" s="126"/>
      <c r="D786" s="126"/>
      <c r="E786" s="127"/>
      <c r="F786" s="127"/>
      <c r="G786" s="128"/>
      <c r="H786" s="129"/>
    </row>
    <row r="787">
      <c r="B787" s="126"/>
      <c r="C787" s="126"/>
      <c r="D787" s="126"/>
      <c r="E787" s="127"/>
      <c r="F787" s="127"/>
      <c r="G787" s="128"/>
      <c r="H787" s="129"/>
    </row>
    <row r="788">
      <c r="B788" s="126"/>
      <c r="C788" s="126"/>
      <c r="D788" s="126"/>
      <c r="E788" s="127"/>
      <c r="F788" s="127"/>
      <c r="G788" s="128"/>
      <c r="H788" s="129"/>
    </row>
    <row r="789">
      <c r="B789" s="126"/>
      <c r="C789" s="126"/>
      <c r="D789" s="126"/>
      <c r="E789" s="127"/>
      <c r="F789" s="127"/>
      <c r="G789" s="128"/>
      <c r="H789" s="129"/>
    </row>
    <row r="790">
      <c r="B790" s="126"/>
      <c r="C790" s="126"/>
      <c r="D790" s="126"/>
      <c r="E790" s="127"/>
      <c r="F790" s="127"/>
      <c r="G790" s="128"/>
      <c r="H790" s="129"/>
    </row>
    <row r="791">
      <c r="B791" s="126"/>
      <c r="C791" s="126"/>
      <c r="D791" s="126"/>
      <c r="E791" s="127"/>
      <c r="F791" s="127"/>
      <c r="G791" s="128"/>
      <c r="H791" s="129"/>
    </row>
    <row r="792">
      <c r="B792" s="126"/>
      <c r="C792" s="126"/>
      <c r="D792" s="126"/>
      <c r="E792" s="127"/>
      <c r="F792" s="127"/>
      <c r="G792" s="128"/>
      <c r="H792" s="129"/>
    </row>
    <row r="793">
      <c r="B793" s="126"/>
      <c r="C793" s="126"/>
      <c r="D793" s="126"/>
      <c r="E793" s="127"/>
      <c r="F793" s="127"/>
      <c r="G793" s="128"/>
      <c r="H793" s="129"/>
    </row>
    <row r="794">
      <c r="B794" s="126"/>
      <c r="C794" s="126"/>
      <c r="D794" s="126"/>
      <c r="E794" s="127"/>
      <c r="F794" s="127"/>
      <c r="G794" s="128"/>
      <c r="H794" s="129"/>
    </row>
    <row r="795">
      <c r="B795" s="126"/>
      <c r="C795" s="126"/>
      <c r="D795" s="126"/>
      <c r="E795" s="127"/>
      <c r="F795" s="127"/>
      <c r="G795" s="128"/>
      <c r="H795" s="129"/>
    </row>
    <row r="796">
      <c r="B796" s="126"/>
      <c r="C796" s="126"/>
      <c r="D796" s="126"/>
      <c r="E796" s="127"/>
      <c r="F796" s="127"/>
      <c r="G796" s="128"/>
      <c r="H796" s="129"/>
    </row>
    <row r="797">
      <c r="B797" s="126"/>
      <c r="C797" s="126"/>
      <c r="D797" s="126"/>
      <c r="E797" s="127"/>
      <c r="F797" s="127"/>
      <c r="G797" s="128"/>
      <c r="H797" s="129"/>
    </row>
    <row r="798">
      <c r="B798" s="126"/>
      <c r="C798" s="126"/>
      <c r="D798" s="126"/>
      <c r="E798" s="127"/>
      <c r="F798" s="127"/>
      <c r="G798" s="128"/>
      <c r="H798" s="129"/>
    </row>
    <row r="799">
      <c r="B799" s="126"/>
      <c r="C799" s="126"/>
      <c r="D799" s="126"/>
      <c r="E799" s="127"/>
      <c r="F799" s="127"/>
      <c r="G799" s="128"/>
      <c r="H799" s="129"/>
    </row>
    <row r="800">
      <c r="B800" s="126"/>
      <c r="C800" s="126"/>
      <c r="D800" s="126"/>
      <c r="E800" s="127"/>
      <c r="F800" s="127"/>
      <c r="G800" s="128"/>
      <c r="H800" s="129"/>
    </row>
    <row r="801">
      <c r="B801" s="126"/>
      <c r="C801" s="126"/>
      <c r="D801" s="126"/>
      <c r="E801" s="127"/>
      <c r="F801" s="127"/>
      <c r="G801" s="128"/>
      <c r="H801" s="129"/>
    </row>
    <row r="802">
      <c r="B802" s="126"/>
      <c r="C802" s="126"/>
      <c r="D802" s="126"/>
      <c r="E802" s="127"/>
      <c r="F802" s="127"/>
      <c r="G802" s="128"/>
      <c r="H802" s="129"/>
    </row>
    <row r="803">
      <c r="B803" s="126"/>
      <c r="C803" s="126"/>
      <c r="D803" s="126"/>
      <c r="E803" s="127"/>
      <c r="F803" s="127"/>
      <c r="G803" s="128"/>
      <c r="H803" s="129"/>
    </row>
    <row r="804">
      <c r="B804" s="126"/>
      <c r="C804" s="126"/>
      <c r="D804" s="126"/>
      <c r="E804" s="127"/>
      <c r="F804" s="127"/>
      <c r="G804" s="128"/>
      <c r="H804" s="129"/>
    </row>
    <row r="805">
      <c r="B805" s="126"/>
      <c r="C805" s="126"/>
      <c r="D805" s="126"/>
      <c r="E805" s="127"/>
      <c r="F805" s="127"/>
      <c r="G805" s="128"/>
      <c r="H805" s="129"/>
    </row>
    <row r="806">
      <c r="B806" s="126"/>
      <c r="C806" s="126"/>
      <c r="D806" s="126"/>
      <c r="E806" s="127"/>
      <c r="F806" s="127"/>
      <c r="G806" s="128"/>
      <c r="H806" s="129"/>
    </row>
    <row r="807">
      <c r="B807" s="126"/>
      <c r="C807" s="126"/>
      <c r="D807" s="126"/>
      <c r="E807" s="127"/>
      <c r="F807" s="127"/>
      <c r="G807" s="128"/>
      <c r="H807" s="129"/>
    </row>
    <row r="808">
      <c r="B808" s="126"/>
      <c r="C808" s="126"/>
      <c r="D808" s="126"/>
      <c r="E808" s="127"/>
      <c r="F808" s="127"/>
      <c r="G808" s="128"/>
      <c r="H808" s="129"/>
    </row>
    <row r="809">
      <c r="B809" s="126"/>
      <c r="C809" s="126"/>
      <c r="D809" s="126"/>
      <c r="E809" s="127"/>
      <c r="F809" s="127"/>
      <c r="G809" s="128"/>
      <c r="H809" s="129"/>
    </row>
    <row r="810">
      <c r="B810" s="126"/>
      <c r="C810" s="126"/>
      <c r="D810" s="126"/>
      <c r="E810" s="127"/>
      <c r="F810" s="127"/>
      <c r="G810" s="128"/>
      <c r="H810" s="129"/>
    </row>
    <row r="811">
      <c r="B811" s="126"/>
      <c r="C811" s="126"/>
      <c r="D811" s="126"/>
      <c r="E811" s="127"/>
      <c r="F811" s="127"/>
      <c r="G811" s="128"/>
      <c r="H811" s="129"/>
    </row>
    <row r="812">
      <c r="B812" s="126"/>
      <c r="C812" s="126"/>
      <c r="D812" s="126"/>
      <c r="E812" s="127"/>
      <c r="F812" s="127"/>
      <c r="G812" s="128"/>
      <c r="H812" s="129"/>
    </row>
    <row r="813">
      <c r="B813" s="126"/>
      <c r="C813" s="126"/>
      <c r="D813" s="126"/>
      <c r="E813" s="127"/>
      <c r="F813" s="127"/>
      <c r="G813" s="128"/>
      <c r="H813" s="129"/>
    </row>
    <row r="814">
      <c r="B814" s="126"/>
      <c r="C814" s="126"/>
      <c r="D814" s="126"/>
      <c r="E814" s="127"/>
      <c r="F814" s="127"/>
      <c r="G814" s="128"/>
      <c r="H814" s="129"/>
    </row>
    <row r="815">
      <c r="B815" s="126"/>
      <c r="C815" s="126"/>
      <c r="D815" s="126"/>
      <c r="E815" s="127"/>
      <c r="F815" s="127"/>
      <c r="G815" s="128"/>
      <c r="H815" s="129"/>
    </row>
    <row r="816">
      <c r="B816" s="126"/>
      <c r="C816" s="126"/>
      <c r="D816" s="126"/>
      <c r="E816" s="127"/>
      <c r="F816" s="127"/>
      <c r="G816" s="128"/>
      <c r="H816" s="129"/>
    </row>
    <row r="817">
      <c r="B817" s="126"/>
      <c r="C817" s="126"/>
      <c r="D817" s="126"/>
      <c r="E817" s="127"/>
      <c r="F817" s="127"/>
      <c r="G817" s="128"/>
      <c r="H817" s="129"/>
    </row>
    <row r="818">
      <c r="B818" s="126"/>
      <c r="C818" s="126"/>
      <c r="D818" s="126"/>
      <c r="E818" s="127"/>
      <c r="F818" s="127"/>
      <c r="G818" s="128"/>
      <c r="H818" s="129"/>
    </row>
    <row r="819">
      <c r="B819" s="126"/>
      <c r="C819" s="126"/>
      <c r="D819" s="126"/>
      <c r="E819" s="127"/>
      <c r="F819" s="127"/>
      <c r="G819" s="128"/>
      <c r="H819" s="129"/>
    </row>
    <row r="820">
      <c r="B820" s="126"/>
      <c r="C820" s="126"/>
      <c r="D820" s="126"/>
      <c r="E820" s="127"/>
      <c r="F820" s="127"/>
      <c r="G820" s="128"/>
      <c r="H820" s="129"/>
    </row>
    <row r="821">
      <c r="B821" s="126"/>
      <c r="C821" s="126"/>
      <c r="D821" s="126"/>
      <c r="E821" s="127"/>
      <c r="F821" s="127"/>
      <c r="G821" s="128"/>
      <c r="H821" s="129"/>
    </row>
    <row r="822">
      <c r="B822" s="126"/>
      <c r="C822" s="126"/>
      <c r="D822" s="126"/>
      <c r="E822" s="127"/>
      <c r="F822" s="127"/>
      <c r="G822" s="128"/>
      <c r="H822" s="129"/>
    </row>
    <row r="823">
      <c r="B823" s="126"/>
      <c r="C823" s="126"/>
      <c r="D823" s="126"/>
      <c r="E823" s="127"/>
      <c r="F823" s="127"/>
      <c r="G823" s="128"/>
      <c r="H823" s="129"/>
    </row>
    <row r="824">
      <c r="B824" s="126"/>
      <c r="C824" s="126"/>
      <c r="D824" s="126"/>
      <c r="E824" s="127"/>
      <c r="F824" s="127"/>
      <c r="G824" s="128"/>
      <c r="H824" s="129"/>
    </row>
    <row r="825">
      <c r="B825" s="126"/>
      <c r="C825" s="126"/>
      <c r="D825" s="126"/>
      <c r="E825" s="127"/>
      <c r="F825" s="127"/>
      <c r="G825" s="128"/>
      <c r="H825" s="129"/>
    </row>
    <row r="826">
      <c r="B826" s="126"/>
      <c r="C826" s="126"/>
      <c r="D826" s="126"/>
      <c r="E826" s="127"/>
      <c r="F826" s="127"/>
      <c r="G826" s="128"/>
      <c r="H826" s="129"/>
    </row>
    <row r="827">
      <c r="B827" s="126"/>
      <c r="C827" s="126"/>
      <c r="D827" s="126"/>
      <c r="E827" s="127"/>
      <c r="F827" s="127"/>
      <c r="G827" s="128"/>
      <c r="H827" s="129"/>
    </row>
    <row r="828">
      <c r="B828" s="126"/>
      <c r="C828" s="126"/>
      <c r="D828" s="126"/>
      <c r="E828" s="127"/>
      <c r="F828" s="127"/>
      <c r="G828" s="128"/>
      <c r="H828" s="129"/>
    </row>
    <row r="829">
      <c r="B829" s="126"/>
      <c r="C829" s="126"/>
      <c r="D829" s="126"/>
      <c r="E829" s="127"/>
      <c r="F829" s="127"/>
      <c r="G829" s="128"/>
      <c r="H829" s="129"/>
    </row>
    <row r="830">
      <c r="B830" s="126"/>
      <c r="C830" s="126"/>
      <c r="D830" s="126"/>
      <c r="E830" s="127"/>
      <c r="F830" s="127"/>
      <c r="G830" s="128"/>
      <c r="H830" s="129"/>
    </row>
    <row r="831">
      <c r="B831" s="126"/>
      <c r="C831" s="126"/>
      <c r="D831" s="126"/>
      <c r="E831" s="127"/>
      <c r="F831" s="127"/>
      <c r="G831" s="128"/>
      <c r="H831" s="129"/>
    </row>
    <row r="832">
      <c r="B832" s="126"/>
      <c r="C832" s="126"/>
      <c r="D832" s="126"/>
      <c r="E832" s="127"/>
      <c r="F832" s="127"/>
      <c r="G832" s="128"/>
      <c r="H832" s="129"/>
    </row>
    <row r="833">
      <c r="B833" s="126"/>
      <c r="C833" s="126"/>
      <c r="D833" s="126"/>
      <c r="E833" s="127"/>
      <c r="F833" s="127"/>
      <c r="G833" s="128"/>
      <c r="H833" s="129"/>
    </row>
    <row r="834">
      <c r="B834" s="126"/>
      <c r="C834" s="126"/>
      <c r="D834" s="126"/>
      <c r="E834" s="127"/>
      <c r="F834" s="127"/>
      <c r="G834" s="128"/>
      <c r="H834" s="129"/>
    </row>
    <row r="835">
      <c r="B835" s="126"/>
      <c r="C835" s="126"/>
      <c r="D835" s="126"/>
      <c r="E835" s="127"/>
      <c r="F835" s="127"/>
      <c r="G835" s="128"/>
      <c r="H835" s="129"/>
    </row>
    <row r="836">
      <c r="B836" s="126"/>
      <c r="C836" s="126"/>
      <c r="D836" s="126"/>
      <c r="E836" s="127"/>
      <c r="F836" s="127"/>
      <c r="G836" s="128"/>
      <c r="H836" s="129"/>
    </row>
    <row r="837">
      <c r="B837" s="126"/>
      <c r="C837" s="126"/>
      <c r="D837" s="126"/>
      <c r="E837" s="127"/>
      <c r="F837" s="127"/>
      <c r="G837" s="128"/>
      <c r="H837" s="129"/>
    </row>
    <row r="838">
      <c r="B838" s="126"/>
      <c r="C838" s="126"/>
      <c r="D838" s="126"/>
      <c r="E838" s="127"/>
      <c r="F838" s="127"/>
      <c r="G838" s="128"/>
      <c r="H838" s="129"/>
    </row>
    <row r="839">
      <c r="B839" s="126"/>
      <c r="C839" s="126"/>
      <c r="D839" s="126"/>
      <c r="E839" s="127"/>
      <c r="F839" s="127"/>
      <c r="G839" s="128"/>
      <c r="H839" s="129"/>
    </row>
    <row r="840">
      <c r="B840" s="126"/>
      <c r="C840" s="126"/>
      <c r="D840" s="126"/>
      <c r="E840" s="127"/>
      <c r="F840" s="127"/>
      <c r="G840" s="128"/>
      <c r="H840" s="129"/>
    </row>
    <row r="841">
      <c r="B841" s="126"/>
      <c r="C841" s="126"/>
      <c r="D841" s="126"/>
      <c r="E841" s="127"/>
      <c r="F841" s="127"/>
      <c r="G841" s="128"/>
      <c r="H841" s="129"/>
    </row>
    <row r="842">
      <c r="B842" s="126"/>
      <c r="C842" s="126"/>
      <c r="D842" s="126"/>
      <c r="E842" s="127"/>
      <c r="F842" s="127"/>
      <c r="G842" s="128"/>
      <c r="H842" s="129"/>
    </row>
    <row r="843">
      <c r="B843" s="126"/>
      <c r="C843" s="126"/>
      <c r="D843" s="126"/>
      <c r="E843" s="127"/>
      <c r="F843" s="127"/>
      <c r="G843" s="128"/>
      <c r="H843" s="129"/>
    </row>
    <row r="844">
      <c r="B844" s="126"/>
      <c r="C844" s="126"/>
      <c r="D844" s="126"/>
      <c r="E844" s="127"/>
      <c r="F844" s="127"/>
      <c r="G844" s="128"/>
      <c r="H844" s="129"/>
    </row>
    <row r="845">
      <c r="B845" s="126"/>
      <c r="C845" s="126"/>
      <c r="D845" s="126"/>
      <c r="E845" s="127"/>
      <c r="F845" s="127"/>
      <c r="G845" s="128"/>
      <c r="H845" s="129"/>
    </row>
    <row r="846">
      <c r="B846" s="126"/>
      <c r="C846" s="126"/>
      <c r="D846" s="126"/>
      <c r="E846" s="127"/>
      <c r="F846" s="127"/>
      <c r="G846" s="128"/>
      <c r="H846" s="129"/>
    </row>
    <row r="847">
      <c r="B847" s="126"/>
      <c r="C847" s="126"/>
      <c r="D847" s="126"/>
      <c r="E847" s="127"/>
      <c r="F847" s="127"/>
      <c r="G847" s="128"/>
      <c r="H847" s="129"/>
    </row>
    <row r="848">
      <c r="B848" s="126"/>
      <c r="C848" s="126"/>
      <c r="D848" s="126"/>
      <c r="E848" s="127"/>
      <c r="F848" s="127"/>
      <c r="G848" s="128"/>
      <c r="H848" s="129"/>
    </row>
    <row r="849">
      <c r="B849" s="126"/>
      <c r="C849" s="126"/>
      <c r="D849" s="126"/>
      <c r="E849" s="127"/>
      <c r="F849" s="127"/>
      <c r="G849" s="128"/>
      <c r="H849" s="129"/>
    </row>
    <row r="850">
      <c r="B850" s="126"/>
      <c r="C850" s="126"/>
      <c r="D850" s="126"/>
      <c r="E850" s="127"/>
      <c r="F850" s="127"/>
      <c r="G850" s="128"/>
      <c r="H850" s="129"/>
    </row>
    <row r="851">
      <c r="B851" s="126"/>
      <c r="C851" s="126"/>
      <c r="D851" s="126"/>
      <c r="E851" s="127"/>
      <c r="F851" s="127"/>
      <c r="G851" s="128"/>
      <c r="H851" s="129"/>
    </row>
    <row r="852">
      <c r="B852" s="126"/>
      <c r="C852" s="126"/>
      <c r="D852" s="126"/>
      <c r="E852" s="127"/>
      <c r="F852" s="127"/>
      <c r="G852" s="128"/>
      <c r="H852" s="129"/>
    </row>
    <row r="853">
      <c r="B853" s="126"/>
      <c r="C853" s="126"/>
      <c r="D853" s="126"/>
      <c r="E853" s="127"/>
      <c r="F853" s="127"/>
      <c r="G853" s="128"/>
      <c r="H853" s="129"/>
    </row>
    <row r="854">
      <c r="B854" s="126"/>
      <c r="C854" s="126"/>
      <c r="D854" s="126"/>
      <c r="E854" s="127"/>
      <c r="F854" s="127"/>
      <c r="G854" s="128"/>
      <c r="H854" s="129"/>
    </row>
    <row r="855">
      <c r="B855" s="126"/>
      <c r="C855" s="126"/>
      <c r="D855" s="126"/>
      <c r="E855" s="127"/>
      <c r="F855" s="127"/>
      <c r="G855" s="128"/>
      <c r="H855" s="129"/>
    </row>
    <row r="856">
      <c r="B856" s="126"/>
      <c r="C856" s="126"/>
      <c r="D856" s="126"/>
      <c r="E856" s="127"/>
      <c r="F856" s="127"/>
      <c r="G856" s="128"/>
      <c r="H856" s="129"/>
    </row>
    <row r="857">
      <c r="B857" s="126"/>
      <c r="C857" s="126"/>
      <c r="D857" s="126"/>
      <c r="E857" s="127"/>
      <c r="F857" s="127"/>
      <c r="G857" s="128"/>
      <c r="H857" s="129"/>
    </row>
    <row r="858">
      <c r="B858" s="126"/>
      <c r="C858" s="126"/>
      <c r="D858" s="126"/>
      <c r="E858" s="127"/>
      <c r="F858" s="127"/>
      <c r="G858" s="128"/>
      <c r="H858" s="129"/>
    </row>
    <row r="859">
      <c r="B859" s="126"/>
      <c r="C859" s="126"/>
      <c r="D859" s="126"/>
      <c r="E859" s="127"/>
      <c r="F859" s="127"/>
      <c r="G859" s="128"/>
      <c r="H859" s="129"/>
    </row>
    <row r="860">
      <c r="B860" s="126"/>
      <c r="C860" s="126"/>
      <c r="D860" s="126"/>
      <c r="E860" s="127"/>
      <c r="F860" s="127"/>
      <c r="G860" s="128"/>
      <c r="H860" s="129"/>
    </row>
    <row r="861">
      <c r="B861" s="126"/>
      <c r="C861" s="126"/>
      <c r="D861" s="126"/>
      <c r="E861" s="127"/>
      <c r="F861" s="127"/>
      <c r="G861" s="128"/>
      <c r="H861" s="129"/>
    </row>
    <row r="862">
      <c r="B862" s="126"/>
      <c r="C862" s="126"/>
      <c r="D862" s="126"/>
      <c r="E862" s="127"/>
      <c r="F862" s="127"/>
      <c r="G862" s="128"/>
      <c r="H862" s="129"/>
    </row>
    <row r="863">
      <c r="B863" s="126"/>
      <c r="C863" s="126"/>
      <c r="D863" s="126"/>
      <c r="E863" s="127"/>
      <c r="F863" s="127"/>
      <c r="G863" s="128"/>
      <c r="H863" s="129"/>
    </row>
    <row r="864">
      <c r="B864" s="126"/>
      <c r="C864" s="126"/>
      <c r="D864" s="126"/>
      <c r="E864" s="127"/>
      <c r="F864" s="127"/>
      <c r="G864" s="128"/>
      <c r="H864" s="129"/>
    </row>
    <row r="865">
      <c r="B865" s="126"/>
      <c r="C865" s="126"/>
      <c r="D865" s="126"/>
      <c r="E865" s="127"/>
      <c r="F865" s="127"/>
      <c r="G865" s="128"/>
      <c r="H865" s="129"/>
    </row>
    <row r="866">
      <c r="B866" s="126"/>
      <c r="C866" s="126"/>
      <c r="D866" s="126"/>
      <c r="E866" s="127"/>
      <c r="F866" s="127"/>
      <c r="G866" s="128"/>
      <c r="H866" s="129"/>
    </row>
    <row r="867">
      <c r="B867" s="126"/>
      <c r="C867" s="126"/>
      <c r="D867" s="126"/>
      <c r="E867" s="127"/>
      <c r="F867" s="127"/>
      <c r="G867" s="128"/>
      <c r="H867" s="129"/>
    </row>
    <row r="868">
      <c r="B868" s="126"/>
      <c r="C868" s="126"/>
      <c r="D868" s="126"/>
      <c r="E868" s="127"/>
      <c r="F868" s="127"/>
      <c r="G868" s="128"/>
      <c r="H868" s="129"/>
    </row>
    <row r="869">
      <c r="B869" s="126"/>
      <c r="C869" s="126"/>
      <c r="D869" s="126"/>
      <c r="E869" s="127"/>
      <c r="F869" s="127"/>
      <c r="G869" s="128"/>
      <c r="H869" s="129"/>
    </row>
    <row r="870">
      <c r="B870" s="126"/>
      <c r="C870" s="126"/>
      <c r="D870" s="126"/>
      <c r="E870" s="127"/>
      <c r="F870" s="127"/>
      <c r="G870" s="128"/>
      <c r="H870" s="129"/>
    </row>
    <row r="871">
      <c r="B871" s="126"/>
      <c r="C871" s="126"/>
      <c r="D871" s="126"/>
      <c r="E871" s="127"/>
      <c r="F871" s="127"/>
      <c r="G871" s="128"/>
      <c r="H871" s="129"/>
    </row>
    <row r="872">
      <c r="B872" s="126"/>
      <c r="C872" s="126"/>
      <c r="D872" s="126"/>
      <c r="E872" s="127"/>
      <c r="F872" s="127"/>
      <c r="G872" s="128"/>
      <c r="H872" s="129"/>
    </row>
    <row r="873">
      <c r="B873" s="126"/>
      <c r="C873" s="126"/>
      <c r="D873" s="126"/>
      <c r="E873" s="127"/>
      <c r="F873" s="127"/>
      <c r="G873" s="128"/>
      <c r="H873" s="129"/>
    </row>
    <row r="874">
      <c r="B874" s="126"/>
      <c r="C874" s="126"/>
      <c r="D874" s="126"/>
      <c r="E874" s="127"/>
      <c r="F874" s="127"/>
      <c r="G874" s="128"/>
      <c r="H874" s="129"/>
    </row>
    <row r="875">
      <c r="B875" s="126"/>
      <c r="C875" s="126"/>
      <c r="D875" s="126"/>
      <c r="E875" s="127"/>
      <c r="F875" s="127"/>
      <c r="G875" s="128"/>
      <c r="H875" s="129"/>
    </row>
    <row r="876">
      <c r="B876" s="126"/>
      <c r="C876" s="126"/>
      <c r="D876" s="126"/>
      <c r="E876" s="127"/>
      <c r="F876" s="127"/>
      <c r="G876" s="128"/>
      <c r="H876" s="129"/>
    </row>
    <row r="877">
      <c r="B877" s="126"/>
      <c r="C877" s="126"/>
      <c r="D877" s="126"/>
      <c r="E877" s="127"/>
      <c r="F877" s="127"/>
      <c r="G877" s="128"/>
      <c r="H877" s="129"/>
    </row>
    <row r="878">
      <c r="B878" s="126"/>
      <c r="C878" s="126"/>
      <c r="D878" s="126"/>
      <c r="E878" s="127"/>
      <c r="F878" s="127"/>
      <c r="G878" s="128"/>
      <c r="H878" s="129"/>
    </row>
    <row r="879">
      <c r="B879" s="126"/>
      <c r="C879" s="126"/>
      <c r="D879" s="126"/>
      <c r="E879" s="127"/>
      <c r="F879" s="127"/>
      <c r="G879" s="128"/>
      <c r="H879" s="129"/>
    </row>
    <row r="880">
      <c r="B880" s="126"/>
      <c r="C880" s="126"/>
      <c r="D880" s="126"/>
      <c r="E880" s="127"/>
      <c r="F880" s="127"/>
      <c r="G880" s="128"/>
      <c r="H880" s="129"/>
    </row>
    <row r="881">
      <c r="B881" s="126"/>
      <c r="C881" s="126"/>
      <c r="D881" s="126"/>
      <c r="E881" s="127"/>
      <c r="F881" s="127"/>
      <c r="G881" s="128"/>
      <c r="H881" s="129"/>
    </row>
    <row r="882">
      <c r="B882" s="126"/>
      <c r="C882" s="126"/>
      <c r="D882" s="126"/>
      <c r="E882" s="127"/>
      <c r="F882" s="127"/>
      <c r="G882" s="128"/>
      <c r="H882" s="129"/>
    </row>
    <row r="883">
      <c r="B883" s="126"/>
      <c r="C883" s="126"/>
      <c r="D883" s="126"/>
      <c r="E883" s="127"/>
      <c r="F883" s="127"/>
      <c r="G883" s="128"/>
      <c r="H883" s="129"/>
    </row>
    <row r="884">
      <c r="B884" s="126"/>
      <c r="C884" s="126"/>
      <c r="D884" s="126"/>
      <c r="E884" s="127"/>
      <c r="F884" s="127"/>
      <c r="G884" s="128"/>
      <c r="H884" s="129"/>
    </row>
    <row r="885">
      <c r="B885" s="126"/>
      <c r="C885" s="126"/>
      <c r="D885" s="126"/>
      <c r="E885" s="127"/>
      <c r="F885" s="127"/>
      <c r="G885" s="128"/>
      <c r="H885" s="129"/>
    </row>
    <row r="886">
      <c r="B886" s="126"/>
      <c r="C886" s="126"/>
      <c r="D886" s="126"/>
      <c r="E886" s="127"/>
      <c r="F886" s="127"/>
      <c r="G886" s="128"/>
      <c r="H886" s="129"/>
    </row>
    <row r="887">
      <c r="B887" s="126"/>
      <c r="C887" s="126"/>
      <c r="D887" s="126"/>
      <c r="E887" s="127"/>
      <c r="F887" s="127"/>
      <c r="G887" s="128"/>
      <c r="H887" s="129"/>
    </row>
    <row r="888">
      <c r="B888" s="126"/>
      <c r="C888" s="126"/>
      <c r="D888" s="126"/>
      <c r="E888" s="127"/>
      <c r="F888" s="127"/>
      <c r="G888" s="128"/>
      <c r="H888" s="129"/>
    </row>
    <row r="889">
      <c r="B889" s="126"/>
      <c r="C889" s="126"/>
      <c r="D889" s="126"/>
      <c r="E889" s="127"/>
      <c r="F889" s="127"/>
      <c r="G889" s="128"/>
      <c r="H889" s="129"/>
    </row>
    <row r="890">
      <c r="B890" s="126"/>
      <c r="C890" s="126"/>
      <c r="D890" s="126"/>
      <c r="E890" s="127"/>
      <c r="F890" s="127"/>
      <c r="G890" s="128"/>
      <c r="H890" s="129"/>
    </row>
    <row r="891">
      <c r="B891" s="126"/>
      <c r="C891" s="126"/>
      <c r="D891" s="126"/>
      <c r="E891" s="127"/>
      <c r="F891" s="127"/>
      <c r="G891" s="128"/>
      <c r="H891" s="129"/>
    </row>
    <row r="892">
      <c r="B892" s="126"/>
      <c r="C892" s="126"/>
      <c r="D892" s="126"/>
      <c r="E892" s="127"/>
      <c r="F892" s="127"/>
      <c r="G892" s="128"/>
      <c r="H892" s="129"/>
    </row>
    <row r="893">
      <c r="B893" s="126"/>
      <c r="C893" s="126"/>
      <c r="D893" s="126"/>
      <c r="E893" s="127"/>
      <c r="F893" s="127"/>
      <c r="G893" s="128"/>
      <c r="H893" s="129"/>
    </row>
  </sheetData>
  <mergeCells count="31">
    <mergeCell ref="A1:N1"/>
    <mergeCell ref="A2:N2"/>
    <mergeCell ref="A20:N20"/>
    <mergeCell ref="A21:N21"/>
    <mergeCell ref="A41:N41"/>
    <mergeCell ref="A42:N42"/>
    <mergeCell ref="G58:H58"/>
    <mergeCell ref="A60:N60"/>
    <mergeCell ref="A61:N61"/>
    <mergeCell ref="A79:N79"/>
    <mergeCell ref="A80:N80"/>
    <mergeCell ref="A97:N97"/>
    <mergeCell ref="A98:N98"/>
    <mergeCell ref="A118:N118"/>
    <mergeCell ref="A119:N119"/>
    <mergeCell ref="A139:N139"/>
    <mergeCell ref="A140:N140"/>
    <mergeCell ref="G156:H156"/>
    <mergeCell ref="A158:N158"/>
    <mergeCell ref="A159:N159"/>
    <mergeCell ref="A177:N177"/>
    <mergeCell ref="A247:N247"/>
    <mergeCell ref="A266:N266"/>
    <mergeCell ref="A267:N267"/>
    <mergeCell ref="A178:N178"/>
    <mergeCell ref="A208:N208"/>
    <mergeCell ref="A209:N209"/>
    <mergeCell ref="A227:N227"/>
    <mergeCell ref="A228:N228"/>
    <mergeCell ref="G244:H244"/>
    <mergeCell ref="A246:N246"/>
  </mergeCells>
  <dataValidations>
    <dataValidation type="list" allowBlank="1" showErrorMessage="1" sqref="I100:I111 I121:I132 I142:I153 I161:I172 I180:I191 I211:I222 I230:I241 I249:I260 I263 I269:I280">
      <formula1>"Não atendido ,Atendido ,Cancelado ,Vagas livres"</formula1>
    </dataValidation>
  </dataValidations>
  <printOptions gridLines="1" horizontalCentered="1"/>
  <pageMargins bottom="0.75" footer="0.0" header="0.0" left="0.7" right="0.7" top="0.75"/>
  <pageSetup paperSize="8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8.5"/>
    <col customWidth="1" min="4" max="4" width="24.5"/>
    <col customWidth="1" min="5" max="5" width="24.88"/>
    <col customWidth="1" min="7" max="7" width="18.63"/>
    <col customWidth="1" min="8" max="8" width="35.88"/>
    <col customWidth="1" min="10" max="10" width="24.63"/>
    <col customWidth="1" min="12" max="12" width="15.25"/>
    <col customWidth="1" min="15" max="15" width="65.25"/>
    <col customWidth="1" min="17" max="17" width="16.63"/>
  </cols>
  <sheetData>
    <row r="1" ht="36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1.5" customHeight="1">
      <c r="A2" s="36" t="s">
        <v>348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1" t="s">
        <v>1</v>
      </c>
      <c r="L3" s="11" t="s">
        <v>20</v>
      </c>
      <c r="M3" s="8" t="s">
        <v>25</v>
      </c>
      <c r="N3" s="8" t="s">
        <v>26</v>
      </c>
      <c r="O3" s="6" t="s">
        <v>27</v>
      </c>
      <c r="P3" s="9" t="s">
        <v>28</v>
      </c>
      <c r="Q3" s="6" t="s">
        <v>29</v>
      </c>
      <c r="R3" s="9" t="s">
        <v>30</v>
      </c>
    </row>
    <row r="4">
      <c r="A4" s="12" t="s">
        <v>10</v>
      </c>
      <c r="B4" s="13">
        <v>45917.0</v>
      </c>
      <c r="C4" s="14" t="s">
        <v>349</v>
      </c>
      <c r="D4" s="37" t="s">
        <v>109</v>
      </c>
      <c r="E4" s="14" t="s">
        <v>350</v>
      </c>
      <c r="F4" s="15">
        <v>0.3333333333333333</v>
      </c>
      <c r="G4" s="17">
        <v>8.01440484279683E14</v>
      </c>
      <c r="H4" s="17" t="s">
        <v>351</v>
      </c>
      <c r="I4" s="252">
        <v>15745.0</v>
      </c>
      <c r="J4" s="17" t="s">
        <v>352</v>
      </c>
      <c r="K4" s="253">
        <v>45917.0</v>
      </c>
      <c r="L4" s="254" t="s">
        <v>41</v>
      </c>
      <c r="M4" s="194" t="s">
        <v>353</v>
      </c>
      <c r="N4" s="43"/>
      <c r="O4" s="46"/>
      <c r="P4" s="45"/>
      <c r="Q4" s="46"/>
      <c r="R4" s="47"/>
    </row>
    <row r="5">
      <c r="A5" s="12" t="s">
        <v>11</v>
      </c>
      <c r="B5" s="13">
        <v>45917.0</v>
      </c>
      <c r="C5" s="14" t="s">
        <v>349</v>
      </c>
      <c r="D5" s="37" t="s">
        <v>109</v>
      </c>
      <c r="E5" s="14" t="s">
        <v>350</v>
      </c>
      <c r="F5" s="15">
        <v>0.3541666666666667</v>
      </c>
      <c r="G5" s="255">
        <v>8.98001468690134E14</v>
      </c>
      <c r="H5" s="17" t="s">
        <v>354</v>
      </c>
      <c r="I5" s="256">
        <v>15685.0</v>
      </c>
      <c r="J5" s="17" t="s">
        <v>352</v>
      </c>
      <c r="K5" s="253">
        <v>45917.0</v>
      </c>
      <c r="L5" s="254" t="s">
        <v>41</v>
      </c>
      <c r="M5" s="194" t="s">
        <v>353</v>
      </c>
      <c r="N5" s="50"/>
      <c r="O5" s="51"/>
      <c r="P5" s="52"/>
      <c r="Q5" s="51"/>
      <c r="R5" s="53"/>
    </row>
    <row r="6">
      <c r="A6" s="12" t="s">
        <v>12</v>
      </c>
      <c r="B6" s="13">
        <v>45917.0</v>
      </c>
      <c r="C6" s="14" t="s">
        <v>349</v>
      </c>
      <c r="D6" s="37" t="s">
        <v>109</v>
      </c>
      <c r="E6" s="14" t="s">
        <v>350</v>
      </c>
      <c r="F6" s="15">
        <v>0.375</v>
      </c>
      <c r="G6" s="257">
        <v>7.06807749109028E14</v>
      </c>
      <c r="H6" s="257" t="s">
        <v>355</v>
      </c>
      <c r="I6" s="256">
        <v>27739.0</v>
      </c>
      <c r="J6" s="17" t="s">
        <v>356</v>
      </c>
      <c r="K6" s="253">
        <v>45917.0</v>
      </c>
      <c r="L6" s="254" t="s">
        <v>41</v>
      </c>
      <c r="M6" s="194" t="s">
        <v>357</v>
      </c>
      <c r="N6" s="54"/>
      <c r="O6" s="55"/>
      <c r="P6" s="56"/>
      <c r="Q6" s="55"/>
      <c r="R6" s="57"/>
    </row>
    <row r="7">
      <c r="A7" s="12" t="s">
        <v>13</v>
      </c>
      <c r="B7" s="13">
        <v>45917.0</v>
      </c>
      <c r="C7" s="14" t="s">
        <v>349</v>
      </c>
      <c r="D7" s="37" t="s">
        <v>109</v>
      </c>
      <c r="E7" s="14" t="s">
        <v>350</v>
      </c>
      <c r="F7" s="15">
        <v>0.3958333333333333</v>
      </c>
      <c r="G7" s="257">
        <v>2.04296386090008E14</v>
      </c>
      <c r="H7" s="257" t="s">
        <v>358</v>
      </c>
      <c r="I7" s="256">
        <v>23292.0</v>
      </c>
      <c r="J7" s="17" t="s">
        <v>359</v>
      </c>
      <c r="K7" s="253">
        <v>45917.0</v>
      </c>
      <c r="L7" s="254" t="s">
        <v>41</v>
      </c>
      <c r="M7" s="194" t="s">
        <v>360</v>
      </c>
      <c r="N7" s="50"/>
      <c r="O7" s="61"/>
      <c r="P7" s="62"/>
      <c r="Q7" s="61"/>
      <c r="R7" s="53"/>
    </row>
    <row r="8">
      <c r="A8" s="12" t="s">
        <v>14</v>
      </c>
      <c r="B8" s="13">
        <v>45917.0</v>
      </c>
      <c r="C8" s="14" t="s">
        <v>349</v>
      </c>
      <c r="D8" s="37" t="s">
        <v>109</v>
      </c>
      <c r="E8" s="14" t="s">
        <v>350</v>
      </c>
      <c r="F8" s="15">
        <v>0.4166666666666667</v>
      </c>
      <c r="G8" s="258">
        <v>7.0600931546554E14</v>
      </c>
      <c r="H8" s="258" t="s">
        <v>361</v>
      </c>
      <c r="I8" s="256">
        <v>17431.0</v>
      </c>
      <c r="J8" s="17" t="s">
        <v>362</v>
      </c>
      <c r="K8" s="253">
        <v>45917.0</v>
      </c>
      <c r="L8" s="254" t="s">
        <v>41</v>
      </c>
      <c r="M8" s="194" t="s">
        <v>363</v>
      </c>
      <c r="N8" s="63"/>
      <c r="O8" s="64"/>
      <c r="P8" s="56"/>
      <c r="Q8" s="64"/>
      <c r="R8" s="65"/>
    </row>
    <row r="9">
      <c r="A9" s="12" t="s">
        <v>15</v>
      </c>
      <c r="B9" s="13">
        <v>45917.0</v>
      </c>
      <c r="C9" s="14" t="s">
        <v>349</v>
      </c>
      <c r="D9" s="37" t="s">
        <v>109</v>
      </c>
      <c r="E9" s="14" t="s">
        <v>350</v>
      </c>
      <c r="F9" s="15">
        <v>0.4375</v>
      </c>
      <c r="G9" s="258">
        <v>2.1014056685E14</v>
      </c>
      <c r="H9" s="258" t="s">
        <v>364</v>
      </c>
      <c r="I9" s="256">
        <v>15184.0</v>
      </c>
      <c r="J9" s="17" t="s">
        <v>365</v>
      </c>
      <c r="K9" s="253">
        <v>45917.0</v>
      </c>
      <c r="L9" s="254" t="s">
        <v>36</v>
      </c>
      <c r="M9" s="194" t="s">
        <v>366</v>
      </c>
      <c r="N9" s="50"/>
      <c r="O9" s="259" t="s">
        <v>367</v>
      </c>
      <c r="P9" s="62"/>
      <c r="Q9" s="61"/>
      <c r="R9" s="53"/>
    </row>
    <row r="10">
      <c r="A10" s="12" t="s">
        <v>16</v>
      </c>
      <c r="B10" s="13">
        <v>45917.0</v>
      </c>
      <c r="C10" s="14" t="s">
        <v>349</v>
      </c>
      <c r="D10" s="37" t="s">
        <v>109</v>
      </c>
      <c r="E10" s="14" t="s">
        <v>350</v>
      </c>
      <c r="F10" s="15">
        <v>0.4583333333333333</v>
      </c>
      <c r="G10" s="258">
        <v>8.01440497037268E14</v>
      </c>
      <c r="H10" s="258" t="s">
        <v>118</v>
      </c>
      <c r="I10" s="256">
        <v>22715.0</v>
      </c>
      <c r="J10" s="17" t="s">
        <v>368</v>
      </c>
      <c r="K10" s="253">
        <v>45917.0</v>
      </c>
      <c r="L10" s="254" t="s">
        <v>36</v>
      </c>
      <c r="M10" s="194" t="s">
        <v>119</v>
      </c>
      <c r="N10" s="63"/>
      <c r="O10" s="259" t="s">
        <v>369</v>
      </c>
      <c r="P10" s="56"/>
      <c r="Q10" s="64"/>
      <c r="R10" s="65"/>
    </row>
    <row r="11">
      <c r="A11" s="12" t="s">
        <v>17</v>
      </c>
      <c r="B11" s="13">
        <v>45917.0</v>
      </c>
      <c r="C11" s="14" t="s">
        <v>349</v>
      </c>
      <c r="D11" s="37" t="s">
        <v>109</v>
      </c>
      <c r="E11" s="14" t="s">
        <v>350</v>
      </c>
      <c r="F11" s="15">
        <v>0.4791666666666667</v>
      </c>
      <c r="G11" s="258">
        <v>8.98001437786032E14</v>
      </c>
      <c r="H11" s="258" t="s">
        <v>116</v>
      </c>
      <c r="I11" s="256">
        <v>33751.0</v>
      </c>
      <c r="J11" s="17" t="s">
        <v>370</v>
      </c>
      <c r="K11" s="253">
        <v>45917.0</v>
      </c>
      <c r="L11" s="254" t="s">
        <v>36</v>
      </c>
      <c r="M11" s="194" t="s">
        <v>371</v>
      </c>
      <c r="N11" s="50"/>
      <c r="O11" s="259" t="s">
        <v>369</v>
      </c>
      <c r="P11" s="62"/>
      <c r="Q11" s="61"/>
      <c r="R11" s="53"/>
    </row>
    <row r="12">
      <c r="D12" s="67"/>
    </row>
    <row r="13">
      <c r="D13" s="67"/>
    </row>
    <row r="14">
      <c r="D14" s="67"/>
    </row>
    <row r="15">
      <c r="D15" s="67"/>
    </row>
    <row r="16">
      <c r="D16" s="67"/>
    </row>
    <row r="17">
      <c r="D17" s="67"/>
    </row>
    <row r="18">
      <c r="D18" s="67"/>
    </row>
    <row r="19">
      <c r="D19" s="67"/>
    </row>
    <row r="20">
      <c r="D20" s="67"/>
    </row>
    <row r="21">
      <c r="D21" s="67"/>
    </row>
    <row r="22">
      <c r="D22" s="67"/>
    </row>
    <row r="23">
      <c r="D23" s="67"/>
    </row>
    <row r="24">
      <c r="D24" s="67"/>
    </row>
    <row r="25">
      <c r="D25" s="67"/>
    </row>
    <row r="26">
      <c r="D26" s="67"/>
    </row>
    <row r="27">
      <c r="D27" s="67"/>
    </row>
    <row r="28">
      <c r="D28" s="67"/>
    </row>
    <row r="29">
      <c r="D29" s="67"/>
    </row>
    <row r="30">
      <c r="D30" s="67"/>
    </row>
    <row r="31">
      <c r="D31" s="67"/>
    </row>
    <row r="32">
      <c r="D32" s="67"/>
    </row>
    <row r="33">
      <c r="D33" s="67"/>
    </row>
    <row r="34">
      <c r="D34" s="67"/>
    </row>
    <row r="35">
      <c r="D35" s="67"/>
    </row>
    <row r="36">
      <c r="D36" s="67"/>
    </row>
    <row r="37">
      <c r="D37" s="67"/>
    </row>
    <row r="38">
      <c r="D38" s="67"/>
    </row>
    <row r="39">
      <c r="D39" s="67"/>
    </row>
    <row r="40">
      <c r="D40" s="67"/>
    </row>
    <row r="41">
      <c r="D41" s="67"/>
    </row>
    <row r="42">
      <c r="D42" s="67"/>
    </row>
    <row r="43">
      <c r="D43" s="67"/>
    </row>
    <row r="44">
      <c r="D44" s="67"/>
    </row>
    <row r="45">
      <c r="D45" s="67"/>
    </row>
    <row r="46">
      <c r="D46" s="67"/>
    </row>
    <row r="47">
      <c r="D47" s="67"/>
    </row>
    <row r="48">
      <c r="D48" s="67"/>
    </row>
    <row r="49">
      <c r="D49" s="67"/>
    </row>
    <row r="50">
      <c r="D50" s="67"/>
    </row>
    <row r="51">
      <c r="D51" s="67"/>
    </row>
    <row r="52">
      <c r="D52" s="67"/>
    </row>
    <row r="53">
      <c r="D53" s="67"/>
    </row>
    <row r="54">
      <c r="D54" s="67"/>
    </row>
    <row r="55">
      <c r="D55" s="67"/>
    </row>
    <row r="56">
      <c r="D56" s="67"/>
    </row>
    <row r="57">
      <c r="D57" s="67"/>
    </row>
    <row r="58">
      <c r="D58" s="67"/>
    </row>
    <row r="59">
      <c r="D59" s="67"/>
    </row>
    <row r="60">
      <c r="D60" s="67"/>
    </row>
    <row r="61">
      <c r="D61" s="67"/>
    </row>
    <row r="62">
      <c r="D62" s="67"/>
    </row>
    <row r="63">
      <c r="D63" s="67"/>
    </row>
    <row r="64">
      <c r="D64" s="67"/>
    </row>
    <row r="65">
      <c r="D65" s="67"/>
    </row>
    <row r="66">
      <c r="D66" s="67"/>
    </row>
    <row r="67">
      <c r="D67" s="67"/>
    </row>
    <row r="68">
      <c r="D68" s="67"/>
    </row>
    <row r="69">
      <c r="D69" s="67"/>
    </row>
    <row r="70">
      <c r="D70" s="67"/>
    </row>
    <row r="71">
      <c r="D71" s="67"/>
    </row>
    <row r="72">
      <c r="D72" s="67"/>
    </row>
    <row r="73">
      <c r="D73" s="67"/>
    </row>
    <row r="74">
      <c r="D74" s="67"/>
    </row>
    <row r="75">
      <c r="D75" s="67"/>
    </row>
    <row r="76">
      <c r="D76" s="67"/>
    </row>
    <row r="77">
      <c r="D77" s="67"/>
    </row>
    <row r="78">
      <c r="D78" s="67"/>
    </row>
    <row r="79">
      <c r="D79" s="67"/>
    </row>
    <row r="80">
      <c r="D80" s="67"/>
    </row>
    <row r="81">
      <c r="D81" s="67"/>
    </row>
    <row r="82">
      <c r="D82" s="67"/>
    </row>
    <row r="83">
      <c r="D83" s="67"/>
    </row>
    <row r="84">
      <c r="D84" s="67"/>
    </row>
    <row r="85">
      <c r="D85" s="67"/>
    </row>
    <row r="86">
      <c r="D86" s="67"/>
    </row>
    <row r="87">
      <c r="D87" s="67"/>
    </row>
    <row r="88">
      <c r="D88" s="67"/>
    </row>
    <row r="89">
      <c r="D89" s="67"/>
    </row>
    <row r="90">
      <c r="D90" s="67"/>
    </row>
    <row r="91">
      <c r="D91" s="67"/>
    </row>
    <row r="92">
      <c r="D92" s="67"/>
    </row>
    <row r="93">
      <c r="D93" s="67"/>
    </row>
    <row r="94">
      <c r="D94" s="67"/>
    </row>
    <row r="95">
      <c r="D95" s="67"/>
    </row>
    <row r="96">
      <c r="D96" s="67"/>
    </row>
    <row r="97">
      <c r="D97" s="67"/>
    </row>
    <row r="98">
      <c r="D98" s="67"/>
    </row>
    <row r="99">
      <c r="D99" s="67"/>
    </row>
    <row r="100">
      <c r="D100" s="67"/>
    </row>
    <row r="101">
      <c r="D101" s="67"/>
    </row>
    <row r="102">
      <c r="D102" s="67"/>
    </row>
    <row r="103">
      <c r="D103" s="67"/>
    </row>
    <row r="104">
      <c r="D104" s="67"/>
    </row>
    <row r="105">
      <c r="D105" s="67"/>
    </row>
    <row r="106">
      <c r="D106" s="67"/>
    </row>
    <row r="107">
      <c r="D107" s="67"/>
    </row>
    <row r="108">
      <c r="D108" s="67"/>
    </row>
    <row r="109">
      <c r="D109" s="67"/>
    </row>
    <row r="110">
      <c r="D110" s="67"/>
    </row>
    <row r="111">
      <c r="D111" s="67"/>
    </row>
    <row r="112">
      <c r="D112" s="67"/>
    </row>
    <row r="113">
      <c r="D113" s="67"/>
    </row>
    <row r="114">
      <c r="D114" s="67"/>
    </row>
    <row r="115">
      <c r="D115" s="67"/>
    </row>
    <row r="116">
      <c r="D116" s="67"/>
    </row>
    <row r="117">
      <c r="D117" s="67"/>
    </row>
    <row r="118">
      <c r="D118" s="67"/>
    </row>
    <row r="119">
      <c r="D119" s="67"/>
    </row>
    <row r="120">
      <c r="D120" s="67"/>
    </row>
    <row r="121">
      <c r="D121" s="67"/>
    </row>
    <row r="122">
      <c r="D122" s="67"/>
    </row>
    <row r="123">
      <c r="D123" s="67"/>
    </row>
    <row r="124">
      <c r="D124" s="67"/>
    </row>
    <row r="125">
      <c r="D125" s="67"/>
    </row>
    <row r="126">
      <c r="D126" s="67"/>
    </row>
    <row r="127">
      <c r="D127" s="67"/>
    </row>
    <row r="128">
      <c r="D128" s="67"/>
    </row>
    <row r="129">
      <c r="D129" s="67"/>
    </row>
    <row r="130">
      <c r="D130" s="67"/>
    </row>
    <row r="131">
      <c r="D131" s="67"/>
    </row>
    <row r="132">
      <c r="D132" s="67"/>
    </row>
    <row r="133">
      <c r="D133" s="67"/>
    </row>
    <row r="134">
      <c r="D134" s="67"/>
    </row>
    <row r="135">
      <c r="D135" s="67"/>
    </row>
    <row r="136">
      <c r="D136" s="67"/>
    </row>
    <row r="137">
      <c r="D137" s="67"/>
    </row>
    <row r="138">
      <c r="D138" s="67"/>
    </row>
    <row r="139">
      <c r="D139" s="67"/>
    </row>
    <row r="140">
      <c r="D140" s="67"/>
    </row>
    <row r="141">
      <c r="D141" s="67"/>
    </row>
    <row r="142">
      <c r="D142" s="67"/>
    </row>
    <row r="143">
      <c r="D143" s="67"/>
    </row>
    <row r="144">
      <c r="D144" s="67"/>
    </row>
    <row r="145">
      <c r="D145" s="67"/>
    </row>
    <row r="146">
      <c r="D146" s="67"/>
    </row>
    <row r="147">
      <c r="D147" s="67"/>
    </row>
    <row r="148">
      <c r="D148" s="67"/>
    </row>
    <row r="149">
      <c r="D149" s="67"/>
    </row>
    <row r="150">
      <c r="D150" s="67"/>
    </row>
    <row r="151">
      <c r="D151" s="67"/>
    </row>
    <row r="152">
      <c r="D152" s="67"/>
    </row>
    <row r="153">
      <c r="D153" s="67"/>
    </row>
    <row r="154">
      <c r="D154" s="67"/>
    </row>
    <row r="155">
      <c r="D155" s="67"/>
    </row>
    <row r="156">
      <c r="D156" s="67"/>
    </row>
    <row r="157">
      <c r="D157" s="67"/>
    </row>
    <row r="158">
      <c r="D158" s="67"/>
    </row>
    <row r="159">
      <c r="D159" s="67"/>
    </row>
    <row r="160">
      <c r="D160" s="67"/>
    </row>
    <row r="161">
      <c r="D161" s="67"/>
    </row>
    <row r="162">
      <c r="D162" s="67"/>
    </row>
    <row r="163">
      <c r="D163" s="67"/>
    </row>
    <row r="164">
      <c r="D164" s="67"/>
    </row>
    <row r="165">
      <c r="D165" s="67"/>
    </row>
    <row r="166">
      <c r="D166" s="67"/>
    </row>
    <row r="167">
      <c r="D167" s="67"/>
    </row>
    <row r="168">
      <c r="D168" s="67"/>
    </row>
    <row r="169">
      <c r="D169" s="67"/>
    </row>
    <row r="170">
      <c r="D170" s="67"/>
    </row>
    <row r="171">
      <c r="D171" s="67"/>
    </row>
    <row r="172">
      <c r="D172" s="67"/>
    </row>
    <row r="173">
      <c r="D173" s="67"/>
    </row>
    <row r="174">
      <c r="D174" s="67"/>
    </row>
    <row r="175">
      <c r="D175" s="67"/>
    </row>
    <row r="176">
      <c r="D176" s="67"/>
    </row>
    <row r="177">
      <c r="D177" s="67"/>
    </row>
    <row r="178">
      <c r="D178" s="67"/>
    </row>
    <row r="179">
      <c r="D179" s="67"/>
    </row>
    <row r="180">
      <c r="D180" s="67"/>
    </row>
    <row r="181">
      <c r="D181" s="67"/>
    </row>
    <row r="182">
      <c r="D182" s="67"/>
    </row>
    <row r="183">
      <c r="D183" s="67"/>
    </row>
    <row r="184">
      <c r="D184" s="67"/>
    </row>
    <row r="185">
      <c r="D185" s="67"/>
    </row>
    <row r="186">
      <c r="D186" s="67"/>
    </row>
    <row r="187">
      <c r="D187" s="67"/>
    </row>
    <row r="188">
      <c r="D188" s="67"/>
    </row>
    <row r="189">
      <c r="D189" s="67"/>
    </row>
    <row r="190">
      <c r="D190" s="67"/>
    </row>
    <row r="191">
      <c r="D191" s="67"/>
    </row>
    <row r="192">
      <c r="D192" s="67"/>
    </row>
    <row r="193">
      <c r="D193" s="67"/>
    </row>
    <row r="194">
      <c r="D194" s="67"/>
    </row>
    <row r="195">
      <c r="D195" s="67"/>
    </row>
    <row r="196">
      <c r="D196" s="67"/>
    </row>
    <row r="197">
      <c r="D197" s="67"/>
    </row>
    <row r="198">
      <c r="D198" s="67"/>
    </row>
    <row r="199">
      <c r="D199" s="67"/>
    </row>
    <row r="200">
      <c r="D200" s="67"/>
    </row>
    <row r="201">
      <c r="D201" s="67"/>
    </row>
    <row r="202">
      <c r="D202" s="67"/>
    </row>
    <row r="203">
      <c r="D203" s="67"/>
    </row>
    <row r="204">
      <c r="D204" s="67"/>
    </row>
    <row r="205">
      <c r="D205" s="67"/>
    </row>
    <row r="206">
      <c r="D206" s="67"/>
    </row>
    <row r="207">
      <c r="D207" s="67"/>
    </row>
    <row r="208">
      <c r="D208" s="67"/>
    </row>
    <row r="209">
      <c r="D209" s="67"/>
    </row>
    <row r="210">
      <c r="D210" s="67"/>
    </row>
    <row r="211">
      <c r="D211" s="67"/>
    </row>
    <row r="212">
      <c r="D212" s="67"/>
    </row>
    <row r="213">
      <c r="D213" s="67"/>
    </row>
    <row r="214">
      <c r="D214" s="67"/>
    </row>
    <row r="215">
      <c r="D215" s="67"/>
    </row>
    <row r="216">
      <c r="D216" s="67"/>
    </row>
    <row r="217">
      <c r="D217" s="67"/>
    </row>
    <row r="218">
      <c r="D218" s="67"/>
    </row>
    <row r="219">
      <c r="D219" s="67"/>
    </row>
    <row r="220">
      <c r="D220" s="67"/>
    </row>
    <row r="221">
      <c r="D221" s="67"/>
    </row>
    <row r="222">
      <c r="D222" s="67"/>
    </row>
    <row r="223">
      <c r="D223" s="67"/>
    </row>
    <row r="224">
      <c r="D224" s="67"/>
    </row>
    <row r="225">
      <c r="D225" s="67"/>
    </row>
    <row r="226">
      <c r="D226" s="67"/>
    </row>
    <row r="227">
      <c r="D227" s="67"/>
    </row>
    <row r="228">
      <c r="D228" s="67"/>
    </row>
    <row r="229">
      <c r="D229" s="67"/>
    </row>
    <row r="230">
      <c r="D230" s="67"/>
    </row>
    <row r="231">
      <c r="D231" s="67"/>
    </row>
    <row r="232">
      <c r="D232" s="67"/>
    </row>
    <row r="233">
      <c r="D233" s="67"/>
    </row>
    <row r="234">
      <c r="D234" s="67"/>
    </row>
    <row r="235">
      <c r="D235" s="67"/>
    </row>
    <row r="236">
      <c r="D236" s="67"/>
    </row>
    <row r="237">
      <c r="D237" s="67"/>
    </row>
    <row r="238">
      <c r="D238" s="67"/>
    </row>
    <row r="239">
      <c r="D239" s="67"/>
    </row>
    <row r="240">
      <c r="D240" s="67"/>
    </row>
    <row r="241">
      <c r="D241" s="67"/>
    </row>
    <row r="242">
      <c r="D242" s="67"/>
    </row>
    <row r="243">
      <c r="D243" s="67"/>
    </row>
    <row r="244">
      <c r="D244" s="67"/>
    </row>
    <row r="245">
      <c r="D245" s="67"/>
    </row>
    <row r="246">
      <c r="D246" s="67"/>
    </row>
    <row r="247">
      <c r="D247" s="67"/>
    </row>
    <row r="248">
      <c r="D248" s="67"/>
    </row>
    <row r="249">
      <c r="D249" s="67"/>
    </row>
    <row r="250">
      <c r="D250" s="67"/>
    </row>
    <row r="251">
      <c r="D251" s="67"/>
    </row>
    <row r="252">
      <c r="D252" s="67"/>
    </row>
    <row r="253">
      <c r="D253" s="67"/>
    </row>
    <row r="254">
      <c r="D254" s="67"/>
    </row>
    <row r="255">
      <c r="D255" s="67"/>
    </row>
    <row r="256">
      <c r="D256" s="67"/>
    </row>
    <row r="257">
      <c r="D257" s="67"/>
    </row>
    <row r="258">
      <c r="D258" s="67"/>
    </row>
    <row r="259">
      <c r="D259" s="67"/>
    </row>
    <row r="260">
      <c r="D260" s="67"/>
    </row>
    <row r="261">
      <c r="D261" s="67"/>
    </row>
    <row r="262">
      <c r="D262" s="67"/>
    </row>
    <row r="263">
      <c r="D263" s="67"/>
    </row>
    <row r="264">
      <c r="D264" s="67"/>
    </row>
    <row r="265">
      <c r="D265" s="67"/>
    </row>
    <row r="266">
      <c r="D266" s="67"/>
    </row>
    <row r="267">
      <c r="D267" s="67"/>
    </row>
    <row r="268">
      <c r="D268" s="67"/>
    </row>
    <row r="269">
      <c r="D269" s="67"/>
    </row>
    <row r="270">
      <c r="D270" s="67"/>
    </row>
    <row r="271">
      <c r="D271" s="67"/>
    </row>
    <row r="272">
      <c r="D272" s="67"/>
    </row>
    <row r="273">
      <c r="D273" s="67"/>
    </row>
    <row r="274">
      <c r="D274" s="67"/>
    </row>
    <row r="275">
      <c r="D275" s="67"/>
    </row>
    <row r="276">
      <c r="D276" s="67"/>
    </row>
    <row r="277">
      <c r="D277" s="67"/>
    </row>
    <row r="278">
      <c r="D278" s="67"/>
    </row>
    <row r="279">
      <c r="D279" s="67"/>
    </row>
    <row r="280">
      <c r="D280" s="67"/>
    </row>
    <row r="281">
      <c r="D281" s="67"/>
    </row>
    <row r="282">
      <c r="D282" s="67"/>
    </row>
    <row r="283">
      <c r="D283" s="67"/>
    </row>
    <row r="284">
      <c r="D284" s="67"/>
    </row>
    <row r="285">
      <c r="D285" s="67"/>
    </row>
    <row r="286">
      <c r="D286" s="67"/>
    </row>
    <row r="287">
      <c r="D287" s="67"/>
    </row>
    <row r="288">
      <c r="D288" s="67"/>
    </row>
    <row r="289">
      <c r="D289" s="67"/>
    </row>
    <row r="290">
      <c r="D290" s="67"/>
    </row>
    <row r="291">
      <c r="D291" s="67"/>
    </row>
    <row r="292">
      <c r="D292" s="67"/>
    </row>
    <row r="293">
      <c r="D293" s="67"/>
    </row>
    <row r="294">
      <c r="D294" s="67"/>
    </row>
    <row r="295">
      <c r="D295" s="67"/>
    </row>
    <row r="296">
      <c r="D296" s="67"/>
    </row>
    <row r="297">
      <c r="D297" s="67"/>
    </row>
    <row r="298">
      <c r="D298" s="67"/>
    </row>
    <row r="299">
      <c r="D299" s="67"/>
    </row>
    <row r="300">
      <c r="D300" s="67"/>
    </row>
    <row r="301">
      <c r="D301" s="67"/>
    </row>
    <row r="302">
      <c r="D302" s="67"/>
    </row>
    <row r="303">
      <c r="D303" s="67"/>
    </row>
    <row r="304">
      <c r="D304" s="67"/>
    </row>
    <row r="305">
      <c r="D305" s="67"/>
    </row>
    <row r="306">
      <c r="D306" s="67"/>
    </row>
    <row r="307">
      <c r="D307" s="67"/>
    </row>
    <row r="308">
      <c r="D308" s="67"/>
    </row>
    <row r="309">
      <c r="D309" s="67"/>
    </row>
    <row r="310">
      <c r="D310" s="67"/>
    </row>
    <row r="311">
      <c r="D311" s="67"/>
    </row>
    <row r="312">
      <c r="D312" s="67"/>
    </row>
    <row r="313">
      <c r="D313" s="67"/>
    </row>
    <row r="314">
      <c r="D314" s="67"/>
    </row>
    <row r="315">
      <c r="D315" s="67"/>
    </row>
    <row r="316">
      <c r="D316" s="67"/>
    </row>
    <row r="317">
      <c r="D317" s="67"/>
    </row>
    <row r="318">
      <c r="D318" s="67"/>
    </row>
    <row r="319">
      <c r="D319" s="67"/>
    </row>
    <row r="320">
      <c r="D320" s="67"/>
    </row>
    <row r="321">
      <c r="D321" s="67"/>
    </row>
    <row r="322">
      <c r="D322" s="67"/>
    </row>
    <row r="323">
      <c r="D323" s="67"/>
    </row>
    <row r="324">
      <c r="D324" s="67"/>
    </row>
    <row r="325">
      <c r="D325" s="67"/>
    </row>
    <row r="326">
      <c r="D326" s="67"/>
    </row>
    <row r="327">
      <c r="D327" s="67"/>
    </row>
    <row r="328">
      <c r="D328" s="67"/>
    </row>
    <row r="329">
      <c r="D329" s="67"/>
    </row>
    <row r="330">
      <c r="D330" s="67"/>
    </row>
    <row r="331">
      <c r="D331" s="67"/>
    </row>
    <row r="332">
      <c r="D332" s="67"/>
    </row>
    <row r="333">
      <c r="D333" s="67"/>
    </row>
    <row r="334">
      <c r="D334" s="67"/>
    </row>
    <row r="335">
      <c r="D335" s="67"/>
    </row>
    <row r="336">
      <c r="D336" s="67"/>
    </row>
    <row r="337">
      <c r="D337" s="67"/>
    </row>
    <row r="338">
      <c r="D338" s="67"/>
    </row>
    <row r="339">
      <c r="D339" s="67"/>
    </row>
    <row r="340">
      <c r="D340" s="67"/>
    </row>
    <row r="341">
      <c r="D341" s="67"/>
    </row>
    <row r="342">
      <c r="D342" s="67"/>
    </row>
    <row r="343">
      <c r="D343" s="67"/>
    </row>
    <row r="344">
      <c r="D344" s="67"/>
    </row>
    <row r="345">
      <c r="D345" s="67"/>
    </row>
    <row r="346">
      <c r="D346" s="67"/>
    </row>
    <row r="347">
      <c r="D347" s="67"/>
    </row>
    <row r="348">
      <c r="D348" s="67"/>
    </row>
    <row r="349">
      <c r="D349" s="67"/>
    </row>
    <row r="350">
      <c r="D350" s="67"/>
    </row>
    <row r="351">
      <c r="D351" s="67"/>
    </row>
    <row r="352">
      <c r="D352" s="67"/>
    </row>
    <row r="353">
      <c r="D353" s="67"/>
    </row>
    <row r="354">
      <c r="D354" s="67"/>
    </row>
    <row r="355">
      <c r="D355" s="67"/>
    </row>
    <row r="356">
      <c r="D356" s="67"/>
    </row>
    <row r="357">
      <c r="D357" s="67"/>
    </row>
    <row r="358">
      <c r="D358" s="67"/>
    </row>
    <row r="359">
      <c r="D359" s="67"/>
    </row>
    <row r="360">
      <c r="D360" s="67"/>
    </row>
    <row r="361">
      <c r="D361" s="67"/>
    </row>
    <row r="362">
      <c r="D362" s="67"/>
    </row>
    <row r="363">
      <c r="D363" s="67"/>
    </row>
    <row r="364">
      <c r="D364" s="67"/>
    </row>
    <row r="365">
      <c r="D365" s="67"/>
    </row>
    <row r="366">
      <c r="D366" s="67"/>
    </row>
    <row r="367">
      <c r="D367" s="67"/>
    </row>
    <row r="368">
      <c r="D368" s="67"/>
    </row>
    <row r="369">
      <c r="D369" s="67"/>
    </row>
    <row r="370">
      <c r="D370" s="67"/>
    </row>
    <row r="371">
      <c r="D371" s="67"/>
    </row>
    <row r="372">
      <c r="D372" s="67"/>
    </row>
    <row r="373">
      <c r="D373" s="67"/>
    </row>
    <row r="374">
      <c r="D374" s="67"/>
    </row>
    <row r="375">
      <c r="D375" s="67"/>
    </row>
    <row r="376">
      <c r="D376" s="67"/>
    </row>
    <row r="377">
      <c r="D377" s="67"/>
    </row>
    <row r="378">
      <c r="D378" s="67"/>
    </row>
    <row r="379">
      <c r="D379" s="67"/>
    </row>
    <row r="380">
      <c r="D380" s="67"/>
    </row>
    <row r="381">
      <c r="D381" s="67"/>
    </row>
    <row r="382">
      <c r="D382" s="67"/>
    </row>
    <row r="383">
      <c r="D383" s="67"/>
    </row>
    <row r="384">
      <c r="D384" s="67"/>
    </row>
    <row r="385">
      <c r="D385" s="67"/>
    </row>
    <row r="386">
      <c r="D386" s="67"/>
    </row>
    <row r="387">
      <c r="D387" s="67"/>
    </row>
    <row r="388">
      <c r="D388" s="67"/>
    </row>
    <row r="389">
      <c r="D389" s="67"/>
    </row>
    <row r="390">
      <c r="D390" s="67"/>
    </row>
    <row r="391">
      <c r="D391" s="67"/>
    </row>
    <row r="392">
      <c r="D392" s="67"/>
    </row>
    <row r="393">
      <c r="D393" s="67"/>
    </row>
    <row r="394">
      <c r="D394" s="67"/>
    </row>
    <row r="395">
      <c r="D395" s="67"/>
    </row>
    <row r="396">
      <c r="D396" s="67"/>
    </row>
    <row r="397">
      <c r="D397" s="67"/>
    </row>
    <row r="398">
      <c r="D398" s="67"/>
    </row>
    <row r="399">
      <c r="D399" s="67"/>
    </row>
    <row r="400">
      <c r="D400" s="67"/>
    </row>
    <row r="401">
      <c r="D401" s="67"/>
    </row>
    <row r="402">
      <c r="D402" s="67"/>
    </row>
    <row r="403">
      <c r="D403" s="67"/>
    </row>
    <row r="404">
      <c r="D404" s="67"/>
    </row>
    <row r="405">
      <c r="D405" s="67"/>
    </row>
    <row r="406">
      <c r="D406" s="67"/>
    </row>
    <row r="407">
      <c r="D407" s="67"/>
    </row>
    <row r="408">
      <c r="D408" s="67"/>
    </row>
    <row r="409">
      <c r="D409" s="67"/>
    </row>
    <row r="410">
      <c r="D410" s="67"/>
    </row>
    <row r="411">
      <c r="D411" s="67"/>
    </row>
    <row r="412">
      <c r="D412" s="67"/>
    </row>
    <row r="413">
      <c r="D413" s="67"/>
    </row>
    <row r="414">
      <c r="D414" s="67"/>
    </row>
    <row r="415">
      <c r="D415" s="67"/>
    </row>
    <row r="416">
      <c r="D416" s="67"/>
    </row>
    <row r="417">
      <c r="D417" s="67"/>
    </row>
    <row r="418">
      <c r="D418" s="67"/>
    </row>
    <row r="419">
      <c r="D419" s="67"/>
    </row>
    <row r="420">
      <c r="D420" s="67"/>
    </row>
    <row r="421">
      <c r="D421" s="67"/>
    </row>
    <row r="422">
      <c r="D422" s="67"/>
    </row>
    <row r="423">
      <c r="D423" s="67"/>
    </row>
    <row r="424">
      <c r="D424" s="67"/>
    </row>
    <row r="425">
      <c r="D425" s="67"/>
    </row>
    <row r="426">
      <c r="D426" s="67"/>
    </row>
    <row r="427">
      <c r="D427" s="67"/>
    </row>
    <row r="428">
      <c r="D428" s="67"/>
    </row>
    <row r="429">
      <c r="D429" s="67"/>
    </row>
    <row r="430">
      <c r="D430" s="67"/>
    </row>
    <row r="431">
      <c r="D431" s="67"/>
    </row>
    <row r="432">
      <c r="D432" s="67"/>
    </row>
    <row r="433">
      <c r="D433" s="67"/>
    </row>
    <row r="434">
      <c r="D434" s="67"/>
    </row>
    <row r="435">
      <c r="D435" s="67"/>
    </row>
    <row r="436">
      <c r="D436" s="67"/>
    </row>
    <row r="437">
      <c r="D437" s="67"/>
    </row>
    <row r="438">
      <c r="D438" s="67"/>
    </row>
    <row r="439">
      <c r="D439" s="67"/>
    </row>
    <row r="440">
      <c r="D440" s="67"/>
    </row>
    <row r="441">
      <c r="D441" s="67"/>
    </row>
    <row r="442">
      <c r="D442" s="67"/>
    </row>
    <row r="443">
      <c r="D443" s="67"/>
    </row>
    <row r="444">
      <c r="D444" s="67"/>
    </row>
    <row r="445">
      <c r="D445" s="67"/>
    </row>
    <row r="446">
      <c r="D446" s="67"/>
    </row>
    <row r="447">
      <c r="D447" s="67"/>
    </row>
    <row r="448">
      <c r="D448" s="67"/>
    </row>
    <row r="449">
      <c r="D449" s="67"/>
    </row>
    <row r="450">
      <c r="D450" s="67"/>
    </row>
    <row r="451">
      <c r="D451" s="67"/>
    </row>
    <row r="452">
      <c r="D452" s="67"/>
    </row>
    <row r="453">
      <c r="D453" s="67"/>
    </row>
    <row r="454">
      <c r="D454" s="67"/>
    </row>
    <row r="455">
      <c r="D455" s="67"/>
    </row>
    <row r="456">
      <c r="D456" s="67"/>
    </row>
    <row r="457">
      <c r="D457" s="67"/>
    </row>
    <row r="458">
      <c r="D458" s="67"/>
    </row>
    <row r="459">
      <c r="D459" s="67"/>
    </row>
    <row r="460">
      <c r="D460" s="67"/>
    </row>
    <row r="461">
      <c r="D461" s="67"/>
    </row>
    <row r="462">
      <c r="D462" s="67"/>
    </row>
    <row r="463">
      <c r="D463" s="67"/>
    </row>
    <row r="464">
      <c r="D464" s="67"/>
    </row>
    <row r="465">
      <c r="D465" s="67"/>
    </row>
    <row r="466">
      <c r="D466" s="67"/>
    </row>
    <row r="467">
      <c r="D467" s="67"/>
    </row>
    <row r="468">
      <c r="D468" s="67"/>
    </row>
    <row r="469">
      <c r="D469" s="67"/>
    </row>
    <row r="470">
      <c r="D470" s="67"/>
    </row>
    <row r="471">
      <c r="D471" s="67"/>
    </row>
    <row r="472">
      <c r="D472" s="67"/>
    </row>
    <row r="473">
      <c r="D473" s="67"/>
    </row>
    <row r="474">
      <c r="D474" s="67"/>
    </row>
    <row r="475">
      <c r="D475" s="67"/>
    </row>
    <row r="476">
      <c r="D476" s="67"/>
    </row>
    <row r="477">
      <c r="D477" s="67"/>
    </row>
    <row r="478">
      <c r="D478" s="67"/>
    </row>
    <row r="479">
      <c r="D479" s="67"/>
    </row>
    <row r="480">
      <c r="D480" s="67"/>
    </row>
    <row r="481">
      <c r="D481" s="67"/>
    </row>
    <row r="482">
      <c r="D482" s="67"/>
    </row>
    <row r="483">
      <c r="D483" s="67"/>
    </row>
    <row r="484">
      <c r="D484" s="67"/>
    </row>
    <row r="485">
      <c r="D485" s="67"/>
    </row>
    <row r="486">
      <c r="D486" s="67"/>
    </row>
    <row r="487">
      <c r="D487" s="67"/>
    </row>
    <row r="488">
      <c r="D488" s="67"/>
    </row>
    <row r="489">
      <c r="D489" s="67"/>
    </row>
    <row r="490">
      <c r="D490" s="67"/>
    </row>
    <row r="491">
      <c r="D491" s="67"/>
    </row>
    <row r="492">
      <c r="D492" s="67"/>
    </row>
    <row r="493">
      <c r="D493" s="67"/>
    </row>
    <row r="494">
      <c r="D494" s="67"/>
    </row>
    <row r="495">
      <c r="D495" s="67"/>
    </row>
    <row r="496">
      <c r="D496" s="67"/>
    </row>
    <row r="497">
      <c r="D497" s="67"/>
    </row>
    <row r="498">
      <c r="D498" s="67"/>
    </row>
    <row r="499">
      <c r="D499" s="67"/>
    </row>
    <row r="500">
      <c r="D500" s="67"/>
    </row>
    <row r="501">
      <c r="D501" s="67"/>
    </row>
    <row r="502">
      <c r="D502" s="67"/>
    </row>
    <row r="503">
      <c r="D503" s="67"/>
    </row>
    <row r="504">
      <c r="D504" s="67"/>
    </row>
    <row r="505">
      <c r="D505" s="67"/>
    </row>
    <row r="506">
      <c r="D506" s="67"/>
    </row>
    <row r="507">
      <c r="D507" s="67"/>
    </row>
    <row r="508">
      <c r="D508" s="67"/>
    </row>
    <row r="509">
      <c r="D509" s="67"/>
    </row>
    <row r="510">
      <c r="D510" s="67"/>
    </row>
    <row r="511">
      <c r="D511" s="67"/>
    </row>
    <row r="512">
      <c r="D512" s="67"/>
    </row>
    <row r="513">
      <c r="D513" s="67"/>
    </row>
    <row r="514">
      <c r="D514" s="67"/>
    </row>
    <row r="515">
      <c r="D515" s="67"/>
    </row>
    <row r="516">
      <c r="D516" s="67"/>
    </row>
    <row r="517">
      <c r="D517" s="67"/>
    </row>
    <row r="518">
      <c r="D518" s="67"/>
    </row>
    <row r="519">
      <c r="D519" s="67"/>
    </row>
    <row r="520">
      <c r="D520" s="67"/>
    </row>
    <row r="521">
      <c r="D521" s="67"/>
    </row>
    <row r="522">
      <c r="D522" s="67"/>
    </row>
    <row r="523">
      <c r="D523" s="67"/>
    </row>
    <row r="524">
      <c r="D524" s="67"/>
    </row>
    <row r="525">
      <c r="D525" s="67"/>
    </row>
    <row r="526">
      <c r="D526" s="67"/>
    </row>
    <row r="527">
      <c r="D527" s="67"/>
    </row>
    <row r="528">
      <c r="D528" s="67"/>
    </row>
    <row r="529">
      <c r="D529" s="67"/>
    </row>
    <row r="530">
      <c r="D530" s="67"/>
    </row>
    <row r="531">
      <c r="D531" s="67"/>
    </row>
    <row r="532">
      <c r="D532" s="67"/>
    </row>
    <row r="533">
      <c r="D533" s="67"/>
    </row>
    <row r="534">
      <c r="D534" s="67"/>
    </row>
    <row r="535">
      <c r="D535" s="67"/>
    </row>
    <row r="536">
      <c r="D536" s="67"/>
    </row>
    <row r="537">
      <c r="D537" s="67"/>
    </row>
    <row r="538">
      <c r="D538" s="67"/>
    </row>
    <row r="539">
      <c r="D539" s="67"/>
    </row>
    <row r="540">
      <c r="D540" s="67"/>
    </row>
    <row r="541">
      <c r="D541" s="67"/>
    </row>
    <row r="542">
      <c r="D542" s="67"/>
    </row>
    <row r="543">
      <c r="D543" s="67"/>
    </row>
    <row r="544">
      <c r="D544" s="67"/>
    </row>
    <row r="545">
      <c r="D545" s="67"/>
    </row>
    <row r="546">
      <c r="D546" s="67"/>
    </row>
    <row r="547">
      <c r="D547" s="67"/>
    </row>
    <row r="548">
      <c r="D548" s="67"/>
    </row>
    <row r="549">
      <c r="D549" s="67"/>
    </row>
    <row r="550">
      <c r="D550" s="67"/>
    </row>
    <row r="551">
      <c r="D551" s="67"/>
    </row>
    <row r="552">
      <c r="D552" s="67"/>
    </row>
    <row r="553">
      <c r="D553" s="67"/>
    </row>
    <row r="554">
      <c r="D554" s="67"/>
    </row>
    <row r="555">
      <c r="D555" s="67"/>
    </row>
    <row r="556">
      <c r="D556" s="67"/>
    </row>
    <row r="557">
      <c r="D557" s="67"/>
    </row>
    <row r="558">
      <c r="D558" s="67"/>
    </row>
    <row r="559">
      <c r="D559" s="67"/>
    </row>
    <row r="560">
      <c r="D560" s="67"/>
    </row>
    <row r="561">
      <c r="D561" s="67"/>
    </row>
    <row r="562">
      <c r="D562" s="67"/>
    </row>
    <row r="563">
      <c r="D563" s="67"/>
    </row>
    <row r="564">
      <c r="D564" s="67"/>
    </row>
    <row r="565">
      <c r="D565" s="67"/>
    </row>
    <row r="566">
      <c r="D566" s="67"/>
    </row>
    <row r="567">
      <c r="D567" s="67"/>
    </row>
    <row r="568">
      <c r="D568" s="67"/>
    </row>
    <row r="569">
      <c r="D569" s="67"/>
    </row>
    <row r="570">
      <c r="D570" s="67"/>
    </row>
    <row r="571">
      <c r="D571" s="67"/>
    </row>
    <row r="572">
      <c r="D572" s="67"/>
    </row>
    <row r="573">
      <c r="D573" s="67"/>
    </row>
    <row r="574">
      <c r="D574" s="67"/>
    </row>
    <row r="575">
      <c r="D575" s="67"/>
    </row>
    <row r="576">
      <c r="D576" s="67"/>
    </row>
    <row r="577">
      <c r="D577" s="67"/>
    </row>
    <row r="578">
      <c r="D578" s="67"/>
    </row>
    <row r="579">
      <c r="D579" s="67"/>
    </row>
    <row r="580">
      <c r="D580" s="67"/>
    </row>
    <row r="581">
      <c r="D581" s="67"/>
    </row>
    <row r="582">
      <c r="D582" s="67"/>
    </row>
    <row r="583">
      <c r="D583" s="67"/>
    </row>
    <row r="584">
      <c r="D584" s="67"/>
    </row>
    <row r="585">
      <c r="D585" s="67"/>
    </row>
    <row r="586">
      <c r="D586" s="67"/>
    </row>
    <row r="587">
      <c r="D587" s="67"/>
    </row>
    <row r="588">
      <c r="D588" s="67"/>
    </row>
    <row r="589">
      <c r="D589" s="67"/>
    </row>
    <row r="590">
      <c r="D590" s="67"/>
    </row>
    <row r="591">
      <c r="D591" s="67"/>
    </row>
    <row r="592">
      <c r="D592" s="67"/>
    </row>
    <row r="593">
      <c r="D593" s="67"/>
    </row>
    <row r="594">
      <c r="D594" s="67"/>
    </row>
    <row r="595">
      <c r="D595" s="67"/>
    </row>
    <row r="596">
      <c r="D596" s="67"/>
    </row>
    <row r="597">
      <c r="D597" s="67"/>
    </row>
    <row r="598">
      <c r="D598" s="67"/>
    </row>
    <row r="599">
      <c r="D599" s="67"/>
    </row>
    <row r="600">
      <c r="D600" s="67"/>
    </row>
    <row r="601">
      <c r="D601" s="67"/>
    </row>
    <row r="602">
      <c r="D602" s="67"/>
    </row>
    <row r="603">
      <c r="D603" s="67"/>
    </row>
    <row r="604">
      <c r="D604" s="67"/>
    </row>
    <row r="605">
      <c r="D605" s="67"/>
    </row>
    <row r="606">
      <c r="D606" s="67"/>
    </row>
    <row r="607">
      <c r="D607" s="67"/>
    </row>
    <row r="608">
      <c r="D608" s="67"/>
    </row>
    <row r="609">
      <c r="D609" s="67"/>
    </row>
    <row r="610">
      <c r="D610" s="67"/>
    </row>
    <row r="611">
      <c r="D611" s="67"/>
    </row>
    <row r="612">
      <c r="D612" s="67"/>
    </row>
    <row r="613">
      <c r="D613" s="67"/>
    </row>
    <row r="614">
      <c r="D614" s="67"/>
    </row>
    <row r="615">
      <c r="D615" s="67"/>
    </row>
    <row r="616">
      <c r="D616" s="67"/>
    </row>
    <row r="617">
      <c r="D617" s="67"/>
    </row>
    <row r="618">
      <c r="D618" s="67"/>
    </row>
    <row r="619">
      <c r="D619" s="67"/>
    </row>
    <row r="620">
      <c r="D620" s="67"/>
    </row>
    <row r="621">
      <c r="D621" s="67"/>
    </row>
    <row r="622">
      <c r="D622" s="67"/>
    </row>
    <row r="623">
      <c r="D623" s="67"/>
    </row>
    <row r="624">
      <c r="D624" s="67"/>
    </row>
    <row r="625">
      <c r="D625" s="67"/>
    </row>
    <row r="626">
      <c r="D626" s="67"/>
    </row>
    <row r="627">
      <c r="D627" s="67"/>
    </row>
    <row r="628">
      <c r="D628" s="67"/>
    </row>
    <row r="629">
      <c r="D629" s="67"/>
    </row>
    <row r="630">
      <c r="D630" s="67"/>
    </row>
    <row r="631">
      <c r="D631" s="67"/>
    </row>
    <row r="632">
      <c r="D632" s="67"/>
    </row>
    <row r="633">
      <c r="D633" s="67"/>
    </row>
    <row r="634">
      <c r="D634" s="67"/>
    </row>
    <row r="635">
      <c r="D635" s="67"/>
    </row>
    <row r="636">
      <c r="D636" s="67"/>
    </row>
    <row r="637">
      <c r="D637" s="67"/>
    </row>
    <row r="638">
      <c r="D638" s="67"/>
    </row>
    <row r="639">
      <c r="D639" s="67"/>
    </row>
    <row r="640">
      <c r="D640" s="67"/>
    </row>
    <row r="641">
      <c r="D641" s="67"/>
    </row>
    <row r="642">
      <c r="D642" s="67"/>
    </row>
    <row r="643">
      <c r="D643" s="67"/>
    </row>
    <row r="644">
      <c r="D644" s="67"/>
    </row>
    <row r="645">
      <c r="D645" s="67"/>
    </row>
    <row r="646">
      <c r="D646" s="67"/>
    </row>
    <row r="647">
      <c r="D647" s="67"/>
    </row>
    <row r="648">
      <c r="D648" s="67"/>
    </row>
    <row r="649">
      <c r="D649" s="67"/>
    </row>
    <row r="650">
      <c r="D650" s="67"/>
    </row>
    <row r="651">
      <c r="D651" s="67"/>
    </row>
    <row r="652">
      <c r="D652" s="67"/>
    </row>
    <row r="653">
      <c r="D653" s="67"/>
    </row>
    <row r="654">
      <c r="D654" s="67"/>
    </row>
    <row r="655">
      <c r="D655" s="67"/>
    </row>
    <row r="656">
      <c r="D656" s="67"/>
    </row>
    <row r="657">
      <c r="D657" s="67"/>
    </row>
    <row r="658">
      <c r="D658" s="67"/>
    </row>
    <row r="659">
      <c r="D659" s="67"/>
    </row>
    <row r="660">
      <c r="D660" s="67"/>
    </row>
    <row r="661">
      <c r="D661" s="67"/>
    </row>
    <row r="662">
      <c r="D662" s="67"/>
    </row>
    <row r="663">
      <c r="D663" s="67"/>
    </row>
    <row r="664">
      <c r="D664" s="67"/>
    </row>
    <row r="665">
      <c r="D665" s="67"/>
    </row>
    <row r="666">
      <c r="D666" s="67"/>
    </row>
    <row r="667">
      <c r="D667" s="67"/>
    </row>
    <row r="668">
      <c r="D668" s="67"/>
    </row>
    <row r="669">
      <c r="D669" s="67"/>
    </row>
    <row r="670">
      <c r="D670" s="67"/>
    </row>
    <row r="671">
      <c r="D671" s="67"/>
    </row>
    <row r="672">
      <c r="D672" s="67"/>
    </row>
    <row r="673">
      <c r="D673" s="67"/>
    </row>
    <row r="674">
      <c r="D674" s="67"/>
    </row>
    <row r="675">
      <c r="D675" s="67"/>
    </row>
    <row r="676">
      <c r="D676" s="67"/>
    </row>
    <row r="677">
      <c r="D677" s="67"/>
    </row>
    <row r="678">
      <c r="D678" s="67"/>
    </row>
    <row r="679">
      <c r="D679" s="67"/>
    </row>
    <row r="680">
      <c r="D680" s="67"/>
    </row>
    <row r="681">
      <c r="D681" s="67"/>
    </row>
    <row r="682">
      <c r="D682" s="67"/>
    </row>
    <row r="683">
      <c r="D683" s="67"/>
    </row>
    <row r="684">
      <c r="D684" s="67"/>
    </row>
    <row r="685">
      <c r="D685" s="67"/>
    </row>
    <row r="686">
      <c r="D686" s="67"/>
    </row>
    <row r="687">
      <c r="D687" s="67"/>
    </row>
    <row r="688">
      <c r="D688" s="67"/>
    </row>
    <row r="689">
      <c r="D689" s="67"/>
    </row>
    <row r="690">
      <c r="D690" s="67"/>
    </row>
    <row r="691">
      <c r="D691" s="67"/>
    </row>
    <row r="692">
      <c r="D692" s="67"/>
    </row>
    <row r="693">
      <c r="D693" s="67"/>
    </row>
    <row r="694">
      <c r="D694" s="67"/>
    </row>
    <row r="695">
      <c r="D695" s="67"/>
    </row>
    <row r="696">
      <c r="D696" s="67"/>
    </row>
    <row r="697">
      <c r="D697" s="67"/>
    </row>
    <row r="698">
      <c r="D698" s="67"/>
    </row>
    <row r="699">
      <c r="D699" s="67"/>
    </row>
    <row r="700">
      <c r="D700" s="67"/>
    </row>
    <row r="701">
      <c r="D701" s="67"/>
    </row>
    <row r="702">
      <c r="D702" s="67"/>
    </row>
    <row r="703">
      <c r="D703" s="67"/>
    </row>
    <row r="704">
      <c r="D704" s="67"/>
    </row>
    <row r="705">
      <c r="D705" s="67"/>
    </row>
    <row r="706">
      <c r="D706" s="67"/>
    </row>
    <row r="707">
      <c r="D707" s="67"/>
    </row>
    <row r="708">
      <c r="D708" s="67"/>
    </row>
    <row r="709">
      <c r="D709" s="67"/>
    </row>
    <row r="710">
      <c r="D710" s="67"/>
    </row>
    <row r="711">
      <c r="D711" s="67"/>
    </row>
    <row r="712">
      <c r="D712" s="67"/>
    </row>
    <row r="713">
      <c r="D713" s="67"/>
    </row>
    <row r="714">
      <c r="D714" s="67"/>
    </row>
    <row r="715">
      <c r="D715" s="67"/>
    </row>
    <row r="716">
      <c r="D716" s="67"/>
    </row>
    <row r="717">
      <c r="D717" s="67"/>
    </row>
    <row r="718">
      <c r="D718" s="67"/>
    </row>
    <row r="719">
      <c r="D719" s="67"/>
    </row>
    <row r="720">
      <c r="D720" s="67"/>
    </row>
    <row r="721">
      <c r="D721" s="67"/>
    </row>
    <row r="722">
      <c r="D722" s="67"/>
    </row>
    <row r="723">
      <c r="D723" s="67"/>
    </row>
    <row r="724">
      <c r="D724" s="67"/>
    </row>
    <row r="725">
      <c r="D725" s="67"/>
    </row>
    <row r="726">
      <c r="D726" s="67"/>
    </row>
    <row r="727">
      <c r="D727" s="67"/>
    </row>
    <row r="728">
      <c r="D728" s="67"/>
    </row>
    <row r="729">
      <c r="D729" s="67"/>
    </row>
    <row r="730">
      <c r="D730" s="67"/>
    </row>
    <row r="731">
      <c r="D731" s="67"/>
    </row>
    <row r="732">
      <c r="D732" s="67"/>
    </row>
    <row r="733">
      <c r="D733" s="67"/>
    </row>
    <row r="734">
      <c r="D734" s="67"/>
    </row>
    <row r="735">
      <c r="D735" s="67"/>
    </row>
    <row r="736">
      <c r="D736" s="67"/>
    </row>
    <row r="737">
      <c r="D737" s="67"/>
    </row>
    <row r="738">
      <c r="D738" s="67"/>
    </row>
    <row r="739">
      <c r="D739" s="67"/>
    </row>
    <row r="740">
      <c r="D740" s="67"/>
    </row>
    <row r="741">
      <c r="D741" s="67"/>
    </row>
    <row r="742">
      <c r="D742" s="67"/>
    </row>
    <row r="743">
      <c r="D743" s="67"/>
    </row>
    <row r="744">
      <c r="D744" s="67"/>
    </row>
    <row r="745">
      <c r="D745" s="67"/>
    </row>
    <row r="746">
      <c r="D746" s="67"/>
    </row>
    <row r="747">
      <c r="D747" s="67"/>
    </row>
    <row r="748">
      <c r="D748" s="67"/>
    </row>
    <row r="749">
      <c r="D749" s="67"/>
    </row>
    <row r="750">
      <c r="D750" s="67"/>
    </row>
    <row r="751">
      <c r="D751" s="67"/>
    </row>
    <row r="752">
      <c r="D752" s="67"/>
    </row>
    <row r="753">
      <c r="D753" s="67"/>
    </row>
    <row r="754">
      <c r="D754" s="67"/>
    </row>
    <row r="755">
      <c r="D755" s="67"/>
    </row>
    <row r="756">
      <c r="D756" s="67"/>
    </row>
    <row r="757">
      <c r="D757" s="67"/>
    </row>
    <row r="758">
      <c r="D758" s="67"/>
    </row>
    <row r="759">
      <c r="D759" s="67"/>
    </row>
    <row r="760">
      <c r="D760" s="67"/>
    </row>
    <row r="761">
      <c r="D761" s="67"/>
    </row>
    <row r="762">
      <c r="D762" s="67"/>
    </row>
    <row r="763">
      <c r="D763" s="67"/>
    </row>
    <row r="764">
      <c r="D764" s="67"/>
    </row>
    <row r="765">
      <c r="D765" s="67"/>
    </row>
    <row r="766">
      <c r="D766" s="67"/>
    </row>
    <row r="767">
      <c r="D767" s="67"/>
    </row>
    <row r="768">
      <c r="D768" s="67"/>
    </row>
    <row r="769">
      <c r="D769" s="67"/>
    </row>
    <row r="770">
      <c r="D770" s="67"/>
    </row>
    <row r="771">
      <c r="D771" s="67"/>
    </row>
    <row r="772">
      <c r="D772" s="67"/>
    </row>
    <row r="773">
      <c r="D773" s="67"/>
    </row>
    <row r="774">
      <c r="D774" s="67"/>
    </row>
    <row r="775">
      <c r="D775" s="67"/>
    </row>
    <row r="776">
      <c r="D776" s="67"/>
    </row>
    <row r="777">
      <c r="D777" s="67"/>
    </row>
    <row r="778">
      <c r="D778" s="67"/>
    </row>
    <row r="779">
      <c r="D779" s="67"/>
    </row>
    <row r="780">
      <c r="D780" s="67"/>
    </row>
    <row r="781">
      <c r="D781" s="67"/>
    </row>
    <row r="782">
      <c r="D782" s="67"/>
    </row>
    <row r="783">
      <c r="D783" s="67"/>
    </row>
    <row r="784">
      <c r="D784" s="67"/>
    </row>
    <row r="785">
      <c r="D785" s="67"/>
    </row>
    <row r="786">
      <c r="D786" s="67"/>
    </row>
    <row r="787">
      <c r="D787" s="67"/>
    </row>
    <row r="788">
      <c r="D788" s="67"/>
    </row>
    <row r="789">
      <c r="D789" s="67"/>
    </row>
    <row r="790">
      <c r="D790" s="67"/>
    </row>
    <row r="791">
      <c r="D791" s="67"/>
    </row>
    <row r="792">
      <c r="D792" s="67"/>
    </row>
    <row r="793">
      <c r="D793" s="67"/>
    </row>
    <row r="794">
      <c r="D794" s="67"/>
    </row>
    <row r="795">
      <c r="D795" s="67"/>
    </row>
    <row r="796">
      <c r="D796" s="67"/>
    </row>
    <row r="797">
      <c r="D797" s="67"/>
    </row>
    <row r="798">
      <c r="D798" s="67"/>
    </row>
    <row r="799">
      <c r="D799" s="67"/>
    </row>
    <row r="800">
      <c r="D800" s="67"/>
    </row>
    <row r="801">
      <c r="D801" s="67"/>
    </row>
    <row r="802">
      <c r="D802" s="67"/>
    </row>
    <row r="803">
      <c r="D803" s="67"/>
    </row>
    <row r="804">
      <c r="D804" s="67"/>
    </row>
    <row r="805">
      <c r="D805" s="67"/>
    </row>
    <row r="806">
      <c r="D806" s="67"/>
    </row>
    <row r="807">
      <c r="D807" s="67"/>
    </row>
    <row r="808">
      <c r="D808" s="67"/>
    </row>
    <row r="809">
      <c r="D809" s="67"/>
    </row>
    <row r="810">
      <c r="D810" s="67"/>
    </row>
    <row r="811">
      <c r="D811" s="67"/>
    </row>
    <row r="812">
      <c r="D812" s="67"/>
    </row>
    <row r="813">
      <c r="D813" s="67"/>
    </row>
    <row r="814">
      <c r="D814" s="67"/>
    </row>
    <row r="815">
      <c r="D815" s="67"/>
    </row>
    <row r="816">
      <c r="D816" s="67"/>
    </row>
    <row r="817">
      <c r="D817" s="67"/>
    </row>
    <row r="818">
      <c r="D818" s="67"/>
    </row>
    <row r="819">
      <c r="D819" s="67"/>
    </row>
    <row r="820">
      <c r="D820" s="67"/>
    </row>
    <row r="821">
      <c r="D821" s="67"/>
    </row>
    <row r="822">
      <c r="D822" s="67"/>
    </row>
    <row r="823">
      <c r="D823" s="67"/>
    </row>
    <row r="824">
      <c r="D824" s="67"/>
    </row>
    <row r="825">
      <c r="D825" s="67"/>
    </row>
    <row r="826">
      <c r="D826" s="67"/>
    </row>
    <row r="827">
      <c r="D827" s="67"/>
    </row>
    <row r="828">
      <c r="D828" s="67"/>
    </row>
    <row r="829">
      <c r="D829" s="67"/>
    </row>
    <row r="830">
      <c r="D830" s="67"/>
    </row>
    <row r="831">
      <c r="D831" s="67"/>
    </row>
    <row r="832">
      <c r="D832" s="67"/>
    </row>
    <row r="833">
      <c r="D833" s="67"/>
    </row>
    <row r="834">
      <c r="D834" s="67"/>
    </row>
    <row r="835">
      <c r="D835" s="67"/>
    </row>
    <row r="836">
      <c r="D836" s="67"/>
    </row>
    <row r="837">
      <c r="D837" s="67"/>
    </row>
    <row r="838">
      <c r="D838" s="67"/>
    </row>
    <row r="839">
      <c r="D839" s="67"/>
    </row>
    <row r="840">
      <c r="D840" s="67"/>
    </row>
    <row r="841">
      <c r="D841" s="67"/>
    </row>
    <row r="842">
      <c r="D842" s="67"/>
    </row>
    <row r="843">
      <c r="D843" s="67"/>
    </row>
    <row r="844">
      <c r="D844" s="67"/>
    </row>
    <row r="845">
      <c r="D845" s="67"/>
    </row>
    <row r="846">
      <c r="D846" s="67"/>
    </row>
    <row r="847">
      <c r="D847" s="67"/>
    </row>
    <row r="848">
      <c r="D848" s="67"/>
    </row>
    <row r="849">
      <c r="D849" s="67"/>
    </row>
    <row r="850">
      <c r="D850" s="67"/>
    </row>
    <row r="851">
      <c r="D851" s="67"/>
    </row>
    <row r="852">
      <c r="D852" s="67"/>
    </row>
    <row r="853">
      <c r="D853" s="67"/>
    </row>
    <row r="854">
      <c r="D854" s="67"/>
    </row>
    <row r="855">
      <c r="D855" s="67"/>
    </row>
    <row r="856">
      <c r="D856" s="67"/>
    </row>
    <row r="857">
      <c r="D857" s="67"/>
    </row>
    <row r="858">
      <c r="D858" s="67"/>
    </row>
    <row r="859">
      <c r="D859" s="67"/>
    </row>
    <row r="860">
      <c r="D860" s="67"/>
    </row>
    <row r="861">
      <c r="D861" s="67"/>
    </row>
    <row r="862">
      <c r="D862" s="67"/>
    </row>
    <row r="863">
      <c r="D863" s="67"/>
    </row>
    <row r="864">
      <c r="D864" s="67"/>
    </row>
    <row r="865">
      <c r="D865" s="67"/>
    </row>
    <row r="866">
      <c r="D866" s="67"/>
    </row>
    <row r="867">
      <c r="D867" s="67"/>
    </row>
    <row r="868">
      <c r="D868" s="67"/>
    </row>
    <row r="869">
      <c r="D869" s="67"/>
    </row>
    <row r="870">
      <c r="D870" s="67"/>
    </row>
    <row r="871">
      <c r="D871" s="67"/>
    </row>
    <row r="872">
      <c r="D872" s="67"/>
    </row>
    <row r="873">
      <c r="D873" s="67"/>
    </row>
    <row r="874">
      <c r="D874" s="67"/>
    </row>
    <row r="875">
      <c r="D875" s="67"/>
    </row>
    <row r="876">
      <c r="D876" s="67"/>
    </row>
    <row r="877">
      <c r="D877" s="67"/>
    </row>
    <row r="878">
      <c r="D878" s="67"/>
    </row>
    <row r="879">
      <c r="D879" s="67"/>
    </row>
    <row r="880">
      <c r="D880" s="67"/>
    </row>
    <row r="881">
      <c r="D881" s="67"/>
    </row>
    <row r="882">
      <c r="D882" s="67"/>
    </row>
    <row r="883">
      <c r="D883" s="67"/>
    </row>
    <row r="884">
      <c r="D884" s="67"/>
    </row>
    <row r="885">
      <c r="D885" s="67"/>
    </row>
    <row r="886">
      <c r="D886" s="67"/>
    </row>
    <row r="887">
      <c r="D887" s="67"/>
    </row>
    <row r="888">
      <c r="D888" s="67"/>
    </row>
    <row r="889">
      <c r="D889" s="67"/>
    </row>
    <row r="890">
      <c r="D890" s="67"/>
    </row>
    <row r="891">
      <c r="D891" s="67"/>
    </row>
    <row r="892">
      <c r="D892" s="67"/>
    </row>
    <row r="893">
      <c r="D893" s="67"/>
    </row>
    <row r="894">
      <c r="D894" s="67"/>
    </row>
    <row r="895">
      <c r="D895" s="67"/>
    </row>
    <row r="896">
      <c r="D896" s="67"/>
    </row>
    <row r="897">
      <c r="D897" s="67"/>
    </row>
    <row r="898">
      <c r="D898" s="67"/>
    </row>
    <row r="899">
      <c r="D899" s="67"/>
    </row>
    <row r="900">
      <c r="D900" s="67"/>
    </row>
    <row r="901">
      <c r="D901" s="67"/>
    </row>
    <row r="902">
      <c r="D902" s="67"/>
    </row>
    <row r="903">
      <c r="D903" s="67"/>
    </row>
    <row r="904">
      <c r="D904" s="67"/>
    </row>
    <row r="905">
      <c r="D905" s="67"/>
    </row>
    <row r="906">
      <c r="D906" s="67"/>
    </row>
    <row r="907">
      <c r="D907" s="67"/>
    </row>
    <row r="908">
      <c r="D908" s="67"/>
    </row>
    <row r="909">
      <c r="D909" s="67"/>
    </row>
    <row r="910">
      <c r="D910" s="67"/>
    </row>
    <row r="911">
      <c r="D911" s="67"/>
    </row>
    <row r="912">
      <c r="D912" s="67"/>
    </row>
    <row r="913">
      <c r="D913" s="67"/>
    </row>
    <row r="914">
      <c r="D914" s="67"/>
    </row>
    <row r="915">
      <c r="D915" s="67"/>
    </row>
    <row r="916">
      <c r="D916" s="67"/>
    </row>
    <row r="917">
      <c r="D917" s="67"/>
    </row>
    <row r="918">
      <c r="D918" s="67"/>
    </row>
    <row r="919">
      <c r="D919" s="67"/>
    </row>
    <row r="920">
      <c r="D920" s="67"/>
    </row>
    <row r="921">
      <c r="D921" s="67"/>
    </row>
    <row r="922">
      <c r="D922" s="67"/>
    </row>
    <row r="923">
      <c r="D923" s="67"/>
    </row>
    <row r="924">
      <c r="D924" s="67"/>
    </row>
    <row r="925">
      <c r="D925" s="67"/>
    </row>
    <row r="926">
      <c r="D926" s="67"/>
    </row>
    <row r="927">
      <c r="D927" s="67"/>
    </row>
    <row r="928">
      <c r="D928" s="67"/>
    </row>
    <row r="929">
      <c r="D929" s="67"/>
    </row>
    <row r="930">
      <c r="D930" s="67"/>
    </row>
    <row r="931">
      <c r="D931" s="67"/>
    </row>
    <row r="932">
      <c r="D932" s="67"/>
    </row>
    <row r="933">
      <c r="D933" s="67"/>
    </row>
    <row r="934">
      <c r="D934" s="67"/>
    </row>
    <row r="935">
      <c r="D935" s="67"/>
    </row>
  </sheetData>
  <mergeCells count="3">
    <mergeCell ref="A1:R1"/>
    <mergeCell ref="A2:R2"/>
    <mergeCell ref="A3:B3"/>
  </mergeCells>
  <dataValidations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Lobo,Bar"&amp;"bara Cavalheiro Locks"</formula1>
    </dataValidation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3" max="3" width="20.38"/>
    <col customWidth="1" min="4" max="4" width="14.88"/>
    <col customWidth="1" min="6" max="6" width="13.0"/>
    <col customWidth="1" min="7" max="7" width="15.0"/>
    <col customWidth="1" min="12" max="12" width="51.13"/>
    <col customWidth="1" min="13" max="13" width="17.38"/>
  </cols>
  <sheetData>
    <row r="1">
      <c r="A1" s="35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69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A3" s="260" t="s">
        <v>1</v>
      </c>
      <c r="B3" s="3"/>
      <c r="C3" s="7" t="s">
        <v>3</v>
      </c>
      <c r="D3" s="6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10" t="s">
        <v>9</v>
      </c>
      <c r="J3" s="11" t="s">
        <v>20</v>
      </c>
      <c r="K3" s="8" t="s">
        <v>25</v>
      </c>
      <c r="L3" s="8" t="s">
        <v>26</v>
      </c>
      <c r="M3" s="8" t="s">
        <v>27</v>
      </c>
      <c r="N3" s="9" t="s">
        <v>28</v>
      </c>
      <c r="O3" s="6" t="s">
        <v>29</v>
      </c>
      <c r="P3" s="9" t="s">
        <v>30</v>
      </c>
    </row>
    <row r="4">
      <c r="A4" s="12" t="s">
        <v>10</v>
      </c>
      <c r="B4" s="13">
        <v>45913.0</v>
      </c>
      <c r="C4" s="37"/>
      <c r="D4" s="14"/>
      <c r="E4" s="15"/>
      <c r="F4" s="16"/>
      <c r="G4" s="17"/>
      <c r="H4" s="18"/>
      <c r="I4" s="17"/>
      <c r="J4" s="41"/>
      <c r="K4" s="42"/>
      <c r="L4" s="43"/>
      <c r="M4" s="46"/>
      <c r="N4" s="45"/>
      <c r="O4" s="46"/>
      <c r="P4" s="47"/>
    </row>
    <row r="5">
      <c r="A5" s="12" t="s">
        <v>11</v>
      </c>
      <c r="B5" s="13">
        <v>45913.0</v>
      </c>
      <c r="C5" s="37"/>
      <c r="D5" s="14"/>
      <c r="E5" s="15"/>
      <c r="F5" s="16"/>
      <c r="G5" s="17"/>
      <c r="H5" s="18"/>
      <c r="I5" s="22"/>
      <c r="J5" s="41"/>
      <c r="K5" s="42"/>
      <c r="L5" s="50"/>
      <c r="M5" s="51"/>
      <c r="N5" s="52"/>
      <c r="O5" s="51"/>
      <c r="P5" s="53"/>
    </row>
    <row r="6">
      <c r="A6" s="12" t="s">
        <v>12</v>
      </c>
      <c r="B6" s="13">
        <v>45913.0</v>
      </c>
      <c r="C6" s="37"/>
      <c r="D6" s="14"/>
      <c r="E6" s="15"/>
      <c r="F6" s="16"/>
      <c r="G6" s="22"/>
      <c r="H6" s="18"/>
      <c r="I6" s="17"/>
      <c r="J6" s="41"/>
      <c r="K6" s="42"/>
      <c r="L6" s="54"/>
      <c r="M6" s="55"/>
      <c r="N6" s="56"/>
      <c r="O6" s="55"/>
      <c r="P6" s="57"/>
    </row>
    <row r="7">
      <c r="A7" s="12" t="s">
        <v>13</v>
      </c>
      <c r="B7" s="13">
        <v>45913.0</v>
      </c>
      <c r="C7" s="37"/>
      <c r="D7" s="14"/>
      <c r="E7" s="15"/>
      <c r="F7" s="16"/>
      <c r="G7" s="17"/>
      <c r="H7" s="18"/>
      <c r="I7" s="17"/>
      <c r="J7" s="41"/>
      <c r="K7" s="42"/>
      <c r="L7" s="50"/>
      <c r="M7" s="61"/>
      <c r="N7" s="62"/>
      <c r="O7" s="61"/>
      <c r="P7" s="53"/>
    </row>
    <row r="8">
      <c r="A8" s="12" t="s">
        <v>14</v>
      </c>
      <c r="B8" s="13">
        <v>45913.0</v>
      </c>
      <c r="C8" s="37"/>
      <c r="D8" s="14"/>
      <c r="E8" s="33"/>
      <c r="F8" s="33"/>
      <c r="G8" s="33"/>
      <c r="H8" s="33"/>
      <c r="I8" s="33"/>
      <c r="J8" s="41"/>
      <c r="K8" s="42"/>
      <c r="L8" s="63"/>
      <c r="M8" s="64"/>
      <c r="N8" s="56"/>
      <c r="O8" s="64"/>
      <c r="P8" s="65"/>
    </row>
    <row r="9">
      <c r="A9" s="12" t="s">
        <v>15</v>
      </c>
      <c r="B9" s="13">
        <v>45913.0</v>
      </c>
      <c r="C9" s="37"/>
      <c r="D9" s="14"/>
      <c r="E9" s="15"/>
      <c r="F9" s="16"/>
      <c r="G9" s="17"/>
      <c r="H9" s="18"/>
      <c r="I9" s="17"/>
      <c r="J9" s="41"/>
      <c r="K9" s="42"/>
      <c r="L9" s="50"/>
      <c r="M9" s="61"/>
      <c r="N9" s="62"/>
      <c r="O9" s="61"/>
      <c r="P9" s="53"/>
    </row>
    <row r="10">
      <c r="A10" s="12" t="s">
        <v>16</v>
      </c>
      <c r="B10" s="13">
        <v>45913.0</v>
      </c>
      <c r="C10" s="37"/>
      <c r="D10" s="14"/>
      <c r="E10" s="15"/>
      <c r="F10" s="16"/>
      <c r="G10" s="17"/>
      <c r="H10" s="18"/>
      <c r="I10" s="17"/>
      <c r="J10" s="41"/>
      <c r="K10" s="42"/>
      <c r="L10" s="63"/>
      <c r="M10" s="64"/>
      <c r="N10" s="56"/>
      <c r="O10" s="64"/>
      <c r="P10" s="65"/>
    </row>
    <row r="11">
      <c r="A11" s="12" t="s">
        <v>17</v>
      </c>
      <c r="B11" s="13">
        <v>45913.0</v>
      </c>
      <c r="C11" s="37"/>
      <c r="D11" s="14"/>
      <c r="E11" s="15"/>
      <c r="F11" s="16"/>
      <c r="G11" s="17"/>
      <c r="H11" s="18"/>
      <c r="I11" s="17"/>
      <c r="J11" s="41"/>
      <c r="K11" s="42"/>
      <c r="L11" s="50"/>
      <c r="M11" s="61"/>
      <c r="N11" s="62"/>
      <c r="O11" s="61"/>
      <c r="P11" s="53"/>
    </row>
    <row r="12">
      <c r="A12" s="261"/>
    </row>
    <row r="13">
      <c r="A13" s="261"/>
    </row>
    <row r="14">
      <c r="A14" s="261"/>
    </row>
    <row r="15">
      <c r="A15" s="261"/>
    </row>
    <row r="16">
      <c r="A16" s="261"/>
    </row>
    <row r="17">
      <c r="A17" s="35" t="s">
        <v>374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</row>
    <row r="18">
      <c r="A18" s="69" t="s">
        <v>375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>
      <c r="A19" s="260" t="s">
        <v>1</v>
      </c>
      <c r="B19" s="3"/>
      <c r="C19" s="7" t="s">
        <v>3</v>
      </c>
      <c r="D19" s="6" t="s">
        <v>4</v>
      </c>
      <c r="E19" s="8" t="s">
        <v>5</v>
      </c>
      <c r="F19" s="8" t="s">
        <v>6</v>
      </c>
      <c r="G19" s="8" t="s">
        <v>7</v>
      </c>
      <c r="H19" s="9" t="s">
        <v>8</v>
      </c>
      <c r="I19" s="10" t="s">
        <v>9</v>
      </c>
      <c r="J19" s="11" t="s">
        <v>20</v>
      </c>
      <c r="K19" s="8" t="s">
        <v>25</v>
      </c>
      <c r="L19" s="8" t="s">
        <v>26</v>
      </c>
      <c r="M19" s="8" t="s">
        <v>27</v>
      </c>
      <c r="N19" s="9" t="s">
        <v>28</v>
      </c>
      <c r="O19" s="6" t="s">
        <v>29</v>
      </c>
      <c r="P19" s="9" t="s">
        <v>30</v>
      </c>
    </row>
    <row r="20">
      <c r="A20" s="12" t="s">
        <v>10</v>
      </c>
      <c r="B20" s="13">
        <v>45913.0</v>
      </c>
      <c r="C20" s="37"/>
      <c r="D20" s="14"/>
      <c r="E20" s="15"/>
      <c r="F20" s="16"/>
      <c r="G20" s="17"/>
      <c r="H20" s="18"/>
      <c r="I20" s="17"/>
      <c r="J20" s="41"/>
      <c r="K20" s="42"/>
      <c r="L20" s="43"/>
      <c r="M20" s="46"/>
      <c r="N20" s="45"/>
      <c r="O20" s="46"/>
      <c r="P20" s="47"/>
    </row>
    <row r="21">
      <c r="A21" s="12" t="s">
        <v>11</v>
      </c>
      <c r="B21" s="13">
        <v>45913.0</v>
      </c>
      <c r="C21" s="37"/>
      <c r="D21" s="14"/>
      <c r="E21" s="15"/>
      <c r="F21" s="16"/>
      <c r="G21" s="17"/>
      <c r="H21" s="18"/>
      <c r="I21" s="22"/>
      <c r="J21" s="41"/>
      <c r="K21" s="42"/>
      <c r="L21" s="50"/>
      <c r="M21" s="51"/>
      <c r="N21" s="52"/>
      <c r="O21" s="51"/>
      <c r="P21" s="53"/>
    </row>
    <row r="22">
      <c r="A22" s="12" t="s">
        <v>12</v>
      </c>
      <c r="B22" s="13">
        <v>45913.0</v>
      </c>
      <c r="C22" s="37"/>
      <c r="D22" s="14"/>
      <c r="E22" s="15"/>
      <c r="F22" s="16"/>
      <c r="G22" s="22"/>
      <c r="H22" s="18"/>
      <c r="I22" s="17"/>
      <c r="J22" s="41"/>
      <c r="K22" s="42"/>
      <c r="L22" s="54"/>
      <c r="M22" s="55"/>
      <c r="N22" s="56"/>
      <c r="O22" s="55"/>
      <c r="P22" s="57"/>
    </row>
    <row r="23">
      <c r="A23" s="12" t="s">
        <v>13</v>
      </c>
      <c r="B23" s="13">
        <v>45913.0</v>
      </c>
      <c r="C23" s="37"/>
      <c r="D23" s="14"/>
      <c r="E23" s="15"/>
      <c r="F23" s="16"/>
      <c r="G23" s="17"/>
      <c r="H23" s="18"/>
      <c r="I23" s="17"/>
      <c r="J23" s="41"/>
      <c r="K23" s="42"/>
      <c r="L23" s="50"/>
      <c r="M23" s="61"/>
      <c r="N23" s="62"/>
      <c r="O23" s="61"/>
      <c r="P23" s="53"/>
    </row>
    <row r="24">
      <c r="A24" s="12" t="s">
        <v>14</v>
      </c>
      <c r="B24" s="13">
        <v>45913.0</v>
      </c>
      <c r="C24" s="37"/>
      <c r="D24" s="14"/>
      <c r="E24" s="33"/>
      <c r="F24" s="33"/>
      <c r="G24" s="33"/>
      <c r="H24" s="33"/>
      <c r="I24" s="33"/>
      <c r="J24" s="41"/>
      <c r="K24" s="42"/>
      <c r="L24" s="63"/>
      <c r="M24" s="64"/>
      <c r="N24" s="56"/>
      <c r="O24" s="64"/>
      <c r="P24" s="65"/>
    </row>
    <row r="25">
      <c r="A25" s="12" t="s">
        <v>15</v>
      </c>
      <c r="B25" s="13">
        <v>45913.0</v>
      </c>
      <c r="C25" s="37"/>
      <c r="D25" s="14"/>
      <c r="E25" s="15"/>
      <c r="F25" s="16"/>
      <c r="G25" s="17"/>
      <c r="H25" s="18"/>
      <c r="I25" s="17"/>
      <c r="J25" s="41"/>
      <c r="K25" s="42"/>
      <c r="L25" s="50"/>
      <c r="M25" s="61"/>
      <c r="N25" s="62"/>
      <c r="O25" s="61"/>
      <c r="P25" s="53"/>
    </row>
    <row r="26">
      <c r="A26" s="12" t="s">
        <v>16</v>
      </c>
      <c r="B26" s="13">
        <v>45913.0</v>
      </c>
      <c r="C26" s="37"/>
      <c r="D26" s="14"/>
      <c r="E26" s="15"/>
      <c r="F26" s="16"/>
      <c r="G26" s="17"/>
      <c r="H26" s="18"/>
      <c r="I26" s="17"/>
      <c r="J26" s="41"/>
      <c r="K26" s="42"/>
      <c r="L26" s="63"/>
      <c r="M26" s="64"/>
      <c r="N26" s="56"/>
      <c r="O26" s="64"/>
      <c r="P26" s="65"/>
    </row>
    <row r="27">
      <c r="A27" s="12" t="s">
        <v>17</v>
      </c>
      <c r="B27" s="13">
        <v>45913.0</v>
      </c>
      <c r="C27" s="37"/>
      <c r="D27" s="14"/>
      <c r="E27" s="15"/>
      <c r="F27" s="16"/>
      <c r="G27" s="17"/>
      <c r="H27" s="18"/>
      <c r="I27" s="17"/>
      <c r="J27" s="41"/>
      <c r="K27" s="42"/>
      <c r="L27" s="50"/>
      <c r="M27" s="61"/>
      <c r="N27" s="62"/>
      <c r="O27" s="61"/>
      <c r="P27" s="53"/>
    </row>
    <row r="28">
      <c r="A28" s="261"/>
    </row>
    <row r="29">
      <c r="A29" s="261"/>
    </row>
    <row r="30">
      <c r="A30" s="261"/>
    </row>
    <row r="31">
      <c r="A31" s="261"/>
    </row>
    <row r="32">
      <c r="A32" s="35" t="s">
        <v>376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</row>
    <row r="33">
      <c r="A33" s="69" t="s">
        <v>377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</row>
    <row r="34">
      <c r="A34" s="260" t="s">
        <v>1</v>
      </c>
      <c r="B34" s="3"/>
      <c r="C34" s="7" t="s">
        <v>3</v>
      </c>
      <c r="D34" s="6" t="s">
        <v>4</v>
      </c>
      <c r="E34" s="8" t="s">
        <v>5</v>
      </c>
      <c r="F34" s="8" t="s">
        <v>6</v>
      </c>
      <c r="G34" s="8" t="s">
        <v>7</v>
      </c>
      <c r="H34" s="9" t="s">
        <v>8</v>
      </c>
      <c r="I34" s="10" t="s">
        <v>9</v>
      </c>
      <c r="J34" s="11" t="s">
        <v>20</v>
      </c>
      <c r="K34" s="8" t="s">
        <v>25</v>
      </c>
      <c r="L34" s="8" t="s">
        <v>26</v>
      </c>
      <c r="M34" s="8" t="s">
        <v>27</v>
      </c>
      <c r="N34" s="9" t="s">
        <v>28</v>
      </c>
      <c r="O34" s="6" t="s">
        <v>29</v>
      </c>
      <c r="P34" s="9" t="s">
        <v>30</v>
      </c>
    </row>
    <row r="35">
      <c r="A35" s="12" t="s">
        <v>10</v>
      </c>
      <c r="B35" s="13">
        <v>45913.0</v>
      </c>
      <c r="C35" s="37"/>
      <c r="D35" s="14"/>
      <c r="E35" s="15"/>
      <c r="F35" s="16"/>
      <c r="G35" s="17"/>
      <c r="H35" s="18"/>
      <c r="I35" s="17"/>
      <c r="J35" s="41"/>
      <c r="K35" s="42"/>
      <c r="L35" s="43"/>
      <c r="M35" s="46"/>
      <c r="N35" s="45"/>
      <c r="O35" s="46"/>
      <c r="P35" s="47"/>
    </row>
    <row r="36">
      <c r="A36" s="12" t="s">
        <v>11</v>
      </c>
      <c r="B36" s="13">
        <v>45913.0</v>
      </c>
      <c r="C36" s="37"/>
      <c r="D36" s="14"/>
      <c r="E36" s="15"/>
      <c r="F36" s="16"/>
      <c r="G36" s="17"/>
      <c r="H36" s="18"/>
      <c r="I36" s="22"/>
      <c r="J36" s="41"/>
      <c r="K36" s="42"/>
      <c r="L36" s="50"/>
      <c r="M36" s="51"/>
      <c r="N36" s="52"/>
      <c r="O36" s="51"/>
      <c r="P36" s="53"/>
    </row>
    <row r="37">
      <c r="A37" s="12" t="s">
        <v>12</v>
      </c>
      <c r="B37" s="13">
        <v>45913.0</v>
      </c>
      <c r="C37" s="37"/>
      <c r="D37" s="14"/>
      <c r="E37" s="15"/>
      <c r="F37" s="16"/>
      <c r="G37" s="22"/>
      <c r="H37" s="18"/>
      <c r="I37" s="17"/>
      <c r="J37" s="41"/>
      <c r="K37" s="42"/>
      <c r="L37" s="54"/>
      <c r="M37" s="55"/>
      <c r="N37" s="56"/>
      <c r="O37" s="55"/>
      <c r="P37" s="57"/>
    </row>
    <row r="38">
      <c r="A38" s="12" t="s">
        <v>13</v>
      </c>
      <c r="B38" s="13">
        <v>45913.0</v>
      </c>
      <c r="C38" s="37"/>
      <c r="D38" s="14"/>
      <c r="E38" s="15"/>
      <c r="F38" s="16"/>
      <c r="G38" s="17"/>
      <c r="H38" s="18"/>
      <c r="I38" s="17"/>
      <c r="J38" s="41"/>
      <c r="K38" s="42"/>
      <c r="L38" s="50"/>
      <c r="M38" s="61"/>
      <c r="N38" s="62"/>
      <c r="O38" s="61"/>
      <c r="P38" s="53"/>
    </row>
    <row r="39">
      <c r="A39" s="12" t="s">
        <v>14</v>
      </c>
      <c r="B39" s="13">
        <v>45913.0</v>
      </c>
      <c r="C39" s="37"/>
      <c r="D39" s="14"/>
      <c r="E39" s="33"/>
      <c r="F39" s="33"/>
      <c r="G39" s="33"/>
      <c r="H39" s="33"/>
      <c r="I39" s="33"/>
      <c r="J39" s="41"/>
      <c r="K39" s="42"/>
      <c r="L39" s="63"/>
      <c r="M39" s="64"/>
      <c r="N39" s="56"/>
      <c r="O39" s="64"/>
      <c r="P39" s="65"/>
    </row>
    <row r="40">
      <c r="A40" s="12" t="s">
        <v>15</v>
      </c>
      <c r="B40" s="13">
        <v>45913.0</v>
      </c>
      <c r="C40" s="37"/>
      <c r="D40" s="14"/>
      <c r="E40" s="15"/>
      <c r="F40" s="16"/>
      <c r="G40" s="17"/>
      <c r="H40" s="18"/>
      <c r="I40" s="17"/>
      <c r="J40" s="41"/>
      <c r="K40" s="42"/>
      <c r="L40" s="50"/>
      <c r="M40" s="61"/>
      <c r="N40" s="62"/>
      <c r="O40" s="61"/>
      <c r="P40" s="53"/>
    </row>
    <row r="41">
      <c r="A41" s="12" t="s">
        <v>16</v>
      </c>
      <c r="B41" s="13">
        <v>45913.0</v>
      </c>
      <c r="C41" s="37"/>
      <c r="D41" s="14"/>
      <c r="E41" s="15"/>
      <c r="F41" s="16"/>
      <c r="G41" s="17"/>
      <c r="H41" s="18"/>
      <c r="I41" s="17"/>
      <c r="J41" s="41"/>
      <c r="K41" s="42"/>
      <c r="L41" s="63"/>
      <c r="M41" s="64"/>
      <c r="N41" s="56"/>
      <c r="O41" s="64"/>
      <c r="P41" s="65"/>
    </row>
    <row r="42">
      <c r="A42" s="12" t="s">
        <v>17</v>
      </c>
      <c r="B42" s="13">
        <v>45913.0</v>
      </c>
      <c r="C42" s="37"/>
      <c r="D42" s="14"/>
      <c r="E42" s="15"/>
      <c r="F42" s="16"/>
      <c r="G42" s="17"/>
      <c r="H42" s="18"/>
      <c r="I42" s="17"/>
      <c r="J42" s="41"/>
      <c r="K42" s="42"/>
      <c r="L42" s="50"/>
      <c r="M42" s="61"/>
      <c r="N42" s="62"/>
      <c r="O42" s="61"/>
      <c r="P42" s="53"/>
    </row>
    <row r="43">
      <c r="A43" s="261"/>
    </row>
    <row r="44">
      <c r="A44" s="261"/>
    </row>
    <row r="45">
      <c r="A45" s="261"/>
      <c r="F45" s="262"/>
    </row>
    <row r="46">
      <c r="A46" s="261"/>
      <c r="F46" s="262"/>
    </row>
    <row r="47">
      <c r="A47" s="261"/>
      <c r="F47" s="262"/>
    </row>
    <row r="48">
      <c r="A48" s="261"/>
      <c r="F48" s="262"/>
    </row>
    <row r="49">
      <c r="A49" s="261"/>
      <c r="F49" s="262"/>
    </row>
    <row r="50">
      <c r="A50" s="261"/>
      <c r="F50" s="262"/>
    </row>
    <row r="51">
      <c r="A51" s="261"/>
      <c r="F51" s="262"/>
    </row>
    <row r="52">
      <c r="A52" s="261"/>
      <c r="F52" s="262"/>
    </row>
    <row r="53">
      <c r="A53" s="261"/>
      <c r="F53" s="262"/>
    </row>
    <row r="54">
      <c r="A54" s="261"/>
    </row>
    <row r="55">
      <c r="A55" s="261"/>
    </row>
    <row r="56">
      <c r="A56" s="261"/>
    </row>
    <row r="57">
      <c r="A57" s="261"/>
    </row>
    <row r="58">
      <c r="A58" s="261"/>
    </row>
    <row r="59">
      <c r="A59" s="261"/>
    </row>
    <row r="60">
      <c r="A60" s="261"/>
    </row>
    <row r="61">
      <c r="A61" s="261"/>
    </row>
    <row r="62">
      <c r="A62" s="261"/>
    </row>
    <row r="63">
      <c r="A63" s="261"/>
    </row>
    <row r="64">
      <c r="A64" s="261"/>
    </row>
    <row r="65">
      <c r="A65" s="261"/>
    </row>
    <row r="66">
      <c r="A66" s="261"/>
    </row>
    <row r="67">
      <c r="A67" s="261"/>
    </row>
    <row r="68">
      <c r="A68" s="261"/>
    </row>
    <row r="69">
      <c r="A69" s="261"/>
    </row>
    <row r="70">
      <c r="A70" s="261"/>
    </row>
    <row r="71">
      <c r="A71" s="261"/>
    </row>
    <row r="72">
      <c r="A72" s="261"/>
    </row>
    <row r="73">
      <c r="A73" s="261"/>
    </row>
    <row r="74">
      <c r="A74" s="261"/>
    </row>
    <row r="75">
      <c r="A75" s="261"/>
    </row>
    <row r="76">
      <c r="A76" s="261"/>
    </row>
    <row r="77">
      <c r="A77" s="261"/>
    </row>
    <row r="78">
      <c r="A78" s="261"/>
    </row>
    <row r="79">
      <c r="A79" s="261"/>
    </row>
    <row r="80">
      <c r="A80" s="261"/>
    </row>
    <row r="81">
      <c r="A81" s="261"/>
    </row>
    <row r="82">
      <c r="A82" s="261"/>
    </row>
    <row r="83">
      <c r="A83" s="261"/>
    </row>
    <row r="84">
      <c r="A84" s="261"/>
    </row>
    <row r="85">
      <c r="A85" s="261"/>
    </row>
    <row r="86">
      <c r="A86" s="261"/>
    </row>
    <row r="87">
      <c r="A87" s="261"/>
    </row>
    <row r="88">
      <c r="A88" s="261"/>
    </row>
    <row r="89">
      <c r="A89" s="261"/>
    </row>
    <row r="90">
      <c r="A90" s="261"/>
    </row>
    <row r="91">
      <c r="A91" s="261"/>
    </row>
    <row r="92">
      <c r="A92" s="261"/>
    </row>
    <row r="93">
      <c r="A93" s="261"/>
    </row>
    <row r="94">
      <c r="A94" s="261"/>
    </row>
    <row r="95">
      <c r="A95" s="261"/>
    </row>
    <row r="96">
      <c r="A96" s="261"/>
    </row>
    <row r="97">
      <c r="A97" s="261"/>
    </row>
    <row r="98">
      <c r="A98" s="261"/>
    </row>
    <row r="99">
      <c r="A99" s="261"/>
    </row>
    <row r="100">
      <c r="A100" s="261"/>
    </row>
    <row r="101">
      <c r="A101" s="261"/>
    </row>
    <row r="102">
      <c r="A102" s="261"/>
    </row>
    <row r="103">
      <c r="A103" s="261"/>
    </row>
    <row r="104">
      <c r="A104" s="261"/>
    </row>
    <row r="105">
      <c r="A105" s="261"/>
    </row>
    <row r="106">
      <c r="A106" s="261"/>
    </row>
    <row r="107">
      <c r="A107" s="261"/>
    </row>
    <row r="108">
      <c r="A108" s="261"/>
    </row>
    <row r="109">
      <c r="A109" s="261"/>
    </row>
    <row r="110">
      <c r="A110" s="261"/>
    </row>
    <row r="111">
      <c r="A111" s="261"/>
    </row>
    <row r="112">
      <c r="A112" s="261"/>
    </row>
    <row r="113">
      <c r="A113" s="261"/>
    </row>
    <row r="114">
      <c r="A114" s="261"/>
    </row>
    <row r="115">
      <c r="A115" s="261"/>
    </row>
    <row r="116">
      <c r="A116" s="261"/>
    </row>
    <row r="117">
      <c r="A117" s="261"/>
    </row>
    <row r="118">
      <c r="A118" s="261"/>
    </row>
    <row r="119">
      <c r="A119" s="261"/>
    </row>
    <row r="120">
      <c r="A120" s="261"/>
    </row>
    <row r="121">
      <c r="A121" s="261"/>
    </row>
    <row r="122">
      <c r="A122" s="261"/>
    </row>
    <row r="123">
      <c r="A123" s="261"/>
    </row>
    <row r="124">
      <c r="A124" s="261"/>
    </row>
    <row r="125">
      <c r="A125" s="261"/>
    </row>
    <row r="126">
      <c r="A126" s="261"/>
    </row>
    <row r="127">
      <c r="A127" s="261"/>
    </row>
    <row r="128">
      <c r="A128" s="261"/>
    </row>
    <row r="129">
      <c r="A129" s="261"/>
    </row>
    <row r="130">
      <c r="A130" s="261"/>
    </row>
    <row r="131">
      <c r="A131" s="261"/>
    </row>
    <row r="132">
      <c r="A132" s="261"/>
    </row>
    <row r="133">
      <c r="A133" s="261"/>
    </row>
    <row r="134">
      <c r="A134" s="261"/>
    </row>
    <row r="135">
      <c r="A135" s="261"/>
    </row>
    <row r="136">
      <c r="A136" s="261"/>
    </row>
    <row r="137">
      <c r="A137" s="261"/>
    </row>
    <row r="138">
      <c r="A138" s="261"/>
    </row>
    <row r="139">
      <c r="A139" s="261"/>
    </row>
    <row r="140">
      <c r="A140" s="261"/>
    </row>
    <row r="141">
      <c r="A141" s="261"/>
    </row>
    <row r="142">
      <c r="A142" s="261"/>
    </row>
    <row r="143">
      <c r="A143" s="261"/>
    </row>
    <row r="144">
      <c r="A144" s="261"/>
    </row>
    <row r="145">
      <c r="A145" s="261"/>
    </row>
    <row r="146">
      <c r="A146" s="261"/>
    </row>
    <row r="147">
      <c r="A147" s="261"/>
    </row>
    <row r="148">
      <c r="A148" s="261"/>
    </row>
    <row r="149">
      <c r="A149" s="261"/>
    </row>
    <row r="150">
      <c r="A150" s="261"/>
    </row>
    <row r="151">
      <c r="A151" s="261"/>
    </row>
    <row r="152">
      <c r="A152" s="261"/>
    </row>
    <row r="153">
      <c r="A153" s="261"/>
    </row>
    <row r="154">
      <c r="A154" s="261"/>
    </row>
    <row r="155">
      <c r="A155" s="261"/>
    </row>
    <row r="156">
      <c r="A156" s="261"/>
    </row>
    <row r="157">
      <c r="A157" s="261"/>
    </row>
    <row r="158">
      <c r="A158" s="261"/>
    </row>
    <row r="159">
      <c r="A159" s="261"/>
    </row>
    <row r="160">
      <c r="A160" s="261"/>
    </row>
    <row r="161">
      <c r="A161" s="261"/>
    </row>
    <row r="162">
      <c r="A162" s="261"/>
    </row>
    <row r="163">
      <c r="A163" s="261"/>
    </row>
    <row r="164">
      <c r="A164" s="261"/>
    </row>
    <row r="165">
      <c r="A165" s="261"/>
    </row>
    <row r="166">
      <c r="A166" s="261"/>
    </row>
    <row r="167">
      <c r="A167" s="261"/>
    </row>
    <row r="168">
      <c r="A168" s="261"/>
    </row>
    <row r="169">
      <c r="A169" s="261"/>
    </row>
    <row r="170">
      <c r="A170" s="261"/>
    </row>
    <row r="171">
      <c r="A171" s="261"/>
    </row>
    <row r="172">
      <c r="A172" s="261"/>
    </row>
    <row r="173">
      <c r="A173" s="261"/>
    </row>
    <row r="174">
      <c r="A174" s="261"/>
    </row>
    <row r="175">
      <c r="A175" s="261"/>
    </row>
    <row r="176">
      <c r="A176" s="261"/>
    </row>
    <row r="177">
      <c r="A177" s="261"/>
    </row>
    <row r="178">
      <c r="A178" s="261"/>
    </row>
    <row r="179">
      <c r="A179" s="261"/>
    </row>
    <row r="180">
      <c r="A180" s="261"/>
    </row>
    <row r="181">
      <c r="A181" s="261"/>
    </row>
    <row r="182">
      <c r="A182" s="261"/>
    </row>
    <row r="183">
      <c r="A183" s="261"/>
    </row>
    <row r="184">
      <c r="A184" s="261"/>
    </row>
    <row r="185">
      <c r="A185" s="261"/>
    </row>
    <row r="186">
      <c r="A186" s="261"/>
    </row>
    <row r="187">
      <c r="A187" s="261"/>
    </row>
    <row r="188">
      <c r="A188" s="261"/>
    </row>
    <row r="189">
      <c r="A189" s="261"/>
    </row>
    <row r="190">
      <c r="A190" s="261"/>
    </row>
    <row r="191">
      <c r="A191" s="261"/>
    </row>
    <row r="192">
      <c r="A192" s="261"/>
    </row>
    <row r="193">
      <c r="A193" s="261"/>
    </row>
    <row r="194">
      <c r="A194" s="261"/>
    </row>
    <row r="195">
      <c r="A195" s="261"/>
    </row>
    <row r="196">
      <c r="A196" s="261"/>
    </row>
    <row r="197">
      <c r="A197" s="261"/>
    </row>
    <row r="198">
      <c r="A198" s="261"/>
    </row>
    <row r="199">
      <c r="A199" s="261"/>
    </row>
    <row r="200">
      <c r="A200" s="261"/>
    </row>
    <row r="201">
      <c r="A201" s="261"/>
    </row>
    <row r="202">
      <c r="A202" s="261"/>
    </row>
    <row r="203">
      <c r="A203" s="261"/>
    </row>
    <row r="204">
      <c r="A204" s="261"/>
    </row>
    <row r="205">
      <c r="A205" s="261"/>
    </row>
    <row r="206">
      <c r="A206" s="261"/>
    </row>
    <row r="207">
      <c r="A207" s="261"/>
    </row>
    <row r="208">
      <c r="A208" s="261"/>
    </row>
    <row r="209">
      <c r="A209" s="261"/>
    </row>
    <row r="210">
      <c r="A210" s="261"/>
    </row>
    <row r="211">
      <c r="A211" s="261"/>
    </row>
    <row r="212">
      <c r="A212" s="261"/>
    </row>
    <row r="213">
      <c r="A213" s="261"/>
    </row>
    <row r="214">
      <c r="A214" s="261"/>
    </row>
    <row r="215">
      <c r="A215" s="261"/>
    </row>
    <row r="216">
      <c r="A216" s="261"/>
    </row>
    <row r="217">
      <c r="A217" s="261"/>
    </row>
    <row r="218">
      <c r="A218" s="261"/>
    </row>
    <row r="219">
      <c r="A219" s="261"/>
    </row>
    <row r="220">
      <c r="A220" s="261"/>
    </row>
    <row r="221">
      <c r="A221" s="261"/>
    </row>
    <row r="222">
      <c r="A222" s="261"/>
    </row>
    <row r="223">
      <c r="A223" s="261"/>
    </row>
    <row r="224">
      <c r="A224" s="261"/>
    </row>
    <row r="225">
      <c r="A225" s="261"/>
    </row>
    <row r="226">
      <c r="A226" s="261"/>
    </row>
    <row r="227">
      <c r="A227" s="261"/>
    </row>
    <row r="228">
      <c r="A228" s="261"/>
    </row>
    <row r="229">
      <c r="A229" s="261"/>
    </row>
    <row r="230">
      <c r="A230" s="261"/>
    </row>
    <row r="231">
      <c r="A231" s="261"/>
    </row>
    <row r="232">
      <c r="A232" s="261"/>
    </row>
    <row r="233">
      <c r="A233" s="261"/>
    </row>
    <row r="234">
      <c r="A234" s="261"/>
    </row>
    <row r="235">
      <c r="A235" s="261"/>
    </row>
    <row r="236">
      <c r="A236" s="261"/>
    </row>
    <row r="237">
      <c r="A237" s="261"/>
    </row>
    <row r="238">
      <c r="A238" s="261"/>
    </row>
    <row r="239">
      <c r="A239" s="261"/>
    </row>
    <row r="240">
      <c r="A240" s="261"/>
    </row>
    <row r="241">
      <c r="A241" s="261"/>
    </row>
    <row r="242">
      <c r="A242" s="261"/>
    </row>
    <row r="243">
      <c r="A243" s="261"/>
    </row>
    <row r="244">
      <c r="A244" s="261"/>
    </row>
    <row r="245">
      <c r="A245" s="261"/>
    </row>
    <row r="246">
      <c r="A246" s="261"/>
    </row>
    <row r="247">
      <c r="A247" s="261"/>
    </row>
    <row r="248">
      <c r="A248" s="261"/>
    </row>
    <row r="249">
      <c r="A249" s="261"/>
    </row>
    <row r="250">
      <c r="A250" s="261"/>
    </row>
    <row r="251">
      <c r="A251" s="261"/>
    </row>
    <row r="252">
      <c r="A252" s="261"/>
    </row>
    <row r="253">
      <c r="A253" s="261"/>
    </row>
    <row r="254">
      <c r="A254" s="261"/>
    </row>
    <row r="255">
      <c r="A255" s="261"/>
    </row>
    <row r="256">
      <c r="A256" s="261"/>
    </row>
    <row r="257">
      <c r="A257" s="261"/>
    </row>
    <row r="258">
      <c r="A258" s="261"/>
    </row>
    <row r="259">
      <c r="A259" s="261"/>
    </row>
    <row r="260">
      <c r="A260" s="261"/>
    </row>
    <row r="261">
      <c r="A261" s="261"/>
    </row>
    <row r="262">
      <c r="A262" s="261"/>
    </row>
    <row r="263">
      <c r="A263" s="261"/>
    </row>
    <row r="264">
      <c r="A264" s="261"/>
    </row>
    <row r="265">
      <c r="A265" s="261"/>
    </row>
    <row r="266">
      <c r="A266" s="261"/>
    </row>
    <row r="267">
      <c r="A267" s="261"/>
    </row>
    <row r="268">
      <c r="A268" s="261"/>
    </row>
    <row r="269">
      <c r="A269" s="261"/>
    </row>
    <row r="270">
      <c r="A270" s="261"/>
    </row>
    <row r="271">
      <c r="A271" s="261"/>
    </row>
    <row r="272">
      <c r="A272" s="261"/>
    </row>
    <row r="273">
      <c r="A273" s="261"/>
    </row>
    <row r="274">
      <c r="A274" s="261"/>
    </row>
    <row r="275">
      <c r="A275" s="261"/>
    </row>
    <row r="276">
      <c r="A276" s="261"/>
    </row>
    <row r="277">
      <c r="A277" s="261"/>
    </row>
    <row r="278">
      <c r="A278" s="261"/>
    </row>
    <row r="279">
      <c r="A279" s="261"/>
    </row>
    <row r="280">
      <c r="A280" s="261"/>
    </row>
    <row r="281">
      <c r="A281" s="261"/>
    </row>
    <row r="282">
      <c r="A282" s="261"/>
    </row>
    <row r="283">
      <c r="A283" s="261"/>
    </row>
    <row r="284">
      <c r="A284" s="261"/>
    </row>
    <row r="285">
      <c r="A285" s="261"/>
    </row>
    <row r="286">
      <c r="A286" s="261"/>
    </row>
    <row r="287">
      <c r="A287" s="261"/>
    </row>
    <row r="288">
      <c r="A288" s="261"/>
    </row>
    <row r="289">
      <c r="A289" s="261"/>
    </row>
    <row r="290">
      <c r="A290" s="261"/>
    </row>
    <row r="291">
      <c r="A291" s="261"/>
    </row>
    <row r="292">
      <c r="A292" s="261"/>
    </row>
    <row r="293">
      <c r="A293" s="261"/>
    </row>
    <row r="294">
      <c r="A294" s="261"/>
    </row>
    <row r="295">
      <c r="A295" s="261"/>
    </row>
    <row r="296">
      <c r="A296" s="261"/>
    </row>
    <row r="297">
      <c r="A297" s="261"/>
    </row>
    <row r="298">
      <c r="A298" s="261"/>
    </row>
    <row r="299">
      <c r="A299" s="261"/>
    </row>
    <row r="300">
      <c r="A300" s="261"/>
    </row>
    <row r="301">
      <c r="A301" s="261"/>
    </row>
    <row r="302">
      <c r="A302" s="261"/>
    </row>
    <row r="303">
      <c r="A303" s="261"/>
    </row>
    <row r="304">
      <c r="A304" s="261"/>
    </row>
    <row r="305">
      <c r="A305" s="261"/>
    </row>
    <row r="306">
      <c r="A306" s="261"/>
    </row>
    <row r="307">
      <c r="A307" s="261"/>
    </row>
    <row r="308">
      <c r="A308" s="261"/>
    </row>
    <row r="309">
      <c r="A309" s="261"/>
    </row>
    <row r="310">
      <c r="A310" s="261"/>
    </row>
    <row r="311">
      <c r="A311" s="261"/>
    </row>
    <row r="312">
      <c r="A312" s="261"/>
    </row>
    <row r="313">
      <c r="A313" s="261"/>
    </row>
    <row r="314">
      <c r="A314" s="261"/>
    </row>
    <row r="315">
      <c r="A315" s="261"/>
    </row>
    <row r="316">
      <c r="A316" s="261"/>
    </row>
    <row r="317">
      <c r="A317" s="261"/>
    </row>
    <row r="318">
      <c r="A318" s="261"/>
    </row>
    <row r="319">
      <c r="A319" s="261"/>
    </row>
    <row r="320">
      <c r="A320" s="261"/>
    </row>
    <row r="321">
      <c r="A321" s="261"/>
    </row>
    <row r="322">
      <c r="A322" s="261"/>
    </row>
    <row r="323">
      <c r="A323" s="261"/>
    </row>
    <row r="324">
      <c r="A324" s="261"/>
    </row>
    <row r="325">
      <c r="A325" s="261"/>
    </row>
    <row r="326">
      <c r="A326" s="261"/>
    </row>
    <row r="327">
      <c r="A327" s="261"/>
    </row>
    <row r="328">
      <c r="A328" s="261"/>
    </row>
    <row r="329">
      <c r="A329" s="261"/>
    </row>
    <row r="330">
      <c r="A330" s="261"/>
    </row>
    <row r="331">
      <c r="A331" s="261"/>
    </row>
    <row r="332">
      <c r="A332" s="261"/>
    </row>
    <row r="333">
      <c r="A333" s="261"/>
    </row>
    <row r="334">
      <c r="A334" s="261"/>
    </row>
    <row r="335">
      <c r="A335" s="261"/>
    </row>
    <row r="336">
      <c r="A336" s="261"/>
    </row>
    <row r="337">
      <c r="A337" s="261"/>
    </row>
    <row r="338">
      <c r="A338" s="261"/>
    </row>
    <row r="339">
      <c r="A339" s="261"/>
    </row>
    <row r="340">
      <c r="A340" s="261"/>
    </row>
    <row r="341">
      <c r="A341" s="261"/>
    </row>
    <row r="342">
      <c r="A342" s="261"/>
    </row>
    <row r="343">
      <c r="A343" s="261"/>
    </row>
    <row r="344">
      <c r="A344" s="261"/>
    </row>
    <row r="345">
      <c r="A345" s="261"/>
    </row>
    <row r="346">
      <c r="A346" s="261"/>
    </row>
    <row r="347">
      <c r="A347" s="261"/>
    </row>
    <row r="348">
      <c r="A348" s="261"/>
    </row>
    <row r="349">
      <c r="A349" s="261"/>
    </row>
    <row r="350">
      <c r="A350" s="261"/>
    </row>
    <row r="351">
      <c r="A351" s="261"/>
    </row>
    <row r="352">
      <c r="A352" s="261"/>
    </row>
    <row r="353">
      <c r="A353" s="261"/>
    </row>
    <row r="354">
      <c r="A354" s="261"/>
    </row>
    <row r="355">
      <c r="A355" s="261"/>
    </row>
    <row r="356">
      <c r="A356" s="261"/>
    </row>
    <row r="357">
      <c r="A357" s="261"/>
    </row>
    <row r="358">
      <c r="A358" s="261"/>
    </row>
    <row r="359">
      <c r="A359" s="261"/>
    </row>
    <row r="360">
      <c r="A360" s="261"/>
    </row>
    <row r="361">
      <c r="A361" s="261"/>
    </row>
    <row r="362">
      <c r="A362" s="261"/>
    </row>
    <row r="363">
      <c r="A363" s="261"/>
    </row>
    <row r="364">
      <c r="A364" s="261"/>
    </row>
    <row r="365">
      <c r="A365" s="261"/>
    </row>
    <row r="366">
      <c r="A366" s="261"/>
    </row>
    <row r="367">
      <c r="A367" s="261"/>
    </row>
    <row r="368">
      <c r="A368" s="261"/>
    </row>
    <row r="369">
      <c r="A369" s="261"/>
    </row>
    <row r="370">
      <c r="A370" s="261"/>
    </row>
    <row r="371">
      <c r="A371" s="261"/>
    </row>
    <row r="372">
      <c r="A372" s="261"/>
    </row>
    <row r="373">
      <c r="A373" s="261"/>
    </row>
    <row r="374">
      <c r="A374" s="261"/>
    </row>
    <row r="375">
      <c r="A375" s="261"/>
    </row>
    <row r="376">
      <c r="A376" s="261"/>
    </row>
    <row r="377">
      <c r="A377" s="261"/>
    </row>
    <row r="378">
      <c r="A378" s="261"/>
    </row>
    <row r="379">
      <c r="A379" s="261"/>
    </row>
    <row r="380">
      <c r="A380" s="261"/>
    </row>
    <row r="381">
      <c r="A381" s="261"/>
    </row>
    <row r="382">
      <c r="A382" s="261"/>
    </row>
    <row r="383">
      <c r="A383" s="261"/>
    </row>
    <row r="384">
      <c r="A384" s="261"/>
    </row>
    <row r="385">
      <c r="A385" s="261"/>
    </row>
    <row r="386">
      <c r="A386" s="261"/>
    </row>
    <row r="387">
      <c r="A387" s="261"/>
    </row>
    <row r="388">
      <c r="A388" s="261"/>
    </row>
    <row r="389">
      <c r="A389" s="261"/>
    </row>
    <row r="390">
      <c r="A390" s="261"/>
    </row>
    <row r="391">
      <c r="A391" s="261"/>
    </row>
    <row r="392">
      <c r="A392" s="261"/>
    </row>
    <row r="393">
      <c r="A393" s="261"/>
    </row>
    <row r="394">
      <c r="A394" s="261"/>
    </row>
    <row r="395">
      <c r="A395" s="261"/>
    </row>
    <row r="396">
      <c r="A396" s="261"/>
    </row>
    <row r="397">
      <c r="A397" s="261"/>
    </row>
    <row r="398">
      <c r="A398" s="261"/>
    </row>
    <row r="399">
      <c r="A399" s="261"/>
    </row>
    <row r="400">
      <c r="A400" s="261"/>
    </row>
    <row r="401">
      <c r="A401" s="261"/>
    </row>
    <row r="402">
      <c r="A402" s="261"/>
    </row>
    <row r="403">
      <c r="A403" s="261"/>
    </row>
    <row r="404">
      <c r="A404" s="261"/>
    </row>
    <row r="405">
      <c r="A405" s="261"/>
    </row>
    <row r="406">
      <c r="A406" s="261"/>
    </row>
    <row r="407">
      <c r="A407" s="261"/>
    </row>
    <row r="408">
      <c r="A408" s="261"/>
    </row>
    <row r="409">
      <c r="A409" s="261"/>
    </row>
    <row r="410">
      <c r="A410" s="261"/>
    </row>
    <row r="411">
      <c r="A411" s="261"/>
    </row>
    <row r="412">
      <c r="A412" s="261"/>
    </row>
    <row r="413">
      <c r="A413" s="261"/>
    </row>
    <row r="414">
      <c r="A414" s="261"/>
    </row>
    <row r="415">
      <c r="A415" s="261"/>
    </row>
    <row r="416">
      <c r="A416" s="261"/>
    </row>
    <row r="417">
      <c r="A417" s="261"/>
    </row>
    <row r="418">
      <c r="A418" s="261"/>
    </row>
    <row r="419">
      <c r="A419" s="261"/>
    </row>
    <row r="420">
      <c r="A420" s="261"/>
    </row>
    <row r="421">
      <c r="A421" s="261"/>
    </row>
    <row r="422">
      <c r="A422" s="261"/>
    </row>
    <row r="423">
      <c r="A423" s="261"/>
    </row>
    <row r="424">
      <c r="A424" s="261"/>
    </row>
    <row r="425">
      <c r="A425" s="261"/>
    </row>
    <row r="426">
      <c r="A426" s="261"/>
    </row>
    <row r="427">
      <c r="A427" s="261"/>
    </row>
    <row r="428">
      <c r="A428" s="261"/>
    </row>
    <row r="429">
      <c r="A429" s="261"/>
    </row>
    <row r="430">
      <c r="A430" s="261"/>
    </row>
    <row r="431">
      <c r="A431" s="261"/>
    </row>
    <row r="432">
      <c r="A432" s="261"/>
    </row>
    <row r="433">
      <c r="A433" s="261"/>
    </row>
    <row r="434">
      <c r="A434" s="261"/>
    </row>
    <row r="435">
      <c r="A435" s="261"/>
    </row>
    <row r="436">
      <c r="A436" s="261"/>
    </row>
    <row r="437">
      <c r="A437" s="261"/>
    </row>
    <row r="438">
      <c r="A438" s="261"/>
    </row>
    <row r="439">
      <c r="A439" s="261"/>
    </row>
    <row r="440">
      <c r="A440" s="261"/>
    </row>
    <row r="441">
      <c r="A441" s="261"/>
    </row>
    <row r="442">
      <c r="A442" s="261"/>
    </row>
    <row r="443">
      <c r="A443" s="261"/>
    </row>
    <row r="444">
      <c r="A444" s="261"/>
    </row>
    <row r="445">
      <c r="A445" s="261"/>
    </row>
    <row r="446">
      <c r="A446" s="261"/>
    </row>
    <row r="447">
      <c r="A447" s="261"/>
    </row>
    <row r="448">
      <c r="A448" s="261"/>
    </row>
    <row r="449">
      <c r="A449" s="261"/>
    </row>
    <row r="450">
      <c r="A450" s="261"/>
    </row>
    <row r="451">
      <c r="A451" s="261"/>
    </row>
    <row r="452">
      <c r="A452" s="261"/>
    </row>
    <row r="453">
      <c r="A453" s="261"/>
    </row>
    <row r="454">
      <c r="A454" s="261"/>
    </row>
    <row r="455">
      <c r="A455" s="261"/>
    </row>
    <row r="456">
      <c r="A456" s="261"/>
    </row>
    <row r="457">
      <c r="A457" s="261"/>
    </row>
    <row r="458">
      <c r="A458" s="261"/>
    </row>
    <row r="459">
      <c r="A459" s="261"/>
    </row>
    <row r="460">
      <c r="A460" s="261"/>
    </row>
    <row r="461">
      <c r="A461" s="261"/>
    </row>
    <row r="462">
      <c r="A462" s="261"/>
    </row>
    <row r="463">
      <c r="A463" s="261"/>
    </row>
    <row r="464">
      <c r="A464" s="261"/>
    </row>
    <row r="465">
      <c r="A465" s="261"/>
    </row>
    <row r="466">
      <c r="A466" s="261"/>
    </row>
    <row r="467">
      <c r="A467" s="261"/>
    </row>
    <row r="468">
      <c r="A468" s="261"/>
    </row>
    <row r="469">
      <c r="A469" s="261"/>
    </row>
    <row r="470">
      <c r="A470" s="261"/>
    </row>
    <row r="471">
      <c r="A471" s="261"/>
    </row>
    <row r="472">
      <c r="A472" s="261"/>
    </row>
    <row r="473">
      <c r="A473" s="261"/>
    </row>
    <row r="474">
      <c r="A474" s="261"/>
    </row>
    <row r="475">
      <c r="A475" s="261"/>
    </row>
    <row r="476">
      <c r="A476" s="261"/>
    </row>
    <row r="477">
      <c r="A477" s="261"/>
    </row>
    <row r="478">
      <c r="A478" s="261"/>
    </row>
    <row r="479">
      <c r="A479" s="261"/>
    </row>
    <row r="480">
      <c r="A480" s="261"/>
    </row>
    <row r="481">
      <c r="A481" s="261"/>
    </row>
    <row r="482">
      <c r="A482" s="261"/>
    </row>
    <row r="483">
      <c r="A483" s="261"/>
    </row>
    <row r="484">
      <c r="A484" s="261"/>
    </row>
    <row r="485">
      <c r="A485" s="261"/>
    </row>
    <row r="486">
      <c r="A486" s="261"/>
    </row>
    <row r="487">
      <c r="A487" s="261"/>
    </row>
    <row r="488">
      <c r="A488" s="261"/>
    </row>
    <row r="489">
      <c r="A489" s="261"/>
    </row>
    <row r="490">
      <c r="A490" s="261"/>
    </row>
    <row r="491">
      <c r="A491" s="261"/>
    </row>
    <row r="492">
      <c r="A492" s="261"/>
    </row>
    <row r="493">
      <c r="A493" s="261"/>
    </row>
    <row r="494">
      <c r="A494" s="261"/>
    </row>
    <row r="495">
      <c r="A495" s="261"/>
    </row>
    <row r="496">
      <c r="A496" s="261"/>
    </row>
    <row r="497">
      <c r="A497" s="261"/>
    </row>
    <row r="498">
      <c r="A498" s="261"/>
    </row>
    <row r="499">
      <c r="A499" s="261"/>
    </row>
    <row r="500">
      <c r="A500" s="261"/>
    </row>
    <row r="501">
      <c r="A501" s="261"/>
    </row>
    <row r="502">
      <c r="A502" s="261"/>
    </row>
    <row r="503">
      <c r="A503" s="261"/>
    </row>
    <row r="504">
      <c r="A504" s="261"/>
    </row>
    <row r="505">
      <c r="A505" s="261"/>
    </row>
    <row r="506">
      <c r="A506" s="261"/>
    </row>
    <row r="507">
      <c r="A507" s="261"/>
    </row>
    <row r="508">
      <c r="A508" s="261"/>
    </row>
    <row r="509">
      <c r="A509" s="261"/>
    </row>
    <row r="510">
      <c r="A510" s="261"/>
    </row>
    <row r="511">
      <c r="A511" s="261"/>
    </row>
    <row r="512">
      <c r="A512" s="261"/>
    </row>
    <row r="513">
      <c r="A513" s="261"/>
    </row>
    <row r="514">
      <c r="A514" s="261"/>
    </row>
    <row r="515">
      <c r="A515" s="261"/>
    </row>
    <row r="516">
      <c r="A516" s="261"/>
    </row>
    <row r="517">
      <c r="A517" s="261"/>
    </row>
    <row r="518">
      <c r="A518" s="261"/>
    </row>
    <row r="519">
      <c r="A519" s="261"/>
    </row>
    <row r="520">
      <c r="A520" s="261"/>
    </row>
    <row r="521">
      <c r="A521" s="261"/>
    </row>
    <row r="522">
      <c r="A522" s="261"/>
    </row>
    <row r="523">
      <c r="A523" s="261"/>
    </row>
    <row r="524">
      <c r="A524" s="261"/>
    </row>
    <row r="525">
      <c r="A525" s="261"/>
    </row>
    <row r="526">
      <c r="A526" s="261"/>
    </row>
    <row r="527">
      <c r="A527" s="261"/>
    </row>
    <row r="528">
      <c r="A528" s="261"/>
    </row>
    <row r="529">
      <c r="A529" s="261"/>
    </row>
    <row r="530">
      <c r="A530" s="261"/>
    </row>
    <row r="531">
      <c r="A531" s="261"/>
    </row>
    <row r="532">
      <c r="A532" s="261"/>
    </row>
    <row r="533">
      <c r="A533" s="261"/>
    </row>
    <row r="534">
      <c r="A534" s="261"/>
    </row>
    <row r="535">
      <c r="A535" s="261"/>
    </row>
    <row r="536">
      <c r="A536" s="261"/>
    </row>
    <row r="537">
      <c r="A537" s="261"/>
    </row>
    <row r="538">
      <c r="A538" s="261"/>
    </row>
    <row r="539">
      <c r="A539" s="261"/>
    </row>
    <row r="540">
      <c r="A540" s="261"/>
    </row>
    <row r="541">
      <c r="A541" s="261"/>
    </row>
    <row r="542">
      <c r="A542" s="261"/>
    </row>
    <row r="543">
      <c r="A543" s="261"/>
    </row>
    <row r="544">
      <c r="A544" s="261"/>
    </row>
    <row r="545">
      <c r="A545" s="261"/>
    </row>
    <row r="546">
      <c r="A546" s="261"/>
    </row>
    <row r="547">
      <c r="A547" s="261"/>
    </row>
    <row r="548">
      <c r="A548" s="261"/>
    </row>
    <row r="549">
      <c r="A549" s="261"/>
    </row>
    <row r="550">
      <c r="A550" s="261"/>
    </row>
    <row r="551">
      <c r="A551" s="261"/>
    </row>
    <row r="552">
      <c r="A552" s="261"/>
    </row>
    <row r="553">
      <c r="A553" s="261"/>
    </row>
    <row r="554">
      <c r="A554" s="261"/>
    </row>
    <row r="555">
      <c r="A555" s="261"/>
    </row>
    <row r="556">
      <c r="A556" s="261"/>
    </row>
    <row r="557">
      <c r="A557" s="261"/>
    </row>
    <row r="558">
      <c r="A558" s="261"/>
    </row>
    <row r="559">
      <c r="A559" s="261"/>
    </row>
    <row r="560">
      <c r="A560" s="261"/>
    </row>
    <row r="561">
      <c r="A561" s="261"/>
    </row>
    <row r="562">
      <c r="A562" s="261"/>
    </row>
    <row r="563">
      <c r="A563" s="261"/>
    </row>
    <row r="564">
      <c r="A564" s="261"/>
    </row>
    <row r="565">
      <c r="A565" s="261"/>
    </row>
    <row r="566">
      <c r="A566" s="261"/>
    </row>
    <row r="567">
      <c r="A567" s="261"/>
    </row>
    <row r="568">
      <c r="A568" s="261"/>
    </row>
    <row r="569">
      <c r="A569" s="261"/>
    </row>
    <row r="570">
      <c r="A570" s="261"/>
    </row>
    <row r="571">
      <c r="A571" s="261"/>
    </row>
    <row r="572">
      <c r="A572" s="261"/>
    </row>
    <row r="573">
      <c r="A573" s="261"/>
    </row>
    <row r="574">
      <c r="A574" s="261"/>
    </row>
    <row r="575">
      <c r="A575" s="261"/>
    </row>
    <row r="576">
      <c r="A576" s="261"/>
    </row>
    <row r="577">
      <c r="A577" s="261"/>
    </row>
    <row r="578">
      <c r="A578" s="261"/>
    </row>
    <row r="579">
      <c r="A579" s="261"/>
    </row>
    <row r="580">
      <c r="A580" s="261"/>
    </row>
    <row r="581">
      <c r="A581" s="261"/>
    </row>
    <row r="582">
      <c r="A582" s="261"/>
    </row>
    <row r="583">
      <c r="A583" s="261"/>
    </row>
    <row r="584">
      <c r="A584" s="261"/>
    </row>
    <row r="585">
      <c r="A585" s="261"/>
    </row>
    <row r="586">
      <c r="A586" s="261"/>
    </row>
    <row r="587">
      <c r="A587" s="261"/>
    </row>
    <row r="588">
      <c r="A588" s="261"/>
    </row>
    <row r="589">
      <c r="A589" s="261"/>
    </row>
    <row r="590">
      <c r="A590" s="261"/>
    </row>
    <row r="591">
      <c r="A591" s="261"/>
    </row>
    <row r="592">
      <c r="A592" s="261"/>
    </row>
    <row r="593">
      <c r="A593" s="261"/>
    </row>
    <row r="594">
      <c r="A594" s="261"/>
    </row>
    <row r="595">
      <c r="A595" s="261"/>
    </row>
    <row r="596">
      <c r="A596" s="261"/>
    </row>
    <row r="597">
      <c r="A597" s="261"/>
    </row>
    <row r="598">
      <c r="A598" s="261"/>
    </row>
    <row r="599">
      <c r="A599" s="261"/>
    </row>
    <row r="600">
      <c r="A600" s="261"/>
    </row>
    <row r="601">
      <c r="A601" s="261"/>
    </row>
    <row r="602">
      <c r="A602" s="261"/>
    </row>
    <row r="603">
      <c r="A603" s="261"/>
    </row>
    <row r="604">
      <c r="A604" s="261"/>
    </row>
    <row r="605">
      <c r="A605" s="261"/>
    </row>
    <row r="606">
      <c r="A606" s="261"/>
    </row>
    <row r="607">
      <c r="A607" s="261"/>
    </row>
    <row r="608">
      <c r="A608" s="261"/>
    </row>
    <row r="609">
      <c r="A609" s="261"/>
    </row>
    <row r="610">
      <c r="A610" s="261"/>
    </row>
    <row r="611">
      <c r="A611" s="261"/>
    </row>
    <row r="612">
      <c r="A612" s="261"/>
    </row>
    <row r="613">
      <c r="A613" s="261"/>
    </row>
    <row r="614">
      <c r="A614" s="261"/>
    </row>
    <row r="615">
      <c r="A615" s="261"/>
    </row>
    <row r="616">
      <c r="A616" s="261"/>
    </row>
    <row r="617">
      <c r="A617" s="261"/>
    </row>
    <row r="618">
      <c r="A618" s="261"/>
    </row>
    <row r="619">
      <c r="A619" s="261"/>
    </row>
    <row r="620">
      <c r="A620" s="261"/>
    </row>
    <row r="621">
      <c r="A621" s="261"/>
    </row>
    <row r="622">
      <c r="A622" s="261"/>
    </row>
    <row r="623">
      <c r="A623" s="261"/>
    </row>
    <row r="624">
      <c r="A624" s="261"/>
    </row>
    <row r="625">
      <c r="A625" s="261"/>
    </row>
    <row r="626">
      <c r="A626" s="261"/>
    </row>
    <row r="627">
      <c r="A627" s="261"/>
    </row>
    <row r="628">
      <c r="A628" s="261"/>
    </row>
    <row r="629">
      <c r="A629" s="261"/>
    </row>
    <row r="630">
      <c r="A630" s="261"/>
    </row>
    <row r="631">
      <c r="A631" s="261"/>
    </row>
    <row r="632">
      <c r="A632" s="261"/>
    </row>
    <row r="633">
      <c r="A633" s="261"/>
    </row>
    <row r="634">
      <c r="A634" s="261"/>
    </row>
    <row r="635">
      <c r="A635" s="261"/>
    </row>
    <row r="636">
      <c r="A636" s="261"/>
    </row>
    <row r="637">
      <c r="A637" s="261"/>
    </row>
    <row r="638">
      <c r="A638" s="261"/>
    </row>
    <row r="639">
      <c r="A639" s="261"/>
    </row>
    <row r="640">
      <c r="A640" s="261"/>
    </row>
    <row r="641">
      <c r="A641" s="261"/>
    </row>
    <row r="642">
      <c r="A642" s="261"/>
    </row>
    <row r="643">
      <c r="A643" s="261"/>
    </row>
    <row r="644">
      <c r="A644" s="261"/>
    </row>
    <row r="645">
      <c r="A645" s="261"/>
    </row>
    <row r="646">
      <c r="A646" s="261"/>
    </row>
    <row r="647">
      <c r="A647" s="261"/>
    </row>
    <row r="648">
      <c r="A648" s="261"/>
    </row>
    <row r="649">
      <c r="A649" s="261"/>
    </row>
    <row r="650">
      <c r="A650" s="261"/>
    </row>
    <row r="651">
      <c r="A651" s="261"/>
    </row>
    <row r="652">
      <c r="A652" s="261"/>
    </row>
    <row r="653">
      <c r="A653" s="261"/>
    </row>
    <row r="654">
      <c r="A654" s="261"/>
    </row>
    <row r="655">
      <c r="A655" s="261"/>
    </row>
    <row r="656">
      <c r="A656" s="261"/>
    </row>
    <row r="657">
      <c r="A657" s="261"/>
    </row>
    <row r="658">
      <c r="A658" s="261"/>
    </row>
    <row r="659">
      <c r="A659" s="261"/>
    </row>
    <row r="660">
      <c r="A660" s="261"/>
    </row>
    <row r="661">
      <c r="A661" s="261"/>
    </row>
    <row r="662">
      <c r="A662" s="261"/>
    </row>
    <row r="663">
      <c r="A663" s="261"/>
    </row>
    <row r="664">
      <c r="A664" s="261"/>
    </row>
    <row r="665">
      <c r="A665" s="261"/>
    </row>
    <row r="666">
      <c r="A666" s="261"/>
    </row>
    <row r="667">
      <c r="A667" s="261"/>
    </row>
    <row r="668">
      <c r="A668" s="261"/>
    </row>
    <row r="669">
      <c r="A669" s="261"/>
    </row>
    <row r="670">
      <c r="A670" s="261"/>
    </row>
    <row r="671">
      <c r="A671" s="261"/>
    </row>
    <row r="672">
      <c r="A672" s="261"/>
    </row>
    <row r="673">
      <c r="A673" s="261"/>
    </row>
    <row r="674">
      <c r="A674" s="261"/>
    </row>
    <row r="675">
      <c r="A675" s="261"/>
    </row>
    <row r="676">
      <c r="A676" s="261"/>
    </row>
    <row r="677">
      <c r="A677" s="261"/>
    </row>
    <row r="678">
      <c r="A678" s="261"/>
    </row>
    <row r="679">
      <c r="A679" s="261"/>
    </row>
    <row r="680">
      <c r="A680" s="261"/>
    </row>
    <row r="681">
      <c r="A681" s="261"/>
    </row>
    <row r="682">
      <c r="A682" s="261"/>
    </row>
    <row r="683">
      <c r="A683" s="261"/>
    </row>
    <row r="684">
      <c r="A684" s="261"/>
    </row>
    <row r="685">
      <c r="A685" s="261"/>
    </row>
    <row r="686">
      <c r="A686" s="261"/>
    </row>
    <row r="687">
      <c r="A687" s="261"/>
    </row>
    <row r="688">
      <c r="A688" s="261"/>
    </row>
    <row r="689">
      <c r="A689" s="261"/>
    </row>
    <row r="690">
      <c r="A690" s="261"/>
    </row>
    <row r="691">
      <c r="A691" s="261"/>
    </row>
    <row r="692">
      <c r="A692" s="261"/>
    </row>
    <row r="693">
      <c r="A693" s="261"/>
    </row>
    <row r="694">
      <c r="A694" s="261"/>
    </row>
    <row r="695">
      <c r="A695" s="261"/>
    </row>
    <row r="696">
      <c r="A696" s="261"/>
    </row>
    <row r="697">
      <c r="A697" s="261"/>
    </row>
    <row r="698">
      <c r="A698" s="261"/>
    </row>
    <row r="699">
      <c r="A699" s="261"/>
    </row>
    <row r="700">
      <c r="A700" s="261"/>
    </row>
    <row r="701">
      <c r="A701" s="261"/>
    </row>
    <row r="702">
      <c r="A702" s="261"/>
    </row>
    <row r="703">
      <c r="A703" s="261"/>
    </row>
    <row r="704">
      <c r="A704" s="261"/>
    </row>
    <row r="705">
      <c r="A705" s="261"/>
    </row>
    <row r="706">
      <c r="A706" s="261"/>
    </row>
    <row r="707">
      <c r="A707" s="261"/>
    </row>
    <row r="708">
      <c r="A708" s="261"/>
    </row>
    <row r="709">
      <c r="A709" s="261"/>
    </row>
    <row r="710">
      <c r="A710" s="261"/>
    </row>
    <row r="711">
      <c r="A711" s="261"/>
    </row>
    <row r="712">
      <c r="A712" s="261"/>
    </row>
    <row r="713">
      <c r="A713" s="261"/>
    </row>
    <row r="714">
      <c r="A714" s="261"/>
    </row>
    <row r="715">
      <c r="A715" s="261"/>
    </row>
    <row r="716">
      <c r="A716" s="261"/>
    </row>
    <row r="717">
      <c r="A717" s="261"/>
    </row>
    <row r="718">
      <c r="A718" s="261"/>
    </row>
    <row r="719">
      <c r="A719" s="261"/>
    </row>
    <row r="720">
      <c r="A720" s="261"/>
    </row>
    <row r="721">
      <c r="A721" s="261"/>
    </row>
    <row r="722">
      <c r="A722" s="261"/>
    </row>
    <row r="723">
      <c r="A723" s="261"/>
    </row>
    <row r="724">
      <c r="A724" s="261"/>
    </row>
    <row r="725">
      <c r="A725" s="261"/>
    </row>
    <row r="726">
      <c r="A726" s="261"/>
    </row>
    <row r="727">
      <c r="A727" s="261"/>
    </row>
    <row r="728">
      <c r="A728" s="261"/>
    </row>
    <row r="729">
      <c r="A729" s="261"/>
    </row>
    <row r="730">
      <c r="A730" s="261"/>
    </row>
    <row r="731">
      <c r="A731" s="261"/>
    </row>
    <row r="732">
      <c r="A732" s="261"/>
    </row>
    <row r="733">
      <c r="A733" s="261"/>
    </row>
    <row r="734">
      <c r="A734" s="261"/>
    </row>
    <row r="735">
      <c r="A735" s="261"/>
    </row>
    <row r="736">
      <c r="A736" s="261"/>
    </row>
    <row r="737">
      <c r="A737" s="261"/>
    </row>
    <row r="738">
      <c r="A738" s="261"/>
    </row>
    <row r="739">
      <c r="A739" s="261"/>
    </row>
    <row r="740">
      <c r="A740" s="261"/>
    </row>
    <row r="741">
      <c r="A741" s="261"/>
    </row>
    <row r="742">
      <c r="A742" s="261"/>
    </row>
    <row r="743">
      <c r="A743" s="261"/>
    </row>
    <row r="744">
      <c r="A744" s="261"/>
    </row>
    <row r="745">
      <c r="A745" s="261"/>
    </row>
    <row r="746">
      <c r="A746" s="261"/>
    </row>
    <row r="747">
      <c r="A747" s="261"/>
    </row>
    <row r="748">
      <c r="A748" s="261"/>
    </row>
    <row r="749">
      <c r="A749" s="261"/>
    </row>
    <row r="750">
      <c r="A750" s="261"/>
    </row>
    <row r="751">
      <c r="A751" s="261"/>
    </row>
    <row r="752">
      <c r="A752" s="261"/>
    </row>
    <row r="753">
      <c r="A753" s="261"/>
    </row>
    <row r="754">
      <c r="A754" s="261"/>
    </row>
    <row r="755">
      <c r="A755" s="261"/>
    </row>
    <row r="756">
      <c r="A756" s="261"/>
    </row>
    <row r="757">
      <c r="A757" s="261"/>
    </row>
    <row r="758">
      <c r="A758" s="261"/>
    </row>
    <row r="759">
      <c r="A759" s="261"/>
    </row>
    <row r="760">
      <c r="A760" s="261"/>
    </row>
    <row r="761">
      <c r="A761" s="261"/>
    </row>
    <row r="762">
      <c r="A762" s="261"/>
    </row>
    <row r="763">
      <c r="A763" s="261"/>
    </row>
    <row r="764">
      <c r="A764" s="261"/>
    </row>
    <row r="765">
      <c r="A765" s="261"/>
    </row>
    <row r="766">
      <c r="A766" s="261"/>
    </row>
    <row r="767">
      <c r="A767" s="261"/>
    </row>
    <row r="768">
      <c r="A768" s="261"/>
    </row>
    <row r="769">
      <c r="A769" s="261"/>
    </row>
    <row r="770">
      <c r="A770" s="261"/>
    </row>
    <row r="771">
      <c r="A771" s="261"/>
    </row>
    <row r="772">
      <c r="A772" s="261"/>
    </row>
    <row r="773">
      <c r="A773" s="261"/>
    </row>
    <row r="774">
      <c r="A774" s="261"/>
    </row>
    <row r="775">
      <c r="A775" s="261"/>
    </row>
    <row r="776">
      <c r="A776" s="261"/>
    </row>
    <row r="777">
      <c r="A777" s="261"/>
    </row>
    <row r="778">
      <c r="A778" s="261"/>
    </row>
    <row r="779">
      <c r="A779" s="261"/>
    </row>
    <row r="780">
      <c r="A780" s="261"/>
    </row>
    <row r="781">
      <c r="A781" s="261"/>
    </row>
    <row r="782">
      <c r="A782" s="261"/>
    </row>
    <row r="783">
      <c r="A783" s="261"/>
    </row>
    <row r="784">
      <c r="A784" s="261"/>
    </row>
    <row r="785">
      <c r="A785" s="261"/>
    </row>
    <row r="786">
      <c r="A786" s="261"/>
    </row>
    <row r="787">
      <c r="A787" s="261"/>
    </row>
    <row r="788">
      <c r="A788" s="261"/>
    </row>
    <row r="789">
      <c r="A789" s="261"/>
    </row>
    <row r="790">
      <c r="A790" s="261"/>
    </row>
    <row r="791">
      <c r="A791" s="261"/>
    </row>
    <row r="792">
      <c r="A792" s="261"/>
    </row>
    <row r="793">
      <c r="A793" s="261"/>
    </row>
    <row r="794">
      <c r="A794" s="261"/>
    </row>
    <row r="795">
      <c r="A795" s="261"/>
    </row>
    <row r="796">
      <c r="A796" s="261"/>
    </row>
    <row r="797">
      <c r="A797" s="261"/>
    </row>
    <row r="798">
      <c r="A798" s="261"/>
    </row>
    <row r="799">
      <c r="A799" s="261"/>
    </row>
    <row r="800">
      <c r="A800" s="261"/>
    </row>
    <row r="801">
      <c r="A801" s="261"/>
    </row>
    <row r="802">
      <c r="A802" s="261"/>
    </row>
    <row r="803">
      <c r="A803" s="261"/>
    </row>
    <row r="804">
      <c r="A804" s="261"/>
    </row>
    <row r="805">
      <c r="A805" s="261"/>
    </row>
    <row r="806">
      <c r="A806" s="261"/>
    </row>
    <row r="807">
      <c r="A807" s="261"/>
    </row>
    <row r="808">
      <c r="A808" s="261"/>
    </row>
    <row r="809">
      <c r="A809" s="261"/>
    </row>
    <row r="810">
      <c r="A810" s="261"/>
    </row>
    <row r="811">
      <c r="A811" s="261"/>
    </row>
    <row r="812">
      <c r="A812" s="261"/>
    </row>
    <row r="813">
      <c r="A813" s="261"/>
    </row>
    <row r="814">
      <c r="A814" s="261"/>
    </row>
    <row r="815">
      <c r="A815" s="261"/>
    </row>
    <row r="816">
      <c r="A816" s="261"/>
    </row>
    <row r="817">
      <c r="A817" s="261"/>
    </row>
    <row r="818">
      <c r="A818" s="261"/>
    </row>
    <row r="819">
      <c r="A819" s="261"/>
    </row>
    <row r="820">
      <c r="A820" s="261"/>
    </row>
    <row r="821">
      <c r="A821" s="261"/>
    </row>
    <row r="822">
      <c r="A822" s="261"/>
    </row>
    <row r="823">
      <c r="A823" s="261"/>
    </row>
    <row r="824">
      <c r="A824" s="261"/>
    </row>
    <row r="825">
      <c r="A825" s="261"/>
    </row>
    <row r="826">
      <c r="A826" s="261"/>
    </row>
    <row r="827">
      <c r="A827" s="261"/>
    </row>
    <row r="828">
      <c r="A828" s="261"/>
    </row>
    <row r="829">
      <c r="A829" s="261"/>
    </row>
    <row r="830">
      <c r="A830" s="261"/>
    </row>
    <row r="831">
      <c r="A831" s="261"/>
    </row>
    <row r="832">
      <c r="A832" s="261"/>
    </row>
    <row r="833">
      <c r="A833" s="261"/>
    </row>
    <row r="834">
      <c r="A834" s="261"/>
    </row>
    <row r="835">
      <c r="A835" s="261"/>
    </row>
    <row r="836">
      <c r="A836" s="261"/>
    </row>
    <row r="837">
      <c r="A837" s="261"/>
    </row>
    <row r="838">
      <c r="A838" s="261"/>
    </row>
    <row r="839">
      <c r="A839" s="261"/>
    </row>
    <row r="840">
      <c r="A840" s="261"/>
    </row>
    <row r="841">
      <c r="A841" s="261"/>
    </row>
    <row r="842">
      <c r="A842" s="261"/>
    </row>
    <row r="843">
      <c r="A843" s="261"/>
    </row>
    <row r="844">
      <c r="A844" s="261"/>
    </row>
    <row r="845">
      <c r="A845" s="261"/>
    </row>
    <row r="846">
      <c r="A846" s="261"/>
    </row>
    <row r="847">
      <c r="A847" s="261"/>
    </row>
    <row r="848">
      <c r="A848" s="261"/>
    </row>
    <row r="849">
      <c r="A849" s="261"/>
    </row>
    <row r="850">
      <c r="A850" s="261"/>
    </row>
    <row r="851">
      <c r="A851" s="261"/>
    </row>
    <row r="852">
      <c r="A852" s="261"/>
    </row>
    <row r="853">
      <c r="A853" s="261"/>
    </row>
    <row r="854">
      <c r="A854" s="261"/>
    </row>
    <row r="855">
      <c r="A855" s="261"/>
    </row>
    <row r="856">
      <c r="A856" s="261"/>
    </row>
    <row r="857">
      <c r="A857" s="261"/>
    </row>
    <row r="858">
      <c r="A858" s="261"/>
    </row>
    <row r="859">
      <c r="A859" s="261"/>
    </row>
    <row r="860">
      <c r="A860" s="261"/>
    </row>
    <row r="861">
      <c r="A861" s="261"/>
    </row>
    <row r="862">
      <c r="A862" s="261"/>
    </row>
    <row r="863">
      <c r="A863" s="261"/>
    </row>
    <row r="864">
      <c r="A864" s="261"/>
    </row>
    <row r="865">
      <c r="A865" s="261"/>
    </row>
    <row r="866">
      <c r="A866" s="261"/>
    </row>
    <row r="867">
      <c r="A867" s="261"/>
    </row>
    <row r="868">
      <c r="A868" s="261"/>
    </row>
    <row r="869">
      <c r="A869" s="261"/>
    </row>
    <row r="870">
      <c r="A870" s="261"/>
    </row>
    <row r="871">
      <c r="A871" s="261"/>
    </row>
    <row r="872">
      <c r="A872" s="261"/>
    </row>
    <row r="873">
      <c r="A873" s="261"/>
    </row>
    <row r="874">
      <c r="A874" s="261"/>
    </row>
    <row r="875">
      <c r="A875" s="261"/>
    </row>
    <row r="876">
      <c r="A876" s="261"/>
    </row>
    <row r="877">
      <c r="A877" s="261"/>
    </row>
    <row r="878">
      <c r="A878" s="261"/>
    </row>
    <row r="879">
      <c r="A879" s="261"/>
    </row>
    <row r="880">
      <c r="A880" s="261"/>
    </row>
    <row r="881">
      <c r="A881" s="261"/>
    </row>
    <row r="882">
      <c r="A882" s="261"/>
    </row>
    <row r="883">
      <c r="A883" s="261"/>
    </row>
    <row r="884">
      <c r="A884" s="261"/>
    </row>
    <row r="885">
      <c r="A885" s="261"/>
    </row>
    <row r="886">
      <c r="A886" s="261"/>
    </row>
    <row r="887">
      <c r="A887" s="261"/>
    </row>
    <row r="888">
      <c r="A888" s="261"/>
    </row>
    <row r="889">
      <c r="A889" s="261"/>
    </row>
    <row r="890">
      <c r="A890" s="261"/>
    </row>
    <row r="891">
      <c r="A891" s="261"/>
    </row>
    <row r="892">
      <c r="A892" s="261"/>
    </row>
    <row r="893">
      <c r="A893" s="261"/>
    </row>
    <row r="894">
      <c r="A894" s="261"/>
    </row>
    <row r="895">
      <c r="A895" s="261"/>
    </row>
    <row r="896">
      <c r="A896" s="261"/>
    </row>
    <row r="897">
      <c r="A897" s="261"/>
    </row>
    <row r="898">
      <c r="A898" s="261"/>
    </row>
    <row r="899">
      <c r="A899" s="261"/>
    </row>
    <row r="900">
      <c r="A900" s="261"/>
    </row>
    <row r="901">
      <c r="A901" s="261"/>
    </row>
    <row r="902">
      <c r="A902" s="261"/>
    </row>
    <row r="903">
      <c r="A903" s="261"/>
    </row>
    <row r="904">
      <c r="A904" s="261"/>
    </row>
    <row r="905">
      <c r="A905" s="261"/>
    </row>
    <row r="906">
      <c r="A906" s="261"/>
    </row>
    <row r="907">
      <c r="A907" s="261"/>
    </row>
    <row r="908">
      <c r="A908" s="261"/>
    </row>
    <row r="909">
      <c r="A909" s="261"/>
    </row>
    <row r="910">
      <c r="A910" s="261"/>
    </row>
    <row r="911">
      <c r="A911" s="261"/>
    </row>
    <row r="912">
      <c r="A912" s="261"/>
    </row>
    <row r="913">
      <c r="A913" s="261"/>
    </row>
    <row r="914">
      <c r="A914" s="261"/>
    </row>
    <row r="915">
      <c r="A915" s="261"/>
    </row>
    <row r="916">
      <c r="A916" s="261"/>
    </row>
    <row r="917">
      <c r="A917" s="261"/>
    </row>
    <row r="918">
      <c r="A918" s="261"/>
    </row>
    <row r="919">
      <c r="A919" s="261"/>
    </row>
    <row r="920">
      <c r="A920" s="261"/>
    </row>
    <row r="921">
      <c r="A921" s="261"/>
    </row>
    <row r="922">
      <c r="A922" s="261"/>
    </row>
    <row r="923">
      <c r="A923" s="261"/>
    </row>
    <row r="924">
      <c r="A924" s="261"/>
    </row>
    <row r="925">
      <c r="A925" s="261"/>
    </row>
    <row r="926">
      <c r="A926" s="261"/>
    </row>
    <row r="927">
      <c r="A927" s="261"/>
    </row>
    <row r="928">
      <c r="A928" s="261"/>
    </row>
    <row r="929">
      <c r="A929" s="261"/>
    </row>
    <row r="930">
      <c r="A930" s="261"/>
    </row>
    <row r="931">
      <c r="A931" s="261"/>
    </row>
    <row r="932">
      <c r="A932" s="261"/>
    </row>
    <row r="933">
      <c r="A933" s="261"/>
    </row>
    <row r="934">
      <c r="A934" s="261"/>
    </row>
    <row r="935">
      <c r="A935" s="261"/>
    </row>
    <row r="936">
      <c r="A936" s="261"/>
    </row>
    <row r="937">
      <c r="A937" s="261"/>
    </row>
    <row r="938">
      <c r="A938" s="261"/>
    </row>
    <row r="939">
      <c r="A939" s="261"/>
    </row>
    <row r="940">
      <c r="A940" s="261"/>
    </row>
    <row r="941">
      <c r="A941" s="261"/>
    </row>
    <row r="942">
      <c r="A942" s="261"/>
    </row>
    <row r="943">
      <c r="A943" s="261"/>
    </row>
    <row r="944">
      <c r="A944" s="261"/>
    </row>
    <row r="945">
      <c r="A945" s="261"/>
    </row>
    <row r="946">
      <c r="A946" s="261"/>
    </row>
    <row r="947">
      <c r="A947" s="261"/>
    </row>
    <row r="948">
      <c r="A948" s="261"/>
    </row>
    <row r="949">
      <c r="A949" s="261"/>
    </row>
    <row r="950">
      <c r="A950" s="261"/>
    </row>
    <row r="951">
      <c r="A951" s="261"/>
    </row>
    <row r="952">
      <c r="A952" s="261"/>
    </row>
    <row r="953">
      <c r="A953" s="261"/>
    </row>
    <row r="954">
      <c r="A954" s="261"/>
    </row>
    <row r="955">
      <c r="A955" s="261"/>
    </row>
    <row r="956">
      <c r="A956" s="261"/>
    </row>
    <row r="957">
      <c r="A957" s="261"/>
    </row>
    <row r="958">
      <c r="A958" s="261"/>
    </row>
    <row r="959">
      <c r="A959" s="261"/>
    </row>
    <row r="960">
      <c r="A960" s="261"/>
    </row>
    <row r="961">
      <c r="A961" s="261"/>
    </row>
    <row r="962">
      <c r="A962" s="261"/>
    </row>
    <row r="963">
      <c r="A963" s="261"/>
    </row>
    <row r="964">
      <c r="A964" s="261"/>
    </row>
    <row r="965">
      <c r="A965" s="261"/>
    </row>
    <row r="966">
      <c r="A966" s="261"/>
    </row>
    <row r="967">
      <c r="A967" s="261"/>
    </row>
    <row r="968">
      <c r="A968" s="261"/>
    </row>
    <row r="969">
      <c r="A969" s="261"/>
    </row>
    <row r="970">
      <c r="A970" s="261"/>
    </row>
    <row r="971">
      <c r="A971" s="261"/>
    </row>
    <row r="972">
      <c r="A972" s="261"/>
    </row>
    <row r="973">
      <c r="A973" s="261"/>
    </row>
    <row r="974">
      <c r="A974" s="261"/>
    </row>
    <row r="975">
      <c r="A975" s="261"/>
    </row>
    <row r="976">
      <c r="A976" s="261"/>
    </row>
    <row r="977">
      <c r="A977" s="261"/>
    </row>
    <row r="978">
      <c r="A978" s="261"/>
    </row>
    <row r="979">
      <c r="A979" s="261"/>
    </row>
    <row r="980">
      <c r="A980" s="261"/>
    </row>
    <row r="981">
      <c r="A981" s="261"/>
    </row>
    <row r="982">
      <c r="A982" s="261"/>
    </row>
    <row r="983">
      <c r="A983" s="261"/>
    </row>
    <row r="984">
      <c r="A984" s="261"/>
    </row>
    <row r="985">
      <c r="A985" s="261"/>
    </row>
    <row r="986">
      <c r="A986" s="261"/>
    </row>
    <row r="987">
      <c r="A987" s="261"/>
    </row>
    <row r="988">
      <c r="A988" s="261"/>
    </row>
    <row r="989">
      <c r="A989" s="261"/>
    </row>
    <row r="990">
      <c r="A990" s="261"/>
    </row>
    <row r="991">
      <c r="A991" s="261"/>
    </row>
    <row r="992">
      <c r="A992" s="261"/>
    </row>
    <row r="993">
      <c r="A993" s="261"/>
    </row>
    <row r="994">
      <c r="A994" s="261"/>
    </row>
    <row r="995">
      <c r="A995" s="261"/>
    </row>
    <row r="996">
      <c r="A996" s="261"/>
    </row>
    <row r="997">
      <c r="A997" s="261"/>
    </row>
    <row r="998">
      <c r="A998" s="261"/>
    </row>
    <row r="999">
      <c r="A999" s="261"/>
    </row>
    <row r="1000">
      <c r="A1000" s="261"/>
    </row>
  </sheetData>
  <mergeCells count="9">
    <mergeCell ref="A33:P33"/>
    <mergeCell ref="A34:B34"/>
    <mergeCell ref="A1:P1"/>
    <mergeCell ref="A2:P2"/>
    <mergeCell ref="A3:B3"/>
    <mergeCell ref="A17:P17"/>
    <mergeCell ref="A18:P18"/>
    <mergeCell ref="A19:B19"/>
    <mergeCell ref="A32:P32"/>
  </mergeCells>
  <dataValidations>
    <dataValidation type="list" allowBlank="1" showErrorMessage="1" sqref="C4:C11 C20:C27 C35:C42">
      <formula1>"Ama/UBS Jardim Capela,UBS Jardim Comercial,UBS Cidade Ipava,UBS Jardim Paranapanema,UBS Parque Novo Santo Amaro,UBS Jardim Eledy,UBS Jardim Valquiria"</formula1>
    </dataValidation>
    <dataValidation type="list" allowBlank="1" showErrorMessage="1" sqref="D4:D11 D20:D27 D35:D42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Marin"</formula1>
    </dataValidation>
    <dataValidation type="list" allowBlank="1" showErrorMessage="1" sqref="J4:J11 J20:J27 J35:J42">
      <formula1>"Atendido,Não atendindo"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3.75"/>
    <col customWidth="1" min="3" max="3" width="12.88"/>
    <col customWidth="1" min="4" max="4" width="8.25"/>
    <col customWidth="1" min="5" max="5" width="16.0"/>
    <col customWidth="1" min="6" max="6" width="19.88"/>
    <col customWidth="1" min="7" max="7" width="38.25"/>
    <col customWidth="1" min="8" max="8" width="16.38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63" t="s">
        <v>379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32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73" t="s">
        <v>380</v>
      </c>
      <c r="C4" s="74" t="s">
        <v>381</v>
      </c>
      <c r="D4" s="75">
        <v>0.5416666666666666</v>
      </c>
      <c r="E4" s="245" t="s">
        <v>382</v>
      </c>
      <c r="F4" s="162">
        <v>8.01440427929062E14</v>
      </c>
      <c r="G4" s="265" t="s">
        <v>383</v>
      </c>
      <c r="H4" s="163">
        <v>25657.0</v>
      </c>
      <c r="I4" s="41" t="s">
        <v>183</v>
      </c>
      <c r="J4" s="102" t="s">
        <v>384</v>
      </c>
      <c r="K4" s="102" t="s">
        <v>385</v>
      </c>
      <c r="L4" s="266" t="s">
        <v>386</v>
      </c>
      <c r="M4" s="267"/>
      <c r="N4" s="268" t="s">
        <v>387</v>
      </c>
      <c r="O4" s="100"/>
      <c r="P4" s="100"/>
      <c r="Q4" s="100"/>
      <c r="R4" s="67"/>
    </row>
    <row r="5">
      <c r="A5" s="12" t="s">
        <v>11</v>
      </c>
      <c r="B5" s="73"/>
      <c r="C5" s="74" t="s">
        <v>381</v>
      </c>
      <c r="D5" s="75">
        <v>0.5555555555555556</v>
      </c>
      <c r="E5" s="242"/>
      <c r="F5" s="185"/>
      <c r="G5" s="269"/>
      <c r="H5" s="77"/>
      <c r="I5" s="41" t="s">
        <v>181</v>
      </c>
      <c r="J5" s="42"/>
      <c r="K5" s="42"/>
      <c r="M5" s="267"/>
      <c r="N5" s="270" t="s">
        <v>388</v>
      </c>
      <c r="O5" s="2"/>
      <c r="P5" s="2"/>
      <c r="Q5" s="2"/>
      <c r="R5" s="67"/>
    </row>
    <row r="6">
      <c r="A6" s="12" t="s">
        <v>12</v>
      </c>
      <c r="B6" s="73" t="s">
        <v>389</v>
      </c>
      <c r="C6" s="74" t="s">
        <v>381</v>
      </c>
      <c r="D6" s="75">
        <v>0.5694444444444444</v>
      </c>
      <c r="E6" s="245" t="s">
        <v>390</v>
      </c>
      <c r="F6" s="162">
        <v>8.01440444337607E14</v>
      </c>
      <c r="G6" s="161" t="s">
        <v>391</v>
      </c>
      <c r="H6" s="163">
        <v>21808.0</v>
      </c>
      <c r="I6" s="41" t="s">
        <v>183</v>
      </c>
      <c r="J6" s="102" t="s">
        <v>392</v>
      </c>
      <c r="K6" s="102" t="s">
        <v>393</v>
      </c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67"/>
    </row>
    <row r="7">
      <c r="A7" s="12" t="s">
        <v>13</v>
      </c>
      <c r="B7" s="73" t="s">
        <v>395</v>
      </c>
      <c r="C7" s="74" t="s">
        <v>381</v>
      </c>
      <c r="D7" s="75">
        <v>0.5833333333333334</v>
      </c>
      <c r="E7" s="274" t="s">
        <v>396</v>
      </c>
      <c r="F7" s="210">
        <v>7.0260722026914E14</v>
      </c>
      <c r="G7" s="161" t="s">
        <v>397</v>
      </c>
      <c r="H7" s="83">
        <v>22168.0</v>
      </c>
      <c r="I7" s="41" t="s">
        <v>183</v>
      </c>
      <c r="J7" s="102" t="s">
        <v>398</v>
      </c>
      <c r="K7" s="102"/>
      <c r="M7" s="67"/>
      <c r="N7" s="275">
        <f t="shared" ref="N7:Q7" si="1">COUNTIFS($I$4:$I$15, N6)</f>
        <v>10</v>
      </c>
      <c r="O7" s="276">
        <f t="shared" si="1"/>
        <v>1</v>
      </c>
      <c r="P7" s="276">
        <f t="shared" si="1"/>
        <v>1</v>
      </c>
      <c r="Q7" s="277">
        <f t="shared" si="1"/>
        <v>0</v>
      </c>
      <c r="R7" s="67"/>
    </row>
    <row r="8">
      <c r="A8" s="12" t="s">
        <v>14</v>
      </c>
      <c r="B8" s="73" t="s">
        <v>399</v>
      </c>
      <c r="C8" s="74" t="s">
        <v>381</v>
      </c>
      <c r="D8" s="75">
        <v>0.5972222222222222</v>
      </c>
      <c r="E8" s="278" t="s">
        <v>400</v>
      </c>
      <c r="F8" s="156">
        <v>2.01154325520007E14</v>
      </c>
      <c r="G8" s="187" t="s">
        <v>401</v>
      </c>
      <c r="H8" s="77">
        <v>15752.0</v>
      </c>
      <c r="I8" s="41" t="s">
        <v>183</v>
      </c>
      <c r="J8" s="42" t="s">
        <v>402</v>
      </c>
      <c r="K8" s="42"/>
      <c r="L8" s="216" t="s">
        <v>403</v>
      </c>
      <c r="M8" s="67"/>
      <c r="N8" s="67"/>
      <c r="O8" s="67"/>
      <c r="P8" s="67"/>
      <c r="Q8" s="67"/>
      <c r="R8" s="67"/>
    </row>
    <row r="9">
      <c r="A9" s="12" t="s">
        <v>15</v>
      </c>
      <c r="B9" s="73" t="s">
        <v>389</v>
      </c>
      <c r="C9" s="74" t="s">
        <v>381</v>
      </c>
      <c r="D9" s="75">
        <v>0.6111111111111112</v>
      </c>
      <c r="E9" s="245" t="s">
        <v>404</v>
      </c>
      <c r="F9" s="162">
        <v>7.00603950632769E14</v>
      </c>
      <c r="G9" s="265" t="s">
        <v>405</v>
      </c>
      <c r="H9" s="163">
        <v>21263.0</v>
      </c>
      <c r="I9" s="41" t="s">
        <v>195</v>
      </c>
      <c r="J9" s="42" t="s">
        <v>406</v>
      </c>
      <c r="K9" s="42" t="s">
        <v>406</v>
      </c>
      <c r="L9" s="216" t="s">
        <v>394</v>
      </c>
      <c r="R9" s="67"/>
    </row>
    <row r="10">
      <c r="A10" s="12" t="s">
        <v>16</v>
      </c>
      <c r="B10" s="73" t="s">
        <v>389</v>
      </c>
      <c r="C10" s="74" t="s">
        <v>381</v>
      </c>
      <c r="D10" s="75">
        <v>0.625</v>
      </c>
      <c r="E10" s="242" t="s">
        <v>407</v>
      </c>
      <c r="F10" s="185">
        <v>7.00004199047608E14</v>
      </c>
      <c r="G10" s="269" t="s">
        <v>408</v>
      </c>
      <c r="H10" s="77">
        <v>39625.0</v>
      </c>
      <c r="I10" s="41" t="s">
        <v>183</v>
      </c>
      <c r="J10" s="102" t="s">
        <v>409</v>
      </c>
      <c r="K10" s="102" t="s">
        <v>410</v>
      </c>
      <c r="L10" s="216" t="s">
        <v>394</v>
      </c>
      <c r="R10" s="67"/>
    </row>
    <row r="11">
      <c r="A11" s="12" t="s">
        <v>17</v>
      </c>
      <c r="B11" s="73" t="s">
        <v>389</v>
      </c>
      <c r="C11" s="74" t="s">
        <v>381</v>
      </c>
      <c r="D11" s="75">
        <v>0.6388888888888888</v>
      </c>
      <c r="E11" s="245" t="s">
        <v>411</v>
      </c>
      <c r="F11" s="162">
        <v>2.03923706670002E14</v>
      </c>
      <c r="G11" s="161" t="s">
        <v>412</v>
      </c>
      <c r="H11" s="163">
        <v>20672.0</v>
      </c>
      <c r="I11" s="41" t="s">
        <v>183</v>
      </c>
      <c r="J11" s="42" t="s">
        <v>413</v>
      </c>
      <c r="K11" s="42" t="s">
        <v>414</v>
      </c>
      <c r="L11" s="216" t="s">
        <v>394</v>
      </c>
      <c r="R11" s="67"/>
    </row>
    <row r="12">
      <c r="A12" s="12" t="s">
        <v>85</v>
      </c>
      <c r="B12" s="73" t="s">
        <v>389</v>
      </c>
      <c r="C12" s="74" t="s">
        <v>381</v>
      </c>
      <c r="D12" s="75">
        <v>0.6527777777777778</v>
      </c>
      <c r="E12" s="245" t="s">
        <v>415</v>
      </c>
      <c r="F12" s="162">
        <v>2.03923309830003E14</v>
      </c>
      <c r="G12" s="265" t="s">
        <v>416</v>
      </c>
      <c r="H12" s="163">
        <v>26446.0</v>
      </c>
      <c r="I12" s="41" t="s">
        <v>183</v>
      </c>
      <c r="J12" s="42" t="s">
        <v>417</v>
      </c>
      <c r="K12" s="42"/>
      <c r="L12" s="216" t="s">
        <v>394</v>
      </c>
      <c r="R12" s="67"/>
    </row>
    <row r="13">
      <c r="A13" s="12" t="s">
        <v>87</v>
      </c>
      <c r="B13" s="73" t="s">
        <v>389</v>
      </c>
      <c r="C13" s="74" t="s">
        <v>381</v>
      </c>
      <c r="D13" s="75">
        <v>0.6666666666666666</v>
      </c>
      <c r="E13" s="242" t="s">
        <v>418</v>
      </c>
      <c r="F13" s="185">
        <v>1.25009411500007E14</v>
      </c>
      <c r="G13" s="279" t="s">
        <v>419</v>
      </c>
      <c r="H13" s="77">
        <v>22799.0</v>
      </c>
      <c r="I13" s="41" t="s">
        <v>183</v>
      </c>
      <c r="J13" s="42" t="s">
        <v>420</v>
      </c>
      <c r="K13" s="42" t="s">
        <v>421</v>
      </c>
      <c r="L13" s="216" t="s">
        <v>394</v>
      </c>
      <c r="R13" s="67"/>
    </row>
    <row r="14">
      <c r="A14" s="12" t="s">
        <v>90</v>
      </c>
      <c r="B14" s="73" t="s">
        <v>389</v>
      </c>
      <c r="C14" s="74" t="s">
        <v>381</v>
      </c>
      <c r="D14" s="75">
        <v>0.6805555555555556</v>
      </c>
      <c r="E14" s="245" t="s">
        <v>422</v>
      </c>
      <c r="F14" s="162">
        <v>2.07002284320007E14</v>
      </c>
      <c r="G14" s="161" t="s">
        <v>423</v>
      </c>
      <c r="H14" s="163">
        <v>27015.0</v>
      </c>
      <c r="I14" s="41" t="s">
        <v>183</v>
      </c>
      <c r="J14" s="42" t="s">
        <v>424</v>
      </c>
      <c r="K14" s="42"/>
      <c r="L14" s="216" t="s">
        <v>394</v>
      </c>
      <c r="R14" s="67"/>
    </row>
    <row r="15">
      <c r="A15" s="12" t="s">
        <v>93</v>
      </c>
      <c r="B15" s="73" t="s">
        <v>389</v>
      </c>
      <c r="C15" s="74" t="s">
        <v>381</v>
      </c>
      <c r="D15" s="75">
        <v>0.6944444444444444</v>
      </c>
      <c r="E15" s="242" t="s">
        <v>425</v>
      </c>
      <c r="F15" s="185">
        <v>8.01440401073535E14</v>
      </c>
      <c r="G15" s="279" t="s">
        <v>426</v>
      </c>
      <c r="H15" s="77">
        <v>19316.0</v>
      </c>
      <c r="I15" s="41" t="s">
        <v>183</v>
      </c>
      <c r="J15" s="194"/>
      <c r="K15" s="194"/>
      <c r="L15" s="216" t="s">
        <v>394</v>
      </c>
      <c r="R15" s="67"/>
    </row>
    <row r="16">
      <c r="R16" s="67"/>
    </row>
    <row r="17">
      <c r="R17" s="67"/>
    </row>
    <row r="18">
      <c r="A18" s="23" t="s">
        <v>427</v>
      </c>
      <c r="B18" s="2"/>
      <c r="C18" s="2"/>
      <c r="D18" s="2"/>
      <c r="E18" s="2"/>
      <c r="F18" s="2"/>
      <c r="G18" s="2"/>
      <c r="H18" s="2"/>
      <c r="I18" s="2"/>
      <c r="J18" s="2"/>
      <c r="K18" s="3"/>
      <c r="R18" s="67"/>
    </row>
    <row r="19">
      <c r="A19" s="263" t="s">
        <v>428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5"/>
      <c r="B20" s="26" t="s">
        <v>3</v>
      </c>
      <c r="C20" s="27" t="s">
        <v>2</v>
      </c>
      <c r="D20" s="28" t="s">
        <v>5</v>
      </c>
      <c r="E20" s="32" t="s">
        <v>19</v>
      </c>
      <c r="F20" s="28" t="s">
        <v>6</v>
      </c>
      <c r="G20" s="28" t="s">
        <v>7</v>
      </c>
      <c r="H20" s="30" t="s">
        <v>8</v>
      </c>
      <c r="I20" s="31" t="s">
        <v>20</v>
      </c>
      <c r="J20" s="32" t="s">
        <v>21</v>
      </c>
      <c r="K20" s="32" t="s">
        <v>22</v>
      </c>
      <c r="R20" s="67"/>
    </row>
    <row r="21">
      <c r="A21" s="12" t="s">
        <v>10</v>
      </c>
      <c r="B21" s="74" t="s">
        <v>429</v>
      </c>
      <c r="C21" s="74" t="s">
        <v>430</v>
      </c>
      <c r="D21" s="75">
        <v>0.5416666666666666</v>
      </c>
      <c r="E21" s="280" t="s">
        <v>431</v>
      </c>
      <c r="F21" s="80">
        <v>8.01440495060203E14</v>
      </c>
      <c r="G21" s="281" t="s">
        <v>432</v>
      </c>
      <c r="H21" s="82">
        <v>33039.0</v>
      </c>
      <c r="I21" s="41" t="s">
        <v>183</v>
      </c>
      <c r="J21" s="102"/>
      <c r="K21" s="102"/>
      <c r="N21" s="268" t="s">
        <v>387</v>
      </c>
      <c r="O21" s="100"/>
      <c r="P21" s="100"/>
      <c r="Q21" s="100"/>
      <c r="R21" s="67"/>
    </row>
    <row r="22">
      <c r="A22" s="12" t="s">
        <v>11</v>
      </c>
      <c r="B22" s="74" t="s">
        <v>433</v>
      </c>
      <c r="C22" s="74" t="s">
        <v>430</v>
      </c>
      <c r="D22" s="75">
        <v>0.5555555555555556</v>
      </c>
      <c r="E22" s="282" t="s">
        <v>434</v>
      </c>
      <c r="F22" s="283">
        <v>1.06508855190009E14</v>
      </c>
      <c r="G22" s="284" t="s">
        <v>435</v>
      </c>
      <c r="H22" s="285">
        <v>17970.0</v>
      </c>
      <c r="I22" s="41" t="s">
        <v>183</v>
      </c>
      <c r="J22" s="42"/>
      <c r="K22" s="42"/>
      <c r="N22" s="270" t="s">
        <v>436</v>
      </c>
      <c r="O22" s="2"/>
      <c r="P22" s="2"/>
      <c r="Q22" s="2"/>
      <c r="R22" s="67"/>
    </row>
    <row r="23">
      <c r="A23" s="12" t="s">
        <v>12</v>
      </c>
      <c r="B23" s="286" t="s">
        <v>429</v>
      </c>
      <c r="C23" s="74" t="s">
        <v>430</v>
      </c>
      <c r="D23" s="75">
        <v>0.5694444444444444</v>
      </c>
      <c r="E23" s="287" t="s">
        <v>437</v>
      </c>
      <c r="F23" s="288">
        <v>2.04302288260001E14</v>
      </c>
      <c r="G23" s="74" t="s">
        <v>438</v>
      </c>
      <c r="H23" s="170">
        <v>19846.0</v>
      </c>
      <c r="I23" s="41" t="s">
        <v>183</v>
      </c>
      <c r="J23" s="102"/>
      <c r="K23" s="102"/>
      <c r="N23" s="271" t="s">
        <v>183</v>
      </c>
      <c r="O23" s="272" t="s">
        <v>195</v>
      </c>
      <c r="P23" s="272" t="s">
        <v>181</v>
      </c>
      <c r="Q23" s="273" t="s">
        <v>173</v>
      </c>
      <c r="R23" s="286" t="s">
        <v>439</v>
      </c>
    </row>
    <row r="24">
      <c r="A24" s="12" t="s">
        <v>13</v>
      </c>
      <c r="B24" s="74" t="s">
        <v>433</v>
      </c>
      <c r="C24" s="74" t="s">
        <v>430</v>
      </c>
      <c r="D24" s="75">
        <v>0.5833333333333334</v>
      </c>
      <c r="E24" s="289" t="s">
        <v>440</v>
      </c>
      <c r="F24" s="76">
        <v>2.04296387060005E14</v>
      </c>
      <c r="G24" s="290" t="s">
        <v>441</v>
      </c>
      <c r="H24" s="291">
        <v>20781.0</v>
      </c>
      <c r="I24" s="41" t="s">
        <v>183</v>
      </c>
      <c r="J24" s="102"/>
      <c r="K24" s="102"/>
      <c r="L24" s="216" t="s">
        <v>442</v>
      </c>
      <c r="N24" s="275">
        <f>COUNTIFS(I$21:I$32,N23)</f>
        <v>9</v>
      </c>
      <c r="O24" s="275">
        <f t="shared" ref="O24:R24" si="2">COUNTIFS($I$21:$I$32,O23)</f>
        <v>0</v>
      </c>
      <c r="P24" s="275">
        <f t="shared" si="2"/>
        <v>0</v>
      </c>
      <c r="Q24" s="275">
        <f t="shared" si="2"/>
        <v>0</v>
      </c>
      <c r="R24" s="67">
        <f t="shared" si="2"/>
        <v>3</v>
      </c>
    </row>
    <row r="25">
      <c r="A25" s="12" t="s">
        <v>14</v>
      </c>
      <c r="B25" s="74" t="s">
        <v>443</v>
      </c>
      <c r="C25" s="74" t="s">
        <v>430</v>
      </c>
      <c r="D25" s="75">
        <v>0.5972222222222222</v>
      </c>
      <c r="E25" s="278" t="s">
        <v>444</v>
      </c>
      <c r="F25" s="156">
        <v>7.00501500697559E14</v>
      </c>
      <c r="G25" s="210" t="s">
        <v>445</v>
      </c>
      <c r="H25" s="77">
        <v>32465.0</v>
      </c>
      <c r="I25" s="41" t="s">
        <v>183</v>
      </c>
      <c r="J25" s="42"/>
      <c r="K25" s="42"/>
      <c r="L25" s="216" t="s">
        <v>442</v>
      </c>
      <c r="R25" s="67"/>
    </row>
    <row r="26">
      <c r="A26" s="12" t="s">
        <v>15</v>
      </c>
      <c r="B26" s="74" t="s">
        <v>433</v>
      </c>
      <c r="C26" s="74" t="s">
        <v>430</v>
      </c>
      <c r="D26" s="75">
        <v>0.6111111111111112</v>
      </c>
      <c r="E26" s="292" t="s">
        <v>446</v>
      </c>
      <c r="F26" s="84">
        <v>8.01440406110773E14</v>
      </c>
      <c r="G26" s="84" t="s">
        <v>447</v>
      </c>
      <c r="H26" s="293">
        <v>17381.0</v>
      </c>
      <c r="I26" s="41" t="s">
        <v>183</v>
      </c>
      <c r="J26" s="42"/>
      <c r="K26" s="42"/>
      <c r="L26" s="216" t="s">
        <v>442</v>
      </c>
      <c r="R26" s="67"/>
    </row>
    <row r="27">
      <c r="A27" s="12" t="s">
        <v>16</v>
      </c>
      <c r="B27" s="74" t="s">
        <v>448</v>
      </c>
      <c r="C27" s="74" t="s">
        <v>430</v>
      </c>
      <c r="D27" s="75">
        <v>0.625</v>
      </c>
      <c r="E27" s="241" t="s">
        <v>449</v>
      </c>
      <c r="F27" s="84">
        <v>8.01440407196973E14</v>
      </c>
      <c r="G27" s="84" t="s">
        <v>450</v>
      </c>
      <c r="H27" s="83">
        <v>17546.0</v>
      </c>
      <c r="I27" s="41" t="s">
        <v>183</v>
      </c>
      <c r="J27" s="102"/>
      <c r="K27" s="102"/>
      <c r="L27" s="216" t="s">
        <v>442</v>
      </c>
      <c r="R27" s="67"/>
    </row>
    <row r="28">
      <c r="A28" s="12" t="s">
        <v>17</v>
      </c>
      <c r="B28" s="74" t="s">
        <v>443</v>
      </c>
      <c r="C28" s="74" t="s">
        <v>430</v>
      </c>
      <c r="D28" s="75">
        <v>0.6388888888888888</v>
      </c>
      <c r="E28" s="241" t="s">
        <v>451</v>
      </c>
      <c r="F28" s="84">
        <v>8.01440469458815E14</v>
      </c>
      <c r="G28" s="84" t="s">
        <v>452</v>
      </c>
      <c r="H28" s="83">
        <v>17810.0</v>
      </c>
      <c r="I28" s="41" t="s">
        <v>183</v>
      </c>
      <c r="J28" s="42"/>
      <c r="K28" s="42"/>
      <c r="L28" s="216" t="s">
        <v>442</v>
      </c>
      <c r="R28" s="67"/>
    </row>
    <row r="29">
      <c r="A29" s="12" t="s">
        <v>85</v>
      </c>
      <c r="B29" s="74"/>
      <c r="C29" s="74" t="s">
        <v>430</v>
      </c>
      <c r="D29" s="75">
        <v>0.6527777777777778</v>
      </c>
      <c r="E29" s="278"/>
      <c r="F29" s="156"/>
      <c r="G29" s="181" t="s">
        <v>439</v>
      </c>
      <c r="H29" s="91"/>
      <c r="I29" s="41" t="s">
        <v>439</v>
      </c>
      <c r="J29" s="42"/>
      <c r="K29" s="42"/>
      <c r="R29" s="67"/>
    </row>
    <row r="30">
      <c r="A30" s="12" t="s">
        <v>87</v>
      </c>
      <c r="B30" s="74" t="s">
        <v>448</v>
      </c>
      <c r="C30" s="74" t="s">
        <v>430</v>
      </c>
      <c r="D30" s="75">
        <v>0.6666666666666666</v>
      </c>
      <c r="E30" s="245" t="s">
        <v>453</v>
      </c>
      <c r="F30" s="133">
        <v>1.65497385050007E14</v>
      </c>
      <c r="G30" s="294" t="s">
        <v>454</v>
      </c>
      <c r="H30" s="166">
        <v>16990.0</v>
      </c>
      <c r="I30" s="41" t="s">
        <v>183</v>
      </c>
      <c r="J30" s="42"/>
      <c r="K30" s="42"/>
      <c r="L30" s="216" t="s">
        <v>455</v>
      </c>
      <c r="R30" s="67"/>
    </row>
    <row r="31">
      <c r="A31" s="12" t="s">
        <v>90</v>
      </c>
      <c r="B31" s="73"/>
      <c r="C31" s="74" t="s">
        <v>430</v>
      </c>
      <c r="D31" s="75">
        <v>0.6805555555555556</v>
      </c>
      <c r="E31" s="295"/>
      <c r="G31" s="181" t="s">
        <v>439</v>
      </c>
      <c r="H31" s="166"/>
      <c r="I31" s="41" t="s">
        <v>439</v>
      </c>
      <c r="J31" s="42"/>
      <c r="K31" s="42"/>
      <c r="R31" s="67"/>
    </row>
    <row r="32">
      <c r="A32" s="12" t="s">
        <v>93</v>
      </c>
      <c r="B32" s="73"/>
      <c r="C32" s="74" t="s">
        <v>430</v>
      </c>
      <c r="D32" s="75">
        <v>0.6944444444444444</v>
      </c>
      <c r="E32" s="295"/>
      <c r="F32" s="133"/>
      <c r="G32" s="181" t="s">
        <v>439</v>
      </c>
      <c r="H32" s="166"/>
      <c r="I32" s="41" t="s">
        <v>439</v>
      </c>
      <c r="J32" s="194"/>
      <c r="K32" s="194"/>
      <c r="R32" s="67"/>
    </row>
    <row r="33">
      <c r="R33" s="67"/>
    </row>
    <row r="34">
      <c r="R34" s="67"/>
    </row>
    <row r="35">
      <c r="A35" s="23" t="s">
        <v>456</v>
      </c>
      <c r="B35" s="2"/>
      <c r="C35" s="2"/>
      <c r="D35" s="2"/>
      <c r="E35" s="2"/>
      <c r="F35" s="2"/>
      <c r="G35" s="2"/>
      <c r="H35" s="2"/>
      <c r="I35" s="2"/>
      <c r="J35" s="2"/>
      <c r="K35" s="3"/>
      <c r="R35" s="67"/>
    </row>
    <row r="36">
      <c r="A36" s="263" t="s">
        <v>457</v>
      </c>
      <c r="B36" s="2"/>
      <c r="C36" s="2"/>
      <c r="D36" s="2"/>
      <c r="E36" s="2"/>
      <c r="F36" s="2"/>
      <c r="G36" s="2"/>
      <c r="H36" s="2"/>
      <c r="I36" s="2"/>
      <c r="J36" s="2"/>
      <c r="K36" s="3"/>
      <c r="R36" s="67"/>
    </row>
    <row r="37">
      <c r="A37" s="25"/>
      <c r="B37" s="26" t="s">
        <v>3</v>
      </c>
      <c r="C37" s="27" t="s">
        <v>2</v>
      </c>
      <c r="D37" s="28" t="s">
        <v>5</v>
      </c>
      <c r="E37" s="32" t="s">
        <v>19</v>
      </c>
      <c r="F37" s="28" t="s">
        <v>6</v>
      </c>
      <c r="G37" s="264" t="s">
        <v>7</v>
      </c>
      <c r="H37" s="30" t="s">
        <v>8</v>
      </c>
      <c r="I37" s="31" t="s">
        <v>20</v>
      </c>
      <c r="J37" s="32" t="s">
        <v>21</v>
      </c>
      <c r="K37" s="32" t="s">
        <v>22</v>
      </c>
      <c r="R37" s="67"/>
    </row>
    <row r="38">
      <c r="A38" s="12" t="s">
        <v>10</v>
      </c>
      <c r="B38" s="73"/>
      <c r="C38" s="74" t="s">
        <v>430</v>
      </c>
      <c r="D38" s="75">
        <v>0.3333333333333333</v>
      </c>
      <c r="E38" s="241"/>
      <c r="F38" s="84"/>
      <c r="G38" s="181" t="s">
        <v>439</v>
      </c>
      <c r="H38" s="83"/>
      <c r="I38" s="41" t="s">
        <v>439</v>
      </c>
      <c r="J38" s="102"/>
      <c r="K38" s="102"/>
      <c r="N38" s="268" t="s">
        <v>387</v>
      </c>
      <c r="O38" s="100"/>
      <c r="P38" s="100"/>
      <c r="Q38" s="100"/>
      <c r="R38" s="67"/>
    </row>
    <row r="39">
      <c r="A39" s="12" t="s">
        <v>11</v>
      </c>
      <c r="B39" s="73" t="s">
        <v>458</v>
      </c>
      <c r="C39" s="74" t="s">
        <v>430</v>
      </c>
      <c r="D39" s="75">
        <v>0.3472222222222222</v>
      </c>
      <c r="E39" s="242" t="s">
        <v>459</v>
      </c>
      <c r="F39" s="185">
        <v>7.06409148448885E14</v>
      </c>
      <c r="G39" s="296" t="s">
        <v>460</v>
      </c>
      <c r="H39" s="77">
        <v>17848.0</v>
      </c>
      <c r="I39" s="41" t="s">
        <v>183</v>
      </c>
      <c r="J39" s="42"/>
      <c r="K39" s="42"/>
      <c r="N39" s="270" t="s">
        <v>461</v>
      </c>
      <c r="O39" s="2"/>
      <c r="P39" s="2"/>
      <c r="Q39" s="2"/>
      <c r="R39" s="67"/>
    </row>
    <row r="40">
      <c r="A40" s="12" t="s">
        <v>12</v>
      </c>
      <c r="B40" s="73"/>
      <c r="C40" s="74" t="s">
        <v>430</v>
      </c>
      <c r="D40" s="75">
        <v>0.3611111111111111</v>
      </c>
      <c r="E40" s="241"/>
      <c r="F40" s="84"/>
      <c r="G40" s="79"/>
      <c r="H40" s="83"/>
      <c r="I40" s="41" t="s">
        <v>181</v>
      </c>
      <c r="J40" s="102"/>
      <c r="K40" s="102"/>
      <c r="N40" s="271" t="s">
        <v>183</v>
      </c>
      <c r="O40" s="272" t="s">
        <v>195</v>
      </c>
      <c r="P40" s="272" t="s">
        <v>181</v>
      </c>
      <c r="Q40" s="273" t="s">
        <v>173</v>
      </c>
      <c r="R40" s="286" t="s">
        <v>439</v>
      </c>
    </row>
    <row r="41">
      <c r="A41" s="12" t="s">
        <v>13</v>
      </c>
      <c r="B41" s="73" t="s">
        <v>458</v>
      </c>
      <c r="C41" s="74" t="s">
        <v>430</v>
      </c>
      <c r="D41" s="75">
        <v>0.375</v>
      </c>
      <c r="E41" s="241" t="s">
        <v>462</v>
      </c>
      <c r="F41" s="84">
        <v>8.98001423621702E14</v>
      </c>
      <c r="G41" s="79" t="s">
        <v>463</v>
      </c>
      <c r="H41" s="83">
        <v>19924.0</v>
      </c>
      <c r="I41" s="41" t="s">
        <v>195</v>
      </c>
      <c r="J41" s="102"/>
      <c r="K41" s="102"/>
      <c r="N41" s="275">
        <f t="shared" ref="N41:Q41" si="3">COUNTIFS($I$38:$I$49,N40)</f>
        <v>7</v>
      </c>
      <c r="O41" s="275">
        <f t="shared" si="3"/>
        <v>1</v>
      </c>
      <c r="P41" s="275">
        <f t="shared" si="3"/>
        <v>1</v>
      </c>
      <c r="Q41" s="275">
        <f t="shared" si="3"/>
        <v>0</v>
      </c>
      <c r="R41" s="67">
        <f>COUNTIFS(I38:I49,R40)</f>
        <v>3</v>
      </c>
    </row>
    <row r="42">
      <c r="A42" s="12" t="s">
        <v>14</v>
      </c>
      <c r="B42" s="73" t="s">
        <v>464</v>
      </c>
      <c r="C42" s="74" t="s">
        <v>430</v>
      </c>
      <c r="D42" s="75">
        <v>0.3888888888888889</v>
      </c>
      <c r="E42" s="297" t="s">
        <v>465</v>
      </c>
      <c r="F42" s="156">
        <v>8.01440468370094E14</v>
      </c>
      <c r="G42" s="187" t="s">
        <v>240</v>
      </c>
      <c r="H42" s="77">
        <v>18757.0</v>
      </c>
      <c r="I42" s="41" t="s">
        <v>183</v>
      </c>
      <c r="J42" s="42" t="s">
        <v>466</v>
      </c>
      <c r="K42" s="42"/>
      <c r="R42" s="67"/>
    </row>
    <row r="43">
      <c r="A43" s="12" t="s">
        <v>15</v>
      </c>
      <c r="B43" s="73" t="s">
        <v>467</v>
      </c>
      <c r="C43" s="74" t="s">
        <v>430</v>
      </c>
      <c r="D43" s="75">
        <v>0.4027777777777778</v>
      </c>
      <c r="E43" s="278" t="s">
        <v>468</v>
      </c>
      <c r="F43" s="84">
        <v>7.00500186776357E14</v>
      </c>
      <c r="G43" s="79" t="s">
        <v>469</v>
      </c>
      <c r="H43" s="83" t="s">
        <v>470</v>
      </c>
      <c r="I43" s="41" t="s">
        <v>183</v>
      </c>
      <c r="J43" s="42">
        <v>1.1954311621E10</v>
      </c>
      <c r="K43" s="42"/>
      <c r="R43" s="67"/>
    </row>
    <row r="44">
      <c r="A44" s="12" t="s">
        <v>16</v>
      </c>
      <c r="B44" s="73"/>
      <c r="C44" s="74" t="s">
        <v>430</v>
      </c>
      <c r="D44" s="75">
        <v>0.4166666666666667</v>
      </c>
      <c r="E44" s="242"/>
      <c r="F44" s="76"/>
      <c r="G44" s="181" t="s">
        <v>439</v>
      </c>
      <c r="H44" s="298"/>
      <c r="I44" s="41" t="s">
        <v>439</v>
      </c>
      <c r="J44" s="102"/>
      <c r="K44" s="102"/>
      <c r="R44" s="67"/>
    </row>
    <row r="45">
      <c r="A45" s="12" t="s">
        <v>17</v>
      </c>
      <c r="B45" s="73" t="s">
        <v>287</v>
      </c>
      <c r="C45" s="74" t="s">
        <v>430</v>
      </c>
      <c r="D45" s="75">
        <v>0.4305555555555556</v>
      </c>
      <c r="E45" s="241" t="s">
        <v>471</v>
      </c>
      <c r="F45" s="84">
        <v>7.08403788599967E14</v>
      </c>
      <c r="G45" s="79" t="s">
        <v>472</v>
      </c>
      <c r="H45" s="83">
        <v>16248.0</v>
      </c>
      <c r="I45" s="41" t="s">
        <v>183</v>
      </c>
      <c r="J45" s="42" t="s">
        <v>473</v>
      </c>
      <c r="K45" s="42"/>
      <c r="R45" s="67"/>
    </row>
    <row r="46">
      <c r="A46" s="12" t="s">
        <v>85</v>
      </c>
      <c r="B46" s="73" t="s">
        <v>399</v>
      </c>
      <c r="C46" s="74" t="s">
        <v>430</v>
      </c>
      <c r="D46" s="75">
        <v>0.4444444444444444</v>
      </c>
      <c r="E46" s="278" t="s">
        <v>474</v>
      </c>
      <c r="F46" s="156">
        <v>8.01440403429973E14</v>
      </c>
      <c r="G46" s="79" t="s">
        <v>475</v>
      </c>
      <c r="H46" s="91">
        <v>16115.0</v>
      </c>
      <c r="I46" s="41" t="s">
        <v>183</v>
      </c>
      <c r="J46" s="42" t="s">
        <v>476</v>
      </c>
      <c r="K46" s="42"/>
      <c r="R46" s="67"/>
    </row>
    <row r="47">
      <c r="A47" s="12" t="s">
        <v>87</v>
      </c>
      <c r="B47" s="73" t="s">
        <v>295</v>
      </c>
      <c r="C47" s="74" t="s">
        <v>430</v>
      </c>
      <c r="D47" s="75">
        <v>0.4583333333333333</v>
      </c>
      <c r="E47" s="245" t="s">
        <v>477</v>
      </c>
      <c r="F47" s="162">
        <v>7.01402649558031E14</v>
      </c>
      <c r="G47" s="105" t="s">
        <v>215</v>
      </c>
      <c r="H47" s="166">
        <v>29787.0</v>
      </c>
      <c r="I47" s="41" t="s">
        <v>183</v>
      </c>
      <c r="J47" s="42" t="s">
        <v>216</v>
      </c>
      <c r="K47" s="42"/>
      <c r="R47" s="67"/>
    </row>
    <row r="48">
      <c r="A48" s="12" t="s">
        <v>90</v>
      </c>
      <c r="B48" s="73" t="s">
        <v>464</v>
      </c>
      <c r="C48" s="74" t="s">
        <v>430</v>
      </c>
      <c r="D48" s="75">
        <v>0.4722222222222222</v>
      </c>
      <c r="E48" s="299" t="s">
        <v>478</v>
      </c>
      <c r="F48" s="133">
        <v>1.05623367420001E14</v>
      </c>
      <c r="G48" s="105" t="s">
        <v>242</v>
      </c>
      <c r="H48" s="166">
        <v>18324.0</v>
      </c>
      <c r="I48" s="41" t="s">
        <v>183</v>
      </c>
      <c r="J48" s="42" t="s">
        <v>479</v>
      </c>
      <c r="K48" s="42"/>
      <c r="R48" s="67"/>
    </row>
    <row r="49">
      <c r="A49" s="12" t="s">
        <v>93</v>
      </c>
      <c r="B49" s="73"/>
      <c r="C49" s="74" t="s">
        <v>430</v>
      </c>
      <c r="D49" s="75">
        <v>0.4861111111111111</v>
      </c>
      <c r="E49" s="295"/>
      <c r="F49" s="133"/>
      <c r="G49" s="181" t="s">
        <v>439</v>
      </c>
      <c r="H49" s="166"/>
      <c r="I49" s="41" t="s">
        <v>439</v>
      </c>
      <c r="J49" s="194"/>
      <c r="K49" s="194"/>
      <c r="R49" s="67"/>
    </row>
    <row r="50">
      <c r="E50" s="300"/>
      <c r="R50" s="67"/>
    </row>
    <row r="51">
      <c r="R51" s="67"/>
    </row>
    <row r="52">
      <c r="R52" s="67"/>
    </row>
    <row r="53">
      <c r="A53" s="23" t="s">
        <v>480</v>
      </c>
      <c r="B53" s="2"/>
      <c r="C53" s="2"/>
      <c r="D53" s="2"/>
      <c r="E53" s="2"/>
      <c r="F53" s="2"/>
      <c r="G53" s="2"/>
      <c r="H53" s="2"/>
      <c r="I53" s="2"/>
      <c r="J53" s="2"/>
      <c r="K53" s="3"/>
      <c r="R53" s="67"/>
    </row>
    <row r="54">
      <c r="A54" s="263" t="s">
        <v>481</v>
      </c>
      <c r="B54" s="2"/>
      <c r="C54" s="2"/>
      <c r="D54" s="2"/>
      <c r="E54" s="2"/>
      <c r="F54" s="2"/>
      <c r="G54" s="2"/>
      <c r="H54" s="2"/>
      <c r="I54" s="2"/>
      <c r="J54" s="2"/>
      <c r="K54" s="3"/>
      <c r="R54" s="67"/>
    </row>
    <row r="55">
      <c r="A55" s="25"/>
      <c r="B55" s="26" t="s">
        <v>3</v>
      </c>
      <c r="C55" s="27" t="s">
        <v>2</v>
      </c>
      <c r="D55" s="28" t="s">
        <v>5</v>
      </c>
      <c r="E55" s="32" t="s">
        <v>19</v>
      </c>
      <c r="F55" s="28" t="s">
        <v>6</v>
      </c>
      <c r="G55" s="264" t="s">
        <v>7</v>
      </c>
      <c r="H55" s="30" t="s">
        <v>8</v>
      </c>
      <c r="I55" s="31" t="s">
        <v>20</v>
      </c>
      <c r="J55" s="32" t="s">
        <v>21</v>
      </c>
      <c r="K55" s="32" t="s">
        <v>22</v>
      </c>
      <c r="R55" s="67"/>
    </row>
    <row r="56">
      <c r="A56" s="12" t="s">
        <v>10</v>
      </c>
      <c r="B56" s="74" t="s">
        <v>324</v>
      </c>
      <c r="C56" s="74" t="s">
        <v>482</v>
      </c>
      <c r="D56" s="75">
        <v>0.5416666666666666</v>
      </c>
      <c r="E56" s="246" t="s">
        <v>483</v>
      </c>
      <c r="F56" s="210">
        <v>2.1014642223E14</v>
      </c>
      <c r="G56" s="59" t="s">
        <v>325</v>
      </c>
      <c r="H56" s="211">
        <v>24550.0</v>
      </c>
      <c r="I56" s="41" t="s">
        <v>183</v>
      </c>
      <c r="J56" s="102" t="s">
        <v>484</v>
      </c>
      <c r="K56" s="102"/>
      <c r="N56" s="268" t="s">
        <v>387</v>
      </c>
      <c r="O56" s="100"/>
      <c r="P56" s="100"/>
      <c r="Q56" s="100"/>
      <c r="R56" s="67"/>
    </row>
    <row r="57">
      <c r="A57" s="12" t="s">
        <v>11</v>
      </c>
      <c r="B57" s="228" t="s">
        <v>259</v>
      </c>
      <c r="C57" s="301" t="s">
        <v>482</v>
      </c>
      <c r="D57" s="302">
        <v>0.5555555555555556</v>
      </c>
      <c r="E57" s="303" t="s">
        <v>485</v>
      </c>
      <c r="F57" s="228">
        <v>7.0570248206823E14</v>
      </c>
      <c r="G57" s="304" t="s">
        <v>486</v>
      </c>
      <c r="H57" s="170">
        <v>20830.0</v>
      </c>
      <c r="I57" s="41" t="s">
        <v>183</v>
      </c>
      <c r="J57" s="42" t="s">
        <v>487</v>
      </c>
      <c r="K57" s="42" t="s">
        <v>488</v>
      </c>
      <c r="N57" s="270" t="s">
        <v>489</v>
      </c>
      <c r="O57" s="2"/>
      <c r="P57" s="2"/>
      <c r="Q57" s="2"/>
      <c r="R57" s="67"/>
    </row>
    <row r="58">
      <c r="A58" s="12" t="s">
        <v>12</v>
      </c>
      <c r="B58" s="74" t="s">
        <v>490</v>
      </c>
      <c r="C58" s="74" t="s">
        <v>482</v>
      </c>
      <c r="D58" s="75">
        <v>0.5694444444444444</v>
      </c>
      <c r="E58" s="241" t="s">
        <v>491</v>
      </c>
      <c r="F58" s="84">
        <v>2.04296718350005E14</v>
      </c>
      <c r="G58" s="79" t="s">
        <v>492</v>
      </c>
      <c r="H58" s="83">
        <v>16215.0</v>
      </c>
      <c r="I58" s="41" t="s">
        <v>183</v>
      </c>
      <c r="J58" s="102"/>
      <c r="K58" s="102"/>
      <c r="N58" s="271" t="s">
        <v>183</v>
      </c>
      <c r="O58" s="272" t="s">
        <v>195</v>
      </c>
      <c r="P58" s="272" t="s">
        <v>181</v>
      </c>
      <c r="Q58" s="273" t="s">
        <v>173</v>
      </c>
      <c r="R58" s="67"/>
    </row>
    <row r="59">
      <c r="A59" s="12" t="s">
        <v>13</v>
      </c>
      <c r="B59" s="74" t="s">
        <v>493</v>
      </c>
      <c r="C59" s="74" t="s">
        <v>482</v>
      </c>
      <c r="D59" s="75">
        <v>0.5833333333333334</v>
      </c>
      <c r="E59" s="241" t="s">
        <v>494</v>
      </c>
      <c r="F59" s="84">
        <v>8.01440492054075E14</v>
      </c>
      <c r="G59" s="79" t="s">
        <v>495</v>
      </c>
      <c r="H59" s="83">
        <v>45806.0</v>
      </c>
      <c r="I59" s="41" t="s">
        <v>183</v>
      </c>
      <c r="J59" s="305">
        <v>9.92080483E8</v>
      </c>
      <c r="K59" s="305">
        <v>9.76111075E8</v>
      </c>
      <c r="N59" s="275">
        <f t="shared" ref="N59:Q59" si="4">COUNTIFS($I$56:$I$67,N58)</f>
        <v>11</v>
      </c>
      <c r="O59" s="275">
        <f t="shared" si="4"/>
        <v>0</v>
      </c>
      <c r="P59" s="275">
        <f t="shared" si="4"/>
        <v>1</v>
      </c>
      <c r="Q59" s="275">
        <f t="shared" si="4"/>
        <v>0</v>
      </c>
      <c r="R59" s="67"/>
    </row>
    <row r="60">
      <c r="A60" s="12" t="s">
        <v>14</v>
      </c>
      <c r="B60" s="286" t="s">
        <v>490</v>
      </c>
      <c r="C60" s="74" t="s">
        <v>482</v>
      </c>
      <c r="D60" s="75">
        <v>0.5972222222222222</v>
      </c>
      <c r="E60" s="306" t="s">
        <v>496</v>
      </c>
      <c r="F60" s="138">
        <v>8.014404622457E14</v>
      </c>
      <c r="G60" s="307" t="s">
        <v>497</v>
      </c>
      <c r="H60" s="308">
        <v>19937.0</v>
      </c>
      <c r="I60" s="41" t="s">
        <v>183</v>
      </c>
      <c r="J60" s="136"/>
      <c r="K60" s="136"/>
      <c r="R60" s="67"/>
    </row>
    <row r="61">
      <c r="A61" s="12" t="s">
        <v>15</v>
      </c>
      <c r="B61" s="74" t="s">
        <v>259</v>
      </c>
      <c r="C61" s="74" t="s">
        <v>482</v>
      </c>
      <c r="D61" s="75">
        <v>0.6111111111111112</v>
      </c>
      <c r="E61" s="242" t="s">
        <v>498</v>
      </c>
      <c r="F61" s="185">
        <v>7.06406140617189E14</v>
      </c>
      <c r="G61" s="203" t="s">
        <v>499</v>
      </c>
      <c r="H61" s="77">
        <v>23434.0</v>
      </c>
      <c r="I61" s="41" t="s">
        <v>183</v>
      </c>
      <c r="J61" s="42" t="s">
        <v>500</v>
      </c>
      <c r="K61" s="42" t="s">
        <v>501</v>
      </c>
      <c r="R61" s="67"/>
    </row>
    <row r="62">
      <c r="A62" s="12" t="s">
        <v>16</v>
      </c>
      <c r="B62" s="74" t="s">
        <v>493</v>
      </c>
      <c r="C62" s="74" t="s">
        <v>482</v>
      </c>
      <c r="D62" s="75">
        <v>0.625</v>
      </c>
      <c r="E62" s="241" t="s">
        <v>502</v>
      </c>
      <c r="F62" s="84">
        <v>2.07261255840003E14</v>
      </c>
      <c r="G62" s="79" t="s">
        <v>503</v>
      </c>
      <c r="H62" s="83">
        <v>19140.0</v>
      </c>
      <c r="I62" s="41" t="s">
        <v>183</v>
      </c>
      <c r="J62" s="309" t="s">
        <v>504</v>
      </c>
      <c r="K62" s="305">
        <v>5.8312373E7</v>
      </c>
      <c r="R62" s="67"/>
    </row>
    <row r="63">
      <c r="A63" s="12" t="s">
        <v>17</v>
      </c>
      <c r="B63" s="74"/>
      <c r="C63" s="74" t="s">
        <v>482</v>
      </c>
      <c r="D63" s="75">
        <v>0.6388888888888888</v>
      </c>
      <c r="E63" s="241"/>
      <c r="F63" s="84"/>
      <c r="G63" s="79"/>
      <c r="H63" s="83">
        <v>36383.0</v>
      </c>
      <c r="I63" s="41" t="s">
        <v>181</v>
      </c>
      <c r="J63" s="310"/>
      <c r="K63" s="31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12" t="s">
        <v>85</v>
      </c>
      <c r="B64" s="73" t="s">
        <v>65</v>
      </c>
      <c r="C64" s="74" t="s">
        <v>482</v>
      </c>
      <c r="D64" s="75">
        <v>0.6527777777777778</v>
      </c>
      <c r="E64" s="278" t="s">
        <v>505</v>
      </c>
      <c r="F64" s="156">
        <v>8.0144043559796E14</v>
      </c>
      <c r="G64" s="79" t="s">
        <v>506</v>
      </c>
      <c r="H64" s="91">
        <v>21655.0</v>
      </c>
      <c r="I64" s="41" t="s">
        <v>183</v>
      </c>
      <c r="J64" s="42" t="s">
        <v>507</v>
      </c>
      <c r="K64" s="42"/>
      <c r="R64" s="67"/>
    </row>
    <row r="65">
      <c r="A65" s="12" t="s">
        <v>87</v>
      </c>
      <c r="B65" s="73" t="s">
        <v>65</v>
      </c>
      <c r="C65" s="74" t="s">
        <v>482</v>
      </c>
      <c r="D65" s="75">
        <v>0.6666666666666666</v>
      </c>
      <c r="E65" s="245" t="s">
        <v>508</v>
      </c>
      <c r="F65" s="156">
        <v>8.01440447569312E14</v>
      </c>
      <c r="G65" s="79" t="s">
        <v>509</v>
      </c>
      <c r="H65" s="91">
        <v>26441.0</v>
      </c>
      <c r="I65" s="41" t="s">
        <v>183</v>
      </c>
      <c r="J65" s="42" t="s">
        <v>510</v>
      </c>
      <c r="K65" s="42"/>
      <c r="R65" s="67"/>
    </row>
    <row r="66">
      <c r="A66" s="12" t="s">
        <v>90</v>
      </c>
      <c r="B66" s="73" t="s">
        <v>65</v>
      </c>
      <c r="C66" s="74" t="s">
        <v>482</v>
      </c>
      <c r="D66" s="75">
        <v>0.6805555555555556</v>
      </c>
      <c r="E66" s="295" t="s">
        <v>511</v>
      </c>
      <c r="F66" s="133">
        <v>1.07796167710004E14</v>
      </c>
      <c r="G66" s="79" t="s">
        <v>512</v>
      </c>
      <c r="H66" s="166">
        <v>22300.0</v>
      </c>
      <c r="I66" s="41" t="s">
        <v>183</v>
      </c>
      <c r="J66" s="42" t="s">
        <v>513</v>
      </c>
      <c r="K66" s="42"/>
      <c r="R66" s="67"/>
    </row>
    <row r="67">
      <c r="A67" s="12" t="s">
        <v>93</v>
      </c>
      <c r="B67" s="73" t="s">
        <v>65</v>
      </c>
      <c r="C67" s="74" t="s">
        <v>482</v>
      </c>
      <c r="D67" s="75">
        <v>0.6944444444444444</v>
      </c>
      <c r="E67" s="295" t="s">
        <v>514</v>
      </c>
      <c r="F67" s="133">
        <v>1.26515440530008E14</v>
      </c>
      <c r="G67" s="79" t="s">
        <v>515</v>
      </c>
      <c r="H67" s="166">
        <v>27007.0</v>
      </c>
      <c r="I67" s="41" t="s">
        <v>183</v>
      </c>
      <c r="J67" s="42" t="s">
        <v>516</v>
      </c>
      <c r="K67" s="194"/>
      <c r="R67" s="67"/>
    </row>
    <row r="68">
      <c r="R68" s="67"/>
    </row>
    <row r="69">
      <c r="R69" s="67"/>
    </row>
    <row r="70" ht="15.0" customHeight="1">
      <c r="R70" s="67"/>
    </row>
    <row r="71">
      <c r="A71" s="23" t="s">
        <v>456</v>
      </c>
      <c r="B71" s="2"/>
      <c r="C71" s="2"/>
      <c r="D71" s="2"/>
      <c r="E71" s="2"/>
      <c r="F71" s="2"/>
      <c r="G71" s="2"/>
      <c r="H71" s="2"/>
      <c r="I71" s="2"/>
      <c r="J71" s="2"/>
      <c r="K71" s="3"/>
      <c r="R71" s="67"/>
    </row>
    <row r="72">
      <c r="A72" s="263" t="s">
        <v>517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25"/>
      <c r="B73" s="26" t="s">
        <v>3</v>
      </c>
      <c r="C73" s="27" t="s">
        <v>2</v>
      </c>
      <c r="D73" s="28" t="s">
        <v>5</v>
      </c>
      <c r="E73" s="32" t="s">
        <v>19</v>
      </c>
      <c r="F73" s="28" t="s">
        <v>6</v>
      </c>
      <c r="G73" s="264" t="s">
        <v>7</v>
      </c>
      <c r="H73" s="30" t="s">
        <v>8</v>
      </c>
      <c r="I73" s="31" t="s">
        <v>20</v>
      </c>
      <c r="J73" s="32" t="s">
        <v>21</v>
      </c>
      <c r="K73" s="32" t="s">
        <v>22</v>
      </c>
      <c r="R73" s="67"/>
    </row>
    <row r="74">
      <c r="A74" s="12" t="s">
        <v>10</v>
      </c>
      <c r="B74" s="73" t="s">
        <v>295</v>
      </c>
      <c r="C74" s="74" t="s">
        <v>518</v>
      </c>
      <c r="D74" s="75">
        <v>0.5416666666666666</v>
      </c>
      <c r="E74" s="246" t="s">
        <v>519</v>
      </c>
      <c r="F74" s="133">
        <v>7.08005383684522E14</v>
      </c>
      <c r="G74" s="59" t="s">
        <v>225</v>
      </c>
      <c r="H74" s="211">
        <v>23721.0</v>
      </c>
      <c r="I74" s="41" t="s">
        <v>183</v>
      </c>
      <c r="J74" s="102" t="s">
        <v>226</v>
      </c>
      <c r="K74" s="102" t="s">
        <v>520</v>
      </c>
      <c r="L74" s="216" t="s">
        <v>521</v>
      </c>
      <c r="N74" s="268" t="s">
        <v>387</v>
      </c>
      <c r="O74" s="100"/>
      <c r="P74" s="100"/>
      <c r="Q74" s="100"/>
      <c r="R74" s="67"/>
    </row>
    <row r="75">
      <c r="A75" s="12" t="s">
        <v>11</v>
      </c>
      <c r="B75" s="73"/>
      <c r="C75" s="74" t="s">
        <v>518</v>
      </c>
      <c r="D75" s="75">
        <v>0.5555555555555556</v>
      </c>
      <c r="E75" s="242"/>
      <c r="F75" s="185"/>
      <c r="G75" s="59"/>
      <c r="H75" s="77"/>
      <c r="I75" s="41" t="s">
        <v>181</v>
      </c>
      <c r="J75" s="42"/>
      <c r="K75" s="42"/>
      <c r="N75" s="270" t="s">
        <v>522</v>
      </c>
      <c r="O75" s="2"/>
      <c r="P75" s="2"/>
      <c r="Q75" s="2"/>
      <c r="R75" s="67"/>
    </row>
    <row r="76">
      <c r="A76" s="12" t="s">
        <v>12</v>
      </c>
      <c r="B76" s="73" t="s">
        <v>276</v>
      </c>
      <c r="C76" s="74" t="s">
        <v>518</v>
      </c>
      <c r="D76" s="75">
        <v>0.5694444444444444</v>
      </c>
      <c r="E76" s="242" t="s">
        <v>523</v>
      </c>
      <c r="F76" s="185">
        <v>2.06882325950004E14</v>
      </c>
      <c r="G76" s="216" t="s">
        <v>524</v>
      </c>
      <c r="H76" s="83">
        <v>26670.0</v>
      </c>
      <c r="I76" s="41" t="s">
        <v>183</v>
      </c>
      <c r="J76" s="102">
        <v>1.197029393E10</v>
      </c>
      <c r="K76" s="102"/>
      <c r="L76" s="216" t="s">
        <v>521</v>
      </c>
      <c r="N76" s="271" t="s">
        <v>183</v>
      </c>
      <c r="O76" s="272" t="s">
        <v>195</v>
      </c>
      <c r="P76" s="272" t="s">
        <v>181</v>
      </c>
      <c r="Q76" s="273" t="s">
        <v>173</v>
      </c>
      <c r="R76" s="67"/>
    </row>
    <row r="77">
      <c r="A77" s="12" t="s">
        <v>13</v>
      </c>
      <c r="B77" s="73" t="s">
        <v>276</v>
      </c>
      <c r="C77" s="74" t="s">
        <v>518</v>
      </c>
      <c r="D77" s="75">
        <v>0.5833333333333334</v>
      </c>
      <c r="E77" s="241" t="s">
        <v>525</v>
      </c>
      <c r="F77" s="210">
        <v>7.00505324690058E14</v>
      </c>
      <c r="G77" s="59" t="s">
        <v>526</v>
      </c>
      <c r="H77" s="83">
        <v>20976.0</v>
      </c>
      <c r="I77" s="41" t="s">
        <v>183</v>
      </c>
      <c r="J77" s="102"/>
      <c r="K77" s="102"/>
      <c r="L77" s="216" t="s">
        <v>521</v>
      </c>
      <c r="N77" s="275">
        <f t="shared" ref="N77:Q77" si="5">COUNTIFS($I$74:$I$85,N76)</f>
        <v>10</v>
      </c>
      <c r="O77" s="275">
        <f t="shared" si="5"/>
        <v>0</v>
      </c>
      <c r="P77" s="275">
        <f t="shared" si="5"/>
        <v>2</v>
      </c>
      <c r="Q77" s="275">
        <f t="shared" si="5"/>
        <v>0</v>
      </c>
      <c r="R77" s="67"/>
    </row>
    <row r="78">
      <c r="A78" s="12" t="s">
        <v>14</v>
      </c>
      <c r="B78" s="73" t="s">
        <v>527</v>
      </c>
      <c r="C78" s="74" t="s">
        <v>518</v>
      </c>
      <c r="D78" s="75">
        <v>0.5972222222222222</v>
      </c>
      <c r="E78" s="278" t="s">
        <v>528</v>
      </c>
      <c r="F78" s="156">
        <v>8.01440497015E14</v>
      </c>
      <c r="G78" s="187" t="s">
        <v>529</v>
      </c>
      <c r="H78" s="77">
        <v>18469.0</v>
      </c>
      <c r="I78" s="41" t="s">
        <v>183</v>
      </c>
      <c r="J78" s="42" t="s">
        <v>530</v>
      </c>
      <c r="K78" s="42"/>
      <c r="L78" s="216" t="s">
        <v>521</v>
      </c>
      <c r="R78" s="67"/>
    </row>
    <row r="79">
      <c r="A79" s="12" t="s">
        <v>15</v>
      </c>
      <c r="B79" s="73" t="s">
        <v>65</v>
      </c>
      <c r="C79" s="74" t="s">
        <v>518</v>
      </c>
      <c r="D79" s="75">
        <v>0.6111111111111112</v>
      </c>
      <c r="E79" s="278" t="s">
        <v>531</v>
      </c>
      <c r="F79" s="156">
        <v>8.01440407031079E14</v>
      </c>
      <c r="G79" s="59" t="s">
        <v>532</v>
      </c>
      <c r="H79" s="77">
        <v>23047.0</v>
      </c>
      <c r="I79" s="41" t="s">
        <v>183</v>
      </c>
      <c r="J79" s="42" t="s">
        <v>533</v>
      </c>
      <c r="K79" s="42" t="s">
        <v>534</v>
      </c>
      <c r="L79" s="216" t="s">
        <v>521</v>
      </c>
      <c r="R79" s="67"/>
    </row>
    <row r="80">
      <c r="A80" s="12" t="s">
        <v>16</v>
      </c>
      <c r="B80" s="73" t="s">
        <v>202</v>
      </c>
      <c r="C80" s="74" t="s">
        <v>518</v>
      </c>
      <c r="D80" s="75">
        <v>0.625</v>
      </c>
      <c r="E80" s="295" t="s">
        <v>535</v>
      </c>
      <c r="F80" s="185">
        <v>7.05006856799654E14</v>
      </c>
      <c r="G80" s="79" t="s">
        <v>536</v>
      </c>
      <c r="H80" s="83">
        <v>16436.0</v>
      </c>
      <c r="I80" s="41" t="s">
        <v>183</v>
      </c>
      <c r="J80" s="311" t="s">
        <v>537</v>
      </c>
      <c r="K80" s="311" t="s">
        <v>538</v>
      </c>
      <c r="L80" s="216" t="s">
        <v>521</v>
      </c>
      <c r="R80" s="67"/>
    </row>
    <row r="81">
      <c r="A81" s="12" t="s">
        <v>179</v>
      </c>
      <c r="B81" s="73" t="s">
        <v>399</v>
      </c>
      <c r="C81" s="74" t="s">
        <v>518</v>
      </c>
      <c r="D81" s="75">
        <v>0.6388888888888888</v>
      </c>
      <c r="E81" s="242" t="s">
        <v>539</v>
      </c>
      <c r="F81" s="185">
        <v>2.07117075150005E14</v>
      </c>
      <c r="G81" s="312" t="s">
        <v>540</v>
      </c>
      <c r="H81" s="77">
        <v>24177.0</v>
      </c>
      <c r="I81" s="41" t="s">
        <v>183</v>
      </c>
      <c r="J81" s="42">
        <v>9.63659854E8</v>
      </c>
      <c r="K81" s="42"/>
      <c r="L81" s="216" t="s">
        <v>521</v>
      </c>
      <c r="R81" s="67"/>
    </row>
    <row r="82">
      <c r="A82" s="12" t="s">
        <v>85</v>
      </c>
      <c r="B82" s="73" t="s">
        <v>202</v>
      </c>
      <c r="C82" s="74" t="s">
        <v>518</v>
      </c>
      <c r="D82" s="75">
        <v>0.6527777777777778</v>
      </c>
      <c r="E82" s="295" t="s">
        <v>541</v>
      </c>
      <c r="F82" s="156">
        <v>8.01440477916924E14</v>
      </c>
      <c r="G82" s="79" t="s">
        <v>542</v>
      </c>
      <c r="H82" s="91">
        <v>25471.0</v>
      </c>
      <c r="I82" s="41" t="s">
        <v>183</v>
      </c>
      <c r="J82" s="141" t="s">
        <v>543</v>
      </c>
      <c r="K82" s="42"/>
      <c r="L82" s="216" t="s">
        <v>521</v>
      </c>
      <c r="R82" s="67"/>
    </row>
    <row r="83">
      <c r="A83" s="12" t="s">
        <v>87</v>
      </c>
      <c r="B83" s="73" t="s">
        <v>527</v>
      </c>
      <c r="C83" s="74" t="s">
        <v>518</v>
      </c>
      <c r="D83" s="75">
        <v>0.6666666666666666</v>
      </c>
      <c r="E83" s="245" t="s">
        <v>544</v>
      </c>
      <c r="F83" s="162">
        <v>8.01440497015E14</v>
      </c>
      <c r="G83" s="79" t="s">
        <v>545</v>
      </c>
      <c r="H83" s="166">
        <v>29861.0</v>
      </c>
      <c r="I83" s="41" t="s">
        <v>183</v>
      </c>
      <c r="J83" s="42" t="s">
        <v>546</v>
      </c>
      <c r="K83" s="42"/>
      <c r="L83" s="216" t="s">
        <v>521</v>
      </c>
      <c r="R83" s="67"/>
    </row>
    <row r="84">
      <c r="A84" s="12" t="s">
        <v>90</v>
      </c>
      <c r="B84" s="73" t="s">
        <v>65</v>
      </c>
      <c r="C84" s="74" t="s">
        <v>518</v>
      </c>
      <c r="D84" s="75">
        <v>0.6805555555555556</v>
      </c>
      <c r="E84" s="295" t="s">
        <v>547</v>
      </c>
      <c r="F84" s="133">
        <v>7.00003781365705E14</v>
      </c>
      <c r="G84" s="59" t="s">
        <v>548</v>
      </c>
      <c r="H84" s="166">
        <v>23766.0</v>
      </c>
      <c r="I84" s="41" t="s">
        <v>183</v>
      </c>
      <c r="J84" s="42" t="s">
        <v>549</v>
      </c>
      <c r="K84" s="42"/>
      <c r="L84" s="216" t="s">
        <v>521</v>
      </c>
      <c r="R84" s="67"/>
    </row>
    <row r="85">
      <c r="A85" s="12" t="s">
        <v>93</v>
      </c>
      <c r="B85" s="73"/>
      <c r="C85" s="74" t="s">
        <v>518</v>
      </c>
      <c r="D85" s="75">
        <v>0.6944444444444444</v>
      </c>
      <c r="E85" s="295"/>
      <c r="F85" s="133"/>
      <c r="G85" s="181"/>
      <c r="H85" s="166"/>
      <c r="I85" s="41" t="s">
        <v>181</v>
      </c>
      <c r="J85" s="194"/>
      <c r="K85" s="194"/>
      <c r="R85" s="67"/>
    </row>
    <row r="86">
      <c r="R86" s="67"/>
    </row>
    <row r="87">
      <c r="R87" s="67"/>
    </row>
    <row r="88">
      <c r="A88" s="23" t="s">
        <v>456</v>
      </c>
      <c r="B88" s="2"/>
      <c r="C88" s="2"/>
      <c r="D88" s="2"/>
      <c r="E88" s="2"/>
      <c r="F88" s="2"/>
      <c r="G88" s="2"/>
      <c r="H88" s="2"/>
      <c r="I88" s="2"/>
      <c r="J88" s="2"/>
      <c r="K88" s="3"/>
      <c r="R88" s="67"/>
    </row>
    <row r="89">
      <c r="A89" s="263" t="s">
        <v>550</v>
      </c>
      <c r="B89" s="2"/>
      <c r="C89" s="2"/>
      <c r="D89" s="2"/>
      <c r="E89" s="2"/>
      <c r="F89" s="2"/>
      <c r="G89" s="2"/>
      <c r="H89" s="2"/>
      <c r="I89" s="2"/>
      <c r="J89" s="2"/>
      <c r="K89" s="3"/>
      <c r="R89" s="67"/>
    </row>
    <row r="90">
      <c r="A90" s="25"/>
      <c r="B90" s="26" t="s">
        <v>3</v>
      </c>
      <c r="C90" s="27" t="s">
        <v>2</v>
      </c>
      <c r="D90" s="28" t="s">
        <v>5</v>
      </c>
      <c r="E90" s="32" t="s">
        <v>19</v>
      </c>
      <c r="F90" s="28" t="s">
        <v>6</v>
      </c>
      <c r="G90" s="264" t="s">
        <v>7</v>
      </c>
      <c r="H90" s="30" t="s">
        <v>8</v>
      </c>
      <c r="I90" s="31" t="s">
        <v>20</v>
      </c>
      <c r="J90" s="32" t="s">
        <v>21</v>
      </c>
      <c r="K90" s="32" t="s">
        <v>22</v>
      </c>
      <c r="R90" s="67"/>
    </row>
    <row r="91">
      <c r="A91" s="12" t="s">
        <v>10</v>
      </c>
      <c r="B91" s="73" t="s">
        <v>399</v>
      </c>
      <c r="C91" s="74" t="s">
        <v>381</v>
      </c>
      <c r="D91" s="75">
        <v>0.5416666666666666</v>
      </c>
      <c r="E91" s="241" t="s">
        <v>551</v>
      </c>
      <c r="F91" s="84">
        <v>1.23837825580018E14</v>
      </c>
      <c r="G91" s="79" t="s">
        <v>552</v>
      </c>
      <c r="H91" s="313">
        <v>24396.0</v>
      </c>
      <c r="I91" s="41" t="s">
        <v>183</v>
      </c>
      <c r="J91" s="102">
        <v>9.94346339E8</v>
      </c>
      <c r="K91" s="102"/>
      <c r="L91" s="216" t="s">
        <v>521</v>
      </c>
      <c r="N91" s="268" t="s">
        <v>387</v>
      </c>
      <c r="O91" s="100"/>
      <c r="P91" s="100"/>
      <c r="Q91" s="100"/>
      <c r="R91" s="67"/>
    </row>
    <row r="92">
      <c r="A92" s="12" t="s">
        <v>11</v>
      </c>
      <c r="B92" s="73" t="s">
        <v>553</v>
      </c>
      <c r="C92" s="74" t="s">
        <v>381</v>
      </c>
      <c r="D92" s="75">
        <v>0.5555555555555556</v>
      </c>
      <c r="E92" s="242" t="s">
        <v>554</v>
      </c>
      <c r="F92" s="185">
        <v>8.0144047601196E14</v>
      </c>
      <c r="G92" s="312" t="s">
        <v>555</v>
      </c>
      <c r="H92" s="314">
        <v>22011.0</v>
      </c>
      <c r="I92" s="41" t="s">
        <v>183</v>
      </c>
      <c r="J92" s="42" t="s">
        <v>556</v>
      </c>
      <c r="K92" s="42"/>
      <c r="N92" s="270" t="s">
        <v>557</v>
      </c>
      <c r="O92" s="2"/>
      <c r="P92" s="2"/>
      <c r="Q92" s="2"/>
      <c r="R92" s="67"/>
    </row>
    <row r="93">
      <c r="A93" s="12" t="s">
        <v>12</v>
      </c>
      <c r="B93" s="73" t="s">
        <v>276</v>
      </c>
      <c r="C93" s="74" t="s">
        <v>381</v>
      </c>
      <c r="D93" s="75">
        <v>0.5694444444444444</v>
      </c>
      <c r="E93" s="241" t="s">
        <v>558</v>
      </c>
      <c r="F93" s="315">
        <v>1.07547557780018E14</v>
      </c>
      <c r="G93" s="79" t="s">
        <v>559</v>
      </c>
      <c r="H93" s="316">
        <v>14643.0</v>
      </c>
      <c r="I93" s="41" t="s">
        <v>183</v>
      </c>
      <c r="J93" s="102"/>
      <c r="K93" s="102"/>
      <c r="L93" s="216" t="s">
        <v>521</v>
      </c>
      <c r="N93" s="271" t="s">
        <v>183</v>
      </c>
      <c r="O93" s="272" t="s">
        <v>195</v>
      </c>
      <c r="P93" s="272" t="s">
        <v>181</v>
      </c>
      <c r="Q93" s="273" t="s">
        <v>173</v>
      </c>
      <c r="R93" s="286" t="s">
        <v>439</v>
      </c>
    </row>
    <row r="94">
      <c r="A94" s="12" t="s">
        <v>13</v>
      </c>
      <c r="B94" s="73" t="s">
        <v>276</v>
      </c>
      <c r="C94" s="74" t="s">
        <v>381</v>
      </c>
      <c r="D94" s="75">
        <v>0.5833333333333334</v>
      </c>
      <c r="E94" s="241" t="s">
        <v>560</v>
      </c>
      <c r="F94" s="84">
        <v>8.01440401126809E14</v>
      </c>
      <c r="G94" s="79" t="s">
        <v>561</v>
      </c>
      <c r="H94" s="316">
        <v>23472.0</v>
      </c>
      <c r="I94" s="41" t="s">
        <v>183</v>
      </c>
      <c r="J94" s="102"/>
      <c r="K94" s="102"/>
      <c r="L94" s="216" t="s">
        <v>521</v>
      </c>
      <c r="N94" s="275">
        <f t="shared" ref="N94:Q94" si="6">COUNTIFS($I$91:$I$102,N93)</f>
        <v>8</v>
      </c>
      <c r="O94" s="275">
        <f t="shared" si="6"/>
        <v>0</v>
      </c>
      <c r="P94" s="275">
        <f t="shared" si="6"/>
        <v>2</v>
      </c>
      <c r="Q94" s="275">
        <f t="shared" si="6"/>
        <v>0</v>
      </c>
      <c r="R94" s="67">
        <f>COUNTIFS(I91:I102,R93)</f>
        <v>2</v>
      </c>
    </row>
    <row r="95">
      <c r="A95" s="12" t="s">
        <v>14</v>
      </c>
      <c r="B95" s="73" t="s">
        <v>562</v>
      </c>
      <c r="C95" s="74" t="s">
        <v>381</v>
      </c>
      <c r="D95" s="75">
        <v>0.5972222222222222</v>
      </c>
      <c r="E95" s="241" t="s">
        <v>563</v>
      </c>
      <c r="F95" s="156">
        <v>7.00603453192167E14</v>
      </c>
      <c r="G95" s="187" t="s">
        <v>564</v>
      </c>
      <c r="H95" s="314">
        <v>23391.0</v>
      </c>
      <c r="I95" s="41" t="s">
        <v>183</v>
      </c>
      <c r="J95" s="42"/>
      <c r="K95" s="42"/>
      <c r="L95" s="216" t="s">
        <v>521</v>
      </c>
      <c r="R95" s="67"/>
    </row>
    <row r="96">
      <c r="A96" s="12" t="s">
        <v>15</v>
      </c>
      <c r="B96" s="73" t="s">
        <v>565</v>
      </c>
      <c r="C96" s="74" t="s">
        <v>381</v>
      </c>
      <c r="D96" s="75">
        <v>0.6111111111111112</v>
      </c>
      <c r="E96" s="317" t="s">
        <v>566</v>
      </c>
      <c r="F96" s="318">
        <v>7.0770262190741E14</v>
      </c>
      <c r="G96" s="79" t="s">
        <v>567</v>
      </c>
      <c r="H96" s="319">
        <v>27178.0</v>
      </c>
      <c r="I96" s="41" t="s">
        <v>183</v>
      </c>
      <c r="J96" s="318" t="s">
        <v>568</v>
      </c>
      <c r="K96" s="318" t="s">
        <v>569</v>
      </c>
      <c r="L96" s="216" t="s">
        <v>521</v>
      </c>
      <c r="R96" s="67"/>
    </row>
    <row r="97">
      <c r="A97" s="12" t="s">
        <v>16</v>
      </c>
      <c r="B97" s="73" t="s">
        <v>570</v>
      </c>
      <c r="C97" s="74" t="s">
        <v>381</v>
      </c>
      <c r="D97" s="75">
        <v>0.625</v>
      </c>
      <c r="E97" s="241" t="s">
        <v>571</v>
      </c>
      <c r="F97" s="84">
        <v>7.00908912309095E14</v>
      </c>
      <c r="G97" s="79" t="s">
        <v>572</v>
      </c>
      <c r="H97" s="83">
        <v>31468.0</v>
      </c>
      <c r="I97" s="41" t="s">
        <v>183</v>
      </c>
      <c r="J97" s="102">
        <v>9.85007706E8</v>
      </c>
      <c r="K97" s="102"/>
      <c r="R97" s="67"/>
    </row>
    <row r="98">
      <c r="A98" s="12" t="s">
        <v>17</v>
      </c>
      <c r="B98" s="73"/>
      <c r="C98" s="74" t="s">
        <v>381</v>
      </c>
      <c r="D98" s="75">
        <v>0.6388888888888888</v>
      </c>
      <c r="E98" s="241"/>
      <c r="F98" s="84"/>
      <c r="G98" s="79"/>
      <c r="H98" s="83"/>
      <c r="I98" s="41" t="s">
        <v>181</v>
      </c>
      <c r="J98" s="42"/>
      <c r="K98" s="42"/>
      <c r="R98" s="67"/>
    </row>
    <row r="99">
      <c r="A99" s="12" t="s">
        <v>85</v>
      </c>
      <c r="B99" s="73" t="s">
        <v>573</v>
      </c>
      <c r="C99" s="74" t="s">
        <v>381</v>
      </c>
      <c r="D99" s="75">
        <v>0.6527777777777778</v>
      </c>
      <c r="E99" s="317" t="s">
        <v>574</v>
      </c>
      <c r="F99" s="320">
        <v>7.00503177502056E14</v>
      </c>
      <c r="G99" s="79" t="s">
        <v>575</v>
      </c>
      <c r="H99" s="91">
        <v>32226.0</v>
      </c>
      <c r="I99" s="41" t="s">
        <v>183</v>
      </c>
      <c r="J99" s="320" t="s">
        <v>576</v>
      </c>
      <c r="K99" s="42"/>
      <c r="L99" s="216" t="s">
        <v>577</v>
      </c>
      <c r="R99" s="67"/>
    </row>
    <row r="100">
      <c r="A100" s="12" t="s">
        <v>87</v>
      </c>
      <c r="B100" s="73"/>
      <c r="C100" s="74" t="s">
        <v>381</v>
      </c>
      <c r="D100" s="75">
        <v>0.6666666666666666</v>
      </c>
      <c r="E100" s="245"/>
      <c r="F100" s="162"/>
      <c r="G100" s="188" t="s">
        <v>179</v>
      </c>
      <c r="H100" s="166"/>
      <c r="I100" s="41" t="s">
        <v>181</v>
      </c>
      <c r="J100" s="42"/>
      <c r="K100" s="42"/>
      <c r="R100" s="67"/>
    </row>
    <row r="101">
      <c r="A101" s="12" t="s">
        <v>90</v>
      </c>
      <c r="B101" s="73"/>
      <c r="C101" s="74"/>
      <c r="D101" s="75"/>
      <c r="E101" s="295"/>
      <c r="F101" s="133"/>
      <c r="G101" s="188" t="s">
        <v>578</v>
      </c>
      <c r="H101" s="166"/>
      <c r="I101" s="41" t="s">
        <v>439</v>
      </c>
      <c r="J101" s="42"/>
      <c r="K101" s="42"/>
      <c r="R101" s="67"/>
    </row>
    <row r="102">
      <c r="A102" s="12" t="s">
        <v>93</v>
      </c>
      <c r="B102" s="73"/>
      <c r="C102" s="74"/>
      <c r="D102" s="75"/>
      <c r="E102" s="295"/>
      <c r="F102" s="133"/>
      <c r="G102" s="188" t="s">
        <v>578</v>
      </c>
      <c r="H102" s="166"/>
      <c r="I102" s="41" t="s">
        <v>439</v>
      </c>
      <c r="J102" s="194"/>
      <c r="K102" s="194"/>
      <c r="R102" s="67"/>
    </row>
    <row r="103">
      <c r="R103" s="67"/>
    </row>
    <row r="104">
      <c r="R104" s="67"/>
    </row>
    <row r="105">
      <c r="R105" s="67"/>
    </row>
    <row r="106">
      <c r="A106" s="23" t="s">
        <v>579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R106" s="67"/>
    </row>
    <row r="107">
      <c r="A107" s="263" t="s">
        <v>580</v>
      </c>
      <c r="B107" s="2"/>
      <c r="C107" s="2"/>
      <c r="D107" s="2"/>
      <c r="E107" s="2"/>
      <c r="F107" s="2"/>
      <c r="G107" s="2"/>
      <c r="H107" s="2"/>
      <c r="I107" s="2"/>
      <c r="J107" s="2"/>
      <c r="K107" s="3"/>
      <c r="R107" s="67"/>
    </row>
    <row r="108">
      <c r="A108" s="25"/>
      <c r="B108" s="26" t="s">
        <v>3</v>
      </c>
      <c r="C108" s="27" t="s">
        <v>2</v>
      </c>
      <c r="D108" s="28" t="s">
        <v>5</v>
      </c>
      <c r="E108" s="32" t="s">
        <v>19</v>
      </c>
      <c r="F108" s="28" t="s">
        <v>6</v>
      </c>
      <c r="G108" s="264" t="s">
        <v>7</v>
      </c>
      <c r="H108" s="30" t="s">
        <v>8</v>
      </c>
      <c r="I108" s="31" t="s">
        <v>20</v>
      </c>
      <c r="J108" s="32" t="s">
        <v>21</v>
      </c>
      <c r="K108" s="32" t="s">
        <v>22</v>
      </c>
      <c r="R108" s="67"/>
    </row>
    <row r="109">
      <c r="A109" s="12" t="s">
        <v>10</v>
      </c>
      <c r="B109" s="167" t="s">
        <v>433</v>
      </c>
      <c r="C109" s="74" t="s">
        <v>581</v>
      </c>
      <c r="D109" s="75">
        <v>0.5416666666666666</v>
      </c>
      <c r="E109" s="241" t="s">
        <v>582</v>
      </c>
      <c r="F109" s="84">
        <v>7.05206435773673E14</v>
      </c>
      <c r="G109" s="79" t="s">
        <v>583</v>
      </c>
      <c r="H109" s="83">
        <v>17158.0</v>
      </c>
      <c r="I109" s="41" t="s">
        <v>183</v>
      </c>
      <c r="J109" s="102"/>
      <c r="K109" s="102"/>
      <c r="L109" s="216" t="s">
        <v>521</v>
      </c>
      <c r="N109" s="268" t="s">
        <v>387</v>
      </c>
      <c r="O109" s="100"/>
      <c r="P109" s="100"/>
      <c r="Q109" s="100"/>
      <c r="R109" s="67"/>
    </row>
    <row r="110">
      <c r="A110" s="12" t="s">
        <v>11</v>
      </c>
      <c r="B110" s="167" t="s">
        <v>193</v>
      </c>
      <c r="C110" s="74" t="s">
        <v>581</v>
      </c>
      <c r="D110" s="75">
        <v>0.5555555555555556</v>
      </c>
      <c r="E110" s="242" t="s">
        <v>584</v>
      </c>
      <c r="F110" s="185">
        <v>8.01440498036575E14</v>
      </c>
      <c r="G110" s="312" t="s">
        <v>194</v>
      </c>
      <c r="H110" s="77">
        <v>35482.0</v>
      </c>
      <c r="I110" s="41" t="s">
        <v>183</v>
      </c>
      <c r="J110" s="42"/>
      <c r="K110" s="42"/>
      <c r="N110" s="270" t="s">
        <v>585</v>
      </c>
      <c r="O110" s="2"/>
      <c r="P110" s="2"/>
      <c r="Q110" s="2"/>
      <c r="R110" s="67"/>
    </row>
    <row r="111">
      <c r="A111" s="12" t="s">
        <v>12</v>
      </c>
      <c r="B111" s="167" t="s">
        <v>448</v>
      </c>
      <c r="C111" s="74" t="s">
        <v>581</v>
      </c>
      <c r="D111" s="75">
        <v>0.5694444444444444</v>
      </c>
      <c r="E111" s="241" t="s">
        <v>586</v>
      </c>
      <c r="F111" s="84">
        <v>7.01002876530999E14</v>
      </c>
      <c r="G111" s="79" t="s">
        <v>587</v>
      </c>
      <c r="H111" s="83">
        <v>22419.0</v>
      </c>
      <c r="I111" s="41" t="s">
        <v>183</v>
      </c>
      <c r="J111" s="102"/>
      <c r="K111" s="102"/>
      <c r="L111" s="216" t="s">
        <v>521</v>
      </c>
      <c r="N111" s="271" t="s">
        <v>183</v>
      </c>
      <c r="O111" s="272" t="s">
        <v>195</v>
      </c>
      <c r="P111" s="272" t="s">
        <v>181</v>
      </c>
      <c r="Q111" s="273" t="s">
        <v>173</v>
      </c>
      <c r="R111" s="67"/>
    </row>
    <row r="112">
      <c r="A112" s="12" t="s">
        <v>13</v>
      </c>
      <c r="B112" s="167" t="s">
        <v>588</v>
      </c>
      <c r="C112" s="74" t="s">
        <v>581</v>
      </c>
      <c r="D112" s="75">
        <v>0.5833333333333334</v>
      </c>
      <c r="E112" s="241" t="s">
        <v>589</v>
      </c>
      <c r="F112" s="84">
        <v>8.98001435359005E14</v>
      </c>
      <c r="G112" s="79" t="s">
        <v>590</v>
      </c>
      <c r="H112" s="83">
        <v>23751.0</v>
      </c>
      <c r="I112" s="41" t="s">
        <v>183</v>
      </c>
      <c r="J112" s="207" t="s">
        <v>591</v>
      </c>
      <c r="K112" s="102"/>
      <c r="L112" s="216" t="s">
        <v>521</v>
      </c>
      <c r="N112" s="275">
        <f t="shared" ref="N112:Q112" si="7">COUNTIFS($I$109:$I$120,N111)</f>
        <v>9</v>
      </c>
      <c r="O112" s="275">
        <f t="shared" si="7"/>
        <v>0</v>
      </c>
      <c r="P112" s="275">
        <f t="shared" si="7"/>
        <v>0</v>
      </c>
      <c r="Q112" s="275">
        <f t="shared" si="7"/>
        <v>1</v>
      </c>
      <c r="R112" s="67"/>
    </row>
    <row r="113">
      <c r="A113" s="12" t="s">
        <v>14</v>
      </c>
      <c r="B113" s="167" t="s">
        <v>490</v>
      </c>
      <c r="C113" s="74" t="s">
        <v>581</v>
      </c>
      <c r="D113" s="75">
        <v>0.5972222222222222</v>
      </c>
      <c r="E113" s="278" t="s">
        <v>592</v>
      </c>
      <c r="F113" s="156">
        <v>2.04291768770003E14</v>
      </c>
      <c r="G113" s="321" t="s">
        <v>593</v>
      </c>
      <c r="H113" s="77">
        <v>35940.0</v>
      </c>
      <c r="I113" s="41" t="s">
        <v>183</v>
      </c>
      <c r="J113" s="42"/>
      <c r="K113" s="42"/>
      <c r="R113" s="67"/>
    </row>
    <row r="114">
      <c r="A114" s="12" t="s">
        <v>15</v>
      </c>
      <c r="B114" s="167" t="s">
        <v>333</v>
      </c>
      <c r="C114" s="74" t="s">
        <v>581</v>
      </c>
      <c r="D114" s="75">
        <v>0.6111111111111112</v>
      </c>
      <c r="E114" s="241" t="s">
        <v>594</v>
      </c>
      <c r="F114" s="84">
        <v>7.00506984202655E14</v>
      </c>
      <c r="G114" s="184" t="s">
        <v>595</v>
      </c>
      <c r="H114" s="83">
        <v>23335.0</v>
      </c>
      <c r="I114" s="41" t="s">
        <v>183</v>
      </c>
      <c r="J114" s="42">
        <v>1.1985476053E10</v>
      </c>
      <c r="K114" s="42"/>
      <c r="L114" s="216" t="s">
        <v>521</v>
      </c>
      <c r="R114" s="67"/>
    </row>
    <row r="115">
      <c r="A115" s="12" t="s">
        <v>16</v>
      </c>
      <c r="B115" s="167" t="s">
        <v>596</v>
      </c>
      <c r="C115" s="74" t="s">
        <v>581</v>
      </c>
      <c r="D115" s="75">
        <v>0.625</v>
      </c>
      <c r="E115" s="241" t="s">
        <v>597</v>
      </c>
      <c r="F115" s="84">
        <v>8.9800146986819E14</v>
      </c>
      <c r="G115" s="79" t="s">
        <v>598</v>
      </c>
      <c r="H115" s="83">
        <v>13256.0</v>
      </c>
      <c r="I115" s="41" t="s">
        <v>183</v>
      </c>
      <c r="J115" s="310" t="s">
        <v>599</v>
      </c>
      <c r="K115" s="310" t="s">
        <v>600</v>
      </c>
      <c r="L115" s="216" t="s">
        <v>521</v>
      </c>
      <c r="R115" s="67"/>
    </row>
    <row r="116">
      <c r="A116" s="12" t="s">
        <v>17</v>
      </c>
      <c r="B116" s="167" t="s">
        <v>588</v>
      </c>
      <c r="C116" s="74" t="s">
        <v>581</v>
      </c>
      <c r="D116" s="75">
        <v>0.6388888888888888</v>
      </c>
      <c r="E116" s="322" t="s">
        <v>601</v>
      </c>
      <c r="F116" s="84">
        <v>7.04202729762081E14</v>
      </c>
      <c r="G116" s="79" t="s">
        <v>602</v>
      </c>
      <c r="H116" s="83">
        <v>17465.0</v>
      </c>
      <c r="I116" s="41" t="s">
        <v>183</v>
      </c>
      <c r="J116" s="102" t="s">
        <v>603</v>
      </c>
      <c r="K116" s="42"/>
      <c r="L116" s="216" t="s">
        <v>521</v>
      </c>
      <c r="R116" s="67"/>
    </row>
    <row r="117">
      <c r="A117" s="12" t="s">
        <v>85</v>
      </c>
      <c r="B117" s="167" t="s">
        <v>429</v>
      </c>
      <c r="C117" s="74" t="s">
        <v>581</v>
      </c>
      <c r="D117" s="75">
        <v>0.6527777777777778</v>
      </c>
      <c r="E117" s="278" t="s">
        <v>604</v>
      </c>
      <c r="F117" s="156">
        <v>7.0600686949384E14</v>
      </c>
      <c r="G117" s="79" t="s">
        <v>605</v>
      </c>
      <c r="H117" s="91">
        <v>18725.0</v>
      </c>
      <c r="I117" s="41" t="s">
        <v>183</v>
      </c>
      <c r="J117" s="42">
        <v>1.1967022235E10</v>
      </c>
      <c r="K117" s="42"/>
      <c r="R117" s="67"/>
    </row>
    <row r="118">
      <c r="A118" s="12" t="s">
        <v>87</v>
      </c>
      <c r="B118" s="167" t="s">
        <v>596</v>
      </c>
      <c r="C118" s="74" t="s">
        <v>581</v>
      </c>
      <c r="D118" s="75">
        <v>0.6666666666666666</v>
      </c>
      <c r="E118" s="245" t="s">
        <v>606</v>
      </c>
      <c r="F118" s="162">
        <v>7.02607204227846E14</v>
      </c>
      <c r="G118" s="105" t="s">
        <v>607</v>
      </c>
      <c r="H118" s="166">
        <v>18188.0</v>
      </c>
      <c r="I118" s="41" t="s">
        <v>173</v>
      </c>
      <c r="J118" s="42" t="s">
        <v>608</v>
      </c>
      <c r="K118" s="42"/>
      <c r="L118" s="216" t="s">
        <v>521</v>
      </c>
      <c r="R118" s="67"/>
    </row>
    <row r="119">
      <c r="A119" s="12" t="s">
        <v>90</v>
      </c>
      <c r="B119" s="167"/>
      <c r="C119" s="74"/>
      <c r="D119" s="75">
        <v>0.6805555555555556</v>
      </c>
      <c r="E119" s="295"/>
      <c r="F119" s="133"/>
      <c r="G119" s="188" t="s">
        <v>609</v>
      </c>
      <c r="H119" s="166"/>
      <c r="I119" s="41" t="s">
        <v>439</v>
      </c>
      <c r="J119" s="42"/>
      <c r="K119" s="42"/>
      <c r="R119" s="67"/>
    </row>
    <row r="120">
      <c r="A120" s="12" t="s">
        <v>93</v>
      </c>
      <c r="B120" s="73"/>
      <c r="C120" s="74"/>
      <c r="D120" s="75">
        <v>0.6944444444444444</v>
      </c>
      <c r="E120" s="295"/>
      <c r="F120" s="133"/>
      <c r="G120" s="188" t="s">
        <v>609</v>
      </c>
      <c r="H120" s="166"/>
      <c r="I120" s="41" t="s">
        <v>439</v>
      </c>
      <c r="J120" s="194"/>
      <c r="K120" s="194"/>
      <c r="R120" s="67"/>
    </row>
    <row r="121">
      <c r="R121" s="67"/>
    </row>
    <row r="122">
      <c r="R122" s="67"/>
    </row>
    <row r="123">
      <c r="A123" s="23" t="s">
        <v>456</v>
      </c>
      <c r="B123" s="2"/>
      <c r="C123" s="2"/>
      <c r="D123" s="2"/>
      <c r="E123" s="2"/>
      <c r="F123" s="2"/>
      <c r="G123" s="2"/>
      <c r="H123" s="2"/>
      <c r="I123" s="2"/>
      <c r="J123" s="2"/>
      <c r="K123" s="3"/>
      <c r="R123" s="67"/>
    </row>
    <row r="124">
      <c r="A124" s="263" t="s">
        <v>610</v>
      </c>
      <c r="B124" s="2"/>
      <c r="C124" s="2"/>
      <c r="D124" s="2"/>
      <c r="E124" s="2"/>
      <c r="F124" s="2"/>
      <c r="G124" s="2"/>
      <c r="H124" s="2"/>
      <c r="I124" s="2"/>
      <c r="J124" s="2"/>
      <c r="K124" s="3"/>
      <c r="R124" s="67"/>
    </row>
    <row r="125">
      <c r="A125" s="25"/>
      <c r="B125" s="26" t="s">
        <v>3</v>
      </c>
      <c r="C125" s="27" t="s">
        <v>2</v>
      </c>
      <c r="D125" s="28" t="s">
        <v>5</v>
      </c>
      <c r="E125" s="32" t="s">
        <v>19</v>
      </c>
      <c r="F125" s="28" t="s">
        <v>6</v>
      </c>
      <c r="G125" s="264" t="s">
        <v>7</v>
      </c>
      <c r="H125" s="30" t="s">
        <v>8</v>
      </c>
      <c r="I125" s="31" t="s">
        <v>20</v>
      </c>
      <c r="J125" s="32" t="s">
        <v>21</v>
      </c>
      <c r="K125" s="32" t="s">
        <v>22</v>
      </c>
      <c r="R125" s="67"/>
    </row>
    <row r="126">
      <c r="A126" s="12" t="s">
        <v>10</v>
      </c>
      <c r="B126" s="73"/>
      <c r="C126" s="74" t="s">
        <v>430</v>
      </c>
      <c r="D126" s="75">
        <v>0.3333333333333333</v>
      </c>
      <c r="E126" s="241"/>
      <c r="F126" s="84"/>
      <c r="G126" s="184"/>
      <c r="H126" s="83"/>
      <c r="I126" s="41" t="s">
        <v>181</v>
      </c>
      <c r="J126" s="102"/>
      <c r="K126" s="102"/>
      <c r="N126" s="268" t="s">
        <v>387</v>
      </c>
      <c r="O126" s="100"/>
      <c r="P126" s="100"/>
      <c r="Q126" s="100"/>
      <c r="R126" s="67"/>
    </row>
    <row r="127">
      <c r="A127" s="12" t="s">
        <v>11</v>
      </c>
      <c r="B127" s="73"/>
      <c r="C127" s="74" t="s">
        <v>430</v>
      </c>
      <c r="D127" s="75">
        <v>0.3472222222222222</v>
      </c>
      <c r="E127" s="242"/>
      <c r="F127" s="185"/>
      <c r="G127" s="186"/>
      <c r="H127" s="77"/>
      <c r="I127" s="41" t="s">
        <v>181</v>
      </c>
      <c r="J127" s="194"/>
      <c r="K127" s="42"/>
      <c r="N127" s="270" t="s">
        <v>611</v>
      </c>
      <c r="O127" s="2"/>
      <c r="P127" s="2"/>
      <c r="Q127" s="2"/>
      <c r="R127" s="67"/>
    </row>
    <row r="128">
      <c r="A128" s="12" t="s">
        <v>12</v>
      </c>
      <c r="B128" s="73" t="s">
        <v>287</v>
      </c>
      <c r="C128" s="74" t="s">
        <v>430</v>
      </c>
      <c r="D128" s="75">
        <v>0.3611111111111111</v>
      </c>
      <c r="E128" s="241" t="s">
        <v>612</v>
      </c>
      <c r="F128" s="84">
        <v>8.01440482879608E14</v>
      </c>
      <c r="G128" s="79" t="s">
        <v>613</v>
      </c>
      <c r="H128" s="83">
        <v>23072.0</v>
      </c>
      <c r="I128" s="41" t="s">
        <v>183</v>
      </c>
      <c r="J128" s="323" t="s">
        <v>614</v>
      </c>
      <c r="K128" s="102"/>
      <c r="N128" s="271" t="s">
        <v>183</v>
      </c>
      <c r="O128" s="272" t="s">
        <v>195</v>
      </c>
      <c r="P128" s="272" t="s">
        <v>181</v>
      </c>
      <c r="Q128" s="273" t="s">
        <v>173</v>
      </c>
      <c r="R128" s="67"/>
    </row>
    <row r="129">
      <c r="A129" s="12" t="s">
        <v>13</v>
      </c>
      <c r="B129" s="73" t="s">
        <v>615</v>
      </c>
      <c r="C129" s="74" t="s">
        <v>430</v>
      </c>
      <c r="D129" s="75">
        <v>0.375</v>
      </c>
      <c r="E129" s="241" t="s">
        <v>616</v>
      </c>
      <c r="F129" s="84">
        <v>7.0760128004199E14</v>
      </c>
      <c r="G129" s="207" t="s">
        <v>617</v>
      </c>
      <c r="H129" s="83">
        <v>32587.0</v>
      </c>
      <c r="I129" s="41" t="s">
        <v>183</v>
      </c>
      <c r="J129" s="323" t="s">
        <v>618</v>
      </c>
      <c r="K129" s="102"/>
      <c r="N129" s="275">
        <f t="shared" ref="N129:Q129" si="8">COUNTIFS($I$126:$I$137,N128)</f>
        <v>4</v>
      </c>
      <c r="O129" s="275">
        <f t="shared" si="8"/>
        <v>0</v>
      </c>
      <c r="P129" s="275">
        <f t="shared" si="8"/>
        <v>3</v>
      </c>
      <c r="Q129" s="275">
        <f t="shared" si="8"/>
        <v>3</v>
      </c>
      <c r="R129" s="67"/>
    </row>
    <row r="130">
      <c r="A130" s="12" t="s">
        <v>14</v>
      </c>
      <c r="B130" s="73"/>
      <c r="C130" s="74" t="s">
        <v>430</v>
      </c>
      <c r="D130" s="75">
        <v>0.3888888888888889</v>
      </c>
      <c r="E130" s="324"/>
      <c r="F130" s="325"/>
      <c r="G130" s="59"/>
      <c r="H130" s="77"/>
      <c r="I130" s="41"/>
      <c r="J130" s="224"/>
      <c r="K130" s="42"/>
      <c r="R130" s="67"/>
    </row>
    <row r="131">
      <c r="A131" s="12" t="s">
        <v>15</v>
      </c>
      <c r="B131" s="73" t="s">
        <v>619</v>
      </c>
      <c r="C131" s="74" t="s">
        <v>430</v>
      </c>
      <c r="D131" s="75">
        <v>0.4027777777777778</v>
      </c>
      <c r="E131" s="324" t="s">
        <v>620</v>
      </c>
      <c r="F131" s="325">
        <v>7.09604636389673E14</v>
      </c>
      <c r="G131" s="59" t="s">
        <v>621</v>
      </c>
      <c r="H131" s="77">
        <v>22504.0</v>
      </c>
      <c r="I131" s="41" t="s">
        <v>173</v>
      </c>
      <c r="J131" s="224" t="s">
        <v>622</v>
      </c>
      <c r="K131" s="42"/>
      <c r="R131" s="67"/>
    </row>
    <row r="132">
      <c r="A132" s="12" t="s">
        <v>16</v>
      </c>
      <c r="B132" s="73" t="s">
        <v>623</v>
      </c>
      <c r="C132" s="74" t="s">
        <v>430</v>
      </c>
      <c r="D132" s="75">
        <v>0.4166666666666667</v>
      </c>
      <c r="E132" s="324" t="s">
        <v>624</v>
      </c>
      <c r="F132" s="200">
        <v>7.02306197088418E14</v>
      </c>
      <c r="G132" s="326" t="s">
        <v>625</v>
      </c>
      <c r="H132" s="83">
        <v>23996.0</v>
      </c>
      <c r="I132" s="41" t="s">
        <v>183</v>
      </c>
      <c r="J132" s="236" t="s">
        <v>626</v>
      </c>
      <c r="K132" s="102"/>
      <c r="R132" s="67"/>
    </row>
    <row r="133">
      <c r="A133" s="12" t="s">
        <v>17</v>
      </c>
      <c r="B133" s="73"/>
      <c r="C133" s="74" t="s">
        <v>430</v>
      </c>
      <c r="D133" s="75">
        <v>0.4305555555555556</v>
      </c>
      <c r="E133" s="324"/>
      <c r="F133" s="325"/>
      <c r="G133" s="59"/>
      <c r="H133" s="77"/>
      <c r="I133" s="41" t="s">
        <v>181</v>
      </c>
      <c r="J133" s="224"/>
      <c r="K133" s="42"/>
      <c r="R133" s="67"/>
    </row>
    <row r="134">
      <c r="A134" s="12" t="s">
        <v>85</v>
      </c>
      <c r="B134" s="73" t="s">
        <v>553</v>
      </c>
      <c r="C134" s="74" t="s">
        <v>430</v>
      </c>
      <c r="D134" s="75">
        <v>0.4444444444444444</v>
      </c>
      <c r="E134" s="241" t="s">
        <v>627</v>
      </c>
      <c r="F134" s="156">
        <v>8.01440446501161E14</v>
      </c>
      <c r="G134" s="327" t="s">
        <v>628</v>
      </c>
      <c r="H134" s="91">
        <v>28021.0</v>
      </c>
      <c r="I134" s="41" t="s">
        <v>173</v>
      </c>
      <c r="J134" s="194" t="s">
        <v>629</v>
      </c>
      <c r="K134" s="42"/>
      <c r="R134" s="67"/>
    </row>
    <row r="135">
      <c r="A135" s="12" t="s">
        <v>87</v>
      </c>
      <c r="B135" s="73" t="s">
        <v>295</v>
      </c>
      <c r="C135" s="74" t="s">
        <v>430</v>
      </c>
      <c r="D135" s="75">
        <v>0.4583333333333333</v>
      </c>
      <c r="E135" s="241" t="s">
        <v>630</v>
      </c>
      <c r="F135" s="84">
        <v>7.08903755850518E14</v>
      </c>
      <c r="G135" s="79" t="s">
        <v>631</v>
      </c>
      <c r="H135" s="83">
        <v>21859.0</v>
      </c>
      <c r="I135" s="41" t="s">
        <v>183</v>
      </c>
      <c r="J135" s="194" t="s">
        <v>632</v>
      </c>
      <c r="K135" s="42"/>
      <c r="L135" s="216" t="s">
        <v>521</v>
      </c>
      <c r="R135" s="67"/>
    </row>
    <row r="136">
      <c r="A136" s="12" t="s">
        <v>90</v>
      </c>
      <c r="B136" s="73" t="s">
        <v>467</v>
      </c>
      <c r="C136" s="74" t="s">
        <v>430</v>
      </c>
      <c r="D136" s="75">
        <v>0.4722222222222222</v>
      </c>
      <c r="E136" s="295" t="s">
        <v>633</v>
      </c>
      <c r="F136" s="133">
        <v>7.01206014777513E14</v>
      </c>
      <c r="G136" s="188" t="s">
        <v>634</v>
      </c>
      <c r="H136" s="166">
        <v>27812.0</v>
      </c>
      <c r="I136" s="41" t="s">
        <v>173</v>
      </c>
      <c r="J136" s="194">
        <v>1.1913182365E10</v>
      </c>
      <c r="K136" s="42"/>
      <c r="R136" s="67"/>
    </row>
    <row r="137">
      <c r="A137" s="12" t="s">
        <v>93</v>
      </c>
      <c r="B137" s="73"/>
      <c r="C137" s="74"/>
      <c r="D137" s="75">
        <v>0.4861111111111111</v>
      </c>
      <c r="E137" s="295"/>
      <c r="F137" s="133"/>
      <c r="G137" s="188" t="s">
        <v>609</v>
      </c>
      <c r="H137" s="166"/>
      <c r="I137" s="41" t="s">
        <v>439</v>
      </c>
      <c r="J137" s="194"/>
      <c r="K137" s="194"/>
      <c r="R137" s="67"/>
    </row>
    <row r="138">
      <c r="R138" s="67"/>
    </row>
    <row r="139">
      <c r="R139" s="67"/>
    </row>
    <row r="140">
      <c r="A140" s="23" t="s">
        <v>579</v>
      </c>
      <c r="B140" s="2"/>
      <c r="C140" s="2"/>
      <c r="D140" s="2"/>
      <c r="E140" s="2"/>
      <c r="F140" s="2"/>
      <c r="G140" s="2"/>
      <c r="H140" s="2"/>
      <c r="I140" s="2"/>
      <c r="J140" s="2"/>
      <c r="K140" s="3"/>
      <c r="R140" s="67"/>
    </row>
    <row r="141">
      <c r="A141" s="263" t="s">
        <v>635</v>
      </c>
      <c r="B141" s="2"/>
      <c r="C141" s="2"/>
      <c r="D141" s="2"/>
      <c r="E141" s="2"/>
      <c r="F141" s="2"/>
      <c r="G141" s="2"/>
      <c r="H141" s="2"/>
      <c r="I141" s="2"/>
      <c r="J141" s="2"/>
      <c r="K141" s="3"/>
      <c r="R141" s="67"/>
    </row>
    <row r="142">
      <c r="A142" s="25"/>
      <c r="B142" s="26" t="s">
        <v>3</v>
      </c>
      <c r="C142" s="27" t="s">
        <v>2</v>
      </c>
      <c r="D142" s="28" t="s">
        <v>5</v>
      </c>
      <c r="E142" s="32" t="s">
        <v>19</v>
      </c>
      <c r="F142" s="28" t="s">
        <v>6</v>
      </c>
      <c r="G142" s="264" t="s">
        <v>7</v>
      </c>
      <c r="H142" s="30" t="s">
        <v>8</v>
      </c>
      <c r="I142" s="31" t="s">
        <v>20</v>
      </c>
      <c r="J142" s="32" t="s">
        <v>21</v>
      </c>
      <c r="K142" s="32" t="s">
        <v>22</v>
      </c>
      <c r="R142" s="67"/>
    </row>
    <row r="143">
      <c r="A143" s="12" t="s">
        <v>10</v>
      </c>
      <c r="B143" s="73" t="s">
        <v>636</v>
      </c>
      <c r="C143" s="74" t="s">
        <v>482</v>
      </c>
      <c r="D143" s="75">
        <v>0.5416666666666666</v>
      </c>
      <c r="E143" s="241" t="s">
        <v>637</v>
      </c>
      <c r="F143" s="84">
        <v>2.04302262890008E14</v>
      </c>
      <c r="G143" s="328" t="s">
        <v>638</v>
      </c>
      <c r="H143" s="329">
        <v>19249.0</v>
      </c>
      <c r="I143" s="41" t="s">
        <v>183</v>
      </c>
      <c r="J143" s="102" t="s">
        <v>639</v>
      </c>
      <c r="K143" s="102"/>
      <c r="N143" s="268" t="s">
        <v>387</v>
      </c>
      <c r="O143" s="100"/>
      <c r="P143" s="100"/>
      <c r="Q143" s="100"/>
      <c r="R143" s="67"/>
    </row>
    <row r="144">
      <c r="A144" s="12" t="s">
        <v>11</v>
      </c>
      <c r="B144" s="73" t="s">
        <v>490</v>
      </c>
      <c r="C144" s="74" t="s">
        <v>482</v>
      </c>
      <c r="D144" s="75">
        <v>0.5555555555555556</v>
      </c>
      <c r="E144" s="241" t="s">
        <v>640</v>
      </c>
      <c r="F144" s="84">
        <v>8.98001411236396E14</v>
      </c>
      <c r="G144" s="79" t="s">
        <v>641</v>
      </c>
      <c r="H144" s="84"/>
      <c r="I144" s="41" t="s">
        <v>183</v>
      </c>
      <c r="J144" s="42"/>
      <c r="K144" s="42"/>
      <c r="N144" s="270" t="s">
        <v>642</v>
      </c>
      <c r="O144" s="2"/>
      <c r="P144" s="2"/>
      <c r="Q144" s="2"/>
      <c r="R144" s="67"/>
    </row>
    <row r="145">
      <c r="A145" s="12" t="s">
        <v>12</v>
      </c>
      <c r="B145" s="227" t="s">
        <v>259</v>
      </c>
      <c r="C145" s="301" t="s">
        <v>482</v>
      </c>
      <c r="D145" s="330">
        <v>0.5694444444444444</v>
      </c>
      <c r="E145" s="331" t="s">
        <v>643</v>
      </c>
      <c r="F145" s="228">
        <v>7.05608469061518E14</v>
      </c>
      <c r="G145" s="332" t="s">
        <v>644</v>
      </c>
      <c r="H145" s="333">
        <v>22952.0</v>
      </c>
      <c r="I145" s="41" t="s">
        <v>183</v>
      </c>
      <c r="J145" s="102" t="s">
        <v>645</v>
      </c>
      <c r="K145" s="102" t="s">
        <v>646</v>
      </c>
      <c r="N145" s="271" t="s">
        <v>183</v>
      </c>
      <c r="O145" s="272" t="s">
        <v>195</v>
      </c>
      <c r="P145" s="272" t="s">
        <v>181</v>
      </c>
      <c r="Q145" s="273" t="s">
        <v>173</v>
      </c>
      <c r="R145" s="67"/>
    </row>
    <row r="146">
      <c r="A146" s="12" t="s">
        <v>13</v>
      </c>
      <c r="B146" s="73" t="s">
        <v>490</v>
      </c>
      <c r="C146" s="74" t="s">
        <v>482</v>
      </c>
      <c r="D146" s="75">
        <v>0.5833333333333334</v>
      </c>
      <c r="E146" s="241" t="s">
        <v>647</v>
      </c>
      <c r="F146" s="334">
        <v>1.08677770330005E14</v>
      </c>
      <c r="G146" s="79" t="s">
        <v>648</v>
      </c>
      <c r="H146" s="83">
        <v>22829.0</v>
      </c>
      <c r="I146" s="41" t="s">
        <v>183</v>
      </c>
      <c r="J146" s="102" t="s">
        <v>649</v>
      </c>
      <c r="K146" s="102" t="s">
        <v>650</v>
      </c>
      <c r="N146" s="275">
        <f t="shared" ref="N146:Q146" si="9">COUNTIFS($I$143:$I$154,N145)</f>
        <v>9</v>
      </c>
      <c r="O146" s="275">
        <f t="shared" si="9"/>
        <v>0</v>
      </c>
      <c r="P146" s="275">
        <f t="shared" si="9"/>
        <v>1</v>
      </c>
      <c r="Q146" s="275">
        <f t="shared" si="9"/>
        <v>0</v>
      </c>
      <c r="R146" s="67"/>
    </row>
    <row r="147">
      <c r="A147" s="12" t="s">
        <v>14</v>
      </c>
      <c r="B147" s="227" t="s">
        <v>259</v>
      </c>
      <c r="C147" s="301" t="s">
        <v>482</v>
      </c>
      <c r="D147" s="330">
        <v>0.5972222222222222</v>
      </c>
      <c r="E147" s="303" t="s">
        <v>651</v>
      </c>
      <c r="F147" s="228">
        <v>7.04003322471168E14</v>
      </c>
      <c r="G147" s="233" t="s">
        <v>652</v>
      </c>
      <c r="H147" s="170">
        <v>14045.0</v>
      </c>
      <c r="I147" s="41" t="s">
        <v>183</v>
      </c>
      <c r="J147" s="42" t="s">
        <v>653</v>
      </c>
      <c r="K147" s="42" t="s">
        <v>654</v>
      </c>
      <c r="R147" s="67"/>
    </row>
    <row r="148">
      <c r="A148" s="12" t="s">
        <v>15</v>
      </c>
      <c r="B148" s="73" t="s">
        <v>333</v>
      </c>
      <c r="C148" s="74" t="s">
        <v>482</v>
      </c>
      <c r="D148" s="75">
        <v>0.6111111111111112</v>
      </c>
      <c r="E148" s="241" t="s">
        <v>655</v>
      </c>
      <c r="F148" s="84">
        <v>8.98001412145726E14</v>
      </c>
      <c r="G148" s="79" t="s">
        <v>656</v>
      </c>
      <c r="H148" s="83">
        <v>33057.0</v>
      </c>
      <c r="I148" s="41" t="s">
        <v>183</v>
      </c>
      <c r="J148" s="42">
        <v>1.1968499175E10</v>
      </c>
      <c r="K148" s="42">
        <v>1.1943383042E10</v>
      </c>
      <c r="R148" s="67"/>
    </row>
    <row r="149">
      <c r="A149" s="12" t="s">
        <v>16</v>
      </c>
      <c r="B149" s="73" t="s">
        <v>490</v>
      </c>
      <c r="C149" s="74" t="s">
        <v>482</v>
      </c>
      <c r="D149" s="75">
        <v>0.625</v>
      </c>
      <c r="E149" s="241" t="s">
        <v>657</v>
      </c>
      <c r="F149" s="84">
        <v>2.04291775040007E14</v>
      </c>
      <c r="G149" s="79" t="s">
        <v>658</v>
      </c>
      <c r="H149" s="83">
        <v>14110.0</v>
      </c>
      <c r="I149" s="41" t="s">
        <v>183</v>
      </c>
      <c r="J149" s="102"/>
      <c r="K149" s="102"/>
      <c r="R149" s="67"/>
    </row>
    <row r="150">
      <c r="A150" s="12" t="s">
        <v>17</v>
      </c>
      <c r="B150" s="73" t="s">
        <v>324</v>
      </c>
      <c r="C150" s="74" t="s">
        <v>482</v>
      </c>
      <c r="D150" s="75">
        <v>0.6388888888888888</v>
      </c>
      <c r="E150" s="241" t="s">
        <v>659</v>
      </c>
      <c r="F150" s="84">
        <v>7.00700998339073E14</v>
      </c>
      <c r="G150" s="79" t="s">
        <v>660</v>
      </c>
      <c r="H150" s="83">
        <v>27108.0</v>
      </c>
      <c r="I150" s="41" t="s">
        <v>183</v>
      </c>
      <c r="J150" s="42" t="s">
        <v>661</v>
      </c>
      <c r="K150" s="42"/>
      <c r="R150" s="67"/>
    </row>
    <row r="151">
      <c r="A151" s="12" t="s">
        <v>85</v>
      </c>
      <c r="B151" s="73" t="s">
        <v>429</v>
      </c>
      <c r="C151" s="74" t="s">
        <v>482</v>
      </c>
      <c r="D151" s="75">
        <v>0.6527777777777778</v>
      </c>
      <c r="E151" s="280" t="s">
        <v>662</v>
      </c>
      <c r="F151" s="80">
        <v>7.00008896619909E14</v>
      </c>
      <c r="G151" s="335" t="s">
        <v>663</v>
      </c>
      <c r="H151" s="82">
        <v>21340.0</v>
      </c>
      <c r="I151" s="41" t="s">
        <v>183</v>
      </c>
      <c r="J151" s="232">
        <v>1.1970115924E10</v>
      </c>
      <c r="K151" s="42"/>
      <c r="R151" s="67"/>
      <c r="V151" s="336"/>
    </row>
    <row r="152">
      <c r="A152" s="12" t="s">
        <v>87</v>
      </c>
      <c r="B152" s="73"/>
      <c r="C152" s="74" t="s">
        <v>482</v>
      </c>
      <c r="D152" s="75">
        <v>0.6666666666666666</v>
      </c>
      <c r="E152" s="245"/>
      <c r="F152" s="162"/>
      <c r="G152" s="188"/>
      <c r="H152" s="166"/>
      <c r="I152" s="41" t="s">
        <v>181</v>
      </c>
      <c r="J152" s="42"/>
      <c r="K152" s="42"/>
      <c r="R152" s="67"/>
    </row>
    <row r="153">
      <c r="A153" s="12" t="s">
        <v>90</v>
      </c>
      <c r="B153" s="73"/>
      <c r="C153" s="74" t="s">
        <v>482</v>
      </c>
      <c r="D153" s="75">
        <v>0.6805555555555556</v>
      </c>
      <c r="E153" s="295"/>
      <c r="F153" s="133"/>
      <c r="G153" s="188" t="s">
        <v>609</v>
      </c>
      <c r="H153" s="166"/>
      <c r="I153" s="41" t="s">
        <v>439</v>
      </c>
      <c r="J153" s="42"/>
      <c r="K153" s="42"/>
      <c r="R153" s="67"/>
    </row>
    <row r="154">
      <c r="A154" s="12" t="s">
        <v>93</v>
      </c>
      <c r="B154" s="73"/>
      <c r="C154" s="74" t="s">
        <v>482</v>
      </c>
      <c r="D154" s="75">
        <v>0.6944444444444444</v>
      </c>
      <c r="E154" s="295"/>
      <c r="F154" s="133"/>
      <c r="G154" s="188" t="s">
        <v>609</v>
      </c>
      <c r="H154" s="166"/>
      <c r="I154" s="41" t="s">
        <v>439</v>
      </c>
      <c r="J154" s="194"/>
      <c r="K154" s="194"/>
      <c r="R154" s="67"/>
    </row>
    <row r="155">
      <c r="R155" s="67"/>
    </row>
    <row r="156">
      <c r="R156" s="67"/>
    </row>
    <row r="157">
      <c r="A157" s="23" t="s">
        <v>456</v>
      </c>
      <c r="B157" s="2"/>
      <c r="C157" s="2"/>
      <c r="D157" s="2"/>
      <c r="E157" s="2"/>
      <c r="F157" s="2"/>
      <c r="G157" s="2"/>
      <c r="H157" s="2"/>
      <c r="I157" s="2"/>
      <c r="J157" s="2"/>
      <c r="K157" s="3"/>
      <c r="R157" s="67"/>
    </row>
    <row r="158">
      <c r="A158" s="263" t="s">
        <v>664</v>
      </c>
      <c r="B158" s="2"/>
      <c r="C158" s="2"/>
      <c r="D158" s="2"/>
      <c r="E158" s="2"/>
      <c r="F158" s="2"/>
      <c r="G158" s="2"/>
      <c r="H158" s="2"/>
      <c r="I158" s="2"/>
      <c r="J158" s="2"/>
      <c r="K158" s="3"/>
      <c r="R158" s="67"/>
    </row>
    <row r="159">
      <c r="A159" s="25"/>
      <c r="B159" s="26" t="s">
        <v>3</v>
      </c>
      <c r="C159" s="27" t="s">
        <v>2</v>
      </c>
      <c r="D159" s="28" t="s">
        <v>5</v>
      </c>
      <c r="E159" s="32" t="s">
        <v>19</v>
      </c>
      <c r="F159" s="28" t="s">
        <v>6</v>
      </c>
      <c r="G159" s="264" t="s">
        <v>7</v>
      </c>
      <c r="H159" s="30" t="s">
        <v>8</v>
      </c>
      <c r="I159" s="31" t="s">
        <v>20</v>
      </c>
      <c r="J159" s="32" t="s">
        <v>21</v>
      </c>
      <c r="K159" s="32" t="s">
        <v>22</v>
      </c>
      <c r="R159" s="67"/>
    </row>
    <row r="160">
      <c r="A160" s="12" t="s">
        <v>10</v>
      </c>
      <c r="B160" s="73" t="s">
        <v>295</v>
      </c>
      <c r="C160" s="74" t="s">
        <v>581</v>
      </c>
      <c r="D160" s="75">
        <v>0.5416666666666666</v>
      </c>
      <c r="E160" s="241" t="s">
        <v>665</v>
      </c>
      <c r="F160" s="84">
        <v>7.0050546638116E14</v>
      </c>
      <c r="G160" s="79" t="s">
        <v>666</v>
      </c>
      <c r="H160" s="83">
        <v>23470.0</v>
      </c>
      <c r="I160" s="41" t="s">
        <v>183</v>
      </c>
      <c r="J160" s="102" t="s">
        <v>667</v>
      </c>
      <c r="K160" s="102"/>
      <c r="L160" s="216" t="s">
        <v>521</v>
      </c>
      <c r="N160" s="268" t="s">
        <v>387</v>
      </c>
      <c r="O160" s="100"/>
      <c r="P160" s="100"/>
      <c r="Q160" s="100"/>
      <c r="R160" s="67"/>
    </row>
    <row r="161">
      <c r="A161" s="12" t="s">
        <v>11</v>
      </c>
      <c r="B161" s="73" t="s">
        <v>668</v>
      </c>
      <c r="C161" s="74" t="s">
        <v>518</v>
      </c>
      <c r="D161" s="75">
        <v>0.5555555555555556</v>
      </c>
      <c r="E161" s="242" t="s">
        <v>669</v>
      </c>
      <c r="F161" s="185">
        <v>8.98000063218625E14</v>
      </c>
      <c r="G161" s="312" t="s">
        <v>670</v>
      </c>
      <c r="H161" s="77">
        <v>23678.0</v>
      </c>
      <c r="I161" s="41" t="s">
        <v>183</v>
      </c>
      <c r="J161" s="42"/>
      <c r="K161" s="42"/>
      <c r="N161" s="270" t="s">
        <v>671</v>
      </c>
      <c r="O161" s="2"/>
      <c r="P161" s="2"/>
      <c r="Q161" s="2"/>
      <c r="R161" s="67"/>
    </row>
    <row r="162">
      <c r="A162" s="12" t="s">
        <v>12</v>
      </c>
      <c r="B162" s="73"/>
      <c r="C162" s="74" t="s">
        <v>518</v>
      </c>
      <c r="D162" s="75">
        <v>0.5694444444444444</v>
      </c>
      <c r="E162" s="241"/>
      <c r="F162" s="84"/>
      <c r="G162" s="79"/>
      <c r="H162" s="83"/>
      <c r="I162" s="41" t="s">
        <v>183</v>
      </c>
      <c r="J162" s="102"/>
      <c r="K162" s="102"/>
      <c r="N162" s="271" t="s">
        <v>183</v>
      </c>
      <c r="O162" s="272" t="s">
        <v>195</v>
      </c>
      <c r="P162" s="272" t="s">
        <v>181</v>
      </c>
      <c r="Q162" s="273" t="s">
        <v>173</v>
      </c>
      <c r="R162" s="67"/>
    </row>
    <row r="163">
      <c r="A163" s="12" t="s">
        <v>13</v>
      </c>
      <c r="B163" s="73" t="s">
        <v>565</v>
      </c>
      <c r="C163" s="74" t="s">
        <v>518</v>
      </c>
      <c r="D163" s="75">
        <v>0.5833333333333334</v>
      </c>
      <c r="E163" s="274" t="s">
        <v>672</v>
      </c>
      <c r="F163" s="337">
        <v>7.00106904414115E14</v>
      </c>
      <c r="G163" s="327" t="s">
        <v>673</v>
      </c>
      <c r="H163" s="338">
        <v>19766.0</v>
      </c>
      <c r="I163" s="41" t="s">
        <v>183</v>
      </c>
      <c r="J163" s="102" t="s">
        <v>674</v>
      </c>
      <c r="K163" s="102"/>
      <c r="N163" s="275">
        <f t="shared" ref="N163:Q163" si="10">COUNTIFS($I$160:$I$171,N162)</f>
        <v>8</v>
      </c>
      <c r="O163" s="275">
        <f t="shared" si="10"/>
        <v>0</v>
      </c>
      <c r="P163" s="275">
        <f t="shared" si="10"/>
        <v>0</v>
      </c>
      <c r="Q163" s="275">
        <f t="shared" si="10"/>
        <v>2</v>
      </c>
      <c r="R163" s="67"/>
    </row>
    <row r="164">
      <c r="A164" s="12" t="s">
        <v>14</v>
      </c>
      <c r="B164" s="73" t="s">
        <v>202</v>
      </c>
      <c r="C164" s="74" t="s">
        <v>518</v>
      </c>
      <c r="D164" s="75">
        <v>0.5972222222222222</v>
      </c>
      <c r="E164" s="324" t="s">
        <v>675</v>
      </c>
      <c r="F164" s="339">
        <v>8.01440480119509E14</v>
      </c>
      <c r="G164" s="340" t="s">
        <v>676</v>
      </c>
      <c r="H164" s="77">
        <v>23464.0</v>
      </c>
      <c r="I164" s="41" t="s">
        <v>183</v>
      </c>
      <c r="J164" s="341" t="s">
        <v>677</v>
      </c>
      <c r="K164" s="42"/>
      <c r="R164" s="67"/>
    </row>
    <row r="165">
      <c r="A165" s="12" t="s">
        <v>15</v>
      </c>
      <c r="B165" s="73" t="s">
        <v>668</v>
      </c>
      <c r="C165" s="74" t="s">
        <v>518</v>
      </c>
      <c r="D165" s="75">
        <v>0.6111111111111112</v>
      </c>
      <c r="E165" s="241" t="s">
        <v>678</v>
      </c>
      <c r="F165" s="84">
        <v>8.01440401173491E14</v>
      </c>
      <c r="G165" s="79" t="s">
        <v>679</v>
      </c>
      <c r="H165" s="83">
        <v>21908.0</v>
      </c>
      <c r="I165" s="41" t="s">
        <v>183</v>
      </c>
      <c r="J165" s="42"/>
      <c r="K165" s="42"/>
      <c r="R165" s="67"/>
    </row>
    <row r="166">
      <c r="A166" s="12" t="s">
        <v>16</v>
      </c>
      <c r="B166" s="73" t="s">
        <v>202</v>
      </c>
      <c r="C166" s="74" t="s">
        <v>518</v>
      </c>
      <c r="D166" s="75">
        <v>0.625</v>
      </c>
      <c r="E166" s="324" t="s">
        <v>680</v>
      </c>
      <c r="F166" s="200">
        <v>8.01440448832033E14</v>
      </c>
      <c r="G166" s="342" t="s">
        <v>681</v>
      </c>
      <c r="H166" s="343">
        <v>24031.0</v>
      </c>
      <c r="I166" s="41" t="s">
        <v>173</v>
      </c>
      <c r="J166" s="102" t="s">
        <v>682</v>
      </c>
      <c r="K166" s="102"/>
      <c r="R166" s="67"/>
    </row>
    <row r="167">
      <c r="A167" s="12" t="s">
        <v>17</v>
      </c>
      <c r="B167" s="73" t="s">
        <v>683</v>
      </c>
      <c r="C167" s="74" t="s">
        <v>518</v>
      </c>
      <c r="D167" s="75">
        <v>0.6388888888888888</v>
      </c>
      <c r="E167" s="241" t="s">
        <v>684</v>
      </c>
      <c r="F167" s="84">
        <v>2.03910088910007E14</v>
      </c>
      <c r="G167" s="79" t="s">
        <v>685</v>
      </c>
      <c r="H167" s="83"/>
      <c r="I167" s="41" t="s">
        <v>183</v>
      </c>
      <c r="J167" s="42"/>
      <c r="K167" s="42"/>
      <c r="R167" s="67"/>
    </row>
    <row r="168">
      <c r="A168" s="12" t="s">
        <v>85</v>
      </c>
      <c r="B168" s="73" t="s">
        <v>573</v>
      </c>
      <c r="C168" s="74" t="s">
        <v>518</v>
      </c>
      <c r="D168" s="75">
        <v>0.6527777777777778</v>
      </c>
      <c r="E168" s="274" t="s">
        <v>686</v>
      </c>
      <c r="F168" s="197">
        <v>2.01152283000009E14</v>
      </c>
      <c r="G168" s="79" t="s">
        <v>687</v>
      </c>
      <c r="H168" s="205">
        <v>22577.0</v>
      </c>
      <c r="I168" s="41" t="s">
        <v>173</v>
      </c>
      <c r="J168" s="42" t="s">
        <v>688</v>
      </c>
      <c r="K168" s="42" t="s">
        <v>689</v>
      </c>
      <c r="L168" s="216" t="s">
        <v>577</v>
      </c>
      <c r="R168" s="67"/>
    </row>
    <row r="169">
      <c r="A169" s="12" t="s">
        <v>87</v>
      </c>
      <c r="B169" s="73" t="s">
        <v>683</v>
      </c>
      <c r="C169" s="74" t="s">
        <v>518</v>
      </c>
      <c r="D169" s="75">
        <v>0.6666666666666666</v>
      </c>
      <c r="E169" s="245" t="s">
        <v>690</v>
      </c>
      <c r="F169" s="162">
        <v>7.05009059275158E14</v>
      </c>
      <c r="G169" s="105" t="s">
        <v>691</v>
      </c>
      <c r="H169" s="166">
        <v>20910.0</v>
      </c>
      <c r="I169" s="41" t="s">
        <v>183</v>
      </c>
      <c r="J169" s="42" t="s">
        <v>692</v>
      </c>
      <c r="K169" s="33"/>
      <c r="R169" s="67"/>
    </row>
    <row r="170">
      <c r="A170" s="12" t="s">
        <v>90</v>
      </c>
      <c r="B170" s="73"/>
      <c r="C170" s="74"/>
      <c r="D170" s="75">
        <v>0.6805555555555556</v>
      </c>
      <c r="E170" s="295"/>
      <c r="F170" s="133"/>
      <c r="G170" s="188" t="s">
        <v>609</v>
      </c>
      <c r="H170" s="166"/>
      <c r="I170" s="41" t="s">
        <v>439</v>
      </c>
      <c r="J170" s="42"/>
      <c r="K170" s="42"/>
      <c r="R170" s="67"/>
    </row>
    <row r="171">
      <c r="A171" s="12" t="s">
        <v>93</v>
      </c>
      <c r="B171" s="73"/>
      <c r="C171" s="74"/>
      <c r="D171" s="75">
        <v>0.6944444444444444</v>
      </c>
      <c r="E171" s="295"/>
      <c r="F171" s="133"/>
      <c r="G171" s="188" t="s">
        <v>609</v>
      </c>
      <c r="H171" s="166"/>
      <c r="I171" s="41" t="s">
        <v>439</v>
      </c>
      <c r="J171" s="194"/>
      <c r="K171" s="194"/>
      <c r="R171" s="67"/>
    </row>
    <row r="172">
      <c r="R172" s="67"/>
    </row>
    <row r="173">
      <c r="R173" s="67"/>
    </row>
    <row r="174">
      <c r="A174" s="23" t="s">
        <v>456</v>
      </c>
      <c r="B174" s="2"/>
      <c r="C174" s="2"/>
      <c r="D174" s="2"/>
      <c r="E174" s="2"/>
      <c r="F174" s="2"/>
      <c r="G174" s="2"/>
      <c r="H174" s="2"/>
      <c r="I174" s="2"/>
      <c r="J174" s="2"/>
      <c r="K174" s="3"/>
      <c r="R174" s="67"/>
    </row>
    <row r="175">
      <c r="A175" s="263" t="s">
        <v>693</v>
      </c>
      <c r="B175" s="2"/>
      <c r="C175" s="2"/>
      <c r="D175" s="2"/>
      <c r="E175" s="2"/>
      <c r="F175" s="2"/>
      <c r="G175" s="2"/>
      <c r="H175" s="2"/>
      <c r="I175" s="2"/>
      <c r="J175" s="2"/>
      <c r="K175" s="3"/>
      <c r="R175" s="67"/>
    </row>
    <row r="176">
      <c r="A176" s="25"/>
      <c r="B176" s="26" t="s">
        <v>3</v>
      </c>
      <c r="C176" s="27" t="s">
        <v>2</v>
      </c>
      <c r="D176" s="28" t="s">
        <v>5</v>
      </c>
      <c r="E176" s="32" t="s">
        <v>19</v>
      </c>
      <c r="F176" s="28" t="s">
        <v>6</v>
      </c>
      <c r="G176" s="264" t="s">
        <v>7</v>
      </c>
      <c r="H176" s="30" t="s">
        <v>8</v>
      </c>
      <c r="I176" s="31" t="s">
        <v>20</v>
      </c>
      <c r="J176" s="32" t="s">
        <v>21</v>
      </c>
      <c r="K176" s="32" t="s">
        <v>22</v>
      </c>
      <c r="R176" s="67"/>
    </row>
    <row r="177">
      <c r="A177" s="12" t="s">
        <v>10</v>
      </c>
      <c r="B177" s="73" t="s">
        <v>573</v>
      </c>
      <c r="C177" s="74" t="s">
        <v>381</v>
      </c>
      <c r="D177" s="75">
        <v>0.5416666666666666</v>
      </c>
      <c r="E177" s="295" t="s">
        <v>694</v>
      </c>
      <c r="F177" s="344">
        <v>8.01440488803247E14</v>
      </c>
      <c r="G177" s="320" t="s">
        <v>695</v>
      </c>
      <c r="H177" s="345">
        <v>24546.0</v>
      </c>
      <c r="I177" s="41" t="s">
        <v>173</v>
      </c>
      <c r="J177" s="42" t="s">
        <v>696</v>
      </c>
      <c r="K177" s="102" t="s">
        <v>697</v>
      </c>
      <c r="N177" s="268" t="s">
        <v>387</v>
      </c>
      <c r="O177" s="100"/>
      <c r="P177" s="100"/>
      <c r="Q177" s="100"/>
      <c r="R177" s="67"/>
    </row>
    <row r="178">
      <c r="A178" s="12" t="s">
        <v>11</v>
      </c>
      <c r="B178" s="73" t="s">
        <v>573</v>
      </c>
      <c r="C178" s="74" t="s">
        <v>381</v>
      </c>
      <c r="D178" s="75">
        <v>0.5555555555555556</v>
      </c>
      <c r="E178" s="295" t="s">
        <v>698</v>
      </c>
      <c r="F178" s="344">
        <v>7.02906592118175E14</v>
      </c>
      <c r="G178" s="320" t="s">
        <v>699</v>
      </c>
      <c r="H178" s="319">
        <v>18684.0</v>
      </c>
      <c r="I178" s="41" t="s">
        <v>183</v>
      </c>
      <c r="J178" s="320" t="s">
        <v>700</v>
      </c>
      <c r="K178" s="42"/>
      <c r="N178" s="270" t="s">
        <v>701</v>
      </c>
      <c r="O178" s="2"/>
      <c r="P178" s="2"/>
      <c r="Q178" s="2"/>
      <c r="R178" s="67"/>
    </row>
    <row r="179">
      <c r="A179" s="12" t="s">
        <v>12</v>
      </c>
      <c r="B179" s="73" t="s">
        <v>573</v>
      </c>
      <c r="C179" s="74" t="s">
        <v>381</v>
      </c>
      <c r="D179" s="75">
        <v>0.5694444444444444</v>
      </c>
      <c r="E179" s="295" t="s">
        <v>702</v>
      </c>
      <c r="F179" s="344">
        <v>2.10148395660005E14</v>
      </c>
      <c r="G179" s="320" t="s">
        <v>703</v>
      </c>
      <c r="H179" s="338">
        <v>23699.0</v>
      </c>
      <c r="I179" s="41" t="s">
        <v>183</v>
      </c>
      <c r="J179" s="102" t="s">
        <v>704</v>
      </c>
      <c r="K179" s="102"/>
      <c r="N179" s="271" t="s">
        <v>183</v>
      </c>
      <c r="O179" s="272" t="s">
        <v>195</v>
      </c>
      <c r="P179" s="272" t="s">
        <v>181</v>
      </c>
      <c r="Q179" s="273" t="s">
        <v>173</v>
      </c>
      <c r="R179" s="67"/>
    </row>
    <row r="180">
      <c r="A180" s="12" t="s">
        <v>13</v>
      </c>
      <c r="B180" s="73" t="s">
        <v>705</v>
      </c>
      <c r="C180" s="74" t="s">
        <v>381</v>
      </c>
      <c r="D180" s="75">
        <v>0.5833333333333334</v>
      </c>
      <c r="E180" s="295">
        <v>2.7293954824E10</v>
      </c>
      <c r="F180" s="344">
        <v>7.034093431188E14</v>
      </c>
      <c r="G180" s="320" t="s">
        <v>706</v>
      </c>
      <c r="H180" s="345">
        <v>28172.0</v>
      </c>
      <c r="I180" s="41" t="s">
        <v>183</v>
      </c>
      <c r="J180" s="42" t="s">
        <v>707</v>
      </c>
      <c r="K180" s="102"/>
      <c r="N180" s="275">
        <f t="shared" ref="N180:Q180" si="11">COUNTIFS($I$177:$I$188,$N$179)</f>
        <v>7</v>
      </c>
      <c r="O180" s="275">
        <f t="shared" si="11"/>
        <v>7</v>
      </c>
      <c r="P180" s="275">
        <f t="shared" si="11"/>
        <v>7</v>
      </c>
      <c r="Q180" s="275">
        <f t="shared" si="11"/>
        <v>7</v>
      </c>
      <c r="R180" s="67"/>
    </row>
    <row r="181">
      <c r="A181" s="12" t="s">
        <v>14</v>
      </c>
      <c r="B181" s="73" t="s">
        <v>708</v>
      </c>
      <c r="C181" s="74" t="s">
        <v>381</v>
      </c>
      <c r="D181" s="75">
        <v>0.5972222222222222</v>
      </c>
      <c r="E181" s="295" t="s">
        <v>709</v>
      </c>
      <c r="F181" s="344">
        <v>7.00005748390307E14</v>
      </c>
      <c r="G181" s="320" t="s">
        <v>710</v>
      </c>
      <c r="H181" s="319">
        <v>24760.0</v>
      </c>
      <c r="I181" s="41" t="s">
        <v>183</v>
      </c>
      <c r="J181" s="42">
        <v>1.1913412968E10</v>
      </c>
      <c r="K181" s="42"/>
      <c r="R181" s="67"/>
    </row>
    <row r="182">
      <c r="A182" s="12" t="s">
        <v>15</v>
      </c>
      <c r="B182" s="73" t="s">
        <v>573</v>
      </c>
      <c r="C182" s="74" t="s">
        <v>381</v>
      </c>
      <c r="D182" s="75">
        <v>0.6111111111111112</v>
      </c>
      <c r="E182" s="295" t="s">
        <v>711</v>
      </c>
      <c r="F182" s="344">
        <v>8.01440479988477E14</v>
      </c>
      <c r="G182" s="320" t="s">
        <v>712</v>
      </c>
      <c r="H182" s="338">
        <v>19286.0</v>
      </c>
      <c r="I182" s="41" t="s">
        <v>183</v>
      </c>
      <c r="J182" s="42" t="s">
        <v>713</v>
      </c>
      <c r="K182" s="42" t="s">
        <v>714</v>
      </c>
      <c r="R182" s="67"/>
    </row>
    <row r="183">
      <c r="A183" s="12" t="s">
        <v>16</v>
      </c>
      <c r="B183" s="73" t="s">
        <v>705</v>
      </c>
      <c r="C183" s="74" t="s">
        <v>381</v>
      </c>
      <c r="D183" s="75">
        <v>0.625</v>
      </c>
      <c r="E183" s="295">
        <v>2.6951158819E10</v>
      </c>
      <c r="F183" s="344">
        <v>7.04605675580125E14</v>
      </c>
      <c r="G183" s="320" t="s">
        <v>715</v>
      </c>
      <c r="H183" s="345">
        <v>21180.0</v>
      </c>
      <c r="I183" s="41" t="s">
        <v>183</v>
      </c>
      <c r="J183" s="102" t="s">
        <v>716</v>
      </c>
      <c r="K183" s="102" t="s">
        <v>717</v>
      </c>
      <c r="R183" s="67"/>
    </row>
    <row r="184">
      <c r="A184" s="12" t="s">
        <v>17</v>
      </c>
      <c r="B184" s="73" t="s">
        <v>718</v>
      </c>
      <c r="C184" s="74" t="s">
        <v>381</v>
      </c>
      <c r="D184" s="75">
        <v>0.6388888888888888</v>
      </c>
      <c r="E184" s="295" t="s">
        <v>719</v>
      </c>
      <c r="F184" s="344">
        <v>8.98002346832881E14</v>
      </c>
      <c r="G184" s="320" t="s">
        <v>720</v>
      </c>
      <c r="H184" s="319">
        <v>32507.0</v>
      </c>
      <c r="I184" s="41" t="s">
        <v>195</v>
      </c>
      <c r="J184" s="42" t="s">
        <v>721</v>
      </c>
      <c r="K184" s="42"/>
      <c r="R184" s="67"/>
    </row>
    <row r="185">
      <c r="A185" s="12" t="s">
        <v>85</v>
      </c>
      <c r="B185" s="73" t="s">
        <v>573</v>
      </c>
      <c r="C185" s="74" t="s">
        <v>381</v>
      </c>
      <c r="D185" s="75">
        <v>0.6527777777777778</v>
      </c>
      <c r="E185" s="274" t="s">
        <v>722</v>
      </c>
      <c r="F185" s="337">
        <v>8.01440419600766E14</v>
      </c>
      <c r="G185" s="197" t="s">
        <v>723</v>
      </c>
      <c r="H185" s="338">
        <v>31618.0</v>
      </c>
      <c r="I185" s="41" t="s">
        <v>183</v>
      </c>
      <c r="J185" s="133" t="s">
        <v>724</v>
      </c>
      <c r="K185" s="42"/>
      <c r="R185" s="67"/>
    </row>
    <row r="186">
      <c r="A186" s="12" t="s">
        <v>87</v>
      </c>
      <c r="B186" s="73" t="s">
        <v>573</v>
      </c>
      <c r="C186" s="74" t="s">
        <v>381</v>
      </c>
      <c r="D186" s="75">
        <v>0.6666666666666666</v>
      </c>
      <c r="E186" s="295" t="s">
        <v>725</v>
      </c>
      <c r="F186" s="344">
        <v>2.0687732268E14</v>
      </c>
      <c r="G186" s="320" t="s">
        <v>726</v>
      </c>
      <c r="H186" s="166">
        <v>22434.0</v>
      </c>
      <c r="I186" s="41" t="s">
        <v>195</v>
      </c>
      <c r="J186" s="133" t="s">
        <v>727</v>
      </c>
      <c r="K186" s="42"/>
      <c r="R186" s="67"/>
    </row>
    <row r="187">
      <c r="A187" s="12" t="s">
        <v>90</v>
      </c>
      <c r="B187" s="73"/>
      <c r="C187" s="74"/>
      <c r="D187" s="75">
        <v>0.6805555555555556</v>
      </c>
      <c r="E187" s="295"/>
      <c r="F187" s="133"/>
      <c r="G187" s="188" t="s">
        <v>609</v>
      </c>
      <c r="H187" s="166"/>
      <c r="I187" s="41" t="s">
        <v>439</v>
      </c>
      <c r="J187" s="42"/>
      <c r="K187" s="42"/>
      <c r="R187" s="67"/>
    </row>
    <row r="188">
      <c r="A188" s="12" t="s">
        <v>93</v>
      </c>
      <c r="B188" s="73"/>
      <c r="C188" s="74"/>
      <c r="D188" s="75">
        <v>0.6944444444444444</v>
      </c>
      <c r="E188" s="295"/>
      <c r="F188" s="133"/>
      <c r="G188" s="188" t="s">
        <v>609</v>
      </c>
      <c r="H188" s="166"/>
      <c r="I188" s="41" t="s">
        <v>439</v>
      </c>
      <c r="J188" s="194"/>
      <c r="K188" s="194"/>
      <c r="R188" s="67"/>
    </row>
    <row r="189">
      <c r="R189" s="67"/>
    </row>
    <row r="190">
      <c r="R190" s="67"/>
    </row>
    <row r="191">
      <c r="A191" s="23" t="s">
        <v>579</v>
      </c>
      <c r="B191" s="2"/>
      <c r="C191" s="2"/>
      <c r="D191" s="2"/>
      <c r="E191" s="2"/>
      <c r="F191" s="2"/>
      <c r="G191" s="2"/>
      <c r="H191" s="2"/>
      <c r="I191" s="2"/>
      <c r="J191" s="2"/>
      <c r="K191" s="3"/>
      <c r="R191" s="67"/>
    </row>
    <row r="192">
      <c r="A192" s="263" t="s">
        <v>728</v>
      </c>
      <c r="B192" s="2"/>
      <c r="C192" s="2"/>
      <c r="D192" s="2"/>
      <c r="E192" s="2"/>
      <c r="F192" s="2"/>
      <c r="G192" s="2"/>
      <c r="H192" s="2"/>
      <c r="I192" s="2"/>
      <c r="J192" s="2"/>
      <c r="K192" s="3"/>
      <c r="R192" s="67"/>
    </row>
    <row r="193">
      <c r="A193" s="25"/>
      <c r="B193" s="26" t="s">
        <v>3</v>
      </c>
      <c r="C193" s="27" t="s">
        <v>2</v>
      </c>
      <c r="D193" s="28" t="s">
        <v>5</v>
      </c>
      <c r="E193" s="32" t="s">
        <v>19</v>
      </c>
      <c r="F193" s="28" t="s">
        <v>6</v>
      </c>
      <c r="G193" s="264" t="s">
        <v>7</v>
      </c>
      <c r="H193" s="30" t="s">
        <v>8</v>
      </c>
      <c r="I193" s="31" t="s">
        <v>20</v>
      </c>
      <c r="J193" s="32" t="s">
        <v>21</v>
      </c>
      <c r="K193" s="32" t="s">
        <v>22</v>
      </c>
      <c r="R193" s="67"/>
    </row>
    <row r="194">
      <c r="A194" s="12" t="s">
        <v>10</v>
      </c>
      <c r="B194" s="73" t="s">
        <v>443</v>
      </c>
      <c r="C194" s="74" t="s">
        <v>581</v>
      </c>
      <c r="D194" s="75">
        <v>0.5416666666666666</v>
      </c>
      <c r="E194" s="241" t="s">
        <v>729</v>
      </c>
      <c r="F194" s="162">
        <v>8.01440484182612E14</v>
      </c>
      <c r="G194" s="161" t="s">
        <v>730</v>
      </c>
      <c r="H194" s="163">
        <v>22873.0</v>
      </c>
      <c r="I194" s="41" t="s">
        <v>173</v>
      </c>
      <c r="J194" s="102"/>
      <c r="K194" s="102"/>
      <c r="N194" s="268" t="s">
        <v>387</v>
      </c>
      <c r="O194" s="100"/>
      <c r="P194" s="100"/>
      <c r="Q194" s="100"/>
      <c r="R194" s="67"/>
    </row>
    <row r="195">
      <c r="A195" s="12" t="s">
        <v>11</v>
      </c>
      <c r="B195" s="73" t="s">
        <v>490</v>
      </c>
      <c r="C195" s="74" t="s">
        <v>581</v>
      </c>
      <c r="D195" s="75">
        <v>0.5555555555555556</v>
      </c>
      <c r="E195" s="242" t="s">
        <v>731</v>
      </c>
      <c r="F195" s="185">
        <v>8.01440417541614E14</v>
      </c>
      <c r="G195" s="203" t="s">
        <v>732</v>
      </c>
      <c r="H195" s="77">
        <v>17998.0</v>
      </c>
      <c r="I195" s="41" t="s">
        <v>183</v>
      </c>
      <c r="J195" s="42" t="s">
        <v>733</v>
      </c>
      <c r="K195" s="42"/>
      <c r="N195" s="270" t="s">
        <v>734</v>
      </c>
      <c r="O195" s="2"/>
      <c r="P195" s="2"/>
      <c r="Q195" s="2"/>
      <c r="R195" s="67"/>
    </row>
    <row r="196">
      <c r="A196" s="12" t="s">
        <v>12</v>
      </c>
      <c r="B196" s="73" t="s">
        <v>735</v>
      </c>
      <c r="C196" s="74" t="s">
        <v>581</v>
      </c>
      <c r="D196" s="75">
        <v>0.5694444444444444</v>
      </c>
      <c r="E196" s="241" t="s">
        <v>736</v>
      </c>
      <c r="F196" s="162">
        <v>8.35503001084293E14</v>
      </c>
      <c r="G196" s="161" t="s">
        <v>737</v>
      </c>
      <c r="H196" s="163">
        <v>17825.0</v>
      </c>
      <c r="I196" s="41" t="s">
        <v>183</v>
      </c>
      <c r="J196" s="102"/>
      <c r="K196" s="102"/>
      <c r="N196" s="271" t="s">
        <v>183</v>
      </c>
      <c r="O196" s="272" t="s">
        <v>195</v>
      </c>
      <c r="P196" s="272" t="s">
        <v>181</v>
      </c>
      <c r="Q196" s="273" t="s">
        <v>173</v>
      </c>
      <c r="R196" s="67"/>
    </row>
    <row r="197">
      <c r="A197" s="12" t="s">
        <v>13</v>
      </c>
      <c r="B197" s="73" t="s">
        <v>738</v>
      </c>
      <c r="C197" s="74" t="s">
        <v>581</v>
      </c>
      <c r="D197" s="75">
        <v>0.5833333333333334</v>
      </c>
      <c r="E197" s="241" t="s">
        <v>739</v>
      </c>
      <c r="F197" s="162">
        <v>7.02602295195549E14</v>
      </c>
      <c r="G197" s="161" t="s">
        <v>740</v>
      </c>
      <c r="H197" s="163">
        <v>22760.0</v>
      </c>
      <c r="I197" s="41" t="s">
        <v>183</v>
      </c>
      <c r="J197" s="102" t="s">
        <v>741</v>
      </c>
      <c r="K197" s="102" t="s">
        <v>521</v>
      </c>
      <c r="N197" s="275">
        <f t="shared" ref="N197:Q197" si="12">COUNTIFS($I$194:$I$205,$N$196)</f>
        <v>7</v>
      </c>
      <c r="O197" s="275">
        <f t="shared" si="12"/>
        <v>7</v>
      </c>
      <c r="P197" s="275">
        <f t="shared" si="12"/>
        <v>7</v>
      </c>
      <c r="Q197" s="275">
        <f t="shared" si="12"/>
        <v>7</v>
      </c>
      <c r="R197" s="67"/>
    </row>
    <row r="198">
      <c r="A198" s="12" t="s">
        <v>14</v>
      </c>
      <c r="B198" s="73" t="s">
        <v>448</v>
      </c>
      <c r="C198" s="74" t="s">
        <v>581</v>
      </c>
      <c r="D198" s="75">
        <v>0.5972222222222222</v>
      </c>
      <c r="E198" s="278"/>
      <c r="F198" s="202">
        <v>8.98001430410355E14</v>
      </c>
      <c r="G198" s="346" t="s">
        <v>742</v>
      </c>
      <c r="H198" s="237">
        <v>40086.0</v>
      </c>
      <c r="I198" s="41" t="s">
        <v>183</v>
      </c>
      <c r="J198" s="42"/>
      <c r="K198" s="42"/>
      <c r="L198" s="216" t="s">
        <v>521</v>
      </c>
      <c r="R198" s="67"/>
    </row>
    <row r="199">
      <c r="A199" s="12" t="s">
        <v>15</v>
      </c>
      <c r="B199" s="73" t="s">
        <v>429</v>
      </c>
      <c r="C199" s="74" t="s">
        <v>581</v>
      </c>
      <c r="D199" s="75">
        <v>0.6111111111111112</v>
      </c>
      <c r="E199" s="241" t="s">
        <v>743</v>
      </c>
      <c r="F199" s="162">
        <v>2.01543920940004E14</v>
      </c>
      <c r="G199" s="161" t="s">
        <v>744</v>
      </c>
      <c r="H199" s="163">
        <v>19539.0</v>
      </c>
      <c r="I199" s="41" t="s">
        <v>173</v>
      </c>
      <c r="J199" s="42">
        <v>1.1973828502E10</v>
      </c>
      <c r="K199" s="42"/>
      <c r="R199" s="67"/>
    </row>
    <row r="200" ht="16.5" customHeight="1">
      <c r="A200" s="12" t="s">
        <v>16</v>
      </c>
      <c r="B200" s="73" t="s">
        <v>738</v>
      </c>
      <c r="C200" s="74" t="s">
        <v>581</v>
      </c>
      <c r="D200" s="75">
        <v>0.625</v>
      </c>
      <c r="E200" s="241" t="s">
        <v>745</v>
      </c>
      <c r="F200" s="162">
        <v>7.06007868301744E14</v>
      </c>
      <c r="G200" s="161" t="s">
        <v>746</v>
      </c>
      <c r="H200" s="163">
        <v>19677.0</v>
      </c>
      <c r="I200" s="41" t="s">
        <v>183</v>
      </c>
      <c r="J200" s="102" t="s">
        <v>747</v>
      </c>
      <c r="K200" s="102" t="s">
        <v>521</v>
      </c>
      <c r="R200" s="67"/>
    </row>
    <row r="201">
      <c r="A201" s="12" t="s">
        <v>17</v>
      </c>
      <c r="B201" s="73" t="s">
        <v>429</v>
      </c>
      <c r="C201" s="74" t="s">
        <v>581</v>
      </c>
      <c r="D201" s="75">
        <v>0.6388888888888888</v>
      </c>
      <c r="E201" s="241" t="s">
        <v>748</v>
      </c>
      <c r="F201" s="162">
        <v>8.98001462757202E14</v>
      </c>
      <c r="G201" s="161" t="s">
        <v>749</v>
      </c>
      <c r="H201" s="163">
        <v>20484.0</v>
      </c>
      <c r="I201" s="41" t="s">
        <v>183</v>
      </c>
      <c r="J201" s="42">
        <v>9.69118749E8</v>
      </c>
      <c r="K201" s="42"/>
      <c r="R201" s="67"/>
    </row>
    <row r="202">
      <c r="A202" s="12" t="s">
        <v>85</v>
      </c>
      <c r="B202" s="73" t="s">
        <v>750</v>
      </c>
      <c r="C202" s="74" t="s">
        <v>581</v>
      </c>
      <c r="D202" s="75">
        <v>0.6527777777777778</v>
      </c>
      <c r="E202" s="317" t="s">
        <v>751</v>
      </c>
      <c r="F202" s="185">
        <v>7.09006893085514E14</v>
      </c>
      <c r="G202" s="347" t="s">
        <v>752</v>
      </c>
      <c r="H202" s="166">
        <v>23482.0</v>
      </c>
      <c r="I202" s="41" t="s">
        <v>173</v>
      </c>
      <c r="J202" s="42">
        <v>1.1933758494E10</v>
      </c>
      <c r="K202" s="42" t="s">
        <v>521</v>
      </c>
      <c r="R202" s="67"/>
    </row>
    <row r="203">
      <c r="A203" s="12" t="s">
        <v>87</v>
      </c>
      <c r="B203" s="73" t="s">
        <v>753</v>
      </c>
      <c r="C203" s="74" t="s">
        <v>581</v>
      </c>
      <c r="D203" s="75">
        <v>0.6666666666666666</v>
      </c>
      <c r="E203" s="245" t="s">
        <v>754</v>
      </c>
      <c r="F203" s="162">
        <v>7.08402787274966E14</v>
      </c>
      <c r="G203" s="203" t="s">
        <v>755</v>
      </c>
      <c r="H203" s="166">
        <v>21377.0</v>
      </c>
      <c r="I203" s="41" t="s">
        <v>183</v>
      </c>
      <c r="J203" s="348" t="s">
        <v>756</v>
      </c>
      <c r="K203" s="42" t="s">
        <v>521</v>
      </c>
      <c r="R203" s="67"/>
    </row>
    <row r="204">
      <c r="A204" s="12" t="s">
        <v>90</v>
      </c>
      <c r="B204" s="73"/>
      <c r="C204" s="74" t="s">
        <v>581</v>
      </c>
      <c r="D204" s="75">
        <v>0.6805555555555556</v>
      </c>
      <c r="E204" s="295"/>
      <c r="F204" s="133"/>
      <c r="G204" s="188" t="s">
        <v>609</v>
      </c>
      <c r="H204" s="166"/>
      <c r="I204" s="41"/>
      <c r="J204" s="42"/>
      <c r="K204" s="42"/>
      <c r="R204" s="67"/>
    </row>
    <row r="205">
      <c r="A205" s="12" t="s">
        <v>93</v>
      </c>
      <c r="B205" s="73"/>
      <c r="C205" s="74" t="s">
        <v>581</v>
      </c>
      <c r="D205" s="75">
        <v>0.6944444444444444</v>
      </c>
      <c r="E205" s="295"/>
      <c r="F205" s="133"/>
      <c r="G205" s="188" t="s">
        <v>609</v>
      </c>
      <c r="H205" s="166"/>
      <c r="I205" s="41"/>
      <c r="J205" s="194"/>
      <c r="K205" s="194"/>
      <c r="R205" s="67"/>
    </row>
    <row r="206">
      <c r="R206" s="67"/>
    </row>
    <row r="207">
      <c r="R207" s="67"/>
    </row>
    <row r="208">
      <c r="A208" s="23" t="s">
        <v>456</v>
      </c>
      <c r="B208" s="2"/>
      <c r="C208" s="2"/>
      <c r="D208" s="2"/>
      <c r="E208" s="2"/>
      <c r="F208" s="2"/>
      <c r="G208" s="2"/>
      <c r="H208" s="2"/>
      <c r="I208" s="2"/>
      <c r="J208" s="2"/>
      <c r="K208" s="3"/>
      <c r="R208" s="67"/>
    </row>
    <row r="209">
      <c r="A209" s="263" t="s">
        <v>757</v>
      </c>
      <c r="B209" s="2"/>
      <c r="C209" s="2"/>
      <c r="D209" s="2"/>
      <c r="E209" s="2"/>
      <c r="F209" s="2"/>
      <c r="G209" s="2"/>
      <c r="H209" s="2"/>
      <c r="I209" s="2"/>
      <c r="J209" s="2"/>
      <c r="K209" s="3"/>
      <c r="R209" s="67"/>
    </row>
    <row r="210">
      <c r="A210" s="25"/>
      <c r="B210" s="26" t="s">
        <v>3</v>
      </c>
      <c r="C210" s="27" t="s">
        <v>2</v>
      </c>
      <c r="D210" s="28" t="s">
        <v>5</v>
      </c>
      <c r="E210" s="32" t="s">
        <v>19</v>
      </c>
      <c r="F210" s="28" t="s">
        <v>6</v>
      </c>
      <c r="G210" s="264" t="s">
        <v>7</v>
      </c>
      <c r="H210" s="30" t="s">
        <v>8</v>
      </c>
      <c r="I210" s="31" t="s">
        <v>20</v>
      </c>
      <c r="J210" s="32" t="s">
        <v>21</v>
      </c>
      <c r="K210" s="32" t="s">
        <v>22</v>
      </c>
      <c r="R210" s="67"/>
    </row>
    <row r="211">
      <c r="A211" s="12" t="s">
        <v>10</v>
      </c>
      <c r="B211" s="73" t="s">
        <v>758</v>
      </c>
      <c r="C211" s="74" t="s">
        <v>430</v>
      </c>
      <c r="D211" s="75">
        <v>0.3333333333333333</v>
      </c>
      <c r="E211" s="241" t="s">
        <v>759</v>
      </c>
      <c r="F211" s="84">
        <v>7.0020396272982E14</v>
      </c>
      <c r="G211" s="79" t="s">
        <v>760</v>
      </c>
      <c r="H211" s="83">
        <v>21730.0</v>
      </c>
      <c r="I211" s="41" t="s">
        <v>183</v>
      </c>
      <c r="J211" s="102" t="s">
        <v>761</v>
      </c>
      <c r="K211" s="102"/>
      <c r="N211" s="268" t="s">
        <v>387</v>
      </c>
      <c r="O211" s="100"/>
      <c r="P211" s="100"/>
      <c r="Q211" s="100"/>
      <c r="R211" s="67"/>
    </row>
    <row r="212">
      <c r="A212" s="12" t="s">
        <v>11</v>
      </c>
      <c r="B212" s="73" t="s">
        <v>758</v>
      </c>
      <c r="C212" s="74" t="s">
        <v>430</v>
      </c>
      <c r="D212" s="75">
        <v>0.3472222222222222</v>
      </c>
      <c r="E212" s="242" t="s">
        <v>762</v>
      </c>
      <c r="F212" s="185">
        <v>1.25439810570005E14</v>
      </c>
      <c r="G212" s="312" t="s">
        <v>763</v>
      </c>
      <c r="H212" s="77">
        <v>27905.0</v>
      </c>
      <c r="I212" s="41" t="s">
        <v>183</v>
      </c>
      <c r="J212" s="42"/>
      <c r="K212" s="42"/>
      <c r="N212" s="270" t="s">
        <v>764</v>
      </c>
      <c r="O212" s="2"/>
      <c r="P212" s="2"/>
      <c r="Q212" s="2"/>
      <c r="R212" s="67"/>
    </row>
    <row r="213">
      <c r="A213" s="12" t="s">
        <v>12</v>
      </c>
      <c r="B213" s="73" t="s">
        <v>758</v>
      </c>
      <c r="C213" s="74" t="s">
        <v>430</v>
      </c>
      <c r="D213" s="75">
        <v>0.3611111111111111</v>
      </c>
      <c r="E213" s="241" t="s">
        <v>765</v>
      </c>
      <c r="F213" s="84">
        <v>7.07800651258213E14</v>
      </c>
      <c r="G213" s="79" t="s">
        <v>766</v>
      </c>
      <c r="H213" s="83">
        <v>18538.0</v>
      </c>
      <c r="I213" s="41" t="s">
        <v>183</v>
      </c>
      <c r="J213" s="102" t="s">
        <v>767</v>
      </c>
      <c r="K213" s="102"/>
      <c r="N213" s="271" t="s">
        <v>183</v>
      </c>
      <c r="O213" s="272" t="s">
        <v>195</v>
      </c>
      <c r="P213" s="272" t="s">
        <v>181</v>
      </c>
      <c r="Q213" s="273" t="s">
        <v>173</v>
      </c>
      <c r="R213" s="67"/>
    </row>
    <row r="214">
      <c r="A214" s="12" t="s">
        <v>13</v>
      </c>
      <c r="B214" s="73" t="s">
        <v>758</v>
      </c>
      <c r="C214" s="74" t="s">
        <v>430</v>
      </c>
      <c r="D214" s="75">
        <v>0.375</v>
      </c>
      <c r="E214" s="241" t="s">
        <v>768</v>
      </c>
      <c r="F214" s="84">
        <v>7.00804441675388E14</v>
      </c>
      <c r="G214" s="79" t="s">
        <v>769</v>
      </c>
      <c r="H214" s="83">
        <v>21359.0</v>
      </c>
      <c r="I214" s="41" t="s">
        <v>195</v>
      </c>
      <c r="J214" s="102"/>
      <c r="K214" s="102"/>
      <c r="N214" s="275">
        <f t="shared" ref="N214:Q214" si="13">COUNTIFS($I$211:$I$222,$N$213)</f>
        <v>8</v>
      </c>
      <c r="O214" s="275">
        <f t="shared" si="13"/>
        <v>8</v>
      </c>
      <c r="P214" s="275">
        <f t="shared" si="13"/>
        <v>8</v>
      </c>
      <c r="Q214" s="275">
        <f t="shared" si="13"/>
        <v>8</v>
      </c>
      <c r="R214" s="67"/>
    </row>
    <row r="215">
      <c r="A215" s="12" t="s">
        <v>14</v>
      </c>
      <c r="B215" s="73" t="s">
        <v>758</v>
      </c>
      <c r="C215" s="74" t="s">
        <v>430</v>
      </c>
      <c r="D215" s="75">
        <v>0.3888888888888889</v>
      </c>
      <c r="E215" s="278" t="s">
        <v>770</v>
      </c>
      <c r="F215" s="156">
        <v>7.07800641532215E14</v>
      </c>
      <c r="G215" s="187" t="s">
        <v>771</v>
      </c>
      <c r="H215" s="77">
        <v>22553.0</v>
      </c>
      <c r="I215" s="41" t="s">
        <v>195</v>
      </c>
      <c r="J215" s="42"/>
      <c r="K215" s="42"/>
      <c r="R215" s="67"/>
    </row>
    <row r="216">
      <c r="A216" s="12" t="s">
        <v>15</v>
      </c>
      <c r="B216" s="73" t="s">
        <v>758</v>
      </c>
      <c r="C216" s="74" t="s">
        <v>430</v>
      </c>
      <c r="D216" s="75">
        <v>0.4027777777777778</v>
      </c>
      <c r="E216" s="241" t="s">
        <v>772</v>
      </c>
      <c r="F216" s="84">
        <v>7.0820014011054E14</v>
      </c>
      <c r="G216" s="79" t="s">
        <v>773</v>
      </c>
      <c r="H216" s="83">
        <v>16299.0</v>
      </c>
      <c r="I216" s="41" t="s">
        <v>195</v>
      </c>
      <c r="J216" s="42"/>
      <c r="K216" s="42"/>
      <c r="R216" s="67"/>
    </row>
    <row r="217">
      <c r="A217" s="12" t="s">
        <v>16</v>
      </c>
      <c r="B217" s="73" t="s">
        <v>758</v>
      </c>
      <c r="C217" s="74" t="s">
        <v>430</v>
      </c>
      <c r="D217" s="75">
        <v>0.4166666666666667</v>
      </c>
      <c r="E217" s="241" t="s">
        <v>774</v>
      </c>
      <c r="F217" s="84">
        <v>2.01151332100007E14</v>
      </c>
      <c r="G217" s="79" t="s">
        <v>775</v>
      </c>
      <c r="H217" s="83">
        <v>26285.0</v>
      </c>
      <c r="I217" s="41" t="s">
        <v>183</v>
      </c>
      <c r="J217" s="102" t="s">
        <v>776</v>
      </c>
      <c r="K217" s="102"/>
      <c r="R217" s="67"/>
    </row>
    <row r="218">
      <c r="A218" s="12" t="s">
        <v>17</v>
      </c>
      <c r="B218" s="73" t="s">
        <v>758</v>
      </c>
      <c r="C218" s="74" t="s">
        <v>430</v>
      </c>
      <c r="D218" s="75">
        <v>0.4305555555555556</v>
      </c>
      <c r="E218" s="241" t="s">
        <v>777</v>
      </c>
      <c r="F218" s="84">
        <v>2.03923185840002E14</v>
      </c>
      <c r="G218" s="79" t="s">
        <v>778</v>
      </c>
      <c r="H218" s="83">
        <v>26899.0</v>
      </c>
      <c r="I218" s="41" t="s">
        <v>183</v>
      </c>
      <c r="J218" s="42" t="s">
        <v>779</v>
      </c>
      <c r="K218" s="42"/>
      <c r="R218" s="67"/>
    </row>
    <row r="219">
      <c r="A219" s="12" t="s">
        <v>85</v>
      </c>
      <c r="B219" s="73" t="s">
        <v>295</v>
      </c>
      <c r="C219" s="74" t="s">
        <v>430</v>
      </c>
      <c r="D219" s="75">
        <v>0.4444444444444444</v>
      </c>
      <c r="E219" s="278" t="s">
        <v>780</v>
      </c>
      <c r="F219" s="156">
        <v>7.02800187387064E14</v>
      </c>
      <c r="G219" s="79" t="s">
        <v>781</v>
      </c>
      <c r="H219" s="91">
        <v>21107.0</v>
      </c>
      <c r="I219" s="41" t="s">
        <v>183</v>
      </c>
      <c r="J219" s="42">
        <v>9.87065427E8</v>
      </c>
      <c r="K219" s="42"/>
      <c r="L219" s="216" t="s">
        <v>521</v>
      </c>
      <c r="R219" s="67"/>
    </row>
    <row r="220">
      <c r="A220" s="12" t="s">
        <v>87</v>
      </c>
      <c r="B220" s="73" t="s">
        <v>276</v>
      </c>
      <c r="C220" s="74" t="s">
        <v>430</v>
      </c>
      <c r="D220" s="75">
        <v>0.4583333333333333</v>
      </c>
      <c r="E220" s="245" t="s">
        <v>782</v>
      </c>
      <c r="F220" s="162">
        <v>7.04203737001885E14</v>
      </c>
      <c r="G220" s="105" t="s">
        <v>783</v>
      </c>
      <c r="H220" s="166">
        <v>26966.0</v>
      </c>
      <c r="I220" s="41" t="s">
        <v>183</v>
      </c>
      <c r="J220" s="42"/>
      <c r="K220" s="42"/>
      <c r="R220" s="67"/>
    </row>
    <row r="221">
      <c r="A221" s="12" t="s">
        <v>90</v>
      </c>
      <c r="B221" s="73" t="s">
        <v>276</v>
      </c>
      <c r="C221" s="74" t="s">
        <v>430</v>
      </c>
      <c r="D221" s="75">
        <v>0.4722222222222222</v>
      </c>
      <c r="E221" s="295" t="s">
        <v>784</v>
      </c>
      <c r="F221" s="133">
        <v>8.01440401122382E14</v>
      </c>
      <c r="G221" s="105" t="s">
        <v>785</v>
      </c>
      <c r="H221" s="166"/>
      <c r="I221" s="41" t="s">
        <v>183</v>
      </c>
      <c r="J221" s="42"/>
      <c r="K221" s="42"/>
      <c r="R221" s="67"/>
    </row>
    <row r="222">
      <c r="A222" s="12" t="s">
        <v>93</v>
      </c>
      <c r="B222" s="73" t="s">
        <v>295</v>
      </c>
      <c r="C222" s="74" t="s">
        <v>430</v>
      </c>
      <c r="D222" s="75">
        <v>0.4861111111111111</v>
      </c>
      <c r="E222" s="295" t="s">
        <v>786</v>
      </c>
      <c r="F222" s="133">
        <v>2.0115502283E14</v>
      </c>
      <c r="G222" s="90" t="s">
        <v>787</v>
      </c>
      <c r="H222" s="166">
        <v>20184.0</v>
      </c>
      <c r="I222" s="41" t="s">
        <v>195</v>
      </c>
      <c r="J222" s="194" t="s">
        <v>788</v>
      </c>
      <c r="K222" s="194">
        <v>5.8211045E7</v>
      </c>
      <c r="L222" s="216" t="s">
        <v>521</v>
      </c>
      <c r="R222" s="67"/>
    </row>
    <row r="223">
      <c r="R223" s="67"/>
    </row>
    <row r="224">
      <c r="R224" s="67"/>
    </row>
    <row r="225">
      <c r="R225" s="67"/>
    </row>
    <row r="226">
      <c r="R226" s="67"/>
    </row>
    <row r="227">
      <c r="R227" s="67"/>
    </row>
    <row r="228">
      <c r="A228" s="23" t="s">
        <v>456</v>
      </c>
      <c r="B228" s="2"/>
      <c r="C228" s="2"/>
      <c r="D228" s="2"/>
      <c r="E228" s="2"/>
      <c r="F228" s="2"/>
      <c r="G228" s="2"/>
      <c r="H228" s="2"/>
      <c r="I228" s="2"/>
      <c r="J228" s="2"/>
      <c r="K228" s="3"/>
      <c r="R228" s="67"/>
    </row>
    <row r="229">
      <c r="A229" s="263" t="s">
        <v>789</v>
      </c>
      <c r="B229" s="2"/>
      <c r="C229" s="2"/>
      <c r="D229" s="2"/>
      <c r="E229" s="2"/>
      <c r="F229" s="2"/>
      <c r="G229" s="2"/>
      <c r="H229" s="2"/>
      <c r="I229" s="2"/>
      <c r="J229" s="2"/>
      <c r="K229" s="3"/>
      <c r="R229" s="67"/>
    </row>
    <row r="230">
      <c r="A230" s="25"/>
      <c r="B230" s="26" t="s">
        <v>3</v>
      </c>
      <c r="C230" s="27" t="s">
        <v>2</v>
      </c>
      <c r="D230" s="28" t="s">
        <v>5</v>
      </c>
      <c r="E230" s="32" t="s">
        <v>19</v>
      </c>
      <c r="F230" s="28" t="s">
        <v>6</v>
      </c>
      <c r="G230" s="264" t="s">
        <v>7</v>
      </c>
      <c r="H230" s="30" t="s">
        <v>8</v>
      </c>
      <c r="I230" s="31" t="s">
        <v>20</v>
      </c>
      <c r="J230" s="32" t="s">
        <v>21</v>
      </c>
      <c r="K230" s="32" t="s">
        <v>22</v>
      </c>
      <c r="R230" s="67"/>
    </row>
    <row r="231">
      <c r="A231" s="12" t="s">
        <v>10</v>
      </c>
      <c r="B231" s="73" t="s">
        <v>790</v>
      </c>
      <c r="C231" s="74" t="s">
        <v>381</v>
      </c>
      <c r="D231" s="75">
        <v>0.5416666666666666</v>
      </c>
      <c r="E231" s="84">
        <v>1.145843883E10</v>
      </c>
      <c r="F231" s="84">
        <v>7.07001899592336E14</v>
      </c>
      <c r="G231" s="73" t="s">
        <v>791</v>
      </c>
      <c r="H231" s="83">
        <v>26895.0</v>
      </c>
      <c r="I231" s="41" t="s">
        <v>183</v>
      </c>
      <c r="J231" s="102">
        <v>1.1987766428E10</v>
      </c>
      <c r="K231" s="102"/>
      <c r="R231" s="67"/>
    </row>
    <row r="232">
      <c r="A232" s="12" t="s">
        <v>11</v>
      </c>
      <c r="B232" s="73"/>
      <c r="C232" s="74" t="s">
        <v>381</v>
      </c>
      <c r="D232" s="75">
        <v>0.5555555555555556</v>
      </c>
      <c r="E232" s="76"/>
      <c r="F232" s="185"/>
      <c r="G232" s="186"/>
      <c r="H232" s="77"/>
      <c r="I232" s="41"/>
      <c r="J232" s="42"/>
      <c r="K232" s="42"/>
      <c r="R232" s="67"/>
    </row>
    <row r="233">
      <c r="A233" s="12" t="s">
        <v>12</v>
      </c>
      <c r="B233" s="73" t="s">
        <v>295</v>
      </c>
      <c r="C233" s="74" t="s">
        <v>381</v>
      </c>
      <c r="D233" s="75">
        <v>0.5694444444444444</v>
      </c>
      <c r="E233" s="84">
        <v>1.6414033812E10</v>
      </c>
      <c r="F233" s="84">
        <v>7.0410568707245E14</v>
      </c>
      <c r="G233" s="79" t="s">
        <v>792</v>
      </c>
      <c r="H233" s="83">
        <v>19321.0</v>
      </c>
      <c r="I233" s="41" t="s">
        <v>195</v>
      </c>
      <c r="J233" s="102"/>
      <c r="K233" s="102"/>
      <c r="R233" s="67"/>
    </row>
    <row r="234">
      <c r="A234" s="12" t="s">
        <v>13</v>
      </c>
      <c r="B234" s="73" t="s">
        <v>276</v>
      </c>
      <c r="C234" s="74" t="s">
        <v>381</v>
      </c>
      <c r="D234" s="75">
        <v>0.5833333333333334</v>
      </c>
      <c r="E234" s="84">
        <v>5.5833659434E10</v>
      </c>
      <c r="F234" s="349">
        <v>8.0144040828803E14</v>
      </c>
      <c r="G234" s="79" t="s">
        <v>793</v>
      </c>
      <c r="H234" s="83">
        <v>16977.0</v>
      </c>
      <c r="I234" s="41" t="s">
        <v>195</v>
      </c>
      <c r="J234" s="102"/>
      <c r="K234" s="102"/>
      <c r="R234" s="67"/>
    </row>
    <row r="235">
      <c r="A235" s="12" t="s">
        <v>14</v>
      </c>
      <c r="B235" s="73" t="s">
        <v>668</v>
      </c>
      <c r="C235" s="74" t="s">
        <v>381</v>
      </c>
      <c r="D235" s="75">
        <v>0.5972222222222222</v>
      </c>
      <c r="E235" s="197">
        <v>3.0102822816E10</v>
      </c>
      <c r="F235" s="66">
        <v>8.01440496741239E14</v>
      </c>
      <c r="G235" s="59" t="s">
        <v>34</v>
      </c>
      <c r="H235" s="298">
        <v>16256.0</v>
      </c>
      <c r="I235" s="41" t="s">
        <v>183</v>
      </c>
      <c r="J235" s="42"/>
      <c r="K235" s="42"/>
      <c r="R235" s="67"/>
    </row>
    <row r="236">
      <c r="A236" s="12" t="s">
        <v>15</v>
      </c>
      <c r="B236" s="73"/>
      <c r="C236" s="74" t="s">
        <v>381</v>
      </c>
      <c r="D236" s="75">
        <v>0.6111111111111112</v>
      </c>
      <c r="E236" s="84"/>
      <c r="F236" s="349"/>
      <c r="G236" s="79"/>
      <c r="H236" s="83"/>
      <c r="I236" s="41"/>
      <c r="J236" s="42"/>
      <c r="K236" s="42"/>
      <c r="R236" s="67"/>
    </row>
    <row r="237">
      <c r="A237" s="12" t="s">
        <v>16</v>
      </c>
      <c r="B237" s="73" t="s">
        <v>276</v>
      </c>
      <c r="C237" s="74" t="s">
        <v>381</v>
      </c>
      <c r="D237" s="75">
        <v>0.625</v>
      </c>
      <c r="E237" s="84">
        <v>8.741198808E9</v>
      </c>
      <c r="F237" s="84">
        <v>8.01440410105797E14</v>
      </c>
      <c r="G237" s="79" t="s">
        <v>794</v>
      </c>
      <c r="H237" s="83">
        <v>15862.0</v>
      </c>
      <c r="I237" s="41" t="s">
        <v>183</v>
      </c>
      <c r="J237" s="102"/>
      <c r="K237" s="102"/>
      <c r="P237" s="216" t="s">
        <v>795</v>
      </c>
      <c r="R237" s="67"/>
    </row>
    <row r="238">
      <c r="A238" s="12" t="s">
        <v>17</v>
      </c>
      <c r="B238" s="73" t="s">
        <v>295</v>
      </c>
      <c r="C238" s="74" t="s">
        <v>381</v>
      </c>
      <c r="D238" s="75">
        <v>0.6388888888888888</v>
      </c>
      <c r="E238" s="84">
        <v>1.2747981835E10</v>
      </c>
      <c r="F238" s="84">
        <v>7.05204440601379E14</v>
      </c>
      <c r="G238" s="73" t="s">
        <v>796</v>
      </c>
      <c r="H238" s="83">
        <v>27257.0</v>
      </c>
      <c r="I238" s="41" t="s">
        <v>183</v>
      </c>
      <c r="J238" s="42"/>
      <c r="K238" s="42"/>
      <c r="R238" s="67"/>
    </row>
    <row r="239">
      <c r="A239" s="12" t="s">
        <v>85</v>
      </c>
      <c r="B239" s="73" t="s">
        <v>291</v>
      </c>
      <c r="C239" s="74" t="s">
        <v>381</v>
      </c>
      <c r="D239" s="75">
        <v>0.6527777777777778</v>
      </c>
      <c r="E239" s="278" t="s">
        <v>797</v>
      </c>
      <c r="F239" s="156">
        <v>7.09602619659577E14</v>
      </c>
      <c r="G239" s="184" t="s">
        <v>798</v>
      </c>
      <c r="H239" s="91">
        <v>29185.0</v>
      </c>
      <c r="I239" s="41" t="s">
        <v>183</v>
      </c>
      <c r="J239" s="42"/>
      <c r="K239" s="42"/>
      <c r="R239" s="67"/>
    </row>
    <row r="240">
      <c r="A240" s="12" t="s">
        <v>87</v>
      </c>
      <c r="B240" s="73"/>
      <c r="C240" s="74" t="s">
        <v>381</v>
      </c>
      <c r="D240" s="75">
        <v>0.6666666666666666</v>
      </c>
      <c r="E240" s="162"/>
      <c r="F240" s="162"/>
      <c r="G240" s="188"/>
      <c r="H240" s="166"/>
      <c r="I240" s="41"/>
      <c r="J240" s="42"/>
      <c r="K240" s="42"/>
      <c r="R240" s="67"/>
    </row>
    <row r="241">
      <c r="A241" s="12" t="s">
        <v>90</v>
      </c>
      <c r="B241" s="73"/>
      <c r="C241" s="74" t="s">
        <v>381</v>
      </c>
      <c r="D241" s="75">
        <v>0.6805555555555556</v>
      </c>
      <c r="E241" s="133"/>
      <c r="F241" s="133"/>
      <c r="G241" s="188"/>
      <c r="H241" s="166"/>
      <c r="I241" s="41"/>
      <c r="J241" s="42"/>
      <c r="K241" s="42"/>
      <c r="R241" s="67"/>
    </row>
    <row r="242">
      <c r="A242" s="12" t="s">
        <v>93</v>
      </c>
      <c r="B242" s="73"/>
      <c r="C242" s="74" t="s">
        <v>381</v>
      </c>
      <c r="D242" s="75">
        <v>0.6944444444444444</v>
      </c>
      <c r="E242" s="133"/>
      <c r="F242" s="133"/>
      <c r="G242" s="188"/>
      <c r="H242" s="166"/>
      <c r="I242" s="41"/>
      <c r="J242" s="194"/>
      <c r="K242" s="194"/>
      <c r="R242" s="67"/>
    </row>
    <row r="243">
      <c r="R243" s="67"/>
    </row>
    <row r="244">
      <c r="R244" s="67"/>
    </row>
    <row r="245">
      <c r="A245" s="23" t="s">
        <v>579</v>
      </c>
      <c r="B245" s="2"/>
      <c r="C245" s="2"/>
      <c r="D245" s="2"/>
      <c r="E245" s="2"/>
      <c r="F245" s="2"/>
      <c r="G245" s="2"/>
      <c r="H245" s="2"/>
      <c r="I245" s="2"/>
      <c r="J245" s="2"/>
      <c r="K245" s="3"/>
      <c r="R245" s="67"/>
    </row>
    <row r="246">
      <c r="A246" s="263" t="s">
        <v>799</v>
      </c>
      <c r="B246" s="2"/>
      <c r="C246" s="2"/>
      <c r="D246" s="2"/>
      <c r="E246" s="2"/>
      <c r="F246" s="2"/>
      <c r="G246" s="2"/>
      <c r="H246" s="2"/>
      <c r="I246" s="2"/>
      <c r="J246" s="2"/>
      <c r="K246" s="3"/>
      <c r="R246" s="67"/>
    </row>
    <row r="247">
      <c r="A247" s="25"/>
      <c r="B247" s="26" t="s">
        <v>3</v>
      </c>
      <c r="C247" s="27" t="s">
        <v>2</v>
      </c>
      <c r="D247" s="28" t="s">
        <v>5</v>
      </c>
      <c r="E247" s="32" t="s">
        <v>19</v>
      </c>
      <c r="F247" s="28" t="s">
        <v>6</v>
      </c>
      <c r="G247" s="264" t="s">
        <v>7</v>
      </c>
      <c r="H247" s="30" t="s">
        <v>8</v>
      </c>
      <c r="I247" s="31" t="s">
        <v>20</v>
      </c>
      <c r="J247" s="32" t="s">
        <v>21</v>
      </c>
      <c r="K247" s="32" t="s">
        <v>22</v>
      </c>
      <c r="R247" s="67"/>
    </row>
    <row r="248">
      <c r="A248" s="12" t="s">
        <v>10</v>
      </c>
      <c r="B248" s="73" t="s">
        <v>429</v>
      </c>
      <c r="C248" s="74" t="s">
        <v>581</v>
      </c>
      <c r="D248" s="75">
        <v>0.5416666666666666</v>
      </c>
      <c r="E248" s="84">
        <v>4.906369332E10</v>
      </c>
      <c r="F248" s="84">
        <v>8.01440425175982E14</v>
      </c>
      <c r="G248" s="79" t="s">
        <v>800</v>
      </c>
      <c r="H248" s="83">
        <v>22950.0</v>
      </c>
      <c r="I248" s="41" t="s">
        <v>195</v>
      </c>
      <c r="J248" s="102">
        <v>9.87429935E8</v>
      </c>
      <c r="K248" s="102"/>
      <c r="R248" s="67"/>
    </row>
    <row r="249">
      <c r="A249" s="12" t="s">
        <v>11</v>
      </c>
      <c r="B249" s="73" t="s">
        <v>750</v>
      </c>
      <c r="C249" s="74" t="s">
        <v>581</v>
      </c>
      <c r="D249" s="75">
        <v>0.5555555555555556</v>
      </c>
      <c r="E249" s="84">
        <v>8.586222623E9</v>
      </c>
      <c r="F249" s="84">
        <v>8.98001407887248E14</v>
      </c>
      <c r="G249" s="79" t="s">
        <v>801</v>
      </c>
      <c r="H249" s="83">
        <v>31602.0</v>
      </c>
      <c r="I249" s="41" t="s">
        <v>183</v>
      </c>
      <c r="J249" s="102" t="s">
        <v>802</v>
      </c>
      <c r="K249" s="42"/>
      <c r="R249" s="67"/>
    </row>
    <row r="250">
      <c r="A250" s="12" t="s">
        <v>12</v>
      </c>
      <c r="B250" s="73" t="s">
        <v>259</v>
      </c>
      <c r="C250" s="74" t="s">
        <v>581</v>
      </c>
      <c r="D250" s="75">
        <v>0.5694444444444444</v>
      </c>
      <c r="E250" s="84">
        <v>6.488867865E9</v>
      </c>
      <c r="F250" s="84">
        <v>7.02908587630779E14</v>
      </c>
      <c r="G250" s="79" t="s">
        <v>803</v>
      </c>
      <c r="H250" s="83">
        <v>20427.0</v>
      </c>
      <c r="I250" s="41" t="s">
        <v>195</v>
      </c>
      <c r="J250" s="102" t="s">
        <v>804</v>
      </c>
      <c r="K250" s="102" t="s">
        <v>805</v>
      </c>
      <c r="R250" s="67"/>
    </row>
    <row r="251">
      <c r="A251" s="12" t="s">
        <v>13</v>
      </c>
      <c r="B251" s="73" t="s">
        <v>596</v>
      </c>
      <c r="C251" s="74" t="s">
        <v>581</v>
      </c>
      <c r="D251" s="75">
        <v>0.5833333333333334</v>
      </c>
      <c r="E251" s="84">
        <v>2.612939804E9</v>
      </c>
      <c r="F251" s="84">
        <v>8.01440472273456E14</v>
      </c>
      <c r="G251" s="79" t="s">
        <v>806</v>
      </c>
      <c r="H251" s="83">
        <v>26308.0</v>
      </c>
      <c r="I251" s="41" t="s">
        <v>183</v>
      </c>
      <c r="J251" s="102">
        <v>1.1951934223E10</v>
      </c>
      <c r="K251" s="102"/>
      <c r="R251" s="67"/>
    </row>
    <row r="252">
      <c r="A252" s="12" t="s">
        <v>14</v>
      </c>
      <c r="B252" s="73" t="s">
        <v>750</v>
      </c>
      <c r="C252" s="74" t="s">
        <v>581</v>
      </c>
      <c r="D252" s="75">
        <v>0.5972222222222222</v>
      </c>
      <c r="E252" s="84">
        <v>2.5057519867E10</v>
      </c>
      <c r="F252" s="84">
        <v>7.01803231892878E14</v>
      </c>
      <c r="G252" s="79" t="s">
        <v>807</v>
      </c>
      <c r="H252" s="83">
        <v>21047.0</v>
      </c>
      <c r="I252" s="41" t="s">
        <v>183</v>
      </c>
      <c r="J252" s="102" t="s">
        <v>808</v>
      </c>
      <c r="K252" s="42"/>
      <c r="R252" s="67"/>
    </row>
    <row r="253">
      <c r="A253" s="12" t="s">
        <v>15</v>
      </c>
      <c r="B253" s="73" t="s">
        <v>259</v>
      </c>
      <c r="C253" s="74" t="s">
        <v>581</v>
      </c>
      <c r="D253" s="75">
        <v>0.6111111111111112</v>
      </c>
      <c r="E253" s="84">
        <v>6.9058059472E10</v>
      </c>
      <c r="F253" s="84">
        <v>8.98001401965271E14</v>
      </c>
      <c r="G253" s="79" t="s">
        <v>809</v>
      </c>
      <c r="H253" s="83">
        <v>22595.0</v>
      </c>
      <c r="I253" s="41" t="s">
        <v>183</v>
      </c>
      <c r="J253" s="42" t="s">
        <v>810</v>
      </c>
      <c r="K253" s="42" t="s">
        <v>811</v>
      </c>
      <c r="R253" s="67"/>
    </row>
    <row r="254">
      <c r="A254" s="12" t="s">
        <v>16</v>
      </c>
      <c r="B254" s="73" t="s">
        <v>596</v>
      </c>
      <c r="C254" s="74" t="s">
        <v>581</v>
      </c>
      <c r="D254" s="75">
        <v>0.625</v>
      </c>
      <c r="E254" s="84">
        <v>1.2808365802E10</v>
      </c>
      <c r="F254" s="84">
        <v>8.0144047069335E14</v>
      </c>
      <c r="G254" s="79" t="s">
        <v>812</v>
      </c>
      <c r="H254" s="83">
        <v>18456.0</v>
      </c>
      <c r="I254" s="41" t="s">
        <v>183</v>
      </c>
      <c r="J254" s="102">
        <v>1.194831445E10</v>
      </c>
      <c r="K254" s="102"/>
      <c r="R254" s="67"/>
    </row>
    <row r="255">
      <c r="A255" s="12" t="s">
        <v>17</v>
      </c>
      <c r="B255" s="73"/>
      <c r="C255" s="74" t="s">
        <v>581</v>
      </c>
      <c r="D255" s="75">
        <v>0.6388888888888888</v>
      </c>
      <c r="E255" s="84"/>
      <c r="F255" s="84"/>
      <c r="G255" s="79"/>
      <c r="H255" s="83"/>
      <c r="I255" s="41"/>
      <c r="J255" s="42"/>
      <c r="K255" s="42"/>
      <c r="R255" s="67"/>
    </row>
    <row r="256">
      <c r="A256" s="12" t="s">
        <v>85</v>
      </c>
      <c r="B256" s="73" t="s">
        <v>750</v>
      </c>
      <c r="C256" s="74" t="s">
        <v>581</v>
      </c>
      <c r="D256" s="75">
        <v>0.6527777777777778</v>
      </c>
      <c r="E256" s="156">
        <v>1.2858689865E10</v>
      </c>
      <c r="F256" s="156">
        <v>8.01440430613607E14</v>
      </c>
      <c r="G256" s="350" t="s">
        <v>813</v>
      </c>
      <c r="H256" s="91">
        <v>24860.0</v>
      </c>
      <c r="I256" s="41" t="s">
        <v>173</v>
      </c>
      <c r="J256" s="42" t="s">
        <v>814</v>
      </c>
      <c r="K256" s="42"/>
      <c r="R256" s="67"/>
    </row>
    <row r="257">
      <c r="A257" s="12" t="s">
        <v>87</v>
      </c>
      <c r="B257" s="73" t="s">
        <v>433</v>
      </c>
      <c r="C257" s="74" t="s">
        <v>581</v>
      </c>
      <c r="D257" s="75">
        <v>0.6666666666666666</v>
      </c>
      <c r="E257" s="162">
        <v>5.762214818E9</v>
      </c>
      <c r="F257" s="162">
        <v>8.98001406683797E14</v>
      </c>
      <c r="G257" s="105" t="s">
        <v>815</v>
      </c>
      <c r="H257" s="166">
        <v>23444.0</v>
      </c>
      <c r="I257" s="41" t="s">
        <v>183</v>
      </c>
      <c r="J257" s="42" t="s">
        <v>816</v>
      </c>
      <c r="K257" s="42"/>
      <c r="R257" s="67"/>
    </row>
    <row r="258">
      <c r="A258" s="12" t="s">
        <v>90</v>
      </c>
      <c r="B258" s="73" t="s">
        <v>753</v>
      </c>
      <c r="C258" s="74" t="s">
        <v>581</v>
      </c>
      <c r="D258" s="75">
        <v>0.6805555555555556</v>
      </c>
      <c r="E258" s="133">
        <v>9.1939020506E10</v>
      </c>
      <c r="F258" s="133">
        <v>8.01440487359238E14</v>
      </c>
      <c r="G258" s="105" t="s">
        <v>817</v>
      </c>
      <c r="H258" s="166">
        <v>27261.0</v>
      </c>
      <c r="I258" s="41" t="s">
        <v>183</v>
      </c>
      <c r="J258" s="42">
        <v>1.1951781667E10</v>
      </c>
      <c r="K258" s="42">
        <v>1.1987387688E10</v>
      </c>
      <c r="R258" s="67"/>
    </row>
    <row r="259">
      <c r="A259" s="12" t="s">
        <v>93</v>
      </c>
      <c r="B259" s="73"/>
      <c r="C259" s="74" t="s">
        <v>581</v>
      </c>
      <c r="D259" s="75">
        <v>0.6944444444444444</v>
      </c>
      <c r="E259" s="133"/>
      <c r="F259" s="133"/>
      <c r="G259" s="181"/>
      <c r="H259" s="166"/>
      <c r="I259" s="41" t="s">
        <v>181</v>
      </c>
      <c r="J259" s="194"/>
      <c r="K259" s="194"/>
      <c r="R259" s="67"/>
    </row>
    <row r="260">
      <c r="R260" s="67"/>
    </row>
    <row r="261">
      <c r="R261" s="67"/>
    </row>
    <row r="262">
      <c r="A262" s="23" t="s">
        <v>456</v>
      </c>
      <c r="B262" s="2"/>
      <c r="C262" s="2"/>
      <c r="D262" s="2"/>
      <c r="E262" s="2"/>
      <c r="F262" s="2"/>
      <c r="G262" s="2"/>
      <c r="H262" s="2"/>
      <c r="I262" s="2"/>
      <c r="J262" s="2"/>
      <c r="K262" s="3"/>
      <c r="R262" s="67"/>
    </row>
    <row r="263">
      <c r="A263" s="263" t="s">
        <v>818</v>
      </c>
      <c r="B263" s="2"/>
      <c r="C263" s="2"/>
      <c r="D263" s="2"/>
      <c r="E263" s="2"/>
      <c r="F263" s="2"/>
      <c r="G263" s="2"/>
      <c r="H263" s="2"/>
      <c r="I263" s="2"/>
      <c r="J263" s="2"/>
      <c r="K263" s="3"/>
      <c r="R263" s="67"/>
    </row>
    <row r="264">
      <c r="A264" s="25"/>
      <c r="B264" s="26" t="s">
        <v>3</v>
      </c>
      <c r="C264" s="27" t="s">
        <v>2</v>
      </c>
      <c r="D264" s="28" t="s">
        <v>5</v>
      </c>
      <c r="E264" s="32" t="s">
        <v>19</v>
      </c>
      <c r="F264" s="28" t="s">
        <v>6</v>
      </c>
      <c r="G264" s="264" t="s">
        <v>7</v>
      </c>
      <c r="H264" s="30" t="s">
        <v>8</v>
      </c>
      <c r="I264" s="31" t="s">
        <v>20</v>
      </c>
      <c r="J264" s="32" t="s">
        <v>21</v>
      </c>
      <c r="K264" s="32" t="s">
        <v>22</v>
      </c>
      <c r="R264" s="67"/>
    </row>
    <row r="265">
      <c r="A265" s="12" t="s">
        <v>10</v>
      </c>
      <c r="B265" s="73" t="s">
        <v>819</v>
      </c>
      <c r="C265" s="74" t="s">
        <v>430</v>
      </c>
      <c r="D265" s="75">
        <v>0.3333333333333333</v>
      </c>
      <c r="E265" s="84">
        <v>1.1606977873E10</v>
      </c>
      <c r="F265" s="84">
        <v>7.08904734779513E14</v>
      </c>
      <c r="G265" s="351" t="s">
        <v>820</v>
      </c>
      <c r="H265" s="83">
        <v>20748.0</v>
      </c>
      <c r="I265" s="41" t="s">
        <v>183</v>
      </c>
      <c r="J265" s="102" t="s">
        <v>821</v>
      </c>
      <c r="K265" s="102"/>
      <c r="R265" s="67"/>
    </row>
    <row r="266">
      <c r="A266" s="12" t="s">
        <v>11</v>
      </c>
      <c r="B266" s="73" t="s">
        <v>822</v>
      </c>
      <c r="C266" s="74" t="s">
        <v>430</v>
      </c>
      <c r="D266" s="75">
        <v>0.3472222222222222</v>
      </c>
      <c r="E266" s="76">
        <v>3.7843460659E10</v>
      </c>
      <c r="F266" s="185">
        <v>8.0144049602269E14</v>
      </c>
      <c r="G266" s="203" t="s">
        <v>823</v>
      </c>
      <c r="H266" s="77">
        <v>21544.0</v>
      </c>
      <c r="I266" s="41" t="s">
        <v>183</v>
      </c>
      <c r="J266" s="42"/>
      <c r="K266" s="42"/>
      <c r="R266" s="67"/>
    </row>
    <row r="267">
      <c r="A267" s="12" t="s">
        <v>12</v>
      </c>
      <c r="B267" s="73" t="s">
        <v>819</v>
      </c>
      <c r="C267" s="74" t="s">
        <v>430</v>
      </c>
      <c r="D267" s="75">
        <v>0.3611111111111111</v>
      </c>
      <c r="E267" s="84">
        <v>9.520641882E10</v>
      </c>
      <c r="F267" s="84">
        <v>7.0070994643398E14</v>
      </c>
      <c r="G267" s="352" t="s">
        <v>824</v>
      </c>
      <c r="H267" s="83">
        <v>16585.0</v>
      </c>
      <c r="I267" s="41" t="s">
        <v>183</v>
      </c>
      <c r="J267" s="102" t="s">
        <v>825</v>
      </c>
      <c r="K267" s="102"/>
      <c r="R267" s="67"/>
    </row>
    <row r="268">
      <c r="A268" s="12" t="s">
        <v>13</v>
      </c>
      <c r="B268" s="73" t="s">
        <v>822</v>
      </c>
      <c r="C268" s="74" t="s">
        <v>430</v>
      </c>
      <c r="D268" s="75">
        <v>0.375</v>
      </c>
      <c r="E268" s="84">
        <v>1.0546741835E10</v>
      </c>
      <c r="F268" s="84">
        <v>8.01440436028927E14</v>
      </c>
      <c r="G268" s="79" t="s">
        <v>826</v>
      </c>
      <c r="H268" s="83">
        <v>21561.0</v>
      </c>
      <c r="I268" s="41" t="s">
        <v>183</v>
      </c>
      <c r="J268" s="102" t="s">
        <v>827</v>
      </c>
      <c r="K268" s="102"/>
      <c r="R268" s="67"/>
    </row>
    <row r="269">
      <c r="A269" s="12" t="s">
        <v>14</v>
      </c>
      <c r="B269" s="73" t="s">
        <v>819</v>
      </c>
      <c r="C269" s="74" t="s">
        <v>430</v>
      </c>
      <c r="D269" s="75">
        <v>0.3888888888888889</v>
      </c>
      <c r="E269" s="156">
        <v>6.3439670872E10</v>
      </c>
      <c r="F269" s="156">
        <v>7.034014318784E14</v>
      </c>
      <c r="G269" s="353" t="s">
        <v>828</v>
      </c>
      <c r="H269" s="77">
        <v>17969.0</v>
      </c>
      <c r="I269" s="41" t="s">
        <v>183</v>
      </c>
      <c r="J269" s="42" t="s">
        <v>829</v>
      </c>
      <c r="K269" s="42" t="s">
        <v>830</v>
      </c>
      <c r="R269" s="67"/>
    </row>
    <row r="270">
      <c r="A270" s="12" t="s">
        <v>15</v>
      </c>
      <c r="B270" s="73" t="s">
        <v>819</v>
      </c>
      <c r="C270" s="74" t="s">
        <v>430</v>
      </c>
      <c r="D270" s="75">
        <v>0.4027777777777778</v>
      </c>
      <c r="E270" s="84">
        <v>2.236922809E9</v>
      </c>
      <c r="F270" s="84">
        <v>2.0392348351E14</v>
      </c>
      <c r="G270" s="353" t="s">
        <v>831</v>
      </c>
      <c r="H270" s="83">
        <v>20920.0</v>
      </c>
      <c r="I270" s="41" t="s">
        <v>183</v>
      </c>
      <c r="J270" s="42" t="s">
        <v>832</v>
      </c>
      <c r="K270" s="42" t="s">
        <v>833</v>
      </c>
      <c r="R270" s="67"/>
    </row>
    <row r="271">
      <c r="A271" s="12" t="s">
        <v>16</v>
      </c>
      <c r="B271" s="73" t="s">
        <v>819</v>
      </c>
      <c r="C271" s="74" t="s">
        <v>430</v>
      </c>
      <c r="D271" s="75">
        <v>0.4166666666666667</v>
      </c>
      <c r="E271" s="84">
        <v>2.5805354896E10</v>
      </c>
      <c r="F271" s="84">
        <v>8.01440490431653E14</v>
      </c>
      <c r="G271" s="353" t="s">
        <v>834</v>
      </c>
      <c r="H271" s="83">
        <v>25305.0</v>
      </c>
      <c r="I271" s="41" t="s">
        <v>195</v>
      </c>
      <c r="J271" s="102" t="s">
        <v>835</v>
      </c>
      <c r="K271" s="102" t="s">
        <v>836</v>
      </c>
      <c r="R271" s="67"/>
    </row>
    <row r="272">
      <c r="A272" s="12" t="s">
        <v>17</v>
      </c>
      <c r="B272" s="73" t="s">
        <v>819</v>
      </c>
      <c r="C272" s="74" t="s">
        <v>430</v>
      </c>
      <c r="D272" s="75">
        <v>0.4305555555555556</v>
      </c>
      <c r="E272" s="84">
        <v>7.412820893E9</v>
      </c>
      <c r="F272" s="84">
        <v>7.00902959551393E14</v>
      </c>
      <c r="G272" s="353" t="s">
        <v>837</v>
      </c>
      <c r="H272" s="83">
        <v>21504.0</v>
      </c>
      <c r="I272" s="41" t="s">
        <v>183</v>
      </c>
      <c r="J272" s="42" t="s">
        <v>838</v>
      </c>
      <c r="K272" s="42" t="s">
        <v>839</v>
      </c>
      <c r="R272" s="67"/>
    </row>
    <row r="273">
      <c r="A273" s="12" t="s">
        <v>85</v>
      </c>
      <c r="B273" s="73" t="s">
        <v>819</v>
      </c>
      <c r="C273" s="74" t="s">
        <v>430</v>
      </c>
      <c r="D273" s="75">
        <v>0.4444444444444444</v>
      </c>
      <c r="E273" s="156">
        <v>6.6817455804E10</v>
      </c>
      <c r="F273" s="156">
        <v>7.0820014011054E14</v>
      </c>
      <c r="G273" s="353" t="s">
        <v>840</v>
      </c>
      <c r="H273" s="91">
        <v>16299.0</v>
      </c>
      <c r="I273" s="41" t="s">
        <v>183</v>
      </c>
      <c r="J273" s="42" t="s">
        <v>841</v>
      </c>
      <c r="K273" s="42" t="s">
        <v>841</v>
      </c>
      <c r="R273" s="67"/>
    </row>
    <row r="274">
      <c r="A274" s="12" t="s">
        <v>87</v>
      </c>
      <c r="B274" s="73" t="s">
        <v>819</v>
      </c>
      <c r="C274" s="74" t="s">
        <v>430</v>
      </c>
      <c r="D274" s="75">
        <v>0.4583333333333333</v>
      </c>
      <c r="E274" s="162">
        <v>8.874473842E9</v>
      </c>
      <c r="F274" s="162">
        <v>2.01151133330002E14</v>
      </c>
      <c r="G274" s="353" t="s">
        <v>842</v>
      </c>
      <c r="H274" s="166">
        <v>24536.0</v>
      </c>
      <c r="I274" s="41" t="s">
        <v>183</v>
      </c>
      <c r="J274" s="42" t="s">
        <v>843</v>
      </c>
      <c r="K274" s="42" t="s">
        <v>844</v>
      </c>
      <c r="R274" s="67"/>
    </row>
    <row r="275">
      <c r="A275" s="12" t="s">
        <v>90</v>
      </c>
      <c r="B275" s="73" t="s">
        <v>819</v>
      </c>
      <c r="C275" s="74" t="s">
        <v>430</v>
      </c>
      <c r="D275" s="75">
        <v>0.4722222222222222</v>
      </c>
      <c r="E275" s="133">
        <v>2.6191347812E10</v>
      </c>
      <c r="F275" s="133">
        <v>2.0392308481E14</v>
      </c>
      <c r="G275" s="353" t="s">
        <v>845</v>
      </c>
      <c r="H275" s="166">
        <v>14996.0</v>
      </c>
      <c r="I275" s="41" t="s">
        <v>183</v>
      </c>
      <c r="J275" s="42" t="s">
        <v>846</v>
      </c>
      <c r="K275" s="42" t="s">
        <v>847</v>
      </c>
      <c r="R275" s="67"/>
    </row>
    <row r="276">
      <c r="A276" s="12" t="s">
        <v>93</v>
      </c>
      <c r="B276" s="73" t="s">
        <v>819</v>
      </c>
      <c r="C276" s="74" t="s">
        <v>430</v>
      </c>
      <c r="D276" s="75">
        <v>0.4861111111111111</v>
      </c>
      <c r="E276" s="133">
        <v>1.5367166857E10</v>
      </c>
      <c r="F276" s="133">
        <v>7.01202024439811E14</v>
      </c>
      <c r="G276" s="353" t="s">
        <v>848</v>
      </c>
      <c r="H276" s="166">
        <v>14899.0</v>
      </c>
      <c r="I276" s="41" t="s">
        <v>183</v>
      </c>
      <c r="J276" s="42" t="s">
        <v>849</v>
      </c>
      <c r="K276" s="42" t="s">
        <v>850</v>
      </c>
      <c r="R276" s="67"/>
    </row>
    <row r="277">
      <c r="R277" s="67"/>
    </row>
    <row r="278">
      <c r="R278" s="67"/>
    </row>
    <row r="279">
      <c r="A279" s="23" t="s">
        <v>851</v>
      </c>
      <c r="B279" s="2"/>
      <c r="C279" s="2"/>
      <c r="D279" s="2"/>
      <c r="E279" s="2"/>
      <c r="F279" s="2"/>
      <c r="G279" s="2"/>
      <c r="H279" s="2"/>
      <c r="I279" s="2"/>
      <c r="J279" s="2"/>
      <c r="K279" s="3"/>
      <c r="R279" s="67"/>
    </row>
    <row r="280">
      <c r="A280" s="263" t="s">
        <v>852</v>
      </c>
      <c r="B280" s="2"/>
      <c r="C280" s="2"/>
      <c r="D280" s="2"/>
      <c r="E280" s="2"/>
      <c r="F280" s="2"/>
      <c r="G280" s="2"/>
      <c r="H280" s="2"/>
      <c r="I280" s="2"/>
      <c r="J280" s="2"/>
      <c r="K280" s="3"/>
      <c r="R280" s="67"/>
    </row>
    <row r="281">
      <c r="A281" s="25"/>
      <c r="B281" s="26" t="s">
        <v>3</v>
      </c>
      <c r="C281" s="27" t="s">
        <v>2</v>
      </c>
      <c r="D281" s="28" t="s">
        <v>5</v>
      </c>
      <c r="E281" s="32" t="s">
        <v>19</v>
      </c>
      <c r="F281" s="28" t="s">
        <v>6</v>
      </c>
      <c r="G281" s="264" t="s">
        <v>7</v>
      </c>
      <c r="H281" s="30" t="s">
        <v>8</v>
      </c>
      <c r="I281" s="31" t="s">
        <v>20</v>
      </c>
      <c r="J281" s="32" t="s">
        <v>21</v>
      </c>
      <c r="K281" s="32" t="s">
        <v>22</v>
      </c>
      <c r="R281" s="67"/>
    </row>
    <row r="282">
      <c r="A282" s="12" t="s">
        <v>10</v>
      </c>
      <c r="B282" s="73" t="s">
        <v>274</v>
      </c>
      <c r="C282" s="74" t="s">
        <v>482</v>
      </c>
      <c r="D282" s="75">
        <v>0.5416666666666666</v>
      </c>
      <c r="E282" s="84">
        <v>3.639701852E9</v>
      </c>
      <c r="F282" s="84">
        <v>7.00000733555106E14</v>
      </c>
      <c r="G282" s="79" t="s">
        <v>853</v>
      </c>
      <c r="H282" s="83">
        <v>17982.0</v>
      </c>
      <c r="I282" s="41" t="s">
        <v>183</v>
      </c>
      <c r="J282" s="102">
        <v>9.59233842E8</v>
      </c>
      <c r="K282" s="102"/>
      <c r="R282" s="67"/>
    </row>
    <row r="283">
      <c r="A283" s="12" t="s">
        <v>11</v>
      </c>
      <c r="B283" s="73" t="s">
        <v>193</v>
      </c>
      <c r="C283" s="74" t="s">
        <v>482</v>
      </c>
      <c r="D283" s="75">
        <v>0.5555555555555556</v>
      </c>
      <c r="E283" s="76">
        <v>8.7080362504E10</v>
      </c>
      <c r="F283" s="185">
        <v>1.25181355390002E14</v>
      </c>
      <c r="G283" s="203" t="s">
        <v>854</v>
      </c>
      <c r="H283" s="77">
        <v>27545.0</v>
      </c>
      <c r="I283" s="41" t="s">
        <v>183</v>
      </c>
      <c r="J283" s="42" t="s">
        <v>855</v>
      </c>
      <c r="K283" s="42"/>
      <c r="R283" s="67"/>
    </row>
    <row r="284">
      <c r="A284" s="12" t="s">
        <v>12</v>
      </c>
      <c r="B284" s="73" t="s">
        <v>856</v>
      </c>
      <c r="C284" s="74" t="s">
        <v>482</v>
      </c>
      <c r="D284" s="75">
        <v>0.5694444444444444</v>
      </c>
      <c r="E284" s="84">
        <v>3.8772057807E10</v>
      </c>
      <c r="F284" s="84">
        <v>8.01440403511734E14</v>
      </c>
      <c r="G284" s="79" t="s">
        <v>857</v>
      </c>
      <c r="H284" s="83">
        <v>34351.0</v>
      </c>
      <c r="I284" s="41" t="s">
        <v>183</v>
      </c>
      <c r="J284" s="102">
        <v>1.194813928E10</v>
      </c>
      <c r="K284" s="102">
        <v>1.1954761183E10</v>
      </c>
      <c r="R284" s="67"/>
    </row>
    <row r="285">
      <c r="A285" s="12" t="s">
        <v>13</v>
      </c>
      <c r="B285" s="73" t="s">
        <v>433</v>
      </c>
      <c r="C285" s="74" t="s">
        <v>482</v>
      </c>
      <c r="D285" s="75">
        <v>0.5833333333333334</v>
      </c>
      <c r="E285" s="162">
        <v>8.5202339887E10</v>
      </c>
      <c r="F285" s="162">
        <v>8.3550304386122E14</v>
      </c>
      <c r="G285" s="161" t="s">
        <v>858</v>
      </c>
      <c r="H285" s="166">
        <v>17655.0</v>
      </c>
      <c r="I285" s="41" t="s">
        <v>183</v>
      </c>
      <c r="J285" s="102"/>
      <c r="K285" s="102"/>
      <c r="R285" s="67"/>
    </row>
    <row r="286">
      <c r="A286" s="12" t="s">
        <v>14</v>
      </c>
      <c r="B286" s="73" t="s">
        <v>750</v>
      </c>
      <c r="C286" s="74" t="s">
        <v>482</v>
      </c>
      <c r="D286" s="75">
        <v>0.5972222222222222</v>
      </c>
      <c r="E286" s="84">
        <v>1.319085881E9</v>
      </c>
      <c r="F286" s="84">
        <v>7.02106707267094E14</v>
      </c>
      <c r="G286" s="79" t="s">
        <v>859</v>
      </c>
      <c r="H286" s="83">
        <v>21186.0</v>
      </c>
      <c r="I286" s="41" t="s">
        <v>183</v>
      </c>
      <c r="J286" s="102" t="s">
        <v>860</v>
      </c>
      <c r="K286" s="102"/>
      <c r="R286" s="67"/>
    </row>
    <row r="287">
      <c r="A287" s="12" t="s">
        <v>15</v>
      </c>
      <c r="B287" s="73" t="s">
        <v>861</v>
      </c>
      <c r="C287" s="74" t="s">
        <v>482</v>
      </c>
      <c r="D287" s="75">
        <v>0.6111111111111112</v>
      </c>
      <c r="E287" s="84">
        <v>5.04698869E9</v>
      </c>
      <c r="F287" s="354">
        <v>8.98003965989032E14</v>
      </c>
      <c r="G287" s="203" t="s">
        <v>862</v>
      </c>
      <c r="H287" s="355">
        <v>28625.0</v>
      </c>
      <c r="I287" s="41" t="s">
        <v>195</v>
      </c>
      <c r="J287" s="42" t="s">
        <v>863</v>
      </c>
      <c r="K287" s="42"/>
      <c r="R287" s="67"/>
    </row>
    <row r="288">
      <c r="A288" s="12" t="s">
        <v>16</v>
      </c>
      <c r="B288" s="73" t="s">
        <v>753</v>
      </c>
      <c r="C288" s="74" t="s">
        <v>482</v>
      </c>
      <c r="D288" s="75">
        <v>0.625</v>
      </c>
      <c r="E288" s="84">
        <v>3.646220589E10</v>
      </c>
      <c r="F288" s="84">
        <v>8.01440477878283E14</v>
      </c>
      <c r="G288" s="79" t="s">
        <v>864</v>
      </c>
      <c r="H288" s="83">
        <v>19709.0</v>
      </c>
      <c r="I288" s="41" t="s">
        <v>195</v>
      </c>
      <c r="J288" s="102">
        <v>1.1951085497E10</v>
      </c>
      <c r="K288" s="102"/>
      <c r="R288" s="67"/>
    </row>
    <row r="289">
      <c r="A289" s="12" t="s">
        <v>17</v>
      </c>
      <c r="B289" s="73" t="s">
        <v>750</v>
      </c>
      <c r="C289" s="74" t="s">
        <v>482</v>
      </c>
      <c r="D289" s="75">
        <v>0.6388888888888888</v>
      </c>
      <c r="E289" s="84">
        <v>1.7087695878E10</v>
      </c>
      <c r="F289" s="84">
        <v>2.0429640409E14</v>
      </c>
      <c r="G289" s="79" t="s">
        <v>865</v>
      </c>
      <c r="H289" s="83">
        <v>28568.0</v>
      </c>
      <c r="I289" s="41" t="s">
        <v>183</v>
      </c>
      <c r="J289" s="42" t="s">
        <v>866</v>
      </c>
      <c r="K289" s="42"/>
      <c r="R289" s="67"/>
    </row>
    <row r="290">
      <c r="A290" s="12" t="s">
        <v>85</v>
      </c>
      <c r="B290" s="73"/>
      <c r="C290" s="74" t="s">
        <v>482</v>
      </c>
      <c r="D290" s="75">
        <v>0.6527777777777778</v>
      </c>
      <c r="E290" s="156"/>
      <c r="F290" s="156"/>
      <c r="G290" s="79"/>
      <c r="H290" s="91"/>
      <c r="I290" s="41" t="s">
        <v>181</v>
      </c>
      <c r="J290" s="42"/>
      <c r="K290" s="42"/>
      <c r="O290" s="356"/>
      <c r="R290" s="67"/>
    </row>
    <row r="291">
      <c r="A291" s="12" t="s">
        <v>87</v>
      </c>
      <c r="B291" s="357" t="s">
        <v>867</v>
      </c>
      <c r="C291" s="358" t="s">
        <v>482</v>
      </c>
      <c r="D291" s="359">
        <v>0.6666666666666666</v>
      </c>
      <c r="E291" s="360">
        <v>3.83021538E10</v>
      </c>
      <c r="F291" s="360">
        <v>8.01440433622054E14</v>
      </c>
      <c r="G291" s="361" t="s">
        <v>868</v>
      </c>
      <c r="H291" s="362">
        <v>33174.0</v>
      </c>
      <c r="I291" s="363" t="s">
        <v>183</v>
      </c>
      <c r="J291" s="364" t="s">
        <v>869</v>
      </c>
      <c r="K291" s="42"/>
      <c r="R291" s="67"/>
    </row>
    <row r="292">
      <c r="A292" s="12" t="s">
        <v>90</v>
      </c>
      <c r="B292" s="73" t="s">
        <v>870</v>
      </c>
      <c r="C292" s="74" t="s">
        <v>482</v>
      </c>
      <c r="D292" s="75">
        <v>0.6805555555555556</v>
      </c>
      <c r="E292" s="133">
        <v>2.8008188839E10</v>
      </c>
      <c r="F292" s="133">
        <v>2.04303270770009E14</v>
      </c>
      <c r="G292" s="181" t="s">
        <v>871</v>
      </c>
      <c r="H292" s="166">
        <v>14855.0</v>
      </c>
      <c r="I292" s="41" t="s">
        <v>183</v>
      </c>
      <c r="J292" s="42" t="s">
        <v>872</v>
      </c>
      <c r="K292" s="42"/>
      <c r="R292" s="67"/>
    </row>
    <row r="293">
      <c r="A293" s="12" t="s">
        <v>93</v>
      </c>
      <c r="B293" s="73"/>
      <c r="C293" s="74" t="s">
        <v>482</v>
      </c>
      <c r="D293" s="75">
        <v>0.6944444444444444</v>
      </c>
      <c r="E293" s="133"/>
      <c r="F293" s="133"/>
      <c r="G293" s="33"/>
      <c r="H293" s="166"/>
      <c r="I293" s="41" t="s">
        <v>181</v>
      </c>
      <c r="J293" s="194"/>
      <c r="K293" s="194"/>
      <c r="R293" s="67"/>
    </row>
    <row r="294">
      <c r="R294" s="67"/>
    </row>
    <row r="295">
      <c r="R295" s="67"/>
    </row>
    <row r="296">
      <c r="A296" s="23" t="s">
        <v>873</v>
      </c>
      <c r="B296" s="2"/>
      <c r="C296" s="2"/>
      <c r="D296" s="2"/>
      <c r="E296" s="2"/>
      <c r="F296" s="2"/>
      <c r="G296" s="2"/>
      <c r="H296" s="2"/>
      <c r="I296" s="2"/>
      <c r="J296" s="2"/>
      <c r="K296" s="3"/>
      <c r="R296" s="67"/>
    </row>
    <row r="297">
      <c r="A297" s="263" t="s">
        <v>874</v>
      </c>
      <c r="B297" s="2"/>
      <c r="C297" s="2"/>
      <c r="D297" s="2"/>
      <c r="E297" s="2"/>
      <c r="F297" s="2"/>
      <c r="G297" s="2"/>
      <c r="H297" s="2"/>
      <c r="I297" s="2"/>
      <c r="J297" s="2"/>
      <c r="K297" s="3"/>
      <c r="R297" s="67"/>
    </row>
    <row r="298">
      <c r="A298" s="25"/>
      <c r="B298" s="26" t="s">
        <v>3</v>
      </c>
      <c r="C298" s="27" t="s">
        <v>2</v>
      </c>
      <c r="D298" s="28" t="s">
        <v>5</v>
      </c>
      <c r="E298" s="32" t="s">
        <v>19</v>
      </c>
      <c r="F298" s="28" t="s">
        <v>6</v>
      </c>
      <c r="G298" s="264" t="s">
        <v>7</v>
      </c>
      <c r="H298" s="30" t="s">
        <v>8</v>
      </c>
      <c r="I298" s="31" t="s">
        <v>20</v>
      </c>
      <c r="J298" s="32" t="s">
        <v>21</v>
      </c>
      <c r="K298" s="32" t="s">
        <v>22</v>
      </c>
      <c r="R298" s="67"/>
    </row>
    <row r="299">
      <c r="A299" s="12" t="s">
        <v>10</v>
      </c>
      <c r="B299" s="73" t="s">
        <v>389</v>
      </c>
      <c r="C299" s="74" t="s">
        <v>518</v>
      </c>
      <c r="D299" s="75">
        <v>0.5416666666666666</v>
      </c>
      <c r="E299" s="84">
        <v>1.7424543806E10</v>
      </c>
      <c r="F299" s="84">
        <v>8.01440498130237E14</v>
      </c>
      <c r="G299" s="351" t="s">
        <v>875</v>
      </c>
      <c r="H299" s="83">
        <v>27623.0</v>
      </c>
      <c r="I299" s="41" t="s">
        <v>183</v>
      </c>
      <c r="J299" s="102" t="s">
        <v>876</v>
      </c>
      <c r="K299" s="102"/>
      <c r="R299" s="67"/>
    </row>
    <row r="300">
      <c r="A300" s="12" t="s">
        <v>11</v>
      </c>
      <c r="B300" s="73" t="s">
        <v>389</v>
      </c>
      <c r="C300" s="74" t="s">
        <v>518</v>
      </c>
      <c r="D300" s="75">
        <v>0.5555555555555556</v>
      </c>
      <c r="E300" s="76">
        <v>3.7559725813E10</v>
      </c>
      <c r="F300" s="185">
        <v>8.98004847932333E14</v>
      </c>
      <c r="G300" s="351" t="s">
        <v>877</v>
      </c>
      <c r="H300" s="77">
        <v>30167.0</v>
      </c>
      <c r="I300" s="41" t="s">
        <v>183</v>
      </c>
      <c r="J300" s="42" t="s">
        <v>878</v>
      </c>
      <c r="K300" s="42"/>
      <c r="R300" s="67"/>
    </row>
    <row r="301">
      <c r="A301" s="12" t="s">
        <v>12</v>
      </c>
      <c r="B301" s="73" t="s">
        <v>389</v>
      </c>
      <c r="C301" s="74" t="s">
        <v>518</v>
      </c>
      <c r="D301" s="75">
        <v>0.5694444444444444</v>
      </c>
      <c r="E301" s="84">
        <v>1.4230594844E10</v>
      </c>
      <c r="F301" s="84">
        <v>7.00005254876802E14</v>
      </c>
      <c r="G301" s="351" t="s">
        <v>879</v>
      </c>
      <c r="H301" s="83">
        <v>25580.0</v>
      </c>
      <c r="I301" s="41" t="s">
        <v>183</v>
      </c>
      <c r="J301" s="102" t="s">
        <v>880</v>
      </c>
      <c r="K301" s="102"/>
      <c r="R301" s="67"/>
    </row>
    <row r="302">
      <c r="A302" s="12" t="s">
        <v>13</v>
      </c>
      <c r="B302" s="73" t="s">
        <v>389</v>
      </c>
      <c r="C302" s="74" t="s">
        <v>518</v>
      </c>
      <c r="D302" s="75">
        <v>0.5833333333333334</v>
      </c>
      <c r="E302" s="84">
        <v>2.1263555861E10</v>
      </c>
      <c r="F302" s="84">
        <v>8.014404053905E14</v>
      </c>
      <c r="G302" s="351" t="s">
        <v>881</v>
      </c>
      <c r="H302" s="83">
        <v>28202.0</v>
      </c>
      <c r="I302" s="41" t="s">
        <v>183</v>
      </c>
      <c r="J302" s="102" t="s">
        <v>882</v>
      </c>
      <c r="K302" s="102"/>
      <c r="R302" s="67"/>
    </row>
    <row r="303">
      <c r="A303" s="12" t="s">
        <v>14</v>
      </c>
      <c r="B303" s="73" t="s">
        <v>883</v>
      </c>
      <c r="C303" s="74" t="s">
        <v>518</v>
      </c>
      <c r="D303" s="75">
        <v>0.5972222222222222</v>
      </c>
      <c r="E303" s="156">
        <v>9.333463879E9</v>
      </c>
      <c r="F303" s="156">
        <v>2.01157371910001E14</v>
      </c>
      <c r="G303" s="59" t="s">
        <v>884</v>
      </c>
      <c r="H303" s="77">
        <v>24096.0</v>
      </c>
      <c r="I303" s="41" t="s">
        <v>183</v>
      </c>
      <c r="J303" s="42" t="s">
        <v>885</v>
      </c>
      <c r="K303" s="42"/>
      <c r="R303" s="67"/>
    </row>
    <row r="304">
      <c r="A304" s="12" t="s">
        <v>15</v>
      </c>
      <c r="B304" s="73" t="s">
        <v>389</v>
      </c>
      <c r="C304" s="74" t="s">
        <v>518</v>
      </c>
      <c r="D304" s="75">
        <v>0.6111111111111112</v>
      </c>
      <c r="E304" s="84">
        <v>3.5841377809E10</v>
      </c>
      <c r="F304" s="84">
        <v>7.04701704189439E14</v>
      </c>
      <c r="G304" s="351" t="s">
        <v>886</v>
      </c>
      <c r="H304" s="83">
        <v>20935.0</v>
      </c>
      <c r="I304" s="41" t="s">
        <v>183</v>
      </c>
      <c r="J304" s="42" t="s">
        <v>887</v>
      </c>
      <c r="K304" s="42"/>
      <c r="R304" s="67"/>
    </row>
    <row r="305">
      <c r="A305" s="12" t="s">
        <v>16</v>
      </c>
      <c r="B305" s="73" t="s">
        <v>883</v>
      </c>
      <c r="C305" s="74" t="s">
        <v>518</v>
      </c>
      <c r="D305" s="75">
        <v>0.625</v>
      </c>
      <c r="E305" s="84">
        <v>1.2124435E7</v>
      </c>
      <c r="F305" s="84">
        <v>1.60592594140002E14</v>
      </c>
      <c r="G305" s="79" t="s">
        <v>888</v>
      </c>
      <c r="H305" s="83">
        <v>26499.0</v>
      </c>
      <c r="I305" s="41" t="s">
        <v>183</v>
      </c>
      <c r="J305" s="102" t="s">
        <v>889</v>
      </c>
      <c r="K305" s="102"/>
      <c r="R305" s="67"/>
    </row>
    <row r="306">
      <c r="A306" s="12" t="s">
        <v>17</v>
      </c>
      <c r="B306" s="73" t="s">
        <v>389</v>
      </c>
      <c r="C306" s="74" t="s">
        <v>518</v>
      </c>
      <c r="D306" s="75">
        <v>0.6388888888888888</v>
      </c>
      <c r="E306" s="84">
        <v>7.8635730925E10</v>
      </c>
      <c r="F306" s="84">
        <v>7.02805131299164E14</v>
      </c>
      <c r="G306" s="351" t="s">
        <v>890</v>
      </c>
      <c r="H306" s="83">
        <v>25899.0</v>
      </c>
      <c r="I306" s="41" t="s">
        <v>183</v>
      </c>
      <c r="J306" s="42" t="s">
        <v>891</v>
      </c>
      <c r="K306" s="42"/>
      <c r="R306" s="67"/>
    </row>
    <row r="307">
      <c r="A307" s="12" t="s">
        <v>85</v>
      </c>
      <c r="B307" s="73" t="s">
        <v>389</v>
      </c>
      <c r="C307" s="74" t="s">
        <v>518</v>
      </c>
      <c r="D307" s="75">
        <v>0.6527777777777778</v>
      </c>
      <c r="E307" s="156">
        <v>1.6410100884E10</v>
      </c>
      <c r="F307" s="156">
        <v>7.00005902614605E14</v>
      </c>
      <c r="G307" s="351" t="s">
        <v>892</v>
      </c>
      <c r="H307" s="91">
        <v>26376.0</v>
      </c>
      <c r="I307" s="41" t="s">
        <v>183</v>
      </c>
      <c r="J307" s="42" t="s">
        <v>893</v>
      </c>
      <c r="K307" s="42" t="s">
        <v>894</v>
      </c>
      <c r="R307" s="67"/>
    </row>
    <row r="308">
      <c r="A308" s="12" t="s">
        <v>87</v>
      </c>
      <c r="B308" s="73" t="s">
        <v>389</v>
      </c>
      <c r="C308" s="74" t="s">
        <v>518</v>
      </c>
      <c r="D308" s="75">
        <v>0.6666666666666666</v>
      </c>
      <c r="E308" s="162">
        <v>3.7233496846E10</v>
      </c>
      <c r="F308" s="162">
        <v>7.02609213618641E14</v>
      </c>
      <c r="G308" s="351" t="s">
        <v>895</v>
      </c>
      <c r="H308" s="166">
        <v>29713.0</v>
      </c>
      <c r="I308" s="41" t="s">
        <v>183</v>
      </c>
      <c r="J308" s="42" t="s">
        <v>896</v>
      </c>
      <c r="K308" s="42" t="s">
        <v>897</v>
      </c>
      <c r="R308" s="67"/>
    </row>
    <row r="309">
      <c r="A309" s="12" t="s">
        <v>90</v>
      </c>
      <c r="B309" s="73" t="s">
        <v>898</v>
      </c>
      <c r="C309" s="74" t="s">
        <v>518</v>
      </c>
      <c r="D309" s="75">
        <v>0.6805555555555556</v>
      </c>
      <c r="E309" s="274" t="s">
        <v>686</v>
      </c>
      <c r="F309" s="197">
        <v>2.01152283000009E14</v>
      </c>
      <c r="G309" s="351" t="s">
        <v>687</v>
      </c>
      <c r="H309" s="365">
        <v>22577.0</v>
      </c>
      <c r="I309" s="41" t="s">
        <v>195</v>
      </c>
      <c r="J309" s="42" t="s">
        <v>688</v>
      </c>
      <c r="K309" s="42"/>
      <c r="R309" s="67"/>
    </row>
    <row r="310">
      <c r="A310" s="12" t="s">
        <v>93</v>
      </c>
      <c r="B310" s="73" t="s">
        <v>389</v>
      </c>
      <c r="C310" s="74" t="s">
        <v>518</v>
      </c>
      <c r="D310" s="75">
        <v>0.6944444444444444</v>
      </c>
      <c r="E310" s="133">
        <v>8.6757679434E10</v>
      </c>
      <c r="F310" s="133">
        <v>7.08909791878511E14</v>
      </c>
      <c r="G310" s="351" t="s">
        <v>899</v>
      </c>
      <c r="H310" s="166">
        <v>26242.0</v>
      </c>
      <c r="I310" s="41" t="s">
        <v>183</v>
      </c>
      <c r="J310" s="42" t="s">
        <v>900</v>
      </c>
      <c r="K310" s="194"/>
      <c r="R310" s="67"/>
    </row>
    <row r="311">
      <c r="R311" s="67"/>
    </row>
    <row r="312">
      <c r="R312" s="67"/>
    </row>
    <row r="313">
      <c r="R313" s="67"/>
    </row>
    <row r="314">
      <c r="R314" s="67"/>
    </row>
    <row r="315">
      <c r="R315" s="67"/>
    </row>
    <row r="316">
      <c r="R316" s="67"/>
    </row>
    <row r="317">
      <c r="R317" s="67"/>
    </row>
    <row r="318">
      <c r="R318" s="67"/>
    </row>
    <row r="319">
      <c r="R319" s="67"/>
    </row>
    <row r="320">
      <c r="R320" s="67"/>
    </row>
    <row r="321">
      <c r="R321" s="67"/>
    </row>
    <row r="322">
      <c r="R322" s="67"/>
    </row>
    <row r="323">
      <c r="R323" s="67"/>
    </row>
    <row r="324">
      <c r="R324" s="67"/>
    </row>
    <row r="325">
      <c r="R325" s="67"/>
    </row>
    <row r="326">
      <c r="R326" s="67"/>
    </row>
    <row r="327">
      <c r="R327" s="67"/>
    </row>
    <row r="328">
      <c r="R328" s="67"/>
    </row>
    <row r="329">
      <c r="F329" s="366"/>
      <c r="R329" s="67"/>
    </row>
    <row r="330">
      <c r="F330" s="366"/>
      <c r="R330" s="67"/>
    </row>
    <row r="331">
      <c r="F331" s="366"/>
      <c r="R331" s="67"/>
    </row>
    <row r="332">
      <c r="F332" s="366"/>
      <c r="R332" s="67"/>
    </row>
    <row r="333">
      <c r="F333" s="366"/>
      <c r="R333" s="67"/>
    </row>
    <row r="334">
      <c r="F334" s="366"/>
      <c r="R334" s="67"/>
    </row>
    <row r="335">
      <c r="F335" s="366"/>
      <c r="R335" s="67"/>
    </row>
    <row r="336">
      <c r="F336" s="366"/>
      <c r="R336" s="67"/>
    </row>
    <row r="337">
      <c r="F337" s="366"/>
      <c r="R337" s="67"/>
    </row>
    <row r="338">
      <c r="F338" s="366"/>
      <c r="R338" s="67"/>
    </row>
    <row r="339">
      <c r="F339" s="366"/>
      <c r="R339" s="67"/>
    </row>
    <row r="340">
      <c r="F340" s="366"/>
      <c r="R340" s="67"/>
    </row>
    <row r="341">
      <c r="F341" s="366"/>
      <c r="R341" s="67"/>
    </row>
    <row r="342">
      <c r="F342" s="366"/>
      <c r="R342" s="67"/>
    </row>
    <row r="343">
      <c r="F343" s="366"/>
      <c r="R343" s="67"/>
    </row>
    <row r="344">
      <c r="F344" s="366"/>
      <c r="R344" s="67"/>
    </row>
    <row r="345">
      <c r="F345" s="366"/>
      <c r="R345" s="67"/>
    </row>
    <row r="346">
      <c r="F346" s="366"/>
      <c r="R346" s="67"/>
    </row>
    <row r="347">
      <c r="F347" s="366"/>
      <c r="R347" s="67"/>
    </row>
    <row r="348">
      <c r="F348" s="366"/>
      <c r="R348" s="67"/>
    </row>
    <row r="349">
      <c r="F349" s="366"/>
      <c r="R349" s="67"/>
    </row>
    <row r="350">
      <c r="F350" s="366"/>
      <c r="R350" s="67"/>
    </row>
    <row r="351">
      <c r="F351" s="366"/>
      <c r="R351" s="67"/>
    </row>
    <row r="352">
      <c r="F352" s="366"/>
      <c r="R352" s="67"/>
    </row>
    <row r="353">
      <c r="F353" s="366"/>
      <c r="R353" s="67"/>
    </row>
    <row r="354">
      <c r="F354" s="366"/>
      <c r="R354" s="67"/>
    </row>
    <row r="355">
      <c r="F355" s="366"/>
      <c r="R355" s="67"/>
    </row>
    <row r="356">
      <c r="F356" s="366"/>
      <c r="R356" s="67"/>
    </row>
    <row r="357">
      <c r="F357" s="366"/>
      <c r="R357" s="67"/>
    </row>
    <row r="358">
      <c r="F358" s="366"/>
      <c r="R358" s="67"/>
    </row>
    <row r="359">
      <c r="F359" s="366"/>
      <c r="R359" s="67"/>
    </row>
    <row r="360">
      <c r="F360" s="366"/>
      <c r="R360" s="67"/>
    </row>
    <row r="361">
      <c r="F361" s="366"/>
      <c r="R361" s="67"/>
    </row>
    <row r="362">
      <c r="F362" s="366"/>
      <c r="R362" s="67"/>
    </row>
    <row r="363">
      <c r="F363" s="366"/>
      <c r="R363" s="67"/>
    </row>
    <row r="364">
      <c r="F364" s="366"/>
      <c r="R364" s="67"/>
    </row>
    <row r="365">
      <c r="F365" s="366"/>
      <c r="R365" s="67"/>
    </row>
    <row r="366">
      <c r="R366" s="67"/>
    </row>
    <row r="367">
      <c r="R367" s="67"/>
    </row>
    <row r="368">
      <c r="R368" s="67"/>
    </row>
    <row r="369">
      <c r="R369" s="67"/>
    </row>
    <row r="370">
      <c r="R370" s="67"/>
    </row>
    <row r="371">
      <c r="R371" s="67"/>
    </row>
    <row r="372">
      <c r="R372" s="67"/>
    </row>
    <row r="373">
      <c r="R373" s="67"/>
    </row>
    <row r="374">
      <c r="R374" s="67"/>
    </row>
    <row r="375">
      <c r="R375" s="67"/>
    </row>
    <row r="376">
      <c r="R376" s="67"/>
    </row>
    <row r="377">
      <c r="R377" s="67"/>
    </row>
    <row r="378">
      <c r="R378" s="67"/>
    </row>
    <row r="379">
      <c r="R379" s="67"/>
    </row>
    <row r="380">
      <c r="R380" s="67"/>
    </row>
    <row r="381">
      <c r="R381" s="67"/>
    </row>
    <row r="382">
      <c r="R382" s="67"/>
    </row>
    <row r="383">
      <c r="R383" s="67"/>
    </row>
    <row r="384">
      <c r="R384" s="67"/>
    </row>
    <row r="385">
      <c r="R385" s="67"/>
    </row>
    <row r="386">
      <c r="R386" s="67"/>
    </row>
    <row r="387">
      <c r="R387" s="67"/>
    </row>
    <row r="388">
      <c r="R388" s="67"/>
    </row>
    <row r="389">
      <c r="R389" s="67"/>
    </row>
    <row r="390">
      <c r="R390" s="67"/>
    </row>
    <row r="391">
      <c r="R391" s="67"/>
    </row>
    <row r="392">
      <c r="R392" s="67"/>
    </row>
    <row r="393">
      <c r="R393" s="67"/>
    </row>
    <row r="394">
      <c r="R394" s="67"/>
    </row>
    <row r="395">
      <c r="R395" s="67"/>
    </row>
    <row r="396">
      <c r="R396" s="67"/>
    </row>
    <row r="397">
      <c r="R397" s="67"/>
    </row>
    <row r="398">
      <c r="R398" s="67"/>
    </row>
    <row r="399">
      <c r="R399" s="67"/>
    </row>
    <row r="400">
      <c r="R400" s="67"/>
    </row>
    <row r="401">
      <c r="R401" s="67"/>
    </row>
    <row r="402">
      <c r="R402" s="67"/>
    </row>
    <row r="403">
      <c r="R403" s="67"/>
    </row>
    <row r="404">
      <c r="R404" s="67"/>
    </row>
    <row r="405">
      <c r="R405" s="67"/>
    </row>
    <row r="406">
      <c r="R406" s="67"/>
    </row>
    <row r="407">
      <c r="R407" s="67"/>
    </row>
    <row r="408">
      <c r="R408" s="67"/>
    </row>
    <row r="409">
      <c r="R409" s="67"/>
    </row>
    <row r="410">
      <c r="R410" s="67"/>
    </row>
    <row r="411">
      <c r="R411" s="67"/>
    </row>
    <row r="412">
      <c r="R412" s="67"/>
    </row>
    <row r="413">
      <c r="R413" s="67"/>
    </row>
    <row r="414">
      <c r="R414" s="67"/>
    </row>
    <row r="415">
      <c r="R415" s="67"/>
    </row>
    <row r="416">
      <c r="R416" s="67"/>
    </row>
    <row r="417">
      <c r="R417" s="67"/>
    </row>
    <row r="418">
      <c r="R418" s="67"/>
    </row>
    <row r="419">
      <c r="R419" s="67"/>
    </row>
    <row r="420">
      <c r="R420" s="67"/>
    </row>
    <row r="421">
      <c r="R421" s="67"/>
    </row>
    <row r="422">
      <c r="R422" s="67"/>
    </row>
    <row r="423">
      <c r="R423" s="67"/>
    </row>
    <row r="424">
      <c r="R424" s="67"/>
    </row>
    <row r="425">
      <c r="R425" s="67"/>
    </row>
    <row r="426">
      <c r="R426" s="67"/>
    </row>
    <row r="427">
      <c r="R427" s="67"/>
    </row>
    <row r="428">
      <c r="R428" s="67"/>
    </row>
    <row r="429">
      <c r="R429" s="67"/>
    </row>
    <row r="430">
      <c r="R430" s="67"/>
    </row>
    <row r="431">
      <c r="R431" s="67"/>
    </row>
    <row r="432">
      <c r="R432" s="67"/>
    </row>
    <row r="433">
      <c r="R433" s="67"/>
    </row>
    <row r="434">
      <c r="R434" s="67"/>
    </row>
    <row r="435">
      <c r="R435" s="67"/>
    </row>
    <row r="436">
      <c r="R436" s="67"/>
    </row>
    <row r="437">
      <c r="R437" s="67"/>
    </row>
    <row r="438">
      <c r="R438" s="67"/>
    </row>
    <row r="439">
      <c r="R439" s="67"/>
    </row>
    <row r="440">
      <c r="R440" s="67"/>
    </row>
    <row r="441">
      <c r="R441" s="67"/>
    </row>
    <row r="442">
      <c r="R442" s="67"/>
    </row>
    <row r="443">
      <c r="R443" s="67"/>
    </row>
    <row r="444">
      <c r="R444" s="67"/>
    </row>
    <row r="445">
      <c r="R445" s="67"/>
    </row>
    <row r="446">
      <c r="R446" s="67"/>
    </row>
    <row r="447">
      <c r="R447" s="67"/>
    </row>
    <row r="448">
      <c r="R448" s="67"/>
    </row>
    <row r="449">
      <c r="R449" s="67"/>
    </row>
    <row r="450">
      <c r="R450" s="67"/>
    </row>
    <row r="451">
      <c r="R451" s="67"/>
    </row>
    <row r="452">
      <c r="R452" s="67"/>
    </row>
    <row r="453">
      <c r="R453" s="67"/>
    </row>
    <row r="454">
      <c r="R454" s="67"/>
    </row>
    <row r="455">
      <c r="R455" s="67"/>
    </row>
    <row r="456">
      <c r="R456" s="67"/>
    </row>
    <row r="457">
      <c r="R457" s="67"/>
    </row>
    <row r="458">
      <c r="R458" s="67"/>
    </row>
    <row r="459">
      <c r="R459" s="67"/>
    </row>
    <row r="460">
      <c r="R460" s="67"/>
    </row>
    <row r="461">
      <c r="R461" s="67"/>
    </row>
    <row r="462">
      <c r="R462" s="67"/>
    </row>
    <row r="463">
      <c r="R463" s="67"/>
    </row>
    <row r="464">
      <c r="R464" s="67"/>
    </row>
    <row r="465">
      <c r="R465" s="67"/>
    </row>
    <row r="466">
      <c r="R466" s="67"/>
    </row>
    <row r="467">
      <c r="R467" s="67"/>
    </row>
    <row r="468">
      <c r="R468" s="67"/>
    </row>
    <row r="469">
      <c r="R469" s="67"/>
    </row>
    <row r="470">
      <c r="R470" s="67"/>
    </row>
    <row r="471">
      <c r="R471" s="67"/>
    </row>
    <row r="472">
      <c r="R472" s="67"/>
    </row>
    <row r="473">
      <c r="R473" s="67"/>
    </row>
    <row r="474">
      <c r="R474" s="67"/>
    </row>
    <row r="475">
      <c r="R475" s="67"/>
    </row>
    <row r="476">
      <c r="R476" s="67"/>
    </row>
    <row r="477">
      <c r="R477" s="67"/>
    </row>
    <row r="478">
      <c r="R478" s="67"/>
    </row>
    <row r="479">
      <c r="R479" s="67"/>
    </row>
    <row r="480">
      <c r="R480" s="67"/>
    </row>
    <row r="481">
      <c r="R481" s="67"/>
    </row>
    <row r="482">
      <c r="R482" s="67"/>
    </row>
    <row r="483">
      <c r="R483" s="67"/>
    </row>
    <row r="484">
      <c r="R484" s="67"/>
    </row>
    <row r="485">
      <c r="R485" s="67"/>
    </row>
    <row r="486">
      <c r="R486" s="67"/>
    </row>
    <row r="487">
      <c r="R487" s="67"/>
    </row>
    <row r="488">
      <c r="R488" s="67"/>
    </row>
    <row r="489">
      <c r="R489" s="67"/>
    </row>
    <row r="490">
      <c r="R490" s="67"/>
    </row>
    <row r="491">
      <c r="R491" s="67"/>
    </row>
    <row r="492">
      <c r="R492" s="67"/>
    </row>
    <row r="493">
      <c r="R493" s="67"/>
    </row>
    <row r="494">
      <c r="R494" s="67"/>
    </row>
    <row r="495">
      <c r="R495" s="67"/>
    </row>
    <row r="496">
      <c r="R496" s="67"/>
    </row>
    <row r="497">
      <c r="R497" s="67"/>
    </row>
    <row r="498">
      <c r="R498" s="67"/>
    </row>
    <row r="499">
      <c r="R499" s="67"/>
    </row>
    <row r="500">
      <c r="R500" s="67"/>
    </row>
    <row r="501">
      <c r="R501" s="67"/>
    </row>
    <row r="502">
      <c r="R502" s="67"/>
    </row>
    <row r="503">
      <c r="R503" s="67"/>
    </row>
    <row r="504">
      <c r="R504" s="67"/>
    </row>
    <row r="505">
      <c r="R505" s="67"/>
    </row>
    <row r="506">
      <c r="R506" s="67"/>
    </row>
    <row r="507">
      <c r="R507" s="67"/>
    </row>
    <row r="508">
      <c r="R508" s="67"/>
    </row>
    <row r="509">
      <c r="R509" s="67"/>
    </row>
    <row r="510">
      <c r="R510" s="67"/>
    </row>
    <row r="511">
      <c r="R511" s="67"/>
    </row>
    <row r="512">
      <c r="R512" s="67"/>
    </row>
    <row r="513">
      <c r="R513" s="67"/>
    </row>
    <row r="514">
      <c r="R514" s="67"/>
    </row>
    <row r="515">
      <c r="R515" s="67"/>
    </row>
    <row r="516">
      <c r="R516" s="67"/>
    </row>
    <row r="517">
      <c r="R517" s="67"/>
    </row>
    <row r="518">
      <c r="R518" s="67"/>
    </row>
    <row r="519">
      <c r="R519" s="67"/>
    </row>
    <row r="520">
      <c r="R520" s="67"/>
    </row>
    <row r="521">
      <c r="R521" s="67"/>
    </row>
    <row r="522">
      <c r="R522" s="67"/>
    </row>
    <row r="523">
      <c r="R523" s="67"/>
    </row>
    <row r="524">
      <c r="R524" s="67"/>
    </row>
    <row r="525">
      <c r="R525" s="67"/>
    </row>
    <row r="526">
      <c r="R526" s="67"/>
    </row>
    <row r="527">
      <c r="R527" s="67"/>
    </row>
    <row r="528">
      <c r="R528" s="67"/>
    </row>
    <row r="529">
      <c r="R529" s="67"/>
    </row>
    <row r="530">
      <c r="R530" s="67"/>
    </row>
    <row r="531">
      <c r="R531" s="67"/>
    </row>
    <row r="532">
      <c r="R532" s="67"/>
    </row>
    <row r="533">
      <c r="R533" s="67"/>
    </row>
    <row r="534">
      <c r="R534" s="67"/>
    </row>
    <row r="535">
      <c r="R535" s="67"/>
    </row>
    <row r="536">
      <c r="R536" s="67"/>
    </row>
    <row r="537">
      <c r="R537" s="67"/>
    </row>
    <row r="538">
      <c r="R538" s="67"/>
    </row>
    <row r="539">
      <c r="R539" s="67"/>
    </row>
    <row r="540">
      <c r="R540" s="67"/>
    </row>
    <row r="541">
      <c r="R541" s="67"/>
    </row>
    <row r="542">
      <c r="R542" s="67"/>
    </row>
    <row r="543">
      <c r="R543" s="67"/>
    </row>
    <row r="544">
      <c r="R544" s="67"/>
    </row>
    <row r="545">
      <c r="R545" s="67"/>
    </row>
    <row r="546">
      <c r="R546" s="67"/>
    </row>
    <row r="547">
      <c r="R547" s="67"/>
    </row>
    <row r="548">
      <c r="R548" s="67"/>
    </row>
    <row r="549">
      <c r="R549" s="67"/>
    </row>
    <row r="550">
      <c r="R550" s="67"/>
    </row>
    <row r="551">
      <c r="R551" s="67"/>
    </row>
    <row r="552">
      <c r="R552" s="67"/>
    </row>
    <row r="553">
      <c r="R553" s="67"/>
    </row>
    <row r="554">
      <c r="R554" s="67"/>
    </row>
    <row r="555">
      <c r="R555" s="67"/>
    </row>
    <row r="556">
      <c r="R556" s="67"/>
    </row>
    <row r="557">
      <c r="R557" s="67"/>
    </row>
    <row r="558">
      <c r="R558" s="67"/>
    </row>
    <row r="559">
      <c r="R559" s="67"/>
    </row>
    <row r="560">
      <c r="R560" s="67"/>
    </row>
    <row r="561">
      <c r="R561" s="67"/>
    </row>
    <row r="562">
      <c r="R562" s="67"/>
    </row>
    <row r="563">
      <c r="R563" s="67"/>
    </row>
    <row r="564">
      <c r="R564" s="67"/>
    </row>
    <row r="565">
      <c r="R565" s="67"/>
    </row>
    <row r="566">
      <c r="R566" s="67"/>
    </row>
    <row r="567">
      <c r="R567" s="67"/>
    </row>
    <row r="568">
      <c r="R568" s="67"/>
    </row>
    <row r="569">
      <c r="R569" s="67"/>
    </row>
    <row r="570">
      <c r="R570" s="67"/>
    </row>
    <row r="571">
      <c r="R571" s="67"/>
    </row>
    <row r="572">
      <c r="R572" s="67"/>
    </row>
    <row r="573">
      <c r="R573" s="67"/>
    </row>
    <row r="574">
      <c r="R574" s="67"/>
    </row>
    <row r="575">
      <c r="R575" s="67"/>
    </row>
    <row r="576">
      <c r="R576" s="67"/>
    </row>
    <row r="577">
      <c r="R577" s="67"/>
    </row>
    <row r="578">
      <c r="R578" s="67"/>
    </row>
    <row r="579">
      <c r="R579" s="67"/>
    </row>
    <row r="580">
      <c r="R580" s="67"/>
    </row>
    <row r="581">
      <c r="R581" s="67"/>
    </row>
    <row r="582">
      <c r="R582" s="67"/>
    </row>
    <row r="583">
      <c r="R583" s="67"/>
    </row>
    <row r="584">
      <c r="R584" s="67"/>
    </row>
    <row r="585">
      <c r="R585" s="67"/>
    </row>
    <row r="586">
      <c r="R586" s="67"/>
    </row>
    <row r="587">
      <c r="R587" s="67"/>
    </row>
    <row r="588">
      <c r="R588" s="67"/>
    </row>
    <row r="589">
      <c r="R589" s="67"/>
    </row>
    <row r="590">
      <c r="R590" s="67"/>
    </row>
    <row r="591">
      <c r="R591" s="67"/>
    </row>
    <row r="592">
      <c r="R592" s="67"/>
    </row>
    <row r="593">
      <c r="R593" s="67"/>
    </row>
    <row r="594">
      <c r="R594" s="67"/>
    </row>
    <row r="595">
      <c r="R595" s="67"/>
    </row>
    <row r="596">
      <c r="R596" s="67"/>
    </row>
    <row r="597">
      <c r="R597" s="67"/>
    </row>
    <row r="598">
      <c r="R598" s="67"/>
    </row>
    <row r="599">
      <c r="R599" s="67"/>
    </row>
    <row r="600">
      <c r="R600" s="67"/>
    </row>
    <row r="601">
      <c r="R601" s="67"/>
    </row>
    <row r="602">
      <c r="R602" s="67"/>
    </row>
    <row r="603">
      <c r="R603" s="67"/>
    </row>
    <row r="604">
      <c r="R604" s="67"/>
    </row>
    <row r="605">
      <c r="R605" s="67"/>
    </row>
    <row r="606">
      <c r="R606" s="67"/>
    </row>
    <row r="607">
      <c r="R607" s="67"/>
    </row>
    <row r="608">
      <c r="R608" s="67"/>
    </row>
    <row r="609">
      <c r="R609" s="67"/>
    </row>
    <row r="610">
      <c r="R610" s="67"/>
    </row>
    <row r="611">
      <c r="R611" s="67"/>
    </row>
    <row r="612">
      <c r="R612" s="67"/>
    </row>
    <row r="613">
      <c r="R613" s="67"/>
    </row>
    <row r="614">
      <c r="R614" s="67"/>
    </row>
    <row r="615">
      <c r="R615" s="67"/>
    </row>
    <row r="616">
      <c r="R616" s="67"/>
    </row>
    <row r="617">
      <c r="R617" s="67"/>
    </row>
    <row r="618">
      <c r="R618" s="67"/>
    </row>
    <row r="619">
      <c r="R619" s="67"/>
    </row>
    <row r="620">
      <c r="R620" s="67"/>
    </row>
    <row r="621">
      <c r="R621" s="67"/>
    </row>
    <row r="622">
      <c r="R622" s="67"/>
    </row>
    <row r="623">
      <c r="R623" s="67"/>
    </row>
    <row r="624">
      <c r="R624" s="67"/>
    </row>
    <row r="625">
      <c r="R625" s="67"/>
    </row>
    <row r="626">
      <c r="R626" s="67"/>
    </row>
    <row r="627">
      <c r="R627" s="67"/>
    </row>
    <row r="628">
      <c r="R628" s="67"/>
    </row>
    <row r="629">
      <c r="R629" s="67"/>
    </row>
    <row r="630">
      <c r="R630" s="67"/>
    </row>
    <row r="631">
      <c r="R631" s="67"/>
    </row>
    <row r="632">
      <c r="R632" s="67"/>
    </row>
    <row r="633">
      <c r="R633" s="67"/>
    </row>
    <row r="634">
      <c r="R634" s="67"/>
    </row>
    <row r="635">
      <c r="R635" s="67"/>
    </row>
    <row r="636">
      <c r="R636" s="67"/>
    </row>
    <row r="637">
      <c r="R637" s="67"/>
    </row>
    <row r="638">
      <c r="R638" s="67"/>
    </row>
    <row r="639">
      <c r="R639" s="67"/>
    </row>
    <row r="640">
      <c r="R640" s="67"/>
    </row>
    <row r="641">
      <c r="R641" s="67"/>
    </row>
    <row r="642">
      <c r="R642" s="67"/>
    </row>
    <row r="643">
      <c r="R643" s="67"/>
    </row>
    <row r="644">
      <c r="R644" s="67"/>
    </row>
    <row r="645">
      <c r="R645" s="67"/>
    </row>
    <row r="646">
      <c r="R646" s="67"/>
    </row>
    <row r="647">
      <c r="R647" s="67"/>
    </row>
    <row r="648">
      <c r="R648" s="67"/>
    </row>
    <row r="649">
      <c r="R649" s="67"/>
    </row>
    <row r="650">
      <c r="R650" s="67"/>
    </row>
    <row r="651">
      <c r="R651" s="67"/>
    </row>
    <row r="652">
      <c r="R652" s="67"/>
    </row>
    <row r="653">
      <c r="R653" s="67"/>
    </row>
    <row r="654">
      <c r="R654" s="67"/>
    </row>
    <row r="655">
      <c r="R655" s="67"/>
    </row>
    <row r="656">
      <c r="R656" s="67"/>
    </row>
    <row r="657">
      <c r="R657" s="67"/>
    </row>
    <row r="658">
      <c r="R658" s="67"/>
    </row>
    <row r="659">
      <c r="R659" s="67"/>
    </row>
    <row r="660">
      <c r="R660" s="67"/>
    </row>
    <row r="661">
      <c r="R661" s="67"/>
    </row>
    <row r="662">
      <c r="R662" s="67"/>
    </row>
    <row r="663">
      <c r="R663" s="67"/>
    </row>
    <row r="664">
      <c r="R664" s="67"/>
    </row>
    <row r="665">
      <c r="R665" s="67"/>
    </row>
    <row r="666">
      <c r="R666" s="67"/>
    </row>
    <row r="667">
      <c r="R667" s="67"/>
    </row>
    <row r="668">
      <c r="R668" s="67"/>
    </row>
    <row r="669">
      <c r="R669" s="67"/>
    </row>
    <row r="670">
      <c r="R670" s="67"/>
    </row>
    <row r="671">
      <c r="R671" s="67"/>
    </row>
    <row r="672">
      <c r="R672" s="67"/>
    </row>
    <row r="673">
      <c r="R673" s="67"/>
    </row>
    <row r="674">
      <c r="R674" s="67"/>
    </row>
    <row r="675">
      <c r="R675" s="67"/>
    </row>
    <row r="676">
      <c r="R676" s="67"/>
    </row>
    <row r="677">
      <c r="R677" s="67"/>
    </row>
    <row r="678">
      <c r="R678" s="67"/>
    </row>
    <row r="679">
      <c r="R679" s="67"/>
    </row>
    <row r="680">
      <c r="R680" s="67"/>
    </row>
    <row r="681">
      <c r="R681" s="67"/>
    </row>
    <row r="682">
      <c r="R682" s="67"/>
    </row>
    <row r="683">
      <c r="R683" s="67"/>
    </row>
    <row r="684">
      <c r="R684" s="67"/>
    </row>
    <row r="685">
      <c r="R685" s="67"/>
    </row>
    <row r="686">
      <c r="R686" s="67"/>
    </row>
    <row r="687">
      <c r="R687" s="67"/>
    </row>
    <row r="688">
      <c r="R688" s="67"/>
    </row>
    <row r="689">
      <c r="R689" s="67"/>
    </row>
    <row r="690">
      <c r="R690" s="67"/>
    </row>
    <row r="691">
      <c r="R691" s="67"/>
    </row>
    <row r="692">
      <c r="R692" s="67"/>
    </row>
    <row r="693">
      <c r="R693" s="67"/>
    </row>
    <row r="694">
      <c r="R694" s="67"/>
    </row>
    <row r="695">
      <c r="R695" s="67"/>
    </row>
    <row r="696">
      <c r="R696" s="67"/>
    </row>
    <row r="697">
      <c r="R697" s="67"/>
    </row>
    <row r="698">
      <c r="R698" s="67"/>
    </row>
    <row r="699">
      <c r="R699" s="67"/>
    </row>
    <row r="700">
      <c r="R700" s="67"/>
    </row>
    <row r="701">
      <c r="R701" s="67"/>
    </row>
    <row r="702">
      <c r="R702" s="67"/>
    </row>
    <row r="703">
      <c r="R703" s="67"/>
    </row>
    <row r="704">
      <c r="R704" s="67"/>
    </row>
    <row r="705">
      <c r="R705" s="67"/>
    </row>
    <row r="706">
      <c r="R706" s="67"/>
    </row>
    <row r="707">
      <c r="R707" s="67"/>
    </row>
    <row r="708">
      <c r="R708" s="67"/>
    </row>
    <row r="709">
      <c r="R709" s="67"/>
    </row>
    <row r="710">
      <c r="R710" s="67"/>
    </row>
    <row r="711">
      <c r="R711" s="67"/>
    </row>
    <row r="712">
      <c r="R712" s="67"/>
    </row>
    <row r="713">
      <c r="R713" s="67"/>
    </row>
    <row r="714">
      <c r="R714" s="67"/>
    </row>
    <row r="715">
      <c r="R715" s="67"/>
    </row>
    <row r="716">
      <c r="R716" s="67"/>
    </row>
    <row r="717">
      <c r="R717" s="67"/>
    </row>
    <row r="718">
      <c r="R718" s="67"/>
    </row>
    <row r="719">
      <c r="R719" s="67"/>
    </row>
    <row r="720">
      <c r="R720" s="67"/>
    </row>
    <row r="721">
      <c r="R721" s="67"/>
    </row>
    <row r="722">
      <c r="R722" s="67"/>
    </row>
    <row r="723">
      <c r="R723" s="67"/>
    </row>
    <row r="724">
      <c r="R724" s="67"/>
    </row>
    <row r="725">
      <c r="R725" s="67"/>
    </row>
    <row r="726">
      <c r="R726" s="67"/>
    </row>
    <row r="727">
      <c r="R727" s="67"/>
    </row>
    <row r="728">
      <c r="R728" s="67"/>
    </row>
    <row r="729">
      <c r="R729" s="67"/>
    </row>
    <row r="730">
      <c r="R730" s="67"/>
    </row>
    <row r="731">
      <c r="R731" s="67"/>
    </row>
    <row r="732">
      <c r="R732" s="67"/>
    </row>
    <row r="733">
      <c r="R733" s="67"/>
    </row>
    <row r="734">
      <c r="R734" s="67"/>
    </row>
    <row r="735">
      <c r="R735" s="67"/>
    </row>
    <row r="736">
      <c r="R736" s="67"/>
    </row>
    <row r="737">
      <c r="R737" s="67"/>
    </row>
    <row r="738">
      <c r="R738" s="67"/>
    </row>
    <row r="739">
      <c r="R739" s="67"/>
    </row>
    <row r="740">
      <c r="R740" s="67"/>
    </row>
    <row r="741">
      <c r="R741" s="67"/>
    </row>
    <row r="742">
      <c r="R742" s="67"/>
    </row>
    <row r="743">
      <c r="R743" s="67"/>
    </row>
    <row r="744">
      <c r="R744" s="67"/>
    </row>
    <row r="745">
      <c r="R745" s="67"/>
    </row>
    <row r="746">
      <c r="R746" s="67"/>
    </row>
    <row r="747">
      <c r="R747" s="67"/>
    </row>
    <row r="748">
      <c r="R748" s="67"/>
    </row>
    <row r="749">
      <c r="R749" s="67"/>
    </row>
    <row r="750">
      <c r="R750" s="67"/>
    </row>
    <row r="751">
      <c r="R751" s="67"/>
    </row>
    <row r="752">
      <c r="R752" s="67"/>
    </row>
    <row r="753">
      <c r="R753" s="67"/>
    </row>
    <row r="754">
      <c r="R754" s="67"/>
    </row>
    <row r="755">
      <c r="R755" s="67"/>
    </row>
    <row r="756">
      <c r="R756" s="67"/>
    </row>
    <row r="757">
      <c r="R757" s="67"/>
    </row>
    <row r="758">
      <c r="R758" s="67"/>
    </row>
    <row r="759">
      <c r="R759" s="67"/>
    </row>
    <row r="760">
      <c r="R760" s="67"/>
    </row>
    <row r="761">
      <c r="R761" s="67"/>
    </row>
    <row r="762">
      <c r="R762" s="67"/>
    </row>
    <row r="763">
      <c r="R763" s="67"/>
    </row>
    <row r="764">
      <c r="R764" s="67"/>
    </row>
    <row r="765">
      <c r="R765" s="67"/>
    </row>
    <row r="766">
      <c r="R766" s="67"/>
    </row>
    <row r="767">
      <c r="R767" s="67"/>
    </row>
    <row r="768">
      <c r="R768" s="67"/>
    </row>
    <row r="769">
      <c r="R769" s="67"/>
    </row>
    <row r="770">
      <c r="R770" s="67"/>
    </row>
    <row r="771">
      <c r="R771" s="67"/>
    </row>
    <row r="772">
      <c r="R772" s="67"/>
    </row>
    <row r="773">
      <c r="R773" s="67"/>
    </row>
    <row r="774">
      <c r="R774" s="67"/>
    </row>
    <row r="775">
      <c r="R775" s="67"/>
    </row>
    <row r="776">
      <c r="R776" s="67"/>
    </row>
    <row r="777">
      <c r="R777" s="67"/>
    </row>
    <row r="778">
      <c r="R778" s="67"/>
    </row>
    <row r="779">
      <c r="R779" s="67"/>
    </row>
    <row r="780">
      <c r="R780" s="67"/>
    </row>
    <row r="781">
      <c r="R781" s="67"/>
    </row>
    <row r="782">
      <c r="R782" s="67"/>
    </row>
    <row r="783">
      <c r="R783" s="67"/>
    </row>
    <row r="784">
      <c r="R784" s="67"/>
    </row>
    <row r="785">
      <c r="R785" s="67"/>
    </row>
    <row r="786">
      <c r="R786" s="67"/>
    </row>
    <row r="787">
      <c r="R787" s="67"/>
    </row>
    <row r="788">
      <c r="R788" s="67"/>
    </row>
    <row r="789">
      <c r="R789" s="67"/>
    </row>
    <row r="790">
      <c r="R790" s="67"/>
    </row>
    <row r="791">
      <c r="R791" s="67"/>
    </row>
    <row r="792">
      <c r="R792" s="67"/>
    </row>
    <row r="793">
      <c r="R793" s="67"/>
    </row>
    <row r="794">
      <c r="R794" s="67"/>
    </row>
    <row r="795">
      <c r="R795" s="67"/>
    </row>
    <row r="796">
      <c r="R796" s="67"/>
    </row>
    <row r="797">
      <c r="R797" s="67"/>
    </row>
    <row r="798">
      <c r="R798" s="67"/>
    </row>
    <row r="799">
      <c r="R799" s="67"/>
    </row>
    <row r="800">
      <c r="R800" s="67"/>
    </row>
    <row r="801">
      <c r="R801" s="67"/>
    </row>
    <row r="802">
      <c r="R802" s="67"/>
    </row>
    <row r="803">
      <c r="R803" s="67"/>
    </row>
    <row r="804">
      <c r="R804" s="67"/>
    </row>
    <row r="805">
      <c r="R805" s="67"/>
    </row>
    <row r="806">
      <c r="R806" s="67"/>
    </row>
    <row r="807">
      <c r="R807" s="67"/>
    </row>
    <row r="808">
      <c r="R808" s="67"/>
    </row>
    <row r="809">
      <c r="R809" s="67"/>
    </row>
    <row r="810">
      <c r="R810" s="67"/>
    </row>
    <row r="811">
      <c r="R811" s="67"/>
    </row>
    <row r="812">
      <c r="R812" s="67"/>
    </row>
    <row r="813">
      <c r="R813" s="67"/>
    </row>
    <row r="814">
      <c r="R814" s="67"/>
    </row>
    <row r="815">
      <c r="R815" s="67"/>
    </row>
    <row r="816">
      <c r="R816" s="67"/>
    </row>
    <row r="817">
      <c r="R817" s="67"/>
    </row>
    <row r="818">
      <c r="R818" s="67"/>
    </row>
    <row r="819">
      <c r="R819" s="67"/>
    </row>
    <row r="820">
      <c r="R820" s="67"/>
    </row>
    <row r="821">
      <c r="R821" s="67"/>
    </row>
    <row r="822">
      <c r="R822" s="67"/>
    </row>
    <row r="823">
      <c r="R823" s="67"/>
    </row>
    <row r="824">
      <c r="R824" s="67"/>
    </row>
    <row r="825">
      <c r="R825" s="67"/>
    </row>
    <row r="826">
      <c r="R826" s="67"/>
    </row>
    <row r="827">
      <c r="R827" s="67"/>
    </row>
    <row r="828">
      <c r="R828" s="67"/>
    </row>
    <row r="829">
      <c r="R829" s="67"/>
    </row>
    <row r="830">
      <c r="R830" s="67"/>
    </row>
    <row r="831">
      <c r="R831" s="67"/>
    </row>
    <row r="832">
      <c r="R832" s="67"/>
    </row>
    <row r="833">
      <c r="R833" s="67"/>
    </row>
    <row r="834">
      <c r="R834" s="67"/>
    </row>
    <row r="835">
      <c r="R835" s="67"/>
    </row>
    <row r="836">
      <c r="R836" s="67"/>
    </row>
    <row r="837">
      <c r="R837" s="67"/>
    </row>
    <row r="838">
      <c r="R838" s="67"/>
    </row>
    <row r="839">
      <c r="R839" s="67"/>
    </row>
    <row r="840">
      <c r="R840" s="67"/>
    </row>
    <row r="841">
      <c r="R841" s="67"/>
    </row>
    <row r="842">
      <c r="R842" s="67"/>
    </row>
    <row r="843">
      <c r="R843" s="67"/>
    </row>
    <row r="844">
      <c r="R844" s="67"/>
    </row>
    <row r="845">
      <c r="R845" s="67"/>
    </row>
    <row r="846">
      <c r="R846" s="67"/>
    </row>
    <row r="847">
      <c r="R847" s="67"/>
    </row>
    <row r="848">
      <c r="R848" s="67"/>
    </row>
    <row r="849">
      <c r="R849" s="67"/>
    </row>
    <row r="850">
      <c r="R850" s="67"/>
    </row>
    <row r="851">
      <c r="R851" s="67"/>
    </row>
    <row r="852">
      <c r="R852" s="67"/>
    </row>
    <row r="853">
      <c r="R853" s="67"/>
    </row>
    <row r="854">
      <c r="R854" s="67"/>
    </row>
    <row r="855">
      <c r="R855" s="67"/>
    </row>
    <row r="856">
      <c r="R856" s="67"/>
    </row>
    <row r="857">
      <c r="R857" s="67"/>
    </row>
    <row r="858">
      <c r="R858" s="67"/>
    </row>
    <row r="859">
      <c r="R859" s="67"/>
    </row>
    <row r="860">
      <c r="R860" s="67"/>
    </row>
    <row r="861">
      <c r="R861" s="67"/>
    </row>
    <row r="862">
      <c r="R862" s="67"/>
    </row>
    <row r="863">
      <c r="R863" s="67"/>
    </row>
    <row r="864">
      <c r="R864" s="67"/>
    </row>
    <row r="865">
      <c r="R865" s="67"/>
    </row>
    <row r="866">
      <c r="R866" s="67"/>
    </row>
    <row r="867">
      <c r="R867" s="67"/>
    </row>
    <row r="868">
      <c r="R868" s="67"/>
    </row>
    <row r="869">
      <c r="R869" s="67"/>
    </row>
    <row r="870">
      <c r="R870" s="67"/>
    </row>
    <row r="871">
      <c r="R871" s="67"/>
    </row>
    <row r="872">
      <c r="R872" s="67"/>
    </row>
    <row r="873">
      <c r="R873" s="67"/>
    </row>
    <row r="874">
      <c r="R874" s="67"/>
    </row>
    <row r="875">
      <c r="R875" s="67"/>
    </row>
    <row r="876">
      <c r="R876" s="67"/>
    </row>
    <row r="877">
      <c r="R877" s="67"/>
    </row>
    <row r="878">
      <c r="R878" s="67"/>
    </row>
    <row r="879">
      <c r="R879" s="67"/>
    </row>
    <row r="880">
      <c r="R880" s="67"/>
    </row>
    <row r="881">
      <c r="R881" s="67"/>
    </row>
    <row r="882">
      <c r="R882" s="67"/>
    </row>
    <row r="883">
      <c r="R883" s="67"/>
    </row>
    <row r="884">
      <c r="R884" s="67"/>
    </row>
    <row r="885">
      <c r="R885" s="67"/>
    </row>
    <row r="886">
      <c r="R886" s="67"/>
    </row>
    <row r="887">
      <c r="R887" s="67"/>
    </row>
    <row r="888">
      <c r="R888" s="67"/>
    </row>
    <row r="889">
      <c r="R889" s="67"/>
    </row>
    <row r="890">
      <c r="R890" s="67"/>
    </row>
    <row r="891">
      <c r="R891" s="67"/>
    </row>
    <row r="892">
      <c r="R892" s="67"/>
    </row>
    <row r="893">
      <c r="R893" s="67"/>
    </row>
    <row r="894">
      <c r="R894" s="67"/>
    </row>
    <row r="895">
      <c r="R895" s="67"/>
    </row>
    <row r="896">
      <c r="R896" s="67"/>
    </row>
    <row r="897">
      <c r="R897" s="67"/>
    </row>
    <row r="898">
      <c r="R898" s="67"/>
    </row>
    <row r="899">
      <c r="R899" s="67"/>
    </row>
    <row r="900">
      <c r="R900" s="67"/>
    </row>
    <row r="901">
      <c r="R901" s="67"/>
    </row>
    <row r="902">
      <c r="R902" s="67"/>
    </row>
    <row r="903">
      <c r="R903" s="67"/>
    </row>
    <row r="904">
      <c r="R904" s="67"/>
    </row>
    <row r="905">
      <c r="R905" s="67"/>
    </row>
    <row r="906">
      <c r="R906" s="67"/>
    </row>
    <row r="907">
      <c r="R907" s="67"/>
    </row>
    <row r="908">
      <c r="R908" s="67"/>
    </row>
    <row r="909">
      <c r="R909" s="67"/>
    </row>
    <row r="910">
      <c r="R910" s="67"/>
    </row>
    <row r="911">
      <c r="R911" s="67"/>
    </row>
    <row r="912">
      <c r="R912" s="67"/>
    </row>
    <row r="913">
      <c r="R913" s="67"/>
    </row>
    <row r="914">
      <c r="R914" s="67"/>
    </row>
    <row r="915">
      <c r="R915" s="67"/>
    </row>
    <row r="916">
      <c r="R916" s="67"/>
    </row>
    <row r="917">
      <c r="R917" s="67"/>
    </row>
    <row r="918">
      <c r="R918" s="67"/>
    </row>
    <row r="919">
      <c r="R919" s="67"/>
    </row>
    <row r="920">
      <c r="R920" s="67"/>
    </row>
    <row r="921">
      <c r="R921" s="67"/>
    </row>
    <row r="922">
      <c r="R922" s="67"/>
    </row>
    <row r="923">
      <c r="R923" s="67"/>
    </row>
    <row r="924">
      <c r="R924" s="67"/>
    </row>
    <row r="925">
      <c r="R925" s="67"/>
    </row>
    <row r="926">
      <c r="R926" s="67"/>
    </row>
    <row r="927">
      <c r="R927" s="67"/>
    </row>
    <row r="928">
      <c r="R928" s="67"/>
    </row>
    <row r="929">
      <c r="R929" s="67"/>
    </row>
    <row r="930">
      <c r="R930" s="67"/>
    </row>
    <row r="931">
      <c r="R931" s="67"/>
    </row>
    <row r="932">
      <c r="R932" s="67"/>
    </row>
    <row r="933">
      <c r="R933" s="67"/>
    </row>
    <row r="934">
      <c r="R934" s="67"/>
    </row>
    <row r="935">
      <c r="R935" s="67"/>
    </row>
    <row r="936">
      <c r="R936" s="67"/>
    </row>
    <row r="937">
      <c r="R937" s="67"/>
    </row>
    <row r="938">
      <c r="R938" s="67"/>
    </row>
    <row r="939">
      <c r="R939" s="67"/>
    </row>
    <row r="940">
      <c r="R940" s="67"/>
    </row>
    <row r="941">
      <c r="R941" s="67"/>
    </row>
    <row r="942">
      <c r="R942" s="67"/>
    </row>
    <row r="943">
      <c r="R943" s="67"/>
    </row>
    <row r="944">
      <c r="R944" s="67"/>
    </row>
    <row r="945">
      <c r="R945" s="67"/>
    </row>
    <row r="946">
      <c r="R946" s="67"/>
    </row>
    <row r="947">
      <c r="R947" s="67"/>
    </row>
    <row r="948">
      <c r="R948" s="67"/>
    </row>
    <row r="949">
      <c r="R949" s="67"/>
    </row>
    <row r="950">
      <c r="R950" s="67"/>
    </row>
    <row r="951">
      <c r="R951" s="67"/>
    </row>
    <row r="952">
      <c r="R952" s="67"/>
    </row>
    <row r="953">
      <c r="R953" s="67"/>
    </row>
    <row r="954">
      <c r="R954" s="67"/>
    </row>
    <row r="955">
      <c r="R955" s="67"/>
    </row>
    <row r="956">
      <c r="R956" s="67"/>
    </row>
    <row r="957">
      <c r="R957" s="67"/>
    </row>
    <row r="958">
      <c r="R958" s="67"/>
    </row>
    <row r="959">
      <c r="R959" s="67"/>
    </row>
    <row r="960">
      <c r="R960" s="67"/>
    </row>
    <row r="961">
      <c r="R961" s="67"/>
    </row>
    <row r="962">
      <c r="R962" s="67"/>
    </row>
    <row r="963">
      <c r="R963" s="67"/>
    </row>
    <row r="964">
      <c r="R964" s="67"/>
    </row>
    <row r="965">
      <c r="R965" s="67"/>
    </row>
    <row r="966">
      <c r="R966" s="67"/>
    </row>
    <row r="967">
      <c r="R967" s="67"/>
    </row>
    <row r="968">
      <c r="R968" s="67"/>
    </row>
    <row r="969">
      <c r="R969" s="67"/>
    </row>
  </sheetData>
  <mergeCells count="62">
    <mergeCell ref="N177:Q177"/>
    <mergeCell ref="N178:Q178"/>
    <mergeCell ref="A191:K191"/>
    <mergeCell ref="A192:K192"/>
    <mergeCell ref="N194:Q194"/>
    <mergeCell ref="N195:Q195"/>
    <mergeCell ref="A208:K208"/>
    <mergeCell ref="A209:K209"/>
    <mergeCell ref="N211:Q211"/>
    <mergeCell ref="N212:Q212"/>
    <mergeCell ref="A228:K228"/>
    <mergeCell ref="A229:K229"/>
    <mergeCell ref="A245:K245"/>
    <mergeCell ref="A246:K246"/>
    <mergeCell ref="A1:K1"/>
    <mergeCell ref="A2:K2"/>
    <mergeCell ref="N4:Q4"/>
    <mergeCell ref="N5:Q5"/>
    <mergeCell ref="A18:K18"/>
    <mergeCell ref="N21:Q21"/>
    <mergeCell ref="N22:Q22"/>
    <mergeCell ref="A19:K19"/>
    <mergeCell ref="A35:K35"/>
    <mergeCell ref="A36:K36"/>
    <mergeCell ref="N38:Q38"/>
    <mergeCell ref="N39:Q39"/>
    <mergeCell ref="A53:K53"/>
    <mergeCell ref="A54:K54"/>
    <mergeCell ref="N56:Q56"/>
    <mergeCell ref="N57:Q57"/>
    <mergeCell ref="A71:K71"/>
    <mergeCell ref="A72:K72"/>
    <mergeCell ref="N74:Q74"/>
    <mergeCell ref="N75:Q75"/>
    <mergeCell ref="A88:K88"/>
    <mergeCell ref="A89:K89"/>
    <mergeCell ref="N91:Q91"/>
    <mergeCell ref="N92:Q92"/>
    <mergeCell ref="A106:K106"/>
    <mergeCell ref="A107:K107"/>
    <mergeCell ref="N109:Q109"/>
    <mergeCell ref="N110:Q110"/>
    <mergeCell ref="A123:K123"/>
    <mergeCell ref="A124:K124"/>
    <mergeCell ref="N126:Q126"/>
    <mergeCell ref="N127:Q127"/>
    <mergeCell ref="A140:K140"/>
    <mergeCell ref="N143:Q143"/>
    <mergeCell ref="N144:Q144"/>
    <mergeCell ref="A141:K141"/>
    <mergeCell ref="A157:K157"/>
    <mergeCell ref="A158:K158"/>
    <mergeCell ref="N160:Q160"/>
    <mergeCell ref="N161:Q161"/>
    <mergeCell ref="A174:K174"/>
    <mergeCell ref="A175:K175"/>
    <mergeCell ref="A262:K262"/>
    <mergeCell ref="A263:K263"/>
    <mergeCell ref="A279:K279"/>
    <mergeCell ref="A280:K280"/>
    <mergeCell ref="A296:K296"/>
    <mergeCell ref="A297:K297"/>
  </mergeCells>
  <dataValidations>
    <dataValidation type="list" allowBlank="1" showErrorMessage="1" sqref="I4:I15 I21:I32 I38:I49 I56:I67 I74:I85 I91:I102 I109:I120 I126:I129 I131:I137 I143:I154 I160:I171 I177:I188 I194:I205 I211:I222 I231:I242 I248:I259 I265:I276 I282:I293 I299:I310">
      <formula1>"Não atendido ,Atendido ,Cancelado ,Vagas livres,Bloqueada"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2.88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63" t="s">
        <v>901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32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74"/>
      <c r="C4" s="74"/>
      <c r="D4" s="75">
        <v>0.3333333333333333</v>
      </c>
      <c r="E4" s="74"/>
      <c r="F4" s="74"/>
      <c r="G4" s="74"/>
      <c r="H4" s="74"/>
      <c r="I4" s="367"/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67"/>
    </row>
    <row r="5">
      <c r="A5" s="12" t="s">
        <v>11</v>
      </c>
      <c r="B5" s="74"/>
      <c r="C5" s="74"/>
      <c r="D5" s="75">
        <v>0.3472222222222222</v>
      </c>
      <c r="E5" s="74"/>
      <c r="F5" s="74"/>
      <c r="G5" s="74"/>
      <c r="H5" s="74"/>
      <c r="I5" s="367"/>
      <c r="J5" s="74"/>
      <c r="K5" s="74"/>
      <c r="M5" s="267"/>
      <c r="N5" s="270" t="s">
        <v>388</v>
      </c>
      <c r="O5" s="2"/>
      <c r="P5" s="2"/>
      <c r="Q5" s="2"/>
      <c r="R5" s="67"/>
    </row>
    <row r="6">
      <c r="A6" s="12" t="s">
        <v>12</v>
      </c>
      <c r="B6" s="74"/>
      <c r="C6" s="74"/>
      <c r="D6" s="75">
        <v>0.3611111111111111</v>
      </c>
      <c r="E6" s="74"/>
      <c r="F6" s="74"/>
      <c r="G6" s="74"/>
      <c r="H6" s="74"/>
      <c r="I6" s="367"/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67"/>
    </row>
    <row r="7">
      <c r="A7" s="12" t="s">
        <v>13</v>
      </c>
      <c r="B7" s="74"/>
      <c r="D7" s="75">
        <v>0.375</v>
      </c>
      <c r="E7" s="74"/>
      <c r="F7" s="74"/>
      <c r="G7" s="74"/>
      <c r="H7" s="74"/>
      <c r="I7" s="367"/>
      <c r="J7" s="74"/>
      <c r="K7" s="74"/>
      <c r="M7" s="67"/>
      <c r="N7" s="275">
        <f t="shared" ref="N7:Q7" si="1">COUNTIFS($I$4:$I$15, N6)</f>
        <v>0</v>
      </c>
      <c r="O7" s="276">
        <f t="shared" si="1"/>
        <v>0</v>
      </c>
      <c r="P7" s="276">
        <f t="shared" si="1"/>
        <v>0</v>
      </c>
      <c r="Q7" s="277">
        <f t="shared" si="1"/>
        <v>0</v>
      </c>
      <c r="R7" s="67"/>
    </row>
    <row r="8">
      <c r="A8" s="12" t="s">
        <v>14</v>
      </c>
      <c r="B8" s="74"/>
      <c r="C8" s="74"/>
      <c r="D8" s="75">
        <v>0.3888888888888889</v>
      </c>
      <c r="E8" s="74"/>
      <c r="F8" s="74"/>
      <c r="G8" s="74"/>
      <c r="H8" s="74"/>
      <c r="I8" s="367"/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>
      <c r="A9" s="12" t="s">
        <v>15</v>
      </c>
      <c r="B9" s="74"/>
      <c r="C9" s="74"/>
      <c r="D9" s="368">
        <v>0.4027777777777778</v>
      </c>
      <c r="E9" s="74"/>
      <c r="F9" s="74"/>
      <c r="G9" s="74"/>
      <c r="H9" s="74"/>
      <c r="I9" s="367"/>
      <c r="J9" s="74"/>
      <c r="K9" s="74"/>
      <c r="L9" s="216" t="s">
        <v>394</v>
      </c>
      <c r="R9" s="67"/>
    </row>
    <row r="10">
      <c r="A10" s="12" t="s">
        <v>16</v>
      </c>
      <c r="B10" s="74"/>
      <c r="C10" s="74"/>
      <c r="D10" s="75">
        <v>0.4166666666666667</v>
      </c>
      <c r="E10" s="74"/>
      <c r="F10" s="74"/>
      <c r="G10" s="74"/>
      <c r="H10" s="74"/>
      <c r="I10" s="367"/>
      <c r="J10" s="74"/>
      <c r="K10" s="74"/>
      <c r="L10" s="216" t="s">
        <v>394</v>
      </c>
      <c r="R10" s="67"/>
    </row>
    <row r="11">
      <c r="A11" s="12" t="s">
        <v>17</v>
      </c>
      <c r="B11" s="74"/>
      <c r="C11" s="74"/>
      <c r="D11" s="75">
        <v>0.4305555555555556</v>
      </c>
      <c r="E11" s="74"/>
      <c r="F11" s="74"/>
      <c r="G11" s="74"/>
      <c r="H11" s="74"/>
      <c r="I11" s="367"/>
      <c r="J11" s="74"/>
      <c r="K11" s="74"/>
      <c r="L11" s="216" t="s">
        <v>394</v>
      </c>
      <c r="R11" s="67"/>
    </row>
    <row r="12">
      <c r="A12" s="12" t="s">
        <v>85</v>
      </c>
      <c r="B12" s="74"/>
      <c r="C12" s="74"/>
      <c r="D12" s="75">
        <v>0.4444444444444444</v>
      </c>
      <c r="E12" s="74"/>
      <c r="F12" s="74"/>
      <c r="G12" s="74"/>
      <c r="H12" s="74"/>
      <c r="I12" s="367"/>
      <c r="J12" s="74"/>
      <c r="K12" s="74"/>
      <c r="L12" s="216" t="s">
        <v>394</v>
      </c>
      <c r="R12" s="67"/>
    </row>
    <row r="13">
      <c r="A13" s="12" t="s">
        <v>87</v>
      </c>
      <c r="B13" s="74"/>
      <c r="C13" s="74"/>
      <c r="D13" s="75"/>
      <c r="E13" s="74"/>
      <c r="F13" s="74"/>
      <c r="G13" s="74"/>
      <c r="H13" s="74"/>
      <c r="I13" s="367"/>
      <c r="J13" s="74"/>
      <c r="K13" s="74"/>
      <c r="L13" s="216" t="s">
        <v>394</v>
      </c>
      <c r="R13" s="67"/>
    </row>
    <row r="14">
      <c r="A14" s="12" t="s">
        <v>90</v>
      </c>
      <c r="B14" s="74"/>
      <c r="C14" s="74"/>
      <c r="D14" s="75">
        <v>0.4722222222222222</v>
      </c>
      <c r="E14" s="74"/>
      <c r="F14" s="74"/>
      <c r="G14" s="74"/>
      <c r="H14" s="74"/>
      <c r="I14" s="367"/>
      <c r="J14" s="74"/>
      <c r="K14" s="74"/>
      <c r="L14" s="216" t="s">
        <v>394</v>
      </c>
      <c r="R14" s="67"/>
    </row>
    <row r="15">
      <c r="A15" s="12" t="s">
        <v>93</v>
      </c>
      <c r="B15" s="74"/>
      <c r="C15" s="74"/>
      <c r="D15" s="75"/>
      <c r="E15" s="74"/>
      <c r="F15" s="74"/>
      <c r="G15" s="74"/>
      <c r="H15" s="74"/>
      <c r="I15" s="367"/>
      <c r="J15" s="74"/>
      <c r="K15" s="74"/>
      <c r="L15" s="216" t="s">
        <v>394</v>
      </c>
      <c r="R15" s="67"/>
    </row>
    <row r="16">
      <c r="J16" s="67"/>
      <c r="K16" s="67"/>
      <c r="R16" s="67"/>
    </row>
    <row r="17">
      <c r="J17" s="67"/>
      <c r="K17" s="67"/>
      <c r="R17" s="67"/>
    </row>
    <row r="18">
      <c r="A18" s="23" t="s">
        <v>902</v>
      </c>
      <c r="B18" s="2"/>
      <c r="C18" s="2"/>
      <c r="D18" s="2"/>
      <c r="E18" s="2"/>
      <c r="F18" s="2"/>
      <c r="G18" s="2"/>
      <c r="H18" s="2"/>
      <c r="I18" s="2"/>
      <c r="J18" s="2"/>
      <c r="K18" s="3"/>
      <c r="R18" s="67"/>
    </row>
    <row r="19">
      <c r="A19" s="263" t="s">
        <v>903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5"/>
      <c r="B20" s="26" t="s">
        <v>3</v>
      </c>
      <c r="C20" s="27" t="s">
        <v>2</v>
      </c>
      <c r="D20" s="28" t="s">
        <v>5</v>
      </c>
      <c r="E20" s="32" t="s">
        <v>19</v>
      </c>
      <c r="F20" s="28" t="s">
        <v>6</v>
      </c>
      <c r="G20" s="28" t="s">
        <v>7</v>
      </c>
      <c r="H20" s="30" t="s">
        <v>8</v>
      </c>
      <c r="I20" s="31" t="s">
        <v>20</v>
      </c>
      <c r="J20" s="32" t="s">
        <v>21</v>
      </c>
      <c r="K20" s="32" t="s">
        <v>22</v>
      </c>
      <c r="R20" s="67"/>
    </row>
    <row r="21">
      <c r="A21" s="12" t="s">
        <v>10</v>
      </c>
      <c r="B21" s="74"/>
      <c r="C21" s="74" t="s">
        <v>581</v>
      </c>
      <c r="D21" s="75">
        <v>0.5416666666666666</v>
      </c>
      <c r="E21" s="280"/>
      <c r="F21" s="80"/>
      <c r="G21" s="281"/>
      <c r="H21" s="82"/>
      <c r="I21" s="41"/>
      <c r="J21" s="102"/>
      <c r="K21" s="102"/>
      <c r="N21" s="268" t="s">
        <v>387</v>
      </c>
      <c r="O21" s="100"/>
      <c r="P21" s="100"/>
      <c r="Q21" s="100"/>
      <c r="R21" s="67"/>
    </row>
    <row r="22">
      <c r="A22" s="12" t="s">
        <v>11</v>
      </c>
      <c r="B22" s="74" t="s">
        <v>904</v>
      </c>
      <c r="C22" s="74" t="s">
        <v>581</v>
      </c>
      <c r="D22" s="75">
        <v>0.5555555555555556</v>
      </c>
      <c r="E22" s="282" t="s">
        <v>905</v>
      </c>
      <c r="F22" s="283">
        <v>2.01163884680005E14</v>
      </c>
      <c r="G22" s="284" t="s">
        <v>906</v>
      </c>
      <c r="H22" s="285">
        <v>17277.0</v>
      </c>
      <c r="I22" s="41" t="s">
        <v>195</v>
      </c>
      <c r="J22" s="42" t="s">
        <v>907</v>
      </c>
      <c r="K22" s="42" t="s">
        <v>908</v>
      </c>
      <c r="N22" s="270" t="s">
        <v>436</v>
      </c>
      <c r="O22" s="2"/>
      <c r="P22" s="2"/>
      <c r="Q22" s="2"/>
      <c r="R22" s="67"/>
    </row>
    <row r="23">
      <c r="A23" s="12" t="s">
        <v>12</v>
      </c>
      <c r="B23" s="369" t="s">
        <v>259</v>
      </c>
      <c r="C23" s="370" t="s">
        <v>581</v>
      </c>
      <c r="D23" s="371">
        <v>0.5694444444444444</v>
      </c>
      <c r="E23" s="372" t="s">
        <v>909</v>
      </c>
      <c r="F23" s="370">
        <v>2.0116833925E14</v>
      </c>
      <c r="G23" s="370" t="s">
        <v>910</v>
      </c>
      <c r="H23" s="373">
        <v>27594.0</v>
      </c>
      <c r="I23" s="41" t="s">
        <v>195</v>
      </c>
      <c r="J23" s="102" t="s">
        <v>911</v>
      </c>
      <c r="K23" s="102"/>
      <c r="N23" s="271" t="s">
        <v>183</v>
      </c>
      <c r="O23" s="272" t="s">
        <v>195</v>
      </c>
      <c r="P23" s="272" t="s">
        <v>181</v>
      </c>
      <c r="Q23" s="273" t="s">
        <v>173</v>
      </c>
      <c r="R23" s="286" t="s">
        <v>439</v>
      </c>
    </row>
    <row r="24">
      <c r="A24" s="12" t="s">
        <v>13</v>
      </c>
      <c r="B24" s="74"/>
      <c r="C24" s="74" t="s">
        <v>581</v>
      </c>
      <c r="D24" s="75">
        <v>0.5833333333333334</v>
      </c>
      <c r="E24" s="289"/>
      <c r="F24" s="76"/>
      <c r="G24" s="290"/>
      <c r="H24" s="291"/>
      <c r="I24" s="41"/>
      <c r="J24" s="102"/>
      <c r="K24" s="102"/>
      <c r="L24" s="216" t="s">
        <v>442</v>
      </c>
      <c r="N24" s="275">
        <f>COUNTIFS(I$21:I$32,N23)</f>
        <v>4</v>
      </c>
      <c r="O24" s="275">
        <f t="shared" ref="O24:R24" si="2">COUNTIFS($I$21:$I$32,O23)</f>
        <v>3</v>
      </c>
      <c r="P24" s="275">
        <f t="shared" si="2"/>
        <v>0</v>
      </c>
      <c r="Q24" s="275">
        <f t="shared" si="2"/>
        <v>0</v>
      </c>
      <c r="R24" s="67">
        <f t="shared" si="2"/>
        <v>0</v>
      </c>
    </row>
    <row r="25">
      <c r="A25" s="12" t="s">
        <v>14</v>
      </c>
      <c r="B25" s="74" t="s">
        <v>904</v>
      </c>
      <c r="C25" s="74" t="s">
        <v>581</v>
      </c>
      <c r="D25" s="75">
        <v>0.5972222222222222</v>
      </c>
      <c r="E25" s="278" t="s">
        <v>912</v>
      </c>
      <c r="F25" s="156">
        <v>7.03004805701276E14</v>
      </c>
      <c r="G25" s="210" t="s">
        <v>913</v>
      </c>
      <c r="H25" s="77">
        <v>14365.0</v>
      </c>
      <c r="I25" s="41" t="s">
        <v>183</v>
      </c>
      <c r="J25" s="42" t="s">
        <v>914</v>
      </c>
      <c r="K25" s="42" t="s">
        <v>915</v>
      </c>
      <c r="L25" s="216" t="s">
        <v>442</v>
      </c>
      <c r="R25" s="67"/>
    </row>
    <row r="26">
      <c r="A26" s="12" t="s">
        <v>15</v>
      </c>
      <c r="B26" s="286" t="s">
        <v>259</v>
      </c>
      <c r="C26" s="74" t="s">
        <v>581</v>
      </c>
      <c r="D26" s="75">
        <v>0.6111111111111112</v>
      </c>
      <c r="E26" s="292" t="s">
        <v>916</v>
      </c>
      <c r="F26" s="84">
        <v>7.03005885125774E14</v>
      </c>
      <c r="G26" s="84" t="s">
        <v>917</v>
      </c>
      <c r="H26" s="293">
        <v>22801.0</v>
      </c>
      <c r="I26" s="41" t="s">
        <v>183</v>
      </c>
      <c r="J26" s="42" t="s">
        <v>918</v>
      </c>
      <c r="K26" s="42"/>
      <c r="L26" s="216" t="s">
        <v>442</v>
      </c>
      <c r="R26" s="67"/>
    </row>
    <row r="27">
      <c r="A27" s="12" t="s">
        <v>16</v>
      </c>
      <c r="B27" s="74"/>
      <c r="C27" s="74" t="s">
        <v>581</v>
      </c>
      <c r="D27" s="75">
        <v>0.625</v>
      </c>
      <c r="E27" s="241"/>
      <c r="F27" s="84"/>
      <c r="G27" s="84"/>
      <c r="H27" s="83"/>
      <c r="I27" s="41"/>
      <c r="J27" s="102"/>
      <c r="K27" s="102"/>
      <c r="L27" s="216" t="s">
        <v>442</v>
      </c>
      <c r="R27" s="67"/>
    </row>
    <row r="28">
      <c r="A28" s="12" t="s">
        <v>17</v>
      </c>
      <c r="B28" s="74" t="s">
        <v>904</v>
      </c>
      <c r="C28" s="74" t="s">
        <v>581</v>
      </c>
      <c r="D28" s="75">
        <v>0.6388888888888888</v>
      </c>
      <c r="E28" s="241" t="s">
        <v>919</v>
      </c>
      <c r="F28" s="84">
        <v>7.06801766211026E14</v>
      </c>
      <c r="G28" s="84" t="s">
        <v>920</v>
      </c>
      <c r="H28" s="83">
        <v>15079.0</v>
      </c>
      <c r="I28" s="41" t="s">
        <v>183</v>
      </c>
      <c r="J28" s="42" t="s">
        <v>921</v>
      </c>
      <c r="K28" s="42"/>
      <c r="L28" s="216" t="s">
        <v>442</v>
      </c>
      <c r="R28" s="67"/>
    </row>
    <row r="29">
      <c r="A29" s="12" t="s">
        <v>85</v>
      </c>
      <c r="B29" s="74" t="s">
        <v>259</v>
      </c>
      <c r="C29" s="74" t="s">
        <v>581</v>
      </c>
      <c r="D29" s="75">
        <v>0.6527777777777778</v>
      </c>
      <c r="E29" s="278" t="s">
        <v>922</v>
      </c>
      <c r="F29" s="156">
        <v>7.00005275323101E14</v>
      </c>
      <c r="G29" s="84" t="s">
        <v>923</v>
      </c>
      <c r="H29" s="91">
        <v>21813.0</v>
      </c>
      <c r="I29" s="41" t="s">
        <v>195</v>
      </c>
      <c r="J29" s="42" t="s">
        <v>924</v>
      </c>
      <c r="K29" s="42"/>
      <c r="R29" s="67"/>
    </row>
    <row r="30">
      <c r="A30" s="12" t="s">
        <v>87</v>
      </c>
      <c r="B30" s="74"/>
      <c r="C30" s="74" t="s">
        <v>581</v>
      </c>
      <c r="D30" s="75">
        <v>0.6666666666666666</v>
      </c>
      <c r="E30" s="245"/>
      <c r="F30" s="133"/>
      <c r="G30" s="84"/>
      <c r="H30" s="166"/>
      <c r="I30" s="41"/>
      <c r="J30" s="42"/>
      <c r="K30" s="42"/>
      <c r="L30" s="216" t="s">
        <v>455</v>
      </c>
      <c r="R30" s="67"/>
    </row>
    <row r="31">
      <c r="A31" s="12" t="s">
        <v>90</v>
      </c>
      <c r="B31" s="73"/>
      <c r="C31" s="74" t="s">
        <v>581</v>
      </c>
      <c r="D31" s="75">
        <v>0.6805555555555556</v>
      </c>
      <c r="E31" s="295"/>
      <c r="G31" s="84"/>
      <c r="H31" s="166"/>
      <c r="I31" s="41"/>
      <c r="J31" s="42"/>
      <c r="K31" s="42"/>
      <c r="R31" s="67"/>
    </row>
    <row r="32">
      <c r="A32" s="12" t="s">
        <v>93</v>
      </c>
      <c r="B32" s="74" t="s">
        <v>259</v>
      </c>
      <c r="C32" s="74" t="s">
        <v>581</v>
      </c>
      <c r="D32" s="75">
        <v>0.6944444444444444</v>
      </c>
      <c r="E32" s="295" t="s">
        <v>925</v>
      </c>
      <c r="F32" s="133">
        <v>7.06403624573489E14</v>
      </c>
      <c r="G32" s="84" t="s">
        <v>926</v>
      </c>
      <c r="H32" s="166">
        <v>24978.0</v>
      </c>
      <c r="I32" s="41" t="s">
        <v>183</v>
      </c>
      <c r="J32" s="42" t="s">
        <v>927</v>
      </c>
      <c r="K32" s="42"/>
      <c r="R32" s="67"/>
    </row>
    <row r="33">
      <c r="J33" s="67"/>
      <c r="K33" s="67"/>
      <c r="R33" s="67"/>
    </row>
    <row r="34">
      <c r="J34" s="67"/>
      <c r="K34" s="67"/>
      <c r="R34" s="67"/>
    </row>
    <row r="35">
      <c r="A35" s="23" t="s">
        <v>456</v>
      </c>
      <c r="B35" s="2"/>
      <c r="C35" s="2"/>
      <c r="D35" s="2"/>
      <c r="E35" s="2"/>
      <c r="F35" s="2"/>
      <c r="G35" s="2"/>
      <c r="H35" s="2"/>
      <c r="I35" s="2"/>
      <c r="J35" s="2"/>
      <c r="K35" s="3"/>
      <c r="R35" s="67"/>
    </row>
    <row r="36">
      <c r="A36" s="263" t="s">
        <v>928</v>
      </c>
      <c r="B36" s="2"/>
      <c r="C36" s="2"/>
      <c r="D36" s="2"/>
      <c r="E36" s="2"/>
      <c r="F36" s="2"/>
      <c r="G36" s="2"/>
      <c r="H36" s="2"/>
      <c r="I36" s="2"/>
      <c r="J36" s="2"/>
      <c r="K36" s="3"/>
      <c r="R36" s="67"/>
    </row>
    <row r="37">
      <c r="A37" s="25"/>
      <c r="B37" s="26" t="s">
        <v>3</v>
      </c>
      <c r="C37" s="27" t="s">
        <v>2</v>
      </c>
      <c r="D37" s="28" t="s">
        <v>5</v>
      </c>
      <c r="E37" s="32" t="s">
        <v>19</v>
      </c>
      <c r="F37" s="28" t="s">
        <v>6</v>
      </c>
      <c r="G37" s="264" t="s">
        <v>7</v>
      </c>
      <c r="H37" s="30" t="s">
        <v>8</v>
      </c>
      <c r="I37" s="31" t="s">
        <v>20</v>
      </c>
      <c r="J37" s="32" t="s">
        <v>21</v>
      </c>
      <c r="K37" s="32" t="s">
        <v>22</v>
      </c>
      <c r="R37" s="67"/>
    </row>
    <row r="38">
      <c r="A38" s="12" t="s">
        <v>10</v>
      </c>
      <c r="B38" s="73" t="s">
        <v>929</v>
      </c>
      <c r="C38" s="74" t="s">
        <v>430</v>
      </c>
      <c r="D38" s="75">
        <v>0.3333333333333333</v>
      </c>
      <c r="E38" s="241" t="s">
        <v>930</v>
      </c>
      <c r="F38" s="84">
        <v>7.00504556306655E14</v>
      </c>
      <c r="G38" s="79" t="s">
        <v>931</v>
      </c>
      <c r="H38" s="83">
        <v>18876.0</v>
      </c>
      <c r="I38" s="41" t="s">
        <v>183</v>
      </c>
      <c r="J38" s="102" t="s">
        <v>932</v>
      </c>
      <c r="K38" s="102" t="s">
        <v>933</v>
      </c>
      <c r="N38" s="268" t="s">
        <v>387</v>
      </c>
      <c r="O38" s="100"/>
      <c r="P38" s="100"/>
      <c r="Q38" s="100"/>
      <c r="R38" s="67"/>
    </row>
    <row r="39">
      <c r="A39" s="12" t="s">
        <v>11</v>
      </c>
      <c r="B39" s="73" t="s">
        <v>929</v>
      </c>
      <c r="C39" s="74" t="s">
        <v>430</v>
      </c>
      <c r="D39" s="75">
        <v>0.3472222222222222</v>
      </c>
      <c r="E39" s="242" t="s">
        <v>934</v>
      </c>
      <c r="F39" s="185">
        <v>8.98001411799935E14</v>
      </c>
      <c r="G39" s="296" t="s">
        <v>935</v>
      </c>
      <c r="H39" s="77">
        <v>23757.0</v>
      </c>
      <c r="I39" s="41" t="s">
        <v>173</v>
      </c>
      <c r="J39" s="42" t="s">
        <v>936</v>
      </c>
      <c r="K39" s="42"/>
      <c r="N39" s="270" t="s">
        <v>461</v>
      </c>
      <c r="O39" s="2"/>
      <c r="P39" s="2"/>
      <c r="Q39" s="2"/>
      <c r="R39" s="67"/>
    </row>
    <row r="40">
      <c r="A40" s="12" t="s">
        <v>12</v>
      </c>
      <c r="B40" s="73" t="s">
        <v>937</v>
      </c>
      <c r="C40" s="74" t="s">
        <v>430</v>
      </c>
      <c r="D40" s="75">
        <v>0.3611111111111111</v>
      </c>
      <c r="E40" s="241" t="s">
        <v>938</v>
      </c>
      <c r="F40" s="84">
        <v>2.03909766300002E14</v>
      </c>
      <c r="G40" s="79" t="s">
        <v>939</v>
      </c>
      <c r="H40" s="83">
        <v>12943.0</v>
      </c>
      <c r="I40" s="41" t="s">
        <v>183</v>
      </c>
      <c r="J40" s="102">
        <v>1.194739094E10</v>
      </c>
      <c r="K40" s="102">
        <v>1.158719484E9</v>
      </c>
      <c r="N40" s="271" t="s">
        <v>183</v>
      </c>
      <c r="O40" s="272" t="s">
        <v>195</v>
      </c>
      <c r="P40" s="272" t="s">
        <v>181</v>
      </c>
      <c r="Q40" s="273" t="s">
        <v>173</v>
      </c>
      <c r="R40" s="286" t="s">
        <v>439</v>
      </c>
    </row>
    <row r="41">
      <c r="A41" s="12" t="s">
        <v>13</v>
      </c>
      <c r="B41" s="73" t="s">
        <v>929</v>
      </c>
      <c r="C41" s="74" t="s">
        <v>430</v>
      </c>
      <c r="D41" s="75">
        <v>0.375</v>
      </c>
      <c r="E41" s="241" t="s">
        <v>940</v>
      </c>
      <c r="F41" s="84">
        <v>7.00100962913514E14</v>
      </c>
      <c r="G41" s="79" t="s">
        <v>941</v>
      </c>
      <c r="H41" s="83">
        <v>17433.0</v>
      </c>
      <c r="I41" s="41" t="s">
        <v>183</v>
      </c>
      <c r="J41" s="102" t="s">
        <v>942</v>
      </c>
      <c r="K41" s="102"/>
      <c r="N41" s="275">
        <f t="shared" ref="N41:Q41" si="3">COUNTIFS($I$38:$I$49,N40)</f>
        <v>8</v>
      </c>
      <c r="O41" s="275">
        <f t="shared" si="3"/>
        <v>0</v>
      </c>
      <c r="P41" s="275">
        <f t="shared" si="3"/>
        <v>2</v>
      </c>
      <c r="Q41" s="275">
        <f t="shared" si="3"/>
        <v>1</v>
      </c>
      <c r="R41" s="67">
        <f>COUNTIFS(I38:I49,R40)</f>
        <v>0</v>
      </c>
    </row>
    <row r="42">
      <c r="A42" s="12" t="s">
        <v>14</v>
      </c>
      <c r="B42" s="73" t="s">
        <v>623</v>
      </c>
      <c r="C42" s="74" t="s">
        <v>430</v>
      </c>
      <c r="D42" s="75">
        <v>0.3888888888888889</v>
      </c>
      <c r="E42" s="297" t="s">
        <v>943</v>
      </c>
      <c r="F42" s="156">
        <v>8.01440410751869E14</v>
      </c>
      <c r="G42" s="187" t="s">
        <v>944</v>
      </c>
      <c r="H42" s="77">
        <v>18663.0</v>
      </c>
      <c r="I42" s="41" t="s">
        <v>183</v>
      </c>
      <c r="J42" s="42">
        <v>1.199169052E10</v>
      </c>
      <c r="K42" s="42">
        <v>1.1914839739E10</v>
      </c>
      <c r="R42" s="67"/>
    </row>
    <row r="43">
      <c r="A43" s="12" t="s">
        <v>15</v>
      </c>
      <c r="B43" s="374" t="s">
        <v>929</v>
      </c>
      <c r="C43" s="375" t="s">
        <v>430</v>
      </c>
      <c r="D43" s="368">
        <v>0.4027777777777778</v>
      </c>
      <c r="E43" s="376" t="s">
        <v>945</v>
      </c>
      <c r="F43" s="377">
        <v>7.0620951174196E14</v>
      </c>
      <c r="G43" s="378" t="s">
        <v>946</v>
      </c>
      <c r="H43" s="379">
        <v>20069.0</v>
      </c>
      <c r="I43" s="41"/>
      <c r="J43" s="380" t="s">
        <v>947</v>
      </c>
      <c r="K43" s="380" t="s">
        <v>948</v>
      </c>
      <c r="R43" s="67"/>
    </row>
    <row r="44">
      <c r="A44" s="12" t="s">
        <v>16</v>
      </c>
      <c r="B44" s="73" t="s">
        <v>623</v>
      </c>
      <c r="C44" s="74" t="s">
        <v>430</v>
      </c>
      <c r="D44" s="75">
        <v>0.4166666666666667</v>
      </c>
      <c r="E44" s="242" t="s">
        <v>949</v>
      </c>
      <c r="F44" s="76">
        <v>7.06209531559564E14</v>
      </c>
      <c r="G44" s="90" t="s">
        <v>950</v>
      </c>
      <c r="H44" s="298">
        <v>18233.0</v>
      </c>
      <c r="I44" s="41" t="s">
        <v>183</v>
      </c>
      <c r="J44" s="102">
        <v>1.15874619E9</v>
      </c>
      <c r="K44" s="102"/>
      <c r="R44" s="67"/>
    </row>
    <row r="45">
      <c r="A45" s="12" t="s">
        <v>17</v>
      </c>
      <c r="B45" s="73" t="s">
        <v>929</v>
      </c>
      <c r="C45" s="74" t="s">
        <v>430</v>
      </c>
      <c r="D45" s="75">
        <v>0.4305555555555556</v>
      </c>
      <c r="E45" s="241" t="s">
        <v>951</v>
      </c>
      <c r="F45" s="84">
        <v>7.08902730803019E14</v>
      </c>
      <c r="G45" s="79" t="s">
        <v>952</v>
      </c>
      <c r="H45" s="83">
        <v>24071.0</v>
      </c>
      <c r="I45" s="41" t="s">
        <v>183</v>
      </c>
      <c r="J45" s="42" t="s">
        <v>953</v>
      </c>
      <c r="K45" s="42"/>
      <c r="R45" s="67"/>
    </row>
    <row r="46">
      <c r="A46" s="12" t="s">
        <v>85</v>
      </c>
      <c r="B46" s="73" t="s">
        <v>623</v>
      </c>
      <c r="C46" s="74" t="s">
        <v>430</v>
      </c>
      <c r="D46" s="75">
        <v>0.4444444444444444</v>
      </c>
      <c r="E46" s="278" t="s">
        <v>954</v>
      </c>
      <c r="F46" s="156">
        <v>2.01155796770004E14</v>
      </c>
      <c r="G46" s="90" t="s">
        <v>955</v>
      </c>
      <c r="H46" s="91">
        <v>21305.0</v>
      </c>
      <c r="I46" s="41" t="s">
        <v>183</v>
      </c>
      <c r="J46" s="42">
        <v>1.1989162756E10</v>
      </c>
      <c r="K46" s="42">
        <v>1.158270575E9</v>
      </c>
      <c r="R46" s="67"/>
    </row>
    <row r="47">
      <c r="A47" s="12" t="s">
        <v>87</v>
      </c>
      <c r="B47" s="73"/>
      <c r="C47" s="74"/>
      <c r="D47" s="75"/>
      <c r="E47" s="245"/>
      <c r="F47" s="162"/>
      <c r="G47" s="105"/>
      <c r="H47" s="166"/>
      <c r="I47" s="41" t="s">
        <v>181</v>
      </c>
      <c r="J47" s="42"/>
      <c r="K47" s="42"/>
      <c r="R47" s="67"/>
    </row>
    <row r="48">
      <c r="A48" s="12" t="s">
        <v>90</v>
      </c>
      <c r="B48" s="73" t="s">
        <v>399</v>
      </c>
      <c r="C48" s="74" t="s">
        <v>430</v>
      </c>
      <c r="D48" s="75">
        <v>0.4722222222222222</v>
      </c>
      <c r="E48" s="299" t="s">
        <v>956</v>
      </c>
      <c r="F48" s="133">
        <v>7.06005365548241E14</v>
      </c>
      <c r="G48" s="105" t="s">
        <v>957</v>
      </c>
      <c r="H48" s="166">
        <v>30957.0</v>
      </c>
      <c r="I48" s="41" t="s">
        <v>183</v>
      </c>
      <c r="J48" s="42">
        <v>1.1958858764E10</v>
      </c>
      <c r="K48" s="42"/>
      <c r="R48" s="67"/>
    </row>
    <row r="49">
      <c r="A49" s="12" t="s">
        <v>93</v>
      </c>
      <c r="B49" s="73"/>
      <c r="C49" s="74"/>
      <c r="D49" s="75"/>
      <c r="E49" s="295"/>
      <c r="F49" s="133"/>
      <c r="G49" s="181"/>
      <c r="H49" s="166"/>
      <c r="I49" s="41" t="s">
        <v>181</v>
      </c>
      <c r="J49" s="42"/>
      <c r="K49" s="42"/>
      <c r="R49" s="67"/>
    </row>
    <row r="50">
      <c r="E50" s="300"/>
      <c r="J50" s="67"/>
      <c r="K50" s="67"/>
      <c r="R50" s="67"/>
    </row>
    <row r="51">
      <c r="J51" s="67"/>
      <c r="K51" s="67"/>
      <c r="R51" s="67"/>
    </row>
    <row r="52">
      <c r="J52" s="67"/>
      <c r="K52" s="67"/>
      <c r="R52" s="67"/>
    </row>
    <row r="53">
      <c r="A53" s="23" t="s">
        <v>902</v>
      </c>
      <c r="B53" s="2"/>
      <c r="C53" s="2"/>
      <c r="D53" s="2"/>
      <c r="E53" s="2"/>
      <c r="F53" s="2"/>
      <c r="G53" s="2"/>
      <c r="H53" s="2"/>
      <c r="I53" s="2"/>
      <c r="J53" s="2"/>
      <c r="K53" s="3"/>
      <c r="R53" s="67"/>
    </row>
    <row r="54">
      <c r="A54" s="263" t="s">
        <v>958</v>
      </c>
      <c r="B54" s="2"/>
      <c r="C54" s="2"/>
      <c r="D54" s="2"/>
      <c r="E54" s="2"/>
      <c r="F54" s="2"/>
      <c r="G54" s="2"/>
      <c r="H54" s="2"/>
      <c r="I54" s="2"/>
      <c r="J54" s="2"/>
      <c r="K54" s="3"/>
      <c r="R54" s="67"/>
    </row>
    <row r="55">
      <c r="A55" s="25"/>
      <c r="B55" s="26" t="s">
        <v>3</v>
      </c>
      <c r="C55" s="27" t="s">
        <v>2</v>
      </c>
      <c r="D55" s="28" t="s">
        <v>5</v>
      </c>
      <c r="E55" s="32" t="s">
        <v>19</v>
      </c>
      <c r="F55" s="28" t="s">
        <v>6</v>
      </c>
      <c r="G55" s="264" t="s">
        <v>7</v>
      </c>
      <c r="H55" s="30" t="s">
        <v>8</v>
      </c>
      <c r="I55" s="31" t="s">
        <v>20</v>
      </c>
      <c r="J55" s="32" t="s">
        <v>21</v>
      </c>
      <c r="K55" s="32" t="s">
        <v>22</v>
      </c>
      <c r="R55" s="67"/>
    </row>
    <row r="56">
      <c r="A56" s="12" t="s">
        <v>10</v>
      </c>
      <c r="B56" s="74" t="s">
        <v>959</v>
      </c>
      <c r="C56" s="74" t="s">
        <v>482</v>
      </c>
      <c r="D56" s="75">
        <v>0.5416666666666666</v>
      </c>
      <c r="E56" s="246" t="s">
        <v>960</v>
      </c>
      <c r="F56" s="210">
        <v>8.3550302345212E14</v>
      </c>
      <c r="G56" s="133" t="s">
        <v>961</v>
      </c>
      <c r="H56" s="211">
        <v>29113.0</v>
      </c>
      <c r="I56" s="41" t="s">
        <v>195</v>
      </c>
      <c r="J56" s="102" t="s">
        <v>962</v>
      </c>
      <c r="K56" s="102" t="s">
        <v>963</v>
      </c>
      <c r="N56" s="268" t="s">
        <v>387</v>
      </c>
      <c r="O56" s="100"/>
      <c r="P56" s="100"/>
      <c r="Q56" s="100"/>
      <c r="R56" s="67"/>
    </row>
    <row r="57">
      <c r="A57" s="12" t="s">
        <v>11</v>
      </c>
      <c r="B57" s="301" t="s">
        <v>274</v>
      </c>
      <c r="C57" s="74" t="s">
        <v>482</v>
      </c>
      <c r="D57" s="330">
        <v>0.5555555555555556</v>
      </c>
      <c r="E57" s="287" t="s">
        <v>964</v>
      </c>
      <c r="F57" s="301">
        <v>8.98000064685782E14</v>
      </c>
      <c r="G57" s="301" t="s">
        <v>965</v>
      </c>
      <c r="H57" s="166">
        <v>17729.0</v>
      </c>
      <c r="I57" s="41" t="s">
        <v>183</v>
      </c>
      <c r="J57" s="42" t="s">
        <v>966</v>
      </c>
      <c r="K57" s="42" t="s">
        <v>967</v>
      </c>
      <c r="N57" s="270" t="s">
        <v>489</v>
      </c>
      <c r="O57" s="2"/>
      <c r="P57" s="2"/>
      <c r="Q57" s="2"/>
      <c r="R57" s="67"/>
    </row>
    <row r="58">
      <c r="A58" s="12" t="s">
        <v>12</v>
      </c>
      <c r="B58" s="74" t="s">
        <v>448</v>
      </c>
      <c r="C58" s="74" t="s">
        <v>482</v>
      </c>
      <c r="D58" s="75">
        <v>0.5694444444444444</v>
      </c>
      <c r="E58" s="287" t="s">
        <v>968</v>
      </c>
      <c r="F58" s="301">
        <v>7.05003847748756E14</v>
      </c>
      <c r="G58" s="301" t="s">
        <v>969</v>
      </c>
      <c r="H58" s="166">
        <v>25802.0</v>
      </c>
      <c r="I58" s="41" t="s">
        <v>183</v>
      </c>
      <c r="J58" s="42" t="s">
        <v>970</v>
      </c>
      <c r="K58" s="102"/>
      <c r="N58" s="271" t="s">
        <v>183</v>
      </c>
      <c r="O58" s="272" t="s">
        <v>195</v>
      </c>
      <c r="P58" s="272" t="s">
        <v>181</v>
      </c>
      <c r="Q58" s="273" t="s">
        <v>173</v>
      </c>
      <c r="R58" s="67"/>
    </row>
    <row r="59">
      <c r="A59" s="12" t="s">
        <v>13</v>
      </c>
      <c r="B59" s="74" t="s">
        <v>259</v>
      </c>
      <c r="C59" s="74" t="s">
        <v>482</v>
      </c>
      <c r="D59" s="330">
        <v>0.5833333333333334</v>
      </c>
      <c r="E59" s="241" t="s">
        <v>971</v>
      </c>
      <c r="F59" s="84">
        <v>6.5719824804E10</v>
      </c>
      <c r="G59" s="84" t="s">
        <v>972</v>
      </c>
      <c r="H59" s="83">
        <v>15324.0</v>
      </c>
      <c r="I59" s="41" t="s">
        <v>183</v>
      </c>
      <c r="J59" s="305" t="s">
        <v>973</v>
      </c>
      <c r="K59" s="305" t="s">
        <v>974</v>
      </c>
      <c r="N59" s="275">
        <f t="shared" ref="N59:Q59" si="4">COUNTIFS($I$56:$I$67,N58)</f>
        <v>7</v>
      </c>
      <c r="O59" s="275">
        <f t="shared" si="4"/>
        <v>2</v>
      </c>
      <c r="P59" s="275">
        <f t="shared" si="4"/>
        <v>3</v>
      </c>
      <c r="Q59" s="275">
        <f t="shared" si="4"/>
        <v>0</v>
      </c>
      <c r="R59" s="67"/>
    </row>
    <row r="60">
      <c r="A60" s="12" t="s">
        <v>14</v>
      </c>
      <c r="B60" s="286" t="s">
        <v>975</v>
      </c>
      <c r="C60" s="74" t="s">
        <v>482</v>
      </c>
      <c r="D60" s="75">
        <v>0.5972222222222222</v>
      </c>
      <c r="E60" s="306" t="s">
        <v>976</v>
      </c>
      <c r="F60" s="138">
        <v>7.00403473724743E14</v>
      </c>
      <c r="G60" s="138" t="s">
        <v>977</v>
      </c>
      <c r="H60" s="308">
        <v>15671.0</v>
      </c>
      <c r="I60" s="41" t="s">
        <v>195</v>
      </c>
      <c r="J60" s="138" t="s">
        <v>978</v>
      </c>
      <c r="K60" s="138" t="s">
        <v>979</v>
      </c>
      <c r="R60" s="67"/>
    </row>
    <row r="61">
      <c r="A61" s="12" t="s">
        <v>15</v>
      </c>
      <c r="B61" s="74" t="s">
        <v>333</v>
      </c>
      <c r="C61" s="74" t="s">
        <v>482</v>
      </c>
      <c r="D61" s="330">
        <v>0.6111111111111112</v>
      </c>
      <c r="E61" s="242" t="s">
        <v>980</v>
      </c>
      <c r="F61" s="185">
        <v>7.08200682052742E14</v>
      </c>
      <c r="G61" s="185" t="s">
        <v>981</v>
      </c>
      <c r="H61" s="77">
        <v>27399.0</v>
      </c>
      <c r="I61" s="41" t="s">
        <v>183</v>
      </c>
      <c r="J61" s="42" t="s">
        <v>982</v>
      </c>
      <c r="K61" s="42"/>
      <c r="R61" s="67"/>
    </row>
    <row r="62">
      <c r="A62" s="12" t="s">
        <v>16</v>
      </c>
      <c r="B62" s="74" t="s">
        <v>259</v>
      </c>
      <c r="C62" s="74" t="s">
        <v>482</v>
      </c>
      <c r="D62" s="75">
        <v>0.625</v>
      </c>
      <c r="E62" s="241" t="s">
        <v>983</v>
      </c>
      <c r="F62" s="84">
        <v>7.0400732137336E14</v>
      </c>
      <c r="G62" s="84" t="s">
        <v>984</v>
      </c>
      <c r="H62" s="83">
        <v>22069.0</v>
      </c>
      <c r="I62" s="41" t="s">
        <v>183</v>
      </c>
      <c r="J62" s="305" t="s">
        <v>973</v>
      </c>
      <c r="K62" s="305" t="s">
        <v>985</v>
      </c>
      <c r="R62" s="67"/>
    </row>
    <row r="63">
      <c r="A63" s="12" t="s">
        <v>17</v>
      </c>
      <c r="B63" s="74"/>
      <c r="C63" s="74" t="s">
        <v>482</v>
      </c>
      <c r="D63" s="330">
        <v>0.6388888888888888</v>
      </c>
      <c r="E63" s="241"/>
      <c r="F63" s="84"/>
      <c r="G63" s="84"/>
      <c r="H63" s="83"/>
      <c r="I63" s="41" t="s">
        <v>181</v>
      </c>
      <c r="J63" s="310"/>
      <c r="K63" s="31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12" t="s">
        <v>85</v>
      </c>
      <c r="B64" s="74" t="s">
        <v>259</v>
      </c>
      <c r="C64" s="74" t="s">
        <v>482</v>
      </c>
      <c r="D64" s="75">
        <v>0.6527777777777778</v>
      </c>
      <c r="E64" s="278" t="s">
        <v>986</v>
      </c>
      <c r="F64" s="156">
        <v>7.03204609723295E14</v>
      </c>
      <c r="G64" s="84" t="s">
        <v>987</v>
      </c>
      <c r="H64" s="91">
        <v>14860.0</v>
      </c>
      <c r="I64" s="41" t="s">
        <v>183</v>
      </c>
      <c r="J64" s="42" t="s">
        <v>988</v>
      </c>
      <c r="K64" s="42" t="s">
        <v>989</v>
      </c>
      <c r="R64" s="67"/>
    </row>
    <row r="65">
      <c r="A65" s="12" t="s">
        <v>87</v>
      </c>
      <c r="B65" s="74"/>
      <c r="C65" s="74" t="s">
        <v>482</v>
      </c>
      <c r="D65" s="330">
        <v>0.6666666666666666</v>
      </c>
      <c r="E65" s="245"/>
      <c r="F65" s="156"/>
      <c r="G65" s="84"/>
      <c r="H65" s="91"/>
      <c r="I65" s="41" t="s">
        <v>181</v>
      </c>
      <c r="J65" s="42"/>
      <c r="K65" s="42"/>
      <c r="R65" s="67"/>
    </row>
    <row r="66">
      <c r="A66" s="12" t="s">
        <v>90</v>
      </c>
      <c r="B66" s="74"/>
      <c r="C66" s="74" t="s">
        <v>482</v>
      </c>
      <c r="D66" s="75">
        <v>0.6805555555555556</v>
      </c>
      <c r="E66" s="295"/>
      <c r="F66" s="133"/>
      <c r="G66" s="84"/>
      <c r="H66" s="166"/>
      <c r="I66" s="41" t="s">
        <v>181</v>
      </c>
      <c r="J66" s="42"/>
      <c r="K66" s="42"/>
      <c r="R66" s="67"/>
    </row>
    <row r="67">
      <c r="A67" s="12" t="s">
        <v>93</v>
      </c>
      <c r="B67" s="74" t="s">
        <v>259</v>
      </c>
      <c r="C67" s="74" t="s">
        <v>482</v>
      </c>
      <c r="D67" s="330">
        <v>0.6944444444444444</v>
      </c>
      <c r="E67" s="295" t="s">
        <v>990</v>
      </c>
      <c r="F67" s="133">
        <v>8.98001409006931E14</v>
      </c>
      <c r="G67" s="84" t="s">
        <v>991</v>
      </c>
      <c r="H67" s="166">
        <v>15324.0</v>
      </c>
      <c r="I67" s="41" t="s">
        <v>183</v>
      </c>
      <c r="J67" s="42" t="s">
        <v>992</v>
      </c>
      <c r="K67" s="42" t="s">
        <v>993</v>
      </c>
      <c r="R67" s="67"/>
    </row>
    <row r="68">
      <c r="J68" s="67"/>
      <c r="K68" s="67"/>
      <c r="R68" s="67"/>
    </row>
    <row r="69">
      <c r="J69" s="67"/>
      <c r="K69" s="67"/>
      <c r="R69" s="67"/>
    </row>
    <row r="70" ht="15.0" customHeight="1">
      <c r="J70" s="67"/>
      <c r="K70" s="67"/>
      <c r="R70" s="67"/>
    </row>
    <row r="71">
      <c r="A71" s="23" t="s">
        <v>456</v>
      </c>
      <c r="B71" s="2"/>
      <c r="C71" s="2"/>
      <c r="D71" s="2"/>
      <c r="E71" s="2"/>
      <c r="F71" s="2"/>
      <c r="G71" s="2"/>
      <c r="H71" s="2"/>
      <c r="I71" s="2"/>
      <c r="J71" s="2"/>
      <c r="K71" s="3"/>
      <c r="R71" s="67"/>
    </row>
    <row r="72">
      <c r="A72" s="263" t="s">
        <v>958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25"/>
      <c r="B73" s="26" t="s">
        <v>3</v>
      </c>
      <c r="C73" s="27" t="s">
        <v>2</v>
      </c>
      <c r="D73" s="28" t="s">
        <v>5</v>
      </c>
      <c r="E73" s="32" t="s">
        <v>19</v>
      </c>
      <c r="F73" s="28" t="s">
        <v>6</v>
      </c>
      <c r="G73" s="264" t="s">
        <v>7</v>
      </c>
      <c r="H73" s="30" t="s">
        <v>8</v>
      </c>
      <c r="I73" s="31" t="s">
        <v>20</v>
      </c>
      <c r="J73" s="32" t="s">
        <v>21</v>
      </c>
      <c r="K73" s="32" t="s">
        <v>22</v>
      </c>
      <c r="R73" s="67"/>
    </row>
    <row r="74">
      <c r="A74" s="12" t="s">
        <v>10</v>
      </c>
      <c r="B74" s="73" t="s">
        <v>623</v>
      </c>
      <c r="C74" s="74" t="s">
        <v>518</v>
      </c>
      <c r="D74" s="75">
        <v>0.5416666666666666</v>
      </c>
      <c r="E74" s="246" t="s">
        <v>994</v>
      </c>
      <c r="F74" s="133">
        <v>2.01156898550004E14</v>
      </c>
      <c r="G74" s="59" t="s">
        <v>995</v>
      </c>
      <c r="H74" s="211">
        <v>20740.0</v>
      </c>
      <c r="I74" s="34" t="s">
        <v>183</v>
      </c>
      <c r="J74" s="102">
        <v>1.1992542959E10</v>
      </c>
      <c r="K74" s="102">
        <v>1.158211339E9</v>
      </c>
      <c r="L74" s="216" t="s">
        <v>521</v>
      </c>
      <c r="N74" s="268" t="s">
        <v>387</v>
      </c>
      <c r="O74" s="100"/>
      <c r="P74" s="100"/>
      <c r="Q74" s="100"/>
      <c r="R74" s="67"/>
    </row>
    <row r="75">
      <c r="A75" s="12" t="s">
        <v>11</v>
      </c>
      <c r="B75" s="73" t="s">
        <v>399</v>
      </c>
      <c r="C75" s="74" t="s">
        <v>518</v>
      </c>
      <c r="D75" s="330">
        <v>0.5555555555555556</v>
      </c>
      <c r="E75" s="242" t="s">
        <v>996</v>
      </c>
      <c r="F75" s="185">
        <v>7.0400838043236E14</v>
      </c>
      <c r="G75" s="59" t="s">
        <v>997</v>
      </c>
      <c r="H75" s="77">
        <v>19853.0</v>
      </c>
      <c r="I75" s="34" t="s">
        <v>183</v>
      </c>
      <c r="J75" s="42" t="s">
        <v>998</v>
      </c>
      <c r="K75" s="42">
        <v>1.1959697864E10</v>
      </c>
      <c r="N75" s="270" t="s">
        <v>522</v>
      </c>
      <c r="O75" s="2"/>
      <c r="P75" s="2"/>
      <c r="Q75" s="2"/>
      <c r="R75" s="67"/>
    </row>
    <row r="76">
      <c r="A76" s="12" t="s">
        <v>12</v>
      </c>
      <c r="B76" s="73" t="s">
        <v>623</v>
      </c>
      <c r="C76" s="74" t="s">
        <v>518</v>
      </c>
      <c r="D76" s="75">
        <v>0.5694444444444444</v>
      </c>
      <c r="E76" s="242" t="s">
        <v>999</v>
      </c>
      <c r="F76" s="185">
        <v>7.00208460008323E14</v>
      </c>
      <c r="G76" s="216" t="s">
        <v>1000</v>
      </c>
      <c r="H76" s="83">
        <v>20321.0</v>
      </c>
      <c r="I76" s="34" t="s">
        <v>195</v>
      </c>
      <c r="J76" s="102">
        <v>1.1940471353E10</v>
      </c>
      <c r="K76" s="102">
        <v>1.158736811E9</v>
      </c>
      <c r="L76" s="216" t="s">
        <v>521</v>
      </c>
      <c r="N76" s="271" t="s">
        <v>183</v>
      </c>
      <c r="O76" s="272" t="s">
        <v>195</v>
      </c>
      <c r="P76" s="272" t="s">
        <v>181</v>
      </c>
      <c r="Q76" s="273" t="s">
        <v>173</v>
      </c>
      <c r="R76" s="67"/>
    </row>
    <row r="77">
      <c r="A77" s="12" t="s">
        <v>13</v>
      </c>
      <c r="B77" s="73" t="s">
        <v>281</v>
      </c>
      <c r="C77" s="74" t="s">
        <v>518</v>
      </c>
      <c r="D77" s="330">
        <v>0.5833333333333334</v>
      </c>
      <c r="E77" s="241" t="s">
        <v>1001</v>
      </c>
      <c r="F77" s="210">
        <v>7.034033737956E14</v>
      </c>
      <c r="G77" s="59" t="s">
        <v>1002</v>
      </c>
      <c r="H77" s="83">
        <v>20986.0</v>
      </c>
      <c r="I77" s="34" t="s">
        <v>183</v>
      </c>
      <c r="J77" s="102">
        <v>1.1983202057E10</v>
      </c>
      <c r="K77" s="102">
        <v>1.1977657127E10</v>
      </c>
      <c r="L77" s="216" t="s">
        <v>521</v>
      </c>
      <c r="N77" s="275">
        <f t="shared" ref="N77:Q77" si="5">COUNTIFS($I$74:$I$85,N76)</f>
        <v>6</v>
      </c>
      <c r="O77" s="275">
        <f t="shared" si="5"/>
        <v>2</v>
      </c>
      <c r="P77" s="275">
        <f t="shared" si="5"/>
        <v>3</v>
      </c>
      <c r="Q77" s="275">
        <f t="shared" si="5"/>
        <v>0</v>
      </c>
      <c r="R77" s="67"/>
    </row>
    <row r="78" ht="18.0" customHeight="1">
      <c r="A78" s="12" t="s">
        <v>14</v>
      </c>
      <c r="B78" s="73" t="s">
        <v>1003</v>
      </c>
      <c r="C78" s="74" t="s">
        <v>518</v>
      </c>
      <c r="D78" s="75">
        <v>0.5972222222222222</v>
      </c>
      <c r="E78" s="278" t="s">
        <v>1004</v>
      </c>
      <c r="F78" s="156">
        <v>2.09794295490008E14</v>
      </c>
      <c r="G78" s="187" t="s">
        <v>1005</v>
      </c>
      <c r="H78" s="77">
        <v>19310.0</v>
      </c>
      <c r="I78" s="34" t="s">
        <v>183</v>
      </c>
      <c r="J78" s="42"/>
      <c r="K78" s="42"/>
      <c r="L78" s="216" t="s">
        <v>521</v>
      </c>
      <c r="R78" s="67"/>
    </row>
    <row r="79">
      <c r="A79" s="12" t="s">
        <v>15</v>
      </c>
      <c r="B79" s="73" t="s">
        <v>276</v>
      </c>
      <c r="C79" s="74" t="s">
        <v>518</v>
      </c>
      <c r="D79" s="330">
        <v>0.6111111111111112</v>
      </c>
      <c r="E79" s="278" t="s">
        <v>1006</v>
      </c>
      <c r="F79" s="156">
        <v>8.98001417690552E14</v>
      </c>
      <c r="G79" s="59" t="s">
        <v>1007</v>
      </c>
      <c r="H79" s="381">
        <v>28001.0</v>
      </c>
      <c r="I79" s="34" t="s">
        <v>183</v>
      </c>
      <c r="J79" s="42">
        <v>1.1995210811E10</v>
      </c>
      <c r="K79" s="42"/>
      <c r="L79" s="216" t="s">
        <v>521</v>
      </c>
      <c r="R79" s="67"/>
    </row>
    <row r="80">
      <c r="A80" s="12" t="s">
        <v>16</v>
      </c>
      <c r="B80" s="73" t="s">
        <v>929</v>
      </c>
      <c r="C80" s="74" t="s">
        <v>518</v>
      </c>
      <c r="D80" s="75">
        <v>0.625</v>
      </c>
      <c r="E80" s="295" t="s">
        <v>1008</v>
      </c>
      <c r="F80" s="185">
        <v>7.0700783326873E14</v>
      </c>
      <c r="G80" s="79" t="s">
        <v>1009</v>
      </c>
      <c r="H80" s="83">
        <v>20027.0</v>
      </c>
      <c r="I80" s="34" t="s">
        <v>195</v>
      </c>
      <c r="J80" s="311"/>
      <c r="K80" s="311"/>
      <c r="L80" s="216" t="s">
        <v>521</v>
      </c>
      <c r="R80" s="67"/>
    </row>
    <row r="81">
      <c r="A81" s="12" t="s">
        <v>179</v>
      </c>
      <c r="B81" s="73" t="s">
        <v>929</v>
      </c>
      <c r="C81" s="74" t="s">
        <v>518</v>
      </c>
      <c r="D81" s="330">
        <v>0.6388888888888888</v>
      </c>
      <c r="E81" s="242"/>
      <c r="F81" s="185"/>
      <c r="G81" s="312"/>
      <c r="H81" s="77"/>
      <c r="I81" s="34" t="s">
        <v>181</v>
      </c>
      <c r="J81" s="42"/>
      <c r="K81" s="42"/>
      <c r="L81" s="216" t="s">
        <v>521</v>
      </c>
      <c r="R81" s="67"/>
    </row>
    <row r="82">
      <c r="A82" s="12" t="s">
        <v>85</v>
      </c>
      <c r="C82" s="74" t="s">
        <v>518</v>
      </c>
      <c r="D82" s="75">
        <v>0.6527777777777778</v>
      </c>
      <c r="E82" s="295" t="s">
        <v>1010</v>
      </c>
      <c r="F82" s="156">
        <v>7.09603688348772E14</v>
      </c>
      <c r="G82" s="79" t="s">
        <v>1011</v>
      </c>
      <c r="H82" s="83">
        <v>28469.0</v>
      </c>
      <c r="I82" s="34" t="s">
        <v>183</v>
      </c>
      <c r="J82" s="141">
        <v>1.1965774895E10</v>
      </c>
      <c r="K82" s="42">
        <v>1.158275548E9</v>
      </c>
      <c r="L82" s="216" t="s">
        <v>521</v>
      </c>
      <c r="R82" s="67"/>
    </row>
    <row r="83">
      <c r="A83" s="12" t="s">
        <v>87</v>
      </c>
      <c r="B83" s="73"/>
      <c r="C83" s="74"/>
      <c r="D83" s="330"/>
      <c r="E83" s="245"/>
      <c r="F83" s="162"/>
      <c r="G83" s="79"/>
      <c r="H83" s="166"/>
      <c r="I83" s="41"/>
      <c r="J83" s="42"/>
      <c r="K83" s="42"/>
      <c r="L83" s="216" t="s">
        <v>521</v>
      </c>
      <c r="R83" s="67"/>
    </row>
    <row r="84">
      <c r="A84" s="12" t="s">
        <v>90</v>
      </c>
      <c r="B84" s="73"/>
      <c r="C84" s="74" t="s">
        <v>518</v>
      </c>
      <c r="D84" s="75">
        <v>0.6805555555555556</v>
      </c>
      <c r="E84" s="295"/>
      <c r="F84" s="133"/>
      <c r="G84" s="59"/>
      <c r="H84" s="166"/>
      <c r="I84" s="34" t="s">
        <v>181</v>
      </c>
      <c r="J84" s="42"/>
      <c r="K84" s="42"/>
      <c r="L84" s="216" t="s">
        <v>521</v>
      </c>
      <c r="R84" s="67"/>
    </row>
    <row r="85">
      <c r="A85" s="12" t="s">
        <v>93</v>
      </c>
      <c r="B85" s="73"/>
      <c r="C85" s="74" t="s">
        <v>518</v>
      </c>
      <c r="D85" s="330">
        <v>0.6944444444444444</v>
      </c>
      <c r="E85" s="295"/>
      <c r="F85" s="133"/>
      <c r="G85" s="181"/>
      <c r="H85" s="166"/>
      <c r="I85" s="34" t="s">
        <v>181</v>
      </c>
      <c r="J85" s="42"/>
      <c r="K85" s="42"/>
      <c r="R85" s="67"/>
    </row>
    <row r="86">
      <c r="J86" s="67"/>
      <c r="K86" s="67"/>
      <c r="R86" s="67"/>
    </row>
    <row r="87">
      <c r="J87" s="67"/>
      <c r="K87" s="67"/>
      <c r="R87" s="67"/>
    </row>
    <row r="88">
      <c r="A88" s="23" t="s">
        <v>456</v>
      </c>
      <c r="B88" s="2"/>
      <c r="C88" s="2"/>
      <c r="D88" s="2"/>
      <c r="E88" s="2"/>
      <c r="F88" s="2"/>
      <c r="G88" s="2"/>
      <c r="H88" s="2"/>
      <c r="I88" s="2"/>
      <c r="J88" s="2"/>
      <c r="K88" s="3"/>
      <c r="R88" s="67"/>
    </row>
    <row r="89">
      <c r="A89" s="263" t="s">
        <v>1012</v>
      </c>
      <c r="B89" s="2"/>
      <c r="C89" s="2"/>
      <c r="D89" s="2"/>
      <c r="E89" s="2"/>
      <c r="F89" s="2"/>
      <c r="G89" s="2"/>
      <c r="H89" s="2"/>
      <c r="I89" s="2"/>
      <c r="J89" s="2"/>
      <c r="K89" s="3"/>
      <c r="R89" s="67"/>
    </row>
    <row r="90">
      <c r="A90" s="25"/>
      <c r="B90" s="26" t="s">
        <v>3</v>
      </c>
      <c r="C90" s="27" t="s">
        <v>2</v>
      </c>
      <c r="D90" s="28" t="s">
        <v>5</v>
      </c>
      <c r="E90" s="32" t="s">
        <v>19</v>
      </c>
      <c r="F90" s="28" t="s">
        <v>6</v>
      </c>
      <c r="G90" s="264" t="s">
        <v>7</v>
      </c>
      <c r="H90" s="30" t="s">
        <v>8</v>
      </c>
      <c r="I90" s="31" t="s">
        <v>20</v>
      </c>
      <c r="J90" s="32" t="s">
        <v>21</v>
      </c>
      <c r="K90" s="32" t="s">
        <v>22</v>
      </c>
      <c r="R90" s="67"/>
    </row>
    <row r="91">
      <c r="A91" s="12" t="s">
        <v>10</v>
      </c>
      <c r="B91" s="73" t="s">
        <v>623</v>
      </c>
      <c r="C91" s="74" t="s">
        <v>381</v>
      </c>
      <c r="D91" s="75">
        <v>0.5416666666666666</v>
      </c>
      <c r="E91" s="241" t="s">
        <v>1013</v>
      </c>
      <c r="F91" s="84">
        <v>2.01156895960007E14</v>
      </c>
      <c r="G91" s="79" t="s">
        <v>1014</v>
      </c>
      <c r="H91" s="314">
        <v>21030.0</v>
      </c>
      <c r="I91" s="34" t="s">
        <v>195</v>
      </c>
      <c r="J91" s="314">
        <v>1.1947756141E10</v>
      </c>
      <c r="K91" s="314">
        <v>1.1968256077E10</v>
      </c>
      <c r="L91" s="216" t="s">
        <v>521</v>
      </c>
      <c r="N91" s="268" t="s">
        <v>387</v>
      </c>
      <c r="O91" s="100"/>
      <c r="P91" s="100"/>
      <c r="Q91" s="100"/>
      <c r="R91" s="67"/>
    </row>
    <row r="92">
      <c r="A92" s="12" t="s">
        <v>11</v>
      </c>
      <c r="B92" s="73" t="s">
        <v>623</v>
      </c>
      <c r="C92" s="74" t="s">
        <v>381</v>
      </c>
      <c r="D92" s="75">
        <v>0.5555555555555556</v>
      </c>
      <c r="E92" s="241" t="s">
        <v>1015</v>
      </c>
      <c r="F92" s="84">
        <v>8.01440457237789E14</v>
      </c>
      <c r="G92" s="79" t="s">
        <v>1016</v>
      </c>
      <c r="H92" s="314" t="s">
        <v>1017</v>
      </c>
      <c r="I92" s="34" t="s">
        <v>195</v>
      </c>
      <c r="J92" s="314">
        <v>1.1942979438E10</v>
      </c>
      <c r="K92" s="314">
        <v>1.1988733466E10</v>
      </c>
      <c r="N92" s="270" t="s">
        <v>557</v>
      </c>
      <c r="O92" s="2"/>
      <c r="P92" s="2"/>
      <c r="Q92" s="2"/>
      <c r="R92" s="67"/>
    </row>
    <row r="93">
      <c r="A93" s="12" t="s">
        <v>12</v>
      </c>
      <c r="B93" s="73" t="s">
        <v>623</v>
      </c>
      <c r="C93" s="74" t="s">
        <v>381</v>
      </c>
      <c r="D93" s="75">
        <v>0.5694444444444444</v>
      </c>
      <c r="E93" s="241" t="s">
        <v>1018</v>
      </c>
      <c r="F93" s="84">
        <v>7.06405605732587E14</v>
      </c>
      <c r="G93" s="79" t="s">
        <v>1019</v>
      </c>
      <c r="H93" s="314">
        <v>21436.0</v>
      </c>
      <c r="I93" s="34" t="s">
        <v>183</v>
      </c>
      <c r="J93" s="314">
        <v>1.1960542065E10</v>
      </c>
      <c r="K93" s="314">
        <v>1.1967347077E10</v>
      </c>
      <c r="L93" s="216" t="s">
        <v>521</v>
      </c>
      <c r="N93" s="271" t="s">
        <v>183</v>
      </c>
      <c r="O93" s="272" t="s">
        <v>195</v>
      </c>
      <c r="P93" s="272" t="s">
        <v>181</v>
      </c>
      <c r="Q93" s="273" t="s">
        <v>173</v>
      </c>
      <c r="R93" s="286" t="s">
        <v>439</v>
      </c>
    </row>
    <row r="94">
      <c r="A94" s="12" t="s">
        <v>13</v>
      </c>
      <c r="B94" s="73" t="s">
        <v>623</v>
      </c>
      <c r="C94" s="74" t="s">
        <v>381</v>
      </c>
      <c r="D94" s="75">
        <v>0.5833333333333334</v>
      </c>
      <c r="E94" s="241" t="s">
        <v>1020</v>
      </c>
      <c r="F94" s="84">
        <v>7.00401433265843E14</v>
      </c>
      <c r="G94" s="79" t="s">
        <v>1021</v>
      </c>
      <c r="H94" s="314">
        <v>17546.0</v>
      </c>
      <c r="I94" s="34" t="s">
        <v>183</v>
      </c>
      <c r="J94" s="314">
        <v>1.1960542065E10</v>
      </c>
      <c r="K94" s="314">
        <v>1.15872603E9</v>
      </c>
      <c r="L94" s="216" t="s">
        <v>521</v>
      </c>
      <c r="N94" s="275">
        <f t="shared" ref="N94:Q94" si="6">COUNTIFS($I$91:$I$102,N93)</f>
        <v>5</v>
      </c>
      <c r="O94" s="275">
        <f t="shared" si="6"/>
        <v>3</v>
      </c>
      <c r="P94" s="275">
        <f t="shared" si="6"/>
        <v>2</v>
      </c>
      <c r="Q94" s="275">
        <f t="shared" si="6"/>
        <v>1</v>
      </c>
      <c r="R94" s="67">
        <f>COUNTIFS(I91:I102,R93)</f>
        <v>0</v>
      </c>
    </row>
    <row r="95">
      <c r="A95" s="12" t="s">
        <v>14</v>
      </c>
      <c r="B95" s="73" t="s">
        <v>623</v>
      </c>
      <c r="C95" s="74" t="s">
        <v>381</v>
      </c>
      <c r="D95" s="75">
        <v>0.5972222222222222</v>
      </c>
      <c r="E95" s="241" t="s">
        <v>1022</v>
      </c>
      <c r="F95" s="84">
        <v>2.01156873720003E14</v>
      </c>
      <c r="G95" s="79" t="s">
        <v>1023</v>
      </c>
      <c r="H95" s="314">
        <v>18396.0</v>
      </c>
      <c r="I95" s="34" t="s">
        <v>195</v>
      </c>
      <c r="J95" s="314">
        <v>1.1962887089E10</v>
      </c>
      <c r="K95" s="314">
        <v>1.158252026E9</v>
      </c>
      <c r="L95" s="216" t="s">
        <v>521</v>
      </c>
      <c r="R95" s="67"/>
    </row>
    <row r="96">
      <c r="A96" s="12" t="s">
        <v>15</v>
      </c>
      <c r="B96" s="73" t="s">
        <v>668</v>
      </c>
      <c r="C96" s="74" t="s">
        <v>381</v>
      </c>
      <c r="D96" s="75">
        <v>0.6111111111111112</v>
      </c>
      <c r="E96" s="241" t="s">
        <v>1024</v>
      </c>
      <c r="F96" s="84">
        <v>7.00500550770054E14</v>
      </c>
      <c r="G96" s="79" t="s">
        <v>1025</v>
      </c>
      <c r="H96" s="314">
        <v>28625.0</v>
      </c>
      <c r="I96" s="34" t="s">
        <v>173</v>
      </c>
      <c r="J96" s="314">
        <v>1.1940455463E10</v>
      </c>
      <c r="K96" s="314">
        <v>1.199638726E9</v>
      </c>
      <c r="L96" s="216" t="s">
        <v>521</v>
      </c>
      <c r="R96" s="67"/>
    </row>
    <row r="97">
      <c r="A97" s="12" t="s">
        <v>16</v>
      </c>
      <c r="B97" s="73"/>
      <c r="C97" s="74" t="s">
        <v>381</v>
      </c>
      <c r="D97" s="75">
        <v>0.625</v>
      </c>
      <c r="E97" s="241"/>
      <c r="F97" s="84"/>
      <c r="G97" s="79"/>
      <c r="H97" s="314"/>
      <c r="I97" s="41"/>
      <c r="J97" s="314"/>
      <c r="K97" s="314"/>
      <c r="R97" s="67"/>
    </row>
    <row r="98">
      <c r="A98" s="12" t="s">
        <v>17</v>
      </c>
      <c r="B98" s="73" t="s">
        <v>281</v>
      </c>
      <c r="C98" s="74" t="s">
        <v>381</v>
      </c>
      <c r="D98" s="75">
        <v>0.6388888888888888</v>
      </c>
      <c r="E98" s="241" t="s">
        <v>1026</v>
      </c>
      <c r="F98" s="84">
        <v>8.0144047991958E14</v>
      </c>
      <c r="G98" s="79" t="s">
        <v>1027</v>
      </c>
      <c r="H98" s="314">
        <v>18485.0</v>
      </c>
      <c r="I98" s="34" t="s">
        <v>183</v>
      </c>
      <c r="J98" s="314">
        <v>1.1952153617E10</v>
      </c>
      <c r="K98" s="382">
        <v>1.1996484976E10</v>
      </c>
      <c r="R98" s="67"/>
    </row>
    <row r="99">
      <c r="A99" s="12" t="s">
        <v>85</v>
      </c>
      <c r="B99" s="73" t="s">
        <v>668</v>
      </c>
      <c r="C99" s="74" t="s">
        <v>381</v>
      </c>
      <c r="D99" s="75">
        <v>0.6527777777777778</v>
      </c>
      <c r="E99" s="241" t="s">
        <v>1028</v>
      </c>
      <c r="F99" s="84">
        <v>8.0144040117098E14</v>
      </c>
      <c r="G99" s="79" t="s">
        <v>1029</v>
      </c>
      <c r="H99" s="314">
        <v>19839.0</v>
      </c>
      <c r="I99" s="34" t="s">
        <v>183</v>
      </c>
      <c r="J99" s="314">
        <v>1.1990242229E10</v>
      </c>
      <c r="K99" s="314">
        <v>1.1998801629E10</v>
      </c>
      <c r="L99" s="216" t="s">
        <v>577</v>
      </c>
      <c r="R99" s="67"/>
    </row>
    <row r="100">
      <c r="A100" s="12" t="s">
        <v>87</v>
      </c>
      <c r="B100" s="73"/>
      <c r="C100" s="74" t="s">
        <v>381</v>
      </c>
      <c r="D100" s="75">
        <v>0.6666666666666666</v>
      </c>
      <c r="E100" s="241"/>
      <c r="F100" s="84"/>
      <c r="G100" s="79"/>
      <c r="H100" s="314"/>
      <c r="I100" s="41" t="s">
        <v>181</v>
      </c>
      <c r="J100" s="314"/>
      <c r="K100" s="314"/>
      <c r="R100" s="67"/>
    </row>
    <row r="101">
      <c r="A101" s="12" t="s">
        <v>90</v>
      </c>
      <c r="B101" s="73"/>
      <c r="C101" s="74" t="s">
        <v>381</v>
      </c>
      <c r="D101" s="75">
        <v>0.6805555555555556</v>
      </c>
      <c r="E101" s="241"/>
      <c r="F101" s="84"/>
      <c r="G101" s="79"/>
      <c r="H101" s="314"/>
      <c r="I101" s="41" t="s">
        <v>181</v>
      </c>
      <c r="J101" s="314"/>
      <c r="K101" s="314"/>
      <c r="R101" s="67"/>
    </row>
    <row r="102">
      <c r="A102" s="12" t="s">
        <v>93</v>
      </c>
      <c r="B102" s="73" t="s">
        <v>929</v>
      </c>
      <c r="C102" s="74" t="s">
        <v>381</v>
      </c>
      <c r="D102" s="75">
        <v>0.6944444444444444</v>
      </c>
      <c r="E102" s="241" t="s">
        <v>1030</v>
      </c>
      <c r="F102" s="84">
        <v>7.02404004388225E14</v>
      </c>
      <c r="G102" s="79" t="s">
        <v>1031</v>
      </c>
      <c r="H102" s="314">
        <v>25911.0</v>
      </c>
      <c r="I102" s="34" t="s">
        <v>183</v>
      </c>
      <c r="J102" s="314">
        <v>1.1988175505E10</v>
      </c>
      <c r="K102" s="314"/>
      <c r="R102" s="67"/>
    </row>
    <row r="103">
      <c r="J103" s="67"/>
      <c r="K103" s="67"/>
      <c r="R103" s="67"/>
    </row>
    <row r="104">
      <c r="J104" s="67"/>
      <c r="K104" s="67"/>
      <c r="R104" s="67"/>
    </row>
    <row r="105">
      <c r="J105" s="67"/>
      <c r="K105" s="67"/>
      <c r="R105" s="67"/>
    </row>
    <row r="106">
      <c r="A106" s="23" t="s">
        <v>579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R106" s="67"/>
    </row>
    <row r="107">
      <c r="A107" s="263" t="s">
        <v>1032</v>
      </c>
      <c r="B107" s="2"/>
      <c r="C107" s="2"/>
      <c r="D107" s="2"/>
      <c r="E107" s="2"/>
      <c r="F107" s="2"/>
      <c r="G107" s="2"/>
      <c r="H107" s="2"/>
      <c r="I107" s="2"/>
      <c r="J107" s="2"/>
      <c r="K107" s="3"/>
      <c r="R107" s="67"/>
    </row>
    <row r="108">
      <c r="A108" s="25"/>
      <c r="B108" s="26" t="s">
        <v>3</v>
      </c>
      <c r="C108" s="27" t="s">
        <v>2</v>
      </c>
      <c r="D108" s="28" t="s">
        <v>5</v>
      </c>
      <c r="E108" s="32" t="s">
        <v>19</v>
      </c>
      <c r="F108" s="28" t="s">
        <v>6</v>
      </c>
      <c r="G108" s="264" t="s">
        <v>7</v>
      </c>
      <c r="H108" s="30" t="s">
        <v>8</v>
      </c>
      <c r="I108" s="31" t="s">
        <v>20</v>
      </c>
      <c r="J108" s="32" t="s">
        <v>21</v>
      </c>
      <c r="K108" s="32" t="s">
        <v>22</v>
      </c>
      <c r="R108" s="67"/>
    </row>
    <row r="109">
      <c r="A109" s="12" t="s">
        <v>10</v>
      </c>
      <c r="B109" s="167" t="s">
        <v>448</v>
      </c>
      <c r="C109" s="74" t="s">
        <v>581</v>
      </c>
      <c r="D109" s="75">
        <v>0.5416666666666666</v>
      </c>
      <c r="E109" s="331" t="s">
        <v>1033</v>
      </c>
      <c r="F109" s="228">
        <v>8.98001411480823E14</v>
      </c>
      <c r="G109" s="161" t="s">
        <v>1034</v>
      </c>
      <c r="H109" s="163">
        <v>24782.0</v>
      </c>
      <c r="I109" s="41" t="s">
        <v>183</v>
      </c>
      <c r="J109" s="238" t="s">
        <v>1035</v>
      </c>
      <c r="K109" s="238" t="s">
        <v>1036</v>
      </c>
      <c r="L109" s="216" t="s">
        <v>521</v>
      </c>
      <c r="N109" s="268" t="s">
        <v>387</v>
      </c>
      <c r="O109" s="100"/>
      <c r="P109" s="100"/>
      <c r="Q109" s="100"/>
      <c r="R109" s="67"/>
    </row>
    <row r="110">
      <c r="A110" s="12" t="s">
        <v>11</v>
      </c>
      <c r="B110" s="167" t="s">
        <v>443</v>
      </c>
      <c r="C110" s="74" t="s">
        <v>581</v>
      </c>
      <c r="D110" s="75">
        <v>0.5555555555555556</v>
      </c>
      <c r="E110" s="303" t="s">
        <v>1037</v>
      </c>
      <c r="F110" s="228">
        <v>7.00109961516714E14</v>
      </c>
      <c r="G110" s="312" t="s">
        <v>1038</v>
      </c>
      <c r="H110" s="77">
        <v>15404.0</v>
      </c>
      <c r="I110" s="41" t="s">
        <v>183</v>
      </c>
      <c r="J110" s="42" t="s">
        <v>1039</v>
      </c>
      <c r="K110" s="42" t="s">
        <v>1040</v>
      </c>
      <c r="N110" s="270" t="s">
        <v>585</v>
      </c>
      <c r="O110" s="2"/>
      <c r="P110" s="2"/>
      <c r="Q110" s="2"/>
      <c r="R110" s="67"/>
    </row>
    <row r="111">
      <c r="A111" s="12" t="s">
        <v>12</v>
      </c>
      <c r="B111" s="167" t="s">
        <v>448</v>
      </c>
      <c r="C111" s="74" t="s">
        <v>581</v>
      </c>
      <c r="D111" s="75">
        <v>0.5694444444444444</v>
      </c>
      <c r="E111" s="331" t="s">
        <v>1041</v>
      </c>
      <c r="F111" s="228">
        <v>8.98001437075543E14</v>
      </c>
      <c r="G111" s="161" t="s">
        <v>1042</v>
      </c>
      <c r="H111" s="163">
        <v>20464.0</v>
      </c>
      <c r="I111" s="41" t="s">
        <v>183</v>
      </c>
      <c r="J111" s="238" t="s">
        <v>1043</v>
      </c>
      <c r="K111" s="238" t="s">
        <v>1044</v>
      </c>
      <c r="L111" s="216" t="s">
        <v>521</v>
      </c>
      <c r="N111" s="271" t="s">
        <v>183</v>
      </c>
      <c r="O111" s="272" t="s">
        <v>195</v>
      </c>
      <c r="P111" s="272" t="s">
        <v>181</v>
      </c>
      <c r="Q111" s="273" t="s">
        <v>173</v>
      </c>
      <c r="R111" s="67"/>
    </row>
    <row r="112">
      <c r="A112" s="12" t="s">
        <v>13</v>
      </c>
      <c r="B112" s="167" t="s">
        <v>975</v>
      </c>
      <c r="C112" s="74" t="s">
        <v>581</v>
      </c>
      <c r="D112" s="75">
        <v>0.5833333333333334</v>
      </c>
      <c r="E112" s="331" t="s">
        <v>1045</v>
      </c>
      <c r="F112" s="228">
        <v>7.0250778358624E14</v>
      </c>
      <c r="G112" s="161" t="s">
        <v>1046</v>
      </c>
      <c r="H112" s="163">
        <v>24714.0</v>
      </c>
      <c r="I112" s="41" t="s">
        <v>173</v>
      </c>
      <c r="J112" s="383" t="s">
        <v>1047</v>
      </c>
      <c r="K112" s="238"/>
      <c r="L112" s="216" t="s">
        <v>521</v>
      </c>
      <c r="N112" s="275">
        <f t="shared" ref="N112:Q112" si="7">COUNTIFS($I$109:$I$120,N111)</f>
        <v>4</v>
      </c>
      <c r="O112" s="275">
        <f t="shared" si="7"/>
        <v>2</v>
      </c>
      <c r="P112" s="275">
        <f t="shared" si="7"/>
        <v>4</v>
      </c>
      <c r="Q112" s="275">
        <f t="shared" si="7"/>
        <v>2</v>
      </c>
      <c r="R112" s="67"/>
    </row>
    <row r="113">
      <c r="A113" s="12" t="s">
        <v>14</v>
      </c>
      <c r="B113" s="167" t="s">
        <v>636</v>
      </c>
      <c r="C113" s="74" t="s">
        <v>581</v>
      </c>
      <c r="D113" s="75">
        <v>0.5972222222222222</v>
      </c>
      <c r="E113" s="331" t="s">
        <v>1048</v>
      </c>
      <c r="F113" s="228">
        <v>7.06304772055879E14</v>
      </c>
      <c r="G113" s="59" t="s">
        <v>1049</v>
      </c>
      <c r="H113" s="77">
        <v>22323.0</v>
      </c>
      <c r="I113" s="41" t="s">
        <v>195</v>
      </c>
      <c r="J113" s="42" t="s">
        <v>1050</v>
      </c>
      <c r="K113" s="42" t="s">
        <v>1051</v>
      </c>
      <c r="R113" s="67"/>
    </row>
    <row r="114">
      <c r="A114" s="12" t="s">
        <v>15</v>
      </c>
      <c r="B114" s="167"/>
      <c r="C114" s="74" t="s">
        <v>581</v>
      </c>
      <c r="D114" s="75">
        <v>0.6111111111111112</v>
      </c>
      <c r="E114" s="384"/>
      <c r="F114" s="385"/>
      <c r="G114" s="59"/>
      <c r="H114" s="163"/>
      <c r="I114" s="41" t="s">
        <v>181</v>
      </c>
      <c r="J114" s="42"/>
      <c r="K114" s="42"/>
      <c r="L114" s="216" t="s">
        <v>521</v>
      </c>
      <c r="R114" s="67"/>
    </row>
    <row r="115">
      <c r="A115" s="12" t="s">
        <v>16</v>
      </c>
      <c r="B115" s="167" t="s">
        <v>274</v>
      </c>
      <c r="C115" s="74" t="s">
        <v>581</v>
      </c>
      <c r="D115" s="75">
        <v>0.625</v>
      </c>
      <c r="E115" s="331" t="s">
        <v>1052</v>
      </c>
      <c r="F115" s="228">
        <v>7.05405433639497E14</v>
      </c>
      <c r="G115" s="161" t="s">
        <v>1053</v>
      </c>
      <c r="H115" s="163">
        <v>19163.0</v>
      </c>
      <c r="I115" s="41" t="s">
        <v>183</v>
      </c>
      <c r="J115" s="310" t="s">
        <v>1054</v>
      </c>
      <c r="K115" s="310"/>
      <c r="L115" s="216" t="s">
        <v>521</v>
      </c>
      <c r="R115" s="67"/>
    </row>
    <row r="116">
      <c r="A116" s="12" t="s">
        <v>17</v>
      </c>
      <c r="B116" s="167" t="s">
        <v>1055</v>
      </c>
      <c r="C116" s="74" t="s">
        <v>581</v>
      </c>
      <c r="D116" s="75">
        <v>0.6388888888888888</v>
      </c>
      <c r="E116" s="386" t="s">
        <v>1056</v>
      </c>
      <c r="F116" s="228">
        <v>2.01535884590004E14</v>
      </c>
      <c r="G116" s="161" t="s">
        <v>1057</v>
      </c>
      <c r="H116" s="163">
        <v>21412.0</v>
      </c>
      <c r="I116" s="41" t="s">
        <v>195</v>
      </c>
      <c r="J116" s="238">
        <v>1.1968812182E10</v>
      </c>
      <c r="K116" s="42"/>
      <c r="L116" s="216" t="s">
        <v>521</v>
      </c>
      <c r="R116" s="67"/>
    </row>
    <row r="117">
      <c r="A117" s="12" t="s">
        <v>85</v>
      </c>
      <c r="B117" s="167" t="s">
        <v>259</v>
      </c>
      <c r="C117" s="74" t="s">
        <v>581</v>
      </c>
      <c r="D117" s="75">
        <v>0.6527777777777778</v>
      </c>
      <c r="E117" s="331" t="s">
        <v>1058</v>
      </c>
      <c r="F117" s="228">
        <v>8.01440407382777E14</v>
      </c>
      <c r="G117" s="161" t="s">
        <v>1059</v>
      </c>
      <c r="H117" s="166">
        <v>24509.0</v>
      </c>
      <c r="I117" s="41" t="s">
        <v>173</v>
      </c>
      <c r="J117" s="42">
        <v>9.85108125E8</v>
      </c>
      <c r="K117" s="42"/>
      <c r="R117" s="67"/>
    </row>
    <row r="118">
      <c r="A118" s="12" t="s">
        <v>87</v>
      </c>
      <c r="B118" s="167"/>
      <c r="C118" s="74" t="s">
        <v>581</v>
      </c>
      <c r="D118" s="75">
        <v>0.6666666666666666</v>
      </c>
      <c r="E118" s="245"/>
      <c r="F118" s="162"/>
      <c r="G118" s="203"/>
      <c r="H118" s="166"/>
      <c r="I118" s="41" t="s">
        <v>181</v>
      </c>
      <c r="J118" s="42"/>
      <c r="K118" s="42"/>
      <c r="L118" s="216" t="s">
        <v>521</v>
      </c>
      <c r="R118" s="67"/>
    </row>
    <row r="119">
      <c r="A119" s="12" t="s">
        <v>90</v>
      </c>
      <c r="B119" s="167"/>
      <c r="C119" s="74" t="s">
        <v>581</v>
      </c>
      <c r="D119" s="75">
        <v>0.6805555555555556</v>
      </c>
      <c r="E119" s="295"/>
      <c r="F119" s="133"/>
      <c r="G119" s="387"/>
      <c r="H119" s="166"/>
      <c r="I119" s="41" t="s">
        <v>181</v>
      </c>
      <c r="J119" s="42"/>
      <c r="K119" s="42"/>
      <c r="R119" s="67"/>
    </row>
    <row r="120">
      <c r="A120" s="12" t="s">
        <v>93</v>
      </c>
      <c r="B120" s="73"/>
      <c r="C120" s="74" t="s">
        <v>581</v>
      </c>
      <c r="D120" s="75">
        <v>0.6944444444444444</v>
      </c>
      <c r="E120" s="295"/>
      <c r="F120" s="133"/>
      <c r="G120" s="387"/>
      <c r="H120" s="166"/>
      <c r="I120" s="41" t="s">
        <v>181</v>
      </c>
      <c r="J120" s="42"/>
      <c r="K120" s="42"/>
      <c r="R120" s="67"/>
    </row>
    <row r="121">
      <c r="J121" s="67"/>
      <c r="K121" s="67"/>
      <c r="R121" s="67"/>
    </row>
    <row r="122">
      <c r="J122" s="67"/>
      <c r="K122" s="67"/>
      <c r="R122" s="67"/>
    </row>
    <row r="123">
      <c r="A123" s="23" t="s">
        <v>456</v>
      </c>
      <c r="B123" s="2"/>
      <c r="C123" s="2"/>
      <c r="D123" s="2"/>
      <c r="E123" s="2"/>
      <c r="F123" s="2"/>
      <c r="G123" s="2"/>
      <c r="H123" s="2"/>
      <c r="I123" s="2"/>
      <c r="J123" s="2"/>
      <c r="K123" s="3"/>
      <c r="R123" s="67"/>
    </row>
    <row r="124">
      <c r="A124" s="263" t="s">
        <v>1060</v>
      </c>
      <c r="B124" s="2"/>
      <c r="C124" s="2"/>
      <c r="D124" s="2"/>
      <c r="E124" s="2"/>
      <c r="F124" s="2"/>
      <c r="G124" s="2"/>
      <c r="H124" s="2"/>
      <c r="I124" s="2"/>
      <c r="J124" s="2"/>
      <c r="K124" s="3"/>
      <c r="R124" s="67"/>
    </row>
    <row r="125">
      <c r="A125" s="25"/>
      <c r="B125" s="26" t="s">
        <v>3</v>
      </c>
      <c r="C125" s="27" t="s">
        <v>2</v>
      </c>
      <c r="D125" s="28" t="s">
        <v>5</v>
      </c>
      <c r="E125" s="32" t="s">
        <v>19</v>
      </c>
      <c r="F125" s="28" t="s">
        <v>6</v>
      </c>
      <c r="G125" s="264" t="s">
        <v>7</v>
      </c>
      <c r="H125" s="30" t="s">
        <v>8</v>
      </c>
      <c r="I125" s="31" t="s">
        <v>20</v>
      </c>
      <c r="J125" s="32" t="s">
        <v>21</v>
      </c>
      <c r="K125" s="32" t="s">
        <v>22</v>
      </c>
      <c r="R125" s="67"/>
    </row>
    <row r="126">
      <c r="A126" s="12" t="s">
        <v>10</v>
      </c>
      <c r="B126" s="73" t="s">
        <v>220</v>
      </c>
      <c r="C126" s="74" t="s">
        <v>430</v>
      </c>
      <c r="D126" s="75">
        <v>0.3333333333333333</v>
      </c>
      <c r="E126" s="241" t="s">
        <v>1061</v>
      </c>
      <c r="F126" s="185">
        <v>8.98004830560829E14</v>
      </c>
      <c r="G126" s="79" t="s">
        <v>1062</v>
      </c>
      <c r="H126" s="83">
        <v>23605.0</v>
      </c>
      <c r="I126" s="34" t="s">
        <v>183</v>
      </c>
      <c r="J126" s="84"/>
      <c r="K126" s="84"/>
      <c r="N126" s="268" t="s">
        <v>387</v>
      </c>
      <c r="O126" s="100"/>
      <c r="P126" s="100"/>
      <c r="Q126" s="100"/>
      <c r="R126" s="67"/>
    </row>
    <row r="127">
      <c r="A127" s="12" t="s">
        <v>11</v>
      </c>
      <c r="B127" s="73" t="s">
        <v>220</v>
      </c>
      <c r="C127" s="74" t="s">
        <v>430</v>
      </c>
      <c r="D127" s="75">
        <v>0.3472222222222222</v>
      </c>
      <c r="E127" s="242" t="s">
        <v>1063</v>
      </c>
      <c r="F127" s="185">
        <v>7.00503579575252E14</v>
      </c>
      <c r="G127" s="79" t="s">
        <v>1064</v>
      </c>
      <c r="H127" s="77">
        <v>29364.0</v>
      </c>
      <c r="I127" s="34" t="s">
        <v>183</v>
      </c>
      <c r="J127" s="141"/>
      <c r="K127" s="141"/>
      <c r="N127" s="270" t="s">
        <v>611</v>
      </c>
      <c r="O127" s="2"/>
      <c r="P127" s="2"/>
      <c r="Q127" s="2"/>
      <c r="R127" s="67"/>
    </row>
    <row r="128">
      <c r="A128" s="12" t="s">
        <v>12</v>
      </c>
      <c r="B128" s="73" t="s">
        <v>220</v>
      </c>
      <c r="C128" s="74" t="s">
        <v>430</v>
      </c>
      <c r="D128" s="75">
        <v>0.3611111111111111</v>
      </c>
      <c r="E128" s="241" t="s">
        <v>1065</v>
      </c>
      <c r="F128" s="185">
        <v>8.98001447315148E14</v>
      </c>
      <c r="G128" s="79" t="s">
        <v>1066</v>
      </c>
      <c r="H128" s="83">
        <v>21549.0</v>
      </c>
      <c r="I128" s="34" t="s">
        <v>183</v>
      </c>
      <c r="J128" s="84"/>
      <c r="K128" s="84"/>
      <c r="N128" s="271" t="s">
        <v>183</v>
      </c>
      <c r="O128" s="272" t="s">
        <v>195</v>
      </c>
      <c r="P128" s="272" t="s">
        <v>181</v>
      </c>
      <c r="Q128" s="273" t="s">
        <v>173</v>
      </c>
      <c r="R128" s="67"/>
    </row>
    <row r="129">
      <c r="A129" s="12" t="s">
        <v>13</v>
      </c>
      <c r="B129" s="73" t="s">
        <v>937</v>
      </c>
      <c r="C129" s="74" t="s">
        <v>430</v>
      </c>
      <c r="D129" s="75">
        <v>0.375</v>
      </c>
      <c r="E129" s="241" t="s">
        <v>1067</v>
      </c>
      <c r="F129" s="185">
        <v>8.98001400656909E14</v>
      </c>
      <c r="G129" s="79" t="s">
        <v>1068</v>
      </c>
      <c r="H129" s="83">
        <v>27995.0</v>
      </c>
      <c r="I129" s="41" t="s">
        <v>195</v>
      </c>
      <c r="J129" s="84">
        <v>1.1991753363E10</v>
      </c>
      <c r="K129" s="84"/>
      <c r="N129" s="275">
        <f t="shared" ref="N129:Q129" si="8">COUNTIFS($I$126:$I$137,N128)</f>
        <v>10</v>
      </c>
      <c r="O129" s="275">
        <f t="shared" si="8"/>
        <v>2</v>
      </c>
      <c r="P129" s="275">
        <f t="shared" si="8"/>
        <v>0</v>
      </c>
      <c r="Q129" s="275">
        <f t="shared" si="8"/>
        <v>0</v>
      </c>
      <c r="R129" s="67"/>
    </row>
    <row r="130">
      <c r="A130" s="12" t="s">
        <v>14</v>
      </c>
      <c r="B130" s="73" t="s">
        <v>1069</v>
      </c>
      <c r="C130" s="74" t="s">
        <v>430</v>
      </c>
      <c r="D130" s="75">
        <v>0.3888888888888889</v>
      </c>
      <c r="E130" s="324" t="s">
        <v>1070</v>
      </c>
      <c r="F130" s="185">
        <v>8.01440401135964E14</v>
      </c>
      <c r="G130" s="79" t="s">
        <v>1071</v>
      </c>
      <c r="H130" s="77">
        <v>29331.0</v>
      </c>
      <c r="I130" s="34" t="s">
        <v>183</v>
      </c>
      <c r="J130" s="130" t="s">
        <v>1072</v>
      </c>
      <c r="K130" s="141"/>
      <c r="R130" s="67"/>
    </row>
    <row r="131">
      <c r="A131" s="12" t="s">
        <v>15</v>
      </c>
      <c r="B131" s="73" t="s">
        <v>220</v>
      </c>
      <c r="C131" s="74" t="s">
        <v>430</v>
      </c>
      <c r="D131" s="75">
        <v>0.4027777777777778</v>
      </c>
      <c r="E131" s="324" t="s">
        <v>1073</v>
      </c>
      <c r="F131" s="185">
        <v>7.07600259314494E14</v>
      </c>
      <c r="G131" s="79" t="s">
        <v>1074</v>
      </c>
      <c r="H131" s="77">
        <v>19762.0</v>
      </c>
      <c r="I131" s="34" t="s">
        <v>183</v>
      </c>
      <c r="J131" s="130"/>
      <c r="K131" s="141"/>
      <c r="R131" s="67"/>
    </row>
    <row r="132">
      <c r="A132" s="12" t="s">
        <v>16</v>
      </c>
      <c r="B132" s="73" t="s">
        <v>220</v>
      </c>
      <c r="C132" s="74" t="s">
        <v>430</v>
      </c>
      <c r="D132" s="75">
        <v>0.4166666666666667</v>
      </c>
      <c r="E132" s="324" t="s">
        <v>1075</v>
      </c>
      <c r="F132" s="185">
        <v>7.0500429713985E14</v>
      </c>
      <c r="G132" s="79" t="s">
        <v>1076</v>
      </c>
      <c r="H132" s="83">
        <v>21468.0</v>
      </c>
      <c r="I132" s="34" t="s">
        <v>183</v>
      </c>
      <c r="J132" s="185"/>
      <c r="K132" s="84"/>
      <c r="R132" s="67"/>
    </row>
    <row r="133">
      <c r="A133" s="12" t="s">
        <v>17</v>
      </c>
      <c r="B133" s="73" t="s">
        <v>220</v>
      </c>
      <c r="C133" s="74" t="s">
        <v>430</v>
      </c>
      <c r="D133" s="75">
        <v>0.4305555555555556</v>
      </c>
      <c r="E133" s="388" t="s">
        <v>1077</v>
      </c>
      <c r="F133" s="185">
        <v>8.01440499152978E14</v>
      </c>
      <c r="G133" s="79" t="s">
        <v>1078</v>
      </c>
      <c r="H133" s="77">
        <v>23048.0</v>
      </c>
      <c r="I133" s="34" t="s">
        <v>183</v>
      </c>
      <c r="J133" s="130"/>
      <c r="K133" s="141"/>
      <c r="L133" s="68"/>
      <c r="M133" s="68"/>
      <c r="N133" s="68"/>
      <c r="O133" s="68"/>
      <c r="P133" s="68"/>
      <c r="Q133" s="68"/>
      <c r="R133" s="389"/>
      <c r="S133" s="68"/>
      <c r="T133" s="68"/>
      <c r="U133" s="68"/>
      <c r="V133" s="68"/>
      <c r="W133" s="68"/>
    </row>
    <row r="134">
      <c r="A134" s="12" t="s">
        <v>85</v>
      </c>
      <c r="B134" s="73" t="s">
        <v>1079</v>
      </c>
      <c r="C134" s="74" t="s">
        <v>430</v>
      </c>
      <c r="D134" s="75">
        <v>0.4444444444444444</v>
      </c>
      <c r="E134" s="245" t="s">
        <v>1080</v>
      </c>
      <c r="F134" s="185">
        <v>7.04009319714069E14</v>
      </c>
      <c r="G134" s="79" t="s">
        <v>1081</v>
      </c>
      <c r="H134" s="166">
        <v>22236.0</v>
      </c>
      <c r="I134" s="34" t="s">
        <v>183</v>
      </c>
      <c r="J134" s="141"/>
      <c r="K134" s="141"/>
      <c r="L134" s="68"/>
      <c r="M134" s="68"/>
      <c r="N134" s="68"/>
      <c r="O134" s="68"/>
      <c r="P134" s="68"/>
      <c r="Q134" s="68"/>
      <c r="R134" s="389"/>
      <c r="S134" s="68"/>
      <c r="T134" s="68"/>
      <c r="U134" s="68"/>
      <c r="V134" s="68"/>
      <c r="W134" s="68"/>
    </row>
    <row r="135">
      <c r="A135" s="12" t="s">
        <v>87</v>
      </c>
      <c r="B135" s="73" t="s">
        <v>220</v>
      </c>
      <c r="C135" s="74" t="s">
        <v>430</v>
      </c>
      <c r="D135" s="75">
        <v>0.4583333333333333</v>
      </c>
      <c r="E135" s="241" t="s">
        <v>1082</v>
      </c>
      <c r="F135" s="185">
        <v>7.06307733148678E14</v>
      </c>
      <c r="G135" s="79" t="s">
        <v>1083</v>
      </c>
      <c r="H135" s="83">
        <v>18443.0</v>
      </c>
      <c r="I135" s="34" t="s">
        <v>183</v>
      </c>
      <c r="J135" s="84">
        <v>1.1993285809E10</v>
      </c>
      <c r="K135" s="84"/>
      <c r="L135" s="216" t="s">
        <v>521</v>
      </c>
      <c r="R135" s="67"/>
    </row>
    <row r="136">
      <c r="A136" s="12" t="s">
        <v>90</v>
      </c>
      <c r="B136" s="73" t="s">
        <v>281</v>
      </c>
      <c r="C136" s="74" t="s">
        <v>430</v>
      </c>
      <c r="D136" s="75">
        <v>0.4722222222222222</v>
      </c>
      <c r="E136" s="295" t="s">
        <v>1084</v>
      </c>
      <c r="F136" s="185">
        <v>7.08604507096884E14</v>
      </c>
      <c r="G136" s="79" t="s">
        <v>1085</v>
      </c>
      <c r="H136" s="166">
        <v>17719.0</v>
      </c>
      <c r="I136" s="34" t="s">
        <v>195</v>
      </c>
      <c r="J136" s="84">
        <v>1.1981421454E10</v>
      </c>
      <c r="K136" s="84"/>
      <c r="R136" s="67"/>
    </row>
    <row r="137">
      <c r="A137" s="12" t="s">
        <v>93</v>
      </c>
      <c r="B137" s="73" t="s">
        <v>220</v>
      </c>
      <c r="C137" s="74" t="s">
        <v>430</v>
      </c>
      <c r="D137" s="75">
        <v>0.4861111111111111</v>
      </c>
      <c r="E137" s="295" t="s">
        <v>1086</v>
      </c>
      <c r="F137" s="185">
        <v>8.98002390878646E14</v>
      </c>
      <c r="G137" s="79" t="s">
        <v>1087</v>
      </c>
      <c r="H137" s="166">
        <v>28581.0</v>
      </c>
      <c r="I137" s="34" t="s">
        <v>183</v>
      </c>
      <c r="J137" s="162"/>
      <c r="K137" s="162"/>
      <c r="L137" s="68"/>
      <c r="M137" s="68"/>
      <c r="N137" s="68"/>
      <c r="O137" s="68"/>
      <c r="P137" s="68"/>
      <c r="Q137" s="68"/>
      <c r="R137" s="389"/>
      <c r="S137" s="68"/>
      <c r="T137" s="68"/>
      <c r="U137" s="68"/>
      <c r="V137" s="68"/>
      <c r="W137" s="68"/>
    </row>
    <row r="138">
      <c r="J138" s="67"/>
      <c r="K138" s="67"/>
      <c r="R138" s="67"/>
    </row>
    <row r="139">
      <c r="J139" s="67"/>
      <c r="K139" s="67"/>
      <c r="R139" s="67"/>
    </row>
    <row r="140">
      <c r="A140" s="23" t="s">
        <v>579</v>
      </c>
      <c r="B140" s="2"/>
      <c r="C140" s="2"/>
      <c r="D140" s="2"/>
      <c r="E140" s="2"/>
      <c r="F140" s="2"/>
      <c r="G140" s="2"/>
      <c r="H140" s="2"/>
      <c r="I140" s="2"/>
      <c r="J140" s="2"/>
      <c r="K140" s="3"/>
      <c r="R140" s="67"/>
    </row>
    <row r="141">
      <c r="A141" s="263" t="s">
        <v>1088</v>
      </c>
      <c r="B141" s="2"/>
      <c r="C141" s="2"/>
      <c r="D141" s="2"/>
      <c r="E141" s="2"/>
      <c r="F141" s="2"/>
      <c r="G141" s="2"/>
      <c r="H141" s="2"/>
      <c r="I141" s="2"/>
      <c r="J141" s="2"/>
      <c r="K141" s="3"/>
      <c r="R141" s="67"/>
    </row>
    <row r="142">
      <c r="A142" s="25"/>
      <c r="B142" s="26" t="s">
        <v>3</v>
      </c>
      <c r="C142" s="27" t="s">
        <v>2</v>
      </c>
      <c r="D142" s="28" t="s">
        <v>5</v>
      </c>
      <c r="E142" s="32" t="s">
        <v>19</v>
      </c>
      <c r="F142" s="28" t="s">
        <v>6</v>
      </c>
      <c r="G142" s="264" t="s">
        <v>7</v>
      </c>
      <c r="H142" s="30" t="s">
        <v>8</v>
      </c>
      <c r="I142" s="31" t="s">
        <v>20</v>
      </c>
      <c r="J142" s="32" t="s">
        <v>21</v>
      </c>
      <c r="K142" s="32" t="s">
        <v>22</v>
      </c>
      <c r="R142" s="67"/>
    </row>
    <row r="143">
      <c r="A143" s="12" t="s">
        <v>10</v>
      </c>
      <c r="B143" s="167" t="s">
        <v>975</v>
      </c>
      <c r="C143" s="74" t="s">
        <v>482</v>
      </c>
      <c r="D143" s="75">
        <v>0.5416666666666666</v>
      </c>
      <c r="E143" s="245" t="s">
        <v>1089</v>
      </c>
      <c r="F143" s="162">
        <v>7.00802451494082E14</v>
      </c>
      <c r="G143" s="161" t="s">
        <v>1090</v>
      </c>
      <c r="H143" s="390">
        <v>14774.0</v>
      </c>
      <c r="I143" s="41" t="s">
        <v>195</v>
      </c>
      <c r="J143" s="238" t="s">
        <v>1091</v>
      </c>
      <c r="K143" s="238"/>
      <c r="N143" s="268" t="s">
        <v>387</v>
      </c>
      <c r="O143" s="100"/>
      <c r="P143" s="100"/>
      <c r="Q143" s="100"/>
      <c r="R143" s="67"/>
    </row>
    <row r="144">
      <c r="A144" s="12" t="s">
        <v>11</v>
      </c>
      <c r="B144" s="167" t="s">
        <v>324</v>
      </c>
      <c r="C144" s="74" t="s">
        <v>482</v>
      </c>
      <c r="D144" s="330">
        <v>0.5555555555555556</v>
      </c>
      <c r="E144" s="245" t="s">
        <v>1092</v>
      </c>
      <c r="F144" s="162">
        <v>8.98001422452966E14</v>
      </c>
      <c r="G144" s="161" t="s">
        <v>1093</v>
      </c>
      <c r="H144" s="390">
        <v>22158.0</v>
      </c>
      <c r="I144" s="41" t="s">
        <v>183</v>
      </c>
      <c r="J144" s="42" t="s">
        <v>1094</v>
      </c>
      <c r="K144" s="42"/>
      <c r="N144" s="270" t="s">
        <v>642</v>
      </c>
      <c r="O144" s="2"/>
      <c r="P144" s="2"/>
      <c r="Q144" s="2"/>
      <c r="R144" s="67"/>
    </row>
    <row r="145">
      <c r="A145" s="12" t="s">
        <v>12</v>
      </c>
      <c r="B145" s="233"/>
      <c r="C145" s="74" t="s">
        <v>482</v>
      </c>
      <c r="D145" s="75">
        <v>0.5694444444444444</v>
      </c>
      <c r="E145" s="391"/>
      <c r="F145" s="301"/>
      <c r="G145" s="233"/>
      <c r="H145" s="132"/>
      <c r="I145" s="41" t="s">
        <v>181</v>
      </c>
      <c r="J145" s="238"/>
      <c r="K145" s="238"/>
      <c r="N145" s="271" t="s">
        <v>183</v>
      </c>
      <c r="O145" s="272" t="s">
        <v>195</v>
      </c>
      <c r="P145" s="272" t="s">
        <v>181</v>
      </c>
      <c r="Q145" s="273" t="s">
        <v>173</v>
      </c>
      <c r="R145" s="67"/>
    </row>
    <row r="146">
      <c r="A146" s="12" t="s">
        <v>13</v>
      </c>
      <c r="B146" s="73" t="s">
        <v>274</v>
      </c>
      <c r="C146" s="74" t="s">
        <v>482</v>
      </c>
      <c r="D146" s="330">
        <v>0.5833333333333334</v>
      </c>
      <c r="E146" s="245" t="s">
        <v>1095</v>
      </c>
      <c r="F146" s="392">
        <v>7.00009767338807E14</v>
      </c>
      <c r="G146" s="161" t="s">
        <v>1096</v>
      </c>
      <c r="H146" s="163">
        <v>16409.0</v>
      </c>
      <c r="I146" s="41" t="s">
        <v>173</v>
      </c>
      <c r="J146" s="238">
        <v>9.59947088E8</v>
      </c>
      <c r="K146" s="238"/>
      <c r="N146" s="275">
        <f t="shared" ref="N146:Q146" si="9">COUNTIFS($I$143:$I$154,N145)</f>
        <v>4</v>
      </c>
      <c r="O146" s="275">
        <f t="shared" si="9"/>
        <v>1</v>
      </c>
      <c r="P146" s="275">
        <f t="shared" si="9"/>
        <v>1</v>
      </c>
      <c r="Q146" s="275">
        <f t="shared" si="9"/>
        <v>2</v>
      </c>
      <c r="R146" s="67"/>
    </row>
    <row r="147">
      <c r="A147" s="12" t="s">
        <v>14</v>
      </c>
      <c r="B147" s="167" t="s">
        <v>975</v>
      </c>
      <c r="C147" s="74" t="s">
        <v>482</v>
      </c>
      <c r="D147" s="75">
        <v>0.5972222222222222</v>
      </c>
      <c r="E147" s="287" t="s">
        <v>919</v>
      </c>
      <c r="F147" s="301">
        <v>7.06801766211026E14</v>
      </c>
      <c r="G147" s="233" t="s">
        <v>1097</v>
      </c>
      <c r="H147" s="166">
        <v>15079.0</v>
      </c>
      <c r="I147" s="41" t="s">
        <v>173</v>
      </c>
      <c r="J147" s="42">
        <v>1.1911123061E10</v>
      </c>
      <c r="K147" s="42">
        <v>1.1971266379E10</v>
      </c>
      <c r="R147" s="67"/>
    </row>
    <row r="148">
      <c r="A148" s="12" t="s">
        <v>15</v>
      </c>
      <c r="B148" s="73" t="s">
        <v>856</v>
      </c>
      <c r="C148" s="74" t="s">
        <v>482</v>
      </c>
      <c r="D148" s="330">
        <v>0.6111111111111112</v>
      </c>
      <c r="E148" s="245" t="s">
        <v>1098</v>
      </c>
      <c r="F148" s="162">
        <v>7.03005836729378E14</v>
      </c>
      <c r="G148" s="161" t="s">
        <v>1099</v>
      </c>
      <c r="H148" s="163">
        <v>26103.0</v>
      </c>
      <c r="I148" s="41" t="s">
        <v>183</v>
      </c>
      <c r="J148" s="42">
        <v>1.19833028E10</v>
      </c>
      <c r="K148" s="42"/>
      <c r="R148" s="67"/>
    </row>
    <row r="149">
      <c r="A149" s="12" t="s">
        <v>16</v>
      </c>
      <c r="B149" s="73" t="s">
        <v>259</v>
      </c>
      <c r="C149" s="74" t="s">
        <v>482</v>
      </c>
      <c r="D149" s="75">
        <v>0.625</v>
      </c>
      <c r="E149" s="245" t="s">
        <v>1100</v>
      </c>
      <c r="F149" s="162">
        <v>7.08405728584663E14</v>
      </c>
      <c r="G149" s="161" t="s">
        <v>1101</v>
      </c>
      <c r="H149" s="390">
        <v>29922.0</v>
      </c>
      <c r="I149" s="41" t="s">
        <v>183</v>
      </c>
      <c r="J149" s="162">
        <v>9.30168441E8</v>
      </c>
      <c r="K149" s="238"/>
      <c r="R149" s="67"/>
    </row>
    <row r="150">
      <c r="A150" s="12" t="s">
        <v>17</v>
      </c>
      <c r="B150" s="167" t="s">
        <v>324</v>
      </c>
      <c r="C150" s="74" t="s">
        <v>482</v>
      </c>
      <c r="D150" s="330">
        <v>0.6388888888888888</v>
      </c>
      <c r="E150" s="245" t="s">
        <v>1102</v>
      </c>
      <c r="F150" s="162">
        <v>7.00006152062904E14</v>
      </c>
      <c r="G150" s="161" t="s">
        <v>1103</v>
      </c>
      <c r="H150" s="163">
        <v>26037.0</v>
      </c>
      <c r="I150" s="41" t="s">
        <v>183</v>
      </c>
      <c r="J150" s="42" t="s">
        <v>1104</v>
      </c>
      <c r="K150" s="42" t="s">
        <v>1105</v>
      </c>
      <c r="R150" s="67"/>
    </row>
    <row r="151">
      <c r="A151" s="12" t="s">
        <v>85</v>
      </c>
      <c r="B151" s="73"/>
      <c r="C151" s="74" t="s">
        <v>482</v>
      </c>
      <c r="D151" s="75">
        <v>0.6527777777777778</v>
      </c>
      <c r="E151" s="331"/>
      <c r="F151" s="228"/>
      <c r="G151" s="227"/>
      <c r="H151" s="333"/>
      <c r="I151" s="41"/>
      <c r="J151" s="232"/>
      <c r="K151" s="42"/>
      <c r="R151" s="67"/>
      <c r="V151" s="336"/>
    </row>
    <row r="152">
      <c r="A152" s="12" t="s">
        <v>87</v>
      </c>
      <c r="B152" s="73"/>
      <c r="C152" s="74" t="s">
        <v>482</v>
      </c>
      <c r="D152" s="330">
        <v>0.6666666666666666</v>
      </c>
      <c r="E152" s="245"/>
      <c r="F152" s="162"/>
      <c r="G152" s="387"/>
      <c r="H152" s="166"/>
      <c r="I152" s="41"/>
      <c r="J152" s="42"/>
      <c r="K152" s="42"/>
      <c r="R152" s="67"/>
    </row>
    <row r="153">
      <c r="A153" s="12" t="s">
        <v>90</v>
      </c>
      <c r="B153" s="73"/>
      <c r="C153" s="74" t="s">
        <v>482</v>
      </c>
      <c r="D153" s="75">
        <v>0.6805555555555556</v>
      </c>
      <c r="E153" s="295"/>
      <c r="F153" s="133"/>
      <c r="G153" s="387"/>
      <c r="H153" s="166"/>
      <c r="I153" s="41"/>
      <c r="J153" s="42"/>
      <c r="K153" s="42"/>
      <c r="R153" s="67"/>
    </row>
    <row r="154">
      <c r="A154" s="12" t="s">
        <v>93</v>
      </c>
      <c r="B154" s="73"/>
      <c r="C154" s="74" t="s">
        <v>482</v>
      </c>
      <c r="D154" s="330">
        <v>0.6944444444444444</v>
      </c>
      <c r="E154" s="295"/>
      <c r="F154" s="133"/>
      <c r="G154" s="387"/>
      <c r="H154" s="166"/>
      <c r="I154" s="41"/>
      <c r="J154" s="42"/>
      <c r="K154" s="42"/>
      <c r="R154" s="67"/>
    </row>
    <row r="155">
      <c r="J155" s="67"/>
      <c r="K155" s="67"/>
      <c r="R155" s="67"/>
    </row>
    <row r="156">
      <c r="J156" s="67"/>
      <c r="K156" s="67"/>
      <c r="R156" s="67"/>
    </row>
    <row r="157">
      <c r="J157" s="67"/>
      <c r="K157" s="67"/>
      <c r="R157" s="67"/>
    </row>
    <row r="158">
      <c r="A158" s="23" t="s">
        <v>456</v>
      </c>
      <c r="B158" s="2"/>
      <c r="C158" s="2"/>
      <c r="D158" s="2"/>
      <c r="E158" s="2"/>
      <c r="F158" s="2"/>
      <c r="G158" s="2"/>
      <c r="H158" s="2"/>
      <c r="I158" s="2"/>
      <c r="J158" s="2"/>
      <c r="K158" s="3"/>
      <c r="R158" s="67"/>
    </row>
    <row r="159">
      <c r="A159" s="263" t="s">
        <v>1106</v>
      </c>
      <c r="B159" s="2"/>
      <c r="C159" s="2"/>
      <c r="D159" s="2"/>
      <c r="E159" s="2"/>
      <c r="F159" s="2"/>
      <c r="G159" s="2"/>
      <c r="H159" s="2"/>
      <c r="I159" s="2"/>
      <c r="J159" s="2"/>
      <c r="K159" s="3"/>
      <c r="R159" s="67"/>
    </row>
    <row r="160">
      <c r="A160" s="25"/>
      <c r="B160" s="26" t="s">
        <v>3</v>
      </c>
      <c r="C160" s="27" t="s">
        <v>2</v>
      </c>
      <c r="D160" s="28" t="s">
        <v>5</v>
      </c>
      <c r="E160" s="32" t="s">
        <v>19</v>
      </c>
      <c r="F160" s="28" t="s">
        <v>6</v>
      </c>
      <c r="G160" s="264" t="s">
        <v>7</v>
      </c>
      <c r="H160" s="30" t="s">
        <v>8</v>
      </c>
      <c r="I160" s="31" t="s">
        <v>20</v>
      </c>
      <c r="J160" s="32" t="s">
        <v>21</v>
      </c>
      <c r="K160" s="32" t="s">
        <v>22</v>
      </c>
      <c r="R160" s="67"/>
    </row>
    <row r="161">
      <c r="A161" s="12" t="s">
        <v>10</v>
      </c>
      <c r="B161" s="73" t="s">
        <v>1079</v>
      </c>
      <c r="C161" s="74" t="s">
        <v>518</v>
      </c>
      <c r="D161" s="75">
        <v>0.5416666666666666</v>
      </c>
      <c r="E161" s="241" t="s">
        <v>1107</v>
      </c>
      <c r="F161" s="185">
        <v>8.01440463579432E14</v>
      </c>
      <c r="G161" s="105" t="s">
        <v>1108</v>
      </c>
      <c r="H161" s="83">
        <v>34695.0</v>
      </c>
      <c r="I161" s="34" t="s">
        <v>183</v>
      </c>
      <c r="J161" s="102"/>
      <c r="K161" s="102"/>
      <c r="R161" s="67"/>
    </row>
    <row r="162">
      <c r="A162" s="12" t="s">
        <v>11</v>
      </c>
      <c r="B162" s="73" t="s">
        <v>929</v>
      </c>
      <c r="C162" s="74" t="s">
        <v>518</v>
      </c>
      <c r="D162" s="75">
        <v>0.5555555555555556</v>
      </c>
      <c r="E162" s="242" t="s">
        <v>1109</v>
      </c>
      <c r="F162" s="185">
        <v>7.0250331931683E14</v>
      </c>
      <c r="G162" s="105" t="s">
        <v>1110</v>
      </c>
      <c r="H162" s="83">
        <v>27377.0</v>
      </c>
      <c r="I162" s="34" t="s">
        <v>183</v>
      </c>
      <c r="J162" s="42">
        <v>1.1945499108E10</v>
      </c>
      <c r="K162" s="42">
        <v>1.158166593E9</v>
      </c>
      <c r="R162" s="67"/>
    </row>
    <row r="163">
      <c r="A163" s="12" t="s">
        <v>12</v>
      </c>
      <c r="B163" s="73" t="s">
        <v>276</v>
      </c>
      <c r="C163" s="74" t="s">
        <v>518</v>
      </c>
      <c r="D163" s="75">
        <v>0.5694444444444444</v>
      </c>
      <c r="E163" s="241" t="s">
        <v>1111</v>
      </c>
      <c r="F163" s="185">
        <v>8.01440401122102E14</v>
      </c>
      <c r="G163" s="105" t="s">
        <v>1112</v>
      </c>
      <c r="H163" s="83">
        <v>19164.0</v>
      </c>
      <c r="I163" s="34" t="s">
        <v>183</v>
      </c>
      <c r="J163" s="102">
        <v>5.827067E7</v>
      </c>
      <c r="K163" s="102"/>
      <c r="R163" s="67"/>
    </row>
    <row r="164">
      <c r="A164" s="12" t="s">
        <v>13</v>
      </c>
      <c r="B164" s="216" t="s">
        <v>399</v>
      </c>
      <c r="C164" s="74" t="s">
        <v>518</v>
      </c>
      <c r="D164" s="75">
        <v>0.5833333333333334</v>
      </c>
      <c r="E164" s="295" t="s">
        <v>1113</v>
      </c>
      <c r="F164" s="185">
        <v>8.98001403073335E14</v>
      </c>
      <c r="G164" s="105" t="s">
        <v>1114</v>
      </c>
      <c r="H164" s="83">
        <v>22601.0</v>
      </c>
      <c r="I164" s="34" t="s">
        <v>183</v>
      </c>
      <c r="J164" s="102">
        <v>1.1966468806E10</v>
      </c>
      <c r="K164" s="102">
        <v>1.1959888038E10</v>
      </c>
      <c r="R164" s="67"/>
    </row>
    <row r="165">
      <c r="A165" s="12" t="s">
        <v>14</v>
      </c>
      <c r="B165" s="73" t="s">
        <v>276</v>
      </c>
      <c r="C165" s="74" t="s">
        <v>518</v>
      </c>
      <c r="D165" s="75">
        <v>0.6111111111111112</v>
      </c>
      <c r="E165" s="241" t="s">
        <v>1115</v>
      </c>
      <c r="F165" s="185">
        <v>8.01440425330295E14</v>
      </c>
      <c r="G165" s="105" t="s">
        <v>1116</v>
      </c>
      <c r="H165" s="83">
        <v>20742.0</v>
      </c>
      <c r="I165" s="34" t="s">
        <v>173</v>
      </c>
      <c r="J165" s="393">
        <v>1.1951643221E10</v>
      </c>
      <c r="K165" s="42"/>
      <c r="R165" s="67"/>
    </row>
    <row r="166">
      <c r="A166" s="12" t="s">
        <v>15</v>
      </c>
      <c r="B166" s="73" t="s">
        <v>929</v>
      </c>
      <c r="C166" s="74" t="s">
        <v>518</v>
      </c>
      <c r="D166" s="75">
        <v>0.6111111111111112</v>
      </c>
      <c r="E166" s="241" t="s">
        <v>1117</v>
      </c>
      <c r="F166" s="185">
        <v>7.01807288524677E14</v>
      </c>
      <c r="G166" s="105" t="s">
        <v>1118</v>
      </c>
      <c r="H166" s="83">
        <v>16163.0</v>
      </c>
      <c r="I166" s="34" t="s">
        <v>183</v>
      </c>
      <c r="J166" s="42">
        <v>1.1982905872E10</v>
      </c>
      <c r="K166" s="42">
        <v>1.1941246771E10</v>
      </c>
      <c r="R166" s="67"/>
    </row>
    <row r="167">
      <c r="A167" s="12" t="s">
        <v>16</v>
      </c>
      <c r="B167" s="73"/>
      <c r="C167" s="74" t="s">
        <v>518</v>
      </c>
      <c r="D167" s="75">
        <v>0.625</v>
      </c>
      <c r="E167" s="324"/>
      <c r="F167" s="185"/>
      <c r="G167" s="105"/>
      <c r="H167" s="83"/>
      <c r="I167" s="41" t="s">
        <v>181</v>
      </c>
      <c r="J167" s="102"/>
      <c r="K167" s="102"/>
      <c r="R167" s="67"/>
    </row>
    <row r="168">
      <c r="A168" s="12" t="s">
        <v>17</v>
      </c>
      <c r="B168" s="73" t="s">
        <v>527</v>
      </c>
      <c r="C168" s="74" t="s">
        <v>518</v>
      </c>
      <c r="D168" s="75">
        <v>0.6388888888888888</v>
      </c>
      <c r="E168" s="241" t="s">
        <v>1119</v>
      </c>
      <c r="F168" s="185">
        <v>7.00008377601804E14</v>
      </c>
      <c r="G168" s="105" t="s">
        <v>1120</v>
      </c>
      <c r="H168" s="83">
        <v>37354.0</v>
      </c>
      <c r="I168" s="34" t="s">
        <v>173</v>
      </c>
      <c r="J168" s="42">
        <v>1.1930286231E10</v>
      </c>
      <c r="K168" s="42"/>
      <c r="R168" s="67"/>
    </row>
    <row r="169">
      <c r="A169" s="12" t="s">
        <v>85</v>
      </c>
      <c r="B169" s="73" t="s">
        <v>281</v>
      </c>
      <c r="C169" s="74" t="s">
        <v>518</v>
      </c>
      <c r="D169" s="75">
        <v>0.6527777777777778</v>
      </c>
      <c r="E169" s="241" t="s">
        <v>1121</v>
      </c>
      <c r="F169" s="185">
        <v>7.04607693674022E14</v>
      </c>
      <c r="G169" s="79" t="s">
        <v>1122</v>
      </c>
      <c r="H169" s="83">
        <v>23660.0</v>
      </c>
      <c r="I169" s="34" t="s">
        <v>173</v>
      </c>
      <c r="J169" s="42">
        <v>1.1961455121E10</v>
      </c>
      <c r="K169" s="42"/>
      <c r="R169" s="67"/>
    </row>
    <row r="170">
      <c r="A170" s="12" t="s">
        <v>87</v>
      </c>
      <c r="B170" s="73" t="s">
        <v>527</v>
      </c>
      <c r="C170" s="74" t="s">
        <v>518</v>
      </c>
      <c r="D170" s="75">
        <v>0.6666666666666666</v>
      </c>
      <c r="E170" s="245" t="s">
        <v>1123</v>
      </c>
      <c r="F170" s="185">
        <v>8.98006171124305E14</v>
      </c>
      <c r="G170" s="105" t="s">
        <v>1124</v>
      </c>
      <c r="H170" s="83">
        <v>37597.0</v>
      </c>
      <c r="I170" s="34" t="s">
        <v>173</v>
      </c>
      <c r="J170" s="42">
        <v>1.198093187E10</v>
      </c>
      <c r="K170" s="136"/>
      <c r="R170" s="67"/>
    </row>
    <row r="171">
      <c r="A171" s="12" t="s">
        <v>90</v>
      </c>
      <c r="B171" s="73"/>
      <c r="C171" s="74" t="s">
        <v>518</v>
      </c>
      <c r="D171" s="75">
        <v>0.6805555555555556</v>
      </c>
      <c r="E171" s="295"/>
      <c r="F171" s="133"/>
      <c r="G171" s="188"/>
      <c r="H171" s="166"/>
      <c r="I171" s="41" t="s">
        <v>181</v>
      </c>
      <c r="J171" s="42"/>
      <c r="K171" s="42"/>
      <c r="R171" s="67"/>
    </row>
    <row r="172">
      <c r="A172" s="12" t="s">
        <v>93</v>
      </c>
      <c r="B172" s="73"/>
      <c r="C172" s="74" t="s">
        <v>518</v>
      </c>
      <c r="D172" s="75">
        <v>0.6944444444444444</v>
      </c>
      <c r="E172" s="295"/>
      <c r="F172" s="133"/>
      <c r="G172" s="188"/>
      <c r="H172" s="166"/>
      <c r="I172" s="41" t="s">
        <v>181</v>
      </c>
      <c r="J172" s="42"/>
      <c r="K172" s="42"/>
      <c r="R172" s="67"/>
    </row>
    <row r="173">
      <c r="J173" s="67"/>
      <c r="K173" s="67"/>
      <c r="R173" s="67"/>
    </row>
    <row r="174">
      <c r="J174" s="67"/>
      <c r="K174" s="67"/>
      <c r="R174" s="67"/>
    </row>
    <row r="175">
      <c r="J175" s="67"/>
      <c r="K175" s="67"/>
      <c r="R175" s="67"/>
    </row>
    <row r="176">
      <c r="J176" s="67"/>
      <c r="K176" s="67"/>
      <c r="R176" s="67"/>
    </row>
    <row r="177">
      <c r="A177" s="23" t="s">
        <v>1125</v>
      </c>
      <c r="B177" s="2"/>
      <c r="C177" s="2"/>
      <c r="D177" s="2"/>
      <c r="E177" s="2"/>
      <c r="F177" s="2"/>
      <c r="G177" s="2"/>
      <c r="H177" s="2"/>
      <c r="I177" s="2"/>
      <c r="J177" s="2"/>
      <c r="K177" s="3"/>
      <c r="R177" s="67"/>
    </row>
    <row r="178">
      <c r="A178" s="263" t="s">
        <v>1126</v>
      </c>
      <c r="B178" s="2"/>
      <c r="C178" s="2"/>
      <c r="D178" s="2"/>
      <c r="E178" s="2"/>
      <c r="F178" s="2"/>
      <c r="G178" s="2"/>
      <c r="H178" s="2"/>
      <c r="I178" s="2"/>
      <c r="J178" s="2"/>
      <c r="K178" s="3"/>
      <c r="R178" s="67"/>
    </row>
    <row r="179">
      <c r="A179" s="25"/>
      <c r="B179" s="26" t="s">
        <v>3</v>
      </c>
      <c r="C179" s="27" t="s">
        <v>2</v>
      </c>
      <c r="D179" s="28" t="s">
        <v>5</v>
      </c>
      <c r="E179" s="32" t="s">
        <v>19</v>
      </c>
      <c r="F179" s="28" t="s">
        <v>6</v>
      </c>
      <c r="G179" s="264" t="s">
        <v>7</v>
      </c>
      <c r="H179" s="30" t="s">
        <v>8</v>
      </c>
      <c r="I179" s="31" t="s">
        <v>20</v>
      </c>
      <c r="J179" s="32" t="s">
        <v>21</v>
      </c>
      <c r="K179" s="32" t="s">
        <v>22</v>
      </c>
      <c r="R179" s="67"/>
    </row>
    <row r="180">
      <c r="A180" s="12" t="s">
        <v>10</v>
      </c>
      <c r="B180" s="73" t="s">
        <v>1055</v>
      </c>
      <c r="C180" s="74" t="s">
        <v>381</v>
      </c>
      <c r="D180" s="75">
        <v>0.5416666666666666</v>
      </c>
      <c r="E180" s="241" t="s">
        <v>1127</v>
      </c>
      <c r="F180" s="84">
        <v>7.0120509499901E14</v>
      </c>
      <c r="G180" s="79" t="s">
        <v>1128</v>
      </c>
      <c r="H180" s="83">
        <v>30522.0</v>
      </c>
      <c r="I180" s="41"/>
      <c r="J180" s="84">
        <v>1.1948079629E10</v>
      </c>
      <c r="K180" s="102"/>
      <c r="L180" s="216" t="s">
        <v>521</v>
      </c>
      <c r="N180" s="268" t="s">
        <v>387</v>
      </c>
      <c r="O180" s="100"/>
      <c r="P180" s="100"/>
      <c r="Q180" s="100"/>
      <c r="R180" s="67"/>
    </row>
    <row r="181">
      <c r="A181" s="12" t="s">
        <v>11</v>
      </c>
      <c r="B181" s="73" t="s">
        <v>1055</v>
      </c>
      <c r="C181" s="74" t="s">
        <v>381</v>
      </c>
      <c r="D181" s="75">
        <v>0.5555555555555556</v>
      </c>
      <c r="E181" s="241" t="s">
        <v>1129</v>
      </c>
      <c r="F181" s="84">
        <v>8.01440437517913E14</v>
      </c>
      <c r="G181" s="312" t="s">
        <v>1130</v>
      </c>
      <c r="H181" s="77">
        <v>24502.0</v>
      </c>
      <c r="I181" s="41"/>
      <c r="J181" s="84">
        <v>1.1979977452E10</v>
      </c>
      <c r="K181" s="42"/>
      <c r="N181" s="270" t="s">
        <v>671</v>
      </c>
      <c r="O181" s="2"/>
      <c r="P181" s="2"/>
      <c r="Q181" s="2"/>
      <c r="R181" s="67"/>
    </row>
    <row r="182">
      <c r="A182" s="12" t="s">
        <v>12</v>
      </c>
      <c r="B182" s="73" t="s">
        <v>1055</v>
      </c>
      <c r="C182" s="74" t="s">
        <v>381</v>
      </c>
      <c r="D182" s="75">
        <v>0.5694444444444444</v>
      </c>
      <c r="E182" s="241" t="s">
        <v>1131</v>
      </c>
      <c r="F182" s="84">
        <v>8.01440463490997E14</v>
      </c>
      <c r="G182" s="79" t="s">
        <v>1132</v>
      </c>
      <c r="H182" s="83">
        <v>35282.0</v>
      </c>
      <c r="I182" s="41"/>
      <c r="J182" s="84">
        <v>1.1963612801E10</v>
      </c>
      <c r="K182" s="102"/>
      <c r="N182" s="271" t="s">
        <v>183</v>
      </c>
      <c r="O182" s="272" t="s">
        <v>195</v>
      </c>
      <c r="P182" s="272" t="s">
        <v>181</v>
      </c>
      <c r="Q182" s="273" t="s">
        <v>173</v>
      </c>
      <c r="R182" s="67"/>
    </row>
    <row r="183">
      <c r="A183" s="12" t="s">
        <v>13</v>
      </c>
      <c r="B183" s="73" t="s">
        <v>1055</v>
      </c>
      <c r="C183" s="74" t="s">
        <v>381</v>
      </c>
      <c r="D183" s="75">
        <v>0.5833333333333334</v>
      </c>
      <c r="E183" s="241" t="s">
        <v>1133</v>
      </c>
      <c r="F183" s="84">
        <v>7.06002315361048E14</v>
      </c>
      <c r="G183" s="327" t="s">
        <v>1134</v>
      </c>
      <c r="H183" s="338">
        <v>28933.0</v>
      </c>
      <c r="I183" s="41"/>
      <c r="J183" s="84">
        <v>1.1996382538E10</v>
      </c>
      <c r="K183" s="102"/>
      <c r="N183" s="275">
        <f t="shared" ref="N183:Q183" si="10">COUNTIFS($I$180:$I$191,N182)</f>
        <v>0</v>
      </c>
      <c r="O183" s="275">
        <f t="shared" si="10"/>
        <v>0</v>
      </c>
      <c r="P183" s="275">
        <f t="shared" si="10"/>
        <v>0</v>
      </c>
      <c r="Q183" s="275">
        <f t="shared" si="10"/>
        <v>0</v>
      </c>
      <c r="R183" s="67"/>
    </row>
    <row r="184">
      <c r="A184" s="12" t="s">
        <v>14</v>
      </c>
      <c r="B184" s="73" t="s">
        <v>1055</v>
      </c>
      <c r="C184" s="74" t="s">
        <v>381</v>
      </c>
      <c r="D184" s="75">
        <v>0.5972222222222222</v>
      </c>
      <c r="E184" s="241" t="s">
        <v>1135</v>
      </c>
      <c r="F184" s="84">
        <v>7.00006713252308E14</v>
      </c>
      <c r="G184" s="340" t="s">
        <v>1136</v>
      </c>
      <c r="H184" s="77">
        <v>25299.0</v>
      </c>
      <c r="I184" s="41"/>
      <c r="J184" s="84">
        <v>1.1997281116E10</v>
      </c>
      <c r="K184" s="42"/>
      <c r="R184" s="67"/>
    </row>
    <row r="185">
      <c r="A185" s="12" t="s">
        <v>15</v>
      </c>
      <c r="B185" s="73" t="s">
        <v>1055</v>
      </c>
      <c r="C185" s="74" t="s">
        <v>381</v>
      </c>
      <c r="D185" s="75">
        <v>0.6111111111111112</v>
      </c>
      <c r="E185" s="241" t="s">
        <v>1137</v>
      </c>
      <c r="F185" s="84">
        <v>7.02501358007434E14</v>
      </c>
      <c r="G185" s="79" t="s">
        <v>1138</v>
      </c>
      <c r="H185" s="83">
        <v>23749.0</v>
      </c>
      <c r="I185" s="41"/>
      <c r="J185" s="84">
        <v>1.1979904043E10</v>
      </c>
      <c r="K185" s="42"/>
      <c r="R185" s="67"/>
    </row>
    <row r="186">
      <c r="A186" s="12" t="s">
        <v>16</v>
      </c>
      <c r="B186" s="73" t="s">
        <v>1055</v>
      </c>
      <c r="C186" s="74" t="s">
        <v>381</v>
      </c>
      <c r="D186" s="75">
        <v>0.625</v>
      </c>
      <c r="E186" s="241" t="s">
        <v>1139</v>
      </c>
      <c r="F186" s="84">
        <v>7.00503960949553E14</v>
      </c>
      <c r="G186" s="79" t="s">
        <v>1140</v>
      </c>
      <c r="H186" s="343">
        <v>31617.0</v>
      </c>
      <c r="I186" s="41"/>
      <c r="J186" s="84">
        <v>1.1980668806E10</v>
      </c>
      <c r="K186" s="102"/>
      <c r="R186" s="67"/>
    </row>
    <row r="187">
      <c r="A187" s="12" t="s">
        <v>17</v>
      </c>
      <c r="B187" s="73" t="s">
        <v>1055</v>
      </c>
      <c r="C187" s="74" t="s">
        <v>381</v>
      </c>
      <c r="D187" s="75">
        <v>0.6388888888888888</v>
      </c>
      <c r="E187" s="241" t="s">
        <v>1141</v>
      </c>
      <c r="F187" s="84">
        <v>8.01440406453972E14</v>
      </c>
      <c r="G187" s="79" t="s">
        <v>1142</v>
      </c>
      <c r="H187" s="83">
        <v>38287.0</v>
      </c>
      <c r="I187" s="41"/>
      <c r="J187" s="84">
        <v>1.1960943148E10</v>
      </c>
      <c r="K187" s="42"/>
      <c r="R187" s="67"/>
    </row>
    <row r="188">
      <c r="A188" s="12" t="s">
        <v>85</v>
      </c>
      <c r="B188" s="73" t="s">
        <v>1055</v>
      </c>
      <c r="C188" s="74" t="s">
        <v>381</v>
      </c>
      <c r="D188" s="75">
        <v>0.6527777777777778</v>
      </c>
      <c r="E188" s="274" t="s">
        <v>1143</v>
      </c>
      <c r="F188" s="84">
        <v>8.01440488013467E14</v>
      </c>
      <c r="G188" s="79" t="s">
        <v>1144</v>
      </c>
      <c r="H188" s="83">
        <v>16728.0</v>
      </c>
      <c r="I188" s="41"/>
      <c r="J188" s="84">
        <v>1.1957452565E10</v>
      </c>
      <c r="K188" s="42"/>
      <c r="L188" s="216" t="s">
        <v>577</v>
      </c>
      <c r="R188" s="67"/>
    </row>
    <row r="189">
      <c r="A189" s="12" t="s">
        <v>87</v>
      </c>
      <c r="B189" s="73" t="s">
        <v>1055</v>
      </c>
      <c r="C189" s="74" t="s">
        <v>381</v>
      </c>
      <c r="D189" s="75">
        <v>0.6666666666666666</v>
      </c>
      <c r="E189" s="245" t="s">
        <v>1145</v>
      </c>
      <c r="F189" s="162">
        <v>7.04005853338568E14</v>
      </c>
      <c r="G189" s="105" t="s">
        <v>1146</v>
      </c>
      <c r="H189" s="166">
        <v>27371.0</v>
      </c>
      <c r="I189" s="41"/>
      <c r="J189" s="84">
        <v>1.1948275621E10</v>
      </c>
      <c r="K189" s="138">
        <v>1.1988667889E10</v>
      </c>
      <c r="R189" s="67"/>
    </row>
    <row r="190">
      <c r="A190" s="12" t="s">
        <v>90</v>
      </c>
      <c r="B190" s="73" t="s">
        <v>1055</v>
      </c>
      <c r="C190" s="74" t="s">
        <v>381</v>
      </c>
      <c r="D190" s="75">
        <v>0.6805555555555556</v>
      </c>
      <c r="E190" s="295" t="s">
        <v>1147</v>
      </c>
      <c r="F190" s="133">
        <v>7.06701553974511E14</v>
      </c>
      <c r="G190" s="105" t="s">
        <v>1148</v>
      </c>
      <c r="H190" s="166">
        <v>25133.0</v>
      </c>
      <c r="I190" s="41"/>
      <c r="J190" s="84">
        <v>1.1954251148E10</v>
      </c>
      <c r="K190" s="42"/>
      <c r="R190" s="67"/>
    </row>
    <row r="191">
      <c r="A191" s="12" t="s">
        <v>93</v>
      </c>
      <c r="B191" s="73" t="s">
        <v>1055</v>
      </c>
      <c r="C191" s="74" t="s">
        <v>381</v>
      </c>
      <c r="D191" s="75">
        <v>0.6944444444444444</v>
      </c>
      <c r="E191" s="295" t="s">
        <v>1149</v>
      </c>
      <c r="F191" s="133">
        <v>7.05000295362052E14</v>
      </c>
      <c r="G191" s="105" t="s">
        <v>1150</v>
      </c>
      <c r="H191" s="166">
        <v>29950.0</v>
      </c>
      <c r="I191" s="41"/>
      <c r="J191" s="84">
        <v>1.1954337245E10</v>
      </c>
      <c r="K191" s="84">
        <v>1.1985371918E10</v>
      </c>
      <c r="R191" s="67"/>
    </row>
    <row r="192">
      <c r="J192" s="67"/>
      <c r="K192" s="67"/>
      <c r="R192" s="67"/>
    </row>
    <row r="193">
      <c r="J193" s="67"/>
      <c r="K193" s="67"/>
      <c r="R193" s="67"/>
    </row>
    <row r="194">
      <c r="A194" s="23" t="s">
        <v>1151</v>
      </c>
      <c r="B194" s="2"/>
      <c r="C194" s="2"/>
      <c r="D194" s="2"/>
      <c r="E194" s="2"/>
      <c r="F194" s="2"/>
      <c r="G194" s="2"/>
      <c r="H194" s="2"/>
      <c r="I194" s="2"/>
      <c r="J194" s="2"/>
      <c r="K194" s="3"/>
      <c r="R194" s="67"/>
    </row>
    <row r="195">
      <c r="A195" s="263" t="s">
        <v>1152</v>
      </c>
      <c r="B195" s="2"/>
      <c r="C195" s="2"/>
      <c r="D195" s="2"/>
      <c r="E195" s="2"/>
      <c r="F195" s="2"/>
      <c r="G195" s="2"/>
      <c r="H195" s="2"/>
      <c r="I195" s="2"/>
      <c r="J195" s="2"/>
      <c r="K195" s="3"/>
      <c r="R195" s="67"/>
    </row>
    <row r="196">
      <c r="A196" s="25"/>
      <c r="B196" s="26" t="s">
        <v>3</v>
      </c>
      <c r="C196" s="27" t="s">
        <v>2</v>
      </c>
      <c r="D196" s="28" t="s">
        <v>5</v>
      </c>
      <c r="E196" s="32" t="s">
        <v>19</v>
      </c>
      <c r="F196" s="28" t="s">
        <v>6</v>
      </c>
      <c r="G196" s="264" t="s">
        <v>7</v>
      </c>
      <c r="H196" s="30" t="s">
        <v>8</v>
      </c>
      <c r="I196" s="31" t="s">
        <v>20</v>
      </c>
      <c r="J196" s="32" t="s">
        <v>21</v>
      </c>
      <c r="K196" s="32" t="s">
        <v>22</v>
      </c>
      <c r="R196" s="67"/>
    </row>
    <row r="197">
      <c r="A197" s="12" t="s">
        <v>10</v>
      </c>
      <c r="B197" s="73" t="s">
        <v>448</v>
      </c>
      <c r="C197" s="74" t="s">
        <v>1153</v>
      </c>
      <c r="D197" s="75">
        <v>0.5416666666666666</v>
      </c>
      <c r="E197" s="394" t="s">
        <v>1154</v>
      </c>
      <c r="F197" s="344">
        <v>7.08404254596061E14</v>
      </c>
      <c r="G197" s="105" t="s">
        <v>1155</v>
      </c>
      <c r="H197" s="345">
        <v>25683.0</v>
      </c>
      <c r="I197" s="41" t="s">
        <v>173</v>
      </c>
      <c r="J197" s="320">
        <v>1.1947375204E10</v>
      </c>
      <c r="K197" s="102"/>
      <c r="N197" s="268" t="s">
        <v>387</v>
      </c>
      <c r="O197" s="100"/>
      <c r="P197" s="100"/>
      <c r="Q197" s="100"/>
      <c r="R197" s="67"/>
    </row>
    <row r="198">
      <c r="A198" s="12" t="s">
        <v>11</v>
      </c>
      <c r="B198" s="73" t="s">
        <v>324</v>
      </c>
      <c r="C198" s="74" t="s">
        <v>1153</v>
      </c>
      <c r="D198" s="75">
        <v>0.5555555555555556</v>
      </c>
      <c r="E198" s="394" t="s">
        <v>1156</v>
      </c>
      <c r="F198" s="344">
        <v>7.00200457542929E14</v>
      </c>
      <c r="G198" s="105" t="s">
        <v>1157</v>
      </c>
      <c r="H198" s="319">
        <v>25108.0</v>
      </c>
      <c r="I198" s="41" t="s">
        <v>183</v>
      </c>
      <c r="J198" s="320">
        <v>1.1949018384E10</v>
      </c>
      <c r="K198" s="42"/>
      <c r="N198" s="270" t="s">
        <v>701</v>
      </c>
      <c r="O198" s="2"/>
      <c r="P198" s="2"/>
      <c r="Q198" s="2"/>
      <c r="R198" s="67"/>
    </row>
    <row r="199">
      <c r="A199" s="12" t="s">
        <v>12</v>
      </c>
      <c r="B199" s="73" t="s">
        <v>448</v>
      </c>
      <c r="C199" s="74" t="s">
        <v>1153</v>
      </c>
      <c r="D199" s="75">
        <v>0.5694444444444444</v>
      </c>
      <c r="E199" s="394" t="s">
        <v>1158</v>
      </c>
      <c r="F199" s="344">
        <v>7.00200992404625E14</v>
      </c>
      <c r="G199" s="105" t="s">
        <v>1159</v>
      </c>
      <c r="H199" s="338">
        <v>30847.0</v>
      </c>
      <c r="I199" s="41" t="s">
        <v>183</v>
      </c>
      <c r="J199" s="320">
        <v>1.1970976545E10</v>
      </c>
      <c r="K199" s="102"/>
      <c r="N199" s="271" t="s">
        <v>183</v>
      </c>
      <c r="O199" s="272" t="s">
        <v>195</v>
      </c>
      <c r="P199" s="272" t="s">
        <v>181</v>
      </c>
      <c r="Q199" s="273" t="s">
        <v>173</v>
      </c>
      <c r="R199" s="67"/>
    </row>
    <row r="200">
      <c r="A200" s="12" t="s">
        <v>13</v>
      </c>
      <c r="B200" s="73" t="s">
        <v>259</v>
      </c>
      <c r="C200" s="74" t="s">
        <v>1153</v>
      </c>
      <c r="D200" s="75">
        <v>0.5833333333333334</v>
      </c>
      <c r="E200" s="394" t="s">
        <v>1160</v>
      </c>
      <c r="F200" s="344">
        <v>7.06704553220218E14</v>
      </c>
      <c r="G200" s="105" t="s">
        <v>1161</v>
      </c>
      <c r="H200" s="345">
        <v>16481.0</v>
      </c>
      <c r="I200" s="41" t="s">
        <v>183</v>
      </c>
      <c r="J200" s="320">
        <v>1.19740131E10</v>
      </c>
      <c r="K200" s="320">
        <v>1.1967078392E10</v>
      </c>
      <c r="N200" s="275">
        <f t="shared" ref="N200:Q200" si="11">COUNTIFS($I$197:$I$208,$N$199)</f>
        <v>9</v>
      </c>
      <c r="O200" s="275">
        <f t="shared" si="11"/>
        <v>9</v>
      </c>
      <c r="P200" s="275">
        <f t="shared" si="11"/>
        <v>9</v>
      </c>
      <c r="Q200" s="275">
        <f t="shared" si="11"/>
        <v>9</v>
      </c>
      <c r="R200" s="67"/>
    </row>
    <row r="201">
      <c r="A201" s="12" t="s">
        <v>14</v>
      </c>
      <c r="B201" s="73" t="s">
        <v>443</v>
      </c>
      <c r="C201" s="74" t="s">
        <v>1153</v>
      </c>
      <c r="D201" s="75">
        <v>0.5972222222222222</v>
      </c>
      <c r="E201" s="394" t="s">
        <v>1162</v>
      </c>
      <c r="F201" s="344">
        <v>7.06002834328149E14</v>
      </c>
      <c r="G201" s="105" t="s">
        <v>1163</v>
      </c>
      <c r="H201" s="319">
        <v>14595.0</v>
      </c>
      <c r="I201" s="41" t="s">
        <v>183</v>
      </c>
      <c r="J201" s="320">
        <v>1.1941972198E10</v>
      </c>
      <c r="K201" s="320">
        <v>1.1942348701E10</v>
      </c>
      <c r="R201" s="67"/>
    </row>
    <row r="202">
      <c r="A202" s="12" t="s">
        <v>15</v>
      </c>
      <c r="B202" s="73" t="s">
        <v>333</v>
      </c>
      <c r="C202" s="74" t="s">
        <v>1153</v>
      </c>
      <c r="D202" s="75">
        <v>0.6111111111111112</v>
      </c>
      <c r="E202" s="394" t="s">
        <v>1164</v>
      </c>
      <c r="F202" s="344">
        <v>7.08608020091887E14</v>
      </c>
      <c r="G202" s="105" t="s">
        <v>1165</v>
      </c>
      <c r="H202" s="338">
        <v>25907.0</v>
      </c>
      <c r="I202" s="41" t="s">
        <v>183</v>
      </c>
      <c r="J202" s="320">
        <v>1.1968905362E10</v>
      </c>
      <c r="K202" s="320"/>
      <c r="R202" s="67"/>
    </row>
    <row r="203">
      <c r="A203" s="12" t="s">
        <v>16</v>
      </c>
      <c r="B203" s="73" t="s">
        <v>443</v>
      </c>
      <c r="C203" s="74" t="s">
        <v>1153</v>
      </c>
      <c r="D203" s="75">
        <v>0.625</v>
      </c>
      <c r="E203" s="394" t="s">
        <v>1166</v>
      </c>
      <c r="F203" s="344">
        <v>7.00504747433554E14</v>
      </c>
      <c r="G203" s="105" t="s">
        <v>1167</v>
      </c>
      <c r="H203" s="345">
        <v>15395.0</v>
      </c>
      <c r="I203" s="41" t="s">
        <v>183</v>
      </c>
      <c r="J203" s="320">
        <v>1.1991712609E10</v>
      </c>
      <c r="K203" s="320">
        <v>1.1918553E10</v>
      </c>
      <c r="R203" s="67"/>
    </row>
    <row r="204">
      <c r="A204" s="12" t="s">
        <v>17</v>
      </c>
      <c r="B204" s="73" t="s">
        <v>324</v>
      </c>
      <c r="C204" s="74" t="s">
        <v>1153</v>
      </c>
      <c r="D204" s="75">
        <v>0.6388888888888888</v>
      </c>
      <c r="E204" s="394" t="s">
        <v>1168</v>
      </c>
      <c r="F204" s="344">
        <v>8.01440409897545E14</v>
      </c>
      <c r="G204" s="105" t="s">
        <v>1169</v>
      </c>
      <c r="H204" s="319">
        <v>29437.0</v>
      </c>
      <c r="I204" s="41" t="s">
        <v>183</v>
      </c>
      <c r="J204" s="320">
        <v>1.1960157738E10</v>
      </c>
      <c r="K204" s="320">
        <v>1.1960157738E10</v>
      </c>
      <c r="R204" s="67"/>
    </row>
    <row r="205">
      <c r="A205" s="12" t="s">
        <v>85</v>
      </c>
      <c r="B205" s="73" t="s">
        <v>274</v>
      </c>
      <c r="C205" s="74" t="s">
        <v>1153</v>
      </c>
      <c r="D205" s="75">
        <v>0.6527777777777778</v>
      </c>
      <c r="E205" s="394" t="s">
        <v>1170</v>
      </c>
      <c r="F205" s="337">
        <v>2.04303306200002E14</v>
      </c>
      <c r="G205" s="105" t="s">
        <v>1171</v>
      </c>
      <c r="H205" s="338">
        <v>15966.0</v>
      </c>
      <c r="I205" s="41" t="s">
        <v>183</v>
      </c>
      <c r="J205" s="320">
        <v>1.1949673384E10</v>
      </c>
      <c r="K205" s="320">
        <v>1.158313955E9</v>
      </c>
      <c r="R205" s="67"/>
    </row>
    <row r="206">
      <c r="A206" s="12" t="s">
        <v>87</v>
      </c>
      <c r="B206" s="73" t="s">
        <v>588</v>
      </c>
      <c r="C206" s="74" t="s">
        <v>1153</v>
      </c>
      <c r="D206" s="75">
        <v>0.6666666666666666</v>
      </c>
      <c r="E206" s="394" t="s">
        <v>1172</v>
      </c>
      <c r="F206" s="344">
        <v>8.01440422924704E14</v>
      </c>
      <c r="G206" s="105" t="s">
        <v>1173</v>
      </c>
      <c r="H206" s="166">
        <v>25826.0</v>
      </c>
      <c r="I206" s="41" t="s">
        <v>173</v>
      </c>
      <c r="J206" s="133">
        <v>1.1985833441E10</v>
      </c>
      <c r="K206" s="42"/>
      <c r="R206" s="67"/>
    </row>
    <row r="207">
      <c r="A207" s="12" t="s">
        <v>90</v>
      </c>
      <c r="B207" s="73"/>
      <c r="C207" s="74" t="s">
        <v>1153</v>
      </c>
      <c r="D207" s="75">
        <v>0.6805555555555556</v>
      </c>
      <c r="E207" s="395"/>
      <c r="F207" s="133"/>
      <c r="G207" s="105"/>
      <c r="H207" s="166"/>
      <c r="I207" s="41" t="s">
        <v>181</v>
      </c>
      <c r="J207" s="42"/>
      <c r="K207" s="42"/>
      <c r="R207" s="67"/>
    </row>
    <row r="208">
      <c r="A208" s="12" t="s">
        <v>93</v>
      </c>
      <c r="B208" s="73" t="s">
        <v>588</v>
      </c>
      <c r="C208" s="74" t="s">
        <v>1153</v>
      </c>
      <c r="D208" s="75">
        <v>0.6944444444444444</v>
      </c>
      <c r="E208" s="394" t="s">
        <v>1174</v>
      </c>
      <c r="F208" s="133">
        <v>7.00006014784904E14</v>
      </c>
      <c r="G208" s="105" t="s">
        <v>1175</v>
      </c>
      <c r="H208" s="166">
        <v>25675.0</v>
      </c>
      <c r="I208" s="41" t="s">
        <v>183</v>
      </c>
      <c r="J208" s="42">
        <v>1.1985833441E10</v>
      </c>
      <c r="K208" s="42"/>
      <c r="R208" s="67"/>
    </row>
    <row r="209">
      <c r="J209" s="67"/>
      <c r="K209" s="67"/>
      <c r="R209" s="67"/>
    </row>
    <row r="210">
      <c r="J210" s="67"/>
      <c r="K210" s="67"/>
      <c r="R210" s="67"/>
    </row>
    <row r="211">
      <c r="A211" s="23" t="s">
        <v>1176</v>
      </c>
      <c r="B211" s="2"/>
      <c r="C211" s="2"/>
      <c r="D211" s="2"/>
      <c r="E211" s="2"/>
      <c r="F211" s="2"/>
      <c r="G211" s="2"/>
      <c r="H211" s="2"/>
      <c r="I211" s="2"/>
      <c r="J211" s="2"/>
      <c r="K211" s="3"/>
      <c r="R211" s="67"/>
    </row>
    <row r="212">
      <c r="A212" s="263" t="s">
        <v>1177</v>
      </c>
      <c r="B212" s="2"/>
      <c r="C212" s="2"/>
      <c r="D212" s="2"/>
      <c r="E212" s="2"/>
      <c r="F212" s="2"/>
      <c r="G212" s="2"/>
      <c r="H212" s="2"/>
      <c r="I212" s="2"/>
      <c r="J212" s="2"/>
      <c r="K212" s="3"/>
      <c r="R212" s="67"/>
    </row>
    <row r="213">
      <c r="A213" s="25"/>
      <c r="B213" s="26" t="s">
        <v>3</v>
      </c>
      <c r="C213" s="27" t="s">
        <v>2</v>
      </c>
      <c r="D213" s="28" t="s">
        <v>5</v>
      </c>
      <c r="E213" s="32" t="s">
        <v>19</v>
      </c>
      <c r="F213" s="28" t="s">
        <v>6</v>
      </c>
      <c r="G213" s="264" t="s">
        <v>7</v>
      </c>
      <c r="H213" s="30" t="s">
        <v>8</v>
      </c>
      <c r="I213" s="31" t="s">
        <v>20</v>
      </c>
      <c r="J213" s="32" t="s">
        <v>21</v>
      </c>
      <c r="K213" s="32" t="s">
        <v>22</v>
      </c>
      <c r="R213" s="67"/>
    </row>
    <row r="214">
      <c r="A214" s="12" t="s">
        <v>10</v>
      </c>
      <c r="B214" s="73" t="s">
        <v>220</v>
      </c>
      <c r="C214" s="74" t="s">
        <v>1178</v>
      </c>
      <c r="D214" s="75">
        <v>0.3333333333333333</v>
      </c>
      <c r="E214" s="241" t="s">
        <v>1179</v>
      </c>
      <c r="F214" s="162">
        <v>8.01440414441198E14</v>
      </c>
      <c r="G214" s="161" t="s">
        <v>1180</v>
      </c>
      <c r="H214" s="163">
        <v>22867.0</v>
      </c>
      <c r="I214" s="34" t="s">
        <v>183</v>
      </c>
      <c r="J214" s="320">
        <v>1.1961497206E10</v>
      </c>
      <c r="K214" s="320">
        <v>1.1957297118E10</v>
      </c>
      <c r="N214" s="268" t="s">
        <v>387</v>
      </c>
      <c r="O214" s="100"/>
      <c r="P214" s="100"/>
      <c r="Q214" s="100"/>
      <c r="R214" s="67"/>
    </row>
    <row r="215">
      <c r="A215" s="12" t="s">
        <v>11</v>
      </c>
      <c r="B215" s="73" t="s">
        <v>220</v>
      </c>
      <c r="C215" s="74" t="s">
        <v>1178</v>
      </c>
      <c r="D215" s="75">
        <v>0.3472222222222222</v>
      </c>
      <c r="E215" s="242" t="s">
        <v>1181</v>
      </c>
      <c r="F215" s="185">
        <v>7.04802534306243E14</v>
      </c>
      <c r="G215" s="203" t="s">
        <v>1182</v>
      </c>
      <c r="H215" s="77">
        <v>21244.0</v>
      </c>
      <c r="I215" s="34" t="s">
        <v>183</v>
      </c>
      <c r="J215" s="320">
        <v>1.1976542176E10</v>
      </c>
      <c r="K215" s="320">
        <v>1.1992485719E10</v>
      </c>
      <c r="N215" s="270" t="s">
        <v>734</v>
      </c>
      <c r="O215" s="2"/>
      <c r="P215" s="2"/>
      <c r="Q215" s="2"/>
      <c r="R215" s="67"/>
    </row>
    <row r="216">
      <c r="A216" s="12" t="s">
        <v>12</v>
      </c>
      <c r="B216" s="73" t="s">
        <v>220</v>
      </c>
      <c r="C216" s="74" t="s">
        <v>1178</v>
      </c>
      <c r="D216" s="75">
        <v>0.3611111111111111</v>
      </c>
      <c r="E216" s="241" t="s">
        <v>1183</v>
      </c>
      <c r="F216" s="162">
        <v>7.00207939547928E14</v>
      </c>
      <c r="G216" s="161" t="s">
        <v>1184</v>
      </c>
      <c r="H216" s="163">
        <v>27426.0</v>
      </c>
      <c r="I216" s="34" t="s">
        <v>195</v>
      </c>
      <c r="J216" s="320">
        <v>1.1948107713E10</v>
      </c>
      <c r="K216" s="320">
        <v>1.1989969291E10</v>
      </c>
      <c r="N216" s="271" t="s">
        <v>183</v>
      </c>
      <c r="O216" s="272" t="s">
        <v>195</v>
      </c>
      <c r="P216" s="272" t="s">
        <v>181</v>
      </c>
      <c r="Q216" s="273" t="s">
        <v>173</v>
      </c>
      <c r="R216" s="67"/>
    </row>
    <row r="217">
      <c r="A217" s="12" t="s">
        <v>13</v>
      </c>
      <c r="B217" s="73" t="s">
        <v>220</v>
      </c>
      <c r="C217" s="74" t="s">
        <v>1178</v>
      </c>
      <c r="D217" s="75">
        <v>0.375</v>
      </c>
      <c r="E217" s="241" t="s">
        <v>1185</v>
      </c>
      <c r="F217" s="162">
        <v>7.0420777355428E14</v>
      </c>
      <c r="G217" s="161" t="s">
        <v>1186</v>
      </c>
      <c r="H217" s="163">
        <v>21252.0</v>
      </c>
      <c r="I217" s="34" t="s">
        <v>183</v>
      </c>
      <c r="J217" s="320">
        <v>1.19499185E10</v>
      </c>
      <c r="K217" s="320">
        <v>1.1949078739E10</v>
      </c>
      <c r="N217" s="275">
        <f t="shared" ref="N217:Q217" si="12">COUNTIFS($I$214:$I$225,$N$216)</f>
        <v>10</v>
      </c>
      <c r="O217" s="275">
        <f t="shared" si="12"/>
        <v>10</v>
      </c>
      <c r="P217" s="275">
        <f t="shared" si="12"/>
        <v>10</v>
      </c>
      <c r="Q217" s="275">
        <f t="shared" si="12"/>
        <v>10</v>
      </c>
      <c r="R217" s="67"/>
    </row>
    <row r="218">
      <c r="A218" s="12" t="s">
        <v>14</v>
      </c>
      <c r="B218" s="73" t="s">
        <v>220</v>
      </c>
      <c r="C218" s="74" t="s">
        <v>1178</v>
      </c>
      <c r="D218" s="75">
        <v>0.3888888888888889</v>
      </c>
      <c r="E218" s="278" t="s">
        <v>1187</v>
      </c>
      <c r="F218" s="202">
        <v>7.08203659519241E14</v>
      </c>
      <c r="G218" s="346" t="s">
        <v>1188</v>
      </c>
      <c r="H218" s="163">
        <v>18395.0</v>
      </c>
      <c r="I218" s="34" t="s">
        <v>183</v>
      </c>
      <c r="J218" s="320">
        <v>1.1953964092E10</v>
      </c>
      <c r="K218" s="320"/>
      <c r="L218" s="216" t="s">
        <v>521</v>
      </c>
      <c r="R218" s="67"/>
    </row>
    <row r="219">
      <c r="A219" s="12" t="s">
        <v>15</v>
      </c>
      <c r="B219" s="73" t="s">
        <v>220</v>
      </c>
      <c r="C219" s="74" t="s">
        <v>1178</v>
      </c>
      <c r="D219" s="75">
        <v>0.4027777777777778</v>
      </c>
      <c r="E219" s="241" t="s">
        <v>1189</v>
      </c>
      <c r="F219" s="162">
        <v>7.02607787085946E14</v>
      </c>
      <c r="G219" s="161" t="s">
        <v>1190</v>
      </c>
      <c r="H219" s="163">
        <v>29950.0</v>
      </c>
      <c r="I219" s="34" t="s">
        <v>183</v>
      </c>
      <c r="J219" s="320">
        <v>1.196196629E10</v>
      </c>
      <c r="K219" s="320"/>
      <c r="R219" s="67"/>
    </row>
    <row r="220" ht="16.5" customHeight="1">
      <c r="A220" s="12" t="s">
        <v>16</v>
      </c>
      <c r="B220" s="73" t="s">
        <v>220</v>
      </c>
      <c r="C220" s="74" t="s">
        <v>1178</v>
      </c>
      <c r="D220" s="75">
        <v>0.4166666666666667</v>
      </c>
      <c r="E220" s="241" t="s">
        <v>1191</v>
      </c>
      <c r="F220" s="162">
        <v>7.0420952947889E14</v>
      </c>
      <c r="G220" s="161" t="s">
        <v>1192</v>
      </c>
      <c r="H220" s="163">
        <v>17562.0</v>
      </c>
      <c r="I220" s="34" t="s">
        <v>183</v>
      </c>
      <c r="J220" s="320">
        <v>1.195271799E10</v>
      </c>
      <c r="K220" s="320">
        <v>1.1957082197E10</v>
      </c>
      <c r="R220" s="67"/>
    </row>
    <row r="221">
      <c r="A221" s="12" t="s">
        <v>17</v>
      </c>
      <c r="B221" s="73" t="s">
        <v>220</v>
      </c>
      <c r="C221" s="74" t="s">
        <v>1178</v>
      </c>
      <c r="D221" s="75">
        <v>0.4305555555555556</v>
      </c>
      <c r="E221" s="241" t="s">
        <v>1193</v>
      </c>
      <c r="F221" s="162">
        <v>7.000095521099E14</v>
      </c>
      <c r="G221" s="161" t="s">
        <v>1194</v>
      </c>
      <c r="H221" s="163">
        <v>13383.0</v>
      </c>
      <c r="I221" s="34" t="s">
        <v>183</v>
      </c>
      <c r="J221" s="320">
        <v>1.1987107717E10</v>
      </c>
      <c r="K221" s="320">
        <v>1.1997470016E10</v>
      </c>
      <c r="R221" s="67"/>
    </row>
    <row r="222">
      <c r="A222" s="12" t="s">
        <v>85</v>
      </c>
      <c r="B222" s="73" t="s">
        <v>220</v>
      </c>
      <c r="C222" s="74" t="s">
        <v>1178</v>
      </c>
      <c r="D222" s="75">
        <v>0.4444444444444444</v>
      </c>
      <c r="E222" s="241" t="s">
        <v>1195</v>
      </c>
      <c r="F222" s="162">
        <v>7.0920524012183E14</v>
      </c>
      <c r="G222" s="161" t="s">
        <v>1196</v>
      </c>
      <c r="H222" s="163">
        <v>24382.0</v>
      </c>
      <c r="I222" s="34" t="s">
        <v>195</v>
      </c>
      <c r="J222" s="320">
        <v>1.1960517925E10</v>
      </c>
      <c r="K222" s="320">
        <v>1.1949578142E10</v>
      </c>
      <c r="R222" s="67"/>
    </row>
    <row r="223">
      <c r="A223" s="12" t="s">
        <v>87</v>
      </c>
      <c r="B223" s="73" t="s">
        <v>220</v>
      </c>
      <c r="C223" s="74" t="s">
        <v>1178</v>
      </c>
      <c r="D223" s="75">
        <v>0.4583333333333333</v>
      </c>
      <c r="E223" s="245" t="s">
        <v>1197</v>
      </c>
      <c r="F223" s="162">
        <v>1.20168795900004E14</v>
      </c>
      <c r="G223" s="161" t="s">
        <v>1198</v>
      </c>
      <c r="H223" s="163">
        <v>20775.0</v>
      </c>
      <c r="I223" s="34" t="s">
        <v>183</v>
      </c>
      <c r="J223" s="320">
        <v>1.1958394218E10</v>
      </c>
      <c r="K223" s="42"/>
      <c r="R223" s="67"/>
    </row>
    <row r="224">
      <c r="A224" s="12" t="s">
        <v>90</v>
      </c>
      <c r="B224" s="73" t="s">
        <v>220</v>
      </c>
      <c r="C224" s="74" t="s">
        <v>1178</v>
      </c>
      <c r="D224" s="75">
        <v>0.4722222222222222</v>
      </c>
      <c r="E224" s="295" t="s">
        <v>1199</v>
      </c>
      <c r="F224" s="162">
        <v>8.01440490689464E14</v>
      </c>
      <c r="G224" s="161" t="s">
        <v>1200</v>
      </c>
      <c r="H224" s="163">
        <v>21325.0</v>
      </c>
      <c r="I224" s="34" t="s">
        <v>183</v>
      </c>
      <c r="J224" s="320">
        <v>1.1998152101E10</v>
      </c>
      <c r="K224" s="42"/>
      <c r="R224" s="67"/>
    </row>
    <row r="225">
      <c r="A225" s="12" t="s">
        <v>93</v>
      </c>
      <c r="B225" s="73" t="s">
        <v>220</v>
      </c>
      <c r="C225" s="74" t="s">
        <v>1178</v>
      </c>
      <c r="D225" s="75">
        <v>0.4861111111111111</v>
      </c>
      <c r="E225" s="295" t="s">
        <v>1201</v>
      </c>
      <c r="F225" s="162">
        <v>7.0050991293225E14</v>
      </c>
      <c r="G225" s="161" t="s">
        <v>1202</v>
      </c>
      <c r="H225" s="163">
        <v>21831.0</v>
      </c>
      <c r="I225" s="34" t="s">
        <v>183</v>
      </c>
      <c r="J225" s="320">
        <v>1.1990144493E10</v>
      </c>
      <c r="K225" s="42"/>
      <c r="R225" s="67"/>
    </row>
    <row r="226">
      <c r="J226" s="67"/>
      <c r="K226" s="67"/>
      <c r="R226" s="67"/>
    </row>
    <row r="227">
      <c r="J227" s="67"/>
      <c r="K227" s="67"/>
      <c r="R227" s="67"/>
    </row>
    <row r="228">
      <c r="A228" s="23" t="s">
        <v>1203</v>
      </c>
      <c r="B228" s="2"/>
      <c r="C228" s="2"/>
      <c r="D228" s="2"/>
      <c r="E228" s="2"/>
      <c r="F228" s="2"/>
      <c r="G228" s="2"/>
      <c r="H228" s="2"/>
      <c r="I228" s="2"/>
      <c r="J228" s="2"/>
      <c r="K228" s="3"/>
      <c r="R228" s="67"/>
    </row>
    <row r="229">
      <c r="A229" s="263" t="s">
        <v>1204</v>
      </c>
      <c r="B229" s="2"/>
      <c r="C229" s="2"/>
      <c r="D229" s="2"/>
      <c r="E229" s="2"/>
      <c r="F229" s="2"/>
      <c r="G229" s="2"/>
      <c r="H229" s="2"/>
      <c r="I229" s="2"/>
      <c r="J229" s="2"/>
      <c r="K229" s="3"/>
      <c r="R229" s="67"/>
    </row>
    <row r="230">
      <c r="A230" s="25"/>
      <c r="B230" s="26" t="s">
        <v>3</v>
      </c>
      <c r="C230" s="27" t="s">
        <v>2</v>
      </c>
      <c r="D230" s="28" t="s">
        <v>5</v>
      </c>
      <c r="E230" s="32" t="s">
        <v>19</v>
      </c>
      <c r="F230" s="28" t="s">
        <v>6</v>
      </c>
      <c r="G230" s="264" t="s">
        <v>7</v>
      </c>
      <c r="H230" s="30" t="s">
        <v>8</v>
      </c>
      <c r="I230" s="31" t="s">
        <v>20</v>
      </c>
      <c r="J230" s="32" t="s">
        <v>21</v>
      </c>
      <c r="K230" s="32" t="s">
        <v>22</v>
      </c>
      <c r="R230" s="67"/>
    </row>
    <row r="231">
      <c r="A231" s="12" t="s">
        <v>10</v>
      </c>
      <c r="B231" s="73" t="s">
        <v>193</v>
      </c>
      <c r="C231" s="74" t="s">
        <v>1205</v>
      </c>
      <c r="D231" s="75">
        <v>0.5416666666666666</v>
      </c>
      <c r="E231" s="241" t="s">
        <v>1206</v>
      </c>
      <c r="F231" s="84">
        <v>1.24255329100005E14</v>
      </c>
      <c r="G231" s="79" t="s">
        <v>1207</v>
      </c>
      <c r="H231" s="83">
        <v>27726.0</v>
      </c>
      <c r="I231" s="41" t="s">
        <v>183</v>
      </c>
      <c r="J231" s="102"/>
      <c r="K231" s="102"/>
      <c r="N231" s="268" t="s">
        <v>387</v>
      </c>
      <c r="O231" s="100"/>
      <c r="P231" s="100"/>
      <c r="Q231" s="100"/>
      <c r="R231" s="67"/>
    </row>
    <row r="232">
      <c r="A232" s="12" t="s">
        <v>11</v>
      </c>
      <c r="B232" s="73" t="s">
        <v>448</v>
      </c>
      <c r="C232" s="74" t="s">
        <v>1205</v>
      </c>
      <c r="D232" s="75">
        <v>0.5555555555555556</v>
      </c>
      <c r="E232" s="242" t="s">
        <v>1208</v>
      </c>
      <c r="F232" s="185">
        <v>7.00005404939502E14</v>
      </c>
      <c r="G232" s="312" t="s">
        <v>1209</v>
      </c>
      <c r="H232" s="77">
        <v>19139.0</v>
      </c>
      <c r="I232" s="41" t="s">
        <v>183</v>
      </c>
      <c r="J232" s="42">
        <v>1.1944497195E10</v>
      </c>
      <c r="K232" s="42">
        <v>1.158963582E9</v>
      </c>
      <c r="N232" s="270" t="s">
        <v>764</v>
      </c>
      <c r="O232" s="2"/>
      <c r="P232" s="2"/>
      <c r="Q232" s="2"/>
      <c r="R232" s="67"/>
    </row>
    <row r="233">
      <c r="A233" s="12" t="s">
        <v>12</v>
      </c>
      <c r="B233" s="73" t="s">
        <v>259</v>
      </c>
      <c r="C233" s="74" t="s">
        <v>1205</v>
      </c>
      <c r="D233" s="75">
        <v>0.5694444444444444</v>
      </c>
      <c r="E233" s="241" t="s">
        <v>1210</v>
      </c>
      <c r="F233" s="84">
        <v>7.08505346907578E14</v>
      </c>
      <c r="G233" s="79" t="s">
        <v>1211</v>
      </c>
      <c r="H233" s="83">
        <v>18732.0</v>
      </c>
      <c r="I233" s="41" t="s">
        <v>183</v>
      </c>
      <c r="J233" s="102">
        <v>1.1962298611E10</v>
      </c>
      <c r="K233" s="102">
        <v>1.1966524975E10</v>
      </c>
      <c r="N233" s="271" t="s">
        <v>183</v>
      </c>
      <c r="O233" s="272" t="s">
        <v>195</v>
      </c>
      <c r="P233" s="272" t="s">
        <v>181</v>
      </c>
      <c r="Q233" s="273" t="s">
        <v>173</v>
      </c>
      <c r="R233" s="67"/>
    </row>
    <row r="234">
      <c r="A234" s="12" t="s">
        <v>13</v>
      </c>
      <c r="B234" s="73" t="s">
        <v>448</v>
      </c>
      <c r="C234" s="74" t="s">
        <v>1205</v>
      </c>
      <c r="D234" s="75">
        <v>0.5833333333333334</v>
      </c>
      <c r="E234" s="241" t="s">
        <v>960</v>
      </c>
      <c r="F234" s="84">
        <v>8.3550302345212E14</v>
      </c>
      <c r="G234" s="79" t="s">
        <v>961</v>
      </c>
      <c r="H234" s="83">
        <v>29113.0</v>
      </c>
      <c r="I234" s="41" t="s">
        <v>183</v>
      </c>
      <c r="J234" s="102">
        <v>1.1937326467E10</v>
      </c>
      <c r="K234" s="102">
        <v>1.15895679E9</v>
      </c>
      <c r="N234" s="275">
        <f t="shared" ref="N234:Q234" si="13">COUNTIFS($I$231:$I$242,$N$233)</f>
        <v>11</v>
      </c>
      <c r="O234" s="275">
        <f t="shared" si="13"/>
        <v>11</v>
      </c>
      <c r="P234" s="275">
        <f t="shared" si="13"/>
        <v>11</v>
      </c>
      <c r="Q234" s="275">
        <f t="shared" si="13"/>
        <v>11</v>
      </c>
      <c r="R234" s="67"/>
    </row>
    <row r="235">
      <c r="A235" s="12" t="s">
        <v>14</v>
      </c>
      <c r="B235" s="73" t="s">
        <v>443</v>
      </c>
      <c r="C235" s="74" t="s">
        <v>1205</v>
      </c>
      <c r="D235" s="75">
        <v>0.5972222222222222</v>
      </c>
      <c r="E235" s="278" t="s">
        <v>1212</v>
      </c>
      <c r="F235" s="156">
        <v>7.06803715212825E14</v>
      </c>
      <c r="G235" s="187" t="s">
        <v>1213</v>
      </c>
      <c r="H235" s="77">
        <v>17899.0</v>
      </c>
      <c r="I235" s="41" t="s">
        <v>183</v>
      </c>
      <c r="J235" s="42">
        <v>1.1993842292E10</v>
      </c>
      <c r="K235" s="42">
        <v>1.1988246333E10</v>
      </c>
      <c r="R235" s="67"/>
    </row>
    <row r="236">
      <c r="A236" s="12" t="s">
        <v>15</v>
      </c>
      <c r="B236" s="73" t="s">
        <v>259</v>
      </c>
      <c r="C236" s="74" t="s">
        <v>1205</v>
      </c>
      <c r="D236" s="75">
        <v>0.6111111111111112</v>
      </c>
      <c r="E236" s="241" t="s">
        <v>1058</v>
      </c>
      <c r="F236" s="84">
        <v>8.01440407382777E14</v>
      </c>
      <c r="G236" s="79" t="s">
        <v>1059</v>
      </c>
      <c r="H236" s="83">
        <v>24509.0</v>
      </c>
      <c r="I236" s="41" t="s">
        <v>183</v>
      </c>
      <c r="J236" s="42">
        <v>1.1985108125E10</v>
      </c>
      <c r="K236" s="42">
        <v>1.1951947625E10</v>
      </c>
      <c r="R236" s="67"/>
    </row>
    <row r="237">
      <c r="A237" s="12" t="s">
        <v>16</v>
      </c>
      <c r="B237" s="73" t="s">
        <v>274</v>
      </c>
      <c r="C237" s="74" t="s">
        <v>1205</v>
      </c>
      <c r="D237" s="75">
        <v>0.625</v>
      </c>
      <c r="E237" s="241" t="s">
        <v>1214</v>
      </c>
      <c r="F237" s="84">
        <v>7.04604671906823E14</v>
      </c>
      <c r="G237" s="79" t="s">
        <v>1215</v>
      </c>
      <c r="H237" s="83">
        <v>15430.0</v>
      </c>
      <c r="I237" s="41" t="s">
        <v>183</v>
      </c>
      <c r="J237" s="102">
        <v>1.1981114946E10</v>
      </c>
      <c r="K237" s="102">
        <v>1.15831274E9</v>
      </c>
      <c r="R237" s="67"/>
    </row>
    <row r="238">
      <c r="A238" s="12" t="s">
        <v>17</v>
      </c>
      <c r="B238" s="73" t="s">
        <v>856</v>
      </c>
      <c r="C238" s="74" t="s">
        <v>1205</v>
      </c>
      <c r="D238" s="75">
        <v>0.6388888888888888</v>
      </c>
      <c r="E238" s="241" t="s">
        <v>1216</v>
      </c>
      <c r="F238" s="84">
        <v>2.04299503190006E14</v>
      </c>
      <c r="G238" s="79" t="s">
        <v>1217</v>
      </c>
      <c r="H238" s="83">
        <v>18360.0</v>
      </c>
      <c r="I238" s="41" t="s">
        <v>183</v>
      </c>
      <c r="J238" s="42">
        <v>1.1998753149E10</v>
      </c>
      <c r="K238" s="42"/>
      <c r="R238" s="67"/>
    </row>
    <row r="239">
      <c r="A239" s="12" t="s">
        <v>85</v>
      </c>
      <c r="B239" s="73" t="s">
        <v>443</v>
      </c>
      <c r="C239" s="74" t="s">
        <v>1205</v>
      </c>
      <c r="D239" s="75">
        <v>0.6527777777777778</v>
      </c>
      <c r="E239" s="278" t="s">
        <v>1218</v>
      </c>
      <c r="F239" s="156">
        <v>7.0080692987189E14</v>
      </c>
      <c r="G239" s="79" t="s">
        <v>1219</v>
      </c>
      <c r="H239" s="91">
        <v>27288.0</v>
      </c>
      <c r="I239" s="41" t="s">
        <v>183</v>
      </c>
      <c r="J239" s="42">
        <v>1.1983645382E10</v>
      </c>
      <c r="K239" s="42">
        <v>1.1983668736E10</v>
      </c>
      <c r="L239" s="216" t="s">
        <v>521</v>
      </c>
      <c r="R239" s="67"/>
    </row>
    <row r="240">
      <c r="A240" s="12" t="s">
        <v>87</v>
      </c>
      <c r="B240" s="73" t="s">
        <v>975</v>
      </c>
      <c r="C240" s="74" t="s">
        <v>1205</v>
      </c>
      <c r="D240" s="75">
        <v>0.6666666666666666</v>
      </c>
      <c r="E240" s="245" t="s">
        <v>1220</v>
      </c>
      <c r="F240" s="162">
        <v>7.02303133015018E14</v>
      </c>
      <c r="G240" s="105" t="s">
        <v>1221</v>
      </c>
      <c r="H240" s="166">
        <v>13298.0</v>
      </c>
      <c r="I240" s="41" t="s">
        <v>183</v>
      </c>
      <c r="J240" s="42">
        <v>1.1965008625E10</v>
      </c>
      <c r="K240" s="42"/>
      <c r="R240" s="67"/>
    </row>
    <row r="241">
      <c r="A241" s="12" t="s">
        <v>90</v>
      </c>
      <c r="B241" s="73" t="s">
        <v>975</v>
      </c>
      <c r="C241" s="74" t="s">
        <v>1205</v>
      </c>
      <c r="D241" s="75">
        <v>0.6805555555555556</v>
      </c>
      <c r="E241" s="295" t="s">
        <v>919</v>
      </c>
      <c r="F241" s="133">
        <v>7.06801766211026E14</v>
      </c>
      <c r="G241" s="105" t="s">
        <v>1097</v>
      </c>
      <c r="H241" s="166">
        <v>15079.0</v>
      </c>
      <c r="I241" s="41" t="s">
        <v>183</v>
      </c>
      <c r="J241" s="42">
        <v>1.1911123061E10</v>
      </c>
      <c r="K241" s="42">
        <v>1.1971266379E10</v>
      </c>
      <c r="R241" s="67"/>
    </row>
    <row r="242">
      <c r="A242" s="12" t="s">
        <v>93</v>
      </c>
      <c r="B242" s="73"/>
      <c r="C242" s="74" t="s">
        <v>1205</v>
      </c>
      <c r="D242" s="75">
        <v>0.6944444444444444</v>
      </c>
      <c r="E242" s="295"/>
      <c r="F242" s="133"/>
      <c r="G242" s="90"/>
      <c r="H242" s="166"/>
      <c r="I242" s="41"/>
      <c r="J242" s="42"/>
      <c r="K242" s="42"/>
      <c r="L242" s="216" t="s">
        <v>521</v>
      </c>
      <c r="R242" s="67"/>
    </row>
    <row r="243">
      <c r="J243" s="67"/>
      <c r="K243" s="67"/>
      <c r="R243" s="67"/>
    </row>
    <row r="244">
      <c r="J244" s="67"/>
      <c r="K244" s="67"/>
      <c r="R244" s="67"/>
    </row>
    <row r="245">
      <c r="J245" s="67"/>
      <c r="K245" s="67"/>
      <c r="R245" s="67"/>
    </row>
    <row r="246">
      <c r="A246" s="23" t="s">
        <v>456</v>
      </c>
      <c r="B246" s="2"/>
      <c r="C246" s="2"/>
      <c r="D246" s="2"/>
      <c r="E246" s="2"/>
      <c r="F246" s="2"/>
      <c r="G246" s="2"/>
      <c r="H246" s="2"/>
      <c r="I246" s="2"/>
      <c r="J246" s="2"/>
      <c r="K246" s="3"/>
      <c r="R246" s="67"/>
    </row>
    <row r="247">
      <c r="A247" s="263" t="s">
        <v>1222</v>
      </c>
      <c r="B247" s="2"/>
      <c r="C247" s="2"/>
      <c r="D247" s="2"/>
      <c r="E247" s="2"/>
      <c r="F247" s="2"/>
      <c r="G247" s="2"/>
      <c r="H247" s="2"/>
      <c r="I247" s="2"/>
      <c r="J247" s="2"/>
      <c r="K247" s="3"/>
      <c r="R247" s="67"/>
    </row>
    <row r="248">
      <c r="A248" s="25"/>
      <c r="B248" s="26" t="s">
        <v>3</v>
      </c>
      <c r="C248" s="27" t="s">
        <v>2</v>
      </c>
      <c r="D248" s="28" t="s">
        <v>5</v>
      </c>
      <c r="E248" s="32" t="s">
        <v>19</v>
      </c>
      <c r="F248" s="28" t="s">
        <v>6</v>
      </c>
      <c r="G248" s="264" t="s">
        <v>7</v>
      </c>
      <c r="H248" s="30" t="s">
        <v>8</v>
      </c>
      <c r="I248" s="31" t="s">
        <v>20</v>
      </c>
      <c r="J248" s="32" t="s">
        <v>21</v>
      </c>
      <c r="K248" s="32" t="s">
        <v>22</v>
      </c>
      <c r="R248" s="67"/>
    </row>
    <row r="249">
      <c r="A249" s="12" t="s">
        <v>10</v>
      </c>
      <c r="B249" s="73" t="s">
        <v>220</v>
      </c>
      <c r="C249" s="396" t="s">
        <v>1223</v>
      </c>
      <c r="D249" s="75">
        <v>0.5416666666666666</v>
      </c>
      <c r="E249" s="84">
        <v>1.8671589811E10</v>
      </c>
      <c r="F249" s="84">
        <v>7.00006125903103E14</v>
      </c>
      <c r="G249" s="73" t="s">
        <v>1224</v>
      </c>
      <c r="H249" s="83">
        <v>19580.0</v>
      </c>
      <c r="I249" s="34" t="s">
        <v>183</v>
      </c>
      <c r="J249" s="102">
        <v>1.1954545188E10</v>
      </c>
      <c r="K249" s="102">
        <v>1.1949564834E10</v>
      </c>
      <c r="R249" s="67"/>
    </row>
    <row r="250">
      <c r="A250" s="12" t="s">
        <v>11</v>
      </c>
      <c r="B250" s="73" t="s">
        <v>220</v>
      </c>
      <c r="C250" s="396" t="s">
        <v>1223</v>
      </c>
      <c r="D250" s="75">
        <v>0.5555555555555556</v>
      </c>
      <c r="E250" s="76">
        <v>8.527901803E9</v>
      </c>
      <c r="F250" s="185">
        <v>8.35503006029827E14</v>
      </c>
      <c r="G250" s="73" t="s">
        <v>1225</v>
      </c>
      <c r="H250" s="77">
        <v>26284.0</v>
      </c>
      <c r="I250" s="34" t="s">
        <v>183</v>
      </c>
      <c r="J250" s="42">
        <v>1.1946425941E10</v>
      </c>
      <c r="K250" s="42">
        <v>5.8709404E7</v>
      </c>
      <c r="R250" s="67"/>
    </row>
    <row r="251">
      <c r="A251" s="12" t="s">
        <v>12</v>
      </c>
      <c r="B251" s="73" t="s">
        <v>1226</v>
      </c>
      <c r="C251" s="396" t="s">
        <v>1223</v>
      </c>
      <c r="D251" s="75">
        <v>0.5694444444444444</v>
      </c>
      <c r="E251" s="84">
        <v>1.0561842809E10</v>
      </c>
      <c r="F251" s="84">
        <v>8.98001402026317E14</v>
      </c>
      <c r="G251" s="79" t="s">
        <v>1227</v>
      </c>
      <c r="H251" s="83">
        <v>23364.0</v>
      </c>
      <c r="I251" s="41" t="s">
        <v>173</v>
      </c>
      <c r="J251" s="102">
        <v>1.1948616003E10</v>
      </c>
      <c r="K251" s="102">
        <v>1.1981989226E10</v>
      </c>
      <c r="R251" s="67"/>
    </row>
    <row r="252">
      <c r="A252" s="12" t="s">
        <v>13</v>
      </c>
      <c r="B252" s="73" t="s">
        <v>220</v>
      </c>
      <c r="C252" s="396" t="s">
        <v>1223</v>
      </c>
      <c r="D252" s="75">
        <v>0.5833333333333334</v>
      </c>
      <c r="E252" s="84">
        <v>4.1348168668E10</v>
      </c>
      <c r="F252" s="349">
        <v>7.02806106190465E14</v>
      </c>
      <c r="G252" s="79" t="s">
        <v>1228</v>
      </c>
      <c r="H252" s="83">
        <v>22460.0</v>
      </c>
      <c r="I252" s="34" t="s">
        <v>195</v>
      </c>
      <c r="J252" s="102">
        <v>1.1930160141E10</v>
      </c>
      <c r="K252" s="102">
        <v>1.1968032224E10</v>
      </c>
      <c r="R252" s="67"/>
    </row>
    <row r="253">
      <c r="A253" s="12" t="s">
        <v>14</v>
      </c>
      <c r="B253" s="73" t="s">
        <v>281</v>
      </c>
      <c r="C253" s="396" t="s">
        <v>1223</v>
      </c>
      <c r="D253" s="75">
        <v>0.5972222222222222</v>
      </c>
      <c r="E253" s="197">
        <v>2.4085375504E10</v>
      </c>
      <c r="F253" s="66">
        <v>7.08604507096884E14</v>
      </c>
      <c r="G253" s="59" t="s">
        <v>1085</v>
      </c>
      <c r="H253" s="298">
        <v>17719.0</v>
      </c>
      <c r="I253" s="34" t="s">
        <v>183</v>
      </c>
      <c r="J253" s="42">
        <v>1.1981421454E10</v>
      </c>
      <c r="K253" s="42"/>
      <c r="R253" s="67"/>
    </row>
    <row r="254">
      <c r="A254" s="12" t="s">
        <v>15</v>
      </c>
      <c r="B254" s="73" t="s">
        <v>220</v>
      </c>
      <c r="C254" s="396" t="s">
        <v>1223</v>
      </c>
      <c r="D254" s="75">
        <v>0.6111111111111112</v>
      </c>
      <c r="E254" s="84">
        <v>1.0035617802E10</v>
      </c>
      <c r="F254" s="349">
        <v>7.0240957480042E14</v>
      </c>
      <c r="G254" s="79" t="s">
        <v>1229</v>
      </c>
      <c r="H254" s="83">
        <v>24657.0</v>
      </c>
      <c r="I254" s="34" t="s">
        <v>183</v>
      </c>
      <c r="J254" s="42">
        <v>1.1984728472E10</v>
      </c>
      <c r="K254" s="42"/>
      <c r="R254" s="67"/>
    </row>
    <row r="255">
      <c r="A255" s="12" t="s">
        <v>16</v>
      </c>
      <c r="B255" s="73" t="s">
        <v>220</v>
      </c>
      <c r="C255" s="396" t="s">
        <v>1223</v>
      </c>
      <c r="D255" s="75">
        <v>0.625</v>
      </c>
      <c r="E255" s="84">
        <v>3.630111289E10</v>
      </c>
      <c r="F255" s="84">
        <v>8.01440414436364E14</v>
      </c>
      <c r="G255" s="79" t="s">
        <v>1230</v>
      </c>
      <c r="H255" s="83">
        <v>31506.0</v>
      </c>
      <c r="I255" s="34" t="s">
        <v>183</v>
      </c>
      <c r="J255" s="102">
        <v>1.1992922191E10</v>
      </c>
      <c r="K255" s="102"/>
      <c r="P255" s="216" t="s">
        <v>795</v>
      </c>
      <c r="R255" s="67"/>
    </row>
    <row r="256">
      <c r="A256" s="12" t="s">
        <v>17</v>
      </c>
      <c r="B256" s="73" t="s">
        <v>220</v>
      </c>
      <c r="C256" s="396" t="s">
        <v>1223</v>
      </c>
      <c r="D256" s="75">
        <v>0.6388888888888888</v>
      </c>
      <c r="E256" s="84">
        <v>1.025235843E9</v>
      </c>
      <c r="F256" s="84">
        <v>7.02804176548065E14</v>
      </c>
      <c r="G256" s="73" t="s">
        <v>1231</v>
      </c>
      <c r="H256" s="83">
        <v>18545.0</v>
      </c>
      <c r="I256" s="34" t="s">
        <v>183</v>
      </c>
      <c r="J256" s="42">
        <v>1.1977678464E10</v>
      </c>
      <c r="K256" s="42"/>
      <c r="R256" s="67"/>
    </row>
    <row r="257">
      <c r="A257" s="12" t="s">
        <v>85</v>
      </c>
      <c r="B257" s="73" t="s">
        <v>220</v>
      </c>
      <c r="C257" s="396" t="s">
        <v>1223</v>
      </c>
      <c r="D257" s="75">
        <v>0.6527777777777778</v>
      </c>
      <c r="E257" s="278" t="s">
        <v>1232</v>
      </c>
      <c r="F257" s="156">
        <v>7.06201513186169E14</v>
      </c>
      <c r="G257" s="184" t="s">
        <v>1233</v>
      </c>
      <c r="H257" s="397">
        <v>15995.0</v>
      </c>
      <c r="I257" s="34" t="s">
        <v>195</v>
      </c>
      <c r="J257" s="85">
        <v>1.1965779615E10</v>
      </c>
      <c r="K257" s="42">
        <v>1.1982763291E10</v>
      </c>
      <c r="R257" s="67"/>
    </row>
    <row r="258">
      <c r="A258" s="12" t="s">
        <v>87</v>
      </c>
      <c r="B258" s="73" t="s">
        <v>220</v>
      </c>
      <c r="C258" s="396" t="s">
        <v>1223</v>
      </c>
      <c r="D258" s="75">
        <v>0.6666666666666666</v>
      </c>
      <c r="E258" s="162">
        <v>1.2468878E7</v>
      </c>
      <c r="F258" s="162">
        <v>7.03009848782175E14</v>
      </c>
      <c r="G258" s="188" t="s">
        <v>1234</v>
      </c>
      <c r="H258" s="166">
        <v>20637.0</v>
      </c>
      <c r="I258" s="34" t="s">
        <v>183</v>
      </c>
      <c r="J258" s="42">
        <v>1.1958756494E10</v>
      </c>
      <c r="K258" s="42">
        <v>1.158721814E9</v>
      </c>
      <c r="R258" s="67"/>
    </row>
    <row r="259">
      <c r="A259" s="12" t="s">
        <v>90</v>
      </c>
      <c r="B259" s="73" t="s">
        <v>220</v>
      </c>
      <c r="C259" s="396" t="s">
        <v>1223</v>
      </c>
      <c r="D259" s="75">
        <v>0.6805555555555556</v>
      </c>
      <c r="E259" s="133">
        <v>9.9000393868E10</v>
      </c>
      <c r="F259" s="133">
        <v>8.01440405389693E14</v>
      </c>
      <c r="G259" s="188" t="s">
        <v>1235</v>
      </c>
      <c r="H259" s="166">
        <v>19960.0</v>
      </c>
      <c r="I259" s="34" t="s">
        <v>183</v>
      </c>
      <c r="J259" s="42">
        <v>1.1965045146E10</v>
      </c>
      <c r="K259" s="42">
        <v>1.155141807E9</v>
      </c>
      <c r="R259" s="67"/>
    </row>
    <row r="260">
      <c r="A260" s="12" t="s">
        <v>93</v>
      </c>
      <c r="B260" s="73" t="s">
        <v>220</v>
      </c>
      <c r="C260" s="396" t="s">
        <v>1223</v>
      </c>
      <c r="D260" s="75">
        <v>0.6944444444444444</v>
      </c>
      <c r="E260" s="133"/>
      <c r="F260" s="133">
        <v>2.01152801750018E14</v>
      </c>
      <c r="G260" s="188" t="s">
        <v>1236</v>
      </c>
      <c r="H260" s="166">
        <v>25693.0</v>
      </c>
      <c r="I260" s="34" t="s">
        <v>183</v>
      </c>
      <c r="J260" s="42">
        <v>1.1953823567E10</v>
      </c>
      <c r="K260" s="42">
        <v>5.8719886E7</v>
      </c>
      <c r="R260" s="67"/>
    </row>
    <row r="261">
      <c r="J261" s="67"/>
      <c r="K261" s="67"/>
      <c r="R261" s="67"/>
    </row>
    <row r="262">
      <c r="J262" s="67"/>
      <c r="K262" s="67"/>
      <c r="R262" s="67"/>
    </row>
    <row r="263">
      <c r="A263" s="398" t="s">
        <v>456</v>
      </c>
      <c r="B263" s="2"/>
      <c r="C263" s="2"/>
      <c r="D263" s="2"/>
      <c r="E263" s="2"/>
      <c r="F263" s="2"/>
      <c r="G263" s="2"/>
      <c r="H263" s="2"/>
      <c r="I263" s="2"/>
      <c r="J263" s="2"/>
      <c r="K263" s="3"/>
      <c r="R263" s="67"/>
    </row>
    <row r="264">
      <c r="A264" s="263" t="s">
        <v>1237</v>
      </c>
      <c r="B264" s="2"/>
      <c r="C264" s="2"/>
      <c r="D264" s="2"/>
      <c r="E264" s="2"/>
      <c r="F264" s="2"/>
      <c r="G264" s="2"/>
      <c r="H264" s="2"/>
      <c r="I264" s="2"/>
      <c r="J264" s="2"/>
      <c r="K264" s="3"/>
      <c r="R264" s="67"/>
    </row>
    <row r="265">
      <c r="A265" s="25"/>
      <c r="B265" s="26" t="s">
        <v>3</v>
      </c>
      <c r="C265" s="27" t="s">
        <v>2</v>
      </c>
      <c r="D265" s="28" t="s">
        <v>5</v>
      </c>
      <c r="E265" s="32" t="s">
        <v>19</v>
      </c>
      <c r="F265" s="28" t="s">
        <v>6</v>
      </c>
      <c r="G265" s="264" t="s">
        <v>7</v>
      </c>
      <c r="H265" s="30" t="s">
        <v>8</v>
      </c>
      <c r="I265" s="31" t="s">
        <v>20</v>
      </c>
      <c r="J265" s="32" t="s">
        <v>21</v>
      </c>
      <c r="K265" s="32" t="s">
        <v>22</v>
      </c>
      <c r="R265" s="67"/>
    </row>
    <row r="266">
      <c r="A266" s="12" t="s">
        <v>10</v>
      </c>
      <c r="B266" s="73" t="s">
        <v>399</v>
      </c>
      <c r="C266" s="74" t="s">
        <v>381</v>
      </c>
      <c r="D266" s="75">
        <v>0.5416666666666666</v>
      </c>
      <c r="E266" s="84">
        <v>2.6399039851E10</v>
      </c>
      <c r="F266" s="84">
        <v>7.05209481313275E14</v>
      </c>
      <c r="G266" s="79" t="s">
        <v>1238</v>
      </c>
      <c r="H266" s="83">
        <v>19989.0</v>
      </c>
      <c r="I266" s="34" t="s">
        <v>183</v>
      </c>
      <c r="J266" s="102">
        <v>1.1960173884E10</v>
      </c>
      <c r="K266" s="102"/>
      <c r="R266" s="67"/>
    </row>
    <row r="267">
      <c r="A267" s="12" t="s">
        <v>11</v>
      </c>
      <c r="B267" s="73" t="s">
        <v>276</v>
      </c>
      <c r="C267" s="74" t="s">
        <v>381</v>
      </c>
      <c r="D267" s="75">
        <v>0.5555555555555556</v>
      </c>
      <c r="E267" s="84">
        <v>2.3398095844E10</v>
      </c>
      <c r="F267" s="84">
        <v>7.06504364489696E14</v>
      </c>
      <c r="G267" s="79" t="s">
        <v>1239</v>
      </c>
      <c r="H267" s="83">
        <v>28043.0</v>
      </c>
      <c r="I267" s="34" t="s">
        <v>183</v>
      </c>
      <c r="J267" s="102">
        <v>1.1965471448E10</v>
      </c>
      <c r="K267" s="42"/>
      <c r="R267" s="67"/>
    </row>
    <row r="268">
      <c r="A268" s="12" t="s">
        <v>12</v>
      </c>
      <c r="B268" s="73" t="s">
        <v>276</v>
      </c>
      <c r="C268" s="74" t="s">
        <v>381</v>
      </c>
      <c r="D268" s="75">
        <v>0.5694444444444444</v>
      </c>
      <c r="E268" s="84">
        <v>9.4255873534E10</v>
      </c>
      <c r="F268" s="84">
        <v>7.06308744086173E14</v>
      </c>
      <c r="G268" s="79" t="s">
        <v>1240</v>
      </c>
      <c r="H268" s="83">
        <v>18838.0</v>
      </c>
      <c r="I268" s="34" t="s">
        <v>183</v>
      </c>
      <c r="J268" s="102">
        <v>9.58075284E8</v>
      </c>
      <c r="K268" s="102">
        <v>1.1964489816E10</v>
      </c>
      <c r="R268" s="67"/>
    </row>
    <row r="269">
      <c r="A269" s="12" t="s">
        <v>13</v>
      </c>
      <c r="B269" s="73" t="s">
        <v>929</v>
      </c>
      <c r="C269" s="74" t="s">
        <v>381</v>
      </c>
      <c r="D269" s="75">
        <v>0.5833333333333334</v>
      </c>
      <c r="E269" s="84">
        <v>2.2021152855E10</v>
      </c>
      <c r="F269" s="84">
        <v>8.98002347889895E14</v>
      </c>
      <c r="G269" s="79" t="s">
        <v>1241</v>
      </c>
      <c r="H269" s="83">
        <v>17458.0</v>
      </c>
      <c r="I269" s="34" t="s">
        <v>183</v>
      </c>
      <c r="J269" s="102">
        <v>1.1976831375E10</v>
      </c>
      <c r="K269" s="102">
        <v>1.1911217278E10</v>
      </c>
      <c r="R269" s="67"/>
    </row>
    <row r="270">
      <c r="A270" s="12" t="s">
        <v>14</v>
      </c>
      <c r="B270" s="73" t="s">
        <v>668</v>
      </c>
      <c r="C270" s="74" t="s">
        <v>381</v>
      </c>
      <c r="D270" s="75">
        <v>0.5972222222222222</v>
      </c>
      <c r="E270" s="84">
        <v>7.594017803E9</v>
      </c>
      <c r="F270" s="84">
        <v>7.0310589677016E14</v>
      </c>
      <c r="G270" s="79" t="s">
        <v>1242</v>
      </c>
      <c r="H270" s="83">
        <v>19429.0</v>
      </c>
      <c r="I270" s="34" t="s">
        <v>183</v>
      </c>
      <c r="J270" s="102">
        <v>1.1993050173E10</v>
      </c>
      <c r="K270" s="42">
        <v>1.1976924214E10</v>
      </c>
      <c r="R270" s="67"/>
    </row>
    <row r="271">
      <c r="A271" s="12" t="s">
        <v>15</v>
      </c>
      <c r="B271" s="73" t="s">
        <v>281</v>
      </c>
      <c r="C271" s="74" t="s">
        <v>381</v>
      </c>
      <c r="D271" s="75">
        <v>0.6111111111111112</v>
      </c>
      <c r="E271" s="84">
        <v>6.9422885868E10</v>
      </c>
      <c r="F271" s="84">
        <v>8.01440487416681E14</v>
      </c>
      <c r="G271" s="79" t="s">
        <v>1243</v>
      </c>
      <c r="H271" s="83">
        <v>18564.0</v>
      </c>
      <c r="I271" s="34" t="s">
        <v>195</v>
      </c>
      <c r="J271" s="42">
        <v>1.1954753579E10</v>
      </c>
      <c r="K271" s="42">
        <v>1.1989160116E10</v>
      </c>
      <c r="R271" s="67"/>
    </row>
    <row r="272">
      <c r="A272" s="12" t="s">
        <v>16</v>
      </c>
      <c r="B272" s="73" t="s">
        <v>929</v>
      </c>
      <c r="C272" s="74" t="s">
        <v>381</v>
      </c>
      <c r="D272" s="75">
        <v>0.625</v>
      </c>
      <c r="E272" s="84">
        <v>3.76123788E9</v>
      </c>
      <c r="F272" s="84">
        <v>7.02400526742426E14</v>
      </c>
      <c r="G272" s="79" t="s">
        <v>1244</v>
      </c>
      <c r="H272" s="83">
        <v>21303.0</v>
      </c>
      <c r="I272" s="34" t="s">
        <v>195</v>
      </c>
      <c r="J272" s="102">
        <v>1.1977110573E10</v>
      </c>
      <c r="K272" s="102"/>
      <c r="R272" s="67"/>
    </row>
    <row r="273">
      <c r="A273" s="12" t="s">
        <v>17</v>
      </c>
      <c r="B273" s="73" t="s">
        <v>668</v>
      </c>
      <c r="C273" s="74" t="s">
        <v>381</v>
      </c>
      <c r="D273" s="75">
        <v>0.6388888888888888</v>
      </c>
      <c r="E273" s="84">
        <v>9.8643215872E10</v>
      </c>
      <c r="F273" s="84">
        <v>7.00005715859802E14</v>
      </c>
      <c r="G273" s="79" t="s">
        <v>1245</v>
      </c>
      <c r="H273" s="83">
        <v>21491.0</v>
      </c>
      <c r="I273" s="34" t="s">
        <v>183</v>
      </c>
      <c r="J273" s="42">
        <v>1.1957872444E10</v>
      </c>
      <c r="K273" s="42">
        <v>1.158211067E9</v>
      </c>
      <c r="R273" s="67"/>
    </row>
    <row r="274">
      <c r="A274" s="12" t="s">
        <v>85</v>
      </c>
      <c r="B274" s="73"/>
      <c r="C274" s="74" t="s">
        <v>381</v>
      </c>
      <c r="D274" s="75">
        <v>0.6527777777777778</v>
      </c>
      <c r="E274" s="156"/>
      <c r="F274" s="156"/>
      <c r="G274" s="350"/>
      <c r="H274" s="91"/>
      <c r="I274" s="41"/>
      <c r="J274" s="42"/>
      <c r="K274" s="42"/>
      <c r="R274" s="67"/>
    </row>
    <row r="275">
      <c r="A275" s="12" t="s">
        <v>87</v>
      </c>
      <c r="B275" s="73"/>
      <c r="C275" s="74" t="s">
        <v>381</v>
      </c>
      <c r="D275" s="75">
        <v>0.6666666666666666</v>
      </c>
      <c r="E275" s="162"/>
      <c r="F275" s="162"/>
      <c r="G275" s="105"/>
      <c r="H275" s="166"/>
      <c r="I275" s="41"/>
      <c r="J275" s="42"/>
      <c r="K275" s="42"/>
      <c r="R275" s="67"/>
    </row>
    <row r="276">
      <c r="A276" s="12" t="s">
        <v>90</v>
      </c>
      <c r="B276" s="73"/>
      <c r="C276" s="74" t="s">
        <v>381</v>
      </c>
      <c r="D276" s="75">
        <v>0.6805555555555556</v>
      </c>
      <c r="E276" s="133"/>
      <c r="F276" s="133"/>
      <c r="G276" s="105"/>
      <c r="H276" s="166"/>
      <c r="I276" s="41"/>
      <c r="J276" s="42"/>
      <c r="K276" s="42"/>
      <c r="R276" s="67"/>
    </row>
    <row r="277">
      <c r="A277" s="12" t="s">
        <v>93</v>
      </c>
      <c r="B277" s="73"/>
      <c r="C277" s="74" t="s">
        <v>381</v>
      </c>
      <c r="D277" s="75">
        <v>0.6944444444444444</v>
      </c>
      <c r="E277" s="133"/>
      <c r="F277" s="133"/>
      <c r="G277" s="181"/>
      <c r="H277" s="166"/>
      <c r="I277" s="41"/>
      <c r="J277" s="42"/>
      <c r="K277" s="42"/>
      <c r="R277" s="67"/>
    </row>
    <row r="278">
      <c r="J278" s="67"/>
      <c r="K278" s="67"/>
      <c r="R278" s="67"/>
    </row>
    <row r="279">
      <c r="J279" s="67"/>
      <c r="K279" s="67"/>
      <c r="R279" s="67"/>
    </row>
    <row r="280">
      <c r="J280" s="67"/>
      <c r="K280" s="67"/>
      <c r="R280" s="67"/>
    </row>
    <row r="281">
      <c r="J281" s="67"/>
      <c r="K281" s="67"/>
      <c r="R281" s="67"/>
    </row>
    <row r="282">
      <c r="A282" s="23" t="s">
        <v>1246</v>
      </c>
      <c r="B282" s="2"/>
      <c r="C282" s="2"/>
      <c r="D282" s="2"/>
      <c r="E282" s="2"/>
      <c r="F282" s="2"/>
      <c r="G282" s="2"/>
      <c r="H282" s="2"/>
      <c r="I282" s="2"/>
      <c r="J282" s="2"/>
      <c r="K282" s="3"/>
      <c r="R282" s="67"/>
    </row>
    <row r="283">
      <c r="A283" s="263" t="s">
        <v>1237</v>
      </c>
      <c r="B283" s="2"/>
      <c r="C283" s="2"/>
      <c r="D283" s="2"/>
      <c r="E283" s="2"/>
      <c r="F283" s="2"/>
      <c r="G283" s="2"/>
      <c r="H283" s="2"/>
      <c r="I283" s="2"/>
      <c r="J283" s="2"/>
      <c r="K283" s="3"/>
      <c r="R283" s="67"/>
    </row>
    <row r="284">
      <c r="A284" s="25"/>
      <c r="B284" s="26" t="s">
        <v>3</v>
      </c>
      <c r="C284" s="27" t="s">
        <v>2</v>
      </c>
      <c r="D284" s="28" t="s">
        <v>5</v>
      </c>
      <c r="E284" s="32" t="s">
        <v>19</v>
      </c>
      <c r="F284" s="28" t="s">
        <v>6</v>
      </c>
      <c r="G284" s="264" t="s">
        <v>7</v>
      </c>
      <c r="H284" s="30" t="s">
        <v>8</v>
      </c>
      <c r="I284" s="31" t="s">
        <v>20</v>
      </c>
      <c r="J284" s="32" t="s">
        <v>21</v>
      </c>
      <c r="K284" s="32" t="s">
        <v>22</v>
      </c>
      <c r="R284" s="67"/>
    </row>
    <row r="285">
      <c r="A285" s="12" t="s">
        <v>10</v>
      </c>
      <c r="B285" s="73" t="s">
        <v>1247</v>
      </c>
      <c r="C285" s="399" t="s">
        <v>1248</v>
      </c>
      <c r="D285" s="75">
        <v>0.5416666666666666</v>
      </c>
      <c r="E285" s="84">
        <v>2.6237598553E10</v>
      </c>
      <c r="F285" s="84">
        <v>7.00209478090626E14</v>
      </c>
      <c r="G285" s="351" t="s">
        <v>1249</v>
      </c>
      <c r="H285" s="83">
        <v>17925.0</v>
      </c>
      <c r="I285" s="41" t="s">
        <v>183</v>
      </c>
      <c r="J285" s="102">
        <v>1.1957607927E10</v>
      </c>
      <c r="K285" s="102">
        <v>1.194914212E10</v>
      </c>
      <c r="R285" s="67"/>
    </row>
    <row r="286">
      <c r="A286" s="12" t="s">
        <v>11</v>
      </c>
      <c r="B286" s="73" t="s">
        <v>433</v>
      </c>
      <c r="C286" s="399" t="s">
        <v>1248</v>
      </c>
      <c r="D286" s="75">
        <v>0.5555555555555556</v>
      </c>
      <c r="E286" s="76">
        <v>5.7921946453E10</v>
      </c>
      <c r="F286" s="185">
        <v>7.01205026168117E14</v>
      </c>
      <c r="G286" s="203" t="s">
        <v>1250</v>
      </c>
      <c r="H286" s="77">
        <v>16442.0</v>
      </c>
      <c r="I286" s="41" t="s">
        <v>183</v>
      </c>
      <c r="J286" s="42">
        <v>1.1957671039E10</v>
      </c>
      <c r="K286" s="42">
        <v>1.158963193E9</v>
      </c>
      <c r="R286" s="67"/>
    </row>
    <row r="287">
      <c r="A287" s="12" t="s">
        <v>12</v>
      </c>
      <c r="B287" s="301" t="s">
        <v>274</v>
      </c>
      <c r="C287" s="399" t="s">
        <v>1248</v>
      </c>
      <c r="D287" s="75">
        <v>0.5694444444444444</v>
      </c>
      <c r="E287" s="84">
        <v>6.3693615853E10</v>
      </c>
      <c r="F287" s="84">
        <v>7.00009767338807E14</v>
      </c>
      <c r="G287" s="352" t="s">
        <v>1096</v>
      </c>
      <c r="H287" s="83">
        <v>16409.0</v>
      </c>
      <c r="I287" s="41" t="s">
        <v>195</v>
      </c>
      <c r="J287" s="102">
        <v>1.1959947088E10</v>
      </c>
      <c r="K287" s="102">
        <v>5.8348828E7</v>
      </c>
      <c r="R287" s="67"/>
    </row>
    <row r="288">
      <c r="A288" s="12" t="s">
        <v>13</v>
      </c>
      <c r="B288" s="73" t="s">
        <v>588</v>
      </c>
      <c r="C288" s="399" t="s">
        <v>1248</v>
      </c>
      <c r="D288" s="75">
        <v>0.5833333333333334</v>
      </c>
      <c r="E288" s="84">
        <v>3.4408476838E10</v>
      </c>
      <c r="F288" s="84">
        <v>8.01440422924704E14</v>
      </c>
      <c r="G288" s="79" t="s">
        <v>1173</v>
      </c>
      <c r="H288" s="83">
        <v>25826.0</v>
      </c>
      <c r="I288" s="41" t="s">
        <v>183</v>
      </c>
      <c r="J288" s="102">
        <v>1.1985833441E10</v>
      </c>
      <c r="K288" s="102">
        <v>1.1981461925E10</v>
      </c>
      <c r="R288" s="67"/>
    </row>
    <row r="289">
      <c r="A289" s="12" t="s">
        <v>14</v>
      </c>
      <c r="B289" s="73"/>
      <c r="C289" s="399" t="s">
        <v>1248</v>
      </c>
      <c r="D289" s="75">
        <v>0.5972222222222222</v>
      </c>
      <c r="E289" s="156"/>
      <c r="F289" s="156"/>
      <c r="G289" s="353"/>
      <c r="H289" s="77"/>
      <c r="I289" s="41"/>
      <c r="J289" s="42"/>
      <c r="K289" s="42"/>
      <c r="R289" s="67"/>
    </row>
    <row r="290">
      <c r="A290" s="12" t="s">
        <v>15</v>
      </c>
      <c r="B290" s="73" t="s">
        <v>1055</v>
      </c>
      <c r="C290" s="399" t="s">
        <v>1248</v>
      </c>
      <c r="D290" s="75">
        <v>0.6111111111111112</v>
      </c>
      <c r="E290" s="84">
        <v>2.3507029871E10</v>
      </c>
      <c r="F290" s="84">
        <v>8.01440437517913E14</v>
      </c>
      <c r="G290" s="353" t="s">
        <v>1130</v>
      </c>
      <c r="H290" s="83">
        <v>24502.0</v>
      </c>
      <c r="I290" s="41" t="s">
        <v>183</v>
      </c>
      <c r="J290" s="42">
        <v>1.1979977452E10</v>
      </c>
      <c r="K290" s="42">
        <v>1.1948106443E10</v>
      </c>
      <c r="R290" s="67"/>
    </row>
    <row r="291">
      <c r="A291" s="12" t="s">
        <v>16</v>
      </c>
      <c r="B291" s="73" t="s">
        <v>433</v>
      </c>
      <c r="C291" s="399" t="s">
        <v>1248</v>
      </c>
      <c r="D291" s="75">
        <v>0.625</v>
      </c>
      <c r="E291" s="84">
        <v>4.8203799841E10</v>
      </c>
      <c r="F291" s="84">
        <v>8.98000082143813E14</v>
      </c>
      <c r="G291" s="353" t="s">
        <v>142</v>
      </c>
      <c r="H291" s="83">
        <v>35587.0</v>
      </c>
      <c r="I291" s="41" t="s">
        <v>183</v>
      </c>
      <c r="J291" s="102">
        <v>1.1958679154E10</v>
      </c>
      <c r="K291" s="102">
        <v>1.1957220863E10</v>
      </c>
      <c r="R291" s="67"/>
    </row>
    <row r="292">
      <c r="A292" s="12" t="s">
        <v>17</v>
      </c>
      <c r="B292" s="73"/>
      <c r="C292" s="399" t="s">
        <v>1248</v>
      </c>
      <c r="D292" s="75">
        <v>0.6388888888888888</v>
      </c>
      <c r="E292" s="84"/>
      <c r="F292" s="84"/>
      <c r="G292" s="353"/>
      <c r="H292" s="83"/>
      <c r="I292" s="41"/>
      <c r="J292" s="42"/>
      <c r="K292" s="42"/>
      <c r="R292" s="67"/>
    </row>
    <row r="293">
      <c r="A293" s="12" t="s">
        <v>85</v>
      </c>
      <c r="B293" s="73"/>
      <c r="C293" s="399" t="s">
        <v>1248</v>
      </c>
      <c r="D293" s="75">
        <v>0.6527777777777778</v>
      </c>
      <c r="E293" s="156"/>
      <c r="F293" s="156"/>
      <c r="G293" s="353"/>
      <c r="H293" s="91"/>
      <c r="I293" s="41"/>
      <c r="J293" s="42"/>
      <c r="K293" s="42"/>
      <c r="R293" s="67"/>
    </row>
    <row r="294">
      <c r="A294" s="12" t="s">
        <v>87</v>
      </c>
      <c r="B294" s="73"/>
      <c r="C294" s="399" t="s">
        <v>1248</v>
      </c>
      <c r="D294" s="75">
        <v>0.6666666666666666</v>
      </c>
      <c r="E294" s="162"/>
      <c r="F294" s="162"/>
      <c r="G294" s="353"/>
      <c r="H294" s="166"/>
      <c r="I294" s="41"/>
      <c r="J294" s="42"/>
      <c r="K294" s="42"/>
      <c r="R294" s="67"/>
    </row>
    <row r="295">
      <c r="A295" s="12" t="s">
        <v>90</v>
      </c>
      <c r="B295" s="73"/>
      <c r="C295" s="399" t="s">
        <v>1248</v>
      </c>
      <c r="D295" s="75">
        <v>0.6805555555555556</v>
      </c>
      <c r="E295" s="133"/>
      <c r="F295" s="133"/>
      <c r="G295" s="353"/>
      <c r="H295" s="166"/>
      <c r="I295" s="41"/>
      <c r="J295" s="42"/>
      <c r="K295" s="42"/>
      <c r="R295" s="67"/>
    </row>
    <row r="296">
      <c r="A296" s="12" t="s">
        <v>93</v>
      </c>
      <c r="B296" s="73"/>
      <c r="C296" s="399" t="s">
        <v>1248</v>
      </c>
      <c r="D296" s="75">
        <v>0.6944444444444444</v>
      </c>
      <c r="E296" s="133"/>
      <c r="F296" s="133"/>
      <c r="G296" s="353"/>
      <c r="H296" s="166"/>
      <c r="I296" s="41"/>
      <c r="J296" s="42"/>
      <c r="K296" s="42"/>
      <c r="R296" s="67"/>
    </row>
    <row r="297">
      <c r="J297" s="67"/>
      <c r="K297" s="67"/>
      <c r="R297" s="67"/>
    </row>
    <row r="298">
      <c r="J298" s="67"/>
      <c r="K298" s="67"/>
      <c r="R298" s="67"/>
    </row>
    <row r="299">
      <c r="J299" s="67"/>
      <c r="K299" s="67"/>
      <c r="R299" s="67"/>
    </row>
    <row r="300">
      <c r="J300" s="67"/>
      <c r="K300" s="67"/>
      <c r="R300" s="67"/>
    </row>
    <row r="301">
      <c r="A301" s="23" t="s">
        <v>1246</v>
      </c>
      <c r="B301" s="2"/>
      <c r="C301" s="2"/>
      <c r="D301" s="2"/>
      <c r="E301" s="2"/>
      <c r="F301" s="2"/>
      <c r="G301" s="2"/>
      <c r="H301" s="2"/>
      <c r="I301" s="2"/>
      <c r="J301" s="2"/>
      <c r="K301" s="3"/>
      <c r="R301" s="67"/>
    </row>
    <row r="302">
      <c r="A302" s="263" t="s">
        <v>1251</v>
      </c>
      <c r="B302" s="2"/>
      <c r="C302" s="2"/>
      <c r="D302" s="2"/>
      <c r="E302" s="2"/>
      <c r="F302" s="2"/>
      <c r="G302" s="2"/>
      <c r="H302" s="2"/>
      <c r="I302" s="2"/>
      <c r="J302" s="2"/>
      <c r="K302" s="3"/>
      <c r="R302" s="67"/>
    </row>
    <row r="303">
      <c r="A303" s="25"/>
      <c r="B303" s="26" t="s">
        <v>3</v>
      </c>
      <c r="C303" s="27" t="s">
        <v>2</v>
      </c>
      <c r="D303" s="28" t="s">
        <v>5</v>
      </c>
      <c r="E303" s="32" t="s">
        <v>19</v>
      </c>
      <c r="F303" s="28" t="s">
        <v>6</v>
      </c>
      <c r="G303" s="264" t="s">
        <v>7</v>
      </c>
      <c r="H303" s="30" t="s">
        <v>8</v>
      </c>
      <c r="I303" s="31" t="s">
        <v>20</v>
      </c>
      <c r="J303" s="32" t="s">
        <v>21</v>
      </c>
      <c r="K303" s="32" t="s">
        <v>22</v>
      </c>
      <c r="R303" s="67"/>
    </row>
    <row r="304">
      <c r="A304" s="12" t="s">
        <v>13</v>
      </c>
      <c r="B304" s="73" t="s">
        <v>271</v>
      </c>
      <c r="C304" s="399" t="s">
        <v>1153</v>
      </c>
      <c r="D304" s="400">
        <v>0.5416666666666666</v>
      </c>
      <c r="E304" s="84">
        <v>2.3092075862E10</v>
      </c>
      <c r="F304" s="84">
        <v>7.00704970842777E14</v>
      </c>
      <c r="G304" s="351" t="s">
        <v>1252</v>
      </c>
      <c r="H304" s="83">
        <v>13386.0</v>
      </c>
      <c r="I304" s="41" t="s">
        <v>183</v>
      </c>
      <c r="J304" s="102">
        <v>1.1949845044E10</v>
      </c>
      <c r="K304" s="102"/>
      <c r="R304" s="67"/>
    </row>
    <row r="305">
      <c r="A305" s="12" t="s">
        <v>11</v>
      </c>
      <c r="B305" s="73" t="s">
        <v>271</v>
      </c>
      <c r="C305" s="399" t="s">
        <v>1153</v>
      </c>
      <c r="D305" s="400">
        <v>0.5555555555555556</v>
      </c>
      <c r="E305" s="76">
        <v>1.1194589863E10</v>
      </c>
      <c r="F305" s="185">
        <v>7.0250778358624E14</v>
      </c>
      <c r="G305" s="351" t="s">
        <v>1046</v>
      </c>
      <c r="H305" s="83">
        <v>24714.0</v>
      </c>
      <c r="I305" s="41" t="s">
        <v>183</v>
      </c>
      <c r="J305" s="42">
        <v>1.1983616166E10</v>
      </c>
      <c r="K305" s="42">
        <v>1.1980537535E10</v>
      </c>
      <c r="R305" s="67"/>
    </row>
    <row r="306">
      <c r="A306" s="12" t="s">
        <v>12</v>
      </c>
      <c r="B306" s="73" t="s">
        <v>1253</v>
      </c>
      <c r="C306" s="399" t="s">
        <v>1153</v>
      </c>
      <c r="D306" s="400">
        <v>0.5694444444444444</v>
      </c>
      <c r="E306" s="84">
        <v>7.396479894E9</v>
      </c>
      <c r="F306" s="84">
        <v>8.01440407026229E14</v>
      </c>
      <c r="G306" s="351" t="s">
        <v>1254</v>
      </c>
      <c r="H306" s="83">
        <v>23063.0</v>
      </c>
      <c r="I306" s="41" t="s">
        <v>173</v>
      </c>
      <c r="J306" s="102">
        <v>1.1976752184E10</v>
      </c>
      <c r="K306" s="102">
        <v>1.1968166799E10</v>
      </c>
      <c r="R306" s="67"/>
    </row>
    <row r="307">
      <c r="A307" s="12" t="s">
        <v>14</v>
      </c>
      <c r="B307" s="401" t="s">
        <v>69</v>
      </c>
      <c r="C307" s="399" t="s">
        <v>1153</v>
      </c>
      <c r="D307" s="400">
        <v>0.5972222222222222</v>
      </c>
      <c r="E307" s="156">
        <v>2.8393848415E10</v>
      </c>
      <c r="F307" s="156">
        <v>7.04006859561669E14</v>
      </c>
      <c r="G307" s="351" t="s">
        <v>1255</v>
      </c>
      <c r="H307" s="83">
        <v>17448.0</v>
      </c>
      <c r="I307" s="41" t="s">
        <v>183</v>
      </c>
      <c r="J307" s="42">
        <v>1.1952536813E10</v>
      </c>
      <c r="K307" s="42">
        <v>1.1998156068E10</v>
      </c>
      <c r="R307" s="67"/>
    </row>
    <row r="308">
      <c r="A308" s="12" t="s">
        <v>15</v>
      </c>
      <c r="B308" s="73" t="s">
        <v>271</v>
      </c>
      <c r="C308" s="399" t="s">
        <v>1153</v>
      </c>
      <c r="D308" s="400">
        <v>0.6111111111111112</v>
      </c>
      <c r="E308" s="84">
        <v>6.1281875872E10</v>
      </c>
      <c r="F308" s="84">
        <v>7.08909785921117E14</v>
      </c>
      <c r="G308" s="351" t="s">
        <v>1256</v>
      </c>
      <c r="H308" s="83">
        <v>15751.0</v>
      </c>
      <c r="I308" s="41" t="s">
        <v>183</v>
      </c>
      <c r="J308" s="42">
        <v>1.1991856084E10</v>
      </c>
      <c r="K308" s="42">
        <v>1.1970512347E10</v>
      </c>
      <c r="R308" s="67"/>
    </row>
    <row r="309">
      <c r="A309" s="12" t="s">
        <v>16</v>
      </c>
      <c r="B309" s="73" t="s">
        <v>1257</v>
      </c>
      <c r="C309" s="399" t="s">
        <v>1153</v>
      </c>
      <c r="D309" s="400">
        <v>0.625</v>
      </c>
      <c r="E309" s="84">
        <v>2.4750083852E10</v>
      </c>
      <c r="F309" s="84">
        <v>8.01440472223629E14</v>
      </c>
      <c r="G309" s="351" t="s">
        <v>1258</v>
      </c>
      <c r="H309" s="83">
        <v>27502.0</v>
      </c>
      <c r="I309" s="41" t="s">
        <v>183</v>
      </c>
      <c r="J309" s="102">
        <v>1.1953135953E10</v>
      </c>
      <c r="K309" s="102">
        <v>1.198194082E10</v>
      </c>
      <c r="R309" s="67"/>
    </row>
    <row r="310">
      <c r="A310" s="12" t="s">
        <v>17</v>
      </c>
      <c r="B310" s="73" t="s">
        <v>271</v>
      </c>
      <c r="C310" s="399" t="s">
        <v>1153</v>
      </c>
      <c r="D310" s="400">
        <v>0.6388888888888888</v>
      </c>
      <c r="E310" s="84">
        <v>6.1102644404E10</v>
      </c>
      <c r="F310" s="84">
        <v>8.98000293934497E14</v>
      </c>
      <c r="G310" s="351" t="s">
        <v>1259</v>
      </c>
      <c r="H310" s="83">
        <v>19899.0</v>
      </c>
      <c r="I310" s="41" t="s">
        <v>183</v>
      </c>
      <c r="J310" s="42">
        <v>9.76428587E8</v>
      </c>
      <c r="K310" s="42">
        <v>9.65141009E8</v>
      </c>
      <c r="R310" s="67"/>
    </row>
    <row r="311">
      <c r="A311" s="12" t="s">
        <v>10</v>
      </c>
      <c r="B311" s="73" t="s">
        <v>271</v>
      </c>
      <c r="C311" s="399" t="s">
        <v>1153</v>
      </c>
      <c r="D311" s="400">
        <v>0.6527777777777778</v>
      </c>
      <c r="E311" s="84">
        <v>3.2896654615E10</v>
      </c>
      <c r="F311" s="84">
        <v>7.09600670515372E14</v>
      </c>
      <c r="G311" s="351" t="s">
        <v>1260</v>
      </c>
      <c r="H311" s="83">
        <v>20145.0</v>
      </c>
      <c r="I311" s="41" t="s">
        <v>173</v>
      </c>
      <c r="J311" s="102">
        <v>1.1973963991E10</v>
      </c>
      <c r="K311" s="102"/>
      <c r="R311" s="67"/>
    </row>
    <row r="312">
      <c r="A312" s="12" t="s">
        <v>85</v>
      </c>
      <c r="B312" s="73"/>
      <c r="C312" s="399" t="s">
        <v>1153</v>
      </c>
      <c r="D312" s="400">
        <v>0.6527777777777778</v>
      </c>
      <c r="E312" s="156"/>
      <c r="F312" s="156"/>
      <c r="G312" s="351"/>
      <c r="H312" s="83"/>
      <c r="I312" s="41"/>
      <c r="J312" s="42"/>
      <c r="K312" s="42"/>
      <c r="R312" s="67"/>
    </row>
    <row r="313">
      <c r="A313" s="12" t="s">
        <v>87</v>
      </c>
      <c r="B313" s="73"/>
      <c r="C313" s="399" t="s">
        <v>1153</v>
      </c>
      <c r="D313" s="400">
        <v>0.6666666666666666</v>
      </c>
      <c r="E313" s="162"/>
      <c r="F313" s="162"/>
      <c r="G313" s="353"/>
      <c r="H313" s="83"/>
      <c r="I313" s="41"/>
      <c r="J313" s="42"/>
      <c r="K313" s="42"/>
      <c r="R313" s="67"/>
    </row>
    <row r="314">
      <c r="A314" s="12" t="s">
        <v>90</v>
      </c>
      <c r="B314" s="73"/>
      <c r="C314" s="399" t="s">
        <v>1153</v>
      </c>
      <c r="D314" s="400">
        <v>0.6805555555555556</v>
      </c>
      <c r="E314" s="133"/>
      <c r="F314" s="133"/>
      <c r="G314" s="353"/>
      <c r="H314" s="166"/>
      <c r="I314" s="41"/>
      <c r="J314" s="42"/>
      <c r="K314" s="42"/>
      <c r="R314" s="67"/>
    </row>
    <row r="315">
      <c r="A315" s="12" t="s">
        <v>93</v>
      </c>
      <c r="B315" s="73"/>
      <c r="C315" s="399" t="s">
        <v>1153</v>
      </c>
      <c r="D315" s="400">
        <v>0.6944444444444444</v>
      </c>
      <c r="E315" s="133"/>
      <c r="F315" s="133"/>
      <c r="G315" s="353"/>
      <c r="H315" s="166"/>
      <c r="I315" s="41"/>
      <c r="J315" s="42"/>
      <c r="K315" s="42"/>
      <c r="R315" s="67"/>
    </row>
    <row r="316">
      <c r="J316" s="67"/>
      <c r="K316" s="67"/>
      <c r="R316" s="67"/>
    </row>
    <row r="317">
      <c r="J317" s="67"/>
      <c r="K317" s="67"/>
      <c r="R317" s="67"/>
    </row>
    <row r="318">
      <c r="A318" s="23" t="s">
        <v>873</v>
      </c>
      <c r="B318" s="2"/>
      <c r="C318" s="2"/>
      <c r="D318" s="2"/>
      <c r="E318" s="2"/>
      <c r="F318" s="2"/>
      <c r="G318" s="2"/>
      <c r="H318" s="2"/>
      <c r="I318" s="2"/>
      <c r="J318" s="2"/>
      <c r="K318" s="3"/>
      <c r="R318" s="67"/>
    </row>
    <row r="319">
      <c r="A319" s="263" t="s">
        <v>1261</v>
      </c>
      <c r="B319" s="2"/>
      <c r="C319" s="2"/>
      <c r="D319" s="2"/>
      <c r="E319" s="2"/>
      <c r="F319" s="2"/>
      <c r="G319" s="2"/>
      <c r="H319" s="2"/>
      <c r="I319" s="2"/>
      <c r="J319" s="2"/>
      <c r="K319" s="3"/>
      <c r="R319" s="67"/>
    </row>
    <row r="320">
      <c r="A320" s="25"/>
      <c r="B320" s="26" t="s">
        <v>3</v>
      </c>
      <c r="C320" s="27" t="s">
        <v>2</v>
      </c>
      <c r="D320" s="28" t="s">
        <v>5</v>
      </c>
      <c r="E320" s="32" t="s">
        <v>19</v>
      </c>
      <c r="F320" s="28" t="s">
        <v>6</v>
      </c>
      <c r="G320" s="264" t="s">
        <v>7</v>
      </c>
      <c r="H320" s="30" t="s">
        <v>8</v>
      </c>
      <c r="I320" s="31" t="s">
        <v>20</v>
      </c>
      <c r="J320" s="32" t="s">
        <v>21</v>
      </c>
      <c r="K320" s="32" t="s">
        <v>22</v>
      </c>
      <c r="R320" s="67"/>
    </row>
    <row r="321">
      <c r="A321" s="12" t="s">
        <v>10</v>
      </c>
      <c r="B321" s="73"/>
      <c r="C321" s="396" t="s">
        <v>1223</v>
      </c>
      <c r="D321" s="400">
        <v>0.5416666666666666</v>
      </c>
      <c r="E321" s="162"/>
      <c r="F321" s="162"/>
      <c r="G321" s="161"/>
      <c r="H321" s="163"/>
      <c r="I321" s="41"/>
      <c r="J321" s="238"/>
      <c r="K321" s="238"/>
      <c r="R321" s="67"/>
    </row>
    <row r="322">
      <c r="A322" s="12" t="s">
        <v>11</v>
      </c>
      <c r="B322" s="73"/>
      <c r="C322" s="396" t="s">
        <v>1223</v>
      </c>
      <c r="D322" s="400">
        <v>0.5555555555555556</v>
      </c>
      <c r="E322" s="76"/>
      <c r="F322" s="185"/>
      <c r="G322" s="203"/>
      <c r="H322" s="77"/>
      <c r="I322" s="41"/>
      <c r="J322" s="42"/>
      <c r="K322" s="42"/>
      <c r="R322" s="67"/>
    </row>
    <row r="323">
      <c r="A323" s="12" t="s">
        <v>12</v>
      </c>
      <c r="B323" s="73"/>
      <c r="C323" s="396" t="s">
        <v>1223</v>
      </c>
      <c r="D323" s="400">
        <v>0.5694444444444444</v>
      </c>
      <c r="E323" s="162"/>
      <c r="F323" s="162"/>
      <c r="G323" s="161"/>
      <c r="H323" s="163"/>
      <c r="I323" s="41"/>
      <c r="J323" s="238"/>
      <c r="K323" s="238"/>
      <c r="R323" s="67"/>
    </row>
    <row r="324">
      <c r="A324" s="12" t="s">
        <v>13</v>
      </c>
      <c r="B324" s="73" t="s">
        <v>399</v>
      </c>
      <c r="C324" s="396" t="s">
        <v>1223</v>
      </c>
      <c r="D324" s="400">
        <v>0.5833333333333334</v>
      </c>
      <c r="E324" s="162">
        <v>8.438465854E9</v>
      </c>
      <c r="F324" s="162">
        <v>7.0470870778953E14</v>
      </c>
      <c r="G324" s="161" t="s">
        <v>1262</v>
      </c>
      <c r="H324" s="77">
        <v>23873.0</v>
      </c>
      <c r="I324" s="41" t="s">
        <v>173</v>
      </c>
      <c r="J324" s="238">
        <v>1.1918332088E10</v>
      </c>
      <c r="K324" s="238">
        <v>1.1965530767E10</v>
      </c>
      <c r="R324" s="67"/>
    </row>
    <row r="325">
      <c r="A325" s="12" t="s">
        <v>14</v>
      </c>
      <c r="B325" s="73" t="s">
        <v>937</v>
      </c>
      <c r="C325" s="396" t="s">
        <v>1223</v>
      </c>
      <c r="D325" s="400">
        <v>0.5972222222222222</v>
      </c>
      <c r="E325" s="162">
        <v>7.6038360859E10</v>
      </c>
      <c r="F325" s="162">
        <v>7.07408074145075E14</v>
      </c>
      <c r="G325" s="161" t="s">
        <v>1263</v>
      </c>
      <c r="H325" s="77">
        <v>18171.0</v>
      </c>
      <c r="I325" s="41" t="s">
        <v>173</v>
      </c>
      <c r="J325" s="238">
        <v>1.1987770698E10</v>
      </c>
      <c r="K325" s="238">
        <v>1.1587337E9</v>
      </c>
      <c r="R325" s="67"/>
    </row>
    <row r="326">
      <c r="A326" s="12" t="s">
        <v>15</v>
      </c>
      <c r="B326" s="73"/>
      <c r="C326" s="396" t="s">
        <v>1223</v>
      </c>
      <c r="D326" s="400">
        <v>0.6111111111111112</v>
      </c>
      <c r="E326" s="162"/>
      <c r="F326" s="354"/>
      <c r="G326" s="203"/>
      <c r="H326" s="355"/>
      <c r="I326" s="41"/>
      <c r="J326" s="42"/>
      <c r="K326" s="42"/>
      <c r="R326" s="67"/>
    </row>
    <row r="327">
      <c r="A327" s="12" t="s">
        <v>16</v>
      </c>
      <c r="B327" s="73"/>
      <c r="C327" s="396" t="s">
        <v>1223</v>
      </c>
      <c r="D327" s="400">
        <v>0.625</v>
      </c>
      <c r="E327" s="162"/>
      <c r="F327" s="162"/>
      <c r="G327" s="161"/>
      <c r="H327" s="163"/>
      <c r="I327" s="41"/>
      <c r="J327" s="238"/>
      <c r="K327" s="238"/>
      <c r="R327" s="67"/>
    </row>
    <row r="328">
      <c r="A328" s="12" t="s">
        <v>17</v>
      </c>
      <c r="B328" s="73"/>
      <c r="C328" s="396" t="s">
        <v>1223</v>
      </c>
      <c r="D328" s="400">
        <v>0.6388888888888888</v>
      </c>
      <c r="E328" s="162"/>
      <c r="F328" s="162"/>
      <c r="G328" s="161"/>
      <c r="H328" s="163"/>
      <c r="I328" s="41"/>
      <c r="J328" s="42"/>
      <c r="K328" s="42"/>
      <c r="R328" s="67"/>
    </row>
    <row r="329">
      <c r="A329" s="12" t="s">
        <v>85</v>
      </c>
      <c r="B329" s="73"/>
      <c r="C329" s="396" t="s">
        <v>1223</v>
      </c>
      <c r="D329" s="400">
        <v>0.6527777777777778</v>
      </c>
      <c r="E329" s="185"/>
      <c r="F329" s="185"/>
      <c r="G329" s="161"/>
      <c r="H329" s="166"/>
      <c r="I329" s="41"/>
      <c r="J329" s="42"/>
      <c r="K329" s="42"/>
      <c r="O329" s="356"/>
      <c r="R329" s="67"/>
    </row>
    <row r="330">
      <c r="A330" s="12" t="s">
        <v>87</v>
      </c>
      <c r="B330" s="73"/>
      <c r="C330" s="396" t="s">
        <v>1223</v>
      </c>
      <c r="D330" s="400">
        <v>0.6666666666666666</v>
      </c>
      <c r="E330" s="162"/>
      <c r="F330" s="162"/>
      <c r="G330" s="161"/>
      <c r="H330" s="166"/>
      <c r="I330" s="41"/>
      <c r="J330" s="42"/>
      <c r="K330" s="42"/>
      <c r="R330" s="67"/>
    </row>
    <row r="331">
      <c r="A331" s="12" t="s">
        <v>90</v>
      </c>
      <c r="B331" s="73"/>
      <c r="C331" s="396" t="s">
        <v>1223</v>
      </c>
      <c r="D331" s="400">
        <v>0.6805555555555556</v>
      </c>
      <c r="E331" s="133"/>
      <c r="F331" s="133"/>
      <c r="G331" s="402"/>
      <c r="H331" s="166"/>
      <c r="I331" s="41"/>
      <c r="J331" s="42"/>
      <c r="K331" s="42"/>
      <c r="R331" s="67"/>
    </row>
    <row r="332">
      <c r="A332" s="12" t="s">
        <v>93</v>
      </c>
      <c r="B332" s="73"/>
      <c r="C332" s="396" t="s">
        <v>1223</v>
      </c>
      <c r="D332" s="400">
        <v>0.6944444444444444</v>
      </c>
      <c r="E332" s="133"/>
      <c r="F332" s="133"/>
      <c r="G332" s="403"/>
      <c r="H332" s="166"/>
      <c r="I332" s="41"/>
      <c r="J332" s="42"/>
      <c r="K332" s="42"/>
      <c r="R332" s="67"/>
    </row>
    <row r="333">
      <c r="J333" s="67"/>
      <c r="K333" s="67"/>
      <c r="R333" s="67"/>
    </row>
    <row r="334">
      <c r="J334" s="67"/>
      <c r="K334" s="67"/>
      <c r="R334" s="67"/>
    </row>
    <row r="335">
      <c r="A335" s="23" t="s">
        <v>873</v>
      </c>
      <c r="B335" s="2"/>
      <c r="C335" s="2"/>
      <c r="D335" s="2"/>
      <c r="E335" s="2"/>
      <c r="F335" s="2"/>
      <c r="G335" s="2"/>
      <c r="H335" s="2"/>
      <c r="I335" s="2"/>
      <c r="J335" s="2"/>
      <c r="K335" s="3"/>
      <c r="R335" s="67"/>
    </row>
    <row r="336">
      <c r="A336" s="263" t="s">
        <v>1264</v>
      </c>
      <c r="B336" s="2"/>
      <c r="C336" s="2"/>
      <c r="D336" s="2"/>
      <c r="E336" s="2"/>
      <c r="F336" s="2"/>
      <c r="G336" s="2"/>
      <c r="H336" s="2"/>
      <c r="I336" s="2"/>
      <c r="J336" s="2"/>
      <c r="K336" s="3"/>
      <c r="R336" s="67"/>
    </row>
    <row r="337">
      <c r="A337" s="25"/>
      <c r="B337" s="26" t="s">
        <v>3</v>
      </c>
      <c r="C337" s="27" t="s">
        <v>2</v>
      </c>
      <c r="D337" s="28" t="s">
        <v>5</v>
      </c>
      <c r="E337" s="32" t="s">
        <v>19</v>
      </c>
      <c r="F337" s="28" t="s">
        <v>6</v>
      </c>
      <c r="G337" s="264" t="s">
        <v>7</v>
      </c>
      <c r="H337" s="30" t="s">
        <v>8</v>
      </c>
      <c r="I337" s="31" t="s">
        <v>20</v>
      </c>
      <c r="J337" s="32" t="s">
        <v>21</v>
      </c>
      <c r="K337" s="32" t="s">
        <v>22</v>
      </c>
      <c r="R337" s="67"/>
    </row>
    <row r="338">
      <c r="A338" s="12" t="s">
        <v>10</v>
      </c>
      <c r="B338" s="73" t="s">
        <v>264</v>
      </c>
      <c r="C338" s="74" t="s">
        <v>381</v>
      </c>
      <c r="D338" s="75">
        <v>0.5416666666666666</v>
      </c>
      <c r="E338" s="404"/>
      <c r="F338" s="84">
        <v>7.00008349454304E14</v>
      </c>
      <c r="G338" s="351" t="s">
        <v>1265</v>
      </c>
      <c r="H338" s="83">
        <v>16812.0</v>
      </c>
      <c r="I338" s="34" t="s">
        <v>183</v>
      </c>
      <c r="J338" s="83">
        <v>1.1988938941E10</v>
      </c>
      <c r="K338" s="83">
        <v>1.1991913316E10</v>
      </c>
      <c r="R338" s="67"/>
    </row>
    <row r="339">
      <c r="A339" s="12" t="s">
        <v>11</v>
      </c>
      <c r="B339" s="73" t="s">
        <v>276</v>
      </c>
      <c r="C339" s="74" t="s">
        <v>381</v>
      </c>
      <c r="D339" s="75">
        <v>0.5555555555555556</v>
      </c>
      <c r="E339" s="404">
        <v>3.1598284843E10</v>
      </c>
      <c r="F339" s="185">
        <v>7.04605665986129E14</v>
      </c>
      <c r="G339" s="351" t="s">
        <v>1266</v>
      </c>
      <c r="H339" s="77">
        <v>18670.0</v>
      </c>
      <c r="I339" s="34" t="s">
        <v>183</v>
      </c>
      <c r="J339" s="83">
        <v>1.1966230426E10</v>
      </c>
      <c r="K339" s="83">
        <v>1.1997570914E10</v>
      </c>
      <c r="R339" s="67"/>
    </row>
    <row r="340">
      <c r="A340" s="12" t="s">
        <v>12</v>
      </c>
      <c r="B340" s="73" t="s">
        <v>264</v>
      </c>
      <c r="C340" s="74" t="s">
        <v>381</v>
      </c>
      <c r="D340" s="75">
        <v>0.5694444444444444</v>
      </c>
      <c r="E340" s="404">
        <v>2.455684083E10</v>
      </c>
      <c r="F340" s="84">
        <v>7.00203406668723E14</v>
      </c>
      <c r="G340" s="351" t="s">
        <v>1267</v>
      </c>
      <c r="H340" s="83">
        <v>16365.0</v>
      </c>
      <c r="I340" s="34" t="s">
        <v>183</v>
      </c>
      <c r="J340" s="83">
        <v>1.1946091389E10</v>
      </c>
      <c r="K340" s="83">
        <v>1.194990345E10</v>
      </c>
      <c r="R340" s="67"/>
    </row>
    <row r="341">
      <c r="A341" s="12" t="s">
        <v>13</v>
      </c>
      <c r="B341" s="73" t="s">
        <v>220</v>
      </c>
      <c r="C341" s="74" t="s">
        <v>381</v>
      </c>
      <c r="D341" s="75">
        <v>0.5833333333333334</v>
      </c>
      <c r="E341" s="405"/>
      <c r="F341" s="84">
        <v>8.01440492110439E14</v>
      </c>
      <c r="G341" s="351" t="s">
        <v>1268</v>
      </c>
      <c r="H341" s="83">
        <v>18811.0</v>
      </c>
      <c r="I341" s="34" t="s">
        <v>183</v>
      </c>
      <c r="J341" s="83">
        <v>1.1948277196E10</v>
      </c>
      <c r="K341" s="83">
        <v>1.1996400129E10</v>
      </c>
      <c r="R341" s="67"/>
    </row>
    <row r="342">
      <c r="A342" s="12" t="s">
        <v>14</v>
      </c>
      <c r="B342" s="73" t="s">
        <v>276</v>
      </c>
      <c r="C342" s="74" t="s">
        <v>381</v>
      </c>
      <c r="D342" s="75">
        <v>0.5972222222222222</v>
      </c>
      <c r="E342" s="404">
        <v>7.3401447572E10</v>
      </c>
      <c r="F342" s="156">
        <v>2.03910444640001E14</v>
      </c>
      <c r="G342" s="59" t="s">
        <v>1269</v>
      </c>
      <c r="H342" s="77">
        <v>27030.0</v>
      </c>
      <c r="I342" s="34" t="s">
        <v>195</v>
      </c>
      <c r="J342" s="83">
        <v>1.1966995816E10</v>
      </c>
      <c r="K342" s="83">
        <v>1.1996538542E10</v>
      </c>
      <c r="R342" s="67"/>
    </row>
    <row r="343">
      <c r="A343" s="12" t="s">
        <v>15</v>
      </c>
      <c r="B343" s="73" t="s">
        <v>220</v>
      </c>
      <c r="C343" s="74" t="s">
        <v>381</v>
      </c>
      <c r="D343" s="75">
        <v>0.6111111111111112</v>
      </c>
      <c r="E343" s="405">
        <v>2.8337514434E10</v>
      </c>
      <c r="F343" s="84">
        <v>7.0220010107881E14</v>
      </c>
      <c r="G343" s="351" t="s">
        <v>1270</v>
      </c>
      <c r="H343" s="83">
        <v>20497.0</v>
      </c>
      <c r="I343" s="34" t="s">
        <v>195</v>
      </c>
      <c r="J343" s="83">
        <v>1.1946221059E10</v>
      </c>
      <c r="K343" s="83"/>
      <c r="R343" s="67"/>
    </row>
    <row r="344">
      <c r="A344" s="12" t="s">
        <v>16</v>
      </c>
      <c r="B344" s="73" t="s">
        <v>220</v>
      </c>
      <c r="C344" s="74" t="s">
        <v>381</v>
      </c>
      <c r="D344" s="75">
        <v>0.625</v>
      </c>
      <c r="E344" s="406" t="s">
        <v>1271</v>
      </c>
      <c r="F344" s="84">
        <v>2.01151081940018E14</v>
      </c>
      <c r="G344" s="79" t="s">
        <v>1272</v>
      </c>
      <c r="H344" s="83">
        <v>19768.0</v>
      </c>
      <c r="I344" s="34" t="s">
        <v>183</v>
      </c>
      <c r="J344" s="83">
        <v>1.1982459699E10</v>
      </c>
      <c r="K344" s="83">
        <v>1.1981574164E10</v>
      </c>
      <c r="R344" s="67"/>
    </row>
    <row r="345">
      <c r="A345" s="12" t="s">
        <v>17</v>
      </c>
      <c r="B345" s="73"/>
      <c r="C345" s="74" t="s">
        <v>381</v>
      </c>
      <c r="D345" s="75">
        <v>0.6388888888888888</v>
      </c>
      <c r="E345" s="405"/>
      <c r="F345" s="84"/>
      <c r="G345" s="351"/>
      <c r="H345" s="83"/>
      <c r="I345" s="41"/>
      <c r="J345" s="42"/>
      <c r="K345" s="42"/>
      <c r="R345" s="67"/>
    </row>
    <row r="346">
      <c r="A346" s="12" t="s">
        <v>85</v>
      </c>
      <c r="B346" s="73" t="s">
        <v>929</v>
      </c>
      <c r="C346" s="74" t="s">
        <v>381</v>
      </c>
      <c r="D346" s="75">
        <v>0.6527777777777778</v>
      </c>
      <c r="E346" s="404">
        <v>5.2596095572E10</v>
      </c>
      <c r="F346" s="84">
        <v>2.00961188270006E14</v>
      </c>
      <c r="G346" s="351" t="s">
        <v>1273</v>
      </c>
      <c r="H346" s="83">
        <v>24914.0</v>
      </c>
      <c r="I346" s="34" t="s">
        <v>195</v>
      </c>
      <c r="J346" s="83">
        <v>1.1971712988E10</v>
      </c>
      <c r="K346" s="83"/>
      <c r="R346" s="67"/>
    </row>
    <row r="347">
      <c r="A347" s="12" t="s">
        <v>87</v>
      </c>
      <c r="B347" s="73" t="s">
        <v>929</v>
      </c>
      <c r="C347" s="74" t="s">
        <v>381</v>
      </c>
      <c r="D347" s="75">
        <v>0.6666666666666666</v>
      </c>
      <c r="E347" s="404">
        <v>3.78289675E10</v>
      </c>
      <c r="F347" s="84">
        <v>7.02000379834384E14</v>
      </c>
      <c r="G347" s="351" t="s">
        <v>1274</v>
      </c>
      <c r="H347" s="83">
        <v>24181.0</v>
      </c>
      <c r="I347" s="34" t="s">
        <v>195</v>
      </c>
      <c r="J347" s="83">
        <v>1.1949277655E10</v>
      </c>
      <c r="K347" s="83">
        <v>1.1948831971E10</v>
      </c>
      <c r="R347" s="67"/>
    </row>
    <row r="348">
      <c r="A348" s="12" t="s">
        <v>90</v>
      </c>
      <c r="B348" s="73" t="s">
        <v>929</v>
      </c>
      <c r="C348" s="74" t="s">
        <v>381</v>
      </c>
      <c r="D348" s="75">
        <v>0.6805555555555556</v>
      </c>
      <c r="E348" s="406" t="s">
        <v>1275</v>
      </c>
      <c r="F348" s="84">
        <v>7.08705141927591E14</v>
      </c>
      <c r="G348" s="351" t="s">
        <v>1276</v>
      </c>
      <c r="H348" s="83">
        <v>24154.0</v>
      </c>
      <c r="I348" s="34" t="s">
        <v>195</v>
      </c>
      <c r="J348" s="83">
        <v>1.1973650684E10</v>
      </c>
      <c r="K348" s="83"/>
      <c r="R348" s="67"/>
    </row>
    <row r="349">
      <c r="A349" s="12" t="s">
        <v>93</v>
      </c>
      <c r="B349" s="73" t="s">
        <v>929</v>
      </c>
      <c r="C349" s="74" t="s">
        <v>381</v>
      </c>
      <c r="D349" s="75">
        <v>0.6944444444444444</v>
      </c>
      <c r="E349" s="404">
        <v>2.052043683E10</v>
      </c>
      <c r="F349" s="84">
        <v>7.0770262190741E14</v>
      </c>
      <c r="G349" s="351" t="s">
        <v>1277</v>
      </c>
      <c r="H349" s="166">
        <v>27178.0</v>
      </c>
      <c r="I349" s="34" t="s">
        <v>195</v>
      </c>
      <c r="J349" s="83">
        <v>1.1982037549E10</v>
      </c>
      <c r="K349" s="83">
        <v>1.1949041441E10</v>
      </c>
      <c r="R349" s="67"/>
    </row>
    <row r="350">
      <c r="J350" s="67"/>
      <c r="K350" s="67"/>
      <c r="R350" s="67"/>
    </row>
    <row r="351">
      <c r="J351" s="67"/>
      <c r="K351" s="67"/>
      <c r="R351" s="67"/>
    </row>
    <row r="352" hidden="1">
      <c r="B352" s="23" t="s">
        <v>851</v>
      </c>
      <c r="C352" s="2"/>
      <c r="D352" s="2"/>
      <c r="E352" s="2"/>
      <c r="F352" s="2"/>
      <c r="G352" s="2"/>
      <c r="H352" s="2"/>
      <c r="I352" s="2"/>
      <c r="J352" s="2"/>
      <c r="K352" s="2"/>
      <c r="L352" s="3"/>
      <c r="R352" s="67"/>
    </row>
    <row r="353" hidden="1">
      <c r="B353" s="407" t="s">
        <v>1278</v>
      </c>
      <c r="C353" s="2"/>
      <c r="D353" s="2"/>
      <c r="E353" s="2"/>
      <c r="F353" s="2"/>
      <c r="G353" s="2"/>
      <c r="H353" s="2"/>
      <c r="I353" s="2"/>
      <c r="J353" s="2"/>
      <c r="K353" s="2"/>
      <c r="L353" s="3"/>
      <c r="R353" s="67"/>
    </row>
    <row r="354" hidden="1">
      <c r="B354" s="408" t="s">
        <v>3</v>
      </c>
      <c r="C354" s="3"/>
      <c r="D354" s="28" t="s">
        <v>5</v>
      </c>
      <c r="E354" s="32" t="s">
        <v>19</v>
      </c>
      <c r="F354" s="28" t="s">
        <v>6</v>
      </c>
      <c r="G354" s="264" t="s">
        <v>7</v>
      </c>
      <c r="H354" s="30" t="s">
        <v>8</v>
      </c>
      <c r="I354" s="31" t="s">
        <v>20</v>
      </c>
      <c r="J354" s="32" t="s">
        <v>21</v>
      </c>
      <c r="K354" s="32" t="s">
        <v>21</v>
      </c>
      <c r="L354" s="32" t="s">
        <v>22</v>
      </c>
      <c r="R354" s="67"/>
    </row>
    <row r="355" hidden="1">
      <c r="A355" s="12" t="s">
        <v>10</v>
      </c>
      <c r="B355" s="12" t="s">
        <v>1279</v>
      </c>
      <c r="C355" s="399" t="s">
        <v>1153</v>
      </c>
      <c r="D355" s="302">
        <v>0.5416666666666666</v>
      </c>
      <c r="E355" s="302"/>
      <c r="F355" s="84">
        <v>7.01205026168117E14</v>
      </c>
      <c r="G355" s="351" t="s">
        <v>1250</v>
      </c>
      <c r="H355" s="83">
        <v>16442.0</v>
      </c>
      <c r="I355" s="41"/>
      <c r="J355" s="41">
        <v>1.1957671039E10</v>
      </c>
      <c r="K355" s="102"/>
      <c r="L355" s="102"/>
      <c r="R355" s="67"/>
    </row>
    <row r="356" hidden="1">
      <c r="A356" s="12" t="s">
        <v>11</v>
      </c>
      <c r="B356" s="12"/>
      <c r="C356" s="399" t="s">
        <v>1153</v>
      </c>
      <c r="D356" s="302">
        <v>0.5555555555555556</v>
      </c>
      <c r="E356" s="302"/>
      <c r="F356" s="76"/>
      <c r="G356" s="185"/>
      <c r="H356" s="351"/>
      <c r="I356" s="41"/>
      <c r="J356" s="41"/>
      <c r="K356" s="42"/>
      <c r="L356" s="42"/>
      <c r="R356" s="67"/>
    </row>
    <row r="357" hidden="1">
      <c r="A357" s="12" t="s">
        <v>12</v>
      </c>
      <c r="B357" s="12"/>
      <c r="C357" s="399" t="s">
        <v>1153</v>
      </c>
      <c r="D357" s="302">
        <v>0.5694444444444444</v>
      </c>
      <c r="E357" s="302"/>
      <c r="F357" s="84"/>
      <c r="G357" s="84"/>
      <c r="H357" s="409"/>
      <c r="I357" s="41"/>
      <c r="J357" s="41"/>
      <c r="K357" s="102"/>
      <c r="L357" s="102"/>
      <c r="R357" s="67"/>
    </row>
    <row r="358" hidden="1">
      <c r="A358" s="12" t="s">
        <v>13</v>
      </c>
      <c r="B358" s="12"/>
      <c r="C358" s="399" t="s">
        <v>1153</v>
      </c>
      <c r="D358" s="302">
        <v>0.5833333333333334</v>
      </c>
      <c r="E358" s="302"/>
      <c r="F358" s="84"/>
      <c r="G358" s="84"/>
      <c r="H358" s="409"/>
      <c r="I358" s="41"/>
      <c r="J358" s="41"/>
      <c r="K358" s="102"/>
      <c r="L358" s="102"/>
      <c r="R358" s="67"/>
    </row>
    <row r="359" hidden="1">
      <c r="A359" s="12" t="s">
        <v>14</v>
      </c>
      <c r="B359" s="12"/>
      <c r="C359" s="399" t="s">
        <v>1153</v>
      </c>
      <c r="D359" s="302">
        <v>0.5972222222222222</v>
      </c>
      <c r="E359" s="302"/>
      <c r="F359" s="156"/>
      <c r="G359" s="156"/>
      <c r="H359" s="76"/>
      <c r="I359" s="41"/>
      <c r="J359" s="41"/>
      <c r="K359" s="42"/>
      <c r="L359" s="42"/>
      <c r="R359" s="67"/>
    </row>
    <row r="360" hidden="1">
      <c r="A360" s="12" t="s">
        <v>15</v>
      </c>
      <c r="B360" s="12"/>
      <c r="C360" s="399" t="s">
        <v>1153</v>
      </c>
      <c r="D360" s="302">
        <v>0.6111111111111112</v>
      </c>
      <c r="E360" s="302"/>
      <c r="F360" s="84"/>
      <c r="G360" s="84"/>
      <c r="H360" s="409"/>
      <c r="I360" s="41"/>
      <c r="J360" s="41"/>
      <c r="K360" s="42"/>
      <c r="L360" s="42"/>
      <c r="R360" s="67"/>
    </row>
    <row r="361" hidden="1">
      <c r="A361" s="12" t="s">
        <v>16</v>
      </c>
      <c r="B361" s="12" t="s">
        <v>1279</v>
      </c>
      <c r="C361" s="399" t="s">
        <v>1153</v>
      </c>
      <c r="D361" s="302">
        <v>0.625</v>
      </c>
      <c r="E361" s="302"/>
      <c r="F361" s="84">
        <v>8.98000082143813E14</v>
      </c>
      <c r="G361" s="84" t="s">
        <v>142</v>
      </c>
      <c r="H361" s="410">
        <v>35587.0</v>
      </c>
      <c r="I361" s="41"/>
      <c r="J361" s="41">
        <v>1.1958679154E10</v>
      </c>
      <c r="K361" s="102">
        <v>1.1957220863E10</v>
      </c>
      <c r="L361" s="102"/>
      <c r="R361" s="67"/>
    </row>
    <row r="362" hidden="1">
      <c r="A362" s="12" t="s">
        <v>17</v>
      </c>
      <c r="B362" s="12"/>
      <c r="C362" s="399" t="s">
        <v>1153</v>
      </c>
      <c r="D362" s="302">
        <v>0.6388888888888888</v>
      </c>
      <c r="E362" s="302"/>
      <c r="F362" s="84"/>
      <c r="G362" s="84"/>
      <c r="H362" s="409"/>
      <c r="I362" s="41"/>
      <c r="J362" s="41"/>
      <c r="K362" s="42"/>
      <c r="L362" s="42"/>
      <c r="R362" s="67"/>
    </row>
    <row r="363" hidden="1">
      <c r="A363" s="12" t="s">
        <v>85</v>
      </c>
      <c r="B363" s="12"/>
      <c r="C363" s="399" t="s">
        <v>1153</v>
      </c>
      <c r="D363" s="302">
        <v>0.6527777777777778</v>
      </c>
      <c r="E363" s="302"/>
      <c r="F363" s="156"/>
      <c r="G363" s="156"/>
      <c r="H363" s="409"/>
      <c r="I363" s="41"/>
      <c r="J363" s="41"/>
      <c r="K363" s="42"/>
      <c r="L363" s="42"/>
      <c r="R363" s="67"/>
    </row>
    <row r="364" hidden="1">
      <c r="A364" s="12" t="s">
        <v>87</v>
      </c>
      <c r="B364" s="12"/>
      <c r="C364" s="399" t="s">
        <v>1153</v>
      </c>
      <c r="D364" s="302">
        <v>0.6666666666666666</v>
      </c>
      <c r="E364" s="302"/>
      <c r="F364" s="162"/>
      <c r="G364" s="162"/>
      <c r="H364" s="409"/>
      <c r="I364" s="41"/>
      <c r="J364" s="41"/>
      <c r="K364" s="42"/>
      <c r="L364" s="42"/>
      <c r="R364" s="67"/>
    </row>
    <row r="365" hidden="1">
      <c r="A365" s="12" t="s">
        <v>90</v>
      </c>
      <c r="B365" s="12"/>
      <c r="C365" s="399" t="s">
        <v>1153</v>
      </c>
      <c r="D365" s="302">
        <v>0.6805555555555556</v>
      </c>
      <c r="E365" s="302"/>
      <c r="F365" s="274"/>
      <c r="G365" s="197"/>
      <c r="H365" s="409"/>
      <c r="I365" s="41"/>
      <c r="J365" s="41"/>
      <c r="K365" s="42"/>
      <c r="L365" s="42"/>
      <c r="R365" s="67"/>
    </row>
    <row r="366" hidden="1">
      <c r="A366" s="12" t="s">
        <v>93</v>
      </c>
      <c r="B366" s="12"/>
      <c r="C366" s="399" t="s">
        <v>1153</v>
      </c>
      <c r="D366" s="302">
        <v>0.6944444444444444</v>
      </c>
      <c r="E366" s="302"/>
      <c r="F366" s="133"/>
      <c r="G366" s="133"/>
      <c r="H366" s="351"/>
      <c r="I366" s="41"/>
      <c r="J366" s="41"/>
      <c r="K366" s="42"/>
      <c r="L366" s="194"/>
      <c r="R366" s="67"/>
    </row>
    <row r="367" hidden="1">
      <c r="J367" s="67"/>
      <c r="K367" s="67"/>
      <c r="R367" s="67"/>
    </row>
    <row r="368">
      <c r="F368" s="366"/>
      <c r="J368" s="67"/>
      <c r="K368" s="67"/>
      <c r="R368" s="67"/>
    </row>
    <row r="369">
      <c r="F369" s="366"/>
      <c r="J369" s="67"/>
      <c r="K369" s="67"/>
      <c r="R369" s="67"/>
    </row>
    <row r="370">
      <c r="F370" s="366"/>
      <c r="J370" s="67"/>
      <c r="K370" s="67"/>
      <c r="R370" s="67"/>
    </row>
    <row r="371">
      <c r="F371" s="366"/>
      <c r="J371" s="67"/>
      <c r="K371" s="67"/>
      <c r="R371" s="67"/>
    </row>
    <row r="372">
      <c r="F372" s="366"/>
      <c r="J372" s="67"/>
      <c r="K372" s="67"/>
      <c r="R372" s="67"/>
    </row>
    <row r="373">
      <c r="F373" s="366"/>
      <c r="J373" s="67"/>
      <c r="K373" s="67"/>
      <c r="R373" s="67"/>
    </row>
    <row r="374">
      <c r="F374" s="366"/>
      <c r="J374" s="67"/>
      <c r="K374" s="67"/>
      <c r="R374" s="67"/>
    </row>
    <row r="375">
      <c r="F375" s="366"/>
      <c r="J375" s="67"/>
      <c r="K375" s="67"/>
      <c r="R375" s="67"/>
    </row>
    <row r="376">
      <c r="F376" s="366"/>
      <c r="J376" s="67"/>
      <c r="K376" s="67"/>
      <c r="R376" s="67"/>
    </row>
    <row r="377">
      <c r="F377" s="366"/>
      <c r="J377" s="67"/>
      <c r="K377" s="67"/>
      <c r="R377" s="67"/>
    </row>
    <row r="378">
      <c r="F378" s="366"/>
      <c r="J378" s="67"/>
      <c r="K378" s="67"/>
      <c r="R378" s="67"/>
    </row>
    <row r="379">
      <c r="F379" s="366"/>
      <c r="J379" s="67"/>
      <c r="K379" s="67"/>
      <c r="R379" s="67"/>
    </row>
    <row r="380">
      <c r="F380" s="366"/>
      <c r="J380" s="67"/>
      <c r="K380" s="67"/>
      <c r="R380" s="67"/>
    </row>
    <row r="381">
      <c r="F381" s="366"/>
      <c r="J381" s="67"/>
      <c r="K381" s="67"/>
      <c r="R381" s="67"/>
    </row>
    <row r="382">
      <c r="F382" s="366"/>
      <c r="J382" s="67"/>
      <c r="K382" s="67"/>
      <c r="R382" s="67"/>
    </row>
    <row r="383">
      <c r="F383" s="366"/>
      <c r="J383" s="67"/>
      <c r="K383" s="67"/>
      <c r="R383" s="67"/>
    </row>
    <row r="384">
      <c r="F384" s="366"/>
      <c r="J384" s="67"/>
      <c r="K384" s="67"/>
      <c r="R384" s="67"/>
    </row>
    <row r="385">
      <c r="F385" s="366"/>
      <c r="J385" s="67"/>
      <c r="K385" s="67"/>
      <c r="R385" s="67"/>
    </row>
    <row r="386">
      <c r="F386" s="366"/>
      <c r="J386" s="67"/>
      <c r="K386" s="67"/>
      <c r="R386" s="67"/>
    </row>
    <row r="387">
      <c r="F387" s="366"/>
      <c r="J387" s="67"/>
      <c r="K387" s="67"/>
      <c r="R387" s="67"/>
    </row>
    <row r="388">
      <c r="F388" s="366"/>
      <c r="J388" s="67"/>
      <c r="K388" s="67"/>
      <c r="R388" s="67"/>
    </row>
    <row r="389">
      <c r="F389" s="366"/>
      <c r="J389" s="67"/>
      <c r="K389" s="67"/>
      <c r="R389" s="67"/>
    </row>
    <row r="390">
      <c r="F390" s="366"/>
      <c r="J390" s="67"/>
      <c r="K390" s="67"/>
      <c r="R390" s="67"/>
    </row>
    <row r="391">
      <c r="F391" s="366"/>
      <c r="J391" s="67"/>
      <c r="K391" s="67"/>
      <c r="R391" s="67"/>
    </row>
    <row r="392">
      <c r="F392" s="366"/>
      <c r="J392" s="67"/>
      <c r="K392" s="67"/>
      <c r="R392" s="67"/>
    </row>
    <row r="393">
      <c r="F393" s="366"/>
      <c r="J393" s="67"/>
      <c r="K393" s="67"/>
      <c r="R393" s="67"/>
    </row>
    <row r="394">
      <c r="F394" s="366"/>
      <c r="J394" s="67"/>
      <c r="K394" s="67"/>
      <c r="R394" s="67"/>
    </row>
    <row r="395">
      <c r="F395" s="366"/>
      <c r="J395" s="67"/>
      <c r="K395" s="67"/>
      <c r="R395" s="67"/>
    </row>
    <row r="396">
      <c r="F396" s="366"/>
      <c r="J396" s="67"/>
      <c r="K396" s="67"/>
      <c r="R396" s="67"/>
    </row>
    <row r="397">
      <c r="F397" s="366"/>
      <c r="J397" s="67"/>
      <c r="K397" s="67"/>
      <c r="R397" s="67"/>
    </row>
    <row r="398">
      <c r="F398" s="366"/>
      <c r="J398" s="67"/>
      <c r="K398" s="67"/>
      <c r="R398" s="67"/>
    </row>
    <row r="399">
      <c r="F399" s="366"/>
      <c r="J399" s="67"/>
      <c r="K399" s="67"/>
      <c r="R399" s="67"/>
    </row>
    <row r="400">
      <c r="F400" s="366"/>
      <c r="J400" s="67"/>
      <c r="K400" s="67"/>
      <c r="R400" s="67"/>
    </row>
    <row r="401">
      <c r="F401" s="366"/>
      <c r="J401" s="67"/>
      <c r="K401" s="67"/>
      <c r="R401" s="67"/>
    </row>
    <row r="402">
      <c r="F402" s="366"/>
      <c r="J402" s="67"/>
      <c r="K402" s="67"/>
      <c r="R402" s="67"/>
    </row>
    <row r="403">
      <c r="F403" s="366"/>
      <c r="J403" s="67"/>
      <c r="K403" s="67"/>
      <c r="R403" s="67"/>
    </row>
    <row r="404">
      <c r="F404" s="366"/>
      <c r="J404" s="67"/>
      <c r="K404" s="67"/>
      <c r="R404" s="67"/>
    </row>
    <row r="405">
      <c r="J405" s="67"/>
      <c r="K405" s="67"/>
      <c r="R405" s="67"/>
    </row>
    <row r="406">
      <c r="J406" s="67"/>
      <c r="K406" s="67"/>
      <c r="R406" s="67"/>
    </row>
    <row r="407">
      <c r="J407" s="67"/>
      <c r="K407" s="67"/>
      <c r="R407" s="67"/>
    </row>
    <row r="408">
      <c r="J408" s="67"/>
      <c r="K408" s="67"/>
      <c r="R408" s="67"/>
    </row>
    <row r="409">
      <c r="J409" s="67"/>
      <c r="K409" s="67"/>
      <c r="R409" s="67"/>
    </row>
    <row r="410">
      <c r="J410" s="67"/>
      <c r="K410" s="67"/>
      <c r="R410" s="67"/>
    </row>
    <row r="411">
      <c r="J411" s="67"/>
      <c r="K411" s="67"/>
      <c r="R411" s="67"/>
    </row>
    <row r="412">
      <c r="J412" s="67"/>
      <c r="K412" s="67"/>
      <c r="R412" s="67"/>
    </row>
    <row r="413">
      <c r="J413" s="67"/>
      <c r="K413" s="67"/>
      <c r="R413" s="67"/>
    </row>
    <row r="414">
      <c r="J414" s="67"/>
      <c r="K414" s="67"/>
      <c r="R414" s="67"/>
    </row>
    <row r="415">
      <c r="J415" s="67"/>
      <c r="K415" s="67"/>
      <c r="R415" s="67"/>
    </row>
    <row r="416">
      <c r="J416" s="67"/>
      <c r="K416" s="67"/>
      <c r="R416" s="67"/>
    </row>
    <row r="417">
      <c r="J417" s="67"/>
      <c r="K417" s="67"/>
      <c r="R417" s="67"/>
    </row>
    <row r="418">
      <c r="J418" s="67"/>
      <c r="K418" s="67"/>
      <c r="R418" s="67"/>
    </row>
    <row r="419">
      <c r="J419" s="67"/>
      <c r="K419" s="67"/>
      <c r="R419" s="67"/>
    </row>
    <row r="420">
      <c r="J420" s="67"/>
      <c r="K420" s="67"/>
      <c r="R420" s="67"/>
    </row>
    <row r="421">
      <c r="J421" s="67"/>
      <c r="K421" s="67"/>
      <c r="R421" s="67"/>
    </row>
    <row r="422">
      <c r="J422" s="67"/>
      <c r="K422" s="67"/>
      <c r="R422" s="67"/>
    </row>
    <row r="423">
      <c r="J423" s="67"/>
      <c r="K423" s="67"/>
      <c r="R423" s="67"/>
    </row>
    <row r="424">
      <c r="J424" s="67"/>
      <c r="K424" s="67"/>
      <c r="R424" s="67"/>
    </row>
    <row r="425">
      <c r="J425" s="67"/>
      <c r="K425" s="67"/>
      <c r="R425" s="67"/>
    </row>
    <row r="426">
      <c r="J426" s="67"/>
      <c r="K426" s="67"/>
      <c r="R426" s="67"/>
    </row>
    <row r="427">
      <c r="J427" s="67"/>
      <c r="K427" s="67"/>
      <c r="R427" s="67"/>
    </row>
    <row r="428">
      <c r="J428" s="67"/>
      <c r="K428" s="67"/>
      <c r="R428" s="67"/>
    </row>
    <row r="429">
      <c r="J429" s="67"/>
      <c r="K429" s="67"/>
      <c r="R429" s="67"/>
    </row>
    <row r="430">
      <c r="J430" s="67"/>
      <c r="K430" s="67"/>
      <c r="R430" s="67"/>
    </row>
    <row r="431">
      <c r="J431" s="67"/>
      <c r="K431" s="67"/>
      <c r="R431" s="67"/>
    </row>
    <row r="432">
      <c r="J432" s="67"/>
      <c r="K432" s="67"/>
      <c r="R432" s="67"/>
    </row>
    <row r="433">
      <c r="J433" s="67"/>
      <c r="K433" s="67"/>
      <c r="R433" s="67"/>
    </row>
    <row r="434">
      <c r="J434" s="67"/>
      <c r="K434" s="67"/>
      <c r="R434" s="67"/>
    </row>
    <row r="435">
      <c r="J435" s="67"/>
      <c r="K435" s="67"/>
      <c r="R435" s="67"/>
    </row>
    <row r="436">
      <c r="J436" s="67"/>
      <c r="K436" s="67"/>
      <c r="R436" s="67"/>
    </row>
    <row r="437">
      <c r="J437" s="67"/>
      <c r="K437" s="67"/>
      <c r="R437" s="67"/>
    </row>
    <row r="438">
      <c r="J438" s="67"/>
      <c r="K438" s="67"/>
      <c r="R438" s="67"/>
    </row>
    <row r="439">
      <c r="J439" s="67"/>
      <c r="K439" s="67"/>
      <c r="R439" s="67"/>
    </row>
    <row r="440">
      <c r="J440" s="67"/>
      <c r="K440" s="67"/>
      <c r="R440" s="67"/>
    </row>
    <row r="441">
      <c r="J441" s="67"/>
      <c r="K441" s="67"/>
      <c r="R441" s="67"/>
    </row>
    <row r="442">
      <c r="J442" s="67"/>
      <c r="K442" s="67"/>
      <c r="R442" s="67"/>
    </row>
    <row r="443">
      <c r="J443" s="67"/>
      <c r="K443" s="67"/>
      <c r="R443" s="67"/>
    </row>
    <row r="444">
      <c r="J444" s="67"/>
      <c r="K444" s="67"/>
      <c r="R444" s="67"/>
    </row>
    <row r="445">
      <c r="J445" s="67"/>
      <c r="K445" s="67"/>
      <c r="R445" s="67"/>
    </row>
    <row r="446">
      <c r="J446" s="67"/>
      <c r="K446" s="67"/>
      <c r="R446" s="67"/>
    </row>
    <row r="447">
      <c r="J447" s="67"/>
      <c r="K447" s="67"/>
      <c r="R447" s="67"/>
    </row>
    <row r="448">
      <c r="J448" s="67"/>
      <c r="K448" s="67"/>
      <c r="R448" s="67"/>
    </row>
    <row r="449">
      <c r="J449" s="67"/>
      <c r="K449" s="67"/>
      <c r="R449" s="67"/>
    </row>
    <row r="450">
      <c r="J450" s="67"/>
      <c r="K450" s="67"/>
      <c r="R450" s="67"/>
    </row>
    <row r="451">
      <c r="J451" s="67"/>
      <c r="K451" s="67"/>
      <c r="R451" s="67"/>
    </row>
    <row r="452">
      <c r="J452" s="67"/>
      <c r="K452" s="67"/>
      <c r="R452" s="67"/>
    </row>
    <row r="453">
      <c r="J453" s="67"/>
      <c r="K453" s="67"/>
      <c r="R453" s="67"/>
    </row>
    <row r="454">
      <c r="J454" s="67"/>
      <c r="K454" s="67"/>
      <c r="R454" s="67"/>
    </row>
    <row r="455">
      <c r="J455" s="67"/>
      <c r="K455" s="67"/>
      <c r="R455" s="67"/>
    </row>
    <row r="456">
      <c r="J456" s="67"/>
      <c r="K456" s="67"/>
      <c r="R456" s="67"/>
    </row>
    <row r="457">
      <c r="J457" s="67"/>
      <c r="K457" s="67"/>
      <c r="R457" s="67"/>
    </row>
    <row r="458">
      <c r="J458" s="67"/>
      <c r="K458" s="67"/>
      <c r="R458" s="67"/>
    </row>
    <row r="459">
      <c r="J459" s="67"/>
      <c r="K459" s="67"/>
      <c r="R459" s="67"/>
    </row>
    <row r="460">
      <c r="J460" s="67"/>
      <c r="K460" s="67"/>
      <c r="R460" s="67"/>
    </row>
    <row r="461">
      <c r="J461" s="67"/>
      <c r="K461" s="67"/>
      <c r="R461" s="67"/>
    </row>
    <row r="462">
      <c r="J462" s="67"/>
      <c r="K462" s="67"/>
      <c r="R462" s="67"/>
    </row>
    <row r="463">
      <c r="J463" s="67"/>
      <c r="K463" s="67"/>
      <c r="R463" s="67"/>
    </row>
    <row r="464">
      <c r="J464" s="67"/>
      <c r="K464" s="67"/>
      <c r="R464" s="67"/>
    </row>
    <row r="465">
      <c r="J465" s="67"/>
      <c r="K465" s="67"/>
      <c r="R465" s="67"/>
    </row>
    <row r="466">
      <c r="J466" s="67"/>
      <c r="K466" s="67"/>
      <c r="R466" s="67"/>
    </row>
    <row r="467">
      <c r="J467" s="67"/>
      <c r="K467" s="67"/>
      <c r="R467" s="67"/>
    </row>
    <row r="468">
      <c r="J468" s="67"/>
      <c r="K468" s="67"/>
      <c r="R468" s="67"/>
    </row>
    <row r="469">
      <c r="J469" s="67"/>
      <c r="K469" s="67"/>
      <c r="R469" s="67"/>
    </row>
    <row r="470">
      <c r="J470" s="67"/>
      <c r="K470" s="67"/>
      <c r="R470" s="67"/>
    </row>
    <row r="471">
      <c r="J471" s="67"/>
      <c r="K471" s="67"/>
      <c r="R471" s="67"/>
    </row>
    <row r="472">
      <c r="J472" s="67"/>
      <c r="K472" s="67"/>
      <c r="R472" s="67"/>
    </row>
    <row r="473">
      <c r="J473" s="67"/>
      <c r="K473" s="67"/>
      <c r="R473" s="67"/>
    </row>
    <row r="474">
      <c r="J474" s="67"/>
      <c r="K474" s="67"/>
      <c r="R474" s="67"/>
    </row>
    <row r="475">
      <c r="J475" s="67"/>
      <c r="K475" s="67"/>
      <c r="R475" s="67"/>
    </row>
    <row r="476">
      <c r="J476" s="67"/>
      <c r="K476" s="67"/>
      <c r="R476" s="67"/>
    </row>
    <row r="477">
      <c r="J477" s="67"/>
      <c r="K477" s="67"/>
      <c r="R477" s="67"/>
    </row>
    <row r="478">
      <c r="J478" s="67"/>
      <c r="K478" s="67"/>
      <c r="R478" s="67"/>
    </row>
    <row r="479">
      <c r="J479" s="67"/>
      <c r="K479" s="67"/>
      <c r="R479" s="67"/>
    </row>
    <row r="480">
      <c r="J480" s="67"/>
      <c r="K480" s="67"/>
      <c r="R480" s="67"/>
    </row>
    <row r="481">
      <c r="J481" s="67"/>
      <c r="K481" s="67"/>
      <c r="R481" s="67"/>
    </row>
    <row r="482">
      <c r="J482" s="67"/>
      <c r="K482" s="67"/>
      <c r="R482" s="67"/>
    </row>
    <row r="483">
      <c r="J483" s="67"/>
      <c r="K483" s="67"/>
      <c r="R483" s="67"/>
    </row>
    <row r="484">
      <c r="J484" s="67"/>
      <c r="K484" s="67"/>
      <c r="R484" s="67"/>
    </row>
    <row r="485">
      <c r="J485" s="67"/>
      <c r="K485" s="67"/>
      <c r="R485" s="67"/>
    </row>
    <row r="486">
      <c r="J486" s="67"/>
      <c r="K486" s="67"/>
      <c r="R486" s="67"/>
    </row>
    <row r="487">
      <c r="J487" s="67"/>
      <c r="K487" s="67"/>
      <c r="R487" s="67"/>
    </row>
    <row r="488">
      <c r="J488" s="67"/>
      <c r="K488" s="67"/>
      <c r="R488" s="67"/>
    </row>
    <row r="489">
      <c r="J489" s="67"/>
      <c r="K489" s="67"/>
      <c r="R489" s="67"/>
    </row>
    <row r="490">
      <c r="J490" s="67"/>
      <c r="K490" s="67"/>
      <c r="R490" s="67"/>
    </row>
    <row r="491">
      <c r="J491" s="67"/>
      <c r="K491" s="67"/>
      <c r="R491" s="67"/>
    </row>
    <row r="492">
      <c r="J492" s="67"/>
      <c r="K492" s="67"/>
      <c r="R492" s="67"/>
    </row>
    <row r="493">
      <c r="J493" s="67"/>
      <c r="K493" s="67"/>
      <c r="R493" s="67"/>
    </row>
    <row r="494">
      <c r="J494" s="67"/>
      <c r="K494" s="67"/>
      <c r="R494" s="67"/>
    </row>
    <row r="495">
      <c r="J495" s="67"/>
      <c r="K495" s="67"/>
      <c r="R495" s="67"/>
    </row>
    <row r="496">
      <c r="J496" s="67"/>
      <c r="K496" s="67"/>
      <c r="R496" s="67"/>
    </row>
    <row r="497">
      <c r="J497" s="67"/>
      <c r="K497" s="67"/>
      <c r="R497" s="67"/>
    </row>
    <row r="498">
      <c r="J498" s="67"/>
      <c r="K498" s="67"/>
      <c r="R498" s="67"/>
    </row>
    <row r="499">
      <c r="J499" s="67"/>
      <c r="K499" s="67"/>
      <c r="R499" s="67"/>
    </row>
    <row r="500">
      <c r="J500" s="67"/>
      <c r="K500" s="67"/>
      <c r="R500" s="67"/>
    </row>
    <row r="501">
      <c r="J501" s="67"/>
      <c r="K501" s="67"/>
      <c r="R501" s="67"/>
    </row>
    <row r="502">
      <c r="J502" s="67"/>
      <c r="K502" s="67"/>
      <c r="R502" s="67"/>
    </row>
    <row r="503">
      <c r="J503" s="67"/>
      <c r="K503" s="67"/>
      <c r="R503" s="67"/>
    </row>
    <row r="504">
      <c r="J504" s="67"/>
      <c r="K504" s="67"/>
      <c r="R504" s="67"/>
    </row>
    <row r="505">
      <c r="J505" s="67"/>
      <c r="K505" s="67"/>
      <c r="R505" s="67"/>
    </row>
    <row r="506">
      <c r="J506" s="67"/>
      <c r="K506" s="67"/>
      <c r="R506" s="67"/>
    </row>
    <row r="507">
      <c r="J507" s="67"/>
      <c r="K507" s="67"/>
      <c r="R507" s="67"/>
    </row>
    <row r="508">
      <c r="J508" s="67"/>
      <c r="K508" s="67"/>
      <c r="R508" s="67"/>
    </row>
    <row r="509">
      <c r="J509" s="67"/>
      <c r="K509" s="67"/>
      <c r="R509" s="67"/>
    </row>
    <row r="510">
      <c r="J510" s="67"/>
      <c r="K510" s="67"/>
      <c r="R510" s="67"/>
    </row>
    <row r="511">
      <c r="J511" s="67"/>
      <c r="K511" s="67"/>
      <c r="R511" s="67"/>
    </row>
    <row r="512">
      <c r="J512" s="67"/>
      <c r="K512" s="67"/>
      <c r="R512" s="67"/>
    </row>
    <row r="513">
      <c r="J513" s="67"/>
      <c r="K513" s="67"/>
      <c r="R513" s="67"/>
    </row>
    <row r="514">
      <c r="J514" s="67"/>
      <c r="K514" s="67"/>
      <c r="R514" s="67"/>
    </row>
    <row r="515">
      <c r="J515" s="67"/>
      <c r="K515" s="67"/>
      <c r="R515" s="67"/>
    </row>
    <row r="516">
      <c r="J516" s="67"/>
      <c r="K516" s="67"/>
      <c r="R516" s="67"/>
    </row>
    <row r="517">
      <c r="J517" s="67"/>
      <c r="K517" s="67"/>
      <c r="R517" s="67"/>
    </row>
    <row r="518">
      <c r="J518" s="67"/>
      <c r="K518" s="67"/>
      <c r="R518" s="67"/>
    </row>
    <row r="519">
      <c r="J519" s="67"/>
      <c r="K519" s="67"/>
      <c r="R519" s="67"/>
    </row>
    <row r="520">
      <c r="J520" s="67"/>
      <c r="K520" s="67"/>
      <c r="R520" s="67"/>
    </row>
    <row r="521">
      <c r="J521" s="67"/>
      <c r="K521" s="67"/>
      <c r="R521" s="67"/>
    </row>
    <row r="522">
      <c r="J522" s="67"/>
      <c r="K522" s="67"/>
      <c r="R522" s="67"/>
    </row>
    <row r="523">
      <c r="J523" s="67"/>
      <c r="K523" s="67"/>
      <c r="R523" s="67"/>
    </row>
    <row r="524">
      <c r="J524" s="67"/>
      <c r="K524" s="67"/>
      <c r="R524" s="67"/>
    </row>
    <row r="525">
      <c r="J525" s="67"/>
      <c r="K525" s="67"/>
      <c r="R525" s="67"/>
    </row>
    <row r="526">
      <c r="J526" s="67"/>
      <c r="K526" s="67"/>
      <c r="R526" s="67"/>
    </row>
    <row r="527">
      <c r="J527" s="67"/>
      <c r="K527" s="67"/>
      <c r="R527" s="67"/>
    </row>
    <row r="528">
      <c r="J528" s="67"/>
      <c r="K528" s="67"/>
      <c r="R528" s="67"/>
    </row>
    <row r="529">
      <c r="J529" s="67"/>
      <c r="K529" s="67"/>
      <c r="R529" s="67"/>
    </row>
    <row r="530">
      <c r="J530" s="67"/>
      <c r="K530" s="67"/>
      <c r="R530" s="67"/>
    </row>
    <row r="531">
      <c r="J531" s="67"/>
      <c r="K531" s="67"/>
      <c r="R531" s="67"/>
    </row>
    <row r="532">
      <c r="J532" s="67"/>
      <c r="K532" s="67"/>
      <c r="R532" s="67"/>
    </row>
    <row r="533">
      <c r="J533" s="67"/>
      <c r="K533" s="67"/>
      <c r="R533" s="67"/>
    </row>
    <row r="534">
      <c r="J534" s="67"/>
      <c r="K534" s="67"/>
      <c r="R534" s="67"/>
    </row>
    <row r="535">
      <c r="J535" s="67"/>
      <c r="K535" s="67"/>
      <c r="R535" s="67"/>
    </row>
    <row r="536">
      <c r="J536" s="67"/>
      <c r="K536" s="67"/>
      <c r="R536" s="67"/>
    </row>
    <row r="537">
      <c r="J537" s="67"/>
      <c r="K537" s="67"/>
      <c r="R537" s="67"/>
    </row>
    <row r="538">
      <c r="J538" s="67"/>
      <c r="K538" s="67"/>
      <c r="R538" s="67"/>
    </row>
    <row r="539">
      <c r="J539" s="67"/>
      <c r="K539" s="67"/>
      <c r="R539" s="67"/>
    </row>
    <row r="540">
      <c r="J540" s="67"/>
      <c r="K540" s="67"/>
      <c r="R540" s="67"/>
    </row>
    <row r="541">
      <c r="J541" s="67"/>
      <c r="K541" s="67"/>
      <c r="R541" s="67"/>
    </row>
    <row r="542">
      <c r="J542" s="67"/>
      <c r="K542" s="67"/>
      <c r="R542" s="67"/>
    </row>
    <row r="543">
      <c r="J543" s="67"/>
      <c r="K543" s="67"/>
      <c r="R543" s="67"/>
    </row>
    <row r="544">
      <c r="J544" s="67"/>
      <c r="K544" s="67"/>
      <c r="R544" s="67"/>
    </row>
    <row r="545">
      <c r="J545" s="67"/>
      <c r="K545" s="67"/>
      <c r="R545" s="67"/>
    </row>
    <row r="546">
      <c r="J546" s="67"/>
      <c r="K546" s="67"/>
      <c r="R546" s="67"/>
    </row>
    <row r="547">
      <c r="J547" s="67"/>
      <c r="K547" s="67"/>
      <c r="R547" s="67"/>
    </row>
    <row r="548">
      <c r="J548" s="67"/>
      <c r="K548" s="67"/>
      <c r="R548" s="67"/>
    </row>
    <row r="549">
      <c r="J549" s="67"/>
      <c r="K549" s="67"/>
      <c r="R549" s="67"/>
    </row>
    <row r="550">
      <c r="J550" s="67"/>
      <c r="K550" s="67"/>
      <c r="R550" s="67"/>
    </row>
    <row r="551">
      <c r="J551" s="67"/>
      <c r="K551" s="67"/>
      <c r="R551" s="67"/>
    </row>
    <row r="552">
      <c r="J552" s="67"/>
      <c r="K552" s="67"/>
      <c r="R552" s="67"/>
    </row>
    <row r="553">
      <c r="J553" s="67"/>
      <c r="K553" s="67"/>
      <c r="R553" s="67"/>
    </row>
    <row r="554">
      <c r="J554" s="67"/>
      <c r="K554" s="67"/>
      <c r="R554" s="67"/>
    </row>
    <row r="555">
      <c r="J555" s="67"/>
      <c r="K555" s="67"/>
      <c r="R555" s="67"/>
    </row>
    <row r="556">
      <c r="J556" s="67"/>
      <c r="K556" s="67"/>
      <c r="R556" s="67"/>
    </row>
    <row r="557">
      <c r="J557" s="67"/>
      <c r="K557" s="67"/>
      <c r="R557" s="67"/>
    </row>
    <row r="558">
      <c r="J558" s="67"/>
      <c r="K558" s="67"/>
      <c r="R558" s="67"/>
    </row>
    <row r="559">
      <c r="J559" s="67"/>
      <c r="K559" s="67"/>
      <c r="R559" s="67"/>
    </row>
    <row r="560">
      <c r="J560" s="67"/>
      <c r="K560" s="67"/>
      <c r="R560" s="67"/>
    </row>
    <row r="561">
      <c r="J561" s="67"/>
      <c r="K561" s="67"/>
      <c r="R561" s="67"/>
    </row>
    <row r="562">
      <c r="J562" s="67"/>
      <c r="K562" s="67"/>
      <c r="R562" s="67"/>
    </row>
    <row r="563">
      <c r="J563" s="67"/>
      <c r="K563" s="67"/>
      <c r="R563" s="67"/>
    </row>
    <row r="564">
      <c r="J564" s="67"/>
      <c r="K564" s="67"/>
      <c r="R564" s="67"/>
    </row>
    <row r="565">
      <c r="J565" s="67"/>
      <c r="K565" s="67"/>
      <c r="R565" s="67"/>
    </row>
    <row r="566">
      <c r="J566" s="67"/>
      <c r="K566" s="67"/>
      <c r="R566" s="67"/>
    </row>
    <row r="567">
      <c r="J567" s="67"/>
      <c r="K567" s="67"/>
      <c r="R567" s="67"/>
    </row>
    <row r="568">
      <c r="J568" s="67"/>
      <c r="K568" s="67"/>
      <c r="R568" s="67"/>
    </row>
    <row r="569">
      <c r="J569" s="67"/>
      <c r="K569" s="67"/>
      <c r="R569" s="67"/>
    </row>
    <row r="570">
      <c r="J570" s="67"/>
      <c r="K570" s="67"/>
      <c r="R570" s="67"/>
    </row>
    <row r="571">
      <c r="J571" s="67"/>
      <c r="K571" s="67"/>
      <c r="R571" s="67"/>
    </row>
    <row r="572">
      <c r="J572" s="67"/>
      <c r="K572" s="67"/>
      <c r="R572" s="67"/>
    </row>
    <row r="573">
      <c r="J573" s="67"/>
      <c r="K573" s="67"/>
      <c r="R573" s="67"/>
    </row>
    <row r="574">
      <c r="J574" s="67"/>
      <c r="K574" s="67"/>
      <c r="R574" s="67"/>
    </row>
    <row r="575">
      <c r="J575" s="67"/>
      <c r="K575" s="67"/>
      <c r="R575" s="67"/>
    </row>
    <row r="576">
      <c r="J576" s="67"/>
      <c r="K576" s="67"/>
      <c r="R576" s="67"/>
    </row>
    <row r="577">
      <c r="J577" s="67"/>
      <c r="K577" s="67"/>
      <c r="R577" s="67"/>
    </row>
    <row r="578">
      <c r="J578" s="67"/>
      <c r="K578" s="67"/>
      <c r="R578" s="67"/>
    </row>
    <row r="579">
      <c r="J579" s="67"/>
      <c r="K579" s="67"/>
      <c r="R579" s="67"/>
    </row>
    <row r="580">
      <c r="J580" s="67"/>
      <c r="K580" s="67"/>
      <c r="R580" s="67"/>
    </row>
    <row r="581">
      <c r="J581" s="67"/>
      <c r="K581" s="67"/>
      <c r="R581" s="67"/>
    </row>
    <row r="582">
      <c r="J582" s="67"/>
      <c r="K582" s="67"/>
      <c r="R582" s="67"/>
    </row>
    <row r="583">
      <c r="J583" s="67"/>
      <c r="K583" s="67"/>
      <c r="R583" s="67"/>
    </row>
    <row r="584">
      <c r="J584" s="67"/>
      <c r="K584" s="67"/>
      <c r="R584" s="67"/>
    </row>
    <row r="585">
      <c r="J585" s="67"/>
      <c r="K585" s="67"/>
      <c r="R585" s="67"/>
    </row>
    <row r="586">
      <c r="J586" s="67"/>
      <c r="K586" s="67"/>
      <c r="R586" s="67"/>
    </row>
    <row r="587">
      <c r="J587" s="67"/>
      <c r="K587" s="67"/>
      <c r="R587" s="67"/>
    </row>
    <row r="588">
      <c r="J588" s="67"/>
      <c r="K588" s="67"/>
      <c r="R588" s="67"/>
    </row>
    <row r="589">
      <c r="J589" s="67"/>
      <c r="K589" s="67"/>
      <c r="R589" s="67"/>
    </row>
    <row r="590">
      <c r="J590" s="67"/>
      <c r="K590" s="67"/>
      <c r="R590" s="67"/>
    </row>
    <row r="591">
      <c r="J591" s="67"/>
      <c r="K591" s="67"/>
      <c r="R591" s="67"/>
    </row>
    <row r="592">
      <c r="J592" s="67"/>
      <c r="K592" s="67"/>
      <c r="R592" s="67"/>
    </row>
    <row r="593">
      <c r="J593" s="67"/>
      <c r="K593" s="67"/>
      <c r="R593" s="67"/>
    </row>
    <row r="594">
      <c r="J594" s="67"/>
      <c r="K594" s="67"/>
      <c r="R594" s="67"/>
    </row>
    <row r="595">
      <c r="J595" s="67"/>
      <c r="K595" s="67"/>
      <c r="R595" s="67"/>
    </row>
    <row r="596">
      <c r="J596" s="67"/>
      <c r="K596" s="67"/>
      <c r="R596" s="67"/>
    </row>
    <row r="597">
      <c r="J597" s="67"/>
      <c r="K597" s="67"/>
      <c r="R597" s="67"/>
    </row>
    <row r="598">
      <c r="J598" s="67"/>
      <c r="K598" s="67"/>
      <c r="R598" s="67"/>
    </row>
    <row r="599">
      <c r="J599" s="67"/>
      <c r="K599" s="67"/>
      <c r="R599" s="67"/>
    </row>
    <row r="600">
      <c r="J600" s="67"/>
      <c r="K600" s="67"/>
      <c r="R600" s="67"/>
    </row>
    <row r="601">
      <c r="J601" s="67"/>
      <c r="K601" s="67"/>
      <c r="R601" s="67"/>
    </row>
    <row r="602">
      <c r="J602" s="67"/>
      <c r="K602" s="67"/>
      <c r="R602" s="67"/>
    </row>
    <row r="603">
      <c r="J603" s="67"/>
      <c r="K603" s="67"/>
      <c r="R603" s="67"/>
    </row>
    <row r="604">
      <c r="J604" s="67"/>
      <c r="K604" s="67"/>
      <c r="R604" s="67"/>
    </row>
    <row r="605">
      <c r="J605" s="67"/>
      <c r="K605" s="67"/>
      <c r="R605" s="67"/>
    </row>
    <row r="606">
      <c r="J606" s="67"/>
      <c r="K606" s="67"/>
      <c r="R606" s="67"/>
    </row>
    <row r="607">
      <c r="J607" s="67"/>
      <c r="K607" s="67"/>
      <c r="R607" s="67"/>
    </row>
    <row r="608">
      <c r="J608" s="67"/>
      <c r="K608" s="67"/>
      <c r="R608" s="67"/>
    </row>
    <row r="609">
      <c r="J609" s="67"/>
      <c r="K609" s="67"/>
      <c r="R609" s="67"/>
    </row>
    <row r="610">
      <c r="J610" s="67"/>
      <c r="K610" s="67"/>
      <c r="R610" s="67"/>
    </row>
    <row r="611">
      <c r="J611" s="67"/>
      <c r="K611" s="67"/>
      <c r="R611" s="67"/>
    </row>
    <row r="612">
      <c r="J612" s="67"/>
      <c r="K612" s="67"/>
      <c r="R612" s="67"/>
    </row>
    <row r="613">
      <c r="J613" s="67"/>
      <c r="K613" s="67"/>
      <c r="R613" s="67"/>
    </row>
    <row r="614">
      <c r="J614" s="67"/>
      <c r="K614" s="67"/>
      <c r="R614" s="67"/>
    </row>
    <row r="615">
      <c r="J615" s="67"/>
      <c r="K615" s="67"/>
      <c r="R615" s="67"/>
    </row>
    <row r="616">
      <c r="J616" s="67"/>
      <c r="K616" s="67"/>
      <c r="R616" s="67"/>
    </row>
    <row r="617">
      <c r="J617" s="67"/>
      <c r="K617" s="67"/>
      <c r="R617" s="67"/>
    </row>
    <row r="618">
      <c r="J618" s="67"/>
      <c r="K618" s="67"/>
      <c r="R618" s="67"/>
    </row>
    <row r="619">
      <c r="J619" s="67"/>
      <c r="K619" s="67"/>
      <c r="R619" s="67"/>
    </row>
    <row r="620">
      <c r="J620" s="67"/>
      <c r="K620" s="67"/>
      <c r="R620" s="67"/>
    </row>
    <row r="621">
      <c r="J621" s="67"/>
      <c r="K621" s="67"/>
      <c r="R621" s="67"/>
    </row>
    <row r="622">
      <c r="J622" s="67"/>
      <c r="K622" s="67"/>
      <c r="R622" s="67"/>
    </row>
    <row r="623">
      <c r="J623" s="67"/>
      <c r="K623" s="67"/>
      <c r="R623" s="67"/>
    </row>
    <row r="624">
      <c r="J624" s="67"/>
      <c r="K624" s="67"/>
      <c r="R624" s="67"/>
    </row>
    <row r="625">
      <c r="J625" s="67"/>
      <c r="K625" s="67"/>
      <c r="R625" s="67"/>
    </row>
    <row r="626">
      <c r="J626" s="67"/>
      <c r="K626" s="67"/>
      <c r="R626" s="67"/>
    </row>
    <row r="627">
      <c r="J627" s="67"/>
      <c r="K627" s="67"/>
      <c r="R627" s="67"/>
    </row>
    <row r="628">
      <c r="J628" s="67"/>
      <c r="K628" s="67"/>
      <c r="R628" s="67"/>
    </row>
    <row r="629">
      <c r="J629" s="67"/>
      <c r="K629" s="67"/>
      <c r="R629" s="67"/>
    </row>
    <row r="630">
      <c r="J630" s="67"/>
      <c r="K630" s="67"/>
      <c r="R630" s="67"/>
    </row>
    <row r="631">
      <c r="J631" s="67"/>
      <c r="K631" s="67"/>
      <c r="R631" s="67"/>
    </row>
    <row r="632">
      <c r="J632" s="67"/>
      <c r="K632" s="67"/>
      <c r="R632" s="67"/>
    </row>
    <row r="633">
      <c r="J633" s="67"/>
      <c r="K633" s="67"/>
      <c r="R633" s="67"/>
    </row>
    <row r="634">
      <c r="J634" s="67"/>
      <c r="K634" s="67"/>
      <c r="R634" s="67"/>
    </row>
    <row r="635">
      <c r="J635" s="67"/>
      <c r="K635" s="67"/>
      <c r="R635" s="67"/>
    </row>
    <row r="636">
      <c r="J636" s="67"/>
      <c r="K636" s="67"/>
      <c r="R636" s="67"/>
    </row>
    <row r="637">
      <c r="J637" s="67"/>
      <c r="K637" s="67"/>
      <c r="R637" s="67"/>
    </row>
    <row r="638">
      <c r="J638" s="67"/>
      <c r="K638" s="67"/>
      <c r="R638" s="67"/>
    </row>
    <row r="639">
      <c r="J639" s="67"/>
      <c r="K639" s="67"/>
      <c r="R639" s="67"/>
    </row>
    <row r="640">
      <c r="J640" s="67"/>
      <c r="K640" s="67"/>
      <c r="R640" s="67"/>
    </row>
    <row r="641">
      <c r="J641" s="67"/>
      <c r="K641" s="67"/>
      <c r="R641" s="67"/>
    </row>
    <row r="642">
      <c r="J642" s="67"/>
      <c r="K642" s="67"/>
      <c r="R642" s="67"/>
    </row>
    <row r="643">
      <c r="J643" s="67"/>
      <c r="K643" s="67"/>
      <c r="R643" s="67"/>
    </row>
    <row r="644">
      <c r="J644" s="67"/>
      <c r="K644" s="67"/>
      <c r="R644" s="67"/>
    </row>
    <row r="645">
      <c r="J645" s="67"/>
      <c r="K645" s="67"/>
      <c r="R645" s="67"/>
    </row>
    <row r="646">
      <c r="J646" s="67"/>
      <c r="K646" s="67"/>
      <c r="R646" s="67"/>
    </row>
    <row r="647">
      <c r="J647" s="67"/>
      <c r="K647" s="67"/>
      <c r="R647" s="67"/>
    </row>
    <row r="648">
      <c r="J648" s="67"/>
      <c r="K648" s="67"/>
      <c r="R648" s="67"/>
    </row>
    <row r="649">
      <c r="J649" s="67"/>
      <c r="K649" s="67"/>
      <c r="R649" s="67"/>
    </row>
    <row r="650">
      <c r="J650" s="67"/>
      <c r="K650" s="67"/>
      <c r="R650" s="67"/>
    </row>
    <row r="651">
      <c r="J651" s="67"/>
      <c r="K651" s="67"/>
      <c r="R651" s="67"/>
    </row>
    <row r="652">
      <c r="J652" s="67"/>
      <c r="K652" s="67"/>
      <c r="R652" s="67"/>
    </row>
    <row r="653">
      <c r="J653" s="67"/>
      <c r="K653" s="67"/>
      <c r="R653" s="67"/>
    </row>
    <row r="654">
      <c r="J654" s="67"/>
      <c r="K654" s="67"/>
      <c r="R654" s="67"/>
    </row>
    <row r="655">
      <c r="J655" s="67"/>
      <c r="K655" s="67"/>
      <c r="R655" s="67"/>
    </row>
    <row r="656">
      <c r="J656" s="67"/>
      <c r="K656" s="67"/>
      <c r="R656" s="67"/>
    </row>
    <row r="657">
      <c r="J657" s="67"/>
      <c r="K657" s="67"/>
      <c r="R657" s="67"/>
    </row>
    <row r="658">
      <c r="J658" s="67"/>
      <c r="K658" s="67"/>
      <c r="R658" s="67"/>
    </row>
    <row r="659">
      <c r="J659" s="67"/>
      <c r="K659" s="67"/>
      <c r="R659" s="67"/>
    </row>
    <row r="660">
      <c r="J660" s="67"/>
      <c r="K660" s="67"/>
      <c r="R660" s="67"/>
    </row>
    <row r="661">
      <c r="J661" s="67"/>
      <c r="K661" s="67"/>
      <c r="R661" s="67"/>
    </row>
    <row r="662">
      <c r="J662" s="67"/>
      <c r="K662" s="67"/>
      <c r="R662" s="67"/>
    </row>
    <row r="663">
      <c r="J663" s="67"/>
      <c r="K663" s="67"/>
      <c r="R663" s="67"/>
    </row>
    <row r="664">
      <c r="J664" s="67"/>
      <c r="K664" s="67"/>
      <c r="R664" s="67"/>
    </row>
    <row r="665">
      <c r="J665" s="67"/>
      <c r="K665" s="67"/>
      <c r="R665" s="67"/>
    </row>
    <row r="666">
      <c r="J666" s="67"/>
      <c r="K666" s="67"/>
      <c r="R666" s="67"/>
    </row>
    <row r="667">
      <c r="J667" s="67"/>
      <c r="K667" s="67"/>
      <c r="R667" s="67"/>
    </row>
    <row r="668">
      <c r="J668" s="67"/>
      <c r="K668" s="67"/>
      <c r="R668" s="67"/>
    </row>
    <row r="669">
      <c r="J669" s="67"/>
      <c r="K669" s="67"/>
      <c r="R669" s="67"/>
    </row>
    <row r="670">
      <c r="J670" s="67"/>
      <c r="K670" s="67"/>
      <c r="R670" s="67"/>
    </row>
    <row r="671">
      <c r="J671" s="67"/>
      <c r="K671" s="67"/>
      <c r="R671" s="67"/>
    </row>
    <row r="672">
      <c r="J672" s="67"/>
      <c r="K672" s="67"/>
      <c r="R672" s="67"/>
    </row>
    <row r="673">
      <c r="J673" s="67"/>
      <c r="K673" s="67"/>
      <c r="R673" s="67"/>
    </row>
    <row r="674">
      <c r="J674" s="67"/>
      <c r="K674" s="67"/>
      <c r="R674" s="67"/>
    </row>
    <row r="675">
      <c r="J675" s="67"/>
      <c r="K675" s="67"/>
      <c r="R675" s="67"/>
    </row>
    <row r="676">
      <c r="J676" s="67"/>
      <c r="K676" s="67"/>
      <c r="R676" s="67"/>
    </row>
    <row r="677">
      <c r="J677" s="67"/>
      <c r="K677" s="67"/>
      <c r="R677" s="67"/>
    </row>
    <row r="678">
      <c r="J678" s="67"/>
      <c r="K678" s="67"/>
      <c r="R678" s="67"/>
    </row>
    <row r="679">
      <c r="J679" s="67"/>
      <c r="K679" s="67"/>
      <c r="R679" s="67"/>
    </row>
    <row r="680">
      <c r="J680" s="67"/>
      <c r="K680" s="67"/>
      <c r="R680" s="67"/>
    </row>
    <row r="681">
      <c r="J681" s="67"/>
      <c r="K681" s="67"/>
      <c r="R681" s="67"/>
    </row>
    <row r="682">
      <c r="J682" s="67"/>
      <c r="K682" s="67"/>
      <c r="R682" s="67"/>
    </row>
    <row r="683">
      <c r="J683" s="67"/>
      <c r="K683" s="67"/>
      <c r="R683" s="67"/>
    </row>
    <row r="684">
      <c r="J684" s="67"/>
      <c r="K684" s="67"/>
      <c r="R684" s="67"/>
    </row>
    <row r="685">
      <c r="J685" s="67"/>
      <c r="K685" s="67"/>
      <c r="R685" s="67"/>
    </row>
    <row r="686">
      <c r="J686" s="67"/>
      <c r="K686" s="67"/>
      <c r="R686" s="67"/>
    </row>
    <row r="687">
      <c r="J687" s="67"/>
      <c r="K687" s="67"/>
      <c r="R687" s="67"/>
    </row>
    <row r="688">
      <c r="J688" s="67"/>
      <c r="K688" s="67"/>
      <c r="R688" s="67"/>
    </row>
    <row r="689">
      <c r="J689" s="67"/>
      <c r="K689" s="67"/>
      <c r="R689" s="67"/>
    </row>
    <row r="690">
      <c r="J690" s="67"/>
      <c r="K690" s="67"/>
      <c r="R690" s="67"/>
    </row>
    <row r="691">
      <c r="J691" s="67"/>
      <c r="K691" s="67"/>
      <c r="R691" s="67"/>
    </row>
    <row r="692">
      <c r="J692" s="67"/>
      <c r="K692" s="67"/>
      <c r="R692" s="67"/>
    </row>
    <row r="693">
      <c r="J693" s="67"/>
      <c r="K693" s="67"/>
      <c r="R693" s="67"/>
    </row>
    <row r="694">
      <c r="J694" s="67"/>
      <c r="K694" s="67"/>
      <c r="R694" s="67"/>
    </row>
    <row r="695">
      <c r="J695" s="67"/>
      <c r="K695" s="67"/>
      <c r="R695" s="67"/>
    </row>
    <row r="696">
      <c r="J696" s="67"/>
      <c r="K696" s="67"/>
      <c r="R696" s="67"/>
    </row>
    <row r="697">
      <c r="J697" s="67"/>
      <c r="K697" s="67"/>
      <c r="R697" s="67"/>
    </row>
    <row r="698">
      <c r="J698" s="67"/>
      <c r="K698" s="67"/>
      <c r="R698" s="67"/>
    </row>
    <row r="699">
      <c r="J699" s="67"/>
      <c r="K699" s="67"/>
      <c r="R699" s="67"/>
    </row>
    <row r="700">
      <c r="J700" s="67"/>
      <c r="K700" s="67"/>
      <c r="R700" s="67"/>
    </row>
    <row r="701">
      <c r="J701" s="67"/>
      <c r="K701" s="67"/>
      <c r="R701" s="67"/>
    </row>
    <row r="702">
      <c r="J702" s="67"/>
      <c r="K702" s="67"/>
      <c r="R702" s="67"/>
    </row>
    <row r="703">
      <c r="J703" s="67"/>
      <c r="K703" s="67"/>
      <c r="R703" s="67"/>
    </row>
    <row r="704">
      <c r="J704" s="67"/>
      <c r="K704" s="67"/>
      <c r="R704" s="67"/>
    </row>
    <row r="705">
      <c r="J705" s="67"/>
      <c r="K705" s="67"/>
      <c r="R705" s="67"/>
    </row>
    <row r="706">
      <c r="J706" s="67"/>
      <c r="K706" s="67"/>
      <c r="R706" s="67"/>
    </row>
    <row r="707">
      <c r="J707" s="67"/>
      <c r="K707" s="67"/>
      <c r="R707" s="67"/>
    </row>
    <row r="708">
      <c r="J708" s="67"/>
      <c r="K708" s="67"/>
      <c r="R708" s="67"/>
    </row>
    <row r="709">
      <c r="J709" s="67"/>
      <c r="K709" s="67"/>
      <c r="R709" s="67"/>
    </row>
    <row r="710">
      <c r="J710" s="67"/>
      <c r="K710" s="67"/>
      <c r="R710" s="67"/>
    </row>
    <row r="711">
      <c r="J711" s="67"/>
      <c r="K711" s="67"/>
      <c r="R711" s="67"/>
    </row>
    <row r="712">
      <c r="J712" s="67"/>
      <c r="K712" s="67"/>
      <c r="R712" s="67"/>
    </row>
    <row r="713">
      <c r="J713" s="67"/>
      <c r="K713" s="67"/>
      <c r="R713" s="67"/>
    </row>
    <row r="714">
      <c r="J714" s="67"/>
      <c r="K714" s="67"/>
      <c r="R714" s="67"/>
    </row>
    <row r="715">
      <c r="J715" s="67"/>
      <c r="K715" s="67"/>
      <c r="R715" s="67"/>
    </row>
    <row r="716">
      <c r="J716" s="67"/>
      <c r="K716" s="67"/>
      <c r="R716" s="67"/>
    </row>
    <row r="717">
      <c r="J717" s="67"/>
      <c r="K717" s="67"/>
      <c r="R717" s="67"/>
    </row>
    <row r="718">
      <c r="J718" s="67"/>
      <c r="K718" s="67"/>
      <c r="R718" s="67"/>
    </row>
    <row r="719">
      <c r="J719" s="67"/>
      <c r="K719" s="67"/>
      <c r="R719" s="67"/>
    </row>
    <row r="720">
      <c r="J720" s="67"/>
      <c r="K720" s="67"/>
      <c r="R720" s="67"/>
    </row>
    <row r="721">
      <c r="J721" s="67"/>
      <c r="K721" s="67"/>
      <c r="R721" s="67"/>
    </row>
    <row r="722">
      <c r="J722" s="67"/>
      <c r="K722" s="67"/>
      <c r="R722" s="67"/>
    </row>
    <row r="723">
      <c r="J723" s="67"/>
      <c r="K723" s="67"/>
      <c r="R723" s="67"/>
    </row>
    <row r="724">
      <c r="J724" s="67"/>
      <c r="K724" s="67"/>
      <c r="R724" s="67"/>
    </row>
    <row r="725">
      <c r="J725" s="67"/>
      <c r="K725" s="67"/>
      <c r="R725" s="67"/>
    </row>
    <row r="726">
      <c r="J726" s="67"/>
      <c r="K726" s="67"/>
      <c r="R726" s="67"/>
    </row>
    <row r="727">
      <c r="J727" s="67"/>
      <c r="K727" s="67"/>
      <c r="R727" s="67"/>
    </row>
    <row r="728">
      <c r="J728" s="67"/>
      <c r="K728" s="67"/>
      <c r="R728" s="67"/>
    </row>
    <row r="729">
      <c r="J729" s="67"/>
      <c r="K729" s="67"/>
      <c r="R729" s="67"/>
    </row>
    <row r="730">
      <c r="J730" s="67"/>
      <c r="K730" s="67"/>
      <c r="R730" s="67"/>
    </row>
    <row r="731">
      <c r="J731" s="67"/>
      <c r="K731" s="67"/>
      <c r="R731" s="67"/>
    </row>
    <row r="732">
      <c r="J732" s="67"/>
      <c r="K732" s="67"/>
      <c r="R732" s="67"/>
    </row>
    <row r="733">
      <c r="J733" s="67"/>
      <c r="K733" s="67"/>
      <c r="R733" s="67"/>
    </row>
    <row r="734">
      <c r="J734" s="67"/>
      <c r="K734" s="67"/>
      <c r="R734" s="67"/>
    </row>
    <row r="735">
      <c r="J735" s="67"/>
      <c r="K735" s="67"/>
      <c r="R735" s="67"/>
    </row>
    <row r="736">
      <c r="J736" s="67"/>
      <c r="K736" s="67"/>
      <c r="R736" s="67"/>
    </row>
    <row r="737">
      <c r="J737" s="67"/>
      <c r="K737" s="67"/>
      <c r="R737" s="67"/>
    </row>
    <row r="738">
      <c r="J738" s="67"/>
      <c r="K738" s="67"/>
      <c r="R738" s="67"/>
    </row>
    <row r="739">
      <c r="J739" s="67"/>
      <c r="K739" s="67"/>
      <c r="R739" s="67"/>
    </row>
    <row r="740">
      <c r="J740" s="67"/>
      <c r="K740" s="67"/>
      <c r="R740" s="67"/>
    </row>
    <row r="741">
      <c r="J741" s="67"/>
      <c r="K741" s="67"/>
      <c r="R741" s="67"/>
    </row>
    <row r="742">
      <c r="J742" s="67"/>
      <c r="K742" s="67"/>
      <c r="R742" s="67"/>
    </row>
    <row r="743">
      <c r="J743" s="67"/>
      <c r="K743" s="67"/>
      <c r="R743" s="67"/>
    </row>
    <row r="744">
      <c r="J744" s="67"/>
      <c r="K744" s="67"/>
      <c r="R744" s="67"/>
    </row>
    <row r="745">
      <c r="J745" s="67"/>
      <c r="K745" s="67"/>
      <c r="R745" s="67"/>
    </row>
    <row r="746">
      <c r="J746" s="67"/>
      <c r="K746" s="67"/>
      <c r="R746" s="67"/>
    </row>
    <row r="747">
      <c r="J747" s="67"/>
      <c r="K747" s="67"/>
      <c r="R747" s="67"/>
    </row>
    <row r="748">
      <c r="J748" s="67"/>
      <c r="K748" s="67"/>
      <c r="R748" s="67"/>
    </row>
    <row r="749">
      <c r="J749" s="67"/>
      <c r="K749" s="67"/>
      <c r="R749" s="67"/>
    </row>
    <row r="750">
      <c r="J750" s="67"/>
      <c r="K750" s="67"/>
      <c r="R750" s="67"/>
    </row>
    <row r="751">
      <c r="J751" s="67"/>
      <c r="K751" s="67"/>
      <c r="R751" s="67"/>
    </row>
    <row r="752">
      <c r="J752" s="67"/>
      <c r="K752" s="67"/>
      <c r="R752" s="67"/>
    </row>
    <row r="753">
      <c r="J753" s="67"/>
      <c r="K753" s="67"/>
      <c r="R753" s="67"/>
    </row>
    <row r="754">
      <c r="J754" s="67"/>
      <c r="K754" s="67"/>
      <c r="R754" s="67"/>
    </row>
    <row r="755">
      <c r="J755" s="67"/>
      <c r="K755" s="67"/>
      <c r="R755" s="67"/>
    </row>
    <row r="756">
      <c r="J756" s="67"/>
      <c r="K756" s="67"/>
      <c r="R756" s="67"/>
    </row>
    <row r="757">
      <c r="J757" s="67"/>
      <c r="K757" s="67"/>
      <c r="R757" s="67"/>
    </row>
    <row r="758">
      <c r="J758" s="67"/>
      <c r="K758" s="67"/>
      <c r="R758" s="67"/>
    </row>
    <row r="759">
      <c r="J759" s="67"/>
      <c r="K759" s="67"/>
      <c r="R759" s="67"/>
    </row>
    <row r="760">
      <c r="J760" s="67"/>
      <c r="K760" s="67"/>
      <c r="R760" s="67"/>
    </row>
    <row r="761">
      <c r="J761" s="67"/>
      <c r="K761" s="67"/>
      <c r="R761" s="67"/>
    </row>
    <row r="762">
      <c r="J762" s="67"/>
      <c r="K762" s="67"/>
      <c r="R762" s="67"/>
    </row>
    <row r="763">
      <c r="J763" s="67"/>
      <c r="K763" s="67"/>
      <c r="R763" s="67"/>
    </row>
    <row r="764">
      <c r="J764" s="67"/>
      <c r="K764" s="67"/>
      <c r="R764" s="67"/>
    </row>
    <row r="765">
      <c r="J765" s="67"/>
      <c r="K765" s="67"/>
      <c r="R765" s="67"/>
    </row>
    <row r="766">
      <c r="J766" s="67"/>
      <c r="K766" s="67"/>
      <c r="R766" s="67"/>
    </row>
    <row r="767">
      <c r="J767" s="67"/>
      <c r="K767" s="67"/>
      <c r="R767" s="67"/>
    </row>
    <row r="768">
      <c r="J768" s="67"/>
      <c r="K768" s="67"/>
      <c r="R768" s="67"/>
    </row>
    <row r="769">
      <c r="J769" s="67"/>
      <c r="K769" s="67"/>
      <c r="R769" s="67"/>
    </row>
    <row r="770">
      <c r="J770" s="67"/>
      <c r="K770" s="67"/>
      <c r="R770" s="67"/>
    </row>
    <row r="771">
      <c r="J771" s="67"/>
      <c r="K771" s="67"/>
      <c r="R771" s="67"/>
    </row>
    <row r="772">
      <c r="J772" s="67"/>
      <c r="K772" s="67"/>
      <c r="R772" s="67"/>
    </row>
    <row r="773">
      <c r="J773" s="67"/>
      <c r="K773" s="67"/>
      <c r="R773" s="67"/>
    </row>
    <row r="774">
      <c r="J774" s="67"/>
      <c r="K774" s="67"/>
      <c r="R774" s="67"/>
    </row>
    <row r="775">
      <c r="J775" s="67"/>
      <c r="K775" s="67"/>
      <c r="R775" s="67"/>
    </row>
    <row r="776">
      <c r="J776" s="67"/>
      <c r="K776" s="67"/>
      <c r="R776" s="67"/>
    </row>
    <row r="777">
      <c r="J777" s="67"/>
      <c r="K777" s="67"/>
      <c r="R777" s="67"/>
    </row>
    <row r="778">
      <c r="J778" s="67"/>
      <c r="K778" s="67"/>
      <c r="R778" s="67"/>
    </row>
    <row r="779">
      <c r="J779" s="67"/>
      <c r="K779" s="67"/>
      <c r="R779" s="67"/>
    </row>
    <row r="780">
      <c r="J780" s="67"/>
      <c r="K780" s="67"/>
      <c r="R780" s="67"/>
    </row>
    <row r="781">
      <c r="J781" s="67"/>
      <c r="K781" s="67"/>
      <c r="R781" s="67"/>
    </row>
    <row r="782">
      <c r="J782" s="67"/>
      <c r="K782" s="67"/>
      <c r="R782" s="67"/>
    </row>
    <row r="783">
      <c r="J783" s="67"/>
      <c r="K783" s="67"/>
      <c r="R783" s="67"/>
    </row>
    <row r="784">
      <c r="J784" s="67"/>
      <c r="K784" s="67"/>
      <c r="R784" s="67"/>
    </row>
    <row r="785">
      <c r="J785" s="67"/>
      <c r="K785" s="67"/>
      <c r="R785" s="67"/>
    </row>
    <row r="786">
      <c r="J786" s="67"/>
      <c r="K786" s="67"/>
      <c r="R786" s="67"/>
    </row>
    <row r="787">
      <c r="J787" s="67"/>
      <c r="K787" s="67"/>
      <c r="R787" s="67"/>
    </row>
    <row r="788">
      <c r="J788" s="67"/>
      <c r="K788" s="67"/>
      <c r="R788" s="67"/>
    </row>
    <row r="789">
      <c r="J789" s="67"/>
      <c r="K789" s="67"/>
      <c r="R789" s="67"/>
    </row>
    <row r="790">
      <c r="J790" s="67"/>
      <c r="K790" s="67"/>
      <c r="R790" s="67"/>
    </row>
    <row r="791">
      <c r="J791" s="67"/>
      <c r="K791" s="67"/>
      <c r="R791" s="67"/>
    </row>
    <row r="792">
      <c r="J792" s="67"/>
      <c r="K792" s="67"/>
      <c r="R792" s="67"/>
    </row>
    <row r="793">
      <c r="J793" s="67"/>
      <c r="K793" s="67"/>
      <c r="R793" s="67"/>
    </row>
    <row r="794">
      <c r="J794" s="67"/>
      <c r="K794" s="67"/>
      <c r="R794" s="67"/>
    </row>
    <row r="795">
      <c r="J795" s="67"/>
      <c r="K795" s="67"/>
      <c r="R795" s="67"/>
    </row>
    <row r="796">
      <c r="J796" s="67"/>
      <c r="K796" s="67"/>
      <c r="R796" s="67"/>
    </row>
    <row r="797">
      <c r="J797" s="67"/>
      <c r="K797" s="67"/>
      <c r="R797" s="67"/>
    </row>
    <row r="798">
      <c r="J798" s="67"/>
      <c r="K798" s="67"/>
      <c r="R798" s="67"/>
    </row>
    <row r="799">
      <c r="J799" s="67"/>
      <c r="K799" s="67"/>
      <c r="R799" s="67"/>
    </row>
    <row r="800">
      <c r="J800" s="67"/>
      <c r="K800" s="67"/>
      <c r="R800" s="67"/>
    </row>
    <row r="801">
      <c r="J801" s="67"/>
      <c r="K801" s="67"/>
      <c r="R801" s="67"/>
    </row>
    <row r="802">
      <c r="J802" s="67"/>
      <c r="K802" s="67"/>
      <c r="R802" s="67"/>
    </row>
    <row r="803">
      <c r="J803" s="67"/>
      <c r="K803" s="67"/>
      <c r="R803" s="67"/>
    </row>
    <row r="804">
      <c r="J804" s="67"/>
      <c r="K804" s="67"/>
      <c r="R804" s="67"/>
    </row>
    <row r="805">
      <c r="J805" s="67"/>
      <c r="K805" s="67"/>
      <c r="R805" s="67"/>
    </row>
    <row r="806">
      <c r="J806" s="67"/>
      <c r="K806" s="67"/>
      <c r="R806" s="67"/>
    </row>
    <row r="807">
      <c r="J807" s="67"/>
      <c r="K807" s="67"/>
      <c r="R807" s="67"/>
    </row>
    <row r="808">
      <c r="J808" s="67"/>
      <c r="K808" s="67"/>
      <c r="R808" s="67"/>
    </row>
    <row r="809">
      <c r="J809" s="67"/>
      <c r="K809" s="67"/>
      <c r="R809" s="67"/>
    </row>
    <row r="810">
      <c r="J810" s="67"/>
      <c r="K810" s="67"/>
      <c r="R810" s="67"/>
    </row>
    <row r="811">
      <c r="J811" s="67"/>
      <c r="K811" s="67"/>
      <c r="R811" s="67"/>
    </row>
    <row r="812">
      <c r="J812" s="67"/>
      <c r="K812" s="67"/>
      <c r="R812" s="67"/>
    </row>
    <row r="813">
      <c r="J813" s="67"/>
      <c r="K813" s="67"/>
      <c r="R813" s="67"/>
    </row>
    <row r="814">
      <c r="J814" s="67"/>
      <c r="K814" s="67"/>
      <c r="R814" s="67"/>
    </row>
    <row r="815">
      <c r="J815" s="67"/>
      <c r="K815" s="67"/>
      <c r="R815" s="67"/>
    </row>
    <row r="816">
      <c r="J816" s="67"/>
      <c r="K816" s="67"/>
      <c r="R816" s="67"/>
    </row>
    <row r="817">
      <c r="J817" s="67"/>
      <c r="K817" s="67"/>
      <c r="R817" s="67"/>
    </row>
    <row r="818">
      <c r="J818" s="67"/>
      <c r="K818" s="67"/>
      <c r="R818" s="67"/>
    </row>
    <row r="819">
      <c r="J819" s="67"/>
      <c r="K819" s="67"/>
      <c r="R819" s="67"/>
    </row>
    <row r="820">
      <c r="J820" s="67"/>
      <c r="K820" s="67"/>
      <c r="R820" s="67"/>
    </row>
    <row r="821">
      <c r="J821" s="67"/>
      <c r="K821" s="67"/>
      <c r="R821" s="67"/>
    </row>
    <row r="822">
      <c r="J822" s="67"/>
      <c r="K822" s="67"/>
      <c r="R822" s="67"/>
    </row>
    <row r="823">
      <c r="J823" s="67"/>
      <c r="K823" s="67"/>
      <c r="R823" s="67"/>
    </row>
    <row r="824">
      <c r="J824" s="67"/>
      <c r="K824" s="67"/>
      <c r="R824" s="67"/>
    </row>
    <row r="825">
      <c r="J825" s="67"/>
      <c r="K825" s="67"/>
      <c r="R825" s="67"/>
    </row>
    <row r="826">
      <c r="J826" s="67"/>
      <c r="K826" s="67"/>
      <c r="R826" s="67"/>
    </row>
    <row r="827">
      <c r="J827" s="67"/>
      <c r="K827" s="67"/>
      <c r="R827" s="67"/>
    </row>
    <row r="828">
      <c r="J828" s="67"/>
      <c r="K828" s="67"/>
      <c r="R828" s="67"/>
    </row>
    <row r="829">
      <c r="J829" s="67"/>
      <c r="K829" s="67"/>
      <c r="R829" s="67"/>
    </row>
    <row r="830">
      <c r="J830" s="67"/>
      <c r="K830" s="67"/>
      <c r="R830" s="67"/>
    </row>
    <row r="831">
      <c r="J831" s="67"/>
      <c r="K831" s="67"/>
      <c r="R831" s="67"/>
    </row>
    <row r="832">
      <c r="J832" s="67"/>
      <c r="K832" s="67"/>
      <c r="R832" s="67"/>
    </row>
    <row r="833">
      <c r="J833" s="67"/>
      <c r="K833" s="67"/>
      <c r="R833" s="67"/>
    </row>
    <row r="834">
      <c r="J834" s="67"/>
      <c r="K834" s="67"/>
      <c r="R834" s="67"/>
    </row>
    <row r="835">
      <c r="J835" s="67"/>
      <c r="K835" s="67"/>
      <c r="R835" s="67"/>
    </row>
    <row r="836">
      <c r="J836" s="67"/>
      <c r="K836" s="67"/>
      <c r="R836" s="67"/>
    </row>
    <row r="837">
      <c r="J837" s="67"/>
      <c r="K837" s="67"/>
      <c r="R837" s="67"/>
    </row>
    <row r="838">
      <c r="J838" s="67"/>
      <c r="K838" s="67"/>
      <c r="R838" s="67"/>
    </row>
    <row r="839">
      <c r="J839" s="67"/>
      <c r="K839" s="67"/>
      <c r="R839" s="67"/>
    </row>
    <row r="840">
      <c r="J840" s="67"/>
      <c r="K840" s="67"/>
      <c r="R840" s="67"/>
    </row>
    <row r="841">
      <c r="J841" s="67"/>
      <c r="K841" s="67"/>
      <c r="R841" s="67"/>
    </row>
    <row r="842">
      <c r="J842" s="67"/>
      <c r="K842" s="67"/>
      <c r="R842" s="67"/>
    </row>
    <row r="843">
      <c r="J843" s="67"/>
      <c r="K843" s="67"/>
      <c r="R843" s="67"/>
    </row>
    <row r="844">
      <c r="J844" s="67"/>
      <c r="K844" s="67"/>
      <c r="R844" s="67"/>
    </row>
    <row r="845">
      <c r="J845" s="67"/>
      <c r="K845" s="67"/>
      <c r="R845" s="67"/>
    </row>
    <row r="846">
      <c r="J846" s="67"/>
      <c r="K846" s="67"/>
      <c r="R846" s="67"/>
    </row>
    <row r="847">
      <c r="J847" s="67"/>
      <c r="K847" s="67"/>
      <c r="R847" s="67"/>
    </row>
    <row r="848">
      <c r="J848" s="67"/>
      <c r="K848" s="67"/>
      <c r="R848" s="67"/>
    </row>
    <row r="849">
      <c r="J849" s="67"/>
      <c r="K849" s="67"/>
      <c r="R849" s="67"/>
    </row>
    <row r="850">
      <c r="J850" s="67"/>
      <c r="K850" s="67"/>
      <c r="R850" s="67"/>
    </row>
    <row r="851">
      <c r="J851" s="67"/>
      <c r="K851" s="67"/>
      <c r="R851" s="67"/>
    </row>
    <row r="852">
      <c r="J852" s="67"/>
      <c r="K852" s="67"/>
      <c r="R852" s="67"/>
    </row>
    <row r="853">
      <c r="J853" s="67"/>
      <c r="K853" s="67"/>
      <c r="R853" s="67"/>
    </row>
    <row r="854">
      <c r="J854" s="67"/>
      <c r="K854" s="67"/>
      <c r="R854" s="67"/>
    </row>
    <row r="855">
      <c r="J855" s="67"/>
      <c r="K855" s="67"/>
      <c r="R855" s="67"/>
    </row>
    <row r="856">
      <c r="J856" s="67"/>
      <c r="K856" s="67"/>
      <c r="R856" s="67"/>
    </row>
    <row r="857">
      <c r="J857" s="67"/>
      <c r="K857" s="67"/>
      <c r="R857" s="67"/>
    </row>
    <row r="858">
      <c r="J858" s="67"/>
      <c r="K858" s="67"/>
      <c r="R858" s="67"/>
    </row>
    <row r="859">
      <c r="J859" s="67"/>
      <c r="K859" s="67"/>
      <c r="R859" s="67"/>
    </row>
    <row r="860">
      <c r="J860" s="67"/>
      <c r="K860" s="67"/>
      <c r="R860" s="67"/>
    </row>
    <row r="861">
      <c r="J861" s="67"/>
      <c r="K861" s="67"/>
      <c r="R861" s="67"/>
    </row>
    <row r="862">
      <c r="J862" s="67"/>
      <c r="K862" s="67"/>
      <c r="R862" s="67"/>
    </row>
    <row r="863">
      <c r="J863" s="67"/>
      <c r="K863" s="67"/>
      <c r="R863" s="67"/>
    </row>
    <row r="864">
      <c r="J864" s="67"/>
      <c r="K864" s="67"/>
      <c r="R864" s="67"/>
    </row>
    <row r="865">
      <c r="J865" s="67"/>
      <c r="K865" s="67"/>
      <c r="R865" s="67"/>
    </row>
    <row r="866">
      <c r="J866" s="67"/>
      <c r="K866" s="67"/>
      <c r="R866" s="67"/>
    </row>
    <row r="867">
      <c r="J867" s="67"/>
      <c r="K867" s="67"/>
      <c r="R867" s="67"/>
    </row>
    <row r="868">
      <c r="J868" s="67"/>
      <c r="K868" s="67"/>
      <c r="R868" s="67"/>
    </row>
    <row r="869">
      <c r="J869" s="67"/>
      <c r="K869" s="67"/>
      <c r="R869" s="67"/>
    </row>
    <row r="870">
      <c r="J870" s="67"/>
      <c r="K870" s="67"/>
      <c r="R870" s="67"/>
    </row>
    <row r="871">
      <c r="J871" s="67"/>
      <c r="K871" s="67"/>
      <c r="R871" s="67"/>
    </row>
    <row r="872">
      <c r="J872" s="67"/>
      <c r="K872" s="67"/>
      <c r="R872" s="67"/>
    </row>
    <row r="873">
      <c r="J873" s="67"/>
      <c r="K873" s="67"/>
      <c r="R873" s="67"/>
    </row>
    <row r="874">
      <c r="J874" s="67"/>
      <c r="K874" s="67"/>
      <c r="R874" s="67"/>
    </row>
    <row r="875">
      <c r="J875" s="67"/>
      <c r="K875" s="67"/>
      <c r="R875" s="67"/>
    </row>
    <row r="876">
      <c r="J876" s="67"/>
      <c r="K876" s="67"/>
      <c r="R876" s="67"/>
    </row>
    <row r="877">
      <c r="J877" s="67"/>
      <c r="K877" s="67"/>
      <c r="R877" s="67"/>
    </row>
    <row r="878">
      <c r="J878" s="67"/>
      <c r="K878" s="67"/>
      <c r="R878" s="67"/>
    </row>
    <row r="879">
      <c r="J879" s="67"/>
      <c r="K879" s="67"/>
      <c r="R879" s="67"/>
    </row>
    <row r="880">
      <c r="J880" s="67"/>
      <c r="K880" s="67"/>
      <c r="R880" s="67"/>
    </row>
    <row r="881">
      <c r="J881" s="67"/>
      <c r="K881" s="67"/>
      <c r="R881" s="67"/>
    </row>
    <row r="882">
      <c r="J882" s="67"/>
      <c r="K882" s="67"/>
      <c r="R882" s="67"/>
    </row>
    <row r="883">
      <c r="J883" s="67"/>
      <c r="K883" s="67"/>
      <c r="R883" s="67"/>
    </row>
    <row r="884">
      <c r="J884" s="67"/>
      <c r="K884" s="67"/>
      <c r="R884" s="67"/>
    </row>
    <row r="885">
      <c r="J885" s="67"/>
      <c r="K885" s="67"/>
      <c r="R885" s="67"/>
    </row>
    <row r="886">
      <c r="J886" s="67"/>
      <c r="K886" s="67"/>
      <c r="R886" s="67"/>
    </row>
    <row r="887">
      <c r="J887" s="67"/>
      <c r="K887" s="67"/>
      <c r="R887" s="67"/>
    </row>
    <row r="888">
      <c r="J888" s="67"/>
      <c r="K888" s="67"/>
      <c r="R888" s="67"/>
    </row>
    <row r="889">
      <c r="J889" s="67"/>
      <c r="K889" s="67"/>
      <c r="R889" s="67"/>
    </row>
    <row r="890">
      <c r="J890" s="67"/>
      <c r="K890" s="67"/>
      <c r="R890" s="67"/>
    </row>
    <row r="891">
      <c r="J891" s="67"/>
      <c r="K891" s="67"/>
      <c r="R891" s="67"/>
    </row>
    <row r="892">
      <c r="J892" s="67"/>
      <c r="K892" s="67"/>
      <c r="R892" s="67"/>
    </row>
    <row r="893">
      <c r="J893" s="67"/>
      <c r="K893" s="67"/>
      <c r="R893" s="67"/>
    </row>
    <row r="894">
      <c r="J894" s="67"/>
      <c r="K894" s="67"/>
      <c r="R894" s="67"/>
    </row>
    <row r="895">
      <c r="J895" s="67"/>
      <c r="K895" s="67"/>
      <c r="R895" s="67"/>
    </row>
    <row r="896">
      <c r="J896" s="67"/>
      <c r="K896" s="67"/>
      <c r="R896" s="67"/>
    </row>
    <row r="897">
      <c r="J897" s="67"/>
      <c r="K897" s="67"/>
      <c r="R897" s="67"/>
    </row>
    <row r="898">
      <c r="J898" s="67"/>
      <c r="K898" s="67"/>
      <c r="R898" s="67"/>
    </row>
    <row r="899">
      <c r="J899" s="67"/>
      <c r="K899" s="67"/>
      <c r="R899" s="67"/>
    </row>
    <row r="900">
      <c r="J900" s="67"/>
      <c r="K900" s="67"/>
      <c r="R900" s="67"/>
    </row>
    <row r="901">
      <c r="J901" s="67"/>
      <c r="K901" s="67"/>
      <c r="R901" s="67"/>
    </row>
    <row r="902">
      <c r="J902" s="67"/>
      <c r="K902" s="67"/>
      <c r="R902" s="67"/>
    </row>
    <row r="903">
      <c r="J903" s="67"/>
      <c r="K903" s="67"/>
      <c r="R903" s="67"/>
    </row>
    <row r="904">
      <c r="J904" s="67"/>
      <c r="K904" s="67"/>
      <c r="R904" s="67"/>
    </row>
    <row r="905">
      <c r="J905" s="67"/>
      <c r="K905" s="67"/>
      <c r="R905" s="67"/>
    </row>
    <row r="906">
      <c r="J906" s="67"/>
      <c r="K906" s="67"/>
      <c r="R906" s="67"/>
    </row>
    <row r="907">
      <c r="J907" s="67"/>
      <c r="K907" s="67"/>
      <c r="R907" s="67"/>
    </row>
    <row r="908">
      <c r="J908" s="67"/>
      <c r="K908" s="67"/>
      <c r="R908" s="67"/>
    </row>
    <row r="909">
      <c r="J909" s="67"/>
      <c r="K909" s="67"/>
      <c r="R909" s="67"/>
    </row>
    <row r="910">
      <c r="J910" s="67"/>
      <c r="K910" s="67"/>
      <c r="R910" s="67"/>
    </row>
    <row r="911">
      <c r="J911" s="67"/>
      <c r="K911" s="67"/>
      <c r="R911" s="67"/>
    </row>
    <row r="912">
      <c r="J912" s="67"/>
      <c r="K912" s="67"/>
      <c r="R912" s="67"/>
    </row>
    <row r="913">
      <c r="J913" s="67"/>
      <c r="K913" s="67"/>
      <c r="R913" s="67"/>
    </row>
    <row r="914">
      <c r="J914" s="67"/>
      <c r="K914" s="67"/>
      <c r="R914" s="67"/>
    </row>
    <row r="915">
      <c r="J915" s="67"/>
      <c r="K915" s="67"/>
      <c r="R915" s="67"/>
    </row>
    <row r="916">
      <c r="J916" s="67"/>
      <c r="K916" s="67"/>
      <c r="R916" s="67"/>
    </row>
    <row r="917">
      <c r="J917" s="67"/>
      <c r="K917" s="67"/>
      <c r="R917" s="67"/>
    </row>
    <row r="918">
      <c r="J918" s="67"/>
      <c r="K918" s="67"/>
      <c r="R918" s="67"/>
    </row>
    <row r="919">
      <c r="J919" s="67"/>
      <c r="K919" s="67"/>
      <c r="R919" s="67"/>
    </row>
    <row r="920">
      <c r="J920" s="67"/>
      <c r="K920" s="67"/>
      <c r="R920" s="67"/>
    </row>
    <row r="921">
      <c r="J921" s="67"/>
      <c r="K921" s="67"/>
      <c r="R921" s="67"/>
    </row>
    <row r="922">
      <c r="J922" s="67"/>
      <c r="K922" s="67"/>
      <c r="R922" s="67"/>
    </row>
    <row r="923">
      <c r="J923" s="67"/>
      <c r="K923" s="67"/>
      <c r="R923" s="67"/>
    </row>
    <row r="924">
      <c r="J924" s="67"/>
      <c r="K924" s="67"/>
      <c r="R924" s="67"/>
    </row>
    <row r="925">
      <c r="J925" s="67"/>
      <c r="K925" s="67"/>
      <c r="R925" s="67"/>
    </row>
    <row r="926">
      <c r="J926" s="67"/>
      <c r="K926" s="67"/>
      <c r="R926" s="67"/>
    </row>
    <row r="927">
      <c r="J927" s="67"/>
      <c r="K927" s="67"/>
      <c r="R927" s="67"/>
    </row>
    <row r="928">
      <c r="J928" s="67"/>
      <c r="K928" s="67"/>
      <c r="R928" s="67"/>
    </row>
    <row r="929">
      <c r="J929" s="67"/>
      <c r="K929" s="67"/>
      <c r="R929" s="67"/>
    </row>
    <row r="930">
      <c r="J930" s="67"/>
      <c r="K930" s="67"/>
      <c r="R930" s="67"/>
    </row>
    <row r="931">
      <c r="J931" s="67"/>
      <c r="K931" s="67"/>
      <c r="R931" s="67"/>
    </row>
    <row r="932">
      <c r="J932" s="67"/>
      <c r="K932" s="67"/>
      <c r="R932" s="67"/>
    </row>
    <row r="933">
      <c r="J933" s="67"/>
      <c r="K933" s="67"/>
      <c r="R933" s="67"/>
    </row>
    <row r="934">
      <c r="J934" s="67"/>
      <c r="K934" s="67"/>
      <c r="R934" s="67"/>
    </row>
    <row r="935">
      <c r="J935" s="67"/>
      <c r="K935" s="67"/>
      <c r="R935" s="67"/>
    </row>
    <row r="936">
      <c r="J936" s="67"/>
      <c r="K936" s="67"/>
      <c r="R936" s="67"/>
    </row>
    <row r="937">
      <c r="J937" s="67"/>
      <c r="K937" s="67"/>
      <c r="R937" s="67"/>
    </row>
    <row r="938">
      <c r="J938" s="67"/>
      <c r="K938" s="67"/>
      <c r="R938" s="67"/>
    </row>
    <row r="939">
      <c r="J939" s="67"/>
      <c r="K939" s="67"/>
      <c r="R939" s="67"/>
    </row>
    <row r="940">
      <c r="J940" s="67"/>
      <c r="K940" s="67"/>
      <c r="R940" s="67"/>
    </row>
    <row r="941">
      <c r="J941" s="67"/>
      <c r="K941" s="67"/>
      <c r="R941" s="67"/>
    </row>
    <row r="942">
      <c r="J942" s="67"/>
      <c r="K942" s="67"/>
      <c r="R942" s="67"/>
    </row>
    <row r="943">
      <c r="J943" s="67"/>
      <c r="K943" s="67"/>
      <c r="R943" s="67"/>
    </row>
    <row r="944">
      <c r="J944" s="67"/>
      <c r="K944" s="67"/>
      <c r="R944" s="67"/>
    </row>
    <row r="945">
      <c r="J945" s="67"/>
      <c r="K945" s="67"/>
      <c r="R945" s="67"/>
    </row>
    <row r="946">
      <c r="J946" s="67"/>
      <c r="K946" s="67"/>
      <c r="R946" s="67"/>
    </row>
    <row r="947">
      <c r="J947" s="67"/>
      <c r="K947" s="67"/>
      <c r="R947" s="67"/>
    </row>
    <row r="948">
      <c r="J948" s="67"/>
      <c r="K948" s="67"/>
      <c r="R948" s="67"/>
    </row>
    <row r="949">
      <c r="J949" s="67"/>
      <c r="K949" s="67"/>
      <c r="R949" s="67"/>
    </row>
    <row r="950">
      <c r="J950" s="67"/>
      <c r="K950" s="67"/>
      <c r="R950" s="67"/>
    </row>
    <row r="951">
      <c r="J951" s="67"/>
      <c r="K951" s="67"/>
      <c r="R951" s="67"/>
    </row>
    <row r="952">
      <c r="J952" s="67"/>
      <c r="K952" s="67"/>
      <c r="R952" s="67"/>
    </row>
    <row r="953">
      <c r="J953" s="67"/>
      <c r="K953" s="67"/>
      <c r="R953" s="67"/>
    </row>
    <row r="954">
      <c r="J954" s="67"/>
      <c r="K954" s="67"/>
      <c r="R954" s="67"/>
    </row>
    <row r="955">
      <c r="J955" s="67"/>
      <c r="K955" s="67"/>
      <c r="R955" s="67"/>
    </row>
    <row r="956">
      <c r="J956" s="67"/>
      <c r="K956" s="67"/>
      <c r="R956" s="67"/>
    </row>
    <row r="957">
      <c r="J957" s="67"/>
      <c r="K957" s="67"/>
      <c r="R957" s="67"/>
    </row>
    <row r="958">
      <c r="J958" s="67"/>
      <c r="K958" s="67"/>
      <c r="R958" s="67"/>
    </row>
    <row r="959">
      <c r="J959" s="67"/>
      <c r="K959" s="67"/>
      <c r="R959" s="67"/>
    </row>
    <row r="960">
      <c r="J960" s="67"/>
      <c r="K960" s="67"/>
      <c r="R960" s="67"/>
    </row>
    <row r="961">
      <c r="J961" s="67"/>
      <c r="K961" s="67"/>
      <c r="R961" s="67"/>
    </row>
    <row r="962">
      <c r="J962" s="67"/>
      <c r="K962" s="67"/>
      <c r="R962" s="67"/>
    </row>
    <row r="963">
      <c r="J963" s="67"/>
      <c r="K963" s="67"/>
      <c r="R963" s="67"/>
    </row>
    <row r="964">
      <c r="J964" s="67"/>
      <c r="K964" s="67"/>
      <c r="R964" s="67"/>
    </row>
    <row r="965">
      <c r="J965" s="67"/>
      <c r="K965" s="67"/>
      <c r="R965" s="67"/>
    </row>
    <row r="966">
      <c r="J966" s="67"/>
      <c r="K966" s="67"/>
      <c r="R966" s="67"/>
    </row>
    <row r="967">
      <c r="J967" s="67"/>
      <c r="K967" s="67"/>
      <c r="R967" s="67"/>
    </row>
    <row r="968">
      <c r="J968" s="67"/>
      <c r="K968" s="67"/>
      <c r="R968" s="67"/>
    </row>
    <row r="969">
      <c r="J969" s="67"/>
      <c r="K969" s="67"/>
      <c r="R969" s="67"/>
    </row>
    <row r="970">
      <c r="J970" s="67"/>
      <c r="K970" s="67"/>
      <c r="R970" s="67"/>
    </row>
    <row r="971">
      <c r="J971" s="67"/>
      <c r="K971" s="67"/>
      <c r="R971" s="67"/>
    </row>
    <row r="972">
      <c r="J972" s="67"/>
      <c r="K972" s="67"/>
      <c r="R972" s="67"/>
    </row>
    <row r="973">
      <c r="J973" s="67"/>
      <c r="K973" s="67"/>
      <c r="R973" s="67"/>
    </row>
    <row r="974">
      <c r="J974" s="67"/>
      <c r="K974" s="67"/>
      <c r="R974" s="67"/>
    </row>
    <row r="975">
      <c r="J975" s="67"/>
      <c r="K975" s="67"/>
      <c r="R975" s="67"/>
    </row>
    <row r="976">
      <c r="J976" s="67"/>
      <c r="K976" s="67"/>
      <c r="R976" s="67"/>
    </row>
    <row r="977">
      <c r="J977" s="67"/>
      <c r="K977" s="67"/>
      <c r="R977" s="67"/>
    </row>
    <row r="978">
      <c r="J978" s="67"/>
      <c r="K978" s="67"/>
      <c r="R978" s="67"/>
    </row>
    <row r="979">
      <c r="J979" s="67"/>
      <c r="K979" s="67"/>
      <c r="R979" s="67"/>
    </row>
    <row r="980">
      <c r="J980" s="67"/>
      <c r="K980" s="67"/>
      <c r="R980" s="67"/>
    </row>
    <row r="981">
      <c r="J981" s="67"/>
      <c r="K981" s="67"/>
      <c r="R981" s="67"/>
    </row>
    <row r="982">
      <c r="J982" s="67"/>
      <c r="K982" s="67"/>
      <c r="R982" s="67"/>
    </row>
    <row r="983">
      <c r="J983" s="67"/>
      <c r="K983" s="67"/>
      <c r="R983" s="67"/>
    </row>
    <row r="984">
      <c r="J984" s="67"/>
      <c r="K984" s="67"/>
      <c r="R984" s="67"/>
    </row>
    <row r="985">
      <c r="J985" s="67"/>
      <c r="K985" s="67"/>
      <c r="R985" s="67"/>
    </row>
    <row r="986">
      <c r="J986" s="67"/>
      <c r="K986" s="67"/>
      <c r="R986" s="67"/>
    </row>
    <row r="987">
      <c r="J987" s="67"/>
      <c r="K987" s="67"/>
      <c r="R987" s="67"/>
    </row>
    <row r="988">
      <c r="J988" s="67"/>
      <c r="K988" s="67"/>
      <c r="R988" s="67"/>
    </row>
    <row r="989">
      <c r="J989" s="67"/>
      <c r="K989" s="67"/>
      <c r="R989" s="67"/>
    </row>
    <row r="990">
      <c r="J990" s="67"/>
      <c r="K990" s="67"/>
      <c r="R990" s="67"/>
    </row>
    <row r="991">
      <c r="J991" s="67"/>
      <c r="K991" s="67"/>
      <c r="R991" s="67"/>
    </row>
    <row r="992">
      <c r="J992" s="67"/>
      <c r="K992" s="67"/>
      <c r="R992" s="67"/>
    </row>
    <row r="993">
      <c r="J993" s="67"/>
      <c r="K993" s="67"/>
      <c r="R993" s="67"/>
    </row>
    <row r="994">
      <c r="J994" s="67"/>
      <c r="K994" s="67"/>
      <c r="R994" s="67"/>
    </row>
    <row r="995">
      <c r="J995" s="67"/>
      <c r="K995" s="67"/>
      <c r="R995" s="67"/>
    </row>
    <row r="996">
      <c r="J996" s="67"/>
      <c r="K996" s="67"/>
      <c r="R996" s="67"/>
    </row>
    <row r="997">
      <c r="J997" s="67"/>
      <c r="K997" s="67"/>
      <c r="R997" s="67"/>
    </row>
    <row r="998">
      <c r="J998" s="67"/>
      <c r="K998" s="67"/>
      <c r="R998" s="67"/>
    </row>
    <row r="999">
      <c r="J999" s="67"/>
      <c r="K999" s="67"/>
      <c r="R999" s="67"/>
    </row>
    <row r="1000">
      <c r="J1000" s="67"/>
      <c r="K1000" s="67"/>
      <c r="R1000" s="67"/>
    </row>
    <row r="1001">
      <c r="J1001" s="67"/>
      <c r="K1001" s="67"/>
      <c r="R1001" s="67"/>
    </row>
    <row r="1002">
      <c r="J1002" s="67"/>
      <c r="K1002" s="67"/>
      <c r="R1002" s="67"/>
    </row>
    <row r="1003">
      <c r="J1003" s="67"/>
      <c r="K1003" s="67"/>
      <c r="R1003" s="67"/>
    </row>
    <row r="1004">
      <c r="J1004" s="67"/>
      <c r="K1004" s="67"/>
      <c r="R1004" s="67"/>
    </row>
    <row r="1005">
      <c r="J1005" s="67"/>
      <c r="K1005" s="67"/>
      <c r="R1005" s="67"/>
    </row>
    <row r="1006">
      <c r="J1006" s="67"/>
      <c r="K1006" s="67"/>
      <c r="R1006" s="67"/>
    </row>
    <row r="1007">
      <c r="J1007" s="67"/>
      <c r="K1007" s="67"/>
      <c r="R1007" s="67"/>
    </row>
    <row r="1008">
      <c r="J1008" s="67"/>
      <c r="K1008" s="67"/>
      <c r="R1008" s="67"/>
    </row>
  </sheetData>
  <mergeCells count="69">
    <mergeCell ref="A194:K194"/>
    <mergeCell ref="A195:K195"/>
    <mergeCell ref="N197:Q197"/>
    <mergeCell ref="N198:Q198"/>
    <mergeCell ref="A211:K211"/>
    <mergeCell ref="N214:Q214"/>
    <mergeCell ref="N215:Q215"/>
    <mergeCell ref="A212:K212"/>
    <mergeCell ref="A228:K228"/>
    <mergeCell ref="A229:K229"/>
    <mergeCell ref="N231:Q231"/>
    <mergeCell ref="N232:Q232"/>
    <mergeCell ref="A246:K246"/>
    <mergeCell ref="A247:K247"/>
    <mergeCell ref="A1:K1"/>
    <mergeCell ref="A2:K2"/>
    <mergeCell ref="N4:Q4"/>
    <mergeCell ref="N5:Q5"/>
    <mergeCell ref="A18:K18"/>
    <mergeCell ref="N21:Q21"/>
    <mergeCell ref="N22:Q22"/>
    <mergeCell ref="A19:K19"/>
    <mergeCell ref="A35:K35"/>
    <mergeCell ref="A36:K36"/>
    <mergeCell ref="N38:Q38"/>
    <mergeCell ref="N39:Q39"/>
    <mergeCell ref="A53:K53"/>
    <mergeCell ref="A54:K54"/>
    <mergeCell ref="N56:Q56"/>
    <mergeCell ref="N57:Q57"/>
    <mergeCell ref="A71:K71"/>
    <mergeCell ref="A72:K72"/>
    <mergeCell ref="N74:Q74"/>
    <mergeCell ref="N75:Q75"/>
    <mergeCell ref="A88:K88"/>
    <mergeCell ref="A89:K89"/>
    <mergeCell ref="N91:Q91"/>
    <mergeCell ref="N92:Q92"/>
    <mergeCell ref="A106:K106"/>
    <mergeCell ref="A107:K107"/>
    <mergeCell ref="N109:Q109"/>
    <mergeCell ref="N110:Q110"/>
    <mergeCell ref="A123:K123"/>
    <mergeCell ref="A124:K124"/>
    <mergeCell ref="N126:Q126"/>
    <mergeCell ref="N127:Q127"/>
    <mergeCell ref="A140:K140"/>
    <mergeCell ref="N143:Q143"/>
    <mergeCell ref="N144:Q144"/>
    <mergeCell ref="A141:K141"/>
    <mergeCell ref="A158:K158"/>
    <mergeCell ref="A159:K159"/>
    <mergeCell ref="A177:K177"/>
    <mergeCell ref="A178:K178"/>
    <mergeCell ref="N180:Q180"/>
    <mergeCell ref="N181:Q181"/>
    <mergeCell ref="A319:K319"/>
    <mergeCell ref="A335:K335"/>
    <mergeCell ref="A336:K336"/>
    <mergeCell ref="B352:L352"/>
    <mergeCell ref="B353:L353"/>
    <mergeCell ref="B354:C354"/>
    <mergeCell ref="A263:K263"/>
    <mergeCell ref="A264:K264"/>
    <mergeCell ref="A282:K282"/>
    <mergeCell ref="A283:K283"/>
    <mergeCell ref="A301:K301"/>
    <mergeCell ref="A302:K302"/>
    <mergeCell ref="A318:K318"/>
  </mergeCells>
  <dataValidations>
    <dataValidation type="list" allowBlank="1" showErrorMessage="1" sqref="I4:I15 I21:I32 I38:I49 I56:I67 I74:I82 I84:I85 I91:I102 I109:I120 I126:I137 I143:I154 I161:I172 I180:I191 I197:I208 I214:I225 I231:I242 I249:I260 I266:I277 I285:I296 I304:I315 I321:I332 I338:I349 I355:I366">
      <formula1>"Não atendido ,Atendido ,Cancelado ,Vagas livres,Bloqueada"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2.0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22.13"/>
    <col customWidth="1" min="11" max="11" width="22.3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63" t="s">
        <v>1280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32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74" t="s">
        <v>758</v>
      </c>
      <c r="C4" s="74" t="s">
        <v>1281</v>
      </c>
      <c r="D4" s="75">
        <v>0.5416666666666666</v>
      </c>
      <c r="E4" s="74">
        <v>8.1563965887E10</v>
      </c>
      <c r="F4" s="74">
        <v>7.00101911793415E14</v>
      </c>
      <c r="G4" s="74" t="s">
        <v>1282</v>
      </c>
      <c r="H4" s="211">
        <v>20145.0</v>
      </c>
      <c r="I4" s="34" t="s">
        <v>183</v>
      </c>
      <c r="J4" s="74">
        <v>1.19769351377E11</v>
      </c>
      <c r="K4" s="74"/>
      <c r="L4" s="266" t="s">
        <v>386</v>
      </c>
      <c r="M4" s="267"/>
      <c r="N4" s="268" t="s">
        <v>387</v>
      </c>
      <c r="O4" s="100"/>
      <c r="P4" s="100"/>
      <c r="Q4" s="100"/>
      <c r="R4" s="67"/>
    </row>
    <row r="5">
      <c r="A5" s="12" t="s">
        <v>11</v>
      </c>
      <c r="B5" s="74" t="s">
        <v>758</v>
      </c>
      <c r="C5" s="74" t="s">
        <v>1281</v>
      </c>
      <c r="D5" s="75">
        <v>0.5555555555555556</v>
      </c>
      <c r="E5" s="74">
        <v>8.996616885E9</v>
      </c>
      <c r="F5" s="74">
        <v>7.04802598386043E14</v>
      </c>
      <c r="G5" s="74" t="s">
        <v>1283</v>
      </c>
      <c r="H5" s="77">
        <v>24481.0</v>
      </c>
      <c r="I5" s="34" t="s">
        <v>183</v>
      </c>
      <c r="J5" s="74">
        <v>1.1984881152E10</v>
      </c>
      <c r="K5" s="74">
        <v>1.1918644795E10</v>
      </c>
      <c r="M5" s="267"/>
      <c r="N5" s="270" t="s">
        <v>388</v>
      </c>
      <c r="O5" s="2"/>
      <c r="P5" s="2"/>
      <c r="Q5" s="2"/>
      <c r="R5" s="67"/>
    </row>
    <row r="6">
      <c r="A6" s="12" t="s">
        <v>12</v>
      </c>
      <c r="B6" s="74" t="s">
        <v>758</v>
      </c>
      <c r="C6" s="74" t="s">
        <v>1281</v>
      </c>
      <c r="D6" s="75">
        <v>0.5694444444444444</v>
      </c>
      <c r="E6" s="74">
        <v>4.2617979504E10</v>
      </c>
      <c r="F6" s="74">
        <v>7.07601240036791E14</v>
      </c>
      <c r="G6" s="74" t="s">
        <v>1284</v>
      </c>
      <c r="H6" s="83">
        <v>24685.0</v>
      </c>
      <c r="I6" s="34" t="s">
        <v>195</v>
      </c>
      <c r="J6" s="74">
        <v>1.1954325573E10</v>
      </c>
      <c r="K6" s="74">
        <v>1.1981761321E10</v>
      </c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67"/>
    </row>
    <row r="7">
      <c r="A7" s="12" t="s">
        <v>13</v>
      </c>
      <c r="B7" s="74" t="s">
        <v>758</v>
      </c>
      <c r="C7" s="74" t="s">
        <v>1281</v>
      </c>
      <c r="D7" s="75">
        <v>0.5833333333333334</v>
      </c>
      <c r="E7" s="74">
        <v>6.39455921E10</v>
      </c>
      <c r="F7" s="74">
        <v>7.08105544074835E14</v>
      </c>
      <c r="G7" s="74" t="s">
        <v>1285</v>
      </c>
      <c r="H7" s="83">
        <v>20304.0</v>
      </c>
      <c r="I7" s="34" t="s">
        <v>183</v>
      </c>
      <c r="J7" s="74">
        <v>1.1970465146E10</v>
      </c>
      <c r="K7" s="74">
        <v>1.1945816158E10</v>
      </c>
      <c r="M7" s="67"/>
      <c r="N7" s="275">
        <f t="shared" ref="N7:Q7" si="1">COUNTIFS($I$4:$I$15, N6)</f>
        <v>9</v>
      </c>
      <c r="O7" s="276">
        <f t="shared" si="1"/>
        <v>3</v>
      </c>
      <c r="P7" s="276">
        <f t="shared" si="1"/>
        <v>0</v>
      </c>
      <c r="Q7" s="277">
        <f t="shared" si="1"/>
        <v>0</v>
      </c>
      <c r="R7" s="67"/>
    </row>
    <row r="8">
      <c r="A8" s="12" t="s">
        <v>14</v>
      </c>
      <c r="B8" s="74" t="s">
        <v>758</v>
      </c>
      <c r="C8" s="74" t="s">
        <v>1281</v>
      </c>
      <c r="D8" s="75">
        <v>0.5972222222222222</v>
      </c>
      <c r="E8" s="74">
        <v>4.5620170829E10</v>
      </c>
      <c r="F8" s="74">
        <v>2.0392295053E14</v>
      </c>
      <c r="G8" s="74" t="s">
        <v>1286</v>
      </c>
      <c r="H8" s="83">
        <v>32855.0</v>
      </c>
      <c r="I8" s="34" t="s">
        <v>183</v>
      </c>
      <c r="J8" s="74">
        <v>1.1987498722E10</v>
      </c>
      <c r="K8" s="74"/>
      <c r="L8" s="216" t="s">
        <v>403</v>
      </c>
      <c r="M8" s="67"/>
      <c r="N8" s="67"/>
      <c r="O8" s="67"/>
      <c r="P8" s="67"/>
      <c r="Q8" s="67"/>
      <c r="R8" s="67"/>
    </row>
    <row r="9">
      <c r="A9" s="12" t="s">
        <v>15</v>
      </c>
      <c r="B9" s="74" t="s">
        <v>758</v>
      </c>
      <c r="C9" s="74" t="s">
        <v>1281</v>
      </c>
      <c r="D9" s="75">
        <v>0.6111111111111112</v>
      </c>
      <c r="E9" s="74">
        <v>2.1263555861E10</v>
      </c>
      <c r="F9" s="74">
        <v>8.014404053905E14</v>
      </c>
      <c r="G9" s="74" t="s">
        <v>1287</v>
      </c>
      <c r="H9" s="83">
        <v>28202.0</v>
      </c>
      <c r="I9" s="34" t="s">
        <v>183</v>
      </c>
      <c r="J9" s="74">
        <v>1.1989892014E10</v>
      </c>
      <c r="K9" s="74">
        <v>1.158945071E9</v>
      </c>
      <c r="L9" s="216" t="s">
        <v>394</v>
      </c>
      <c r="R9" s="67"/>
    </row>
    <row r="10">
      <c r="A10" s="12" t="s">
        <v>16</v>
      </c>
      <c r="B10" s="74" t="s">
        <v>758</v>
      </c>
      <c r="C10" s="74" t="s">
        <v>1281</v>
      </c>
      <c r="D10" s="75">
        <v>0.625</v>
      </c>
      <c r="E10" s="74">
        <v>2.7815421806E10</v>
      </c>
      <c r="F10" s="74">
        <v>7.02906540383978E14</v>
      </c>
      <c r="G10" s="74" t="s">
        <v>1288</v>
      </c>
      <c r="H10" s="83">
        <v>28581.0</v>
      </c>
      <c r="I10" s="34" t="s">
        <v>183</v>
      </c>
      <c r="J10" s="74">
        <v>1.1952173235E10</v>
      </c>
      <c r="K10" s="74">
        <v>1.158744996E9</v>
      </c>
      <c r="L10" s="216" t="s">
        <v>394</v>
      </c>
      <c r="R10" s="67"/>
    </row>
    <row r="11">
      <c r="A11" s="12" t="s">
        <v>17</v>
      </c>
      <c r="B11" s="74" t="s">
        <v>758</v>
      </c>
      <c r="C11" s="74" t="s">
        <v>1281</v>
      </c>
      <c r="D11" s="75">
        <v>0.6388888888888888</v>
      </c>
      <c r="E11" s="74">
        <v>1.2768659886E10</v>
      </c>
      <c r="F11" s="74">
        <v>1.21688160440018E14</v>
      </c>
      <c r="G11" s="74" t="s">
        <v>1289</v>
      </c>
      <c r="H11" s="77">
        <v>22881.0</v>
      </c>
      <c r="I11" s="34" t="s">
        <v>183</v>
      </c>
      <c r="J11" s="74">
        <v>1.1984378581E10</v>
      </c>
      <c r="K11" s="74">
        <v>5.8736797E7</v>
      </c>
      <c r="L11" s="216" t="s">
        <v>394</v>
      </c>
      <c r="R11" s="67"/>
    </row>
    <row r="12">
      <c r="A12" s="12" t="s">
        <v>85</v>
      </c>
      <c r="B12" s="74" t="s">
        <v>758</v>
      </c>
      <c r="C12" s="74" t="s">
        <v>1281</v>
      </c>
      <c r="D12" s="75">
        <v>0.6527777777777778</v>
      </c>
      <c r="E12" s="74">
        <v>3.2779413883E10</v>
      </c>
      <c r="F12" s="74">
        <v>7.00002400598104E14</v>
      </c>
      <c r="G12" s="74" t="s">
        <v>1290</v>
      </c>
      <c r="H12" s="83">
        <v>31299.0</v>
      </c>
      <c r="I12" s="34" t="s">
        <v>195</v>
      </c>
      <c r="J12" s="74">
        <v>9.73358998E8</v>
      </c>
      <c r="K12" s="74">
        <v>5.5144872E7</v>
      </c>
      <c r="L12" s="216" t="s">
        <v>394</v>
      </c>
      <c r="R12" s="67"/>
    </row>
    <row r="13">
      <c r="A13" s="12" t="s">
        <v>87</v>
      </c>
      <c r="B13" s="74" t="s">
        <v>758</v>
      </c>
      <c r="C13" s="74" t="s">
        <v>1281</v>
      </c>
      <c r="D13" s="75">
        <v>0.6666666666666666</v>
      </c>
      <c r="E13" s="74">
        <v>1.43226681E9</v>
      </c>
      <c r="F13" s="74">
        <v>7.06803738951721E14</v>
      </c>
      <c r="G13" s="74" t="s">
        <v>1291</v>
      </c>
      <c r="H13" s="166">
        <v>22335.0</v>
      </c>
      <c r="I13" s="34" t="s">
        <v>183</v>
      </c>
      <c r="J13" s="74">
        <v>1.1986163811E10</v>
      </c>
      <c r="K13" s="74">
        <v>1.1985259288E10</v>
      </c>
      <c r="L13" s="216" t="s">
        <v>394</v>
      </c>
      <c r="R13" s="67"/>
    </row>
    <row r="14">
      <c r="A14" s="12" t="s">
        <v>90</v>
      </c>
      <c r="B14" s="74" t="s">
        <v>758</v>
      </c>
      <c r="C14" s="74" t="s">
        <v>1281</v>
      </c>
      <c r="D14" s="75">
        <v>0.6805555555555556</v>
      </c>
      <c r="E14" s="74">
        <v>1.597819573E9</v>
      </c>
      <c r="F14" s="74">
        <v>7.05002206442359E14</v>
      </c>
      <c r="G14" s="74" t="s">
        <v>1292</v>
      </c>
      <c r="H14" s="166">
        <v>32555.0</v>
      </c>
      <c r="I14" s="34" t="s">
        <v>195</v>
      </c>
      <c r="J14" s="74">
        <v>1.1974105999E10</v>
      </c>
      <c r="K14" s="74">
        <v>1.1956470838E10</v>
      </c>
      <c r="L14" s="216" t="s">
        <v>394</v>
      </c>
      <c r="R14" s="67"/>
    </row>
    <row r="15">
      <c r="A15" s="12" t="s">
        <v>93</v>
      </c>
      <c r="B15" s="74" t="s">
        <v>758</v>
      </c>
      <c r="C15" s="74" t="s">
        <v>1281</v>
      </c>
      <c r="D15" s="75">
        <v>0.6944444444444444</v>
      </c>
      <c r="E15" s="74">
        <v>1.0371844835E10</v>
      </c>
      <c r="F15" s="74">
        <v>8.01440482147038E14</v>
      </c>
      <c r="G15" s="74" t="s">
        <v>1293</v>
      </c>
      <c r="H15" s="166">
        <v>25338.0</v>
      </c>
      <c r="I15" s="34" t="s">
        <v>183</v>
      </c>
      <c r="J15" s="74">
        <v>1.1939458715E10</v>
      </c>
      <c r="K15" s="74">
        <v>5.8162452E7</v>
      </c>
      <c r="L15" s="216" t="s">
        <v>394</v>
      </c>
      <c r="R15" s="67"/>
    </row>
    <row r="16">
      <c r="J16" s="67"/>
      <c r="K16" s="67"/>
      <c r="R16" s="67"/>
    </row>
    <row r="17">
      <c r="J17" s="67"/>
      <c r="K17" s="67"/>
      <c r="R17" s="67"/>
    </row>
    <row r="18">
      <c r="A18" s="23" t="s">
        <v>378</v>
      </c>
      <c r="B18" s="2"/>
      <c r="C18" s="2"/>
      <c r="D18" s="2"/>
      <c r="E18" s="2"/>
      <c r="F18" s="2"/>
      <c r="G18" s="2"/>
      <c r="H18" s="2"/>
      <c r="I18" s="2"/>
      <c r="J18" s="2"/>
      <c r="K18" s="3"/>
      <c r="R18" s="67"/>
    </row>
    <row r="19" ht="20.25" customHeight="1">
      <c r="A19" s="263" t="s">
        <v>1294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5"/>
      <c r="B20" s="26" t="s">
        <v>3</v>
      </c>
      <c r="C20" s="27" t="s">
        <v>2</v>
      </c>
      <c r="D20" s="28" t="s">
        <v>5</v>
      </c>
      <c r="E20" s="32" t="s">
        <v>19</v>
      </c>
      <c r="F20" s="28" t="s">
        <v>6</v>
      </c>
      <c r="G20" s="28" t="s">
        <v>7</v>
      </c>
      <c r="H20" s="30" t="s">
        <v>8</v>
      </c>
      <c r="I20" s="31" t="s">
        <v>20</v>
      </c>
      <c r="J20" s="32" t="s">
        <v>21</v>
      </c>
      <c r="K20" s="32" t="s">
        <v>22</v>
      </c>
      <c r="R20" s="67"/>
    </row>
    <row r="21">
      <c r="A21" s="12" t="s">
        <v>10</v>
      </c>
      <c r="B21" s="74" t="s">
        <v>937</v>
      </c>
      <c r="C21" s="74" t="s">
        <v>1295</v>
      </c>
      <c r="D21" s="75">
        <v>0.5416666666666666</v>
      </c>
      <c r="E21" s="331"/>
      <c r="F21" s="301">
        <v>2.01536171570008E14</v>
      </c>
      <c r="G21" s="301" t="s">
        <v>1296</v>
      </c>
      <c r="H21" s="132">
        <v>28780.0</v>
      </c>
      <c r="I21" s="34" t="s">
        <v>195</v>
      </c>
      <c r="J21" s="102" t="s">
        <v>1297</v>
      </c>
      <c r="K21" s="102" t="s">
        <v>1298</v>
      </c>
      <c r="N21" s="268" t="s">
        <v>387</v>
      </c>
      <c r="O21" s="100"/>
      <c r="P21" s="100"/>
      <c r="Q21" s="100"/>
      <c r="R21" s="67"/>
    </row>
    <row r="22">
      <c r="A22" s="12" t="s">
        <v>11</v>
      </c>
      <c r="B22" s="74" t="s">
        <v>281</v>
      </c>
      <c r="C22" s="74" t="s">
        <v>1295</v>
      </c>
      <c r="D22" s="75">
        <v>0.5555555555555556</v>
      </c>
      <c r="E22" s="411"/>
      <c r="F22" s="412">
        <v>7.02309181081713E14</v>
      </c>
      <c r="G22" s="413" t="s">
        <v>1299</v>
      </c>
      <c r="H22" s="414">
        <v>23744.0</v>
      </c>
      <c r="I22" s="34" t="s">
        <v>183</v>
      </c>
      <c r="J22" s="42" t="s">
        <v>1300</v>
      </c>
      <c r="K22" s="42" t="s">
        <v>1301</v>
      </c>
      <c r="N22" s="270" t="s">
        <v>436</v>
      </c>
      <c r="O22" s="2"/>
      <c r="P22" s="2"/>
      <c r="Q22" s="2"/>
      <c r="R22" s="67"/>
    </row>
    <row r="23">
      <c r="A23" s="12" t="s">
        <v>12</v>
      </c>
      <c r="B23" s="415"/>
      <c r="C23" s="74" t="s">
        <v>1295</v>
      </c>
      <c r="D23" s="75">
        <v>0.5694444444444444</v>
      </c>
      <c r="E23" s="287"/>
      <c r="F23" s="74"/>
      <c r="G23" s="74"/>
      <c r="H23" s="166"/>
      <c r="I23" s="41" t="s">
        <v>181</v>
      </c>
      <c r="J23" s="102"/>
      <c r="K23" s="102"/>
      <c r="N23" s="271" t="s">
        <v>183</v>
      </c>
      <c r="O23" s="272" t="s">
        <v>195</v>
      </c>
      <c r="P23" s="272" t="s">
        <v>181</v>
      </c>
      <c r="Q23" s="273" t="s">
        <v>173</v>
      </c>
      <c r="R23" s="286" t="s">
        <v>439</v>
      </c>
    </row>
    <row r="24">
      <c r="A24" s="12" t="s">
        <v>13</v>
      </c>
      <c r="B24" s="74" t="s">
        <v>399</v>
      </c>
      <c r="C24" s="74" t="s">
        <v>1295</v>
      </c>
      <c r="D24" s="75">
        <v>0.5833333333333334</v>
      </c>
      <c r="E24" s="416"/>
      <c r="F24" s="76">
        <v>7.0470870778953E14</v>
      </c>
      <c r="G24" s="417" t="s">
        <v>1262</v>
      </c>
      <c r="H24" s="418">
        <v>23873.0</v>
      </c>
      <c r="I24" s="34" t="s">
        <v>183</v>
      </c>
      <c r="J24" s="102" t="s">
        <v>1302</v>
      </c>
      <c r="K24" s="102" t="s">
        <v>1303</v>
      </c>
      <c r="L24" s="216" t="s">
        <v>442</v>
      </c>
      <c r="N24" s="275">
        <f>COUNTIFS(I$21:I$32,N23)</f>
        <v>4</v>
      </c>
      <c r="O24" s="275">
        <f t="shared" ref="O24:R24" si="2">COUNTIFS($I$21:$I$32,O23)</f>
        <v>2</v>
      </c>
      <c r="P24" s="275">
        <f t="shared" si="2"/>
        <v>6</v>
      </c>
      <c r="Q24" s="275">
        <f t="shared" si="2"/>
        <v>0</v>
      </c>
      <c r="R24" s="67">
        <f t="shared" si="2"/>
        <v>0</v>
      </c>
    </row>
    <row r="25">
      <c r="A25" s="12" t="s">
        <v>14</v>
      </c>
      <c r="B25" s="74"/>
      <c r="C25" s="74" t="s">
        <v>1295</v>
      </c>
      <c r="D25" s="75">
        <v>0.5972222222222222</v>
      </c>
      <c r="E25" s="419"/>
      <c r="F25" s="185"/>
      <c r="G25" s="210"/>
      <c r="H25" s="77"/>
      <c r="I25" s="41" t="s">
        <v>181</v>
      </c>
      <c r="J25" s="42"/>
      <c r="K25" s="42"/>
      <c r="L25" s="216" t="s">
        <v>442</v>
      </c>
      <c r="R25" s="67"/>
    </row>
    <row r="26">
      <c r="A26" s="12" t="s">
        <v>15</v>
      </c>
      <c r="B26" s="415"/>
      <c r="C26" s="74" t="s">
        <v>1295</v>
      </c>
      <c r="D26" s="75">
        <v>0.6111111111111112</v>
      </c>
      <c r="E26" s="420"/>
      <c r="F26" s="162"/>
      <c r="G26" s="162"/>
      <c r="H26" s="421"/>
      <c r="I26" s="41" t="s">
        <v>181</v>
      </c>
      <c r="J26" s="42"/>
      <c r="K26" s="42"/>
      <c r="L26" s="216" t="s">
        <v>442</v>
      </c>
      <c r="R26" s="67"/>
    </row>
    <row r="27">
      <c r="A27" s="12" t="s">
        <v>16</v>
      </c>
      <c r="B27" s="74"/>
      <c r="C27" s="74" t="s">
        <v>1295</v>
      </c>
      <c r="D27" s="75">
        <v>0.625</v>
      </c>
      <c r="E27" s="245"/>
      <c r="F27" s="162"/>
      <c r="G27" s="162"/>
      <c r="H27" s="163"/>
      <c r="I27" s="41" t="s">
        <v>181</v>
      </c>
      <c r="J27" s="102"/>
      <c r="K27" s="102"/>
      <c r="L27" s="216" t="s">
        <v>442</v>
      </c>
      <c r="R27" s="67"/>
    </row>
    <row r="28">
      <c r="A28" s="12" t="s">
        <v>17</v>
      </c>
      <c r="B28" s="74" t="s">
        <v>399</v>
      </c>
      <c r="C28" s="74" t="s">
        <v>1295</v>
      </c>
      <c r="D28" s="75">
        <v>0.6388888888888888</v>
      </c>
      <c r="E28" s="245"/>
      <c r="F28" s="162"/>
      <c r="G28" s="162" t="s">
        <v>1304</v>
      </c>
      <c r="H28" s="163">
        <v>28804.0</v>
      </c>
      <c r="I28" s="34" t="s">
        <v>183</v>
      </c>
      <c r="J28" s="42" t="s">
        <v>1305</v>
      </c>
      <c r="K28" s="42" t="s">
        <v>1306</v>
      </c>
      <c r="L28" s="216" t="s">
        <v>442</v>
      </c>
      <c r="R28" s="67"/>
    </row>
    <row r="29">
      <c r="A29" s="12" t="s">
        <v>85</v>
      </c>
      <c r="B29" s="74" t="s">
        <v>937</v>
      </c>
      <c r="C29" s="74" t="s">
        <v>1295</v>
      </c>
      <c r="D29" s="75">
        <v>0.6527777777777778</v>
      </c>
      <c r="E29" s="278"/>
      <c r="F29" s="156">
        <v>7.05006856799654E14</v>
      </c>
      <c r="G29" s="84" t="s">
        <v>1307</v>
      </c>
      <c r="H29" s="91">
        <v>16436.0</v>
      </c>
      <c r="I29" s="34" t="s">
        <v>195</v>
      </c>
      <c r="J29" s="42" t="s">
        <v>1308</v>
      </c>
      <c r="K29" s="42" t="s">
        <v>1309</v>
      </c>
      <c r="R29" s="67"/>
    </row>
    <row r="30">
      <c r="A30" s="12" t="s">
        <v>87</v>
      </c>
      <c r="B30" s="74" t="s">
        <v>281</v>
      </c>
      <c r="C30" s="74" t="s">
        <v>1295</v>
      </c>
      <c r="D30" s="75">
        <v>0.6666666666666666</v>
      </c>
      <c r="E30" s="245"/>
      <c r="F30" s="133">
        <v>7.07002856523139E14</v>
      </c>
      <c r="G30" s="84" t="s">
        <v>1310</v>
      </c>
      <c r="H30" s="166">
        <v>22512.0</v>
      </c>
      <c r="I30" s="34" t="s">
        <v>183</v>
      </c>
      <c r="J30" s="42" t="s">
        <v>1311</v>
      </c>
      <c r="K30" s="42" t="s">
        <v>1312</v>
      </c>
      <c r="L30" s="216" t="s">
        <v>455</v>
      </c>
      <c r="R30" s="67"/>
    </row>
    <row r="31">
      <c r="A31" s="12" t="s">
        <v>90</v>
      </c>
      <c r="B31" s="73"/>
      <c r="C31" s="74" t="s">
        <v>1295</v>
      </c>
      <c r="D31" s="75">
        <v>0.6805555555555556</v>
      </c>
      <c r="E31" s="295"/>
      <c r="G31" s="84"/>
      <c r="H31" s="166"/>
      <c r="I31" s="41" t="s">
        <v>181</v>
      </c>
      <c r="J31" s="42"/>
      <c r="K31" s="42"/>
      <c r="R31" s="67"/>
    </row>
    <row r="32">
      <c r="A32" s="12" t="s">
        <v>93</v>
      </c>
      <c r="B32" s="74"/>
      <c r="C32" s="74" t="s">
        <v>1295</v>
      </c>
      <c r="D32" s="75">
        <v>0.6944444444444444</v>
      </c>
      <c r="E32" s="295"/>
      <c r="F32" s="133"/>
      <c r="G32" s="84"/>
      <c r="H32" s="166"/>
      <c r="I32" s="41" t="s">
        <v>181</v>
      </c>
      <c r="J32" s="42"/>
      <c r="K32" s="42"/>
      <c r="R32" s="67"/>
    </row>
    <row r="33">
      <c r="J33" s="67"/>
      <c r="K33" s="67"/>
      <c r="R33" s="67"/>
    </row>
    <row r="34">
      <c r="J34" s="67"/>
      <c r="K34" s="67"/>
      <c r="R34" s="67"/>
    </row>
    <row r="35">
      <c r="A35" s="23" t="s">
        <v>378</v>
      </c>
      <c r="B35" s="2"/>
      <c r="C35" s="2"/>
      <c r="D35" s="2"/>
      <c r="E35" s="2"/>
      <c r="F35" s="2"/>
      <c r="G35" s="2"/>
      <c r="H35" s="2"/>
      <c r="I35" s="2"/>
      <c r="J35" s="2"/>
      <c r="K35" s="3"/>
      <c r="R35" s="67"/>
    </row>
    <row r="36">
      <c r="A36" s="263" t="s">
        <v>1313</v>
      </c>
      <c r="B36" s="2"/>
      <c r="C36" s="2"/>
      <c r="D36" s="2"/>
      <c r="E36" s="2"/>
      <c r="F36" s="2"/>
      <c r="G36" s="2"/>
      <c r="H36" s="2"/>
      <c r="I36" s="2"/>
      <c r="J36" s="2"/>
      <c r="K36" s="3"/>
      <c r="R36" s="67"/>
    </row>
    <row r="37">
      <c r="A37" s="25"/>
      <c r="B37" s="26" t="s">
        <v>3</v>
      </c>
      <c r="C37" s="27" t="s">
        <v>2</v>
      </c>
      <c r="D37" s="28" t="s">
        <v>5</v>
      </c>
      <c r="E37" s="32" t="s">
        <v>19</v>
      </c>
      <c r="F37" s="28" t="s">
        <v>6</v>
      </c>
      <c r="G37" s="264" t="s">
        <v>7</v>
      </c>
      <c r="H37" s="30" t="s">
        <v>8</v>
      </c>
      <c r="I37" s="31" t="s">
        <v>20</v>
      </c>
      <c r="J37" s="32" t="s">
        <v>21</v>
      </c>
      <c r="K37" s="32" t="s">
        <v>22</v>
      </c>
      <c r="R37" s="67"/>
    </row>
    <row r="38">
      <c r="A38" s="12" t="s">
        <v>10</v>
      </c>
      <c r="B38" s="73" t="s">
        <v>929</v>
      </c>
      <c r="C38" s="74" t="s">
        <v>1314</v>
      </c>
      <c r="D38" s="75">
        <v>0.3333333333333333</v>
      </c>
      <c r="E38" s="241" t="s">
        <v>1315</v>
      </c>
      <c r="F38" s="84">
        <v>8.98001413037137E14</v>
      </c>
      <c r="G38" s="79" t="s">
        <v>1316</v>
      </c>
      <c r="H38" s="83">
        <v>19805.0</v>
      </c>
      <c r="I38" s="34" t="s">
        <v>183</v>
      </c>
      <c r="J38" s="84">
        <v>1.1958837421E10</v>
      </c>
      <c r="K38" s="83">
        <v>1.1982872687E10</v>
      </c>
      <c r="N38" s="268" t="s">
        <v>387</v>
      </c>
      <c r="O38" s="100"/>
      <c r="P38" s="100"/>
      <c r="Q38" s="100"/>
      <c r="R38" s="67"/>
    </row>
    <row r="39">
      <c r="A39" s="12" t="s">
        <v>11</v>
      </c>
      <c r="B39" s="73" t="s">
        <v>623</v>
      </c>
      <c r="C39" s="74" t="s">
        <v>1314</v>
      </c>
      <c r="D39" s="75">
        <v>0.3472222222222222</v>
      </c>
      <c r="E39" s="241" t="s">
        <v>1317</v>
      </c>
      <c r="F39" s="84">
        <v>8.01440431514742E14</v>
      </c>
      <c r="G39" s="79" t="s">
        <v>1318</v>
      </c>
      <c r="H39" s="83">
        <v>20421.0</v>
      </c>
      <c r="I39" s="34" t="s">
        <v>183</v>
      </c>
      <c r="J39" s="84">
        <v>1.1968513663E10</v>
      </c>
      <c r="K39" s="83">
        <v>1.1934422926E10</v>
      </c>
      <c r="N39" s="270" t="s">
        <v>461</v>
      </c>
      <c r="O39" s="2"/>
      <c r="P39" s="2"/>
      <c r="Q39" s="2"/>
      <c r="R39" s="67"/>
    </row>
    <row r="40">
      <c r="A40" s="12" t="s">
        <v>12</v>
      </c>
      <c r="B40" s="73" t="s">
        <v>295</v>
      </c>
      <c r="C40" s="74" t="s">
        <v>1314</v>
      </c>
      <c r="D40" s="75">
        <v>0.3611111111111111</v>
      </c>
      <c r="E40" s="241" t="s">
        <v>1319</v>
      </c>
      <c r="F40" s="84">
        <v>2.01155000000005E14</v>
      </c>
      <c r="G40" s="79" t="s">
        <v>1320</v>
      </c>
      <c r="H40" s="83">
        <v>29630.0</v>
      </c>
      <c r="I40" s="34" t="s">
        <v>195</v>
      </c>
      <c r="J40" s="83">
        <v>1.1946673678E10</v>
      </c>
      <c r="K40" s="83"/>
      <c r="N40" s="271" t="s">
        <v>183</v>
      </c>
      <c r="O40" s="272" t="s">
        <v>195</v>
      </c>
      <c r="P40" s="272" t="s">
        <v>181</v>
      </c>
      <c r="Q40" s="273" t="s">
        <v>173</v>
      </c>
      <c r="R40" s="286" t="s">
        <v>439</v>
      </c>
    </row>
    <row r="41">
      <c r="A41" s="12" t="s">
        <v>13</v>
      </c>
      <c r="B41" s="73" t="s">
        <v>1321</v>
      </c>
      <c r="C41" s="74" t="s">
        <v>1314</v>
      </c>
      <c r="D41" s="75">
        <v>0.375</v>
      </c>
      <c r="E41" s="241"/>
      <c r="F41" s="84">
        <v>1.07864410860018E14</v>
      </c>
      <c r="G41" s="79" t="s">
        <v>1322</v>
      </c>
      <c r="H41" s="83"/>
      <c r="I41" s="34" t="s">
        <v>183</v>
      </c>
      <c r="J41" s="83"/>
      <c r="K41" s="83"/>
      <c r="N41" s="275">
        <f t="shared" ref="N41:Q41" si="3">COUNTIFS($I$38:$I$49,N40)</f>
        <v>8</v>
      </c>
      <c r="O41" s="275">
        <f t="shared" si="3"/>
        <v>3</v>
      </c>
      <c r="P41" s="275">
        <f t="shared" si="3"/>
        <v>1</v>
      </c>
      <c r="Q41" s="275">
        <f t="shared" si="3"/>
        <v>0</v>
      </c>
      <c r="R41" s="67">
        <f>COUNTIFS(I38:I49,R40)</f>
        <v>0</v>
      </c>
    </row>
    <row r="42">
      <c r="A42" s="12" t="s">
        <v>14</v>
      </c>
      <c r="B42" s="73" t="s">
        <v>623</v>
      </c>
      <c r="C42" s="74" t="s">
        <v>1314</v>
      </c>
      <c r="D42" s="75">
        <v>0.3888888888888889</v>
      </c>
      <c r="E42" s="241" t="s">
        <v>1323</v>
      </c>
      <c r="F42" s="84">
        <v>7.06703545634318E14</v>
      </c>
      <c r="G42" s="79" t="s">
        <v>1324</v>
      </c>
      <c r="H42" s="83">
        <v>16145.0</v>
      </c>
      <c r="I42" s="34" t="s">
        <v>183</v>
      </c>
      <c r="J42" s="83">
        <v>1.1946877951E10</v>
      </c>
      <c r="K42" s="83">
        <v>1.1986020764E10</v>
      </c>
      <c r="R42" s="67"/>
    </row>
    <row r="43">
      <c r="A43" s="12" t="s">
        <v>15</v>
      </c>
      <c r="B43" s="73" t="s">
        <v>623</v>
      </c>
      <c r="C43" s="74" t="s">
        <v>1314</v>
      </c>
      <c r="D43" s="75">
        <v>0.4027777777777778</v>
      </c>
      <c r="E43" s="241" t="s">
        <v>1325</v>
      </c>
      <c r="F43" s="84">
        <v>1.2105483455E14</v>
      </c>
      <c r="G43" s="79" t="s">
        <v>1326</v>
      </c>
      <c r="H43" s="83">
        <v>22783.0</v>
      </c>
      <c r="I43" s="34" t="s">
        <v>195</v>
      </c>
      <c r="J43" s="83">
        <v>1.198738522E10</v>
      </c>
      <c r="K43" s="83"/>
      <c r="R43" s="67"/>
    </row>
    <row r="44">
      <c r="A44" s="12" t="s">
        <v>16</v>
      </c>
      <c r="B44" s="73" t="s">
        <v>929</v>
      </c>
      <c r="C44" s="74" t="s">
        <v>1314</v>
      </c>
      <c r="D44" s="75">
        <v>0.4166666666666667</v>
      </c>
      <c r="E44" s="241" t="s">
        <v>1327</v>
      </c>
      <c r="F44" s="84">
        <v>8.9800147416703E14</v>
      </c>
      <c r="G44" s="79" t="s">
        <v>1328</v>
      </c>
      <c r="H44" s="83">
        <v>17835.0</v>
      </c>
      <c r="I44" s="34" t="s">
        <v>183</v>
      </c>
      <c r="J44" s="83">
        <v>1.1989399118E10</v>
      </c>
      <c r="K44" s="83">
        <v>1.1982872687E10</v>
      </c>
      <c r="R44" s="67"/>
    </row>
    <row r="45">
      <c r="A45" s="12" t="s">
        <v>17</v>
      </c>
      <c r="B45" s="73" t="s">
        <v>623</v>
      </c>
      <c r="C45" s="74" t="s">
        <v>1314</v>
      </c>
      <c r="D45" s="75">
        <v>0.4305555555555556</v>
      </c>
      <c r="E45" s="241" t="s">
        <v>624</v>
      </c>
      <c r="F45" s="422" t="s">
        <v>1329</v>
      </c>
      <c r="G45" s="79" t="s">
        <v>1330</v>
      </c>
      <c r="H45" s="83">
        <v>22765.0</v>
      </c>
      <c r="I45" s="34" t="s">
        <v>183</v>
      </c>
      <c r="J45" s="83">
        <v>1.1982540781E10</v>
      </c>
      <c r="K45" s="83"/>
      <c r="R45" s="67"/>
    </row>
    <row r="46">
      <c r="A46" s="12" t="s">
        <v>85</v>
      </c>
      <c r="B46" s="73" t="s">
        <v>1321</v>
      </c>
      <c r="C46" s="74" t="s">
        <v>1314</v>
      </c>
      <c r="D46" s="75">
        <v>0.4444444444444444</v>
      </c>
      <c r="E46" s="241"/>
      <c r="F46" s="84">
        <v>7.0410927092845E14</v>
      </c>
      <c r="G46" s="79" t="s">
        <v>1331</v>
      </c>
      <c r="H46" s="83">
        <v>30797.0</v>
      </c>
      <c r="I46" s="34" t="s">
        <v>183</v>
      </c>
      <c r="J46" s="83"/>
      <c r="K46" s="83"/>
      <c r="R46" s="67"/>
    </row>
    <row r="47">
      <c r="A47" s="12" t="s">
        <v>87</v>
      </c>
      <c r="B47" s="73" t="s">
        <v>623</v>
      </c>
      <c r="C47" s="74" t="s">
        <v>1314</v>
      </c>
      <c r="D47" s="75">
        <v>0.4583333333333333</v>
      </c>
      <c r="E47" s="241" t="s">
        <v>1332</v>
      </c>
      <c r="F47" s="84">
        <v>7.00005429412702E14</v>
      </c>
      <c r="G47" s="79" t="s">
        <v>1333</v>
      </c>
      <c r="H47" s="83">
        <v>24921.0</v>
      </c>
      <c r="I47" s="34" t="s">
        <v>195</v>
      </c>
      <c r="J47" s="83">
        <v>1.1959082124E10</v>
      </c>
      <c r="K47" s="83"/>
      <c r="R47" s="67"/>
    </row>
    <row r="48">
      <c r="A48" s="12" t="s">
        <v>90</v>
      </c>
      <c r="B48" s="73"/>
      <c r="C48" s="74" t="s">
        <v>1314</v>
      </c>
      <c r="D48" s="75">
        <v>0.4722222222222222</v>
      </c>
      <c r="E48" s="241"/>
      <c r="F48" s="84"/>
      <c r="G48" s="79"/>
      <c r="H48" s="83"/>
      <c r="I48" s="41" t="s">
        <v>181</v>
      </c>
      <c r="J48" s="83"/>
      <c r="K48" s="83"/>
      <c r="R48" s="67"/>
    </row>
    <row r="49">
      <c r="A49" s="12" t="s">
        <v>93</v>
      </c>
      <c r="B49" s="73" t="s">
        <v>929</v>
      </c>
      <c r="C49" s="74" t="s">
        <v>1314</v>
      </c>
      <c r="D49" s="75">
        <v>0.4861111111111111</v>
      </c>
      <c r="E49" s="241" t="s">
        <v>1334</v>
      </c>
      <c r="F49" s="84">
        <v>8.01440489527758E14</v>
      </c>
      <c r="G49" s="79" t="s">
        <v>1335</v>
      </c>
      <c r="H49" s="83">
        <v>23777.0</v>
      </c>
      <c r="I49" s="34" t="s">
        <v>183</v>
      </c>
      <c r="J49" s="83">
        <v>1.1959225504E10</v>
      </c>
      <c r="K49" s="83">
        <v>1.1982872687E10</v>
      </c>
      <c r="R49" s="67"/>
    </row>
    <row r="50">
      <c r="E50" s="300"/>
      <c r="J50" s="67"/>
      <c r="K50" s="67"/>
      <c r="R50" s="67"/>
    </row>
    <row r="51">
      <c r="J51" s="67"/>
      <c r="K51" s="67"/>
      <c r="R51" s="67"/>
    </row>
    <row r="52">
      <c r="J52" s="67"/>
      <c r="K52" s="67"/>
      <c r="R52" s="67"/>
    </row>
    <row r="53">
      <c r="A53" s="23" t="s">
        <v>378</v>
      </c>
      <c r="B53" s="2"/>
      <c r="C53" s="2"/>
      <c r="D53" s="2"/>
      <c r="E53" s="2"/>
      <c r="F53" s="2"/>
      <c r="G53" s="2"/>
      <c r="H53" s="2"/>
      <c r="I53" s="2"/>
      <c r="J53" s="2"/>
      <c r="K53" s="3"/>
      <c r="R53" s="67"/>
    </row>
    <row r="54">
      <c r="A54" s="263" t="s">
        <v>1336</v>
      </c>
      <c r="B54" s="2"/>
      <c r="C54" s="2"/>
      <c r="D54" s="2"/>
      <c r="E54" s="2"/>
      <c r="F54" s="2"/>
      <c r="G54" s="2"/>
      <c r="H54" s="2"/>
      <c r="I54" s="2"/>
      <c r="J54" s="2"/>
      <c r="K54" s="3"/>
      <c r="R54" s="67"/>
    </row>
    <row r="55">
      <c r="A55" s="25"/>
      <c r="B55" s="26" t="s">
        <v>3</v>
      </c>
      <c r="C55" s="27" t="s">
        <v>2</v>
      </c>
      <c r="D55" s="28" t="s">
        <v>5</v>
      </c>
      <c r="E55" s="32" t="s">
        <v>19</v>
      </c>
      <c r="F55" s="28" t="s">
        <v>6</v>
      </c>
      <c r="G55" s="264" t="s">
        <v>7</v>
      </c>
      <c r="H55" s="30" t="s">
        <v>8</v>
      </c>
      <c r="I55" s="31" t="s">
        <v>20</v>
      </c>
      <c r="J55" s="32" t="s">
        <v>21</v>
      </c>
      <c r="K55" s="32" t="s">
        <v>22</v>
      </c>
      <c r="R55" s="67"/>
    </row>
    <row r="56" ht="18.75" customHeight="1">
      <c r="A56" s="12" t="s">
        <v>10</v>
      </c>
      <c r="B56" s="74" t="s">
        <v>220</v>
      </c>
      <c r="C56" s="74" t="s">
        <v>1281</v>
      </c>
      <c r="D56" s="75">
        <v>0.5416666666666666</v>
      </c>
      <c r="E56" s="246" t="s">
        <v>1337</v>
      </c>
      <c r="F56" s="423">
        <v>2.039233502E14</v>
      </c>
      <c r="G56" s="59" t="s">
        <v>1338</v>
      </c>
      <c r="H56" s="424">
        <v>18619.0</v>
      </c>
      <c r="I56" s="34" t="s">
        <v>183</v>
      </c>
      <c r="J56" s="310"/>
      <c r="K56" s="310"/>
      <c r="N56" s="268" t="s">
        <v>387</v>
      </c>
      <c r="O56" s="100"/>
      <c r="P56" s="100"/>
      <c r="Q56" s="100"/>
      <c r="R56" s="67"/>
    </row>
    <row r="57">
      <c r="A57" s="12" t="s">
        <v>11</v>
      </c>
      <c r="B57" s="301"/>
      <c r="C57" s="74"/>
      <c r="D57" s="75"/>
      <c r="E57" s="287"/>
      <c r="F57" s="301"/>
      <c r="G57" s="131"/>
      <c r="H57" s="425"/>
      <c r="I57" s="41" t="s">
        <v>181</v>
      </c>
      <c r="J57" s="310"/>
      <c r="K57" s="310"/>
      <c r="N57" s="270" t="s">
        <v>489</v>
      </c>
      <c r="O57" s="2"/>
      <c r="P57" s="2"/>
      <c r="Q57" s="2"/>
      <c r="R57" s="67"/>
    </row>
    <row r="58">
      <c r="A58" s="12" t="s">
        <v>12</v>
      </c>
      <c r="B58" s="74" t="s">
        <v>527</v>
      </c>
      <c r="C58" s="74" t="s">
        <v>1281</v>
      </c>
      <c r="D58" s="75">
        <v>0.5694444444444444</v>
      </c>
      <c r="E58" s="287" t="s">
        <v>1339</v>
      </c>
      <c r="F58" s="426" t="s">
        <v>1340</v>
      </c>
      <c r="G58" s="59" t="s">
        <v>1341</v>
      </c>
      <c r="H58" s="211">
        <v>17048.0</v>
      </c>
      <c r="I58" s="34" t="s">
        <v>183</v>
      </c>
      <c r="J58" s="310">
        <v>1.1994349676E10</v>
      </c>
      <c r="K58" s="310"/>
      <c r="N58" s="271" t="s">
        <v>183</v>
      </c>
      <c r="O58" s="272" t="s">
        <v>195</v>
      </c>
      <c r="P58" s="272" t="s">
        <v>181</v>
      </c>
      <c r="Q58" s="273" t="s">
        <v>173</v>
      </c>
      <c r="R58" s="67"/>
    </row>
    <row r="59">
      <c r="A59" s="12" t="s">
        <v>13</v>
      </c>
      <c r="B59" s="74" t="s">
        <v>668</v>
      </c>
      <c r="C59" s="74" t="s">
        <v>1281</v>
      </c>
      <c r="D59" s="75">
        <v>0.5833333333333334</v>
      </c>
      <c r="E59" s="287" t="s">
        <v>1342</v>
      </c>
      <c r="F59" s="84">
        <v>7.034011219233E14</v>
      </c>
      <c r="G59" s="79" t="s">
        <v>1343</v>
      </c>
      <c r="H59" s="83">
        <v>19960.0</v>
      </c>
      <c r="I59" s="34" t="s">
        <v>183</v>
      </c>
      <c r="J59" s="310">
        <v>1.1966912808E10</v>
      </c>
      <c r="K59" s="310">
        <v>1.195855477E10</v>
      </c>
      <c r="N59" s="275">
        <f t="shared" ref="N59:Q59" si="4">COUNTIFS($I$56:$I$67,N58)</f>
        <v>8</v>
      </c>
      <c r="O59" s="275">
        <f t="shared" si="4"/>
        <v>0</v>
      </c>
      <c r="P59" s="275">
        <f t="shared" si="4"/>
        <v>2</v>
      </c>
      <c r="Q59" s="275">
        <f t="shared" si="4"/>
        <v>1</v>
      </c>
      <c r="R59" s="67"/>
    </row>
    <row r="60">
      <c r="A60" s="12" t="s">
        <v>14</v>
      </c>
      <c r="B60" s="74" t="s">
        <v>220</v>
      </c>
      <c r="C60" s="74" t="s">
        <v>1281</v>
      </c>
      <c r="D60" s="75">
        <v>0.5972222222222222</v>
      </c>
      <c r="E60" s="246" t="s">
        <v>1344</v>
      </c>
      <c r="F60" s="84">
        <v>7.00803441326889E14</v>
      </c>
      <c r="G60" s="79" t="s">
        <v>1345</v>
      </c>
      <c r="H60" s="83">
        <v>18819.0</v>
      </c>
      <c r="I60" s="34" t="s">
        <v>183</v>
      </c>
      <c r="J60" s="310">
        <v>1.197224087E10</v>
      </c>
      <c r="K60" s="310"/>
      <c r="R60" s="67"/>
    </row>
    <row r="61">
      <c r="A61" s="12" t="s">
        <v>15</v>
      </c>
      <c r="B61" s="301"/>
      <c r="C61" s="74"/>
      <c r="D61" s="75"/>
      <c r="E61" s="246"/>
      <c r="F61" s="185"/>
      <c r="G61" s="203"/>
      <c r="H61" s="77"/>
      <c r="I61" s="41" t="s">
        <v>181</v>
      </c>
      <c r="J61" s="310"/>
      <c r="K61" s="310"/>
      <c r="R61" s="67"/>
    </row>
    <row r="62">
      <c r="A62" s="12" t="s">
        <v>16</v>
      </c>
      <c r="B62" s="74" t="s">
        <v>527</v>
      </c>
      <c r="C62" s="74" t="s">
        <v>1281</v>
      </c>
      <c r="D62" s="75">
        <v>0.625</v>
      </c>
      <c r="E62" s="246" t="s">
        <v>1346</v>
      </c>
      <c r="F62" s="84">
        <v>7.00205911705225E14</v>
      </c>
      <c r="G62" s="79" t="s">
        <v>1347</v>
      </c>
      <c r="H62" s="83">
        <v>19960.0</v>
      </c>
      <c r="I62" s="34" t="s">
        <v>183</v>
      </c>
      <c r="J62" s="310">
        <v>1.1948496867E10</v>
      </c>
      <c r="K62" s="310">
        <v>1.1980603172E10</v>
      </c>
      <c r="R62" s="67"/>
    </row>
    <row r="63">
      <c r="A63" s="12" t="s">
        <v>17</v>
      </c>
      <c r="B63" s="74" t="s">
        <v>668</v>
      </c>
      <c r="C63" s="74" t="s">
        <v>1281</v>
      </c>
      <c r="D63" s="75">
        <v>0.6388888888888888</v>
      </c>
      <c r="E63" s="246" t="s">
        <v>1348</v>
      </c>
      <c r="F63" s="133">
        <v>1.63948556940001E14</v>
      </c>
      <c r="G63" s="79" t="s">
        <v>1349</v>
      </c>
      <c r="H63" s="166">
        <v>27804.0</v>
      </c>
      <c r="I63" s="34" t="s">
        <v>183</v>
      </c>
      <c r="J63" s="310">
        <v>1.1959894295E10</v>
      </c>
      <c r="K63" s="310">
        <v>1.1987996288E10</v>
      </c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12" t="s">
        <v>85</v>
      </c>
      <c r="B64" s="74" t="s">
        <v>220</v>
      </c>
      <c r="C64" s="74" t="s">
        <v>1281</v>
      </c>
      <c r="D64" s="75">
        <v>0.6666666666666666</v>
      </c>
      <c r="E64" s="246" t="s">
        <v>1350</v>
      </c>
      <c r="F64" s="427" t="s">
        <v>1351</v>
      </c>
      <c r="G64" s="79" t="s">
        <v>1352</v>
      </c>
      <c r="H64" s="91">
        <v>26370.0</v>
      </c>
      <c r="I64" s="34" t="s">
        <v>183</v>
      </c>
      <c r="J64" s="310"/>
      <c r="K64" s="310"/>
      <c r="R64" s="67"/>
    </row>
    <row r="65">
      <c r="A65" s="12" t="s">
        <v>87</v>
      </c>
      <c r="B65" s="74" t="s">
        <v>220</v>
      </c>
      <c r="C65" s="74" t="s">
        <v>1281</v>
      </c>
      <c r="D65" s="75">
        <v>0.6944444444444444</v>
      </c>
      <c r="E65" s="246">
        <v>9.0582080878E10</v>
      </c>
      <c r="F65" s="133">
        <v>8.0144040109079E14</v>
      </c>
      <c r="G65" s="59" t="s">
        <v>1353</v>
      </c>
      <c r="H65" s="91">
        <v>19282.0</v>
      </c>
      <c r="I65" s="34" t="s">
        <v>183</v>
      </c>
      <c r="J65" s="310">
        <v>1.1954974673E10</v>
      </c>
      <c r="K65" s="310"/>
      <c r="R65" s="67"/>
    </row>
    <row r="66">
      <c r="A66" s="428" t="s">
        <v>90</v>
      </c>
      <c r="B66" s="370" t="s">
        <v>668</v>
      </c>
      <c r="C66" s="370" t="s">
        <v>1281</v>
      </c>
      <c r="D66" s="371">
        <v>0.7083333333333334</v>
      </c>
      <c r="E66" s="372" t="s">
        <v>1354</v>
      </c>
      <c r="F66" s="429" t="s">
        <v>1355</v>
      </c>
      <c r="G66" s="430" t="s">
        <v>1356</v>
      </c>
      <c r="H66" s="431">
        <v>16668.0</v>
      </c>
      <c r="I66" s="432" t="s">
        <v>173</v>
      </c>
      <c r="J66" s="433">
        <v>1.1983301957E10</v>
      </c>
      <c r="K66" s="434"/>
      <c r="R66" s="67"/>
    </row>
    <row r="67">
      <c r="A67" s="12" t="s">
        <v>93</v>
      </c>
      <c r="B67" s="74"/>
      <c r="C67" s="74"/>
      <c r="D67" s="75"/>
      <c r="E67" s="246"/>
      <c r="F67" s="133"/>
      <c r="G67" s="79"/>
      <c r="H67" s="166"/>
      <c r="I67" s="41"/>
      <c r="J67" s="42"/>
      <c r="K67" s="42"/>
      <c r="R67" s="67"/>
    </row>
    <row r="68">
      <c r="J68" s="67"/>
      <c r="K68" s="67"/>
      <c r="R68" s="67"/>
    </row>
    <row r="69">
      <c r="J69" s="67"/>
      <c r="K69" s="67"/>
      <c r="R69" s="67"/>
    </row>
    <row r="70" ht="15.0" customHeight="1">
      <c r="J70" s="67"/>
      <c r="K70" s="67"/>
      <c r="R70" s="67"/>
    </row>
    <row r="71">
      <c r="A71" s="23" t="s">
        <v>378</v>
      </c>
      <c r="B71" s="2"/>
      <c r="C71" s="2"/>
      <c r="D71" s="2"/>
      <c r="E71" s="2"/>
      <c r="F71" s="2"/>
      <c r="G71" s="2"/>
      <c r="H71" s="2"/>
      <c r="I71" s="2"/>
      <c r="J71" s="2"/>
      <c r="K71" s="3"/>
      <c r="R71" s="67"/>
    </row>
    <row r="72">
      <c r="A72" s="263" t="s">
        <v>1357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25"/>
      <c r="B73" s="26" t="s">
        <v>3</v>
      </c>
      <c r="C73" s="27" t="s">
        <v>2</v>
      </c>
      <c r="D73" s="28" t="s">
        <v>5</v>
      </c>
      <c r="E73" s="32" t="s">
        <v>19</v>
      </c>
      <c r="F73" s="28" t="s">
        <v>6</v>
      </c>
      <c r="G73" s="264" t="s">
        <v>7</v>
      </c>
      <c r="H73" s="30" t="s">
        <v>8</v>
      </c>
      <c r="I73" s="31" t="s">
        <v>20</v>
      </c>
      <c r="J73" s="32" t="s">
        <v>21</v>
      </c>
      <c r="K73" s="32" t="s">
        <v>22</v>
      </c>
      <c r="R73" s="67"/>
    </row>
    <row r="74">
      <c r="A74" s="12" t="s">
        <v>10</v>
      </c>
      <c r="B74" s="435" t="s">
        <v>1358</v>
      </c>
      <c r="C74" s="74" t="s">
        <v>1295</v>
      </c>
      <c r="D74" s="75">
        <v>0.5416666666666666</v>
      </c>
      <c r="E74" s="246"/>
      <c r="F74" s="33"/>
      <c r="G74" s="33"/>
      <c r="H74" s="211"/>
      <c r="I74" s="34" t="s">
        <v>181</v>
      </c>
      <c r="J74" s="102"/>
      <c r="K74" s="102"/>
      <c r="L74" s="216" t="s">
        <v>521</v>
      </c>
      <c r="N74" s="268" t="s">
        <v>387</v>
      </c>
      <c r="O74" s="100"/>
      <c r="P74" s="100"/>
      <c r="Q74" s="100"/>
      <c r="R74" s="67"/>
    </row>
    <row r="75">
      <c r="A75" s="12" t="s">
        <v>11</v>
      </c>
      <c r="B75" s="229" t="s">
        <v>1359</v>
      </c>
      <c r="C75" s="74" t="s">
        <v>1295</v>
      </c>
      <c r="D75" s="75">
        <v>0.5555555555555556</v>
      </c>
      <c r="E75" s="242"/>
      <c r="F75" s="133">
        <v>7.00104989417015E14</v>
      </c>
      <c r="G75" s="59" t="s">
        <v>1360</v>
      </c>
      <c r="H75" s="77">
        <v>21292.0</v>
      </c>
      <c r="I75" s="34" t="s">
        <v>183</v>
      </c>
      <c r="J75" s="42">
        <v>1.1911413239E10</v>
      </c>
      <c r="K75" s="42"/>
      <c r="N75" s="270" t="s">
        <v>522</v>
      </c>
      <c r="O75" s="2"/>
      <c r="P75" s="2"/>
      <c r="Q75" s="2"/>
      <c r="R75" s="67"/>
    </row>
    <row r="76">
      <c r="A76" s="12" t="s">
        <v>12</v>
      </c>
      <c r="B76" s="229" t="s">
        <v>1361</v>
      </c>
      <c r="C76" s="74" t="s">
        <v>1295</v>
      </c>
      <c r="D76" s="75">
        <v>0.5694444444444444</v>
      </c>
      <c r="E76" s="242"/>
      <c r="F76" s="133">
        <v>7.05601404326715E14</v>
      </c>
      <c r="G76" s="59" t="s">
        <v>1362</v>
      </c>
      <c r="H76" s="77">
        <v>25315.0</v>
      </c>
      <c r="I76" s="34" t="s">
        <v>183</v>
      </c>
      <c r="J76" s="102">
        <v>1.1980497158E10</v>
      </c>
      <c r="K76" s="102"/>
      <c r="L76" s="216" t="s">
        <v>521</v>
      </c>
      <c r="N76" s="271" t="s">
        <v>183</v>
      </c>
      <c r="O76" s="272" t="s">
        <v>195</v>
      </c>
      <c r="P76" s="272" t="s">
        <v>181</v>
      </c>
      <c r="Q76" s="273" t="s">
        <v>173</v>
      </c>
      <c r="R76" s="67"/>
    </row>
    <row r="77">
      <c r="A77" s="12" t="s">
        <v>13</v>
      </c>
      <c r="B77" s="229" t="s">
        <v>1363</v>
      </c>
      <c r="C77" s="74" t="s">
        <v>1295</v>
      </c>
      <c r="D77" s="75">
        <v>0.5833333333333334</v>
      </c>
      <c r="E77" s="241"/>
      <c r="F77" s="133">
        <v>7.07407072980979E14</v>
      </c>
      <c r="G77" s="59" t="s">
        <v>1364</v>
      </c>
      <c r="H77" s="77">
        <v>27306.0</v>
      </c>
      <c r="I77" s="34" t="s">
        <v>183</v>
      </c>
      <c r="J77" s="102">
        <v>1.1958720838E10</v>
      </c>
      <c r="K77" s="102">
        <v>1.1982711748E10</v>
      </c>
      <c r="L77" s="216" t="s">
        <v>521</v>
      </c>
      <c r="N77" s="275">
        <f t="shared" ref="N77:Q77" si="5">COUNTIFS($I$74:$I$85,N76)</f>
        <v>7</v>
      </c>
      <c r="O77" s="275">
        <f t="shared" si="5"/>
        <v>0</v>
      </c>
      <c r="P77" s="275">
        <f t="shared" si="5"/>
        <v>4</v>
      </c>
      <c r="Q77" s="275">
        <f t="shared" si="5"/>
        <v>1</v>
      </c>
      <c r="R77" s="67"/>
    </row>
    <row r="78" ht="18.0" customHeight="1">
      <c r="A78" s="12" t="s">
        <v>14</v>
      </c>
      <c r="B78" s="435" t="s">
        <v>1358</v>
      </c>
      <c r="C78" s="74" t="s">
        <v>1295</v>
      </c>
      <c r="D78" s="75">
        <v>0.5972222222222222</v>
      </c>
      <c r="E78" s="278"/>
      <c r="F78" s="133"/>
      <c r="G78" s="59"/>
      <c r="H78" s="77"/>
      <c r="I78" s="34" t="s">
        <v>181</v>
      </c>
      <c r="J78" s="42"/>
      <c r="K78" s="42"/>
      <c r="L78" s="216" t="s">
        <v>521</v>
      </c>
      <c r="R78" s="67"/>
    </row>
    <row r="79">
      <c r="A79" s="12" t="s">
        <v>15</v>
      </c>
      <c r="B79" s="229" t="s">
        <v>1359</v>
      </c>
      <c r="C79" s="74" t="s">
        <v>1295</v>
      </c>
      <c r="D79" s="75">
        <v>0.6111111111111112</v>
      </c>
      <c r="E79" s="278"/>
      <c r="F79" s="133">
        <v>7.00500331576457E14</v>
      </c>
      <c r="G79" s="59" t="s">
        <v>1365</v>
      </c>
      <c r="H79" s="77">
        <v>14193.0</v>
      </c>
      <c r="I79" s="34" t="s">
        <v>183</v>
      </c>
      <c r="J79" s="42">
        <v>1.1939409595E10</v>
      </c>
      <c r="K79" s="42">
        <v>1.1993084036E10</v>
      </c>
      <c r="L79" s="216" t="s">
        <v>521</v>
      </c>
      <c r="R79" s="67"/>
    </row>
    <row r="80">
      <c r="A80" s="12" t="s">
        <v>16</v>
      </c>
      <c r="B80" s="229" t="s">
        <v>1361</v>
      </c>
      <c r="C80" s="74" t="s">
        <v>1295</v>
      </c>
      <c r="D80" s="75">
        <v>0.625</v>
      </c>
      <c r="E80" s="295"/>
      <c r="F80" s="133">
        <v>7.0170124740597E14</v>
      </c>
      <c r="G80" s="59" t="s">
        <v>1366</v>
      </c>
      <c r="H80" s="77">
        <v>17844.0</v>
      </c>
      <c r="I80" s="34" t="s">
        <v>183</v>
      </c>
      <c r="J80" s="311">
        <v>1.1977114581E10</v>
      </c>
      <c r="K80" s="311"/>
      <c r="L80" s="216" t="s">
        <v>521</v>
      </c>
      <c r="R80" s="67"/>
    </row>
    <row r="81">
      <c r="A81" s="12" t="s">
        <v>179</v>
      </c>
      <c r="B81" s="229" t="s">
        <v>1363</v>
      </c>
      <c r="C81" s="74" t="s">
        <v>1295</v>
      </c>
      <c r="D81" s="75">
        <v>0.6388888888888888</v>
      </c>
      <c r="E81" s="242"/>
      <c r="F81" s="133">
        <v>7.02501386546735E14</v>
      </c>
      <c r="G81" s="59" t="s">
        <v>1367</v>
      </c>
      <c r="H81" s="77">
        <v>19852.0</v>
      </c>
      <c r="I81" s="34" t="s">
        <v>183</v>
      </c>
      <c r="J81" s="42">
        <v>1.198762877E10</v>
      </c>
      <c r="K81" s="42">
        <v>1.1958887571E10</v>
      </c>
      <c r="L81" s="216" t="s">
        <v>521</v>
      </c>
      <c r="R81" s="67"/>
    </row>
    <row r="82">
      <c r="A82" s="12" t="s">
        <v>85</v>
      </c>
      <c r="B82" s="435" t="s">
        <v>1358</v>
      </c>
      <c r="C82" s="74" t="s">
        <v>1295</v>
      </c>
      <c r="D82" s="75">
        <v>0.6527777777777778</v>
      </c>
      <c r="E82" s="295"/>
      <c r="F82" s="133"/>
      <c r="G82" s="59"/>
      <c r="H82" s="77"/>
      <c r="I82" s="34" t="s">
        <v>181</v>
      </c>
      <c r="J82" s="141"/>
      <c r="K82" s="42"/>
      <c r="L82" s="216" t="s">
        <v>521</v>
      </c>
      <c r="R82" s="67"/>
    </row>
    <row r="83">
      <c r="A83" s="12" t="s">
        <v>87</v>
      </c>
      <c r="B83" s="436" t="s">
        <v>1359</v>
      </c>
      <c r="C83" s="74" t="s">
        <v>1295</v>
      </c>
      <c r="D83" s="75">
        <v>0.6666666666666666</v>
      </c>
      <c r="E83" s="245"/>
      <c r="F83" s="133"/>
      <c r="G83" s="59"/>
      <c r="H83" s="77"/>
      <c r="I83" s="34" t="s">
        <v>181</v>
      </c>
      <c r="J83" s="42"/>
      <c r="K83" s="42"/>
      <c r="L83" s="216" t="s">
        <v>521</v>
      </c>
      <c r="R83" s="67"/>
    </row>
    <row r="84">
      <c r="A84" s="12" t="s">
        <v>90</v>
      </c>
      <c r="B84" s="229" t="s">
        <v>1361</v>
      </c>
      <c r="C84" s="74" t="s">
        <v>1295</v>
      </c>
      <c r="D84" s="75">
        <v>0.6805555555555556</v>
      </c>
      <c r="E84" s="295"/>
      <c r="F84" s="133">
        <v>7.06308744086173E14</v>
      </c>
      <c r="G84" s="59" t="s">
        <v>1240</v>
      </c>
      <c r="H84" s="77">
        <v>18838.0</v>
      </c>
      <c r="I84" s="34" t="s">
        <v>173</v>
      </c>
      <c r="J84" s="42">
        <v>1.1958075284E10</v>
      </c>
      <c r="K84" s="42">
        <v>1.1964489816E10</v>
      </c>
      <c r="L84" s="216" t="s">
        <v>521</v>
      </c>
      <c r="R84" s="67"/>
    </row>
    <row r="85">
      <c r="A85" s="12" t="s">
        <v>93</v>
      </c>
      <c r="B85" s="229" t="s">
        <v>1363</v>
      </c>
      <c r="C85" s="74" t="s">
        <v>1295</v>
      </c>
      <c r="D85" s="75">
        <v>0.6944444444444444</v>
      </c>
      <c r="E85" s="295"/>
      <c r="F85" s="133">
        <v>7.02405542912521E14</v>
      </c>
      <c r="G85" s="59" t="s">
        <v>1368</v>
      </c>
      <c r="H85" s="77">
        <v>19783.0</v>
      </c>
      <c r="I85" s="34" t="s">
        <v>183</v>
      </c>
      <c r="J85" s="42">
        <v>1.1997772782E10</v>
      </c>
      <c r="K85" s="42">
        <v>1.1983888691E10</v>
      </c>
      <c r="R85" s="67"/>
    </row>
    <row r="86">
      <c r="J86" s="67"/>
      <c r="K86" s="67"/>
      <c r="R86" s="67"/>
    </row>
    <row r="87">
      <c r="J87" s="67"/>
      <c r="K87" s="67"/>
      <c r="R87" s="67"/>
    </row>
    <row r="88">
      <c r="A88" s="23" t="s">
        <v>378</v>
      </c>
      <c r="B88" s="2"/>
      <c r="C88" s="2"/>
      <c r="D88" s="2"/>
      <c r="E88" s="2"/>
      <c r="F88" s="2"/>
      <c r="G88" s="2"/>
      <c r="H88" s="2"/>
      <c r="I88" s="2"/>
      <c r="J88" s="2"/>
      <c r="K88" s="3"/>
      <c r="R88" s="67"/>
    </row>
    <row r="89">
      <c r="A89" s="263" t="s">
        <v>1369</v>
      </c>
      <c r="B89" s="2"/>
      <c r="C89" s="2"/>
      <c r="D89" s="2"/>
      <c r="E89" s="2"/>
      <c r="F89" s="2"/>
      <c r="G89" s="2"/>
      <c r="H89" s="2"/>
      <c r="I89" s="2"/>
      <c r="J89" s="2"/>
      <c r="K89" s="3"/>
      <c r="R89" s="67"/>
    </row>
    <row r="90">
      <c r="A90" s="25"/>
      <c r="B90" s="26" t="s">
        <v>3</v>
      </c>
      <c r="C90" s="27" t="s">
        <v>2</v>
      </c>
      <c r="D90" s="28" t="s">
        <v>5</v>
      </c>
      <c r="E90" s="32" t="s">
        <v>19</v>
      </c>
      <c r="F90" s="28" t="s">
        <v>6</v>
      </c>
      <c r="G90" s="264" t="s">
        <v>7</v>
      </c>
      <c r="H90" s="30" t="s">
        <v>8</v>
      </c>
      <c r="I90" s="31" t="s">
        <v>20</v>
      </c>
      <c r="J90" s="32" t="s">
        <v>21</v>
      </c>
      <c r="K90" s="32" t="s">
        <v>22</v>
      </c>
      <c r="R90" s="67"/>
    </row>
    <row r="91">
      <c r="A91" s="12" t="s">
        <v>10</v>
      </c>
      <c r="B91" s="437" t="s">
        <v>929</v>
      </c>
      <c r="C91" s="74" t="s">
        <v>1314</v>
      </c>
      <c r="D91" s="75">
        <v>0.3333333333333333</v>
      </c>
      <c r="E91" s="84" t="s">
        <v>1370</v>
      </c>
      <c r="F91" s="84">
        <v>7.02600737406742E14</v>
      </c>
      <c r="G91" s="79" t="s">
        <v>1371</v>
      </c>
      <c r="H91" s="314">
        <v>33816.0</v>
      </c>
      <c r="I91" s="34" t="s">
        <v>183</v>
      </c>
      <c r="J91" s="314"/>
      <c r="K91" s="314"/>
      <c r="L91" s="216" t="s">
        <v>521</v>
      </c>
      <c r="N91" s="268" t="s">
        <v>387</v>
      </c>
      <c r="O91" s="100"/>
      <c r="P91" s="100"/>
      <c r="Q91" s="100"/>
      <c r="R91" s="67"/>
    </row>
    <row r="92">
      <c r="A92" s="12" t="s">
        <v>11</v>
      </c>
      <c r="B92" s="437" t="s">
        <v>623</v>
      </c>
      <c r="C92" s="74" t="s">
        <v>1314</v>
      </c>
      <c r="D92" s="75">
        <v>0.3472222222222222</v>
      </c>
      <c r="E92" s="84" t="s">
        <v>675</v>
      </c>
      <c r="F92" s="84">
        <v>8.01440480119509E14</v>
      </c>
      <c r="G92" s="79" t="s">
        <v>676</v>
      </c>
      <c r="H92" s="314">
        <v>23464.0</v>
      </c>
      <c r="I92" s="34" t="s">
        <v>173</v>
      </c>
      <c r="J92" s="314"/>
      <c r="K92" s="314"/>
      <c r="N92" s="270" t="s">
        <v>557</v>
      </c>
      <c r="O92" s="2"/>
      <c r="P92" s="2"/>
      <c r="Q92" s="2"/>
      <c r="R92" s="67"/>
    </row>
    <row r="93">
      <c r="A93" s="12" t="s">
        <v>12</v>
      </c>
      <c r="B93" s="437" t="s">
        <v>295</v>
      </c>
      <c r="C93" s="74" t="s">
        <v>1314</v>
      </c>
      <c r="D93" s="75">
        <v>0.3611111111111111</v>
      </c>
      <c r="E93" s="84" t="s">
        <v>1372</v>
      </c>
      <c r="F93" s="84">
        <v>2.01154959290005E14</v>
      </c>
      <c r="G93" s="79" t="s">
        <v>1373</v>
      </c>
      <c r="H93" s="314">
        <v>34179.0</v>
      </c>
      <c r="I93" s="34" t="s">
        <v>183</v>
      </c>
      <c r="J93" s="314"/>
      <c r="K93" s="314"/>
      <c r="L93" s="216" t="s">
        <v>521</v>
      </c>
      <c r="N93" s="271" t="s">
        <v>183</v>
      </c>
      <c r="O93" s="272" t="s">
        <v>195</v>
      </c>
      <c r="P93" s="272" t="s">
        <v>181</v>
      </c>
      <c r="Q93" s="273" t="s">
        <v>173</v>
      </c>
      <c r="R93" s="286" t="s">
        <v>439</v>
      </c>
    </row>
    <row r="94">
      <c r="A94" s="12" t="s">
        <v>13</v>
      </c>
      <c r="B94" s="437" t="s">
        <v>1321</v>
      </c>
      <c r="C94" s="74" t="s">
        <v>1314</v>
      </c>
      <c r="D94" s="75">
        <v>0.375</v>
      </c>
      <c r="E94" s="84" t="s">
        <v>1374</v>
      </c>
      <c r="F94" s="84">
        <v>1.2408957798E14</v>
      </c>
      <c r="G94" s="79" t="s">
        <v>1375</v>
      </c>
      <c r="H94" s="314">
        <v>25431.0</v>
      </c>
      <c r="I94" s="34" t="s">
        <v>183</v>
      </c>
      <c r="J94" s="314"/>
      <c r="K94" s="314"/>
      <c r="L94" s="216" t="s">
        <v>521</v>
      </c>
      <c r="N94" s="275">
        <f t="shared" ref="N94:Q94" si="6">COUNTIFS($I$91:$I$102,N93)</f>
        <v>8</v>
      </c>
      <c r="O94" s="275">
        <f t="shared" si="6"/>
        <v>0</v>
      </c>
      <c r="P94" s="275">
        <f t="shared" si="6"/>
        <v>1</v>
      </c>
      <c r="Q94" s="275">
        <f t="shared" si="6"/>
        <v>3</v>
      </c>
      <c r="R94" s="67">
        <f>COUNTIFS(I91:I102,R93)</f>
        <v>0</v>
      </c>
    </row>
    <row r="95">
      <c r="A95" s="12" t="s">
        <v>14</v>
      </c>
      <c r="B95" s="437" t="s">
        <v>623</v>
      </c>
      <c r="C95" s="74" t="s">
        <v>1314</v>
      </c>
      <c r="D95" s="75">
        <v>0.3888888888888889</v>
      </c>
      <c r="E95" s="84" t="s">
        <v>1376</v>
      </c>
      <c r="F95" s="84">
        <v>7.00505900226352E14</v>
      </c>
      <c r="G95" s="79" t="s">
        <v>1377</v>
      </c>
      <c r="H95" s="314">
        <v>22768.0</v>
      </c>
      <c r="I95" s="34" t="s">
        <v>183</v>
      </c>
      <c r="J95" s="314"/>
      <c r="K95" s="314"/>
      <c r="L95" s="216" t="s">
        <v>521</v>
      </c>
      <c r="R95" s="67"/>
    </row>
    <row r="96">
      <c r="A96" s="12" t="s">
        <v>15</v>
      </c>
      <c r="B96" s="437" t="s">
        <v>295</v>
      </c>
      <c r="C96" s="74" t="s">
        <v>1314</v>
      </c>
      <c r="D96" s="75">
        <v>0.4027777777777778</v>
      </c>
      <c r="E96" s="84" t="s">
        <v>1378</v>
      </c>
      <c r="F96" s="84">
        <v>2.06117248680002E14</v>
      </c>
      <c r="G96" s="79" t="s">
        <v>1379</v>
      </c>
      <c r="H96" s="314">
        <v>36306.0</v>
      </c>
      <c r="I96" s="34" t="s">
        <v>173</v>
      </c>
      <c r="J96" s="314"/>
      <c r="K96" s="314"/>
      <c r="L96" s="216" t="s">
        <v>521</v>
      </c>
      <c r="R96" s="67"/>
    </row>
    <row r="97">
      <c r="A97" s="12" t="s">
        <v>16</v>
      </c>
      <c r="B97" s="437" t="s">
        <v>929</v>
      </c>
      <c r="C97" s="74" t="s">
        <v>1314</v>
      </c>
      <c r="D97" s="75">
        <v>0.4166666666666667</v>
      </c>
      <c r="E97" s="84" t="s">
        <v>1380</v>
      </c>
      <c r="F97" s="84">
        <v>7.02501316152533E14</v>
      </c>
      <c r="G97" s="79" t="s">
        <v>1381</v>
      </c>
      <c r="H97" s="314">
        <v>24398.0</v>
      </c>
      <c r="I97" s="34" t="s">
        <v>183</v>
      </c>
      <c r="J97" s="314"/>
      <c r="K97" s="314"/>
      <c r="R97" s="67"/>
    </row>
    <row r="98">
      <c r="A98" s="12" t="s">
        <v>17</v>
      </c>
      <c r="B98" s="437" t="s">
        <v>623</v>
      </c>
      <c r="C98" s="74" t="s">
        <v>1314</v>
      </c>
      <c r="D98" s="75">
        <v>0.4305555555555556</v>
      </c>
      <c r="E98" s="84" t="s">
        <v>1382</v>
      </c>
      <c r="F98" s="84">
        <v>7.034040203189E14</v>
      </c>
      <c r="G98" s="79" t="s">
        <v>1383</v>
      </c>
      <c r="H98" s="314">
        <v>22360.0</v>
      </c>
      <c r="I98" s="34" t="s">
        <v>183</v>
      </c>
      <c r="J98" s="314"/>
      <c r="K98" s="382"/>
      <c r="R98" s="67"/>
    </row>
    <row r="99">
      <c r="A99" s="12" t="s">
        <v>85</v>
      </c>
      <c r="B99" s="437" t="s">
        <v>295</v>
      </c>
      <c r="C99" s="74" t="s">
        <v>1314</v>
      </c>
      <c r="D99" s="75">
        <v>0.4444444444444444</v>
      </c>
      <c r="E99" s="84" t="s">
        <v>1384</v>
      </c>
      <c r="F99" s="84">
        <v>7.00002770556902E14</v>
      </c>
      <c r="G99" s="79" t="s">
        <v>1385</v>
      </c>
      <c r="H99" s="314">
        <v>36535.0</v>
      </c>
      <c r="I99" s="34" t="s">
        <v>183</v>
      </c>
      <c r="J99" s="314"/>
      <c r="K99" s="314"/>
      <c r="L99" s="216" t="s">
        <v>577</v>
      </c>
      <c r="R99" s="67"/>
    </row>
    <row r="100">
      <c r="A100" s="12" t="s">
        <v>87</v>
      </c>
      <c r="B100" s="438"/>
      <c r="C100" s="74" t="s">
        <v>1314</v>
      </c>
      <c r="D100" s="75">
        <v>0.4583333333333333</v>
      </c>
      <c r="E100" s="84"/>
      <c r="F100" s="84"/>
      <c r="G100" s="439"/>
      <c r="H100" s="314"/>
      <c r="I100" s="41" t="s">
        <v>181</v>
      </c>
      <c r="J100" s="314"/>
      <c r="K100" s="314"/>
      <c r="R100" s="67"/>
    </row>
    <row r="101">
      <c r="A101" s="12" t="s">
        <v>90</v>
      </c>
      <c r="B101" s="437" t="s">
        <v>1321</v>
      </c>
      <c r="C101" s="74" t="s">
        <v>1314</v>
      </c>
      <c r="D101" s="75">
        <v>0.4722222222222222</v>
      </c>
      <c r="E101" s="84" t="s">
        <v>1386</v>
      </c>
      <c r="F101" s="84">
        <v>2.09043395260018E14</v>
      </c>
      <c r="G101" s="79" t="s">
        <v>1387</v>
      </c>
      <c r="H101" s="314">
        <v>25807.0</v>
      </c>
      <c r="I101" s="34" t="s">
        <v>183</v>
      </c>
      <c r="J101" s="314"/>
      <c r="K101" s="314"/>
      <c r="R101" s="67"/>
    </row>
    <row r="102">
      <c r="A102" s="12" t="s">
        <v>93</v>
      </c>
      <c r="B102" s="437" t="s">
        <v>929</v>
      </c>
      <c r="C102" s="74" t="s">
        <v>1314</v>
      </c>
      <c r="D102" s="75">
        <v>0.4861111111111111</v>
      </c>
      <c r="E102" s="84" t="s">
        <v>1388</v>
      </c>
      <c r="F102" s="84">
        <v>7.06803219885221E14</v>
      </c>
      <c r="G102" s="79" t="s">
        <v>1389</v>
      </c>
      <c r="H102" s="314">
        <v>22968.0</v>
      </c>
      <c r="I102" s="34" t="s">
        <v>173</v>
      </c>
      <c r="J102" s="314"/>
      <c r="K102" s="314"/>
      <c r="R102" s="67"/>
    </row>
    <row r="103">
      <c r="J103" s="67"/>
      <c r="K103" s="67"/>
      <c r="R103" s="67"/>
    </row>
    <row r="104">
      <c r="J104" s="67"/>
      <c r="K104" s="67"/>
      <c r="R104" s="67"/>
    </row>
    <row r="105">
      <c r="J105" s="67"/>
      <c r="K105" s="67"/>
      <c r="R105" s="67"/>
    </row>
    <row r="106">
      <c r="A106" s="23" t="s">
        <v>378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R106" s="67"/>
    </row>
    <row r="107">
      <c r="A107" s="263" t="s">
        <v>1390</v>
      </c>
      <c r="B107" s="2"/>
      <c r="C107" s="2"/>
      <c r="D107" s="2"/>
      <c r="E107" s="2"/>
      <c r="F107" s="2"/>
      <c r="G107" s="2"/>
      <c r="H107" s="2"/>
      <c r="I107" s="2"/>
      <c r="J107" s="2"/>
      <c r="K107" s="3"/>
      <c r="R107" s="67"/>
    </row>
    <row r="108">
      <c r="A108" s="25"/>
      <c r="B108" s="26" t="s">
        <v>3</v>
      </c>
      <c r="C108" s="27" t="s">
        <v>2</v>
      </c>
      <c r="D108" s="28" t="s">
        <v>5</v>
      </c>
      <c r="E108" s="32" t="s">
        <v>19</v>
      </c>
      <c r="F108" s="28" t="s">
        <v>6</v>
      </c>
      <c r="G108" s="264" t="s">
        <v>7</v>
      </c>
      <c r="H108" s="30" t="s">
        <v>8</v>
      </c>
      <c r="I108" s="31" t="s">
        <v>20</v>
      </c>
      <c r="J108" s="32" t="s">
        <v>21</v>
      </c>
      <c r="K108" s="32" t="s">
        <v>22</v>
      </c>
      <c r="R108" s="67"/>
    </row>
    <row r="109">
      <c r="A109" s="12" t="s">
        <v>10</v>
      </c>
      <c r="B109" s="437" t="s">
        <v>220</v>
      </c>
      <c r="C109" s="74" t="s">
        <v>1281</v>
      </c>
      <c r="D109" s="75">
        <v>0.5416666666666666</v>
      </c>
      <c r="E109" s="301" t="s">
        <v>1391</v>
      </c>
      <c r="F109" s="301">
        <v>7.00807975812983E14</v>
      </c>
      <c r="G109" s="161" t="s">
        <v>1392</v>
      </c>
      <c r="H109" s="163">
        <v>19170.0</v>
      </c>
      <c r="I109" s="34" t="s">
        <v>183</v>
      </c>
      <c r="J109" s="42">
        <v>1.1982004462E10</v>
      </c>
      <c r="K109" s="238"/>
      <c r="L109" s="216" t="s">
        <v>521</v>
      </c>
      <c r="N109" s="268" t="s">
        <v>387</v>
      </c>
      <c r="O109" s="100"/>
      <c r="P109" s="100"/>
      <c r="Q109" s="100"/>
      <c r="R109" s="67"/>
    </row>
    <row r="110">
      <c r="A110" s="12" t="s">
        <v>11</v>
      </c>
      <c r="B110" s="437" t="s">
        <v>1393</v>
      </c>
      <c r="C110" s="74" t="s">
        <v>1281</v>
      </c>
      <c r="D110" s="75">
        <v>0.5555555555555556</v>
      </c>
      <c r="E110" s="301" t="s">
        <v>1394</v>
      </c>
      <c r="F110" s="301">
        <v>8.35503029008168E14</v>
      </c>
      <c r="G110" s="161" t="s">
        <v>1395</v>
      </c>
      <c r="H110" s="163">
        <v>35660.0</v>
      </c>
      <c r="I110" s="34" t="s">
        <v>173</v>
      </c>
      <c r="J110" s="42">
        <v>1.1910325563E10</v>
      </c>
      <c r="K110" s="238"/>
      <c r="N110" s="270" t="s">
        <v>585</v>
      </c>
      <c r="O110" s="2"/>
      <c r="P110" s="2"/>
      <c r="Q110" s="2"/>
      <c r="R110" s="67"/>
    </row>
    <row r="111">
      <c r="A111" s="12" t="s">
        <v>12</v>
      </c>
      <c r="B111" s="437" t="s">
        <v>1393</v>
      </c>
      <c r="C111" s="74" t="s">
        <v>1281</v>
      </c>
      <c r="D111" s="75">
        <v>0.5694444444444444</v>
      </c>
      <c r="E111" s="301" t="s">
        <v>1396</v>
      </c>
      <c r="F111" s="440" t="s">
        <v>1397</v>
      </c>
      <c r="G111" s="161" t="s">
        <v>1398</v>
      </c>
      <c r="H111" s="163">
        <v>18889.0</v>
      </c>
      <c r="I111" s="34" t="s">
        <v>173</v>
      </c>
      <c r="J111" s="42">
        <v>1.1989445845E10</v>
      </c>
      <c r="K111" s="238">
        <v>1.1952659217E10</v>
      </c>
      <c r="L111" s="216" t="s">
        <v>521</v>
      </c>
      <c r="N111" s="271" t="s">
        <v>183</v>
      </c>
      <c r="O111" s="272" t="s">
        <v>195</v>
      </c>
      <c r="P111" s="272" t="s">
        <v>181</v>
      </c>
      <c r="Q111" s="273" t="s">
        <v>173</v>
      </c>
      <c r="R111" s="67"/>
    </row>
    <row r="112">
      <c r="A112" s="12" t="s">
        <v>13</v>
      </c>
      <c r="B112" s="437" t="s">
        <v>220</v>
      </c>
      <c r="C112" s="74" t="s">
        <v>1281</v>
      </c>
      <c r="D112" s="75">
        <v>0.5833333333333334</v>
      </c>
      <c r="E112" s="391" t="s">
        <v>1399</v>
      </c>
      <c r="F112" s="440" t="s">
        <v>1400</v>
      </c>
      <c r="G112" s="161" t="s">
        <v>1401</v>
      </c>
      <c r="H112" s="163">
        <v>19507.0</v>
      </c>
      <c r="I112" s="34" t="s">
        <v>183</v>
      </c>
      <c r="J112" s="42"/>
      <c r="K112" s="238"/>
      <c r="L112" s="216" t="s">
        <v>521</v>
      </c>
      <c r="N112" s="275">
        <f t="shared" ref="N112:Q112" si="7">COUNTIFS($I$109:$I$120,N111)</f>
        <v>9</v>
      </c>
      <c r="O112" s="275">
        <f t="shared" si="7"/>
        <v>0</v>
      </c>
      <c r="P112" s="275">
        <f t="shared" si="7"/>
        <v>1</v>
      </c>
      <c r="Q112" s="275">
        <f t="shared" si="7"/>
        <v>2</v>
      </c>
      <c r="R112" s="67"/>
    </row>
    <row r="113">
      <c r="A113" s="12" t="s">
        <v>14</v>
      </c>
      <c r="B113" s="437" t="s">
        <v>668</v>
      </c>
      <c r="C113" s="74" t="s">
        <v>1281</v>
      </c>
      <c r="D113" s="75">
        <v>0.5972222222222222</v>
      </c>
      <c r="E113" s="391" t="s">
        <v>1402</v>
      </c>
      <c r="F113" s="440" t="s">
        <v>1403</v>
      </c>
      <c r="G113" s="161" t="s">
        <v>1404</v>
      </c>
      <c r="H113" s="163">
        <v>30234.0</v>
      </c>
      <c r="I113" s="34" t="s">
        <v>183</v>
      </c>
      <c r="J113" s="42">
        <v>1.1947124226E10</v>
      </c>
      <c r="K113" s="238"/>
      <c r="R113" s="67"/>
    </row>
    <row r="114">
      <c r="A114" s="12" t="s">
        <v>15</v>
      </c>
      <c r="B114" s="437" t="s">
        <v>527</v>
      </c>
      <c r="C114" s="74" t="s">
        <v>1281</v>
      </c>
      <c r="D114" s="75">
        <v>0.6111111111111112</v>
      </c>
      <c r="E114" s="391" t="s">
        <v>1405</v>
      </c>
      <c r="F114" s="301">
        <v>7.04302589564095E14</v>
      </c>
      <c r="G114" s="161" t="s">
        <v>1406</v>
      </c>
      <c r="H114" s="163">
        <v>17156.0</v>
      </c>
      <c r="I114" s="34" t="s">
        <v>183</v>
      </c>
      <c r="J114" s="42">
        <v>1.198072437E9</v>
      </c>
      <c r="K114" s="238"/>
      <c r="L114" s="216" t="s">
        <v>521</v>
      </c>
      <c r="R114" s="67"/>
    </row>
    <row r="115">
      <c r="A115" s="12" t="s">
        <v>16</v>
      </c>
      <c r="B115" s="437"/>
      <c r="C115" s="74" t="s">
        <v>1281</v>
      </c>
      <c r="D115" s="75">
        <v>0.625</v>
      </c>
      <c r="E115" s="391"/>
      <c r="F115" s="301"/>
      <c r="G115" s="161"/>
      <c r="H115" s="163"/>
      <c r="I115" s="41" t="s">
        <v>181</v>
      </c>
      <c r="J115" s="42"/>
      <c r="K115" s="238"/>
      <c r="L115" s="216" t="s">
        <v>521</v>
      </c>
      <c r="R115" s="67"/>
    </row>
    <row r="116">
      <c r="A116" s="12" t="s">
        <v>17</v>
      </c>
      <c r="B116" s="437" t="s">
        <v>668</v>
      </c>
      <c r="C116" s="74" t="s">
        <v>1281</v>
      </c>
      <c r="D116" s="75">
        <v>0.6388888888888888</v>
      </c>
      <c r="E116" s="391" t="s">
        <v>1407</v>
      </c>
      <c r="F116" s="301">
        <v>2.06882356240009E14</v>
      </c>
      <c r="G116" s="161" t="s">
        <v>1408</v>
      </c>
      <c r="H116" s="163">
        <v>22536.0</v>
      </c>
      <c r="I116" s="34" t="s">
        <v>183</v>
      </c>
      <c r="J116" s="42">
        <v>1.1961310491E10</v>
      </c>
      <c r="K116" s="238">
        <v>1.196873833E10</v>
      </c>
      <c r="L116" s="216" t="s">
        <v>521</v>
      </c>
      <c r="R116" s="67"/>
    </row>
    <row r="117">
      <c r="A117" s="12" t="s">
        <v>85</v>
      </c>
      <c r="B117" s="437" t="s">
        <v>527</v>
      </c>
      <c r="C117" s="74" t="s">
        <v>1281</v>
      </c>
      <c r="D117" s="75">
        <v>0.6527777777777778</v>
      </c>
      <c r="E117" s="391" t="s">
        <v>1409</v>
      </c>
      <c r="F117" s="301">
        <v>8.98001433075069E14</v>
      </c>
      <c r="G117" s="161" t="s">
        <v>1410</v>
      </c>
      <c r="H117" s="163">
        <v>17989.0</v>
      </c>
      <c r="I117" s="34" t="s">
        <v>183</v>
      </c>
      <c r="J117" s="42">
        <v>1.1948840015E10</v>
      </c>
      <c r="K117" s="238">
        <v>1.1958808571E10</v>
      </c>
      <c r="R117" s="67"/>
    </row>
    <row r="118">
      <c r="A118" s="12" t="s">
        <v>87</v>
      </c>
      <c r="B118" s="437" t="s">
        <v>220</v>
      </c>
      <c r="C118" s="74" t="s">
        <v>1281</v>
      </c>
      <c r="D118" s="75">
        <v>0.6666666666666666</v>
      </c>
      <c r="E118" s="245" t="s">
        <v>1411</v>
      </c>
      <c r="F118" s="301">
        <v>7.0680722986582E14</v>
      </c>
      <c r="G118" s="161" t="s">
        <v>1412</v>
      </c>
      <c r="H118" s="163">
        <v>37284.0</v>
      </c>
      <c r="I118" s="34" t="s">
        <v>183</v>
      </c>
      <c r="J118" s="42">
        <v>1.1955553233E10</v>
      </c>
      <c r="K118" s="238">
        <v>1.1998139887E10</v>
      </c>
      <c r="L118" s="216" t="s">
        <v>521</v>
      </c>
      <c r="R118" s="67"/>
    </row>
    <row r="119">
      <c r="A119" s="12" t="s">
        <v>90</v>
      </c>
      <c r="B119" s="437" t="s">
        <v>220</v>
      </c>
      <c r="C119" s="74" t="s">
        <v>1281</v>
      </c>
      <c r="D119" s="75">
        <v>0.6805555555555556</v>
      </c>
      <c r="E119" s="295" t="s">
        <v>1413</v>
      </c>
      <c r="F119" s="301">
        <v>8.980014935962E14</v>
      </c>
      <c r="G119" s="161" t="s">
        <v>1414</v>
      </c>
      <c r="H119" s="163">
        <v>42477.0</v>
      </c>
      <c r="I119" s="34" t="s">
        <v>183</v>
      </c>
      <c r="J119" s="42">
        <v>1.1960334697E10</v>
      </c>
      <c r="K119" s="238">
        <v>1.1964663583E10</v>
      </c>
      <c r="R119" s="67"/>
    </row>
    <row r="120">
      <c r="A120" s="12" t="s">
        <v>93</v>
      </c>
      <c r="B120" s="437" t="s">
        <v>220</v>
      </c>
      <c r="C120" s="74" t="s">
        <v>1281</v>
      </c>
      <c r="D120" s="75">
        <v>0.6944444444444444</v>
      </c>
      <c r="E120" s="295" t="s">
        <v>1415</v>
      </c>
      <c r="F120" s="301">
        <v>7.03206625130491E14</v>
      </c>
      <c r="G120" s="161" t="s">
        <v>1416</v>
      </c>
      <c r="H120" s="163">
        <v>10818.0</v>
      </c>
      <c r="I120" s="34" t="s">
        <v>183</v>
      </c>
      <c r="J120" s="42">
        <v>1.1993413915E10</v>
      </c>
      <c r="K120" s="238"/>
      <c r="R120" s="67"/>
    </row>
    <row r="121">
      <c r="B121" s="216">
        <v>7.5747561634E10</v>
      </c>
      <c r="J121" s="67"/>
      <c r="K121" s="67"/>
      <c r="R121" s="67"/>
    </row>
    <row r="122">
      <c r="J122" s="67"/>
      <c r="K122" s="67"/>
      <c r="R122" s="67"/>
    </row>
    <row r="123">
      <c r="A123" s="23" t="s">
        <v>378</v>
      </c>
      <c r="B123" s="2"/>
      <c r="C123" s="2"/>
      <c r="D123" s="2"/>
      <c r="E123" s="2"/>
      <c r="F123" s="2"/>
      <c r="G123" s="2"/>
      <c r="H123" s="2"/>
      <c r="I123" s="2"/>
      <c r="J123" s="2"/>
      <c r="K123" s="3"/>
      <c r="R123" s="67"/>
    </row>
    <row r="124">
      <c r="A124" s="263" t="s">
        <v>1417</v>
      </c>
      <c r="B124" s="2"/>
      <c r="C124" s="2"/>
      <c r="D124" s="2"/>
      <c r="E124" s="2"/>
      <c r="F124" s="2"/>
      <c r="G124" s="2"/>
      <c r="H124" s="2"/>
      <c r="I124" s="2"/>
      <c r="J124" s="2"/>
      <c r="K124" s="3"/>
      <c r="R124" s="67"/>
    </row>
    <row r="125">
      <c r="A125" s="25"/>
      <c r="B125" s="26" t="s">
        <v>3</v>
      </c>
      <c r="C125" s="27" t="s">
        <v>2</v>
      </c>
      <c r="D125" s="28" t="s">
        <v>5</v>
      </c>
      <c r="E125" s="32" t="s">
        <v>19</v>
      </c>
      <c r="F125" s="28" t="s">
        <v>6</v>
      </c>
      <c r="G125" s="264" t="s">
        <v>7</v>
      </c>
      <c r="H125" s="30" t="s">
        <v>8</v>
      </c>
      <c r="I125" s="31" t="s">
        <v>20</v>
      </c>
      <c r="J125" s="32" t="s">
        <v>21</v>
      </c>
      <c r="K125" s="32" t="s">
        <v>22</v>
      </c>
      <c r="R125" s="67"/>
    </row>
    <row r="126">
      <c r="A126" s="12" t="s">
        <v>10</v>
      </c>
      <c r="B126" s="228" t="s">
        <v>1358</v>
      </c>
      <c r="C126" s="74" t="s">
        <v>1295</v>
      </c>
      <c r="D126" s="75">
        <v>0.5416666666666666</v>
      </c>
      <c r="E126" s="241" t="s">
        <v>1418</v>
      </c>
      <c r="F126" s="185">
        <v>8.01440428398028E14</v>
      </c>
      <c r="G126" s="79" t="s">
        <v>1419</v>
      </c>
      <c r="H126" s="166">
        <v>21825.0</v>
      </c>
      <c r="I126" s="34" t="s">
        <v>183</v>
      </c>
      <c r="J126" s="84">
        <v>1.1986805548E10</v>
      </c>
      <c r="K126" s="84">
        <v>1.1954760386E10</v>
      </c>
      <c r="N126" s="268" t="s">
        <v>387</v>
      </c>
      <c r="O126" s="100"/>
      <c r="P126" s="100"/>
      <c r="Q126" s="100"/>
      <c r="R126" s="67"/>
    </row>
    <row r="127">
      <c r="A127" s="12" t="s">
        <v>11</v>
      </c>
      <c r="B127" s="228" t="s">
        <v>1359</v>
      </c>
      <c r="C127" s="74" t="s">
        <v>1295</v>
      </c>
      <c r="D127" s="75">
        <v>0.5555555555555556</v>
      </c>
      <c r="E127" s="241" t="s">
        <v>1420</v>
      </c>
      <c r="F127" s="185">
        <v>7.03409250018814E14</v>
      </c>
      <c r="G127" s="79" t="s">
        <v>1421</v>
      </c>
      <c r="H127" s="166">
        <v>17063.0</v>
      </c>
      <c r="I127" s="34" t="s">
        <v>183</v>
      </c>
      <c r="J127" s="141">
        <v>1.1949564889E10</v>
      </c>
      <c r="K127" s="141"/>
      <c r="N127" s="270" t="s">
        <v>611</v>
      </c>
      <c r="O127" s="2"/>
      <c r="P127" s="2"/>
      <c r="Q127" s="2"/>
      <c r="R127" s="67"/>
    </row>
    <row r="128">
      <c r="A128" s="12" t="s">
        <v>12</v>
      </c>
      <c r="B128" s="228" t="s">
        <v>1361</v>
      </c>
      <c r="C128" s="74" t="s">
        <v>1295</v>
      </c>
      <c r="D128" s="75">
        <v>0.5694444444444444</v>
      </c>
      <c r="E128" s="241" t="s">
        <v>1422</v>
      </c>
      <c r="F128" s="185">
        <v>7.04008805909464E14</v>
      </c>
      <c r="G128" s="79" t="s">
        <v>1423</v>
      </c>
      <c r="H128" s="166">
        <v>22231.0</v>
      </c>
      <c r="I128" s="34" t="s">
        <v>183</v>
      </c>
      <c r="J128" s="84">
        <v>1.1966176735E10</v>
      </c>
      <c r="K128" s="84">
        <v>1.1964052123E10</v>
      </c>
      <c r="N128" s="271" t="s">
        <v>183</v>
      </c>
      <c r="O128" s="272" t="s">
        <v>195</v>
      </c>
      <c r="P128" s="272" t="s">
        <v>181</v>
      </c>
      <c r="Q128" s="273" t="s">
        <v>173</v>
      </c>
      <c r="R128" s="67"/>
    </row>
    <row r="129">
      <c r="A129" s="12" t="s">
        <v>13</v>
      </c>
      <c r="B129" s="228" t="s">
        <v>1363</v>
      </c>
      <c r="C129" s="74" t="s">
        <v>1295</v>
      </c>
      <c r="D129" s="75">
        <v>0.5833333333333334</v>
      </c>
      <c r="E129" s="241" t="s">
        <v>1424</v>
      </c>
      <c r="F129" s="185">
        <v>8.01440407421241E14</v>
      </c>
      <c r="G129" s="79" t="s">
        <v>1425</v>
      </c>
      <c r="H129" s="166">
        <v>11952.0</v>
      </c>
      <c r="I129" s="34" t="s">
        <v>183</v>
      </c>
      <c r="J129" s="84">
        <v>1.1967323234E10</v>
      </c>
      <c r="K129" s="84"/>
      <c r="N129" s="275">
        <f t="shared" ref="N129:Q129" si="8">COUNTIFS($I$126:$I$137,N128)</f>
        <v>11</v>
      </c>
      <c r="O129" s="275">
        <f t="shared" si="8"/>
        <v>0</v>
      </c>
      <c r="P129" s="275">
        <f t="shared" si="8"/>
        <v>0</v>
      </c>
      <c r="Q129" s="275">
        <f t="shared" si="8"/>
        <v>1</v>
      </c>
      <c r="R129" s="67"/>
    </row>
    <row r="130">
      <c r="A130" s="12" t="s">
        <v>14</v>
      </c>
      <c r="B130" s="228" t="s">
        <v>1358</v>
      </c>
      <c r="C130" s="74" t="s">
        <v>1295</v>
      </c>
      <c r="D130" s="75">
        <v>0.5972222222222222</v>
      </c>
      <c r="E130" s="241" t="s">
        <v>1426</v>
      </c>
      <c r="F130" s="185">
        <v>7.00006788077007E14</v>
      </c>
      <c r="G130" s="79" t="s">
        <v>1427</v>
      </c>
      <c r="H130" s="166">
        <v>28087.0</v>
      </c>
      <c r="I130" s="34" t="s">
        <v>183</v>
      </c>
      <c r="J130" s="130">
        <v>1.1952082375E10</v>
      </c>
      <c r="K130" s="141"/>
      <c r="R130" s="67"/>
    </row>
    <row r="131">
      <c r="A131" s="12" t="s">
        <v>15</v>
      </c>
      <c r="B131" s="228" t="s">
        <v>1359</v>
      </c>
      <c r="C131" s="74" t="s">
        <v>1295</v>
      </c>
      <c r="D131" s="75">
        <v>0.6111111111111112</v>
      </c>
      <c r="E131" s="241" t="s">
        <v>1428</v>
      </c>
      <c r="F131" s="185">
        <v>7.00003261233308E14</v>
      </c>
      <c r="G131" s="79" t="s">
        <v>1429</v>
      </c>
      <c r="H131" s="166">
        <v>24877.0</v>
      </c>
      <c r="I131" s="34" t="s">
        <v>183</v>
      </c>
      <c r="J131" s="130">
        <v>1.1960169727E10</v>
      </c>
      <c r="K131" s="141"/>
      <c r="R131" s="67"/>
    </row>
    <row r="132">
      <c r="A132" s="12" t="s">
        <v>16</v>
      </c>
      <c r="B132" s="228" t="s">
        <v>1361</v>
      </c>
      <c r="C132" s="74" t="s">
        <v>1295</v>
      </c>
      <c r="D132" s="75">
        <v>0.625</v>
      </c>
      <c r="E132" s="241" t="s">
        <v>1430</v>
      </c>
      <c r="F132" s="426" t="s">
        <v>1431</v>
      </c>
      <c r="G132" s="79" t="s">
        <v>1432</v>
      </c>
      <c r="H132" s="166">
        <v>22162.0</v>
      </c>
      <c r="I132" s="34" t="s">
        <v>183</v>
      </c>
      <c r="J132" s="185">
        <v>1.1983305531E10</v>
      </c>
      <c r="K132" s="84">
        <v>1.1964801468E10</v>
      </c>
      <c r="R132" s="67"/>
    </row>
    <row r="133">
      <c r="A133" s="12" t="s">
        <v>17</v>
      </c>
      <c r="B133" s="228" t="s">
        <v>1363</v>
      </c>
      <c r="C133" s="74" t="s">
        <v>1295</v>
      </c>
      <c r="D133" s="75">
        <v>0.6388888888888888</v>
      </c>
      <c r="E133" s="241" t="s">
        <v>1433</v>
      </c>
      <c r="F133" s="185">
        <v>7.04609607196823E14</v>
      </c>
      <c r="G133" s="79" t="s">
        <v>1434</v>
      </c>
      <c r="H133" s="166">
        <v>19586.0</v>
      </c>
      <c r="I133" s="34" t="s">
        <v>183</v>
      </c>
      <c r="J133" s="130">
        <v>1.1948194026E10</v>
      </c>
      <c r="K133" s="141">
        <v>1.197633791E10</v>
      </c>
      <c r="L133" s="68"/>
      <c r="M133" s="68"/>
      <c r="N133" s="68"/>
      <c r="O133" s="68"/>
      <c r="P133" s="68"/>
      <c r="Q133" s="68"/>
      <c r="R133" s="389"/>
      <c r="S133" s="68"/>
      <c r="T133" s="68"/>
      <c r="U133" s="68"/>
      <c r="V133" s="68"/>
      <c r="W133" s="68"/>
    </row>
    <row r="134">
      <c r="A134" s="12" t="s">
        <v>85</v>
      </c>
      <c r="B134" s="228" t="s">
        <v>1358</v>
      </c>
      <c r="C134" s="74" t="s">
        <v>1295</v>
      </c>
      <c r="D134" s="75">
        <v>0.6527777777777778</v>
      </c>
      <c r="E134" s="241" t="s">
        <v>1435</v>
      </c>
      <c r="F134" s="185">
        <v>7.03607044846738E14</v>
      </c>
      <c r="G134" s="79" t="s">
        <v>1436</v>
      </c>
      <c r="H134" s="166">
        <v>25188.0</v>
      </c>
      <c r="I134" s="34" t="s">
        <v>173</v>
      </c>
      <c r="J134" s="141">
        <v>1.195359397E10</v>
      </c>
      <c r="K134" s="141"/>
      <c r="L134" s="68"/>
      <c r="M134" s="68"/>
      <c r="N134" s="68"/>
      <c r="O134" s="68"/>
      <c r="P134" s="68"/>
      <c r="Q134" s="68"/>
      <c r="R134" s="389"/>
      <c r="S134" s="68"/>
      <c r="T134" s="68"/>
      <c r="U134" s="68"/>
      <c r="V134" s="68"/>
      <c r="W134" s="68"/>
    </row>
    <row r="135">
      <c r="A135" s="12" t="s">
        <v>87</v>
      </c>
      <c r="B135" s="228" t="s">
        <v>1359</v>
      </c>
      <c r="C135" s="74" t="s">
        <v>1295</v>
      </c>
      <c r="D135" s="75">
        <v>0.6666666666666666</v>
      </c>
      <c r="E135" s="241" t="s">
        <v>1437</v>
      </c>
      <c r="F135" s="185">
        <v>2.03909779630006E14</v>
      </c>
      <c r="G135" s="79" t="s">
        <v>1438</v>
      </c>
      <c r="H135" s="166">
        <v>17563.0</v>
      </c>
      <c r="I135" s="34" t="s">
        <v>183</v>
      </c>
      <c r="J135" s="84">
        <v>1.1946410672E10</v>
      </c>
      <c r="K135" s="84">
        <v>1.1984489597E10</v>
      </c>
      <c r="L135" s="216" t="s">
        <v>521</v>
      </c>
      <c r="R135" s="67"/>
    </row>
    <row r="136">
      <c r="A136" s="12" t="s">
        <v>90</v>
      </c>
      <c r="B136" s="228" t="s">
        <v>1361</v>
      </c>
      <c r="C136" s="74" t="s">
        <v>1295</v>
      </c>
      <c r="D136" s="75">
        <v>0.6805555555555556</v>
      </c>
      <c r="E136" s="241" t="s">
        <v>1439</v>
      </c>
      <c r="F136" s="185">
        <v>8.98001432999062E14</v>
      </c>
      <c r="G136" s="79" t="s">
        <v>1440</v>
      </c>
      <c r="H136" s="166">
        <v>40077.0</v>
      </c>
      <c r="I136" s="34" t="s">
        <v>183</v>
      </c>
      <c r="J136" s="84">
        <v>1.1954385993E10</v>
      </c>
      <c r="K136" s="84">
        <v>1.1961581897E10</v>
      </c>
      <c r="R136" s="67"/>
    </row>
    <row r="137">
      <c r="A137" s="12" t="s">
        <v>93</v>
      </c>
      <c r="B137" s="228" t="s">
        <v>1363</v>
      </c>
      <c r="C137" s="74" t="s">
        <v>1295</v>
      </c>
      <c r="D137" s="75">
        <v>0.6944444444444444</v>
      </c>
      <c r="E137" s="241" t="s">
        <v>1441</v>
      </c>
      <c r="F137" s="185">
        <v>7.02807193206765E14</v>
      </c>
      <c r="G137" s="79" t="s">
        <v>1442</v>
      </c>
      <c r="H137" s="166">
        <v>30359.0</v>
      </c>
      <c r="I137" s="34" t="s">
        <v>183</v>
      </c>
      <c r="J137" s="162">
        <v>1.1932094251E10</v>
      </c>
      <c r="K137" s="162"/>
      <c r="L137" s="68"/>
      <c r="M137" s="68"/>
      <c r="N137" s="68"/>
      <c r="O137" s="68"/>
      <c r="P137" s="68"/>
      <c r="Q137" s="68"/>
      <c r="R137" s="389"/>
      <c r="S137" s="68"/>
      <c r="T137" s="68"/>
      <c r="U137" s="68"/>
      <c r="V137" s="68"/>
      <c r="W137" s="68"/>
    </row>
    <row r="138">
      <c r="J138" s="67"/>
      <c r="K138" s="67"/>
      <c r="R138" s="67"/>
    </row>
    <row r="139">
      <c r="J139" s="67"/>
      <c r="K139" s="67"/>
      <c r="R139" s="67"/>
    </row>
    <row r="140">
      <c r="A140" s="23" t="s">
        <v>378</v>
      </c>
      <c r="B140" s="2"/>
      <c r="C140" s="2"/>
      <c r="D140" s="2"/>
      <c r="E140" s="2"/>
      <c r="F140" s="2"/>
      <c r="G140" s="2"/>
      <c r="H140" s="2"/>
      <c r="I140" s="2"/>
      <c r="J140" s="2"/>
      <c r="K140" s="3"/>
      <c r="R140" s="67"/>
    </row>
    <row r="141">
      <c r="A141" s="263" t="s">
        <v>1443</v>
      </c>
      <c r="B141" s="2"/>
      <c r="C141" s="2"/>
      <c r="D141" s="2"/>
      <c r="E141" s="2"/>
      <c r="F141" s="2"/>
      <c r="G141" s="2"/>
      <c r="H141" s="2"/>
      <c r="I141" s="2"/>
      <c r="J141" s="2"/>
      <c r="K141" s="3"/>
      <c r="R141" s="67"/>
    </row>
    <row r="142">
      <c r="A142" s="25"/>
      <c r="B142" s="26" t="s">
        <v>3</v>
      </c>
      <c r="C142" s="27" t="s">
        <v>2</v>
      </c>
      <c r="D142" s="28" t="s">
        <v>5</v>
      </c>
      <c r="E142" s="32" t="s">
        <v>19</v>
      </c>
      <c r="F142" s="28" t="s">
        <v>6</v>
      </c>
      <c r="G142" s="264" t="s">
        <v>7</v>
      </c>
      <c r="H142" s="30" t="s">
        <v>8</v>
      </c>
      <c r="I142" s="31" t="s">
        <v>20</v>
      </c>
      <c r="J142" s="32" t="s">
        <v>21</v>
      </c>
      <c r="K142" s="32" t="s">
        <v>22</v>
      </c>
      <c r="R142" s="67"/>
    </row>
    <row r="143">
      <c r="A143" s="12" t="s">
        <v>10</v>
      </c>
      <c r="B143" s="228" t="s">
        <v>65</v>
      </c>
      <c r="C143" s="74" t="s">
        <v>1314</v>
      </c>
      <c r="D143" s="75">
        <v>0.3333333333333333</v>
      </c>
      <c r="E143" s="245" t="s">
        <v>1444</v>
      </c>
      <c r="F143" s="162">
        <v>7.0700588833743E14</v>
      </c>
      <c r="G143" s="161" t="s">
        <v>1445</v>
      </c>
      <c r="H143" s="390">
        <v>19761.0</v>
      </c>
      <c r="I143" s="34" t="s">
        <v>183</v>
      </c>
      <c r="J143" s="238"/>
      <c r="K143" s="238"/>
      <c r="N143" s="268" t="s">
        <v>387</v>
      </c>
      <c r="O143" s="100"/>
      <c r="P143" s="100"/>
      <c r="Q143" s="100"/>
      <c r="R143" s="67"/>
    </row>
    <row r="144">
      <c r="A144" s="12" t="s">
        <v>11</v>
      </c>
      <c r="B144" s="228" t="s">
        <v>202</v>
      </c>
      <c r="C144" s="74" t="s">
        <v>1314</v>
      </c>
      <c r="D144" s="75">
        <v>0.3472222222222222</v>
      </c>
      <c r="E144" s="245" t="s">
        <v>1446</v>
      </c>
      <c r="F144" s="162">
        <v>7.04200213192182E14</v>
      </c>
      <c r="G144" s="161" t="s">
        <v>1447</v>
      </c>
      <c r="H144" s="390">
        <v>20390.0</v>
      </c>
      <c r="I144" s="34" t="s">
        <v>183</v>
      </c>
      <c r="J144" s="42"/>
      <c r="K144" s="42"/>
      <c r="N144" s="270" t="s">
        <v>642</v>
      </c>
      <c r="O144" s="2"/>
      <c r="P144" s="2"/>
      <c r="Q144" s="2"/>
      <c r="R144" s="67"/>
    </row>
    <row r="145">
      <c r="A145" s="12" t="s">
        <v>12</v>
      </c>
      <c r="B145" s="228" t="s">
        <v>1448</v>
      </c>
      <c r="C145" s="74" t="s">
        <v>1314</v>
      </c>
      <c r="D145" s="75">
        <v>0.3611111111111111</v>
      </c>
      <c r="E145" s="391" t="s">
        <v>1319</v>
      </c>
      <c r="F145" s="301">
        <v>2.01155000000005E14</v>
      </c>
      <c r="G145" s="233" t="s">
        <v>1320</v>
      </c>
      <c r="H145" s="132">
        <v>29630.0</v>
      </c>
      <c r="I145" s="34" t="s">
        <v>183</v>
      </c>
      <c r="J145" s="238"/>
      <c r="K145" s="238"/>
      <c r="N145" s="271" t="s">
        <v>183</v>
      </c>
      <c r="O145" s="272" t="s">
        <v>195</v>
      </c>
      <c r="P145" s="272" t="s">
        <v>181</v>
      </c>
      <c r="Q145" s="273" t="s">
        <v>173</v>
      </c>
      <c r="R145" s="67"/>
    </row>
    <row r="146">
      <c r="A146" s="12" t="s">
        <v>13</v>
      </c>
      <c r="B146" s="228" t="s">
        <v>822</v>
      </c>
      <c r="C146" s="74" t="s">
        <v>1314</v>
      </c>
      <c r="D146" s="75">
        <v>0.375</v>
      </c>
      <c r="E146" s="245" t="s">
        <v>1449</v>
      </c>
      <c r="F146" s="162">
        <v>7.06203581454361E14</v>
      </c>
      <c r="G146" s="161" t="s">
        <v>1450</v>
      </c>
      <c r="H146" s="390">
        <v>26680.0</v>
      </c>
      <c r="I146" s="34" t="s">
        <v>183</v>
      </c>
      <c r="J146" s="238"/>
      <c r="K146" s="238"/>
      <c r="N146" s="275">
        <f t="shared" ref="N146:Q146" si="9">COUNTIFS($I$143:$I$154,N145)</f>
        <v>10</v>
      </c>
      <c r="O146" s="275">
        <f t="shared" si="9"/>
        <v>0</v>
      </c>
      <c r="P146" s="275">
        <f t="shared" si="9"/>
        <v>0</v>
      </c>
      <c r="Q146" s="275">
        <f t="shared" si="9"/>
        <v>2</v>
      </c>
      <c r="R146" s="67"/>
    </row>
    <row r="147">
      <c r="A147" s="12" t="s">
        <v>14</v>
      </c>
      <c r="B147" s="228" t="s">
        <v>202</v>
      </c>
      <c r="C147" s="74" t="s">
        <v>1314</v>
      </c>
      <c r="D147" s="75">
        <v>0.3888888888888889</v>
      </c>
      <c r="E147" s="287" t="s">
        <v>1451</v>
      </c>
      <c r="F147" s="301">
        <v>7.00008398186806E14</v>
      </c>
      <c r="G147" s="233" t="s">
        <v>1452</v>
      </c>
      <c r="H147" s="166">
        <v>21484.0</v>
      </c>
      <c r="I147" s="34" t="s">
        <v>183</v>
      </c>
      <c r="J147" s="42"/>
      <c r="K147" s="42"/>
      <c r="R147" s="67"/>
    </row>
    <row r="148">
      <c r="A148" s="12" t="s">
        <v>15</v>
      </c>
      <c r="B148" s="441" t="s">
        <v>1448</v>
      </c>
      <c r="C148" s="442" t="s">
        <v>1314</v>
      </c>
      <c r="D148" s="108">
        <v>0.4027777777777778</v>
      </c>
      <c r="E148" s="443" t="s">
        <v>1453</v>
      </c>
      <c r="F148" s="109">
        <v>7.04804538146048E14</v>
      </c>
      <c r="G148" s="110" t="s">
        <v>1454</v>
      </c>
      <c r="H148" s="444">
        <v>27004.0</v>
      </c>
      <c r="I148" s="445" t="s">
        <v>173</v>
      </c>
      <c r="J148" s="42"/>
      <c r="K148" s="42"/>
      <c r="R148" s="67"/>
    </row>
    <row r="149">
      <c r="A149" s="12" t="s">
        <v>16</v>
      </c>
      <c r="B149" s="228" t="s">
        <v>65</v>
      </c>
      <c r="C149" s="74" t="s">
        <v>1314</v>
      </c>
      <c r="D149" s="75">
        <v>0.4166666666666667</v>
      </c>
      <c r="E149" s="245" t="s">
        <v>1455</v>
      </c>
      <c r="F149" s="162">
        <v>2.01152073540007E14</v>
      </c>
      <c r="G149" s="161" t="s">
        <v>1456</v>
      </c>
      <c r="H149" s="390">
        <v>14529.0</v>
      </c>
      <c r="I149" s="34" t="s">
        <v>183</v>
      </c>
      <c r="J149" s="162"/>
      <c r="K149" s="238"/>
      <c r="R149" s="67"/>
    </row>
    <row r="150">
      <c r="A150" s="12" t="s">
        <v>17</v>
      </c>
      <c r="B150" s="441" t="s">
        <v>202</v>
      </c>
      <c r="C150" s="442" t="s">
        <v>1314</v>
      </c>
      <c r="D150" s="108">
        <v>0.4305555555555556</v>
      </c>
      <c r="E150" s="443" t="s">
        <v>1325</v>
      </c>
      <c r="F150" s="109">
        <v>1.2105483455E14</v>
      </c>
      <c r="G150" s="110" t="s">
        <v>1326</v>
      </c>
      <c r="H150" s="444">
        <v>22783.0</v>
      </c>
      <c r="I150" s="445" t="s">
        <v>173</v>
      </c>
      <c r="J150" s="42"/>
      <c r="K150" s="42"/>
      <c r="R150" s="67"/>
    </row>
    <row r="151">
      <c r="A151" s="12" t="s">
        <v>85</v>
      </c>
      <c r="B151" s="228" t="s">
        <v>822</v>
      </c>
      <c r="C151" s="74" t="s">
        <v>1314</v>
      </c>
      <c r="D151" s="75">
        <v>0.4444444444444444</v>
      </c>
      <c r="E151" s="391" t="s">
        <v>1457</v>
      </c>
      <c r="F151" s="301">
        <v>8.35503014362823E14</v>
      </c>
      <c r="G151" s="233" t="s">
        <v>1458</v>
      </c>
      <c r="H151" s="132">
        <v>34742.0</v>
      </c>
      <c r="I151" s="34" t="s">
        <v>183</v>
      </c>
      <c r="J151" s="232"/>
      <c r="K151" s="42"/>
      <c r="R151" s="67"/>
      <c r="V151" s="336"/>
    </row>
    <row r="152">
      <c r="A152" s="12" t="s">
        <v>87</v>
      </c>
      <c r="B152" s="228" t="s">
        <v>1448</v>
      </c>
      <c r="C152" s="74" t="s">
        <v>1314</v>
      </c>
      <c r="D152" s="75">
        <v>0.4583333333333333</v>
      </c>
      <c r="E152" s="245" t="s">
        <v>1459</v>
      </c>
      <c r="F152" s="162">
        <v>7.0200238772738E14</v>
      </c>
      <c r="G152" s="203" t="s">
        <v>1460</v>
      </c>
      <c r="H152" s="166">
        <v>37818.0</v>
      </c>
      <c r="I152" s="34" t="s">
        <v>183</v>
      </c>
      <c r="J152" s="42"/>
      <c r="K152" s="42"/>
      <c r="R152" s="67"/>
    </row>
    <row r="153">
      <c r="A153" s="12" t="s">
        <v>90</v>
      </c>
      <c r="B153" s="228" t="s">
        <v>822</v>
      </c>
      <c r="C153" s="74" t="s">
        <v>1314</v>
      </c>
      <c r="D153" s="75">
        <v>0.4722222222222222</v>
      </c>
      <c r="E153" s="295" t="s">
        <v>1461</v>
      </c>
      <c r="F153" s="133">
        <v>7.0410610543267E14</v>
      </c>
      <c r="G153" s="161" t="s">
        <v>1462</v>
      </c>
      <c r="H153" s="166">
        <v>25807.0</v>
      </c>
      <c r="I153" s="34" t="s">
        <v>183</v>
      </c>
      <c r="J153" s="42"/>
      <c r="K153" s="42"/>
      <c r="R153" s="67"/>
    </row>
    <row r="154">
      <c r="A154" s="12" t="s">
        <v>93</v>
      </c>
      <c r="B154" s="228" t="s">
        <v>65</v>
      </c>
      <c r="C154" s="74" t="s">
        <v>1314</v>
      </c>
      <c r="D154" s="75">
        <v>0.4861111111111111</v>
      </c>
      <c r="E154" s="295" t="s">
        <v>1463</v>
      </c>
      <c r="F154" s="133">
        <v>8.98005838567696E14</v>
      </c>
      <c r="G154" s="203" t="s">
        <v>1464</v>
      </c>
      <c r="H154" s="166">
        <v>43132.0</v>
      </c>
      <c r="I154" s="34" t="s">
        <v>183</v>
      </c>
      <c r="J154" s="42"/>
      <c r="K154" s="42"/>
      <c r="R154" s="67"/>
    </row>
    <row r="155">
      <c r="J155" s="67"/>
      <c r="K155" s="67"/>
      <c r="R155" s="67"/>
    </row>
    <row r="156">
      <c r="J156" s="67"/>
      <c r="K156" s="67"/>
      <c r="R156" s="67"/>
    </row>
    <row r="157">
      <c r="J157" s="67"/>
      <c r="K157" s="67"/>
      <c r="R157" s="67"/>
    </row>
    <row r="158">
      <c r="A158" s="23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3"/>
      <c r="R158" s="67"/>
    </row>
    <row r="159">
      <c r="A159" s="263" t="s">
        <v>1465</v>
      </c>
      <c r="B159" s="2"/>
      <c r="C159" s="2"/>
      <c r="D159" s="2"/>
      <c r="E159" s="2"/>
      <c r="F159" s="2"/>
      <c r="G159" s="2"/>
      <c r="H159" s="2"/>
      <c r="I159" s="2"/>
      <c r="J159" s="2"/>
      <c r="K159" s="3"/>
      <c r="R159" s="67"/>
    </row>
    <row r="160">
      <c r="A160" s="25"/>
      <c r="B160" s="26" t="s">
        <v>3</v>
      </c>
      <c r="C160" s="27" t="s">
        <v>2</v>
      </c>
      <c r="D160" s="28" t="s">
        <v>5</v>
      </c>
      <c r="E160" s="32" t="s">
        <v>19</v>
      </c>
      <c r="F160" s="28" t="s">
        <v>6</v>
      </c>
      <c r="G160" s="264" t="s">
        <v>7</v>
      </c>
      <c r="H160" s="30" t="s">
        <v>8</v>
      </c>
      <c r="I160" s="31" t="s">
        <v>20</v>
      </c>
      <c r="J160" s="32" t="s">
        <v>21</v>
      </c>
      <c r="K160" s="32" t="s">
        <v>22</v>
      </c>
      <c r="N160" s="268" t="s">
        <v>387</v>
      </c>
      <c r="O160" s="100"/>
      <c r="P160" s="100"/>
      <c r="Q160" s="100"/>
      <c r="R160" s="67"/>
    </row>
    <row r="161">
      <c r="A161" s="12" t="s">
        <v>10</v>
      </c>
      <c r="B161" s="228" t="s">
        <v>758</v>
      </c>
      <c r="C161" s="74" t="s">
        <v>1281</v>
      </c>
      <c r="D161" s="75">
        <v>0.5416666666666666</v>
      </c>
      <c r="E161" s="241" t="s">
        <v>1466</v>
      </c>
      <c r="F161" s="295">
        <v>7.06004325006846E14</v>
      </c>
      <c r="G161" s="59" t="s">
        <v>1467</v>
      </c>
      <c r="H161" s="166">
        <v>20453.0</v>
      </c>
      <c r="I161" s="74" t="s">
        <v>195</v>
      </c>
      <c r="J161" s="42">
        <v>1.1973444122E10</v>
      </c>
      <c r="K161" s="102"/>
      <c r="N161" s="270" t="s">
        <v>642</v>
      </c>
      <c r="O161" s="2"/>
      <c r="P161" s="2"/>
      <c r="Q161" s="2"/>
      <c r="R161" s="67"/>
    </row>
    <row r="162">
      <c r="A162" s="12" t="s">
        <v>11</v>
      </c>
      <c r="B162" s="228" t="s">
        <v>1468</v>
      </c>
      <c r="C162" s="74" t="s">
        <v>1281</v>
      </c>
      <c r="D162" s="75">
        <v>0.5555555555555556</v>
      </c>
      <c r="E162" s="295" t="s">
        <v>1396</v>
      </c>
      <c r="F162" s="446" t="s">
        <v>1397</v>
      </c>
      <c r="G162" s="59" t="s">
        <v>1398</v>
      </c>
      <c r="H162" s="166">
        <v>18889.0</v>
      </c>
      <c r="I162" s="74" t="s">
        <v>183</v>
      </c>
      <c r="J162" s="42">
        <v>1.1989445845E10</v>
      </c>
      <c r="K162" s="42">
        <v>1.1952659217E10</v>
      </c>
      <c r="N162" s="271" t="s">
        <v>183</v>
      </c>
      <c r="O162" s="272" t="s">
        <v>195</v>
      </c>
      <c r="P162" s="272" t="s">
        <v>181</v>
      </c>
      <c r="Q162" s="273" t="s">
        <v>173</v>
      </c>
      <c r="R162" s="67"/>
    </row>
    <row r="163">
      <c r="A163" s="12" t="s">
        <v>12</v>
      </c>
      <c r="B163" s="228" t="s">
        <v>217</v>
      </c>
      <c r="C163" s="74" t="s">
        <v>1281</v>
      </c>
      <c r="D163" s="75">
        <v>0.5694444444444444</v>
      </c>
      <c r="E163" s="295" t="s">
        <v>1469</v>
      </c>
      <c r="F163" s="295">
        <v>7.07407063428975E14</v>
      </c>
      <c r="G163" s="59" t="s">
        <v>1470</v>
      </c>
      <c r="H163" s="166">
        <v>18371.0</v>
      </c>
      <c r="I163" s="74" t="s">
        <v>183</v>
      </c>
      <c r="J163" s="238">
        <v>1.195470766E10</v>
      </c>
      <c r="K163" s="238">
        <v>1.1984933199E10</v>
      </c>
      <c r="L163" s="68"/>
      <c r="M163" s="68"/>
      <c r="N163" s="275">
        <f t="shared" ref="N163:Q163" si="10">COUNTIFS($I$161:$I$172,N162)</f>
        <v>7</v>
      </c>
      <c r="O163" s="275">
        <f t="shared" si="10"/>
        <v>3</v>
      </c>
      <c r="P163" s="275">
        <f t="shared" si="10"/>
        <v>0</v>
      </c>
      <c r="Q163" s="275">
        <f t="shared" si="10"/>
        <v>2</v>
      </c>
      <c r="R163" s="389"/>
      <c r="S163" s="68"/>
      <c r="T163" s="68"/>
      <c r="U163" s="68"/>
      <c r="V163" s="68"/>
      <c r="W163" s="68"/>
    </row>
    <row r="164">
      <c r="A164" s="12" t="s">
        <v>13</v>
      </c>
      <c r="B164" s="447" t="s">
        <v>198</v>
      </c>
      <c r="C164" s="74" t="s">
        <v>1281</v>
      </c>
      <c r="D164" s="75">
        <v>0.5833333333333334</v>
      </c>
      <c r="E164" s="295" t="s">
        <v>1471</v>
      </c>
      <c r="F164" s="295">
        <v>7.07605252794797E14</v>
      </c>
      <c r="G164" s="59" t="s">
        <v>1472</v>
      </c>
      <c r="H164" s="166">
        <v>21311.0</v>
      </c>
      <c r="I164" s="74" t="s">
        <v>183</v>
      </c>
      <c r="J164" s="102">
        <v>1.1968711505E10</v>
      </c>
      <c r="K164" s="102">
        <v>1.1960151458E10</v>
      </c>
      <c r="R164" s="67"/>
    </row>
    <row r="165">
      <c r="A165" s="12" t="s">
        <v>14</v>
      </c>
      <c r="B165" s="228" t="s">
        <v>758</v>
      </c>
      <c r="C165" s="74" t="s">
        <v>1281</v>
      </c>
      <c r="D165" s="75">
        <v>0.5972222222222222</v>
      </c>
      <c r="E165" s="295" t="s">
        <v>1473</v>
      </c>
      <c r="F165" s="295">
        <v>7.08401258490567E14</v>
      </c>
      <c r="G165" s="59" t="s">
        <v>1474</v>
      </c>
      <c r="H165" s="166">
        <v>19007.0</v>
      </c>
      <c r="I165" s="74" t="s">
        <v>183</v>
      </c>
      <c r="J165" s="393">
        <v>1.1982468473E10</v>
      </c>
      <c r="K165" s="42"/>
      <c r="R165" s="67"/>
    </row>
    <row r="166">
      <c r="A166" s="12" t="s">
        <v>15</v>
      </c>
      <c r="B166" s="228" t="s">
        <v>1468</v>
      </c>
      <c r="C166" s="74" t="s">
        <v>1281</v>
      </c>
      <c r="D166" s="75">
        <v>0.6111111111111112</v>
      </c>
      <c r="E166" s="295" t="s">
        <v>1475</v>
      </c>
      <c r="F166" s="295">
        <v>8.98001434625429E14</v>
      </c>
      <c r="G166" s="59" t="s">
        <v>1476</v>
      </c>
      <c r="H166" s="166">
        <v>24721.0</v>
      </c>
      <c r="I166" s="74" t="s">
        <v>183</v>
      </c>
      <c r="J166" s="42"/>
      <c r="K166" s="42"/>
      <c r="R166" s="67"/>
    </row>
    <row r="167">
      <c r="A167" s="106" t="s">
        <v>16</v>
      </c>
      <c r="B167" s="441" t="s">
        <v>217</v>
      </c>
      <c r="C167" s="442" t="s">
        <v>1281</v>
      </c>
      <c r="D167" s="108">
        <v>0.625</v>
      </c>
      <c r="E167" s="448" t="s">
        <v>1477</v>
      </c>
      <c r="F167" s="448">
        <v>7.08605076844187E14</v>
      </c>
      <c r="G167" s="120" t="s">
        <v>1478</v>
      </c>
      <c r="H167" s="111">
        <v>20284.0</v>
      </c>
      <c r="I167" s="442" t="s">
        <v>173</v>
      </c>
      <c r="J167" s="449">
        <v>1.1949251086E10</v>
      </c>
      <c r="K167" s="449">
        <v>1.1982842721E10</v>
      </c>
      <c r="L167" s="118"/>
      <c r="M167" s="118"/>
      <c r="N167" s="118"/>
      <c r="O167" s="118"/>
      <c r="P167" s="118"/>
      <c r="Q167" s="118"/>
      <c r="R167" s="450"/>
      <c r="S167" s="118"/>
      <c r="T167" s="118"/>
      <c r="U167" s="118"/>
      <c r="V167" s="118"/>
      <c r="W167" s="118"/>
    </row>
    <row r="168">
      <c r="A168" s="12" t="s">
        <v>17</v>
      </c>
      <c r="B168" s="228" t="s">
        <v>198</v>
      </c>
      <c r="C168" s="74" t="s">
        <v>1281</v>
      </c>
      <c r="D168" s="75">
        <v>0.6388888888888888</v>
      </c>
      <c r="E168" s="295" t="s">
        <v>1479</v>
      </c>
      <c r="F168" s="295">
        <v>2.06882484830003E14</v>
      </c>
      <c r="G168" s="59" t="s">
        <v>1480</v>
      </c>
      <c r="H168" s="166">
        <v>15085.0</v>
      </c>
      <c r="I168" s="74" t="s">
        <v>183</v>
      </c>
      <c r="J168" s="42">
        <v>1.1988234047E10</v>
      </c>
      <c r="K168" s="42">
        <v>1.1982340472E10</v>
      </c>
      <c r="R168" s="67"/>
    </row>
    <row r="169">
      <c r="A169" s="12" t="s">
        <v>85</v>
      </c>
      <c r="B169" s="228" t="s">
        <v>1468</v>
      </c>
      <c r="C169" s="74" t="s">
        <v>1281</v>
      </c>
      <c r="D169" s="75">
        <v>0.6527777777777778</v>
      </c>
      <c r="E169" s="295" t="s">
        <v>1481</v>
      </c>
      <c r="F169" s="295">
        <v>7.08205675677842E14</v>
      </c>
      <c r="G169" s="59" t="s">
        <v>1482</v>
      </c>
      <c r="H169" s="166">
        <v>16867.0</v>
      </c>
      <c r="I169" s="74" t="s">
        <v>195</v>
      </c>
      <c r="J169" s="42">
        <v>1.1975325965E10</v>
      </c>
      <c r="K169" s="42"/>
      <c r="R169" s="67"/>
    </row>
    <row r="170">
      <c r="A170" s="12" t="s">
        <v>87</v>
      </c>
      <c r="B170" s="228" t="s">
        <v>758</v>
      </c>
      <c r="C170" s="74" t="s">
        <v>1281</v>
      </c>
      <c r="D170" s="75">
        <v>0.6666666666666666</v>
      </c>
      <c r="E170" s="295" t="s">
        <v>1483</v>
      </c>
      <c r="F170" s="295">
        <v>8.98001436630829E14</v>
      </c>
      <c r="G170" s="59" t="s">
        <v>1484</v>
      </c>
      <c r="H170" s="166">
        <v>19369.0</v>
      </c>
      <c r="I170" s="74" t="s">
        <v>195</v>
      </c>
      <c r="J170" s="42">
        <v>1.1972897849E10</v>
      </c>
      <c r="K170" s="138">
        <v>1.1983503562E10</v>
      </c>
      <c r="R170" s="67"/>
    </row>
    <row r="171">
      <c r="A171" s="12" t="s">
        <v>90</v>
      </c>
      <c r="B171" s="228" t="s">
        <v>758</v>
      </c>
      <c r="C171" s="74" t="s">
        <v>1281</v>
      </c>
      <c r="D171" s="75">
        <v>0.6805555555555556</v>
      </c>
      <c r="E171" s="295" t="s">
        <v>1485</v>
      </c>
      <c r="F171" s="295">
        <v>7.0260222880094E14</v>
      </c>
      <c r="G171" s="59" t="s">
        <v>1486</v>
      </c>
      <c r="H171" s="166">
        <v>27059.0</v>
      </c>
      <c r="I171" s="74" t="s">
        <v>183</v>
      </c>
      <c r="J171" s="42">
        <v>1.1985224637E10</v>
      </c>
      <c r="K171" s="42"/>
      <c r="R171" s="67"/>
    </row>
    <row r="172">
      <c r="A172" s="12" t="s">
        <v>93</v>
      </c>
      <c r="B172" s="228" t="s">
        <v>758</v>
      </c>
      <c r="C172" s="74" t="s">
        <v>1281</v>
      </c>
      <c r="D172" s="75">
        <v>0.6944444444444444</v>
      </c>
      <c r="E172" s="295" t="s">
        <v>1487</v>
      </c>
      <c r="F172" s="446" t="s">
        <v>1488</v>
      </c>
      <c r="G172" s="59" t="s">
        <v>1489</v>
      </c>
      <c r="H172" s="166">
        <v>21246.0</v>
      </c>
      <c r="I172" s="74" t="s">
        <v>173</v>
      </c>
      <c r="J172" s="42">
        <v>1.1976461555E10</v>
      </c>
      <c r="K172" s="42">
        <v>1.1992408633E10</v>
      </c>
      <c r="R172" s="67"/>
    </row>
    <row r="173">
      <c r="J173" s="67"/>
      <c r="K173" s="67"/>
      <c r="R173" s="67"/>
    </row>
    <row r="174">
      <c r="J174" s="67"/>
      <c r="K174" s="67"/>
      <c r="R174" s="67"/>
    </row>
    <row r="175">
      <c r="J175" s="67"/>
      <c r="K175" s="67"/>
      <c r="R175" s="67"/>
    </row>
    <row r="176">
      <c r="J176" s="67"/>
      <c r="K176" s="67"/>
      <c r="R176" s="67"/>
    </row>
    <row r="177">
      <c r="A177" s="23" t="s">
        <v>378</v>
      </c>
      <c r="B177" s="2"/>
      <c r="C177" s="2"/>
      <c r="D177" s="2"/>
      <c r="E177" s="2"/>
      <c r="F177" s="2"/>
      <c r="G177" s="2"/>
      <c r="H177" s="2"/>
      <c r="I177" s="2"/>
      <c r="J177" s="2"/>
      <c r="K177" s="3"/>
      <c r="R177" s="67"/>
    </row>
    <row r="178">
      <c r="A178" s="263" t="s">
        <v>1261</v>
      </c>
      <c r="B178" s="2"/>
      <c r="C178" s="2"/>
      <c r="D178" s="2"/>
      <c r="E178" s="2"/>
      <c r="F178" s="2"/>
      <c r="G178" s="2"/>
      <c r="H178" s="2"/>
      <c r="I178" s="2"/>
      <c r="J178" s="2"/>
      <c r="K178" s="3"/>
      <c r="R178" s="67"/>
    </row>
    <row r="179">
      <c r="A179" s="25"/>
      <c r="B179" s="26" t="s">
        <v>3</v>
      </c>
      <c r="C179" s="27" t="s">
        <v>2</v>
      </c>
      <c r="D179" s="28" t="s">
        <v>5</v>
      </c>
      <c r="E179" s="32" t="s">
        <v>19</v>
      </c>
      <c r="F179" s="28" t="s">
        <v>6</v>
      </c>
      <c r="G179" s="264" t="s">
        <v>7</v>
      </c>
      <c r="H179" s="30" t="s">
        <v>8</v>
      </c>
      <c r="I179" s="31" t="s">
        <v>20</v>
      </c>
      <c r="J179" s="32" t="s">
        <v>21</v>
      </c>
      <c r="K179" s="32" t="s">
        <v>22</v>
      </c>
      <c r="R179" s="67"/>
    </row>
    <row r="180">
      <c r="A180" s="12" t="s">
        <v>10</v>
      </c>
      <c r="B180" s="228" t="s">
        <v>1359</v>
      </c>
      <c r="C180" s="74" t="s">
        <v>1295</v>
      </c>
      <c r="D180" s="75">
        <v>0.5416666666666666</v>
      </c>
      <c r="E180" s="241" t="s">
        <v>1490</v>
      </c>
      <c r="F180" s="84">
        <v>8.98003015031297E14</v>
      </c>
      <c r="G180" s="79" t="s">
        <v>1491</v>
      </c>
      <c r="H180" s="83">
        <v>23921.0</v>
      </c>
      <c r="I180" s="34" t="s">
        <v>183</v>
      </c>
      <c r="J180" s="84" t="s">
        <v>1492</v>
      </c>
      <c r="K180" s="102" t="s">
        <v>1493</v>
      </c>
      <c r="L180" s="216" t="s">
        <v>521</v>
      </c>
      <c r="N180" s="268" t="s">
        <v>387</v>
      </c>
      <c r="O180" s="100"/>
      <c r="P180" s="100"/>
      <c r="Q180" s="100"/>
      <c r="R180" s="67"/>
    </row>
    <row r="181">
      <c r="A181" s="12" t="s">
        <v>11</v>
      </c>
      <c r="B181" s="228" t="s">
        <v>1358</v>
      </c>
      <c r="C181" s="74" t="s">
        <v>1295</v>
      </c>
      <c r="D181" s="75">
        <v>0.5555555555555556</v>
      </c>
      <c r="E181" s="241" t="s">
        <v>1435</v>
      </c>
      <c r="F181" s="84">
        <v>7.03607044846738E14</v>
      </c>
      <c r="G181" s="79" t="s">
        <v>1436</v>
      </c>
      <c r="H181" s="83">
        <v>25188.0</v>
      </c>
      <c r="I181" s="34" t="s">
        <v>183</v>
      </c>
      <c r="J181" s="84" t="s">
        <v>1494</v>
      </c>
      <c r="K181" s="102"/>
      <c r="N181" s="270" t="s">
        <v>671</v>
      </c>
      <c r="O181" s="2"/>
      <c r="P181" s="2"/>
      <c r="Q181" s="2"/>
      <c r="R181" s="67"/>
    </row>
    <row r="182">
      <c r="A182" s="12" t="s">
        <v>12</v>
      </c>
      <c r="B182" s="228" t="s">
        <v>1361</v>
      </c>
      <c r="C182" s="74" t="s">
        <v>1295</v>
      </c>
      <c r="D182" s="75">
        <v>0.5694444444444444</v>
      </c>
      <c r="E182" s="241" t="s">
        <v>1495</v>
      </c>
      <c r="F182" s="422" t="s">
        <v>1496</v>
      </c>
      <c r="G182" s="79" t="s">
        <v>1497</v>
      </c>
      <c r="H182" s="83">
        <v>30411.0</v>
      </c>
      <c r="I182" s="34" t="s">
        <v>183</v>
      </c>
      <c r="J182" s="84" t="s">
        <v>1498</v>
      </c>
      <c r="K182" s="102"/>
      <c r="N182" s="271" t="s">
        <v>183</v>
      </c>
      <c r="O182" s="272" t="s">
        <v>195</v>
      </c>
      <c r="P182" s="272" t="s">
        <v>181</v>
      </c>
      <c r="Q182" s="273" t="s">
        <v>173</v>
      </c>
      <c r="R182" s="67"/>
    </row>
    <row r="183">
      <c r="A183" s="12" t="s">
        <v>13</v>
      </c>
      <c r="B183" s="228" t="s">
        <v>1363</v>
      </c>
      <c r="C183" s="74" t="s">
        <v>1295</v>
      </c>
      <c r="D183" s="75">
        <v>0.5833333333333334</v>
      </c>
      <c r="E183" s="241" t="s">
        <v>1499</v>
      </c>
      <c r="F183" s="84">
        <v>2.01156319540001E14</v>
      </c>
      <c r="G183" s="79" t="s">
        <v>1500</v>
      </c>
      <c r="H183" s="83">
        <v>17015.0</v>
      </c>
      <c r="I183" s="34" t="s">
        <v>183</v>
      </c>
      <c r="J183" s="84" t="s">
        <v>1501</v>
      </c>
      <c r="K183" s="102" t="s">
        <v>1502</v>
      </c>
      <c r="N183" s="275">
        <f t="shared" ref="N183:Q183" si="11">COUNTIFS($I$180:$I$191,N182)</f>
        <v>9</v>
      </c>
      <c r="O183" s="275">
        <f t="shared" si="11"/>
        <v>0</v>
      </c>
      <c r="P183" s="275">
        <f t="shared" si="11"/>
        <v>2</v>
      </c>
      <c r="Q183" s="275">
        <f t="shared" si="11"/>
        <v>1</v>
      </c>
      <c r="R183" s="67"/>
    </row>
    <row r="184">
      <c r="A184" s="12" t="s">
        <v>14</v>
      </c>
      <c r="B184" s="228" t="s">
        <v>1358</v>
      </c>
      <c r="C184" s="74" t="s">
        <v>1295</v>
      </c>
      <c r="D184" s="75">
        <v>0.5972222222222222</v>
      </c>
      <c r="E184" s="241" t="s">
        <v>1503</v>
      </c>
      <c r="F184" s="84">
        <v>7.00002978120406E14</v>
      </c>
      <c r="G184" s="79" t="s">
        <v>1504</v>
      </c>
      <c r="H184" s="83">
        <v>20443.0</v>
      </c>
      <c r="I184" s="34" t="s">
        <v>183</v>
      </c>
      <c r="J184" s="84" t="s">
        <v>1505</v>
      </c>
      <c r="K184" s="102"/>
      <c r="R184" s="67"/>
    </row>
    <row r="185">
      <c r="A185" s="12" t="s">
        <v>15</v>
      </c>
      <c r="B185" s="228" t="s">
        <v>1359</v>
      </c>
      <c r="C185" s="74" t="s">
        <v>1295</v>
      </c>
      <c r="D185" s="75">
        <v>0.6111111111111112</v>
      </c>
      <c r="E185" s="241" t="s">
        <v>1506</v>
      </c>
      <c r="F185" s="84">
        <v>7.00008722919605E14</v>
      </c>
      <c r="G185" s="79" t="s">
        <v>1507</v>
      </c>
      <c r="H185" s="83">
        <v>29836.0</v>
      </c>
      <c r="I185" s="34" t="s">
        <v>183</v>
      </c>
      <c r="J185" s="84" t="s">
        <v>1508</v>
      </c>
      <c r="K185" s="102"/>
      <c r="R185" s="67"/>
    </row>
    <row r="186">
      <c r="A186" s="12" t="s">
        <v>16</v>
      </c>
      <c r="B186" s="228" t="s">
        <v>1361</v>
      </c>
      <c r="C186" s="74" t="s">
        <v>1295</v>
      </c>
      <c r="D186" s="75">
        <v>0.625</v>
      </c>
      <c r="E186" s="241" t="s">
        <v>1509</v>
      </c>
      <c r="F186" s="84">
        <v>7.01003866176891E14</v>
      </c>
      <c r="G186" s="79" t="s">
        <v>1510</v>
      </c>
      <c r="H186" s="83">
        <v>26629.0</v>
      </c>
      <c r="I186" s="34" t="s">
        <v>183</v>
      </c>
      <c r="J186" s="84" t="s">
        <v>1511</v>
      </c>
      <c r="K186" s="102"/>
      <c r="R186" s="67"/>
    </row>
    <row r="187">
      <c r="A187" s="12" t="s">
        <v>17</v>
      </c>
      <c r="B187" s="228" t="s">
        <v>1363</v>
      </c>
      <c r="C187" s="74" t="s">
        <v>1295</v>
      </c>
      <c r="D187" s="75">
        <v>0.6388888888888888</v>
      </c>
      <c r="E187" s="241" t="s">
        <v>1512</v>
      </c>
      <c r="F187" s="84">
        <v>7.00600942905767E14</v>
      </c>
      <c r="G187" s="79" t="s">
        <v>1513</v>
      </c>
      <c r="H187" s="83">
        <v>17900.0</v>
      </c>
      <c r="I187" s="34" t="s">
        <v>183</v>
      </c>
      <c r="J187" s="84"/>
      <c r="K187" s="102"/>
      <c r="R187" s="67"/>
    </row>
    <row r="188">
      <c r="A188" s="12" t="s">
        <v>85</v>
      </c>
      <c r="B188" s="228" t="s">
        <v>1359</v>
      </c>
      <c r="C188" s="74" t="s">
        <v>1295</v>
      </c>
      <c r="D188" s="75">
        <v>0.6527777777777778</v>
      </c>
      <c r="E188" s="241" t="s">
        <v>1514</v>
      </c>
      <c r="F188" s="84">
        <v>8.01440478700674E14</v>
      </c>
      <c r="G188" s="79" t="s">
        <v>1515</v>
      </c>
      <c r="H188" s="83">
        <v>17755.0</v>
      </c>
      <c r="I188" s="34" t="s">
        <v>173</v>
      </c>
      <c r="J188" s="84" t="s">
        <v>1516</v>
      </c>
      <c r="K188" s="102" t="s">
        <v>1517</v>
      </c>
      <c r="L188" s="216" t="s">
        <v>577</v>
      </c>
      <c r="R188" s="67"/>
    </row>
    <row r="189">
      <c r="A189" s="12" t="s">
        <v>87</v>
      </c>
      <c r="B189" s="228" t="s">
        <v>1358</v>
      </c>
      <c r="C189" s="74" t="s">
        <v>1295</v>
      </c>
      <c r="D189" s="75">
        <v>0.6666666666666666</v>
      </c>
      <c r="E189" s="241"/>
      <c r="F189" s="162"/>
      <c r="G189" s="105"/>
      <c r="H189" s="166"/>
      <c r="I189" s="41" t="s">
        <v>1518</v>
      </c>
      <c r="J189" s="84"/>
      <c r="K189" s="138"/>
      <c r="R189" s="67"/>
    </row>
    <row r="190">
      <c r="A190" s="12" t="s">
        <v>90</v>
      </c>
      <c r="B190" s="228" t="s">
        <v>1361</v>
      </c>
      <c r="C190" s="74" t="s">
        <v>1295</v>
      </c>
      <c r="D190" s="75">
        <v>0.6805555555555556</v>
      </c>
      <c r="E190" s="241" t="s">
        <v>1519</v>
      </c>
      <c r="F190" s="84">
        <v>7.06500346829894E14</v>
      </c>
      <c r="G190" s="79" t="s">
        <v>1520</v>
      </c>
      <c r="H190" s="83">
        <v>33344.0</v>
      </c>
      <c r="I190" s="34" t="s">
        <v>183</v>
      </c>
      <c r="J190" s="84" t="s">
        <v>1521</v>
      </c>
      <c r="K190" s="102"/>
      <c r="R190" s="67"/>
    </row>
    <row r="191">
      <c r="A191" s="12" t="s">
        <v>93</v>
      </c>
      <c r="B191" s="228" t="s">
        <v>1363</v>
      </c>
      <c r="C191" s="74" t="s">
        <v>1295</v>
      </c>
      <c r="D191" s="75">
        <v>0.6944444444444444</v>
      </c>
      <c r="E191" s="295"/>
      <c r="F191" s="133"/>
      <c r="G191" s="105"/>
      <c r="H191" s="166"/>
      <c r="I191" s="41" t="s">
        <v>1518</v>
      </c>
      <c r="J191" s="84"/>
      <c r="K191" s="84"/>
      <c r="R191" s="67"/>
    </row>
    <row r="192">
      <c r="J192" s="67"/>
      <c r="K192" s="67"/>
      <c r="R192" s="67"/>
    </row>
    <row r="193">
      <c r="J193" s="67"/>
      <c r="K193" s="67"/>
      <c r="R193" s="67"/>
    </row>
    <row r="194">
      <c r="A194" s="23" t="s">
        <v>378</v>
      </c>
      <c r="B194" s="2"/>
      <c r="C194" s="2"/>
      <c r="D194" s="2"/>
      <c r="E194" s="2"/>
      <c r="F194" s="2"/>
      <c r="G194" s="2"/>
      <c r="H194" s="2"/>
      <c r="I194" s="2"/>
      <c r="J194" s="2"/>
      <c r="K194" s="3"/>
      <c r="R194" s="67"/>
    </row>
    <row r="195">
      <c r="A195" s="263" t="s">
        <v>1522</v>
      </c>
      <c r="B195" s="2"/>
      <c r="C195" s="2"/>
      <c r="D195" s="2"/>
      <c r="E195" s="2"/>
      <c r="F195" s="2"/>
      <c r="G195" s="2"/>
      <c r="H195" s="2"/>
      <c r="I195" s="2"/>
      <c r="J195" s="2"/>
      <c r="K195" s="3"/>
      <c r="R195" s="67"/>
    </row>
    <row r="196">
      <c r="A196" s="25"/>
      <c r="B196" s="26" t="s">
        <v>3</v>
      </c>
      <c r="C196" s="27" t="s">
        <v>2</v>
      </c>
      <c r="D196" s="28" t="s">
        <v>5</v>
      </c>
      <c r="E196" s="32" t="s">
        <v>19</v>
      </c>
      <c r="F196" s="28" t="s">
        <v>6</v>
      </c>
      <c r="G196" s="264" t="s">
        <v>7</v>
      </c>
      <c r="H196" s="30" t="s">
        <v>8</v>
      </c>
      <c r="I196" s="31" t="s">
        <v>20</v>
      </c>
      <c r="J196" s="32" t="s">
        <v>21</v>
      </c>
      <c r="K196" s="32" t="s">
        <v>22</v>
      </c>
      <c r="R196" s="67"/>
    </row>
    <row r="197">
      <c r="A197" s="12" t="s">
        <v>10</v>
      </c>
      <c r="B197" s="228" t="s">
        <v>65</v>
      </c>
      <c r="C197" s="74" t="s">
        <v>1314</v>
      </c>
      <c r="D197" s="75">
        <v>0.3333333333333333</v>
      </c>
      <c r="E197" s="241" t="s">
        <v>1523</v>
      </c>
      <c r="F197" s="241">
        <v>7.0310530509356E14</v>
      </c>
      <c r="G197" s="79" t="s">
        <v>100</v>
      </c>
      <c r="H197" s="83">
        <v>18225.0</v>
      </c>
      <c r="I197" s="84" t="s">
        <v>173</v>
      </c>
      <c r="J197" s="84" t="s">
        <v>1524</v>
      </c>
      <c r="K197" s="84"/>
      <c r="N197" s="268" t="s">
        <v>387</v>
      </c>
      <c r="O197" s="100"/>
      <c r="P197" s="100"/>
      <c r="Q197" s="100"/>
      <c r="R197" s="67"/>
    </row>
    <row r="198">
      <c r="A198" s="12" t="s">
        <v>11</v>
      </c>
      <c r="B198" s="228" t="s">
        <v>202</v>
      </c>
      <c r="C198" s="74" t="s">
        <v>1314</v>
      </c>
      <c r="D198" s="75">
        <v>0.3472222222222222</v>
      </c>
      <c r="E198" s="241" t="s">
        <v>1525</v>
      </c>
      <c r="F198" s="241">
        <v>2.01156841360001E14</v>
      </c>
      <c r="G198" s="79" t="s">
        <v>1526</v>
      </c>
      <c r="H198" s="83">
        <v>18928.0</v>
      </c>
      <c r="I198" s="84" t="s">
        <v>173</v>
      </c>
      <c r="J198" s="84" t="s">
        <v>1527</v>
      </c>
      <c r="K198" s="84"/>
      <c r="N198" s="270" t="s">
        <v>701</v>
      </c>
      <c r="O198" s="2"/>
      <c r="P198" s="2"/>
      <c r="Q198" s="2"/>
      <c r="R198" s="67"/>
    </row>
    <row r="199">
      <c r="A199" s="12" t="s">
        <v>12</v>
      </c>
      <c r="B199" s="228" t="s">
        <v>1448</v>
      </c>
      <c r="C199" s="74" t="s">
        <v>1314</v>
      </c>
      <c r="D199" s="75">
        <v>0.3611111111111111</v>
      </c>
      <c r="E199" s="241" t="s">
        <v>1528</v>
      </c>
      <c r="F199" s="241">
        <v>7.05204440601379E14</v>
      </c>
      <c r="G199" s="79" t="s">
        <v>796</v>
      </c>
      <c r="H199" s="83">
        <v>27257.0</v>
      </c>
      <c r="I199" s="84" t="s">
        <v>183</v>
      </c>
      <c r="J199" s="84" t="s">
        <v>1529</v>
      </c>
      <c r="K199" s="84" t="s">
        <v>1530</v>
      </c>
      <c r="N199" s="271" t="s">
        <v>183</v>
      </c>
      <c r="O199" s="272" t="s">
        <v>195</v>
      </c>
      <c r="P199" s="272" t="s">
        <v>181</v>
      </c>
      <c r="Q199" s="273" t="s">
        <v>173</v>
      </c>
      <c r="R199" s="67"/>
    </row>
    <row r="200">
      <c r="A200" s="12" t="s">
        <v>13</v>
      </c>
      <c r="B200" s="228" t="s">
        <v>822</v>
      </c>
      <c r="C200" s="74" t="s">
        <v>1314</v>
      </c>
      <c r="D200" s="75">
        <v>0.375</v>
      </c>
      <c r="E200" s="241" t="s">
        <v>1531</v>
      </c>
      <c r="F200" s="241">
        <v>7.09804075838693E14</v>
      </c>
      <c r="G200" s="79" t="s">
        <v>1532</v>
      </c>
      <c r="H200" s="83">
        <v>18416.0</v>
      </c>
      <c r="I200" s="84" t="s">
        <v>183</v>
      </c>
      <c r="J200" s="84" t="s">
        <v>1533</v>
      </c>
      <c r="K200" s="84" t="s">
        <v>1534</v>
      </c>
      <c r="N200" s="275">
        <f t="shared" ref="N200:Q200" si="12">COUNTIFS($I$197:$I$208,$N$199)</f>
        <v>7</v>
      </c>
      <c r="O200" s="275">
        <f t="shared" si="12"/>
        <v>7</v>
      </c>
      <c r="P200" s="275">
        <f t="shared" si="12"/>
        <v>7</v>
      </c>
      <c r="Q200" s="275">
        <f t="shared" si="12"/>
        <v>7</v>
      </c>
      <c r="R200" s="67"/>
    </row>
    <row r="201">
      <c r="A201" s="12" t="s">
        <v>14</v>
      </c>
      <c r="B201" s="228" t="s">
        <v>202</v>
      </c>
      <c r="C201" s="74" t="s">
        <v>1314</v>
      </c>
      <c r="D201" s="75">
        <v>0.3888888888888889</v>
      </c>
      <c r="E201" s="241" t="s">
        <v>1535</v>
      </c>
      <c r="F201" s="241">
        <v>7.0050592594505E14</v>
      </c>
      <c r="G201" s="79" t="s">
        <v>1536</v>
      </c>
      <c r="H201" s="83">
        <v>22330.0</v>
      </c>
      <c r="I201" s="84" t="s">
        <v>173</v>
      </c>
      <c r="J201" s="84" t="s">
        <v>1537</v>
      </c>
      <c r="K201" s="84" t="s">
        <v>1538</v>
      </c>
      <c r="R201" s="67"/>
    </row>
    <row r="202">
      <c r="A202" s="12" t="s">
        <v>15</v>
      </c>
      <c r="B202" s="228" t="s">
        <v>1448</v>
      </c>
      <c r="C202" s="74" t="s">
        <v>1314</v>
      </c>
      <c r="D202" s="75">
        <v>0.4027777777777778</v>
      </c>
      <c r="E202" s="241" t="s">
        <v>1539</v>
      </c>
      <c r="F202" s="241">
        <v>7.06800753825623E14</v>
      </c>
      <c r="G202" s="79" t="s">
        <v>1540</v>
      </c>
      <c r="H202" s="83">
        <v>19973.0</v>
      </c>
      <c r="I202" s="84" t="s">
        <v>173</v>
      </c>
      <c r="J202" s="84" t="s">
        <v>1541</v>
      </c>
      <c r="K202" s="84" t="s">
        <v>1542</v>
      </c>
      <c r="R202" s="67"/>
    </row>
    <row r="203">
      <c r="A203" s="12" t="s">
        <v>16</v>
      </c>
      <c r="B203" s="228" t="s">
        <v>65</v>
      </c>
      <c r="C203" s="74" t="s">
        <v>1314</v>
      </c>
      <c r="D203" s="75">
        <v>0.4166666666666667</v>
      </c>
      <c r="E203" s="241" t="s">
        <v>1543</v>
      </c>
      <c r="F203" s="241">
        <v>8.98001491483867E14</v>
      </c>
      <c r="G203" s="79" t="s">
        <v>1544</v>
      </c>
      <c r="H203" s="83">
        <v>42373.0</v>
      </c>
      <c r="I203" s="84" t="s">
        <v>183</v>
      </c>
      <c r="J203" s="84" t="s">
        <v>1545</v>
      </c>
      <c r="K203" s="84"/>
      <c r="R203" s="67"/>
    </row>
    <row r="204">
      <c r="A204" s="12" t="s">
        <v>17</v>
      </c>
      <c r="B204" s="228" t="s">
        <v>202</v>
      </c>
      <c r="C204" s="74" t="s">
        <v>1314</v>
      </c>
      <c r="D204" s="75">
        <v>0.4305555555555556</v>
      </c>
      <c r="E204" s="241" t="s">
        <v>1546</v>
      </c>
      <c r="F204" s="241">
        <v>7.0010398616002E14</v>
      </c>
      <c r="G204" s="79" t="s">
        <v>1547</v>
      </c>
      <c r="H204" s="83">
        <v>44181.0</v>
      </c>
      <c r="I204" s="84" t="s">
        <v>173</v>
      </c>
      <c r="J204" s="84" t="s">
        <v>1548</v>
      </c>
      <c r="K204" s="84" t="s">
        <v>1549</v>
      </c>
      <c r="R204" s="67"/>
    </row>
    <row r="205">
      <c r="A205" s="12" t="s">
        <v>85</v>
      </c>
      <c r="B205" s="228" t="s">
        <v>822</v>
      </c>
      <c r="C205" s="74" t="s">
        <v>1314</v>
      </c>
      <c r="D205" s="75">
        <v>0.4444444444444444</v>
      </c>
      <c r="E205" s="241" t="s">
        <v>1550</v>
      </c>
      <c r="F205" s="241">
        <v>7.04607168560729E14</v>
      </c>
      <c r="G205" s="79" t="s">
        <v>1551</v>
      </c>
      <c r="H205" s="83">
        <v>20021.0</v>
      </c>
      <c r="I205" s="84" t="s">
        <v>183</v>
      </c>
      <c r="J205" s="84" t="s">
        <v>1552</v>
      </c>
      <c r="K205" s="84"/>
      <c r="R205" s="67"/>
    </row>
    <row r="206">
      <c r="A206" s="12" t="s">
        <v>87</v>
      </c>
      <c r="B206" s="228" t="s">
        <v>1448</v>
      </c>
      <c r="C206" s="74" t="s">
        <v>1314</v>
      </c>
      <c r="D206" s="75">
        <v>0.4583333333333333</v>
      </c>
      <c r="E206" s="241" t="s">
        <v>1553</v>
      </c>
      <c r="F206" s="241">
        <v>7.08000822222825E14</v>
      </c>
      <c r="G206" s="79" t="s">
        <v>1554</v>
      </c>
      <c r="H206" s="83">
        <v>31471.0</v>
      </c>
      <c r="I206" s="84" t="s">
        <v>183</v>
      </c>
      <c r="J206" s="84" t="s">
        <v>1555</v>
      </c>
      <c r="K206" s="84"/>
      <c r="R206" s="67"/>
    </row>
    <row r="207">
      <c r="A207" s="12" t="s">
        <v>90</v>
      </c>
      <c r="B207" s="228" t="s">
        <v>822</v>
      </c>
      <c r="C207" s="74" t="s">
        <v>1314</v>
      </c>
      <c r="D207" s="75">
        <v>0.4722222222222222</v>
      </c>
      <c r="E207" s="241" t="s">
        <v>1556</v>
      </c>
      <c r="F207" s="241">
        <v>8.9800146760876E14</v>
      </c>
      <c r="G207" s="79" t="s">
        <v>1557</v>
      </c>
      <c r="H207" s="83">
        <v>41281.0</v>
      </c>
      <c r="I207" s="84" t="s">
        <v>183</v>
      </c>
      <c r="J207" s="84" t="s">
        <v>1558</v>
      </c>
      <c r="K207" s="84"/>
      <c r="R207" s="67"/>
    </row>
    <row r="208">
      <c r="A208" s="12" t="s">
        <v>93</v>
      </c>
      <c r="B208" s="228" t="s">
        <v>65</v>
      </c>
      <c r="C208" s="74" t="s">
        <v>1314</v>
      </c>
      <c r="D208" s="75">
        <v>0.4861111111111111</v>
      </c>
      <c r="E208" s="241" t="s">
        <v>1559</v>
      </c>
      <c r="F208" s="241">
        <v>7.0010983167369E14</v>
      </c>
      <c r="G208" s="79" t="s">
        <v>1560</v>
      </c>
      <c r="H208" s="83">
        <v>14392.0</v>
      </c>
      <c r="I208" s="84" t="s">
        <v>183</v>
      </c>
      <c r="J208" s="84" t="s">
        <v>1561</v>
      </c>
      <c r="K208" s="84"/>
      <c r="R208" s="67"/>
    </row>
    <row r="209">
      <c r="J209" s="67"/>
      <c r="K209" s="67"/>
      <c r="R209" s="67"/>
    </row>
    <row r="210">
      <c r="J210" s="67"/>
      <c r="K210" s="67"/>
      <c r="R210" s="67"/>
    </row>
    <row r="211">
      <c r="J211" s="67"/>
      <c r="K211" s="67"/>
      <c r="R211" s="67"/>
    </row>
    <row r="212">
      <c r="A212" s="23" t="s">
        <v>378</v>
      </c>
      <c r="B212" s="2"/>
      <c r="C212" s="2"/>
      <c r="D212" s="2"/>
      <c r="E212" s="2"/>
      <c r="F212" s="2"/>
      <c r="G212" s="2"/>
      <c r="H212" s="2"/>
      <c r="I212" s="2"/>
      <c r="J212" s="2"/>
      <c r="K212" s="3"/>
      <c r="R212" s="67"/>
    </row>
    <row r="213">
      <c r="A213" s="263" t="s">
        <v>1562</v>
      </c>
      <c r="B213" s="2"/>
      <c r="C213" s="2"/>
      <c r="D213" s="2"/>
      <c r="E213" s="2"/>
      <c r="F213" s="2"/>
      <c r="G213" s="2"/>
      <c r="H213" s="2"/>
      <c r="I213" s="2"/>
      <c r="J213" s="2"/>
      <c r="K213" s="3"/>
      <c r="R213" s="67"/>
    </row>
    <row r="214">
      <c r="A214" s="25"/>
      <c r="B214" s="26" t="s">
        <v>3</v>
      </c>
      <c r="C214" s="27" t="s">
        <v>2</v>
      </c>
      <c r="D214" s="28" t="s">
        <v>5</v>
      </c>
      <c r="E214" s="32" t="s">
        <v>19</v>
      </c>
      <c r="F214" s="28" t="s">
        <v>6</v>
      </c>
      <c r="G214" s="264" t="s">
        <v>7</v>
      </c>
      <c r="H214" s="30" t="s">
        <v>8</v>
      </c>
      <c r="I214" s="31" t="s">
        <v>20</v>
      </c>
      <c r="J214" s="32" t="s">
        <v>21</v>
      </c>
      <c r="K214" s="32" t="s">
        <v>22</v>
      </c>
      <c r="R214" s="67"/>
    </row>
    <row r="215">
      <c r="A215" s="12" t="s">
        <v>10</v>
      </c>
      <c r="B215" s="228" t="s">
        <v>758</v>
      </c>
      <c r="C215" s="74" t="s">
        <v>1281</v>
      </c>
      <c r="D215" s="75">
        <v>0.5416666666666666</v>
      </c>
      <c r="E215" s="241"/>
      <c r="F215" s="185"/>
      <c r="G215" s="105"/>
      <c r="H215" s="83"/>
      <c r="I215" s="34" t="s">
        <v>181</v>
      </c>
      <c r="J215" s="102"/>
      <c r="K215" s="102"/>
      <c r="N215" s="451" t="s">
        <v>387</v>
      </c>
      <c r="O215" s="100"/>
      <c r="P215" s="100"/>
      <c r="Q215" s="100"/>
      <c r="R215" s="67"/>
    </row>
    <row r="216">
      <c r="A216" s="12" t="s">
        <v>11</v>
      </c>
      <c r="B216" s="228" t="s">
        <v>1468</v>
      </c>
      <c r="C216" s="74" t="s">
        <v>1281</v>
      </c>
      <c r="D216" s="75">
        <v>0.5555555555555556</v>
      </c>
      <c r="E216" s="242" t="s">
        <v>1563</v>
      </c>
      <c r="F216" s="185">
        <v>7.06302704466379E14</v>
      </c>
      <c r="G216" s="452" t="s">
        <v>1564</v>
      </c>
      <c r="H216" s="329">
        <v>18811.0</v>
      </c>
      <c r="I216" s="34" t="s">
        <v>183</v>
      </c>
      <c r="J216" s="42" t="s">
        <v>1565</v>
      </c>
      <c r="K216" s="42"/>
      <c r="N216" s="453" t="s">
        <v>642</v>
      </c>
      <c r="O216" s="2"/>
      <c r="P216" s="2"/>
      <c r="Q216" s="2"/>
      <c r="R216" s="67"/>
    </row>
    <row r="217">
      <c r="A217" s="12" t="s">
        <v>12</v>
      </c>
      <c r="B217" s="228" t="s">
        <v>217</v>
      </c>
      <c r="C217" s="74" t="s">
        <v>1281</v>
      </c>
      <c r="D217" s="75">
        <v>0.5694444444444444</v>
      </c>
      <c r="E217" s="241"/>
      <c r="F217" s="185"/>
      <c r="G217" s="105"/>
      <c r="H217" s="83"/>
      <c r="I217" s="34" t="s">
        <v>181</v>
      </c>
      <c r="J217" s="102"/>
      <c r="K217" s="102"/>
      <c r="N217" s="454" t="s">
        <v>183</v>
      </c>
      <c r="O217" s="455" t="s">
        <v>195</v>
      </c>
      <c r="P217" s="455" t="s">
        <v>181</v>
      </c>
      <c r="Q217" s="456" t="s">
        <v>173</v>
      </c>
      <c r="R217" s="67"/>
    </row>
    <row r="218">
      <c r="A218" s="12" t="s">
        <v>13</v>
      </c>
      <c r="B218" s="447" t="s">
        <v>198</v>
      </c>
      <c r="C218" s="74" t="s">
        <v>1281</v>
      </c>
      <c r="D218" s="75">
        <v>0.5833333333333334</v>
      </c>
      <c r="E218" s="295" t="s">
        <v>1566</v>
      </c>
      <c r="F218" s="426" t="s">
        <v>1567</v>
      </c>
      <c r="G218" s="105" t="s">
        <v>1245</v>
      </c>
      <c r="H218" s="83">
        <v>21491.0</v>
      </c>
      <c r="I218" s="34" t="s">
        <v>183</v>
      </c>
      <c r="J218" s="102" t="s">
        <v>1568</v>
      </c>
      <c r="K218" s="102"/>
      <c r="N218" s="457">
        <f t="shared" ref="N218:Q218" si="13">COUNTIFS($I$215:$I$226,N217)</f>
        <v>9</v>
      </c>
      <c r="O218" s="457">
        <f t="shared" si="13"/>
        <v>0</v>
      </c>
      <c r="P218" s="457">
        <f t="shared" si="13"/>
        <v>3</v>
      </c>
      <c r="Q218" s="457">
        <f t="shared" si="13"/>
        <v>0</v>
      </c>
      <c r="R218" s="67"/>
    </row>
    <row r="219">
      <c r="A219" s="12" t="s">
        <v>14</v>
      </c>
      <c r="B219" s="228" t="s">
        <v>758</v>
      </c>
      <c r="C219" s="74" t="s">
        <v>1281</v>
      </c>
      <c r="D219" s="75">
        <v>0.5972222222222222</v>
      </c>
      <c r="E219" s="241"/>
      <c r="F219" s="185"/>
      <c r="G219" s="105"/>
      <c r="H219" s="83"/>
      <c r="I219" s="34" t="s">
        <v>181</v>
      </c>
      <c r="J219" s="393"/>
      <c r="K219" s="42"/>
      <c r="R219" s="67"/>
    </row>
    <row r="220">
      <c r="A220" s="12" t="s">
        <v>15</v>
      </c>
      <c r="B220" s="228" t="s">
        <v>1468</v>
      </c>
      <c r="C220" s="74" t="s">
        <v>1281</v>
      </c>
      <c r="D220" s="75">
        <v>0.6111111111111112</v>
      </c>
      <c r="E220" s="241" t="s">
        <v>1569</v>
      </c>
      <c r="F220" s="185">
        <v>2.03909617810009E14</v>
      </c>
      <c r="G220" s="105" t="s">
        <v>1570</v>
      </c>
      <c r="H220" s="83">
        <v>17770.0</v>
      </c>
      <c r="I220" s="34" t="s">
        <v>183</v>
      </c>
      <c r="J220" s="42" t="s">
        <v>1571</v>
      </c>
      <c r="K220" s="42"/>
      <c r="R220" s="67"/>
    </row>
    <row r="221">
      <c r="A221" s="12" t="s">
        <v>16</v>
      </c>
      <c r="B221" s="228" t="s">
        <v>217</v>
      </c>
      <c r="C221" s="74" t="s">
        <v>1281</v>
      </c>
      <c r="D221" s="75">
        <v>0.625</v>
      </c>
      <c r="E221" s="241" t="s">
        <v>1572</v>
      </c>
      <c r="F221" s="185">
        <v>7.09005896230514E14</v>
      </c>
      <c r="G221" s="105" t="s">
        <v>1573</v>
      </c>
      <c r="H221" s="83">
        <v>27425.0</v>
      </c>
      <c r="I221" s="34" t="s">
        <v>183</v>
      </c>
      <c r="J221" s="102" t="s">
        <v>1574</v>
      </c>
      <c r="K221" s="102"/>
      <c r="N221" s="458">
        <f t="shared" ref="N221:Q221" si="14">SUM(N218,N200,N183,N163,N146,N129,N112,N94,N77,N59,N41,N24,N7)</f>
        <v>106</v>
      </c>
      <c r="O221" s="458">
        <f t="shared" si="14"/>
        <v>18</v>
      </c>
      <c r="P221" s="458">
        <f t="shared" si="14"/>
        <v>27</v>
      </c>
      <c r="Q221" s="458">
        <f t="shared" si="14"/>
        <v>20</v>
      </c>
      <c r="R221" s="67"/>
    </row>
    <row r="222">
      <c r="A222" s="12" t="s">
        <v>17</v>
      </c>
      <c r="B222" s="228" t="s">
        <v>198</v>
      </c>
      <c r="C222" s="74" t="s">
        <v>1281</v>
      </c>
      <c r="D222" s="75">
        <v>0.6388888888888888</v>
      </c>
      <c r="E222" s="241" t="s">
        <v>1575</v>
      </c>
      <c r="F222" s="185">
        <v>7.0260171015954E14</v>
      </c>
      <c r="G222" s="105" t="s">
        <v>1576</v>
      </c>
      <c r="H222" s="83">
        <v>24906.0</v>
      </c>
      <c r="I222" s="34" t="s">
        <v>183</v>
      </c>
      <c r="J222" s="42" t="s">
        <v>1577</v>
      </c>
      <c r="K222" s="42"/>
      <c r="R222" s="67"/>
    </row>
    <row r="223">
      <c r="A223" s="12" t="s">
        <v>85</v>
      </c>
      <c r="B223" s="228" t="s">
        <v>1468</v>
      </c>
      <c r="C223" s="74" t="s">
        <v>1281</v>
      </c>
      <c r="D223" s="75">
        <v>0.6527777777777778</v>
      </c>
      <c r="E223" s="241" t="s">
        <v>1578</v>
      </c>
      <c r="F223" s="185">
        <v>7.04707726907437E14</v>
      </c>
      <c r="G223" s="79" t="s">
        <v>1579</v>
      </c>
      <c r="H223" s="83">
        <v>18592.0</v>
      </c>
      <c r="I223" s="34" t="s">
        <v>183</v>
      </c>
      <c r="J223" s="42" t="s">
        <v>1580</v>
      </c>
      <c r="K223" s="42" t="s">
        <v>1581</v>
      </c>
      <c r="R223" s="67"/>
    </row>
    <row r="224">
      <c r="A224" s="12" t="s">
        <v>87</v>
      </c>
      <c r="B224" s="228" t="s">
        <v>758</v>
      </c>
      <c r="C224" s="74" t="s">
        <v>1281</v>
      </c>
      <c r="D224" s="75">
        <v>0.6666666666666666</v>
      </c>
      <c r="E224" s="241" t="s">
        <v>1483</v>
      </c>
      <c r="F224" s="185">
        <v>8.98001436630829E14</v>
      </c>
      <c r="G224" s="105" t="s">
        <v>1484</v>
      </c>
      <c r="H224" s="83">
        <v>19369.0</v>
      </c>
      <c r="I224" s="34" t="s">
        <v>183</v>
      </c>
      <c r="J224" s="42" t="s">
        <v>1582</v>
      </c>
      <c r="K224" s="138" t="s">
        <v>1583</v>
      </c>
      <c r="R224" s="67"/>
    </row>
    <row r="225">
      <c r="A225" s="12" t="s">
        <v>90</v>
      </c>
      <c r="B225" s="228" t="s">
        <v>758</v>
      </c>
      <c r="C225" s="74" t="s">
        <v>1281</v>
      </c>
      <c r="D225" s="75">
        <v>0.6805555555555556</v>
      </c>
      <c r="E225" s="241" t="s">
        <v>1584</v>
      </c>
      <c r="F225" s="133">
        <v>7.03606068384032E14</v>
      </c>
      <c r="G225" s="105" t="s">
        <v>1585</v>
      </c>
      <c r="H225" s="166">
        <v>15500.0</v>
      </c>
      <c r="I225" s="34" t="s">
        <v>183</v>
      </c>
      <c r="J225" s="42" t="s">
        <v>1586</v>
      </c>
      <c r="K225" s="42" t="s">
        <v>1587</v>
      </c>
      <c r="R225" s="67"/>
    </row>
    <row r="226">
      <c r="A226" s="12" t="s">
        <v>93</v>
      </c>
      <c r="B226" s="228" t="s">
        <v>758</v>
      </c>
      <c r="C226" s="74" t="s">
        <v>1281</v>
      </c>
      <c r="D226" s="75">
        <v>0.6944444444444444</v>
      </c>
      <c r="E226" s="295" t="s">
        <v>1487</v>
      </c>
      <c r="F226" s="426" t="s">
        <v>1488</v>
      </c>
      <c r="G226" s="105" t="s">
        <v>1489</v>
      </c>
      <c r="H226" s="166">
        <v>21246.0</v>
      </c>
      <c r="I226" s="34" t="s">
        <v>183</v>
      </c>
      <c r="J226" s="42" t="s">
        <v>1588</v>
      </c>
      <c r="K226" s="42" t="s">
        <v>1589</v>
      </c>
      <c r="R226" s="67"/>
    </row>
    <row r="227">
      <c r="J227" s="67"/>
      <c r="K227" s="67"/>
      <c r="R227" s="67"/>
    </row>
    <row r="228">
      <c r="J228" s="67"/>
      <c r="K228" s="67"/>
      <c r="R228" s="67"/>
    </row>
    <row r="229">
      <c r="J229" s="67"/>
      <c r="K229" s="67"/>
      <c r="R229" s="67"/>
    </row>
    <row r="230">
      <c r="A230" s="23" t="s">
        <v>378</v>
      </c>
      <c r="B230" s="2"/>
      <c r="C230" s="2"/>
      <c r="D230" s="2"/>
      <c r="E230" s="2"/>
      <c r="F230" s="2"/>
      <c r="G230" s="2"/>
      <c r="H230" s="2"/>
      <c r="I230" s="2"/>
      <c r="J230" s="2"/>
      <c r="K230" s="3"/>
      <c r="R230" s="67"/>
    </row>
    <row r="231">
      <c r="A231" s="263" t="s">
        <v>1590</v>
      </c>
      <c r="B231" s="2"/>
      <c r="C231" s="2"/>
      <c r="D231" s="2"/>
      <c r="E231" s="2"/>
      <c r="F231" s="2"/>
      <c r="G231" s="2"/>
      <c r="H231" s="2"/>
      <c r="I231" s="2"/>
      <c r="J231" s="2"/>
      <c r="K231" s="3"/>
      <c r="R231" s="67"/>
    </row>
    <row r="232">
      <c r="A232" s="25"/>
      <c r="B232" s="26" t="s">
        <v>3</v>
      </c>
      <c r="C232" s="27" t="s">
        <v>2</v>
      </c>
      <c r="D232" s="28" t="s">
        <v>5</v>
      </c>
      <c r="E232" s="32" t="s">
        <v>19</v>
      </c>
      <c r="F232" s="28" t="s">
        <v>6</v>
      </c>
      <c r="G232" s="28" t="s">
        <v>7</v>
      </c>
      <c r="H232" s="30" t="s">
        <v>8</v>
      </c>
      <c r="I232" s="31" t="s">
        <v>20</v>
      </c>
      <c r="J232" s="32" t="s">
        <v>21</v>
      </c>
      <c r="K232" s="32" t="s">
        <v>22</v>
      </c>
      <c r="R232" s="67"/>
    </row>
    <row r="233">
      <c r="A233" s="12" t="s">
        <v>10</v>
      </c>
      <c r="B233" s="74"/>
      <c r="C233" s="74" t="s">
        <v>1295</v>
      </c>
      <c r="D233" s="75">
        <v>0.5416666666666666</v>
      </c>
      <c r="E233" s="331"/>
      <c r="F233" s="301"/>
      <c r="G233" s="301"/>
      <c r="H233" s="132"/>
      <c r="I233" s="34"/>
      <c r="J233" s="102"/>
      <c r="K233" s="102"/>
      <c r="R233" s="67"/>
    </row>
    <row r="234">
      <c r="A234" s="12" t="s">
        <v>11</v>
      </c>
      <c r="B234" s="74"/>
      <c r="C234" s="74" t="s">
        <v>1295</v>
      </c>
      <c r="D234" s="75">
        <v>0.5555555555555556</v>
      </c>
      <c r="E234" s="411"/>
      <c r="F234" s="412"/>
      <c r="G234" s="413"/>
      <c r="H234" s="414"/>
      <c r="I234" s="34"/>
      <c r="J234" s="42"/>
      <c r="K234" s="42"/>
      <c r="R234" s="67"/>
    </row>
    <row r="235">
      <c r="A235" s="12" t="s">
        <v>12</v>
      </c>
      <c r="B235" s="415"/>
      <c r="C235" s="74" t="s">
        <v>1295</v>
      </c>
      <c r="D235" s="75">
        <v>0.5694444444444444</v>
      </c>
      <c r="E235" s="287"/>
      <c r="F235" s="74"/>
      <c r="G235" s="74"/>
      <c r="H235" s="166"/>
      <c r="I235" s="41"/>
      <c r="J235" s="102"/>
      <c r="K235" s="102"/>
      <c r="N235" s="268" t="s">
        <v>387</v>
      </c>
      <c r="O235" s="100"/>
      <c r="P235" s="100"/>
      <c r="Q235" s="100"/>
      <c r="R235" s="67"/>
    </row>
    <row r="236">
      <c r="A236" s="12" t="s">
        <v>13</v>
      </c>
      <c r="B236" s="74"/>
      <c r="C236" s="74" t="s">
        <v>1295</v>
      </c>
      <c r="D236" s="75">
        <v>0.5833333333333334</v>
      </c>
      <c r="E236" s="416"/>
      <c r="F236" s="76"/>
      <c r="G236" s="417"/>
      <c r="H236" s="418"/>
      <c r="I236" s="34"/>
      <c r="J236" s="102"/>
      <c r="K236" s="102"/>
      <c r="N236" s="270" t="s">
        <v>701</v>
      </c>
      <c r="O236" s="2"/>
      <c r="P236" s="2"/>
      <c r="Q236" s="2"/>
      <c r="R236" s="67"/>
    </row>
    <row r="237">
      <c r="A237" s="12" t="s">
        <v>14</v>
      </c>
      <c r="B237" s="74"/>
      <c r="C237" s="74" t="s">
        <v>1295</v>
      </c>
      <c r="D237" s="75">
        <v>0.5972222222222222</v>
      </c>
      <c r="E237" s="419"/>
      <c r="F237" s="185"/>
      <c r="G237" s="210"/>
      <c r="H237" s="77"/>
      <c r="I237" s="41"/>
      <c r="J237" s="42"/>
      <c r="K237" s="42"/>
      <c r="N237" s="271" t="s">
        <v>183</v>
      </c>
      <c r="O237" s="272" t="s">
        <v>195</v>
      </c>
      <c r="P237" s="272" t="s">
        <v>181</v>
      </c>
      <c r="Q237" s="273" t="s">
        <v>173</v>
      </c>
      <c r="R237" s="67"/>
    </row>
    <row r="238">
      <c r="A238" s="12" t="s">
        <v>15</v>
      </c>
      <c r="B238" s="415"/>
      <c r="C238" s="74" t="s">
        <v>1295</v>
      </c>
      <c r="D238" s="75">
        <v>0.6111111111111112</v>
      </c>
      <c r="E238" s="420"/>
      <c r="F238" s="162"/>
      <c r="G238" s="162"/>
      <c r="H238" s="421"/>
      <c r="I238" s="41"/>
      <c r="J238" s="42"/>
      <c r="K238" s="42"/>
      <c r="N238" s="275">
        <f t="shared" ref="N238:Q238" si="15">COUNTIFS($I$208:$I$223,$N$244)</f>
        <v>0</v>
      </c>
      <c r="O238" s="275">
        <f t="shared" si="15"/>
        <v>0</v>
      </c>
      <c r="P238" s="275">
        <f t="shared" si="15"/>
        <v>0</v>
      </c>
      <c r="Q238" s="275">
        <f t="shared" si="15"/>
        <v>0</v>
      </c>
      <c r="R238" s="67"/>
    </row>
    <row r="239">
      <c r="A239" s="12" t="s">
        <v>16</v>
      </c>
      <c r="B239" s="74"/>
      <c r="C239" s="74" t="s">
        <v>1295</v>
      </c>
      <c r="D239" s="75">
        <v>0.625</v>
      </c>
      <c r="E239" s="245"/>
      <c r="F239" s="162"/>
      <c r="G239" s="162"/>
      <c r="H239" s="163"/>
      <c r="I239" s="41"/>
      <c r="J239" s="102"/>
      <c r="K239" s="102"/>
      <c r="R239" s="67"/>
    </row>
    <row r="240">
      <c r="A240" s="12" t="s">
        <v>17</v>
      </c>
      <c r="B240" s="74"/>
      <c r="C240" s="74" t="s">
        <v>1295</v>
      </c>
      <c r="D240" s="75">
        <v>0.6388888888888888</v>
      </c>
      <c r="E240" s="245"/>
      <c r="F240" s="162"/>
      <c r="G240" s="162"/>
      <c r="H240" s="163"/>
      <c r="I240" s="34"/>
      <c r="J240" s="42"/>
      <c r="K240" s="42"/>
      <c r="R240" s="67"/>
    </row>
    <row r="241">
      <c r="A241" s="12" t="s">
        <v>85</v>
      </c>
      <c r="B241" s="74"/>
      <c r="C241" s="74" t="s">
        <v>1295</v>
      </c>
      <c r="D241" s="75">
        <v>0.6527777777777778</v>
      </c>
      <c r="E241" s="278"/>
      <c r="F241" s="156"/>
      <c r="G241" s="84"/>
      <c r="H241" s="91"/>
      <c r="I241" s="34"/>
      <c r="J241" s="42"/>
      <c r="K241" s="42"/>
      <c r="R241" s="67"/>
    </row>
    <row r="242">
      <c r="A242" s="12" t="s">
        <v>87</v>
      </c>
      <c r="B242" s="74"/>
      <c r="C242" s="74" t="s">
        <v>1295</v>
      </c>
      <c r="D242" s="75">
        <v>0.6666666666666666</v>
      </c>
      <c r="E242" s="245"/>
      <c r="F242" s="133"/>
      <c r="G242" s="84"/>
      <c r="H242" s="166"/>
      <c r="I242" s="34"/>
      <c r="J242" s="42"/>
      <c r="K242" s="42"/>
      <c r="R242" s="67"/>
    </row>
    <row r="243">
      <c r="A243" s="12" t="s">
        <v>90</v>
      </c>
      <c r="B243" s="73"/>
      <c r="C243" s="74" t="s">
        <v>1295</v>
      </c>
      <c r="D243" s="75">
        <v>0.6805555555555556</v>
      </c>
      <c r="E243" s="295"/>
      <c r="G243" s="84"/>
      <c r="H243" s="166"/>
      <c r="I243" s="41"/>
      <c r="J243" s="42"/>
      <c r="K243" s="42"/>
      <c r="R243" s="67"/>
    </row>
    <row r="244">
      <c r="A244" s="12" t="s">
        <v>93</v>
      </c>
      <c r="B244" s="74"/>
      <c r="C244" s="74" t="s">
        <v>1295</v>
      </c>
      <c r="D244" s="75">
        <v>0.6944444444444444</v>
      </c>
      <c r="E244" s="295"/>
      <c r="F244" s="133"/>
      <c r="G244" s="84"/>
      <c r="H244" s="166"/>
      <c r="I244" s="41"/>
      <c r="J244" s="42"/>
      <c r="K244" s="42"/>
      <c r="R244" s="67"/>
    </row>
    <row r="245">
      <c r="J245" s="67"/>
      <c r="K245" s="67"/>
      <c r="R245" s="67"/>
    </row>
    <row r="246">
      <c r="J246" s="67"/>
      <c r="K246" s="67"/>
      <c r="R246" s="67"/>
    </row>
    <row r="247">
      <c r="J247" s="67"/>
      <c r="K247" s="67"/>
      <c r="R247" s="67"/>
    </row>
    <row r="248">
      <c r="J248" s="67"/>
      <c r="K248" s="67"/>
      <c r="R248" s="67"/>
    </row>
    <row r="249">
      <c r="J249" s="67"/>
      <c r="K249" s="67"/>
      <c r="R249" s="67"/>
    </row>
    <row r="250">
      <c r="J250" s="67"/>
      <c r="K250" s="67"/>
      <c r="R250" s="67"/>
    </row>
    <row r="251">
      <c r="J251" s="67"/>
      <c r="K251" s="67"/>
      <c r="R251" s="67"/>
    </row>
    <row r="252">
      <c r="J252" s="67"/>
      <c r="K252" s="67"/>
      <c r="R252" s="67"/>
    </row>
    <row r="253">
      <c r="J253" s="67"/>
      <c r="K253" s="67"/>
      <c r="R253" s="67"/>
    </row>
    <row r="254">
      <c r="J254" s="67"/>
      <c r="K254" s="67"/>
      <c r="R254" s="67"/>
    </row>
    <row r="255">
      <c r="J255" s="67"/>
      <c r="K255" s="67"/>
      <c r="R255" s="67"/>
    </row>
    <row r="256">
      <c r="J256" s="67"/>
      <c r="K256" s="67"/>
      <c r="R256" s="67"/>
    </row>
    <row r="257">
      <c r="J257" s="67"/>
      <c r="K257" s="67"/>
      <c r="R257" s="67"/>
    </row>
    <row r="258">
      <c r="J258" s="67"/>
      <c r="K258" s="67"/>
      <c r="R258" s="67"/>
    </row>
    <row r="259">
      <c r="J259" s="67"/>
      <c r="K259" s="67"/>
      <c r="R259" s="67"/>
    </row>
    <row r="260">
      <c r="J260" s="67"/>
      <c r="K260" s="67"/>
      <c r="R260" s="67"/>
    </row>
    <row r="261">
      <c r="J261" s="67"/>
      <c r="K261" s="67"/>
      <c r="R261" s="67"/>
    </row>
    <row r="262">
      <c r="J262" s="67"/>
      <c r="K262" s="67"/>
      <c r="R262" s="67"/>
    </row>
    <row r="263">
      <c r="J263" s="67"/>
      <c r="K263" s="67"/>
      <c r="R263" s="67"/>
    </row>
    <row r="264">
      <c r="J264" s="67"/>
      <c r="K264" s="67"/>
      <c r="R264" s="67"/>
    </row>
    <row r="265">
      <c r="J265" s="67"/>
      <c r="K265" s="67"/>
      <c r="R265" s="67"/>
    </row>
    <row r="266">
      <c r="J266" s="67"/>
      <c r="K266" s="67"/>
      <c r="R266" s="67"/>
    </row>
    <row r="267">
      <c r="J267" s="67"/>
      <c r="K267" s="67"/>
      <c r="R267" s="67"/>
    </row>
    <row r="268">
      <c r="J268" s="67"/>
      <c r="K268" s="67"/>
      <c r="R268" s="67"/>
    </row>
    <row r="269">
      <c r="J269" s="67"/>
      <c r="K269" s="67"/>
      <c r="R269" s="67"/>
    </row>
    <row r="270">
      <c r="J270" s="67"/>
      <c r="K270" s="67"/>
      <c r="R270" s="67"/>
    </row>
    <row r="271">
      <c r="J271" s="67"/>
      <c r="K271" s="67"/>
      <c r="R271" s="67"/>
    </row>
    <row r="272">
      <c r="J272" s="67"/>
      <c r="K272" s="67"/>
      <c r="R272" s="67"/>
    </row>
    <row r="273">
      <c r="J273" s="67"/>
      <c r="K273" s="67"/>
      <c r="R273" s="67"/>
    </row>
    <row r="274">
      <c r="J274" s="67"/>
      <c r="K274" s="67"/>
      <c r="R274" s="67"/>
    </row>
    <row r="275">
      <c r="J275" s="67"/>
      <c r="K275" s="67"/>
      <c r="R275" s="67"/>
    </row>
    <row r="276">
      <c r="J276" s="67"/>
      <c r="K276" s="67"/>
      <c r="R276" s="67"/>
    </row>
    <row r="277">
      <c r="J277" s="67"/>
      <c r="K277" s="67"/>
      <c r="R277" s="67"/>
    </row>
    <row r="278">
      <c r="J278" s="67"/>
      <c r="K278" s="67"/>
      <c r="R278" s="67"/>
    </row>
    <row r="279">
      <c r="J279" s="67"/>
      <c r="K279" s="67"/>
      <c r="R279" s="67"/>
    </row>
    <row r="280">
      <c r="J280" s="67"/>
      <c r="K280" s="67"/>
      <c r="R280" s="67"/>
    </row>
    <row r="281">
      <c r="J281" s="67"/>
      <c r="K281" s="67"/>
      <c r="R281" s="67"/>
    </row>
    <row r="282">
      <c r="J282" s="67"/>
      <c r="K282" s="67"/>
      <c r="R282" s="67"/>
    </row>
    <row r="283">
      <c r="J283" s="67"/>
      <c r="K283" s="67"/>
      <c r="R283" s="67"/>
    </row>
    <row r="284">
      <c r="J284" s="67"/>
      <c r="K284" s="67"/>
      <c r="R284" s="67"/>
    </row>
    <row r="285">
      <c r="J285" s="67"/>
      <c r="K285" s="67"/>
      <c r="R285" s="67"/>
    </row>
    <row r="286">
      <c r="J286" s="67"/>
      <c r="K286" s="67"/>
      <c r="R286" s="67"/>
    </row>
    <row r="287">
      <c r="J287" s="67"/>
      <c r="K287" s="67"/>
      <c r="R287" s="67"/>
    </row>
    <row r="288">
      <c r="J288" s="67"/>
      <c r="K288" s="67"/>
      <c r="R288" s="67"/>
    </row>
    <row r="289">
      <c r="J289" s="67"/>
      <c r="K289" s="67"/>
      <c r="R289" s="67"/>
    </row>
    <row r="290">
      <c r="J290" s="67"/>
      <c r="K290" s="67"/>
      <c r="R290" s="67"/>
    </row>
    <row r="291">
      <c r="J291" s="67"/>
      <c r="K291" s="67"/>
      <c r="R291" s="67"/>
    </row>
    <row r="292">
      <c r="J292" s="67"/>
      <c r="K292" s="67"/>
      <c r="R292" s="67"/>
    </row>
    <row r="293">
      <c r="J293" s="67"/>
      <c r="K293" s="67"/>
      <c r="R293" s="67"/>
    </row>
    <row r="294">
      <c r="J294" s="67"/>
      <c r="K294" s="67"/>
      <c r="R294" s="67"/>
    </row>
    <row r="295">
      <c r="J295" s="67"/>
      <c r="K295" s="67"/>
      <c r="R295" s="67"/>
    </row>
    <row r="296">
      <c r="J296" s="67"/>
      <c r="K296" s="67"/>
      <c r="R296" s="67"/>
    </row>
    <row r="297">
      <c r="J297" s="67"/>
      <c r="K297" s="67"/>
      <c r="R297" s="67"/>
    </row>
    <row r="298">
      <c r="J298" s="67"/>
      <c r="K298" s="67"/>
      <c r="R298" s="67"/>
    </row>
    <row r="299">
      <c r="J299" s="67"/>
      <c r="K299" s="67"/>
      <c r="R299" s="67"/>
    </row>
    <row r="300">
      <c r="J300" s="67"/>
      <c r="K300" s="67"/>
      <c r="R300" s="67"/>
    </row>
    <row r="301">
      <c r="J301" s="67"/>
      <c r="K301" s="67"/>
      <c r="R301" s="67"/>
    </row>
    <row r="302">
      <c r="J302" s="67"/>
      <c r="K302" s="67"/>
      <c r="R302" s="67"/>
    </row>
    <row r="303">
      <c r="J303" s="67"/>
      <c r="K303" s="67"/>
      <c r="R303" s="67"/>
    </row>
    <row r="304">
      <c r="J304" s="67"/>
      <c r="K304" s="67"/>
      <c r="R304" s="67"/>
    </row>
    <row r="305">
      <c r="J305" s="67"/>
      <c r="K305" s="67"/>
      <c r="R305" s="67"/>
    </row>
    <row r="306">
      <c r="J306" s="67"/>
      <c r="K306" s="67"/>
      <c r="R306" s="67"/>
    </row>
    <row r="307">
      <c r="J307" s="67"/>
      <c r="K307" s="67"/>
      <c r="R307" s="67"/>
    </row>
    <row r="308">
      <c r="J308" s="67"/>
      <c r="K308" s="67"/>
      <c r="R308" s="67"/>
    </row>
    <row r="309">
      <c r="J309" s="67"/>
      <c r="K309" s="67"/>
      <c r="R309" s="67"/>
    </row>
    <row r="310">
      <c r="J310" s="67"/>
      <c r="K310" s="67"/>
      <c r="R310" s="67"/>
    </row>
    <row r="311">
      <c r="J311" s="67"/>
      <c r="K311" s="67"/>
      <c r="R311" s="67"/>
    </row>
    <row r="312">
      <c r="J312" s="67"/>
      <c r="K312" s="67"/>
      <c r="R312" s="67"/>
    </row>
    <row r="313">
      <c r="J313" s="67"/>
      <c r="K313" s="67"/>
      <c r="R313" s="67"/>
    </row>
    <row r="314">
      <c r="J314" s="67"/>
      <c r="K314" s="67"/>
      <c r="R314" s="67"/>
    </row>
    <row r="315">
      <c r="J315" s="67"/>
      <c r="K315" s="67"/>
      <c r="R315" s="67"/>
    </row>
    <row r="316">
      <c r="J316" s="67"/>
      <c r="K316" s="67"/>
      <c r="R316" s="67"/>
    </row>
    <row r="317">
      <c r="J317" s="67"/>
      <c r="K317" s="67"/>
      <c r="R317" s="67"/>
    </row>
    <row r="318">
      <c r="J318" s="67"/>
      <c r="K318" s="67"/>
      <c r="R318" s="67"/>
    </row>
    <row r="319">
      <c r="J319" s="67"/>
      <c r="K319" s="67"/>
      <c r="R319" s="67"/>
    </row>
    <row r="320">
      <c r="J320" s="67"/>
      <c r="K320" s="67"/>
      <c r="R320" s="67"/>
    </row>
    <row r="321">
      <c r="J321" s="67"/>
      <c r="K321" s="67"/>
      <c r="R321" s="67"/>
    </row>
    <row r="322">
      <c r="J322" s="67"/>
      <c r="K322" s="67"/>
      <c r="R322" s="67"/>
    </row>
    <row r="323">
      <c r="J323" s="67"/>
      <c r="K323" s="67"/>
      <c r="R323" s="67"/>
    </row>
    <row r="324">
      <c r="J324" s="67"/>
      <c r="K324" s="67"/>
      <c r="R324" s="67"/>
    </row>
    <row r="325">
      <c r="J325" s="67"/>
      <c r="K325" s="67"/>
      <c r="R325" s="67"/>
    </row>
    <row r="326">
      <c r="J326" s="67"/>
      <c r="K326" s="67"/>
      <c r="R326" s="67"/>
    </row>
    <row r="327">
      <c r="J327" s="67"/>
      <c r="K327" s="67"/>
      <c r="R327" s="67"/>
    </row>
    <row r="328">
      <c r="J328" s="67"/>
      <c r="K328" s="67"/>
      <c r="R328" s="67"/>
    </row>
    <row r="329">
      <c r="J329" s="67"/>
      <c r="K329" s="67"/>
      <c r="R329" s="67"/>
    </row>
    <row r="330">
      <c r="J330" s="67"/>
      <c r="K330" s="67"/>
      <c r="R330" s="67"/>
    </row>
    <row r="331">
      <c r="J331" s="67"/>
      <c r="K331" s="67"/>
      <c r="R331" s="67"/>
    </row>
    <row r="332">
      <c r="J332" s="67"/>
      <c r="K332" s="67"/>
      <c r="R332" s="67"/>
    </row>
    <row r="333">
      <c r="J333" s="67"/>
      <c r="K333" s="67"/>
      <c r="R333" s="67"/>
    </row>
    <row r="334">
      <c r="J334" s="67"/>
      <c r="K334" s="67"/>
      <c r="R334" s="67"/>
    </row>
    <row r="335">
      <c r="J335" s="67"/>
      <c r="K335" s="67"/>
      <c r="R335" s="67"/>
    </row>
    <row r="336">
      <c r="J336" s="67"/>
      <c r="K336" s="67"/>
      <c r="R336" s="67"/>
    </row>
    <row r="337">
      <c r="J337" s="67"/>
      <c r="K337" s="67"/>
      <c r="R337" s="67"/>
    </row>
    <row r="338">
      <c r="J338" s="67"/>
      <c r="K338" s="67"/>
      <c r="R338" s="67"/>
    </row>
    <row r="339">
      <c r="J339" s="67"/>
      <c r="K339" s="67"/>
      <c r="R339" s="67"/>
    </row>
    <row r="340">
      <c r="J340" s="67"/>
      <c r="K340" s="67"/>
      <c r="R340" s="67"/>
    </row>
    <row r="341">
      <c r="J341" s="67"/>
      <c r="K341" s="67"/>
      <c r="R341" s="67"/>
    </row>
    <row r="342">
      <c r="J342" s="67"/>
      <c r="K342" s="67"/>
      <c r="R342" s="67"/>
    </row>
    <row r="343">
      <c r="J343" s="67"/>
      <c r="K343" s="67"/>
      <c r="R343" s="67"/>
    </row>
    <row r="344">
      <c r="J344" s="67"/>
      <c r="K344" s="67"/>
      <c r="R344" s="67"/>
    </row>
    <row r="345">
      <c r="J345" s="67"/>
      <c r="K345" s="67"/>
      <c r="R345" s="67"/>
    </row>
    <row r="346">
      <c r="J346" s="67"/>
      <c r="K346" s="67"/>
      <c r="R346" s="67"/>
    </row>
    <row r="347">
      <c r="J347" s="67"/>
      <c r="K347" s="67"/>
      <c r="R347" s="67"/>
    </row>
    <row r="348">
      <c r="J348" s="67"/>
      <c r="K348" s="67"/>
      <c r="R348" s="67"/>
    </row>
    <row r="349">
      <c r="J349" s="67"/>
      <c r="K349" s="67"/>
      <c r="R349" s="67"/>
    </row>
    <row r="350">
      <c r="J350" s="67"/>
      <c r="K350" s="67"/>
      <c r="R350" s="67"/>
    </row>
    <row r="351">
      <c r="J351" s="67"/>
      <c r="K351" s="67"/>
      <c r="R351" s="67"/>
    </row>
    <row r="352">
      <c r="J352" s="67"/>
      <c r="K352" s="67"/>
      <c r="R352" s="67"/>
    </row>
    <row r="353">
      <c r="J353" s="67"/>
      <c r="K353" s="67"/>
      <c r="R353" s="67"/>
    </row>
    <row r="354">
      <c r="J354" s="67"/>
      <c r="K354" s="67"/>
      <c r="R354" s="67"/>
    </row>
    <row r="355">
      <c r="J355" s="67"/>
      <c r="K355" s="67"/>
      <c r="R355" s="67"/>
    </row>
    <row r="356">
      <c r="J356" s="67"/>
      <c r="K356" s="67"/>
      <c r="R356" s="67"/>
    </row>
    <row r="357">
      <c r="J357" s="67"/>
      <c r="K357" s="67"/>
      <c r="R357" s="67"/>
    </row>
    <row r="358">
      <c r="J358" s="67"/>
      <c r="K358" s="67"/>
      <c r="R358" s="67"/>
    </row>
    <row r="359">
      <c r="J359" s="67"/>
      <c r="K359" s="67"/>
      <c r="R359" s="67"/>
    </row>
    <row r="360">
      <c r="J360" s="67"/>
      <c r="K360" s="67"/>
      <c r="R360" s="67"/>
    </row>
    <row r="361">
      <c r="J361" s="67"/>
      <c r="K361" s="67"/>
      <c r="R361" s="67"/>
    </row>
    <row r="362">
      <c r="J362" s="67"/>
      <c r="K362" s="67"/>
      <c r="R362" s="67"/>
    </row>
    <row r="363">
      <c r="J363" s="67"/>
      <c r="K363" s="67"/>
      <c r="R363" s="67"/>
    </row>
    <row r="364">
      <c r="J364" s="67"/>
      <c r="K364" s="67"/>
      <c r="R364" s="67"/>
    </row>
    <row r="365">
      <c r="J365" s="67"/>
      <c r="K365" s="67"/>
      <c r="R365" s="67"/>
    </row>
    <row r="366">
      <c r="J366" s="67"/>
      <c r="K366" s="67"/>
      <c r="R366" s="67"/>
    </row>
    <row r="367">
      <c r="J367" s="67"/>
      <c r="K367" s="67"/>
      <c r="R367" s="67"/>
    </row>
    <row r="368">
      <c r="J368" s="67"/>
      <c r="K368" s="67"/>
      <c r="R368" s="67"/>
    </row>
    <row r="369">
      <c r="J369" s="67"/>
      <c r="K369" s="67"/>
      <c r="R369" s="67"/>
    </row>
    <row r="370">
      <c r="J370" s="67"/>
      <c r="K370" s="67"/>
      <c r="R370" s="67"/>
    </row>
    <row r="371">
      <c r="J371" s="67"/>
      <c r="K371" s="67"/>
      <c r="R371" s="67"/>
    </row>
    <row r="372">
      <c r="J372" s="67"/>
      <c r="K372" s="67"/>
      <c r="R372" s="67"/>
    </row>
    <row r="373">
      <c r="J373" s="67"/>
      <c r="K373" s="67"/>
      <c r="R373" s="67"/>
    </row>
    <row r="374">
      <c r="J374" s="67"/>
      <c r="K374" s="67"/>
      <c r="R374" s="67"/>
    </row>
    <row r="375">
      <c r="J375" s="67"/>
      <c r="K375" s="67"/>
      <c r="R375" s="67"/>
    </row>
    <row r="376">
      <c r="J376" s="67"/>
      <c r="K376" s="67"/>
      <c r="R376" s="67"/>
    </row>
    <row r="377">
      <c r="J377" s="67"/>
      <c r="K377" s="67"/>
      <c r="R377" s="67"/>
    </row>
    <row r="378">
      <c r="J378" s="67"/>
      <c r="K378" s="67"/>
      <c r="R378" s="67"/>
    </row>
    <row r="379">
      <c r="J379" s="67"/>
      <c r="K379" s="67"/>
      <c r="R379" s="67"/>
    </row>
    <row r="380">
      <c r="J380" s="67"/>
      <c r="K380" s="67"/>
      <c r="R380" s="67"/>
    </row>
    <row r="381">
      <c r="J381" s="67"/>
      <c r="K381" s="67"/>
      <c r="R381" s="67"/>
    </row>
    <row r="382">
      <c r="J382" s="67"/>
      <c r="K382" s="67"/>
      <c r="R382" s="67"/>
    </row>
    <row r="383">
      <c r="J383" s="67"/>
      <c r="K383" s="67"/>
      <c r="R383" s="67"/>
    </row>
    <row r="384">
      <c r="J384" s="67"/>
      <c r="K384" s="67"/>
      <c r="R384" s="67"/>
    </row>
    <row r="385">
      <c r="J385" s="67"/>
      <c r="K385" s="67"/>
      <c r="R385" s="67"/>
    </row>
    <row r="386">
      <c r="J386" s="67"/>
      <c r="K386" s="67"/>
      <c r="R386" s="67"/>
    </row>
    <row r="387">
      <c r="J387" s="67"/>
      <c r="K387" s="67"/>
      <c r="R387" s="67"/>
    </row>
    <row r="388">
      <c r="J388" s="67"/>
      <c r="K388" s="67"/>
      <c r="R388" s="67"/>
    </row>
    <row r="389">
      <c r="J389" s="67"/>
      <c r="K389" s="67"/>
      <c r="R389" s="67"/>
    </row>
    <row r="390">
      <c r="J390" s="67"/>
      <c r="K390" s="67"/>
      <c r="R390" s="67"/>
    </row>
    <row r="391">
      <c r="J391" s="67"/>
      <c r="K391" s="67"/>
      <c r="R391" s="67"/>
    </row>
    <row r="392">
      <c r="J392" s="67"/>
      <c r="K392" s="67"/>
      <c r="R392" s="67"/>
    </row>
    <row r="393">
      <c r="J393" s="67"/>
      <c r="K393" s="67"/>
      <c r="R393" s="67"/>
    </row>
    <row r="394">
      <c r="J394" s="67"/>
      <c r="K394" s="67"/>
      <c r="R394" s="67"/>
    </row>
    <row r="395">
      <c r="J395" s="67"/>
      <c r="K395" s="67"/>
      <c r="R395" s="67"/>
    </row>
    <row r="396">
      <c r="J396" s="67"/>
      <c r="K396" s="67"/>
      <c r="R396" s="67"/>
    </row>
    <row r="397">
      <c r="J397" s="67"/>
      <c r="K397" s="67"/>
      <c r="R397" s="67"/>
    </row>
    <row r="398">
      <c r="J398" s="67"/>
      <c r="K398" s="67"/>
      <c r="R398" s="67"/>
    </row>
    <row r="399">
      <c r="J399" s="67"/>
      <c r="K399" s="67"/>
      <c r="R399" s="67"/>
    </row>
    <row r="400">
      <c r="J400" s="67"/>
      <c r="K400" s="67"/>
      <c r="R400" s="67"/>
    </row>
    <row r="401">
      <c r="J401" s="67"/>
      <c r="K401" s="67"/>
      <c r="R401" s="67"/>
    </row>
    <row r="402">
      <c r="J402" s="67"/>
      <c r="K402" s="67"/>
      <c r="R402" s="67"/>
    </row>
    <row r="403">
      <c r="J403" s="67"/>
      <c r="K403" s="67"/>
      <c r="R403" s="67"/>
    </row>
    <row r="404">
      <c r="J404" s="67"/>
      <c r="K404" s="67"/>
      <c r="R404" s="67"/>
    </row>
    <row r="405">
      <c r="J405" s="67"/>
      <c r="K405" s="67"/>
      <c r="R405" s="67"/>
    </row>
    <row r="406">
      <c r="J406" s="67"/>
      <c r="K406" s="67"/>
      <c r="R406" s="67"/>
    </row>
    <row r="407">
      <c r="J407" s="67"/>
      <c r="K407" s="67"/>
      <c r="R407" s="67"/>
    </row>
    <row r="408">
      <c r="J408" s="67"/>
      <c r="K408" s="67"/>
      <c r="R408" s="67"/>
    </row>
    <row r="409">
      <c r="J409" s="67"/>
      <c r="K409" s="67"/>
      <c r="R409" s="67"/>
    </row>
    <row r="410">
      <c r="J410" s="67"/>
      <c r="K410" s="67"/>
      <c r="R410" s="67"/>
    </row>
    <row r="411">
      <c r="J411" s="67"/>
      <c r="K411" s="67"/>
      <c r="R411" s="67"/>
    </row>
    <row r="412">
      <c r="J412" s="67"/>
      <c r="K412" s="67"/>
      <c r="R412" s="67"/>
    </row>
    <row r="413">
      <c r="J413" s="67"/>
      <c r="K413" s="67"/>
      <c r="R413" s="67"/>
    </row>
    <row r="414">
      <c r="J414" s="67"/>
      <c r="K414" s="67"/>
      <c r="R414" s="67"/>
    </row>
    <row r="415">
      <c r="J415" s="67"/>
      <c r="K415" s="67"/>
      <c r="R415" s="67"/>
    </row>
    <row r="416">
      <c r="J416" s="67"/>
      <c r="K416" s="67"/>
      <c r="R416" s="67"/>
    </row>
    <row r="417">
      <c r="J417" s="67"/>
      <c r="K417" s="67"/>
      <c r="R417" s="67"/>
    </row>
    <row r="418">
      <c r="J418" s="67"/>
      <c r="K418" s="67"/>
      <c r="R418" s="67"/>
    </row>
    <row r="419">
      <c r="J419" s="67"/>
      <c r="K419" s="67"/>
      <c r="R419" s="67"/>
    </row>
    <row r="420">
      <c r="J420" s="67"/>
      <c r="K420" s="67"/>
      <c r="R420" s="67"/>
    </row>
    <row r="421">
      <c r="J421" s="67"/>
      <c r="K421" s="67"/>
      <c r="R421" s="67"/>
    </row>
    <row r="422">
      <c r="J422" s="67"/>
      <c r="K422" s="67"/>
      <c r="R422" s="67"/>
    </row>
    <row r="423">
      <c r="J423" s="67"/>
      <c r="K423" s="67"/>
      <c r="R423" s="67"/>
    </row>
    <row r="424">
      <c r="J424" s="67"/>
      <c r="K424" s="67"/>
      <c r="R424" s="67"/>
    </row>
    <row r="425">
      <c r="J425" s="67"/>
      <c r="K425" s="67"/>
      <c r="R425" s="67"/>
    </row>
    <row r="426">
      <c r="J426" s="67"/>
      <c r="K426" s="67"/>
      <c r="R426" s="67"/>
    </row>
    <row r="427">
      <c r="J427" s="67"/>
      <c r="K427" s="67"/>
      <c r="R427" s="67"/>
    </row>
    <row r="428">
      <c r="J428" s="67"/>
      <c r="K428" s="67"/>
      <c r="R428" s="67"/>
    </row>
    <row r="429">
      <c r="J429" s="67"/>
      <c r="K429" s="67"/>
      <c r="R429" s="67"/>
    </row>
    <row r="430">
      <c r="J430" s="67"/>
      <c r="K430" s="67"/>
      <c r="R430" s="67"/>
    </row>
    <row r="431">
      <c r="J431" s="67"/>
      <c r="K431" s="67"/>
      <c r="R431" s="67"/>
    </row>
    <row r="432">
      <c r="J432" s="67"/>
      <c r="K432" s="67"/>
      <c r="R432" s="67"/>
    </row>
    <row r="433">
      <c r="J433" s="67"/>
      <c r="K433" s="67"/>
      <c r="R433" s="67"/>
    </row>
    <row r="434">
      <c r="J434" s="67"/>
      <c r="K434" s="67"/>
      <c r="R434" s="67"/>
    </row>
    <row r="435">
      <c r="J435" s="67"/>
      <c r="K435" s="67"/>
      <c r="R435" s="67"/>
    </row>
    <row r="436">
      <c r="J436" s="67"/>
      <c r="K436" s="67"/>
      <c r="R436" s="67"/>
    </row>
    <row r="437">
      <c r="J437" s="67"/>
      <c r="K437" s="67"/>
      <c r="R437" s="67"/>
    </row>
    <row r="438">
      <c r="J438" s="67"/>
      <c r="K438" s="67"/>
      <c r="R438" s="67"/>
    </row>
    <row r="439">
      <c r="J439" s="67"/>
      <c r="K439" s="67"/>
      <c r="R439" s="67"/>
    </row>
    <row r="440">
      <c r="J440" s="67"/>
      <c r="K440" s="67"/>
      <c r="R440" s="67"/>
    </row>
    <row r="441">
      <c r="J441" s="67"/>
      <c r="K441" s="67"/>
      <c r="R441" s="67"/>
    </row>
    <row r="442">
      <c r="J442" s="67"/>
      <c r="K442" s="67"/>
      <c r="R442" s="67"/>
    </row>
    <row r="443">
      <c r="J443" s="67"/>
      <c r="K443" s="67"/>
      <c r="R443" s="67"/>
    </row>
    <row r="444">
      <c r="J444" s="67"/>
      <c r="K444" s="67"/>
      <c r="R444" s="67"/>
    </row>
    <row r="445">
      <c r="J445" s="67"/>
      <c r="K445" s="67"/>
      <c r="R445" s="67"/>
    </row>
    <row r="446">
      <c r="J446" s="67"/>
      <c r="K446" s="67"/>
      <c r="R446" s="67"/>
    </row>
    <row r="447">
      <c r="J447" s="67"/>
      <c r="K447" s="67"/>
      <c r="R447" s="67"/>
    </row>
    <row r="448">
      <c r="J448" s="67"/>
      <c r="K448" s="67"/>
      <c r="R448" s="67"/>
    </row>
    <row r="449">
      <c r="J449" s="67"/>
      <c r="K449" s="67"/>
      <c r="R449" s="67"/>
    </row>
    <row r="450">
      <c r="J450" s="67"/>
      <c r="K450" s="67"/>
      <c r="R450" s="67"/>
    </row>
    <row r="451">
      <c r="J451" s="67"/>
      <c r="K451" s="67"/>
      <c r="R451" s="67"/>
    </row>
    <row r="452">
      <c r="J452" s="67"/>
      <c r="K452" s="67"/>
      <c r="R452" s="67"/>
    </row>
    <row r="453">
      <c r="J453" s="67"/>
      <c r="K453" s="67"/>
      <c r="R453" s="67"/>
    </row>
    <row r="454">
      <c r="J454" s="67"/>
      <c r="K454" s="67"/>
      <c r="R454" s="67"/>
    </row>
    <row r="455">
      <c r="J455" s="67"/>
      <c r="K455" s="67"/>
      <c r="R455" s="67"/>
    </row>
    <row r="456">
      <c r="J456" s="67"/>
      <c r="K456" s="67"/>
      <c r="R456" s="67"/>
    </row>
    <row r="457">
      <c r="J457" s="67"/>
      <c r="K457" s="67"/>
      <c r="R457" s="67"/>
    </row>
    <row r="458">
      <c r="J458" s="67"/>
      <c r="K458" s="67"/>
      <c r="R458" s="67"/>
    </row>
    <row r="459">
      <c r="J459" s="67"/>
      <c r="K459" s="67"/>
      <c r="R459" s="67"/>
    </row>
    <row r="460">
      <c r="J460" s="67"/>
      <c r="K460" s="67"/>
      <c r="R460" s="67"/>
    </row>
    <row r="461">
      <c r="J461" s="67"/>
      <c r="K461" s="67"/>
      <c r="R461" s="67"/>
    </row>
    <row r="462">
      <c r="J462" s="67"/>
      <c r="K462" s="67"/>
      <c r="R462" s="67"/>
    </row>
    <row r="463">
      <c r="J463" s="67"/>
      <c r="K463" s="67"/>
      <c r="R463" s="67"/>
    </row>
    <row r="464">
      <c r="J464" s="67"/>
      <c r="K464" s="67"/>
      <c r="R464" s="67"/>
    </row>
    <row r="465">
      <c r="J465" s="67"/>
      <c r="K465" s="67"/>
      <c r="R465" s="67"/>
    </row>
    <row r="466">
      <c r="J466" s="67"/>
      <c r="K466" s="67"/>
      <c r="R466" s="67"/>
    </row>
    <row r="467">
      <c r="J467" s="67"/>
      <c r="K467" s="67"/>
      <c r="R467" s="67"/>
    </row>
    <row r="468">
      <c r="J468" s="67"/>
      <c r="K468" s="67"/>
      <c r="R468" s="67"/>
    </row>
    <row r="469">
      <c r="J469" s="67"/>
      <c r="K469" s="67"/>
      <c r="R469" s="67"/>
    </row>
    <row r="470">
      <c r="J470" s="67"/>
      <c r="K470" s="67"/>
      <c r="R470" s="67"/>
    </row>
    <row r="471">
      <c r="J471" s="67"/>
      <c r="K471" s="67"/>
      <c r="R471" s="67"/>
    </row>
    <row r="472">
      <c r="J472" s="67"/>
      <c r="K472" s="67"/>
      <c r="R472" s="67"/>
    </row>
    <row r="473">
      <c r="J473" s="67"/>
      <c r="K473" s="67"/>
      <c r="R473" s="67"/>
    </row>
    <row r="474">
      <c r="J474" s="67"/>
      <c r="K474" s="67"/>
      <c r="R474" s="67"/>
    </row>
    <row r="475">
      <c r="J475" s="67"/>
      <c r="K475" s="67"/>
      <c r="R475" s="67"/>
    </row>
    <row r="476">
      <c r="J476" s="67"/>
      <c r="K476" s="67"/>
      <c r="R476" s="67"/>
    </row>
    <row r="477">
      <c r="J477" s="67"/>
      <c r="K477" s="67"/>
      <c r="R477" s="67"/>
    </row>
    <row r="478">
      <c r="J478" s="67"/>
      <c r="K478" s="67"/>
      <c r="R478" s="67"/>
    </row>
    <row r="479">
      <c r="J479" s="67"/>
      <c r="K479" s="67"/>
      <c r="R479" s="67"/>
    </row>
    <row r="480">
      <c r="J480" s="67"/>
      <c r="K480" s="67"/>
      <c r="R480" s="67"/>
    </row>
    <row r="481">
      <c r="J481" s="67"/>
      <c r="K481" s="67"/>
      <c r="R481" s="67"/>
    </row>
    <row r="482">
      <c r="J482" s="67"/>
      <c r="K482" s="67"/>
      <c r="R482" s="67"/>
    </row>
    <row r="483">
      <c r="J483" s="67"/>
      <c r="K483" s="67"/>
      <c r="R483" s="67"/>
    </row>
    <row r="484">
      <c r="J484" s="67"/>
      <c r="K484" s="67"/>
      <c r="R484" s="67"/>
    </row>
    <row r="485">
      <c r="J485" s="67"/>
      <c r="K485" s="67"/>
      <c r="R485" s="67"/>
    </row>
    <row r="486">
      <c r="J486" s="67"/>
      <c r="K486" s="67"/>
      <c r="R486" s="67"/>
    </row>
    <row r="487">
      <c r="J487" s="67"/>
      <c r="K487" s="67"/>
      <c r="R487" s="67"/>
    </row>
    <row r="488">
      <c r="J488" s="67"/>
      <c r="K488" s="67"/>
      <c r="R488" s="67"/>
    </row>
    <row r="489">
      <c r="J489" s="67"/>
      <c r="K489" s="67"/>
      <c r="R489" s="67"/>
    </row>
    <row r="490">
      <c r="J490" s="67"/>
      <c r="K490" s="67"/>
      <c r="R490" s="67"/>
    </row>
    <row r="491">
      <c r="J491" s="67"/>
      <c r="K491" s="67"/>
      <c r="R491" s="67"/>
    </row>
    <row r="492">
      <c r="J492" s="67"/>
      <c r="K492" s="67"/>
      <c r="R492" s="67"/>
    </row>
    <row r="493">
      <c r="J493" s="67"/>
      <c r="K493" s="67"/>
      <c r="R493" s="67"/>
    </row>
    <row r="494">
      <c r="J494" s="67"/>
      <c r="K494" s="67"/>
      <c r="R494" s="67"/>
    </row>
    <row r="495">
      <c r="J495" s="67"/>
      <c r="K495" s="67"/>
      <c r="R495" s="67"/>
    </row>
    <row r="496">
      <c r="J496" s="67"/>
      <c r="K496" s="67"/>
      <c r="R496" s="67"/>
    </row>
    <row r="497">
      <c r="J497" s="67"/>
      <c r="K497" s="67"/>
      <c r="R497" s="67"/>
    </row>
    <row r="498">
      <c r="J498" s="67"/>
      <c r="K498" s="67"/>
      <c r="R498" s="67"/>
    </row>
    <row r="499">
      <c r="J499" s="67"/>
      <c r="K499" s="67"/>
      <c r="R499" s="67"/>
    </row>
    <row r="500">
      <c r="J500" s="67"/>
      <c r="K500" s="67"/>
      <c r="R500" s="67"/>
    </row>
    <row r="501">
      <c r="J501" s="67"/>
      <c r="K501" s="67"/>
      <c r="R501" s="67"/>
    </row>
    <row r="502">
      <c r="J502" s="67"/>
      <c r="K502" s="67"/>
      <c r="R502" s="67"/>
    </row>
    <row r="503">
      <c r="J503" s="67"/>
      <c r="K503" s="67"/>
      <c r="R503" s="67"/>
    </row>
    <row r="504">
      <c r="J504" s="67"/>
      <c r="K504" s="67"/>
      <c r="R504" s="67"/>
    </row>
    <row r="505">
      <c r="J505" s="67"/>
      <c r="K505" s="67"/>
      <c r="R505" s="67"/>
    </row>
    <row r="506">
      <c r="J506" s="67"/>
      <c r="K506" s="67"/>
      <c r="R506" s="67"/>
    </row>
    <row r="507">
      <c r="J507" s="67"/>
      <c r="K507" s="67"/>
      <c r="R507" s="67"/>
    </row>
    <row r="508">
      <c r="J508" s="67"/>
      <c r="K508" s="67"/>
      <c r="R508" s="67"/>
    </row>
    <row r="509">
      <c r="J509" s="67"/>
      <c r="K509" s="67"/>
      <c r="R509" s="67"/>
    </row>
    <row r="510">
      <c r="J510" s="67"/>
      <c r="K510" s="67"/>
      <c r="R510" s="67"/>
    </row>
    <row r="511">
      <c r="J511" s="67"/>
      <c r="K511" s="67"/>
      <c r="R511" s="67"/>
    </row>
    <row r="512">
      <c r="J512" s="67"/>
      <c r="K512" s="67"/>
      <c r="R512" s="67"/>
    </row>
    <row r="513">
      <c r="J513" s="67"/>
      <c r="K513" s="67"/>
      <c r="R513" s="67"/>
    </row>
    <row r="514">
      <c r="J514" s="67"/>
      <c r="K514" s="67"/>
      <c r="R514" s="67"/>
    </row>
    <row r="515">
      <c r="J515" s="67"/>
      <c r="K515" s="67"/>
      <c r="R515" s="67"/>
    </row>
    <row r="516">
      <c r="J516" s="67"/>
      <c r="K516" s="67"/>
      <c r="R516" s="67"/>
    </row>
    <row r="517">
      <c r="J517" s="67"/>
      <c r="K517" s="67"/>
      <c r="R517" s="67"/>
    </row>
    <row r="518">
      <c r="J518" s="67"/>
      <c r="K518" s="67"/>
      <c r="R518" s="67"/>
    </row>
    <row r="519">
      <c r="J519" s="67"/>
      <c r="K519" s="67"/>
      <c r="R519" s="67"/>
    </row>
    <row r="520">
      <c r="J520" s="67"/>
      <c r="K520" s="67"/>
      <c r="R520" s="67"/>
    </row>
    <row r="521">
      <c r="J521" s="67"/>
      <c r="K521" s="67"/>
      <c r="R521" s="67"/>
    </row>
    <row r="522">
      <c r="J522" s="67"/>
      <c r="K522" s="67"/>
      <c r="R522" s="67"/>
    </row>
    <row r="523">
      <c r="J523" s="67"/>
      <c r="K523" s="67"/>
      <c r="R523" s="67"/>
    </row>
    <row r="524">
      <c r="J524" s="67"/>
      <c r="K524" s="67"/>
      <c r="R524" s="67"/>
    </row>
    <row r="525">
      <c r="J525" s="67"/>
      <c r="K525" s="67"/>
      <c r="R525" s="67"/>
    </row>
    <row r="526">
      <c r="J526" s="67"/>
      <c r="K526" s="67"/>
      <c r="R526" s="67"/>
    </row>
    <row r="527">
      <c r="J527" s="67"/>
      <c r="K527" s="67"/>
      <c r="R527" s="67"/>
    </row>
    <row r="528">
      <c r="J528" s="67"/>
      <c r="K528" s="67"/>
      <c r="R528" s="67"/>
    </row>
    <row r="529">
      <c r="J529" s="67"/>
      <c r="K529" s="67"/>
      <c r="R529" s="67"/>
    </row>
    <row r="530">
      <c r="J530" s="67"/>
      <c r="K530" s="67"/>
      <c r="R530" s="67"/>
    </row>
    <row r="531">
      <c r="J531" s="67"/>
      <c r="K531" s="67"/>
      <c r="R531" s="67"/>
    </row>
    <row r="532">
      <c r="J532" s="67"/>
      <c r="K532" s="67"/>
      <c r="R532" s="67"/>
    </row>
    <row r="533">
      <c r="J533" s="67"/>
      <c r="K533" s="67"/>
      <c r="R533" s="67"/>
    </row>
    <row r="534">
      <c r="J534" s="67"/>
      <c r="K534" s="67"/>
      <c r="R534" s="67"/>
    </row>
    <row r="535">
      <c r="J535" s="67"/>
      <c r="K535" s="67"/>
      <c r="R535" s="67"/>
    </row>
    <row r="536">
      <c r="J536" s="67"/>
      <c r="K536" s="67"/>
      <c r="R536" s="67"/>
    </row>
    <row r="537">
      <c r="J537" s="67"/>
      <c r="K537" s="67"/>
      <c r="R537" s="67"/>
    </row>
    <row r="538">
      <c r="J538" s="67"/>
      <c r="K538" s="67"/>
      <c r="R538" s="67"/>
    </row>
    <row r="539">
      <c r="J539" s="67"/>
      <c r="K539" s="67"/>
      <c r="R539" s="67"/>
    </row>
    <row r="540">
      <c r="J540" s="67"/>
      <c r="K540" s="67"/>
      <c r="R540" s="67"/>
    </row>
    <row r="541">
      <c r="J541" s="67"/>
      <c r="K541" s="67"/>
      <c r="R541" s="67"/>
    </row>
    <row r="542">
      <c r="J542" s="67"/>
      <c r="K542" s="67"/>
      <c r="R542" s="67"/>
    </row>
    <row r="543">
      <c r="J543" s="67"/>
      <c r="K543" s="67"/>
      <c r="R543" s="67"/>
    </row>
    <row r="544">
      <c r="J544" s="67"/>
      <c r="K544" s="67"/>
      <c r="R544" s="67"/>
    </row>
    <row r="545">
      <c r="J545" s="67"/>
      <c r="K545" s="67"/>
      <c r="R545" s="67"/>
    </row>
    <row r="546">
      <c r="J546" s="67"/>
      <c r="K546" s="67"/>
      <c r="R546" s="67"/>
    </row>
    <row r="547">
      <c r="J547" s="67"/>
      <c r="K547" s="67"/>
      <c r="R547" s="67"/>
    </row>
    <row r="548">
      <c r="J548" s="67"/>
      <c r="K548" s="67"/>
      <c r="R548" s="67"/>
    </row>
    <row r="549">
      <c r="J549" s="67"/>
      <c r="K549" s="67"/>
      <c r="R549" s="67"/>
    </row>
    <row r="550">
      <c r="J550" s="67"/>
      <c r="K550" s="67"/>
      <c r="R550" s="67"/>
    </row>
    <row r="551">
      <c r="J551" s="67"/>
      <c r="K551" s="67"/>
      <c r="R551" s="67"/>
    </row>
    <row r="552">
      <c r="J552" s="67"/>
      <c r="K552" s="67"/>
      <c r="R552" s="67"/>
    </row>
    <row r="553">
      <c r="J553" s="67"/>
      <c r="K553" s="67"/>
      <c r="R553" s="67"/>
    </row>
    <row r="554">
      <c r="J554" s="67"/>
      <c r="K554" s="67"/>
      <c r="R554" s="67"/>
    </row>
    <row r="555">
      <c r="J555" s="67"/>
      <c r="K555" s="67"/>
      <c r="R555" s="67"/>
    </row>
    <row r="556">
      <c r="J556" s="67"/>
      <c r="K556" s="67"/>
      <c r="R556" s="67"/>
    </row>
    <row r="557">
      <c r="J557" s="67"/>
      <c r="K557" s="67"/>
      <c r="R557" s="67"/>
    </row>
    <row r="558">
      <c r="J558" s="67"/>
      <c r="K558" s="67"/>
      <c r="R558" s="67"/>
    </row>
    <row r="559">
      <c r="J559" s="67"/>
      <c r="K559" s="67"/>
      <c r="R559" s="67"/>
    </row>
    <row r="560">
      <c r="J560" s="67"/>
      <c r="K560" s="67"/>
      <c r="R560" s="67"/>
    </row>
    <row r="561">
      <c r="J561" s="67"/>
      <c r="K561" s="67"/>
      <c r="R561" s="67"/>
    </row>
    <row r="562">
      <c r="J562" s="67"/>
      <c r="K562" s="67"/>
      <c r="R562" s="67"/>
    </row>
    <row r="563">
      <c r="J563" s="67"/>
      <c r="K563" s="67"/>
      <c r="R563" s="67"/>
    </row>
    <row r="564">
      <c r="J564" s="67"/>
      <c r="K564" s="67"/>
      <c r="R564" s="67"/>
    </row>
    <row r="565">
      <c r="J565" s="67"/>
      <c r="K565" s="67"/>
      <c r="R565" s="67"/>
    </row>
    <row r="566">
      <c r="J566" s="67"/>
      <c r="K566" s="67"/>
      <c r="R566" s="67"/>
    </row>
    <row r="567">
      <c r="J567" s="67"/>
      <c r="K567" s="67"/>
      <c r="R567" s="67"/>
    </row>
    <row r="568">
      <c r="J568" s="67"/>
      <c r="K568" s="67"/>
      <c r="R568" s="67"/>
    </row>
    <row r="569">
      <c r="J569" s="67"/>
      <c r="K569" s="67"/>
      <c r="R569" s="67"/>
    </row>
    <row r="570">
      <c r="J570" s="67"/>
      <c r="K570" s="67"/>
      <c r="R570" s="67"/>
    </row>
    <row r="571">
      <c r="J571" s="67"/>
      <c r="K571" s="67"/>
      <c r="R571" s="67"/>
    </row>
    <row r="572">
      <c r="J572" s="67"/>
      <c r="K572" s="67"/>
      <c r="R572" s="67"/>
    </row>
    <row r="573">
      <c r="J573" s="67"/>
      <c r="K573" s="67"/>
      <c r="R573" s="67"/>
    </row>
    <row r="574">
      <c r="J574" s="67"/>
      <c r="K574" s="67"/>
      <c r="R574" s="67"/>
    </row>
    <row r="575">
      <c r="J575" s="67"/>
      <c r="K575" s="67"/>
      <c r="R575" s="67"/>
    </row>
    <row r="576">
      <c r="J576" s="67"/>
      <c r="K576" s="67"/>
      <c r="R576" s="67"/>
    </row>
    <row r="577">
      <c r="J577" s="67"/>
      <c r="K577" s="67"/>
      <c r="R577" s="67"/>
    </row>
    <row r="578">
      <c r="J578" s="67"/>
      <c r="K578" s="67"/>
      <c r="R578" s="67"/>
    </row>
    <row r="579">
      <c r="J579" s="67"/>
      <c r="K579" s="67"/>
      <c r="R579" s="67"/>
    </row>
    <row r="580">
      <c r="J580" s="67"/>
      <c r="K580" s="67"/>
      <c r="R580" s="67"/>
    </row>
    <row r="581">
      <c r="J581" s="67"/>
      <c r="K581" s="67"/>
      <c r="R581" s="67"/>
    </row>
    <row r="582">
      <c r="J582" s="67"/>
      <c r="K582" s="67"/>
      <c r="R582" s="67"/>
    </row>
    <row r="583">
      <c r="J583" s="67"/>
      <c r="K583" s="67"/>
      <c r="R583" s="67"/>
    </row>
    <row r="584">
      <c r="J584" s="67"/>
      <c r="K584" s="67"/>
      <c r="R584" s="67"/>
    </row>
    <row r="585">
      <c r="J585" s="67"/>
      <c r="K585" s="67"/>
      <c r="R585" s="67"/>
    </row>
    <row r="586">
      <c r="J586" s="67"/>
      <c r="K586" s="67"/>
      <c r="R586" s="67"/>
    </row>
    <row r="587">
      <c r="J587" s="67"/>
      <c r="K587" s="67"/>
      <c r="R587" s="67"/>
    </row>
    <row r="588">
      <c r="J588" s="67"/>
      <c r="K588" s="67"/>
      <c r="R588" s="67"/>
    </row>
    <row r="589">
      <c r="J589" s="67"/>
      <c r="K589" s="67"/>
      <c r="R589" s="67"/>
    </row>
    <row r="590">
      <c r="J590" s="67"/>
      <c r="K590" s="67"/>
      <c r="R590" s="67"/>
    </row>
    <row r="591">
      <c r="J591" s="67"/>
      <c r="K591" s="67"/>
      <c r="R591" s="67"/>
    </row>
    <row r="592">
      <c r="J592" s="67"/>
      <c r="K592" s="67"/>
      <c r="R592" s="67"/>
    </row>
    <row r="593">
      <c r="J593" s="67"/>
      <c r="K593" s="67"/>
      <c r="R593" s="67"/>
    </row>
    <row r="594">
      <c r="J594" s="67"/>
      <c r="K594" s="67"/>
      <c r="R594" s="67"/>
    </row>
    <row r="595">
      <c r="J595" s="67"/>
      <c r="K595" s="67"/>
      <c r="R595" s="67"/>
    </row>
    <row r="596">
      <c r="J596" s="67"/>
      <c r="K596" s="67"/>
      <c r="R596" s="67"/>
    </row>
    <row r="597">
      <c r="J597" s="67"/>
      <c r="K597" s="67"/>
      <c r="R597" s="67"/>
    </row>
    <row r="598">
      <c r="J598" s="67"/>
      <c r="K598" s="67"/>
      <c r="R598" s="67"/>
    </row>
    <row r="599">
      <c r="J599" s="67"/>
      <c r="K599" s="67"/>
      <c r="R599" s="67"/>
    </row>
    <row r="600">
      <c r="J600" s="67"/>
      <c r="K600" s="67"/>
      <c r="R600" s="67"/>
    </row>
    <row r="601">
      <c r="J601" s="67"/>
      <c r="K601" s="67"/>
      <c r="R601" s="67"/>
    </row>
    <row r="602">
      <c r="J602" s="67"/>
      <c r="K602" s="67"/>
      <c r="R602" s="67"/>
    </row>
    <row r="603">
      <c r="J603" s="67"/>
      <c r="K603" s="67"/>
      <c r="R603" s="67"/>
    </row>
    <row r="604">
      <c r="J604" s="67"/>
      <c r="K604" s="67"/>
      <c r="R604" s="67"/>
    </row>
    <row r="605">
      <c r="J605" s="67"/>
      <c r="K605" s="67"/>
      <c r="R605" s="67"/>
    </row>
    <row r="606">
      <c r="J606" s="67"/>
      <c r="K606" s="67"/>
      <c r="R606" s="67"/>
    </row>
    <row r="607">
      <c r="J607" s="67"/>
      <c r="K607" s="67"/>
      <c r="R607" s="67"/>
    </row>
    <row r="608">
      <c r="J608" s="67"/>
      <c r="K608" s="67"/>
      <c r="R608" s="67"/>
    </row>
    <row r="609">
      <c r="J609" s="67"/>
      <c r="K609" s="67"/>
      <c r="R609" s="67"/>
    </row>
    <row r="610">
      <c r="J610" s="67"/>
      <c r="K610" s="67"/>
      <c r="R610" s="67"/>
    </row>
    <row r="611">
      <c r="J611" s="67"/>
      <c r="K611" s="67"/>
      <c r="R611" s="67"/>
    </row>
    <row r="612">
      <c r="J612" s="67"/>
      <c r="K612" s="67"/>
      <c r="R612" s="67"/>
    </row>
    <row r="613">
      <c r="J613" s="67"/>
      <c r="K613" s="67"/>
      <c r="R613" s="67"/>
    </row>
    <row r="614">
      <c r="J614" s="67"/>
      <c r="K614" s="67"/>
      <c r="R614" s="67"/>
    </row>
    <row r="615">
      <c r="J615" s="67"/>
      <c r="K615" s="67"/>
      <c r="R615" s="67"/>
    </row>
    <row r="616">
      <c r="J616" s="67"/>
      <c r="K616" s="67"/>
      <c r="R616" s="67"/>
    </row>
    <row r="617">
      <c r="J617" s="67"/>
      <c r="K617" s="67"/>
      <c r="R617" s="67"/>
    </row>
    <row r="618">
      <c r="J618" s="67"/>
      <c r="K618" s="67"/>
      <c r="R618" s="67"/>
    </row>
    <row r="619">
      <c r="J619" s="67"/>
      <c r="K619" s="67"/>
      <c r="R619" s="67"/>
    </row>
    <row r="620">
      <c r="J620" s="67"/>
      <c r="K620" s="67"/>
      <c r="R620" s="67"/>
    </row>
    <row r="621">
      <c r="J621" s="67"/>
      <c r="K621" s="67"/>
      <c r="R621" s="67"/>
    </row>
    <row r="622">
      <c r="J622" s="67"/>
      <c r="K622" s="67"/>
      <c r="R622" s="67"/>
    </row>
    <row r="623">
      <c r="J623" s="67"/>
      <c r="K623" s="67"/>
      <c r="R623" s="67"/>
    </row>
    <row r="624">
      <c r="J624" s="67"/>
      <c r="K624" s="67"/>
      <c r="R624" s="67"/>
    </row>
    <row r="625">
      <c r="J625" s="67"/>
      <c r="K625" s="67"/>
      <c r="R625" s="67"/>
    </row>
    <row r="626">
      <c r="J626" s="67"/>
      <c r="K626" s="67"/>
      <c r="R626" s="67"/>
    </row>
    <row r="627">
      <c r="J627" s="67"/>
      <c r="K627" s="67"/>
      <c r="R627" s="67"/>
    </row>
    <row r="628">
      <c r="J628" s="67"/>
      <c r="K628" s="67"/>
      <c r="R628" s="67"/>
    </row>
    <row r="629">
      <c r="J629" s="67"/>
      <c r="K629" s="67"/>
      <c r="R629" s="67"/>
    </row>
    <row r="630">
      <c r="J630" s="67"/>
      <c r="K630" s="67"/>
      <c r="R630" s="67"/>
    </row>
    <row r="631">
      <c r="J631" s="67"/>
      <c r="K631" s="67"/>
      <c r="R631" s="67"/>
    </row>
    <row r="632">
      <c r="J632" s="67"/>
      <c r="K632" s="67"/>
      <c r="R632" s="67"/>
    </row>
    <row r="633">
      <c r="J633" s="67"/>
      <c r="K633" s="67"/>
      <c r="R633" s="67"/>
    </row>
    <row r="634">
      <c r="J634" s="67"/>
      <c r="K634" s="67"/>
      <c r="R634" s="67"/>
    </row>
    <row r="635">
      <c r="J635" s="67"/>
      <c r="K635" s="67"/>
      <c r="R635" s="67"/>
    </row>
    <row r="636">
      <c r="J636" s="67"/>
      <c r="K636" s="67"/>
      <c r="R636" s="67"/>
    </row>
    <row r="637">
      <c r="J637" s="67"/>
      <c r="K637" s="67"/>
      <c r="R637" s="67"/>
    </row>
    <row r="638">
      <c r="J638" s="67"/>
      <c r="K638" s="67"/>
      <c r="R638" s="67"/>
    </row>
    <row r="639">
      <c r="J639" s="67"/>
      <c r="K639" s="67"/>
      <c r="R639" s="67"/>
    </row>
    <row r="640">
      <c r="J640" s="67"/>
      <c r="K640" s="67"/>
      <c r="R640" s="67"/>
    </row>
    <row r="641">
      <c r="J641" s="67"/>
      <c r="K641" s="67"/>
      <c r="R641" s="67"/>
    </row>
    <row r="642">
      <c r="J642" s="67"/>
      <c r="K642" s="67"/>
      <c r="R642" s="67"/>
    </row>
    <row r="643">
      <c r="J643" s="67"/>
      <c r="K643" s="67"/>
      <c r="R643" s="67"/>
    </row>
    <row r="644">
      <c r="J644" s="67"/>
      <c r="K644" s="67"/>
      <c r="R644" s="67"/>
    </row>
    <row r="645">
      <c r="J645" s="67"/>
      <c r="K645" s="67"/>
      <c r="R645" s="67"/>
    </row>
    <row r="646">
      <c r="J646" s="67"/>
      <c r="K646" s="67"/>
      <c r="R646" s="67"/>
    </row>
    <row r="647">
      <c r="J647" s="67"/>
      <c r="K647" s="67"/>
      <c r="R647" s="67"/>
    </row>
    <row r="648">
      <c r="J648" s="67"/>
      <c r="K648" s="67"/>
      <c r="R648" s="67"/>
    </row>
    <row r="649">
      <c r="J649" s="67"/>
      <c r="K649" s="67"/>
      <c r="R649" s="67"/>
    </row>
    <row r="650">
      <c r="J650" s="67"/>
      <c r="K650" s="67"/>
      <c r="R650" s="67"/>
    </row>
    <row r="651">
      <c r="J651" s="67"/>
      <c r="K651" s="67"/>
      <c r="R651" s="67"/>
    </row>
    <row r="652">
      <c r="J652" s="67"/>
      <c r="K652" s="67"/>
      <c r="R652" s="67"/>
    </row>
    <row r="653">
      <c r="J653" s="67"/>
      <c r="K653" s="67"/>
      <c r="R653" s="67"/>
    </row>
    <row r="654">
      <c r="J654" s="67"/>
      <c r="K654" s="67"/>
      <c r="R654" s="67"/>
    </row>
    <row r="655">
      <c r="J655" s="67"/>
      <c r="K655" s="67"/>
      <c r="R655" s="67"/>
    </row>
    <row r="656">
      <c r="J656" s="67"/>
      <c r="K656" s="67"/>
      <c r="R656" s="67"/>
    </row>
    <row r="657">
      <c r="J657" s="67"/>
      <c r="K657" s="67"/>
      <c r="R657" s="67"/>
    </row>
    <row r="658">
      <c r="J658" s="67"/>
      <c r="K658" s="67"/>
      <c r="R658" s="67"/>
    </row>
    <row r="659">
      <c r="J659" s="67"/>
      <c r="K659" s="67"/>
      <c r="R659" s="67"/>
    </row>
    <row r="660">
      <c r="J660" s="67"/>
      <c r="K660" s="67"/>
      <c r="R660" s="67"/>
    </row>
    <row r="661">
      <c r="J661" s="67"/>
      <c r="K661" s="67"/>
      <c r="R661" s="67"/>
    </row>
    <row r="662">
      <c r="J662" s="67"/>
      <c r="K662" s="67"/>
      <c r="R662" s="67"/>
    </row>
    <row r="663">
      <c r="J663" s="67"/>
      <c r="K663" s="67"/>
      <c r="R663" s="67"/>
    </row>
    <row r="664">
      <c r="J664" s="67"/>
      <c r="K664" s="67"/>
      <c r="R664" s="67"/>
    </row>
    <row r="665">
      <c r="J665" s="67"/>
      <c r="K665" s="67"/>
      <c r="R665" s="67"/>
    </row>
    <row r="666">
      <c r="J666" s="67"/>
      <c r="K666" s="67"/>
      <c r="R666" s="67"/>
    </row>
    <row r="667">
      <c r="J667" s="67"/>
      <c r="K667" s="67"/>
      <c r="R667" s="67"/>
    </row>
    <row r="668">
      <c r="J668" s="67"/>
      <c r="K668" s="67"/>
      <c r="R668" s="67"/>
    </row>
    <row r="669">
      <c r="J669" s="67"/>
      <c r="K669" s="67"/>
      <c r="R669" s="67"/>
    </row>
    <row r="670">
      <c r="J670" s="67"/>
      <c r="K670" s="67"/>
      <c r="R670" s="67"/>
    </row>
    <row r="671">
      <c r="J671" s="67"/>
      <c r="K671" s="67"/>
      <c r="R671" s="67"/>
    </row>
    <row r="672">
      <c r="J672" s="67"/>
      <c r="K672" s="67"/>
      <c r="R672" s="67"/>
    </row>
    <row r="673">
      <c r="J673" s="67"/>
      <c r="K673" s="67"/>
      <c r="R673" s="67"/>
    </row>
    <row r="674">
      <c r="J674" s="67"/>
      <c r="K674" s="67"/>
      <c r="R674" s="67"/>
    </row>
    <row r="675">
      <c r="J675" s="67"/>
      <c r="K675" s="67"/>
      <c r="R675" s="67"/>
    </row>
    <row r="676">
      <c r="J676" s="67"/>
      <c r="K676" s="67"/>
      <c r="R676" s="67"/>
    </row>
    <row r="677">
      <c r="J677" s="67"/>
      <c r="K677" s="67"/>
      <c r="R677" s="67"/>
    </row>
    <row r="678">
      <c r="J678" s="67"/>
      <c r="K678" s="67"/>
      <c r="R678" s="67"/>
    </row>
    <row r="679">
      <c r="J679" s="67"/>
      <c r="K679" s="67"/>
      <c r="R679" s="67"/>
    </row>
    <row r="680">
      <c r="J680" s="67"/>
      <c r="K680" s="67"/>
      <c r="R680" s="67"/>
    </row>
    <row r="681">
      <c r="J681" s="67"/>
      <c r="K681" s="67"/>
      <c r="R681" s="67"/>
    </row>
    <row r="682">
      <c r="J682" s="67"/>
      <c r="K682" s="67"/>
      <c r="R682" s="67"/>
    </row>
    <row r="683">
      <c r="J683" s="67"/>
      <c r="K683" s="67"/>
      <c r="R683" s="67"/>
    </row>
    <row r="684">
      <c r="J684" s="67"/>
      <c r="K684" s="67"/>
      <c r="R684" s="67"/>
    </row>
    <row r="685">
      <c r="J685" s="67"/>
      <c r="K685" s="67"/>
      <c r="R685" s="67"/>
    </row>
    <row r="686">
      <c r="J686" s="67"/>
      <c r="K686" s="67"/>
      <c r="R686" s="67"/>
    </row>
    <row r="687">
      <c r="J687" s="67"/>
      <c r="K687" s="67"/>
      <c r="R687" s="67"/>
    </row>
    <row r="688">
      <c r="J688" s="67"/>
      <c r="K688" s="67"/>
      <c r="R688" s="67"/>
    </row>
    <row r="689">
      <c r="J689" s="67"/>
      <c r="K689" s="67"/>
      <c r="R689" s="67"/>
    </row>
    <row r="690">
      <c r="J690" s="67"/>
      <c r="K690" s="67"/>
      <c r="R690" s="67"/>
    </row>
    <row r="691">
      <c r="J691" s="67"/>
      <c r="K691" s="67"/>
      <c r="R691" s="67"/>
    </row>
    <row r="692">
      <c r="J692" s="67"/>
      <c r="K692" s="67"/>
      <c r="R692" s="67"/>
    </row>
    <row r="693">
      <c r="J693" s="67"/>
      <c r="K693" s="67"/>
      <c r="R693" s="67"/>
    </row>
    <row r="694">
      <c r="J694" s="67"/>
      <c r="K694" s="67"/>
      <c r="R694" s="67"/>
    </row>
    <row r="695">
      <c r="J695" s="67"/>
      <c r="K695" s="67"/>
      <c r="R695" s="67"/>
    </row>
    <row r="696">
      <c r="J696" s="67"/>
      <c r="K696" s="67"/>
      <c r="R696" s="67"/>
    </row>
    <row r="697">
      <c r="J697" s="67"/>
      <c r="K697" s="67"/>
      <c r="R697" s="67"/>
    </row>
    <row r="698">
      <c r="J698" s="67"/>
      <c r="K698" s="67"/>
      <c r="R698" s="67"/>
    </row>
    <row r="699">
      <c r="J699" s="67"/>
      <c r="K699" s="67"/>
      <c r="R699" s="67"/>
    </row>
    <row r="700">
      <c r="J700" s="67"/>
      <c r="K700" s="67"/>
      <c r="R700" s="67"/>
    </row>
    <row r="701">
      <c r="J701" s="67"/>
      <c r="K701" s="67"/>
      <c r="R701" s="67"/>
    </row>
    <row r="702">
      <c r="J702" s="67"/>
      <c r="K702" s="67"/>
      <c r="R702" s="67"/>
    </row>
    <row r="703">
      <c r="J703" s="67"/>
      <c r="K703" s="67"/>
      <c r="R703" s="67"/>
    </row>
    <row r="704">
      <c r="J704" s="67"/>
      <c r="K704" s="67"/>
      <c r="R704" s="67"/>
    </row>
    <row r="705">
      <c r="J705" s="67"/>
      <c r="K705" s="67"/>
      <c r="R705" s="67"/>
    </row>
    <row r="706">
      <c r="J706" s="67"/>
      <c r="K706" s="67"/>
      <c r="R706" s="67"/>
    </row>
    <row r="707">
      <c r="J707" s="67"/>
      <c r="K707" s="67"/>
      <c r="R707" s="67"/>
    </row>
    <row r="708">
      <c r="J708" s="67"/>
      <c r="K708" s="67"/>
      <c r="R708" s="67"/>
    </row>
    <row r="709">
      <c r="J709" s="67"/>
      <c r="K709" s="67"/>
      <c r="R709" s="67"/>
    </row>
    <row r="710">
      <c r="J710" s="67"/>
      <c r="K710" s="67"/>
      <c r="R710" s="67"/>
    </row>
    <row r="711">
      <c r="J711" s="67"/>
      <c r="K711" s="67"/>
      <c r="R711" s="67"/>
    </row>
    <row r="712">
      <c r="J712" s="67"/>
      <c r="K712" s="67"/>
      <c r="R712" s="67"/>
    </row>
    <row r="713">
      <c r="J713" s="67"/>
      <c r="K713" s="67"/>
      <c r="R713" s="67"/>
    </row>
    <row r="714">
      <c r="J714" s="67"/>
      <c r="K714" s="67"/>
      <c r="R714" s="67"/>
    </row>
    <row r="715">
      <c r="J715" s="67"/>
      <c r="K715" s="67"/>
      <c r="R715" s="67"/>
    </row>
    <row r="716">
      <c r="J716" s="67"/>
      <c r="K716" s="67"/>
      <c r="R716" s="67"/>
    </row>
    <row r="717">
      <c r="J717" s="67"/>
      <c r="K717" s="67"/>
      <c r="R717" s="67"/>
    </row>
    <row r="718">
      <c r="J718" s="67"/>
      <c r="K718" s="67"/>
      <c r="R718" s="67"/>
    </row>
    <row r="719">
      <c r="J719" s="67"/>
      <c r="K719" s="67"/>
      <c r="R719" s="67"/>
    </row>
    <row r="720">
      <c r="J720" s="67"/>
      <c r="K720" s="67"/>
      <c r="R720" s="67"/>
    </row>
    <row r="721">
      <c r="J721" s="67"/>
      <c r="K721" s="67"/>
      <c r="R721" s="67"/>
    </row>
    <row r="722">
      <c r="J722" s="67"/>
      <c r="K722" s="67"/>
      <c r="R722" s="67"/>
    </row>
    <row r="723">
      <c r="J723" s="67"/>
      <c r="K723" s="67"/>
      <c r="R723" s="67"/>
    </row>
    <row r="724">
      <c r="J724" s="67"/>
      <c r="K724" s="67"/>
      <c r="R724" s="67"/>
    </row>
    <row r="725">
      <c r="J725" s="67"/>
      <c r="K725" s="67"/>
      <c r="R725" s="67"/>
    </row>
    <row r="726">
      <c r="J726" s="67"/>
      <c r="K726" s="67"/>
      <c r="R726" s="67"/>
    </row>
    <row r="727">
      <c r="J727" s="67"/>
      <c r="K727" s="67"/>
      <c r="R727" s="67"/>
    </row>
    <row r="728">
      <c r="J728" s="67"/>
      <c r="K728" s="67"/>
      <c r="R728" s="67"/>
    </row>
    <row r="729">
      <c r="J729" s="67"/>
      <c r="K729" s="67"/>
      <c r="R729" s="67"/>
    </row>
    <row r="730">
      <c r="J730" s="67"/>
      <c r="K730" s="67"/>
      <c r="R730" s="67"/>
    </row>
    <row r="731">
      <c r="J731" s="67"/>
      <c r="K731" s="67"/>
      <c r="R731" s="67"/>
    </row>
    <row r="732">
      <c r="J732" s="67"/>
      <c r="K732" s="67"/>
      <c r="R732" s="67"/>
    </row>
    <row r="733">
      <c r="J733" s="67"/>
      <c r="K733" s="67"/>
      <c r="R733" s="67"/>
    </row>
    <row r="734">
      <c r="J734" s="67"/>
      <c r="K734" s="67"/>
      <c r="R734" s="67"/>
    </row>
    <row r="735">
      <c r="J735" s="67"/>
      <c r="K735" s="67"/>
      <c r="R735" s="67"/>
    </row>
    <row r="736">
      <c r="J736" s="67"/>
      <c r="K736" s="67"/>
      <c r="R736" s="67"/>
    </row>
    <row r="737">
      <c r="J737" s="67"/>
      <c r="K737" s="67"/>
      <c r="R737" s="67"/>
    </row>
    <row r="738">
      <c r="J738" s="67"/>
      <c r="K738" s="67"/>
      <c r="R738" s="67"/>
    </row>
    <row r="739">
      <c r="J739" s="67"/>
      <c r="K739" s="67"/>
      <c r="R739" s="67"/>
    </row>
    <row r="740">
      <c r="J740" s="67"/>
      <c r="K740" s="67"/>
      <c r="R740" s="67"/>
    </row>
    <row r="741">
      <c r="J741" s="67"/>
      <c r="K741" s="67"/>
      <c r="R741" s="67"/>
    </row>
    <row r="742">
      <c r="J742" s="67"/>
      <c r="K742" s="67"/>
      <c r="R742" s="67"/>
    </row>
    <row r="743">
      <c r="J743" s="67"/>
      <c r="K743" s="67"/>
      <c r="R743" s="67"/>
    </row>
    <row r="744">
      <c r="J744" s="67"/>
      <c r="K744" s="67"/>
      <c r="R744" s="67"/>
    </row>
    <row r="745">
      <c r="J745" s="67"/>
      <c r="K745" s="67"/>
      <c r="R745" s="67"/>
    </row>
    <row r="746">
      <c r="J746" s="67"/>
      <c r="K746" s="67"/>
      <c r="R746" s="67"/>
    </row>
    <row r="747">
      <c r="J747" s="67"/>
      <c r="K747" s="67"/>
      <c r="R747" s="67"/>
    </row>
    <row r="748">
      <c r="J748" s="67"/>
      <c r="K748" s="67"/>
      <c r="R748" s="67"/>
    </row>
    <row r="749">
      <c r="J749" s="67"/>
      <c r="K749" s="67"/>
      <c r="R749" s="67"/>
    </row>
    <row r="750">
      <c r="J750" s="67"/>
      <c r="K750" s="67"/>
      <c r="R750" s="67"/>
    </row>
    <row r="751">
      <c r="J751" s="67"/>
      <c r="K751" s="67"/>
      <c r="R751" s="67"/>
    </row>
    <row r="752">
      <c r="J752" s="67"/>
      <c r="K752" s="67"/>
      <c r="R752" s="67"/>
    </row>
    <row r="753">
      <c r="J753" s="67"/>
      <c r="K753" s="67"/>
      <c r="R753" s="67"/>
    </row>
    <row r="754">
      <c r="J754" s="67"/>
      <c r="K754" s="67"/>
      <c r="R754" s="67"/>
    </row>
    <row r="755">
      <c r="J755" s="67"/>
      <c r="K755" s="67"/>
      <c r="R755" s="67"/>
    </row>
    <row r="756">
      <c r="J756" s="67"/>
      <c r="K756" s="67"/>
      <c r="R756" s="67"/>
    </row>
    <row r="757">
      <c r="J757" s="67"/>
      <c r="K757" s="67"/>
      <c r="R757" s="67"/>
    </row>
    <row r="758">
      <c r="J758" s="67"/>
      <c r="K758" s="67"/>
      <c r="R758" s="67"/>
    </row>
    <row r="759">
      <c r="J759" s="67"/>
      <c r="K759" s="67"/>
      <c r="R759" s="67"/>
    </row>
    <row r="760">
      <c r="J760" s="67"/>
      <c r="K760" s="67"/>
      <c r="R760" s="67"/>
    </row>
    <row r="761">
      <c r="J761" s="67"/>
      <c r="K761" s="67"/>
      <c r="R761" s="67"/>
    </row>
    <row r="762">
      <c r="J762" s="67"/>
      <c r="K762" s="67"/>
      <c r="R762" s="67"/>
    </row>
    <row r="763">
      <c r="J763" s="67"/>
      <c r="K763" s="67"/>
      <c r="R763" s="67"/>
    </row>
    <row r="764">
      <c r="J764" s="67"/>
      <c r="K764" s="67"/>
      <c r="R764" s="67"/>
    </row>
    <row r="765">
      <c r="J765" s="67"/>
      <c r="K765" s="67"/>
      <c r="R765" s="67"/>
    </row>
    <row r="766">
      <c r="J766" s="67"/>
      <c r="K766" s="67"/>
      <c r="R766" s="67"/>
    </row>
    <row r="767">
      <c r="J767" s="67"/>
      <c r="K767" s="67"/>
      <c r="R767" s="67"/>
    </row>
    <row r="768">
      <c r="J768" s="67"/>
      <c r="K768" s="67"/>
      <c r="R768" s="67"/>
    </row>
    <row r="769">
      <c r="J769" s="67"/>
      <c r="K769" s="67"/>
      <c r="R769" s="67"/>
    </row>
    <row r="770">
      <c r="J770" s="67"/>
      <c r="K770" s="67"/>
      <c r="R770" s="67"/>
    </row>
    <row r="771">
      <c r="J771" s="67"/>
      <c r="K771" s="67"/>
      <c r="R771" s="67"/>
    </row>
    <row r="772">
      <c r="J772" s="67"/>
      <c r="K772" s="67"/>
      <c r="R772" s="67"/>
    </row>
    <row r="773">
      <c r="J773" s="67"/>
      <c r="K773" s="67"/>
      <c r="R773" s="67"/>
    </row>
    <row r="774">
      <c r="J774" s="67"/>
      <c r="K774" s="67"/>
      <c r="R774" s="67"/>
    </row>
    <row r="775">
      <c r="J775" s="67"/>
      <c r="K775" s="67"/>
      <c r="R775" s="67"/>
    </row>
    <row r="776">
      <c r="J776" s="67"/>
      <c r="K776" s="67"/>
      <c r="R776" s="67"/>
    </row>
    <row r="777">
      <c r="J777" s="67"/>
      <c r="K777" s="67"/>
      <c r="R777" s="67"/>
    </row>
    <row r="778">
      <c r="J778" s="67"/>
      <c r="K778" s="67"/>
      <c r="R778" s="67"/>
    </row>
    <row r="779">
      <c r="J779" s="67"/>
      <c r="K779" s="67"/>
      <c r="R779" s="67"/>
    </row>
    <row r="780">
      <c r="J780" s="67"/>
      <c r="K780" s="67"/>
      <c r="R780" s="67"/>
    </row>
    <row r="781">
      <c r="J781" s="67"/>
      <c r="K781" s="67"/>
      <c r="R781" s="67"/>
    </row>
    <row r="782">
      <c r="J782" s="67"/>
      <c r="K782" s="67"/>
      <c r="R782" s="67"/>
    </row>
    <row r="783">
      <c r="J783" s="67"/>
      <c r="K783" s="67"/>
      <c r="R783" s="67"/>
    </row>
    <row r="784">
      <c r="J784" s="67"/>
      <c r="K784" s="67"/>
      <c r="R784" s="67"/>
    </row>
    <row r="785">
      <c r="J785" s="67"/>
      <c r="K785" s="67"/>
      <c r="R785" s="67"/>
    </row>
    <row r="786">
      <c r="J786" s="67"/>
      <c r="K786" s="67"/>
      <c r="R786" s="67"/>
    </row>
    <row r="787">
      <c r="J787" s="67"/>
      <c r="K787" s="67"/>
      <c r="R787" s="67"/>
    </row>
    <row r="788">
      <c r="J788" s="67"/>
      <c r="K788" s="67"/>
      <c r="R788" s="67"/>
    </row>
    <row r="789">
      <c r="J789" s="67"/>
      <c r="K789" s="67"/>
      <c r="R789" s="67"/>
    </row>
    <row r="790">
      <c r="J790" s="67"/>
      <c r="K790" s="67"/>
      <c r="R790" s="67"/>
    </row>
    <row r="791">
      <c r="J791" s="67"/>
      <c r="K791" s="67"/>
      <c r="R791" s="67"/>
    </row>
    <row r="792">
      <c r="J792" s="67"/>
      <c r="K792" s="67"/>
      <c r="R792" s="67"/>
    </row>
    <row r="793">
      <c r="J793" s="67"/>
      <c r="K793" s="67"/>
      <c r="R793" s="67"/>
    </row>
    <row r="794">
      <c r="J794" s="67"/>
      <c r="K794" s="67"/>
      <c r="R794" s="67"/>
    </row>
    <row r="795">
      <c r="J795" s="67"/>
      <c r="K795" s="67"/>
      <c r="R795" s="67"/>
    </row>
    <row r="796">
      <c r="J796" s="67"/>
      <c r="K796" s="67"/>
      <c r="R796" s="67"/>
    </row>
    <row r="797">
      <c r="J797" s="67"/>
      <c r="K797" s="67"/>
      <c r="R797" s="67"/>
    </row>
    <row r="798">
      <c r="J798" s="67"/>
      <c r="K798" s="67"/>
      <c r="R798" s="67"/>
    </row>
    <row r="799">
      <c r="J799" s="67"/>
      <c r="K799" s="67"/>
      <c r="R799" s="67"/>
    </row>
    <row r="800">
      <c r="J800" s="67"/>
      <c r="K800" s="67"/>
      <c r="R800" s="67"/>
    </row>
    <row r="801">
      <c r="J801" s="67"/>
      <c r="K801" s="67"/>
      <c r="R801" s="67"/>
    </row>
    <row r="802">
      <c r="J802" s="67"/>
      <c r="K802" s="67"/>
      <c r="R802" s="67"/>
    </row>
    <row r="803">
      <c r="J803" s="67"/>
      <c r="K803" s="67"/>
      <c r="R803" s="67"/>
    </row>
    <row r="804">
      <c r="J804" s="67"/>
      <c r="K804" s="67"/>
      <c r="R804" s="67"/>
    </row>
    <row r="805">
      <c r="J805" s="67"/>
      <c r="K805" s="67"/>
      <c r="R805" s="67"/>
    </row>
    <row r="806">
      <c r="J806" s="67"/>
      <c r="K806" s="67"/>
      <c r="R806" s="67"/>
    </row>
    <row r="807">
      <c r="J807" s="67"/>
      <c r="K807" s="67"/>
      <c r="R807" s="67"/>
    </row>
    <row r="808">
      <c r="J808" s="67"/>
      <c r="K808" s="67"/>
      <c r="R808" s="67"/>
    </row>
    <row r="809">
      <c r="J809" s="67"/>
      <c r="K809" s="67"/>
      <c r="R809" s="67"/>
    </row>
    <row r="810">
      <c r="J810" s="67"/>
      <c r="K810" s="67"/>
      <c r="R810" s="67"/>
    </row>
    <row r="811">
      <c r="J811" s="67"/>
      <c r="K811" s="67"/>
      <c r="R811" s="67"/>
    </row>
    <row r="812">
      <c r="J812" s="67"/>
      <c r="K812" s="67"/>
      <c r="R812" s="67"/>
    </row>
    <row r="813">
      <c r="J813" s="67"/>
      <c r="K813" s="67"/>
      <c r="R813" s="67"/>
    </row>
    <row r="814">
      <c r="J814" s="67"/>
      <c r="K814" s="67"/>
      <c r="R814" s="67"/>
    </row>
    <row r="815">
      <c r="J815" s="67"/>
      <c r="K815" s="67"/>
      <c r="R815" s="67"/>
    </row>
    <row r="816">
      <c r="J816" s="67"/>
      <c r="K816" s="67"/>
      <c r="R816" s="67"/>
    </row>
    <row r="817">
      <c r="J817" s="67"/>
      <c r="K817" s="67"/>
      <c r="R817" s="67"/>
    </row>
    <row r="818">
      <c r="J818" s="67"/>
      <c r="K818" s="67"/>
      <c r="R818" s="67"/>
    </row>
    <row r="819">
      <c r="J819" s="67"/>
      <c r="K819" s="67"/>
      <c r="R819" s="67"/>
    </row>
    <row r="820">
      <c r="J820" s="67"/>
      <c r="K820" s="67"/>
      <c r="R820" s="67"/>
    </row>
    <row r="821">
      <c r="J821" s="67"/>
      <c r="K821" s="67"/>
      <c r="R821" s="67"/>
    </row>
    <row r="822">
      <c r="J822" s="67"/>
      <c r="K822" s="67"/>
      <c r="R822" s="67"/>
    </row>
    <row r="823">
      <c r="J823" s="67"/>
      <c r="K823" s="67"/>
      <c r="R823" s="67"/>
    </row>
    <row r="824">
      <c r="J824" s="67"/>
      <c r="K824" s="67"/>
      <c r="R824" s="67"/>
    </row>
    <row r="825">
      <c r="J825" s="67"/>
      <c r="K825" s="67"/>
      <c r="R825" s="67"/>
    </row>
    <row r="826">
      <c r="J826" s="67"/>
      <c r="K826" s="67"/>
      <c r="R826" s="67"/>
    </row>
    <row r="827">
      <c r="J827" s="67"/>
      <c r="K827" s="67"/>
      <c r="R827" s="67"/>
    </row>
    <row r="828">
      <c r="J828" s="67"/>
      <c r="K828" s="67"/>
      <c r="R828" s="67"/>
    </row>
    <row r="829">
      <c r="J829" s="67"/>
      <c r="K829" s="67"/>
      <c r="R829" s="67"/>
    </row>
    <row r="830">
      <c r="J830" s="67"/>
      <c r="K830" s="67"/>
      <c r="R830" s="67"/>
    </row>
    <row r="831">
      <c r="J831" s="67"/>
      <c r="K831" s="67"/>
      <c r="R831" s="67"/>
    </row>
    <row r="832">
      <c r="J832" s="67"/>
      <c r="K832" s="67"/>
      <c r="R832" s="67"/>
    </row>
    <row r="833">
      <c r="J833" s="67"/>
      <c r="K833" s="67"/>
      <c r="R833" s="67"/>
    </row>
    <row r="834">
      <c r="J834" s="67"/>
      <c r="K834" s="67"/>
      <c r="R834" s="67"/>
    </row>
    <row r="835">
      <c r="J835" s="67"/>
      <c r="K835" s="67"/>
      <c r="R835" s="67"/>
    </row>
    <row r="836">
      <c r="J836" s="67"/>
      <c r="K836" s="67"/>
      <c r="R836" s="67"/>
    </row>
    <row r="837">
      <c r="J837" s="67"/>
      <c r="K837" s="67"/>
      <c r="R837" s="67"/>
    </row>
    <row r="838">
      <c r="J838" s="67"/>
      <c r="K838" s="67"/>
      <c r="R838" s="67"/>
    </row>
    <row r="839">
      <c r="J839" s="67"/>
      <c r="K839" s="67"/>
      <c r="R839" s="67"/>
    </row>
    <row r="840">
      <c r="J840" s="67"/>
      <c r="K840" s="67"/>
      <c r="R840" s="67"/>
    </row>
    <row r="841">
      <c r="J841" s="67"/>
      <c r="K841" s="67"/>
      <c r="R841" s="67"/>
    </row>
    <row r="842">
      <c r="J842" s="67"/>
      <c r="K842" s="67"/>
      <c r="R842" s="67"/>
    </row>
    <row r="843">
      <c r="J843" s="67"/>
      <c r="K843" s="67"/>
      <c r="R843" s="67"/>
    </row>
    <row r="844">
      <c r="J844" s="67"/>
      <c r="K844" s="67"/>
      <c r="R844" s="67"/>
    </row>
    <row r="845">
      <c r="J845" s="67"/>
      <c r="K845" s="67"/>
      <c r="R845" s="67"/>
    </row>
    <row r="846">
      <c r="J846" s="67"/>
      <c r="K846" s="67"/>
      <c r="R846" s="67"/>
    </row>
    <row r="847">
      <c r="J847" s="67"/>
      <c r="K847" s="67"/>
      <c r="R847" s="67"/>
    </row>
    <row r="848">
      <c r="J848" s="67"/>
      <c r="K848" s="67"/>
      <c r="R848" s="67"/>
    </row>
    <row r="849">
      <c r="J849" s="67"/>
      <c r="K849" s="67"/>
      <c r="R849" s="67"/>
    </row>
    <row r="850">
      <c r="J850" s="67"/>
      <c r="K850" s="67"/>
      <c r="R850" s="67"/>
    </row>
    <row r="851">
      <c r="J851" s="67"/>
      <c r="K851" s="67"/>
      <c r="R851" s="67"/>
    </row>
    <row r="852">
      <c r="J852" s="67"/>
      <c r="K852" s="67"/>
      <c r="R852" s="67"/>
    </row>
    <row r="853">
      <c r="J853" s="67"/>
      <c r="K853" s="67"/>
      <c r="R853" s="67"/>
    </row>
    <row r="854">
      <c r="J854" s="67"/>
      <c r="K854" s="67"/>
      <c r="R854" s="67"/>
    </row>
    <row r="855">
      <c r="J855" s="67"/>
      <c r="K855" s="67"/>
      <c r="R855" s="67"/>
    </row>
    <row r="856">
      <c r="J856" s="67"/>
      <c r="K856" s="67"/>
      <c r="R856" s="67"/>
    </row>
    <row r="857">
      <c r="J857" s="67"/>
      <c r="K857" s="67"/>
      <c r="R857" s="67"/>
    </row>
    <row r="858">
      <c r="J858" s="67"/>
      <c r="K858" s="67"/>
      <c r="R858" s="67"/>
    </row>
    <row r="859">
      <c r="J859" s="67"/>
      <c r="K859" s="67"/>
      <c r="R859" s="67"/>
    </row>
    <row r="860">
      <c r="J860" s="67"/>
      <c r="K860" s="67"/>
      <c r="R860" s="67"/>
    </row>
    <row r="861">
      <c r="J861" s="67"/>
      <c r="K861" s="67"/>
      <c r="R861" s="67"/>
    </row>
    <row r="862">
      <c r="J862" s="67"/>
      <c r="K862" s="67"/>
      <c r="R862" s="67"/>
    </row>
    <row r="863">
      <c r="J863" s="67"/>
      <c r="K863" s="67"/>
      <c r="R863" s="67"/>
    </row>
    <row r="864">
      <c r="J864" s="67"/>
      <c r="K864" s="67"/>
      <c r="R864" s="67"/>
    </row>
    <row r="865">
      <c r="J865" s="67"/>
      <c r="K865" s="67"/>
      <c r="R865" s="67"/>
    </row>
    <row r="866">
      <c r="J866" s="67"/>
      <c r="K866" s="67"/>
      <c r="R866" s="67"/>
    </row>
    <row r="867">
      <c r="J867" s="67"/>
      <c r="K867" s="67"/>
      <c r="R867" s="67"/>
    </row>
    <row r="868">
      <c r="J868" s="67"/>
      <c r="K868" s="67"/>
      <c r="R868" s="67"/>
    </row>
    <row r="869">
      <c r="J869" s="67"/>
      <c r="K869" s="67"/>
      <c r="R869" s="67"/>
    </row>
    <row r="870">
      <c r="J870" s="67"/>
      <c r="K870" s="67"/>
      <c r="R870" s="67"/>
    </row>
    <row r="871">
      <c r="J871" s="67"/>
      <c r="K871" s="67"/>
      <c r="R871" s="67"/>
    </row>
    <row r="872">
      <c r="J872" s="67"/>
      <c r="K872" s="67"/>
      <c r="R872" s="67"/>
    </row>
    <row r="873">
      <c r="J873" s="67"/>
      <c r="K873" s="67"/>
      <c r="R873" s="67"/>
    </row>
    <row r="874">
      <c r="J874" s="67"/>
      <c r="K874" s="67"/>
      <c r="R874" s="67"/>
    </row>
    <row r="875">
      <c r="J875" s="67"/>
      <c r="K875" s="67"/>
      <c r="R875" s="67"/>
    </row>
    <row r="876">
      <c r="J876" s="67"/>
      <c r="K876" s="67"/>
      <c r="R876" s="67"/>
    </row>
    <row r="877">
      <c r="J877" s="67"/>
      <c r="K877" s="67"/>
      <c r="R877" s="67"/>
    </row>
    <row r="878">
      <c r="J878" s="67"/>
      <c r="K878" s="67"/>
      <c r="R878" s="67"/>
    </row>
    <row r="879">
      <c r="J879" s="67"/>
      <c r="K879" s="67"/>
      <c r="R879" s="67"/>
    </row>
    <row r="880">
      <c r="J880" s="67"/>
      <c r="K880" s="67"/>
      <c r="R880" s="67"/>
    </row>
    <row r="881">
      <c r="J881" s="67"/>
      <c r="K881" s="67"/>
      <c r="R881" s="67"/>
    </row>
    <row r="882">
      <c r="J882" s="67"/>
      <c r="K882" s="67"/>
      <c r="R882" s="67"/>
    </row>
    <row r="883">
      <c r="J883" s="67"/>
      <c r="K883" s="67"/>
      <c r="R883" s="67"/>
    </row>
    <row r="884">
      <c r="J884" s="67"/>
      <c r="K884" s="67"/>
      <c r="R884" s="67"/>
    </row>
    <row r="885">
      <c r="J885" s="67"/>
      <c r="K885" s="67"/>
      <c r="R885" s="67"/>
    </row>
    <row r="886">
      <c r="J886" s="67"/>
      <c r="K886" s="67"/>
      <c r="R886" s="67"/>
    </row>
    <row r="887">
      <c r="J887" s="67"/>
      <c r="K887" s="67"/>
      <c r="R887" s="67"/>
    </row>
    <row r="888">
      <c r="J888" s="67"/>
      <c r="K888" s="67"/>
      <c r="R888" s="67"/>
    </row>
    <row r="889">
      <c r="J889" s="67"/>
      <c r="K889" s="67"/>
      <c r="R889" s="67"/>
    </row>
    <row r="890">
      <c r="J890" s="67"/>
      <c r="K890" s="67"/>
      <c r="R890" s="67"/>
    </row>
    <row r="891">
      <c r="J891" s="67"/>
      <c r="K891" s="67"/>
      <c r="R891" s="67"/>
    </row>
    <row r="892">
      <c r="J892" s="67"/>
      <c r="K892" s="67"/>
      <c r="R892" s="67"/>
    </row>
    <row r="893">
      <c r="J893" s="67"/>
      <c r="K893" s="67"/>
      <c r="R893" s="67"/>
    </row>
    <row r="894">
      <c r="J894" s="67"/>
      <c r="K894" s="67"/>
      <c r="R894" s="67"/>
    </row>
    <row r="895">
      <c r="J895" s="67"/>
      <c r="K895" s="67"/>
      <c r="R895" s="67"/>
    </row>
    <row r="896">
      <c r="J896" s="67"/>
      <c r="K896" s="67"/>
      <c r="R896" s="67"/>
    </row>
    <row r="897">
      <c r="J897" s="67"/>
      <c r="K897" s="67"/>
      <c r="R897" s="67"/>
    </row>
    <row r="898">
      <c r="J898" s="67"/>
      <c r="K898" s="67"/>
      <c r="R898" s="67"/>
    </row>
    <row r="899">
      <c r="J899" s="67"/>
      <c r="K899" s="67"/>
      <c r="R899" s="67"/>
    </row>
    <row r="900">
      <c r="J900" s="67"/>
      <c r="K900" s="67"/>
      <c r="R900" s="67"/>
    </row>
    <row r="901">
      <c r="J901" s="67"/>
      <c r="K901" s="67"/>
      <c r="R901" s="67"/>
    </row>
    <row r="902">
      <c r="J902" s="67"/>
      <c r="K902" s="67"/>
      <c r="R902" s="67"/>
    </row>
    <row r="903">
      <c r="J903" s="67"/>
      <c r="K903" s="67"/>
      <c r="R903" s="67"/>
    </row>
    <row r="904">
      <c r="J904" s="67"/>
      <c r="K904" s="67"/>
      <c r="R904" s="67"/>
    </row>
    <row r="905">
      <c r="J905" s="67"/>
      <c r="K905" s="67"/>
      <c r="R905" s="67"/>
    </row>
    <row r="906">
      <c r="J906" s="67"/>
      <c r="K906" s="67"/>
      <c r="R906" s="67"/>
    </row>
    <row r="907">
      <c r="J907" s="67"/>
      <c r="K907" s="67"/>
      <c r="R907" s="67"/>
    </row>
    <row r="908">
      <c r="J908" s="67"/>
      <c r="K908" s="67"/>
      <c r="R908" s="67"/>
    </row>
    <row r="909">
      <c r="J909" s="67"/>
      <c r="K909" s="67"/>
      <c r="R909" s="67"/>
    </row>
    <row r="910">
      <c r="J910" s="67"/>
      <c r="K910" s="67"/>
      <c r="R910" s="67"/>
    </row>
    <row r="911">
      <c r="J911" s="67"/>
      <c r="K911" s="67"/>
      <c r="R911" s="67"/>
    </row>
    <row r="912">
      <c r="J912" s="67"/>
      <c r="K912" s="67"/>
      <c r="R912" s="67"/>
    </row>
    <row r="913">
      <c r="J913" s="67"/>
      <c r="K913" s="67"/>
      <c r="R913" s="67"/>
    </row>
    <row r="914">
      <c r="J914" s="67"/>
      <c r="K914" s="67"/>
      <c r="R914" s="67"/>
    </row>
    <row r="915">
      <c r="J915" s="67"/>
      <c r="K915" s="67"/>
      <c r="R915" s="67"/>
    </row>
    <row r="916">
      <c r="J916" s="67"/>
      <c r="K916" s="67"/>
      <c r="R916" s="67"/>
    </row>
    <row r="917">
      <c r="J917" s="67"/>
      <c r="K917" s="67"/>
      <c r="R917" s="67"/>
    </row>
    <row r="918">
      <c r="J918" s="67"/>
      <c r="K918" s="67"/>
      <c r="R918" s="67"/>
    </row>
    <row r="919">
      <c r="J919" s="67"/>
      <c r="K919" s="67"/>
      <c r="R919" s="67"/>
    </row>
    <row r="920">
      <c r="J920" s="67"/>
      <c r="K920" s="67"/>
      <c r="R920" s="67"/>
    </row>
    <row r="921">
      <c r="J921" s="67"/>
      <c r="K921" s="67"/>
      <c r="R921" s="67"/>
    </row>
    <row r="922">
      <c r="J922" s="67"/>
      <c r="K922" s="67"/>
      <c r="R922" s="67"/>
    </row>
    <row r="923">
      <c r="J923" s="67"/>
      <c r="K923" s="67"/>
      <c r="R923" s="67"/>
    </row>
    <row r="924">
      <c r="J924" s="67"/>
      <c r="K924" s="67"/>
      <c r="R924" s="67"/>
    </row>
    <row r="925">
      <c r="J925" s="67"/>
      <c r="K925" s="67"/>
      <c r="R925" s="67"/>
    </row>
    <row r="926">
      <c r="J926" s="67"/>
      <c r="K926" s="67"/>
      <c r="R926" s="67"/>
    </row>
    <row r="927">
      <c r="J927" s="67"/>
      <c r="K927" s="67"/>
      <c r="R927" s="67"/>
    </row>
    <row r="928">
      <c r="J928" s="67"/>
      <c r="K928" s="67"/>
      <c r="R928" s="67"/>
    </row>
    <row r="929">
      <c r="J929" s="67"/>
      <c r="K929" s="67"/>
      <c r="R929" s="67"/>
    </row>
    <row r="930">
      <c r="J930" s="67"/>
      <c r="K930" s="67"/>
      <c r="R930" s="67"/>
    </row>
    <row r="931">
      <c r="J931" s="67"/>
      <c r="K931" s="67"/>
      <c r="R931" s="67"/>
    </row>
    <row r="932">
      <c r="J932" s="67"/>
      <c r="K932" s="67"/>
      <c r="R932" s="67"/>
    </row>
    <row r="933">
      <c r="J933" s="67"/>
      <c r="K933" s="67"/>
      <c r="R933" s="67"/>
    </row>
    <row r="934">
      <c r="J934" s="67"/>
      <c r="K934" s="67"/>
      <c r="R934" s="67"/>
    </row>
    <row r="935">
      <c r="J935" s="67"/>
      <c r="K935" s="67"/>
      <c r="R935" s="67"/>
    </row>
    <row r="936">
      <c r="J936" s="67"/>
      <c r="K936" s="67"/>
      <c r="R936" s="67"/>
    </row>
    <row r="937">
      <c r="J937" s="67"/>
      <c r="K937" s="67"/>
      <c r="R937" s="67"/>
    </row>
    <row r="938">
      <c r="J938" s="67"/>
      <c r="K938" s="67"/>
      <c r="R938" s="67"/>
    </row>
    <row r="939">
      <c r="J939" s="67"/>
      <c r="K939" s="67"/>
      <c r="R939" s="67"/>
    </row>
    <row r="940">
      <c r="J940" s="67"/>
      <c r="K940" s="67"/>
      <c r="R940" s="67"/>
    </row>
    <row r="941">
      <c r="J941" s="67"/>
      <c r="K941" s="67"/>
      <c r="R941" s="67"/>
    </row>
    <row r="942">
      <c r="J942" s="67"/>
      <c r="K942" s="67"/>
      <c r="R942" s="67"/>
    </row>
    <row r="943">
      <c r="J943" s="67"/>
      <c r="K943" s="67"/>
      <c r="R943" s="67"/>
    </row>
    <row r="944">
      <c r="J944" s="67"/>
      <c r="K944" s="67"/>
      <c r="R944" s="67"/>
    </row>
    <row r="945">
      <c r="J945" s="67"/>
      <c r="K945" s="67"/>
      <c r="R945" s="67"/>
    </row>
    <row r="946">
      <c r="J946" s="67"/>
      <c r="K946" s="67"/>
      <c r="R946" s="67"/>
    </row>
    <row r="947">
      <c r="J947" s="67"/>
      <c r="K947" s="67"/>
      <c r="R947" s="67"/>
    </row>
    <row r="948">
      <c r="J948" s="67"/>
      <c r="K948" s="67"/>
      <c r="R948" s="67"/>
    </row>
    <row r="949">
      <c r="J949" s="67"/>
      <c r="K949" s="67"/>
      <c r="R949" s="67"/>
    </row>
    <row r="950">
      <c r="J950" s="67"/>
      <c r="K950" s="67"/>
      <c r="R950" s="67"/>
    </row>
    <row r="951">
      <c r="J951" s="67"/>
      <c r="K951" s="67"/>
      <c r="R951" s="67"/>
    </row>
    <row r="952">
      <c r="J952" s="67"/>
      <c r="K952" s="67"/>
      <c r="R952" s="67"/>
    </row>
    <row r="953">
      <c r="J953" s="67"/>
      <c r="K953" s="67"/>
      <c r="R953" s="67"/>
    </row>
    <row r="954">
      <c r="J954" s="67"/>
      <c r="K954" s="67"/>
      <c r="R954" s="67"/>
    </row>
    <row r="955">
      <c r="J955" s="67"/>
      <c r="K955" s="67"/>
      <c r="R955" s="67"/>
    </row>
    <row r="956">
      <c r="J956" s="67"/>
      <c r="K956" s="67"/>
      <c r="R956" s="67"/>
    </row>
    <row r="957">
      <c r="J957" s="67"/>
      <c r="K957" s="67"/>
      <c r="R957" s="67"/>
    </row>
    <row r="958">
      <c r="J958" s="67"/>
      <c r="K958" s="67"/>
      <c r="R958" s="67"/>
    </row>
    <row r="959">
      <c r="J959" s="67"/>
      <c r="K959" s="67"/>
      <c r="R959" s="67"/>
    </row>
    <row r="960">
      <c r="J960" s="67"/>
      <c r="K960" s="67"/>
      <c r="R960" s="67"/>
    </row>
    <row r="961">
      <c r="J961" s="67"/>
      <c r="K961" s="67"/>
      <c r="R961" s="67"/>
    </row>
    <row r="962">
      <c r="J962" s="67"/>
      <c r="K962" s="67"/>
      <c r="R962" s="67"/>
    </row>
    <row r="963">
      <c r="J963" s="67"/>
      <c r="K963" s="67"/>
      <c r="R963" s="67"/>
    </row>
    <row r="964">
      <c r="J964" s="67"/>
      <c r="K964" s="67"/>
      <c r="R964" s="67"/>
    </row>
    <row r="965">
      <c r="J965" s="67"/>
      <c r="K965" s="67"/>
      <c r="R965" s="67"/>
    </row>
    <row r="966">
      <c r="J966" s="67"/>
      <c r="K966" s="67"/>
      <c r="R966" s="67"/>
    </row>
    <row r="967">
      <c r="J967" s="67"/>
      <c r="K967" s="67"/>
      <c r="R967" s="67"/>
    </row>
    <row r="968">
      <c r="J968" s="67"/>
      <c r="K968" s="67"/>
      <c r="R968" s="67"/>
    </row>
    <row r="969">
      <c r="J969" s="67"/>
      <c r="K969" s="67"/>
      <c r="R969" s="67"/>
    </row>
    <row r="970">
      <c r="J970" s="67"/>
      <c r="K970" s="67"/>
      <c r="R970" s="67"/>
    </row>
    <row r="971">
      <c r="J971" s="67"/>
      <c r="K971" s="67"/>
      <c r="R971" s="67"/>
    </row>
    <row r="972">
      <c r="J972" s="67"/>
      <c r="K972" s="67"/>
      <c r="R972" s="67"/>
    </row>
    <row r="973">
      <c r="J973" s="67"/>
      <c r="K973" s="67"/>
      <c r="R973" s="67"/>
    </row>
    <row r="974">
      <c r="J974" s="67"/>
      <c r="K974" s="67"/>
      <c r="R974" s="67"/>
    </row>
    <row r="975">
      <c r="J975" s="67"/>
      <c r="K975" s="67"/>
      <c r="R975" s="67"/>
    </row>
    <row r="976">
      <c r="J976" s="67"/>
      <c r="K976" s="67"/>
      <c r="R976" s="67"/>
    </row>
    <row r="977">
      <c r="J977" s="67"/>
      <c r="K977" s="67"/>
      <c r="R977" s="67"/>
    </row>
    <row r="978">
      <c r="J978" s="67"/>
      <c r="K978" s="67"/>
      <c r="R978" s="67"/>
    </row>
    <row r="979">
      <c r="J979" s="67"/>
      <c r="K979" s="67"/>
      <c r="R979" s="67"/>
    </row>
    <row r="980">
      <c r="J980" s="67"/>
      <c r="K980" s="67"/>
      <c r="R980" s="67"/>
    </row>
    <row r="981">
      <c r="J981" s="67"/>
      <c r="K981" s="67"/>
      <c r="R981" s="67"/>
    </row>
    <row r="982">
      <c r="J982" s="67"/>
      <c r="K982" s="67"/>
      <c r="R982" s="67"/>
    </row>
    <row r="983">
      <c r="J983" s="67"/>
      <c r="K983" s="67"/>
      <c r="R983" s="67"/>
    </row>
    <row r="984">
      <c r="J984" s="67"/>
      <c r="K984" s="67"/>
      <c r="R984" s="67"/>
    </row>
    <row r="985">
      <c r="J985" s="67"/>
      <c r="K985" s="67"/>
      <c r="R985" s="67"/>
    </row>
    <row r="986">
      <c r="J986" s="67"/>
      <c r="K986" s="67"/>
      <c r="R986" s="67"/>
    </row>
    <row r="987">
      <c r="J987" s="67"/>
      <c r="K987" s="67"/>
      <c r="R987" s="67"/>
    </row>
    <row r="988">
      <c r="J988" s="67"/>
      <c r="K988" s="67"/>
      <c r="R988" s="67"/>
    </row>
    <row r="989">
      <c r="J989" s="67"/>
      <c r="K989" s="67"/>
      <c r="R989" s="67"/>
    </row>
    <row r="990">
      <c r="J990" s="67"/>
      <c r="K990" s="67"/>
      <c r="R990" s="67"/>
    </row>
    <row r="991">
      <c r="J991" s="67"/>
      <c r="K991" s="67"/>
      <c r="R991" s="67"/>
    </row>
    <row r="992">
      <c r="J992" s="67"/>
      <c r="K992" s="67"/>
      <c r="R992" s="67"/>
    </row>
    <row r="993">
      <c r="J993" s="67"/>
      <c r="K993" s="67"/>
      <c r="R993" s="67"/>
    </row>
    <row r="994">
      <c r="J994" s="67"/>
      <c r="K994" s="67"/>
      <c r="R994" s="67"/>
    </row>
    <row r="995">
      <c r="J995" s="67"/>
      <c r="K995" s="67"/>
      <c r="R995" s="67"/>
    </row>
    <row r="996">
      <c r="J996" s="67"/>
      <c r="K996" s="67"/>
      <c r="R996" s="67"/>
    </row>
    <row r="997">
      <c r="J997" s="67"/>
      <c r="K997" s="67"/>
      <c r="R997" s="67"/>
    </row>
    <row r="998">
      <c r="J998" s="67"/>
      <c r="K998" s="67"/>
      <c r="R998" s="67"/>
    </row>
    <row r="999">
      <c r="J999" s="67"/>
      <c r="K999" s="67"/>
      <c r="R999" s="67"/>
    </row>
    <row r="1000">
      <c r="J1000" s="67"/>
      <c r="K1000" s="67"/>
      <c r="R1000" s="67"/>
    </row>
    <row r="1001">
      <c r="J1001" s="67"/>
      <c r="K1001" s="67"/>
      <c r="R1001" s="67"/>
    </row>
    <row r="1002">
      <c r="J1002" s="67"/>
      <c r="K1002" s="67"/>
      <c r="R1002" s="67"/>
    </row>
    <row r="1003">
      <c r="J1003" s="67"/>
      <c r="K1003" s="67"/>
      <c r="R1003" s="67"/>
    </row>
    <row r="1004">
      <c r="J1004" s="67"/>
      <c r="K1004" s="67"/>
      <c r="R1004" s="67"/>
    </row>
    <row r="1005">
      <c r="J1005" s="67"/>
      <c r="K1005" s="67"/>
      <c r="R1005" s="67"/>
    </row>
    <row r="1006">
      <c r="J1006" s="67"/>
      <c r="K1006" s="67"/>
      <c r="R1006" s="67"/>
    </row>
    <row r="1007">
      <c r="J1007" s="67"/>
      <c r="K1007" s="67"/>
      <c r="R1007" s="67"/>
    </row>
    <row r="1008">
      <c r="J1008" s="67"/>
      <c r="K1008" s="67"/>
      <c r="R1008" s="67"/>
    </row>
    <row r="1009">
      <c r="J1009" s="67"/>
      <c r="K1009" s="67"/>
      <c r="R1009" s="67"/>
    </row>
    <row r="1010">
      <c r="J1010" s="67"/>
      <c r="K1010" s="67"/>
      <c r="R1010" s="67"/>
    </row>
    <row r="1011">
      <c r="J1011" s="67"/>
      <c r="K1011" s="67"/>
      <c r="R1011" s="67"/>
    </row>
    <row r="1012">
      <c r="J1012" s="67"/>
      <c r="K1012" s="67"/>
      <c r="R1012" s="67"/>
    </row>
    <row r="1013">
      <c r="J1013" s="67"/>
      <c r="K1013" s="67"/>
      <c r="R1013" s="67"/>
    </row>
    <row r="1014">
      <c r="J1014" s="67"/>
      <c r="K1014" s="67"/>
      <c r="R1014" s="67"/>
    </row>
    <row r="1015">
      <c r="J1015" s="67"/>
      <c r="K1015" s="67"/>
      <c r="R1015" s="67"/>
    </row>
    <row r="1016">
      <c r="J1016" s="67"/>
      <c r="K1016" s="67"/>
      <c r="R1016" s="67"/>
    </row>
    <row r="1017">
      <c r="J1017" s="67"/>
      <c r="K1017" s="67"/>
      <c r="R1017" s="67"/>
    </row>
    <row r="1018">
      <c r="J1018" s="67"/>
      <c r="K1018" s="67"/>
      <c r="R1018" s="67"/>
    </row>
    <row r="1019">
      <c r="J1019" s="67"/>
      <c r="K1019" s="67"/>
      <c r="R1019" s="67"/>
    </row>
    <row r="1020">
      <c r="J1020" s="67"/>
      <c r="K1020" s="67"/>
      <c r="R1020" s="67"/>
    </row>
    <row r="1021">
      <c r="J1021" s="67"/>
      <c r="K1021" s="67"/>
      <c r="R1021" s="67"/>
    </row>
    <row r="1022">
      <c r="J1022" s="67"/>
      <c r="K1022" s="67"/>
      <c r="R1022" s="67"/>
    </row>
    <row r="1023">
      <c r="J1023" s="67"/>
      <c r="K1023" s="67"/>
      <c r="R1023" s="67"/>
    </row>
    <row r="1024">
      <c r="J1024" s="67"/>
      <c r="K1024" s="67"/>
      <c r="R1024" s="67"/>
    </row>
    <row r="1025">
      <c r="J1025" s="67"/>
      <c r="K1025" s="67"/>
      <c r="R1025" s="67"/>
    </row>
    <row r="1026">
      <c r="J1026" s="67"/>
      <c r="K1026" s="67"/>
      <c r="R1026" s="67"/>
    </row>
    <row r="1027">
      <c r="J1027" s="67"/>
      <c r="K1027" s="67"/>
      <c r="R1027" s="67"/>
    </row>
    <row r="1028">
      <c r="J1028" s="67"/>
      <c r="K1028" s="67"/>
      <c r="R1028" s="67"/>
    </row>
    <row r="1029">
      <c r="J1029" s="67"/>
      <c r="K1029" s="67"/>
      <c r="R1029" s="67"/>
    </row>
    <row r="1030">
      <c r="J1030" s="67"/>
      <c r="K1030" s="67"/>
      <c r="R1030" s="67"/>
    </row>
    <row r="1031">
      <c r="J1031" s="67"/>
      <c r="K1031" s="67"/>
      <c r="R1031" s="67"/>
    </row>
    <row r="1032">
      <c r="J1032" s="67"/>
      <c r="K1032" s="67"/>
      <c r="R1032" s="67"/>
    </row>
    <row r="1033">
      <c r="J1033" s="67"/>
      <c r="K1033" s="67"/>
      <c r="R1033" s="67"/>
    </row>
    <row r="1034">
      <c r="J1034" s="67"/>
      <c r="K1034" s="67"/>
      <c r="R1034" s="67"/>
    </row>
    <row r="1035">
      <c r="J1035" s="67"/>
      <c r="K1035" s="67"/>
      <c r="R1035" s="67"/>
    </row>
    <row r="1036">
      <c r="J1036" s="67"/>
      <c r="K1036" s="67"/>
      <c r="R1036" s="67"/>
    </row>
    <row r="1037">
      <c r="J1037" s="67"/>
      <c r="K1037" s="67"/>
      <c r="R1037" s="67"/>
    </row>
    <row r="1038">
      <c r="J1038" s="67"/>
      <c r="K1038" s="67"/>
      <c r="R1038" s="67"/>
    </row>
    <row r="1039">
      <c r="J1039" s="67"/>
      <c r="K1039" s="67"/>
      <c r="R1039" s="67"/>
    </row>
    <row r="1040">
      <c r="J1040" s="67"/>
      <c r="K1040" s="67"/>
      <c r="R1040" s="67"/>
    </row>
    <row r="1041">
      <c r="J1041" s="67"/>
      <c r="K1041" s="67"/>
      <c r="R1041" s="67"/>
    </row>
    <row r="1042">
      <c r="J1042" s="67"/>
      <c r="K1042" s="67"/>
      <c r="R1042" s="67"/>
    </row>
    <row r="1043">
      <c r="J1043" s="67"/>
      <c r="K1043" s="67"/>
      <c r="R1043" s="67"/>
    </row>
    <row r="1044">
      <c r="J1044" s="67"/>
      <c r="K1044" s="67"/>
      <c r="R1044" s="67"/>
    </row>
    <row r="1045">
      <c r="J1045" s="67"/>
      <c r="K1045" s="67"/>
      <c r="R1045" s="67"/>
    </row>
    <row r="1046">
      <c r="J1046" s="67"/>
      <c r="K1046" s="67"/>
      <c r="R1046" s="67"/>
    </row>
    <row r="1047">
      <c r="J1047" s="67"/>
      <c r="K1047" s="67"/>
      <c r="R1047" s="67"/>
    </row>
    <row r="1048">
      <c r="J1048" s="67"/>
      <c r="K1048" s="67"/>
      <c r="R1048" s="67"/>
    </row>
    <row r="1049">
      <c r="J1049" s="67"/>
      <c r="K1049" s="67"/>
      <c r="R1049" s="67"/>
    </row>
    <row r="1050">
      <c r="J1050" s="67"/>
      <c r="K1050" s="67"/>
      <c r="R1050" s="67"/>
    </row>
    <row r="1051">
      <c r="J1051" s="67"/>
      <c r="K1051" s="67"/>
      <c r="R1051" s="67"/>
    </row>
    <row r="1052">
      <c r="J1052" s="67"/>
      <c r="K1052" s="67"/>
      <c r="R1052" s="67"/>
    </row>
    <row r="1053">
      <c r="J1053" s="67"/>
      <c r="K1053" s="67"/>
      <c r="R1053" s="67"/>
    </row>
    <row r="1054">
      <c r="J1054" s="67"/>
      <c r="K1054" s="67"/>
      <c r="R1054" s="67"/>
    </row>
    <row r="1055">
      <c r="J1055" s="67"/>
      <c r="K1055" s="67"/>
      <c r="R1055" s="67"/>
    </row>
    <row r="1056">
      <c r="J1056" s="67"/>
      <c r="K1056" s="67"/>
      <c r="R1056" s="67"/>
    </row>
    <row r="1057">
      <c r="J1057" s="67"/>
      <c r="K1057" s="67"/>
      <c r="R1057" s="67"/>
    </row>
    <row r="1058">
      <c r="J1058" s="67"/>
      <c r="K1058" s="67"/>
      <c r="R1058" s="67"/>
    </row>
    <row r="1059">
      <c r="J1059" s="67"/>
      <c r="K1059" s="67"/>
      <c r="R1059" s="67"/>
    </row>
    <row r="1060">
      <c r="J1060" s="67"/>
      <c r="K1060" s="67"/>
      <c r="R1060" s="67"/>
    </row>
    <row r="1061">
      <c r="J1061" s="67"/>
      <c r="K1061" s="67"/>
      <c r="R1061" s="67"/>
    </row>
    <row r="1062">
      <c r="J1062" s="67"/>
      <c r="K1062" s="67"/>
      <c r="R1062" s="67"/>
    </row>
    <row r="1063">
      <c r="J1063" s="67"/>
      <c r="K1063" s="67"/>
      <c r="R1063" s="67"/>
    </row>
    <row r="1064">
      <c r="J1064" s="67"/>
      <c r="K1064" s="67"/>
      <c r="R1064" s="67"/>
    </row>
    <row r="1065">
      <c r="J1065" s="67"/>
      <c r="K1065" s="67"/>
      <c r="R1065" s="67"/>
    </row>
    <row r="1066">
      <c r="J1066" s="67"/>
      <c r="K1066" s="67"/>
      <c r="R1066" s="67"/>
    </row>
    <row r="1067">
      <c r="J1067" s="67"/>
      <c r="K1067" s="67"/>
      <c r="R1067" s="67"/>
    </row>
    <row r="1068">
      <c r="J1068" s="67"/>
      <c r="K1068" s="67"/>
      <c r="R1068" s="67"/>
    </row>
    <row r="1069">
      <c r="J1069" s="67"/>
      <c r="K1069" s="67"/>
      <c r="R1069" s="67"/>
    </row>
    <row r="1070">
      <c r="J1070" s="67"/>
      <c r="K1070" s="67"/>
      <c r="R1070" s="67"/>
    </row>
    <row r="1071">
      <c r="J1071" s="67"/>
      <c r="K1071" s="67"/>
      <c r="R1071" s="67"/>
    </row>
    <row r="1072">
      <c r="J1072" s="67"/>
      <c r="K1072" s="67"/>
      <c r="R1072" s="67"/>
    </row>
    <row r="1073">
      <c r="J1073" s="67"/>
      <c r="K1073" s="67"/>
      <c r="R1073" s="67"/>
    </row>
    <row r="1074">
      <c r="J1074" s="67"/>
      <c r="K1074" s="67"/>
      <c r="R1074" s="67"/>
    </row>
    <row r="1075">
      <c r="J1075" s="67"/>
      <c r="K1075" s="67"/>
      <c r="R1075" s="67"/>
    </row>
    <row r="1076">
      <c r="J1076" s="67"/>
      <c r="K1076" s="67"/>
      <c r="R1076" s="67"/>
    </row>
    <row r="1077">
      <c r="J1077" s="67"/>
      <c r="K1077" s="67"/>
      <c r="R1077" s="67"/>
    </row>
    <row r="1078">
      <c r="J1078" s="67"/>
      <c r="K1078" s="67"/>
      <c r="R1078" s="67"/>
    </row>
    <row r="1079">
      <c r="J1079" s="67"/>
      <c r="K1079" s="67"/>
      <c r="R1079" s="67"/>
    </row>
    <row r="1080">
      <c r="J1080" s="67"/>
      <c r="K1080" s="67"/>
      <c r="R1080" s="67"/>
    </row>
    <row r="1081">
      <c r="J1081" s="67"/>
      <c r="K1081" s="67"/>
      <c r="R1081" s="67"/>
    </row>
    <row r="1082">
      <c r="J1082" s="67"/>
      <c r="K1082" s="67"/>
      <c r="R1082" s="67"/>
    </row>
    <row r="1083">
      <c r="J1083" s="67"/>
      <c r="K1083" s="67"/>
      <c r="R1083" s="67"/>
    </row>
    <row r="1084">
      <c r="J1084" s="67"/>
      <c r="K1084" s="67"/>
      <c r="R1084" s="67"/>
    </row>
    <row r="1085">
      <c r="J1085" s="67"/>
      <c r="K1085" s="67"/>
      <c r="R1085" s="67"/>
    </row>
    <row r="1086">
      <c r="J1086" s="67"/>
      <c r="K1086" s="67"/>
      <c r="R1086" s="67"/>
    </row>
    <row r="1087">
      <c r="J1087" s="67"/>
      <c r="K1087" s="67"/>
      <c r="R1087" s="67"/>
    </row>
    <row r="1088">
      <c r="J1088" s="67"/>
      <c r="K1088" s="67"/>
      <c r="R1088" s="67"/>
    </row>
    <row r="1089">
      <c r="J1089" s="67"/>
      <c r="K1089" s="67"/>
      <c r="R1089" s="67"/>
    </row>
    <row r="1090">
      <c r="J1090" s="67"/>
      <c r="K1090" s="67"/>
      <c r="R1090" s="67"/>
    </row>
    <row r="1091">
      <c r="J1091" s="67"/>
      <c r="K1091" s="67"/>
      <c r="R1091" s="67"/>
    </row>
    <row r="1092">
      <c r="J1092" s="67"/>
      <c r="K1092" s="67"/>
      <c r="R1092" s="67"/>
    </row>
    <row r="1093">
      <c r="J1093" s="67"/>
      <c r="K1093" s="67"/>
      <c r="R1093" s="67"/>
    </row>
    <row r="1094">
      <c r="J1094" s="67"/>
      <c r="K1094" s="67"/>
      <c r="R1094" s="67"/>
    </row>
    <row r="1095">
      <c r="J1095" s="67"/>
      <c r="K1095" s="67"/>
      <c r="R1095" s="67"/>
    </row>
    <row r="1096">
      <c r="J1096" s="67"/>
      <c r="K1096" s="67"/>
      <c r="R1096" s="67"/>
    </row>
    <row r="1097">
      <c r="J1097" s="67"/>
      <c r="K1097" s="67"/>
      <c r="R1097" s="67"/>
    </row>
    <row r="1098">
      <c r="J1098" s="67"/>
      <c r="K1098" s="67"/>
      <c r="R1098" s="67"/>
    </row>
    <row r="1099">
      <c r="J1099" s="67"/>
      <c r="K1099" s="67"/>
      <c r="R1099" s="67"/>
    </row>
    <row r="1100">
      <c r="J1100" s="67"/>
      <c r="K1100" s="67"/>
      <c r="R1100" s="67"/>
    </row>
    <row r="1101">
      <c r="J1101" s="67"/>
      <c r="K1101" s="67"/>
      <c r="R1101" s="67"/>
    </row>
    <row r="1102">
      <c r="J1102" s="67"/>
      <c r="K1102" s="67"/>
      <c r="R1102" s="67"/>
    </row>
    <row r="1103">
      <c r="J1103" s="67"/>
      <c r="K1103" s="67"/>
      <c r="R1103" s="67"/>
    </row>
    <row r="1104">
      <c r="J1104" s="67"/>
      <c r="K1104" s="67"/>
      <c r="R1104" s="67"/>
    </row>
    <row r="1105">
      <c r="J1105" s="67"/>
      <c r="K1105" s="67"/>
      <c r="R1105" s="67"/>
    </row>
    <row r="1106">
      <c r="J1106" s="67"/>
      <c r="K1106" s="67"/>
      <c r="R1106" s="67"/>
    </row>
    <row r="1107">
      <c r="J1107" s="67"/>
      <c r="K1107" s="67"/>
      <c r="R1107" s="67"/>
    </row>
    <row r="1108">
      <c r="J1108" s="67"/>
      <c r="K1108" s="67"/>
      <c r="R1108" s="67"/>
    </row>
    <row r="1109">
      <c r="J1109" s="67"/>
      <c r="K1109" s="67"/>
      <c r="R1109" s="67"/>
    </row>
    <row r="1110">
      <c r="J1110" s="67"/>
      <c r="K1110" s="67"/>
      <c r="R1110" s="67"/>
    </row>
    <row r="1111">
      <c r="J1111" s="67"/>
      <c r="K1111" s="67"/>
      <c r="R1111" s="67"/>
    </row>
    <row r="1112">
      <c r="J1112" s="67"/>
      <c r="K1112" s="67"/>
      <c r="R1112" s="67"/>
    </row>
    <row r="1113">
      <c r="J1113" s="67"/>
      <c r="K1113" s="67"/>
      <c r="R1113" s="67"/>
    </row>
    <row r="1114">
      <c r="J1114" s="67"/>
      <c r="K1114" s="67"/>
      <c r="R1114" s="67"/>
    </row>
    <row r="1115">
      <c r="J1115" s="67"/>
      <c r="K1115" s="67"/>
      <c r="R1115" s="67"/>
    </row>
    <row r="1116">
      <c r="J1116" s="67"/>
      <c r="K1116" s="67"/>
      <c r="R1116" s="67"/>
    </row>
    <row r="1117">
      <c r="J1117" s="67"/>
      <c r="K1117" s="67"/>
      <c r="R1117" s="67"/>
    </row>
    <row r="1118">
      <c r="J1118" s="67"/>
      <c r="K1118" s="67"/>
      <c r="R1118" s="67"/>
    </row>
    <row r="1119">
      <c r="J1119" s="67"/>
      <c r="K1119" s="67"/>
      <c r="R1119" s="67"/>
    </row>
    <row r="1120">
      <c r="J1120" s="67"/>
      <c r="K1120" s="67"/>
      <c r="R1120" s="67"/>
    </row>
    <row r="1121">
      <c r="J1121" s="67"/>
      <c r="K1121" s="67"/>
      <c r="R1121" s="67"/>
    </row>
    <row r="1122">
      <c r="J1122" s="67"/>
      <c r="K1122" s="67"/>
      <c r="R1122" s="67"/>
    </row>
    <row r="1123">
      <c r="J1123" s="67"/>
      <c r="K1123" s="67"/>
      <c r="R1123" s="67"/>
    </row>
    <row r="1124">
      <c r="J1124" s="67"/>
      <c r="K1124" s="67"/>
      <c r="R1124" s="67"/>
    </row>
    <row r="1125">
      <c r="J1125" s="67"/>
      <c r="K1125" s="67"/>
      <c r="R1125" s="67"/>
    </row>
    <row r="1126">
      <c r="J1126" s="67"/>
      <c r="K1126" s="67"/>
      <c r="R1126" s="67"/>
    </row>
    <row r="1127">
      <c r="J1127" s="67"/>
      <c r="K1127" s="67"/>
      <c r="R1127" s="67"/>
    </row>
    <row r="1128">
      <c r="J1128" s="67"/>
      <c r="K1128" s="67"/>
      <c r="R1128" s="67"/>
    </row>
    <row r="1129">
      <c r="J1129" s="67"/>
      <c r="K1129" s="67"/>
      <c r="R1129" s="67"/>
    </row>
    <row r="1130">
      <c r="J1130" s="67"/>
      <c r="K1130" s="67"/>
      <c r="R1130" s="67"/>
    </row>
    <row r="1131">
      <c r="J1131" s="67"/>
      <c r="K1131" s="67"/>
      <c r="R1131" s="67"/>
    </row>
    <row r="1132">
      <c r="J1132" s="67"/>
      <c r="K1132" s="67"/>
      <c r="R1132" s="67"/>
    </row>
    <row r="1133">
      <c r="J1133" s="67"/>
      <c r="K1133" s="67"/>
      <c r="R1133" s="67"/>
    </row>
    <row r="1134">
      <c r="J1134" s="67"/>
      <c r="K1134" s="67"/>
      <c r="R1134" s="67"/>
    </row>
    <row r="1135">
      <c r="J1135" s="67"/>
      <c r="K1135" s="67"/>
      <c r="R1135" s="67"/>
    </row>
    <row r="1136">
      <c r="J1136" s="67"/>
      <c r="K1136" s="67"/>
      <c r="R1136" s="67"/>
    </row>
    <row r="1137">
      <c r="J1137" s="67"/>
      <c r="K1137" s="67"/>
      <c r="R1137" s="67"/>
    </row>
    <row r="1138">
      <c r="J1138" s="67"/>
      <c r="K1138" s="67"/>
      <c r="R1138" s="67"/>
    </row>
    <row r="1139">
      <c r="J1139" s="67"/>
      <c r="K1139" s="67"/>
      <c r="R1139" s="67"/>
    </row>
    <row r="1140">
      <c r="J1140" s="67"/>
      <c r="K1140" s="67"/>
      <c r="R1140" s="67"/>
    </row>
    <row r="1141">
      <c r="J1141" s="67"/>
      <c r="K1141" s="67"/>
      <c r="R1141" s="67"/>
    </row>
    <row r="1142">
      <c r="J1142" s="67"/>
      <c r="K1142" s="67"/>
      <c r="R1142" s="67"/>
    </row>
    <row r="1143">
      <c r="J1143" s="67"/>
      <c r="K1143" s="67"/>
      <c r="R1143" s="67"/>
    </row>
    <row r="1144">
      <c r="J1144" s="67"/>
      <c r="K1144" s="67"/>
      <c r="R1144" s="67"/>
    </row>
    <row r="1145">
      <c r="J1145" s="67"/>
      <c r="K1145" s="67"/>
      <c r="R1145" s="67"/>
    </row>
    <row r="1146">
      <c r="J1146" s="67"/>
      <c r="K1146" s="67"/>
      <c r="R1146" s="67"/>
    </row>
    <row r="1147">
      <c r="J1147" s="67"/>
      <c r="K1147" s="67"/>
      <c r="R1147" s="67"/>
    </row>
    <row r="1148">
      <c r="J1148" s="67"/>
      <c r="K1148" s="67"/>
      <c r="R1148" s="67"/>
    </row>
    <row r="1149">
      <c r="J1149" s="67"/>
      <c r="K1149" s="67"/>
      <c r="R1149" s="67"/>
    </row>
    <row r="1150">
      <c r="J1150" s="67"/>
      <c r="K1150" s="67"/>
      <c r="R1150" s="67"/>
    </row>
    <row r="1151">
      <c r="J1151" s="67"/>
      <c r="K1151" s="67"/>
      <c r="R1151" s="67"/>
    </row>
    <row r="1152">
      <c r="J1152" s="67"/>
      <c r="K1152" s="67"/>
      <c r="R1152" s="67"/>
    </row>
    <row r="1153">
      <c r="J1153" s="67"/>
      <c r="K1153" s="67"/>
      <c r="R1153" s="67"/>
    </row>
    <row r="1154">
      <c r="J1154" s="67"/>
      <c r="K1154" s="67"/>
      <c r="R1154" s="67"/>
    </row>
    <row r="1155">
      <c r="J1155" s="67"/>
      <c r="K1155" s="67"/>
      <c r="R1155" s="67"/>
    </row>
    <row r="1156">
      <c r="J1156" s="67"/>
      <c r="K1156" s="67"/>
      <c r="R1156" s="67"/>
    </row>
    <row r="1157">
      <c r="J1157" s="67"/>
      <c r="K1157" s="67"/>
      <c r="R1157" s="67"/>
    </row>
    <row r="1158">
      <c r="J1158" s="67"/>
      <c r="K1158" s="67"/>
      <c r="R1158" s="67"/>
    </row>
    <row r="1159">
      <c r="J1159" s="67"/>
      <c r="K1159" s="67"/>
      <c r="R1159" s="67"/>
    </row>
    <row r="1160">
      <c r="J1160" s="67"/>
      <c r="K1160" s="67"/>
      <c r="R1160" s="67"/>
    </row>
    <row r="1161">
      <c r="J1161" s="67"/>
      <c r="K1161" s="67"/>
      <c r="R1161" s="67"/>
    </row>
    <row r="1162">
      <c r="J1162" s="67"/>
      <c r="K1162" s="67"/>
      <c r="R1162" s="67"/>
    </row>
    <row r="1163">
      <c r="J1163" s="67"/>
      <c r="K1163" s="67"/>
      <c r="R1163" s="67"/>
    </row>
    <row r="1164">
      <c r="J1164" s="67"/>
      <c r="K1164" s="67"/>
      <c r="R1164" s="67"/>
    </row>
    <row r="1165">
      <c r="J1165" s="67"/>
      <c r="K1165" s="67"/>
      <c r="R1165" s="67"/>
    </row>
    <row r="1166">
      <c r="J1166" s="67"/>
      <c r="K1166" s="67"/>
      <c r="R1166" s="67"/>
    </row>
    <row r="1167">
      <c r="J1167" s="67"/>
      <c r="K1167" s="67"/>
      <c r="R1167" s="67"/>
    </row>
    <row r="1168">
      <c r="J1168" s="67"/>
      <c r="K1168" s="67"/>
      <c r="R1168" s="67"/>
    </row>
    <row r="1169">
      <c r="J1169" s="67"/>
      <c r="K1169" s="67"/>
      <c r="R1169" s="67"/>
    </row>
    <row r="1170">
      <c r="J1170" s="67"/>
      <c r="K1170" s="67"/>
      <c r="R1170" s="67"/>
    </row>
    <row r="1171">
      <c r="J1171" s="67"/>
      <c r="K1171" s="67"/>
      <c r="R1171" s="67"/>
    </row>
    <row r="1172">
      <c r="J1172" s="67"/>
      <c r="K1172" s="67"/>
      <c r="R1172" s="67"/>
    </row>
    <row r="1173">
      <c r="J1173" s="67"/>
      <c r="K1173" s="67"/>
      <c r="R1173" s="67"/>
    </row>
    <row r="1174">
      <c r="J1174" s="67"/>
      <c r="K1174" s="67"/>
      <c r="R1174" s="67"/>
    </row>
    <row r="1175">
      <c r="J1175" s="67"/>
      <c r="K1175" s="67"/>
      <c r="R1175" s="67"/>
    </row>
    <row r="1176">
      <c r="J1176" s="67"/>
      <c r="K1176" s="67"/>
      <c r="R1176" s="67"/>
    </row>
    <row r="1177">
      <c r="J1177" s="67"/>
      <c r="K1177" s="67"/>
      <c r="R1177" s="67"/>
    </row>
    <row r="1178">
      <c r="J1178" s="67"/>
      <c r="K1178" s="67"/>
      <c r="R1178" s="67"/>
    </row>
    <row r="1179">
      <c r="J1179" s="67"/>
      <c r="K1179" s="67"/>
      <c r="R1179" s="67"/>
    </row>
    <row r="1180">
      <c r="J1180" s="67"/>
      <c r="K1180" s="67"/>
      <c r="R1180" s="67"/>
    </row>
    <row r="1181">
      <c r="J1181" s="67"/>
      <c r="K1181" s="67"/>
      <c r="R1181" s="67"/>
    </row>
    <row r="1182">
      <c r="J1182" s="67"/>
      <c r="K1182" s="67"/>
      <c r="R1182" s="67"/>
    </row>
    <row r="1183">
      <c r="J1183" s="67"/>
      <c r="K1183" s="67"/>
      <c r="R1183" s="67"/>
    </row>
    <row r="1184">
      <c r="J1184" s="67"/>
      <c r="K1184" s="67"/>
      <c r="R1184" s="67"/>
    </row>
    <row r="1185">
      <c r="J1185" s="67"/>
      <c r="K1185" s="67"/>
      <c r="R1185" s="67"/>
    </row>
    <row r="1186">
      <c r="J1186" s="67"/>
      <c r="K1186" s="67"/>
      <c r="R1186" s="67"/>
    </row>
    <row r="1187">
      <c r="J1187" s="67"/>
      <c r="K1187" s="67"/>
      <c r="R1187" s="67"/>
    </row>
    <row r="1188">
      <c r="J1188" s="67"/>
      <c r="K1188" s="67"/>
      <c r="R1188" s="67"/>
    </row>
    <row r="1189">
      <c r="J1189" s="67"/>
      <c r="K1189" s="67"/>
      <c r="R1189" s="67"/>
    </row>
    <row r="1190">
      <c r="J1190" s="67"/>
      <c r="K1190" s="67"/>
      <c r="R1190" s="67"/>
    </row>
    <row r="1191">
      <c r="J1191" s="67"/>
      <c r="K1191" s="67"/>
      <c r="R1191" s="67"/>
    </row>
    <row r="1192">
      <c r="J1192" s="67"/>
      <c r="K1192" s="67"/>
      <c r="R1192" s="67"/>
    </row>
    <row r="1193">
      <c r="J1193" s="67"/>
      <c r="K1193" s="67"/>
      <c r="R1193" s="67"/>
    </row>
    <row r="1194">
      <c r="J1194" s="67"/>
      <c r="K1194" s="67"/>
      <c r="R1194" s="67"/>
    </row>
    <row r="1195">
      <c r="J1195" s="67"/>
      <c r="K1195" s="67"/>
      <c r="R1195" s="67"/>
    </row>
  </sheetData>
  <mergeCells count="56">
    <mergeCell ref="A1:K1"/>
    <mergeCell ref="A2:K2"/>
    <mergeCell ref="N4:Q4"/>
    <mergeCell ref="N5:Q5"/>
    <mergeCell ref="A18:K18"/>
    <mergeCell ref="N21:Q21"/>
    <mergeCell ref="N22:Q22"/>
    <mergeCell ref="A19:K19"/>
    <mergeCell ref="A35:K35"/>
    <mergeCell ref="A36:K36"/>
    <mergeCell ref="N38:Q38"/>
    <mergeCell ref="N39:Q39"/>
    <mergeCell ref="A53:K53"/>
    <mergeCell ref="A54:K54"/>
    <mergeCell ref="N56:Q56"/>
    <mergeCell ref="N57:Q57"/>
    <mergeCell ref="A71:K71"/>
    <mergeCell ref="A72:K72"/>
    <mergeCell ref="N74:Q74"/>
    <mergeCell ref="N75:Q75"/>
    <mergeCell ref="A88:K88"/>
    <mergeCell ref="A89:K89"/>
    <mergeCell ref="N91:Q91"/>
    <mergeCell ref="N92:Q92"/>
    <mergeCell ref="A106:K106"/>
    <mergeCell ref="A107:K107"/>
    <mergeCell ref="N109:Q109"/>
    <mergeCell ref="N110:Q110"/>
    <mergeCell ref="A123:K123"/>
    <mergeCell ref="A124:K124"/>
    <mergeCell ref="N126:Q126"/>
    <mergeCell ref="N127:Q127"/>
    <mergeCell ref="A140:K140"/>
    <mergeCell ref="N143:Q143"/>
    <mergeCell ref="N144:Q144"/>
    <mergeCell ref="A141:K141"/>
    <mergeCell ref="A158:K158"/>
    <mergeCell ref="A159:K159"/>
    <mergeCell ref="N160:Q160"/>
    <mergeCell ref="N161:Q161"/>
    <mergeCell ref="A177:K177"/>
    <mergeCell ref="A178:K178"/>
    <mergeCell ref="A213:K213"/>
    <mergeCell ref="N215:Q215"/>
    <mergeCell ref="N216:Q216"/>
    <mergeCell ref="A230:K230"/>
    <mergeCell ref="A231:K231"/>
    <mergeCell ref="N235:Q235"/>
    <mergeCell ref="N236:Q236"/>
    <mergeCell ref="N180:Q180"/>
    <mergeCell ref="N181:Q181"/>
    <mergeCell ref="A194:K194"/>
    <mergeCell ref="A195:K195"/>
    <mergeCell ref="N197:Q197"/>
    <mergeCell ref="N198:Q198"/>
    <mergeCell ref="A212:K212"/>
  </mergeCells>
  <dataValidations>
    <dataValidation type="list" allowBlank="1" showErrorMessage="1" sqref="I4:I15 I21:I32 I38:I49 I56:I66 I74:I85 I91:I102 I109:I120 I126:I137 I143:I154 I161:I172 I197:I208 I215:I226 I233:I244">
      <formula1>"Não atendido ,Atendido ,Cancelado ,Vagas livres,Bloqueada"</formula1>
    </dataValidation>
    <dataValidation type="list" allowBlank="1" showErrorMessage="1" sqref="I180:I191">
      <formula1>"Não atendido ,Atendido ,Cancelado ,Vagas Livres"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63" t="s">
        <v>1591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32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74" t="s">
        <v>333</v>
      </c>
      <c r="C4" s="74" t="s">
        <v>1592</v>
      </c>
      <c r="D4" s="75">
        <v>0.5416666666666666</v>
      </c>
      <c r="E4" s="246" t="s">
        <v>1131</v>
      </c>
      <c r="F4" s="210" t="s">
        <v>1593</v>
      </c>
      <c r="G4" s="133" t="s">
        <v>1132</v>
      </c>
      <c r="H4" s="211">
        <v>35282.0</v>
      </c>
      <c r="I4" s="41" t="s">
        <v>183</v>
      </c>
      <c r="J4" s="102" t="s">
        <v>1594</v>
      </c>
      <c r="K4" s="102" t="s">
        <v>1595</v>
      </c>
      <c r="N4" s="268" t="s">
        <v>387</v>
      </c>
      <c r="O4" s="100"/>
      <c r="P4" s="100"/>
      <c r="Q4" s="100"/>
      <c r="R4" s="67"/>
    </row>
    <row r="5">
      <c r="A5" s="12" t="s">
        <v>11</v>
      </c>
      <c r="B5" s="301" t="s">
        <v>259</v>
      </c>
      <c r="C5" s="74" t="s">
        <v>1592</v>
      </c>
      <c r="D5" s="75">
        <v>0.5555555555555556</v>
      </c>
      <c r="E5" s="287" t="s">
        <v>922</v>
      </c>
      <c r="F5" s="301">
        <v>8.98000081671239E14</v>
      </c>
      <c r="G5" s="301" t="s">
        <v>923</v>
      </c>
      <c r="H5" s="166">
        <v>21813.0</v>
      </c>
      <c r="I5" s="41" t="s">
        <v>183</v>
      </c>
      <c r="J5" s="42" t="s">
        <v>924</v>
      </c>
      <c r="K5" s="42"/>
      <c r="N5" s="270" t="s">
        <v>489</v>
      </c>
      <c r="O5" s="2"/>
      <c r="P5" s="2"/>
      <c r="Q5" s="2"/>
      <c r="R5" s="67"/>
    </row>
    <row r="6" ht="26.25" customHeight="1">
      <c r="A6" s="12" t="s">
        <v>12</v>
      </c>
      <c r="B6" s="74" t="s">
        <v>1596</v>
      </c>
      <c r="C6" s="74" t="s">
        <v>1592</v>
      </c>
      <c r="D6" s="75">
        <v>0.5694444444444444</v>
      </c>
      <c r="E6" s="287" t="s">
        <v>919</v>
      </c>
      <c r="F6" s="301">
        <v>7.06801766211026E14</v>
      </c>
      <c r="G6" s="301" t="s">
        <v>1097</v>
      </c>
      <c r="H6" s="166">
        <v>15079.0</v>
      </c>
      <c r="I6" s="41" t="s">
        <v>183</v>
      </c>
      <c r="J6" s="42" t="s">
        <v>921</v>
      </c>
      <c r="K6" s="102" t="s">
        <v>1597</v>
      </c>
      <c r="N6" s="271" t="s">
        <v>183</v>
      </c>
      <c r="O6" s="272" t="s">
        <v>195</v>
      </c>
      <c r="P6" s="272" t="s">
        <v>181</v>
      </c>
      <c r="Q6" s="273" t="s">
        <v>173</v>
      </c>
      <c r="R6" s="67"/>
    </row>
    <row r="7">
      <c r="A7" s="12" t="s">
        <v>13</v>
      </c>
      <c r="B7" s="74" t="s">
        <v>1598</v>
      </c>
      <c r="C7" s="74" t="s">
        <v>1592</v>
      </c>
      <c r="D7" s="75">
        <v>0.5833333333333334</v>
      </c>
      <c r="E7" s="241" t="s">
        <v>1599</v>
      </c>
      <c r="F7" s="84" t="s">
        <v>1600</v>
      </c>
      <c r="G7" s="84" t="s">
        <v>1601</v>
      </c>
      <c r="H7" s="83">
        <v>22099.0</v>
      </c>
      <c r="I7" s="41" t="s">
        <v>183</v>
      </c>
      <c r="J7" s="305" t="s">
        <v>1602</v>
      </c>
      <c r="K7" s="305" t="s">
        <v>1603</v>
      </c>
      <c r="N7" s="275">
        <f t="shared" ref="N7:Q7" si="1">COUNTIFS($I$4:$I$15,N6)</f>
        <v>9</v>
      </c>
      <c r="O7" s="275">
        <f t="shared" si="1"/>
        <v>1</v>
      </c>
      <c r="P7" s="275">
        <f t="shared" si="1"/>
        <v>0</v>
      </c>
      <c r="Q7" s="275">
        <f t="shared" si="1"/>
        <v>1</v>
      </c>
      <c r="R7" s="67"/>
    </row>
    <row r="8">
      <c r="A8" s="12" t="s">
        <v>14</v>
      </c>
      <c r="B8" s="286" t="s">
        <v>1596</v>
      </c>
      <c r="C8" s="74" t="s">
        <v>1592</v>
      </c>
      <c r="D8" s="75">
        <v>0.5972222222222222</v>
      </c>
      <c r="E8" s="306" t="s">
        <v>1604</v>
      </c>
      <c r="F8" s="138">
        <v>2.04301495190008E14</v>
      </c>
      <c r="G8" s="138" t="s">
        <v>1605</v>
      </c>
      <c r="H8" s="308">
        <v>13351.0</v>
      </c>
      <c r="I8" s="41" t="s">
        <v>195</v>
      </c>
      <c r="J8" s="138" t="s">
        <v>1606</v>
      </c>
      <c r="K8" s="138"/>
      <c r="R8" s="67"/>
    </row>
    <row r="9">
      <c r="A9" s="12" t="s">
        <v>15</v>
      </c>
      <c r="B9" s="74" t="s">
        <v>856</v>
      </c>
      <c r="C9" s="74" t="s">
        <v>1592</v>
      </c>
      <c r="D9" s="75">
        <v>0.6111111111111112</v>
      </c>
      <c r="E9" s="242" t="s">
        <v>1607</v>
      </c>
      <c r="F9" s="185">
        <v>7.0250622274824E14</v>
      </c>
      <c r="G9" s="185" t="s">
        <v>1608</v>
      </c>
      <c r="H9" s="77">
        <v>19459.0</v>
      </c>
      <c r="I9" s="41" t="s">
        <v>183</v>
      </c>
      <c r="J9" s="42" t="s">
        <v>1609</v>
      </c>
      <c r="K9" s="42" t="s">
        <v>1610</v>
      </c>
      <c r="R9" s="67"/>
    </row>
    <row r="10">
      <c r="A10" s="12" t="s">
        <v>16</v>
      </c>
      <c r="B10" s="74" t="s">
        <v>259</v>
      </c>
      <c r="C10" s="74" t="s">
        <v>1592</v>
      </c>
      <c r="D10" s="75">
        <v>0.625</v>
      </c>
      <c r="E10" s="241" t="s">
        <v>909</v>
      </c>
      <c r="F10" s="84">
        <v>2.0116833925E14</v>
      </c>
      <c r="G10" s="84" t="s">
        <v>1611</v>
      </c>
      <c r="H10" s="83">
        <v>27594.0</v>
      </c>
      <c r="I10" s="41" t="s">
        <v>183</v>
      </c>
      <c r="J10" s="305" t="s">
        <v>1612</v>
      </c>
      <c r="K10" s="305" t="s">
        <v>1613</v>
      </c>
      <c r="R10" s="67"/>
    </row>
    <row r="11">
      <c r="A11" s="12" t="s">
        <v>17</v>
      </c>
      <c r="B11" s="74" t="s">
        <v>1614</v>
      </c>
      <c r="C11" s="74" t="s">
        <v>1592</v>
      </c>
      <c r="D11" s="75">
        <v>0.6388888888888888</v>
      </c>
      <c r="E11" s="241" t="s">
        <v>1615</v>
      </c>
      <c r="F11" s="84">
        <v>7.0540343538499E14</v>
      </c>
      <c r="G11" s="84" t="s">
        <v>1616</v>
      </c>
      <c r="H11" s="83">
        <v>30613.0</v>
      </c>
      <c r="I11" s="41" t="s">
        <v>183</v>
      </c>
      <c r="J11" s="310" t="s">
        <v>1617</v>
      </c>
      <c r="K11" s="42" t="s">
        <v>1618</v>
      </c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459" t="s">
        <v>1619</v>
      </c>
      <c r="C12" s="74" t="s">
        <v>1592</v>
      </c>
      <c r="D12" s="75">
        <v>0.6527777777777778</v>
      </c>
      <c r="E12" s="278" t="s">
        <v>1620</v>
      </c>
      <c r="F12" s="156">
        <v>8.98001441080297E14</v>
      </c>
      <c r="G12" s="84" t="s">
        <v>1621</v>
      </c>
      <c r="H12" s="91">
        <v>17697.0</v>
      </c>
      <c r="I12" s="41" t="s">
        <v>183</v>
      </c>
      <c r="J12" s="42" t="s">
        <v>1622</v>
      </c>
      <c r="R12" s="67"/>
    </row>
    <row r="13">
      <c r="A13" s="12" t="s">
        <v>87</v>
      </c>
      <c r="B13" s="74" t="s">
        <v>1623</v>
      </c>
      <c r="C13" s="74" t="s">
        <v>1592</v>
      </c>
      <c r="D13" s="75">
        <v>0.6666666666666666</v>
      </c>
      <c r="E13" s="245" t="s">
        <v>1624</v>
      </c>
      <c r="F13" s="156">
        <v>8.98001402134047E14</v>
      </c>
      <c r="G13" s="84" t="s">
        <v>1625</v>
      </c>
      <c r="H13" s="91">
        <v>16847.0</v>
      </c>
      <c r="I13" s="41" t="s">
        <v>173</v>
      </c>
      <c r="J13" s="42" t="s">
        <v>1626</v>
      </c>
      <c r="K13" s="42" t="s">
        <v>1627</v>
      </c>
      <c r="R13" s="67"/>
    </row>
    <row r="14">
      <c r="A14" s="12" t="s">
        <v>90</v>
      </c>
      <c r="B14" s="74" t="s">
        <v>1628</v>
      </c>
      <c r="C14" s="74" t="s">
        <v>1592</v>
      </c>
      <c r="D14" s="75">
        <v>0.6805555555555556</v>
      </c>
      <c r="E14" s="295" t="s">
        <v>1629</v>
      </c>
      <c r="F14" s="133">
        <v>8.01440435147884E14</v>
      </c>
      <c r="G14" s="84" t="s">
        <v>1630</v>
      </c>
      <c r="H14" s="166">
        <v>21621.0</v>
      </c>
      <c r="I14" s="41" t="s">
        <v>183</v>
      </c>
      <c r="J14" s="42" t="s">
        <v>1631</v>
      </c>
      <c r="K14" s="42"/>
      <c r="R14" s="67"/>
    </row>
    <row r="15">
      <c r="A15" s="12" t="s">
        <v>93</v>
      </c>
      <c r="B15" s="74"/>
      <c r="C15" s="74" t="s">
        <v>1592</v>
      </c>
      <c r="D15" s="75">
        <v>0.6944444444444444</v>
      </c>
      <c r="E15" s="295"/>
      <c r="F15" s="133"/>
      <c r="G15" s="84"/>
      <c r="H15" s="166"/>
      <c r="I15" s="41"/>
      <c r="J15" s="42"/>
      <c r="K15" s="42"/>
      <c r="R15" s="67"/>
    </row>
    <row r="16">
      <c r="J16" s="67"/>
      <c r="K16" s="67"/>
      <c r="R16" s="67"/>
    </row>
    <row r="17">
      <c r="J17" s="67"/>
      <c r="K17" s="67"/>
      <c r="R17" s="67"/>
    </row>
    <row r="18" ht="15.0" customHeight="1"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63" t="s">
        <v>1632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32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73"/>
      <c r="C22" s="74" t="s">
        <v>1633</v>
      </c>
      <c r="D22" s="75">
        <v>0.5416666666666666</v>
      </c>
      <c r="E22" s="246"/>
      <c r="F22" s="133"/>
      <c r="G22" s="59"/>
      <c r="H22" s="211"/>
      <c r="I22" s="34" t="s">
        <v>181</v>
      </c>
      <c r="J22" s="102"/>
      <c r="K22" s="102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460" t="s">
        <v>443</v>
      </c>
      <c r="C23" s="74" t="s">
        <v>1633</v>
      </c>
      <c r="D23" s="75">
        <v>0.5555555555555556</v>
      </c>
      <c r="E23" s="242" t="s">
        <v>1634</v>
      </c>
      <c r="F23" s="393">
        <v>2.07254493430018E14</v>
      </c>
      <c r="G23" s="59" t="s">
        <v>1635</v>
      </c>
      <c r="H23" s="461">
        <v>21300.0</v>
      </c>
      <c r="I23" s="34" t="s">
        <v>183</v>
      </c>
      <c r="J23" s="42"/>
      <c r="K23" s="42"/>
      <c r="N23" s="270" t="s">
        <v>522</v>
      </c>
      <c r="O23" s="2"/>
      <c r="P23" s="2"/>
      <c r="Q23" s="2"/>
      <c r="R23" s="67"/>
    </row>
    <row r="24">
      <c r="A24" s="12" t="s">
        <v>12</v>
      </c>
      <c r="B24" s="460" t="s">
        <v>493</v>
      </c>
      <c r="C24" s="74" t="s">
        <v>1633</v>
      </c>
      <c r="D24" s="75">
        <v>0.5694444444444444</v>
      </c>
      <c r="E24" s="242" t="s">
        <v>1636</v>
      </c>
      <c r="F24" s="185">
        <v>7.00001046903408E14</v>
      </c>
      <c r="G24" s="216" t="s">
        <v>1637</v>
      </c>
      <c r="H24" s="163">
        <v>22102.0</v>
      </c>
      <c r="I24" s="34" t="s">
        <v>183</v>
      </c>
      <c r="J24" s="102"/>
      <c r="K24" s="102"/>
      <c r="L24" s="216" t="s">
        <v>521</v>
      </c>
      <c r="N24" s="271" t="s">
        <v>183</v>
      </c>
      <c r="O24" s="272" t="s">
        <v>195</v>
      </c>
      <c r="P24" s="272" t="s">
        <v>181</v>
      </c>
      <c r="Q24" s="273" t="s">
        <v>173</v>
      </c>
      <c r="R24" s="67"/>
    </row>
    <row r="25">
      <c r="A25" s="12" t="s">
        <v>13</v>
      </c>
      <c r="B25" s="460" t="s">
        <v>274</v>
      </c>
      <c r="C25" s="74" t="s">
        <v>1633</v>
      </c>
      <c r="D25" s="75">
        <v>0.5833333333333334</v>
      </c>
      <c r="E25" s="241" t="s">
        <v>1638</v>
      </c>
      <c r="F25" s="210">
        <v>7.08202643636447E14</v>
      </c>
      <c r="G25" s="59" t="s">
        <v>1639</v>
      </c>
      <c r="H25" s="163">
        <v>16855.0</v>
      </c>
      <c r="I25" s="34" t="s">
        <v>183</v>
      </c>
      <c r="J25" s="102"/>
      <c r="K25" s="102"/>
      <c r="L25" s="216" t="s">
        <v>521</v>
      </c>
      <c r="N25" s="275">
        <f t="shared" ref="N25:Q25" si="2">COUNTIFS($I$22:$I$33,N24)</f>
        <v>9</v>
      </c>
      <c r="O25" s="275">
        <f t="shared" si="2"/>
        <v>1</v>
      </c>
      <c r="P25" s="275">
        <f t="shared" si="2"/>
        <v>2</v>
      </c>
      <c r="Q25" s="275">
        <f t="shared" si="2"/>
        <v>0</v>
      </c>
      <c r="R25" s="67"/>
    </row>
    <row r="26" ht="18.0" customHeight="1">
      <c r="A26" s="12" t="s">
        <v>14</v>
      </c>
      <c r="B26" s="460" t="s">
        <v>341</v>
      </c>
      <c r="C26" s="74" t="s">
        <v>1633</v>
      </c>
      <c r="D26" s="75">
        <v>0.5972222222222222</v>
      </c>
      <c r="E26" s="278" t="s">
        <v>1640</v>
      </c>
      <c r="F26" s="185">
        <v>7.06409182760381E14</v>
      </c>
      <c r="G26" s="187" t="s">
        <v>1641</v>
      </c>
      <c r="H26" s="77">
        <v>17307.0</v>
      </c>
      <c r="I26" s="34" t="s">
        <v>183</v>
      </c>
      <c r="J26" s="42"/>
      <c r="K26" s="42"/>
      <c r="L26" s="216" t="s">
        <v>521</v>
      </c>
      <c r="R26" s="67"/>
    </row>
    <row r="27">
      <c r="A27" s="12" t="s">
        <v>15</v>
      </c>
      <c r="B27" s="460" t="s">
        <v>493</v>
      </c>
      <c r="C27" s="74" t="s">
        <v>1633</v>
      </c>
      <c r="D27" s="75">
        <v>0.6111111111111112</v>
      </c>
      <c r="E27" s="278" t="s">
        <v>1642</v>
      </c>
      <c r="F27" s="185">
        <v>8.98001408757259E14</v>
      </c>
      <c r="G27" s="59" t="s">
        <v>1643</v>
      </c>
      <c r="H27" s="462">
        <v>15560.0</v>
      </c>
      <c r="I27" s="34" t="s">
        <v>183</v>
      </c>
      <c r="J27" s="42"/>
      <c r="K27" s="42"/>
      <c r="L27" s="216" t="s">
        <v>521</v>
      </c>
      <c r="R27" s="67"/>
    </row>
    <row r="28">
      <c r="A28" s="12" t="s">
        <v>16</v>
      </c>
      <c r="B28" s="460" t="s">
        <v>588</v>
      </c>
      <c r="C28" s="74" t="s">
        <v>1633</v>
      </c>
      <c r="D28" s="75">
        <v>0.625</v>
      </c>
      <c r="E28" s="295" t="s">
        <v>1644</v>
      </c>
      <c r="F28" s="185">
        <v>8.01440406128044E14</v>
      </c>
      <c r="G28" s="79" t="s">
        <v>1645</v>
      </c>
      <c r="H28" s="163">
        <v>24122.0</v>
      </c>
      <c r="I28" s="34" t="s">
        <v>183</v>
      </c>
      <c r="J28" s="311"/>
      <c r="K28" s="311"/>
      <c r="L28" s="216" t="s">
        <v>521</v>
      </c>
      <c r="R28" s="67"/>
    </row>
    <row r="29">
      <c r="A29" s="12" t="s">
        <v>179</v>
      </c>
      <c r="B29" s="73"/>
      <c r="C29" s="74" t="s">
        <v>1633</v>
      </c>
      <c r="D29" s="75">
        <v>0.6388888888888888</v>
      </c>
      <c r="E29" s="242"/>
      <c r="F29" s="185"/>
      <c r="G29" s="312"/>
      <c r="H29" s="77"/>
      <c r="I29" s="34" t="s">
        <v>181</v>
      </c>
      <c r="J29" s="42"/>
      <c r="K29" s="42"/>
      <c r="L29" s="216" t="s">
        <v>521</v>
      </c>
      <c r="R29" s="67"/>
    </row>
    <row r="30">
      <c r="A30" s="12" t="s">
        <v>85</v>
      </c>
      <c r="B30" s="460" t="s">
        <v>588</v>
      </c>
      <c r="C30" s="74" t="s">
        <v>1633</v>
      </c>
      <c r="D30" s="75">
        <v>0.6527777777777778</v>
      </c>
      <c r="E30" s="295" t="s">
        <v>1646</v>
      </c>
      <c r="F30" s="156">
        <v>1.07553186300001E14</v>
      </c>
      <c r="G30" s="79" t="s">
        <v>1647</v>
      </c>
      <c r="H30" s="163">
        <v>19428.0</v>
      </c>
      <c r="I30" s="34" t="s">
        <v>183</v>
      </c>
      <c r="J30" s="141"/>
      <c r="K30" s="42"/>
      <c r="L30" s="216" t="s">
        <v>521</v>
      </c>
      <c r="R30" s="67"/>
    </row>
    <row r="31">
      <c r="A31" s="12" t="s">
        <v>87</v>
      </c>
      <c r="B31" s="460" t="s">
        <v>448</v>
      </c>
      <c r="C31" s="74" t="s">
        <v>1633</v>
      </c>
      <c r="D31" s="75">
        <v>0.6666666666666666</v>
      </c>
      <c r="E31" s="245" t="s">
        <v>1648</v>
      </c>
      <c r="F31" s="162">
        <v>7.02407519766524E14</v>
      </c>
      <c r="G31" s="79" t="s">
        <v>1649</v>
      </c>
      <c r="H31" s="166">
        <v>16826.0</v>
      </c>
      <c r="I31" s="34" t="s">
        <v>183</v>
      </c>
      <c r="J31" s="42"/>
      <c r="K31" s="42"/>
      <c r="L31" s="216" t="s">
        <v>521</v>
      </c>
      <c r="R31" s="67"/>
    </row>
    <row r="32">
      <c r="A32" s="12" t="s">
        <v>90</v>
      </c>
      <c r="B32" s="460" t="s">
        <v>1598</v>
      </c>
      <c r="C32" s="74" t="s">
        <v>1633</v>
      </c>
      <c r="D32" s="75">
        <v>0.6805555555555556</v>
      </c>
      <c r="E32" s="295" t="s">
        <v>1650</v>
      </c>
      <c r="F32" s="133">
        <v>7.06408135778481E14</v>
      </c>
      <c r="G32" s="59" t="s">
        <v>1651</v>
      </c>
      <c r="H32" s="166">
        <v>16446.0</v>
      </c>
      <c r="I32" s="34" t="s">
        <v>183</v>
      </c>
      <c r="J32" s="42"/>
      <c r="K32" s="42"/>
      <c r="L32" s="216" t="s">
        <v>521</v>
      </c>
      <c r="R32" s="67"/>
    </row>
    <row r="33">
      <c r="A33" s="12" t="s">
        <v>93</v>
      </c>
      <c r="B33" s="460" t="s">
        <v>448</v>
      </c>
      <c r="C33" s="74" t="s">
        <v>1633</v>
      </c>
      <c r="D33" s="75">
        <v>0.6944444444444444</v>
      </c>
      <c r="E33" s="295" t="s">
        <v>1652</v>
      </c>
      <c r="F33" s="133">
        <v>8.01440405340171E14</v>
      </c>
      <c r="G33" s="90" t="s">
        <v>1653</v>
      </c>
      <c r="H33" s="166">
        <v>28730.0</v>
      </c>
      <c r="I33" s="34" t="s">
        <v>195</v>
      </c>
      <c r="J33" s="42"/>
      <c r="K33" s="42"/>
      <c r="R33" s="67"/>
    </row>
    <row r="34">
      <c r="J34" s="67"/>
      <c r="K34" s="67"/>
      <c r="R34" s="67"/>
    </row>
    <row r="35">
      <c r="J35" s="67"/>
      <c r="K35" s="67"/>
      <c r="R35" s="67"/>
    </row>
    <row r="36">
      <c r="A36" s="23" t="s">
        <v>18</v>
      </c>
      <c r="B36" s="2"/>
      <c r="C36" s="2"/>
      <c r="D36" s="2"/>
      <c r="E36" s="2"/>
      <c r="F36" s="2"/>
      <c r="G36" s="2"/>
      <c r="H36" s="2"/>
      <c r="I36" s="2"/>
      <c r="J36" s="2"/>
      <c r="K36" s="3"/>
      <c r="R36" s="67"/>
    </row>
    <row r="37">
      <c r="A37" s="463" t="s">
        <v>1654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5"/>
      <c r="B38" s="26" t="s">
        <v>3</v>
      </c>
      <c r="C38" s="27" t="s">
        <v>2</v>
      </c>
      <c r="D38" s="28" t="s">
        <v>5</v>
      </c>
      <c r="E38" s="32" t="s">
        <v>19</v>
      </c>
      <c r="F38" s="28" t="s">
        <v>6</v>
      </c>
      <c r="G38" s="264" t="s">
        <v>7</v>
      </c>
      <c r="H38" s="30" t="s">
        <v>8</v>
      </c>
      <c r="I38" s="31" t="s">
        <v>20</v>
      </c>
      <c r="J38" s="32" t="s">
        <v>21</v>
      </c>
      <c r="K38" s="32" t="s">
        <v>22</v>
      </c>
      <c r="R38" s="67"/>
    </row>
    <row r="39">
      <c r="A39" s="12" t="s">
        <v>10</v>
      </c>
      <c r="B39" s="73"/>
      <c r="C39" s="74" t="s">
        <v>1592</v>
      </c>
      <c r="D39" s="75">
        <v>0.5416666666666666</v>
      </c>
      <c r="E39" s="241"/>
      <c r="F39" s="84"/>
      <c r="G39" s="79"/>
      <c r="H39" s="314"/>
      <c r="I39" s="34"/>
      <c r="J39" s="314"/>
      <c r="K39" s="314"/>
      <c r="L39" s="216" t="s">
        <v>521</v>
      </c>
      <c r="N39" s="268" t="s">
        <v>387</v>
      </c>
      <c r="O39" s="100"/>
      <c r="P39" s="100"/>
      <c r="Q39" s="100"/>
      <c r="R39" s="67"/>
    </row>
    <row r="40">
      <c r="A40" s="12" t="s">
        <v>11</v>
      </c>
      <c r="B40" s="460"/>
      <c r="C40" s="74" t="s">
        <v>1592</v>
      </c>
      <c r="D40" s="75">
        <v>0.5555555555555556</v>
      </c>
      <c r="E40" s="241"/>
      <c r="F40" s="84"/>
      <c r="G40" s="79"/>
      <c r="H40" s="314"/>
      <c r="I40" s="34"/>
      <c r="J40" s="314"/>
      <c r="K40" s="314"/>
      <c r="N40" s="270" t="s">
        <v>557</v>
      </c>
      <c r="O40" s="2"/>
      <c r="P40" s="2"/>
      <c r="Q40" s="2"/>
      <c r="R40" s="67"/>
    </row>
    <row r="41">
      <c r="A41" s="12" t="s">
        <v>12</v>
      </c>
      <c r="B41" s="460"/>
      <c r="C41" s="74" t="s">
        <v>1592</v>
      </c>
      <c r="D41" s="75">
        <v>0.5694444444444444</v>
      </c>
      <c r="E41" s="241"/>
      <c r="F41" s="84"/>
      <c r="G41" s="79"/>
      <c r="H41" s="314"/>
      <c r="I41" s="34"/>
      <c r="J41" s="314"/>
      <c r="K41" s="314"/>
      <c r="L41" s="216" t="s">
        <v>521</v>
      </c>
      <c r="N41" s="271" t="s">
        <v>183</v>
      </c>
      <c r="O41" s="272" t="s">
        <v>195</v>
      </c>
      <c r="P41" s="272" t="s">
        <v>181</v>
      </c>
      <c r="Q41" s="273" t="s">
        <v>173</v>
      </c>
      <c r="R41" s="286" t="s">
        <v>439</v>
      </c>
    </row>
    <row r="42">
      <c r="A42" s="12" t="s">
        <v>13</v>
      </c>
      <c r="B42" s="460"/>
      <c r="C42" s="74" t="s">
        <v>1592</v>
      </c>
      <c r="D42" s="75">
        <v>0.5833333333333334</v>
      </c>
      <c r="E42" s="241"/>
      <c r="F42" s="84"/>
      <c r="G42" s="79"/>
      <c r="H42" s="314"/>
      <c r="I42" s="34"/>
      <c r="J42" s="314"/>
      <c r="K42" s="314"/>
      <c r="L42" s="216" t="s">
        <v>521</v>
      </c>
      <c r="N42" s="275">
        <f t="shared" ref="N42:Q42" si="3">COUNTIFS($I$39:$I$50,N41)</f>
        <v>0</v>
      </c>
      <c r="O42" s="275">
        <f t="shared" si="3"/>
        <v>0</v>
      </c>
      <c r="P42" s="275">
        <f t="shared" si="3"/>
        <v>0</v>
      </c>
      <c r="Q42" s="275">
        <f t="shared" si="3"/>
        <v>0</v>
      </c>
      <c r="R42" s="67">
        <f>COUNTIFS(I39:I50,R41)</f>
        <v>0</v>
      </c>
    </row>
    <row r="43">
      <c r="A43" s="12" t="s">
        <v>14</v>
      </c>
      <c r="B43" s="460"/>
      <c r="C43" s="74" t="s">
        <v>1592</v>
      </c>
      <c r="D43" s="75">
        <v>0.5972222222222222</v>
      </c>
      <c r="E43" s="241"/>
      <c r="F43" s="84"/>
      <c r="G43" s="79"/>
      <c r="H43" s="314"/>
      <c r="I43" s="34"/>
      <c r="J43" s="314"/>
      <c r="K43" s="314"/>
      <c r="L43" s="216" t="s">
        <v>521</v>
      </c>
      <c r="R43" s="67"/>
    </row>
    <row r="44">
      <c r="A44" s="12" t="s">
        <v>15</v>
      </c>
      <c r="B44" s="460"/>
      <c r="C44" s="74" t="s">
        <v>1592</v>
      </c>
      <c r="D44" s="75">
        <v>0.6111111111111112</v>
      </c>
      <c r="E44" s="241"/>
      <c r="F44" s="84"/>
      <c r="G44" s="79"/>
      <c r="H44" s="314"/>
      <c r="I44" s="34"/>
      <c r="J44" s="314"/>
      <c r="K44" s="314"/>
      <c r="L44" s="216" t="s">
        <v>521</v>
      </c>
      <c r="R44" s="67"/>
    </row>
    <row r="45">
      <c r="A45" s="12" t="s">
        <v>16</v>
      </c>
      <c r="B45" s="460"/>
      <c r="C45" s="74" t="s">
        <v>1592</v>
      </c>
      <c r="D45" s="75">
        <v>0.625</v>
      </c>
      <c r="E45" s="241"/>
      <c r="F45" s="84"/>
      <c r="G45" s="79"/>
      <c r="H45" s="314"/>
      <c r="I45" s="41"/>
      <c r="J45" s="314"/>
      <c r="K45" s="314"/>
      <c r="R45" s="67"/>
    </row>
    <row r="46">
      <c r="A46" s="12" t="s">
        <v>17</v>
      </c>
      <c r="B46" s="73"/>
      <c r="C46" s="74" t="s">
        <v>1592</v>
      </c>
      <c r="D46" s="75">
        <v>0.6388888888888888</v>
      </c>
      <c r="E46" s="241"/>
      <c r="F46" s="84"/>
      <c r="G46" s="79"/>
      <c r="H46" s="314"/>
      <c r="I46" s="34"/>
      <c r="J46" s="314"/>
      <c r="K46" s="382"/>
      <c r="R46" s="67"/>
    </row>
    <row r="47">
      <c r="A47" s="12" t="s">
        <v>85</v>
      </c>
      <c r="B47" s="460"/>
      <c r="C47" s="74" t="s">
        <v>1592</v>
      </c>
      <c r="D47" s="75">
        <v>0.6527777777777778</v>
      </c>
      <c r="E47" s="241"/>
      <c r="F47" s="84"/>
      <c r="G47" s="79"/>
      <c r="H47" s="314"/>
      <c r="I47" s="34"/>
      <c r="J47" s="314"/>
      <c r="K47" s="314"/>
      <c r="L47" s="216" t="s">
        <v>577</v>
      </c>
      <c r="R47" s="67"/>
    </row>
    <row r="48">
      <c r="A48" s="12" t="s">
        <v>87</v>
      </c>
      <c r="B48" s="460"/>
      <c r="C48" s="74" t="s">
        <v>1592</v>
      </c>
      <c r="D48" s="75">
        <v>0.6666666666666666</v>
      </c>
      <c r="E48" s="241"/>
      <c r="F48" s="84"/>
      <c r="G48" s="79"/>
      <c r="H48" s="314"/>
      <c r="I48" s="41"/>
      <c r="J48" s="314"/>
      <c r="K48" s="314"/>
      <c r="R48" s="67"/>
    </row>
    <row r="49">
      <c r="A49" s="12" t="s">
        <v>90</v>
      </c>
      <c r="B49" s="460"/>
      <c r="C49" s="74" t="s">
        <v>1592</v>
      </c>
      <c r="D49" s="75">
        <v>0.6805555555555556</v>
      </c>
      <c r="E49" s="241"/>
      <c r="F49" s="84"/>
      <c r="G49" s="79"/>
      <c r="H49" s="314"/>
      <c r="I49" s="41"/>
      <c r="J49" s="314"/>
      <c r="K49" s="314"/>
      <c r="R49" s="67"/>
    </row>
    <row r="50">
      <c r="A50" s="12" t="s">
        <v>93</v>
      </c>
      <c r="B50" s="460"/>
      <c r="C50" s="74" t="s">
        <v>1592</v>
      </c>
      <c r="D50" s="75">
        <v>0.6944444444444444</v>
      </c>
      <c r="E50" s="241"/>
      <c r="F50" s="84"/>
      <c r="G50" s="79"/>
      <c r="H50" s="314"/>
      <c r="I50" s="34"/>
      <c r="J50" s="314"/>
      <c r="K50" s="314"/>
      <c r="R50" s="67"/>
    </row>
    <row r="51">
      <c r="J51" s="67"/>
      <c r="K51" s="67"/>
      <c r="R51" s="67"/>
    </row>
    <row r="52">
      <c r="J52" s="67"/>
      <c r="K52" s="67"/>
      <c r="R52" s="67"/>
    </row>
    <row r="53">
      <c r="J53" s="67"/>
      <c r="K53" s="67"/>
      <c r="R53" s="67"/>
    </row>
    <row r="54">
      <c r="A54" s="23" t="s">
        <v>18</v>
      </c>
      <c r="B54" s="2"/>
      <c r="C54" s="2"/>
      <c r="D54" s="2"/>
      <c r="E54" s="2"/>
      <c r="F54" s="2"/>
      <c r="G54" s="2"/>
      <c r="H54" s="2"/>
      <c r="I54" s="2"/>
      <c r="J54" s="2"/>
      <c r="K54" s="3"/>
      <c r="R54" s="67"/>
    </row>
    <row r="55">
      <c r="A55" s="263" t="s">
        <v>1655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5"/>
      <c r="B56" s="26" t="s">
        <v>3</v>
      </c>
      <c r="C56" s="27" t="s">
        <v>2</v>
      </c>
      <c r="D56" s="28" t="s">
        <v>5</v>
      </c>
      <c r="E56" s="32" t="s">
        <v>19</v>
      </c>
      <c r="F56" s="28" t="s">
        <v>6</v>
      </c>
      <c r="G56" s="264" t="s">
        <v>7</v>
      </c>
      <c r="H56" s="30" t="s">
        <v>8</v>
      </c>
      <c r="I56" s="31" t="s">
        <v>20</v>
      </c>
      <c r="J56" s="32" t="s">
        <v>21</v>
      </c>
      <c r="K56" s="32" t="s">
        <v>22</v>
      </c>
      <c r="R56" s="67"/>
    </row>
    <row r="57">
      <c r="A57" s="12" t="s">
        <v>10</v>
      </c>
      <c r="B57" s="167"/>
      <c r="C57" s="74" t="s">
        <v>1314</v>
      </c>
      <c r="D57" s="75">
        <v>0.5416666666666666</v>
      </c>
      <c r="E57" s="331"/>
      <c r="F57" s="228"/>
      <c r="G57" s="161"/>
      <c r="H57" s="163"/>
      <c r="I57" s="41" t="s">
        <v>181</v>
      </c>
      <c r="J57" s="238"/>
      <c r="K57" s="238"/>
      <c r="L57" s="216" t="s">
        <v>521</v>
      </c>
      <c r="N57" s="268" t="s">
        <v>387</v>
      </c>
      <c r="O57" s="100"/>
      <c r="P57" s="100"/>
      <c r="Q57" s="100"/>
      <c r="R57" s="67"/>
    </row>
    <row r="58">
      <c r="A58" s="12" t="s">
        <v>11</v>
      </c>
      <c r="B58" s="464" t="s">
        <v>443</v>
      </c>
      <c r="C58" s="74" t="s">
        <v>1314</v>
      </c>
      <c r="D58" s="75">
        <v>0.5555555555555556</v>
      </c>
      <c r="E58" s="287" t="s">
        <v>1656</v>
      </c>
      <c r="F58" s="301">
        <v>7.08403210633769E14</v>
      </c>
      <c r="G58" s="312" t="s">
        <v>1657</v>
      </c>
      <c r="H58" s="77">
        <v>22995.0</v>
      </c>
      <c r="I58" s="41" t="s">
        <v>183</v>
      </c>
      <c r="J58" s="42"/>
      <c r="K58" s="42"/>
      <c r="N58" s="270" t="s">
        <v>585</v>
      </c>
      <c r="O58" s="2"/>
      <c r="P58" s="2"/>
      <c r="Q58" s="2"/>
      <c r="R58" s="67"/>
    </row>
    <row r="59">
      <c r="A59" s="12" t="s">
        <v>12</v>
      </c>
      <c r="B59" s="465"/>
      <c r="C59" s="74" t="s">
        <v>1314</v>
      </c>
      <c r="D59" s="75">
        <v>0.5694444444444444</v>
      </c>
      <c r="E59" s="331"/>
      <c r="F59" s="228"/>
      <c r="G59" s="466"/>
      <c r="H59" s="163"/>
      <c r="I59" s="41" t="s">
        <v>181</v>
      </c>
      <c r="J59" s="238"/>
      <c r="K59" s="238"/>
      <c r="L59" s="216" t="s">
        <v>521</v>
      </c>
      <c r="N59" s="271" t="s">
        <v>183</v>
      </c>
      <c r="O59" s="272" t="s">
        <v>195</v>
      </c>
      <c r="P59" s="272" t="s">
        <v>181</v>
      </c>
      <c r="Q59" s="273" t="s">
        <v>173</v>
      </c>
      <c r="R59" s="67"/>
    </row>
    <row r="60">
      <c r="A60" s="12" t="s">
        <v>13</v>
      </c>
      <c r="B60" s="464" t="s">
        <v>274</v>
      </c>
      <c r="C60" s="74" t="s">
        <v>1314</v>
      </c>
      <c r="D60" s="75">
        <v>0.5833333333333334</v>
      </c>
      <c r="E60" s="391" t="s">
        <v>1658</v>
      </c>
      <c r="F60" s="301">
        <v>7.04305582835991E14</v>
      </c>
      <c r="G60" s="161" t="s">
        <v>1659</v>
      </c>
      <c r="H60" s="163">
        <v>27965.0</v>
      </c>
      <c r="I60" s="41" t="s">
        <v>183</v>
      </c>
      <c r="J60" s="383"/>
      <c r="K60" s="238"/>
      <c r="L60" s="216" t="s">
        <v>521</v>
      </c>
      <c r="N60" s="275">
        <f t="shared" ref="N60:Q60" si="4">COUNTIFS($I$57:$I$68,N59)</f>
        <v>5</v>
      </c>
      <c r="O60" s="275">
        <f t="shared" si="4"/>
        <v>0</v>
      </c>
      <c r="P60" s="275">
        <f t="shared" si="4"/>
        <v>6</v>
      </c>
      <c r="Q60" s="275">
        <f t="shared" si="4"/>
        <v>1</v>
      </c>
      <c r="R60" s="67"/>
    </row>
    <row r="61">
      <c r="A61" s="12" t="s">
        <v>14</v>
      </c>
      <c r="B61" s="465"/>
      <c r="C61" s="74" t="s">
        <v>1314</v>
      </c>
      <c r="D61" s="75">
        <v>0.5972222222222222</v>
      </c>
      <c r="E61" s="331"/>
      <c r="F61" s="228"/>
      <c r="G61" s="467"/>
      <c r="H61" s="77"/>
      <c r="I61" s="41" t="s">
        <v>181</v>
      </c>
      <c r="J61" s="42"/>
      <c r="K61" s="42"/>
      <c r="R61" s="67"/>
    </row>
    <row r="62">
      <c r="A62" s="12" t="s">
        <v>15</v>
      </c>
      <c r="B62" s="465"/>
      <c r="C62" s="74" t="s">
        <v>1314</v>
      </c>
      <c r="D62" s="75">
        <v>0.6111111111111112</v>
      </c>
      <c r="E62" s="384"/>
      <c r="F62" s="385"/>
      <c r="G62" s="467"/>
      <c r="H62" s="163"/>
      <c r="I62" s="41" t="s">
        <v>181</v>
      </c>
      <c r="J62" s="42"/>
      <c r="K62" s="42"/>
      <c r="L62" s="216" t="s">
        <v>521</v>
      </c>
      <c r="R62" s="67"/>
    </row>
    <row r="63">
      <c r="A63" s="12" t="s">
        <v>16</v>
      </c>
      <c r="B63" s="464" t="s">
        <v>588</v>
      </c>
      <c r="C63" s="74" t="s">
        <v>1314</v>
      </c>
      <c r="D63" s="75">
        <v>0.625</v>
      </c>
      <c r="E63" s="391" t="s">
        <v>1660</v>
      </c>
      <c r="F63" s="301">
        <v>7.01000824590697E14</v>
      </c>
      <c r="G63" s="161" t="s">
        <v>1661</v>
      </c>
      <c r="H63" s="163">
        <v>24283.0</v>
      </c>
      <c r="I63" s="41" t="s">
        <v>183</v>
      </c>
      <c r="J63" s="310"/>
      <c r="K63" s="310"/>
      <c r="L63" s="216" t="s">
        <v>521</v>
      </c>
      <c r="R63" s="67"/>
    </row>
    <row r="64">
      <c r="A64" s="12" t="s">
        <v>17</v>
      </c>
      <c r="B64" s="465"/>
      <c r="C64" s="74" t="s">
        <v>1314</v>
      </c>
      <c r="D64" s="75">
        <v>0.6388888888888888</v>
      </c>
      <c r="E64" s="386"/>
      <c r="F64" s="228"/>
      <c r="G64" s="466"/>
      <c r="H64" s="163"/>
      <c r="I64" s="41" t="s">
        <v>181</v>
      </c>
      <c r="J64" s="238"/>
      <c r="K64" s="42"/>
      <c r="L64" s="216" t="s">
        <v>521</v>
      </c>
      <c r="R64" s="67"/>
    </row>
    <row r="65">
      <c r="A65" s="12" t="s">
        <v>85</v>
      </c>
      <c r="B65" s="465"/>
      <c r="C65" s="74" t="s">
        <v>1314</v>
      </c>
      <c r="D65" s="75">
        <v>0.6527777777777778</v>
      </c>
      <c r="E65" s="331"/>
      <c r="F65" s="228"/>
      <c r="G65" s="466"/>
      <c r="H65" s="166"/>
      <c r="I65" s="41" t="s">
        <v>181</v>
      </c>
      <c r="J65" s="42"/>
      <c r="K65" s="42"/>
      <c r="R65" s="67"/>
    </row>
    <row r="66">
      <c r="A66" s="12" t="s">
        <v>87</v>
      </c>
      <c r="B66" s="464" t="s">
        <v>448</v>
      </c>
      <c r="C66" s="74" t="s">
        <v>1314</v>
      </c>
      <c r="D66" s="75">
        <v>0.6666666666666666</v>
      </c>
      <c r="E66" s="245" t="s">
        <v>1662</v>
      </c>
      <c r="F66" s="162">
        <v>7.00406903648047E14</v>
      </c>
      <c r="G66" s="203" t="s">
        <v>1663</v>
      </c>
      <c r="H66" s="166">
        <v>38431.0</v>
      </c>
      <c r="I66" s="41" t="s">
        <v>183</v>
      </c>
      <c r="J66" s="42"/>
      <c r="K66" s="42"/>
      <c r="L66" s="216" t="s">
        <v>521</v>
      </c>
      <c r="R66" s="67"/>
    </row>
    <row r="67">
      <c r="A67" s="12" t="s">
        <v>90</v>
      </c>
      <c r="B67" s="464" t="s">
        <v>1598</v>
      </c>
      <c r="C67" s="74" t="s">
        <v>1314</v>
      </c>
      <c r="D67" s="75">
        <v>0.6805555555555556</v>
      </c>
      <c r="E67" s="295" t="s">
        <v>1664</v>
      </c>
      <c r="F67" s="133">
        <v>7.06302709091977E14</v>
      </c>
      <c r="G67" s="203" t="s">
        <v>1665</v>
      </c>
      <c r="H67" s="166">
        <v>21057.0</v>
      </c>
      <c r="I67" s="41" t="s">
        <v>183</v>
      </c>
      <c r="J67" s="42"/>
      <c r="K67" s="42"/>
      <c r="R67" s="67"/>
    </row>
    <row r="68">
      <c r="A68" s="12" t="s">
        <v>93</v>
      </c>
      <c r="B68" s="464" t="s">
        <v>975</v>
      </c>
      <c r="C68" s="74" t="s">
        <v>1314</v>
      </c>
      <c r="D68" s="75">
        <v>0.6944444444444444</v>
      </c>
      <c r="E68" s="295"/>
      <c r="F68" s="133">
        <v>7.03001864200773E14</v>
      </c>
      <c r="G68" s="203" t="s">
        <v>1666</v>
      </c>
      <c r="H68" s="166">
        <v>18508.0</v>
      </c>
      <c r="I68" s="41" t="s">
        <v>173</v>
      </c>
      <c r="J68" s="42"/>
      <c r="K68" s="42"/>
      <c r="R68" s="67"/>
    </row>
    <row r="69">
      <c r="G69" s="216"/>
      <c r="J69" s="67"/>
      <c r="K69" s="67"/>
      <c r="R69" s="67"/>
    </row>
    <row r="70">
      <c r="J70" s="67"/>
      <c r="K70" s="67"/>
      <c r="R70" s="67"/>
    </row>
    <row r="71">
      <c r="A71" s="23" t="s">
        <v>18</v>
      </c>
      <c r="B71" s="2"/>
      <c r="C71" s="2"/>
      <c r="D71" s="2"/>
      <c r="E71" s="2"/>
      <c r="F71" s="2"/>
      <c r="G71" s="2"/>
      <c r="H71" s="2"/>
      <c r="I71" s="2"/>
      <c r="J71" s="2"/>
      <c r="K71" s="3"/>
      <c r="R71" s="67"/>
    </row>
    <row r="72">
      <c r="A72" s="263" t="s">
        <v>1667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25"/>
      <c r="B73" s="26" t="s">
        <v>3</v>
      </c>
      <c r="C73" s="27" t="s">
        <v>2</v>
      </c>
      <c r="D73" s="28" t="s">
        <v>5</v>
      </c>
      <c r="E73" s="32" t="s">
        <v>19</v>
      </c>
      <c r="F73" s="28" t="s">
        <v>6</v>
      </c>
      <c r="G73" s="264" t="s">
        <v>7</v>
      </c>
      <c r="H73" s="30" t="s">
        <v>8</v>
      </c>
      <c r="I73" s="31" t="s">
        <v>20</v>
      </c>
      <c r="J73" s="32" t="s">
        <v>21</v>
      </c>
      <c r="K73" s="32" t="s">
        <v>22</v>
      </c>
      <c r="R73" s="67"/>
    </row>
    <row r="74">
      <c r="A74" s="12" t="s">
        <v>10</v>
      </c>
      <c r="B74" s="233" t="s">
        <v>1668</v>
      </c>
      <c r="C74" s="74" t="s">
        <v>1592</v>
      </c>
      <c r="D74" s="75">
        <v>0.5416666666666666</v>
      </c>
      <c r="E74" s="241" t="s">
        <v>1669</v>
      </c>
      <c r="F74" s="133">
        <v>2.01535995580007E14</v>
      </c>
      <c r="G74" s="79" t="s">
        <v>1670</v>
      </c>
      <c r="H74" s="77">
        <v>27729.0</v>
      </c>
      <c r="I74" s="34" t="s">
        <v>173</v>
      </c>
      <c r="J74" s="84">
        <v>1.1953611578E10</v>
      </c>
      <c r="K74" s="84">
        <v>1.1974923482E10</v>
      </c>
      <c r="N74" s="268" t="s">
        <v>387</v>
      </c>
      <c r="O74" s="100"/>
      <c r="P74" s="100"/>
      <c r="Q74" s="100"/>
      <c r="R74" s="67"/>
    </row>
    <row r="75">
      <c r="A75" s="12" t="s">
        <v>11</v>
      </c>
      <c r="B75" s="233" t="s">
        <v>1671</v>
      </c>
      <c r="C75" s="74" t="s">
        <v>1592</v>
      </c>
      <c r="D75" s="75">
        <v>0.5555555555555556</v>
      </c>
      <c r="E75" s="242" t="s">
        <v>1672</v>
      </c>
      <c r="F75" s="133">
        <v>7.0910323469153E14</v>
      </c>
      <c r="G75" s="79" t="s">
        <v>1673</v>
      </c>
      <c r="H75" s="77">
        <v>19192.0</v>
      </c>
      <c r="I75" s="34" t="s">
        <v>183</v>
      </c>
      <c r="J75" s="141">
        <v>1.1984884282E10</v>
      </c>
      <c r="K75" s="141"/>
      <c r="N75" s="270" t="s">
        <v>611</v>
      </c>
      <c r="O75" s="2"/>
      <c r="P75" s="2"/>
      <c r="Q75" s="2"/>
      <c r="R75" s="67"/>
    </row>
    <row r="76">
      <c r="A76" s="12" t="s">
        <v>12</v>
      </c>
      <c r="B76" s="233" t="s">
        <v>271</v>
      </c>
      <c r="C76" s="74" t="s">
        <v>1592</v>
      </c>
      <c r="D76" s="75">
        <v>0.5694444444444444</v>
      </c>
      <c r="E76" s="241" t="s">
        <v>1674</v>
      </c>
      <c r="F76" s="133">
        <v>1.20759346320006E14</v>
      </c>
      <c r="G76" s="79" t="s">
        <v>1675</v>
      </c>
      <c r="H76" s="77">
        <v>22477.0</v>
      </c>
      <c r="I76" s="34" t="s">
        <v>183</v>
      </c>
      <c r="J76" s="84">
        <v>1.1993602063E10</v>
      </c>
      <c r="K76" s="84"/>
      <c r="N76" s="271" t="s">
        <v>183</v>
      </c>
      <c r="O76" s="272" t="s">
        <v>195</v>
      </c>
      <c r="P76" s="272" t="s">
        <v>181</v>
      </c>
      <c r="Q76" s="273" t="s">
        <v>173</v>
      </c>
      <c r="R76" s="67"/>
    </row>
    <row r="77">
      <c r="A77" s="12" t="s">
        <v>13</v>
      </c>
      <c r="B77" s="233" t="s">
        <v>596</v>
      </c>
      <c r="C77" s="74" t="s">
        <v>1592</v>
      </c>
      <c r="D77" s="75">
        <v>0.5833333333333334</v>
      </c>
      <c r="E77" s="241" t="s">
        <v>1676</v>
      </c>
      <c r="F77" s="133">
        <v>8.01440477307545E14</v>
      </c>
      <c r="G77" s="79" t="s">
        <v>1677</v>
      </c>
      <c r="H77" s="77">
        <v>29677.0</v>
      </c>
      <c r="I77" s="41" t="s">
        <v>183</v>
      </c>
      <c r="J77" s="84">
        <v>1.1940045809E10</v>
      </c>
      <c r="K77" s="84">
        <v>1.1958089328E10</v>
      </c>
      <c r="N77" s="275">
        <f t="shared" ref="N77:Q77" si="5">COUNTIFS($I$74:$I$85,N76)</f>
        <v>5</v>
      </c>
      <c r="O77" s="275">
        <f t="shared" si="5"/>
        <v>0</v>
      </c>
      <c r="P77" s="275">
        <f t="shared" si="5"/>
        <v>2</v>
      </c>
      <c r="Q77" s="275">
        <f t="shared" si="5"/>
        <v>5</v>
      </c>
      <c r="R77" s="67"/>
    </row>
    <row r="78">
      <c r="A78" s="12" t="s">
        <v>14</v>
      </c>
      <c r="B78" s="233" t="s">
        <v>1253</v>
      </c>
      <c r="C78" s="74" t="s">
        <v>1592</v>
      </c>
      <c r="D78" s="75">
        <v>0.5972222222222222</v>
      </c>
      <c r="E78" s="324" t="s">
        <v>1678</v>
      </c>
      <c r="F78" s="133">
        <v>7.04608153646127E14</v>
      </c>
      <c r="G78" s="79" t="s">
        <v>1679</v>
      </c>
      <c r="H78" s="77">
        <v>25479.0</v>
      </c>
      <c r="I78" s="34" t="s">
        <v>183</v>
      </c>
      <c r="J78" s="130">
        <v>1.1957369234E10</v>
      </c>
      <c r="K78" s="141">
        <v>1.1980337516E10</v>
      </c>
      <c r="R78" s="67"/>
    </row>
    <row r="79">
      <c r="A79" s="12" t="s">
        <v>15</v>
      </c>
      <c r="B79" s="233" t="s">
        <v>596</v>
      </c>
      <c r="C79" s="74" t="s">
        <v>1592</v>
      </c>
      <c r="D79" s="75">
        <v>0.6111111111111112</v>
      </c>
      <c r="E79" s="324" t="s">
        <v>1680</v>
      </c>
      <c r="F79" s="426" t="s">
        <v>1681</v>
      </c>
      <c r="G79" s="79" t="s">
        <v>1682</v>
      </c>
      <c r="H79" s="77">
        <v>24895.0</v>
      </c>
      <c r="I79" s="34" t="s">
        <v>173</v>
      </c>
      <c r="J79" s="130">
        <v>1.1937759895E10</v>
      </c>
      <c r="K79" s="141">
        <v>1.1954195496E10</v>
      </c>
      <c r="R79" s="67"/>
    </row>
    <row r="80">
      <c r="A80" s="12" t="s">
        <v>16</v>
      </c>
      <c r="B80" s="233" t="s">
        <v>1683</v>
      </c>
      <c r="C80" s="74" t="s">
        <v>1592</v>
      </c>
      <c r="D80" s="75">
        <v>0.625</v>
      </c>
      <c r="E80" s="324" t="s">
        <v>1684</v>
      </c>
      <c r="F80" s="133">
        <v>7.00007223692701E14</v>
      </c>
      <c r="G80" s="79" t="s">
        <v>1685</v>
      </c>
      <c r="H80" s="77">
        <v>20469.0</v>
      </c>
      <c r="I80" s="34" t="s">
        <v>173</v>
      </c>
      <c r="J80" s="185"/>
      <c r="K80" s="84"/>
      <c r="R80" s="67"/>
    </row>
    <row r="81">
      <c r="A81" s="12" t="s">
        <v>17</v>
      </c>
      <c r="B81" s="233" t="s">
        <v>1686</v>
      </c>
      <c r="C81" s="74" t="s">
        <v>1592</v>
      </c>
      <c r="D81" s="75">
        <v>0.6388888888888888</v>
      </c>
      <c r="E81" s="324" t="s">
        <v>1687</v>
      </c>
      <c r="F81" s="133">
        <v>8.01440407125995E14</v>
      </c>
      <c r="G81" s="79" t="s">
        <v>1688</v>
      </c>
      <c r="H81" s="77">
        <v>13834.0</v>
      </c>
      <c r="I81" s="34" t="s">
        <v>183</v>
      </c>
      <c r="J81" s="130">
        <v>1.1983327057E10</v>
      </c>
      <c r="K81" s="141"/>
      <c r="L81" s="68"/>
      <c r="M81" s="68"/>
      <c r="N81" s="68"/>
      <c r="O81" s="68"/>
      <c r="P81" s="68"/>
      <c r="Q81" s="68"/>
      <c r="R81" s="389"/>
      <c r="S81" s="68"/>
      <c r="T81" s="68"/>
      <c r="U81" s="68"/>
      <c r="V81" s="68"/>
      <c r="W81" s="68"/>
    </row>
    <row r="82">
      <c r="A82" s="12" t="s">
        <v>85</v>
      </c>
      <c r="B82" s="233" t="s">
        <v>1689</v>
      </c>
      <c r="C82" s="74" t="s">
        <v>1592</v>
      </c>
      <c r="D82" s="75">
        <v>0.6527777777777778</v>
      </c>
      <c r="E82" s="245" t="s">
        <v>1690</v>
      </c>
      <c r="F82" s="426" t="s">
        <v>1691</v>
      </c>
      <c r="G82" s="79" t="s">
        <v>1692</v>
      </c>
      <c r="H82" s="77">
        <v>29425.0</v>
      </c>
      <c r="I82" s="34" t="s">
        <v>173</v>
      </c>
      <c r="J82" s="141">
        <v>2.4981380451E10</v>
      </c>
      <c r="K82" s="141"/>
      <c r="L82" s="68"/>
      <c r="M82" s="68"/>
      <c r="N82" s="68"/>
      <c r="O82" s="68"/>
      <c r="P82" s="68"/>
      <c r="Q82" s="68"/>
      <c r="R82" s="389"/>
      <c r="S82" s="68"/>
      <c r="T82" s="68"/>
      <c r="U82" s="68"/>
      <c r="V82" s="68"/>
      <c r="W82" s="68"/>
    </row>
    <row r="83">
      <c r="A83" s="12" t="s">
        <v>87</v>
      </c>
      <c r="B83" s="233" t="s">
        <v>1693</v>
      </c>
      <c r="C83" s="74" t="s">
        <v>1592</v>
      </c>
      <c r="D83" s="75">
        <v>0.6666666666666666</v>
      </c>
      <c r="E83" s="241" t="s">
        <v>1694</v>
      </c>
      <c r="F83" s="133">
        <v>8.01440413530022E14</v>
      </c>
      <c r="G83" s="79" t="s">
        <v>1695</v>
      </c>
      <c r="H83" s="77">
        <v>18858.0</v>
      </c>
      <c r="I83" s="34" t="s">
        <v>173</v>
      </c>
      <c r="J83" s="84">
        <v>1.15666479E9</v>
      </c>
      <c r="K83" s="84"/>
      <c r="L83" s="216" t="s">
        <v>521</v>
      </c>
      <c r="R83" s="67"/>
    </row>
    <row r="84">
      <c r="A84" s="12" t="s">
        <v>90</v>
      </c>
      <c r="B84" s="233" t="s">
        <v>1628</v>
      </c>
      <c r="C84" s="74" t="s">
        <v>1592</v>
      </c>
      <c r="D84" s="75">
        <v>0.6805555555555556</v>
      </c>
      <c r="E84" s="295"/>
      <c r="F84" s="133"/>
      <c r="G84" s="79"/>
      <c r="H84" s="77"/>
      <c r="I84" s="34" t="s">
        <v>181</v>
      </c>
      <c r="J84" s="84"/>
      <c r="K84" s="84"/>
      <c r="R84" s="67"/>
    </row>
    <row r="85">
      <c r="A85" s="12" t="s">
        <v>93</v>
      </c>
      <c r="B85" s="233" t="s">
        <v>1689</v>
      </c>
      <c r="C85" s="74" t="s">
        <v>1592</v>
      </c>
      <c r="D85" s="75">
        <v>0.6944444444444444</v>
      </c>
      <c r="E85" s="295"/>
      <c r="F85" s="133"/>
      <c r="G85" s="79"/>
      <c r="H85" s="77"/>
      <c r="I85" s="34" t="s">
        <v>181</v>
      </c>
      <c r="J85" s="162"/>
      <c r="K85" s="162"/>
      <c r="L85" s="68"/>
      <c r="M85" s="68"/>
      <c r="N85" s="68"/>
      <c r="O85" s="68"/>
      <c r="P85" s="68"/>
      <c r="Q85" s="68"/>
      <c r="R85" s="389"/>
      <c r="S85" s="68"/>
      <c r="T85" s="68"/>
      <c r="U85" s="68"/>
      <c r="V85" s="68"/>
      <c r="W85" s="68"/>
    </row>
    <row r="86">
      <c r="J86" s="67"/>
      <c r="K86" s="67"/>
      <c r="R86" s="67"/>
    </row>
    <row r="87">
      <c r="J87" s="67"/>
      <c r="K87" s="67"/>
      <c r="R87" s="67"/>
    </row>
    <row r="88">
      <c r="A88" s="398" t="s">
        <v>18</v>
      </c>
      <c r="B88" s="2"/>
      <c r="C88" s="2"/>
      <c r="D88" s="2"/>
      <c r="E88" s="2"/>
      <c r="F88" s="2"/>
      <c r="G88" s="2"/>
      <c r="H88" s="2"/>
      <c r="I88" s="2"/>
      <c r="J88" s="2"/>
      <c r="K88" s="3"/>
      <c r="R88" s="67"/>
    </row>
    <row r="89">
      <c r="A89" s="468" t="s">
        <v>1696</v>
      </c>
      <c r="B89" s="2"/>
      <c r="C89" s="2"/>
      <c r="D89" s="2"/>
      <c r="E89" s="2"/>
      <c r="F89" s="2"/>
      <c r="G89" s="2"/>
      <c r="H89" s="2"/>
      <c r="I89" s="2"/>
      <c r="J89" s="2"/>
      <c r="K89" s="3"/>
      <c r="R89" s="67"/>
    </row>
    <row r="90">
      <c r="A90" s="469"/>
      <c r="B90" s="470" t="s">
        <v>3</v>
      </c>
      <c r="C90" s="471" t="s">
        <v>2</v>
      </c>
      <c r="D90" s="472" t="s">
        <v>5</v>
      </c>
      <c r="E90" s="472" t="s">
        <v>19</v>
      </c>
      <c r="F90" s="472" t="s">
        <v>6</v>
      </c>
      <c r="G90" s="473" t="s">
        <v>7</v>
      </c>
      <c r="H90" s="474" t="s">
        <v>8</v>
      </c>
      <c r="I90" s="475" t="s">
        <v>20</v>
      </c>
      <c r="J90" s="472" t="s">
        <v>21</v>
      </c>
      <c r="K90" s="472" t="s">
        <v>22</v>
      </c>
      <c r="R90" s="67"/>
    </row>
    <row r="91">
      <c r="A91" s="476" t="s">
        <v>10</v>
      </c>
      <c r="B91" s="233" t="s">
        <v>1668</v>
      </c>
      <c r="C91" s="447" t="s">
        <v>1592</v>
      </c>
      <c r="D91" s="302">
        <v>0.5416666666666666</v>
      </c>
      <c r="E91" s="477" t="s">
        <v>1697</v>
      </c>
      <c r="F91" s="133">
        <v>2.01535999570006E14</v>
      </c>
      <c r="G91" s="203" t="s">
        <v>1698</v>
      </c>
      <c r="H91" s="166">
        <v>17364.0</v>
      </c>
      <c r="I91" s="478" t="s">
        <v>183</v>
      </c>
      <c r="J91" s="391">
        <v>1.1980901233E10</v>
      </c>
      <c r="K91" s="391">
        <v>1.1979610205E10</v>
      </c>
      <c r="N91" s="268" t="s">
        <v>387</v>
      </c>
      <c r="O91" s="100"/>
      <c r="P91" s="100"/>
      <c r="Q91" s="100"/>
      <c r="R91" s="67"/>
    </row>
    <row r="92">
      <c r="A92" s="476" t="s">
        <v>11</v>
      </c>
      <c r="B92" s="233" t="s">
        <v>1671</v>
      </c>
      <c r="C92" s="447" t="s">
        <v>1592</v>
      </c>
      <c r="D92" s="302">
        <v>0.5555555555555556</v>
      </c>
      <c r="E92" s="479" t="s">
        <v>980</v>
      </c>
      <c r="F92" s="133">
        <v>7.08200682052742E14</v>
      </c>
      <c r="G92" s="203" t="s">
        <v>981</v>
      </c>
      <c r="H92" s="166">
        <v>27399.0</v>
      </c>
      <c r="I92" s="478" t="s">
        <v>183</v>
      </c>
      <c r="J92" s="391">
        <v>1.1960391887E10</v>
      </c>
      <c r="K92" s="391"/>
      <c r="N92" s="270" t="s">
        <v>642</v>
      </c>
      <c r="O92" s="2"/>
      <c r="P92" s="2"/>
      <c r="Q92" s="2"/>
      <c r="R92" s="67"/>
    </row>
    <row r="93">
      <c r="A93" s="476" t="s">
        <v>12</v>
      </c>
      <c r="B93" s="233" t="s">
        <v>271</v>
      </c>
      <c r="C93" s="447" t="s">
        <v>1592</v>
      </c>
      <c r="D93" s="302">
        <v>0.5694444444444444</v>
      </c>
      <c r="E93" s="477" t="s">
        <v>980</v>
      </c>
      <c r="F93" s="133">
        <v>7.03001864200773E14</v>
      </c>
      <c r="G93" s="203" t="s">
        <v>1666</v>
      </c>
      <c r="H93" s="166">
        <v>18508.0</v>
      </c>
      <c r="I93" s="478" t="s">
        <v>173</v>
      </c>
      <c r="J93" s="391">
        <v>1.1969208472E10</v>
      </c>
      <c r="K93" s="391">
        <v>1.1946935796E10</v>
      </c>
      <c r="N93" s="271" t="s">
        <v>183</v>
      </c>
      <c r="O93" s="272" t="s">
        <v>195</v>
      </c>
      <c r="P93" s="272" t="s">
        <v>181</v>
      </c>
      <c r="Q93" s="273" t="s">
        <v>173</v>
      </c>
      <c r="R93" s="67"/>
    </row>
    <row r="94">
      <c r="A94" s="476" t="s">
        <v>13</v>
      </c>
      <c r="B94" s="233" t="s">
        <v>596</v>
      </c>
      <c r="C94" s="447" t="s">
        <v>1592</v>
      </c>
      <c r="D94" s="302">
        <v>0.5833333333333334</v>
      </c>
      <c r="E94" s="477" t="s">
        <v>1699</v>
      </c>
      <c r="F94" s="133">
        <v>7.04006822295868E14</v>
      </c>
      <c r="G94" s="203" t="s">
        <v>1700</v>
      </c>
      <c r="H94" s="166">
        <v>21711.0</v>
      </c>
      <c r="I94" s="478" t="s">
        <v>183</v>
      </c>
      <c r="J94" s="391">
        <v>1.1952889324E10</v>
      </c>
      <c r="K94" s="391">
        <v>1.1949190345E10</v>
      </c>
      <c r="N94" s="275">
        <f t="shared" ref="N94:Q94" si="6">COUNTIFS($I$109:$I$120,N93)</f>
        <v>12</v>
      </c>
      <c r="O94" s="275">
        <f t="shared" si="6"/>
        <v>0</v>
      </c>
      <c r="P94" s="275">
        <f t="shared" si="6"/>
        <v>0</v>
      </c>
      <c r="Q94" s="275">
        <f t="shared" si="6"/>
        <v>0</v>
      </c>
      <c r="R94" s="67"/>
    </row>
    <row r="95">
      <c r="A95" s="476" t="s">
        <v>14</v>
      </c>
      <c r="B95" s="233" t="s">
        <v>1253</v>
      </c>
      <c r="C95" s="447" t="s">
        <v>1592</v>
      </c>
      <c r="D95" s="302">
        <v>0.5972222222222222</v>
      </c>
      <c r="E95" s="480" t="s">
        <v>1701</v>
      </c>
      <c r="F95" s="133">
        <v>7.04208786099383E14</v>
      </c>
      <c r="G95" s="203" t="s">
        <v>1702</v>
      </c>
      <c r="H95" s="166">
        <v>36619.0</v>
      </c>
      <c r="I95" s="478" t="s">
        <v>173</v>
      </c>
      <c r="J95" s="391">
        <v>1.1939248528E10</v>
      </c>
      <c r="K95" s="391"/>
      <c r="R95" s="67"/>
    </row>
    <row r="96">
      <c r="A96" s="476" t="s">
        <v>15</v>
      </c>
      <c r="B96" s="233" t="s">
        <v>596</v>
      </c>
      <c r="C96" s="447" t="s">
        <v>1592</v>
      </c>
      <c r="D96" s="302">
        <v>0.6111111111111112</v>
      </c>
      <c r="E96" s="480" t="s">
        <v>1703</v>
      </c>
      <c r="F96" s="133">
        <v>7.00005395544903E14</v>
      </c>
      <c r="G96" s="203" t="s">
        <v>1704</v>
      </c>
      <c r="H96" s="166">
        <v>21933.0</v>
      </c>
      <c r="I96" s="478" t="s">
        <v>183</v>
      </c>
      <c r="J96" s="391">
        <v>1.158966018E9</v>
      </c>
      <c r="K96" s="391"/>
      <c r="R96" s="67"/>
    </row>
    <row r="97">
      <c r="A97" s="476" t="s">
        <v>16</v>
      </c>
      <c r="B97" s="481" t="s">
        <v>1705</v>
      </c>
      <c r="C97" s="447" t="s">
        <v>1592</v>
      </c>
      <c r="D97" s="302">
        <v>0.625</v>
      </c>
      <c r="E97" s="480" t="s">
        <v>1706</v>
      </c>
      <c r="F97" s="133">
        <v>7.01202091281019E14</v>
      </c>
      <c r="G97" s="203" t="s">
        <v>1707</v>
      </c>
      <c r="H97" s="166">
        <v>24749.0</v>
      </c>
      <c r="I97" s="478" t="s">
        <v>183</v>
      </c>
      <c r="J97" s="391"/>
      <c r="K97" s="391"/>
      <c r="R97" s="67"/>
    </row>
    <row r="98">
      <c r="A98" s="476" t="s">
        <v>17</v>
      </c>
      <c r="B98" s="233" t="s">
        <v>1686</v>
      </c>
      <c r="C98" s="447" t="s">
        <v>1592</v>
      </c>
      <c r="D98" s="302">
        <v>0.6388888888888888</v>
      </c>
      <c r="E98" s="480" t="s">
        <v>1708</v>
      </c>
      <c r="F98" s="133">
        <v>7.0470207497454E14</v>
      </c>
      <c r="G98" s="203" t="s">
        <v>1709</v>
      </c>
      <c r="H98" s="166">
        <v>29101.0</v>
      </c>
      <c r="I98" s="478" t="s">
        <v>173</v>
      </c>
      <c r="J98" s="391"/>
      <c r="K98" s="391"/>
      <c r="R98" s="67"/>
    </row>
    <row r="99">
      <c r="A99" s="476" t="s">
        <v>85</v>
      </c>
      <c r="B99" s="233" t="s">
        <v>239</v>
      </c>
      <c r="C99" s="447" t="s">
        <v>1592</v>
      </c>
      <c r="D99" s="302">
        <v>0.6527777777777778</v>
      </c>
      <c r="E99" s="480" t="s">
        <v>1624</v>
      </c>
      <c r="F99" s="133">
        <v>7.05005466642156E14</v>
      </c>
      <c r="G99" s="203" t="s">
        <v>1625</v>
      </c>
      <c r="H99" s="166">
        <v>16847.0</v>
      </c>
      <c r="I99" s="482"/>
      <c r="J99" s="391">
        <v>1.1997942316E10</v>
      </c>
      <c r="K99" s="391">
        <v>1.1965309537E10</v>
      </c>
      <c r="R99" s="67"/>
    </row>
    <row r="100">
      <c r="A100" s="476" t="s">
        <v>87</v>
      </c>
      <c r="B100" s="233"/>
      <c r="C100" s="447" t="s">
        <v>1592</v>
      </c>
      <c r="D100" s="302">
        <v>0.6666666666666666</v>
      </c>
      <c r="E100" s="483"/>
      <c r="F100" s="133"/>
      <c r="G100" s="203"/>
      <c r="H100" s="166"/>
      <c r="I100" s="482"/>
      <c r="J100" s="391"/>
      <c r="K100" s="484"/>
      <c r="R100" s="67"/>
    </row>
    <row r="101">
      <c r="A101" s="476" t="s">
        <v>90</v>
      </c>
      <c r="B101" s="233"/>
      <c r="C101" s="447" t="s">
        <v>1592</v>
      </c>
      <c r="D101" s="302">
        <v>0.6805555555555556</v>
      </c>
      <c r="E101" s="384"/>
      <c r="F101" s="485"/>
      <c r="G101" s="484"/>
      <c r="H101" s="486"/>
      <c r="I101" s="482"/>
      <c r="J101" s="484"/>
      <c r="K101" s="484"/>
      <c r="R101" s="67"/>
    </row>
    <row r="102">
      <c r="A102" s="476" t="s">
        <v>93</v>
      </c>
      <c r="B102" s="233"/>
      <c r="C102" s="447" t="s">
        <v>1592</v>
      </c>
      <c r="D102" s="302">
        <v>0.6944444444444444</v>
      </c>
      <c r="E102" s="384"/>
      <c r="F102" s="485"/>
      <c r="G102" s="484"/>
      <c r="H102" s="486"/>
      <c r="I102" s="482"/>
      <c r="J102" s="485"/>
      <c r="K102" s="485"/>
      <c r="R102" s="67"/>
    </row>
    <row r="103">
      <c r="J103" s="67"/>
      <c r="K103" s="67"/>
      <c r="R103" s="67"/>
    </row>
    <row r="104">
      <c r="J104" s="67"/>
      <c r="K104" s="67"/>
      <c r="R104" s="67"/>
    </row>
    <row r="105">
      <c r="J105" s="67"/>
      <c r="K105" s="67"/>
      <c r="R105" s="67"/>
    </row>
    <row r="106">
      <c r="A106" s="23" t="s">
        <v>18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R106" s="67"/>
    </row>
    <row r="107">
      <c r="A107" s="263" t="s">
        <v>1710</v>
      </c>
      <c r="B107" s="2"/>
      <c r="C107" s="2"/>
      <c r="D107" s="2"/>
      <c r="E107" s="2"/>
      <c r="F107" s="2"/>
      <c r="G107" s="2"/>
      <c r="H107" s="2"/>
      <c r="I107" s="2"/>
      <c r="J107" s="2"/>
      <c r="K107" s="3"/>
      <c r="R107" s="67"/>
    </row>
    <row r="108">
      <c r="A108" s="25"/>
      <c r="B108" s="26" t="s">
        <v>3</v>
      </c>
      <c r="C108" s="27" t="s">
        <v>2</v>
      </c>
      <c r="D108" s="28" t="s">
        <v>5</v>
      </c>
      <c r="E108" s="32" t="s">
        <v>19</v>
      </c>
      <c r="F108" s="28" t="s">
        <v>6</v>
      </c>
      <c r="G108" s="264" t="s">
        <v>7</v>
      </c>
      <c r="H108" s="30" t="s">
        <v>8</v>
      </c>
      <c r="I108" s="31" t="s">
        <v>20</v>
      </c>
      <c r="J108" s="32" t="s">
        <v>21</v>
      </c>
      <c r="K108" s="32" t="s">
        <v>22</v>
      </c>
      <c r="R108" s="67"/>
    </row>
    <row r="109">
      <c r="A109" s="12" t="s">
        <v>10</v>
      </c>
      <c r="B109" s="233" t="s">
        <v>1711</v>
      </c>
      <c r="C109" s="74" t="s">
        <v>1633</v>
      </c>
      <c r="D109" s="75">
        <v>0.5416666666666666</v>
      </c>
      <c r="E109" s="162" t="s">
        <v>1712</v>
      </c>
      <c r="F109" s="162">
        <v>8.01440417580733E14</v>
      </c>
      <c r="G109" s="161" t="s">
        <v>1713</v>
      </c>
      <c r="H109" s="390">
        <v>19898.0</v>
      </c>
      <c r="I109" s="41" t="s">
        <v>183</v>
      </c>
      <c r="J109" s="238">
        <v>1.1949257703E10</v>
      </c>
      <c r="K109" s="238">
        <v>1.1995590546E10</v>
      </c>
      <c r="N109" s="268" t="s">
        <v>387</v>
      </c>
      <c r="O109" s="100"/>
      <c r="P109" s="100"/>
      <c r="Q109" s="100"/>
      <c r="R109" s="67"/>
    </row>
    <row r="110" ht="21.0" customHeight="1">
      <c r="A110" s="12" t="s">
        <v>11</v>
      </c>
      <c r="B110" s="233" t="s">
        <v>1714</v>
      </c>
      <c r="C110" s="74" t="s">
        <v>1633</v>
      </c>
      <c r="D110" s="75">
        <v>0.5555555555555556</v>
      </c>
      <c r="E110" s="162" t="s">
        <v>1715</v>
      </c>
      <c r="F110" s="487" t="s">
        <v>1716</v>
      </c>
      <c r="G110" s="161" t="s">
        <v>1717</v>
      </c>
      <c r="H110" s="390">
        <v>17196.0</v>
      </c>
      <c r="I110" s="41" t="s">
        <v>183</v>
      </c>
      <c r="J110" s="238">
        <v>1.1994178701E10</v>
      </c>
      <c r="K110" s="238">
        <v>1.1985520979E10</v>
      </c>
      <c r="N110" s="270" t="s">
        <v>642</v>
      </c>
      <c r="O110" s="2"/>
      <c r="P110" s="2"/>
      <c r="Q110" s="2"/>
      <c r="R110" s="67"/>
    </row>
    <row r="111">
      <c r="A111" s="12" t="s">
        <v>12</v>
      </c>
      <c r="B111" s="233" t="s">
        <v>1718</v>
      </c>
      <c r="C111" s="74" t="s">
        <v>1633</v>
      </c>
      <c r="D111" s="75">
        <v>0.5694444444444444</v>
      </c>
      <c r="E111" s="162" t="s">
        <v>1719</v>
      </c>
      <c r="F111" s="162">
        <v>7.0270764917576E14</v>
      </c>
      <c r="G111" s="161" t="s">
        <v>1720</v>
      </c>
      <c r="H111" s="390">
        <v>25559.0</v>
      </c>
      <c r="I111" s="41" t="s">
        <v>183</v>
      </c>
      <c r="J111" s="238">
        <v>1.1945255712E10</v>
      </c>
      <c r="K111" s="238">
        <v>1.1910404795E10</v>
      </c>
      <c r="N111" s="271" t="s">
        <v>183</v>
      </c>
      <c r="O111" s="272" t="s">
        <v>195</v>
      </c>
      <c r="P111" s="272" t="s">
        <v>181</v>
      </c>
      <c r="Q111" s="273" t="s">
        <v>173</v>
      </c>
      <c r="R111" s="67"/>
    </row>
    <row r="112">
      <c r="A112" s="12" t="s">
        <v>13</v>
      </c>
      <c r="B112" s="233" t="s">
        <v>1721</v>
      </c>
      <c r="C112" s="74" t="s">
        <v>1633</v>
      </c>
      <c r="D112" s="75">
        <v>0.5833333333333334</v>
      </c>
      <c r="E112" s="162" t="s">
        <v>1722</v>
      </c>
      <c r="F112" s="162">
        <v>7.00609900252968E14</v>
      </c>
      <c r="G112" s="161" t="s">
        <v>1723</v>
      </c>
      <c r="H112" s="390">
        <v>15813.0</v>
      </c>
      <c r="I112" s="41" t="s">
        <v>183</v>
      </c>
      <c r="J112" s="238">
        <v>1.1948766537E10</v>
      </c>
      <c r="K112" s="238"/>
      <c r="N112" s="275">
        <f t="shared" ref="N112:Q112" si="7">COUNTIFS($I$109:$I$120,N111)</f>
        <v>12</v>
      </c>
      <c r="O112" s="275">
        <f t="shared" si="7"/>
        <v>0</v>
      </c>
      <c r="P112" s="275">
        <f t="shared" si="7"/>
        <v>0</v>
      </c>
      <c r="Q112" s="275">
        <f t="shared" si="7"/>
        <v>0</v>
      </c>
      <c r="R112" s="67"/>
    </row>
    <row r="113">
      <c r="A113" s="12" t="s">
        <v>14</v>
      </c>
      <c r="B113" s="233" t="s">
        <v>1718</v>
      </c>
      <c r="C113" s="74" t="s">
        <v>1633</v>
      </c>
      <c r="D113" s="75">
        <v>0.5972222222222222</v>
      </c>
      <c r="E113" s="162" t="s">
        <v>1724</v>
      </c>
      <c r="F113" s="162">
        <v>8.98001464553973E14</v>
      </c>
      <c r="G113" s="161" t="s">
        <v>1725</v>
      </c>
      <c r="H113" s="390">
        <v>19379.0</v>
      </c>
      <c r="I113" s="41" t="s">
        <v>183</v>
      </c>
      <c r="J113" s="238">
        <v>1.1989785128E10</v>
      </c>
      <c r="K113" s="238"/>
      <c r="R113" s="67"/>
    </row>
    <row r="114">
      <c r="A114" s="12" t="s">
        <v>15</v>
      </c>
      <c r="B114" s="233" t="s">
        <v>1718</v>
      </c>
      <c r="C114" s="74" t="s">
        <v>1633</v>
      </c>
      <c r="D114" s="75">
        <v>0.6111111111111112</v>
      </c>
      <c r="E114" s="162" t="s">
        <v>1726</v>
      </c>
      <c r="F114" s="162">
        <v>7.05409484123998E14</v>
      </c>
      <c r="G114" s="161" t="s">
        <v>1727</v>
      </c>
      <c r="H114" s="390"/>
      <c r="I114" s="41" t="s">
        <v>183</v>
      </c>
      <c r="J114" s="238">
        <v>1.1987110242E10</v>
      </c>
      <c r="K114" s="238">
        <v>1.1945715637E10</v>
      </c>
      <c r="R114" s="67"/>
    </row>
    <row r="115">
      <c r="A115" s="12" t="s">
        <v>16</v>
      </c>
      <c r="B115" s="233" t="s">
        <v>1728</v>
      </c>
      <c r="C115" s="74" t="s">
        <v>1633</v>
      </c>
      <c r="D115" s="75">
        <v>0.625</v>
      </c>
      <c r="E115" s="162" t="s">
        <v>1729</v>
      </c>
      <c r="F115" s="162">
        <v>2.01535485970008E14</v>
      </c>
      <c r="G115" s="161" t="s">
        <v>1730</v>
      </c>
      <c r="H115" s="390">
        <v>21855.0</v>
      </c>
      <c r="I115" s="41" t="s">
        <v>183</v>
      </c>
      <c r="J115" s="238"/>
      <c r="K115" s="238"/>
      <c r="R115" s="67"/>
    </row>
    <row r="116">
      <c r="A116" s="12" t="s">
        <v>17</v>
      </c>
      <c r="B116" s="233" t="s">
        <v>1718</v>
      </c>
      <c r="C116" s="74" t="s">
        <v>1633</v>
      </c>
      <c r="D116" s="75">
        <v>0.6388888888888888</v>
      </c>
      <c r="E116" s="162" t="s">
        <v>1731</v>
      </c>
      <c r="F116" s="162">
        <v>7.06006330846441E14</v>
      </c>
      <c r="G116" s="161" t="s">
        <v>1732</v>
      </c>
      <c r="H116" s="390">
        <v>21504.0</v>
      </c>
      <c r="I116" s="41" t="s">
        <v>183</v>
      </c>
      <c r="J116" s="238">
        <v>1.1920001958E10</v>
      </c>
      <c r="K116" s="238"/>
      <c r="R116" s="67"/>
    </row>
    <row r="117">
      <c r="A117" s="12" t="s">
        <v>85</v>
      </c>
      <c r="B117" s="233" t="s">
        <v>1718</v>
      </c>
      <c r="C117" s="74" t="s">
        <v>1633</v>
      </c>
      <c r="D117" s="75">
        <v>0.6527777777777778</v>
      </c>
      <c r="E117" s="162" t="s">
        <v>1733</v>
      </c>
      <c r="F117" s="162">
        <v>7.03209663734393E14</v>
      </c>
      <c r="G117" s="161" t="s">
        <v>1734</v>
      </c>
      <c r="H117" s="390">
        <v>21877.0</v>
      </c>
      <c r="I117" s="41" t="s">
        <v>183</v>
      </c>
      <c r="J117" s="238">
        <v>1.1915602006E10</v>
      </c>
      <c r="K117" s="238">
        <v>1.1980944653E10</v>
      </c>
      <c r="R117" s="67"/>
      <c r="V117" s="336"/>
    </row>
    <row r="118">
      <c r="A118" s="12" t="s">
        <v>87</v>
      </c>
      <c r="B118" s="233" t="s">
        <v>1735</v>
      </c>
      <c r="C118" s="74" t="s">
        <v>1633</v>
      </c>
      <c r="D118" s="75">
        <v>0.6666666666666666</v>
      </c>
      <c r="E118" s="162" t="s">
        <v>1736</v>
      </c>
      <c r="F118" s="162">
        <v>8.98001418960669E14</v>
      </c>
      <c r="G118" s="161" t="s">
        <v>1737</v>
      </c>
      <c r="H118" s="390">
        <v>27318.0</v>
      </c>
      <c r="I118" s="41" t="s">
        <v>183</v>
      </c>
      <c r="J118" s="238">
        <v>1.1956020202E10</v>
      </c>
      <c r="K118" s="238"/>
      <c r="R118" s="67"/>
    </row>
    <row r="119">
      <c r="A119" s="12" t="s">
        <v>90</v>
      </c>
      <c r="B119" s="233" t="s">
        <v>1738</v>
      </c>
      <c r="C119" s="74" t="s">
        <v>1633</v>
      </c>
      <c r="D119" s="75">
        <v>0.6805555555555556</v>
      </c>
      <c r="E119" s="162" t="s">
        <v>1739</v>
      </c>
      <c r="F119" s="162">
        <v>8.98000709384086E14</v>
      </c>
      <c r="G119" s="161" t="s">
        <v>1740</v>
      </c>
      <c r="H119" s="390">
        <v>13967.0</v>
      </c>
      <c r="I119" s="41" t="s">
        <v>183</v>
      </c>
      <c r="J119" s="238">
        <v>1.1948756691E10</v>
      </c>
      <c r="K119" s="238"/>
      <c r="R119" s="67"/>
    </row>
    <row r="120">
      <c r="A120" s="12" t="s">
        <v>93</v>
      </c>
      <c r="B120" s="233" t="s">
        <v>1735</v>
      </c>
      <c r="C120" s="74" t="s">
        <v>1633</v>
      </c>
      <c r="D120" s="75">
        <v>0.6944444444444444</v>
      </c>
      <c r="E120" s="162" t="s">
        <v>1741</v>
      </c>
      <c r="F120" s="162">
        <v>7.01806257615874E14</v>
      </c>
      <c r="G120" s="161" t="s">
        <v>1742</v>
      </c>
      <c r="H120" s="390">
        <v>22901.0</v>
      </c>
      <c r="I120" s="41" t="s">
        <v>183</v>
      </c>
      <c r="J120" s="238">
        <v>1.1916474416E10</v>
      </c>
      <c r="K120" s="238">
        <v>1.1973836845E10</v>
      </c>
      <c r="R120" s="67"/>
    </row>
    <row r="121">
      <c r="J121" s="67"/>
      <c r="K121" s="67"/>
      <c r="R121" s="67"/>
    </row>
    <row r="122">
      <c r="J122" s="67"/>
      <c r="K122" s="67"/>
      <c r="R122" s="67"/>
    </row>
    <row r="123">
      <c r="J123" s="67"/>
      <c r="K123" s="67"/>
      <c r="R123" s="67"/>
    </row>
    <row r="124">
      <c r="A124" s="23" t="s">
        <v>18</v>
      </c>
      <c r="B124" s="2"/>
      <c r="C124" s="2"/>
      <c r="D124" s="2"/>
      <c r="E124" s="2"/>
      <c r="F124" s="2"/>
      <c r="G124" s="2"/>
      <c r="H124" s="2"/>
      <c r="I124" s="2"/>
      <c r="J124" s="2"/>
      <c r="K124" s="3"/>
      <c r="R124" s="67"/>
    </row>
    <row r="125">
      <c r="A125" s="263" t="s">
        <v>1743</v>
      </c>
      <c r="B125" s="2"/>
      <c r="C125" s="2"/>
      <c r="D125" s="2"/>
      <c r="E125" s="2"/>
      <c r="F125" s="2"/>
      <c r="G125" s="2"/>
      <c r="H125" s="2"/>
      <c r="I125" s="2"/>
      <c r="J125" s="2"/>
      <c r="K125" s="3"/>
      <c r="N125" s="268" t="s">
        <v>387</v>
      </c>
      <c r="O125" s="100"/>
      <c r="P125" s="100"/>
      <c r="Q125" s="100"/>
      <c r="R125" s="67"/>
    </row>
    <row r="126">
      <c r="A126" s="25"/>
      <c r="B126" s="26" t="s">
        <v>3</v>
      </c>
      <c r="C126" s="27" t="s">
        <v>2</v>
      </c>
      <c r="D126" s="28" t="s">
        <v>5</v>
      </c>
      <c r="E126" s="32" t="s">
        <v>19</v>
      </c>
      <c r="F126" s="28" t="s">
        <v>6</v>
      </c>
      <c r="G126" s="264" t="s">
        <v>7</v>
      </c>
      <c r="H126" s="30" t="s">
        <v>8</v>
      </c>
      <c r="I126" s="31" t="s">
        <v>20</v>
      </c>
      <c r="J126" s="32" t="s">
        <v>21</v>
      </c>
      <c r="K126" s="32" t="s">
        <v>22</v>
      </c>
      <c r="N126" s="270" t="s">
        <v>671</v>
      </c>
      <c r="O126" s="2"/>
      <c r="P126" s="2"/>
      <c r="Q126" s="2"/>
      <c r="R126" s="67"/>
    </row>
    <row r="127">
      <c r="A127" s="12" t="s">
        <v>10</v>
      </c>
      <c r="B127" s="227" t="s">
        <v>1668</v>
      </c>
      <c r="C127" s="74" t="s">
        <v>1592</v>
      </c>
      <c r="D127" s="75">
        <v>0.5416666666666666</v>
      </c>
      <c r="E127" s="241" t="s">
        <v>1744</v>
      </c>
      <c r="F127" s="185">
        <v>8.01440420565251E14</v>
      </c>
      <c r="G127" s="105" t="s">
        <v>1745</v>
      </c>
      <c r="H127" s="83">
        <v>16024.0</v>
      </c>
      <c r="I127" s="34" t="s">
        <v>183</v>
      </c>
      <c r="J127" s="102" t="s">
        <v>1746</v>
      </c>
      <c r="K127" s="102" t="s">
        <v>1747</v>
      </c>
      <c r="N127" s="271" t="s">
        <v>183</v>
      </c>
      <c r="O127" s="272" t="s">
        <v>195</v>
      </c>
      <c r="P127" s="272" t="s">
        <v>181</v>
      </c>
      <c r="Q127" s="273" t="s">
        <v>173</v>
      </c>
      <c r="R127" s="67"/>
    </row>
    <row r="128">
      <c r="A128" s="12" t="s">
        <v>11</v>
      </c>
      <c r="B128" s="227" t="s">
        <v>1671</v>
      </c>
      <c r="C128" s="74" t="s">
        <v>1592</v>
      </c>
      <c r="D128" s="75">
        <v>0.5555555555555556</v>
      </c>
      <c r="E128" s="241" t="s">
        <v>1748</v>
      </c>
      <c r="F128" s="185">
        <v>7.00205409424223E14</v>
      </c>
      <c r="G128" s="105" t="s">
        <v>1749</v>
      </c>
      <c r="H128" s="83">
        <v>20566.0</v>
      </c>
      <c r="I128" s="34" t="s">
        <v>183</v>
      </c>
      <c r="J128" s="42" t="s">
        <v>1750</v>
      </c>
      <c r="K128" s="42"/>
      <c r="N128" s="275">
        <f t="shared" ref="N128:Q128" si="8">COUNTIFS($I$128:$I$138,N127)</f>
        <v>8</v>
      </c>
      <c r="O128" s="275">
        <f t="shared" si="8"/>
        <v>0</v>
      </c>
      <c r="P128" s="275">
        <f t="shared" si="8"/>
        <v>2</v>
      </c>
      <c r="Q128" s="275">
        <f t="shared" si="8"/>
        <v>1</v>
      </c>
      <c r="R128" s="67"/>
    </row>
    <row r="129">
      <c r="A129" s="12" t="s">
        <v>12</v>
      </c>
      <c r="B129" s="227" t="s">
        <v>271</v>
      </c>
      <c r="C129" s="74" t="s">
        <v>1592</v>
      </c>
      <c r="D129" s="75">
        <v>0.5694444444444444</v>
      </c>
      <c r="E129" s="241" t="s">
        <v>1751</v>
      </c>
      <c r="F129" s="185">
        <v>7.05003620253655E14</v>
      </c>
      <c r="G129" s="105" t="s">
        <v>1752</v>
      </c>
      <c r="H129" s="83">
        <v>14032.0</v>
      </c>
      <c r="I129" s="34" t="s">
        <v>183</v>
      </c>
      <c r="J129" s="102" t="s">
        <v>1753</v>
      </c>
      <c r="K129" s="102"/>
      <c r="R129" s="67"/>
    </row>
    <row r="130">
      <c r="A130" s="12" t="s">
        <v>13</v>
      </c>
      <c r="B130" s="488" t="s">
        <v>596</v>
      </c>
      <c r="C130" s="74" t="s">
        <v>1592</v>
      </c>
      <c r="D130" s="75">
        <v>0.5833333333333334</v>
      </c>
      <c r="E130" s="241" t="s">
        <v>1754</v>
      </c>
      <c r="F130" s="185">
        <v>7.000004270895E14</v>
      </c>
      <c r="G130" s="105" t="s">
        <v>1755</v>
      </c>
      <c r="H130" s="83">
        <v>19913.0</v>
      </c>
      <c r="I130" s="34" t="s">
        <v>183</v>
      </c>
      <c r="J130" s="102" t="s">
        <v>1756</v>
      </c>
      <c r="K130" s="102"/>
      <c r="R130" s="67"/>
    </row>
    <row r="131">
      <c r="A131" s="12" t="s">
        <v>14</v>
      </c>
      <c r="B131" s="227" t="s">
        <v>1253</v>
      </c>
      <c r="C131" s="74" t="s">
        <v>1592</v>
      </c>
      <c r="D131" s="75">
        <v>0.5972222222222222</v>
      </c>
      <c r="E131" s="241" t="s">
        <v>1757</v>
      </c>
      <c r="F131" s="185">
        <v>8.01440499751359E14</v>
      </c>
      <c r="G131" s="105" t="s">
        <v>1758</v>
      </c>
      <c r="H131" s="83">
        <v>18866.0</v>
      </c>
      <c r="I131" s="34" t="s">
        <v>183</v>
      </c>
      <c r="J131" s="102" t="s">
        <v>1759</v>
      </c>
      <c r="K131" s="102" t="s">
        <v>1760</v>
      </c>
      <c r="R131" s="67"/>
    </row>
    <row r="132">
      <c r="A132" s="12" t="s">
        <v>15</v>
      </c>
      <c r="B132" s="227" t="s">
        <v>596</v>
      </c>
      <c r="C132" s="74" t="s">
        <v>1592</v>
      </c>
      <c r="D132" s="75">
        <v>0.6111111111111112</v>
      </c>
      <c r="E132" s="241" t="s">
        <v>1761</v>
      </c>
      <c r="F132" s="426" t="s">
        <v>1762</v>
      </c>
      <c r="G132" s="105" t="s">
        <v>1763</v>
      </c>
      <c r="H132" s="83">
        <v>36529.0</v>
      </c>
      <c r="I132" s="34" t="s">
        <v>183</v>
      </c>
      <c r="J132" s="102" t="s">
        <v>1764</v>
      </c>
      <c r="K132" s="102"/>
      <c r="R132" s="67"/>
    </row>
    <row r="133">
      <c r="A133" s="12" t="s">
        <v>16</v>
      </c>
      <c r="B133" s="227" t="s">
        <v>1683</v>
      </c>
      <c r="C133" s="74" t="s">
        <v>1592</v>
      </c>
      <c r="D133" s="75">
        <v>0.625</v>
      </c>
      <c r="E133" s="241" t="s">
        <v>1765</v>
      </c>
      <c r="F133" s="185">
        <v>7.08002867183022E14</v>
      </c>
      <c r="G133" s="105" t="s">
        <v>1766</v>
      </c>
      <c r="H133" s="83">
        <v>24995.0</v>
      </c>
      <c r="I133" s="34" t="s">
        <v>183</v>
      </c>
      <c r="J133" s="102" t="s">
        <v>1767</v>
      </c>
      <c r="K133" s="102"/>
      <c r="R133" s="67"/>
    </row>
    <row r="134">
      <c r="A134" s="12" t="s">
        <v>17</v>
      </c>
      <c r="B134" s="227" t="s">
        <v>1686</v>
      </c>
      <c r="C134" s="74" t="s">
        <v>1592</v>
      </c>
      <c r="D134" s="75">
        <v>0.6388888888888888</v>
      </c>
      <c r="E134" s="241" t="s">
        <v>1768</v>
      </c>
      <c r="F134" s="185">
        <v>7.08900765387311E14</v>
      </c>
      <c r="G134" s="105" t="s">
        <v>1769</v>
      </c>
      <c r="H134" s="83">
        <v>19418.0</v>
      </c>
      <c r="I134" s="34" t="s">
        <v>183</v>
      </c>
      <c r="J134" s="102" t="s">
        <v>1770</v>
      </c>
      <c r="K134" s="102" t="s">
        <v>1771</v>
      </c>
      <c r="R134" s="67"/>
    </row>
    <row r="135">
      <c r="A135" s="12" t="s">
        <v>85</v>
      </c>
      <c r="B135" s="227" t="s">
        <v>239</v>
      </c>
      <c r="C135" s="74" t="s">
        <v>1592</v>
      </c>
      <c r="D135" s="75">
        <v>0.6527777777777778</v>
      </c>
      <c r="E135" s="241" t="s">
        <v>1772</v>
      </c>
      <c r="F135" s="185">
        <v>7.06409659523386E14</v>
      </c>
      <c r="G135" s="105" t="s">
        <v>1773</v>
      </c>
      <c r="H135" s="83">
        <v>14733.0</v>
      </c>
      <c r="I135" s="34" t="s">
        <v>173</v>
      </c>
      <c r="J135" s="102" t="s">
        <v>1774</v>
      </c>
      <c r="K135" s="102" t="s">
        <v>1775</v>
      </c>
      <c r="R135" s="67"/>
    </row>
    <row r="136">
      <c r="A136" s="12" t="s">
        <v>87</v>
      </c>
      <c r="B136" s="227" t="s">
        <v>1689</v>
      </c>
      <c r="C136" s="74" t="s">
        <v>1592</v>
      </c>
      <c r="D136" s="75">
        <v>0.6666666666666666</v>
      </c>
      <c r="E136" s="241"/>
      <c r="F136" s="185"/>
      <c r="G136" s="105"/>
      <c r="H136" s="83"/>
      <c r="I136" s="34" t="s">
        <v>181</v>
      </c>
      <c r="J136" s="102"/>
      <c r="K136" s="102"/>
      <c r="R136" s="67"/>
    </row>
    <row r="137">
      <c r="A137" s="12" t="s">
        <v>90</v>
      </c>
      <c r="B137" s="227" t="s">
        <v>1628</v>
      </c>
      <c r="C137" s="74" t="s">
        <v>1592</v>
      </c>
      <c r="D137" s="75">
        <v>0.6805555555555556</v>
      </c>
      <c r="E137" s="241" t="s">
        <v>1776</v>
      </c>
      <c r="F137" s="185">
        <v>8.01440400952764E14</v>
      </c>
      <c r="G137" s="105" t="s">
        <v>1777</v>
      </c>
      <c r="H137" s="83">
        <v>15374.0</v>
      </c>
      <c r="I137" s="34" t="s">
        <v>183</v>
      </c>
      <c r="J137" s="102" t="s">
        <v>1778</v>
      </c>
      <c r="K137" s="102" t="s">
        <v>1779</v>
      </c>
      <c r="R137" s="67"/>
    </row>
    <row r="138">
      <c r="A138" s="12" t="s">
        <v>93</v>
      </c>
      <c r="B138" s="227" t="s">
        <v>1689</v>
      </c>
      <c r="C138" s="74" t="s">
        <v>1592</v>
      </c>
      <c r="D138" s="75">
        <v>0.6944444444444444</v>
      </c>
      <c r="E138" s="241"/>
      <c r="F138" s="185"/>
      <c r="G138" s="105"/>
      <c r="H138" s="83"/>
      <c r="I138" s="34" t="s">
        <v>181</v>
      </c>
      <c r="J138" s="102"/>
      <c r="K138" s="102"/>
      <c r="R138" s="67"/>
    </row>
    <row r="139">
      <c r="J139" s="67"/>
      <c r="K139" s="67"/>
      <c r="R139" s="67"/>
    </row>
    <row r="140">
      <c r="J140" s="67"/>
      <c r="K140" s="67"/>
      <c r="R140" s="67"/>
    </row>
    <row r="141">
      <c r="J141" s="67"/>
      <c r="K141" s="67"/>
      <c r="R141" s="67"/>
    </row>
    <row r="142">
      <c r="J142" s="67"/>
      <c r="K142" s="67"/>
      <c r="R142" s="67"/>
    </row>
    <row r="143">
      <c r="A143" s="23" t="s">
        <v>18</v>
      </c>
      <c r="B143" s="2"/>
      <c r="C143" s="2"/>
      <c r="D143" s="2"/>
      <c r="E143" s="2"/>
      <c r="F143" s="2"/>
      <c r="G143" s="2"/>
      <c r="H143" s="2"/>
      <c r="I143" s="2"/>
      <c r="J143" s="2"/>
      <c r="K143" s="3"/>
      <c r="R143" s="67"/>
    </row>
    <row r="144">
      <c r="A144" s="263" t="s">
        <v>1780</v>
      </c>
      <c r="B144" s="2"/>
      <c r="C144" s="2"/>
      <c r="D144" s="2"/>
      <c r="E144" s="2"/>
      <c r="F144" s="2"/>
      <c r="G144" s="2"/>
      <c r="H144" s="2"/>
      <c r="I144" s="2"/>
      <c r="J144" s="2"/>
      <c r="K144" s="3"/>
      <c r="R144" s="67"/>
    </row>
    <row r="145">
      <c r="A145" s="25"/>
      <c r="B145" s="26" t="s">
        <v>3</v>
      </c>
      <c r="C145" s="27" t="s">
        <v>2</v>
      </c>
      <c r="D145" s="28" t="s">
        <v>5</v>
      </c>
      <c r="E145" s="32" t="s">
        <v>19</v>
      </c>
      <c r="F145" s="28" t="s">
        <v>6</v>
      </c>
      <c r="G145" s="264" t="s">
        <v>7</v>
      </c>
      <c r="H145" s="30" t="s">
        <v>8</v>
      </c>
      <c r="I145" s="31" t="s">
        <v>20</v>
      </c>
      <c r="J145" s="32" t="s">
        <v>21</v>
      </c>
      <c r="K145" s="32" t="s">
        <v>22</v>
      </c>
      <c r="R145" s="67"/>
    </row>
    <row r="146">
      <c r="A146" s="12" t="s">
        <v>10</v>
      </c>
      <c r="B146" s="227" t="s">
        <v>1781</v>
      </c>
      <c r="C146" s="74" t="s">
        <v>1633</v>
      </c>
      <c r="D146" s="75">
        <v>0.5416666666666666</v>
      </c>
      <c r="E146" s="241" t="s">
        <v>1782</v>
      </c>
      <c r="F146" s="422" t="s">
        <v>1783</v>
      </c>
      <c r="G146" s="79" t="s">
        <v>1784</v>
      </c>
      <c r="H146" s="83">
        <v>28828.0</v>
      </c>
      <c r="I146" s="34" t="s">
        <v>183</v>
      </c>
      <c r="J146" s="41" t="s">
        <v>1785</v>
      </c>
      <c r="K146" s="84"/>
      <c r="L146" s="216" t="s">
        <v>521</v>
      </c>
      <c r="N146" s="268" t="s">
        <v>387</v>
      </c>
      <c r="O146" s="100"/>
      <c r="P146" s="100"/>
      <c r="Q146" s="100"/>
      <c r="R146" s="67"/>
    </row>
    <row r="147">
      <c r="A147" s="12" t="s">
        <v>11</v>
      </c>
      <c r="B147" s="227" t="s">
        <v>1714</v>
      </c>
      <c r="C147" s="74" t="s">
        <v>1633</v>
      </c>
      <c r="D147" s="75">
        <v>0.5555555555555556</v>
      </c>
      <c r="E147" s="241" t="s">
        <v>1786</v>
      </c>
      <c r="F147" s="84">
        <v>7.00007794647805E14</v>
      </c>
      <c r="G147" s="312" t="s">
        <v>1787</v>
      </c>
      <c r="H147" s="77">
        <v>18947.0</v>
      </c>
      <c r="I147" s="34" t="s">
        <v>183</v>
      </c>
      <c r="J147" s="41" t="s">
        <v>1788</v>
      </c>
      <c r="K147" s="84" t="s">
        <v>1789</v>
      </c>
      <c r="N147" s="270" t="s">
        <v>671</v>
      </c>
      <c r="O147" s="2"/>
      <c r="P147" s="2"/>
      <c r="Q147" s="2"/>
      <c r="R147" s="67"/>
      <c r="S147" s="458">
        <f>106+69</f>
        <v>175</v>
      </c>
    </row>
    <row r="148">
      <c r="A148" s="12" t="s">
        <v>12</v>
      </c>
      <c r="B148" s="227" t="s">
        <v>1790</v>
      </c>
      <c r="C148" s="74" t="s">
        <v>1633</v>
      </c>
      <c r="D148" s="75">
        <v>0.5694444444444444</v>
      </c>
      <c r="E148" s="241" t="s">
        <v>1791</v>
      </c>
      <c r="F148" s="84">
        <v>8.0144048185127E14</v>
      </c>
      <c r="G148" s="79" t="s">
        <v>1792</v>
      </c>
      <c r="H148" s="83">
        <v>17835.0</v>
      </c>
      <c r="I148" s="34" t="s">
        <v>183</v>
      </c>
      <c r="J148" s="41" t="s">
        <v>1793</v>
      </c>
      <c r="K148" s="84"/>
      <c r="N148" s="271" t="s">
        <v>183</v>
      </c>
      <c r="O148" s="272" t="s">
        <v>195</v>
      </c>
      <c r="P148" s="272" t="s">
        <v>181</v>
      </c>
      <c r="Q148" s="273" t="s">
        <v>173</v>
      </c>
      <c r="R148" s="67"/>
    </row>
    <row r="149">
      <c r="A149" s="12" t="s">
        <v>13</v>
      </c>
      <c r="B149" s="227" t="s">
        <v>1721</v>
      </c>
      <c r="C149" s="74" t="s">
        <v>1633</v>
      </c>
      <c r="D149" s="75">
        <v>0.5833333333333334</v>
      </c>
      <c r="E149" s="241" t="s">
        <v>1794</v>
      </c>
      <c r="F149" s="84">
        <v>2.04302306850006E14</v>
      </c>
      <c r="G149" s="327" t="s">
        <v>1795</v>
      </c>
      <c r="H149" s="338">
        <v>20339.0</v>
      </c>
      <c r="I149" s="34" t="s">
        <v>183</v>
      </c>
      <c r="J149" s="41"/>
      <c r="K149" s="84"/>
      <c r="N149" s="275">
        <f t="shared" ref="N149:Q149" si="9">COUNTIFS($I$146:$I$157,N148)</f>
        <v>9</v>
      </c>
      <c r="O149" s="275">
        <f t="shared" si="9"/>
        <v>1</v>
      </c>
      <c r="P149" s="275">
        <f t="shared" si="9"/>
        <v>1</v>
      </c>
      <c r="Q149" s="275">
        <f t="shared" si="9"/>
        <v>1</v>
      </c>
      <c r="R149" s="67"/>
    </row>
    <row r="150">
      <c r="A150" s="12" t="s">
        <v>14</v>
      </c>
      <c r="B150" s="227" t="s">
        <v>1796</v>
      </c>
      <c r="C150" s="74" t="s">
        <v>1633</v>
      </c>
      <c r="D150" s="75">
        <v>0.5972222222222222</v>
      </c>
      <c r="E150" s="241"/>
      <c r="F150" s="84"/>
      <c r="G150" s="346"/>
      <c r="H150" s="77"/>
      <c r="I150" s="34" t="s">
        <v>181</v>
      </c>
      <c r="J150" s="41" t="s">
        <v>1797</v>
      </c>
      <c r="K150" s="84" t="s">
        <v>1798</v>
      </c>
      <c r="R150" s="67"/>
    </row>
    <row r="151">
      <c r="A151" s="12" t="s">
        <v>15</v>
      </c>
      <c r="B151" s="227" t="s">
        <v>1790</v>
      </c>
      <c r="C151" s="74" t="s">
        <v>1633</v>
      </c>
      <c r="D151" s="75">
        <v>0.6111111111111112</v>
      </c>
      <c r="E151" s="241" t="s">
        <v>1799</v>
      </c>
      <c r="F151" s="84">
        <v>2.01543669210004E14</v>
      </c>
      <c r="G151" s="340" t="s">
        <v>1800</v>
      </c>
      <c r="H151" s="77">
        <v>15109.0</v>
      </c>
      <c r="I151" s="34" t="s">
        <v>183</v>
      </c>
      <c r="J151" s="84" t="s">
        <v>1801</v>
      </c>
      <c r="K151" s="41" t="s">
        <v>1802</v>
      </c>
      <c r="R151" s="67"/>
    </row>
    <row r="152">
      <c r="A152" s="12" t="s">
        <v>16</v>
      </c>
      <c r="B152" s="227" t="s">
        <v>1728</v>
      </c>
      <c r="C152" s="74" t="s">
        <v>1633</v>
      </c>
      <c r="D152" s="75">
        <v>0.625</v>
      </c>
      <c r="E152" s="241" t="s">
        <v>1803</v>
      </c>
      <c r="F152" s="84">
        <v>7.08203650300743E14</v>
      </c>
      <c r="G152" s="79" t="s">
        <v>1804</v>
      </c>
      <c r="H152" s="313">
        <v>18215.0</v>
      </c>
      <c r="I152" s="34" t="s">
        <v>183</v>
      </c>
      <c r="J152" s="41" t="s">
        <v>1805</v>
      </c>
      <c r="K152" s="84"/>
      <c r="N152" s="458">
        <f t="shared" ref="N152:Q152" si="10">SUM(N94,N149,N112,N77,N60,N42,N7,N25,N128)</f>
        <v>69</v>
      </c>
      <c r="O152" s="458">
        <f t="shared" si="10"/>
        <v>3</v>
      </c>
      <c r="P152" s="458">
        <f t="shared" si="10"/>
        <v>13</v>
      </c>
      <c r="Q152" s="458">
        <f t="shared" si="10"/>
        <v>9</v>
      </c>
      <c r="R152" s="67"/>
    </row>
    <row r="153">
      <c r="A153" s="12" t="s">
        <v>17</v>
      </c>
      <c r="B153" s="227" t="s">
        <v>1738</v>
      </c>
      <c r="C153" s="74" t="s">
        <v>1633</v>
      </c>
      <c r="D153" s="75">
        <v>0.6388888888888888</v>
      </c>
      <c r="E153" s="241" t="s">
        <v>1806</v>
      </c>
      <c r="F153" s="84">
        <v>7.02902509676574E14</v>
      </c>
      <c r="G153" s="79" t="s">
        <v>1807</v>
      </c>
      <c r="H153" s="83">
        <v>17286.0</v>
      </c>
      <c r="I153" s="34" t="s">
        <v>183</v>
      </c>
      <c r="J153" s="41" t="s">
        <v>1808</v>
      </c>
      <c r="K153" s="84"/>
      <c r="R153" s="67"/>
    </row>
    <row r="154">
      <c r="A154" s="12" t="s">
        <v>85</v>
      </c>
      <c r="B154" s="227" t="s">
        <v>1718</v>
      </c>
      <c r="C154" s="74" t="s">
        <v>1633</v>
      </c>
      <c r="D154" s="75">
        <v>0.6527777777777778</v>
      </c>
      <c r="E154" s="241" t="s">
        <v>1809</v>
      </c>
      <c r="F154" s="84">
        <v>7.06806247001629E14</v>
      </c>
      <c r="G154" s="79" t="s">
        <v>1810</v>
      </c>
      <c r="H154" s="83">
        <v>29731.0</v>
      </c>
      <c r="I154" s="34" t="s">
        <v>183</v>
      </c>
      <c r="J154" s="41" t="s">
        <v>1811</v>
      </c>
      <c r="K154" s="84" t="s">
        <v>1812</v>
      </c>
      <c r="L154" s="216" t="s">
        <v>577</v>
      </c>
      <c r="R154" s="67"/>
    </row>
    <row r="155">
      <c r="A155" s="12" t="s">
        <v>87</v>
      </c>
      <c r="B155" s="227" t="s">
        <v>1735</v>
      </c>
      <c r="C155" s="74" t="s">
        <v>1633</v>
      </c>
      <c r="D155" s="75">
        <v>0.6666666666666666</v>
      </c>
      <c r="E155" s="241" t="s">
        <v>1813</v>
      </c>
      <c r="F155" s="162">
        <v>7.08004360910029E14</v>
      </c>
      <c r="G155" s="105" t="s">
        <v>1814</v>
      </c>
      <c r="H155" s="166">
        <v>19526.0</v>
      </c>
      <c r="I155" s="34" t="s">
        <v>195</v>
      </c>
      <c r="J155" s="41" t="s">
        <v>1815</v>
      </c>
      <c r="K155" s="84" t="s">
        <v>1816</v>
      </c>
      <c r="R155" s="67"/>
    </row>
    <row r="156">
      <c r="A156" s="12" t="s">
        <v>90</v>
      </c>
      <c r="B156" s="227" t="s">
        <v>1718</v>
      </c>
      <c r="C156" s="74" t="s">
        <v>1633</v>
      </c>
      <c r="D156" s="75">
        <v>0.6805555555555556</v>
      </c>
      <c r="E156" s="241" t="s">
        <v>1817</v>
      </c>
      <c r="F156" s="133">
        <v>7.05804493363035E14</v>
      </c>
      <c r="G156" s="105" t="s">
        <v>1818</v>
      </c>
      <c r="H156" s="166">
        <v>18331.0</v>
      </c>
      <c r="I156" s="34" t="s">
        <v>183</v>
      </c>
      <c r="J156" s="41" t="s">
        <v>1819</v>
      </c>
      <c r="K156" s="84"/>
      <c r="R156" s="67"/>
    </row>
    <row r="157">
      <c r="A157" s="12" t="s">
        <v>93</v>
      </c>
      <c r="B157" s="227" t="s">
        <v>1735</v>
      </c>
      <c r="C157" s="74" t="s">
        <v>1633</v>
      </c>
      <c r="D157" s="75">
        <v>0.6944444444444444</v>
      </c>
      <c r="E157" s="241" t="s">
        <v>1820</v>
      </c>
      <c r="F157" s="133">
        <v>7.02807648518361E14</v>
      </c>
      <c r="G157" s="105" t="s">
        <v>1821</v>
      </c>
      <c r="H157" s="166">
        <v>22179.0</v>
      </c>
      <c r="I157" s="34" t="s">
        <v>173</v>
      </c>
      <c r="J157" s="84"/>
      <c r="K157" s="84"/>
      <c r="R157" s="67"/>
    </row>
    <row r="158">
      <c r="J158" s="67"/>
      <c r="K158" s="67"/>
      <c r="R158" s="67"/>
    </row>
    <row r="159">
      <c r="J159" s="67"/>
      <c r="K159" s="67"/>
      <c r="R159" s="67"/>
    </row>
    <row r="160">
      <c r="J160" s="67"/>
      <c r="K160" s="67"/>
      <c r="R160" s="67"/>
    </row>
    <row r="161">
      <c r="F161" s="366"/>
      <c r="J161" s="67"/>
      <c r="K161" s="67"/>
      <c r="R161" s="67"/>
    </row>
    <row r="162">
      <c r="F162" s="366"/>
      <c r="J162" s="67"/>
      <c r="K162" s="67"/>
      <c r="R162" s="67"/>
    </row>
    <row r="163">
      <c r="F163" s="366"/>
      <c r="J163" s="67"/>
      <c r="K163" s="67"/>
      <c r="R163" s="67"/>
    </row>
    <row r="164">
      <c r="F164" s="366"/>
      <c r="J164" s="67"/>
      <c r="K164" s="67"/>
      <c r="R164" s="67"/>
    </row>
    <row r="165">
      <c r="F165" s="366"/>
      <c r="J165" s="67"/>
      <c r="K165" s="67"/>
      <c r="R165" s="67"/>
    </row>
    <row r="166">
      <c r="F166" s="366"/>
      <c r="J166" s="67"/>
      <c r="K166" s="67"/>
      <c r="R166" s="67"/>
    </row>
    <row r="167">
      <c r="J167" s="67"/>
      <c r="K167" s="67"/>
      <c r="R167" s="67"/>
    </row>
    <row r="168">
      <c r="J168" s="67"/>
      <c r="K168" s="67"/>
      <c r="R168" s="67"/>
    </row>
    <row r="169">
      <c r="J169" s="67"/>
      <c r="K169" s="67"/>
      <c r="R169" s="67"/>
    </row>
    <row r="170">
      <c r="J170" s="67"/>
      <c r="K170" s="67"/>
      <c r="R170" s="67"/>
    </row>
    <row r="171">
      <c r="J171" s="67"/>
      <c r="K171" s="67"/>
      <c r="R171" s="67"/>
    </row>
    <row r="172">
      <c r="J172" s="67"/>
      <c r="K172" s="67"/>
      <c r="R172" s="67"/>
    </row>
    <row r="173">
      <c r="J173" s="67"/>
      <c r="K173" s="67"/>
      <c r="R173" s="67"/>
    </row>
    <row r="174">
      <c r="J174" s="67"/>
      <c r="K174" s="67"/>
      <c r="R174" s="67"/>
    </row>
    <row r="175">
      <c r="J175" s="67"/>
      <c r="K175" s="67"/>
      <c r="R175" s="67"/>
    </row>
    <row r="176">
      <c r="J176" s="67"/>
      <c r="K176" s="67"/>
      <c r="R176" s="67"/>
    </row>
    <row r="177">
      <c r="J177" s="67"/>
      <c r="K177" s="67"/>
      <c r="R177" s="67"/>
    </row>
    <row r="178">
      <c r="J178" s="67"/>
      <c r="K178" s="67"/>
      <c r="R178" s="67"/>
    </row>
    <row r="179">
      <c r="J179" s="67"/>
      <c r="K179" s="67"/>
      <c r="R179" s="67"/>
    </row>
    <row r="180">
      <c r="J180" s="67"/>
      <c r="K180" s="67"/>
      <c r="R180" s="67"/>
    </row>
    <row r="181">
      <c r="J181" s="67"/>
      <c r="K181" s="67"/>
      <c r="R181" s="67"/>
    </row>
    <row r="182">
      <c r="J182" s="67"/>
      <c r="K182" s="67"/>
      <c r="R182" s="67"/>
    </row>
    <row r="183">
      <c r="J183" s="67"/>
      <c r="K183" s="67"/>
      <c r="R183" s="67"/>
    </row>
    <row r="184">
      <c r="J184" s="67"/>
      <c r="K184" s="67"/>
      <c r="R184" s="67"/>
    </row>
    <row r="185">
      <c r="J185" s="67"/>
      <c r="K185" s="67"/>
      <c r="R185" s="67"/>
    </row>
    <row r="186">
      <c r="J186" s="67"/>
      <c r="K186" s="67"/>
      <c r="R186" s="67"/>
    </row>
    <row r="187">
      <c r="J187" s="67"/>
      <c r="K187" s="67"/>
      <c r="R187" s="67"/>
    </row>
    <row r="188">
      <c r="J188" s="67"/>
      <c r="K188" s="67"/>
      <c r="R188" s="67"/>
    </row>
    <row r="189">
      <c r="J189" s="67"/>
      <c r="K189" s="67"/>
      <c r="R189" s="67"/>
    </row>
    <row r="190">
      <c r="J190" s="67"/>
      <c r="K190" s="67"/>
      <c r="R190" s="67"/>
    </row>
    <row r="191">
      <c r="J191" s="67"/>
      <c r="K191" s="67"/>
      <c r="R191" s="67"/>
    </row>
    <row r="192">
      <c r="J192" s="67"/>
      <c r="K192" s="67"/>
      <c r="R192" s="67"/>
    </row>
    <row r="193">
      <c r="J193" s="67"/>
      <c r="K193" s="67"/>
      <c r="R193" s="67"/>
    </row>
    <row r="194">
      <c r="J194" s="67"/>
      <c r="K194" s="67"/>
      <c r="R194" s="67"/>
    </row>
    <row r="195">
      <c r="J195" s="67"/>
      <c r="K195" s="67"/>
      <c r="R195" s="67"/>
    </row>
    <row r="196">
      <c r="J196" s="67"/>
      <c r="K196" s="67"/>
      <c r="R196" s="67"/>
    </row>
    <row r="197">
      <c r="J197" s="67"/>
      <c r="K197" s="67"/>
      <c r="R197" s="67"/>
    </row>
    <row r="198">
      <c r="J198" s="67"/>
      <c r="K198" s="67"/>
      <c r="R198" s="67"/>
    </row>
    <row r="199">
      <c r="J199" s="67"/>
      <c r="K199" s="67"/>
      <c r="R199" s="67"/>
    </row>
    <row r="200">
      <c r="J200" s="67"/>
      <c r="K200" s="67"/>
      <c r="R200" s="67"/>
    </row>
    <row r="201">
      <c r="J201" s="67"/>
      <c r="K201" s="67"/>
      <c r="R201" s="67"/>
    </row>
    <row r="202">
      <c r="J202" s="67"/>
      <c r="K202" s="67"/>
      <c r="R202" s="67"/>
    </row>
    <row r="203">
      <c r="J203" s="67"/>
      <c r="K203" s="67"/>
      <c r="R203" s="67"/>
    </row>
    <row r="204">
      <c r="J204" s="67"/>
      <c r="K204" s="67"/>
      <c r="R204" s="67"/>
    </row>
    <row r="205">
      <c r="J205" s="67"/>
      <c r="K205" s="67"/>
      <c r="R205" s="67"/>
    </row>
    <row r="206">
      <c r="J206" s="67"/>
      <c r="K206" s="67"/>
      <c r="R206" s="67"/>
    </row>
    <row r="207">
      <c r="J207" s="67"/>
      <c r="K207" s="67"/>
      <c r="R207" s="67"/>
    </row>
    <row r="208">
      <c r="J208" s="67"/>
      <c r="K208" s="67"/>
      <c r="R208" s="67"/>
    </row>
    <row r="209">
      <c r="J209" s="67"/>
      <c r="K209" s="67"/>
      <c r="R209" s="67"/>
    </row>
    <row r="210">
      <c r="J210" s="67"/>
      <c r="K210" s="67"/>
      <c r="R210" s="67"/>
    </row>
    <row r="211">
      <c r="J211" s="67"/>
      <c r="K211" s="67"/>
      <c r="R211" s="67"/>
    </row>
    <row r="212">
      <c r="J212" s="67"/>
      <c r="K212" s="67"/>
      <c r="R212" s="67"/>
    </row>
    <row r="213">
      <c r="J213" s="67"/>
      <c r="K213" s="67"/>
      <c r="R213" s="67"/>
    </row>
    <row r="214">
      <c r="J214" s="67"/>
      <c r="K214" s="67"/>
      <c r="R214" s="67"/>
    </row>
    <row r="215">
      <c r="J215" s="67"/>
      <c r="K215" s="67"/>
      <c r="R215" s="67"/>
    </row>
    <row r="216">
      <c r="J216" s="67"/>
      <c r="K216" s="67"/>
      <c r="R216" s="67"/>
    </row>
    <row r="217">
      <c r="J217" s="67"/>
      <c r="K217" s="67"/>
      <c r="R217" s="67"/>
    </row>
    <row r="218">
      <c r="J218" s="67"/>
      <c r="K218" s="67"/>
      <c r="R218" s="67"/>
    </row>
    <row r="219">
      <c r="J219" s="67"/>
      <c r="K219" s="67"/>
      <c r="R219" s="67"/>
    </row>
    <row r="220">
      <c r="J220" s="67"/>
      <c r="K220" s="67"/>
      <c r="R220" s="67"/>
    </row>
    <row r="221">
      <c r="J221" s="67"/>
      <c r="K221" s="67"/>
      <c r="R221" s="67"/>
    </row>
    <row r="222">
      <c r="J222" s="67"/>
      <c r="K222" s="67"/>
      <c r="R222" s="67"/>
    </row>
    <row r="223">
      <c r="J223" s="67"/>
      <c r="K223" s="67"/>
      <c r="R223" s="67"/>
    </row>
    <row r="224">
      <c r="J224" s="67"/>
      <c r="K224" s="67"/>
      <c r="R224" s="67"/>
    </row>
    <row r="225">
      <c r="J225" s="67"/>
      <c r="K225" s="67"/>
      <c r="R225" s="67"/>
    </row>
    <row r="226">
      <c r="J226" s="67"/>
      <c r="K226" s="67"/>
      <c r="R226" s="67"/>
    </row>
    <row r="227">
      <c r="J227" s="67"/>
      <c r="K227" s="67"/>
      <c r="R227" s="67"/>
    </row>
    <row r="228">
      <c r="J228" s="67"/>
      <c r="K228" s="67"/>
      <c r="R228" s="67"/>
    </row>
    <row r="229">
      <c r="J229" s="67"/>
      <c r="K229" s="67"/>
      <c r="R229" s="67"/>
    </row>
    <row r="230">
      <c r="J230" s="67"/>
      <c r="K230" s="67"/>
      <c r="R230" s="67"/>
    </row>
    <row r="231">
      <c r="J231" s="67"/>
      <c r="K231" s="67"/>
      <c r="R231" s="67"/>
    </row>
    <row r="232">
      <c r="J232" s="67"/>
      <c r="K232" s="67"/>
      <c r="R232" s="67"/>
    </row>
    <row r="233">
      <c r="J233" s="67"/>
      <c r="K233" s="67"/>
      <c r="R233" s="67"/>
    </row>
    <row r="234">
      <c r="J234" s="67"/>
      <c r="K234" s="67"/>
      <c r="R234" s="67"/>
    </row>
    <row r="235">
      <c r="J235" s="67"/>
      <c r="K235" s="67"/>
      <c r="R235" s="67"/>
    </row>
    <row r="236">
      <c r="J236" s="67"/>
      <c r="K236" s="67"/>
      <c r="R236" s="67"/>
    </row>
    <row r="237">
      <c r="J237" s="67"/>
      <c r="K237" s="67"/>
      <c r="R237" s="67"/>
    </row>
    <row r="238">
      <c r="J238" s="67"/>
      <c r="K238" s="67"/>
      <c r="R238" s="67"/>
    </row>
    <row r="239">
      <c r="J239" s="67"/>
      <c r="K239" s="67"/>
      <c r="R239" s="67"/>
    </row>
    <row r="240">
      <c r="J240" s="67"/>
      <c r="K240" s="67"/>
      <c r="R240" s="67"/>
    </row>
    <row r="241">
      <c r="J241" s="67"/>
      <c r="K241" s="67"/>
      <c r="R241" s="67"/>
    </row>
    <row r="242">
      <c r="J242" s="67"/>
      <c r="K242" s="67"/>
      <c r="R242" s="67"/>
    </row>
    <row r="243">
      <c r="J243" s="67"/>
      <c r="K243" s="67"/>
      <c r="R243" s="67"/>
    </row>
    <row r="244">
      <c r="J244" s="67"/>
      <c r="K244" s="67"/>
      <c r="R244" s="67"/>
    </row>
    <row r="245">
      <c r="J245" s="67"/>
      <c r="K245" s="67"/>
      <c r="R245" s="67"/>
    </row>
    <row r="246">
      <c r="J246" s="67"/>
      <c r="K246" s="67"/>
      <c r="R246" s="67"/>
    </row>
    <row r="247">
      <c r="J247" s="67"/>
      <c r="K247" s="67"/>
      <c r="R247" s="67"/>
    </row>
    <row r="248">
      <c r="J248" s="67"/>
      <c r="K248" s="67"/>
      <c r="R248" s="67"/>
    </row>
    <row r="249">
      <c r="J249" s="67"/>
      <c r="K249" s="67"/>
      <c r="R249" s="67"/>
    </row>
    <row r="250">
      <c r="J250" s="67"/>
      <c r="K250" s="67"/>
      <c r="R250" s="67"/>
    </row>
    <row r="251">
      <c r="J251" s="67"/>
      <c r="K251" s="67"/>
      <c r="R251" s="67"/>
    </row>
    <row r="252">
      <c r="J252" s="67"/>
      <c r="K252" s="67"/>
      <c r="R252" s="67"/>
    </row>
    <row r="253">
      <c r="J253" s="67"/>
      <c r="K253" s="67"/>
      <c r="R253" s="67"/>
    </row>
    <row r="254">
      <c r="J254" s="67"/>
      <c r="K254" s="67"/>
      <c r="R254" s="67"/>
    </row>
    <row r="255">
      <c r="J255" s="67"/>
      <c r="K255" s="67"/>
      <c r="R255" s="67"/>
    </row>
    <row r="256">
      <c r="J256" s="67"/>
      <c r="K256" s="67"/>
      <c r="R256" s="67"/>
    </row>
    <row r="257">
      <c r="J257" s="67"/>
      <c r="K257" s="67"/>
      <c r="R257" s="67"/>
    </row>
    <row r="258">
      <c r="J258" s="67"/>
      <c r="K258" s="67"/>
      <c r="R258" s="67"/>
    </row>
    <row r="259">
      <c r="J259" s="67"/>
      <c r="K259" s="67"/>
      <c r="R259" s="67"/>
    </row>
    <row r="260">
      <c r="J260" s="67"/>
      <c r="K260" s="67"/>
      <c r="R260" s="67"/>
    </row>
    <row r="261">
      <c r="J261" s="67"/>
      <c r="K261" s="67"/>
      <c r="R261" s="67"/>
    </row>
    <row r="262">
      <c r="J262" s="67"/>
      <c r="K262" s="67"/>
      <c r="R262" s="67"/>
    </row>
    <row r="263">
      <c r="J263" s="67"/>
      <c r="K263" s="67"/>
      <c r="R263" s="67"/>
    </row>
    <row r="264">
      <c r="J264" s="67"/>
      <c r="K264" s="67"/>
      <c r="R264" s="67"/>
    </row>
    <row r="265">
      <c r="J265" s="67"/>
      <c r="K265" s="67"/>
      <c r="R265" s="67"/>
    </row>
    <row r="266">
      <c r="J266" s="67"/>
      <c r="K266" s="67"/>
      <c r="R266" s="67"/>
    </row>
    <row r="267">
      <c r="J267" s="67"/>
      <c r="K267" s="67"/>
      <c r="R267" s="67"/>
    </row>
    <row r="268">
      <c r="J268" s="67"/>
      <c r="K268" s="67"/>
      <c r="R268" s="67"/>
    </row>
    <row r="269">
      <c r="J269" s="67"/>
      <c r="K269" s="67"/>
      <c r="R269" s="67"/>
    </row>
    <row r="270">
      <c r="J270" s="67"/>
      <c r="K270" s="67"/>
      <c r="R270" s="67"/>
    </row>
    <row r="271">
      <c r="J271" s="67"/>
      <c r="K271" s="67"/>
      <c r="R271" s="67"/>
    </row>
    <row r="272">
      <c r="J272" s="67"/>
      <c r="K272" s="67"/>
      <c r="R272" s="67"/>
    </row>
    <row r="273">
      <c r="J273" s="67"/>
      <c r="K273" s="67"/>
      <c r="R273" s="67"/>
    </row>
    <row r="274">
      <c r="J274" s="67"/>
      <c r="K274" s="67"/>
      <c r="R274" s="67"/>
    </row>
    <row r="275">
      <c r="J275" s="67"/>
      <c r="K275" s="67"/>
      <c r="R275" s="67"/>
    </row>
    <row r="276">
      <c r="J276" s="67"/>
      <c r="K276" s="67"/>
      <c r="R276" s="67"/>
    </row>
    <row r="277">
      <c r="J277" s="67"/>
      <c r="K277" s="67"/>
      <c r="R277" s="67"/>
    </row>
    <row r="278">
      <c r="J278" s="67"/>
      <c r="K278" s="67"/>
      <c r="R278" s="67"/>
    </row>
    <row r="279">
      <c r="J279" s="67"/>
      <c r="K279" s="67"/>
      <c r="R279" s="67"/>
    </row>
    <row r="280">
      <c r="J280" s="67"/>
      <c r="K280" s="67"/>
      <c r="R280" s="67"/>
    </row>
    <row r="281">
      <c r="J281" s="67"/>
      <c r="K281" s="67"/>
      <c r="R281" s="67"/>
    </row>
    <row r="282">
      <c r="J282" s="67"/>
      <c r="K282" s="67"/>
      <c r="R282" s="67"/>
    </row>
    <row r="283">
      <c r="J283" s="67"/>
      <c r="K283" s="67"/>
      <c r="R283" s="67"/>
    </row>
    <row r="284">
      <c r="J284" s="67"/>
      <c r="K284" s="67"/>
      <c r="R284" s="67"/>
    </row>
    <row r="285">
      <c r="J285" s="67"/>
      <c r="K285" s="67"/>
      <c r="R285" s="67"/>
    </row>
    <row r="286">
      <c r="J286" s="67"/>
      <c r="K286" s="67"/>
      <c r="R286" s="67"/>
    </row>
    <row r="287">
      <c r="J287" s="67"/>
      <c r="K287" s="67"/>
      <c r="R287" s="67"/>
    </row>
    <row r="288">
      <c r="J288" s="67"/>
      <c r="K288" s="67"/>
      <c r="R288" s="67"/>
    </row>
    <row r="289">
      <c r="J289" s="67"/>
      <c r="K289" s="67"/>
      <c r="R289" s="67"/>
    </row>
    <row r="290">
      <c r="J290" s="67"/>
      <c r="K290" s="67"/>
      <c r="R290" s="67"/>
    </row>
    <row r="291">
      <c r="J291" s="67"/>
      <c r="K291" s="67"/>
      <c r="R291" s="67"/>
    </row>
    <row r="292">
      <c r="J292" s="67"/>
      <c r="K292" s="67"/>
      <c r="R292" s="67"/>
    </row>
    <row r="293">
      <c r="J293" s="67"/>
      <c r="K293" s="67"/>
      <c r="R293" s="67"/>
    </row>
    <row r="294">
      <c r="J294" s="67"/>
      <c r="K294" s="67"/>
      <c r="R294" s="67"/>
    </row>
    <row r="295">
      <c r="J295" s="67"/>
      <c r="K295" s="67"/>
      <c r="R295" s="67"/>
    </row>
    <row r="296">
      <c r="J296" s="67"/>
      <c r="K296" s="67"/>
      <c r="R296" s="67"/>
    </row>
    <row r="297">
      <c r="J297" s="67"/>
      <c r="K297" s="67"/>
      <c r="R297" s="67"/>
    </row>
    <row r="298">
      <c r="J298" s="67"/>
      <c r="K298" s="67"/>
      <c r="R298" s="67"/>
    </row>
    <row r="299">
      <c r="J299" s="67"/>
      <c r="K299" s="67"/>
      <c r="R299" s="67"/>
    </row>
    <row r="300">
      <c r="J300" s="67"/>
      <c r="K300" s="67"/>
      <c r="R300" s="67"/>
    </row>
    <row r="301">
      <c r="J301" s="67"/>
      <c r="K301" s="67"/>
      <c r="R301" s="67"/>
    </row>
    <row r="302">
      <c r="J302" s="67"/>
      <c r="K302" s="67"/>
      <c r="R302" s="67"/>
    </row>
    <row r="303">
      <c r="J303" s="67"/>
      <c r="K303" s="67"/>
      <c r="R303" s="67"/>
    </row>
    <row r="304">
      <c r="J304" s="67"/>
      <c r="K304" s="67"/>
      <c r="R304" s="67"/>
    </row>
    <row r="305">
      <c r="J305" s="67"/>
      <c r="K305" s="67"/>
      <c r="R305" s="67"/>
    </row>
    <row r="306">
      <c r="J306" s="67"/>
      <c r="K306" s="67"/>
      <c r="R306" s="67"/>
    </row>
    <row r="307">
      <c r="J307" s="67"/>
      <c r="K307" s="67"/>
      <c r="R307" s="67"/>
    </row>
    <row r="308">
      <c r="J308" s="67"/>
      <c r="K308" s="67"/>
      <c r="R308" s="67"/>
    </row>
    <row r="309">
      <c r="J309" s="67"/>
      <c r="K309" s="67"/>
      <c r="R309" s="67"/>
    </row>
    <row r="310">
      <c r="J310" s="67"/>
      <c r="K310" s="67"/>
      <c r="R310" s="67"/>
    </row>
    <row r="311">
      <c r="J311" s="67"/>
      <c r="K311" s="67"/>
      <c r="R311" s="67"/>
    </row>
    <row r="312">
      <c r="J312" s="67"/>
      <c r="K312" s="67"/>
      <c r="R312" s="67"/>
    </row>
    <row r="313">
      <c r="J313" s="67"/>
      <c r="K313" s="67"/>
      <c r="R313" s="67"/>
    </row>
    <row r="314">
      <c r="J314" s="67"/>
      <c r="K314" s="67"/>
      <c r="R314" s="67"/>
    </row>
    <row r="315">
      <c r="J315" s="67"/>
      <c r="K315" s="67"/>
      <c r="R315" s="67"/>
    </row>
    <row r="316">
      <c r="J316" s="67"/>
      <c r="K316" s="67"/>
      <c r="R316" s="67"/>
    </row>
    <row r="317">
      <c r="J317" s="67"/>
      <c r="K317" s="67"/>
      <c r="R317" s="67"/>
    </row>
    <row r="318">
      <c r="J318" s="67"/>
      <c r="K318" s="67"/>
      <c r="R318" s="67"/>
    </row>
    <row r="319">
      <c r="J319" s="67"/>
      <c r="K319" s="67"/>
      <c r="R319" s="67"/>
    </row>
    <row r="320">
      <c r="J320" s="67"/>
      <c r="K320" s="67"/>
      <c r="R320" s="67"/>
    </row>
    <row r="321">
      <c r="J321" s="67"/>
      <c r="K321" s="67"/>
      <c r="R321" s="67"/>
    </row>
    <row r="322">
      <c r="J322" s="67"/>
      <c r="K322" s="67"/>
      <c r="R322" s="67"/>
    </row>
    <row r="323">
      <c r="J323" s="67"/>
      <c r="K323" s="67"/>
      <c r="R323" s="67"/>
    </row>
    <row r="324">
      <c r="J324" s="67"/>
      <c r="K324" s="67"/>
      <c r="R324" s="67"/>
    </row>
    <row r="325">
      <c r="J325" s="67"/>
      <c r="K325" s="67"/>
      <c r="R325" s="67"/>
    </row>
    <row r="326">
      <c r="J326" s="67"/>
      <c r="K326" s="67"/>
      <c r="R326" s="67"/>
    </row>
    <row r="327">
      <c r="J327" s="67"/>
      <c r="K327" s="67"/>
      <c r="R327" s="67"/>
    </row>
    <row r="328">
      <c r="J328" s="67"/>
      <c r="K328" s="67"/>
      <c r="R328" s="67"/>
    </row>
    <row r="329">
      <c r="J329" s="67"/>
      <c r="K329" s="67"/>
      <c r="R329" s="67"/>
    </row>
    <row r="330">
      <c r="J330" s="67"/>
      <c r="K330" s="67"/>
      <c r="R330" s="67"/>
    </row>
    <row r="331">
      <c r="J331" s="67"/>
      <c r="K331" s="67"/>
      <c r="R331" s="67"/>
    </row>
    <row r="332">
      <c r="J332" s="67"/>
      <c r="K332" s="67"/>
      <c r="R332" s="67"/>
    </row>
    <row r="333">
      <c r="J333" s="67"/>
      <c r="K333" s="67"/>
      <c r="R333" s="67"/>
    </row>
    <row r="334">
      <c r="J334" s="67"/>
      <c r="K334" s="67"/>
      <c r="R334" s="67"/>
    </row>
    <row r="335">
      <c r="J335" s="67"/>
      <c r="K335" s="67"/>
      <c r="R335" s="67"/>
    </row>
    <row r="336">
      <c r="J336" s="67"/>
      <c r="K336" s="67"/>
      <c r="R336" s="67"/>
    </row>
    <row r="337">
      <c r="J337" s="67"/>
      <c r="K337" s="67"/>
      <c r="R337" s="67"/>
    </row>
    <row r="338">
      <c r="J338" s="67"/>
      <c r="K338" s="67"/>
      <c r="R338" s="67"/>
    </row>
    <row r="339">
      <c r="J339" s="67"/>
      <c r="K339" s="67"/>
      <c r="R339" s="67"/>
    </row>
    <row r="340">
      <c r="J340" s="67"/>
      <c r="K340" s="67"/>
      <c r="R340" s="67"/>
    </row>
    <row r="341">
      <c r="J341" s="67"/>
      <c r="K341" s="67"/>
      <c r="R341" s="67"/>
    </row>
    <row r="342">
      <c r="J342" s="67"/>
      <c r="K342" s="67"/>
      <c r="R342" s="67"/>
    </row>
    <row r="343">
      <c r="J343" s="67"/>
      <c r="K343" s="67"/>
      <c r="R343" s="67"/>
    </row>
    <row r="344">
      <c r="J344" s="67"/>
      <c r="K344" s="67"/>
      <c r="R344" s="67"/>
    </row>
    <row r="345">
      <c r="J345" s="67"/>
      <c r="K345" s="67"/>
      <c r="R345" s="67"/>
    </row>
    <row r="346">
      <c r="J346" s="67"/>
      <c r="K346" s="67"/>
      <c r="R346" s="67"/>
    </row>
    <row r="347">
      <c r="J347" s="67"/>
      <c r="K347" s="67"/>
      <c r="R347" s="67"/>
    </row>
    <row r="348">
      <c r="J348" s="67"/>
      <c r="K348" s="67"/>
      <c r="R348" s="67"/>
    </row>
    <row r="349">
      <c r="J349" s="67"/>
      <c r="K349" s="67"/>
      <c r="R349" s="67"/>
    </row>
    <row r="350">
      <c r="J350" s="67"/>
      <c r="K350" s="67"/>
      <c r="R350" s="67"/>
    </row>
    <row r="351">
      <c r="J351" s="67"/>
      <c r="K351" s="67"/>
      <c r="R351" s="67"/>
    </row>
    <row r="352">
      <c r="J352" s="67"/>
      <c r="K352" s="67"/>
      <c r="R352" s="67"/>
    </row>
    <row r="353">
      <c r="J353" s="67"/>
      <c r="K353" s="67"/>
      <c r="R353" s="67"/>
    </row>
    <row r="354">
      <c r="J354" s="67"/>
      <c r="K354" s="67"/>
      <c r="R354" s="67"/>
    </row>
    <row r="355">
      <c r="J355" s="67"/>
      <c r="K355" s="67"/>
      <c r="R355" s="67"/>
    </row>
    <row r="356">
      <c r="J356" s="67"/>
      <c r="K356" s="67"/>
      <c r="R356" s="67"/>
    </row>
    <row r="357">
      <c r="J357" s="67"/>
      <c r="K357" s="67"/>
      <c r="R357" s="67"/>
    </row>
    <row r="358">
      <c r="J358" s="67"/>
      <c r="K358" s="67"/>
      <c r="R358" s="67"/>
    </row>
    <row r="359">
      <c r="J359" s="67"/>
      <c r="K359" s="67"/>
      <c r="R359" s="67"/>
    </row>
    <row r="360">
      <c r="J360" s="67"/>
      <c r="K360" s="67"/>
      <c r="R360" s="67"/>
    </row>
    <row r="361">
      <c r="J361" s="67"/>
      <c r="K361" s="67"/>
      <c r="R361" s="67"/>
    </row>
    <row r="362">
      <c r="J362" s="67"/>
      <c r="K362" s="67"/>
      <c r="R362" s="67"/>
    </row>
    <row r="363">
      <c r="J363" s="67"/>
      <c r="K363" s="67"/>
      <c r="R363" s="67"/>
    </row>
    <row r="364">
      <c r="J364" s="67"/>
      <c r="K364" s="67"/>
      <c r="R364" s="67"/>
    </row>
    <row r="365">
      <c r="J365" s="67"/>
      <c r="K365" s="67"/>
      <c r="R365" s="67"/>
    </row>
    <row r="366">
      <c r="J366" s="67"/>
      <c r="K366" s="67"/>
      <c r="R366" s="67"/>
    </row>
    <row r="367">
      <c r="J367" s="67"/>
      <c r="K367" s="67"/>
      <c r="R367" s="67"/>
    </row>
    <row r="368">
      <c r="J368" s="67"/>
      <c r="K368" s="67"/>
      <c r="R368" s="67"/>
    </row>
    <row r="369">
      <c r="J369" s="67"/>
      <c r="K369" s="67"/>
      <c r="R369" s="67"/>
    </row>
    <row r="370">
      <c r="J370" s="67"/>
      <c r="K370" s="67"/>
      <c r="R370" s="67"/>
    </row>
    <row r="371">
      <c r="J371" s="67"/>
      <c r="K371" s="67"/>
      <c r="R371" s="67"/>
    </row>
    <row r="372">
      <c r="J372" s="67"/>
      <c r="K372" s="67"/>
      <c r="R372" s="67"/>
    </row>
    <row r="373">
      <c r="J373" s="67"/>
      <c r="K373" s="67"/>
      <c r="R373" s="67"/>
    </row>
    <row r="374">
      <c r="J374" s="67"/>
      <c r="K374" s="67"/>
      <c r="R374" s="67"/>
    </row>
    <row r="375">
      <c r="J375" s="67"/>
      <c r="K375" s="67"/>
      <c r="R375" s="67"/>
    </row>
    <row r="376">
      <c r="J376" s="67"/>
      <c r="K376" s="67"/>
      <c r="R376" s="67"/>
    </row>
    <row r="377">
      <c r="J377" s="67"/>
      <c r="K377" s="67"/>
      <c r="R377" s="67"/>
    </row>
    <row r="378">
      <c r="J378" s="67"/>
      <c r="K378" s="67"/>
      <c r="R378" s="67"/>
    </row>
    <row r="379">
      <c r="J379" s="67"/>
      <c r="K379" s="67"/>
      <c r="R379" s="67"/>
    </row>
    <row r="380">
      <c r="J380" s="67"/>
      <c r="K380" s="67"/>
      <c r="R380" s="67"/>
    </row>
    <row r="381">
      <c r="J381" s="67"/>
      <c r="K381" s="67"/>
      <c r="R381" s="67"/>
    </row>
    <row r="382">
      <c r="J382" s="67"/>
      <c r="K382" s="67"/>
      <c r="R382" s="67"/>
    </row>
    <row r="383">
      <c r="J383" s="67"/>
      <c r="K383" s="67"/>
      <c r="R383" s="67"/>
    </row>
    <row r="384">
      <c r="J384" s="67"/>
      <c r="K384" s="67"/>
      <c r="R384" s="67"/>
    </row>
    <row r="385">
      <c r="J385" s="67"/>
      <c r="K385" s="67"/>
      <c r="R385" s="67"/>
    </row>
    <row r="386">
      <c r="J386" s="67"/>
      <c r="K386" s="67"/>
      <c r="R386" s="67"/>
    </row>
    <row r="387">
      <c r="J387" s="67"/>
      <c r="K387" s="67"/>
      <c r="R387" s="67"/>
    </row>
    <row r="388">
      <c r="J388" s="67"/>
      <c r="K388" s="67"/>
      <c r="R388" s="67"/>
    </row>
    <row r="389">
      <c r="J389" s="67"/>
      <c r="K389" s="67"/>
      <c r="R389" s="67"/>
    </row>
    <row r="390">
      <c r="J390" s="67"/>
      <c r="K390" s="67"/>
      <c r="R390" s="67"/>
    </row>
    <row r="391">
      <c r="J391" s="67"/>
      <c r="K391" s="67"/>
      <c r="R391" s="67"/>
    </row>
    <row r="392">
      <c r="J392" s="67"/>
      <c r="K392" s="67"/>
      <c r="R392" s="67"/>
    </row>
    <row r="393">
      <c r="J393" s="67"/>
      <c r="K393" s="67"/>
      <c r="R393" s="67"/>
    </row>
    <row r="394">
      <c r="J394" s="67"/>
      <c r="K394" s="67"/>
      <c r="R394" s="67"/>
    </row>
    <row r="395">
      <c r="J395" s="67"/>
      <c r="K395" s="67"/>
      <c r="R395" s="67"/>
    </row>
    <row r="396">
      <c r="J396" s="67"/>
      <c r="K396" s="67"/>
      <c r="R396" s="67"/>
    </row>
    <row r="397">
      <c r="J397" s="67"/>
      <c r="K397" s="67"/>
      <c r="R397" s="67"/>
    </row>
    <row r="398">
      <c r="J398" s="67"/>
      <c r="K398" s="67"/>
      <c r="R398" s="67"/>
    </row>
    <row r="399">
      <c r="J399" s="67"/>
      <c r="K399" s="67"/>
      <c r="R399" s="67"/>
    </row>
    <row r="400">
      <c r="J400" s="67"/>
      <c r="K400" s="67"/>
      <c r="R400" s="67"/>
    </row>
    <row r="401">
      <c r="J401" s="67"/>
      <c r="K401" s="67"/>
      <c r="R401" s="67"/>
    </row>
    <row r="402">
      <c r="J402" s="67"/>
      <c r="K402" s="67"/>
      <c r="R402" s="67"/>
    </row>
    <row r="403">
      <c r="J403" s="67"/>
      <c r="K403" s="67"/>
      <c r="R403" s="67"/>
    </row>
    <row r="404">
      <c r="J404" s="67"/>
      <c r="K404" s="67"/>
      <c r="R404" s="67"/>
    </row>
    <row r="405">
      <c r="J405" s="67"/>
      <c r="K405" s="67"/>
      <c r="R405" s="67"/>
    </row>
    <row r="406">
      <c r="J406" s="67"/>
      <c r="K406" s="67"/>
      <c r="R406" s="67"/>
    </row>
    <row r="407">
      <c r="J407" s="67"/>
      <c r="K407" s="67"/>
      <c r="R407" s="67"/>
    </row>
    <row r="408">
      <c r="J408" s="67"/>
      <c r="K408" s="67"/>
      <c r="R408" s="67"/>
    </row>
    <row r="409">
      <c r="J409" s="67"/>
      <c r="K409" s="67"/>
      <c r="R409" s="67"/>
    </row>
    <row r="410">
      <c r="J410" s="67"/>
      <c r="K410" s="67"/>
      <c r="R410" s="67"/>
    </row>
    <row r="411">
      <c r="J411" s="67"/>
      <c r="K411" s="67"/>
      <c r="R411" s="67"/>
    </row>
    <row r="412">
      <c r="J412" s="67"/>
      <c r="K412" s="67"/>
      <c r="R412" s="67"/>
    </row>
    <row r="413">
      <c r="J413" s="67"/>
      <c r="K413" s="67"/>
      <c r="R413" s="67"/>
    </row>
    <row r="414">
      <c r="J414" s="67"/>
      <c r="K414" s="67"/>
      <c r="R414" s="67"/>
    </row>
    <row r="415">
      <c r="J415" s="67"/>
      <c r="K415" s="67"/>
      <c r="R415" s="67"/>
    </row>
    <row r="416">
      <c r="J416" s="67"/>
      <c r="K416" s="67"/>
      <c r="R416" s="67"/>
    </row>
    <row r="417">
      <c r="J417" s="67"/>
      <c r="K417" s="67"/>
      <c r="R417" s="67"/>
    </row>
    <row r="418">
      <c r="J418" s="67"/>
      <c r="K418" s="67"/>
      <c r="R418" s="67"/>
    </row>
    <row r="419">
      <c r="J419" s="67"/>
      <c r="K419" s="67"/>
      <c r="R419" s="67"/>
    </row>
    <row r="420">
      <c r="J420" s="67"/>
      <c r="K420" s="67"/>
      <c r="R420" s="67"/>
    </row>
    <row r="421">
      <c r="J421" s="67"/>
      <c r="K421" s="67"/>
      <c r="R421" s="67"/>
    </row>
    <row r="422">
      <c r="J422" s="67"/>
      <c r="K422" s="67"/>
      <c r="R422" s="67"/>
    </row>
    <row r="423">
      <c r="J423" s="67"/>
      <c r="K423" s="67"/>
      <c r="R423" s="67"/>
    </row>
    <row r="424">
      <c r="J424" s="67"/>
      <c r="K424" s="67"/>
      <c r="R424" s="67"/>
    </row>
    <row r="425">
      <c r="J425" s="67"/>
      <c r="K425" s="67"/>
      <c r="R425" s="67"/>
    </row>
    <row r="426">
      <c r="J426" s="67"/>
      <c r="K426" s="67"/>
      <c r="R426" s="67"/>
    </row>
    <row r="427">
      <c r="J427" s="67"/>
      <c r="K427" s="67"/>
      <c r="R427" s="67"/>
    </row>
    <row r="428">
      <c r="J428" s="67"/>
      <c r="K428" s="67"/>
      <c r="R428" s="67"/>
    </row>
    <row r="429">
      <c r="J429" s="67"/>
      <c r="K429" s="67"/>
      <c r="R429" s="67"/>
    </row>
    <row r="430">
      <c r="J430" s="67"/>
      <c r="K430" s="67"/>
      <c r="R430" s="67"/>
    </row>
    <row r="431">
      <c r="J431" s="67"/>
      <c r="K431" s="67"/>
      <c r="R431" s="67"/>
    </row>
    <row r="432">
      <c r="J432" s="67"/>
      <c r="K432" s="67"/>
      <c r="R432" s="67"/>
    </row>
    <row r="433">
      <c r="J433" s="67"/>
      <c r="K433" s="67"/>
      <c r="R433" s="67"/>
    </row>
    <row r="434">
      <c r="J434" s="67"/>
      <c r="K434" s="67"/>
      <c r="R434" s="67"/>
    </row>
    <row r="435">
      <c r="J435" s="67"/>
      <c r="K435" s="67"/>
      <c r="R435" s="67"/>
    </row>
    <row r="436">
      <c r="J436" s="67"/>
      <c r="K436" s="67"/>
      <c r="R436" s="67"/>
    </row>
    <row r="437">
      <c r="J437" s="67"/>
      <c r="K437" s="67"/>
      <c r="R437" s="67"/>
    </row>
    <row r="438">
      <c r="J438" s="67"/>
      <c r="K438" s="67"/>
      <c r="R438" s="67"/>
    </row>
    <row r="439">
      <c r="J439" s="67"/>
      <c r="K439" s="67"/>
      <c r="R439" s="67"/>
    </row>
    <row r="440">
      <c r="J440" s="67"/>
      <c r="K440" s="67"/>
      <c r="R440" s="67"/>
    </row>
    <row r="441">
      <c r="J441" s="67"/>
      <c r="K441" s="67"/>
      <c r="R441" s="67"/>
    </row>
    <row r="442">
      <c r="J442" s="67"/>
      <c r="K442" s="67"/>
      <c r="R442" s="67"/>
    </row>
    <row r="443">
      <c r="J443" s="67"/>
      <c r="K443" s="67"/>
      <c r="R443" s="67"/>
    </row>
    <row r="444">
      <c r="J444" s="67"/>
      <c r="K444" s="67"/>
      <c r="R444" s="67"/>
    </row>
    <row r="445">
      <c r="J445" s="67"/>
      <c r="K445" s="67"/>
      <c r="R445" s="67"/>
    </row>
    <row r="446">
      <c r="J446" s="67"/>
      <c r="K446" s="67"/>
      <c r="R446" s="67"/>
    </row>
    <row r="447">
      <c r="J447" s="67"/>
      <c r="K447" s="67"/>
      <c r="R447" s="67"/>
    </row>
    <row r="448">
      <c r="J448" s="67"/>
      <c r="K448" s="67"/>
      <c r="R448" s="67"/>
    </row>
    <row r="449">
      <c r="J449" s="67"/>
      <c r="K449" s="67"/>
      <c r="R449" s="67"/>
    </row>
    <row r="450">
      <c r="J450" s="67"/>
      <c r="K450" s="67"/>
      <c r="R450" s="67"/>
    </row>
    <row r="451">
      <c r="J451" s="67"/>
      <c r="K451" s="67"/>
      <c r="R451" s="67"/>
    </row>
    <row r="452">
      <c r="J452" s="67"/>
      <c r="K452" s="67"/>
      <c r="R452" s="67"/>
    </row>
    <row r="453">
      <c r="J453" s="67"/>
      <c r="K453" s="67"/>
      <c r="R453" s="67"/>
    </row>
    <row r="454">
      <c r="J454" s="67"/>
      <c r="K454" s="67"/>
      <c r="R454" s="67"/>
    </row>
    <row r="455">
      <c r="J455" s="67"/>
      <c r="K455" s="67"/>
      <c r="R455" s="67"/>
    </row>
    <row r="456">
      <c r="J456" s="67"/>
      <c r="K456" s="67"/>
      <c r="R456" s="67"/>
    </row>
    <row r="457">
      <c r="J457" s="67"/>
      <c r="K457" s="67"/>
      <c r="R457" s="67"/>
    </row>
    <row r="458">
      <c r="J458" s="67"/>
      <c r="K458" s="67"/>
      <c r="R458" s="67"/>
    </row>
    <row r="459">
      <c r="J459" s="67"/>
      <c r="K459" s="67"/>
      <c r="R459" s="67"/>
    </row>
    <row r="460">
      <c r="J460" s="67"/>
      <c r="K460" s="67"/>
      <c r="R460" s="67"/>
    </row>
    <row r="461">
      <c r="J461" s="67"/>
      <c r="K461" s="67"/>
      <c r="R461" s="67"/>
    </row>
    <row r="462">
      <c r="J462" s="67"/>
      <c r="K462" s="67"/>
      <c r="R462" s="67"/>
    </row>
    <row r="463">
      <c r="J463" s="67"/>
      <c r="K463" s="67"/>
      <c r="R463" s="67"/>
    </row>
    <row r="464">
      <c r="J464" s="67"/>
      <c r="K464" s="67"/>
      <c r="R464" s="67"/>
    </row>
    <row r="465">
      <c r="J465" s="67"/>
      <c r="K465" s="67"/>
      <c r="R465" s="67"/>
    </row>
    <row r="466">
      <c r="J466" s="67"/>
      <c r="K466" s="67"/>
      <c r="R466" s="67"/>
    </row>
    <row r="467">
      <c r="J467" s="67"/>
      <c r="K467" s="67"/>
      <c r="R467" s="67"/>
    </row>
    <row r="468">
      <c r="J468" s="67"/>
      <c r="K468" s="67"/>
      <c r="R468" s="67"/>
    </row>
    <row r="469">
      <c r="J469" s="67"/>
      <c r="K469" s="67"/>
      <c r="R469" s="67"/>
    </row>
    <row r="470">
      <c r="J470" s="67"/>
      <c r="K470" s="67"/>
      <c r="R470" s="67"/>
    </row>
    <row r="471">
      <c r="J471" s="67"/>
      <c r="K471" s="67"/>
      <c r="R471" s="67"/>
    </row>
    <row r="472">
      <c r="J472" s="67"/>
      <c r="K472" s="67"/>
      <c r="R472" s="67"/>
    </row>
    <row r="473">
      <c r="J473" s="67"/>
      <c r="K473" s="67"/>
      <c r="R473" s="67"/>
    </row>
    <row r="474">
      <c r="J474" s="67"/>
      <c r="K474" s="67"/>
      <c r="R474" s="67"/>
    </row>
    <row r="475">
      <c r="J475" s="67"/>
      <c r="K475" s="67"/>
      <c r="R475" s="67"/>
    </row>
    <row r="476">
      <c r="J476" s="67"/>
      <c r="K476" s="67"/>
      <c r="R476" s="67"/>
    </row>
    <row r="477">
      <c r="J477" s="67"/>
      <c r="K477" s="67"/>
      <c r="R477" s="67"/>
    </row>
    <row r="478">
      <c r="J478" s="67"/>
      <c r="K478" s="67"/>
      <c r="R478" s="67"/>
    </row>
    <row r="479">
      <c r="J479" s="67"/>
      <c r="K479" s="67"/>
      <c r="R479" s="67"/>
    </row>
    <row r="480">
      <c r="J480" s="67"/>
      <c r="K480" s="67"/>
      <c r="R480" s="67"/>
    </row>
    <row r="481">
      <c r="J481" s="67"/>
      <c r="K481" s="67"/>
      <c r="R481" s="67"/>
    </row>
    <row r="482">
      <c r="J482" s="67"/>
      <c r="K482" s="67"/>
      <c r="R482" s="67"/>
    </row>
    <row r="483">
      <c r="J483" s="67"/>
      <c r="K483" s="67"/>
      <c r="R483" s="67"/>
    </row>
    <row r="484">
      <c r="J484" s="67"/>
      <c r="K484" s="67"/>
      <c r="R484" s="67"/>
    </row>
    <row r="485">
      <c r="J485" s="67"/>
      <c r="K485" s="67"/>
      <c r="R485" s="67"/>
    </row>
    <row r="486">
      <c r="J486" s="67"/>
      <c r="K486" s="67"/>
      <c r="R486" s="67"/>
    </row>
    <row r="487">
      <c r="J487" s="67"/>
      <c r="K487" s="67"/>
      <c r="R487" s="67"/>
    </row>
    <row r="488">
      <c r="J488" s="67"/>
      <c r="K488" s="67"/>
      <c r="R488" s="67"/>
    </row>
    <row r="489">
      <c r="J489" s="67"/>
      <c r="K489" s="67"/>
      <c r="R489" s="67"/>
    </row>
    <row r="490">
      <c r="J490" s="67"/>
      <c r="K490" s="67"/>
      <c r="R490" s="67"/>
    </row>
    <row r="491">
      <c r="J491" s="67"/>
      <c r="K491" s="67"/>
      <c r="R491" s="67"/>
    </row>
    <row r="492">
      <c r="J492" s="67"/>
      <c r="K492" s="67"/>
      <c r="R492" s="67"/>
    </row>
    <row r="493">
      <c r="J493" s="67"/>
      <c r="K493" s="67"/>
      <c r="R493" s="67"/>
    </row>
    <row r="494">
      <c r="J494" s="67"/>
      <c r="K494" s="67"/>
      <c r="R494" s="67"/>
    </row>
    <row r="495">
      <c r="J495" s="67"/>
      <c r="K495" s="67"/>
      <c r="R495" s="67"/>
    </row>
    <row r="496">
      <c r="J496" s="67"/>
      <c r="K496" s="67"/>
      <c r="R496" s="67"/>
    </row>
    <row r="497">
      <c r="J497" s="67"/>
      <c r="K497" s="67"/>
      <c r="R497" s="67"/>
    </row>
    <row r="498">
      <c r="J498" s="67"/>
      <c r="K498" s="67"/>
      <c r="R498" s="67"/>
    </row>
    <row r="499">
      <c r="J499" s="67"/>
      <c r="K499" s="67"/>
      <c r="R499" s="67"/>
    </row>
    <row r="500">
      <c r="J500" s="67"/>
      <c r="K500" s="67"/>
      <c r="R500" s="67"/>
    </row>
    <row r="501">
      <c r="J501" s="67"/>
      <c r="K501" s="67"/>
      <c r="R501" s="67"/>
    </row>
    <row r="502">
      <c r="J502" s="67"/>
      <c r="K502" s="67"/>
      <c r="R502" s="67"/>
    </row>
    <row r="503">
      <c r="J503" s="67"/>
      <c r="K503" s="67"/>
      <c r="R503" s="67"/>
    </row>
    <row r="504">
      <c r="J504" s="67"/>
      <c r="K504" s="67"/>
      <c r="R504" s="67"/>
    </row>
    <row r="505">
      <c r="J505" s="67"/>
      <c r="K505" s="67"/>
      <c r="R505" s="67"/>
    </row>
    <row r="506">
      <c r="J506" s="67"/>
      <c r="K506" s="67"/>
      <c r="R506" s="67"/>
    </row>
    <row r="507">
      <c r="J507" s="67"/>
      <c r="K507" s="67"/>
      <c r="R507" s="67"/>
    </row>
    <row r="508">
      <c r="J508" s="67"/>
      <c r="K508" s="67"/>
      <c r="R508" s="67"/>
    </row>
    <row r="509">
      <c r="J509" s="67"/>
      <c r="K509" s="67"/>
      <c r="R509" s="67"/>
    </row>
    <row r="510">
      <c r="J510" s="67"/>
      <c r="K510" s="67"/>
      <c r="R510" s="67"/>
    </row>
    <row r="511">
      <c r="J511" s="67"/>
      <c r="K511" s="67"/>
      <c r="R511" s="67"/>
    </row>
    <row r="512">
      <c r="J512" s="67"/>
      <c r="K512" s="67"/>
      <c r="R512" s="67"/>
    </row>
    <row r="513">
      <c r="J513" s="67"/>
      <c r="K513" s="67"/>
      <c r="R513" s="67"/>
    </row>
    <row r="514">
      <c r="J514" s="67"/>
      <c r="K514" s="67"/>
      <c r="R514" s="67"/>
    </row>
    <row r="515">
      <c r="J515" s="67"/>
      <c r="K515" s="67"/>
      <c r="R515" s="67"/>
    </row>
    <row r="516">
      <c r="J516" s="67"/>
      <c r="K516" s="67"/>
      <c r="R516" s="67"/>
    </row>
    <row r="517">
      <c r="J517" s="67"/>
      <c r="K517" s="67"/>
      <c r="R517" s="67"/>
    </row>
    <row r="518">
      <c r="J518" s="67"/>
      <c r="K518" s="67"/>
      <c r="R518" s="67"/>
    </row>
    <row r="519">
      <c r="J519" s="67"/>
      <c r="K519" s="67"/>
      <c r="R519" s="67"/>
    </row>
    <row r="520">
      <c r="J520" s="67"/>
      <c r="K520" s="67"/>
      <c r="R520" s="67"/>
    </row>
    <row r="521">
      <c r="J521" s="67"/>
      <c r="K521" s="67"/>
      <c r="R521" s="67"/>
    </row>
    <row r="522">
      <c r="J522" s="67"/>
      <c r="K522" s="67"/>
      <c r="R522" s="67"/>
    </row>
    <row r="523">
      <c r="J523" s="67"/>
      <c r="K523" s="67"/>
      <c r="R523" s="67"/>
    </row>
    <row r="524">
      <c r="J524" s="67"/>
      <c r="K524" s="67"/>
      <c r="R524" s="67"/>
    </row>
    <row r="525">
      <c r="J525" s="67"/>
      <c r="K525" s="67"/>
      <c r="R525" s="67"/>
    </row>
    <row r="526">
      <c r="J526" s="67"/>
      <c r="K526" s="67"/>
      <c r="R526" s="67"/>
    </row>
    <row r="527">
      <c r="J527" s="67"/>
      <c r="K527" s="67"/>
      <c r="R527" s="67"/>
    </row>
    <row r="528">
      <c r="J528" s="67"/>
      <c r="K528" s="67"/>
      <c r="R528" s="67"/>
    </row>
    <row r="529">
      <c r="J529" s="67"/>
      <c r="K529" s="67"/>
      <c r="R529" s="67"/>
    </row>
    <row r="530">
      <c r="J530" s="67"/>
      <c r="K530" s="67"/>
      <c r="R530" s="67"/>
    </row>
    <row r="531">
      <c r="J531" s="67"/>
      <c r="K531" s="67"/>
      <c r="R531" s="67"/>
    </row>
    <row r="532">
      <c r="J532" s="67"/>
      <c r="K532" s="67"/>
      <c r="R532" s="67"/>
    </row>
    <row r="533">
      <c r="J533" s="67"/>
      <c r="K533" s="67"/>
      <c r="R533" s="67"/>
    </row>
    <row r="534">
      <c r="J534" s="67"/>
      <c r="K534" s="67"/>
      <c r="R534" s="67"/>
    </row>
    <row r="535">
      <c r="J535" s="67"/>
      <c r="K535" s="67"/>
      <c r="R535" s="67"/>
    </row>
    <row r="536">
      <c r="J536" s="67"/>
      <c r="K536" s="67"/>
      <c r="R536" s="67"/>
    </row>
    <row r="537">
      <c r="J537" s="67"/>
      <c r="K537" s="67"/>
      <c r="R537" s="67"/>
    </row>
    <row r="538">
      <c r="J538" s="67"/>
      <c r="K538" s="67"/>
      <c r="R538" s="67"/>
    </row>
    <row r="539">
      <c r="J539" s="67"/>
      <c r="K539" s="67"/>
      <c r="R539" s="67"/>
    </row>
    <row r="540">
      <c r="J540" s="67"/>
      <c r="K540" s="67"/>
      <c r="R540" s="67"/>
    </row>
    <row r="541">
      <c r="J541" s="67"/>
      <c r="K541" s="67"/>
      <c r="R541" s="67"/>
    </row>
    <row r="542">
      <c r="J542" s="67"/>
      <c r="K542" s="67"/>
      <c r="R542" s="67"/>
    </row>
    <row r="543">
      <c r="J543" s="67"/>
      <c r="K543" s="67"/>
      <c r="R543" s="67"/>
    </row>
    <row r="544">
      <c r="J544" s="67"/>
      <c r="K544" s="67"/>
      <c r="R544" s="67"/>
    </row>
    <row r="545">
      <c r="J545" s="67"/>
      <c r="K545" s="67"/>
      <c r="R545" s="67"/>
    </row>
    <row r="546">
      <c r="J546" s="67"/>
      <c r="K546" s="67"/>
      <c r="R546" s="67"/>
    </row>
    <row r="547">
      <c r="J547" s="67"/>
      <c r="K547" s="67"/>
      <c r="R547" s="67"/>
    </row>
    <row r="548">
      <c r="J548" s="67"/>
      <c r="K548" s="67"/>
      <c r="R548" s="67"/>
    </row>
    <row r="549">
      <c r="J549" s="67"/>
      <c r="K549" s="67"/>
      <c r="R549" s="67"/>
    </row>
    <row r="550">
      <c r="J550" s="67"/>
      <c r="K550" s="67"/>
      <c r="R550" s="67"/>
    </row>
    <row r="551">
      <c r="J551" s="67"/>
      <c r="K551" s="67"/>
      <c r="R551" s="67"/>
    </row>
    <row r="552">
      <c r="J552" s="67"/>
      <c r="K552" s="67"/>
      <c r="R552" s="67"/>
    </row>
    <row r="553">
      <c r="J553" s="67"/>
      <c r="K553" s="67"/>
      <c r="R553" s="67"/>
    </row>
    <row r="554">
      <c r="J554" s="67"/>
      <c r="K554" s="67"/>
      <c r="R554" s="67"/>
    </row>
    <row r="555">
      <c r="J555" s="67"/>
      <c r="K555" s="67"/>
      <c r="R555" s="67"/>
    </row>
    <row r="556">
      <c r="J556" s="67"/>
      <c r="K556" s="67"/>
      <c r="R556" s="67"/>
    </row>
    <row r="557">
      <c r="J557" s="67"/>
      <c r="K557" s="67"/>
      <c r="R557" s="67"/>
    </row>
    <row r="558">
      <c r="J558" s="67"/>
      <c r="K558" s="67"/>
      <c r="R558" s="67"/>
    </row>
    <row r="559">
      <c r="J559" s="67"/>
      <c r="K559" s="67"/>
      <c r="R559" s="67"/>
    </row>
    <row r="560">
      <c r="J560" s="67"/>
      <c r="K560" s="67"/>
      <c r="R560" s="67"/>
    </row>
    <row r="561">
      <c r="J561" s="67"/>
      <c r="K561" s="67"/>
      <c r="R561" s="67"/>
    </row>
    <row r="562">
      <c r="J562" s="67"/>
      <c r="K562" s="67"/>
      <c r="R562" s="67"/>
    </row>
    <row r="563">
      <c r="J563" s="67"/>
      <c r="K563" s="67"/>
      <c r="R563" s="67"/>
    </row>
    <row r="564">
      <c r="J564" s="67"/>
      <c r="K564" s="67"/>
      <c r="R564" s="67"/>
    </row>
    <row r="565">
      <c r="J565" s="67"/>
      <c r="K565" s="67"/>
      <c r="R565" s="67"/>
    </row>
    <row r="566">
      <c r="J566" s="67"/>
      <c r="K566" s="67"/>
      <c r="R566" s="67"/>
    </row>
    <row r="567">
      <c r="J567" s="67"/>
      <c r="K567" s="67"/>
      <c r="R567" s="67"/>
    </row>
    <row r="568">
      <c r="J568" s="67"/>
      <c r="K568" s="67"/>
      <c r="R568" s="67"/>
    </row>
    <row r="569">
      <c r="J569" s="67"/>
      <c r="K569" s="67"/>
      <c r="R569" s="67"/>
    </row>
    <row r="570">
      <c r="J570" s="67"/>
      <c r="K570" s="67"/>
      <c r="R570" s="67"/>
    </row>
    <row r="571">
      <c r="J571" s="67"/>
      <c r="K571" s="67"/>
      <c r="R571" s="67"/>
    </row>
    <row r="572">
      <c r="J572" s="67"/>
      <c r="K572" s="67"/>
      <c r="R572" s="67"/>
    </row>
    <row r="573">
      <c r="J573" s="67"/>
      <c r="K573" s="67"/>
      <c r="R573" s="67"/>
    </row>
    <row r="574">
      <c r="J574" s="67"/>
      <c r="K574" s="67"/>
      <c r="R574" s="67"/>
    </row>
    <row r="575">
      <c r="J575" s="67"/>
      <c r="K575" s="67"/>
      <c r="R575" s="67"/>
    </row>
    <row r="576">
      <c r="J576" s="67"/>
      <c r="K576" s="67"/>
      <c r="R576" s="67"/>
    </row>
    <row r="577">
      <c r="J577" s="67"/>
      <c r="K577" s="67"/>
      <c r="R577" s="67"/>
    </row>
    <row r="578">
      <c r="J578" s="67"/>
      <c r="K578" s="67"/>
      <c r="R578" s="67"/>
    </row>
    <row r="579">
      <c r="J579" s="67"/>
      <c r="K579" s="67"/>
      <c r="R579" s="67"/>
    </row>
    <row r="580">
      <c r="J580" s="67"/>
      <c r="K580" s="67"/>
      <c r="R580" s="67"/>
    </row>
    <row r="581">
      <c r="J581" s="67"/>
      <c r="K581" s="67"/>
      <c r="R581" s="67"/>
    </row>
    <row r="582">
      <c r="J582" s="67"/>
      <c r="K582" s="67"/>
      <c r="R582" s="67"/>
    </row>
    <row r="583">
      <c r="J583" s="67"/>
      <c r="K583" s="67"/>
      <c r="R583" s="67"/>
    </row>
    <row r="584">
      <c r="J584" s="67"/>
      <c r="K584" s="67"/>
      <c r="R584" s="67"/>
    </row>
    <row r="585">
      <c r="J585" s="67"/>
      <c r="K585" s="67"/>
      <c r="R585" s="67"/>
    </row>
    <row r="586">
      <c r="J586" s="67"/>
      <c r="K586" s="67"/>
      <c r="R586" s="67"/>
    </row>
    <row r="587">
      <c r="J587" s="67"/>
      <c r="K587" s="67"/>
      <c r="R587" s="67"/>
    </row>
    <row r="588">
      <c r="J588" s="67"/>
      <c r="K588" s="67"/>
      <c r="R588" s="67"/>
    </row>
    <row r="589">
      <c r="J589" s="67"/>
      <c r="K589" s="67"/>
      <c r="R589" s="67"/>
    </row>
    <row r="590">
      <c r="J590" s="67"/>
      <c r="K590" s="67"/>
      <c r="R590" s="67"/>
    </row>
    <row r="591">
      <c r="J591" s="67"/>
      <c r="K591" s="67"/>
      <c r="R591" s="67"/>
    </row>
    <row r="592">
      <c r="J592" s="67"/>
      <c r="K592" s="67"/>
      <c r="R592" s="67"/>
    </row>
    <row r="593">
      <c r="J593" s="67"/>
      <c r="K593" s="67"/>
      <c r="R593" s="67"/>
    </row>
    <row r="594">
      <c r="J594" s="67"/>
      <c r="K594" s="67"/>
      <c r="R594" s="67"/>
    </row>
    <row r="595">
      <c r="J595" s="67"/>
      <c r="K595" s="67"/>
      <c r="R595" s="67"/>
    </row>
    <row r="596">
      <c r="J596" s="67"/>
      <c r="K596" s="67"/>
      <c r="R596" s="67"/>
    </row>
    <row r="597">
      <c r="J597" s="67"/>
      <c r="K597" s="67"/>
      <c r="R597" s="67"/>
    </row>
    <row r="598">
      <c r="J598" s="67"/>
      <c r="K598" s="67"/>
      <c r="R598" s="67"/>
    </row>
    <row r="599">
      <c r="J599" s="67"/>
      <c r="K599" s="67"/>
      <c r="R599" s="67"/>
    </row>
    <row r="600">
      <c r="J600" s="67"/>
      <c r="K600" s="67"/>
      <c r="R600" s="67"/>
    </row>
    <row r="601">
      <c r="J601" s="67"/>
      <c r="K601" s="67"/>
      <c r="R601" s="67"/>
    </row>
    <row r="602">
      <c r="J602" s="67"/>
      <c r="K602" s="67"/>
      <c r="R602" s="67"/>
    </row>
    <row r="603">
      <c r="J603" s="67"/>
      <c r="K603" s="67"/>
      <c r="R603" s="67"/>
    </row>
    <row r="604">
      <c r="J604" s="67"/>
      <c r="K604" s="67"/>
      <c r="R604" s="67"/>
    </row>
    <row r="605">
      <c r="J605" s="67"/>
      <c r="K605" s="67"/>
      <c r="R605" s="67"/>
    </row>
    <row r="606">
      <c r="J606" s="67"/>
      <c r="K606" s="67"/>
      <c r="R606" s="67"/>
    </row>
    <row r="607">
      <c r="J607" s="67"/>
      <c r="K607" s="67"/>
      <c r="R607" s="67"/>
    </row>
    <row r="608">
      <c r="J608" s="67"/>
      <c r="K608" s="67"/>
      <c r="R608" s="67"/>
    </row>
    <row r="609">
      <c r="J609" s="67"/>
      <c r="K609" s="67"/>
      <c r="R609" s="67"/>
    </row>
    <row r="610">
      <c r="J610" s="67"/>
      <c r="K610" s="67"/>
      <c r="R610" s="67"/>
    </row>
    <row r="611">
      <c r="J611" s="67"/>
      <c r="K611" s="67"/>
      <c r="R611" s="67"/>
    </row>
    <row r="612">
      <c r="J612" s="67"/>
      <c r="K612" s="67"/>
      <c r="R612" s="67"/>
    </row>
    <row r="613">
      <c r="J613" s="67"/>
      <c r="K613" s="67"/>
      <c r="R613" s="67"/>
    </row>
    <row r="614">
      <c r="J614" s="67"/>
      <c r="K614" s="67"/>
      <c r="R614" s="67"/>
    </row>
    <row r="615">
      <c r="J615" s="67"/>
      <c r="K615" s="67"/>
      <c r="R615" s="67"/>
    </row>
    <row r="616">
      <c r="J616" s="67"/>
      <c r="K616" s="67"/>
      <c r="R616" s="67"/>
    </row>
    <row r="617">
      <c r="J617" s="67"/>
      <c r="K617" s="67"/>
      <c r="R617" s="67"/>
    </row>
    <row r="618">
      <c r="J618" s="67"/>
      <c r="K618" s="67"/>
      <c r="R618" s="67"/>
    </row>
    <row r="619">
      <c r="J619" s="67"/>
      <c r="K619" s="67"/>
      <c r="R619" s="67"/>
    </row>
    <row r="620">
      <c r="J620" s="67"/>
      <c r="K620" s="67"/>
      <c r="R620" s="67"/>
    </row>
    <row r="621">
      <c r="J621" s="67"/>
      <c r="K621" s="67"/>
      <c r="R621" s="67"/>
    </row>
    <row r="622">
      <c r="J622" s="67"/>
      <c r="K622" s="67"/>
      <c r="R622" s="67"/>
    </row>
    <row r="623">
      <c r="J623" s="67"/>
      <c r="K623" s="67"/>
      <c r="R623" s="67"/>
    </row>
    <row r="624">
      <c r="J624" s="67"/>
      <c r="K624" s="67"/>
      <c r="R624" s="67"/>
    </row>
    <row r="625">
      <c r="J625" s="67"/>
      <c r="K625" s="67"/>
      <c r="R625" s="67"/>
    </row>
    <row r="626">
      <c r="J626" s="67"/>
      <c r="K626" s="67"/>
      <c r="R626" s="67"/>
    </row>
    <row r="627">
      <c r="J627" s="67"/>
      <c r="K627" s="67"/>
      <c r="R627" s="67"/>
    </row>
    <row r="628">
      <c r="J628" s="67"/>
      <c r="K628" s="67"/>
      <c r="R628" s="67"/>
    </row>
    <row r="629">
      <c r="J629" s="67"/>
      <c r="K629" s="67"/>
      <c r="R629" s="67"/>
    </row>
    <row r="630">
      <c r="J630" s="67"/>
      <c r="K630" s="67"/>
      <c r="R630" s="67"/>
    </row>
    <row r="631">
      <c r="J631" s="67"/>
      <c r="K631" s="67"/>
      <c r="R631" s="67"/>
    </row>
    <row r="632">
      <c r="J632" s="67"/>
      <c r="K632" s="67"/>
      <c r="R632" s="67"/>
    </row>
    <row r="633">
      <c r="J633" s="67"/>
      <c r="K633" s="67"/>
      <c r="R633" s="67"/>
    </row>
    <row r="634">
      <c r="J634" s="67"/>
      <c r="K634" s="67"/>
      <c r="R634" s="67"/>
    </row>
    <row r="635">
      <c r="J635" s="67"/>
      <c r="K635" s="67"/>
      <c r="R635" s="67"/>
    </row>
    <row r="636">
      <c r="J636" s="67"/>
      <c r="K636" s="67"/>
      <c r="R636" s="67"/>
    </row>
    <row r="637">
      <c r="J637" s="67"/>
      <c r="K637" s="67"/>
      <c r="R637" s="67"/>
    </row>
    <row r="638">
      <c r="J638" s="67"/>
      <c r="K638" s="67"/>
      <c r="R638" s="67"/>
    </row>
    <row r="639">
      <c r="J639" s="67"/>
      <c r="K639" s="67"/>
      <c r="R639" s="67"/>
    </row>
    <row r="640">
      <c r="J640" s="67"/>
      <c r="K640" s="67"/>
      <c r="R640" s="67"/>
    </row>
    <row r="641">
      <c r="J641" s="67"/>
      <c r="K641" s="67"/>
      <c r="R641" s="67"/>
    </row>
    <row r="642">
      <c r="J642" s="67"/>
      <c r="K642" s="67"/>
      <c r="R642" s="67"/>
    </row>
    <row r="643">
      <c r="J643" s="67"/>
      <c r="K643" s="67"/>
      <c r="R643" s="67"/>
    </row>
    <row r="644">
      <c r="J644" s="67"/>
      <c r="K644" s="67"/>
      <c r="R644" s="67"/>
    </row>
    <row r="645">
      <c r="J645" s="67"/>
      <c r="K645" s="67"/>
      <c r="R645" s="67"/>
    </row>
    <row r="646">
      <c r="J646" s="67"/>
      <c r="K646" s="67"/>
      <c r="R646" s="67"/>
    </row>
    <row r="647">
      <c r="J647" s="67"/>
      <c r="K647" s="67"/>
      <c r="R647" s="67"/>
    </row>
    <row r="648">
      <c r="J648" s="67"/>
      <c r="K648" s="67"/>
      <c r="R648" s="67"/>
    </row>
    <row r="649">
      <c r="J649" s="67"/>
      <c r="K649" s="67"/>
      <c r="R649" s="67"/>
    </row>
    <row r="650">
      <c r="J650" s="67"/>
      <c r="K650" s="67"/>
      <c r="R650" s="67"/>
    </row>
    <row r="651">
      <c r="J651" s="67"/>
      <c r="K651" s="67"/>
      <c r="R651" s="67"/>
    </row>
    <row r="652">
      <c r="J652" s="67"/>
      <c r="K652" s="67"/>
      <c r="R652" s="67"/>
    </row>
    <row r="653">
      <c r="J653" s="67"/>
      <c r="K653" s="67"/>
      <c r="R653" s="67"/>
    </row>
    <row r="654">
      <c r="J654" s="67"/>
      <c r="K654" s="67"/>
      <c r="R654" s="67"/>
    </row>
    <row r="655">
      <c r="J655" s="67"/>
      <c r="K655" s="67"/>
      <c r="R655" s="67"/>
    </row>
    <row r="656">
      <c r="J656" s="67"/>
      <c r="K656" s="67"/>
      <c r="R656" s="67"/>
    </row>
    <row r="657">
      <c r="J657" s="67"/>
      <c r="K657" s="67"/>
      <c r="R657" s="67"/>
    </row>
    <row r="658">
      <c r="J658" s="67"/>
      <c r="K658" s="67"/>
      <c r="R658" s="67"/>
    </row>
    <row r="659">
      <c r="J659" s="67"/>
      <c r="K659" s="67"/>
      <c r="R659" s="67"/>
    </row>
    <row r="660">
      <c r="J660" s="67"/>
      <c r="K660" s="67"/>
      <c r="R660" s="67"/>
    </row>
    <row r="661">
      <c r="J661" s="67"/>
      <c r="K661" s="67"/>
      <c r="R661" s="67"/>
    </row>
    <row r="662">
      <c r="J662" s="67"/>
      <c r="K662" s="67"/>
      <c r="R662" s="67"/>
    </row>
    <row r="663">
      <c r="J663" s="67"/>
      <c r="K663" s="67"/>
      <c r="R663" s="67"/>
    </row>
    <row r="664">
      <c r="J664" s="67"/>
      <c r="K664" s="67"/>
      <c r="R664" s="67"/>
    </row>
    <row r="665">
      <c r="J665" s="67"/>
      <c r="K665" s="67"/>
      <c r="R665" s="67"/>
    </row>
    <row r="666">
      <c r="J666" s="67"/>
      <c r="K666" s="67"/>
      <c r="R666" s="67"/>
    </row>
    <row r="667">
      <c r="J667" s="67"/>
      <c r="K667" s="67"/>
      <c r="R667" s="67"/>
    </row>
    <row r="668">
      <c r="J668" s="67"/>
      <c r="K668" s="67"/>
      <c r="R668" s="67"/>
    </row>
    <row r="669">
      <c r="J669" s="67"/>
      <c r="K669" s="67"/>
      <c r="R669" s="67"/>
    </row>
    <row r="670">
      <c r="J670" s="67"/>
      <c r="K670" s="67"/>
      <c r="R670" s="67"/>
    </row>
    <row r="671">
      <c r="J671" s="67"/>
      <c r="K671" s="67"/>
      <c r="R671" s="67"/>
    </row>
    <row r="672">
      <c r="J672" s="67"/>
      <c r="K672" s="67"/>
      <c r="R672" s="67"/>
    </row>
    <row r="673">
      <c r="J673" s="67"/>
      <c r="K673" s="67"/>
      <c r="R673" s="67"/>
    </row>
    <row r="674">
      <c r="J674" s="67"/>
      <c r="K674" s="67"/>
      <c r="R674" s="67"/>
    </row>
    <row r="675">
      <c r="J675" s="67"/>
      <c r="K675" s="67"/>
      <c r="R675" s="67"/>
    </row>
    <row r="676">
      <c r="J676" s="67"/>
      <c r="K676" s="67"/>
      <c r="R676" s="67"/>
    </row>
    <row r="677">
      <c r="J677" s="67"/>
      <c r="K677" s="67"/>
      <c r="R677" s="67"/>
    </row>
    <row r="678">
      <c r="J678" s="67"/>
      <c r="K678" s="67"/>
      <c r="R678" s="67"/>
    </row>
    <row r="679">
      <c r="J679" s="67"/>
      <c r="K679" s="67"/>
      <c r="R679" s="67"/>
    </row>
    <row r="680">
      <c r="J680" s="67"/>
      <c r="K680" s="67"/>
      <c r="R680" s="67"/>
    </row>
    <row r="681">
      <c r="J681" s="67"/>
      <c r="K681" s="67"/>
      <c r="R681" s="67"/>
    </row>
    <row r="682">
      <c r="J682" s="67"/>
      <c r="K682" s="67"/>
      <c r="R682" s="67"/>
    </row>
    <row r="683">
      <c r="J683" s="67"/>
      <c r="K683" s="67"/>
      <c r="R683" s="67"/>
    </row>
    <row r="684">
      <c r="J684" s="67"/>
      <c r="K684" s="67"/>
      <c r="R684" s="67"/>
    </row>
    <row r="685">
      <c r="J685" s="67"/>
      <c r="K685" s="67"/>
      <c r="R685" s="67"/>
    </row>
    <row r="686">
      <c r="J686" s="67"/>
      <c r="K686" s="67"/>
      <c r="R686" s="67"/>
    </row>
    <row r="687">
      <c r="J687" s="67"/>
      <c r="K687" s="67"/>
      <c r="R687" s="67"/>
    </row>
    <row r="688">
      <c r="J688" s="67"/>
      <c r="K688" s="67"/>
      <c r="R688" s="67"/>
    </row>
    <row r="689">
      <c r="J689" s="67"/>
      <c r="K689" s="67"/>
      <c r="R689" s="67"/>
    </row>
    <row r="690">
      <c r="J690" s="67"/>
      <c r="K690" s="67"/>
      <c r="R690" s="67"/>
    </row>
    <row r="691">
      <c r="J691" s="67"/>
      <c r="K691" s="67"/>
      <c r="R691" s="67"/>
    </row>
    <row r="692">
      <c r="J692" s="67"/>
      <c r="K692" s="67"/>
      <c r="R692" s="67"/>
    </row>
    <row r="693">
      <c r="J693" s="67"/>
      <c r="K693" s="67"/>
      <c r="R693" s="67"/>
    </row>
    <row r="694">
      <c r="J694" s="67"/>
      <c r="K694" s="67"/>
      <c r="R694" s="67"/>
    </row>
    <row r="695">
      <c r="J695" s="67"/>
      <c r="K695" s="67"/>
      <c r="R695" s="67"/>
    </row>
    <row r="696">
      <c r="J696" s="67"/>
      <c r="K696" s="67"/>
      <c r="R696" s="67"/>
    </row>
    <row r="697">
      <c r="J697" s="67"/>
      <c r="K697" s="67"/>
      <c r="R697" s="67"/>
    </row>
    <row r="698">
      <c r="J698" s="67"/>
      <c r="K698" s="67"/>
      <c r="R698" s="67"/>
    </row>
    <row r="699">
      <c r="J699" s="67"/>
      <c r="K699" s="67"/>
      <c r="R699" s="67"/>
    </row>
    <row r="700">
      <c r="J700" s="67"/>
      <c r="K700" s="67"/>
      <c r="R700" s="67"/>
    </row>
    <row r="701">
      <c r="J701" s="67"/>
      <c r="K701" s="67"/>
      <c r="R701" s="67"/>
    </row>
    <row r="702">
      <c r="J702" s="67"/>
      <c r="K702" s="67"/>
      <c r="R702" s="67"/>
    </row>
    <row r="703">
      <c r="J703" s="67"/>
      <c r="K703" s="67"/>
      <c r="R703" s="67"/>
    </row>
    <row r="704">
      <c r="J704" s="67"/>
      <c r="K704" s="67"/>
      <c r="R704" s="67"/>
    </row>
    <row r="705">
      <c r="J705" s="67"/>
      <c r="K705" s="67"/>
      <c r="R705" s="67"/>
    </row>
    <row r="706">
      <c r="J706" s="67"/>
      <c r="K706" s="67"/>
      <c r="R706" s="67"/>
    </row>
    <row r="707">
      <c r="J707" s="67"/>
      <c r="K707" s="67"/>
      <c r="R707" s="67"/>
    </row>
    <row r="708">
      <c r="J708" s="67"/>
      <c r="K708" s="67"/>
      <c r="R708" s="67"/>
    </row>
    <row r="709">
      <c r="J709" s="67"/>
      <c r="K709" s="67"/>
      <c r="R709" s="67"/>
    </row>
    <row r="710">
      <c r="J710" s="67"/>
      <c r="K710" s="67"/>
      <c r="R710" s="67"/>
    </row>
    <row r="711">
      <c r="J711" s="67"/>
      <c r="K711" s="67"/>
      <c r="R711" s="67"/>
    </row>
    <row r="712">
      <c r="J712" s="67"/>
      <c r="K712" s="67"/>
      <c r="R712" s="67"/>
    </row>
    <row r="713">
      <c r="J713" s="67"/>
      <c r="K713" s="67"/>
      <c r="R713" s="67"/>
    </row>
    <row r="714">
      <c r="J714" s="67"/>
      <c r="K714" s="67"/>
      <c r="R714" s="67"/>
    </row>
    <row r="715">
      <c r="J715" s="67"/>
      <c r="K715" s="67"/>
      <c r="R715" s="67"/>
    </row>
    <row r="716">
      <c r="J716" s="67"/>
      <c r="K716" s="67"/>
      <c r="R716" s="67"/>
    </row>
    <row r="717">
      <c r="J717" s="67"/>
      <c r="K717" s="67"/>
      <c r="R717" s="67"/>
    </row>
    <row r="718">
      <c r="J718" s="67"/>
      <c r="K718" s="67"/>
      <c r="R718" s="67"/>
    </row>
    <row r="719">
      <c r="J719" s="67"/>
      <c r="K719" s="67"/>
      <c r="R719" s="67"/>
    </row>
    <row r="720">
      <c r="J720" s="67"/>
      <c r="K720" s="67"/>
      <c r="R720" s="67"/>
    </row>
    <row r="721">
      <c r="J721" s="67"/>
      <c r="K721" s="67"/>
      <c r="R721" s="67"/>
    </row>
    <row r="722">
      <c r="J722" s="67"/>
      <c r="K722" s="67"/>
      <c r="R722" s="67"/>
    </row>
    <row r="723">
      <c r="J723" s="67"/>
      <c r="K723" s="67"/>
      <c r="R723" s="67"/>
    </row>
    <row r="724">
      <c r="J724" s="67"/>
      <c r="K724" s="67"/>
      <c r="R724" s="67"/>
    </row>
    <row r="725">
      <c r="J725" s="67"/>
      <c r="K725" s="67"/>
      <c r="R725" s="67"/>
    </row>
    <row r="726">
      <c r="J726" s="67"/>
      <c r="K726" s="67"/>
      <c r="R726" s="67"/>
    </row>
    <row r="727">
      <c r="J727" s="67"/>
      <c r="K727" s="67"/>
      <c r="R727" s="67"/>
    </row>
    <row r="728">
      <c r="J728" s="67"/>
      <c r="K728" s="67"/>
      <c r="R728" s="67"/>
    </row>
    <row r="729">
      <c r="J729" s="67"/>
      <c r="K729" s="67"/>
      <c r="R729" s="67"/>
    </row>
    <row r="730">
      <c r="J730" s="67"/>
      <c r="K730" s="67"/>
      <c r="R730" s="67"/>
    </row>
    <row r="731">
      <c r="J731" s="67"/>
      <c r="K731" s="67"/>
      <c r="R731" s="67"/>
    </row>
    <row r="732">
      <c r="J732" s="67"/>
      <c r="K732" s="67"/>
      <c r="R732" s="67"/>
    </row>
    <row r="733">
      <c r="J733" s="67"/>
      <c r="K733" s="67"/>
      <c r="R733" s="67"/>
    </row>
    <row r="734">
      <c r="J734" s="67"/>
      <c r="K734" s="67"/>
      <c r="R734" s="67"/>
    </row>
    <row r="735">
      <c r="J735" s="67"/>
      <c r="K735" s="67"/>
      <c r="R735" s="67"/>
    </row>
    <row r="736">
      <c r="J736" s="67"/>
      <c r="K736" s="67"/>
      <c r="R736" s="67"/>
    </row>
    <row r="737">
      <c r="J737" s="67"/>
      <c r="K737" s="67"/>
      <c r="R737" s="67"/>
    </row>
    <row r="738">
      <c r="J738" s="67"/>
      <c r="K738" s="67"/>
      <c r="R738" s="67"/>
    </row>
    <row r="739">
      <c r="J739" s="67"/>
      <c r="K739" s="67"/>
      <c r="R739" s="67"/>
    </row>
    <row r="740">
      <c r="J740" s="67"/>
      <c r="K740" s="67"/>
      <c r="R740" s="67"/>
    </row>
    <row r="741">
      <c r="J741" s="67"/>
      <c r="K741" s="67"/>
      <c r="R741" s="67"/>
    </row>
    <row r="742">
      <c r="J742" s="67"/>
      <c r="K742" s="67"/>
      <c r="R742" s="67"/>
    </row>
    <row r="743">
      <c r="J743" s="67"/>
      <c r="K743" s="67"/>
      <c r="R743" s="67"/>
    </row>
    <row r="744">
      <c r="J744" s="67"/>
      <c r="K744" s="67"/>
      <c r="R744" s="67"/>
    </row>
    <row r="745">
      <c r="J745" s="67"/>
      <c r="K745" s="67"/>
      <c r="R745" s="67"/>
    </row>
    <row r="746">
      <c r="J746" s="67"/>
      <c r="K746" s="67"/>
      <c r="R746" s="67"/>
    </row>
    <row r="747">
      <c r="J747" s="67"/>
      <c r="K747" s="67"/>
      <c r="R747" s="67"/>
    </row>
    <row r="748">
      <c r="J748" s="67"/>
      <c r="K748" s="67"/>
      <c r="R748" s="67"/>
    </row>
    <row r="749">
      <c r="J749" s="67"/>
      <c r="K749" s="67"/>
      <c r="R749" s="67"/>
    </row>
    <row r="750">
      <c r="J750" s="67"/>
      <c r="K750" s="67"/>
      <c r="R750" s="67"/>
    </row>
    <row r="751">
      <c r="J751" s="67"/>
      <c r="K751" s="67"/>
      <c r="R751" s="67"/>
    </row>
    <row r="752">
      <c r="J752" s="67"/>
      <c r="K752" s="67"/>
      <c r="R752" s="67"/>
    </row>
    <row r="753">
      <c r="J753" s="67"/>
      <c r="K753" s="67"/>
      <c r="R753" s="67"/>
    </row>
    <row r="754">
      <c r="J754" s="67"/>
      <c r="K754" s="67"/>
      <c r="R754" s="67"/>
    </row>
    <row r="755">
      <c r="J755" s="67"/>
      <c r="K755" s="67"/>
      <c r="R755" s="67"/>
    </row>
    <row r="756">
      <c r="J756" s="67"/>
      <c r="K756" s="67"/>
      <c r="R756" s="67"/>
    </row>
    <row r="757">
      <c r="J757" s="67"/>
      <c r="K757" s="67"/>
      <c r="R757" s="67"/>
    </row>
    <row r="758">
      <c r="J758" s="67"/>
      <c r="K758" s="67"/>
      <c r="R758" s="67"/>
    </row>
    <row r="759">
      <c r="J759" s="67"/>
      <c r="K759" s="67"/>
      <c r="R759" s="67"/>
    </row>
    <row r="760">
      <c r="J760" s="67"/>
      <c r="K760" s="67"/>
      <c r="R760" s="67"/>
    </row>
    <row r="761">
      <c r="J761" s="67"/>
      <c r="K761" s="67"/>
      <c r="R761" s="67"/>
    </row>
    <row r="762">
      <c r="J762" s="67"/>
      <c r="K762" s="67"/>
      <c r="R762" s="67"/>
    </row>
    <row r="763">
      <c r="J763" s="67"/>
      <c r="K763" s="67"/>
      <c r="R763" s="67"/>
    </row>
    <row r="764">
      <c r="J764" s="67"/>
      <c r="K764" s="67"/>
      <c r="R764" s="67"/>
    </row>
    <row r="765">
      <c r="J765" s="67"/>
      <c r="K765" s="67"/>
      <c r="R765" s="67"/>
    </row>
    <row r="766">
      <c r="J766" s="67"/>
      <c r="K766" s="67"/>
      <c r="R766" s="67"/>
    </row>
    <row r="767">
      <c r="J767" s="67"/>
      <c r="K767" s="67"/>
      <c r="R767" s="67"/>
    </row>
    <row r="768">
      <c r="J768" s="67"/>
      <c r="K768" s="67"/>
      <c r="R768" s="67"/>
    </row>
    <row r="769">
      <c r="J769" s="67"/>
      <c r="K769" s="67"/>
      <c r="R769" s="67"/>
    </row>
    <row r="770">
      <c r="J770" s="67"/>
      <c r="K770" s="67"/>
      <c r="R770" s="67"/>
    </row>
  </sheetData>
  <mergeCells count="36">
    <mergeCell ref="A1:K1"/>
    <mergeCell ref="A2:K2"/>
    <mergeCell ref="N4:Q4"/>
    <mergeCell ref="N5:Q5"/>
    <mergeCell ref="A19:K19"/>
    <mergeCell ref="N22:Q22"/>
    <mergeCell ref="N23:Q23"/>
    <mergeCell ref="A20:K20"/>
    <mergeCell ref="A36:K36"/>
    <mergeCell ref="A37:K37"/>
    <mergeCell ref="N39:Q39"/>
    <mergeCell ref="N40:Q40"/>
    <mergeCell ref="A54:K54"/>
    <mergeCell ref="A55:K55"/>
    <mergeCell ref="N57:Q57"/>
    <mergeCell ref="N58:Q58"/>
    <mergeCell ref="A71:K71"/>
    <mergeCell ref="A72:K72"/>
    <mergeCell ref="N74:Q74"/>
    <mergeCell ref="N75:Q75"/>
    <mergeCell ref="A88:K88"/>
    <mergeCell ref="A124:K124"/>
    <mergeCell ref="A125:K125"/>
    <mergeCell ref="N125:Q125"/>
    <mergeCell ref="N126:Q126"/>
    <mergeCell ref="A143:K143"/>
    <mergeCell ref="A144:K144"/>
    <mergeCell ref="N146:Q146"/>
    <mergeCell ref="N147:Q147"/>
    <mergeCell ref="A89:K89"/>
    <mergeCell ref="N91:Q91"/>
    <mergeCell ref="N92:Q92"/>
    <mergeCell ref="A106:K106"/>
    <mergeCell ref="A107:K107"/>
    <mergeCell ref="N109:Q109"/>
    <mergeCell ref="N110:Q110"/>
  </mergeCells>
  <dataValidations>
    <dataValidation type="list" allowBlank="1" showErrorMessage="1" sqref="I4:I15 I22:I33 I39:I50 I57:I68 I74:I85 I91:I102 I109:I120 I127:I138 I146:I157">
      <formula1>"Não atendido ,Atendido ,Cancelado ,Vagas livres,Bloqueada"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14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63" t="s">
        <v>1590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489" t="s">
        <v>3</v>
      </c>
      <c r="C3" s="27" t="s">
        <v>2</v>
      </c>
      <c r="D3" s="28" t="s">
        <v>5</v>
      </c>
      <c r="E3" s="32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9" t="s">
        <v>1358</v>
      </c>
      <c r="C4" s="74" t="s">
        <v>1295</v>
      </c>
      <c r="D4" s="75">
        <v>0.5416666666666666</v>
      </c>
      <c r="E4" s="74">
        <v>1.1763514862E10</v>
      </c>
      <c r="F4" s="228">
        <v>8.01440481835372E14</v>
      </c>
      <c r="G4" s="227" t="s">
        <v>1822</v>
      </c>
      <c r="H4" s="333">
        <v>26521.0</v>
      </c>
      <c r="I4" s="34" t="s">
        <v>1823</v>
      </c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100"/>
    </row>
    <row r="5">
      <c r="A5" s="12" t="s">
        <v>11</v>
      </c>
      <c r="B5" s="229" t="s">
        <v>1359</v>
      </c>
      <c r="C5" s="74" t="s">
        <v>1295</v>
      </c>
      <c r="D5" s="75">
        <v>0.5555555555555556</v>
      </c>
      <c r="E5" s="74"/>
      <c r="F5" s="490"/>
      <c r="G5" s="385"/>
      <c r="H5" s="491"/>
      <c r="I5" s="34" t="s">
        <v>181</v>
      </c>
      <c r="J5" s="74"/>
      <c r="K5" s="74"/>
      <c r="M5" s="267"/>
      <c r="N5" s="270" t="s">
        <v>1824</v>
      </c>
      <c r="O5" s="2"/>
      <c r="P5" s="2"/>
      <c r="Q5" s="2"/>
      <c r="R5" s="2"/>
    </row>
    <row r="6">
      <c r="A6" s="12" t="s">
        <v>12</v>
      </c>
      <c r="B6" s="229" t="s">
        <v>1361</v>
      </c>
      <c r="C6" s="74" t="s">
        <v>1295</v>
      </c>
      <c r="D6" s="75">
        <v>0.5694444444444444</v>
      </c>
      <c r="E6" s="74">
        <v>2.6329563829E10</v>
      </c>
      <c r="F6" s="228">
        <v>7.0310933145506E14</v>
      </c>
      <c r="G6" s="227" t="s">
        <v>1825</v>
      </c>
      <c r="H6" s="333">
        <v>24953.0</v>
      </c>
      <c r="I6" s="34" t="s">
        <v>183</v>
      </c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>
      <c r="A7" s="12" t="s">
        <v>13</v>
      </c>
      <c r="B7" s="229" t="s">
        <v>1363</v>
      </c>
      <c r="C7" s="74" t="s">
        <v>1295</v>
      </c>
      <c r="D7" s="75">
        <v>0.5833333333333334</v>
      </c>
      <c r="E7" s="74">
        <v>9.111584807E9</v>
      </c>
      <c r="F7" s="288">
        <v>7.034065373292E14</v>
      </c>
      <c r="G7" s="227" t="s">
        <v>1826</v>
      </c>
      <c r="H7" s="492">
        <v>24542.0</v>
      </c>
      <c r="I7" s="34" t="s">
        <v>183</v>
      </c>
      <c r="J7" s="74"/>
      <c r="K7" s="74"/>
      <c r="M7" s="67"/>
      <c r="N7" s="275">
        <f t="shared" ref="N7:R7" si="1">COUNTIFS($I$4:$I$15, N6)</f>
        <v>6</v>
      </c>
      <c r="O7" s="276">
        <f t="shared" si="1"/>
        <v>0</v>
      </c>
      <c r="P7" s="276">
        <f t="shared" si="1"/>
        <v>3</v>
      </c>
      <c r="Q7" s="277">
        <f t="shared" si="1"/>
        <v>0</v>
      </c>
      <c r="R7" s="277">
        <f t="shared" si="1"/>
        <v>3</v>
      </c>
    </row>
    <row r="8">
      <c r="A8" s="12" t="s">
        <v>14</v>
      </c>
      <c r="B8" s="229" t="s">
        <v>1358</v>
      </c>
      <c r="C8" s="74" t="s">
        <v>1295</v>
      </c>
      <c r="D8" s="75">
        <v>0.5972222222222222</v>
      </c>
      <c r="E8" s="74">
        <v>3.206633885E9</v>
      </c>
      <c r="F8" s="228">
        <v>7.00001100988402E14</v>
      </c>
      <c r="G8" s="493" t="s">
        <v>1827</v>
      </c>
      <c r="H8" s="494"/>
      <c r="I8" s="34" t="s">
        <v>183</v>
      </c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>
      <c r="A9" s="12" t="s">
        <v>15</v>
      </c>
      <c r="B9" s="229" t="s">
        <v>1359</v>
      </c>
      <c r="C9" s="74" t="s">
        <v>1295</v>
      </c>
      <c r="D9" s="75">
        <v>0.6111111111111112</v>
      </c>
      <c r="E9" s="74"/>
      <c r="F9" s="385"/>
      <c r="G9" s="385"/>
      <c r="H9" s="491"/>
      <c r="I9" s="34" t="s">
        <v>181</v>
      </c>
      <c r="J9" s="74"/>
      <c r="K9" s="74"/>
      <c r="L9" s="216" t="s">
        <v>394</v>
      </c>
      <c r="R9" s="67"/>
    </row>
    <row r="10">
      <c r="A10" s="12" t="s">
        <v>16</v>
      </c>
      <c r="B10" s="229" t="s">
        <v>1361</v>
      </c>
      <c r="C10" s="74" t="s">
        <v>1295</v>
      </c>
      <c r="D10" s="75">
        <v>0.625</v>
      </c>
      <c r="E10" s="74">
        <v>3.206633885E9</v>
      </c>
      <c r="F10" s="228">
        <v>8.01440401814721E14</v>
      </c>
      <c r="G10" s="227" t="s">
        <v>1828</v>
      </c>
      <c r="H10" s="333">
        <v>26007.0</v>
      </c>
      <c r="I10" s="34" t="s">
        <v>183</v>
      </c>
      <c r="J10" s="74"/>
      <c r="K10" s="74"/>
      <c r="L10" s="216" t="s">
        <v>394</v>
      </c>
      <c r="R10" s="67"/>
    </row>
    <row r="11">
      <c r="A11" s="12" t="s">
        <v>17</v>
      </c>
      <c r="B11" s="229" t="s">
        <v>1363</v>
      </c>
      <c r="C11" s="74" t="s">
        <v>1295</v>
      </c>
      <c r="D11" s="75">
        <v>0.6388888888888888</v>
      </c>
      <c r="E11" s="74">
        <v>5.68897048E10</v>
      </c>
      <c r="F11" s="228">
        <v>7.0030647699664E14</v>
      </c>
      <c r="G11" s="229" t="s">
        <v>1829</v>
      </c>
      <c r="H11" s="495">
        <v>17371.0</v>
      </c>
      <c r="I11" s="34" t="s">
        <v>1823</v>
      </c>
      <c r="J11" s="74"/>
      <c r="K11" s="74"/>
      <c r="L11" s="216" t="s">
        <v>394</v>
      </c>
      <c r="R11" s="67"/>
    </row>
    <row r="12">
      <c r="A12" s="12" t="s">
        <v>85</v>
      </c>
      <c r="B12" s="229" t="s">
        <v>1358</v>
      </c>
      <c r="C12" s="74" t="s">
        <v>1295</v>
      </c>
      <c r="D12" s="75">
        <v>0.6527777777777778</v>
      </c>
      <c r="E12" s="74">
        <v>3.2475237821E10</v>
      </c>
      <c r="F12" s="74">
        <v>7.0040494851344E14</v>
      </c>
      <c r="G12" s="167" t="s">
        <v>1830</v>
      </c>
      <c r="H12" s="83">
        <v>25108.0</v>
      </c>
      <c r="I12" s="34" t="s">
        <v>183</v>
      </c>
      <c r="J12" s="74"/>
      <c r="K12" s="74"/>
      <c r="L12" s="216" t="s">
        <v>394</v>
      </c>
      <c r="R12" s="67"/>
    </row>
    <row r="13">
      <c r="A13" s="12" t="s">
        <v>87</v>
      </c>
      <c r="B13" s="229" t="s">
        <v>1359</v>
      </c>
      <c r="C13" s="74" t="s">
        <v>1295</v>
      </c>
      <c r="D13" s="75">
        <v>0.6666666666666666</v>
      </c>
      <c r="E13" s="74"/>
      <c r="F13" s="74"/>
      <c r="G13" s="74"/>
      <c r="H13" s="166"/>
      <c r="I13" s="34" t="s">
        <v>181</v>
      </c>
      <c r="J13" s="74"/>
      <c r="K13" s="74"/>
      <c r="L13" s="216" t="s">
        <v>394</v>
      </c>
      <c r="R13" s="67"/>
    </row>
    <row r="14">
      <c r="A14" s="12" t="s">
        <v>90</v>
      </c>
      <c r="B14" s="229" t="s">
        <v>1361</v>
      </c>
      <c r="C14" s="74" t="s">
        <v>1295</v>
      </c>
      <c r="D14" s="75">
        <v>0.6805555555555556</v>
      </c>
      <c r="E14" s="74">
        <v>5.369954852E10</v>
      </c>
      <c r="F14" s="74">
        <v>7.07604289097193E14</v>
      </c>
      <c r="G14" s="167" t="s">
        <v>1831</v>
      </c>
      <c r="H14" s="166">
        <v>25505.0</v>
      </c>
      <c r="I14" s="34" t="s">
        <v>1823</v>
      </c>
      <c r="J14" s="74"/>
      <c r="K14" s="74"/>
      <c r="L14" s="216" t="s">
        <v>394</v>
      </c>
      <c r="R14" s="67"/>
    </row>
    <row r="15">
      <c r="A15" s="12" t="s">
        <v>93</v>
      </c>
      <c r="B15" s="229" t="s">
        <v>1363</v>
      </c>
      <c r="C15" s="74" t="s">
        <v>1295</v>
      </c>
      <c r="D15" s="75">
        <v>0.6944444444444444</v>
      </c>
      <c r="E15" s="74">
        <v>2.2486875832E10</v>
      </c>
      <c r="F15" s="74">
        <v>7.09805060248497E14</v>
      </c>
      <c r="G15" s="167" t="s">
        <v>1832</v>
      </c>
      <c r="H15" s="166">
        <v>29884.0</v>
      </c>
      <c r="I15" s="34" t="s">
        <v>183</v>
      </c>
      <c r="J15" s="74"/>
      <c r="K15" s="74"/>
      <c r="L15" s="216" t="s">
        <v>394</v>
      </c>
      <c r="R15" s="67"/>
    </row>
    <row r="16">
      <c r="B16" s="182"/>
      <c r="J16" s="67"/>
      <c r="K16" s="67"/>
      <c r="R16" s="67"/>
    </row>
    <row r="17">
      <c r="B17" s="182"/>
      <c r="J17" s="67"/>
      <c r="K17" s="67"/>
      <c r="R17" s="67"/>
    </row>
    <row r="18">
      <c r="A18" s="23" t="s">
        <v>378</v>
      </c>
      <c r="B18" s="2"/>
      <c r="C18" s="2"/>
      <c r="D18" s="2"/>
      <c r="E18" s="2"/>
      <c r="F18" s="2"/>
      <c r="G18" s="2"/>
      <c r="H18" s="2"/>
      <c r="I18" s="2"/>
      <c r="J18" s="2"/>
      <c r="K18" s="3"/>
      <c r="R18" s="67"/>
    </row>
    <row r="19" ht="22.5" customHeight="1">
      <c r="A19" s="263" t="s">
        <v>1833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 ht="17.25" customHeight="1">
      <c r="A20" s="25"/>
      <c r="B20" s="489" t="s">
        <v>3</v>
      </c>
      <c r="C20" s="27" t="s">
        <v>2</v>
      </c>
      <c r="D20" s="28" t="s">
        <v>5</v>
      </c>
      <c r="E20" s="32" t="s">
        <v>19</v>
      </c>
      <c r="F20" s="28" t="s">
        <v>6</v>
      </c>
      <c r="G20" s="28" t="s">
        <v>7</v>
      </c>
      <c r="H20" s="30" t="s">
        <v>8</v>
      </c>
      <c r="I20" s="31" t="s">
        <v>20</v>
      </c>
      <c r="J20" s="32" t="s">
        <v>21</v>
      </c>
      <c r="K20" s="32" t="s">
        <v>22</v>
      </c>
      <c r="R20" s="67"/>
    </row>
    <row r="21">
      <c r="A21" s="12" t="s">
        <v>10</v>
      </c>
      <c r="B21" s="229"/>
      <c r="C21" s="74"/>
      <c r="D21" s="75"/>
      <c r="E21" s="74"/>
      <c r="F21" s="74"/>
      <c r="G21" s="74"/>
      <c r="H21" s="167"/>
      <c r="I21" s="74" t="s">
        <v>181</v>
      </c>
      <c r="J21" s="74"/>
      <c r="K21" s="74"/>
      <c r="N21" s="268" t="s">
        <v>387</v>
      </c>
      <c r="O21" s="100"/>
      <c r="P21" s="100"/>
      <c r="Q21" s="100"/>
      <c r="R21" s="100"/>
    </row>
    <row r="22">
      <c r="A22" s="12" t="s">
        <v>11</v>
      </c>
      <c r="B22" s="229" t="s">
        <v>65</v>
      </c>
      <c r="C22" s="74" t="s">
        <v>1314</v>
      </c>
      <c r="D22" s="75">
        <v>0.3472222222222222</v>
      </c>
      <c r="E22" s="74">
        <v>2.3800223805E10</v>
      </c>
      <c r="F22" s="74">
        <v>7.00503177502056E14</v>
      </c>
      <c r="G22" s="167" t="s">
        <v>1834</v>
      </c>
      <c r="H22" s="166">
        <v>32226.0</v>
      </c>
      <c r="I22" s="74" t="s">
        <v>1823</v>
      </c>
      <c r="J22" s="74" t="s">
        <v>1835</v>
      </c>
      <c r="K22" s="74" t="s">
        <v>1836</v>
      </c>
      <c r="N22" s="270" t="s">
        <v>1824</v>
      </c>
      <c r="O22" s="2"/>
      <c r="P22" s="2"/>
      <c r="Q22" s="2"/>
      <c r="R22" s="2"/>
    </row>
    <row r="23">
      <c r="A23" s="12" t="s">
        <v>12</v>
      </c>
      <c r="B23" s="229" t="s">
        <v>1448</v>
      </c>
      <c r="C23" s="74" t="s">
        <v>1314</v>
      </c>
      <c r="D23" s="75">
        <v>0.3611111111111111</v>
      </c>
      <c r="E23" s="74">
        <v>4.057820639E9</v>
      </c>
      <c r="F23" s="459" t="s">
        <v>1837</v>
      </c>
      <c r="G23" s="167" t="s">
        <v>1838</v>
      </c>
      <c r="H23" s="166">
        <v>16925.0</v>
      </c>
      <c r="I23" s="74" t="s">
        <v>1823</v>
      </c>
      <c r="J23" s="74" t="s">
        <v>1839</v>
      </c>
      <c r="K23" s="74" t="s">
        <v>1840</v>
      </c>
      <c r="N23" s="271" t="s">
        <v>183</v>
      </c>
      <c r="O23" s="272" t="s">
        <v>195</v>
      </c>
      <c r="P23" s="272" t="s">
        <v>181</v>
      </c>
      <c r="Q23" s="273" t="s">
        <v>173</v>
      </c>
      <c r="R23" s="286" t="s">
        <v>1823</v>
      </c>
    </row>
    <row r="24">
      <c r="A24" s="12" t="s">
        <v>13</v>
      </c>
      <c r="B24" s="229" t="s">
        <v>822</v>
      </c>
      <c r="C24" s="74" t="s">
        <v>1314</v>
      </c>
      <c r="D24" s="75">
        <v>0.375</v>
      </c>
      <c r="E24" s="74">
        <v>2.4887727801E10</v>
      </c>
      <c r="F24" s="74">
        <v>7.08408216708668E14</v>
      </c>
      <c r="G24" s="167" t="s">
        <v>1841</v>
      </c>
      <c r="H24" s="166">
        <v>19730.0</v>
      </c>
      <c r="I24" s="74" t="s">
        <v>183</v>
      </c>
      <c r="J24" s="74" t="s">
        <v>1842</v>
      </c>
      <c r="K24" s="74" t="s">
        <v>1843</v>
      </c>
      <c r="L24" s="216" t="s">
        <v>442</v>
      </c>
      <c r="N24" s="275">
        <f>COUNTIFS(I$21:I$32,N23)</f>
        <v>7</v>
      </c>
      <c r="O24" s="275">
        <f t="shared" ref="O24:R24" si="2">COUNTIFS($I$21:$I$32,O23)</f>
        <v>0</v>
      </c>
      <c r="P24" s="275">
        <f t="shared" si="2"/>
        <v>1</v>
      </c>
      <c r="Q24" s="275">
        <f t="shared" si="2"/>
        <v>0</v>
      </c>
      <c r="R24" s="67">
        <f t="shared" si="2"/>
        <v>4</v>
      </c>
    </row>
    <row r="25">
      <c r="A25" s="12" t="s">
        <v>14</v>
      </c>
      <c r="B25" s="229" t="s">
        <v>202</v>
      </c>
      <c r="C25" s="74" t="s">
        <v>1314</v>
      </c>
      <c r="D25" s="75">
        <v>0.3888888888888889</v>
      </c>
      <c r="E25" s="74">
        <v>2.8792869807E10</v>
      </c>
      <c r="F25" s="74">
        <v>2.01156890140001E14</v>
      </c>
      <c r="G25" s="167" t="s">
        <v>1844</v>
      </c>
      <c r="H25" s="166">
        <v>22806.0</v>
      </c>
      <c r="I25" s="74" t="s">
        <v>183</v>
      </c>
      <c r="J25" s="74" t="s">
        <v>1845</v>
      </c>
      <c r="K25" s="74" t="s">
        <v>1846</v>
      </c>
      <c r="L25" s="216" t="s">
        <v>442</v>
      </c>
      <c r="R25" s="67"/>
    </row>
    <row r="26">
      <c r="A26" s="12" t="s">
        <v>15</v>
      </c>
      <c r="B26" s="229" t="s">
        <v>1448</v>
      </c>
      <c r="C26" s="74" t="s">
        <v>1314</v>
      </c>
      <c r="D26" s="75">
        <v>0.4027777777777778</v>
      </c>
      <c r="E26" s="74">
        <v>1.1251849814E10</v>
      </c>
      <c r="F26" s="459" t="s">
        <v>1847</v>
      </c>
      <c r="G26" s="167" t="s">
        <v>1848</v>
      </c>
      <c r="H26" s="166">
        <v>17512.0</v>
      </c>
      <c r="I26" s="74" t="s">
        <v>1823</v>
      </c>
      <c r="J26" s="74" t="s">
        <v>1849</v>
      </c>
      <c r="K26" s="74" t="s">
        <v>1850</v>
      </c>
      <c r="L26" s="216" t="s">
        <v>442</v>
      </c>
      <c r="R26" s="67"/>
    </row>
    <row r="27">
      <c r="A27" s="12" t="s">
        <v>16</v>
      </c>
      <c r="B27" s="229" t="s">
        <v>65</v>
      </c>
      <c r="C27" s="74" t="s">
        <v>1314</v>
      </c>
      <c r="D27" s="75">
        <v>0.4166666666666667</v>
      </c>
      <c r="E27" s="74">
        <v>1.3216698874E10</v>
      </c>
      <c r="F27" s="74">
        <v>2.01151872210007E14</v>
      </c>
      <c r="G27" s="167" t="s">
        <v>1851</v>
      </c>
      <c r="H27" s="166">
        <v>21781.0</v>
      </c>
      <c r="I27" s="74" t="s">
        <v>1823</v>
      </c>
      <c r="J27" s="74" t="s">
        <v>1852</v>
      </c>
      <c r="K27" s="74"/>
      <c r="L27" s="216" t="s">
        <v>442</v>
      </c>
      <c r="R27" s="67"/>
    </row>
    <row r="28">
      <c r="A28" s="12" t="s">
        <v>17</v>
      </c>
      <c r="B28" s="229" t="s">
        <v>202</v>
      </c>
      <c r="C28" s="74" t="s">
        <v>1314</v>
      </c>
      <c r="D28" s="75">
        <v>0.4305555555555556</v>
      </c>
      <c r="E28" s="74">
        <v>8.666252839E9</v>
      </c>
      <c r="F28" s="459" t="s">
        <v>1853</v>
      </c>
      <c r="G28" s="167" t="s">
        <v>1854</v>
      </c>
      <c r="H28" s="166">
        <v>20026.0</v>
      </c>
      <c r="I28" s="74" t="s">
        <v>183</v>
      </c>
      <c r="J28" s="74" t="s">
        <v>1855</v>
      </c>
      <c r="K28" s="74"/>
      <c r="L28" s="216" t="s">
        <v>442</v>
      </c>
      <c r="R28" s="67"/>
    </row>
    <row r="29">
      <c r="A29" s="12" t="s">
        <v>85</v>
      </c>
      <c r="B29" s="229" t="s">
        <v>822</v>
      </c>
      <c r="C29" s="74" t="s">
        <v>1314</v>
      </c>
      <c r="D29" s="75">
        <v>0.4444444444444444</v>
      </c>
      <c r="E29" s="74">
        <v>6.8777809491E10</v>
      </c>
      <c r="F29" s="459" t="s">
        <v>1856</v>
      </c>
      <c r="G29" s="167" t="s">
        <v>1857</v>
      </c>
      <c r="H29" s="166">
        <v>23069.0</v>
      </c>
      <c r="I29" s="74" t="s">
        <v>183</v>
      </c>
      <c r="J29" s="74" t="s">
        <v>1858</v>
      </c>
      <c r="K29" s="74" t="s">
        <v>1859</v>
      </c>
      <c r="R29" s="67"/>
    </row>
    <row r="30">
      <c r="A30" s="12" t="s">
        <v>87</v>
      </c>
      <c r="B30" s="229" t="s">
        <v>1448</v>
      </c>
      <c r="C30" s="74" t="s">
        <v>1314</v>
      </c>
      <c r="D30" s="75">
        <v>0.4583333333333333</v>
      </c>
      <c r="E30" s="74">
        <v>1.346158088E10</v>
      </c>
      <c r="F30" s="74">
        <v>7.034078684058E14</v>
      </c>
      <c r="G30" s="167" t="s">
        <v>1860</v>
      </c>
      <c r="H30" s="166">
        <v>18913.0</v>
      </c>
      <c r="I30" s="74" t="s">
        <v>183</v>
      </c>
      <c r="J30" s="74" t="s">
        <v>1861</v>
      </c>
      <c r="K30" s="74"/>
      <c r="L30" s="216" t="s">
        <v>455</v>
      </c>
      <c r="R30" s="67"/>
    </row>
    <row r="31">
      <c r="A31" s="12" t="s">
        <v>90</v>
      </c>
      <c r="B31" s="229" t="s">
        <v>822</v>
      </c>
      <c r="C31" s="74" t="s">
        <v>1314</v>
      </c>
      <c r="D31" s="75">
        <v>0.4722222222222222</v>
      </c>
      <c r="E31" s="74">
        <v>1.5745001801E10</v>
      </c>
      <c r="F31" s="74">
        <v>7.04602656496928E14</v>
      </c>
      <c r="G31" s="167" t="s">
        <v>1862</v>
      </c>
      <c r="H31" s="166">
        <v>26935.0</v>
      </c>
      <c r="I31" s="74" t="s">
        <v>183</v>
      </c>
      <c r="J31" s="74" t="s">
        <v>1863</v>
      </c>
      <c r="K31" s="74" t="s">
        <v>1864</v>
      </c>
      <c r="R31" s="67"/>
    </row>
    <row r="32">
      <c r="A32" s="12" t="s">
        <v>93</v>
      </c>
      <c r="B32" s="229" t="s">
        <v>65</v>
      </c>
      <c r="C32" s="74" t="s">
        <v>1314</v>
      </c>
      <c r="D32" s="75">
        <v>0.4861111111111111</v>
      </c>
      <c r="E32" s="74">
        <v>9.269522857E9</v>
      </c>
      <c r="F32" s="74">
        <v>7.00609937244462E14</v>
      </c>
      <c r="G32" s="167" t="s">
        <v>1865</v>
      </c>
      <c r="H32" s="166">
        <v>18075.0</v>
      </c>
      <c r="I32" s="74" t="s">
        <v>183</v>
      </c>
      <c r="J32" s="74" t="s">
        <v>1866</v>
      </c>
      <c r="K32" s="74"/>
      <c r="R32" s="67"/>
    </row>
    <row r="33">
      <c r="B33" s="182"/>
      <c r="J33" s="67"/>
      <c r="K33" s="67"/>
      <c r="R33" s="67"/>
    </row>
    <row r="34">
      <c r="B34" s="182"/>
      <c r="J34" s="67"/>
      <c r="K34" s="67"/>
      <c r="R34" s="67"/>
    </row>
    <row r="35">
      <c r="A35" s="23" t="s">
        <v>378</v>
      </c>
      <c r="B35" s="2"/>
      <c r="C35" s="2"/>
      <c r="D35" s="2"/>
      <c r="E35" s="2"/>
      <c r="F35" s="2"/>
      <c r="G35" s="2"/>
      <c r="H35" s="2"/>
      <c r="I35" s="2"/>
      <c r="J35" s="2"/>
      <c r="K35" s="3"/>
      <c r="R35" s="67"/>
    </row>
    <row r="36">
      <c r="A36" s="263" t="s">
        <v>1867</v>
      </c>
      <c r="B36" s="2"/>
      <c r="C36" s="2"/>
      <c r="D36" s="2"/>
      <c r="E36" s="2"/>
      <c r="F36" s="2"/>
      <c r="G36" s="2"/>
      <c r="H36" s="2"/>
      <c r="I36" s="2"/>
      <c r="J36" s="2"/>
      <c r="K36" s="3"/>
      <c r="R36" s="67"/>
    </row>
    <row r="37">
      <c r="A37" s="25"/>
      <c r="B37" s="489" t="s">
        <v>3</v>
      </c>
      <c r="C37" s="27" t="s">
        <v>2</v>
      </c>
      <c r="D37" s="28" t="s">
        <v>5</v>
      </c>
      <c r="E37" s="32" t="s">
        <v>19</v>
      </c>
      <c r="F37" s="28" t="s">
        <v>6</v>
      </c>
      <c r="G37" s="264" t="s">
        <v>7</v>
      </c>
      <c r="H37" s="30" t="s">
        <v>8</v>
      </c>
      <c r="I37" s="31" t="s">
        <v>20</v>
      </c>
      <c r="J37" s="32" t="s">
        <v>21</v>
      </c>
      <c r="K37" s="32" t="s">
        <v>22</v>
      </c>
      <c r="R37" s="67"/>
    </row>
    <row r="38">
      <c r="A38" s="12" t="s">
        <v>10</v>
      </c>
      <c r="B38" s="229" t="s">
        <v>758</v>
      </c>
      <c r="C38" s="74" t="s">
        <v>1281</v>
      </c>
      <c r="D38" s="75">
        <v>0.5416666666666666</v>
      </c>
      <c r="E38" s="74">
        <v>6.50202198E10</v>
      </c>
      <c r="F38" s="74">
        <v>2.03923103970004E14</v>
      </c>
      <c r="G38" s="167" t="s">
        <v>1868</v>
      </c>
      <c r="H38" s="211">
        <v>11497.0</v>
      </c>
      <c r="I38" s="34" t="s">
        <v>183</v>
      </c>
      <c r="J38" s="74" t="s">
        <v>1869</v>
      </c>
      <c r="K38" s="74" t="s">
        <v>1870</v>
      </c>
      <c r="N38" s="268" t="s">
        <v>387</v>
      </c>
      <c r="O38" s="100"/>
      <c r="P38" s="100"/>
      <c r="Q38" s="100"/>
      <c r="R38" s="100"/>
    </row>
    <row r="39">
      <c r="A39" s="12" t="s">
        <v>11</v>
      </c>
      <c r="B39" s="229" t="s">
        <v>1468</v>
      </c>
      <c r="C39" s="74" t="s">
        <v>1281</v>
      </c>
      <c r="D39" s="75">
        <v>0.5555555555555556</v>
      </c>
      <c r="E39" s="74">
        <v>4.815808589E10</v>
      </c>
      <c r="F39" s="74">
        <v>8.35503029008168E14</v>
      </c>
      <c r="G39" s="167" t="s">
        <v>1395</v>
      </c>
      <c r="H39" s="211">
        <v>35660.0</v>
      </c>
      <c r="I39" s="34" t="s">
        <v>195</v>
      </c>
      <c r="J39" s="74" t="s">
        <v>1871</v>
      </c>
      <c r="K39" s="74"/>
      <c r="N39" s="270" t="s">
        <v>1824</v>
      </c>
      <c r="O39" s="2"/>
      <c r="P39" s="2"/>
      <c r="Q39" s="2"/>
      <c r="R39" s="2"/>
    </row>
    <row r="40">
      <c r="A40" s="12" t="s">
        <v>12</v>
      </c>
      <c r="B40" s="229" t="s">
        <v>217</v>
      </c>
      <c r="C40" s="74" t="s">
        <v>1281</v>
      </c>
      <c r="D40" s="75">
        <v>0.5694444444444444</v>
      </c>
      <c r="E40" s="74">
        <v>8.874444826E9</v>
      </c>
      <c r="F40" s="74">
        <v>8.98001415161242E14</v>
      </c>
      <c r="G40" s="167" t="s">
        <v>1872</v>
      </c>
      <c r="H40" s="211">
        <v>19084.0</v>
      </c>
      <c r="I40" s="34" t="s">
        <v>195</v>
      </c>
      <c r="J40" s="74" t="s">
        <v>1873</v>
      </c>
      <c r="K40" s="74"/>
      <c r="N40" s="271" t="s">
        <v>183</v>
      </c>
      <c r="O40" s="272" t="s">
        <v>195</v>
      </c>
      <c r="P40" s="272" t="s">
        <v>181</v>
      </c>
      <c r="Q40" s="273" t="s">
        <v>173</v>
      </c>
      <c r="R40" s="286" t="s">
        <v>1823</v>
      </c>
    </row>
    <row r="41">
      <c r="A41" s="12" t="s">
        <v>13</v>
      </c>
      <c r="B41" s="229" t="s">
        <v>198</v>
      </c>
      <c r="C41" s="74" t="s">
        <v>1281</v>
      </c>
      <c r="D41" s="75">
        <v>0.5833333333333334</v>
      </c>
      <c r="E41" s="74">
        <v>8.52940807E8</v>
      </c>
      <c r="F41" s="74">
        <v>1.08865413840009E14</v>
      </c>
      <c r="G41" s="167" t="s">
        <v>1874</v>
      </c>
      <c r="H41" s="211">
        <v>21677.0</v>
      </c>
      <c r="I41" s="34" t="s">
        <v>183</v>
      </c>
      <c r="J41" s="74" t="s">
        <v>1875</v>
      </c>
      <c r="K41" s="74"/>
      <c r="N41" s="275">
        <f t="shared" ref="N41:Q41" si="3">COUNTIFS($I$38:$I$49,N40)</f>
        <v>9</v>
      </c>
      <c r="O41" s="275">
        <f t="shared" si="3"/>
        <v>2</v>
      </c>
      <c r="P41" s="275">
        <f t="shared" si="3"/>
        <v>0</v>
      </c>
      <c r="Q41" s="275">
        <f t="shared" si="3"/>
        <v>0</v>
      </c>
      <c r="R41" s="67">
        <f>COUNTIFS(I38:I49,R40)</f>
        <v>1</v>
      </c>
    </row>
    <row r="42">
      <c r="A42" s="12" t="s">
        <v>14</v>
      </c>
      <c r="B42" s="229" t="s">
        <v>758</v>
      </c>
      <c r="C42" s="74" t="s">
        <v>1281</v>
      </c>
      <c r="D42" s="75">
        <v>0.5972222222222222</v>
      </c>
      <c r="E42" s="74">
        <v>2.5615356812E10</v>
      </c>
      <c r="F42" s="74">
        <v>2.03923475250003E14</v>
      </c>
      <c r="G42" s="167" t="s">
        <v>1876</v>
      </c>
      <c r="H42" s="211">
        <v>12857.0</v>
      </c>
      <c r="I42" s="34" t="s">
        <v>183</v>
      </c>
      <c r="J42" s="74" t="s">
        <v>1877</v>
      </c>
      <c r="K42" s="74" t="s">
        <v>1878</v>
      </c>
      <c r="R42" s="67"/>
    </row>
    <row r="43">
      <c r="A43" s="12" t="s">
        <v>15</v>
      </c>
      <c r="B43" s="229" t="s">
        <v>1468</v>
      </c>
      <c r="C43" s="74" t="s">
        <v>1281</v>
      </c>
      <c r="D43" s="75">
        <v>0.6111111111111112</v>
      </c>
      <c r="E43" s="74">
        <v>1.2618430883E10</v>
      </c>
      <c r="F43" s="74">
        <v>8.01440406933214E14</v>
      </c>
      <c r="G43" s="167" t="s">
        <v>1879</v>
      </c>
      <c r="H43" s="211">
        <v>21778.0</v>
      </c>
      <c r="I43" s="34" t="s">
        <v>183</v>
      </c>
      <c r="J43" s="74" t="s">
        <v>1880</v>
      </c>
      <c r="K43" s="74" t="s">
        <v>1881</v>
      </c>
      <c r="R43" s="67"/>
    </row>
    <row r="44">
      <c r="A44" s="12" t="s">
        <v>16</v>
      </c>
      <c r="B44" s="229" t="s">
        <v>217</v>
      </c>
      <c r="C44" s="74" t="s">
        <v>1281</v>
      </c>
      <c r="D44" s="75">
        <v>0.625</v>
      </c>
      <c r="E44" s="74">
        <v>4.687888836E9</v>
      </c>
      <c r="F44" s="74">
        <v>7.02608707487946E14</v>
      </c>
      <c r="G44" s="167" t="s">
        <v>1882</v>
      </c>
      <c r="H44" s="211">
        <v>22983.0</v>
      </c>
      <c r="I44" s="34" t="s">
        <v>183</v>
      </c>
      <c r="J44" s="74" t="s">
        <v>1883</v>
      </c>
      <c r="K44" s="74"/>
      <c r="R44" s="67"/>
    </row>
    <row r="45">
      <c r="A45" s="12" t="s">
        <v>17</v>
      </c>
      <c r="B45" s="229" t="s">
        <v>198</v>
      </c>
      <c r="C45" s="74" t="s">
        <v>1281</v>
      </c>
      <c r="D45" s="75">
        <v>0.6388888888888888</v>
      </c>
      <c r="E45" s="74">
        <v>3.818022801E9</v>
      </c>
      <c r="F45" s="74">
        <v>8.01440406912101E14</v>
      </c>
      <c r="G45" s="167" t="s">
        <v>1884</v>
      </c>
      <c r="H45" s="211">
        <v>17007.0</v>
      </c>
      <c r="I45" s="34" t="s">
        <v>183</v>
      </c>
      <c r="J45" s="74" t="s">
        <v>1885</v>
      </c>
      <c r="K45" s="74" t="s">
        <v>1886</v>
      </c>
      <c r="R45" s="67"/>
    </row>
    <row r="46">
      <c r="A46" s="12" t="s">
        <v>85</v>
      </c>
      <c r="B46" s="229" t="s">
        <v>1468</v>
      </c>
      <c r="C46" s="74" t="s">
        <v>1281</v>
      </c>
      <c r="D46" s="75">
        <v>0.6527777777777778</v>
      </c>
      <c r="E46" s="74">
        <v>1.6621168888E10</v>
      </c>
      <c r="F46" s="74">
        <v>1.24482710640007E14</v>
      </c>
      <c r="G46" s="167" t="s">
        <v>1887</v>
      </c>
      <c r="H46" s="211">
        <v>24715.0</v>
      </c>
      <c r="I46" s="34" t="s">
        <v>183</v>
      </c>
      <c r="J46" s="74" t="s">
        <v>1888</v>
      </c>
      <c r="K46" s="74"/>
      <c r="R46" s="67"/>
    </row>
    <row r="47">
      <c r="A47" s="12" t="s">
        <v>87</v>
      </c>
      <c r="B47" s="229" t="s">
        <v>758</v>
      </c>
      <c r="C47" s="74" t="s">
        <v>1281</v>
      </c>
      <c r="D47" s="75">
        <v>0.6666666666666666</v>
      </c>
      <c r="E47" s="74">
        <v>2.2821077807E10</v>
      </c>
      <c r="F47" s="459" t="s">
        <v>1889</v>
      </c>
      <c r="G47" s="167" t="s">
        <v>1890</v>
      </c>
      <c r="H47" s="211">
        <v>28227.0</v>
      </c>
      <c r="I47" s="34" t="s">
        <v>1823</v>
      </c>
      <c r="J47" s="74" t="s">
        <v>1891</v>
      </c>
      <c r="K47" s="74" t="s">
        <v>1892</v>
      </c>
      <c r="R47" s="67"/>
    </row>
    <row r="48">
      <c r="A48" s="12" t="s">
        <v>90</v>
      </c>
      <c r="B48" s="229" t="s">
        <v>758</v>
      </c>
      <c r="C48" s="74" t="s">
        <v>1281</v>
      </c>
      <c r="D48" s="75">
        <v>0.6805555555555556</v>
      </c>
      <c r="E48" s="74">
        <v>1.2695251823E10</v>
      </c>
      <c r="F48" s="74">
        <v>2.03923106050003E14</v>
      </c>
      <c r="G48" s="167" t="s">
        <v>1893</v>
      </c>
      <c r="H48" s="211">
        <v>17625.0</v>
      </c>
      <c r="I48" s="34" t="s">
        <v>183</v>
      </c>
      <c r="J48" s="74" t="s">
        <v>1894</v>
      </c>
      <c r="K48" s="74" t="s">
        <v>1895</v>
      </c>
      <c r="R48" s="67"/>
    </row>
    <row r="49">
      <c r="A49" s="12" t="s">
        <v>93</v>
      </c>
      <c r="B49" s="229" t="s">
        <v>758</v>
      </c>
      <c r="C49" s="74" t="s">
        <v>1281</v>
      </c>
      <c r="D49" s="75">
        <v>0.6944444444444444</v>
      </c>
      <c r="E49" s="74">
        <v>4.591958833E9</v>
      </c>
      <c r="F49" s="74">
        <v>7.04703767961939E14</v>
      </c>
      <c r="G49" s="167" t="s">
        <v>1896</v>
      </c>
      <c r="H49" s="211">
        <v>20056.0</v>
      </c>
      <c r="I49" s="34" t="s">
        <v>183</v>
      </c>
      <c r="J49" s="74" t="s">
        <v>1897</v>
      </c>
      <c r="K49" s="74" t="s">
        <v>1898</v>
      </c>
      <c r="R49" s="67"/>
    </row>
    <row r="50">
      <c r="B50" s="182"/>
      <c r="E50" s="300"/>
      <c r="J50" s="67"/>
      <c r="K50" s="67"/>
      <c r="R50" s="67"/>
    </row>
    <row r="51">
      <c r="B51" s="182"/>
      <c r="J51" s="67"/>
      <c r="K51" s="67"/>
      <c r="R51" s="67"/>
    </row>
    <row r="52">
      <c r="B52" s="182"/>
      <c r="J52" s="67"/>
      <c r="K52" s="67"/>
      <c r="R52" s="67"/>
    </row>
    <row r="53">
      <c r="A53" s="23" t="s">
        <v>378</v>
      </c>
      <c r="B53" s="2"/>
      <c r="C53" s="2"/>
      <c r="D53" s="2"/>
      <c r="E53" s="2"/>
      <c r="F53" s="2"/>
      <c r="G53" s="2"/>
      <c r="H53" s="2"/>
      <c r="I53" s="2"/>
      <c r="J53" s="2"/>
      <c r="K53" s="3"/>
      <c r="R53" s="67"/>
    </row>
    <row r="54">
      <c r="A54" s="263" t="s">
        <v>1899</v>
      </c>
      <c r="B54" s="2"/>
      <c r="C54" s="2"/>
      <c r="D54" s="2"/>
      <c r="E54" s="2"/>
      <c r="F54" s="2"/>
      <c r="G54" s="2"/>
      <c r="H54" s="2"/>
      <c r="I54" s="2"/>
      <c r="J54" s="2"/>
      <c r="K54" s="3"/>
      <c r="R54" s="67"/>
    </row>
    <row r="55">
      <c r="A55" s="25"/>
      <c r="B55" s="489" t="s">
        <v>3</v>
      </c>
      <c r="C55" s="27" t="s">
        <v>2</v>
      </c>
      <c r="D55" s="28" t="s">
        <v>5</v>
      </c>
      <c r="E55" s="32" t="s">
        <v>19</v>
      </c>
      <c r="F55" s="28" t="s">
        <v>6</v>
      </c>
      <c r="G55" s="264" t="s">
        <v>7</v>
      </c>
      <c r="H55" s="30" t="s">
        <v>8</v>
      </c>
      <c r="I55" s="31" t="s">
        <v>20</v>
      </c>
      <c r="J55" s="32" t="s">
        <v>21</v>
      </c>
      <c r="K55" s="32" t="s">
        <v>22</v>
      </c>
      <c r="R55" s="67"/>
    </row>
    <row r="56" ht="18.75" customHeight="1">
      <c r="A56" s="12" t="s">
        <v>10</v>
      </c>
      <c r="B56" s="229" t="s">
        <v>1358</v>
      </c>
      <c r="C56" s="74" t="s">
        <v>1295</v>
      </c>
      <c r="D56" s="75">
        <v>0.5416666666666666</v>
      </c>
      <c r="E56" s="74"/>
      <c r="F56" s="74">
        <v>8.01440485290974E14</v>
      </c>
      <c r="G56" s="167" t="s">
        <v>1900</v>
      </c>
      <c r="H56" s="211">
        <v>30176.0</v>
      </c>
      <c r="I56" s="34" t="s">
        <v>183</v>
      </c>
      <c r="J56" s="74" t="s">
        <v>1901</v>
      </c>
      <c r="K56" s="74" t="s">
        <v>1902</v>
      </c>
      <c r="N56" s="268" t="s">
        <v>387</v>
      </c>
      <c r="O56" s="100"/>
      <c r="P56" s="100"/>
      <c r="Q56" s="100"/>
      <c r="R56" s="100"/>
    </row>
    <row r="57">
      <c r="A57" s="12" t="s">
        <v>11</v>
      </c>
      <c r="B57" s="229" t="s">
        <v>1359</v>
      </c>
      <c r="C57" s="74" t="s">
        <v>1295</v>
      </c>
      <c r="D57" s="75">
        <v>0.5555555555555556</v>
      </c>
      <c r="E57" s="74"/>
      <c r="F57" s="74">
        <v>7.02608794441648E14</v>
      </c>
      <c r="G57" s="167" t="s">
        <v>1903</v>
      </c>
      <c r="H57" s="211">
        <v>23877.0</v>
      </c>
      <c r="I57" s="34" t="s">
        <v>183</v>
      </c>
      <c r="J57" s="74" t="s">
        <v>1904</v>
      </c>
      <c r="K57" s="74"/>
      <c r="N57" s="270" t="s">
        <v>1824</v>
      </c>
      <c r="O57" s="2"/>
      <c r="P57" s="2"/>
      <c r="Q57" s="2"/>
      <c r="R57" s="2"/>
    </row>
    <row r="58">
      <c r="A58" s="12" t="s">
        <v>12</v>
      </c>
      <c r="B58" s="229" t="s">
        <v>1361</v>
      </c>
      <c r="C58" s="74" t="s">
        <v>1295</v>
      </c>
      <c r="D58" s="75">
        <v>0.5694444444444444</v>
      </c>
      <c r="E58" s="74"/>
      <c r="F58" s="74">
        <v>7.00006493582908E14</v>
      </c>
      <c r="G58" s="167" t="s">
        <v>1905</v>
      </c>
      <c r="H58" s="211">
        <v>38261.0</v>
      </c>
      <c r="I58" s="34" t="s">
        <v>1823</v>
      </c>
      <c r="J58" s="74" t="s">
        <v>1906</v>
      </c>
      <c r="K58" s="74" t="s">
        <v>1907</v>
      </c>
      <c r="N58" s="271" t="s">
        <v>183</v>
      </c>
      <c r="O58" s="272" t="s">
        <v>195</v>
      </c>
      <c r="P58" s="272" t="s">
        <v>181</v>
      </c>
      <c r="Q58" s="273" t="s">
        <v>173</v>
      </c>
      <c r="R58" s="286" t="s">
        <v>1823</v>
      </c>
    </row>
    <row r="59">
      <c r="A59" s="12" t="s">
        <v>13</v>
      </c>
      <c r="B59" s="229" t="s">
        <v>1363</v>
      </c>
      <c r="C59" s="74" t="s">
        <v>1295</v>
      </c>
      <c r="D59" s="75">
        <v>0.5833333333333334</v>
      </c>
      <c r="E59" s="74"/>
      <c r="F59" s="74">
        <v>7.00004208556301E14</v>
      </c>
      <c r="G59" s="167" t="s">
        <v>1908</v>
      </c>
      <c r="H59" s="211">
        <v>22384.0</v>
      </c>
      <c r="I59" s="34" t="s">
        <v>183</v>
      </c>
      <c r="J59" s="74" t="s">
        <v>1909</v>
      </c>
      <c r="K59" s="74" t="s">
        <v>1910</v>
      </c>
      <c r="N59" s="275">
        <f t="shared" ref="N59:R59" si="4">COUNTIFS($I$56:$I$67,N58)</f>
        <v>9</v>
      </c>
      <c r="O59" s="275">
        <f t="shared" si="4"/>
        <v>0</v>
      </c>
      <c r="P59" s="275">
        <f t="shared" si="4"/>
        <v>0</v>
      </c>
      <c r="Q59" s="275">
        <f t="shared" si="4"/>
        <v>0</v>
      </c>
      <c r="R59" s="275">
        <f t="shared" si="4"/>
        <v>3</v>
      </c>
    </row>
    <row r="60">
      <c r="A60" s="12" t="s">
        <v>14</v>
      </c>
      <c r="B60" s="229" t="s">
        <v>1359</v>
      </c>
      <c r="C60" s="74" t="s">
        <v>1295</v>
      </c>
      <c r="D60" s="75">
        <v>0.5972222222222222</v>
      </c>
      <c r="E60" s="74"/>
      <c r="F60" s="74">
        <v>7.00507756856155E14</v>
      </c>
      <c r="G60" s="167" t="s">
        <v>1911</v>
      </c>
      <c r="H60" s="211">
        <v>25573.0</v>
      </c>
      <c r="I60" s="34" t="s">
        <v>183</v>
      </c>
      <c r="J60" s="74" t="s">
        <v>1912</v>
      </c>
      <c r="K60" s="74"/>
      <c r="R60" s="67"/>
    </row>
    <row r="61">
      <c r="A61" s="12" t="s">
        <v>15</v>
      </c>
      <c r="B61" s="229" t="s">
        <v>1358</v>
      </c>
      <c r="C61" s="74" t="s">
        <v>1295</v>
      </c>
      <c r="D61" s="75">
        <v>0.6111111111111112</v>
      </c>
      <c r="E61" s="74"/>
      <c r="F61" s="74"/>
      <c r="G61" s="167" t="s">
        <v>1913</v>
      </c>
      <c r="H61" s="211"/>
      <c r="I61" s="34" t="s">
        <v>183</v>
      </c>
      <c r="J61" s="74" t="s">
        <v>1914</v>
      </c>
      <c r="K61" s="74" t="s">
        <v>1915</v>
      </c>
      <c r="R61" s="67"/>
    </row>
    <row r="62">
      <c r="A62" s="12" t="s">
        <v>16</v>
      </c>
      <c r="B62" s="229" t="s">
        <v>1361</v>
      </c>
      <c r="C62" s="74" t="s">
        <v>1295</v>
      </c>
      <c r="D62" s="75">
        <v>0.625</v>
      </c>
      <c r="E62" s="74"/>
      <c r="F62" s="74">
        <v>7.06201591212164E14</v>
      </c>
      <c r="G62" s="167" t="s">
        <v>191</v>
      </c>
      <c r="H62" s="211">
        <v>14921.0</v>
      </c>
      <c r="I62" s="34" t="s">
        <v>183</v>
      </c>
      <c r="J62" s="74" t="s">
        <v>1916</v>
      </c>
      <c r="K62" s="74" t="s">
        <v>1917</v>
      </c>
      <c r="R62" s="67"/>
    </row>
    <row r="63">
      <c r="A63" s="12" t="s">
        <v>17</v>
      </c>
      <c r="B63" s="229" t="s">
        <v>1363</v>
      </c>
      <c r="C63" s="74" t="s">
        <v>1295</v>
      </c>
      <c r="D63" s="75">
        <v>0.6388888888888888</v>
      </c>
      <c r="E63" s="74"/>
      <c r="F63" s="74">
        <v>8.01440470485138E14</v>
      </c>
      <c r="G63" s="167" t="s">
        <v>1918</v>
      </c>
      <c r="H63" s="211">
        <v>38670.0</v>
      </c>
      <c r="I63" s="34" t="s">
        <v>183</v>
      </c>
      <c r="J63" s="74" t="s">
        <v>1919</v>
      </c>
      <c r="K63" s="74" t="s">
        <v>1920</v>
      </c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12" t="s">
        <v>85</v>
      </c>
      <c r="B64" s="229" t="s">
        <v>1358</v>
      </c>
      <c r="C64" s="74" t="s">
        <v>1295</v>
      </c>
      <c r="D64" s="75">
        <v>0.6527777777777778</v>
      </c>
      <c r="E64" s="74"/>
      <c r="F64" s="74">
        <v>2.09788785870005E14</v>
      </c>
      <c r="G64" s="167" t="s">
        <v>1921</v>
      </c>
      <c r="H64" s="211">
        <v>27484.0</v>
      </c>
      <c r="I64" s="34" t="s">
        <v>1823</v>
      </c>
      <c r="J64" s="74" t="s">
        <v>1922</v>
      </c>
      <c r="K64" s="74" t="s">
        <v>1923</v>
      </c>
      <c r="R64" s="67"/>
    </row>
    <row r="65">
      <c r="A65" s="12" t="s">
        <v>87</v>
      </c>
      <c r="B65" s="229" t="s">
        <v>1359</v>
      </c>
      <c r="C65" s="74" t="s">
        <v>1295</v>
      </c>
      <c r="D65" s="75">
        <v>0.6666666666666666</v>
      </c>
      <c r="E65" s="74"/>
      <c r="F65" s="74">
        <v>8.01440432696283E14</v>
      </c>
      <c r="G65" s="167" t="s">
        <v>1924</v>
      </c>
      <c r="H65" s="211">
        <v>23613.0</v>
      </c>
      <c r="I65" s="34" t="s">
        <v>1823</v>
      </c>
      <c r="J65" s="74" t="s">
        <v>1925</v>
      </c>
      <c r="K65" s="74" t="s">
        <v>1926</v>
      </c>
      <c r="R65" s="67"/>
    </row>
    <row r="66">
      <c r="A66" s="12" t="s">
        <v>90</v>
      </c>
      <c r="B66" s="229" t="s">
        <v>1361</v>
      </c>
      <c r="C66" s="74" t="s">
        <v>1295</v>
      </c>
      <c r="D66" s="75">
        <v>0.6805555555555556</v>
      </c>
      <c r="E66" s="74"/>
      <c r="F66" s="74">
        <v>7.06903173634735E14</v>
      </c>
      <c r="G66" s="167" t="s">
        <v>1927</v>
      </c>
      <c r="H66" s="211">
        <v>21538.0</v>
      </c>
      <c r="I66" s="34" t="s">
        <v>183</v>
      </c>
      <c r="J66" s="74" t="s">
        <v>1928</v>
      </c>
      <c r="K66" s="74"/>
      <c r="R66" s="67"/>
    </row>
    <row r="67">
      <c r="A67" s="12" t="s">
        <v>93</v>
      </c>
      <c r="B67" s="229" t="s">
        <v>1363</v>
      </c>
      <c r="C67" s="74" t="s">
        <v>1295</v>
      </c>
      <c r="D67" s="75">
        <v>0.6944444444444444</v>
      </c>
      <c r="E67" s="74"/>
      <c r="F67" s="74">
        <v>1.21019580170001E14</v>
      </c>
      <c r="G67" s="167" t="s">
        <v>1929</v>
      </c>
      <c r="H67" s="211">
        <v>22276.0</v>
      </c>
      <c r="I67" s="34" t="s">
        <v>183</v>
      </c>
      <c r="J67" s="74" t="s">
        <v>1930</v>
      </c>
      <c r="K67" s="74" t="s">
        <v>1931</v>
      </c>
      <c r="R67" s="67"/>
    </row>
    <row r="68">
      <c r="B68" s="182"/>
      <c r="J68" s="67"/>
      <c r="K68" s="67"/>
      <c r="R68" s="67"/>
    </row>
    <row r="69">
      <c r="B69" s="182"/>
      <c r="J69" s="67"/>
      <c r="K69" s="67"/>
      <c r="R69" s="67"/>
    </row>
    <row r="70" ht="15.0" customHeight="1">
      <c r="B70" s="182"/>
      <c r="J70" s="67"/>
      <c r="K70" s="67"/>
      <c r="R70" s="67"/>
    </row>
    <row r="71">
      <c r="A71" s="23" t="s">
        <v>378</v>
      </c>
      <c r="B71" s="2"/>
      <c r="C71" s="2"/>
      <c r="D71" s="2"/>
      <c r="E71" s="2"/>
      <c r="F71" s="2"/>
      <c r="G71" s="2"/>
      <c r="H71" s="2"/>
      <c r="I71" s="2"/>
      <c r="J71" s="2"/>
      <c r="K71" s="3"/>
      <c r="R71" s="67"/>
    </row>
    <row r="72">
      <c r="A72" s="263" t="s">
        <v>1932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25"/>
      <c r="B73" s="489" t="s">
        <v>3</v>
      </c>
      <c r="C73" s="27" t="s">
        <v>2</v>
      </c>
      <c r="D73" s="28" t="s">
        <v>5</v>
      </c>
      <c r="E73" s="32" t="s">
        <v>19</v>
      </c>
      <c r="F73" s="28" t="s">
        <v>6</v>
      </c>
      <c r="G73" s="264" t="s">
        <v>7</v>
      </c>
      <c r="H73" s="30" t="s">
        <v>8</v>
      </c>
      <c r="I73" s="31" t="s">
        <v>20</v>
      </c>
      <c r="J73" s="32" t="s">
        <v>21</v>
      </c>
      <c r="K73" s="32" t="s">
        <v>22</v>
      </c>
      <c r="R73" s="67"/>
    </row>
    <row r="74">
      <c r="A74" s="12" t="s">
        <v>10</v>
      </c>
      <c r="B74" s="229" t="s">
        <v>65</v>
      </c>
      <c r="C74" s="74" t="s">
        <v>1314</v>
      </c>
      <c r="D74" s="75">
        <v>0.3333333333333333</v>
      </c>
      <c r="E74" s="74">
        <v>1.6415905805E10</v>
      </c>
      <c r="F74" s="74">
        <v>7.00509309401958E14</v>
      </c>
      <c r="G74" s="74" t="s">
        <v>1933</v>
      </c>
      <c r="H74" s="211">
        <v>15740.0</v>
      </c>
      <c r="I74" s="34" t="s">
        <v>183</v>
      </c>
      <c r="J74" s="74"/>
      <c r="K74" s="74"/>
      <c r="L74" s="216" t="s">
        <v>521</v>
      </c>
      <c r="N74" s="268" t="s">
        <v>387</v>
      </c>
      <c r="O74" s="100"/>
      <c r="P74" s="100"/>
      <c r="Q74" s="100"/>
      <c r="R74" s="100"/>
    </row>
    <row r="75">
      <c r="A75" s="12" t="s">
        <v>11</v>
      </c>
      <c r="B75" s="229" t="s">
        <v>202</v>
      </c>
      <c r="C75" s="74" t="s">
        <v>1314</v>
      </c>
      <c r="D75" s="75">
        <v>0.3472222222222222</v>
      </c>
      <c r="E75" s="74">
        <v>2.7679764549E10</v>
      </c>
      <c r="F75" s="74">
        <v>8.01440480119509E14</v>
      </c>
      <c r="G75" s="74" t="s">
        <v>676</v>
      </c>
      <c r="H75" s="77">
        <v>23464.0</v>
      </c>
      <c r="I75" s="34" t="s">
        <v>183</v>
      </c>
      <c r="J75" s="74"/>
      <c r="K75" s="74"/>
      <c r="N75" s="270" t="s">
        <v>1824</v>
      </c>
      <c r="O75" s="2"/>
      <c r="P75" s="2"/>
      <c r="Q75" s="2"/>
      <c r="R75" s="2"/>
    </row>
    <row r="76">
      <c r="A76" s="12" t="s">
        <v>12</v>
      </c>
      <c r="B76" s="229" t="s">
        <v>1448</v>
      </c>
      <c r="C76" s="74" t="s">
        <v>1314</v>
      </c>
      <c r="D76" s="75">
        <v>0.3611111111111111</v>
      </c>
      <c r="E76" s="74">
        <v>4.0346552591E10</v>
      </c>
      <c r="F76" s="74">
        <v>7.06504379454192E14</v>
      </c>
      <c r="G76" s="74" t="s">
        <v>1934</v>
      </c>
      <c r="H76" s="83">
        <v>24451.0</v>
      </c>
      <c r="I76" s="34" t="s">
        <v>183</v>
      </c>
      <c r="J76" s="74"/>
      <c r="K76" s="74"/>
      <c r="L76" s="216" t="s">
        <v>521</v>
      </c>
      <c r="N76" s="271" t="s">
        <v>183</v>
      </c>
      <c r="O76" s="272" t="s">
        <v>195</v>
      </c>
      <c r="P76" s="272" t="s">
        <v>181</v>
      </c>
      <c r="Q76" s="273" t="s">
        <v>173</v>
      </c>
      <c r="R76" s="286" t="s">
        <v>1823</v>
      </c>
    </row>
    <row r="77">
      <c r="A77" s="12" t="s">
        <v>13</v>
      </c>
      <c r="B77" s="229" t="s">
        <v>822</v>
      </c>
      <c r="C77" s="74" t="s">
        <v>1314</v>
      </c>
      <c r="D77" s="75">
        <v>0.375</v>
      </c>
      <c r="E77" s="74">
        <v>4.778991885E9</v>
      </c>
      <c r="F77" s="74">
        <v>2.06881031400006E14</v>
      </c>
      <c r="G77" s="496" t="s">
        <v>1935</v>
      </c>
      <c r="H77" s="83">
        <v>19705.0</v>
      </c>
      <c r="I77" s="34" t="s">
        <v>183</v>
      </c>
      <c r="J77" s="74"/>
      <c r="K77" s="74"/>
      <c r="L77" s="216" t="s">
        <v>521</v>
      </c>
      <c r="N77" s="275">
        <f t="shared" ref="N77:R77" si="5">COUNTIFS($I$74:$I$85,N76)</f>
        <v>8</v>
      </c>
      <c r="O77" s="275">
        <f t="shared" si="5"/>
        <v>0</v>
      </c>
      <c r="P77" s="275">
        <f t="shared" si="5"/>
        <v>0</v>
      </c>
      <c r="Q77" s="275">
        <f t="shared" si="5"/>
        <v>0</v>
      </c>
      <c r="R77" s="275">
        <f t="shared" si="5"/>
        <v>4</v>
      </c>
    </row>
    <row r="78" ht="18.0" customHeight="1">
      <c r="A78" s="12" t="s">
        <v>14</v>
      </c>
      <c r="B78" s="229" t="s">
        <v>202</v>
      </c>
      <c r="C78" s="74" t="s">
        <v>1314</v>
      </c>
      <c r="D78" s="75">
        <v>0.3888888888888889</v>
      </c>
      <c r="E78" s="74">
        <v>1.6567940808E10</v>
      </c>
      <c r="F78" s="74">
        <v>7.04005871849064E14</v>
      </c>
      <c r="G78" s="74" t="s">
        <v>1936</v>
      </c>
      <c r="H78" s="83">
        <v>27631.0</v>
      </c>
      <c r="I78" s="34" t="s">
        <v>1823</v>
      </c>
      <c r="J78" s="74"/>
      <c r="K78" s="74"/>
      <c r="L78" s="216" t="s">
        <v>521</v>
      </c>
      <c r="R78" s="67"/>
    </row>
    <row r="79">
      <c r="A79" s="12" t="s">
        <v>15</v>
      </c>
      <c r="B79" s="229" t="s">
        <v>1448</v>
      </c>
      <c r="C79" s="74" t="s">
        <v>1314</v>
      </c>
      <c r="D79" s="75">
        <v>0.4027777777777778</v>
      </c>
      <c r="E79" s="74">
        <v>1.2982559889E10</v>
      </c>
      <c r="F79" s="74">
        <v>2.01156083160006E14</v>
      </c>
      <c r="G79" s="74" t="s">
        <v>1937</v>
      </c>
      <c r="H79" s="83">
        <v>15715.0</v>
      </c>
      <c r="I79" s="34" t="s">
        <v>1823</v>
      </c>
      <c r="J79" s="74"/>
      <c r="K79" s="74"/>
      <c r="L79" s="216" t="s">
        <v>521</v>
      </c>
      <c r="R79" s="67"/>
    </row>
    <row r="80">
      <c r="A80" s="12" t="s">
        <v>16</v>
      </c>
      <c r="B80" s="229" t="s">
        <v>65</v>
      </c>
      <c r="C80" s="74" t="s">
        <v>1314</v>
      </c>
      <c r="D80" s="75">
        <v>0.4166666666666667</v>
      </c>
      <c r="E80" s="74">
        <v>2.5959269856E10</v>
      </c>
      <c r="F80" s="74">
        <v>7.00106908443012E14</v>
      </c>
      <c r="G80" s="74" t="s">
        <v>1938</v>
      </c>
      <c r="H80" s="83">
        <v>28725.0</v>
      </c>
      <c r="I80" s="34" t="s">
        <v>1823</v>
      </c>
      <c r="J80" s="74"/>
      <c r="K80" s="74"/>
      <c r="L80" s="216" t="s">
        <v>521</v>
      </c>
      <c r="R80" s="67"/>
    </row>
    <row r="81">
      <c r="A81" s="12" t="s">
        <v>179</v>
      </c>
      <c r="B81" s="229" t="s">
        <v>202</v>
      </c>
      <c r="C81" s="74" t="s">
        <v>1314</v>
      </c>
      <c r="D81" s="75">
        <v>0.4305555555555556</v>
      </c>
      <c r="E81" s="74">
        <v>1.66461695E8</v>
      </c>
      <c r="F81" s="74">
        <v>7.05006492415758E14</v>
      </c>
      <c r="G81" s="74" t="s">
        <v>1939</v>
      </c>
      <c r="H81" s="77">
        <v>22720.0</v>
      </c>
      <c r="I81" s="34" t="s">
        <v>1823</v>
      </c>
      <c r="J81" s="74"/>
      <c r="K81" s="74"/>
      <c r="L81" s="216" t="s">
        <v>521</v>
      </c>
      <c r="R81" s="67"/>
    </row>
    <row r="82">
      <c r="A82" s="12" t="s">
        <v>85</v>
      </c>
      <c r="B82" s="229" t="s">
        <v>822</v>
      </c>
      <c r="C82" s="74" t="s">
        <v>1314</v>
      </c>
      <c r="D82" s="75">
        <v>0.4444444444444444</v>
      </c>
      <c r="E82" s="74">
        <v>2.749765285E10</v>
      </c>
      <c r="F82" s="74">
        <v>7.00307927934939E14</v>
      </c>
      <c r="G82" s="74" t="s">
        <v>1940</v>
      </c>
      <c r="H82" s="83">
        <v>21932.0</v>
      </c>
      <c r="I82" s="34" t="s">
        <v>183</v>
      </c>
      <c r="J82" s="74"/>
      <c r="K82" s="74"/>
      <c r="L82" s="216" t="s">
        <v>521</v>
      </c>
      <c r="R82" s="67"/>
    </row>
    <row r="83">
      <c r="A83" s="12" t="s">
        <v>87</v>
      </c>
      <c r="B83" s="229" t="s">
        <v>1448</v>
      </c>
      <c r="C83" s="74" t="s">
        <v>1314</v>
      </c>
      <c r="D83" s="75">
        <v>0.4583333333333333</v>
      </c>
      <c r="E83" s="74">
        <v>8.7667320853E10</v>
      </c>
      <c r="F83" s="74">
        <v>2.0115633469E14</v>
      </c>
      <c r="G83" s="74" t="s">
        <v>1941</v>
      </c>
      <c r="H83" s="166">
        <v>20410.0</v>
      </c>
      <c r="I83" s="34" t="s">
        <v>183</v>
      </c>
      <c r="J83" s="74"/>
      <c r="K83" s="74"/>
      <c r="L83" s="216" t="s">
        <v>521</v>
      </c>
      <c r="R83" s="67"/>
    </row>
    <row r="84">
      <c r="A84" s="12" t="s">
        <v>90</v>
      </c>
      <c r="B84" s="229" t="s">
        <v>822</v>
      </c>
      <c r="C84" s="74" t="s">
        <v>1314</v>
      </c>
      <c r="D84" s="75">
        <v>0.4722222222222222</v>
      </c>
      <c r="E84" s="74">
        <v>1.6568994855E10</v>
      </c>
      <c r="F84" s="74">
        <v>7.02005825108387E14</v>
      </c>
      <c r="G84" s="74" t="s">
        <v>1942</v>
      </c>
      <c r="H84" s="166">
        <v>26344.0</v>
      </c>
      <c r="I84" s="34" t="s">
        <v>183</v>
      </c>
      <c r="J84" s="74"/>
      <c r="K84" s="74"/>
      <c r="L84" s="216" t="s">
        <v>521</v>
      </c>
      <c r="R84" s="67"/>
    </row>
    <row r="85">
      <c r="A85" s="12" t="s">
        <v>93</v>
      </c>
      <c r="B85" s="229" t="s">
        <v>65</v>
      </c>
      <c r="C85" s="74" t="s">
        <v>1314</v>
      </c>
      <c r="D85" s="75">
        <v>0.4861111111111111</v>
      </c>
      <c r="E85" s="74">
        <v>9.8180460487E10</v>
      </c>
      <c r="F85" s="74">
        <v>7.08905779069214E14</v>
      </c>
      <c r="G85" s="74" t="s">
        <v>1943</v>
      </c>
      <c r="H85" s="166">
        <v>26848.0</v>
      </c>
      <c r="I85" s="34" t="s">
        <v>183</v>
      </c>
      <c r="J85" s="74"/>
      <c r="K85" s="74"/>
      <c r="R85" s="67"/>
    </row>
    <row r="86">
      <c r="B86" s="182"/>
      <c r="J86" s="67"/>
      <c r="K86" s="67"/>
      <c r="R86" s="67"/>
    </row>
    <row r="87">
      <c r="B87" s="182"/>
      <c r="J87" s="67"/>
      <c r="K87" s="67"/>
      <c r="R87" s="67"/>
    </row>
    <row r="88">
      <c r="A88" s="23" t="s">
        <v>378</v>
      </c>
      <c r="B88" s="2"/>
      <c r="C88" s="2"/>
      <c r="D88" s="2"/>
      <c r="E88" s="2"/>
      <c r="F88" s="2"/>
      <c r="G88" s="2"/>
      <c r="H88" s="2"/>
      <c r="I88" s="2"/>
      <c r="J88" s="2"/>
      <c r="K88" s="3"/>
      <c r="R88" s="67"/>
    </row>
    <row r="89">
      <c r="A89" s="263" t="s">
        <v>1944</v>
      </c>
      <c r="B89" s="2"/>
      <c r="C89" s="2"/>
      <c r="D89" s="2"/>
      <c r="E89" s="2"/>
      <c r="F89" s="2"/>
      <c r="G89" s="2"/>
      <c r="H89" s="2"/>
      <c r="I89" s="2"/>
      <c r="J89" s="2"/>
      <c r="K89" s="3"/>
      <c r="R89" s="67"/>
    </row>
    <row r="90">
      <c r="A90" s="25"/>
      <c r="B90" s="489" t="s">
        <v>3</v>
      </c>
      <c r="C90" s="27" t="s">
        <v>2</v>
      </c>
      <c r="D90" s="28" t="s">
        <v>5</v>
      </c>
      <c r="E90" s="32" t="s">
        <v>19</v>
      </c>
      <c r="F90" s="28" t="s">
        <v>6</v>
      </c>
      <c r="G90" s="264" t="s">
        <v>7</v>
      </c>
      <c r="H90" s="30" t="s">
        <v>8</v>
      </c>
      <c r="I90" s="31" t="s">
        <v>20</v>
      </c>
      <c r="J90" s="32" t="s">
        <v>21</v>
      </c>
      <c r="K90" s="32" t="s">
        <v>22</v>
      </c>
      <c r="R90" s="67"/>
    </row>
    <row r="91">
      <c r="A91" s="12" t="s">
        <v>10</v>
      </c>
      <c r="B91" s="229" t="s">
        <v>758</v>
      </c>
      <c r="C91" s="74" t="s">
        <v>1281</v>
      </c>
      <c r="D91" s="75">
        <v>0.5416666666666666</v>
      </c>
      <c r="E91" s="74">
        <v>2.0002418835E10</v>
      </c>
      <c r="F91" s="74">
        <v>7.06401614297088E14</v>
      </c>
      <c r="G91" s="74" t="s">
        <v>1945</v>
      </c>
      <c r="H91" s="211">
        <v>14770.0</v>
      </c>
      <c r="I91" s="34" t="s">
        <v>183</v>
      </c>
      <c r="J91" s="74" t="s">
        <v>1946</v>
      </c>
      <c r="K91" s="74"/>
      <c r="L91" s="216" t="s">
        <v>521</v>
      </c>
      <c r="N91" s="268" t="s">
        <v>387</v>
      </c>
      <c r="O91" s="100"/>
      <c r="P91" s="100"/>
      <c r="Q91" s="100"/>
      <c r="R91" s="100"/>
    </row>
    <row r="92">
      <c r="A92" s="12" t="s">
        <v>11</v>
      </c>
      <c r="B92" s="229" t="s">
        <v>1468</v>
      </c>
      <c r="C92" s="74" t="s">
        <v>1281</v>
      </c>
      <c r="D92" s="75">
        <v>0.5555555555555556</v>
      </c>
      <c r="E92" s="74">
        <v>8.941277043E10</v>
      </c>
      <c r="F92" s="74">
        <v>7.00005061852804E14</v>
      </c>
      <c r="G92" s="74" t="s">
        <v>1947</v>
      </c>
      <c r="H92" s="77">
        <v>27502.0</v>
      </c>
      <c r="I92" s="34" t="s">
        <v>183</v>
      </c>
      <c r="J92" s="74" t="s">
        <v>1948</v>
      </c>
      <c r="K92" s="74"/>
      <c r="N92" s="270" t="s">
        <v>1824</v>
      </c>
      <c r="O92" s="2"/>
      <c r="P92" s="2"/>
      <c r="Q92" s="2"/>
      <c r="R92" s="2"/>
    </row>
    <row r="93">
      <c r="A93" s="12" t="s">
        <v>12</v>
      </c>
      <c r="B93" s="229" t="s">
        <v>217</v>
      </c>
      <c r="C93" s="74" t="s">
        <v>1281</v>
      </c>
      <c r="D93" s="75">
        <v>0.5694444444444444</v>
      </c>
      <c r="E93" s="74">
        <v>6.755966282E10</v>
      </c>
      <c r="F93" s="74">
        <v>7.07808694210716E14</v>
      </c>
      <c r="G93" s="74" t="s">
        <v>1949</v>
      </c>
      <c r="H93" s="83">
        <v>18668.0</v>
      </c>
      <c r="I93" s="34" t="s">
        <v>183</v>
      </c>
      <c r="J93" s="74" t="s">
        <v>1950</v>
      </c>
      <c r="K93" s="74"/>
      <c r="L93" s="216" t="s">
        <v>521</v>
      </c>
      <c r="N93" s="271" t="s">
        <v>183</v>
      </c>
      <c r="O93" s="272" t="s">
        <v>195</v>
      </c>
      <c r="P93" s="272" t="s">
        <v>181</v>
      </c>
      <c r="Q93" s="273" t="s">
        <v>173</v>
      </c>
      <c r="R93" s="286" t="s">
        <v>1823</v>
      </c>
    </row>
    <row r="94">
      <c r="A94" s="12" t="s">
        <v>13</v>
      </c>
      <c r="B94" s="229" t="s">
        <v>198</v>
      </c>
      <c r="C94" s="74" t="s">
        <v>1281</v>
      </c>
      <c r="D94" s="75">
        <v>0.5833333333333334</v>
      </c>
      <c r="E94" s="74">
        <v>2.8550195839E10</v>
      </c>
      <c r="F94" s="74">
        <v>2.06882035790004E14</v>
      </c>
      <c r="G94" s="74" t="s">
        <v>1951</v>
      </c>
      <c r="H94" s="83">
        <v>28626.0</v>
      </c>
      <c r="I94" s="34" t="s">
        <v>183</v>
      </c>
      <c r="J94" s="74" t="s">
        <v>1952</v>
      </c>
      <c r="K94" s="74"/>
      <c r="L94" s="216" t="s">
        <v>521</v>
      </c>
      <c r="N94" s="275">
        <f t="shared" ref="N94:Q94" si="6">COUNTIFS($I$91:$I$102,N93)</f>
        <v>8</v>
      </c>
      <c r="O94" s="275">
        <f t="shared" si="6"/>
        <v>1</v>
      </c>
      <c r="P94" s="275">
        <f t="shared" si="6"/>
        <v>0</v>
      </c>
      <c r="Q94" s="275">
        <f t="shared" si="6"/>
        <v>0</v>
      </c>
      <c r="R94" s="67">
        <f>COUNTIFS(I91:I102,R93)</f>
        <v>3</v>
      </c>
    </row>
    <row r="95">
      <c r="A95" s="12" t="s">
        <v>14</v>
      </c>
      <c r="B95" s="229" t="s">
        <v>758</v>
      </c>
      <c r="C95" s="74" t="s">
        <v>1281</v>
      </c>
      <c r="D95" s="75">
        <v>0.5972222222222222</v>
      </c>
      <c r="E95" s="74">
        <v>9.1365880834E10</v>
      </c>
      <c r="F95" s="74">
        <v>7.05001053677354E14</v>
      </c>
      <c r="G95" s="74" t="s">
        <v>1953</v>
      </c>
      <c r="H95" s="83">
        <v>17077.0</v>
      </c>
      <c r="I95" s="34" t="s">
        <v>183</v>
      </c>
      <c r="J95" s="74" t="s">
        <v>1954</v>
      </c>
      <c r="K95" s="74"/>
      <c r="L95" s="216" t="s">
        <v>521</v>
      </c>
      <c r="R95" s="67"/>
    </row>
    <row r="96">
      <c r="A96" s="12" t="s">
        <v>15</v>
      </c>
      <c r="B96" s="229" t="s">
        <v>1468</v>
      </c>
      <c r="C96" s="74" t="s">
        <v>1281</v>
      </c>
      <c r="D96" s="75">
        <v>0.6111111111111112</v>
      </c>
      <c r="E96" s="74">
        <v>3.244773842E9</v>
      </c>
      <c r="F96" s="74">
        <v>2.03909762150006E14</v>
      </c>
      <c r="G96" s="74" t="s">
        <v>1955</v>
      </c>
      <c r="H96" s="83">
        <v>22638.0</v>
      </c>
      <c r="I96" s="34" t="s">
        <v>1823</v>
      </c>
      <c r="J96" s="74" t="s">
        <v>1956</v>
      </c>
      <c r="K96" s="74"/>
      <c r="L96" s="216" t="s">
        <v>521</v>
      </c>
      <c r="R96" s="67"/>
    </row>
    <row r="97">
      <c r="A97" s="12" t="s">
        <v>16</v>
      </c>
      <c r="B97" s="229" t="s">
        <v>217</v>
      </c>
      <c r="C97" s="74" t="s">
        <v>1281</v>
      </c>
      <c r="D97" s="75">
        <v>0.625</v>
      </c>
      <c r="E97" s="74">
        <v>1.4306124878E10</v>
      </c>
      <c r="F97" s="74">
        <v>2.03923908540002E14</v>
      </c>
      <c r="G97" s="74" t="s">
        <v>1957</v>
      </c>
      <c r="H97" s="83">
        <v>25090.0</v>
      </c>
      <c r="I97" s="34" t="s">
        <v>183</v>
      </c>
      <c r="J97" s="74" t="s">
        <v>1958</v>
      </c>
      <c r="K97" s="74"/>
      <c r="R97" s="67"/>
    </row>
    <row r="98">
      <c r="A98" s="12" t="s">
        <v>17</v>
      </c>
      <c r="B98" s="229" t="s">
        <v>198</v>
      </c>
      <c r="C98" s="74" t="s">
        <v>1281</v>
      </c>
      <c r="D98" s="75">
        <v>0.6388888888888888</v>
      </c>
      <c r="E98" s="74">
        <v>6.8902956849E10</v>
      </c>
      <c r="F98" s="74">
        <v>8.0144040117098E14</v>
      </c>
      <c r="G98" s="74" t="s">
        <v>1029</v>
      </c>
      <c r="H98" s="77">
        <v>19839.0</v>
      </c>
      <c r="I98" s="34" t="s">
        <v>195</v>
      </c>
      <c r="J98" s="74" t="s">
        <v>1959</v>
      </c>
      <c r="K98" s="74"/>
      <c r="R98" s="67"/>
    </row>
    <row r="99">
      <c r="A99" s="12" t="s">
        <v>85</v>
      </c>
      <c r="B99" s="229" t="s">
        <v>1468</v>
      </c>
      <c r="C99" s="74" t="s">
        <v>1281</v>
      </c>
      <c r="D99" s="75">
        <v>0.6527777777777778</v>
      </c>
      <c r="E99" s="74">
        <v>4.850080847E9</v>
      </c>
      <c r="F99" s="74">
        <v>7.07406041086078E14</v>
      </c>
      <c r="G99" s="74" t="s">
        <v>1960</v>
      </c>
      <c r="H99" s="83">
        <v>23689.0</v>
      </c>
      <c r="I99" s="34" t="s">
        <v>1823</v>
      </c>
      <c r="J99" s="74" t="s">
        <v>1961</v>
      </c>
      <c r="K99" s="74"/>
      <c r="L99" s="216" t="s">
        <v>577</v>
      </c>
      <c r="R99" s="67"/>
    </row>
    <row r="100">
      <c r="A100" s="12" t="s">
        <v>87</v>
      </c>
      <c r="B100" s="229" t="s">
        <v>758</v>
      </c>
      <c r="C100" s="74" t="s">
        <v>1281</v>
      </c>
      <c r="D100" s="75">
        <v>0.6666666666666666</v>
      </c>
      <c r="E100" s="74">
        <v>7.683517828E9</v>
      </c>
      <c r="F100" s="74">
        <v>7.06406609071683E14</v>
      </c>
      <c r="G100" s="74" t="s">
        <v>1962</v>
      </c>
      <c r="H100" s="166">
        <v>24034.0</v>
      </c>
      <c r="I100" s="34" t="s">
        <v>1823</v>
      </c>
      <c r="J100" s="74" t="s">
        <v>1963</v>
      </c>
      <c r="K100" s="74"/>
      <c r="R100" s="67"/>
    </row>
    <row r="101">
      <c r="A101" s="12" t="s">
        <v>90</v>
      </c>
      <c r="B101" s="229" t="s">
        <v>758</v>
      </c>
      <c r="C101" s="74" t="s">
        <v>1281</v>
      </c>
      <c r="D101" s="75">
        <v>0.6805555555555556</v>
      </c>
      <c r="E101" s="74">
        <v>3.4982812837E10</v>
      </c>
      <c r="F101" s="74">
        <v>7.00007375801104E14</v>
      </c>
      <c r="G101" s="74" t="s">
        <v>1964</v>
      </c>
      <c r="H101" s="166">
        <v>31043.0</v>
      </c>
      <c r="I101" s="34" t="s">
        <v>183</v>
      </c>
      <c r="J101" s="74" t="s">
        <v>1965</v>
      </c>
      <c r="K101" s="74"/>
      <c r="R101" s="67"/>
    </row>
    <row r="102">
      <c r="A102" s="12" t="s">
        <v>93</v>
      </c>
      <c r="B102" s="229" t="s">
        <v>758</v>
      </c>
      <c r="C102" s="74" t="s">
        <v>1281</v>
      </c>
      <c r="D102" s="75">
        <v>0.6944444444444444</v>
      </c>
      <c r="E102" s="74">
        <v>6.681152031E10</v>
      </c>
      <c r="F102" s="74">
        <v>7.07409014267078E14</v>
      </c>
      <c r="G102" s="74" t="s">
        <v>1966</v>
      </c>
      <c r="H102" s="166">
        <v>30413.0</v>
      </c>
      <c r="I102" s="34" t="s">
        <v>183</v>
      </c>
      <c r="J102" s="74" t="s">
        <v>1967</v>
      </c>
      <c r="K102" s="74"/>
      <c r="R102" s="67"/>
    </row>
    <row r="103">
      <c r="B103" s="182"/>
      <c r="J103" s="67"/>
      <c r="K103" s="67"/>
      <c r="R103" s="67"/>
    </row>
    <row r="104">
      <c r="B104" s="182"/>
      <c r="J104" s="67"/>
      <c r="K104" s="67"/>
      <c r="R104" s="67"/>
    </row>
    <row r="105">
      <c r="B105" s="182"/>
      <c r="J105" s="67"/>
      <c r="K105" s="67"/>
      <c r="R105" s="67"/>
    </row>
    <row r="106">
      <c r="B106" s="182"/>
      <c r="J106" s="67"/>
      <c r="K106" s="67"/>
      <c r="R106" s="67"/>
    </row>
    <row r="107">
      <c r="A107" s="23" t="s">
        <v>378</v>
      </c>
      <c r="B107" s="2"/>
      <c r="C107" s="2"/>
      <c r="D107" s="2"/>
      <c r="E107" s="2"/>
      <c r="F107" s="2"/>
      <c r="G107" s="2"/>
      <c r="H107" s="2"/>
      <c r="I107" s="2"/>
      <c r="J107" s="2"/>
      <c r="K107" s="3"/>
      <c r="R107" s="67"/>
    </row>
    <row r="108">
      <c r="A108" s="263" t="s">
        <v>1968</v>
      </c>
      <c r="B108" s="2"/>
      <c r="C108" s="2"/>
      <c r="D108" s="2"/>
      <c r="E108" s="2"/>
      <c r="F108" s="2"/>
      <c r="G108" s="2"/>
      <c r="H108" s="2"/>
      <c r="I108" s="2"/>
      <c r="J108" s="2"/>
      <c r="K108" s="3"/>
      <c r="R108" s="67"/>
    </row>
    <row r="109">
      <c r="A109" s="25"/>
      <c r="B109" s="489" t="s">
        <v>3</v>
      </c>
      <c r="C109" s="27" t="s">
        <v>2</v>
      </c>
      <c r="D109" s="28" t="s">
        <v>5</v>
      </c>
      <c r="E109" s="32" t="s">
        <v>19</v>
      </c>
      <c r="F109" s="28" t="s">
        <v>6</v>
      </c>
      <c r="G109" s="264" t="s">
        <v>7</v>
      </c>
      <c r="H109" s="30" t="s">
        <v>8</v>
      </c>
      <c r="I109" s="31" t="s">
        <v>20</v>
      </c>
      <c r="J109" s="32" t="s">
        <v>21</v>
      </c>
      <c r="K109" s="32" t="s">
        <v>22</v>
      </c>
      <c r="R109" s="67"/>
    </row>
    <row r="110">
      <c r="A110" s="12" t="s">
        <v>10</v>
      </c>
      <c r="B110" s="229" t="s">
        <v>758</v>
      </c>
      <c r="C110" s="74" t="s">
        <v>1281</v>
      </c>
      <c r="D110" s="75">
        <v>0.5416666666666666</v>
      </c>
      <c r="E110" s="74"/>
      <c r="F110" s="497">
        <v>7.04001301797968E14</v>
      </c>
      <c r="G110" s="167" t="s">
        <v>1969</v>
      </c>
      <c r="H110" s="133"/>
      <c r="I110" s="34" t="s">
        <v>183</v>
      </c>
      <c r="J110" s="74"/>
      <c r="K110" s="74"/>
      <c r="N110" s="268" t="s">
        <v>387</v>
      </c>
      <c r="O110" s="100"/>
      <c r="P110" s="100"/>
      <c r="Q110" s="100"/>
      <c r="R110" s="100"/>
    </row>
    <row r="111">
      <c r="A111" s="12" t="s">
        <v>11</v>
      </c>
      <c r="B111" s="229" t="s">
        <v>1468</v>
      </c>
      <c r="C111" s="74" t="s">
        <v>1281</v>
      </c>
      <c r="D111" s="75">
        <v>0.5555555555555556</v>
      </c>
      <c r="E111" s="74">
        <v>1.1765338867E10</v>
      </c>
      <c r="F111" s="74">
        <v>8.01440489177242E14</v>
      </c>
      <c r="G111" s="167" t="s">
        <v>1970</v>
      </c>
      <c r="H111" s="77">
        <v>19389.0</v>
      </c>
      <c r="I111" s="34" t="s">
        <v>183</v>
      </c>
      <c r="J111" s="74"/>
      <c r="K111" s="74"/>
      <c r="N111" s="270" t="s">
        <v>1824</v>
      </c>
      <c r="O111" s="2"/>
      <c r="P111" s="2"/>
      <c r="Q111" s="2"/>
      <c r="R111" s="2"/>
    </row>
    <row r="112">
      <c r="A112" s="12" t="s">
        <v>12</v>
      </c>
      <c r="B112" s="229" t="s">
        <v>217</v>
      </c>
      <c r="C112" s="74" t="s">
        <v>1281</v>
      </c>
      <c r="D112" s="75">
        <v>0.5694444444444444</v>
      </c>
      <c r="E112" s="74">
        <v>1.6339111874E10</v>
      </c>
      <c r="F112" s="74">
        <v>7.00008771777908E14</v>
      </c>
      <c r="G112" s="167" t="s">
        <v>1971</v>
      </c>
      <c r="H112" s="83">
        <v>28232.0</v>
      </c>
      <c r="I112" s="34" t="s">
        <v>183</v>
      </c>
      <c r="J112" s="74"/>
      <c r="K112" s="74"/>
      <c r="N112" s="271" t="s">
        <v>183</v>
      </c>
      <c r="O112" s="272" t="s">
        <v>195</v>
      </c>
      <c r="P112" s="272" t="s">
        <v>181</v>
      </c>
      <c r="Q112" s="273" t="s">
        <v>173</v>
      </c>
      <c r="R112" s="286" t="s">
        <v>1823</v>
      </c>
    </row>
    <row r="113">
      <c r="A113" s="12" t="s">
        <v>13</v>
      </c>
      <c r="B113" s="229" t="s">
        <v>198</v>
      </c>
      <c r="C113" s="74" t="s">
        <v>1281</v>
      </c>
      <c r="D113" s="75">
        <v>0.5833333333333334</v>
      </c>
      <c r="E113" s="74">
        <v>6.5186699853E10</v>
      </c>
      <c r="F113" s="74">
        <v>7.04508333408713E14</v>
      </c>
      <c r="G113" s="167" t="s">
        <v>1972</v>
      </c>
      <c r="H113" s="83">
        <v>19416.0</v>
      </c>
      <c r="I113" s="34" t="s">
        <v>183</v>
      </c>
      <c r="J113" s="74"/>
      <c r="K113" s="74"/>
      <c r="N113" s="275">
        <f t="shared" ref="N113:R113" si="7">COUNTIFS($I$110:$I$121,N112)</f>
        <v>9</v>
      </c>
      <c r="O113" s="275">
        <f t="shared" si="7"/>
        <v>0</v>
      </c>
      <c r="P113" s="275">
        <f t="shared" si="7"/>
        <v>1</v>
      </c>
      <c r="Q113" s="275">
        <f t="shared" si="7"/>
        <v>0</v>
      </c>
      <c r="R113" s="275">
        <f t="shared" si="7"/>
        <v>2</v>
      </c>
    </row>
    <row r="114">
      <c r="A114" s="12" t="s">
        <v>14</v>
      </c>
      <c r="B114" s="229" t="s">
        <v>758</v>
      </c>
      <c r="C114" s="74" t="s">
        <v>1281</v>
      </c>
      <c r="D114" s="75">
        <v>0.5972222222222222</v>
      </c>
      <c r="E114" s="74">
        <v>1.0946667853E10</v>
      </c>
      <c r="F114" s="74">
        <v>2.03923102300005E14</v>
      </c>
      <c r="G114" s="167" t="s">
        <v>1973</v>
      </c>
      <c r="H114" s="83">
        <v>13056.0</v>
      </c>
      <c r="I114" s="34" t="s">
        <v>183</v>
      </c>
      <c r="J114" s="74"/>
      <c r="K114" s="74"/>
      <c r="R114" s="67"/>
    </row>
    <row r="115">
      <c r="A115" s="12" t="s">
        <v>15</v>
      </c>
      <c r="B115" s="229" t="s">
        <v>1468</v>
      </c>
      <c r="C115" s="74" t="s">
        <v>1281</v>
      </c>
      <c r="D115" s="75">
        <v>0.6111111111111112</v>
      </c>
      <c r="E115" s="169">
        <v>22052.0</v>
      </c>
      <c r="F115" s="74">
        <v>7.04800008769249E14</v>
      </c>
      <c r="G115" s="167" t="s">
        <v>1974</v>
      </c>
      <c r="H115" s="83">
        <v>22052.0</v>
      </c>
      <c r="I115" s="34" t="s">
        <v>183</v>
      </c>
      <c r="J115" s="74"/>
      <c r="K115" s="74"/>
      <c r="R115" s="67"/>
    </row>
    <row r="116">
      <c r="A116" s="12" t="s">
        <v>16</v>
      </c>
      <c r="B116" s="229" t="s">
        <v>217</v>
      </c>
      <c r="C116" s="74" t="s">
        <v>1281</v>
      </c>
      <c r="D116" s="75">
        <v>0.625</v>
      </c>
      <c r="E116" s="74">
        <v>1.0708881769E10</v>
      </c>
      <c r="F116" s="74">
        <v>7.0010882165439E14</v>
      </c>
      <c r="G116" s="167" t="s">
        <v>1975</v>
      </c>
      <c r="H116" s="83">
        <v>29105.0</v>
      </c>
      <c r="I116" s="34" t="s">
        <v>1823</v>
      </c>
      <c r="J116" s="74"/>
      <c r="K116" s="74"/>
      <c r="R116" s="67"/>
    </row>
    <row r="117">
      <c r="A117" s="12" t="s">
        <v>17</v>
      </c>
      <c r="B117" s="229" t="s">
        <v>198</v>
      </c>
      <c r="C117" s="74" t="s">
        <v>1281</v>
      </c>
      <c r="D117" s="75">
        <v>0.6388888888888888</v>
      </c>
      <c r="E117" s="74"/>
      <c r="F117" s="74"/>
      <c r="G117" s="167"/>
      <c r="H117" s="77"/>
      <c r="I117" s="34" t="s">
        <v>181</v>
      </c>
      <c r="J117" s="74"/>
      <c r="K117" s="74"/>
      <c r="R117" s="67"/>
    </row>
    <row r="118">
      <c r="A118" s="12" t="s">
        <v>85</v>
      </c>
      <c r="B118" s="229" t="s">
        <v>1468</v>
      </c>
      <c r="C118" s="74" t="s">
        <v>1281</v>
      </c>
      <c r="D118" s="75">
        <v>0.6527777777777778</v>
      </c>
      <c r="E118" s="74">
        <v>6.9672750463E10</v>
      </c>
      <c r="F118" s="74">
        <v>7.02003856616889E14</v>
      </c>
      <c r="G118" s="167" t="s">
        <v>1976</v>
      </c>
      <c r="H118" s="83">
        <v>25485.0</v>
      </c>
      <c r="I118" s="34" t="s">
        <v>183</v>
      </c>
      <c r="J118" s="74"/>
      <c r="K118" s="74"/>
      <c r="R118" s="67"/>
      <c r="V118" s="336"/>
    </row>
    <row r="119">
      <c r="A119" s="12" t="s">
        <v>87</v>
      </c>
      <c r="B119" s="229" t="s">
        <v>758</v>
      </c>
      <c r="C119" s="74" t="s">
        <v>1281</v>
      </c>
      <c r="D119" s="75">
        <v>0.6666666666666666</v>
      </c>
      <c r="E119" s="74">
        <v>7.412820893E9</v>
      </c>
      <c r="F119" s="74">
        <v>7.00902959551393E14</v>
      </c>
      <c r="G119" s="167" t="s">
        <v>1977</v>
      </c>
      <c r="H119" s="166">
        <v>21504.0</v>
      </c>
      <c r="I119" s="34" t="s">
        <v>183</v>
      </c>
      <c r="J119" s="74"/>
      <c r="K119" s="74"/>
      <c r="R119" s="67"/>
    </row>
    <row r="120">
      <c r="A120" s="12" t="s">
        <v>90</v>
      </c>
      <c r="B120" s="229" t="s">
        <v>758</v>
      </c>
      <c r="C120" s="74" t="s">
        <v>1281</v>
      </c>
      <c r="D120" s="75">
        <v>0.6805555555555556</v>
      </c>
      <c r="E120" s="74">
        <v>1.2897825804E10</v>
      </c>
      <c r="F120" s="74">
        <v>8.35503045320596E14</v>
      </c>
      <c r="G120" s="167" t="s">
        <v>1978</v>
      </c>
      <c r="H120" s="166">
        <v>45927.0</v>
      </c>
      <c r="I120" s="34" t="s">
        <v>1823</v>
      </c>
      <c r="J120" s="74"/>
      <c r="K120" s="74"/>
      <c r="R120" s="67"/>
    </row>
    <row r="121">
      <c r="A121" s="12" t="s">
        <v>93</v>
      </c>
      <c r="B121" s="229" t="s">
        <v>758</v>
      </c>
      <c r="C121" s="74" t="s">
        <v>1281</v>
      </c>
      <c r="D121" s="75">
        <v>0.6944444444444444</v>
      </c>
      <c r="E121" s="74">
        <v>1.497941687E10</v>
      </c>
      <c r="F121" s="74">
        <v>8.35503045640507E14</v>
      </c>
      <c r="G121" s="167" t="s">
        <v>1979</v>
      </c>
      <c r="H121" s="166">
        <v>46011.0</v>
      </c>
      <c r="I121" s="34" t="s">
        <v>183</v>
      </c>
      <c r="J121" s="74"/>
      <c r="K121" s="74"/>
      <c r="R121" s="67"/>
    </row>
    <row r="122">
      <c r="B122" s="182"/>
      <c r="J122" s="67"/>
      <c r="K122" s="67"/>
      <c r="R122" s="67"/>
    </row>
    <row r="123">
      <c r="B123" s="182"/>
      <c r="J123" s="67"/>
      <c r="K123" s="67"/>
      <c r="R123" s="67"/>
    </row>
    <row r="124">
      <c r="B124" s="182"/>
      <c r="J124" s="67"/>
      <c r="K124" s="67"/>
      <c r="R124" s="67"/>
    </row>
    <row r="125">
      <c r="A125" s="23" t="s">
        <v>378</v>
      </c>
      <c r="B125" s="2"/>
      <c r="C125" s="2"/>
      <c r="D125" s="2"/>
      <c r="E125" s="2"/>
      <c r="F125" s="2"/>
      <c r="G125" s="2"/>
      <c r="H125" s="2"/>
      <c r="I125" s="2"/>
      <c r="J125" s="2"/>
      <c r="K125" s="3"/>
      <c r="R125" s="67"/>
    </row>
    <row r="126">
      <c r="A126" s="263" t="s">
        <v>1980</v>
      </c>
      <c r="B126" s="2"/>
      <c r="C126" s="2"/>
      <c r="D126" s="2"/>
      <c r="E126" s="2"/>
      <c r="F126" s="2"/>
      <c r="G126" s="2"/>
      <c r="H126" s="2"/>
      <c r="I126" s="2"/>
      <c r="J126" s="2"/>
      <c r="K126" s="3"/>
      <c r="R126" s="67"/>
    </row>
    <row r="127">
      <c r="A127" s="25"/>
      <c r="B127" s="489" t="s">
        <v>3</v>
      </c>
      <c r="C127" s="27" t="s">
        <v>2</v>
      </c>
      <c r="D127" s="28" t="s">
        <v>5</v>
      </c>
      <c r="E127" s="32" t="s">
        <v>19</v>
      </c>
      <c r="F127" s="28" t="s">
        <v>6</v>
      </c>
      <c r="G127" s="28" t="s">
        <v>7</v>
      </c>
      <c r="H127" s="30" t="s">
        <v>8</v>
      </c>
      <c r="I127" s="31" t="s">
        <v>20</v>
      </c>
      <c r="J127" s="32" t="s">
        <v>21</v>
      </c>
      <c r="K127" s="32" t="s">
        <v>22</v>
      </c>
      <c r="R127" s="67"/>
    </row>
    <row r="128">
      <c r="A128" s="12" t="s">
        <v>10</v>
      </c>
      <c r="B128" s="227" t="s">
        <v>1981</v>
      </c>
      <c r="C128" s="74" t="s">
        <v>1295</v>
      </c>
      <c r="D128" s="75">
        <v>0.5416666666666666</v>
      </c>
      <c r="E128" s="74">
        <v>8.9681606868E10</v>
      </c>
      <c r="F128" s="74">
        <v>7.0700488105203E14</v>
      </c>
      <c r="G128" s="167" t="s">
        <v>1982</v>
      </c>
      <c r="H128" s="211">
        <v>15353.0</v>
      </c>
      <c r="I128" s="34" t="s">
        <v>183</v>
      </c>
      <c r="J128" s="74" t="s">
        <v>1983</v>
      </c>
      <c r="K128" s="74" t="s">
        <v>1984</v>
      </c>
      <c r="N128" s="268" t="s">
        <v>387</v>
      </c>
      <c r="O128" s="100"/>
      <c r="P128" s="100"/>
      <c r="Q128" s="100"/>
      <c r="R128" s="100"/>
    </row>
    <row r="129">
      <c r="A129" s="12" t="s">
        <v>11</v>
      </c>
      <c r="B129" s="227" t="s">
        <v>1985</v>
      </c>
      <c r="C129" s="74" t="s">
        <v>1295</v>
      </c>
      <c r="D129" s="75">
        <v>0.5555555555555556</v>
      </c>
      <c r="E129" s="74">
        <v>1.427047685E10</v>
      </c>
      <c r="F129" s="74">
        <v>1.24702358140004E14</v>
      </c>
      <c r="G129" s="167" t="s">
        <v>1986</v>
      </c>
      <c r="H129" s="77">
        <v>25500.0</v>
      </c>
      <c r="I129" s="34" t="s">
        <v>183</v>
      </c>
      <c r="J129" s="74" t="s">
        <v>1987</v>
      </c>
      <c r="K129" s="74" t="s">
        <v>1988</v>
      </c>
      <c r="N129" s="270" t="s">
        <v>1824</v>
      </c>
      <c r="O129" s="2"/>
      <c r="P129" s="2"/>
      <c r="Q129" s="2"/>
      <c r="R129" s="2"/>
    </row>
    <row r="130">
      <c r="A130" s="12" t="s">
        <v>12</v>
      </c>
      <c r="B130" s="227" t="s">
        <v>1989</v>
      </c>
      <c r="C130" s="74" t="s">
        <v>1295</v>
      </c>
      <c r="D130" s="75">
        <v>0.5694444444444444</v>
      </c>
      <c r="E130" s="74">
        <v>1.5371829865E10</v>
      </c>
      <c r="F130" s="74">
        <v>7.04703755429331E14</v>
      </c>
      <c r="G130" s="167" t="s">
        <v>1990</v>
      </c>
      <c r="H130" s="83">
        <v>16213.0</v>
      </c>
      <c r="I130" s="34" t="s">
        <v>183</v>
      </c>
      <c r="J130" s="74" t="s">
        <v>1991</v>
      </c>
      <c r="K130" s="74"/>
      <c r="L130" s="68"/>
      <c r="M130" s="68"/>
      <c r="N130" s="271" t="s">
        <v>183</v>
      </c>
      <c r="O130" s="272" t="s">
        <v>195</v>
      </c>
      <c r="P130" s="272" t="s">
        <v>181</v>
      </c>
      <c r="Q130" s="273" t="s">
        <v>173</v>
      </c>
      <c r="R130" s="415" t="s">
        <v>1823</v>
      </c>
      <c r="S130" s="68"/>
      <c r="T130" s="68"/>
      <c r="U130" s="68"/>
      <c r="V130" s="68"/>
      <c r="W130" s="68"/>
    </row>
    <row r="131">
      <c r="A131" s="12" t="s">
        <v>13</v>
      </c>
      <c r="B131" s="227" t="s">
        <v>1992</v>
      </c>
      <c r="C131" s="74" t="s">
        <v>1295</v>
      </c>
      <c r="D131" s="75">
        <v>0.5833333333333334</v>
      </c>
      <c r="E131" s="74">
        <v>6.5609727804E10</v>
      </c>
      <c r="F131" s="74">
        <v>7.0330326227971E14</v>
      </c>
      <c r="G131" s="167" t="s">
        <v>1993</v>
      </c>
      <c r="H131" s="83">
        <v>16029.0</v>
      </c>
      <c r="I131" s="34" t="s">
        <v>183</v>
      </c>
      <c r="J131" s="74" t="s">
        <v>1994</v>
      </c>
      <c r="K131" s="74" t="s">
        <v>1995</v>
      </c>
      <c r="N131" s="275">
        <f t="shared" ref="N131:R131" si="8">COUNTIFS($I$128:$I$139,N130)</f>
        <v>8</v>
      </c>
      <c r="O131" s="275">
        <f t="shared" si="8"/>
        <v>0</v>
      </c>
      <c r="P131" s="275">
        <f t="shared" si="8"/>
        <v>0</v>
      </c>
      <c r="Q131" s="275">
        <f t="shared" si="8"/>
        <v>0</v>
      </c>
      <c r="R131" s="275">
        <f t="shared" si="8"/>
        <v>4</v>
      </c>
    </row>
    <row r="132">
      <c r="A132" s="12" t="s">
        <v>14</v>
      </c>
      <c r="B132" s="227" t="s">
        <v>1981</v>
      </c>
      <c r="C132" s="74" t="s">
        <v>1295</v>
      </c>
      <c r="D132" s="75">
        <v>0.5972222222222222</v>
      </c>
      <c r="E132" s="74">
        <v>5.221381443E9</v>
      </c>
      <c r="F132" s="74">
        <v>7.00509728284357E14</v>
      </c>
      <c r="G132" s="167" t="s">
        <v>1996</v>
      </c>
      <c r="H132" s="83">
        <v>29782.0</v>
      </c>
      <c r="I132" s="34" t="s">
        <v>1823</v>
      </c>
      <c r="J132" s="74" t="s">
        <v>1997</v>
      </c>
      <c r="K132" s="74" t="s">
        <v>1998</v>
      </c>
      <c r="R132" s="67"/>
    </row>
    <row r="133">
      <c r="A133" s="12" t="s">
        <v>15</v>
      </c>
      <c r="B133" s="227" t="s">
        <v>1985</v>
      </c>
      <c r="C133" s="74" t="s">
        <v>1295</v>
      </c>
      <c r="D133" s="75">
        <v>0.6111111111111112</v>
      </c>
      <c r="E133" s="74">
        <v>3.181140899E9</v>
      </c>
      <c r="F133" s="74">
        <v>7.04701768851833E14</v>
      </c>
      <c r="G133" s="167" t="s">
        <v>1999</v>
      </c>
      <c r="H133" s="83">
        <v>21927.0</v>
      </c>
      <c r="I133" s="34" t="s">
        <v>1823</v>
      </c>
      <c r="J133" s="74" t="s">
        <v>2000</v>
      </c>
      <c r="K133" s="74"/>
      <c r="R133" s="67"/>
    </row>
    <row r="134">
      <c r="A134" s="12" t="s">
        <v>16</v>
      </c>
      <c r="B134" s="227" t="s">
        <v>1989</v>
      </c>
      <c r="C134" s="74" t="s">
        <v>1295</v>
      </c>
      <c r="D134" s="75">
        <v>0.625</v>
      </c>
      <c r="E134" s="74">
        <v>1.7089977846E10</v>
      </c>
      <c r="F134" s="74">
        <v>7.0040342920934E14</v>
      </c>
      <c r="G134" s="167" t="s">
        <v>2001</v>
      </c>
      <c r="H134" s="83">
        <v>15252.0</v>
      </c>
      <c r="I134" s="34" t="s">
        <v>183</v>
      </c>
      <c r="J134" s="74" t="s">
        <v>2002</v>
      </c>
      <c r="K134" s="74"/>
      <c r="L134" s="118"/>
      <c r="M134" s="118"/>
      <c r="N134" s="118"/>
      <c r="O134" s="118"/>
      <c r="P134" s="118"/>
      <c r="Q134" s="118"/>
      <c r="R134" s="450"/>
      <c r="S134" s="118"/>
      <c r="T134" s="118"/>
      <c r="U134" s="118"/>
      <c r="V134" s="118"/>
      <c r="W134" s="118"/>
    </row>
    <row r="135">
      <c r="A135" s="12" t="s">
        <v>17</v>
      </c>
      <c r="B135" s="227" t="s">
        <v>1992</v>
      </c>
      <c r="C135" s="74" t="s">
        <v>1295</v>
      </c>
      <c r="D135" s="75">
        <v>0.6388888888888888</v>
      </c>
      <c r="E135" s="74">
        <v>2.5630370855E10</v>
      </c>
      <c r="F135" s="74">
        <v>8.98001419069863E14</v>
      </c>
      <c r="G135" s="167" t="s">
        <v>2003</v>
      </c>
      <c r="H135" s="77">
        <v>17887.0</v>
      </c>
      <c r="I135" s="34" t="s">
        <v>1823</v>
      </c>
      <c r="J135" s="74" t="s">
        <v>2004</v>
      </c>
      <c r="K135" s="74"/>
      <c r="R135" s="67"/>
    </row>
    <row r="136">
      <c r="A136" s="12" t="s">
        <v>85</v>
      </c>
      <c r="B136" s="227" t="s">
        <v>1981</v>
      </c>
      <c r="C136" s="74" t="s">
        <v>1295</v>
      </c>
      <c r="D136" s="75">
        <v>0.6527777777777778</v>
      </c>
      <c r="E136" s="74">
        <v>4.2941955844E10</v>
      </c>
      <c r="F136" s="74">
        <v>7.00006406345007E14</v>
      </c>
      <c r="G136" s="167" t="s">
        <v>2005</v>
      </c>
      <c r="H136" s="83">
        <v>34448.0</v>
      </c>
      <c r="I136" s="34" t="s">
        <v>183</v>
      </c>
      <c r="J136" s="74" t="s">
        <v>2006</v>
      </c>
      <c r="K136" s="74"/>
      <c r="R136" s="67"/>
    </row>
    <row r="137">
      <c r="A137" s="12" t="s">
        <v>87</v>
      </c>
      <c r="B137" s="227" t="s">
        <v>1985</v>
      </c>
      <c r="C137" s="74" t="s">
        <v>1295</v>
      </c>
      <c r="D137" s="75">
        <v>0.6666666666666666</v>
      </c>
      <c r="E137" s="74">
        <v>3.9658965806E10</v>
      </c>
      <c r="F137" s="74">
        <v>7.06007369747348E14</v>
      </c>
      <c r="G137" s="167" t="s">
        <v>2007</v>
      </c>
      <c r="H137" s="166">
        <v>18150.0</v>
      </c>
      <c r="I137" s="34" t="s">
        <v>1823</v>
      </c>
      <c r="J137" s="74" t="s">
        <v>2008</v>
      </c>
      <c r="K137" s="74"/>
      <c r="R137" s="67"/>
    </row>
    <row r="138">
      <c r="A138" s="12" t="s">
        <v>90</v>
      </c>
      <c r="B138" s="227" t="s">
        <v>1989</v>
      </c>
      <c r="C138" s="74" t="s">
        <v>1295</v>
      </c>
      <c r="D138" s="75">
        <v>0.6805555555555556</v>
      </c>
      <c r="E138" s="74">
        <v>9.4255873534E10</v>
      </c>
      <c r="F138" s="74">
        <v>7.06308744086173E14</v>
      </c>
      <c r="G138" s="167" t="s">
        <v>1240</v>
      </c>
      <c r="H138" s="166">
        <v>18838.0</v>
      </c>
      <c r="I138" s="34" t="s">
        <v>183</v>
      </c>
      <c r="J138" s="74" t="s">
        <v>2009</v>
      </c>
      <c r="K138" s="74" t="s">
        <v>2010</v>
      </c>
      <c r="R138" s="67"/>
    </row>
    <row r="139">
      <c r="A139" s="12" t="s">
        <v>93</v>
      </c>
      <c r="B139" s="227" t="s">
        <v>1992</v>
      </c>
      <c r="C139" s="74" t="s">
        <v>1295</v>
      </c>
      <c r="D139" s="75">
        <v>0.6944444444444444</v>
      </c>
      <c r="E139" s="74">
        <v>4.0488133823E10</v>
      </c>
      <c r="F139" s="74">
        <v>7.00203400583823E14</v>
      </c>
      <c r="G139" s="167" t="s">
        <v>2011</v>
      </c>
      <c r="H139" s="166">
        <v>35938.0</v>
      </c>
      <c r="I139" s="34" t="s">
        <v>183</v>
      </c>
      <c r="J139" s="74" t="s">
        <v>2012</v>
      </c>
      <c r="K139" s="74"/>
      <c r="R139" s="67"/>
    </row>
    <row r="140">
      <c r="B140" s="182"/>
      <c r="J140" s="67"/>
      <c r="K140" s="67"/>
      <c r="R140" s="67"/>
    </row>
    <row r="141">
      <c r="B141" s="182"/>
      <c r="J141" s="67"/>
      <c r="K141" s="67"/>
      <c r="R141" s="67"/>
    </row>
    <row r="142">
      <c r="B142" s="182"/>
      <c r="J142" s="67"/>
      <c r="K142" s="67"/>
      <c r="R142" s="67"/>
    </row>
    <row r="143">
      <c r="B143" s="182"/>
      <c r="J143" s="67"/>
      <c r="K143" s="67"/>
      <c r="R143" s="67"/>
    </row>
    <row r="144">
      <c r="A144" s="23" t="s">
        <v>378</v>
      </c>
      <c r="B144" s="2"/>
      <c r="C144" s="2"/>
      <c r="D144" s="2"/>
      <c r="E144" s="2"/>
      <c r="F144" s="2"/>
      <c r="G144" s="2"/>
      <c r="H144" s="2"/>
      <c r="I144" s="2"/>
      <c r="J144" s="2"/>
      <c r="K144" s="3"/>
      <c r="R144" s="67"/>
    </row>
    <row r="145">
      <c r="A145" s="263" t="s">
        <v>2013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5"/>
      <c r="B146" s="489" t="s">
        <v>3</v>
      </c>
      <c r="C146" s="27" t="s">
        <v>2</v>
      </c>
      <c r="D146" s="28" t="s">
        <v>5</v>
      </c>
      <c r="E146" s="32" t="s">
        <v>19</v>
      </c>
      <c r="F146" s="28" t="s">
        <v>6</v>
      </c>
      <c r="G146" s="264" t="s">
        <v>7</v>
      </c>
      <c r="H146" s="30" t="s">
        <v>8</v>
      </c>
      <c r="I146" s="31" t="s">
        <v>20</v>
      </c>
      <c r="J146" s="32" t="s">
        <v>21</v>
      </c>
      <c r="K146" s="32" t="s">
        <v>22</v>
      </c>
      <c r="R146" s="67"/>
    </row>
    <row r="147">
      <c r="A147" s="12" t="s">
        <v>10</v>
      </c>
      <c r="B147" s="227" t="s">
        <v>2014</v>
      </c>
      <c r="C147" s="74" t="s">
        <v>1314</v>
      </c>
      <c r="D147" s="75">
        <v>0.3333333333333333</v>
      </c>
      <c r="E147" s="74">
        <v>7.570061837E9</v>
      </c>
      <c r="F147" s="459" t="s">
        <v>2015</v>
      </c>
      <c r="G147" s="167" t="s">
        <v>2016</v>
      </c>
      <c r="H147" s="83">
        <v>24226.0</v>
      </c>
      <c r="I147" s="34" t="s">
        <v>183</v>
      </c>
      <c r="J147" s="74" t="s">
        <v>2017</v>
      </c>
      <c r="K147" s="74" t="s">
        <v>2018</v>
      </c>
      <c r="L147" s="216" t="s">
        <v>521</v>
      </c>
      <c r="N147" s="268" t="s">
        <v>387</v>
      </c>
      <c r="O147" s="100"/>
      <c r="P147" s="100"/>
      <c r="Q147" s="100"/>
      <c r="R147" s="100"/>
    </row>
    <row r="148">
      <c r="A148" s="12" t="s">
        <v>11</v>
      </c>
      <c r="B148" s="227" t="s">
        <v>2019</v>
      </c>
      <c r="C148" s="74" t="s">
        <v>1314</v>
      </c>
      <c r="D148" s="75">
        <v>0.3472222222222222</v>
      </c>
      <c r="E148" s="74">
        <v>3.62949689E9</v>
      </c>
      <c r="F148" s="74">
        <v>8.98002116574228E14</v>
      </c>
      <c r="G148" s="167" t="s">
        <v>2020</v>
      </c>
      <c r="H148" s="83"/>
      <c r="I148" s="34" t="s">
        <v>183</v>
      </c>
      <c r="J148" s="74"/>
      <c r="K148" s="74"/>
      <c r="N148" s="270" t="s">
        <v>1824</v>
      </c>
      <c r="O148" s="2"/>
      <c r="P148" s="2"/>
      <c r="Q148" s="2"/>
      <c r="R148" s="2"/>
    </row>
    <row r="149">
      <c r="A149" s="12" t="s">
        <v>12</v>
      </c>
      <c r="B149" s="227" t="s">
        <v>2021</v>
      </c>
      <c r="C149" s="74" t="s">
        <v>1314</v>
      </c>
      <c r="D149" s="75">
        <v>0.3611111111111111</v>
      </c>
      <c r="E149" s="74">
        <v>6.9468672468E10</v>
      </c>
      <c r="F149" s="74">
        <v>2.09788815960007E14</v>
      </c>
      <c r="G149" s="167" t="s">
        <v>2022</v>
      </c>
      <c r="H149" s="83">
        <v>24920.0</v>
      </c>
      <c r="I149" s="34" t="s">
        <v>183</v>
      </c>
      <c r="J149" s="74" t="s">
        <v>2023</v>
      </c>
      <c r="K149" s="74"/>
      <c r="N149" s="271" t="s">
        <v>183</v>
      </c>
      <c r="O149" s="272" t="s">
        <v>195</v>
      </c>
      <c r="P149" s="272" t="s">
        <v>181</v>
      </c>
      <c r="Q149" s="273" t="s">
        <v>173</v>
      </c>
      <c r="R149" s="286" t="s">
        <v>1823</v>
      </c>
    </row>
    <row r="150">
      <c r="A150" s="12" t="s">
        <v>13</v>
      </c>
      <c r="B150" s="227" t="s">
        <v>2024</v>
      </c>
      <c r="C150" s="74" t="s">
        <v>1314</v>
      </c>
      <c r="D150" s="75">
        <v>0.375</v>
      </c>
      <c r="E150" s="74">
        <v>5.7218056E8</v>
      </c>
      <c r="F150" s="74">
        <v>7.06005354916945E14</v>
      </c>
      <c r="G150" s="167" t="s">
        <v>2025</v>
      </c>
      <c r="H150" s="83">
        <v>28788.0</v>
      </c>
      <c r="I150" s="34" t="s">
        <v>183</v>
      </c>
      <c r="J150" s="74" t="s">
        <v>2026</v>
      </c>
      <c r="K150" s="74"/>
      <c r="N150" s="275">
        <f t="shared" ref="N150:R150" si="9">COUNTIFS($I$147:$I$158,N149)</f>
        <v>12</v>
      </c>
      <c r="O150" s="275">
        <f t="shared" si="9"/>
        <v>0</v>
      </c>
      <c r="P150" s="275">
        <f t="shared" si="9"/>
        <v>0</v>
      </c>
      <c r="Q150" s="275">
        <f t="shared" si="9"/>
        <v>0</v>
      </c>
      <c r="R150" s="275">
        <f t="shared" si="9"/>
        <v>0</v>
      </c>
    </row>
    <row r="151">
      <c r="A151" s="12" t="s">
        <v>14</v>
      </c>
      <c r="B151" s="227" t="s">
        <v>2019</v>
      </c>
      <c r="C151" s="74" t="s">
        <v>1314</v>
      </c>
      <c r="D151" s="75">
        <v>0.3888888888888889</v>
      </c>
      <c r="E151" s="74">
        <v>3.931383989E10</v>
      </c>
      <c r="F151" s="74">
        <v>7.04002869194665E14</v>
      </c>
      <c r="G151" s="167" t="s">
        <v>2027</v>
      </c>
      <c r="H151" s="83">
        <v>32751.0</v>
      </c>
      <c r="I151" s="34" t="s">
        <v>183</v>
      </c>
      <c r="J151" s="74" t="s">
        <v>2028</v>
      </c>
      <c r="K151" s="74"/>
      <c r="R151" s="67"/>
    </row>
    <row r="152">
      <c r="A152" s="12" t="s">
        <v>15</v>
      </c>
      <c r="B152" s="227" t="s">
        <v>2021</v>
      </c>
      <c r="C152" s="74" t="s">
        <v>1314</v>
      </c>
      <c r="D152" s="75">
        <v>0.4027777777777778</v>
      </c>
      <c r="E152" s="74">
        <v>5.303361896E9</v>
      </c>
      <c r="F152" s="74">
        <v>7.06906186926031E14</v>
      </c>
      <c r="G152" s="167" t="s">
        <v>2029</v>
      </c>
      <c r="H152" s="83">
        <v>22884.0</v>
      </c>
      <c r="I152" s="34" t="s">
        <v>183</v>
      </c>
      <c r="J152" s="74" t="s">
        <v>2030</v>
      </c>
      <c r="K152" s="74" t="s">
        <v>2031</v>
      </c>
      <c r="R152" s="67"/>
    </row>
    <row r="153">
      <c r="A153" s="12" t="s">
        <v>16</v>
      </c>
      <c r="B153" s="227" t="s">
        <v>2014</v>
      </c>
      <c r="C153" s="74" t="s">
        <v>1314</v>
      </c>
      <c r="D153" s="75">
        <v>0.4166666666666667</v>
      </c>
      <c r="E153" s="74">
        <v>2.33442358E10</v>
      </c>
      <c r="F153" s="459" t="s">
        <v>2032</v>
      </c>
      <c r="G153" s="167" t="s">
        <v>807</v>
      </c>
      <c r="H153" s="83">
        <v>24071.0</v>
      </c>
      <c r="I153" s="34" t="s">
        <v>183</v>
      </c>
      <c r="J153" s="74" t="s">
        <v>2033</v>
      </c>
      <c r="K153" s="74" t="s">
        <v>2034</v>
      </c>
      <c r="R153" s="67"/>
    </row>
    <row r="154">
      <c r="A154" s="12" t="s">
        <v>17</v>
      </c>
      <c r="B154" s="227" t="s">
        <v>2019</v>
      </c>
      <c r="C154" s="74" t="s">
        <v>1314</v>
      </c>
      <c r="D154" s="75">
        <v>0.4305555555555556</v>
      </c>
      <c r="E154" s="74">
        <v>3.0791308634E10</v>
      </c>
      <c r="F154" s="74">
        <v>7.05400418834298E14</v>
      </c>
      <c r="G154" s="167" t="s">
        <v>2035</v>
      </c>
      <c r="H154" s="83">
        <v>21388.0</v>
      </c>
      <c r="I154" s="34" t="s">
        <v>183</v>
      </c>
      <c r="J154" s="74" t="s">
        <v>2036</v>
      </c>
      <c r="K154" s="498" t="s">
        <v>2037</v>
      </c>
      <c r="R154" s="67"/>
    </row>
    <row r="155">
      <c r="A155" s="12" t="s">
        <v>85</v>
      </c>
      <c r="B155" s="227" t="s">
        <v>2024</v>
      </c>
      <c r="C155" s="74" t="s">
        <v>1314</v>
      </c>
      <c r="D155" s="75">
        <v>0.4444444444444444</v>
      </c>
      <c r="E155" s="74">
        <v>3.572589835E9</v>
      </c>
      <c r="F155" s="74">
        <v>3.0791308634E10</v>
      </c>
      <c r="G155" s="167" t="s">
        <v>2038</v>
      </c>
      <c r="H155" s="83">
        <v>21661.0</v>
      </c>
      <c r="I155" s="34" t="s">
        <v>183</v>
      </c>
      <c r="J155" s="74" t="s">
        <v>2039</v>
      </c>
      <c r="K155" s="74" t="s">
        <v>2040</v>
      </c>
      <c r="L155" s="216" t="s">
        <v>577</v>
      </c>
      <c r="R155" s="67"/>
    </row>
    <row r="156">
      <c r="A156" s="12" t="s">
        <v>87</v>
      </c>
      <c r="B156" s="227" t="s">
        <v>2021</v>
      </c>
      <c r="C156" s="74" t="s">
        <v>1314</v>
      </c>
      <c r="D156" s="75">
        <v>0.4583333333333333</v>
      </c>
      <c r="E156" s="74">
        <v>1.9579646856E10</v>
      </c>
      <c r="F156" s="74">
        <v>7.04208786192081E14</v>
      </c>
      <c r="G156" s="167" t="s">
        <v>2041</v>
      </c>
      <c r="H156" s="166">
        <v>21741.0</v>
      </c>
      <c r="I156" s="34" t="s">
        <v>183</v>
      </c>
      <c r="J156" s="74" t="s">
        <v>2042</v>
      </c>
      <c r="K156" s="74" t="s">
        <v>2043</v>
      </c>
      <c r="R156" s="67"/>
    </row>
    <row r="157">
      <c r="A157" s="12" t="s">
        <v>90</v>
      </c>
      <c r="B157" s="227" t="s">
        <v>2024</v>
      </c>
      <c r="C157" s="74" t="s">
        <v>1314</v>
      </c>
      <c r="D157" s="75">
        <v>0.4722222222222222</v>
      </c>
      <c r="E157" s="74">
        <v>1.2904628878E10</v>
      </c>
      <c r="F157" s="74">
        <v>7.08405779910266E14</v>
      </c>
      <c r="G157" s="167" t="s">
        <v>2044</v>
      </c>
      <c r="H157" s="166">
        <v>26435.0</v>
      </c>
      <c r="I157" s="34" t="s">
        <v>183</v>
      </c>
      <c r="J157" s="74" t="s">
        <v>2045</v>
      </c>
      <c r="K157" s="74"/>
      <c r="R157" s="67"/>
    </row>
    <row r="158">
      <c r="A158" s="12" t="s">
        <v>93</v>
      </c>
      <c r="B158" s="227" t="s">
        <v>2014</v>
      </c>
      <c r="C158" s="74" t="s">
        <v>1314</v>
      </c>
      <c r="D158" s="75">
        <v>0.4861111111111111</v>
      </c>
      <c r="E158" s="74">
        <v>6.02669375E10</v>
      </c>
      <c r="F158" s="74">
        <v>8.98001409695648E14</v>
      </c>
      <c r="G158" s="74" t="s">
        <v>2046</v>
      </c>
      <c r="H158" s="166">
        <v>25505.0</v>
      </c>
      <c r="I158" s="34" t="s">
        <v>183</v>
      </c>
      <c r="J158" s="74" t="s">
        <v>2047</v>
      </c>
      <c r="K158" s="74" t="s">
        <v>2048</v>
      </c>
      <c r="R158" s="67"/>
    </row>
    <row r="159">
      <c r="B159" s="182"/>
      <c r="J159" s="67"/>
      <c r="K159" s="67"/>
      <c r="R159" s="67"/>
    </row>
    <row r="160">
      <c r="B160" s="182"/>
      <c r="J160" s="67"/>
      <c r="K160" s="67"/>
      <c r="R160" s="67"/>
    </row>
    <row r="161">
      <c r="A161" s="23" t="s">
        <v>378</v>
      </c>
      <c r="B161" s="2"/>
      <c r="C161" s="2"/>
      <c r="D161" s="2"/>
      <c r="E161" s="2"/>
      <c r="F161" s="2"/>
      <c r="G161" s="2"/>
      <c r="H161" s="2"/>
      <c r="I161" s="2"/>
      <c r="J161" s="2"/>
      <c r="K161" s="3"/>
      <c r="R161" s="67"/>
    </row>
    <row r="162">
      <c r="A162" s="263" t="s">
        <v>2049</v>
      </c>
      <c r="B162" s="2"/>
      <c r="C162" s="2"/>
      <c r="D162" s="2"/>
      <c r="E162" s="2"/>
      <c r="F162" s="2"/>
      <c r="G162" s="2"/>
      <c r="H162" s="2"/>
      <c r="I162" s="2"/>
      <c r="J162" s="2"/>
      <c r="K162" s="3"/>
      <c r="R162" s="67"/>
    </row>
    <row r="163">
      <c r="A163" s="25"/>
      <c r="B163" s="489" t="s">
        <v>3</v>
      </c>
      <c r="C163" s="27" t="s">
        <v>2</v>
      </c>
      <c r="D163" s="28" t="s">
        <v>5</v>
      </c>
      <c r="E163" s="32" t="s">
        <v>19</v>
      </c>
      <c r="F163" s="28" t="s">
        <v>6</v>
      </c>
      <c r="G163" s="264" t="s">
        <v>7</v>
      </c>
      <c r="H163" s="30" t="s">
        <v>8</v>
      </c>
      <c r="I163" s="31" t="s">
        <v>20</v>
      </c>
      <c r="J163" s="32" t="s">
        <v>21</v>
      </c>
      <c r="K163" s="32" t="s">
        <v>22</v>
      </c>
      <c r="R163" s="67"/>
    </row>
    <row r="164">
      <c r="A164" s="12" t="s">
        <v>10</v>
      </c>
      <c r="B164" s="229" t="s">
        <v>758</v>
      </c>
      <c r="C164" s="74" t="s">
        <v>1281</v>
      </c>
      <c r="D164" s="499">
        <v>0.5416666666666666</v>
      </c>
      <c r="E164" s="74">
        <v>6.9475113649E10</v>
      </c>
      <c r="F164" s="74">
        <v>8.01440470124542E14</v>
      </c>
      <c r="G164" s="167" t="s">
        <v>2050</v>
      </c>
      <c r="H164" s="211">
        <v>15031.0</v>
      </c>
      <c r="I164" s="34" t="s">
        <v>183</v>
      </c>
      <c r="J164" s="74" t="s">
        <v>2051</v>
      </c>
      <c r="K164" s="74" t="s">
        <v>2051</v>
      </c>
      <c r="N164" s="268" t="s">
        <v>387</v>
      </c>
      <c r="O164" s="100"/>
      <c r="P164" s="100"/>
      <c r="Q164" s="100"/>
      <c r="R164" s="100"/>
    </row>
    <row r="165">
      <c r="A165" s="12" t="s">
        <v>11</v>
      </c>
      <c r="B165" s="229" t="s">
        <v>1468</v>
      </c>
      <c r="C165" s="74" t="s">
        <v>1281</v>
      </c>
      <c r="D165" s="499">
        <v>0.5555555555555556</v>
      </c>
      <c r="E165" s="74">
        <v>7.6644766404E10</v>
      </c>
      <c r="F165" s="74">
        <v>2.0393009437E14</v>
      </c>
      <c r="G165" s="167" t="s">
        <v>2052</v>
      </c>
      <c r="H165" s="211">
        <v>10417.0</v>
      </c>
      <c r="I165" s="34" t="s">
        <v>183</v>
      </c>
      <c r="J165" s="74" t="s">
        <v>2053</v>
      </c>
      <c r="K165" s="74" t="s">
        <v>2054</v>
      </c>
      <c r="N165" s="270" t="s">
        <v>1824</v>
      </c>
      <c r="O165" s="2"/>
      <c r="P165" s="2"/>
      <c r="Q165" s="2"/>
      <c r="R165" s="2"/>
    </row>
    <row r="166">
      <c r="A166" s="12" t="s">
        <v>12</v>
      </c>
      <c r="B166" s="229" t="s">
        <v>217</v>
      </c>
      <c r="C166" s="74" t="s">
        <v>1281</v>
      </c>
      <c r="D166" s="499">
        <v>0.5694444444444444</v>
      </c>
      <c r="E166" s="74">
        <v>1.3578998826E10</v>
      </c>
      <c r="F166" s="74">
        <v>7.06900171520934E14</v>
      </c>
      <c r="G166" s="167" t="s">
        <v>2055</v>
      </c>
      <c r="H166" s="211">
        <v>19753.0</v>
      </c>
      <c r="I166" s="34" t="s">
        <v>183</v>
      </c>
      <c r="J166" s="74" t="s">
        <v>2056</v>
      </c>
      <c r="K166" s="74" t="s">
        <v>2057</v>
      </c>
      <c r="N166" s="271" t="s">
        <v>183</v>
      </c>
      <c r="O166" s="272" t="s">
        <v>195</v>
      </c>
      <c r="P166" s="272" t="s">
        <v>181</v>
      </c>
      <c r="Q166" s="273" t="s">
        <v>173</v>
      </c>
      <c r="R166" s="286" t="s">
        <v>1823</v>
      </c>
    </row>
    <row r="167">
      <c r="A167" s="12" t="s">
        <v>13</v>
      </c>
      <c r="B167" s="229" t="s">
        <v>198</v>
      </c>
      <c r="C167" s="74" t="s">
        <v>1281</v>
      </c>
      <c r="D167" s="499">
        <v>0.5833333333333334</v>
      </c>
      <c r="E167" s="74">
        <v>4.0321626893E10</v>
      </c>
      <c r="F167" s="74">
        <v>7.02808662310161E14</v>
      </c>
      <c r="G167" s="167" t="s">
        <v>2058</v>
      </c>
      <c r="H167" s="211">
        <v>33902.0</v>
      </c>
      <c r="I167" s="34" t="s">
        <v>183</v>
      </c>
      <c r="J167" s="74" t="s">
        <v>2059</v>
      </c>
      <c r="K167" s="74"/>
      <c r="N167" s="275">
        <f t="shared" ref="N167:R167" si="10">COUNTIFS($I$164:$I$175,$N$166)</f>
        <v>10</v>
      </c>
      <c r="O167" s="275">
        <f t="shared" si="10"/>
        <v>10</v>
      </c>
      <c r="P167" s="275">
        <f t="shared" si="10"/>
        <v>10</v>
      </c>
      <c r="Q167" s="275">
        <f t="shared" si="10"/>
        <v>10</v>
      </c>
      <c r="R167" s="275">
        <f t="shared" si="10"/>
        <v>10</v>
      </c>
    </row>
    <row r="168">
      <c r="A168" s="12" t="s">
        <v>14</v>
      </c>
      <c r="B168" s="229" t="s">
        <v>758</v>
      </c>
      <c r="C168" s="74" t="s">
        <v>1281</v>
      </c>
      <c r="D168" s="499">
        <v>0.5972222222222222</v>
      </c>
      <c r="E168" s="74"/>
      <c r="F168" s="74"/>
      <c r="G168" s="167" t="s">
        <v>2060</v>
      </c>
      <c r="H168" s="211"/>
      <c r="I168" s="34" t="s">
        <v>183</v>
      </c>
      <c r="J168" s="74" t="s">
        <v>2061</v>
      </c>
      <c r="K168" s="74" t="s">
        <v>2062</v>
      </c>
      <c r="R168" s="67"/>
    </row>
    <row r="169">
      <c r="A169" s="12" t="s">
        <v>15</v>
      </c>
      <c r="B169" s="229" t="s">
        <v>1468</v>
      </c>
      <c r="C169" s="74" t="s">
        <v>1281</v>
      </c>
      <c r="D169" s="499">
        <v>0.6111111111111112</v>
      </c>
      <c r="E169" s="74">
        <v>5.9157313849E10</v>
      </c>
      <c r="F169" s="74">
        <v>7.03408224600616E14</v>
      </c>
      <c r="G169" s="167" t="s">
        <v>2063</v>
      </c>
      <c r="H169" s="211">
        <v>17499.0</v>
      </c>
      <c r="I169" s="34" t="s">
        <v>1823</v>
      </c>
      <c r="J169" s="74" t="s">
        <v>2064</v>
      </c>
      <c r="K169" s="74" t="s">
        <v>2065</v>
      </c>
      <c r="R169" s="67"/>
    </row>
    <row r="170">
      <c r="A170" s="12" t="s">
        <v>16</v>
      </c>
      <c r="B170" s="229" t="s">
        <v>217</v>
      </c>
      <c r="C170" s="74" t="s">
        <v>1281</v>
      </c>
      <c r="D170" s="499">
        <v>0.625</v>
      </c>
      <c r="E170" s="74">
        <v>1.9577020879E10</v>
      </c>
      <c r="F170" s="74">
        <v>7.00008771777908E14</v>
      </c>
      <c r="G170" s="167" t="s">
        <v>2066</v>
      </c>
      <c r="H170" s="211">
        <v>26849.0</v>
      </c>
      <c r="I170" s="34" t="s">
        <v>183</v>
      </c>
      <c r="J170" s="74" t="s">
        <v>2067</v>
      </c>
      <c r="K170" s="74" t="s">
        <v>2068</v>
      </c>
      <c r="R170" s="67"/>
    </row>
    <row r="171">
      <c r="A171" s="12" t="s">
        <v>17</v>
      </c>
      <c r="B171" s="229" t="s">
        <v>198</v>
      </c>
      <c r="C171" s="74" t="s">
        <v>1281</v>
      </c>
      <c r="D171" s="499">
        <v>0.6388888888888888</v>
      </c>
      <c r="E171" s="74">
        <v>6.8902956849E10</v>
      </c>
      <c r="F171" s="74">
        <v>8.0144040117098E14</v>
      </c>
      <c r="G171" s="167" t="s">
        <v>1029</v>
      </c>
      <c r="H171" s="211">
        <v>19839.0</v>
      </c>
      <c r="I171" s="34" t="s">
        <v>183</v>
      </c>
      <c r="J171" s="74" t="s">
        <v>1959</v>
      </c>
      <c r="K171" s="74"/>
      <c r="R171" s="67"/>
    </row>
    <row r="172">
      <c r="A172" s="12" t="s">
        <v>85</v>
      </c>
      <c r="B172" s="229" t="s">
        <v>1468</v>
      </c>
      <c r="C172" s="74" t="s">
        <v>1281</v>
      </c>
      <c r="D172" s="499">
        <v>0.6527777777777778</v>
      </c>
      <c r="E172" s="74"/>
      <c r="F172" s="74"/>
      <c r="G172" s="167" t="s">
        <v>2069</v>
      </c>
      <c r="H172" s="211"/>
      <c r="I172" s="34" t="s">
        <v>183</v>
      </c>
      <c r="J172" s="74" t="s">
        <v>2070</v>
      </c>
      <c r="K172" s="74"/>
      <c r="R172" s="67"/>
    </row>
    <row r="173">
      <c r="A173" s="12" t="s">
        <v>87</v>
      </c>
      <c r="B173" s="229" t="s">
        <v>758</v>
      </c>
      <c r="C173" s="74" t="s">
        <v>1281</v>
      </c>
      <c r="D173" s="499">
        <v>0.6666666666666666</v>
      </c>
      <c r="E173" s="74">
        <v>4.0853716811E10</v>
      </c>
      <c r="F173" s="74">
        <v>7.07006872404835E14</v>
      </c>
      <c r="G173" s="167" t="s">
        <v>2071</v>
      </c>
      <c r="H173" s="211">
        <v>33307.0</v>
      </c>
      <c r="I173" s="34" t="s">
        <v>183</v>
      </c>
      <c r="J173" s="74" t="s">
        <v>2072</v>
      </c>
      <c r="K173" s="74" t="s">
        <v>2073</v>
      </c>
      <c r="R173" s="67"/>
    </row>
    <row r="174">
      <c r="A174" s="12" t="s">
        <v>90</v>
      </c>
      <c r="B174" s="229" t="s">
        <v>758</v>
      </c>
      <c r="C174" s="74" t="s">
        <v>1281</v>
      </c>
      <c r="D174" s="499">
        <v>0.6805555555555556</v>
      </c>
      <c r="E174" s="74">
        <v>4.161865805E9</v>
      </c>
      <c r="F174" s="74">
        <v>8.01440489766051E14</v>
      </c>
      <c r="G174" s="167" t="s">
        <v>2074</v>
      </c>
      <c r="H174" s="211">
        <v>23500.0</v>
      </c>
      <c r="I174" s="34" t="s">
        <v>183</v>
      </c>
      <c r="J174" s="74" t="s">
        <v>2075</v>
      </c>
      <c r="K174" s="74" t="s">
        <v>2076</v>
      </c>
      <c r="R174" s="67"/>
    </row>
    <row r="175">
      <c r="A175" s="12" t="s">
        <v>93</v>
      </c>
      <c r="B175" s="229" t="s">
        <v>758</v>
      </c>
      <c r="C175" s="74" t="s">
        <v>1281</v>
      </c>
      <c r="D175" s="499">
        <v>0.6944444444444444</v>
      </c>
      <c r="E175" s="74">
        <v>1.1397130865E10</v>
      </c>
      <c r="F175" s="74">
        <v>8.98000238427554E14</v>
      </c>
      <c r="G175" s="167" t="s">
        <v>2077</v>
      </c>
      <c r="H175" s="211">
        <v>22857.0</v>
      </c>
      <c r="I175" s="34" t="s">
        <v>1823</v>
      </c>
      <c r="J175" s="74" t="s">
        <v>2078</v>
      </c>
      <c r="K175" s="74" t="s">
        <v>2079</v>
      </c>
      <c r="R175" s="67"/>
    </row>
    <row r="176">
      <c r="B176" s="182"/>
      <c r="J176" s="67"/>
      <c r="K176" s="67"/>
      <c r="R176" s="67"/>
    </row>
    <row r="177">
      <c r="B177" s="182"/>
      <c r="J177" s="67"/>
      <c r="K177" s="67"/>
      <c r="R177" s="67"/>
    </row>
    <row r="178">
      <c r="B178" s="182"/>
      <c r="J178" s="67"/>
      <c r="K178" s="67"/>
      <c r="R178" s="67"/>
    </row>
    <row r="179">
      <c r="B179" s="182"/>
      <c r="J179" s="67"/>
      <c r="K179" s="67"/>
      <c r="R179" s="67"/>
    </row>
    <row r="180">
      <c r="B180" s="182"/>
      <c r="J180" s="67"/>
      <c r="K180" s="67"/>
      <c r="N180" s="268" t="s">
        <v>2080</v>
      </c>
      <c r="O180" s="100"/>
      <c r="P180" s="100"/>
      <c r="Q180" s="100"/>
      <c r="R180" s="100"/>
    </row>
    <row r="181">
      <c r="B181" s="182"/>
      <c r="J181" s="67"/>
      <c r="K181" s="67"/>
      <c r="N181" s="271" t="s">
        <v>183</v>
      </c>
      <c r="O181" s="272" t="s">
        <v>195</v>
      </c>
      <c r="P181" s="272" t="s">
        <v>181</v>
      </c>
      <c r="Q181" s="273" t="s">
        <v>173</v>
      </c>
      <c r="R181" s="286" t="s">
        <v>1823</v>
      </c>
    </row>
    <row r="182">
      <c r="B182" s="182"/>
      <c r="J182" s="67"/>
      <c r="K182" s="67"/>
      <c r="N182" s="458">
        <f t="shared" ref="N182:R182" si="11">SUM(N57:N176)</f>
        <v>64</v>
      </c>
      <c r="O182" s="458">
        <f t="shared" si="11"/>
        <v>11</v>
      </c>
      <c r="P182" s="458">
        <f t="shared" si="11"/>
        <v>11</v>
      </c>
      <c r="Q182" s="458">
        <f t="shared" si="11"/>
        <v>10</v>
      </c>
      <c r="R182" s="458">
        <f t="shared" si="11"/>
        <v>26</v>
      </c>
    </row>
    <row r="183">
      <c r="B183" s="182"/>
      <c r="J183" s="67"/>
      <c r="K183" s="67"/>
      <c r="R183" s="67"/>
    </row>
    <row r="184">
      <c r="B184" s="182"/>
      <c r="J184" s="67"/>
      <c r="K184" s="67"/>
      <c r="R184" s="67"/>
    </row>
    <row r="185">
      <c r="B185" s="182"/>
      <c r="J185" s="67"/>
      <c r="K185" s="67"/>
      <c r="R185" s="67"/>
    </row>
    <row r="186">
      <c r="B186" s="182"/>
      <c r="J186" s="67"/>
      <c r="K186" s="67"/>
      <c r="R186" s="67"/>
    </row>
    <row r="187">
      <c r="B187" s="182"/>
      <c r="J187" s="67"/>
      <c r="K187" s="67"/>
      <c r="R187" s="67"/>
    </row>
    <row r="188">
      <c r="B188" s="182"/>
      <c r="J188" s="67"/>
      <c r="K188" s="67"/>
      <c r="R188" s="67"/>
    </row>
    <row r="189">
      <c r="B189" s="182"/>
      <c r="J189" s="67"/>
      <c r="K189" s="67"/>
      <c r="R189" s="67"/>
    </row>
    <row r="190">
      <c r="B190" s="182"/>
      <c r="J190" s="67"/>
      <c r="K190" s="67"/>
      <c r="R190" s="67"/>
    </row>
    <row r="191">
      <c r="B191" s="182"/>
      <c r="J191" s="67"/>
      <c r="K191" s="67"/>
      <c r="R191" s="67"/>
    </row>
    <row r="192">
      <c r="B192" s="182"/>
      <c r="J192" s="67"/>
      <c r="K192" s="67"/>
      <c r="R192" s="67"/>
    </row>
    <row r="193">
      <c r="B193" s="182"/>
      <c r="J193" s="67"/>
      <c r="K193" s="67"/>
      <c r="R193" s="67"/>
    </row>
    <row r="194">
      <c r="B194" s="182"/>
      <c r="J194" s="67"/>
      <c r="K194" s="67"/>
      <c r="R194" s="67"/>
    </row>
    <row r="195">
      <c r="B195" s="182"/>
      <c r="J195" s="67"/>
      <c r="K195" s="67"/>
      <c r="R195" s="67"/>
    </row>
    <row r="196">
      <c r="B196" s="182"/>
      <c r="J196" s="67"/>
      <c r="K196" s="67"/>
      <c r="R196" s="67"/>
    </row>
    <row r="197">
      <c r="B197" s="182"/>
      <c r="J197" s="67"/>
      <c r="K197" s="67"/>
      <c r="R197" s="67"/>
    </row>
    <row r="198">
      <c r="B198" s="182"/>
      <c r="J198" s="67"/>
      <c r="K198" s="67"/>
      <c r="R198" s="67"/>
    </row>
    <row r="199">
      <c r="B199" s="182"/>
      <c r="J199" s="67"/>
      <c r="K199" s="67"/>
      <c r="R199" s="67"/>
    </row>
    <row r="200">
      <c r="B200" s="182"/>
      <c r="J200" s="67"/>
      <c r="K200" s="67"/>
      <c r="R200" s="67"/>
    </row>
    <row r="201">
      <c r="B201" s="182"/>
      <c r="J201" s="67"/>
      <c r="K201" s="67"/>
      <c r="R201" s="67"/>
    </row>
    <row r="202">
      <c r="B202" s="182"/>
      <c r="J202" s="67"/>
      <c r="K202" s="67"/>
      <c r="R202" s="67"/>
    </row>
    <row r="203">
      <c r="B203" s="182"/>
      <c r="J203" s="67"/>
      <c r="K203" s="67"/>
      <c r="R203" s="67"/>
    </row>
    <row r="204">
      <c r="B204" s="182"/>
      <c r="J204" s="67"/>
      <c r="K204" s="67"/>
      <c r="R204" s="67"/>
    </row>
    <row r="205">
      <c r="B205" s="182"/>
      <c r="J205" s="67"/>
      <c r="K205" s="67"/>
      <c r="R205" s="67"/>
    </row>
    <row r="206">
      <c r="B206" s="182"/>
      <c r="J206" s="67"/>
      <c r="K206" s="67"/>
      <c r="R206" s="67"/>
    </row>
    <row r="207">
      <c r="B207" s="182"/>
      <c r="J207" s="67"/>
      <c r="K207" s="67"/>
      <c r="R207" s="67"/>
    </row>
    <row r="208">
      <c r="B208" s="182"/>
      <c r="J208" s="67"/>
      <c r="K208" s="67"/>
      <c r="R208" s="67"/>
    </row>
    <row r="209">
      <c r="B209" s="182"/>
      <c r="J209" s="67"/>
      <c r="K209" s="67"/>
      <c r="R209" s="67"/>
    </row>
    <row r="210">
      <c r="B210" s="182"/>
      <c r="J210" s="67"/>
      <c r="K210" s="67"/>
      <c r="R210" s="67"/>
    </row>
    <row r="211">
      <c r="B211" s="182"/>
      <c r="J211" s="67"/>
      <c r="K211" s="67"/>
      <c r="R211" s="67"/>
    </row>
    <row r="212">
      <c r="B212" s="182"/>
      <c r="J212" s="67"/>
      <c r="K212" s="67"/>
      <c r="R212" s="67"/>
    </row>
    <row r="213">
      <c r="B213" s="182"/>
      <c r="J213" s="67"/>
      <c r="K213" s="67"/>
      <c r="R213" s="67"/>
    </row>
    <row r="214">
      <c r="B214" s="182"/>
      <c r="J214" s="67"/>
      <c r="K214" s="67"/>
      <c r="R214" s="67"/>
    </row>
    <row r="215">
      <c r="B215" s="182"/>
      <c r="J215" s="67"/>
      <c r="K215" s="67"/>
      <c r="R215" s="67"/>
    </row>
    <row r="216">
      <c r="B216" s="182"/>
      <c r="J216" s="67"/>
      <c r="K216" s="67"/>
      <c r="R216" s="67"/>
    </row>
    <row r="217">
      <c r="B217" s="182"/>
      <c r="J217" s="67"/>
      <c r="K217" s="67"/>
      <c r="R217" s="67"/>
    </row>
    <row r="218">
      <c r="B218" s="182"/>
      <c r="J218" s="67"/>
      <c r="K218" s="67"/>
      <c r="R218" s="67"/>
    </row>
    <row r="219">
      <c r="B219" s="182"/>
      <c r="J219" s="67"/>
      <c r="K219" s="67"/>
      <c r="R219" s="67"/>
    </row>
    <row r="220">
      <c r="B220" s="182"/>
      <c r="J220" s="67"/>
      <c r="K220" s="67"/>
      <c r="R220" s="67"/>
    </row>
    <row r="221">
      <c r="B221" s="182"/>
      <c r="J221" s="67"/>
      <c r="K221" s="67"/>
      <c r="R221" s="67"/>
    </row>
    <row r="222">
      <c r="B222" s="182"/>
      <c r="J222" s="67"/>
      <c r="K222" s="67"/>
      <c r="R222" s="67"/>
    </row>
    <row r="223">
      <c r="B223" s="182"/>
      <c r="J223" s="67"/>
      <c r="K223" s="67"/>
      <c r="R223" s="67"/>
    </row>
    <row r="224">
      <c r="B224" s="182"/>
      <c r="J224" s="67"/>
      <c r="K224" s="67"/>
      <c r="R224" s="67"/>
    </row>
    <row r="225">
      <c r="B225" s="182"/>
      <c r="J225" s="67"/>
      <c r="K225" s="67"/>
      <c r="R225" s="67"/>
    </row>
    <row r="226">
      <c r="B226" s="182"/>
      <c r="J226" s="67"/>
      <c r="K226" s="67"/>
      <c r="R226" s="67"/>
    </row>
    <row r="227">
      <c r="B227" s="182"/>
      <c r="J227" s="67"/>
      <c r="K227" s="67"/>
      <c r="R227" s="67"/>
    </row>
    <row r="228">
      <c r="B228" s="182"/>
      <c r="J228" s="67"/>
      <c r="K228" s="67"/>
      <c r="R228" s="67"/>
    </row>
    <row r="229">
      <c r="B229" s="182"/>
      <c r="J229" s="67"/>
      <c r="K229" s="67"/>
      <c r="R229" s="67"/>
    </row>
    <row r="230">
      <c r="B230" s="182"/>
      <c r="J230" s="67"/>
      <c r="K230" s="67"/>
      <c r="R230" s="67"/>
    </row>
    <row r="231">
      <c r="B231" s="182"/>
      <c r="J231" s="67"/>
      <c r="K231" s="67"/>
      <c r="R231" s="67"/>
    </row>
    <row r="232">
      <c r="B232" s="182"/>
      <c r="J232" s="67"/>
      <c r="K232" s="67"/>
      <c r="R232" s="67"/>
    </row>
    <row r="233">
      <c r="B233" s="182"/>
      <c r="J233" s="67"/>
      <c r="K233" s="67"/>
      <c r="R233" s="67"/>
    </row>
    <row r="234">
      <c r="B234" s="182"/>
      <c r="J234" s="67"/>
      <c r="K234" s="67"/>
      <c r="R234" s="67"/>
    </row>
    <row r="235">
      <c r="B235" s="182"/>
      <c r="J235" s="67"/>
      <c r="K235" s="67"/>
      <c r="R235" s="67"/>
    </row>
    <row r="236">
      <c r="B236" s="182"/>
      <c r="J236" s="67"/>
      <c r="K236" s="67"/>
      <c r="R236" s="67"/>
    </row>
    <row r="237">
      <c r="B237" s="182"/>
      <c r="J237" s="67"/>
      <c r="K237" s="67"/>
      <c r="R237" s="67"/>
    </row>
    <row r="238">
      <c r="B238" s="182"/>
      <c r="J238" s="67"/>
      <c r="K238" s="67"/>
      <c r="R238" s="67"/>
    </row>
    <row r="239">
      <c r="B239" s="182"/>
      <c r="J239" s="67"/>
      <c r="K239" s="67"/>
      <c r="R239" s="67"/>
    </row>
    <row r="240">
      <c r="B240" s="182"/>
      <c r="J240" s="67"/>
      <c r="K240" s="67"/>
      <c r="R240" s="67"/>
    </row>
    <row r="241">
      <c r="B241" s="182"/>
      <c r="J241" s="67"/>
      <c r="K241" s="67"/>
      <c r="R241" s="67"/>
    </row>
    <row r="242">
      <c r="B242" s="182"/>
      <c r="J242" s="67"/>
      <c r="K242" s="67"/>
      <c r="R242" s="67"/>
    </row>
    <row r="243">
      <c r="B243" s="182"/>
      <c r="J243" s="67"/>
      <c r="K243" s="67"/>
      <c r="R243" s="67"/>
    </row>
    <row r="244">
      <c r="B244" s="182"/>
      <c r="J244" s="67"/>
      <c r="K244" s="67"/>
      <c r="R244" s="67"/>
    </row>
    <row r="245">
      <c r="B245" s="182"/>
      <c r="J245" s="67"/>
      <c r="K245" s="67"/>
      <c r="R245" s="67"/>
    </row>
    <row r="246">
      <c r="B246" s="182"/>
      <c r="J246" s="67"/>
      <c r="K246" s="67"/>
      <c r="R246" s="67"/>
    </row>
    <row r="247">
      <c r="B247" s="182"/>
      <c r="J247" s="67"/>
      <c r="K247" s="67"/>
      <c r="R247" s="67"/>
    </row>
    <row r="248">
      <c r="B248" s="182"/>
      <c r="J248" s="67"/>
      <c r="K248" s="67"/>
      <c r="R248" s="67"/>
    </row>
    <row r="249">
      <c r="B249" s="182"/>
      <c r="J249" s="67"/>
      <c r="K249" s="67"/>
      <c r="R249" s="67"/>
    </row>
    <row r="250">
      <c r="B250" s="182"/>
      <c r="J250" s="67"/>
      <c r="K250" s="67"/>
      <c r="R250" s="67"/>
    </row>
    <row r="251">
      <c r="B251" s="182"/>
      <c r="J251" s="67"/>
      <c r="K251" s="67"/>
      <c r="R251" s="67"/>
    </row>
    <row r="252">
      <c r="B252" s="182"/>
      <c r="J252" s="67"/>
      <c r="K252" s="67"/>
      <c r="R252" s="67"/>
    </row>
    <row r="253">
      <c r="B253" s="182"/>
      <c r="J253" s="67"/>
      <c r="K253" s="67"/>
      <c r="R253" s="67"/>
    </row>
    <row r="254">
      <c r="B254" s="182"/>
      <c r="J254" s="67"/>
      <c r="K254" s="67"/>
      <c r="R254" s="67"/>
    </row>
    <row r="255">
      <c r="B255" s="182"/>
      <c r="J255" s="67"/>
      <c r="K255" s="67"/>
      <c r="R255" s="67"/>
    </row>
    <row r="256">
      <c r="B256" s="182"/>
      <c r="J256" s="67"/>
      <c r="K256" s="67"/>
      <c r="R256" s="67"/>
    </row>
    <row r="257">
      <c r="B257" s="182"/>
      <c r="J257" s="67"/>
      <c r="K257" s="67"/>
      <c r="R257" s="67"/>
    </row>
    <row r="258">
      <c r="B258" s="182"/>
      <c r="J258" s="67"/>
      <c r="K258" s="67"/>
      <c r="R258" s="67"/>
    </row>
    <row r="259">
      <c r="B259" s="182"/>
      <c r="J259" s="67"/>
      <c r="K259" s="67"/>
      <c r="R259" s="67"/>
    </row>
    <row r="260">
      <c r="B260" s="182"/>
      <c r="J260" s="67"/>
      <c r="K260" s="67"/>
      <c r="R260" s="67"/>
    </row>
    <row r="261">
      <c r="B261" s="182"/>
      <c r="J261" s="67"/>
      <c r="K261" s="67"/>
      <c r="R261" s="67"/>
    </row>
    <row r="262">
      <c r="B262" s="182"/>
      <c r="J262" s="67"/>
      <c r="K262" s="67"/>
      <c r="R262" s="67"/>
    </row>
    <row r="263">
      <c r="B263" s="182"/>
      <c r="J263" s="67"/>
      <c r="K263" s="67"/>
      <c r="R263" s="67"/>
    </row>
    <row r="264">
      <c r="B264" s="182"/>
      <c r="J264" s="67"/>
      <c r="K264" s="67"/>
      <c r="R264" s="67"/>
    </row>
    <row r="265">
      <c r="B265" s="182"/>
      <c r="J265" s="67"/>
      <c r="K265" s="67"/>
      <c r="R265" s="67"/>
    </row>
    <row r="266">
      <c r="B266" s="182"/>
      <c r="J266" s="67"/>
      <c r="K266" s="67"/>
      <c r="R266" s="67"/>
    </row>
    <row r="267">
      <c r="B267" s="182"/>
      <c r="J267" s="67"/>
      <c r="K267" s="67"/>
      <c r="R267" s="67"/>
    </row>
    <row r="268">
      <c r="B268" s="182"/>
      <c r="J268" s="67"/>
      <c r="K268" s="67"/>
      <c r="R268" s="67"/>
    </row>
    <row r="269">
      <c r="B269" s="182"/>
      <c r="J269" s="67"/>
      <c r="K269" s="67"/>
      <c r="R269" s="67"/>
    </row>
    <row r="270">
      <c r="B270" s="182"/>
      <c r="J270" s="67"/>
      <c r="K270" s="67"/>
      <c r="R270" s="67"/>
    </row>
    <row r="271">
      <c r="B271" s="182"/>
      <c r="J271" s="67"/>
      <c r="K271" s="67"/>
      <c r="R271" s="67"/>
    </row>
    <row r="272">
      <c r="B272" s="182"/>
      <c r="J272" s="67"/>
      <c r="K272" s="67"/>
      <c r="R272" s="67"/>
    </row>
    <row r="273">
      <c r="B273" s="182"/>
      <c r="J273" s="67"/>
      <c r="K273" s="67"/>
      <c r="R273" s="67"/>
    </row>
    <row r="274">
      <c r="B274" s="182"/>
      <c r="J274" s="67"/>
      <c r="K274" s="67"/>
      <c r="R274" s="67"/>
    </row>
    <row r="275">
      <c r="B275" s="182"/>
      <c r="J275" s="67"/>
      <c r="K275" s="67"/>
      <c r="R275" s="67"/>
    </row>
    <row r="276">
      <c r="B276" s="182"/>
      <c r="J276" s="67"/>
      <c r="K276" s="67"/>
      <c r="R276" s="67"/>
    </row>
    <row r="277">
      <c r="B277" s="182"/>
      <c r="J277" s="67"/>
      <c r="K277" s="67"/>
      <c r="R277" s="67"/>
    </row>
    <row r="278">
      <c r="B278" s="182"/>
      <c r="J278" s="67"/>
      <c r="K278" s="67"/>
      <c r="R278" s="67"/>
    </row>
    <row r="279">
      <c r="B279" s="182"/>
      <c r="J279" s="67"/>
      <c r="K279" s="67"/>
      <c r="R279" s="67"/>
    </row>
    <row r="280">
      <c r="B280" s="182"/>
      <c r="J280" s="67"/>
      <c r="K280" s="67"/>
      <c r="R280" s="67"/>
    </row>
    <row r="281">
      <c r="B281" s="182"/>
      <c r="J281" s="67"/>
      <c r="K281" s="67"/>
      <c r="R281" s="67"/>
    </row>
    <row r="282">
      <c r="B282" s="182"/>
      <c r="J282" s="67"/>
      <c r="K282" s="67"/>
      <c r="R282" s="67"/>
    </row>
    <row r="283">
      <c r="B283" s="182"/>
      <c r="J283" s="67"/>
      <c r="K283" s="67"/>
      <c r="R283" s="67"/>
    </row>
    <row r="284">
      <c r="B284" s="182"/>
      <c r="J284" s="67"/>
      <c r="K284" s="67"/>
      <c r="R284" s="67"/>
    </row>
    <row r="285">
      <c r="B285" s="182"/>
      <c r="J285" s="67"/>
      <c r="K285" s="67"/>
      <c r="R285" s="67"/>
    </row>
    <row r="286">
      <c r="B286" s="182"/>
      <c r="J286" s="67"/>
      <c r="K286" s="67"/>
      <c r="R286" s="67"/>
    </row>
    <row r="287">
      <c r="B287" s="182"/>
      <c r="J287" s="67"/>
      <c r="K287" s="67"/>
      <c r="R287" s="67"/>
    </row>
    <row r="288">
      <c r="B288" s="182"/>
      <c r="J288" s="67"/>
      <c r="K288" s="67"/>
      <c r="R288" s="67"/>
    </row>
    <row r="289">
      <c r="B289" s="182"/>
      <c r="J289" s="67"/>
      <c r="K289" s="67"/>
      <c r="R289" s="67"/>
    </row>
    <row r="290">
      <c r="B290" s="182"/>
      <c r="J290" s="67"/>
      <c r="K290" s="67"/>
      <c r="R290" s="67"/>
    </row>
    <row r="291">
      <c r="B291" s="182"/>
      <c r="J291" s="67"/>
      <c r="K291" s="67"/>
      <c r="R291" s="67"/>
    </row>
    <row r="292">
      <c r="B292" s="182"/>
      <c r="J292" s="67"/>
      <c r="K292" s="67"/>
      <c r="R292" s="67"/>
    </row>
    <row r="293">
      <c r="B293" s="182"/>
      <c r="J293" s="67"/>
      <c r="K293" s="67"/>
      <c r="R293" s="67"/>
    </row>
    <row r="294">
      <c r="B294" s="182"/>
      <c r="J294" s="67"/>
      <c r="K294" s="67"/>
      <c r="R294" s="67"/>
    </row>
    <row r="295">
      <c r="B295" s="182"/>
      <c r="J295" s="67"/>
      <c r="K295" s="67"/>
      <c r="R295" s="67"/>
    </row>
    <row r="296">
      <c r="B296" s="182"/>
      <c r="J296" s="67"/>
      <c r="K296" s="67"/>
      <c r="R296" s="67"/>
    </row>
    <row r="297">
      <c r="B297" s="182"/>
      <c r="J297" s="67"/>
      <c r="K297" s="67"/>
      <c r="R297" s="67"/>
    </row>
    <row r="298">
      <c r="B298" s="182"/>
      <c r="J298" s="67"/>
      <c r="K298" s="67"/>
      <c r="R298" s="67"/>
    </row>
    <row r="299">
      <c r="B299" s="182"/>
      <c r="J299" s="67"/>
      <c r="K299" s="67"/>
      <c r="R299" s="67"/>
    </row>
    <row r="300">
      <c r="B300" s="182"/>
      <c r="J300" s="67"/>
      <c r="K300" s="67"/>
      <c r="R300" s="67"/>
    </row>
    <row r="301">
      <c r="B301" s="182"/>
      <c r="J301" s="67"/>
      <c r="K301" s="67"/>
      <c r="R301" s="67"/>
    </row>
    <row r="302">
      <c r="B302" s="182"/>
      <c r="J302" s="67"/>
      <c r="K302" s="67"/>
      <c r="R302" s="67"/>
    </row>
    <row r="303">
      <c r="B303" s="182"/>
      <c r="J303" s="67"/>
      <c r="K303" s="67"/>
      <c r="R303" s="67"/>
    </row>
    <row r="304">
      <c r="B304" s="182"/>
      <c r="J304" s="67"/>
      <c r="K304" s="67"/>
      <c r="R304" s="67"/>
    </row>
    <row r="305">
      <c r="B305" s="182"/>
      <c r="J305" s="67"/>
      <c r="K305" s="67"/>
      <c r="R305" s="67"/>
    </row>
    <row r="306">
      <c r="B306" s="182"/>
      <c r="J306" s="67"/>
      <c r="K306" s="67"/>
      <c r="R306" s="67"/>
    </row>
    <row r="307">
      <c r="B307" s="182"/>
      <c r="J307" s="67"/>
      <c r="K307" s="67"/>
      <c r="R307" s="67"/>
    </row>
    <row r="308">
      <c r="B308" s="182"/>
      <c r="J308" s="67"/>
      <c r="K308" s="67"/>
      <c r="R308" s="67"/>
    </row>
    <row r="309">
      <c r="B309" s="182"/>
      <c r="J309" s="67"/>
      <c r="K309" s="67"/>
      <c r="R309" s="67"/>
    </row>
    <row r="310">
      <c r="B310" s="182"/>
      <c r="J310" s="67"/>
      <c r="K310" s="67"/>
      <c r="R310" s="67"/>
    </row>
    <row r="311">
      <c r="B311" s="182"/>
      <c r="J311" s="67"/>
      <c r="K311" s="67"/>
      <c r="R311" s="67"/>
    </row>
    <row r="312">
      <c r="B312" s="182"/>
      <c r="J312" s="67"/>
      <c r="K312" s="67"/>
      <c r="R312" s="67"/>
    </row>
    <row r="313">
      <c r="B313" s="182"/>
      <c r="J313" s="67"/>
      <c r="K313" s="67"/>
      <c r="R313" s="67"/>
    </row>
    <row r="314">
      <c r="B314" s="182"/>
      <c r="J314" s="67"/>
      <c r="K314" s="67"/>
      <c r="R314" s="67"/>
    </row>
    <row r="315">
      <c r="B315" s="182"/>
      <c r="J315" s="67"/>
      <c r="K315" s="67"/>
      <c r="R315" s="67"/>
    </row>
    <row r="316">
      <c r="B316" s="182"/>
      <c r="J316" s="67"/>
      <c r="K316" s="67"/>
      <c r="R316" s="67"/>
    </row>
    <row r="317">
      <c r="B317" s="182"/>
      <c r="J317" s="67"/>
      <c r="K317" s="67"/>
      <c r="R317" s="67"/>
    </row>
    <row r="318">
      <c r="B318" s="182"/>
      <c r="J318" s="67"/>
      <c r="K318" s="67"/>
      <c r="R318" s="67"/>
    </row>
    <row r="319">
      <c r="B319" s="182"/>
      <c r="J319" s="67"/>
      <c r="K319" s="67"/>
      <c r="R319" s="67"/>
    </row>
    <row r="320">
      <c r="B320" s="182"/>
      <c r="J320" s="67"/>
      <c r="K320" s="67"/>
      <c r="R320" s="67"/>
    </row>
    <row r="321">
      <c r="B321" s="182"/>
      <c r="J321" s="67"/>
      <c r="K321" s="67"/>
      <c r="R321" s="67"/>
    </row>
    <row r="322">
      <c r="B322" s="182"/>
      <c r="J322" s="67"/>
      <c r="K322" s="67"/>
      <c r="R322" s="67"/>
    </row>
    <row r="323">
      <c r="B323" s="182"/>
      <c r="J323" s="67"/>
      <c r="K323" s="67"/>
      <c r="R323" s="67"/>
    </row>
    <row r="324">
      <c r="B324" s="182"/>
      <c r="J324" s="67"/>
      <c r="K324" s="67"/>
      <c r="R324" s="67"/>
    </row>
    <row r="325">
      <c r="B325" s="182"/>
      <c r="J325" s="67"/>
      <c r="K325" s="67"/>
      <c r="R325" s="67"/>
    </row>
    <row r="326">
      <c r="B326" s="182"/>
      <c r="J326" s="67"/>
      <c r="K326" s="67"/>
      <c r="R326" s="67"/>
    </row>
    <row r="327">
      <c r="B327" s="182"/>
      <c r="J327" s="67"/>
      <c r="K327" s="67"/>
      <c r="R327" s="67"/>
    </row>
    <row r="328">
      <c r="B328" s="182"/>
      <c r="J328" s="67"/>
      <c r="K328" s="67"/>
      <c r="R328" s="67"/>
    </row>
    <row r="329">
      <c r="B329" s="182"/>
      <c r="J329" s="67"/>
      <c r="K329" s="67"/>
      <c r="R329" s="67"/>
    </row>
    <row r="330">
      <c r="B330" s="182"/>
      <c r="J330" s="67"/>
      <c r="K330" s="67"/>
      <c r="R330" s="67"/>
    </row>
    <row r="331">
      <c r="B331" s="182"/>
      <c r="J331" s="67"/>
      <c r="K331" s="67"/>
      <c r="R331" s="67"/>
    </row>
    <row r="332">
      <c r="B332" s="182"/>
      <c r="J332" s="67"/>
      <c r="K332" s="67"/>
      <c r="R332" s="67"/>
    </row>
    <row r="333">
      <c r="B333" s="182"/>
      <c r="J333" s="67"/>
      <c r="K333" s="67"/>
      <c r="R333" s="67"/>
    </row>
    <row r="334">
      <c r="B334" s="182"/>
      <c r="J334" s="67"/>
      <c r="K334" s="67"/>
      <c r="R334" s="67"/>
    </row>
    <row r="335">
      <c r="B335" s="182"/>
      <c r="J335" s="67"/>
      <c r="K335" s="67"/>
      <c r="R335" s="67"/>
    </row>
    <row r="336">
      <c r="B336" s="182"/>
      <c r="J336" s="67"/>
      <c r="K336" s="67"/>
      <c r="R336" s="67"/>
    </row>
    <row r="337">
      <c r="B337" s="182"/>
      <c r="J337" s="67"/>
      <c r="K337" s="67"/>
      <c r="R337" s="67"/>
    </row>
    <row r="338">
      <c r="B338" s="182"/>
      <c r="J338" s="67"/>
      <c r="K338" s="67"/>
      <c r="R338" s="67"/>
    </row>
    <row r="339">
      <c r="B339" s="182"/>
      <c r="J339" s="67"/>
      <c r="K339" s="67"/>
      <c r="R339" s="67"/>
    </row>
    <row r="340">
      <c r="B340" s="182"/>
      <c r="J340" s="67"/>
      <c r="K340" s="67"/>
      <c r="R340" s="67"/>
    </row>
    <row r="341">
      <c r="B341" s="182"/>
      <c r="J341" s="67"/>
      <c r="K341" s="67"/>
      <c r="R341" s="67"/>
    </row>
    <row r="342">
      <c r="B342" s="182"/>
      <c r="J342" s="67"/>
      <c r="K342" s="67"/>
      <c r="R342" s="67"/>
    </row>
    <row r="343">
      <c r="B343" s="182"/>
      <c r="J343" s="67"/>
      <c r="K343" s="67"/>
      <c r="R343" s="67"/>
    </row>
    <row r="344">
      <c r="B344" s="182"/>
      <c r="J344" s="67"/>
      <c r="K344" s="67"/>
      <c r="R344" s="67"/>
    </row>
    <row r="345">
      <c r="B345" s="182"/>
      <c r="J345" s="67"/>
      <c r="K345" s="67"/>
      <c r="R345" s="67"/>
    </row>
    <row r="346">
      <c r="B346" s="182"/>
      <c r="J346" s="67"/>
      <c r="K346" s="67"/>
      <c r="R346" s="67"/>
    </row>
    <row r="347">
      <c r="B347" s="182"/>
      <c r="J347" s="67"/>
      <c r="K347" s="67"/>
      <c r="R347" s="67"/>
    </row>
    <row r="348">
      <c r="B348" s="182"/>
      <c r="J348" s="67"/>
      <c r="K348" s="67"/>
      <c r="R348" s="67"/>
    </row>
    <row r="349">
      <c r="B349" s="182"/>
      <c r="J349" s="67"/>
      <c r="K349" s="67"/>
      <c r="R349" s="67"/>
    </row>
    <row r="350">
      <c r="B350" s="182"/>
      <c r="J350" s="67"/>
      <c r="K350" s="67"/>
      <c r="R350" s="67"/>
    </row>
    <row r="351">
      <c r="B351" s="182"/>
      <c r="J351" s="67"/>
      <c r="K351" s="67"/>
      <c r="R351" s="67"/>
    </row>
    <row r="352">
      <c r="B352" s="182"/>
      <c r="J352" s="67"/>
      <c r="K352" s="67"/>
      <c r="R352" s="67"/>
    </row>
    <row r="353">
      <c r="B353" s="182"/>
      <c r="J353" s="67"/>
      <c r="K353" s="67"/>
      <c r="R353" s="67"/>
    </row>
    <row r="354">
      <c r="B354" s="182"/>
      <c r="J354" s="67"/>
      <c r="K354" s="67"/>
      <c r="R354" s="67"/>
    </row>
    <row r="355">
      <c r="B355" s="182"/>
      <c r="J355" s="67"/>
      <c r="K355" s="67"/>
      <c r="R355" s="67"/>
    </row>
    <row r="356">
      <c r="B356" s="182"/>
      <c r="J356" s="67"/>
      <c r="K356" s="67"/>
      <c r="R356" s="67"/>
    </row>
    <row r="357">
      <c r="B357" s="182"/>
      <c r="J357" s="67"/>
      <c r="K357" s="67"/>
      <c r="R357" s="67"/>
    </row>
    <row r="358">
      <c r="B358" s="182"/>
      <c r="J358" s="67"/>
      <c r="K358" s="67"/>
      <c r="R358" s="67"/>
    </row>
    <row r="359">
      <c r="B359" s="182"/>
      <c r="J359" s="67"/>
      <c r="K359" s="67"/>
      <c r="R359" s="67"/>
    </row>
    <row r="360">
      <c r="B360" s="182"/>
      <c r="J360" s="67"/>
      <c r="K360" s="67"/>
      <c r="R360" s="67"/>
    </row>
    <row r="361">
      <c r="B361" s="182"/>
      <c r="J361" s="67"/>
      <c r="K361" s="67"/>
      <c r="R361" s="67"/>
    </row>
    <row r="362">
      <c r="B362" s="182"/>
      <c r="J362" s="67"/>
      <c r="K362" s="67"/>
      <c r="R362" s="67"/>
    </row>
    <row r="363">
      <c r="B363" s="182"/>
      <c r="J363" s="67"/>
      <c r="K363" s="67"/>
      <c r="R363" s="67"/>
    </row>
    <row r="364">
      <c r="B364" s="182"/>
      <c r="J364" s="67"/>
      <c r="K364" s="67"/>
      <c r="R364" s="67"/>
    </row>
    <row r="365">
      <c r="B365" s="182"/>
      <c r="J365" s="67"/>
      <c r="K365" s="67"/>
      <c r="R365" s="67"/>
    </row>
    <row r="366">
      <c r="B366" s="182"/>
      <c r="J366" s="67"/>
      <c r="K366" s="67"/>
      <c r="R366" s="67"/>
    </row>
    <row r="367">
      <c r="B367" s="182"/>
      <c r="J367" s="67"/>
      <c r="K367" s="67"/>
      <c r="R367" s="67"/>
    </row>
    <row r="368">
      <c r="B368" s="182"/>
      <c r="J368" s="67"/>
      <c r="K368" s="67"/>
      <c r="R368" s="67"/>
    </row>
    <row r="369">
      <c r="B369" s="182"/>
      <c r="J369" s="67"/>
      <c r="K369" s="67"/>
      <c r="R369" s="67"/>
    </row>
    <row r="370">
      <c r="B370" s="182"/>
      <c r="J370" s="67"/>
      <c r="K370" s="67"/>
      <c r="R370" s="67"/>
    </row>
    <row r="371">
      <c r="B371" s="182"/>
      <c r="J371" s="67"/>
      <c r="K371" s="67"/>
      <c r="R371" s="67"/>
    </row>
    <row r="372">
      <c r="B372" s="182"/>
      <c r="J372" s="67"/>
      <c r="K372" s="67"/>
      <c r="R372" s="67"/>
    </row>
    <row r="373">
      <c r="B373" s="182"/>
      <c r="J373" s="67"/>
      <c r="K373" s="67"/>
      <c r="R373" s="67"/>
    </row>
    <row r="374">
      <c r="B374" s="182"/>
      <c r="J374" s="67"/>
      <c r="K374" s="67"/>
      <c r="R374" s="67"/>
    </row>
    <row r="375">
      <c r="B375" s="182"/>
      <c r="J375" s="67"/>
      <c r="K375" s="67"/>
      <c r="R375" s="67"/>
    </row>
    <row r="376">
      <c r="B376" s="182"/>
      <c r="J376" s="67"/>
      <c r="K376" s="67"/>
      <c r="R376" s="67"/>
    </row>
    <row r="377">
      <c r="B377" s="182"/>
      <c r="J377" s="67"/>
      <c r="K377" s="67"/>
      <c r="R377" s="67"/>
    </row>
    <row r="378">
      <c r="B378" s="182"/>
      <c r="J378" s="67"/>
      <c r="K378" s="67"/>
      <c r="R378" s="67"/>
    </row>
    <row r="379">
      <c r="B379" s="182"/>
      <c r="J379" s="67"/>
      <c r="K379" s="67"/>
      <c r="R379" s="67"/>
    </row>
    <row r="380">
      <c r="B380" s="182"/>
      <c r="J380" s="67"/>
      <c r="K380" s="67"/>
      <c r="R380" s="67"/>
    </row>
    <row r="381">
      <c r="B381" s="182"/>
      <c r="J381" s="67"/>
      <c r="K381" s="67"/>
      <c r="R381" s="67"/>
    </row>
    <row r="382">
      <c r="B382" s="182"/>
      <c r="J382" s="67"/>
      <c r="K382" s="67"/>
      <c r="R382" s="67"/>
    </row>
    <row r="383">
      <c r="B383" s="182"/>
      <c r="J383" s="67"/>
      <c r="K383" s="67"/>
      <c r="R383" s="67"/>
    </row>
    <row r="384">
      <c r="B384" s="182"/>
      <c r="J384" s="67"/>
      <c r="K384" s="67"/>
      <c r="R384" s="67"/>
    </row>
    <row r="385">
      <c r="B385" s="182"/>
      <c r="J385" s="67"/>
      <c r="K385" s="67"/>
      <c r="R385" s="67"/>
    </row>
    <row r="386">
      <c r="B386" s="182"/>
      <c r="J386" s="67"/>
      <c r="K386" s="67"/>
      <c r="R386" s="67"/>
    </row>
    <row r="387">
      <c r="B387" s="182"/>
      <c r="J387" s="67"/>
      <c r="K387" s="67"/>
      <c r="R387" s="67"/>
    </row>
    <row r="388">
      <c r="B388" s="182"/>
      <c r="J388" s="67"/>
      <c r="K388" s="67"/>
      <c r="R388" s="67"/>
    </row>
    <row r="389">
      <c r="B389" s="182"/>
      <c r="J389" s="67"/>
      <c r="K389" s="67"/>
      <c r="R389" s="67"/>
    </row>
    <row r="390">
      <c r="B390" s="182"/>
      <c r="J390" s="67"/>
      <c r="K390" s="67"/>
      <c r="R390" s="67"/>
    </row>
    <row r="391">
      <c r="B391" s="182"/>
      <c r="J391" s="67"/>
      <c r="K391" s="67"/>
      <c r="R391" s="67"/>
    </row>
    <row r="392">
      <c r="B392" s="182"/>
      <c r="J392" s="67"/>
      <c r="K392" s="67"/>
      <c r="R392" s="67"/>
    </row>
    <row r="393">
      <c r="B393" s="182"/>
      <c r="J393" s="67"/>
      <c r="K393" s="67"/>
      <c r="R393" s="67"/>
    </row>
    <row r="394">
      <c r="B394" s="182"/>
      <c r="J394" s="67"/>
      <c r="K394" s="67"/>
      <c r="R394" s="67"/>
    </row>
    <row r="395">
      <c r="B395" s="182"/>
      <c r="J395" s="67"/>
      <c r="K395" s="67"/>
      <c r="R395" s="67"/>
    </row>
    <row r="396">
      <c r="B396" s="182"/>
      <c r="J396" s="67"/>
      <c r="K396" s="67"/>
      <c r="R396" s="67"/>
    </row>
    <row r="397">
      <c r="B397" s="182"/>
      <c r="J397" s="67"/>
      <c r="K397" s="67"/>
      <c r="R397" s="67"/>
    </row>
    <row r="398">
      <c r="B398" s="182"/>
      <c r="J398" s="67"/>
      <c r="K398" s="67"/>
      <c r="R398" s="67"/>
    </row>
    <row r="399">
      <c r="B399" s="182"/>
      <c r="J399" s="67"/>
      <c r="K399" s="67"/>
      <c r="R399" s="67"/>
    </row>
    <row r="400">
      <c r="B400" s="182"/>
      <c r="J400" s="67"/>
      <c r="K400" s="67"/>
      <c r="R400" s="67"/>
    </row>
    <row r="401">
      <c r="B401" s="182"/>
      <c r="J401" s="67"/>
      <c r="K401" s="67"/>
      <c r="R401" s="67"/>
    </row>
    <row r="402">
      <c r="B402" s="182"/>
      <c r="J402" s="67"/>
      <c r="K402" s="67"/>
      <c r="R402" s="67"/>
    </row>
    <row r="403">
      <c r="B403" s="182"/>
      <c r="J403" s="67"/>
      <c r="K403" s="67"/>
      <c r="R403" s="67"/>
    </row>
    <row r="404">
      <c r="B404" s="182"/>
      <c r="J404" s="67"/>
      <c r="K404" s="67"/>
      <c r="R404" s="67"/>
    </row>
    <row r="405">
      <c r="B405" s="182"/>
      <c r="J405" s="67"/>
      <c r="K405" s="67"/>
      <c r="R405" s="67"/>
    </row>
    <row r="406">
      <c r="B406" s="182"/>
      <c r="J406" s="67"/>
      <c r="K406" s="67"/>
      <c r="R406" s="67"/>
    </row>
    <row r="407">
      <c r="B407" s="182"/>
      <c r="J407" s="67"/>
      <c r="K407" s="67"/>
      <c r="R407" s="67"/>
    </row>
    <row r="408">
      <c r="B408" s="182"/>
      <c r="J408" s="67"/>
      <c r="K408" s="67"/>
      <c r="R408" s="67"/>
    </row>
    <row r="409">
      <c r="B409" s="182"/>
      <c r="J409" s="67"/>
      <c r="K409" s="67"/>
      <c r="R409" s="67"/>
    </row>
    <row r="410">
      <c r="B410" s="182"/>
      <c r="J410" s="67"/>
      <c r="K410" s="67"/>
      <c r="R410" s="67"/>
    </row>
    <row r="411">
      <c r="B411" s="182"/>
      <c r="J411" s="67"/>
      <c r="K411" s="67"/>
      <c r="R411" s="67"/>
    </row>
    <row r="412">
      <c r="B412" s="182"/>
      <c r="J412" s="67"/>
      <c r="K412" s="67"/>
      <c r="R412" s="67"/>
    </row>
    <row r="413">
      <c r="B413" s="182"/>
      <c r="J413" s="67"/>
      <c r="K413" s="67"/>
      <c r="R413" s="67"/>
    </row>
    <row r="414">
      <c r="B414" s="182"/>
      <c r="J414" s="67"/>
      <c r="K414" s="67"/>
      <c r="R414" s="67"/>
    </row>
    <row r="415">
      <c r="B415" s="182"/>
      <c r="J415" s="67"/>
      <c r="K415" s="67"/>
      <c r="R415" s="67"/>
    </row>
    <row r="416">
      <c r="B416" s="182"/>
      <c r="J416" s="67"/>
      <c r="K416" s="67"/>
      <c r="R416" s="67"/>
    </row>
    <row r="417">
      <c r="B417" s="182"/>
      <c r="J417" s="67"/>
      <c r="K417" s="67"/>
      <c r="R417" s="67"/>
    </row>
    <row r="418">
      <c r="B418" s="182"/>
      <c r="J418" s="67"/>
      <c r="K418" s="67"/>
      <c r="R418" s="67"/>
    </row>
    <row r="419">
      <c r="B419" s="182"/>
      <c r="J419" s="67"/>
      <c r="K419" s="67"/>
      <c r="R419" s="67"/>
    </row>
    <row r="420">
      <c r="B420" s="182"/>
      <c r="J420" s="67"/>
      <c r="K420" s="67"/>
      <c r="R420" s="67"/>
    </row>
    <row r="421">
      <c r="B421" s="182"/>
      <c r="J421" s="67"/>
      <c r="K421" s="67"/>
      <c r="R421" s="67"/>
    </row>
    <row r="422">
      <c r="B422" s="182"/>
      <c r="J422" s="67"/>
      <c r="K422" s="67"/>
      <c r="R422" s="67"/>
    </row>
    <row r="423">
      <c r="B423" s="182"/>
      <c r="J423" s="67"/>
      <c r="K423" s="67"/>
      <c r="R423" s="67"/>
    </row>
    <row r="424">
      <c r="B424" s="182"/>
      <c r="J424" s="67"/>
      <c r="K424" s="67"/>
      <c r="R424" s="67"/>
    </row>
    <row r="425">
      <c r="B425" s="182"/>
      <c r="J425" s="67"/>
      <c r="K425" s="67"/>
      <c r="R425" s="67"/>
    </row>
    <row r="426">
      <c r="B426" s="182"/>
      <c r="J426" s="67"/>
      <c r="K426" s="67"/>
      <c r="R426" s="67"/>
    </row>
    <row r="427">
      <c r="B427" s="182"/>
      <c r="J427" s="67"/>
      <c r="K427" s="67"/>
      <c r="R427" s="67"/>
    </row>
    <row r="428">
      <c r="B428" s="182"/>
      <c r="J428" s="67"/>
      <c r="K428" s="67"/>
      <c r="R428" s="67"/>
    </row>
    <row r="429">
      <c r="B429" s="182"/>
      <c r="J429" s="67"/>
      <c r="K429" s="67"/>
      <c r="R429" s="67"/>
    </row>
    <row r="430">
      <c r="B430" s="182"/>
      <c r="J430" s="67"/>
      <c r="K430" s="67"/>
      <c r="R430" s="67"/>
    </row>
    <row r="431">
      <c r="B431" s="182"/>
      <c r="J431" s="67"/>
      <c r="K431" s="67"/>
      <c r="R431" s="67"/>
    </row>
    <row r="432">
      <c r="B432" s="182"/>
      <c r="J432" s="67"/>
      <c r="K432" s="67"/>
      <c r="R432" s="67"/>
    </row>
    <row r="433">
      <c r="B433" s="182"/>
      <c r="J433" s="67"/>
      <c r="K433" s="67"/>
      <c r="R433" s="67"/>
    </row>
    <row r="434">
      <c r="B434" s="182"/>
      <c r="J434" s="67"/>
      <c r="K434" s="67"/>
      <c r="R434" s="67"/>
    </row>
    <row r="435">
      <c r="B435" s="182"/>
      <c r="J435" s="67"/>
      <c r="K435" s="67"/>
      <c r="R435" s="67"/>
    </row>
    <row r="436">
      <c r="B436" s="182"/>
      <c r="J436" s="67"/>
      <c r="K436" s="67"/>
      <c r="R436" s="67"/>
    </row>
    <row r="437">
      <c r="B437" s="182"/>
      <c r="J437" s="67"/>
      <c r="K437" s="67"/>
      <c r="R437" s="67"/>
    </row>
    <row r="438">
      <c r="B438" s="182"/>
      <c r="J438" s="67"/>
      <c r="K438" s="67"/>
      <c r="R438" s="67"/>
    </row>
    <row r="439">
      <c r="B439" s="182"/>
      <c r="J439" s="67"/>
      <c r="K439" s="67"/>
      <c r="R439" s="67"/>
    </row>
    <row r="440">
      <c r="B440" s="182"/>
      <c r="J440" s="67"/>
      <c r="K440" s="67"/>
      <c r="R440" s="67"/>
    </row>
    <row r="441">
      <c r="B441" s="182"/>
      <c r="J441" s="67"/>
      <c r="K441" s="67"/>
      <c r="R441" s="67"/>
    </row>
    <row r="442">
      <c r="B442" s="182"/>
      <c r="J442" s="67"/>
      <c r="K442" s="67"/>
      <c r="R442" s="67"/>
    </row>
    <row r="443">
      <c r="B443" s="182"/>
      <c r="J443" s="67"/>
      <c r="K443" s="67"/>
      <c r="R443" s="67"/>
    </row>
    <row r="444">
      <c r="B444" s="182"/>
      <c r="J444" s="67"/>
      <c r="K444" s="67"/>
      <c r="R444" s="67"/>
    </row>
    <row r="445">
      <c r="B445" s="182"/>
      <c r="J445" s="67"/>
      <c r="K445" s="67"/>
      <c r="R445" s="67"/>
    </row>
    <row r="446">
      <c r="B446" s="182"/>
      <c r="J446" s="67"/>
      <c r="K446" s="67"/>
      <c r="R446" s="67"/>
    </row>
    <row r="447">
      <c r="B447" s="182"/>
      <c r="J447" s="67"/>
      <c r="K447" s="67"/>
      <c r="R447" s="67"/>
    </row>
    <row r="448">
      <c r="B448" s="182"/>
      <c r="J448" s="67"/>
      <c r="K448" s="67"/>
      <c r="R448" s="67"/>
    </row>
    <row r="449">
      <c r="B449" s="182"/>
      <c r="J449" s="67"/>
      <c r="K449" s="67"/>
      <c r="R449" s="67"/>
    </row>
    <row r="450">
      <c r="B450" s="182"/>
      <c r="J450" s="67"/>
      <c r="K450" s="67"/>
      <c r="R450" s="67"/>
    </row>
    <row r="451">
      <c r="B451" s="182"/>
      <c r="J451" s="67"/>
      <c r="K451" s="67"/>
      <c r="R451" s="67"/>
    </row>
    <row r="452">
      <c r="B452" s="182"/>
      <c r="J452" s="67"/>
      <c r="K452" s="67"/>
      <c r="R452" s="67"/>
    </row>
    <row r="453">
      <c r="B453" s="182"/>
      <c r="J453" s="67"/>
      <c r="K453" s="67"/>
      <c r="R453" s="67"/>
    </row>
    <row r="454">
      <c r="B454" s="182"/>
      <c r="J454" s="67"/>
      <c r="K454" s="67"/>
      <c r="R454" s="67"/>
    </row>
    <row r="455">
      <c r="B455" s="182"/>
      <c r="J455" s="67"/>
      <c r="K455" s="67"/>
      <c r="R455" s="67"/>
    </row>
    <row r="456">
      <c r="B456" s="182"/>
      <c r="J456" s="67"/>
      <c r="K456" s="67"/>
      <c r="R456" s="67"/>
    </row>
    <row r="457">
      <c r="B457" s="182"/>
      <c r="J457" s="67"/>
      <c r="K457" s="67"/>
      <c r="R457" s="67"/>
    </row>
    <row r="458">
      <c r="B458" s="182"/>
      <c r="J458" s="67"/>
      <c r="K458" s="67"/>
      <c r="R458" s="67"/>
    </row>
    <row r="459">
      <c r="B459" s="182"/>
      <c r="J459" s="67"/>
      <c r="K459" s="67"/>
      <c r="R459" s="67"/>
    </row>
    <row r="460">
      <c r="B460" s="182"/>
      <c r="J460" s="67"/>
      <c r="K460" s="67"/>
      <c r="R460" s="67"/>
    </row>
    <row r="461">
      <c r="B461" s="182"/>
      <c r="J461" s="67"/>
      <c r="K461" s="67"/>
      <c r="R461" s="67"/>
    </row>
    <row r="462">
      <c r="B462" s="182"/>
      <c r="J462" s="67"/>
      <c r="K462" s="67"/>
      <c r="R462" s="67"/>
    </row>
    <row r="463">
      <c r="B463" s="182"/>
      <c r="J463" s="67"/>
      <c r="K463" s="67"/>
      <c r="R463" s="67"/>
    </row>
    <row r="464">
      <c r="B464" s="182"/>
      <c r="J464" s="67"/>
      <c r="K464" s="67"/>
      <c r="R464" s="67"/>
    </row>
    <row r="465">
      <c r="B465" s="182"/>
      <c r="J465" s="67"/>
      <c r="K465" s="67"/>
      <c r="R465" s="67"/>
    </row>
    <row r="466">
      <c r="B466" s="182"/>
      <c r="J466" s="67"/>
      <c r="K466" s="67"/>
      <c r="R466" s="67"/>
    </row>
    <row r="467">
      <c r="B467" s="182"/>
      <c r="J467" s="67"/>
      <c r="K467" s="67"/>
      <c r="R467" s="67"/>
    </row>
    <row r="468">
      <c r="B468" s="182"/>
      <c r="J468" s="67"/>
      <c r="K468" s="67"/>
      <c r="R468" s="67"/>
    </row>
    <row r="469">
      <c r="B469" s="182"/>
      <c r="J469" s="67"/>
      <c r="K469" s="67"/>
      <c r="R469" s="67"/>
    </row>
    <row r="470">
      <c r="B470" s="182"/>
      <c r="J470" s="67"/>
      <c r="K470" s="67"/>
      <c r="R470" s="67"/>
    </row>
    <row r="471">
      <c r="B471" s="182"/>
      <c r="J471" s="67"/>
      <c r="K471" s="67"/>
      <c r="R471" s="67"/>
    </row>
    <row r="472">
      <c r="B472" s="182"/>
      <c r="J472" s="67"/>
      <c r="K472" s="67"/>
      <c r="R472" s="67"/>
    </row>
    <row r="473">
      <c r="B473" s="182"/>
      <c r="J473" s="67"/>
      <c r="K473" s="67"/>
      <c r="R473" s="67"/>
    </row>
    <row r="474">
      <c r="B474" s="182"/>
      <c r="J474" s="67"/>
      <c r="K474" s="67"/>
      <c r="R474" s="67"/>
    </row>
    <row r="475">
      <c r="B475" s="182"/>
      <c r="J475" s="67"/>
      <c r="K475" s="67"/>
      <c r="R475" s="67"/>
    </row>
    <row r="476">
      <c r="B476" s="182"/>
      <c r="J476" s="67"/>
      <c r="K476" s="67"/>
      <c r="R476" s="67"/>
    </row>
    <row r="477">
      <c r="B477" s="182"/>
      <c r="J477" s="67"/>
      <c r="K477" s="67"/>
      <c r="R477" s="67"/>
    </row>
    <row r="478">
      <c r="B478" s="182"/>
      <c r="J478" s="67"/>
      <c r="K478" s="67"/>
      <c r="R478" s="67"/>
    </row>
    <row r="479">
      <c r="B479" s="182"/>
      <c r="J479" s="67"/>
      <c r="K479" s="67"/>
      <c r="R479" s="67"/>
    </row>
    <row r="480">
      <c r="B480" s="182"/>
      <c r="J480" s="67"/>
      <c r="K480" s="67"/>
      <c r="R480" s="67"/>
    </row>
    <row r="481">
      <c r="B481" s="182"/>
      <c r="J481" s="67"/>
      <c r="K481" s="67"/>
      <c r="R481" s="67"/>
    </row>
    <row r="482">
      <c r="B482" s="182"/>
      <c r="J482" s="67"/>
      <c r="K482" s="67"/>
      <c r="R482" s="67"/>
    </row>
    <row r="483">
      <c r="B483" s="182"/>
      <c r="J483" s="67"/>
      <c r="K483" s="67"/>
      <c r="R483" s="67"/>
    </row>
    <row r="484">
      <c r="B484" s="182"/>
      <c r="J484" s="67"/>
      <c r="K484" s="67"/>
      <c r="R484" s="67"/>
    </row>
    <row r="485">
      <c r="B485" s="182"/>
      <c r="J485" s="67"/>
      <c r="K485" s="67"/>
      <c r="R485" s="67"/>
    </row>
    <row r="486">
      <c r="B486" s="182"/>
      <c r="J486" s="67"/>
      <c r="K486" s="67"/>
      <c r="R486" s="67"/>
    </row>
    <row r="487">
      <c r="B487" s="182"/>
      <c r="J487" s="67"/>
      <c r="K487" s="67"/>
      <c r="R487" s="67"/>
    </row>
    <row r="488">
      <c r="B488" s="182"/>
      <c r="J488" s="67"/>
      <c r="K488" s="67"/>
      <c r="R488" s="67"/>
    </row>
    <row r="489">
      <c r="B489" s="182"/>
      <c r="J489" s="67"/>
      <c r="K489" s="67"/>
      <c r="R489" s="67"/>
    </row>
    <row r="490">
      <c r="B490" s="182"/>
      <c r="J490" s="67"/>
      <c r="K490" s="67"/>
      <c r="R490" s="67"/>
    </row>
    <row r="491">
      <c r="B491" s="182"/>
      <c r="J491" s="67"/>
      <c r="K491" s="67"/>
      <c r="R491" s="67"/>
    </row>
    <row r="492">
      <c r="B492" s="182"/>
      <c r="J492" s="67"/>
      <c r="K492" s="67"/>
      <c r="R492" s="67"/>
    </row>
    <row r="493">
      <c r="B493" s="182"/>
      <c r="J493" s="67"/>
      <c r="K493" s="67"/>
      <c r="R493" s="67"/>
    </row>
    <row r="494">
      <c r="B494" s="182"/>
      <c r="J494" s="67"/>
      <c r="K494" s="67"/>
      <c r="R494" s="67"/>
    </row>
    <row r="495">
      <c r="B495" s="182"/>
      <c r="J495" s="67"/>
      <c r="K495" s="67"/>
      <c r="R495" s="67"/>
    </row>
    <row r="496">
      <c r="B496" s="182"/>
      <c r="J496" s="67"/>
      <c r="K496" s="67"/>
      <c r="R496" s="67"/>
    </row>
    <row r="497">
      <c r="B497" s="182"/>
      <c r="J497" s="67"/>
      <c r="K497" s="67"/>
      <c r="R497" s="67"/>
    </row>
    <row r="498">
      <c r="B498" s="182"/>
      <c r="J498" s="67"/>
      <c r="K498" s="67"/>
      <c r="R498" s="67"/>
    </row>
    <row r="499">
      <c r="B499" s="182"/>
      <c r="J499" s="67"/>
      <c r="K499" s="67"/>
      <c r="R499" s="67"/>
    </row>
    <row r="500">
      <c r="B500" s="182"/>
      <c r="J500" s="67"/>
      <c r="K500" s="67"/>
      <c r="R500" s="67"/>
    </row>
    <row r="501">
      <c r="B501" s="182"/>
      <c r="J501" s="67"/>
      <c r="K501" s="67"/>
      <c r="R501" s="67"/>
    </row>
    <row r="502">
      <c r="B502" s="182"/>
      <c r="J502" s="67"/>
      <c r="K502" s="67"/>
      <c r="R502" s="67"/>
    </row>
    <row r="503">
      <c r="B503" s="182"/>
      <c r="J503" s="67"/>
      <c r="K503" s="67"/>
      <c r="R503" s="67"/>
    </row>
    <row r="504">
      <c r="B504" s="182"/>
      <c r="J504" s="67"/>
      <c r="K504" s="67"/>
      <c r="R504" s="67"/>
    </row>
    <row r="505">
      <c r="B505" s="182"/>
      <c r="J505" s="67"/>
      <c r="K505" s="67"/>
      <c r="R505" s="67"/>
    </row>
    <row r="506">
      <c r="B506" s="182"/>
      <c r="J506" s="67"/>
      <c r="K506" s="67"/>
      <c r="R506" s="67"/>
    </row>
    <row r="507">
      <c r="B507" s="182"/>
      <c r="J507" s="67"/>
      <c r="K507" s="67"/>
      <c r="R507" s="67"/>
    </row>
    <row r="508">
      <c r="B508" s="182"/>
      <c r="J508" s="67"/>
      <c r="K508" s="67"/>
      <c r="R508" s="67"/>
    </row>
    <row r="509">
      <c r="B509" s="182"/>
      <c r="J509" s="67"/>
      <c r="K509" s="67"/>
      <c r="R509" s="67"/>
    </row>
    <row r="510">
      <c r="B510" s="182"/>
      <c r="J510" s="67"/>
      <c r="K510" s="67"/>
      <c r="R510" s="67"/>
    </row>
    <row r="511">
      <c r="B511" s="182"/>
      <c r="J511" s="67"/>
      <c r="K511" s="67"/>
      <c r="R511" s="67"/>
    </row>
    <row r="512">
      <c r="B512" s="182"/>
      <c r="J512" s="67"/>
      <c r="K512" s="67"/>
      <c r="R512" s="67"/>
    </row>
    <row r="513">
      <c r="B513" s="182"/>
      <c r="J513" s="67"/>
      <c r="K513" s="67"/>
      <c r="R513" s="67"/>
    </row>
    <row r="514">
      <c r="B514" s="182"/>
      <c r="J514" s="67"/>
      <c r="K514" s="67"/>
      <c r="R514" s="67"/>
    </row>
    <row r="515">
      <c r="B515" s="182"/>
      <c r="J515" s="67"/>
      <c r="K515" s="67"/>
      <c r="R515" s="67"/>
    </row>
    <row r="516">
      <c r="B516" s="182"/>
      <c r="J516" s="67"/>
      <c r="K516" s="67"/>
      <c r="R516" s="67"/>
    </row>
    <row r="517">
      <c r="B517" s="182"/>
      <c r="J517" s="67"/>
      <c r="K517" s="67"/>
      <c r="R517" s="67"/>
    </row>
    <row r="518">
      <c r="B518" s="182"/>
      <c r="J518" s="67"/>
      <c r="K518" s="67"/>
      <c r="R518" s="67"/>
    </row>
    <row r="519">
      <c r="B519" s="182"/>
      <c r="J519" s="67"/>
      <c r="K519" s="67"/>
      <c r="R519" s="67"/>
    </row>
    <row r="520">
      <c r="B520" s="182"/>
      <c r="J520" s="67"/>
      <c r="K520" s="67"/>
      <c r="R520" s="67"/>
    </row>
    <row r="521">
      <c r="B521" s="182"/>
      <c r="J521" s="67"/>
      <c r="K521" s="67"/>
      <c r="R521" s="67"/>
    </row>
    <row r="522">
      <c r="B522" s="182"/>
      <c r="J522" s="67"/>
      <c r="K522" s="67"/>
      <c r="R522" s="67"/>
    </row>
    <row r="523">
      <c r="B523" s="182"/>
      <c r="J523" s="67"/>
      <c r="K523" s="67"/>
      <c r="R523" s="67"/>
    </row>
    <row r="524">
      <c r="B524" s="182"/>
      <c r="J524" s="67"/>
      <c r="K524" s="67"/>
      <c r="R524" s="67"/>
    </row>
    <row r="525">
      <c r="B525" s="182"/>
      <c r="J525" s="67"/>
      <c r="K525" s="67"/>
      <c r="R525" s="67"/>
    </row>
    <row r="526">
      <c r="B526" s="182"/>
      <c r="J526" s="67"/>
      <c r="K526" s="67"/>
      <c r="R526" s="67"/>
    </row>
    <row r="527">
      <c r="B527" s="182"/>
      <c r="J527" s="67"/>
      <c r="K527" s="67"/>
      <c r="R527" s="67"/>
    </row>
    <row r="528">
      <c r="B528" s="182"/>
      <c r="J528" s="67"/>
      <c r="K528" s="67"/>
      <c r="R528" s="67"/>
    </row>
    <row r="529">
      <c r="B529" s="182"/>
      <c r="J529" s="67"/>
      <c r="K529" s="67"/>
      <c r="R529" s="67"/>
    </row>
    <row r="530">
      <c r="B530" s="182"/>
      <c r="J530" s="67"/>
      <c r="K530" s="67"/>
      <c r="R530" s="67"/>
    </row>
    <row r="531">
      <c r="B531" s="182"/>
      <c r="J531" s="67"/>
      <c r="K531" s="67"/>
      <c r="R531" s="67"/>
    </row>
    <row r="532">
      <c r="B532" s="182"/>
      <c r="J532" s="67"/>
      <c r="K532" s="67"/>
      <c r="R532" s="67"/>
    </row>
    <row r="533">
      <c r="B533" s="182"/>
      <c r="J533" s="67"/>
      <c r="K533" s="67"/>
      <c r="R533" s="67"/>
    </row>
    <row r="534">
      <c r="B534" s="182"/>
      <c r="J534" s="67"/>
      <c r="K534" s="67"/>
      <c r="R534" s="67"/>
    </row>
    <row r="535">
      <c r="B535" s="182"/>
      <c r="J535" s="67"/>
      <c r="K535" s="67"/>
      <c r="R535" s="67"/>
    </row>
    <row r="536">
      <c r="B536" s="182"/>
      <c r="J536" s="67"/>
      <c r="K536" s="67"/>
      <c r="R536" s="67"/>
    </row>
    <row r="537">
      <c r="B537" s="182"/>
      <c r="J537" s="67"/>
      <c r="K537" s="67"/>
      <c r="R537" s="67"/>
    </row>
    <row r="538">
      <c r="B538" s="182"/>
      <c r="J538" s="67"/>
      <c r="K538" s="67"/>
      <c r="R538" s="67"/>
    </row>
    <row r="539">
      <c r="B539" s="182"/>
      <c r="J539" s="67"/>
      <c r="K539" s="67"/>
      <c r="R539" s="67"/>
    </row>
    <row r="540">
      <c r="B540" s="182"/>
      <c r="J540" s="67"/>
      <c r="K540" s="67"/>
      <c r="R540" s="67"/>
    </row>
    <row r="541">
      <c r="B541" s="182"/>
      <c r="J541" s="67"/>
      <c r="K541" s="67"/>
      <c r="R541" s="67"/>
    </row>
    <row r="542">
      <c r="B542" s="182"/>
      <c r="J542" s="67"/>
      <c r="K542" s="67"/>
      <c r="R542" s="67"/>
    </row>
    <row r="543">
      <c r="B543" s="182"/>
      <c r="J543" s="67"/>
      <c r="K543" s="67"/>
      <c r="R543" s="67"/>
    </row>
    <row r="544">
      <c r="B544" s="182"/>
      <c r="J544" s="67"/>
      <c r="K544" s="67"/>
      <c r="R544" s="67"/>
    </row>
    <row r="545">
      <c r="B545" s="182"/>
      <c r="J545" s="67"/>
      <c r="K545" s="67"/>
      <c r="R545" s="67"/>
    </row>
    <row r="546">
      <c r="B546" s="182"/>
      <c r="J546" s="67"/>
      <c r="K546" s="67"/>
      <c r="R546" s="67"/>
    </row>
    <row r="547">
      <c r="B547" s="182"/>
      <c r="J547" s="67"/>
      <c r="K547" s="67"/>
      <c r="R547" s="67"/>
    </row>
    <row r="548">
      <c r="B548" s="182"/>
      <c r="J548" s="67"/>
      <c r="K548" s="67"/>
      <c r="R548" s="67"/>
    </row>
    <row r="549">
      <c r="B549" s="182"/>
      <c r="J549" s="67"/>
      <c r="K549" s="67"/>
      <c r="R549" s="67"/>
    </row>
    <row r="550">
      <c r="B550" s="182"/>
      <c r="J550" s="67"/>
      <c r="K550" s="67"/>
      <c r="R550" s="67"/>
    </row>
    <row r="551">
      <c r="B551" s="182"/>
      <c r="J551" s="67"/>
      <c r="K551" s="67"/>
      <c r="R551" s="67"/>
    </row>
    <row r="552">
      <c r="B552" s="182"/>
      <c r="J552" s="67"/>
      <c r="K552" s="67"/>
      <c r="R552" s="67"/>
    </row>
    <row r="553">
      <c r="B553" s="182"/>
      <c r="J553" s="67"/>
      <c r="K553" s="67"/>
      <c r="R553" s="67"/>
    </row>
    <row r="554">
      <c r="B554" s="182"/>
      <c r="J554" s="67"/>
      <c r="K554" s="67"/>
      <c r="R554" s="67"/>
    </row>
    <row r="555">
      <c r="B555" s="182"/>
      <c r="J555" s="67"/>
      <c r="K555" s="67"/>
      <c r="R555" s="67"/>
    </row>
    <row r="556">
      <c r="B556" s="182"/>
      <c r="J556" s="67"/>
      <c r="K556" s="67"/>
      <c r="R556" s="67"/>
    </row>
    <row r="557">
      <c r="B557" s="182"/>
      <c r="J557" s="67"/>
      <c r="K557" s="67"/>
      <c r="R557" s="67"/>
    </row>
    <row r="558">
      <c r="B558" s="182"/>
      <c r="J558" s="67"/>
      <c r="K558" s="67"/>
      <c r="R558" s="67"/>
    </row>
    <row r="559">
      <c r="B559" s="182"/>
      <c r="J559" s="67"/>
      <c r="K559" s="67"/>
      <c r="R559" s="67"/>
    </row>
    <row r="560">
      <c r="B560" s="182"/>
      <c r="J560" s="67"/>
      <c r="K560" s="67"/>
      <c r="R560" s="67"/>
    </row>
    <row r="561">
      <c r="B561" s="182"/>
      <c r="J561" s="67"/>
      <c r="K561" s="67"/>
      <c r="R561" s="67"/>
    </row>
    <row r="562">
      <c r="B562" s="182"/>
      <c r="J562" s="67"/>
      <c r="K562" s="67"/>
      <c r="R562" s="67"/>
    </row>
    <row r="563">
      <c r="B563" s="182"/>
      <c r="J563" s="67"/>
      <c r="K563" s="67"/>
      <c r="R563" s="67"/>
    </row>
    <row r="564">
      <c r="B564" s="182"/>
      <c r="J564" s="67"/>
      <c r="K564" s="67"/>
      <c r="R564" s="67"/>
    </row>
    <row r="565">
      <c r="B565" s="182"/>
      <c r="J565" s="67"/>
      <c r="K565" s="67"/>
      <c r="R565" s="67"/>
    </row>
    <row r="566">
      <c r="B566" s="182"/>
      <c r="J566" s="67"/>
      <c r="K566" s="67"/>
      <c r="R566" s="67"/>
    </row>
    <row r="567">
      <c r="B567" s="182"/>
      <c r="J567" s="67"/>
      <c r="K567" s="67"/>
      <c r="R567" s="67"/>
    </row>
    <row r="568">
      <c r="B568" s="182"/>
      <c r="J568" s="67"/>
      <c r="K568" s="67"/>
      <c r="R568" s="67"/>
    </row>
    <row r="569">
      <c r="B569" s="182"/>
      <c r="J569" s="67"/>
      <c r="K569" s="67"/>
      <c r="R569" s="67"/>
    </row>
    <row r="570">
      <c r="B570" s="182"/>
      <c r="J570" s="67"/>
      <c r="K570" s="67"/>
      <c r="R570" s="67"/>
    </row>
    <row r="571">
      <c r="B571" s="182"/>
      <c r="J571" s="67"/>
      <c r="K571" s="67"/>
      <c r="R571" s="67"/>
    </row>
    <row r="572">
      <c r="B572" s="182"/>
      <c r="J572" s="67"/>
      <c r="K572" s="67"/>
      <c r="R572" s="67"/>
    </row>
    <row r="573">
      <c r="B573" s="182"/>
      <c r="J573" s="67"/>
      <c r="K573" s="67"/>
      <c r="R573" s="67"/>
    </row>
    <row r="574">
      <c r="B574" s="182"/>
      <c r="J574" s="67"/>
      <c r="K574" s="67"/>
      <c r="R574" s="67"/>
    </row>
    <row r="575">
      <c r="B575" s="182"/>
      <c r="J575" s="67"/>
      <c r="K575" s="67"/>
      <c r="R575" s="67"/>
    </row>
    <row r="576">
      <c r="B576" s="182"/>
      <c r="J576" s="67"/>
      <c r="K576" s="67"/>
      <c r="R576" s="67"/>
    </row>
    <row r="577">
      <c r="B577" s="182"/>
      <c r="J577" s="67"/>
      <c r="K577" s="67"/>
      <c r="R577" s="67"/>
    </row>
    <row r="578">
      <c r="B578" s="182"/>
      <c r="J578" s="67"/>
      <c r="K578" s="67"/>
      <c r="R578" s="67"/>
    </row>
    <row r="579">
      <c r="B579" s="182"/>
      <c r="J579" s="67"/>
      <c r="K579" s="67"/>
      <c r="R579" s="67"/>
    </row>
    <row r="580">
      <c r="B580" s="182"/>
      <c r="J580" s="67"/>
      <c r="K580" s="67"/>
      <c r="R580" s="67"/>
    </row>
    <row r="581">
      <c r="B581" s="182"/>
      <c r="J581" s="67"/>
      <c r="K581" s="67"/>
      <c r="R581" s="67"/>
    </row>
    <row r="582">
      <c r="B582" s="182"/>
      <c r="J582" s="67"/>
      <c r="K582" s="67"/>
      <c r="R582" s="67"/>
    </row>
    <row r="583">
      <c r="B583" s="182"/>
      <c r="J583" s="67"/>
      <c r="K583" s="67"/>
      <c r="R583" s="67"/>
    </row>
    <row r="584">
      <c r="B584" s="182"/>
      <c r="J584" s="67"/>
      <c r="K584" s="67"/>
      <c r="R584" s="67"/>
    </row>
    <row r="585">
      <c r="B585" s="182"/>
      <c r="J585" s="67"/>
      <c r="K585" s="67"/>
      <c r="R585" s="67"/>
    </row>
    <row r="586">
      <c r="B586" s="182"/>
      <c r="J586" s="67"/>
      <c r="K586" s="67"/>
      <c r="R586" s="67"/>
    </row>
    <row r="587">
      <c r="B587" s="182"/>
      <c r="J587" s="67"/>
      <c r="K587" s="67"/>
      <c r="R587" s="67"/>
    </row>
    <row r="588">
      <c r="B588" s="182"/>
      <c r="J588" s="67"/>
      <c r="K588" s="67"/>
      <c r="R588" s="67"/>
    </row>
    <row r="589">
      <c r="B589" s="182"/>
      <c r="J589" s="67"/>
      <c r="K589" s="67"/>
      <c r="R589" s="67"/>
    </row>
    <row r="590">
      <c r="B590" s="182"/>
      <c r="J590" s="67"/>
      <c r="K590" s="67"/>
      <c r="R590" s="67"/>
    </row>
    <row r="591">
      <c r="B591" s="182"/>
      <c r="J591" s="67"/>
      <c r="K591" s="67"/>
      <c r="R591" s="67"/>
    </row>
    <row r="592">
      <c r="B592" s="182"/>
      <c r="J592" s="67"/>
      <c r="K592" s="67"/>
      <c r="R592" s="67"/>
    </row>
    <row r="593">
      <c r="B593" s="182"/>
      <c r="J593" s="67"/>
      <c r="K593" s="67"/>
      <c r="R593" s="67"/>
    </row>
    <row r="594">
      <c r="B594" s="182"/>
      <c r="J594" s="67"/>
      <c r="K594" s="67"/>
      <c r="R594" s="67"/>
    </row>
    <row r="595">
      <c r="B595" s="182"/>
      <c r="J595" s="67"/>
      <c r="K595" s="67"/>
      <c r="R595" s="67"/>
    </row>
    <row r="596">
      <c r="B596" s="182"/>
      <c r="J596" s="67"/>
      <c r="K596" s="67"/>
      <c r="R596" s="67"/>
    </row>
    <row r="597">
      <c r="B597" s="182"/>
      <c r="J597" s="67"/>
      <c r="K597" s="67"/>
      <c r="R597" s="67"/>
    </row>
    <row r="598">
      <c r="B598" s="182"/>
      <c r="J598" s="67"/>
      <c r="K598" s="67"/>
      <c r="R598" s="67"/>
    </row>
    <row r="599">
      <c r="B599" s="182"/>
      <c r="J599" s="67"/>
      <c r="K599" s="67"/>
      <c r="R599" s="67"/>
    </row>
    <row r="600">
      <c r="B600" s="182"/>
      <c r="J600" s="67"/>
      <c r="K600" s="67"/>
      <c r="R600" s="67"/>
    </row>
    <row r="601">
      <c r="B601" s="182"/>
      <c r="J601" s="67"/>
      <c r="K601" s="67"/>
      <c r="R601" s="67"/>
    </row>
    <row r="602">
      <c r="B602" s="182"/>
      <c r="J602" s="67"/>
      <c r="K602" s="67"/>
      <c r="R602" s="67"/>
    </row>
    <row r="603">
      <c r="B603" s="182"/>
      <c r="J603" s="67"/>
      <c r="K603" s="67"/>
      <c r="R603" s="67"/>
    </row>
    <row r="604">
      <c r="B604" s="182"/>
      <c r="J604" s="67"/>
      <c r="K604" s="67"/>
      <c r="R604" s="67"/>
    </row>
    <row r="605">
      <c r="B605" s="182"/>
      <c r="J605" s="67"/>
      <c r="K605" s="67"/>
      <c r="R605" s="67"/>
    </row>
    <row r="606">
      <c r="B606" s="182"/>
      <c r="J606" s="67"/>
      <c r="K606" s="67"/>
      <c r="R606" s="67"/>
    </row>
    <row r="607">
      <c r="B607" s="182"/>
      <c r="J607" s="67"/>
      <c r="K607" s="67"/>
      <c r="R607" s="67"/>
    </row>
    <row r="608">
      <c r="B608" s="182"/>
      <c r="J608" s="67"/>
      <c r="K608" s="67"/>
      <c r="R608" s="67"/>
    </row>
    <row r="609">
      <c r="B609" s="182"/>
      <c r="J609" s="67"/>
      <c r="K609" s="67"/>
      <c r="R609" s="67"/>
    </row>
    <row r="610">
      <c r="B610" s="182"/>
      <c r="J610" s="67"/>
      <c r="K610" s="67"/>
      <c r="R610" s="67"/>
    </row>
    <row r="611">
      <c r="B611" s="182"/>
      <c r="J611" s="67"/>
      <c r="K611" s="67"/>
      <c r="R611" s="67"/>
    </row>
    <row r="612">
      <c r="B612" s="182"/>
      <c r="J612" s="67"/>
      <c r="K612" s="67"/>
      <c r="R612" s="67"/>
    </row>
    <row r="613">
      <c r="B613" s="182"/>
      <c r="J613" s="67"/>
      <c r="K613" s="67"/>
      <c r="R613" s="67"/>
    </row>
    <row r="614">
      <c r="B614" s="182"/>
      <c r="J614" s="67"/>
      <c r="K614" s="67"/>
      <c r="R614" s="67"/>
    </row>
    <row r="615">
      <c r="B615" s="182"/>
      <c r="J615" s="67"/>
      <c r="K615" s="67"/>
      <c r="R615" s="67"/>
    </row>
    <row r="616">
      <c r="B616" s="182"/>
      <c r="J616" s="67"/>
      <c r="K616" s="67"/>
      <c r="R616" s="67"/>
    </row>
    <row r="617">
      <c r="B617" s="182"/>
      <c r="J617" s="67"/>
      <c r="K617" s="67"/>
      <c r="R617" s="67"/>
    </row>
    <row r="618">
      <c r="B618" s="182"/>
      <c r="J618" s="67"/>
      <c r="K618" s="67"/>
      <c r="R618" s="67"/>
    </row>
    <row r="619">
      <c r="B619" s="182"/>
      <c r="J619" s="67"/>
      <c r="K619" s="67"/>
      <c r="R619" s="67"/>
    </row>
    <row r="620">
      <c r="B620" s="182"/>
      <c r="J620" s="67"/>
      <c r="K620" s="67"/>
      <c r="R620" s="67"/>
    </row>
    <row r="621">
      <c r="B621" s="182"/>
      <c r="J621" s="67"/>
      <c r="K621" s="67"/>
      <c r="R621" s="67"/>
    </row>
    <row r="622">
      <c r="B622" s="182"/>
      <c r="J622" s="67"/>
      <c r="K622" s="67"/>
      <c r="R622" s="67"/>
    </row>
    <row r="623">
      <c r="B623" s="182"/>
      <c r="J623" s="67"/>
      <c r="K623" s="67"/>
      <c r="R623" s="67"/>
    </row>
    <row r="624">
      <c r="B624" s="182"/>
      <c r="J624" s="67"/>
      <c r="K624" s="67"/>
      <c r="R624" s="67"/>
    </row>
    <row r="625">
      <c r="B625" s="182"/>
      <c r="J625" s="67"/>
      <c r="K625" s="67"/>
      <c r="R625" s="67"/>
    </row>
    <row r="626">
      <c r="B626" s="182"/>
      <c r="J626" s="67"/>
      <c r="K626" s="67"/>
      <c r="R626" s="67"/>
    </row>
    <row r="627">
      <c r="B627" s="182"/>
      <c r="J627" s="67"/>
      <c r="K627" s="67"/>
      <c r="R627" s="67"/>
    </row>
    <row r="628">
      <c r="B628" s="182"/>
      <c r="J628" s="67"/>
      <c r="K628" s="67"/>
      <c r="R628" s="67"/>
    </row>
    <row r="629">
      <c r="B629" s="182"/>
      <c r="J629" s="67"/>
      <c r="K629" s="67"/>
      <c r="R629" s="67"/>
    </row>
    <row r="630">
      <c r="B630" s="182"/>
      <c r="J630" s="67"/>
      <c r="K630" s="67"/>
      <c r="R630" s="67"/>
    </row>
    <row r="631">
      <c r="B631" s="182"/>
      <c r="J631" s="67"/>
      <c r="K631" s="67"/>
      <c r="R631" s="67"/>
    </row>
    <row r="632">
      <c r="B632" s="182"/>
      <c r="J632" s="67"/>
      <c r="K632" s="67"/>
      <c r="R632" s="67"/>
    </row>
    <row r="633">
      <c r="B633" s="182"/>
      <c r="J633" s="67"/>
      <c r="K633" s="67"/>
      <c r="R633" s="67"/>
    </row>
    <row r="634">
      <c r="B634" s="182"/>
      <c r="J634" s="67"/>
      <c r="K634" s="67"/>
      <c r="R634" s="67"/>
    </row>
    <row r="635">
      <c r="B635" s="182"/>
      <c r="J635" s="67"/>
      <c r="K635" s="67"/>
      <c r="R635" s="67"/>
    </row>
    <row r="636">
      <c r="B636" s="182"/>
      <c r="J636" s="67"/>
      <c r="K636" s="67"/>
      <c r="R636" s="67"/>
    </row>
    <row r="637">
      <c r="B637" s="182"/>
      <c r="J637" s="67"/>
      <c r="K637" s="67"/>
      <c r="R637" s="67"/>
    </row>
    <row r="638">
      <c r="B638" s="182"/>
      <c r="J638" s="67"/>
      <c r="K638" s="67"/>
      <c r="R638" s="67"/>
    </row>
    <row r="639">
      <c r="B639" s="182"/>
      <c r="J639" s="67"/>
      <c r="K639" s="67"/>
      <c r="R639" s="67"/>
    </row>
    <row r="640">
      <c r="B640" s="182"/>
      <c r="J640" s="67"/>
      <c r="K640" s="67"/>
      <c r="R640" s="67"/>
    </row>
    <row r="641">
      <c r="B641" s="182"/>
      <c r="J641" s="67"/>
      <c r="K641" s="67"/>
      <c r="R641" s="67"/>
    </row>
    <row r="642">
      <c r="B642" s="182"/>
      <c r="J642" s="67"/>
      <c r="K642" s="67"/>
      <c r="R642" s="67"/>
    </row>
    <row r="643">
      <c r="B643" s="182"/>
      <c r="J643" s="67"/>
      <c r="K643" s="67"/>
      <c r="R643" s="67"/>
    </row>
    <row r="644">
      <c r="B644" s="182"/>
      <c r="J644" s="67"/>
      <c r="K644" s="67"/>
      <c r="R644" s="67"/>
    </row>
    <row r="645">
      <c r="B645" s="182"/>
      <c r="J645" s="67"/>
      <c r="K645" s="67"/>
      <c r="R645" s="67"/>
    </row>
    <row r="646">
      <c r="B646" s="182"/>
      <c r="J646" s="67"/>
      <c r="K646" s="67"/>
      <c r="R646" s="67"/>
    </row>
    <row r="647">
      <c r="B647" s="182"/>
      <c r="J647" s="67"/>
      <c r="K647" s="67"/>
      <c r="R647" s="67"/>
    </row>
    <row r="648">
      <c r="B648" s="182"/>
      <c r="J648" s="67"/>
      <c r="K648" s="67"/>
      <c r="R648" s="67"/>
    </row>
    <row r="649">
      <c r="B649" s="182"/>
      <c r="J649" s="67"/>
      <c r="K649" s="67"/>
      <c r="R649" s="67"/>
    </row>
    <row r="650">
      <c r="B650" s="182"/>
      <c r="J650" s="67"/>
      <c r="K650" s="67"/>
      <c r="R650" s="67"/>
    </row>
    <row r="651">
      <c r="B651" s="182"/>
      <c r="J651" s="67"/>
      <c r="K651" s="67"/>
      <c r="R651" s="67"/>
    </row>
    <row r="652">
      <c r="B652" s="182"/>
      <c r="J652" s="67"/>
      <c r="K652" s="67"/>
      <c r="R652" s="67"/>
    </row>
    <row r="653">
      <c r="B653" s="182"/>
      <c r="J653" s="67"/>
      <c r="K653" s="67"/>
      <c r="R653" s="67"/>
    </row>
    <row r="654">
      <c r="B654" s="182"/>
      <c r="J654" s="67"/>
      <c r="K654" s="67"/>
      <c r="R654" s="67"/>
    </row>
    <row r="655">
      <c r="B655" s="182"/>
      <c r="J655" s="67"/>
      <c r="K655" s="67"/>
      <c r="R655" s="67"/>
    </row>
    <row r="656">
      <c r="B656" s="182"/>
      <c r="J656" s="67"/>
      <c r="K656" s="67"/>
      <c r="R656" s="67"/>
    </row>
    <row r="657">
      <c r="B657" s="182"/>
      <c r="J657" s="67"/>
      <c r="K657" s="67"/>
      <c r="R657" s="67"/>
    </row>
    <row r="658">
      <c r="B658" s="182"/>
      <c r="J658" s="67"/>
      <c r="K658" s="67"/>
      <c r="R658" s="67"/>
    </row>
    <row r="659">
      <c r="B659" s="182"/>
      <c r="J659" s="67"/>
      <c r="K659" s="67"/>
      <c r="R659" s="67"/>
    </row>
    <row r="660">
      <c r="B660" s="182"/>
      <c r="J660" s="67"/>
      <c r="K660" s="67"/>
      <c r="R660" s="67"/>
    </row>
    <row r="661">
      <c r="B661" s="182"/>
      <c r="J661" s="67"/>
      <c r="K661" s="67"/>
      <c r="R661" s="67"/>
    </row>
    <row r="662">
      <c r="B662" s="182"/>
      <c r="J662" s="67"/>
      <c r="K662" s="67"/>
      <c r="R662" s="67"/>
    </row>
    <row r="663">
      <c r="B663" s="182"/>
      <c r="J663" s="67"/>
      <c r="K663" s="67"/>
      <c r="R663" s="67"/>
    </row>
    <row r="664">
      <c r="B664" s="182"/>
      <c r="J664" s="67"/>
      <c r="K664" s="67"/>
      <c r="R664" s="67"/>
    </row>
    <row r="665">
      <c r="B665" s="182"/>
      <c r="J665" s="67"/>
      <c r="K665" s="67"/>
      <c r="R665" s="67"/>
    </row>
    <row r="666">
      <c r="B666" s="182"/>
      <c r="J666" s="67"/>
      <c r="K666" s="67"/>
      <c r="R666" s="67"/>
    </row>
    <row r="667">
      <c r="B667" s="182"/>
      <c r="J667" s="67"/>
      <c r="K667" s="67"/>
      <c r="R667" s="67"/>
    </row>
    <row r="668">
      <c r="B668" s="182"/>
      <c r="J668" s="67"/>
      <c r="K668" s="67"/>
      <c r="R668" s="67"/>
    </row>
    <row r="669">
      <c r="B669" s="182"/>
      <c r="J669" s="67"/>
      <c r="K669" s="67"/>
      <c r="R669" s="67"/>
    </row>
    <row r="670">
      <c r="B670" s="182"/>
      <c r="J670" s="67"/>
      <c r="K670" s="67"/>
      <c r="R670" s="67"/>
    </row>
    <row r="671">
      <c r="B671" s="182"/>
      <c r="J671" s="67"/>
      <c r="K671" s="67"/>
      <c r="R671" s="67"/>
    </row>
    <row r="672">
      <c r="B672" s="182"/>
      <c r="J672" s="67"/>
      <c r="K672" s="67"/>
      <c r="R672" s="67"/>
    </row>
    <row r="673">
      <c r="B673" s="182"/>
      <c r="J673" s="67"/>
      <c r="K673" s="67"/>
      <c r="R673" s="67"/>
    </row>
    <row r="674">
      <c r="B674" s="182"/>
      <c r="J674" s="67"/>
      <c r="K674" s="67"/>
      <c r="R674" s="67"/>
    </row>
    <row r="675">
      <c r="B675" s="182"/>
      <c r="J675" s="67"/>
      <c r="K675" s="67"/>
      <c r="R675" s="67"/>
    </row>
    <row r="676">
      <c r="B676" s="182"/>
      <c r="J676" s="67"/>
      <c r="K676" s="67"/>
      <c r="R676" s="67"/>
    </row>
    <row r="677">
      <c r="B677" s="182"/>
      <c r="J677" s="67"/>
      <c r="K677" s="67"/>
      <c r="R677" s="67"/>
    </row>
    <row r="678">
      <c r="B678" s="182"/>
      <c r="J678" s="67"/>
      <c r="K678" s="67"/>
      <c r="R678" s="67"/>
    </row>
    <row r="679">
      <c r="B679" s="182"/>
      <c r="J679" s="67"/>
      <c r="K679" s="67"/>
      <c r="R679" s="67"/>
    </row>
    <row r="680">
      <c r="B680" s="182"/>
      <c r="J680" s="67"/>
      <c r="K680" s="67"/>
      <c r="R680" s="67"/>
    </row>
    <row r="681">
      <c r="B681" s="182"/>
      <c r="J681" s="67"/>
      <c r="K681" s="67"/>
      <c r="R681" s="67"/>
    </row>
    <row r="682">
      <c r="B682" s="182"/>
      <c r="J682" s="67"/>
      <c r="K682" s="67"/>
      <c r="R682" s="67"/>
    </row>
    <row r="683">
      <c r="B683" s="182"/>
      <c r="J683" s="67"/>
      <c r="K683" s="67"/>
      <c r="R683" s="67"/>
    </row>
    <row r="684">
      <c r="B684" s="182"/>
      <c r="J684" s="67"/>
      <c r="K684" s="67"/>
      <c r="R684" s="67"/>
    </row>
    <row r="685">
      <c r="B685" s="182"/>
      <c r="J685" s="67"/>
      <c r="K685" s="67"/>
      <c r="R685" s="67"/>
    </row>
    <row r="686">
      <c r="B686" s="182"/>
      <c r="J686" s="67"/>
      <c r="K686" s="67"/>
      <c r="R686" s="67"/>
    </row>
    <row r="687">
      <c r="B687" s="182"/>
      <c r="J687" s="67"/>
      <c r="K687" s="67"/>
      <c r="R687" s="67"/>
    </row>
    <row r="688">
      <c r="B688" s="182"/>
      <c r="J688" s="67"/>
      <c r="K688" s="67"/>
      <c r="R688" s="67"/>
    </row>
    <row r="689">
      <c r="B689" s="182"/>
      <c r="J689" s="67"/>
      <c r="K689" s="67"/>
      <c r="R689" s="67"/>
    </row>
    <row r="690">
      <c r="B690" s="182"/>
      <c r="J690" s="67"/>
      <c r="K690" s="67"/>
      <c r="R690" s="67"/>
    </row>
    <row r="691">
      <c r="B691" s="182"/>
      <c r="J691" s="67"/>
      <c r="K691" s="67"/>
      <c r="R691" s="67"/>
    </row>
    <row r="692">
      <c r="B692" s="182"/>
      <c r="J692" s="67"/>
      <c r="K692" s="67"/>
      <c r="R692" s="67"/>
    </row>
    <row r="693">
      <c r="B693" s="182"/>
      <c r="J693" s="67"/>
      <c r="K693" s="67"/>
      <c r="R693" s="67"/>
    </row>
    <row r="694">
      <c r="B694" s="182"/>
      <c r="J694" s="67"/>
      <c r="K694" s="67"/>
      <c r="R694" s="67"/>
    </row>
    <row r="695">
      <c r="B695" s="182"/>
      <c r="J695" s="67"/>
      <c r="K695" s="67"/>
      <c r="R695" s="67"/>
    </row>
    <row r="696">
      <c r="B696" s="182"/>
      <c r="J696" s="67"/>
      <c r="K696" s="67"/>
      <c r="R696" s="67"/>
    </row>
    <row r="697">
      <c r="B697" s="182"/>
      <c r="J697" s="67"/>
      <c r="K697" s="67"/>
      <c r="R697" s="67"/>
    </row>
    <row r="698">
      <c r="B698" s="182"/>
      <c r="J698" s="67"/>
      <c r="K698" s="67"/>
      <c r="R698" s="67"/>
    </row>
    <row r="699">
      <c r="B699" s="182"/>
      <c r="J699" s="67"/>
      <c r="K699" s="67"/>
      <c r="R699" s="67"/>
    </row>
    <row r="700">
      <c r="B700" s="182"/>
      <c r="J700" s="67"/>
      <c r="K700" s="67"/>
      <c r="R700" s="67"/>
    </row>
    <row r="701">
      <c r="B701" s="182"/>
      <c r="J701" s="67"/>
      <c r="K701" s="67"/>
      <c r="R701" s="67"/>
    </row>
    <row r="702">
      <c r="B702" s="182"/>
      <c r="J702" s="67"/>
      <c r="K702" s="67"/>
      <c r="R702" s="67"/>
    </row>
    <row r="703">
      <c r="B703" s="182"/>
      <c r="J703" s="67"/>
      <c r="K703" s="67"/>
      <c r="R703" s="67"/>
    </row>
    <row r="704">
      <c r="B704" s="182"/>
      <c r="J704" s="67"/>
      <c r="K704" s="67"/>
      <c r="R704" s="67"/>
    </row>
    <row r="705">
      <c r="B705" s="182"/>
      <c r="J705" s="67"/>
      <c r="K705" s="67"/>
      <c r="R705" s="67"/>
    </row>
    <row r="706">
      <c r="B706" s="182"/>
      <c r="J706" s="67"/>
      <c r="K706" s="67"/>
      <c r="R706" s="67"/>
    </row>
    <row r="707">
      <c r="B707" s="182"/>
      <c r="J707" s="67"/>
      <c r="K707" s="67"/>
      <c r="R707" s="67"/>
    </row>
    <row r="708">
      <c r="B708" s="182"/>
      <c r="J708" s="67"/>
      <c r="K708" s="67"/>
      <c r="R708" s="67"/>
    </row>
    <row r="709">
      <c r="B709" s="182"/>
      <c r="J709" s="67"/>
      <c r="K709" s="67"/>
      <c r="R709" s="67"/>
    </row>
    <row r="710">
      <c r="B710" s="182"/>
      <c r="J710" s="67"/>
      <c r="K710" s="67"/>
      <c r="R710" s="67"/>
    </row>
    <row r="711">
      <c r="B711" s="182"/>
      <c r="J711" s="67"/>
      <c r="K711" s="67"/>
      <c r="R711" s="67"/>
    </row>
    <row r="712">
      <c r="B712" s="182"/>
      <c r="J712" s="67"/>
      <c r="K712" s="67"/>
      <c r="R712" s="67"/>
    </row>
    <row r="713">
      <c r="B713" s="182"/>
      <c r="J713" s="67"/>
      <c r="K713" s="67"/>
      <c r="R713" s="67"/>
    </row>
    <row r="714">
      <c r="B714" s="182"/>
      <c r="J714" s="67"/>
      <c r="K714" s="67"/>
      <c r="R714" s="67"/>
    </row>
    <row r="715">
      <c r="B715" s="182"/>
      <c r="J715" s="67"/>
      <c r="K715" s="67"/>
      <c r="R715" s="67"/>
    </row>
    <row r="716">
      <c r="B716" s="182"/>
      <c r="J716" s="67"/>
      <c r="K716" s="67"/>
      <c r="R716" s="67"/>
    </row>
    <row r="717">
      <c r="B717" s="182"/>
      <c r="J717" s="67"/>
      <c r="K717" s="67"/>
      <c r="R717" s="67"/>
    </row>
    <row r="718">
      <c r="B718" s="182"/>
      <c r="J718" s="67"/>
      <c r="K718" s="67"/>
      <c r="R718" s="67"/>
    </row>
    <row r="719">
      <c r="B719" s="182"/>
      <c r="J719" s="67"/>
      <c r="K719" s="67"/>
      <c r="R719" s="67"/>
    </row>
    <row r="720">
      <c r="B720" s="182"/>
      <c r="J720" s="67"/>
      <c r="K720" s="67"/>
      <c r="R720" s="67"/>
    </row>
    <row r="721">
      <c r="B721" s="182"/>
      <c r="J721" s="67"/>
      <c r="K721" s="67"/>
      <c r="R721" s="67"/>
    </row>
    <row r="722">
      <c r="B722" s="182"/>
      <c r="J722" s="67"/>
      <c r="K722" s="67"/>
      <c r="R722" s="67"/>
    </row>
    <row r="723">
      <c r="B723" s="182"/>
      <c r="J723" s="67"/>
      <c r="K723" s="67"/>
      <c r="R723" s="67"/>
    </row>
    <row r="724">
      <c r="B724" s="182"/>
      <c r="J724" s="67"/>
      <c r="K724" s="67"/>
      <c r="R724" s="67"/>
    </row>
    <row r="725">
      <c r="B725" s="182"/>
      <c r="J725" s="67"/>
      <c r="K725" s="67"/>
      <c r="R725" s="67"/>
    </row>
    <row r="726">
      <c r="B726" s="182"/>
      <c r="J726" s="67"/>
      <c r="K726" s="67"/>
      <c r="R726" s="67"/>
    </row>
    <row r="727">
      <c r="B727" s="182"/>
      <c r="J727" s="67"/>
      <c r="K727" s="67"/>
      <c r="R727" s="67"/>
    </row>
    <row r="728">
      <c r="B728" s="182"/>
      <c r="J728" s="67"/>
      <c r="K728" s="67"/>
      <c r="R728" s="67"/>
    </row>
    <row r="729">
      <c r="B729" s="182"/>
      <c r="J729" s="67"/>
      <c r="K729" s="67"/>
      <c r="R729" s="67"/>
    </row>
    <row r="730">
      <c r="B730" s="182"/>
      <c r="J730" s="67"/>
      <c r="K730" s="67"/>
      <c r="R730" s="67"/>
    </row>
    <row r="731">
      <c r="B731" s="182"/>
      <c r="J731" s="67"/>
      <c r="K731" s="67"/>
      <c r="R731" s="67"/>
    </row>
    <row r="732">
      <c r="B732" s="182"/>
      <c r="J732" s="67"/>
      <c r="K732" s="67"/>
      <c r="R732" s="67"/>
    </row>
    <row r="733">
      <c r="B733" s="182"/>
      <c r="J733" s="67"/>
      <c r="K733" s="67"/>
      <c r="R733" s="67"/>
    </row>
    <row r="734">
      <c r="B734" s="182"/>
      <c r="J734" s="67"/>
      <c r="K734" s="67"/>
      <c r="R734" s="67"/>
    </row>
    <row r="735">
      <c r="B735" s="182"/>
      <c r="J735" s="67"/>
      <c r="K735" s="67"/>
      <c r="R735" s="67"/>
    </row>
    <row r="736">
      <c r="B736" s="182"/>
      <c r="J736" s="67"/>
      <c r="K736" s="67"/>
      <c r="R736" s="67"/>
    </row>
    <row r="737">
      <c r="B737" s="182"/>
      <c r="J737" s="67"/>
      <c r="K737" s="67"/>
      <c r="R737" s="67"/>
    </row>
    <row r="738">
      <c r="B738" s="182"/>
      <c r="J738" s="67"/>
      <c r="K738" s="67"/>
      <c r="R738" s="67"/>
    </row>
    <row r="739">
      <c r="B739" s="182"/>
      <c r="J739" s="67"/>
      <c r="K739" s="67"/>
      <c r="R739" s="67"/>
    </row>
    <row r="740">
      <c r="B740" s="182"/>
      <c r="J740" s="67"/>
      <c r="K740" s="67"/>
      <c r="R740" s="67"/>
    </row>
    <row r="741">
      <c r="B741" s="182"/>
      <c r="J741" s="67"/>
      <c r="K741" s="67"/>
      <c r="R741" s="67"/>
    </row>
    <row r="742">
      <c r="B742" s="182"/>
      <c r="J742" s="67"/>
      <c r="K742" s="67"/>
      <c r="R742" s="67"/>
    </row>
    <row r="743">
      <c r="B743" s="182"/>
      <c r="J743" s="67"/>
      <c r="K743" s="67"/>
      <c r="R743" s="67"/>
    </row>
    <row r="744">
      <c r="B744" s="182"/>
      <c r="J744" s="67"/>
      <c r="K744" s="67"/>
      <c r="R744" s="67"/>
    </row>
    <row r="745">
      <c r="B745" s="182"/>
      <c r="J745" s="67"/>
      <c r="K745" s="67"/>
      <c r="R745" s="67"/>
    </row>
    <row r="746">
      <c r="B746" s="182"/>
      <c r="J746" s="67"/>
      <c r="K746" s="67"/>
      <c r="R746" s="67"/>
    </row>
    <row r="747">
      <c r="B747" s="182"/>
      <c r="J747" s="67"/>
      <c r="K747" s="67"/>
      <c r="R747" s="67"/>
    </row>
    <row r="748">
      <c r="B748" s="182"/>
      <c r="J748" s="67"/>
      <c r="K748" s="67"/>
      <c r="R748" s="67"/>
    </row>
    <row r="749">
      <c r="B749" s="182"/>
      <c r="J749" s="67"/>
      <c r="K749" s="67"/>
      <c r="R749" s="67"/>
    </row>
    <row r="750">
      <c r="B750" s="182"/>
      <c r="J750" s="67"/>
      <c r="K750" s="67"/>
      <c r="R750" s="67"/>
    </row>
    <row r="751">
      <c r="B751" s="182"/>
      <c r="J751" s="67"/>
      <c r="K751" s="67"/>
      <c r="R751" s="67"/>
    </row>
    <row r="752">
      <c r="B752" s="182"/>
      <c r="J752" s="67"/>
      <c r="K752" s="67"/>
      <c r="R752" s="67"/>
    </row>
    <row r="753">
      <c r="B753" s="182"/>
      <c r="J753" s="67"/>
      <c r="K753" s="67"/>
      <c r="R753" s="67"/>
    </row>
    <row r="754">
      <c r="B754" s="182"/>
      <c r="J754" s="67"/>
      <c r="K754" s="67"/>
      <c r="R754" s="67"/>
    </row>
    <row r="755">
      <c r="B755" s="182"/>
      <c r="J755" s="67"/>
      <c r="K755" s="67"/>
      <c r="R755" s="67"/>
    </row>
    <row r="756">
      <c r="B756" s="182"/>
      <c r="J756" s="67"/>
      <c r="K756" s="67"/>
      <c r="R756" s="67"/>
    </row>
    <row r="757">
      <c r="B757" s="182"/>
      <c r="J757" s="67"/>
      <c r="K757" s="67"/>
      <c r="R757" s="67"/>
    </row>
    <row r="758">
      <c r="B758" s="182"/>
      <c r="J758" s="67"/>
      <c r="K758" s="67"/>
      <c r="R758" s="67"/>
    </row>
    <row r="759">
      <c r="B759" s="182"/>
      <c r="J759" s="67"/>
      <c r="K759" s="67"/>
      <c r="R759" s="67"/>
    </row>
    <row r="760">
      <c r="B760" s="182"/>
      <c r="J760" s="67"/>
      <c r="K760" s="67"/>
      <c r="R760" s="67"/>
    </row>
    <row r="761">
      <c r="B761" s="182"/>
      <c r="J761" s="67"/>
      <c r="K761" s="67"/>
      <c r="R761" s="67"/>
    </row>
    <row r="762">
      <c r="B762" s="182"/>
      <c r="J762" s="67"/>
      <c r="K762" s="67"/>
      <c r="R762" s="67"/>
    </row>
    <row r="763">
      <c r="B763" s="182"/>
      <c r="J763" s="67"/>
      <c r="K763" s="67"/>
      <c r="R763" s="67"/>
    </row>
    <row r="764">
      <c r="B764" s="182"/>
      <c r="J764" s="67"/>
      <c r="K764" s="67"/>
      <c r="R764" s="67"/>
    </row>
    <row r="765">
      <c r="B765" s="182"/>
      <c r="J765" s="67"/>
      <c r="K765" s="67"/>
      <c r="R765" s="67"/>
    </row>
    <row r="766">
      <c r="B766" s="182"/>
      <c r="J766" s="67"/>
      <c r="K766" s="67"/>
      <c r="R766" s="67"/>
    </row>
    <row r="767">
      <c r="B767" s="182"/>
      <c r="J767" s="67"/>
      <c r="K767" s="67"/>
      <c r="R767" s="67"/>
    </row>
    <row r="768">
      <c r="B768" s="182"/>
      <c r="J768" s="67"/>
      <c r="K768" s="67"/>
      <c r="R768" s="67"/>
    </row>
    <row r="769">
      <c r="B769" s="182"/>
      <c r="J769" s="67"/>
      <c r="K769" s="67"/>
      <c r="R769" s="67"/>
    </row>
    <row r="770">
      <c r="B770" s="182"/>
      <c r="J770" s="67"/>
      <c r="K770" s="67"/>
      <c r="R770" s="67"/>
    </row>
    <row r="771">
      <c r="B771" s="182"/>
      <c r="J771" s="67"/>
      <c r="K771" s="67"/>
      <c r="R771" s="67"/>
    </row>
    <row r="772">
      <c r="B772" s="182"/>
      <c r="J772" s="67"/>
      <c r="K772" s="67"/>
      <c r="R772" s="67"/>
    </row>
    <row r="773">
      <c r="B773" s="182"/>
      <c r="J773" s="67"/>
      <c r="K773" s="67"/>
      <c r="R773" s="67"/>
    </row>
    <row r="774">
      <c r="B774" s="182"/>
      <c r="J774" s="67"/>
      <c r="K774" s="67"/>
      <c r="R774" s="67"/>
    </row>
    <row r="775">
      <c r="B775" s="182"/>
      <c r="J775" s="67"/>
      <c r="K775" s="67"/>
      <c r="R775" s="67"/>
    </row>
    <row r="776">
      <c r="B776" s="182"/>
      <c r="J776" s="67"/>
      <c r="K776" s="67"/>
      <c r="R776" s="67"/>
    </row>
    <row r="777">
      <c r="B777" s="182"/>
      <c r="J777" s="67"/>
      <c r="K777" s="67"/>
      <c r="R777" s="67"/>
    </row>
    <row r="778">
      <c r="B778" s="182"/>
      <c r="J778" s="67"/>
      <c r="K778" s="67"/>
      <c r="R778" s="67"/>
    </row>
    <row r="779">
      <c r="B779" s="182"/>
      <c r="J779" s="67"/>
      <c r="K779" s="67"/>
      <c r="R779" s="67"/>
    </row>
    <row r="780">
      <c r="B780" s="182"/>
      <c r="J780" s="67"/>
      <c r="K780" s="67"/>
      <c r="R780" s="67"/>
    </row>
    <row r="781">
      <c r="B781" s="182"/>
      <c r="J781" s="67"/>
      <c r="K781" s="67"/>
      <c r="R781" s="67"/>
    </row>
    <row r="782">
      <c r="B782" s="182"/>
      <c r="J782" s="67"/>
      <c r="K782" s="67"/>
      <c r="R782" s="67"/>
    </row>
    <row r="783">
      <c r="B783" s="182"/>
      <c r="J783" s="67"/>
      <c r="K783" s="67"/>
      <c r="R783" s="67"/>
    </row>
    <row r="784">
      <c r="B784" s="182"/>
      <c r="J784" s="67"/>
      <c r="K784" s="67"/>
      <c r="R784" s="67"/>
    </row>
    <row r="785">
      <c r="B785" s="182"/>
      <c r="J785" s="67"/>
      <c r="K785" s="67"/>
      <c r="R785" s="67"/>
    </row>
    <row r="786">
      <c r="B786" s="182"/>
      <c r="J786" s="67"/>
      <c r="K786" s="67"/>
      <c r="R786" s="67"/>
    </row>
    <row r="787">
      <c r="B787" s="182"/>
      <c r="J787" s="67"/>
      <c r="K787" s="67"/>
      <c r="R787" s="67"/>
    </row>
    <row r="788">
      <c r="B788" s="182"/>
      <c r="J788" s="67"/>
      <c r="K788" s="67"/>
      <c r="R788" s="67"/>
    </row>
    <row r="789">
      <c r="B789" s="182"/>
      <c r="J789" s="67"/>
      <c r="K789" s="67"/>
      <c r="R789" s="67"/>
    </row>
    <row r="790">
      <c r="B790" s="182"/>
      <c r="J790" s="67"/>
      <c r="K790" s="67"/>
      <c r="R790" s="67"/>
    </row>
    <row r="791">
      <c r="B791" s="182"/>
      <c r="J791" s="67"/>
      <c r="K791" s="67"/>
      <c r="R791" s="67"/>
    </row>
    <row r="792">
      <c r="B792" s="182"/>
      <c r="J792" s="67"/>
      <c r="K792" s="67"/>
      <c r="R792" s="67"/>
    </row>
    <row r="793">
      <c r="B793" s="182"/>
      <c r="J793" s="67"/>
      <c r="K793" s="67"/>
      <c r="R793" s="67"/>
    </row>
    <row r="794">
      <c r="B794" s="182"/>
      <c r="J794" s="67"/>
      <c r="K794" s="67"/>
      <c r="R794" s="67"/>
    </row>
    <row r="795">
      <c r="B795" s="182"/>
      <c r="J795" s="67"/>
      <c r="K795" s="67"/>
      <c r="R795" s="67"/>
    </row>
    <row r="796">
      <c r="B796" s="182"/>
      <c r="J796" s="67"/>
      <c r="K796" s="67"/>
      <c r="R796" s="67"/>
    </row>
    <row r="797">
      <c r="B797" s="182"/>
      <c r="J797" s="67"/>
      <c r="K797" s="67"/>
      <c r="R797" s="67"/>
    </row>
    <row r="798">
      <c r="B798" s="182"/>
      <c r="J798" s="67"/>
      <c r="K798" s="67"/>
      <c r="R798" s="67"/>
    </row>
    <row r="799">
      <c r="B799" s="182"/>
      <c r="J799" s="67"/>
      <c r="K799" s="67"/>
      <c r="R799" s="67"/>
    </row>
    <row r="800">
      <c r="B800" s="182"/>
      <c r="J800" s="67"/>
      <c r="K800" s="67"/>
      <c r="R800" s="67"/>
    </row>
    <row r="801">
      <c r="B801" s="182"/>
      <c r="J801" s="67"/>
      <c r="K801" s="67"/>
      <c r="R801" s="67"/>
    </row>
    <row r="802">
      <c r="B802" s="182"/>
      <c r="J802" s="67"/>
      <c r="K802" s="67"/>
      <c r="R802" s="67"/>
    </row>
    <row r="803">
      <c r="B803" s="182"/>
      <c r="J803" s="67"/>
      <c r="K803" s="67"/>
      <c r="R803" s="67"/>
    </row>
    <row r="804">
      <c r="B804" s="182"/>
      <c r="J804" s="67"/>
      <c r="K804" s="67"/>
      <c r="R804" s="67"/>
    </row>
    <row r="805">
      <c r="B805" s="182"/>
      <c r="J805" s="67"/>
      <c r="K805" s="67"/>
      <c r="R805" s="67"/>
    </row>
    <row r="806">
      <c r="B806" s="182"/>
      <c r="J806" s="67"/>
      <c r="K806" s="67"/>
      <c r="R806" s="67"/>
    </row>
    <row r="807">
      <c r="B807" s="182"/>
      <c r="J807" s="67"/>
      <c r="K807" s="67"/>
      <c r="R807" s="67"/>
    </row>
    <row r="808">
      <c r="B808" s="182"/>
      <c r="J808" s="67"/>
      <c r="K808" s="67"/>
      <c r="R808" s="67"/>
    </row>
    <row r="809">
      <c r="B809" s="182"/>
      <c r="J809" s="67"/>
      <c r="K809" s="67"/>
      <c r="R809" s="67"/>
    </row>
    <row r="810">
      <c r="B810" s="182"/>
      <c r="J810" s="67"/>
      <c r="K810" s="67"/>
      <c r="R810" s="67"/>
    </row>
    <row r="811">
      <c r="B811" s="182"/>
      <c r="J811" s="67"/>
      <c r="K811" s="67"/>
      <c r="R811" s="67"/>
    </row>
    <row r="812">
      <c r="B812" s="182"/>
      <c r="J812" s="67"/>
      <c r="K812" s="67"/>
      <c r="R812" s="67"/>
    </row>
    <row r="813">
      <c r="B813" s="182"/>
      <c r="J813" s="67"/>
      <c r="K813" s="67"/>
      <c r="R813" s="67"/>
    </row>
    <row r="814">
      <c r="B814" s="182"/>
      <c r="J814" s="67"/>
      <c r="K814" s="67"/>
      <c r="R814" s="67"/>
    </row>
    <row r="815">
      <c r="B815" s="182"/>
      <c r="J815" s="67"/>
      <c r="K815" s="67"/>
      <c r="R815" s="67"/>
    </row>
    <row r="816">
      <c r="B816" s="182"/>
      <c r="J816" s="67"/>
      <c r="K816" s="67"/>
      <c r="R816" s="67"/>
    </row>
    <row r="817">
      <c r="B817" s="182"/>
      <c r="J817" s="67"/>
      <c r="K817" s="67"/>
      <c r="R817" s="67"/>
    </row>
    <row r="818">
      <c r="B818" s="182"/>
      <c r="J818" s="67"/>
      <c r="K818" s="67"/>
      <c r="R818" s="67"/>
    </row>
    <row r="819">
      <c r="B819" s="182"/>
      <c r="J819" s="67"/>
      <c r="K819" s="67"/>
      <c r="R819" s="67"/>
    </row>
    <row r="820">
      <c r="B820" s="182"/>
      <c r="J820" s="67"/>
      <c r="K820" s="67"/>
      <c r="R820" s="67"/>
    </row>
    <row r="821">
      <c r="B821" s="182"/>
      <c r="J821" s="67"/>
      <c r="K821" s="67"/>
      <c r="R821" s="67"/>
    </row>
    <row r="822">
      <c r="B822" s="182"/>
      <c r="J822" s="67"/>
      <c r="K822" s="67"/>
      <c r="R822" s="67"/>
    </row>
    <row r="823">
      <c r="B823" s="182"/>
      <c r="J823" s="67"/>
      <c r="K823" s="67"/>
      <c r="R823" s="67"/>
    </row>
    <row r="824">
      <c r="B824" s="182"/>
      <c r="J824" s="67"/>
      <c r="K824" s="67"/>
      <c r="R824" s="67"/>
    </row>
    <row r="825">
      <c r="B825" s="182"/>
      <c r="J825" s="67"/>
      <c r="K825" s="67"/>
      <c r="R825" s="67"/>
    </row>
    <row r="826">
      <c r="B826" s="182"/>
      <c r="J826" s="67"/>
      <c r="K826" s="67"/>
      <c r="R826" s="67"/>
    </row>
    <row r="827">
      <c r="B827" s="182"/>
      <c r="J827" s="67"/>
      <c r="K827" s="67"/>
      <c r="R827" s="67"/>
    </row>
    <row r="828">
      <c r="B828" s="182"/>
      <c r="J828" s="67"/>
      <c r="K828" s="67"/>
      <c r="R828" s="67"/>
    </row>
    <row r="829">
      <c r="B829" s="182"/>
      <c r="J829" s="67"/>
      <c r="K829" s="67"/>
      <c r="R829" s="67"/>
    </row>
    <row r="830">
      <c r="B830" s="182"/>
      <c r="J830" s="67"/>
      <c r="K830" s="67"/>
      <c r="R830" s="67"/>
    </row>
    <row r="831">
      <c r="B831" s="182"/>
      <c r="J831" s="67"/>
      <c r="K831" s="67"/>
      <c r="R831" s="67"/>
    </row>
    <row r="832">
      <c r="B832" s="182"/>
      <c r="J832" s="67"/>
      <c r="K832" s="67"/>
      <c r="R832" s="67"/>
    </row>
    <row r="833">
      <c r="B833" s="182"/>
      <c r="J833" s="67"/>
      <c r="K833" s="67"/>
      <c r="R833" s="67"/>
    </row>
    <row r="834">
      <c r="B834" s="182"/>
      <c r="J834" s="67"/>
      <c r="K834" s="67"/>
      <c r="R834" s="67"/>
    </row>
    <row r="835">
      <c r="B835" s="182"/>
      <c r="J835" s="67"/>
      <c r="K835" s="67"/>
      <c r="R835" s="67"/>
    </row>
    <row r="836">
      <c r="B836" s="182"/>
      <c r="J836" s="67"/>
      <c r="K836" s="67"/>
      <c r="R836" s="67"/>
    </row>
    <row r="837">
      <c r="B837" s="182"/>
      <c r="J837" s="67"/>
      <c r="K837" s="67"/>
      <c r="R837" s="67"/>
    </row>
    <row r="838">
      <c r="B838" s="182"/>
      <c r="J838" s="67"/>
      <c r="K838" s="67"/>
      <c r="R838" s="67"/>
    </row>
    <row r="839">
      <c r="B839" s="182"/>
      <c r="J839" s="67"/>
      <c r="K839" s="67"/>
      <c r="R839" s="67"/>
    </row>
    <row r="840">
      <c r="B840" s="182"/>
      <c r="J840" s="67"/>
      <c r="K840" s="67"/>
      <c r="R840" s="67"/>
    </row>
    <row r="841">
      <c r="B841" s="182"/>
      <c r="J841" s="67"/>
      <c r="K841" s="67"/>
      <c r="R841" s="67"/>
    </row>
    <row r="842">
      <c r="B842" s="182"/>
      <c r="J842" s="67"/>
      <c r="K842" s="67"/>
      <c r="R842" s="67"/>
    </row>
    <row r="843">
      <c r="B843" s="182"/>
      <c r="J843" s="67"/>
      <c r="K843" s="67"/>
      <c r="R843" s="67"/>
    </row>
    <row r="844">
      <c r="B844" s="182"/>
      <c r="J844" s="67"/>
      <c r="K844" s="67"/>
      <c r="R844" s="67"/>
    </row>
    <row r="845">
      <c r="B845" s="182"/>
      <c r="J845" s="67"/>
      <c r="K845" s="67"/>
      <c r="R845" s="67"/>
    </row>
    <row r="846">
      <c r="B846" s="182"/>
      <c r="J846" s="67"/>
      <c r="K846" s="67"/>
      <c r="R846" s="67"/>
    </row>
    <row r="847">
      <c r="B847" s="182"/>
      <c r="J847" s="67"/>
      <c r="K847" s="67"/>
      <c r="R847" s="67"/>
    </row>
    <row r="848">
      <c r="B848" s="182"/>
      <c r="J848" s="67"/>
      <c r="K848" s="67"/>
      <c r="R848" s="67"/>
    </row>
    <row r="849">
      <c r="B849" s="182"/>
      <c r="J849" s="67"/>
      <c r="K849" s="67"/>
      <c r="R849" s="67"/>
    </row>
    <row r="850">
      <c r="B850" s="182"/>
      <c r="J850" s="67"/>
      <c r="K850" s="67"/>
      <c r="R850" s="67"/>
    </row>
    <row r="851">
      <c r="B851" s="182"/>
      <c r="J851" s="67"/>
      <c r="K851" s="67"/>
      <c r="R851" s="67"/>
    </row>
    <row r="852">
      <c r="B852" s="182"/>
      <c r="J852" s="67"/>
      <c r="K852" s="67"/>
      <c r="R852" s="67"/>
    </row>
    <row r="853">
      <c r="B853" s="182"/>
      <c r="J853" s="67"/>
      <c r="K853" s="67"/>
      <c r="R853" s="67"/>
    </row>
    <row r="854">
      <c r="B854" s="182"/>
      <c r="J854" s="67"/>
      <c r="K854" s="67"/>
      <c r="R854" s="67"/>
    </row>
    <row r="855">
      <c r="B855" s="182"/>
      <c r="J855" s="67"/>
      <c r="K855" s="67"/>
      <c r="R855" s="67"/>
    </row>
    <row r="856">
      <c r="B856" s="182"/>
      <c r="J856" s="67"/>
      <c r="K856" s="67"/>
      <c r="R856" s="67"/>
    </row>
    <row r="857">
      <c r="B857" s="182"/>
      <c r="J857" s="67"/>
      <c r="K857" s="67"/>
      <c r="R857" s="67"/>
    </row>
    <row r="858">
      <c r="B858" s="182"/>
      <c r="J858" s="67"/>
      <c r="K858" s="67"/>
      <c r="R858" s="67"/>
    </row>
    <row r="859">
      <c r="B859" s="182"/>
      <c r="J859" s="67"/>
      <c r="K859" s="67"/>
      <c r="R859" s="67"/>
    </row>
    <row r="860">
      <c r="B860" s="182"/>
      <c r="J860" s="67"/>
      <c r="K860" s="67"/>
      <c r="R860" s="67"/>
    </row>
    <row r="861">
      <c r="B861" s="182"/>
      <c r="J861" s="67"/>
      <c r="K861" s="67"/>
      <c r="R861" s="67"/>
    </row>
    <row r="862">
      <c r="B862" s="182"/>
      <c r="J862" s="67"/>
      <c r="K862" s="67"/>
      <c r="R862" s="67"/>
    </row>
    <row r="863">
      <c r="B863" s="182"/>
      <c r="J863" s="67"/>
      <c r="K863" s="67"/>
      <c r="R863" s="67"/>
    </row>
    <row r="864">
      <c r="B864" s="182"/>
      <c r="J864" s="67"/>
      <c r="K864" s="67"/>
      <c r="R864" s="67"/>
    </row>
    <row r="865">
      <c r="B865" s="182"/>
      <c r="J865" s="67"/>
      <c r="K865" s="67"/>
      <c r="R865" s="67"/>
    </row>
    <row r="866">
      <c r="B866" s="182"/>
      <c r="J866" s="67"/>
      <c r="K866" s="67"/>
      <c r="R866" s="67"/>
    </row>
    <row r="867">
      <c r="B867" s="182"/>
      <c r="J867" s="67"/>
      <c r="K867" s="67"/>
      <c r="R867" s="67"/>
    </row>
    <row r="868">
      <c r="B868" s="182"/>
      <c r="J868" s="67"/>
      <c r="K868" s="67"/>
      <c r="R868" s="67"/>
    </row>
    <row r="869">
      <c r="B869" s="182"/>
      <c r="J869" s="67"/>
      <c r="K869" s="67"/>
      <c r="R869" s="67"/>
    </row>
    <row r="870">
      <c r="B870" s="182"/>
      <c r="J870" s="67"/>
      <c r="K870" s="67"/>
      <c r="R870" s="67"/>
    </row>
    <row r="871">
      <c r="B871" s="182"/>
      <c r="J871" s="67"/>
      <c r="K871" s="67"/>
      <c r="R871" s="67"/>
    </row>
    <row r="872">
      <c r="B872" s="182"/>
      <c r="J872" s="67"/>
      <c r="K872" s="67"/>
      <c r="R872" s="67"/>
    </row>
    <row r="873">
      <c r="B873" s="182"/>
      <c r="J873" s="67"/>
      <c r="K873" s="67"/>
      <c r="R873" s="67"/>
    </row>
    <row r="874">
      <c r="B874" s="182"/>
      <c r="J874" s="67"/>
      <c r="K874" s="67"/>
      <c r="R874" s="67"/>
    </row>
    <row r="875">
      <c r="B875" s="182"/>
      <c r="J875" s="67"/>
      <c r="K875" s="67"/>
      <c r="R875" s="67"/>
    </row>
    <row r="876">
      <c r="B876" s="182"/>
      <c r="J876" s="67"/>
      <c r="K876" s="67"/>
      <c r="R876" s="67"/>
    </row>
    <row r="877">
      <c r="B877" s="182"/>
      <c r="J877" s="67"/>
      <c r="K877" s="67"/>
      <c r="R877" s="67"/>
    </row>
    <row r="878">
      <c r="B878" s="182"/>
      <c r="J878" s="67"/>
      <c r="K878" s="67"/>
      <c r="R878" s="67"/>
    </row>
    <row r="879">
      <c r="B879" s="182"/>
      <c r="J879" s="67"/>
      <c r="K879" s="67"/>
      <c r="R879" s="67"/>
    </row>
    <row r="880">
      <c r="B880" s="182"/>
      <c r="J880" s="67"/>
      <c r="K880" s="67"/>
      <c r="R880" s="67"/>
    </row>
    <row r="881">
      <c r="B881" s="182"/>
      <c r="J881" s="67"/>
      <c r="K881" s="67"/>
      <c r="R881" s="67"/>
    </row>
    <row r="882">
      <c r="B882" s="182"/>
      <c r="J882" s="67"/>
      <c r="K882" s="67"/>
      <c r="R882" s="67"/>
    </row>
    <row r="883">
      <c r="B883" s="182"/>
      <c r="J883" s="67"/>
      <c r="K883" s="67"/>
      <c r="R883" s="67"/>
    </row>
    <row r="884">
      <c r="B884" s="182"/>
      <c r="J884" s="67"/>
      <c r="K884" s="67"/>
      <c r="R884" s="67"/>
    </row>
    <row r="885">
      <c r="B885" s="182"/>
      <c r="J885" s="67"/>
      <c r="K885" s="67"/>
      <c r="R885" s="67"/>
    </row>
    <row r="886">
      <c r="B886" s="182"/>
      <c r="J886" s="67"/>
      <c r="K886" s="67"/>
      <c r="R886" s="67"/>
    </row>
    <row r="887">
      <c r="B887" s="182"/>
      <c r="J887" s="67"/>
      <c r="K887" s="67"/>
      <c r="R887" s="67"/>
    </row>
    <row r="888">
      <c r="B888" s="182"/>
      <c r="J888" s="67"/>
      <c r="K888" s="67"/>
      <c r="R888" s="67"/>
    </row>
    <row r="889">
      <c r="B889" s="182"/>
      <c r="J889" s="67"/>
      <c r="K889" s="67"/>
      <c r="R889" s="67"/>
    </row>
    <row r="890">
      <c r="B890" s="182"/>
      <c r="J890" s="67"/>
      <c r="K890" s="67"/>
      <c r="R890" s="67"/>
    </row>
    <row r="891">
      <c r="B891" s="182"/>
      <c r="J891" s="67"/>
      <c r="K891" s="67"/>
      <c r="R891" s="67"/>
    </row>
    <row r="892">
      <c r="B892" s="182"/>
      <c r="J892" s="67"/>
      <c r="K892" s="67"/>
      <c r="R892" s="67"/>
    </row>
    <row r="893">
      <c r="B893" s="182"/>
      <c r="J893" s="67"/>
      <c r="K893" s="67"/>
      <c r="R893" s="67"/>
    </row>
    <row r="894">
      <c r="B894" s="182"/>
      <c r="J894" s="67"/>
      <c r="K894" s="67"/>
      <c r="R894" s="67"/>
    </row>
    <row r="895">
      <c r="B895" s="182"/>
      <c r="J895" s="67"/>
      <c r="K895" s="67"/>
      <c r="R895" s="67"/>
    </row>
    <row r="896">
      <c r="B896" s="182"/>
      <c r="J896" s="67"/>
      <c r="K896" s="67"/>
      <c r="R896" s="67"/>
    </row>
    <row r="897">
      <c r="B897" s="182"/>
      <c r="J897" s="67"/>
      <c r="K897" s="67"/>
      <c r="R897" s="67"/>
    </row>
    <row r="898">
      <c r="B898" s="182"/>
      <c r="J898" s="67"/>
      <c r="K898" s="67"/>
      <c r="R898" s="67"/>
    </row>
    <row r="899">
      <c r="B899" s="182"/>
      <c r="J899" s="67"/>
      <c r="K899" s="67"/>
      <c r="R899" s="67"/>
    </row>
    <row r="900">
      <c r="B900" s="182"/>
      <c r="J900" s="67"/>
      <c r="K900" s="67"/>
      <c r="R900" s="67"/>
    </row>
    <row r="901">
      <c r="B901" s="182"/>
      <c r="J901" s="67"/>
      <c r="K901" s="67"/>
      <c r="R901" s="67"/>
    </row>
    <row r="902">
      <c r="B902" s="182"/>
      <c r="J902" s="67"/>
      <c r="K902" s="67"/>
      <c r="R902" s="67"/>
    </row>
    <row r="903">
      <c r="B903" s="182"/>
      <c r="J903" s="67"/>
      <c r="K903" s="67"/>
      <c r="R903" s="67"/>
    </row>
    <row r="904">
      <c r="B904" s="182"/>
      <c r="J904" s="67"/>
      <c r="K904" s="67"/>
      <c r="R904" s="67"/>
    </row>
    <row r="905">
      <c r="B905" s="182"/>
      <c r="J905" s="67"/>
      <c r="K905" s="67"/>
      <c r="R905" s="67"/>
    </row>
    <row r="906">
      <c r="B906" s="182"/>
      <c r="J906" s="67"/>
      <c r="K906" s="67"/>
      <c r="R906" s="67"/>
    </row>
    <row r="907">
      <c r="B907" s="182"/>
      <c r="J907" s="67"/>
      <c r="K907" s="67"/>
      <c r="R907" s="67"/>
    </row>
    <row r="908">
      <c r="B908" s="182"/>
      <c r="J908" s="67"/>
      <c r="K908" s="67"/>
      <c r="R908" s="67"/>
    </row>
    <row r="909">
      <c r="B909" s="182"/>
      <c r="J909" s="67"/>
      <c r="K909" s="67"/>
      <c r="R909" s="67"/>
    </row>
    <row r="910">
      <c r="B910" s="182"/>
      <c r="J910" s="67"/>
      <c r="K910" s="67"/>
      <c r="R910" s="67"/>
    </row>
    <row r="911">
      <c r="B911" s="182"/>
      <c r="J911" s="67"/>
      <c r="K911" s="67"/>
      <c r="R911" s="67"/>
    </row>
    <row r="912">
      <c r="B912" s="182"/>
      <c r="J912" s="67"/>
      <c r="K912" s="67"/>
      <c r="R912" s="67"/>
    </row>
    <row r="913">
      <c r="B913" s="182"/>
      <c r="J913" s="67"/>
      <c r="K913" s="67"/>
      <c r="R913" s="67"/>
    </row>
    <row r="914">
      <c r="B914" s="182"/>
      <c r="J914" s="67"/>
      <c r="K914" s="67"/>
      <c r="R914" s="67"/>
    </row>
    <row r="915">
      <c r="B915" s="182"/>
      <c r="J915" s="67"/>
      <c r="K915" s="67"/>
      <c r="R915" s="67"/>
    </row>
    <row r="916">
      <c r="B916" s="182"/>
      <c r="J916" s="67"/>
      <c r="K916" s="67"/>
      <c r="R916" s="67"/>
    </row>
    <row r="917">
      <c r="B917" s="182"/>
      <c r="J917" s="67"/>
      <c r="K917" s="67"/>
      <c r="R917" s="67"/>
    </row>
    <row r="918">
      <c r="B918" s="182"/>
      <c r="J918" s="67"/>
      <c r="K918" s="67"/>
      <c r="R918" s="67"/>
    </row>
    <row r="919">
      <c r="B919" s="182"/>
      <c r="J919" s="67"/>
      <c r="K919" s="67"/>
      <c r="R919" s="67"/>
    </row>
    <row r="920">
      <c r="B920" s="182"/>
      <c r="J920" s="67"/>
      <c r="K920" s="67"/>
      <c r="R920" s="67"/>
    </row>
    <row r="921">
      <c r="B921" s="182"/>
      <c r="J921" s="67"/>
      <c r="K921" s="67"/>
      <c r="R921" s="67"/>
    </row>
    <row r="922">
      <c r="B922" s="182"/>
      <c r="J922" s="67"/>
      <c r="K922" s="67"/>
      <c r="R922" s="67"/>
    </row>
    <row r="923">
      <c r="B923" s="182"/>
      <c r="J923" s="67"/>
      <c r="K923" s="67"/>
      <c r="R923" s="67"/>
    </row>
    <row r="924">
      <c r="B924" s="182"/>
      <c r="J924" s="67"/>
      <c r="K924" s="67"/>
      <c r="R924" s="67"/>
    </row>
    <row r="925">
      <c r="B925" s="182"/>
      <c r="J925" s="67"/>
      <c r="K925" s="67"/>
      <c r="R925" s="67"/>
    </row>
    <row r="926">
      <c r="B926" s="182"/>
      <c r="J926" s="67"/>
      <c r="K926" s="67"/>
      <c r="R926" s="67"/>
    </row>
    <row r="927">
      <c r="B927" s="182"/>
      <c r="J927" s="67"/>
      <c r="K927" s="67"/>
      <c r="R927" s="67"/>
    </row>
    <row r="928">
      <c r="B928" s="182"/>
      <c r="J928" s="67"/>
      <c r="K928" s="67"/>
      <c r="R928" s="67"/>
    </row>
    <row r="929">
      <c r="B929" s="182"/>
      <c r="J929" s="67"/>
      <c r="K929" s="67"/>
      <c r="R929" s="67"/>
    </row>
    <row r="930">
      <c r="B930" s="182"/>
      <c r="J930" s="67"/>
      <c r="K930" s="67"/>
      <c r="R930" s="67"/>
    </row>
    <row r="931">
      <c r="B931" s="182"/>
      <c r="J931" s="67"/>
      <c r="K931" s="67"/>
      <c r="R931" s="67"/>
    </row>
    <row r="932">
      <c r="B932" s="182"/>
      <c r="J932" s="67"/>
      <c r="K932" s="67"/>
      <c r="R932" s="67"/>
    </row>
    <row r="933">
      <c r="B933" s="182"/>
      <c r="J933" s="67"/>
      <c r="K933" s="67"/>
      <c r="R933" s="67"/>
    </row>
    <row r="934">
      <c r="B934" s="182"/>
      <c r="J934" s="67"/>
      <c r="K934" s="67"/>
      <c r="R934" s="67"/>
    </row>
    <row r="935">
      <c r="B935" s="182"/>
      <c r="J935" s="67"/>
      <c r="K935" s="67"/>
      <c r="R935" s="67"/>
    </row>
    <row r="936">
      <c r="B936" s="182"/>
      <c r="J936" s="67"/>
      <c r="K936" s="67"/>
      <c r="R936" s="67"/>
    </row>
    <row r="937">
      <c r="B937" s="182"/>
      <c r="J937" s="67"/>
      <c r="K937" s="67"/>
      <c r="R937" s="67"/>
    </row>
    <row r="938">
      <c r="B938" s="182"/>
      <c r="J938" s="67"/>
      <c r="K938" s="67"/>
      <c r="R938" s="67"/>
    </row>
    <row r="939">
      <c r="B939" s="182"/>
      <c r="J939" s="67"/>
      <c r="K939" s="67"/>
      <c r="R939" s="67"/>
    </row>
    <row r="940">
      <c r="B940" s="182"/>
      <c r="J940" s="67"/>
      <c r="K940" s="67"/>
      <c r="R940" s="67"/>
    </row>
    <row r="941">
      <c r="B941" s="182"/>
      <c r="J941" s="67"/>
      <c r="K941" s="67"/>
      <c r="R941" s="67"/>
    </row>
    <row r="942">
      <c r="B942" s="182"/>
      <c r="J942" s="67"/>
      <c r="K942" s="67"/>
      <c r="R942" s="67"/>
    </row>
    <row r="943">
      <c r="B943" s="182"/>
      <c r="J943" s="67"/>
      <c r="K943" s="67"/>
      <c r="R943" s="67"/>
    </row>
    <row r="944">
      <c r="B944" s="182"/>
      <c r="J944" s="67"/>
      <c r="K944" s="67"/>
      <c r="R944" s="67"/>
    </row>
    <row r="945">
      <c r="B945" s="182"/>
      <c r="J945" s="67"/>
      <c r="K945" s="67"/>
      <c r="R945" s="67"/>
    </row>
    <row r="946">
      <c r="B946" s="182"/>
      <c r="J946" s="67"/>
      <c r="K946" s="67"/>
      <c r="R946" s="67"/>
    </row>
    <row r="947">
      <c r="B947" s="182"/>
      <c r="J947" s="67"/>
      <c r="K947" s="67"/>
      <c r="R947" s="67"/>
    </row>
    <row r="948">
      <c r="B948" s="182"/>
      <c r="J948" s="67"/>
      <c r="K948" s="67"/>
      <c r="R948" s="67"/>
    </row>
    <row r="949">
      <c r="B949" s="182"/>
      <c r="J949" s="67"/>
      <c r="K949" s="67"/>
      <c r="R949" s="67"/>
    </row>
    <row r="950">
      <c r="B950" s="182"/>
      <c r="J950" s="67"/>
      <c r="K950" s="67"/>
      <c r="R950" s="67"/>
    </row>
    <row r="951">
      <c r="B951" s="182"/>
      <c r="J951" s="67"/>
      <c r="K951" s="67"/>
      <c r="R951" s="67"/>
    </row>
    <row r="952">
      <c r="B952" s="182"/>
      <c r="J952" s="67"/>
      <c r="K952" s="67"/>
      <c r="R952" s="67"/>
    </row>
    <row r="953">
      <c r="B953" s="182"/>
      <c r="J953" s="67"/>
      <c r="K953" s="67"/>
      <c r="R953" s="67"/>
    </row>
    <row r="954">
      <c r="B954" s="182"/>
      <c r="J954" s="67"/>
      <c r="K954" s="67"/>
      <c r="R954" s="67"/>
    </row>
    <row r="955">
      <c r="B955" s="182"/>
      <c r="J955" s="67"/>
      <c r="K955" s="67"/>
      <c r="R955" s="67"/>
    </row>
    <row r="956">
      <c r="B956" s="182"/>
      <c r="J956" s="67"/>
      <c r="K956" s="67"/>
      <c r="R956" s="67"/>
    </row>
    <row r="957">
      <c r="B957" s="182"/>
      <c r="J957" s="67"/>
      <c r="K957" s="67"/>
      <c r="R957" s="67"/>
    </row>
    <row r="958">
      <c r="B958" s="182"/>
      <c r="J958" s="67"/>
      <c r="K958" s="67"/>
      <c r="R958" s="67"/>
    </row>
    <row r="959">
      <c r="B959" s="182"/>
      <c r="J959" s="67"/>
      <c r="K959" s="67"/>
      <c r="R959" s="67"/>
    </row>
    <row r="960">
      <c r="B960" s="182"/>
      <c r="J960" s="67"/>
      <c r="K960" s="67"/>
      <c r="R960" s="67"/>
    </row>
    <row r="961">
      <c r="B961" s="182"/>
      <c r="J961" s="67"/>
      <c r="K961" s="67"/>
      <c r="R961" s="67"/>
    </row>
    <row r="962">
      <c r="B962" s="182"/>
      <c r="J962" s="67"/>
      <c r="K962" s="67"/>
      <c r="R962" s="67"/>
    </row>
    <row r="963">
      <c r="B963" s="182"/>
      <c r="J963" s="67"/>
      <c r="K963" s="67"/>
      <c r="R963" s="67"/>
    </row>
    <row r="964">
      <c r="B964" s="182"/>
      <c r="J964" s="67"/>
      <c r="K964" s="67"/>
      <c r="R964" s="67"/>
    </row>
    <row r="965">
      <c r="B965" s="182"/>
      <c r="J965" s="67"/>
      <c r="K965" s="67"/>
      <c r="R965" s="67"/>
    </row>
    <row r="966">
      <c r="B966" s="182"/>
      <c r="J966" s="67"/>
      <c r="K966" s="67"/>
      <c r="R966" s="67"/>
    </row>
    <row r="967">
      <c r="B967" s="182"/>
      <c r="J967" s="67"/>
      <c r="K967" s="67"/>
      <c r="R967" s="67"/>
    </row>
    <row r="968">
      <c r="B968" s="182"/>
      <c r="J968" s="67"/>
      <c r="K968" s="67"/>
      <c r="R968" s="67"/>
    </row>
    <row r="969">
      <c r="B969" s="182"/>
      <c r="J969" s="67"/>
      <c r="K969" s="67"/>
      <c r="R969" s="67"/>
    </row>
    <row r="970">
      <c r="B970" s="182"/>
      <c r="J970" s="67"/>
      <c r="K970" s="67"/>
      <c r="R970" s="67"/>
    </row>
    <row r="971">
      <c r="B971" s="182"/>
      <c r="J971" s="67"/>
      <c r="K971" s="67"/>
      <c r="R971" s="67"/>
    </row>
    <row r="972">
      <c r="B972" s="182"/>
      <c r="J972" s="67"/>
      <c r="K972" s="67"/>
      <c r="R972" s="67"/>
    </row>
    <row r="973">
      <c r="B973" s="182"/>
      <c r="J973" s="67"/>
      <c r="K973" s="67"/>
      <c r="R973" s="67"/>
    </row>
    <row r="974">
      <c r="B974" s="182"/>
      <c r="J974" s="67"/>
      <c r="K974" s="67"/>
      <c r="R974" s="67"/>
    </row>
    <row r="975">
      <c r="B975" s="182"/>
      <c r="J975" s="67"/>
      <c r="K975" s="67"/>
      <c r="R975" s="67"/>
    </row>
    <row r="976">
      <c r="B976" s="182"/>
      <c r="J976" s="67"/>
      <c r="K976" s="67"/>
      <c r="R976" s="67"/>
    </row>
    <row r="977">
      <c r="B977" s="182"/>
      <c r="J977" s="67"/>
      <c r="K977" s="67"/>
      <c r="R977" s="67"/>
    </row>
    <row r="978">
      <c r="B978" s="182"/>
      <c r="J978" s="67"/>
      <c r="K978" s="67"/>
      <c r="R978" s="67"/>
    </row>
    <row r="979">
      <c r="B979" s="182"/>
      <c r="J979" s="67"/>
      <c r="K979" s="67"/>
      <c r="R979" s="67"/>
    </row>
    <row r="980">
      <c r="B980" s="182"/>
      <c r="J980" s="67"/>
      <c r="K980" s="67"/>
      <c r="R980" s="67"/>
    </row>
    <row r="981">
      <c r="B981" s="182"/>
      <c r="J981" s="67"/>
      <c r="K981" s="67"/>
      <c r="R981" s="67"/>
    </row>
    <row r="982">
      <c r="B982" s="182"/>
      <c r="J982" s="67"/>
      <c r="K982" s="67"/>
      <c r="R982" s="67"/>
    </row>
    <row r="983">
      <c r="B983" s="182"/>
      <c r="J983" s="67"/>
      <c r="K983" s="67"/>
      <c r="R983" s="67"/>
    </row>
    <row r="984">
      <c r="B984" s="182"/>
      <c r="J984" s="67"/>
      <c r="K984" s="67"/>
      <c r="R984" s="67"/>
    </row>
    <row r="985">
      <c r="B985" s="182"/>
      <c r="J985" s="67"/>
      <c r="K985" s="67"/>
      <c r="R985" s="67"/>
    </row>
    <row r="986">
      <c r="B986" s="182"/>
      <c r="J986" s="67"/>
      <c r="K986" s="67"/>
      <c r="R986" s="67"/>
    </row>
    <row r="987">
      <c r="B987" s="182"/>
      <c r="J987" s="67"/>
      <c r="K987" s="67"/>
      <c r="R987" s="67"/>
    </row>
    <row r="988">
      <c r="B988" s="182"/>
      <c r="J988" s="67"/>
      <c r="K988" s="67"/>
      <c r="R988" s="67"/>
    </row>
    <row r="989">
      <c r="B989" s="182"/>
      <c r="J989" s="67"/>
      <c r="K989" s="67"/>
      <c r="R989" s="67"/>
    </row>
    <row r="990">
      <c r="B990" s="182"/>
      <c r="J990" s="67"/>
      <c r="K990" s="67"/>
      <c r="R990" s="67"/>
    </row>
    <row r="991">
      <c r="B991" s="182"/>
      <c r="J991" s="67"/>
      <c r="K991" s="67"/>
      <c r="R991" s="67"/>
    </row>
    <row r="992">
      <c r="B992" s="182"/>
      <c r="J992" s="67"/>
      <c r="K992" s="67"/>
      <c r="R992" s="67"/>
    </row>
    <row r="993">
      <c r="B993" s="182"/>
      <c r="J993" s="67"/>
      <c r="K993" s="67"/>
      <c r="R993" s="67"/>
    </row>
    <row r="994">
      <c r="B994" s="182"/>
      <c r="J994" s="67"/>
      <c r="K994" s="67"/>
      <c r="R994" s="67"/>
    </row>
    <row r="995">
      <c r="B995" s="182"/>
      <c r="J995" s="67"/>
      <c r="K995" s="67"/>
      <c r="R995" s="67"/>
    </row>
    <row r="996">
      <c r="B996" s="182"/>
      <c r="J996" s="67"/>
      <c r="K996" s="67"/>
      <c r="R996" s="67"/>
    </row>
    <row r="997">
      <c r="B997" s="182"/>
      <c r="J997" s="67"/>
      <c r="K997" s="67"/>
      <c r="R997" s="67"/>
    </row>
    <row r="998">
      <c r="B998" s="182"/>
      <c r="J998" s="67"/>
      <c r="K998" s="67"/>
      <c r="R998" s="67"/>
    </row>
    <row r="999">
      <c r="B999" s="182"/>
      <c r="J999" s="67"/>
      <c r="K999" s="67"/>
      <c r="R999" s="67"/>
    </row>
    <row r="1000">
      <c r="B1000" s="182"/>
      <c r="J1000" s="67"/>
      <c r="K1000" s="67"/>
      <c r="R1000" s="67"/>
    </row>
    <row r="1001">
      <c r="B1001" s="182"/>
      <c r="J1001" s="67"/>
      <c r="K1001" s="67"/>
      <c r="R1001" s="67"/>
    </row>
    <row r="1002">
      <c r="B1002" s="182"/>
      <c r="J1002" s="67"/>
      <c r="K1002" s="67"/>
      <c r="R1002" s="67"/>
    </row>
    <row r="1003">
      <c r="B1003" s="182"/>
      <c r="J1003" s="67"/>
      <c r="K1003" s="67"/>
      <c r="R1003" s="67"/>
    </row>
    <row r="1004">
      <c r="B1004" s="182"/>
      <c r="J1004" s="67"/>
      <c r="K1004" s="67"/>
      <c r="R1004" s="67"/>
    </row>
    <row r="1005">
      <c r="B1005" s="182"/>
      <c r="J1005" s="67"/>
      <c r="K1005" s="67"/>
      <c r="R1005" s="67"/>
    </row>
    <row r="1006">
      <c r="B1006" s="182"/>
      <c r="J1006" s="67"/>
      <c r="K1006" s="67"/>
      <c r="R1006" s="67"/>
    </row>
    <row r="1007">
      <c r="B1007" s="182"/>
      <c r="J1007" s="67"/>
      <c r="K1007" s="67"/>
      <c r="R1007" s="67"/>
    </row>
    <row r="1008">
      <c r="B1008" s="182"/>
      <c r="J1008" s="67"/>
      <c r="K1008" s="67"/>
      <c r="R1008" s="67"/>
    </row>
    <row r="1009">
      <c r="B1009" s="182"/>
      <c r="J1009" s="67"/>
      <c r="K1009" s="67"/>
      <c r="R1009" s="67"/>
    </row>
    <row r="1010">
      <c r="B1010" s="182"/>
      <c r="J1010" s="67"/>
      <c r="K1010" s="67"/>
      <c r="R1010" s="67"/>
    </row>
    <row r="1011">
      <c r="B1011" s="182"/>
      <c r="J1011" s="67"/>
      <c r="K1011" s="67"/>
      <c r="R1011" s="67"/>
    </row>
    <row r="1012">
      <c r="B1012" s="182"/>
      <c r="J1012" s="67"/>
      <c r="K1012" s="67"/>
      <c r="R1012" s="67"/>
    </row>
    <row r="1013">
      <c r="B1013" s="182"/>
      <c r="J1013" s="67"/>
      <c r="K1013" s="67"/>
      <c r="R1013" s="67"/>
    </row>
    <row r="1014">
      <c r="B1014" s="182"/>
      <c r="J1014" s="67"/>
      <c r="K1014" s="67"/>
      <c r="R1014" s="67"/>
    </row>
    <row r="1015">
      <c r="B1015" s="182"/>
      <c r="J1015" s="67"/>
      <c r="K1015" s="67"/>
      <c r="R1015" s="67"/>
    </row>
    <row r="1016">
      <c r="B1016" s="182"/>
      <c r="J1016" s="67"/>
      <c r="K1016" s="67"/>
      <c r="R1016" s="67"/>
    </row>
    <row r="1017">
      <c r="B1017" s="182"/>
      <c r="J1017" s="67"/>
      <c r="K1017" s="67"/>
      <c r="R1017" s="67"/>
    </row>
    <row r="1018">
      <c r="B1018" s="182"/>
      <c r="J1018" s="67"/>
      <c r="K1018" s="67"/>
      <c r="R1018" s="67"/>
    </row>
    <row r="1019">
      <c r="B1019" s="182"/>
      <c r="J1019" s="67"/>
      <c r="K1019" s="67"/>
      <c r="R1019" s="67"/>
    </row>
    <row r="1020">
      <c r="B1020" s="182"/>
      <c r="J1020" s="67"/>
      <c r="K1020" s="67"/>
      <c r="R1020" s="67"/>
    </row>
    <row r="1021">
      <c r="B1021" s="182"/>
      <c r="J1021" s="67"/>
      <c r="K1021" s="67"/>
      <c r="R1021" s="67"/>
    </row>
    <row r="1022">
      <c r="B1022" s="182"/>
      <c r="J1022" s="67"/>
      <c r="K1022" s="67"/>
      <c r="R1022" s="67"/>
    </row>
    <row r="1023">
      <c r="B1023" s="182"/>
      <c r="J1023" s="67"/>
      <c r="K1023" s="67"/>
      <c r="R1023" s="67"/>
    </row>
    <row r="1024">
      <c r="B1024" s="182"/>
      <c r="J1024" s="67"/>
      <c r="K1024" s="67"/>
      <c r="R1024" s="67"/>
    </row>
    <row r="1025">
      <c r="B1025" s="182"/>
      <c r="J1025" s="67"/>
      <c r="K1025" s="67"/>
      <c r="R1025" s="67"/>
    </row>
    <row r="1026">
      <c r="B1026" s="182"/>
      <c r="J1026" s="67"/>
      <c r="K1026" s="67"/>
      <c r="R1026" s="67"/>
    </row>
    <row r="1027">
      <c r="B1027" s="182"/>
      <c r="J1027" s="67"/>
      <c r="K1027" s="67"/>
      <c r="R1027" s="67"/>
    </row>
    <row r="1028">
      <c r="B1028" s="182"/>
      <c r="J1028" s="67"/>
      <c r="K1028" s="67"/>
      <c r="R1028" s="67"/>
    </row>
    <row r="1029">
      <c r="B1029" s="182"/>
      <c r="J1029" s="67"/>
      <c r="K1029" s="67"/>
      <c r="R1029" s="67"/>
    </row>
    <row r="1030">
      <c r="B1030" s="182"/>
      <c r="J1030" s="67"/>
      <c r="K1030" s="67"/>
      <c r="R1030" s="67"/>
    </row>
    <row r="1031">
      <c r="B1031" s="182"/>
      <c r="J1031" s="67"/>
      <c r="K1031" s="67"/>
      <c r="R1031" s="67"/>
    </row>
    <row r="1032">
      <c r="B1032" s="182"/>
      <c r="J1032" s="67"/>
      <c r="K1032" s="67"/>
      <c r="R1032" s="67"/>
    </row>
    <row r="1033">
      <c r="B1033" s="182"/>
      <c r="J1033" s="67"/>
      <c r="K1033" s="67"/>
      <c r="R1033" s="67"/>
    </row>
    <row r="1034">
      <c r="B1034" s="182"/>
      <c r="J1034" s="67"/>
      <c r="K1034" s="67"/>
      <c r="R1034" s="67"/>
    </row>
    <row r="1035">
      <c r="B1035" s="182"/>
      <c r="J1035" s="67"/>
      <c r="K1035" s="67"/>
      <c r="R1035" s="67"/>
    </row>
    <row r="1036">
      <c r="B1036" s="182"/>
      <c r="J1036" s="67"/>
      <c r="K1036" s="67"/>
      <c r="R1036" s="67"/>
    </row>
    <row r="1037">
      <c r="B1037" s="182"/>
      <c r="J1037" s="67"/>
      <c r="K1037" s="67"/>
      <c r="R1037" s="67"/>
    </row>
    <row r="1038">
      <c r="B1038" s="182"/>
      <c r="J1038" s="67"/>
      <c r="K1038" s="67"/>
      <c r="R1038" s="67"/>
    </row>
    <row r="1039">
      <c r="B1039" s="182"/>
      <c r="J1039" s="67"/>
      <c r="K1039" s="67"/>
      <c r="R1039" s="67"/>
    </row>
    <row r="1040">
      <c r="B1040" s="182"/>
      <c r="J1040" s="67"/>
      <c r="K1040" s="67"/>
      <c r="R1040" s="67"/>
    </row>
    <row r="1041">
      <c r="B1041" s="182"/>
      <c r="J1041" s="67"/>
      <c r="K1041" s="67"/>
      <c r="R1041" s="67"/>
    </row>
    <row r="1042">
      <c r="B1042" s="182"/>
      <c r="J1042" s="67"/>
      <c r="K1042" s="67"/>
      <c r="R1042" s="67"/>
    </row>
    <row r="1043">
      <c r="B1043" s="182"/>
      <c r="J1043" s="67"/>
      <c r="K1043" s="67"/>
      <c r="R1043" s="67"/>
    </row>
    <row r="1044">
      <c r="B1044" s="182"/>
      <c r="J1044" s="67"/>
      <c r="K1044" s="67"/>
      <c r="R1044" s="67"/>
    </row>
    <row r="1045">
      <c r="B1045" s="182"/>
      <c r="J1045" s="67"/>
      <c r="K1045" s="67"/>
      <c r="R1045" s="67"/>
    </row>
    <row r="1046">
      <c r="B1046" s="182"/>
      <c r="J1046" s="67"/>
      <c r="K1046" s="67"/>
      <c r="R1046" s="67"/>
    </row>
    <row r="1047">
      <c r="B1047" s="182"/>
      <c r="J1047" s="67"/>
      <c r="K1047" s="67"/>
      <c r="R1047" s="67"/>
    </row>
    <row r="1048">
      <c r="B1048" s="182"/>
      <c r="J1048" s="67"/>
      <c r="K1048" s="67"/>
      <c r="R1048" s="67"/>
    </row>
    <row r="1049">
      <c r="B1049" s="182"/>
      <c r="J1049" s="67"/>
      <c r="K1049" s="67"/>
      <c r="R1049" s="67"/>
    </row>
    <row r="1050">
      <c r="B1050" s="182"/>
      <c r="J1050" s="67"/>
      <c r="K1050" s="67"/>
      <c r="R1050" s="67"/>
    </row>
    <row r="1051">
      <c r="B1051" s="182"/>
      <c r="J1051" s="67"/>
      <c r="K1051" s="67"/>
      <c r="R1051" s="67"/>
    </row>
    <row r="1052">
      <c r="B1052" s="182"/>
      <c r="J1052" s="67"/>
      <c r="K1052" s="67"/>
      <c r="R1052" s="67"/>
    </row>
    <row r="1053">
      <c r="B1053" s="182"/>
      <c r="J1053" s="67"/>
      <c r="K1053" s="67"/>
      <c r="R1053" s="67"/>
    </row>
    <row r="1054">
      <c r="B1054" s="182"/>
      <c r="J1054" s="67"/>
      <c r="K1054" s="67"/>
      <c r="R1054" s="67"/>
    </row>
    <row r="1055">
      <c r="B1055" s="182"/>
      <c r="J1055" s="67"/>
      <c r="K1055" s="67"/>
      <c r="R1055" s="67"/>
    </row>
    <row r="1056">
      <c r="B1056" s="182"/>
      <c r="J1056" s="67"/>
      <c r="K1056" s="67"/>
      <c r="R1056" s="67"/>
    </row>
    <row r="1057">
      <c r="B1057" s="182"/>
      <c r="J1057" s="67"/>
      <c r="K1057" s="67"/>
      <c r="R1057" s="67"/>
    </row>
    <row r="1058">
      <c r="B1058" s="182"/>
      <c r="J1058" s="67"/>
      <c r="K1058" s="67"/>
      <c r="R1058" s="67"/>
    </row>
    <row r="1059">
      <c r="B1059" s="182"/>
      <c r="J1059" s="67"/>
      <c r="K1059" s="67"/>
      <c r="R1059" s="67"/>
    </row>
    <row r="1060">
      <c r="B1060" s="182"/>
      <c r="J1060" s="67"/>
      <c r="K1060" s="67"/>
      <c r="R1060" s="67"/>
    </row>
    <row r="1061">
      <c r="B1061" s="182"/>
      <c r="J1061" s="67"/>
      <c r="K1061" s="67"/>
      <c r="R1061" s="67"/>
    </row>
    <row r="1062">
      <c r="B1062" s="182"/>
      <c r="J1062" s="67"/>
      <c r="K1062" s="67"/>
      <c r="R1062" s="67"/>
    </row>
    <row r="1063">
      <c r="B1063" s="182"/>
      <c r="J1063" s="67"/>
      <c r="K1063" s="67"/>
      <c r="R1063" s="67"/>
    </row>
    <row r="1064">
      <c r="B1064" s="182"/>
      <c r="J1064" s="67"/>
      <c r="K1064" s="67"/>
      <c r="R1064" s="67"/>
    </row>
    <row r="1065">
      <c r="B1065" s="182"/>
      <c r="J1065" s="67"/>
      <c r="K1065" s="67"/>
      <c r="R1065" s="67"/>
    </row>
    <row r="1066">
      <c r="B1066" s="182"/>
      <c r="J1066" s="67"/>
      <c r="K1066" s="67"/>
      <c r="R1066" s="67"/>
    </row>
    <row r="1067">
      <c r="B1067" s="182"/>
      <c r="J1067" s="67"/>
      <c r="K1067" s="67"/>
      <c r="R1067" s="67"/>
    </row>
    <row r="1068">
      <c r="B1068" s="182"/>
      <c r="J1068" s="67"/>
      <c r="K1068" s="67"/>
      <c r="R1068" s="67"/>
    </row>
    <row r="1069">
      <c r="B1069" s="182"/>
      <c r="J1069" s="67"/>
      <c r="K1069" s="67"/>
      <c r="R1069" s="67"/>
    </row>
    <row r="1070">
      <c r="B1070" s="182"/>
      <c r="J1070" s="67"/>
      <c r="K1070" s="67"/>
      <c r="R1070" s="67"/>
    </row>
    <row r="1071">
      <c r="B1071" s="182"/>
      <c r="J1071" s="67"/>
      <c r="K1071" s="67"/>
      <c r="R1071" s="67"/>
    </row>
    <row r="1072">
      <c r="B1072" s="182"/>
      <c r="J1072" s="67"/>
      <c r="K1072" s="67"/>
      <c r="R1072" s="67"/>
    </row>
    <row r="1073">
      <c r="B1073" s="182"/>
      <c r="J1073" s="67"/>
      <c r="K1073" s="67"/>
      <c r="R1073" s="67"/>
    </row>
    <row r="1074">
      <c r="B1074" s="182"/>
      <c r="J1074" s="67"/>
      <c r="K1074" s="67"/>
      <c r="R1074" s="67"/>
    </row>
    <row r="1075">
      <c r="B1075" s="182"/>
      <c r="J1075" s="67"/>
      <c r="K1075" s="67"/>
      <c r="R1075" s="67"/>
    </row>
    <row r="1076">
      <c r="B1076" s="182"/>
      <c r="J1076" s="67"/>
      <c r="K1076" s="67"/>
      <c r="R1076" s="67"/>
    </row>
    <row r="1077">
      <c r="B1077" s="182"/>
      <c r="J1077" s="67"/>
      <c r="K1077" s="67"/>
      <c r="R1077" s="67"/>
    </row>
    <row r="1078">
      <c r="B1078" s="182"/>
      <c r="J1078" s="67"/>
      <c r="K1078" s="67"/>
      <c r="R1078" s="67"/>
    </row>
    <row r="1079">
      <c r="B1079" s="182"/>
      <c r="J1079" s="67"/>
      <c r="K1079" s="67"/>
      <c r="R1079" s="67"/>
    </row>
    <row r="1080">
      <c r="B1080" s="182"/>
      <c r="J1080" s="67"/>
      <c r="K1080" s="67"/>
      <c r="R1080" s="67"/>
    </row>
    <row r="1081">
      <c r="B1081" s="182"/>
      <c r="J1081" s="67"/>
      <c r="K1081" s="67"/>
      <c r="R1081" s="67"/>
    </row>
    <row r="1082">
      <c r="B1082" s="182"/>
      <c r="J1082" s="67"/>
      <c r="K1082" s="67"/>
      <c r="R1082" s="67"/>
    </row>
    <row r="1083">
      <c r="B1083" s="182"/>
      <c r="J1083" s="67"/>
      <c r="K1083" s="67"/>
      <c r="R1083" s="67"/>
    </row>
    <row r="1084">
      <c r="B1084" s="182"/>
      <c r="J1084" s="67"/>
      <c r="K1084" s="67"/>
      <c r="R1084" s="67"/>
    </row>
    <row r="1085">
      <c r="B1085" s="182"/>
      <c r="J1085" s="67"/>
      <c r="K1085" s="67"/>
      <c r="R1085" s="67"/>
    </row>
    <row r="1086">
      <c r="B1086" s="182"/>
      <c r="J1086" s="67"/>
      <c r="K1086" s="67"/>
      <c r="R1086" s="67"/>
    </row>
    <row r="1087">
      <c r="B1087" s="182"/>
      <c r="J1087" s="67"/>
      <c r="K1087" s="67"/>
      <c r="R1087" s="67"/>
    </row>
    <row r="1088">
      <c r="B1088" s="182"/>
      <c r="J1088" s="67"/>
      <c r="K1088" s="67"/>
      <c r="R1088" s="67"/>
    </row>
    <row r="1089">
      <c r="B1089" s="182"/>
      <c r="J1089" s="67"/>
      <c r="K1089" s="67"/>
      <c r="R1089" s="67"/>
    </row>
    <row r="1090">
      <c r="B1090" s="182"/>
      <c r="J1090" s="67"/>
      <c r="K1090" s="67"/>
      <c r="R1090" s="67"/>
    </row>
    <row r="1091">
      <c r="B1091" s="182"/>
      <c r="J1091" s="67"/>
      <c r="K1091" s="67"/>
      <c r="R1091" s="67"/>
    </row>
    <row r="1092">
      <c r="B1092" s="182"/>
      <c r="J1092" s="67"/>
      <c r="K1092" s="67"/>
      <c r="R1092" s="67"/>
    </row>
    <row r="1093">
      <c r="B1093" s="182"/>
      <c r="J1093" s="67"/>
      <c r="K1093" s="67"/>
      <c r="R1093" s="67"/>
    </row>
    <row r="1094">
      <c r="B1094" s="182"/>
      <c r="J1094" s="67"/>
      <c r="K1094" s="67"/>
      <c r="R1094" s="67"/>
    </row>
    <row r="1095">
      <c r="B1095" s="182"/>
      <c r="J1095" s="67"/>
      <c r="K1095" s="67"/>
      <c r="R1095" s="67"/>
    </row>
    <row r="1096">
      <c r="B1096" s="182"/>
      <c r="J1096" s="67"/>
      <c r="K1096" s="67"/>
      <c r="R1096" s="67"/>
    </row>
    <row r="1097">
      <c r="B1097" s="182"/>
      <c r="J1097" s="67"/>
      <c r="K1097" s="67"/>
      <c r="R1097" s="67"/>
    </row>
    <row r="1098">
      <c r="B1098" s="182"/>
      <c r="J1098" s="67"/>
      <c r="K1098" s="67"/>
      <c r="R1098" s="67"/>
    </row>
    <row r="1099">
      <c r="B1099" s="182"/>
      <c r="J1099" s="67"/>
      <c r="K1099" s="67"/>
      <c r="R1099" s="67"/>
    </row>
    <row r="1100">
      <c r="B1100" s="182"/>
      <c r="J1100" s="67"/>
      <c r="K1100" s="67"/>
      <c r="R1100" s="67"/>
    </row>
    <row r="1101">
      <c r="B1101" s="182"/>
      <c r="J1101" s="67"/>
      <c r="K1101" s="67"/>
      <c r="R1101" s="67"/>
    </row>
    <row r="1102">
      <c r="B1102" s="182"/>
      <c r="J1102" s="67"/>
      <c r="K1102" s="67"/>
      <c r="R1102" s="67"/>
    </row>
    <row r="1103">
      <c r="B1103" s="182"/>
      <c r="J1103" s="67"/>
      <c r="K1103" s="67"/>
      <c r="R1103" s="67"/>
    </row>
    <row r="1104">
      <c r="B1104" s="182"/>
      <c r="J1104" s="67"/>
      <c r="K1104" s="67"/>
      <c r="R1104" s="67"/>
    </row>
    <row r="1105">
      <c r="B1105" s="182"/>
      <c r="J1105" s="67"/>
      <c r="K1105" s="67"/>
      <c r="R1105" s="67"/>
    </row>
    <row r="1106">
      <c r="B1106" s="182"/>
      <c r="J1106" s="67"/>
      <c r="K1106" s="67"/>
      <c r="R1106" s="67"/>
    </row>
    <row r="1107">
      <c r="B1107" s="182"/>
      <c r="J1107" s="67"/>
      <c r="K1107" s="67"/>
      <c r="R1107" s="67"/>
    </row>
    <row r="1108">
      <c r="B1108" s="182"/>
      <c r="J1108" s="67"/>
      <c r="K1108" s="67"/>
      <c r="R1108" s="67"/>
    </row>
    <row r="1109">
      <c r="B1109" s="182"/>
      <c r="J1109" s="67"/>
      <c r="K1109" s="67"/>
      <c r="R1109" s="67"/>
    </row>
    <row r="1110">
      <c r="B1110" s="182"/>
      <c r="J1110" s="67"/>
      <c r="K1110" s="67"/>
      <c r="R1110" s="67"/>
    </row>
    <row r="1111">
      <c r="B1111" s="182"/>
      <c r="J1111" s="67"/>
      <c r="K1111" s="67"/>
      <c r="R1111" s="67"/>
    </row>
    <row r="1112">
      <c r="B1112" s="182"/>
      <c r="J1112" s="67"/>
      <c r="K1112" s="67"/>
      <c r="R1112" s="67"/>
    </row>
    <row r="1113">
      <c r="B1113" s="182"/>
      <c r="J1113" s="67"/>
      <c r="K1113" s="67"/>
      <c r="R1113" s="67"/>
    </row>
    <row r="1114">
      <c r="B1114" s="182"/>
      <c r="J1114" s="67"/>
      <c r="K1114" s="67"/>
      <c r="R1114" s="67"/>
    </row>
    <row r="1115">
      <c r="B1115" s="182"/>
      <c r="J1115" s="67"/>
      <c r="K1115" s="67"/>
      <c r="R1115" s="67"/>
    </row>
    <row r="1116">
      <c r="B1116" s="182"/>
      <c r="J1116" s="67"/>
      <c r="K1116" s="67"/>
      <c r="R1116" s="67"/>
    </row>
    <row r="1117">
      <c r="B1117" s="182"/>
      <c r="J1117" s="67"/>
      <c r="K1117" s="67"/>
      <c r="R1117" s="67"/>
    </row>
    <row r="1118">
      <c r="B1118" s="182"/>
      <c r="J1118" s="67"/>
      <c r="K1118" s="67"/>
      <c r="R1118" s="67"/>
    </row>
    <row r="1119">
      <c r="B1119" s="182"/>
      <c r="J1119" s="67"/>
      <c r="K1119" s="67"/>
      <c r="R1119" s="67"/>
    </row>
    <row r="1120">
      <c r="B1120" s="182"/>
      <c r="J1120" s="67"/>
      <c r="K1120" s="67"/>
      <c r="R1120" s="67"/>
    </row>
    <row r="1121">
      <c r="B1121" s="182"/>
      <c r="J1121" s="67"/>
      <c r="K1121" s="67"/>
      <c r="R1121" s="67"/>
    </row>
    <row r="1122">
      <c r="B1122" s="182"/>
      <c r="J1122" s="67"/>
      <c r="K1122" s="67"/>
      <c r="R1122" s="67"/>
    </row>
    <row r="1123">
      <c r="B1123" s="182"/>
      <c r="J1123" s="67"/>
      <c r="K1123" s="67"/>
      <c r="R1123" s="67"/>
    </row>
    <row r="1124">
      <c r="B1124" s="182"/>
      <c r="J1124" s="67"/>
      <c r="K1124" s="67"/>
      <c r="R1124" s="67"/>
    </row>
    <row r="1125">
      <c r="B1125" s="182"/>
      <c r="J1125" s="67"/>
      <c r="K1125" s="67"/>
      <c r="R1125" s="67"/>
    </row>
    <row r="1126">
      <c r="B1126" s="182"/>
      <c r="J1126" s="67"/>
      <c r="K1126" s="67"/>
      <c r="R1126" s="67"/>
    </row>
    <row r="1127">
      <c r="B1127" s="182"/>
      <c r="J1127" s="67"/>
      <c r="K1127" s="67"/>
      <c r="R1127" s="67"/>
    </row>
    <row r="1128">
      <c r="B1128" s="182"/>
      <c r="J1128" s="67"/>
      <c r="K1128" s="67"/>
      <c r="R1128" s="67"/>
    </row>
    <row r="1129">
      <c r="B1129" s="182"/>
      <c r="J1129" s="67"/>
      <c r="K1129" s="67"/>
      <c r="R1129" s="67"/>
    </row>
  </sheetData>
  <mergeCells count="41">
    <mergeCell ref="A1:K1"/>
    <mergeCell ref="A2:K2"/>
    <mergeCell ref="N4:R4"/>
    <mergeCell ref="N5:R5"/>
    <mergeCell ref="A18:K18"/>
    <mergeCell ref="N21:R21"/>
    <mergeCell ref="N22:R22"/>
    <mergeCell ref="A19:K19"/>
    <mergeCell ref="A35:K35"/>
    <mergeCell ref="A36:K36"/>
    <mergeCell ref="N38:R38"/>
    <mergeCell ref="N39:R39"/>
    <mergeCell ref="A53:K53"/>
    <mergeCell ref="A54:K54"/>
    <mergeCell ref="N56:R56"/>
    <mergeCell ref="N57:R57"/>
    <mergeCell ref="A71:K71"/>
    <mergeCell ref="A72:K72"/>
    <mergeCell ref="N74:R74"/>
    <mergeCell ref="N75:R75"/>
    <mergeCell ref="A88:K88"/>
    <mergeCell ref="A89:K89"/>
    <mergeCell ref="N91:R91"/>
    <mergeCell ref="N92:R92"/>
    <mergeCell ref="A107:K107"/>
    <mergeCell ref="A108:K108"/>
    <mergeCell ref="N110:R110"/>
    <mergeCell ref="N111:R111"/>
    <mergeCell ref="A145:K145"/>
    <mergeCell ref="A161:K161"/>
    <mergeCell ref="A162:K162"/>
    <mergeCell ref="N164:R164"/>
    <mergeCell ref="N165:R165"/>
    <mergeCell ref="N180:R180"/>
    <mergeCell ref="A125:K125"/>
    <mergeCell ref="A126:K126"/>
    <mergeCell ref="N128:R128"/>
    <mergeCell ref="N129:R129"/>
    <mergeCell ref="A144:K144"/>
    <mergeCell ref="N147:R147"/>
    <mergeCell ref="N148:R148"/>
  </mergeCells>
  <dataValidations>
    <dataValidation type="list" allowBlank="1" showErrorMessage="1" sqref="I4:I15 I21:I32 I38:I49 I56:I67 I74:I85 I91:I102 I110:I121 I128:I139 I147:I158 I164:I175">
      <formula1>"Não atendido ,Atendido ,Vagas livres,Desistência"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5.5"/>
    <col customWidth="1" min="4" max="4" width="11.88"/>
    <col customWidth="1" min="5" max="5" width="16.0"/>
    <col customWidth="1" min="6" max="6" width="17.0"/>
    <col customWidth="1" min="7" max="7" width="42.63"/>
    <col customWidth="1" min="8" max="8" width="19.63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63" t="s">
        <v>2081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32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2082</v>
      </c>
      <c r="C4" s="74" t="s">
        <v>1592</v>
      </c>
      <c r="D4" s="75">
        <v>0.5416666666666666</v>
      </c>
      <c r="E4" s="246"/>
      <c r="F4" s="210">
        <v>7.00501365714551E14</v>
      </c>
      <c r="G4" s="59" t="s">
        <v>2083</v>
      </c>
      <c r="H4" s="211">
        <v>19259.0</v>
      </c>
      <c r="I4" s="41" t="s">
        <v>41</v>
      </c>
      <c r="J4" s="102"/>
      <c r="K4" s="102"/>
      <c r="N4" s="268" t="s">
        <v>387</v>
      </c>
      <c r="O4" s="100"/>
      <c r="P4" s="100"/>
      <c r="Q4" s="100"/>
      <c r="R4" s="67"/>
    </row>
    <row r="5">
      <c r="A5" s="12" t="s">
        <v>11</v>
      </c>
      <c r="B5" s="227" t="s">
        <v>2084</v>
      </c>
      <c r="C5" s="74" t="s">
        <v>1592</v>
      </c>
      <c r="D5" s="75">
        <v>0.5555555555555556</v>
      </c>
      <c r="E5" s="287"/>
      <c r="F5" s="301">
        <v>7.00008216645303E14</v>
      </c>
      <c r="G5" s="131" t="s">
        <v>2085</v>
      </c>
      <c r="H5" s="166">
        <v>22520.0</v>
      </c>
      <c r="I5" s="41" t="s">
        <v>41</v>
      </c>
      <c r="J5" s="42"/>
      <c r="K5" s="42"/>
      <c r="N5" s="270" t="s">
        <v>2086</v>
      </c>
      <c r="O5" s="2"/>
      <c r="P5" s="2"/>
      <c r="Q5" s="2"/>
      <c r="R5" s="67"/>
    </row>
    <row r="6" ht="26.25" customHeight="1">
      <c r="A6" s="12" t="s">
        <v>12</v>
      </c>
      <c r="B6" s="227" t="s">
        <v>2087</v>
      </c>
      <c r="C6" s="74" t="s">
        <v>1592</v>
      </c>
      <c r="D6" s="75">
        <v>0.5694444444444444</v>
      </c>
      <c r="E6" s="287"/>
      <c r="F6" s="301">
        <v>7.0470300219834E14</v>
      </c>
      <c r="G6" s="131" t="s">
        <v>253</v>
      </c>
      <c r="H6" s="166">
        <v>21663.0</v>
      </c>
      <c r="I6" s="41" t="s">
        <v>41</v>
      </c>
      <c r="J6" s="42"/>
      <c r="K6" s="102"/>
      <c r="N6" s="271" t="s">
        <v>183</v>
      </c>
      <c r="O6" s="272" t="s">
        <v>195</v>
      </c>
      <c r="P6" s="272" t="s">
        <v>181</v>
      </c>
      <c r="Q6" s="273" t="s">
        <v>2088</v>
      </c>
      <c r="R6" s="67"/>
    </row>
    <row r="7">
      <c r="A7" s="12" t="s">
        <v>13</v>
      </c>
      <c r="B7" s="227" t="s">
        <v>2089</v>
      </c>
      <c r="C7" s="74" t="s">
        <v>1592</v>
      </c>
      <c r="D7" s="75">
        <v>0.5833333333333334</v>
      </c>
      <c r="E7" s="241"/>
      <c r="F7" s="84">
        <v>7.02805694894069E14</v>
      </c>
      <c r="G7" s="79" t="s">
        <v>2090</v>
      </c>
      <c r="H7" s="83">
        <v>26539.0</v>
      </c>
      <c r="I7" s="41" t="s">
        <v>41</v>
      </c>
      <c r="J7" s="305"/>
      <c r="K7" s="305"/>
      <c r="N7" s="275">
        <f t="shared" ref="N7:P7" si="1">COUNTIFS($I$4:$I$15,N6)</f>
        <v>0</v>
      </c>
      <c r="O7" s="275">
        <f t="shared" si="1"/>
        <v>0</v>
      </c>
      <c r="P7" s="275">
        <f t="shared" si="1"/>
        <v>2</v>
      </c>
      <c r="Q7" s="275">
        <f>COUNTIF(I4:I15,Q6)</f>
        <v>1</v>
      </c>
      <c r="R7" s="67"/>
    </row>
    <row r="8">
      <c r="A8" s="12" t="s">
        <v>14</v>
      </c>
      <c r="B8" s="227" t="s">
        <v>2082</v>
      </c>
      <c r="C8" s="74" t="s">
        <v>1592</v>
      </c>
      <c r="D8" s="75">
        <v>0.5972222222222222</v>
      </c>
      <c r="E8" s="306"/>
      <c r="F8" s="138">
        <v>7.02608278169247E14</v>
      </c>
      <c r="G8" s="307" t="s">
        <v>2091</v>
      </c>
      <c r="H8" s="308">
        <v>16927.0</v>
      </c>
      <c r="I8" s="41" t="s">
        <v>2088</v>
      </c>
      <c r="J8" s="138"/>
      <c r="K8" s="138"/>
      <c r="R8" s="67"/>
    </row>
    <row r="9">
      <c r="A9" s="12" t="s">
        <v>15</v>
      </c>
      <c r="B9" s="227" t="s">
        <v>2089</v>
      </c>
      <c r="C9" s="74" t="s">
        <v>1592</v>
      </c>
      <c r="D9" s="75">
        <v>0.6111111111111112</v>
      </c>
      <c r="E9" s="242"/>
      <c r="F9" s="185">
        <v>8.0144047899359E14</v>
      </c>
      <c r="G9" s="203" t="s">
        <v>2092</v>
      </c>
      <c r="H9" s="77">
        <v>15142.0</v>
      </c>
      <c r="I9" s="41" t="s">
        <v>41</v>
      </c>
      <c r="J9" s="42"/>
      <c r="K9" s="42"/>
      <c r="R9" s="67"/>
    </row>
    <row r="10">
      <c r="A10" s="12" t="s">
        <v>16</v>
      </c>
      <c r="B10" s="227" t="s">
        <v>2093</v>
      </c>
      <c r="C10" s="74" t="s">
        <v>1592</v>
      </c>
      <c r="D10" s="75">
        <v>0.625</v>
      </c>
      <c r="E10" s="241"/>
      <c r="F10" s="84"/>
      <c r="G10" s="79"/>
      <c r="H10" s="83"/>
      <c r="I10" s="41" t="s">
        <v>181</v>
      </c>
      <c r="J10" s="305"/>
      <c r="K10" s="305"/>
      <c r="R10" s="67"/>
    </row>
    <row r="11">
      <c r="A11" s="12" t="s">
        <v>17</v>
      </c>
      <c r="B11" s="227" t="s">
        <v>2094</v>
      </c>
      <c r="C11" s="74" t="s">
        <v>1592</v>
      </c>
      <c r="D11" s="75">
        <v>0.6388888888888888</v>
      </c>
      <c r="E11" s="241"/>
      <c r="F11" s="84">
        <v>7.0470207497454E14</v>
      </c>
      <c r="G11" s="79" t="s">
        <v>1709</v>
      </c>
      <c r="H11" s="83">
        <v>29101.0</v>
      </c>
      <c r="I11" s="41" t="s">
        <v>41</v>
      </c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227" t="s">
        <v>2095</v>
      </c>
      <c r="C12" s="74" t="s">
        <v>1592</v>
      </c>
      <c r="D12" s="75">
        <v>0.6527777777777778</v>
      </c>
      <c r="E12" s="278"/>
      <c r="F12" s="156">
        <v>7.06409659523386E14</v>
      </c>
      <c r="G12" s="79" t="s">
        <v>1773</v>
      </c>
      <c r="H12" s="91">
        <v>14733.0</v>
      </c>
      <c r="I12" s="41" t="s">
        <v>41</v>
      </c>
      <c r="J12" s="42"/>
      <c r="R12" s="67"/>
    </row>
    <row r="13">
      <c r="A13" s="12" t="s">
        <v>87</v>
      </c>
      <c r="B13" s="227" t="s">
        <v>2096</v>
      </c>
      <c r="C13" s="74" t="s">
        <v>1592</v>
      </c>
      <c r="D13" s="75">
        <v>0.6666666666666666</v>
      </c>
      <c r="E13" s="245"/>
      <c r="F13" s="156">
        <v>7.0840972495146E14</v>
      </c>
      <c r="G13" s="79" t="s">
        <v>2097</v>
      </c>
      <c r="H13" s="91">
        <v>23870.0</v>
      </c>
      <c r="I13" s="41" t="s">
        <v>41</v>
      </c>
      <c r="J13" s="42"/>
      <c r="K13" s="42"/>
      <c r="R13" s="67"/>
    </row>
    <row r="14">
      <c r="A14" s="12" t="s">
        <v>90</v>
      </c>
      <c r="B14" s="227" t="s">
        <v>2098</v>
      </c>
      <c r="C14" s="74" t="s">
        <v>1592</v>
      </c>
      <c r="D14" s="75">
        <v>0.6805555555555556</v>
      </c>
      <c r="E14" s="295"/>
      <c r="F14" s="133">
        <v>8.01440404251299E14</v>
      </c>
      <c r="G14" s="79" t="s">
        <v>2099</v>
      </c>
      <c r="H14" s="166">
        <v>22833.0</v>
      </c>
      <c r="I14" s="41" t="s">
        <v>41</v>
      </c>
      <c r="J14" s="42"/>
      <c r="K14" s="42"/>
      <c r="R14" s="67"/>
    </row>
    <row r="15">
      <c r="A15" s="12" t="s">
        <v>93</v>
      </c>
      <c r="B15" s="227" t="s">
        <v>2096</v>
      </c>
      <c r="C15" s="74" t="s">
        <v>1592</v>
      </c>
      <c r="D15" s="75">
        <v>0.6944444444444444</v>
      </c>
      <c r="E15" s="295"/>
      <c r="F15" s="133"/>
      <c r="G15" s="79"/>
      <c r="H15" s="166"/>
      <c r="I15" s="41" t="s">
        <v>181</v>
      </c>
      <c r="J15" s="42"/>
      <c r="K15" s="42"/>
      <c r="R15" s="67"/>
    </row>
    <row r="16">
      <c r="J16" s="67"/>
      <c r="K16" s="67"/>
      <c r="R16" s="67"/>
    </row>
    <row r="17">
      <c r="J17" s="67"/>
      <c r="K17" s="67"/>
      <c r="R17" s="67"/>
    </row>
    <row r="18" ht="15.0" customHeight="1"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63" t="s">
        <v>2100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32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1796</v>
      </c>
      <c r="C22" s="74" t="s">
        <v>1633</v>
      </c>
      <c r="D22" s="75">
        <v>0.5416666666666666</v>
      </c>
      <c r="E22" s="246" t="s">
        <v>2101</v>
      </c>
      <c r="F22" s="133">
        <v>8.01440488552201E14</v>
      </c>
      <c r="G22" s="79" t="s">
        <v>2102</v>
      </c>
      <c r="H22" s="166">
        <v>16659.0</v>
      </c>
      <c r="I22" s="41" t="s">
        <v>183</v>
      </c>
      <c r="J22" s="133" t="s">
        <v>2103</v>
      </c>
      <c r="K22" s="133" t="s">
        <v>2104</v>
      </c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1714</v>
      </c>
      <c r="C23" s="74" t="s">
        <v>1633</v>
      </c>
      <c r="D23" s="75">
        <v>0.5555555555555556</v>
      </c>
      <c r="E23" s="242" t="s">
        <v>2105</v>
      </c>
      <c r="F23" s="133">
        <v>7.0500182812605E14</v>
      </c>
      <c r="G23" s="79" t="s">
        <v>2106</v>
      </c>
      <c r="H23" s="166">
        <v>15600.0</v>
      </c>
      <c r="I23" s="41" t="s">
        <v>183</v>
      </c>
      <c r="J23" s="133" t="s">
        <v>2107</v>
      </c>
      <c r="K23" s="133" t="s">
        <v>2108</v>
      </c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1790</v>
      </c>
      <c r="C24" s="74" t="s">
        <v>1633</v>
      </c>
      <c r="D24" s="75">
        <v>0.5694444444444444</v>
      </c>
      <c r="E24" s="242" t="s">
        <v>2109</v>
      </c>
      <c r="F24" s="133">
        <v>8.98001407174632E14</v>
      </c>
      <c r="G24" s="79" t="s">
        <v>2110</v>
      </c>
      <c r="H24" s="166">
        <v>17424.0</v>
      </c>
      <c r="I24" s="41" t="s">
        <v>183</v>
      </c>
      <c r="J24" s="133" t="s">
        <v>2111</v>
      </c>
      <c r="K24" s="133" t="s">
        <v>2112</v>
      </c>
      <c r="L24" s="216" t="s">
        <v>521</v>
      </c>
      <c r="N24" s="271" t="s">
        <v>183</v>
      </c>
      <c r="O24" s="272" t="s">
        <v>195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1721</v>
      </c>
      <c r="C25" s="74" t="s">
        <v>1633</v>
      </c>
      <c r="D25" s="75">
        <v>0.5833333333333334</v>
      </c>
      <c r="E25" s="241" t="s">
        <v>2113</v>
      </c>
      <c r="F25" s="133">
        <v>7.02005872744987E14</v>
      </c>
      <c r="G25" s="79" t="s">
        <v>2114</v>
      </c>
      <c r="H25" s="166">
        <v>15853.0</v>
      </c>
      <c r="I25" s="41" t="s">
        <v>183</v>
      </c>
      <c r="J25" s="133" t="s">
        <v>2115</v>
      </c>
      <c r="K25" s="133" t="s">
        <v>2116</v>
      </c>
      <c r="L25" s="216" t="s">
        <v>521</v>
      </c>
      <c r="N25" s="275">
        <f t="shared" ref="N25:Q25" si="2">COUNTIFS($I$22:$I$33,N24)</f>
        <v>9</v>
      </c>
      <c r="O25" s="275">
        <f t="shared" si="2"/>
        <v>2</v>
      </c>
      <c r="P25" s="275">
        <f t="shared" si="2"/>
        <v>0</v>
      </c>
      <c r="Q25" s="275">
        <f t="shared" si="2"/>
        <v>1</v>
      </c>
      <c r="R25" s="67"/>
    </row>
    <row r="26" ht="18.0" customHeight="1">
      <c r="A26" s="12" t="s">
        <v>14</v>
      </c>
      <c r="B26" s="227" t="s">
        <v>1796</v>
      </c>
      <c r="C26" s="74" t="s">
        <v>1633</v>
      </c>
      <c r="D26" s="75">
        <v>0.5972222222222222</v>
      </c>
      <c r="E26" s="278" t="s">
        <v>2117</v>
      </c>
      <c r="F26" s="133">
        <v>7.09803035413992E14</v>
      </c>
      <c r="G26" s="79" t="s">
        <v>2118</v>
      </c>
      <c r="H26" s="166">
        <v>34084.0</v>
      </c>
      <c r="I26" s="41" t="s">
        <v>183</v>
      </c>
      <c r="J26" s="133" t="s">
        <v>2119</v>
      </c>
      <c r="K26" s="133"/>
      <c r="L26" s="216" t="s">
        <v>521</v>
      </c>
      <c r="R26" s="67"/>
    </row>
    <row r="27">
      <c r="A27" s="12" t="s">
        <v>15</v>
      </c>
      <c r="B27" s="227" t="s">
        <v>1790</v>
      </c>
      <c r="C27" s="74" t="s">
        <v>1633</v>
      </c>
      <c r="D27" s="75">
        <v>0.6111111111111112</v>
      </c>
      <c r="E27" s="278" t="s">
        <v>2120</v>
      </c>
      <c r="F27" s="133">
        <v>7.02908542909278E14</v>
      </c>
      <c r="G27" s="79" t="s">
        <v>2121</v>
      </c>
      <c r="H27" s="166">
        <v>21368.0</v>
      </c>
      <c r="I27" s="41" t="s">
        <v>183</v>
      </c>
      <c r="J27" s="133" t="s">
        <v>2122</v>
      </c>
      <c r="K27" s="133"/>
      <c r="L27" s="216" t="s">
        <v>521</v>
      </c>
      <c r="R27" s="67"/>
    </row>
    <row r="28">
      <c r="A28" s="12" t="s">
        <v>16</v>
      </c>
      <c r="B28" s="227" t="s">
        <v>1728</v>
      </c>
      <c r="C28" s="74" t="s">
        <v>1633</v>
      </c>
      <c r="D28" s="75">
        <v>0.625</v>
      </c>
      <c r="E28" s="295" t="s">
        <v>2123</v>
      </c>
      <c r="F28" s="133">
        <v>8.01440402550248E14</v>
      </c>
      <c r="G28" s="79" t="s">
        <v>2124</v>
      </c>
      <c r="H28" s="166">
        <v>17573.0</v>
      </c>
      <c r="I28" s="41" t="s">
        <v>183</v>
      </c>
      <c r="J28" s="133" t="s">
        <v>2125</v>
      </c>
      <c r="K28" s="133"/>
      <c r="L28" s="216" t="s">
        <v>521</v>
      </c>
      <c r="R28" s="67"/>
    </row>
    <row r="29">
      <c r="A29" s="12" t="s">
        <v>17</v>
      </c>
      <c r="B29" s="227" t="s">
        <v>1738</v>
      </c>
      <c r="C29" s="74" t="s">
        <v>1633</v>
      </c>
      <c r="D29" s="75">
        <v>0.6388888888888888</v>
      </c>
      <c r="E29" s="242" t="s">
        <v>2126</v>
      </c>
      <c r="F29" s="133">
        <v>7.09606640099279E14</v>
      </c>
      <c r="G29" s="79" t="s">
        <v>2127</v>
      </c>
      <c r="H29" s="166">
        <v>23462.0</v>
      </c>
      <c r="I29" s="41" t="s">
        <v>195</v>
      </c>
      <c r="J29" s="133" t="s">
        <v>2128</v>
      </c>
      <c r="K29" s="133"/>
      <c r="L29" s="216" t="s">
        <v>521</v>
      </c>
      <c r="R29" s="67"/>
    </row>
    <row r="30">
      <c r="A30" s="12" t="s">
        <v>85</v>
      </c>
      <c r="B30" s="227" t="s">
        <v>1718</v>
      </c>
      <c r="C30" s="74" t="s">
        <v>1633</v>
      </c>
      <c r="D30" s="75">
        <v>0.6527777777777778</v>
      </c>
      <c r="E30" s="295" t="s">
        <v>2129</v>
      </c>
      <c r="F30" s="133">
        <v>7.02806189422067E14</v>
      </c>
      <c r="G30" s="79" t="s">
        <v>2130</v>
      </c>
      <c r="H30" s="166">
        <v>29680.0</v>
      </c>
      <c r="I30" s="41" t="s">
        <v>195</v>
      </c>
      <c r="J30" s="133" t="s">
        <v>2131</v>
      </c>
      <c r="K30" s="133" t="s">
        <v>2132</v>
      </c>
      <c r="L30" s="216" t="s">
        <v>521</v>
      </c>
      <c r="R30" s="67"/>
    </row>
    <row r="31">
      <c r="A31" s="12" t="s">
        <v>87</v>
      </c>
      <c r="B31" s="227" t="s">
        <v>1735</v>
      </c>
      <c r="C31" s="74" t="s">
        <v>1633</v>
      </c>
      <c r="D31" s="75">
        <v>0.6666666666666666</v>
      </c>
      <c r="E31" s="245" t="s">
        <v>2133</v>
      </c>
      <c r="F31" s="133">
        <v>7.00802478697782E14</v>
      </c>
      <c r="G31" s="79" t="s">
        <v>2134</v>
      </c>
      <c r="H31" s="166">
        <v>19642.0</v>
      </c>
      <c r="I31" s="41" t="s">
        <v>183</v>
      </c>
      <c r="J31" s="133" t="s">
        <v>2135</v>
      </c>
      <c r="K31" s="133"/>
      <c r="L31" s="216" t="s">
        <v>521</v>
      </c>
      <c r="R31" s="67"/>
    </row>
    <row r="32">
      <c r="A32" s="12" t="s">
        <v>90</v>
      </c>
      <c r="B32" s="227" t="s">
        <v>1718</v>
      </c>
      <c r="C32" s="74" t="s">
        <v>1633</v>
      </c>
      <c r="D32" s="75">
        <v>0.6805555555555556</v>
      </c>
      <c r="E32" s="295" t="s">
        <v>2136</v>
      </c>
      <c r="F32" s="133">
        <v>7.00001175627407E14</v>
      </c>
      <c r="G32" s="79" t="s">
        <v>2137</v>
      </c>
      <c r="H32" s="166">
        <v>24140.0</v>
      </c>
      <c r="I32" s="41" t="s">
        <v>183</v>
      </c>
      <c r="J32" s="133" t="s">
        <v>2138</v>
      </c>
      <c r="K32" s="133" t="s">
        <v>2139</v>
      </c>
      <c r="L32" s="216" t="s">
        <v>521</v>
      </c>
      <c r="R32" s="67"/>
    </row>
    <row r="33">
      <c r="A33" s="12" t="s">
        <v>93</v>
      </c>
      <c r="B33" s="227" t="s">
        <v>1735</v>
      </c>
      <c r="C33" s="74" t="s">
        <v>1633</v>
      </c>
      <c r="D33" s="75">
        <v>0.6944444444444444</v>
      </c>
      <c r="E33" s="295" t="s">
        <v>1813</v>
      </c>
      <c r="F33" s="133">
        <v>7.08004360910029E14</v>
      </c>
      <c r="G33" s="79" t="s">
        <v>1814</v>
      </c>
      <c r="H33" s="166">
        <v>19526.0</v>
      </c>
      <c r="I33" s="41" t="s">
        <v>2088</v>
      </c>
      <c r="J33" s="133" t="s">
        <v>2140</v>
      </c>
      <c r="K33" s="133" t="s">
        <v>1812</v>
      </c>
      <c r="R33" s="67"/>
    </row>
    <row r="34">
      <c r="J34" s="67"/>
      <c r="K34" s="67"/>
      <c r="R34" s="67"/>
    </row>
    <row r="35">
      <c r="J35" s="67"/>
      <c r="K35" s="67"/>
      <c r="R35" s="67"/>
    </row>
    <row r="36">
      <c r="A36" s="23" t="s">
        <v>18</v>
      </c>
      <c r="B36" s="2"/>
      <c r="C36" s="2"/>
      <c r="D36" s="2"/>
      <c r="E36" s="2"/>
      <c r="F36" s="2"/>
      <c r="G36" s="2"/>
      <c r="H36" s="2"/>
      <c r="I36" s="2"/>
      <c r="J36" s="2"/>
      <c r="K36" s="3"/>
      <c r="R36" s="67"/>
    </row>
    <row r="37" ht="24.75" customHeight="1">
      <c r="A37" s="263" t="s">
        <v>2141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5"/>
      <c r="B38" s="26" t="s">
        <v>3</v>
      </c>
      <c r="C38" s="27" t="s">
        <v>2</v>
      </c>
      <c r="D38" s="28" t="s">
        <v>5</v>
      </c>
      <c r="E38" s="32" t="s">
        <v>19</v>
      </c>
      <c r="F38" s="28" t="s">
        <v>6</v>
      </c>
      <c r="G38" s="264" t="s">
        <v>7</v>
      </c>
      <c r="H38" s="30" t="s">
        <v>8</v>
      </c>
      <c r="I38" s="31" t="s">
        <v>20</v>
      </c>
      <c r="J38" s="32" t="s">
        <v>21</v>
      </c>
      <c r="K38" s="32" t="s">
        <v>22</v>
      </c>
      <c r="R38" s="67"/>
    </row>
    <row r="39">
      <c r="A39" s="12" t="s">
        <v>10</v>
      </c>
      <c r="B39" s="227" t="s">
        <v>2082</v>
      </c>
      <c r="C39" s="74" t="s">
        <v>1592</v>
      </c>
      <c r="D39" s="75">
        <v>0.5416666666666666</v>
      </c>
      <c r="E39" s="241" t="s">
        <v>2142</v>
      </c>
      <c r="F39" s="84">
        <v>7.08403214372463E14</v>
      </c>
      <c r="G39" s="79" t="s">
        <v>2143</v>
      </c>
      <c r="H39" s="314">
        <v>20851.0</v>
      </c>
      <c r="I39" s="34" t="s">
        <v>183</v>
      </c>
      <c r="J39" s="314"/>
      <c r="K39" s="314"/>
      <c r="L39" s="216" t="s">
        <v>521</v>
      </c>
      <c r="N39" s="268" t="s">
        <v>387</v>
      </c>
      <c r="O39" s="100"/>
      <c r="P39" s="100"/>
      <c r="Q39" s="100"/>
      <c r="R39" s="67"/>
    </row>
    <row r="40">
      <c r="A40" s="12" t="s">
        <v>11</v>
      </c>
      <c r="B40" s="227" t="s">
        <v>2084</v>
      </c>
      <c r="C40" s="74" t="s">
        <v>1592</v>
      </c>
      <c r="D40" s="75">
        <v>0.5555555555555556</v>
      </c>
      <c r="E40" s="241" t="s">
        <v>2144</v>
      </c>
      <c r="F40" s="84">
        <v>7.00006750436603E14</v>
      </c>
      <c r="G40" s="79" t="s">
        <v>2145</v>
      </c>
      <c r="H40" s="314"/>
      <c r="I40" s="34" t="s">
        <v>183</v>
      </c>
      <c r="J40" s="314"/>
      <c r="K40" s="314"/>
      <c r="N40" s="270" t="s">
        <v>2086</v>
      </c>
      <c r="O40" s="2"/>
      <c r="P40" s="2"/>
      <c r="Q40" s="2"/>
      <c r="R40" s="67"/>
    </row>
    <row r="41">
      <c r="A41" s="12" t="s">
        <v>12</v>
      </c>
      <c r="B41" s="227" t="s">
        <v>2087</v>
      </c>
      <c r="C41" s="74" t="s">
        <v>1592</v>
      </c>
      <c r="D41" s="75">
        <v>0.5694444444444444</v>
      </c>
      <c r="E41" s="241" t="s">
        <v>2146</v>
      </c>
      <c r="F41" s="84">
        <v>7.0480753619764E14</v>
      </c>
      <c r="G41" s="79" t="s">
        <v>2147</v>
      </c>
      <c r="H41" s="314">
        <v>21795.0</v>
      </c>
      <c r="I41" s="34" t="s">
        <v>183</v>
      </c>
      <c r="J41" s="382" t="s">
        <v>2148</v>
      </c>
      <c r="K41" s="382" t="s">
        <v>2149</v>
      </c>
      <c r="L41" s="216" t="s">
        <v>521</v>
      </c>
      <c r="N41" s="271" t="s">
        <v>183</v>
      </c>
      <c r="O41" s="272" t="s">
        <v>195</v>
      </c>
      <c r="P41" s="272" t="s">
        <v>181</v>
      </c>
      <c r="Q41" s="273" t="s">
        <v>2088</v>
      </c>
      <c r="R41" s="286" t="s">
        <v>439</v>
      </c>
    </row>
    <row r="42">
      <c r="A42" s="12" t="s">
        <v>13</v>
      </c>
      <c r="B42" s="227" t="s">
        <v>2089</v>
      </c>
      <c r="C42" s="74" t="s">
        <v>1592</v>
      </c>
      <c r="D42" s="75">
        <v>0.5833333333333334</v>
      </c>
      <c r="E42" s="241" t="s">
        <v>2150</v>
      </c>
      <c r="F42" s="84">
        <v>7.0600880996984E14</v>
      </c>
      <c r="G42" s="79" t="s">
        <v>2151</v>
      </c>
      <c r="H42" s="314"/>
      <c r="I42" s="34" t="s">
        <v>183</v>
      </c>
      <c r="J42" s="314"/>
      <c r="K42" s="314"/>
      <c r="L42" s="216" t="s">
        <v>521</v>
      </c>
      <c r="N42" s="275">
        <f t="shared" ref="N42:Q42" si="3">COUNTIFS($I$39:$I$50,N41)</f>
        <v>7</v>
      </c>
      <c r="O42" s="275">
        <f t="shared" si="3"/>
        <v>0</v>
      </c>
      <c r="P42" s="275">
        <f t="shared" si="3"/>
        <v>4</v>
      </c>
      <c r="Q42" s="275">
        <f t="shared" si="3"/>
        <v>1</v>
      </c>
      <c r="R42" s="67">
        <f>COUNTIFS(I39:I50,R41)</f>
        <v>0</v>
      </c>
    </row>
    <row r="43">
      <c r="A43" s="12" t="s">
        <v>14</v>
      </c>
      <c r="B43" s="227" t="s">
        <v>2082</v>
      </c>
      <c r="C43" s="74" t="s">
        <v>1592</v>
      </c>
      <c r="D43" s="75">
        <v>0.5972222222222222</v>
      </c>
      <c r="E43" s="241" t="s">
        <v>2152</v>
      </c>
      <c r="F43" s="84">
        <v>7.02600296478542E14</v>
      </c>
      <c r="G43" s="79" t="s">
        <v>2153</v>
      </c>
      <c r="H43" s="314"/>
      <c r="I43" s="41" t="s">
        <v>2088</v>
      </c>
      <c r="J43" s="314"/>
      <c r="K43" s="314"/>
      <c r="L43" s="216" t="s">
        <v>521</v>
      </c>
      <c r="R43" s="67"/>
    </row>
    <row r="44">
      <c r="A44" s="12" t="s">
        <v>15</v>
      </c>
      <c r="B44" s="227" t="s">
        <v>2089</v>
      </c>
      <c r="C44" s="74" t="s">
        <v>1592</v>
      </c>
      <c r="D44" s="75">
        <v>0.6111111111111112</v>
      </c>
      <c r="E44" s="241" t="s">
        <v>2154</v>
      </c>
      <c r="F44" s="84">
        <v>7.00002287262002E14</v>
      </c>
      <c r="G44" s="79" t="s">
        <v>2155</v>
      </c>
      <c r="H44" s="382" t="s">
        <v>2156</v>
      </c>
      <c r="I44" s="34" t="s">
        <v>183</v>
      </c>
      <c r="J44" s="314"/>
      <c r="K44" s="314"/>
      <c r="L44" s="216" t="s">
        <v>521</v>
      </c>
      <c r="R44" s="67"/>
    </row>
    <row r="45">
      <c r="A45" s="12" t="s">
        <v>16</v>
      </c>
      <c r="B45" s="227" t="s">
        <v>2093</v>
      </c>
      <c r="C45" s="74" t="s">
        <v>1592</v>
      </c>
      <c r="D45" s="75">
        <v>0.625</v>
      </c>
      <c r="E45" s="241"/>
      <c r="F45" s="84"/>
      <c r="H45" s="314"/>
      <c r="I45" s="41" t="s">
        <v>181</v>
      </c>
      <c r="J45" s="314"/>
      <c r="K45" s="314"/>
      <c r="R45" s="67"/>
    </row>
    <row r="46">
      <c r="A46" s="12" t="s">
        <v>17</v>
      </c>
      <c r="B46" s="227" t="s">
        <v>2094</v>
      </c>
      <c r="C46" s="74" t="s">
        <v>1592</v>
      </c>
      <c r="D46" s="75">
        <v>0.6388888888888888</v>
      </c>
      <c r="E46" s="241"/>
      <c r="F46" s="84"/>
      <c r="G46" s="79" t="s">
        <v>2157</v>
      </c>
      <c r="H46" s="314"/>
      <c r="I46" s="41" t="s">
        <v>183</v>
      </c>
      <c r="J46" s="314"/>
      <c r="K46" s="382"/>
      <c r="R46" s="67"/>
    </row>
    <row r="47">
      <c r="A47" s="12" t="s">
        <v>85</v>
      </c>
      <c r="B47" s="227" t="s">
        <v>2095</v>
      </c>
      <c r="C47" s="74" t="s">
        <v>1592</v>
      </c>
      <c r="D47" s="75">
        <v>0.6527777777777778</v>
      </c>
      <c r="E47" s="241" t="s">
        <v>2158</v>
      </c>
      <c r="F47" s="84">
        <v>7.0860752858488E14</v>
      </c>
      <c r="G47" s="79" t="s">
        <v>2159</v>
      </c>
      <c r="H47" s="314"/>
      <c r="I47" s="34" t="s">
        <v>183</v>
      </c>
      <c r="J47" s="314"/>
      <c r="K47" s="314"/>
      <c r="L47" s="216" t="s">
        <v>577</v>
      </c>
      <c r="R47" s="67"/>
    </row>
    <row r="48">
      <c r="A48" s="12" t="s">
        <v>87</v>
      </c>
      <c r="B48" s="227" t="s">
        <v>2096</v>
      </c>
      <c r="C48" s="74" t="s">
        <v>1592</v>
      </c>
      <c r="D48" s="75">
        <v>0.6666666666666666</v>
      </c>
      <c r="E48" s="241"/>
      <c r="F48" s="84"/>
      <c r="G48" s="79"/>
      <c r="H48" s="314"/>
      <c r="I48" s="41" t="s">
        <v>181</v>
      </c>
      <c r="J48" s="314"/>
      <c r="K48" s="314"/>
      <c r="R48" s="67"/>
    </row>
    <row r="49">
      <c r="A49" s="12" t="s">
        <v>90</v>
      </c>
      <c r="B49" s="227" t="s">
        <v>2098</v>
      </c>
      <c r="C49" s="74" t="s">
        <v>1592</v>
      </c>
      <c r="D49" s="75">
        <v>0.6805555555555556</v>
      </c>
      <c r="E49" s="241"/>
      <c r="F49" s="84"/>
      <c r="G49" s="79"/>
      <c r="H49" s="314"/>
      <c r="I49" s="41" t="s">
        <v>181</v>
      </c>
      <c r="J49" s="314"/>
      <c r="K49" s="314"/>
      <c r="R49" s="67"/>
    </row>
    <row r="50">
      <c r="A50" s="12" t="s">
        <v>93</v>
      </c>
      <c r="B50" s="227" t="s">
        <v>2096</v>
      </c>
      <c r="C50" s="74" t="s">
        <v>1592</v>
      </c>
      <c r="D50" s="75">
        <v>0.6944444444444444</v>
      </c>
      <c r="E50" s="241"/>
      <c r="F50" s="84"/>
      <c r="G50" s="79"/>
      <c r="H50" s="314"/>
      <c r="I50" s="41" t="s">
        <v>181</v>
      </c>
      <c r="J50" s="314"/>
      <c r="K50" s="314"/>
      <c r="R50" s="67"/>
    </row>
    <row r="51">
      <c r="J51" s="67"/>
      <c r="K51" s="67"/>
      <c r="R51" s="67"/>
    </row>
    <row r="52">
      <c r="J52" s="67"/>
      <c r="K52" s="67"/>
      <c r="R52" s="67"/>
    </row>
    <row r="53">
      <c r="J53" s="67"/>
      <c r="K53" s="67"/>
      <c r="R53" s="67"/>
    </row>
    <row r="54">
      <c r="A54" s="23" t="s">
        <v>18</v>
      </c>
      <c r="B54" s="2"/>
      <c r="C54" s="2"/>
      <c r="D54" s="2"/>
      <c r="E54" s="2"/>
      <c r="F54" s="2"/>
      <c r="G54" s="2"/>
      <c r="H54" s="2"/>
      <c r="I54" s="2"/>
      <c r="J54" s="2"/>
      <c r="K54" s="3"/>
      <c r="R54" s="67"/>
    </row>
    <row r="55">
      <c r="A55" s="263" t="s">
        <v>2160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5"/>
      <c r="B56" s="26" t="s">
        <v>3</v>
      </c>
      <c r="C56" s="27" t="s">
        <v>2</v>
      </c>
      <c r="D56" s="28" t="s">
        <v>5</v>
      </c>
      <c r="E56" s="32" t="s">
        <v>19</v>
      </c>
      <c r="F56" s="28" t="s">
        <v>6</v>
      </c>
      <c r="G56" s="264" t="s">
        <v>7</v>
      </c>
      <c r="H56" s="30" t="s">
        <v>8</v>
      </c>
      <c r="I56" s="31" t="s">
        <v>20</v>
      </c>
      <c r="J56" s="32" t="s">
        <v>21</v>
      </c>
      <c r="K56" s="32" t="s">
        <v>22</v>
      </c>
      <c r="R56" s="67"/>
    </row>
    <row r="57" ht="15.75" customHeight="1">
      <c r="A57" s="12" t="s">
        <v>10</v>
      </c>
      <c r="B57" s="227" t="s">
        <v>1781</v>
      </c>
      <c r="C57" s="74" t="s">
        <v>1314</v>
      </c>
      <c r="D57" s="75">
        <v>0.5416666666666666</v>
      </c>
      <c r="E57" s="241" t="s">
        <v>2161</v>
      </c>
      <c r="F57" s="301">
        <v>7.0610005531906E14</v>
      </c>
      <c r="G57" s="161" t="s">
        <v>2162</v>
      </c>
      <c r="H57" s="163">
        <v>17963.0</v>
      </c>
      <c r="I57" s="41" t="s">
        <v>183</v>
      </c>
      <c r="J57" s="238" t="s">
        <v>2163</v>
      </c>
      <c r="K57" s="238" t="s">
        <v>2164</v>
      </c>
      <c r="L57" s="216" t="s">
        <v>521</v>
      </c>
      <c r="N57" s="268" t="s">
        <v>387</v>
      </c>
      <c r="O57" s="100"/>
      <c r="P57" s="100"/>
      <c r="Q57" s="100"/>
      <c r="R57" s="67"/>
    </row>
    <row r="58" ht="15.75" customHeight="1">
      <c r="A58" s="12" t="s">
        <v>11</v>
      </c>
      <c r="B58" s="227" t="s">
        <v>1714</v>
      </c>
      <c r="C58" s="74" t="s">
        <v>1314</v>
      </c>
      <c r="D58" s="75">
        <v>0.5555555555555556</v>
      </c>
      <c r="E58" s="241" t="s">
        <v>2165</v>
      </c>
      <c r="F58" s="440" t="s">
        <v>2166</v>
      </c>
      <c r="G58" s="161" t="s">
        <v>2167</v>
      </c>
      <c r="H58" s="163">
        <v>19047.0</v>
      </c>
      <c r="I58" s="41" t="s">
        <v>183</v>
      </c>
      <c r="J58" s="238" t="s">
        <v>2168</v>
      </c>
      <c r="K58" s="238" t="s">
        <v>2169</v>
      </c>
      <c r="N58" s="270" t="s">
        <v>2086</v>
      </c>
      <c r="O58" s="2"/>
      <c r="P58" s="2"/>
      <c r="Q58" s="2"/>
      <c r="R58" s="67"/>
    </row>
    <row r="59" ht="15.75" customHeight="1">
      <c r="A59" s="12" t="s">
        <v>12</v>
      </c>
      <c r="B59" s="227" t="s">
        <v>1790</v>
      </c>
      <c r="C59" s="74" t="s">
        <v>1314</v>
      </c>
      <c r="D59" s="75">
        <v>0.5694444444444444</v>
      </c>
      <c r="E59" s="241" t="s">
        <v>2170</v>
      </c>
      <c r="F59" s="301">
        <v>7.04000342251667E14</v>
      </c>
      <c r="G59" s="161" t="s">
        <v>2171</v>
      </c>
      <c r="H59" s="163">
        <v>20927.0</v>
      </c>
      <c r="I59" s="41" t="s">
        <v>183</v>
      </c>
      <c r="J59" s="238" t="s">
        <v>2172</v>
      </c>
      <c r="K59" s="238" t="s">
        <v>2173</v>
      </c>
      <c r="L59" s="216" t="s">
        <v>521</v>
      </c>
      <c r="N59" s="271" t="s">
        <v>183</v>
      </c>
      <c r="O59" s="272" t="s">
        <v>195</v>
      </c>
      <c r="P59" s="272" t="s">
        <v>181</v>
      </c>
      <c r="Q59" s="272" t="s">
        <v>2088</v>
      </c>
      <c r="R59" s="67"/>
    </row>
    <row r="60" ht="15.75" customHeight="1">
      <c r="A60" s="12" t="s">
        <v>13</v>
      </c>
      <c r="B60" s="227" t="s">
        <v>1721</v>
      </c>
      <c r="C60" s="74" t="s">
        <v>1314</v>
      </c>
      <c r="D60" s="75">
        <v>0.5833333333333334</v>
      </c>
      <c r="E60" s="241" t="s">
        <v>2174</v>
      </c>
      <c r="F60" s="301">
        <v>7.00604913226869E14</v>
      </c>
      <c r="G60" s="161" t="s">
        <v>2175</v>
      </c>
      <c r="H60" s="163">
        <v>17109.0</v>
      </c>
      <c r="I60" s="41" t="s">
        <v>2088</v>
      </c>
      <c r="J60" s="238" t="s">
        <v>2176</v>
      </c>
      <c r="K60" s="238"/>
      <c r="L60" s="216" t="s">
        <v>521</v>
      </c>
      <c r="N60" s="275">
        <f t="shared" ref="N60:Q60" si="4">COUNTIFS($I$57:$I$68,N59)</f>
        <v>9</v>
      </c>
      <c r="O60" s="275">
        <f t="shared" si="4"/>
        <v>0</v>
      </c>
      <c r="P60" s="275">
        <f t="shared" si="4"/>
        <v>0</v>
      </c>
      <c r="Q60" s="275">
        <f t="shared" si="4"/>
        <v>3</v>
      </c>
      <c r="R60" s="67"/>
    </row>
    <row r="61" ht="15.75" customHeight="1">
      <c r="A61" s="12" t="s">
        <v>14</v>
      </c>
      <c r="B61" s="227" t="s">
        <v>1796</v>
      </c>
      <c r="C61" s="74" t="s">
        <v>1314</v>
      </c>
      <c r="D61" s="75">
        <v>0.5972222222222222</v>
      </c>
      <c r="E61" s="241" t="s">
        <v>2177</v>
      </c>
      <c r="F61" s="301">
        <v>7.06201085190163E14</v>
      </c>
      <c r="G61" s="161" t="s">
        <v>2178</v>
      </c>
      <c r="H61" s="163">
        <v>35531.0</v>
      </c>
      <c r="I61" s="41" t="s">
        <v>2088</v>
      </c>
      <c r="J61" s="238" t="s">
        <v>2179</v>
      </c>
      <c r="K61" s="238"/>
      <c r="R61" s="67"/>
    </row>
    <row r="62" ht="15.75" customHeight="1">
      <c r="A62" s="12" t="s">
        <v>15</v>
      </c>
      <c r="B62" s="227" t="s">
        <v>1790</v>
      </c>
      <c r="C62" s="74" t="s">
        <v>1314</v>
      </c>
      <c r="D62" s="75">
        <v>0.6111111111111112</v>
      </c>
      <c r="E62" s="241" t="s">
        <v>2180</v>
      </c>
      <c r="F62" s="440" t="s">
        <v>2181</v>
      </c>
      <c r="G62" s="161" t="s">
        <v>2182</v>
      </c>
      <c r="H62" s="163">
        <v>16907.0</v>
      </c>
      <c r="I62" s="41" t="s">
        <v>183</v>
      </c>
      <c r="J62" s="238" t="s">
        <v>2183</v>
      </c>
      <c r="K62" s="238" t="s">
        <v>2184</v>
      </c>
      <c r="L62" s="216" t="s">
        <v>521</v>
      </c>
      <c r="R62" s="67"/>
    </row>
    <row r="63" ht="15.75" customHeight="1">
      <c r="A63" s="12" t="s">
        <v>16</v>
      </c>
      <c r="B63" s="227" t="s">
        <v>1728</v>
      </c>
      <c r="C63" s="74" t="s">
        <v>1314</v>
      </c>
      <c r="D63" s="75">
        <v>0.625</v>
      </c>
      <c r="E63" s="241" t="s">
        <v>2185</v>
      </c>
      <c r="F63" s="301">
        <v>8.98000060657733E14</v>
      </c>
      <c r="G63" s="161" t="s">
        <v>2186</v>
      </c>
      <c r="H63" s="163">
        <v>20708.0</v>
      </c>
      <c r="I63" s="41" t="s">
        <v>183</v>
      </c>
      <c r="J63" s="238" t="s">
        <v>2187</v>
      </c>
      <c r="K63" s="238"/>
      <c r="L63" s="216" t="s">
        <v>521</v>
      </c>
      <c r="R63" s="67"/>
    </row>
    <row r="64" ht="15.75" customHeight="1">
      <c r="A64" s="12" t="s">
        <v>17</v>
      </c>
      <c r="B64" s="227" t="s">
        <v>1738</v>
      </c>
      <c r="C64" s="74" t="s">
        <v>1314</v>
      </c>
      <c r="D64" s="75">
        <v>0.6388888888888888</v>
      </c>
      <c r="E64" s="241" t="s">
        <v>2188</v>
      </c>
      <c r="F64" s="301">
        <v>7.00007074556704E14</v>
      </c>
      <c r="G64" s="161" t="s">
        <v>2189</v>
      </c>
      <c r="H64" s="163">
        <v>22042.0</v>
      </c>
      <c r="I64" s="41" t="s">
        <v>183</v>
      </c>
      <c r="J64" s="238" t="s">
        <v>2190</v>
      </c>
      <c r="K64" s="238" t="s">
        <v>2191</v>
      </c>
      <c r="L64" s="216" t="s">
        <v>521</v>
      </c>
      <c r="R64" s="67"/>
    </row>
    <row r="65" ht="15.75" customHeight="1">
      <c r="A65" s="12" t="s">
        <v>85</v>
      </c>
      <c r="B65" s="227" t="s">
        <v>1718</v>
      </c>
      <c r="C65" s="74" t="s">
        <v>1314</v>
      </c>
      <c r="D65" s="75">
        <v>0.6527777777777778</v>
      </c>
      <c r="E65" s="241" t="s">
        <v>2129</v>
      </c>
      <c r="F65" s="301">
        <v>7.02806189422067E14</v>
      </c>
      <c r="G65" s="161" t="s">
        <v>2130</v>
      </c>
      <c r="H65" s="163">
        <v>29680.0</v>
      </c>
      <c r="I65" s="41" t="s">
        <v>2088</v>
      </c>
      <c r="J65" s="238" t="s">
        <v>2131</v>
      </c>
      <c r="K65" s="238" t="s">
        <v>2132</v>
      </c>
      <c r="R65" s="67"/>
    </row>
    <row r="66" ht="15.75" customHeight="1">
      <c r="A66" s="12" t="s">
        <v>87</v>
      </c>
      <c r="B66" s="227" t="s">
        <v>1735</v>
      </c>
      <c r="C66" s="74" t="s">
        <v>1314</v>
      </c>
      <c r="D66" s="75">
        <v>0.6666666666666666</v>
      </c>
      <c r="E66" s="241" t="s">
        <v>2192</v>
      </c>
      <c r="F66" s="301">
        <v>7.08003310064522E14</v>
      </c>
      <c r="G66" s="161" t="s">
        <v>2193</v>
      </c>
      <c r="H66" s="163">
        <v>22462.0</v>
      </c>
      <c r="I66" s="41" t="s">
        <v>183</v>
      </c>
      <c r="J66" s="238" t="s">
        <v>2194</v>
      </c>
      <c r="K66" s="238"/>
      <c r="L66" s="216" t="s">
        <v>521</v>
      </c>
      <c r="R66" s="67"/>
    </row>
    <row r="67" ht="15.75" customHeight="1">
      <c r="A67" s="12" t="s">
        <v>90</v>
      </c>
      <c r="B67" s="227" t="s">
        <v>1718</v>
      </c>
      <c r="C67" s="74" t="s">
        <v>1314</v>
      </c>
      <c r="D67" s="75">
        <v>0.6805555555555556</v>
      </c>
      <c r="E67" s="241" t="s">
        <v>2195</v>
      </c>
      <c r="F67" s="301">
        <v>7.06207069344769E14</v>
      </c>
      <c r="G67" s="161" t="s">
        <v>2196</v>
      </c>
      <c r="H67" s="163">
        <v>22441.0</v>
      </c>
      <c r="I67" s="41" t="s">
        <v>183</v>
      </c>
      <c r="J67" s="238" t="s">
        <v>2197</v>
      </c>
      <c r="K67" s="238"/>
      <c r="R67" s="67"/>
    </row>
    <row r="68" ht="15.75" customHeight="1">
      <c r="A68" s="12" t="s">
        <v>93</v>
      </c>
      <c r="B68" s="227" t="s">
        <v>1735</v>
      </c>
      <c r="C68" s="74" t="s">
        <v>1314</v>
      </c>
      <c r="D68" s="75">
        <v>0.6944444444444444</v>
      </c>
      <c r="E68" s="241" t="s">
        <v>1813</v>
      </c>
      <c r="F68" s="301">
        <v>7.08004360910029E14</v>
      </c>
      <c r="G68" s="161" t="s">
        <v>1814</v>
      </c>
      <c r="H68" s="163">
        <v>19526.0</v>
      </c>
      <c r="I68" s="41" t="s">
        <v>183</v>
      </c>
      <c r="J68" s="238" t="s">
        <v>2140</v>
      </c>
      <c r="K68" s="238" t="s">
        <v>2198</v>
      </c>
      <c r="R68" s="67"/>
    </row>
    <row r="69">
      <c r="G69" s="216"/>
      <c r="J69" s="67"/>
      <c r="K69" s="67"/>
      <c r="R69" s="67"/>
    </row>
    <row r="70">
      <c r="J70" s="67"/>
      <c r="K70" s="67"/>
      <c r="R70" s="67"/>
    </row>
    <row r="71">
      <c r="J71" s="67"/>
      <c r="K71" s="67"/>
      <c r="R71" s="67"/>
    </row>
    <row r="72">
      <c r="A72" s="398" t="s">
        <v>18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468" t="s">
        <v>2199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469"/>
      <c r="B74" s="470" t="s">
        <v>3</v>
      </c>
      <c r="C74" s="471" t="s">
        <v>2</v>
      </c>
      <c r="D74" s="472" t="s">
        <v>5</v>
      </c>
      <c r="E74" s="472" t="s">
        <v>19</v>
      </c>
      <c r="F74" s="472" t="s">
        <v>6</v>
      </c>
      <c r="G74" s="473" t="s">
        <v>7</v>
      </c>
      <c r="H74" s="474" t="s">
        <v>8</v>
      </c>
      <c r="I74" s="475" t="s">
        <v>20</v>
      </c>
      <c r="J74" s="472" t="s">
        <v>21</v>
      </c>
      <c r="K74" s="472" t="s">
        <v>22</v>
      </c>
      <c r="R74" s="67"/>
    </row>
    <row r="75">
      <c r="A75" s="476" t="s">
        <v>10</v>
      </c>
      <c r="B75" s="227" t="s">
        <v>1781</v>
      </c>
      <c r="C75" s="447" t="s">
        <v>1592</v>
      </c>
      <c r="D75" s="302">
        <v>0.5416666666666666</v>
      </c>
      <c r="E75" s="477" t="s">
        <v>2200</v>
      </c>
      <c r="F75" s="133">
        <v>7.08203632846241E14</v>
      </c>
      <c r="G75" s="203" t="s">
        <v>2201</v>
      </c>
      <c r="H75" s="166">
        <v>21476.0</v>
      </c>
      <c r="I75" s="478" t="s">
        <v>41</v>
      </c>
      <c r="J75" s="391"/>
      <c r="K75" s="391"/>
      <c r="N75" s="268" t="s">
        <v>387</v>
      </c>
      <c r="O75" s="100"/>
      <c r="P75" s="100"/>
      <c r="Q75" s="100"/>
      <c r="R75" s="67"/>
    </row>
    <row r="76">
      <c r="A76" s="476" t="s">
        <v>11</v>
      </c>
      <c r="B76" s="227" t="s">
        <v>1714</v>
      </c>
      <c r="C76" s="447" t="s">
        <v>1592</v>
      </c>
      <c r="D76" s="302">
        <v>0.5555555555555556</v>
      </c>
      <c r="E76" s="479" t="s">
        <v>2202</v>
      </c>
      <c r="F76" s="133">
        <v>7.04200277430785E14</v>
      </c>
      <c r="G76" s="203" t="s">
        <v>2203</v>
      </c>
      <c r="H76" s="166">
        <v>23438.0</v>
      </c>
      <c r="I76" s="478" t="s">
        <v>41</v>
      </c>
      <c r="J76" s="391"/>
      <c r="K76" s="391"/>
      <c r="N76" s="270" t="s">
        <v>2086</v>
      </c>
      <c r="O76" s="2"/>
      <c r="P76" s="2"/>
      <c r="Q76" s="2"/>
      <c r="R76" s="67"/>
    </row>
    <row r="77">
      <c r="A77" s="476" t="s">
        <v>12</v>
      </c>
      <c r="B77" s="227" t="s">
        <v>1790</v>
      </c>
      <c r="C77" s="447" t="s">
        <v>1592</v>
      </c>
      <c r="D77" s="302">
        <v>0.5694444444444444</v>
      </c>
      <c r="E77" s="477" t="s">
        <v>2204</v>
      </c>
      <c r="F77" s="133">
        <v>1.22742427730018E14</v>
      </c>
      <c r="G77" s="203" t="s">
        <v>2205</v>
      </c>
      <c r="H77" s="166">
        <v>25162.0</v>
      </c>
      <c r="I77" s="478" t="s">
        <v>41</v>
      </c>
      <c r="J77" s="391"/>
      <c r="K77" s="391"/>
      <c r="N77" s="271" t="s">
        <v>183</v>
      </c>
      <c r="O77" s="272" t="s">
        <v>195</v>
      </c>
      <c r="P77" s="272" t="s">
        <v>181</v>
      </c>
      <c r="Q77" s="273" t="s">
        <v>2088</v>
      </c>
      <c r="R77" s="67"/>
    </row>
    <row r="78">
      <c r="A78" s="476" t="s">
        <v>13</v>
      </c>
      <c r="B78" s="227" t="s">
        <v>1721</v>
      </c>
      <c r="C78" s="447" t="s">
        <v>1592</v>
      </c>
      <c r="D78" s="302">
        <v>0.5833333333333334</v>
      </c>
      <c r="E78" s="477" t="s">
        <v>2206</v>
      </c>
      <c r="F78" s="133">
        <v>7.00209903660327E14</v>
      </c>
      <c r="G78" s="203" t="s">
        <v>2207</v>
      </c>
      <c r="H78" s="166">
        <v>17457.0</v>
      </c>
      <c r="I78" s="478" t="s">
        <v>2088</v>
      </c>
      <c r="J78" s="391"/>
      <c r="K78" s="391"/>
      <c r="N78" s="275">
        <f t="shared" ref="N78:Q78" si="5">COUNTIFS($I$75:$I$86,N77)</f>
        <v>0</v>
      </c>
      <c r="O78" s="275">
        <f t="shared" si="5"/>
        <v>0</v>
      </c>
      <c r="P78" s="275">
        <f t="shared" si="5"/>
        <v>0</v>
      </c>
      <c r="Q78" s="275">
        <f t="shared" si="5"/>
        <v>2</v>
      </c>
      <c r="R78" s="67"/>
    </row>
    <row r="79">
      <c r="A79" s="476" t="s">
        <v>14</v>
      </c>
      <c r="B79" s="227" t="s">
        <v>1796</v>
      </c>
      <c r="C79" s="447" t="s">
        <v>1592</v>
      </c>
      <c r="D79" s="302">
        <v>0.5972222222222222</v>
      </c>
      <c r="E79" s="480" t="s">
        <v>2208</v>
      </c>
      <c r="F79" s="133">
        <v>2.01532536510006E14</v>
      </c>
      <c r="G79" s="203" t="s">
        <v>2209</v>
      </c>
      <c r="H79" s="166">
        <v>25485.0</v>
      </c>
      <c r="I79" s="478" t="s">
        <v>41</v>
      </c>
      <c r="J79" s="391"/>
      <c r="K79" s="391"/>
      <c r="R79" s="67"/>
    </row>
    <row r="80">
      <c r="A80" s="476" t="s">
        <v>15</v>
      </c>
      <c r="B80" s="227" t="s">
        <v>1790</v>
      </c>
      <c r="C80" s="447" t="s">
        <v>1592</v>
      </c>
      <c r="D80" s="302">
        <v>0.6111111111111112</v>
      </c>
      <c r="E80" s="480" t="s">
        <v>2210</v>
      </c>
      <c r="F80" s="133">
        <v>7.07006899165335E14</v>
      </c>
      <c r="G80" s="203" t="s">
        <v>2211</v>
      </c>
      <c r="H80" s="166">
        <v>17220.0</v>
      </c>
      <c r="I80" s="478" t="s">
        <v>41</v>
      </c>
      <c r="J80" s="391"/>
      <c r="K80" s="391"/>
      <c r="R80" s="67"/>
    </row>
    <row r="81">
      <c r="A81" s="476" t="s">
        <v>16</v>
      </c>
      <c r="B81" s="227" t="s">
        <v>1728</v>
      </c>
      <c r="C81" s="447" t="s">
        <v>1592</v>
      </c>
      <c r="D81" s="302">
        <v>0.625</v>
      </c>
      <c r="E81" s="480" t="s">
        <v>2212</v>
      </c>
      <c r="F81" s="133">
        <v>7.00804422648982E14</v>
      </c>
      <c r="G81" s="203" t="s">
        <v>2213</v>
      </c>
      <c r="H81" s="166">
        <v>20433.0</v>
      </c>
      <c r="I81" s="478" t="s">
        <v>41</v>
      </c>
      <c r="J81" s="391"/>
      <c r="K81" s="391"/>
      <c r="R81" s="67"/>
    </row>
    <row r="82">
      <c r="A82" s="476" t="s">
        <v>17</v>
      </c>
      <c r="B82" s="227" t="s">
        <v>1738</v>
      </c>
      <c r="C82" s="447" t="s">
        <v>1592</v>
      </c>
      <c r="D82" s="302">
        <v>0.6388888888888888</v>
      </c>
      <c r="E82" s="480" t="s">
        <v>2214</v>
      </c>
      <c r="F82" s="133">
        <v>7.00507990730758E14</v>
      </c>
      <c r="G82" s="203" t="s">
        <v>2215</v>
      </c>
      <c r="H82" s="166">
        <v>20291.0</v>
      </c>
      <c r="I82" s="478" t="s">
        <v>41</v>
      </c>
      <c r="J82" s="391"/>
      <c r="K82" s="391"/>
      <c r="R82" s="67"/>
    </row>
    <row r="83" ht="16.5" customHeight="1">
      <c r="A83" s="476" t="s">
        <v>85</v>
      </c>
      <c r="B83" s="227" t="s">
        <v>1718</v>
      </c>
      <c r="C83" s="447" t="s">
        <v>1592</v>
      </c>
      <c r="D83" s="302">
        <v>0.6527777777777778</v>
      </c>
      <c r="E83" s="480" t="s">
        <v>2216</v>
      </c>
      <c r="F83" s="133">
        <v>7.02806189422067E14</v>
      </c>
      <c r="G83" s="203" t="s">
        <v>2130</v>
      </c>
      <c r="H83" s="166">
        <v>29680.0</v>
      </c>
      <c r="I83" s="478" t="s">
        <v>41</v>
      </c>
      <c r="J83" s="391"/>
      <c r="K83" s="391"/>
      <c r="R83" s="67"/>
    </row>
    <row r="84">
      <c r="A84" s="476" t="s">
        <v>87</v>
      </c>
      <c r="B84" s="227" t="s">
        <v>1735</v>
      </c>
      <c r="C84" s="447" t="s">
        <v>1592</v>
      </c>
      <c r="D84" s="302">
        <v>0.6666666666666666</v>
      </c>
      <c r="E84" s="477" t="s">
        <v>2217</v>
      </c>
      <c r="F84" s="133">
        <v>8.01440453633493E14</v>
      </c>
      <c r="G84" s="203" t="s">
        <v>2218</v>
      </c>
      <c r="H84" s="166">
        <v>18425.0</v>
      </c>
      <c r="I84" s="478" t="s">
        <v>41</v>
      </c>
      <c r="J84" s="391"/>
      <c r="K84" s="484"/>
      <c r="R84" s="67"/>
    </row>
    <row r="85">
      <c r="A85" s="476" t="s">
        <v>90</v>
      </c>
      <c r="B85" s="227" t="s">
        <v>1718</v>
      </c>
      <c r="C85" s="447" t="s">
        <v>1592</v>
      </c>
      <c r="D85" s="302">
        <v>0.6805555555555556</v>
      </c>
      <c r="E85" s="480" t="s">
        <v>2219</v>
      </c>
      <c r="F85" s="500">
        <v>7.00700952244878E14</v>
      </c>
      <c r="G85" s="501" t="s">
        <v>2220</v>
      </c>
      <c r="H85" s="166">
        <v>19725.0</v>
      </c>
      <c r="I85" s="478" t="s">
        <v>2088</v>
      </c>
      <c r="J85" s="484"/>
      <c r="K85" s="484"/>
      <c r="R85" s="67"/>
    </row>
    <row r="86">
      <c r="A86" s="476" t="s">
        <v>93</v>
      </c>
      <c r="B86" s="227" t="s">
        <v>1735</v>
      </c>
      <c r="C86" s="447" t="s">
        <v>1592</v>
      </c>
      <c r="D86" s="302">
        <v>0.6944444444444444</v>
      </c>
      <c r="E86" s="384"/>
      <c r="F86" s="485"/>
      <c r="G86" s="484"/>
      <c r="H86" s="486"/>
      <c r="I86" s="482"/>
      <c r="J86" s="485"/>
      <c r="K86" s="485"/>
      <c r="R86" s="67"/>
    </row>
    <row r="87">
      <c r="J87" s="67"/>
      <c r="K87" s="67"/>
      <c r="R87" s="67"/>
    </row>
    <row r="88">
      <c r="J88" s="67"/>
      <c r="K88" s="67"/>
      <c r="R88" s="67"/>
    </row>
    <row r="89">
      <c r="J89" s="67"/>
      <c r="K89" s="67"/>
      <c r="R89" s="67"/>
    </row>
    <row r="90">
      <c r="A90" s="23" t="s">
        <v>18</v>
      </c>
      <c r="B90" s="2"/>
      <c r="C90" s="2"/>
      <c r="D90" s="2"/>
      <c r="E90" s="2"/>
      <c r="F90" s="2"/>
      <c r="G90" s="2"/>
      <c r="H90" s="2"/>
      <c r="I90" s="2"/>
      <c r="J90" s="2"/>
      <c r="K90" s="3"/>
      <c r="R90" s="67"/>
    </row>
    <row r="91">
      <c r="A91" s="263" t="s">
        <v>2221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5"/>
      <c r="B92" s="26" t="s">
        <v>3</v>
      </c>
      <c r="C92" s="27" t="s">
        <v>2</v>
      </c>
      <c r="D92" s="28" t="s">
        <v>5</v>
      </c>
      <c r="E92" s="32" t="s">
        <v>19</v>
      </c>
      <c r="F92" s="28" t="s">
        <v>6</v>
      </c>
      <c r="G92" s="28" t="s">
        <v>7</v>
      </c>
      <c r="H92" s="30" t="s">
        <v>8</v>
      </c>
      <c r="I92" s="31" t="s">
        <v>20</v>
      </c>
      <c r="J92" s="32" t="s">
        <v>21</v>
      </c>
      <c r="K92" s="32" t="s">
        <v>22</v>
      </c>
      <c r="R92" s="67"/>
    </row>
    <row r="93">
      <c r="A93" s="12" t="s">
        <v>10</v>
      </c>
      <c r="B93" s="227" t="s">
        <v>2082</v>
      </c>
      <c r="C93" s="74" t="s">
        <v>1633</v>
      </c>
      <c r="D93" s="75">
        <v>0.5416666666666666</v>
      </c>
      <c r="E93" s="162">
        <v>6.9646368891E10</v>
      </c>
      <c r="F93" s="162">
        <v>8.01440490927896E14</v>
      </c>
      <c r="G93" s="161" t="s">
        <v>2222</v>
      </c>
      <c r="H93" s="390">
        <v>16636.0</v>
      </c>
      <c r="I93" s="41" t="s">
        <v>41</v>
      </c>
      <c r="J93" s="238" t="s">
        <v>2223</v>
      </c>
      <c r="K93" s="238"/>
      <c r="N93" s="268" t="s">
        <v>387</v>
      </c>
      <c r="O93" s="100"/>
      <c r="P93" s="100"/>
      <c r="Q93" s="100"/>
      <c r="R93" s="67"/>
    </row>
    <row r="94" ht="21.0" customHeight="1">
      <c r="A94" s="12" t="s">
        <v>11</v>
      </c>
      <c r="B94" s="227" t="s">
        <v>2084</v>
      </c>
      <c r="C94" s="74" t="s">
        <v>1633</v>
      </c>
      <c r="D94" s="75">
        <v>0.5555555555555556</v>
      </c>
      <c r="E94" s="162">
        <v>1.2873806893E10</v>
      </c>
      <c r="F94" s="487">
        <v>7.02608757276949E14</v>
      </c>
      <c r="G94" s="161" t="s">
        <v>2224</v>
      </c>
      <c r="H94" s="502">
        <v>17651.0</v>
      </c>
      <c r="I94" s="41" t="s">
        <v>41</v>
      </c>
      <c r="J94" s="238" t="s">
        <v>2225</v>
      </c>
      <c r="K94" s="238"/>
      <c r="N94" s="270" t="s">
        <v>2086</v>
      </c>
      <c r="O94" s="2"/>
      <c r="P94" s="2"/>
      <c r="Q94" s="2"/>
      <c r="R94" s="67"/>
    </row>
    <row r="95">
      <c r="A95" s="12" t="s">
        <v>12</v>
      </c>
      <c r="B95" s="227" t="s">
        <v>2087</v>
      </c>
      <c r="C95" s="74" t="s">
        <v>1633</v>
      </c>
      <c r="D95" s="75">
        <v>0.5694444444444444</v>
      </c>
      <c r="E95" s="162">
        <v>1.3519066823E10</v>
      </c>
      <c r="F95" s="162">
        <v>7.03001864200773E14</v>
      </c>
      <c r="G95" s="161" t="s">
        <v>1666</v>
      </c>
      <c r="H95" s="390">
        <v>18508.0</v>
      </c>
      <c r="I95" s="41" t="s">
        <v>41</v>
      </c>
      <c r="J95" s="238" t="s">
        <v>2226</v>
      </c>
      <c r="K95" s="238" t="s">
        <v>2225</v>
      </c>
      <c r="N95" s="271" t="s">
        <v>183</v>
      </c>
      <c r="O95" s="272" t="s">
        <v>195</v>
      </c>
      <c r="P95" s="272" t="s">
        <v>181</v>
      </c>
      <c r="Q95" s="273" t="s">
        <v>2088</v>
      </c>
      <c r="R95" s="67"/>
    </row>
    <row r="96">
      <c r="A96" s="12" t="s">
        <v>13</v>
      </c>
      <c r="B96" s="227" t="s">
        <v>2089</v>
      </c>
      <c r="C96" s="74" t="s">
        <v>1633</v>
      </c>
      <c r="D96" s="75">
        <v>0.5833333333333334</v>
      </c>
      <c r="E96" s="162">
        <v>3.1982611472E10</v>
      </c>
      <c r="F96" s="228">
        <v>7.00503965356356E14</v>
      </c>
      <c r="G96" s="227" t="s">
        <v>2227</v>
      </c>
      <c r="H96" s="495">
        <v>21560.0</v>
      </c>
      <c r="I96" s="41" t="s">
        <v>41</v>
      </c>
      <c r="J96" s="238" t="s">
        <v>2228</v>
      </c>
      <c r="K96" s="238"/>
      <c r="N96" s="275">
        <f t="shared" ref="N96:Q96" si="6">COUNTIFS($I$93:$I$104,N95)</f>
        <v>0</v>
      </c>
      <c r="O96" s="275">
        <f t="shared" si="6"/>
        <v>0</v>
      </c>
      <c r="P96" s="275">
        <f t="shared" si="6"/>
        <v>4</v>
      </c>
      <c r="Q96" s="275">
        <f t="shared" si="6"/>
        <v>2</v>
      </c>
      <c r="R96" s="67"/>
    </row>
    <row r="97">
      <c r="A97" s="12" t="s">
        <v>14</v>
      </c>
      <c r="B97" s="227" t="s">
        <v>2082</v>
      </c>
      <c r="C97" s="74" t="s">
        <v>1633</v>
      </c>
      <c r="D97" s="75">
        <v>0.5972222222222222</v>
      </c>
      <c r="E97" s="162">
        <v>6.705187182E10</v>
      </c>
      <c r="F97" s="162">
        <v>8.01440430484068E14</v>
      </c>
      <c r="G97" s="161" t="s">
        <v>2229</v>
      </c>
      <c r="H97" s="390">
        <v>17381.0</v>
      </c>
      <c r="I97" s="41" t="s">
        <v>2088</v>
      </c>
      <c r="J97" s="238" t="s">
        <v>2230</v>
      </c>
      <c r="K97" s="238" t="s">
        <v>2231</v>
      </c>
      <c r="R97" s="67"/>
    </row>
    <row r="98">
      <c r="A98" s="12" t="s">
        <v>15</v>
      </c>
      <c r="B98" s="227" t="s">
        <v>2089</v>
      </c>
      <c r="C98" s="74" t="s">
        <v>1633</v>
      </c>
      <c r="D98" s="75">
        <v>0.6111111111111112</v>
      </c>
      <c r="E98" s="162">
        <v>2.2546743821E10</v>
      </c>
      <c r="F98" s="162">
        <v>8.0144043896954E14</v>
      </c>
      <c r="G98" s="161" t="s">
        <v>2232</v>
      </c>
      <c r="H98" s="390">
        <v>22269.0</v>
      </c>
      <c r="I98" s="41" t="s">
        <v>41</v>
      </c>
      <c r="J98" s="238" t="s">
        <v>2233</v>
      </c>
      <c r="K98" s="238"/>
      <c r="R98" s="67"/>
    </row>
    <row r="99">
      <c r="A99" s="12" t="s">
        <v>16</v>
      </c>
      <c r="B99" s="227" t="s">
        <v>2093</v>
      </c>
      <c r="C99" s="74" t="s">
        <v>1633</v>
      </c>
      <c r="D99" s="75">
        <v>0.625</v>
      </c>
      <c r="E99" s="162"/>
      <c r="F99" s="162"/>
      <c r="G99" s="161"/>
      <c r="H99" s="390"/>
      <c r="I99" s="41" t="s">
        <v>181</v>
      </c>
      <c r="J99" s="238"/>
      <c r="K99" s="238"/>
      <c r="R99" s="67"/>
    </row>
    <row r="100">
      <c r="A100" s="12" t="s">
        <v>17</v>
      </c>
      <c r="B100" s="227" t="s">
        <v>2094</v>
      </c>
      <c r="C100" s="74" t="s">
        <v>1633</v>
      </c>
      <c r="D100" s="75">
        <v>0.6388888888888888</v>
      </c>
      <c r="E100" s="162">
        <v>1.662053886E10</v>
      </c>
      <c r="F100" s="162">
        <v>7.04700701137631E14</v>
      </c>
      <c r="G100" s="161" t="s">
        <v>2234</v>
      </c>
      <c r="H100" s="390">
        <v>18759.0</v>
      </c>
      <c r="I100" s="41" t="s">
        <v>41</v>
      </c>
      <c r="J100" s="238" t="s">
        <v>2235</v>
      </c>
      <c r="K100" s="238"/>
      <c r="R100" s="67"/>
    </row>
    <row r="101">
      <c r="A101" s="12" t="s">
        <v>85</v>
      </c>
      <c r="B101" s="227" t="s">
        <v>2095</v>
      </c>
      <c r="C101" s="74" t="s">
        <v>1633</v>
      </c>
      <c r="D101" s="75">
        <v>0.6527777777777778</v>
      </c>
      <c r="E101" s="162">
        <v>4.0377822E7</v>
      </c>
      <c r="F101" s="162">
        <v>7.00708973274773E14</v>
      </c>
      <c r="G101" s="161" t="s">
        <v>2236</v>
      </c>
      <c r="H101" s="390">
        <v>17336.0</v>
      </c>
      <c r="I101" s="41" t="s">
        <v>2088</v>
      </c>
      <c r="J101" s="238" t="s">
        <v>2237</v>
      </c>
      <c r="K101" s="238"/>
      <c r="R101" s="67"/>
      <c r="V101" s="336"/>
    </row>
    <row r="102">
      <c r="A102" s="12" t="s">
        <v>87</v>
      </c>
      <c r="B102" s="227" t="s">
        <v>2096</v>
      </c>
      <c r="C102" s="74" t="s">
        <v>1633</v>
      </c>
      <c r="D102" s="75">
        <v>0.6666666666666666</v>
      </c>
      <c r="E102" s="162"/>
      <c r="F102" s="162"/>
      <c r="G102" s="161"/>
      <c r="H102" s="390"/>
      <c r="I102" s="41" t="s">
        <v>181</v>
      </c>
      <c r="J102" s="238"/>
      <c r="K102" s="238"/>
      <c r="R102" s="67"/>
    </row>
    <row r="103">
      <c r="A103" s="12" t="s">
        <v>90</v>
      </c>
      <c r="B103" s="227" t="s">
        <v>2098</v>
      </c>
      <c r="C103" s="74" t="s">
        <v>1633</v>
      </c>
      <c r="D103" s="75">
        <v>0.6805555555555556</v>
      </c>
      <c r="E103" s="162"/>
      <c r="F103" s="162"/>
      <c r="G103" s="161"/>
      <c r="H103" s="390"/>
      <c r="I103" s="41" t="s">
        <v>181</v>
      </c>
      <c r="J103" s="238"/>
      <c r="K103" s="238"/>
      <c r="R103" s="67"/>
    </row>
    <row r="104">
      <c r="A104" s="12" t="s">
        <v>93</v>
      </c>
      <c r="B104" s="227" t="s">
        <v>2096</v>
      </c>
      <c r="C104" s="74" t="s">
        <v>1633</v>
      </c>
      <c r="D104" s="75">
        <v>0.6944444444444444</v>
      </c>
      <c r="E104" s="162"/>
      <c r="F104" s="162"/>
      <c r="G104" s="161"/>
      <c r="H104" s="390"/>
      <c r="I104" s="41" t="s">
        <v>181</v>
      </c>
      <c r="J104" s="238"/>
      <c r="K104" s="238"/>
      <c r="R104" s="67"/>
    </row>
    <row r="105">
      <c r="J105" s="67"/>
      <c r="K105" s="67"/>
      <c r="R105" s="67"/>
    </row>
    <row r="106">
      <c r="J106" s="67"/>
      <c r="K106" s="67"/>
      <c r="R106" s="67"/>
    </row>
    <row r="107">
      <c r="J107" s="67"/>
      <c r="K107" s="67"/>
      <c r="R107" s="67"/>
    </row>
    <row r="108">
      <c r="A108" s="23" t="s">
        <v>18</v>
      </c>
      <c r="B108" s="2"/>
      <c r="C108" s="2"/>
      <c r="D108" s="2"/>
      <c r="E108" s="2"/>
      <c r="F108" s="2"/>
      <c r="G108" s="2"/>
      <c r="H108" s="2"/>
      <c r="I108" s="2"/>
      <c r="J108" s="2"/>
      <c r="K108" s="3"/>
      <c r="R108" s="67"/>
    </row>
    <row r="109">
      <c r="A109" s="263" t="s">
        <v>2238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5"/>
      <c r="B110" s="26" t="s">
        <v>3</v>
      </c>
      <c r="C110" s="27" t="s">
        <v>2</v>
      </c>
      <c r="D110" s="28" t="s">
        <v>5</v>
      </c>
      <c r="E110" s="32" t="s">
        <v>19</v>
      </c>
      <c r="F110" s="28" t="s">
        <v>6</v>
      </c>
      <c r="G110" s="28" t="s">
        <v>7</v>
      </c>
      <c r="H110" s="30" t="s">
        <v>8</v>
      </c>
      <c r="I110" s="31" t="s">
        <v>20</v>
      </c>
      <c r="J110" s="32" t="s">
        <v>21</v>
      </c>
      <c r="K110" s="32" t="s">
        <v>22</v>
      </c>
      <c r="R110" s="67"/>
    </row>
    <row r="111">
      <c r="A111" s="12" t="s">
        <v>10</v>
      </c>
      <c r="B111" s="227" t="s">
        <v>1781</v>
      </c>
      <c r="C111" s="74" t="s">
        <v>1592</v>
      </c>
      <c r="D111" s="75">
        <v>0.5416666666666666</v>
      </c>
      <c r="E111" s="241" t="s">
        <v>2239</v>
      </c>
      <c r="F111" s="185">
        <v>7.02602702856247E14</v>
      </c>
      <c r="G111" s="105" t="s">
        <v>2240</v>
      </c>
      <c r="H111" s="83">
        <v>21040.0</v>
      </c>
      <c r="I111" s="34" t="s">
        <v>41</v>
      </c>
      <c r="J111" s="102" t="s">
        <v>2241</v>
      </c>
      <c r="K111" s="102" t="s">
        <v>2242</v>
      </c>
      <c r="N111" s="268" t="s">
        <v>387</v>
      </c>
      <c r="O111" s="100"/>
      <c r="P111" s="100"/>
      <c r="Q111" s="100"/>
      <c r="R111" s="67"/>
    </row>
    <row r="112">
      <c r="A112" s="12" t="s">
        <v>11</v>
      </c>
      <c r="B112" s="227" t="s">
        <v>1714</v>
      </c>
      <c r="C112" s="74" t="s">
        <v>1592</v>
      </c>
      <c r="D112" s="75">
        <v>0.5555555555555556</v>
      </c>
      <c r="E112" s="241" t="s">
        <v>2243</v>
      </c>
      <c r="F112" s="185">
        <v>2.01539691770004E14</v>
      </c>
      <c r="G112" s="105" t="s">
        <v>2244</v>
      </c>
      <c r="H112" s="83">
        <v>18361.0</v>
      </c>
      <c r="I112" s="34" t="s">
        <v>41</v>
      </c>
      <c r="J112" s="102" t="s">
        <v>2245</v>
      </c>
      <c r="K112" s="102" t="s">
        <v>2246</v>
      </c>
      <c r="N112" s="270" t="s">
        <v>2086</v>
      </c>
      <c r="O112" s="2"/>
      <c r="P112" s="2"/>
      <c r="Q112" s="2"/>
      <c r="R112" s="67"/>
    </row>
    <row r="113">
      <c r="A113" s="12" t="s">
        <v>12</v>
      </c>
      <c r="B113" s="227" t="s">
        <v>1790</v>
      </c>
      <c r="C113" s="74" t="s">
        <v>1592</v>
      </c>
      <c r="D113" s="75">
        <v>0.5694444444444444</v>
      </c>
      <c r="E113" s="241" t="s">
        <v>2247</v>
      </c>
      <c r="F113" s="185">
        <v>7.08102520333838E14</v>
      </c>
      <c r="G113" s="105" t="s">
        <v>2248</v>
      </c>
      <c r="H113" s="83">
        <v>16515.0</v>
      </c>
      <c r="I113" s="34" t="s">
        <v>41</v>
      </c>
      <c r="J113" s="102" t="s">
        <v>2249</v>
      </c>
      <c r="K113" s="102"/>
      <c r="N113" s="271" t="s">
        <v>183</v>
      </c>
      <c r="O113" s="272" t="s">
        <v>195</v>
      </c>
      <c r="P113" s="272" t="s">
        <v>181</v>
      </c>
      <c r="Q113" s="273" t="s">
        <v>2088</v>
      </c>
      <c r="R113" s="67"/>
    </row>
    <row r="114">
      <c r="A114" s="12" t="s">
        <v>13</v>
      </c>
      <c r="B114" s="227" t="s">
        <v>1721</v>
      </c>
      <c r="C114" s="74" t="s">
        <v>1592</v>
      </c>
      <c r="D114" s="75">
        <v>0.5833333333333334</v>
      </c>
      <c r="E114" s="241" t="s">
        <v>2250</v>
      </c>
      <c r="F114" s="185">
        <v>1.23718007260004E14</v>
      </c>
      <c r="G114" s="105" t="s">
        <v>792</v>
      </c>
      <c r="H114" s="83">
        <v>21248.0</v>
      </c>
      <c r="I114" s="34" t="s">
        <v>41</v>
      </c>
      <c r="J114" s="102" t="s">
        <v>2251</v>
      </c>
      <c r="K114" s="102"/>
      <c r="N114" s="275">
        <f t="shared" ref="N114:Q114" si="7">COUNTIFS($I$111:$I$122,N113)</f>
        <v>0</v>
      </c>
      <c r="O114" s="275">
        <f t="shared" si="7"/>
        <v>0</v>
      </c>
      <c r="P114" s="275">
        <f t="shared" si="7"/>
        <v>0</v>
      </c>
      <c r="Q114" s="275">
        <f t="shared" si="7"/>
        <v>1</v>
      </c>
      <c r="R114" s="67"/>
    </row>
    <row r="115">
      <c r="A115" s="12" t="s">
        <v>14</v>
      </c>
      <c r="B115" s="227" t="s">
        <v>1796</v>
      </c>
      <c r="C115" s="74" t="s">
        <v>1592</v>
      </c>
      <c r="D115" s="75">
        <v>0.5972222222222222</v>
      </c>
      <c r="E115" s="241" t="s">
        <v>2252</v>
      </c>
      <c r="F115" s="185">
        <v>8.0144041837124E14</v>
      </c>
      <c r="G115" s="105" t="s">
        <v>2253</v>
      </c>
      <c r="H115" s="83">
        <v>23732.0</v>
      </c>
      <c r="I115" s="34" t="s">
        <v>41</v>
      </c>
      <c r="J115" s="102" t="s">
        <v>2254</v>
      </c>
      <c r="K115" s="102" t="s">
        <v>2255</v>
      </c>
      <c r="R115" s="67"/>
    </row>
    <row r="116">
      <c r="A116" s="12" t="s">
        <v>15</v>
      </c>
      <c r="B116" s="227" t="s">
        <v>1790</v>
      </c>
      <c r="C116" s="74" t="s">
        <v>1592</v>
      </c>
      <c r="D116" s="75">
        <v>0.6111111111111112</v>
      </c>
      <c r="E116" s="241" t="s">
        <v>2256</v>
      </c>
      <c r="F116" s="185">
        <v>8.01440435972869E14</v>
      </c>
      <c r="G116" s="105" t="s">
        <v>2257</v>
      </c>
      <c r="H116" s="83">
        <v>15464.0</v>
      </c>
      <c r="I116" s="34" t="s">
        <v>41</v>
      </c>
      <c r="J116" s="102">
        <v>1.199119151E10</v>
      </c>
      <c r="K116" s="102"/>
      <c r="R116" s="67"/>
    </row>
    <row r="117">
      <c r="A117" s="12" t="s">
        <v>16</v>
      </c>
      <c r="B117" s="227" t="s">
        <v>1728</v>
      </c>
      <c r="C117" s="74" t="s">
        <v>1592</v>
      </c>
      <c r="D117" s="75">
        <v>0.625</v>
      </c>
      <c r="E117" s="241" t="s">
        <v>2258</v>
      </c>
      <c r="F117" s="185">
        <v>7.09602681197174E14</v>
      </c>
      <c r="G117" s="105" t="s">
        <v>2259</v>
      </c>
      <c r="H117" s="83">
        <v>21033.0</v>
      </c>
      <c r="I117" s="34" t="s">
        <v>41</v>
      </c>
      <c r="J117" s="102">
        <v>1.1987377534E10</v>
      </c>
      <c r="K117" s="102"/>
      <c r="R117" s="67"/>
    </row>
    <row r="118">
      <c r="A118" s="12" t="s">
        <v>17</v>
      </c>
      <c r="B118" s="227" t="s">
        <v>1738</v>
      </c>
      <c r="C118" s="74" t="s">
        <v>1592</v>
      </c>
      <c r="D118" s="75">
        <v>0.6388888888888888</v>
      </c>
      <c r="E118" s="241" t="s">
        <v>2260</v>
      </c>
      <c r="F118" s="185">
        <v>2.0153903737E14</v>
      </c>
      <c r="G118" s="105" t="s">
        <v>2261</v>
      </c>
      <c r="H118" s="83">
        <v>20170.0</v>
      </c>
      <c r="I118" s="34" t="s">
        <v>41</v>
      </c>
      <c r="J118" s="102" t="s">
        <v>2262</v>
      </c>
      <c r="K118" s="102" t="s">
        <v>2263</v>
      </c>
      <c r="R118" s="67"/>
    </row>
    <row r="119">
      <c r="A119" s="12" t="s">
        <v>85</v>
      </c>
      <c r="B119" s="227" t="s">
        <v>1718</v>
      </c>
      <c r="C119" s="74" t="s">
        <v>1592</v>
      </c>
      <c r="D119" s="75">
        <v>0.6527777777777778</v>
      </c>
      <c r="E119" s="241" t="s">
        <v>2264</v>
      </c>
      <c r="F119" s="185">
        <v>8.01440405555038E14</v>
      </c>
      <c r="G119" s="105" t="s">
        <v>1947</v>
      </c>
      <c r="H119" s="83">
        <v>24769.0</v>
      </c>
      <c r="I119" s="34" t="s">
        <v>41</v>
      </c>
      <c r="J119" s="102" t="s">
        <v>2265</v>
      </c>
      <c r="K119" s="102"/>
      <c r="R119" s="67"/>
    </row>
    <row r="120">
      <c r="A120" s="12" t="s">
        <v>87</v>
      </c>
      <c r="B120" s="227" t="s">
        <v>1735</v>
      </c>
      <c r="C120" s="74" t="s">
        <v>1592</v>
      </c>
      <c r="D120" s="75">
        <v>0.6666666666666666</v>
      </c>
      <c r="E120" s="241" t="s">
        <v>2266</v>
      </c>
      <c r="F120" s="185">
        <v>7.08905763864915E14</v>
      </c>
      <c r="G120" s="105" t="s">
        <v>2267</v>
      </c>
      <c r="H120" s="83">
        <v>21864.0</v>
      </c>
      <c r="I120" s="34" t="s">
        <v>41</v>
      </c>
      <c r="J120" s="102" t="s">
        <v>2268</v>
      </c>
      <c r="K120" s="102"/>
      <c r="R120" s="67"/>
    </row>
    <row r="121">
      <c r="A121" s="12" t="s">
        <v>90</v>
      </c>
      <c r="B121" s="227" t="s">
        <v>1718</v>
      </c>
      <c r="C121" s="74" t="s">
        <v>1592</v>
      </c>
      <c r="D121" s="75">
        <v>0.6805555555555556</v>
      </c>
      <c r="E121" s="241" t="s">
        <v>2219</v>
      </c>
      <c r="F121" s="185">
        <v>7.00700952244878E14</v>
      </c>
      <c r="G121" s="105" t="s">
        <v>2220</v>
      </c>
      <c r="H121" s="83">
        <v>19725.0</v>
      </c>
      <c r="I121" s="34" t="s">
        <v>41</v>
      </c>
      <c r="J121" s="102" t="s">
        <v>2269</v>
      </c>
      <c r="K121" s="102"/>
      <c r="R121" s="67"/>
    </row>
    <row r="122">
      <c r="A122" s="12" t="s">
        <v>93</v>
      </c>
      <c r="B122" s="227" t="s">
        <v>1735</v>
      </c>
      <c r="C122" s="74" t="s">
        <v>1592</v>
      </c>
      <c r="D122" s="75">
        <v>0.6944444444444444</v>
      </c>
      <c r="E122" s="241" t="s">
        <v>2270</v>
      </c>
      <c r="F122" s="185">
        <v>8.98001452028704E14</v>
      </c>
      <c r="G122" s="105" t="s">
        <v>2271</v>
      </c>
      <c r="H122" s="83">
        <v>16412.0</v>
      </c>
      <c r="I122" s="34" t="s">
        <v>2088</v>
      </c>
      <c r="J122" s="102">
        <v>1.1985079831E10</v>
      </c>
      <c r="K122" s="102"/>
      <c r="R122" s="67"/>
    </row>
    <row r="123">
      <c r="A123" s="503"/>
      <c r="B123" s="493"/>
      <c r="C123" s="315"/>
      <c r="D123" s="504"/>
      <c r="E123" s="505"/>
      <c r="F123" s="506"/>
      <c r="G123" s="507"/>
      <c r="H123" s="508"/>
      <c r="I123" s="509"/>
      <c r="J123" s="510"/>
      <c r="K123" s="510"/>
      <c r="R123" s="67"/>
    </row>
    <row r="124">
      <c r="A124" s="503"/>
      <c r="B124" s="493"/>
      <c r="C124" s="315"/>
      <c r="D124" s="504"/>
      <c r="E124" s="505"/>
      <c r="F124" s="506"/>
      <c r="G124" s="507"/>
      <c r="H124" s="508"/>
      <c r="I124" s="509"/>
      <c r="J124" s="510"/>
      <c r="K124" s="510"/>
      <c r="R124" s="67"/>
    </row>
    <row r="125">
      <c r="A125" s="503"/>
      <c r="B125" s="493"/>
      <c r="C125" s="315"/>
      <c r="D125" s="504"/>
      <c r="E125" s="505"/>
      <c r="F125" s="506"/>
      <c r="G125" s="507"/>
      <c r="H125" s="508"/>
      <c r="I125" s="509"/>
      <c r="J125" s="510"/>
      <c r="K125" s="510"/>
      <c r="R125" s="67"/>
    </row>
    <row r="126">
      <c r="A126" s="503"/>
      <c r="B126" s="493"/>
      <c r="C126" s="315"/>
      <c r="D126" s="504"/>
      <c r="E126" s="505"/>
      <c r="F126" s="506"/>
      <c r="G126" s="507"/>
      <c r="H126" s="508"/>
      <c r="I126" s="509"/>
      <c r="J126" s="510"/>
      <c r="K126" s="510"/>
      <c r="R126" s="67"/>
    </row>
    <row r="127">
      <c r="A127" s="503"/>
      <c r="B127" s="493"/>
      <c r="C127" s="315"/>
      <c r="D127" s="504"/>
      <c r="E127" s="505"/>
      <c r="F127" s="506"/>
      <c r="G127" s="507"/>
      <c r="H127" s="508"/>
      <c r="I127" s="509"/>
      <c r="J127" s="510"/>
      <c r="K127" s="510"/>
      <c r="N127" s="268" t="s">
        <v>2080</v>
      </c>
      <c r="O127" s="100"/>
      <c r="P127" s="100"/>
      <c r="Q127" s="100"/>
      <c r="R127" s="67"/>
    </row>
    <row r="128">
      <c r="A128" s="503"/>
      <c r="B128" s="493"/>
      <c r="C128" s="315"/>
      <c r="D128" s="504"/>
      <c r="E128" s="505"/>
      <c r="F128" s="506"/>
      <c r="G128" s="507"/>
      <c r="H128" s="508"/>
      <c r="I128" s="509"/>
      <c r="J128" s="510"/>
      <c r="K128" s="510"/>
      <c r="N128" s="271" t="s">
        <v>183</v>
      </c>
      <c r="O128" s="272" t="s">
        <v>195</v>
      </c>
      <c r="P128" s="272" t="s">
        <v>181</v>
      </c>
      <c r="Q128" s="273" t="s">
        <v>173</v>
      </c>
      <c r="R128" s="67"/>
    </row>
    <row r="129">
      <c r="A129" s="503"/>
      <c r="B129" s="493"/>
      <c r="C129" s="315"/>
      <c r="D129" s="504"/>
      <c r="E129" s="505"/>
      <c r="F129" s="506"/>
      <c r="G129" s="507"/>
      <c r="H129" s="508"/>
      <c r="I129" s="509"/>
      <c r="J129" s="510"/>
      <c r="K129" s="510"/>
      <c r="N129" s="458">
        <f t="shared" ref="N129:Q129" si="8">SUM(N4:N123)</f>
        <v>25</v>
      </c>
      <c r="O129" s="458">
        <f t="shared" si="8"/>
        <v>2</v>
      </c>
      <c r="P129" s="458">
        <f t="shared" si="8"/>
        <v>10</v>
      </c>
      <c r="Q129" s="458">
        <f t="shared" si="8"/>
        <v>11</v>
      </c>
      <c r="R129" s="67"/>
    </row>
    <row r="130">
      <c r="A130" s="503"/>
      <c r="B130" s="493"/>
      <c r="C130" s="315"/>
      <c r="D130" s="504"/>
      <c r="E130" s="505"/>
      <c r="F130" s="506"/>
      <c r="G130" s="507"/>
      <c r="H130" s="508"/>
      <c r="I130" s="509"/>
      <c r="J130" s="510"/>
      <c r="K130" s="510"/>
      <c r="R130" s="67"/>
    </row>
    <row r="131">
      <c r="A131" s="503"/>
      <c r="B131" s="493"/>
      <c r="C131" s="315"/>
      <c r="D131" s="504"/>
      <c r="E131" s="505"/>
      <c r="F131" s="506"/>
      <c r="G131" s="507"/>
      <c r="H131" s="508"/>
      <c r="I131" s="509"/>
      <c r="J131" s="510"/>
      <c r="K131" s="510"/>
      <c r="R131" s="67"/>
    </row>
    <row r="132">
      <c r="A132" s="503"/>
      <c r="B132" s="493"/>
      <c r="C132" s="315"/>
      <c r="D132" s="504"/>
      <c r="E132" s="505"/>
      <c r="F132" s="506"/>
      <c r="G132" s="507"/>
      <c r="H132" s="508"/>
      <c r="I132" s="509"/>
      <c r="J132" s="510"/>
      <c r="K132" s="510"/>
      <c r="R132" s="67"/>
    </row>
    <row r="133">
      <c r="A133" s="503"/>
      <c r="B133" s="493"/>
      <c r="C133" s="315"/>
      <c r="D133" s="504"/>
      <c r="E133" s="505"/>
      <c r="F133" s="506"/>
      <c r="G133" s="507"/>
      <c r="H133" s="508"/>
      <c r="I133" s="509"/>
      <c r="J133" s="510"/>
      <c r="K133" s="510"/>
      <c r="R133" s="67"/>
    </row>
    <row r="134">
      <c r="A134" s="503"/>
      <c r="B134" s="493"/>
      <c r="C134" s="315"/>
      <c r="D134" s="504"/>
      <c r="E134" s="505"/>
      <c r="F134" s="506"/>
      <c r="G134" s="507"/>
      <c r="H134" s="508"/>
      <c r="I134" s="509"/>
      <c r="J134" s="510"/>
      <c r="K134" s="510"/>
      <c r="R134" s="67"/>
    </row>
    <row r="135">
      <c r="A135" s="503"/>
      <c r="B135" s="493"/>
      <c r="C135" s="315"/>
      <c r="D135" s="504"/>
      <c r="E135" s="505"/>
      <c r="F135" s="506"/>
      <c r="G135" s="507"/>
      <c r="H135" s="508"/>
      <c r="I135" s="509"/>
      <c r="J135" s="510"/>
      <c r="K135" s="510"/>
      <c r="R135" s="67"/>
    </row>
    <row r="136">
      <c r="A136" s="503"/>
      <c r="B136" s="493"/>
      <c r="C136" s="315"/>
      <c r="D136" s="504"/>
      <c r="E136" s="505"/>
      <c r="F136" s="506"/>
      <c r="G136" s="507"/>
      <c r="H136" s="508"/>
      <c r="I136" s="509"/>
      <c r="J136" s="510"/>
      <c r="K136" s="510"/>
      <c r="R136" s="67"/>
    </row>
    <row r="137">
      <c r="A137" s="503"/>
      <c r="B137" s="493"/>
      <c r="C137" s="315"/>
      <c r="D137" s="504"/>
      <c r="E137" s="505"/>
      <c r="F137" s="506"/>
      <c r="G137" s="507"/>
      <c r="H137" s="508"/>
      <c r="I137" s="509"/>
      <c r="J137" s="510"/>
      <c r="K137" s="510"/>
      <c r="R137" s="67"/>
    </row>
    <row r="138">
      <c r="A138" s="503"/>
      <c r="B138" s="493"/>
      <c r="C138" s="315"/>
      <c r="D138" s="504"/>
      <c r="E138" s="505"/>
      <c r="F138" s="506"/>
      <c r="G138" s="507"/>
      <c r="H138" s="508"/>
      <c r="I138" s="509"/>
      <c r="J138" s="510"/>
      <c r="K138" s="510"/>
      <c r="R138" s="67"/>
    </row>
    <row r="139">
      <c r="A139" s="503"/>
      <c r="B139" s="493"/>
      <c r="C139" s="315"/>
      <c r="D139" s="504"/>
      <c r="E139" s="505"/>
      <c r="F139" s="506"/>
      <c r="G139" s="507"/>
      <c r="H139" s="508"/>
      <c r="I139" s="509"/>
      <c r="J139" s="510"/>
      <c r="K139" s="510"/>
      <c r="R139" s="67"/>
    </row>
    <row r="140">
      <c r="A140" s="503"/>
      <c r="B140" s="493"/>
      <c r="C140" s="315"/>
      <c r="D140" s="504"/>
      <c r="E140" s="505"/>
      <c r="F140" s="506"/>
      <c r="G140" s="507"/>
      <c r="H140" s="508"/>
      <c r="I140" s="509"/>
      <c r="J140" s="510"/>
      <c r="K140" s="510"/>
      <c r="R140" s="67"/>
    </row>
    <row r="141">
      <c r="A141" s="503"/>
      <c r="B141" s="493"/>
      <c r="C141" s="315"/>
      <c r="D141" s="504"/>
      <c r="E141" s="505"/>
      <c r="F141" s="506"/>
      <c r="G141" s="507"/>
      <c r="H141" s="508"/>
      <c r="I141" s="509"/>
      <c r="J141" s="510"/>
      <c r="K141" s="510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503"/>
      <c r="B144" s="493"/>
      <c r="C144" s="315"/>
      <c r="D144" s="504"/>
      <c r="E144" s="505"/>
      <c r="F144" s="506"/>
      <c r="G144" s="507"/>
      <c r="H144" s="508"/>
      <c r="I144" s="509"/>
      <c r="J144" s="510"/>
      <c r="K144" s="510"/>
      <c r="R144" s="67"/>
    </row>
    <row r="145">
      <c r="A145" s="503"/>
      <c r="B145" s="493"/>
      <c r="C145" s="315"/>
      <c r="D145" s="504"/>
      <c r="E145" s="505"/>
      <c r="F145" s="506"/>
      <c r="G145" s="507"/>
      <c r="H145" s="508"/>
      <c r="I145" s="509"/>
      <c r="J145" s="510"/>
      <c r="K145" s="510"/>
      <c r="R145" s="67"/>
    </row>
    <row r="146">
      <c r="A146" s="503"/>
      <c r="B146" s="493"/>
      <c r="C146" s="315"/>
      <c r="D146" s="504"/>
      <c r="E146" s="505"/>
      <c r="F146" s="506"/>
      <c r="G146" s="507"/>
      <c r="H146" s="508"/>
      <c r="I146" s="509"/>
      <c r="J146" s="510"/>
      <c r="K146" s="510"/>
      <c r="R146" s="67"/>
    </row>
    <row r="147">
      <c r="A147" s="503"/>
      <c r="B147" s="493"/>
      <c r="C147" s="315"/>
      <c r="D147" s="504"/>
      <c r="E147" s="505"/>
      <c r="F147" s="506"/>
      <c r="G147" s="507"/>
      <c r="H147" s="508"/>
      <c r="I147" s="509"/>
      <c r="J147" s="510"/>
      <c r="K147" s="510"/>
      <c r="R147" s="67"/>
    </row>
    <row r="148">
      <c r="A148" s="503"/>
      <c r="B148" s="493"/>
      <c r="C148" s="315"/>
      <c r="D148" s="504"/>
      <c r="E148" s="505"/>
      <c r="F148" s="506"/>
      <c r="G148" s="507"/>
      <c r="H148" s="508"/>
      <c r="I148" s="509"/>
      <c r="J148" s="510"/>
      <c r="K148" s="510"/>
      <c r="R148" s="67"/>
    </row>
    <row r="149">
      <c r="A149" s="503"/>
      <c r="B149" s="493"/>
      <c r="C149" s="315"/>
      <c r="D149" s="504"/>
      <c r="E149" s="505"/>
      <c r="F149" s="506"/>
      <c r="G149" s="507"/>
      <c r="H149" s="508"/>
      <c r="I149" s="509"/>
      <c r="J149" s="510"/>
      <c r="K149" s="510"/>
      <c r="R149" s="67"/>
    </row>
    <row r="150">
      <c r="A150" s="503"/>
      <c r="B150" s="493"/>
      <c r="C150" s="315"/>
      <c r="D150" s="504"/>
      <c r="E150" s="505"/>
      <c r="F150" s="506"/>
      <c r="G150" s="507"/>
      <c r="H150" s="508"/>
      <c r="I150" s="509"/>
      <c r="J150" s="510"/>
      <c r="K150" s="510"/>
      <c r="R150" s="67"/>
    </row>
    <row r="151">
      <c r="A151" s="503"/>
      <c r="B151" s="493"/>
      <c r="C151" s="315"/>
      <c r="D151" s="504"/>
      <c r="E151" s="505"/>
      <c r="F151" s="506"/>
      <c r="G151" s="507"/>
      <c r="H151" s="508"/>
      <c r="I151" s="509"/>
      <c r="J151" s="510"/>
      <c r="K151" s="510"/>
      <c r="R151" s="67"/>
    </row>
    <row r="152">
      <c r="A152" s="503"/>
      <c r="B152" s="493"/>
      <c r="C152" s="315"/>
      <c r="D152" s="504"/>
      <c r="E152" s="505"/>
      <c r="F152" s="506"/>
      <c r="G152" s="507"/>
      <c r="H152" s="508"/>
      <c r="I152" s="509"/>
      <c r="J152" s="510"/>
      <c r="K152" s="510"/>
      <c r="R152" s="67"/>
    </row>
    <row r="153">
      <c r="A153" s="503"/>
      <c r="B153" s="493"/>
      <c r="C153" s="315"/>
      <c r="D153" s="504"/>
      <c r="E153" s="505"/>
      <c r="F153" s="506"/>
      <c r="G153" s="507"/>
      <c r="H153" s="508"/>
      <c r="I153" s="509"/>
      <c r="J153" s="510"/>
      <c r="K153" s="510"/>
      <c r="R153" s="67"/>
    </row>
    <row r="154">
      <c r="A154" s="503"/>
      <c r="B154" s="493"/>
      <c r="C154" s="315"/>
      <c r="D154" s="504"/>
      <c r="E154" s="505"/>
      <c r="F154" s="506"/>
      <c r="G154" s="507"/>
      <c r="H154" s="508"/>
      <c r="I154" s="509"/>
      <c r="J154" s="510"/>
      <c r="K154" s="510"/>
      <c r="R154" s="67"/>
    </row>
    <row r="155">
      <c r="A155" s="503"/>
      <c r="B155" s="493"/>
      <c r="C155" s="315"/>
      <c r="D155" s="504"/>
      <c r="E155" s="505"/>
      <c r="F155" s="506"/>
      <c r="G155" s="507"/>
      <c r="H155" s="508"/>
      <c r="I155" s="509"/>
      <c r="J155" s="510"/>
      <c r="K155" s="510"/>
      <c r="R155" s="67"/>
    </row>
    <row r="156">
      <c r="A156" s="503"/>
      <c r="B156" s="493"/>
      <c r="C156" s="315"/>
      <c r="D156" s="504"/>
      <c r="E156" s="505"/>
      <c r="F156" s="506"/>
      <c r="G156" s="507"/>
      <c r="H156" s="508"/>
      <c r="I156" s="509"/>
      <c r="J156" s="510"/>
      <c r="K156" s="510"/>
      <c r="R156" s="67"/>
    </row>
    <row r="157">
      <c r="A157" s="503"/>
      <c r="B157" s="493"/>
      <c r="C157" s="315"/>
      <c r="D157" s="504"/>
      <c r="E157" s="505"/>
      <c r="F157" s="506"/>
      <c r="G157" s="507"/>
      <c r="H157" s="508"/>
      <c r="I157" s="509"/>
      <c r="J157" s="510"/>
      <c r="K157" s="510"/>
      <c r="R157" s="67"/>
    </row>
    <row r="158">
      <c r="A158" s="503"/>
      <c r="B158" s="493"/>
      <c r="C158" s="315"/>
      <c r="D158" s="504"/>
      <c r="E158" s="505"/>
      <c r="F158" s="506"/>
      <c r="G158" s="507"/>
      <c r="H158" s="508"/>
      <c r="I158" s="509"/>
      <c r="J158" s="510"/>
      <c r="K158" s="510"/>
      <c r="R158" s="67"/>
    </row>
    <row r="159">
      <c r="A159" s="503"/>
      <c r="B159" s="493"/>
      <c r="C159" s="315"/>
      <c r="D159" s="504"/>
      <c r="E159" s="505"/>
      <c r="F159" s="506"/>
      <c r="G159" s="507"/>
      <c r="H159" s="508"/>
      <c r="I159" s="509"/>
      <c r="J159" s="510"/>
      <c r="K159" s="510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503"/>
      <c r="B162" s="493"/>
      <c r="C162" s="315"/>
      <c r="D162" s="504"/>
      <c r="E162" s="505"/>
      <c r="F162" s="506"/>
      <c r="G162" s="507"/>
      <c r="H162" s="508"/>
      <c r="I162" s="509"/>
      <c r="J162" s="510"/>
      <c r="K162" s="510"/>
      <c r="R162" s="67"/>
    </row>
    <row r="163">
      <c r="A163" s="503"/>
      <c r="B163" s="493"/>
      <c r="C163" s="315"/>
      <c r="D163" s="504"/>
      <c r="E163" s="505"/>
      <c r="F163" s="506"/>
      <c r="G163" s="507"/>
      <c r="H163" s="508"/>
      <c r="I163" s="509"/>
      <c r="J163" s="510"/>
      <c r="K163" s="510"/>
      <c r="R163" s="67"/>
    </row>
    <row r="164">
      <c r="A164" s="503"/>
      <c r="B164" s="493"/>
      <c r="C164" s="315"/>
      <c r="D164" s="504"/>
      <c r="E164" s="505"/>
      <c r="F164" s="506"/>
      <c r="G164" s="507"/>
      <c r="H164" s="508"/>
      <c r="I164" s="509"/>
      <c r="J164" s="510"/>
      <c r="K164" s="510"/>
      <c r="R164" s="67"/>
    </row>
    <row r="165">
      <c r="A165" s="503"/>
      <c r="B165" s="493"/>
      <c r="C165" s="315"/>
      <c r="D165" s="504"/>
      <c r="E165" s="505"/>
      <c r="F165" s="506"/>
      <c r="G165" s="507"/>
      <c r="H165" s="508"/>
      <c r="I165" s="509"/>
      <c r="J165" s="510"/>
      <c r="K165" s="510"/>
      <c r="R165" s="67"/>
    </row>
    <row r="166">
      <c r="A166" s="503"/>
      <c r="B166" s="493"/>
      <c r="C166" s="315"/>
      <c r="D166" s="504"/>
      <c r="E166" s="505"/>
      <c r="F166" s="506"/>
      <c r="G166" s="507"/>
      <c r="H166" s="508"/>
      <c r="I166" s="509"/>
      <c r="J166" s="510"/>
      <c r="K166" s="510"/>
      <c r="R166" s="67"/>
    </row>
    <row r="167">
      <c r="A167" s="503"/>
      <c r="B167" s="493"/>
      <c r="C167" s="315"/>
      <c r="D167" s="504"/>
      <c r="E167" s="505"/>
      <c r="F167" s="506"/>
      <c r="G167" s="507"/>
      <c r="H167" s="508"/>
      <c r="I167" s="509"/>
      <c r="J167" s="510"/>
      <c r="K167" s="510"/>
      <c r="R167" s="67"/>
    </row>
    <row r="168">
      <c r="A168" s="503"/>
      <c r="B168" s="493"/>
      <c r="C168" s="315"/>
      <c r="D168" s="504"/>
      <c r="E168" s="505"/>
      <c r="F168" s="506"/>
      <c r="G168" s="507"/>
      <c r="H168" s="508"/>
      <c r="I168" s="509"/>
      <c r="J168" s="510"/>
      <c r="K168" s="510"/>
      <c r="R168" s="67"/>
    </row>
    <row r="169">
      <c r="A169" s="503"/>
      <c r="B169" s="493"/>
      <c r="C169" s="315"/>
      <c r="D169" s="504"/>
      <c r="E169" s="505"/>
      <c r="F169" s="506"/>
      <c r="G169" s="507"/>
      <c r="H169" s="508"/>
      <c r="I169" s="509"/>
      <c r="J169" s="510"/>
      <c r="K169" s="510"/>
      <c r="R169" s="67"/>
    </row>
    <row r="170">
      <c r="A170" s="503"/>
      <c r="B170" s="493"/>
      <c r="C170" s="315"/>
      <c r="D170" s="504"/>
      <c r="E170" s="505"/>
      <c r="F170" s="506"/>
      <c r="G170" s="507"/>
      <c r="H170" s="508"/>
      <c r="I170" s="509"/>
      <c r="J170" s="510"/>
      <c r="K170" s="510"/>
      <c r="R170" s="67"/>
    </row>
    <row r="171">
      <c r="A171" s="503"/>
      <c r="B171" s="493"/>
      <c r="C171" s="315"/>
      <c r="D171" s="504"/>
      <c r="E171" s="505"/>
      <c r="F171" s="506"/>
      <c r="G171" s="507"/>
      <c r="H171" s="508"/>
      <c r="I171" s="509"/>
      <c r="J171" s="510"/>
      <c r="K171" s="510"/>
      <c r="R171" s="67"/>
    </row>
    <row r="172">
      <c r="A172" s="503"/>
      <c r="B172" s="493"/>
      <c r="C172" s="315"/>
      <c r="D172" s="504"/>
      <c r="E172" s="505"/>
      <c r="F172" s="506"/>
      <c r="G172" s="507"/>
      <c r="H172" s="508"/>
      <c r="I172" s="509"/>
      <c r="J172" s="510"/>
      <c r="K172" s="510"/>
      <c r="R172" s="67"/>
    </row>
    <row r="173">
      <c r="A173" s="503"/>
      <c r="B173" s="493"/>
      <c r="C173" s="315"/>
      <c r="D173" s="504"/>
      <c r="E173" s="505"/>
      <c r="F173" s="506"/>
      <c r="G173" s="507"/>
      <c r="H173" s="508"/>
      <c r="I173" s="509"/>
      <c r="J173" s="510"/>
      <c r="K173" s="510"/>
      <c r="R173" s="67"/>
    </row>
    <row r="174">
      <c r="A174" s="503"/>
      <c r="B174" s="493"/>
      <c r="C174" s="315"/>
      <c r="D174" s="504"/>
      <c r="E174" s="505"/>
      <c r="F174" s="506"/>
      <c r="G174" s="507"/>
      <c r="H174" s="508"/>
      <c r="I174" s="509"/>
      <c r="J174" s="510"/>
      <c r="K174" s="510"/>
      <c r="R174" s="67"/>
    </row>
    <row r="175">
      <c r="A175" s="503"/>
      <c r="B175" s="493"/>
      <c r="C175" s="315"/>
      <c r="D175" s="504"/>
      <c r="E175" s="505"/>
      <c r="F175" s="506"/>
      <c r="G175" s="507"/>
      <c r="H175" s="508"/>
      <c r="I175" s="509"/>
      <c r="J175" s="510"/>
      <c r="K175" s="510"/>
      <c r="R175" s="67"/>
    </row>
    <row r="176">
      <c r="A176" s="503"/>
      <c r="B176" s="493"/>
      <c r="C176" s="315"/>
      <c r="D176" s="504"/>
      <c r="E176" s="505"/>
      <c r="F176" s="506"/>
      <c r="G176" s="507"/>
      <c r="H176" s="508"/>
      <c r="I176" s="509"/>
      <c r="J176" s="510"/>
      <c r="K176" s="510"/>
      <c r="R176" s="67"/>
    </row>
    <row r="177">
      <c r="A177" s="503"/>
      <c r="B177" s="493"/>
      <c r="C177" s="315"/>
      <c r="D177" s="504"/>
      <c r="E177" s="505"/>
      <c r="F177" s="506"/>
      <c r="G177" s="507"/>
      <c r="H177" s="508"/>
      <c r="I177" s="509"/>
      <c r="J177" s="510"/>
      <c r="K177" s="510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493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</sheetData>
  <mergeCells count="29">
    <mergeCell ref="A1:K1"/>
    <mergeCell ref="A2:K2"/>
    <mergeCell ref="N4:Q4"/>
    <mergeCell ref="N5:Q5"/>
    <mergeCell ref="A19:K19"/>
    <mergeCell ref="N22:Q22"/>
    <mergeCell ref="N23:Q23"/>
    <mergeCell ref="A20:K20"/>
    <mergeCell ref="A36:K36"/>
    <mergeCell ref="A37:K37"/>
    <mergeCell ref="N39:Q39"/>
    <mergeCell ref="N40:Q40"/>
    <mergeCell ref="A54:K54"/>
    <mergeCell ref="A55:K55"/>
    <mergeCell ref="A91:K91"/>
    <mergeCell ref="N93:Q93"/>
    <mergeCell ref="N94:Q94"/>
    <mergeCell ref="A108:K108"/>
    <mergeCell ref="A109:K109"/>
    <mergeCell ref="N111:Q111"/>
    <mergeCell ref="N112:Q112"/>
    <mergeCell ref="N127:Q127"/>
    <mergeCell ref="N57:Q57"/>
    <mergeCell ref="N58:Q58"/>
    <mergeCell ref="A72:K72"/>
    <mergeCell ref="A73:K73"/>
    <mergeCell ref="N75:Q75"/>
    <mergeCell ref="N76:Q76"/>
    <mergeCell ref="A90:K90"/>
  </mergeCells>
  <dataValidations>
    <dataValidation type="list" allowBlank="1" showErrorMessage="1" sqref="I4:I15 I22:I33 I39:I50 I57:I68 I75:I86 I93:I104 I111:I122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2272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489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1981</v>
      </c>
      <c r="C4" s="74" t="str">
        <f t="shared" ref="C4:C15" si="1">PROPER(TEXT(DATE(MID($A$2,7,4),MID($A$2,4,2),LEFT($A$2,2)),"dddd"))</f>
        <v>Segunda-Feira</v>
      </c>
      <c r="D4" s="512" t="str">
        <f>IF(C4&lt;&gt;"Quarta-Feira","13:00","08:00")</f>
        <v>13:00</v>
      </c>
      <c r="E4" s="287" t="s">
        <v>2273</v>
      </c>
      <c r="F4" s="301">
        <v>2.01153634530006E14</v>
      </c>
      <c r="G4" s="131" t="s">
        <v>2274</v>
      </c>
      <c r="H4" s="132">
        <v>17306.0</v>
      </c>
      <c r="I4" s="34" t="s">
        <v>183</v>
      </c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100"/>
    </row>
    <row r="5">
      <c r="A5" s="12" t="s">
        <v>11</v>
      </c>
      <c r="B5" s="227" t="s">
        <v>1985</v>
      </c>
      <c r="C5" s="74" t="str">
        <f t="shared" si="1"/>
        <v>Segunda-Feira</v>
      </c>
      <c r="D5" s="512" t="str">
        <f>IF(C5&lt;&gt;"Quarta-Feira","13:20","08:20")</f>
        <v>13:20</v>
      </c>
      <c r="E5" s="287" t="s">
        <v>2275</v>
      </c>
      <c r="F5" s="513">
        <v>7.04701768851833E14</v>
      </c>
      <c r="G5" s="514" t="s">
        <v>1999</v>
      </c>
      <c r="H5" s="515">
        <v>21927.0</v>
      </c>
      <c r="I5" s="34" t="s">
        <v>183</v>
      </c>
      <c r="J5" s="74"/>
      <c r="K5" s="74"/>
      <c r="M5" s="267"/>
      <c r="N5" s="270" t="s">
        <v>1824</v>
      </c>
      <c r="O5" s="2"/>
      <c r="P5" s="2"/>
      <c r="Q5" s="2"/>
      <c r="R5" s="2"/>
    </row>
    <row r="6">
      <c r="A6" s="12" t="s">
        <v>12</v>
      </c>
      <c r="B6" s="227" t="s">
        <v>1989</v>
      </c>
      <c r="C6" s="74" t="str">
        <f t="shared" si="1"/>
        <v>Segunda-Feira</v>
      </c>
      <c r="D6" s="512" t="str">
        <f>IF(C6&lt;&gt;"Quarta-Feira","13:40","08:40")</f>
        <v>13:40</v>
      </c>
      <c r="E6" s="287" t="s">
        <v>2276</v>
      </c>
      <c r="F6" s="301">
        <v>8.98001440717585E14</v>
      </c>
      <c r="G6" s="131" t="s">
        <v>2277</v>
      </c>
      <c r="H6" s="132">
        <v>26825.0</v>
      </c>
      <c r="I6" s="34" t="s">
        <v>183</v>
      </c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>
      <c r="A7" s="12" t="s">
        <v>13</v>
      </c>
      <c r="B7" s="227" t="s">
        <v>1992</v>
      </c>
      <c r="C7" s="74" t="str">
        <f t="shared" si="1"/>
        <v>Segunda-Feira</v>
      </c>
      <c r="D7" s="512" t="str">
        <f>IF(C7&lt;&gt;"Quarta-Feira","14:00","09:00")</f>
        <v>14:00</v>
      </c>
      <c r="E7" s="287" t="s">
        <v>2278</v>
      </c>
      <c r="F7" s="74">
        <v>7.05001254891159E14</v>
      </c>
      <c r="G7" s="131" t="s">
        <v>2279</v>
      </c>
      <c r="H7" s="516">
        <v>21557.0</v>
      </c>
      <c r="I7" s="34" t="s">
        <v>183</v>
      </c>
      <c r="J7" s="74"/>
      <c r="K7" s="74"/>
      <c r="M7" s="67"/>
      <c r="N7" s="275">
        <f t="shared" ref="N7:R7" si="2">COUNTIFS(I$4:I$15,N6)</f>
        <v>10</v>
      </c>
      <c r="O7" s="275">
        <f t="shared" si="2"/>
        <v>0</v>
      </c>
      <c r="P7" s="275">
        <f t="shared" si="2"/>
        <v>0</v>
      </c>
      <c r="Q7" s="275">
        <f t="shared" si="2"/>
        <v>0</v>
      </c>
      <c r="R7" s="517">
        <f t="shared" si="2"/>
        <v>0</v>
      </c>
      <c r="S7" s="389"/>
      <c r="T7" s="389"/>
      <c r="U7" s="389"/>
      <c r="V7" s="389"/>
      <c r="W7" s="389"/>
      <c r="X7" s="518"/>
    </row>
    <row r="8">
      <c r="A8" s="12" t="s">
        <v>14</v>
      </c>
      <c r="B8" s="227" t="s">
        <v>1981</v>
      </c>
      <c r="C8" s="74" t="str">
        <f t="shared" si="1"/>
        <v>Segunda-Feira</v>
      </c>
      <c r="D8" s="512" t="str">
        <f>IF(C8&lt;&gt;"Quarta-Feira","14:20","09:20")</f>
        <v>14:20</v>
      </c>
      <c r="E8" s="287" t="s">
        <v>2280</v>
      </c>
      <c r="F8" s="301">
        <v>8.01440487532088E14</v>
      </c>
      <c r="G8" s="304" t="s">
        <v>2281</v>
      </c>
      <c r="H8" s="519">
        <v>23552.0</v>
      </c>
      <c r="I8" s="34" t="s">
        <v>183</v>
      </c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>
      <c r="A9" s="12" t="s">
        <v>15</v>
      </c>
      <c r="B9" s="227" t="s">
        <v>1985</v>
      </c>
      <c r="C9" s="74" t="str">
        <f t="shared" si="1"/>
        <v>Segunda-Feira</v>
      </c>
      <c r="D9" s="512" t="str">
        <f>IF(C9&lt;&gt;"Quarta-Feira","14:40","09:40")</f>
        <v>14:40</v>
      </c>
      <c r="E9" s="287" t="s">
        <v>315</v>
      </c>
      <c r="F9" s="520">
        <v>7.05405422875593E14</v>
      </c>
      <c r="G9" s="514" t="s">
        <v>316</v>
      </c>
      <c r="H9" s="515">
        <v>21221.0</v>
      </c>
      <c r="I9" s="34" t="s">
        <v>183</v>
      </c>
      <c r="J9" s="74"/>
      <c r="K9" s="74"/>
      <c r="L9" s="216" t="s">
        <v>394</v>
      </c>
      <c r="R9" s="67"/>
    </row>
    <row r="10">
      <c r="A10" s="12" t="s">
        <v>16</v>
      </c>
      <c r="B10" s="227" t="s">
        <v>1989</v>
      </c>
      <c r="C10" s="74" t="str">
        <f t="shared" si="1"/>
        <v>Segunda-Feira</v>
      </c>
      <c r="D10" s="512" t="str">
        <f>IF(C10&lt;&gt;"Quarta-Feira","15:00","10:00")</f>
        <v>15:00</v>
      </c>
      <c r="E10" s="287" t="s">
        <v>2282</v>
      </c>
      <c r="F10" s="301">
        <v>7.08002375171721E14</v>
      </c>
      <c r="G10" s="131" t="s">
        <v>2283</v>
      </c>
      <c r="H10" s="132">
        <v>30949.0</v>
      </c>
      <c r="I10" s="34" t="s">
        <v>1823</v>
      </c>
      <c r="J10" s="74"/>
      <c r="K10" s="74"/>
      <c r="L10" s="216" t="s">
        <v>394</v>
      </c>
      <c r="R10" s="67"/>
    </row>
    <row r="11">
      <c r="A11" s="12" t="s">
        <v>17</v>
      </c>
      <c r="B11" s="227" t="s">
        <v>1992</v>
      </c>
      <c r="C11" s="74" t="str">
        <f t="shared" si="1"/>
        <v>Segunda-Feira</v>
      </c>
      <c r="D11" s="512" t="str">
        <f>IF(C11&lt;&gt;"Quarta-Feira","15:20","10:20")</f>
        <v>15:20</v>
      </c>
      <c r="E11" s="287" t="s">
        <v>2284</v>
      </c>
      <c r="F11" s="301">
        <v>7.09203273178236E14</v>
      </c>
      <c r="G11" s="131" t="s">
        <v>2285</v>
      </c>
      <c r="H11" s="521">
        <v>39280.0</v>
      </c>
      <c r="I11" s="34" t="s">
        <v>183</v>
      </c>
      <c r="J11" s="74"/>
      <c r="K11" s="74"/>
      <c r="L11" s="216" t="s">
        <v>394</v>
      </c>
      <c r="R11" s="67"/>
    </row>
    <row r="12">
      <c r="A12" s="12" t="s">
        <v>85</v>
      </c>
      <c r="B12" s="227" t="s">
        <v>1981</v>
      </c>
      <c r="C12" s="74" t="str">
        <f t="shared" si="1"/>
        <v>Segunda-Feira</v>
      </c>
      <c r="D12" s="512" t="str">
        <f>IF(C12&lt;&gt;"Quarta-Feira","15:40","10:40")</f>
        <v>15:40</v>
      </c>
      <c r="E12" s="287" t="s">
        <v>2286</v>
      </c>
      <c r="F12" s="74">
        <v>7.05006635772958E14</v>
      </c>
      <c r="G12" s="167" t="s">
        <v>2287</v>
      </c>
      <c r="H12" s="83">
        <v>17469.0</v>
      </c>
      <c r="I12" s="34" t="s">
        <v>183</v>
      </c>
      <c r="J12" s="74"/>
      <c r="K12" s="74"/>
      <c r="L12" s="216" t="s">
        <v>394</v>
      </c>
      <c r="R12" s="67"/>
    </row>
    <row r="13">
      <c r="A13" s="12" t="s">
        <v>87</v>
      </c>
      <c r="B13" s="227" t="s">
        <v>1985</v>
      </c>
      <c r="C13" s="74" t="str">
        <f t="shared" si="1"/>
        <v>Segunda-Feira</v>
      </c>
      <c r="D13" s="512" t="str">
        <f>IF(C13&lt;&gt;"Quarta-Feira","16:00","11:00")</f>
        <v>16:00</v>
      </c>
      <c r="E13" s="287" t="s">
        <v>2288</v>
      </c>
      <c r="F13" s="74">
        <v>7.06007369747348E14</v>
      </c>
      <c r="G13" s="167" t="s">
        <v>2007</v>
      </c>
      <c r="H13" s="166">
        <v>18150.0</v>
      </c>
      <c r="I13" s="34" t="s">
        <v>183</v>
      </c>
      <c r="J13" s="74"/>
      <c r="K13" s="74"/>
      <c r="L13" s="216" t="s">
        <v>394</v>
      </c>
      <c r="R13" s="67"/>
    </row>
    <row r="14">
      <c r="A14" s="12" t="s">
        <v>90</v>
      </c>
      <c r="B14" s="227" t="s">
        <v>1989</v>
      </c>
      <c r="C14" s="74" t="str">
        <f t="shared" si="1"/>
        <v>Segunda-Feira</v>
      </c>
      <c r="D14" s="512" t="str">
        <f>IF(C14&lt;&gt;"Quarta-Feira","16:20","11:20")</f>
        <v>16:20</v>
      </c>
      <c r="E14" s="287" t="s">
        <v>2289</v>
      </c>
      <c r="F14" s="74">
        <v>7.04800587695846E14</v>
      </c>
      <c r="G14" s="167" t="s">
        <v>2290</v>
      </c>
      <c r="H14" s="166">
        <v>36003.0</v>
      </c>
      <c r="I14" s="34" t="s">
        <v>1823</v>
      </c>
      <c r="J14" s="74"/>
      <c r="K14" s="74"/>
      <c r="L14" s="216" t="s">
        <v>394</v>
      </c>
      <c r="R14" s="67"/>
    </row>
    <row r="15">
      <c r="A15" s="12" t="s">
        <v>93</v>
      </c>
      <c r="B15" s="227" t="s">
        <v>1992</v>
      </c>
      <c r="C15" s="74" t="str">
        <f t="shared" si="1"/>
        <v>Segunda-Feira</v>
      </c>
      <c r="D15" s="512" t="str">
        <f>IF(C15&lt;&gt;"Quarta-Feira","16:40","11:40")</f>
        <v>16:40</v>
      </c>
      <c r="E15" s="287" t="s">
        <v>2291</v>
      </c>
      <c r="F15" s="74">
        <v>7.00306986569337E14</v>
      </c>
      <c r="G15" s="167" t="s">
        <v>2292</v>
      </c>
      <c r="H15" s="166">
        <v>24609.0</v>
      </c>
      <c r="I15" s="34" t="s">
        <v>183</v>
      </c>
      <c r="J15" s="74"/>
      <c r="K15" s="74"/>
      <c r="L15" s="216" t="s">
        <v>394</v>
      </c>
      <c r="R15" s="67"/>
    </row>
    <row r="16">
      <c r="B16" s="182"/>
      <c r="E16" s="261"/>
      <c r="G16" s="182"/>
      <c r="J16" s="67"/>
      <c r="K16" s="67"/>
      <c r="R16" s="67"/>
    </row>
    <row r="17">
      <c r="B17" s="182"/>
      <c r="E17" s="261"/>
      <c r="G17" s="182"/>
      <c r="J17" s="67"/>
      <c r="K17" s="67"/>
      <c r="R17" s="67"/>
    </row>
    <row r="18">
      <c r="B18" s="182"/>
      <c r="E18" s="261"/>
      <c r="G18" s="182"/>
      <c r="J18" s="67"/>
      <c r="K18" s="67"/>
      <c r="R18" s="67"/>
    </row>
    <row r="19">
      <c r="A19" s="23" t="s">
        <v>378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 ht="22.5" customHeight="1">
      <c r="A20" s="24" t="str">
        <f>TEXT(DATE(VALUE(MID(A2,7,4)),VALUE(MID(A2,4,2)),VALUE(LEFT(A2,2)))+2,"dd/mm/yyyy")&amp;" 08h às 13h"</f>
        <v>04/03/2026 08h às 13h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 ht="17.25" customHeight="1">
      <c r="A21" s="25"/>
      <c r="B21" s="489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9" t="s">
        <v>65</v>
      </c>
      <c r="C22" s="74" t="str">
        <f t="shared" ref="C22:C33" si="3">PROPER(TEXT(DATE(MID($A$20,7,4),MID($A$20,4,2),LEFT($A$20,2)),"dddd"))</f>
        <v>Quarta-Feira</v>
      </c>
      <c r="D22" s="512" t="str">
        <f>IF(C22&lt;&gt;"Quarta-Feira","13:00","08:00")</f>
        <v>08:00</v>
      </c>
      <c r="E22" s="287" t="s">
        <v>2293</v>
      </c>
      <c r="F22" s="74">
        <v>8.98001403736504E14</v>
      </c>
      <c r="G22" s="167" t="s">
        <v>2294</v>
      </c>
      <c r="H22" s="169">
        <v>22051.0</v>
      </c>
      <c r="I22" s="74" t="s">
        <v>183</v>
      </c>
      <c r="J22" s="74" t="s">
        <v>2295</v>
      </c>
      <c r="K22" s="74" t="s">
        <v>2296</v>
      </c>
      <c r="N22" s="268" t="s">
        <v>387</v>
      </c>
      <c r="O22" s="100"/>
      <c r="P22" s="100"/>
      <c r="Q22" s="100"/>
      <c r="R22" s="100"/>
    </row>
    <row r="23">
      <c r="A23" s="12" t="s">
        <v>11</v>
      </c>
      <c r="B23" s="229" t="s">
        <v>202</v>
      </c>
      <c r="C23" s="74" t="str">
        <f t="shared" si="3"/>
        <v>Quarta-Feira</v>
      </c>
      <c r="D23" s="512" t="str">
        <f>IF(C23&lt;&gt;"Quarta-Feira","13:20","08:20")</f>
        <v>08:20</v>
      </c>
      <c r="E23" s="287" t="s">
        <v>1376</v>
      </c>
      <c r="F23" s="74">
        <v>7.00505900226352E14</v>
      </c>
      <c r="G23" s="167" t="s">
        <v>1377</v>
      </c>
      <c r="H23" s="166">
        <v>22768.0</v>
      </c>
      <c r="I23" s="74" t="s">
        <v>1823</v>
      </c>
      <c r="J23" s="74" t="s">
        <v>2297</v>
      </c>
      <c r="K23" s="74"/>
      <c r="N23" s="270" t="s">
        <v>1824</v>
      </c>
      <c r="O23" s="2"/>
      <c r="P23" s="2"/>
      <c r="Q23" s="2"/>
      <c r="R23" s="2"/>
    </row>
    <row r="24">
      <c r="A24" s="12" t="s">
        <v>12</v>
      </c>
      <c r="B24" s="229" t="s">
        <v>1448</v>
      </c>
      <c r="C24" s="74" t="str">
        <f t="shared" si="3"/>
        <v>Quarta-Feira</v>
      </c>
      <c r="D24" s="512" t="str">
        <f>IF(C24&lt;&gt;"Quarta-Feira","13:40","08:40")</f>
        <v>08:40</v>
      </c>
      <c r="E24" s="287"/>
      <c r="F24" s="74"/>
      <c r="G24" s="167"/>
      <c r="H24" s="166"/>
      <c r="I24" s="74" t="s">
        <v>181</v>
      </c>
      <c r="J24" s="74"/>
      <c r="K24" s="74"/>
      <c r="N24" s="271" t="s">
        <v>183</v>
      </c>
      <c r="O24" s="272" t="s">
        <v>195</v>
      </c>
      <c r="P24" s="272" t="s">
        <v>181</v>
      </c>
      <c r="Q24" s="273" t="s">
        <v>173</v>
      </c>
      <c r="R24" s="273" t="s">
        <v>1823</v>
      </c>
    </row>
    <row r="25">
      <c r="A25" s="12" t="s">
        <v>13</v>
      </c>
      <c r="B25" s="229" t="s">
        <v>822</v>
      </c>
      <c r="C25" s="74" t="str">
        <f t="shared" si="3"/>
        <v>Quarta-Feira</v>
      </c>
      <c r="D25" s="512" t="str">
        <f>IF(C25&lt;&gt;"Quarta-Feira","14:00","09:00")</f>
        <v>09:00</v>
      </c>
      <c r="E25" s="287" t="s">
        <v>2298</v>
      </c>
      <c r="F25" s="74">
        <v>7.00004686069003E14</v>
      </c>
      <c r="G25" s="167" t="s">
        <v>2299</v>
      </c>
      <c r="H25" s="166">
        <v>22031.0</v>
      </c>
      <c r="I25" s="74" t="s">
        <v>183</v>
      </c>
      <c r="J25" s="74" t="s">
        <v>2300</v>
      </c>
      <c r="K25" s="74"/>
      <c r="L25" s="216" t="s">
        <v>442</v>
      </c>
      <c r="N25" s="275">
        <f>COUNTIFS(I$22:I$33,N24)</f>
        <v>6</v>
      </c>
      <c r="O25" s="275">
        <f t="shared" ref="O25:R25" si="4">COUNTIFS($I$22:$I$33,O24)</f>
        <v>0</v>
      </c>
      <c r="P25" s="275">
        <f t="shared" si="4"/>
        <v>3</v>
      </c>
      <c r="Q25" s="275">
        <f t="shared" si="4"/>
        <v>0</v>
      </c>
      <c r="R25" s="67">
        <f t="shared" si="4"/>
        <v>3</v>
      </c>
    </row>
    <row r="26">
      <c r="A26" s="12" t="s">
        <v>14</v>
      </c>
      <c r="B26" s="229" t="s">
        <v>202</v>
      </c>
      <c r="C26" s="74" t="str">
        <f t="shared" si="3"/>
        <v>Quarta-Feira</v>
      </c>
      <c r="D26" s="512" t="str">
        <f>IF(C26&lt;&gt;"Quarta-Feira","14:20","09:20")</f>
        <v>09:20</v>
      </c>
      <c r="E26" s="287" t="s">
        <v>2301</v>
      </c>
      <c r="F26" s="74">
        <v>7.00003025039501E14</v>
      </c>
      <c r="G26" s="167" t="s">
        <v>2302</v>
      </c>
      <c r="H26" s="166">
        <v>25471.0</v>
      </c>
      <c r="I26" s="74" t="s">
        <v>1823</v>
      </c>
      <c r="J26" s="74" t="s">
        <v>2303</v>
      </c>
      <c r="K26" s="74" t="s">
        <v>2304</v>
      </c>
      <c r="L26" s="216" t="s">
        <v>442</v>
      </c>
      <c r="R26" s="67"/>
    </row>
    <row r="27">
      <c r="A27" s="12" t="s">
        <v>15</v>
      </c>
      <c r="B27" s="229" t="s">
        <v>1448</v>
      </c>
      <c r="C27" s="74" t="str">
        <f t="shared" si="3"/>
        <v>Quarta-Feira</v>
      </c>
      <c r="D27" s="512" t="str">
        <f>IF(C27&lt;&gt;"Quarta-Feira","14:40","09:40")</f>
        <v>09:40</v>
      </c>
      <c r="E27" s="287"/>
      <c r="F27" s="74"/>
      <c r="G27" s="167"/>
      <c r="H27" s="166"/>
      <c r="I27" s="74" t="s">
        <v>181</v>
      </c>
      <c r="J27" s="74"/>
      <c r="K27" s="74"/>
      <c r="L27" s="216" t="s">
        <v>442</v>
      </c>
      <c r="R27" s="67"/>
    </row>
    <row r="28">
      <c r="A28" s="12" t="s">
        <v>16</v>
      </c>
      <c r="B28" s="229" t="s">
        <v>65</v>
      </c>
      <c r="C28" s="74" t="str">
        <f t="shared" si="3"/>
        <v>Quarta-Feira</v>
      </c>
      <c r="D28" s="512" t="str">
        <f>IF(C28&lt;&gt;"Quarta-Feira","15:00","10:00")</f>
        <v>10:00</v>
      </c>
      <c r="E28" s="287" t="s">
        <v>2305</v>
      </c>
      <c r="F28" s="74">
        <v>7.00106904414115E14</v>
      </c>
      <c r="G28" s="167" t="s">
        <v>2306</v>
      </c>
      <c r="H28" s="166">
        <v>19766.0</v>
      </c>
      <c r="I28" s="74" t="s">
        <v>183</v>
      </c>
      <c r="J28" s="74"/>
      <c r="K28" s="74"/>
      <c r="L28" s="216" t="s">
        <v>442</v>
      </c>
      <c r="R28" s="67"/>
    </row>
    <row r="29">
      <c r="A29" s="12" t="s">
        <v>17</v>
      </c>
      <c r="B29" s="229" t="s">
        <v>202</v>
      </c>
      <c r="C29" s="74" t="str">
        <f t="shared" si="3"/>
        <v>Quarta-Feira</v>
      </c>
      <c r="D29" s="512" t="str">
        <f>IF(C29&lt;&gt;"Quarta-Feira","15:20","10:20")</f>
        <v>10:20</v>
      </c>
      <c r="E29" s="287" t="s">
        <v>2307</v>
      </c>
      <c r="F29" s="74">
        <v>7.02802699504568E14</v>
      </c>
      <c r="G29" s="167" t="s">
        <v>2308</v>
      </c>
      <c r="H29" s="166">
        <v>28672.0</v>
      </c>
      <c r="I29" s="74" t="s">
        <v>1823</v>
      </c>
      <c r="J29" s="74" t="s">
        <v>2309</v>
      </c>
      <c r="K29" s="74" t="s">
        <v>2310</v>
      </c>
      <c r="L29" s="216" t="s">
        <v>442</v>
      </c>
      <c r="R29" s="67"/>
    </row>
    <row r="30">
      <c r="A30" s="12" t="s">
        <v>85</v>
      </c>
      <c r="B30" s="229" t="s">
        <v>822</v>
      </c>
      <c r="C30" s="74" t="str">
        <f t="shared" si="3"/>
        <v>Quarta-Feira</v>
      </c>
      <c r="D30" s="512" t="str">
        <f>IF(C30&lt;&gt;"Quarta-Feira","15:40","10:40")</f>
        <v>10:40</v>
      </c>
      <c r="E30" s="287" t="s">
        <v>2311</v>
      </c>
      <c r="F30" s="74">
        <v>7.0000090612741E14</v>
      </c>
      <c r="G30" s="167" t="s">
        <v>2312</v>
      </c>
      <c r="H30" s="166">
        <v>33526.0</v>
      </c>
      <c r="I30" s="74" t="s">
        <v>183</v>
      </c>
      <c r="J30" s="74" t="s">
        <v>2313</v>
      </c>
      <c r="K30" s="74"/>
      <c r="R30" s="67"/>
    </row>
    <row r="31">
      <c r="A31" s="12" t="s">
        <v>87</v>
      </c>
      <c r="B31" s="229" t="s">
        <v>1448</v>
      </c>
      <c r="C31" s="74" t="str">
        <f t="shared" si="3"/>
        <v>Quarta-Feira</v>
      </c>
      <c r="D31" s="512" t="str">
        <f>IF(C31&lt;&gt;"Quarta-Feira","16:00","11:00")</f>
        <v>11:00</v>
      </c>
      <c r="E31" s="287"/>
      <c r="F31" s="74"/>
      <c r="G31" s="167"/>
      <c r="H31" s="166"/>
      <c r="I31" s="74" t="s">
        <v>181</v>
      </c>
      <c r="J31" s="74"/>
      <c r="K31" s="74"/>
      <c r="L31" s="216" t="s">
        <v>455</v>
      </c>
      <c r="R31" s="67"/>
    </row>
    <row r="32">
      <c r="A32" s="12" t="s">
        <v>90</v>
      </c>
      <c r="B32" s="229" t="s">
        <v>822</v>
      </c>
      <c r="C32" s="74" t="str">
        <f t="shared" si="3"/>
        <v>Quarta-Feira</v>
      </c>
      <c r="D32" s="512" t="str">
        <f>IF(C32&lt;&gt;"Quarta-Feira","16:20","11:20")</f>
        <v>11:20</v>
      </c>
      <c r="E32" s="287" t="s">
        <v>2314</v>
      </c>
      <c r="F32" s="74">
        <v>7.06207580835365E14</v>
      </c>
      <c r="G32" s="167" t="s">
        <v>2315</v>
      </c>
      <c r="H32" s="166">
        <v>25889.0</v>
      </c>
      <c r="I32" s="74" t="s">
        <v>183</v>
      </c>
      <c r="J32" s="74">
        <v>1.1947101949E10</v>
      </c>
      <c r="K32" s="74"/>
      <c r="R32" s="67"/>
    </row>
    <row r="33">
      <c r="A33" s="12" t="s">
        <v>93</v>
      </c>
      <c r="B33" s="229" t="s">
        <v>65</v>
      </c>
      <c r="C33" s="74" t="str">
        <f t="shared" si="3"/>
        <v>Quarta-Feira</v>
      </c>
      <c r="D33" s="512" t="str">
        <f>IF(C33&lt;&gt;"Quarta-Feira","16:40","11:40")</f>
        <v>11:40</v>
      </c>
      <c r="E33" s="287" t="s">
        <v>2316</v>
      </c>
      <c r="F33" s="74">
        <v>7.00009079226607E14</v>
      </c>
      <c r="G33" s="167" t="s">
        <v>2317</v>
      </c>
      <c r="H33" s="166">
        <v>24489.0</v>
      </c>
      <c r="I33" s="74" t="s">
        <v>183</v>
      </c>
      <c r="J33" s="74" t="s">
        <v>2318</v>
      </c>
      <c r="K33" s="74"/>
      <c r="R33" s="67"/>
    </row>
    <row r="34">
      <c r="B34" s="182"/>
      <c r="E34" s="261"/>
      <c r="G34" s="182"/>
      <c r="J34" s="67"/>
      <c r="K34" s="67"/>
      <c r="R34" s="67"/>
    </row>
    <row r="35">
      <c r="B35" s="182"/>
      <c r="E35" s="261"/>
      <c r="G35" s="182"/>
      <c r="J35" s="67"/>
      <c r="K35" s="67"/>
      <c r="R35" s="67"/>
    </row>
    <row r="36">
      <c r="B36" s="182"/>
      <c r="E36" s="261"/>
      <c r="G36" s="182"/>
      <c r="J36" s="67"/>
      <c r="K36" s="67"/>
      <c r="R36" s="67"/>
    </row>
    <row r="37">
      <c r="A37" s="23" t="s">
        <v>378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4" t="str">
        <f>TEXT(DATE(VALUE(MID(A20,7,4)),VALUE(MID(A20,4,2)),VALUE(LEFT(A20,2)))+2,"dd/mm/yyyy")&amp;" 13h às 17h"</f>
        <v>06/03/2026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489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9" t="s">
        <v>758</v>
      </c>
      <c r="C40" s="74" t="str">
        <f t="shared" ref="C40:C51" si="5">PROPER(TEXT(DATE(MID($A$38,7,4),MID($A$38,4,2),LEFT($A$38,2)),"dddd"))</f>
        <v>Sexta-Feira</v>
      </c>
      <c r="D40" s="512" t="str">
        <f>IF(C40&lt;&gt;"Quarta-Feira","13:00","08:00")</f>
        <v>13:00</v>
      </c>
      <c r="E40" s="287"/>
      <c r="F40" s="74"/>
      <c r="G40" s="167" t="s">
        <v>2319</v>
      </c>
      <c r="H40" s="211"/>
      <c r="I40" s="34" t="s">
        <v>183</v>
      </c>
      <c r="J40" s="74"/>
      <c r="K40" s="74"/>
      <c r="N40" s="268" t="s">
        <v>387</v>
      </c>
      <c r="O40" s="100"/>
      <c r="P40" s="100"/>
      <c r="Q40" s="100"/>
      <c r="R40" s="100"/>
    </row>
    <row r="41">
      <c r="A41" s="12" t="s">
        <v>15</v>
      </c>
      <c r="B41" s="229" t="s">
        <v>1468</v>
      </c>
      <c r="C41" s="74" t="str">
        <f t="shared" si="5"/>
        <v>Sexta-Feira</v>
      </c>
      <c r="D41" s="512" t="str">
        <f>IF(C41&lt;&gt;"Quarta-Feira","13:20","08:20")</f>
        <v>13:20</v>
      </c>
      <c r="E41" s="287" t="s">
        <v>2320</v>
      </c>
      <c r="F41" s="74">
        <v>7.07804663004711E14</v>
      </c>
      <c r="G41" s="167" t="s">
        <v>2321</v>
      </c>
      <c r="H41" s="211">
        <v>22221.0</v>
      </c>
      <c r="I41" s="34" t="s">
        <v>183</v>
      </c>
      <c r="J41" s="74"/>
      <c r="K41" s="74"/>
      <c r="R41" s="67"/>
    </row>
    <row r="42">
      <c r="A42" s="12" t="s">
        <v>12</v>
      </c>
      <c r="B42" s="229" t="s">
        <v>217</v>
      </c>
      <c r="C42" s="74" t="str">
        <f t="shared" si="5"/>
        <v>Sexta-Feira</v>
      </c>
      <c r="D42" s="512" t="str">
        <f>IF(C42&lt;&gt;"Quarta-Feira","13:40","08:40")</f>
        <v>13:40</v>
      </c>
      <c r="E42" s="287" t="s">
        <v>2322</v>
      </c>
      <c r="F42" s="74">
        <v>7.09808085583195E14</v>
      </c>
      <c r="G42" s="167" t="s">
        <v>2323</v>
      </c>
      <c r="H42" s="211">
        <v>17001.0</v>
      </c>
      <c r="I42" s="34" t="s">
        <v>183</v>
      </c>
      <c r="J42" s="74"/>
      <c r="K42" s="74"/>
      <c r="N42" s="271" t="s">
        <v>183</v>
      </c>
      <c r="O42" s="272" t="s">
        <v>195</v>
      </c>
      <c r="P42" s="272" t="s">
        <v>181</v>
      </c>
      <c r="Q42" s="273" t="s">
        <v>173</v>
      </c>
      <c r="R42" s="286" t="s">
        <v>1823</v>
      </c>
    </row>
    <row r="43">
      <c r="A43" s="12" t="s">
        <v>13</v>
      </c>
      <c r="B43" s="229" t="s">
        <v>198</v>
      </c>
      <c r="C43" s="74" t="str">
        <f t="shared" si="5"/>
        <v>Sexta-Feira</v>
      </c>
      <c r="D43" s="512" t="str">
        <f>IF(C43&lt;&gt;"Quarta-Feira","14:00","09:00")</f>
        <v>14:00</v>
      </c>
      <c r="E43" s="287" t="s">
        <v>2324</v>
      </c>
      <c r="F43" s="74">
        <v>7.04805550688948E14</v>
      </c>
      <c r="G43" s="167" t="s">
        <v>46</v>
      </c>
      <c r="H43" s="211">
        <v>19518.0</v>
      </c>
      <c r="I43" s="34" t="s">
        <v>1823</v>
      </c>
      <c r="J43" s="74"/>
      <c r="K43" s="74"/>
      <c r="N43" s="275">
        <f t="shared" ref="N43:Q43" si="6">COUNTIFS($I$40:$I$51,N42)</f>
        <v>7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5</v>
      </c>
    </row>
    <row r="44">
      <c r="A44" s="12" t="s">
        <v>14</v>
      </c>
      <c r="B44" s="229" t="s">
        <v>758</v>
      </c>
      <c r="C44" s="74" t="str">
        <f t="shared" si="5"/>
        <v>Sexta-Feira</v>
      </c>
      <c r="D44" s="512" t="str">
        <f>IF(C44&lt;&gt;"Quarta-Feira","14:20","09:20")</f>
        <v>14:20</v>
      </c>
      <c r="E44" s="287" t="s">
        <v>2325</v>
      </c>
      <c r="F44" s="74">
        <v>7.05003470749456E14</v>
      </c>
      <c r="G44" s="167" t="s">
        <v>2326</v>
      </c>
      <c r="H44" s="211">
        <v>19922.0</v>
      </c>
      <c r="I44" s="34" t="s">
        <v>1823</v>
      </c>
      <c r="J44" s="74"/>
      <c r="K44" s="74"/>
      <c r="R44" s="67"/>
    </row>
    <row r="45">
      <c r="A45" s="12" t="s">
        <v>11</v>
      </c>
      <c r="B45" s="229" t="s">
        <v>1468</v>
      </c>
      <c r="C45" s="74" t="str">
        <f t="shared" si="5"/>
        <v>Sexta-Feira</v>
      </c>
      <c r="D45" s="512" t="str">
        <f>IF(C45&lt;&gt;"Quarta-Feira","14:40","09:40")</f>
        <v>14:40</v>
      </c>
      <c r="E45" s="287" t="s">
        <v>2327</v>
      </c>
      <c r="F45" s="74">
        <v>7.02102794964798E14</v>
      </c>
      <c r="G45" s="167" t="s">
        <v>2328</v>
      </c>
      <c r="H45" s="169">
        <v>21431.0</v>
      </c>
      <c r="I45" s="34" t="s">
        <v>183</v>
      </c>
      <c r="J45" s="74"/>
      <c r="K45" s="74"/>
      <c r="N45" s="270" t="s">
        <v>1824</v>
      </c>
      <c r="O45" s="2"/>
      <c r="P45" s="2"/>
      <c r="Q45" s="2"/>
      <c r="R45" s="2"/>
    </row>
    <row r="46">
      <c r="A46" s="12" t="s">
        <v>16</v>
      </c>
      <c r="B46" s="229" t="s">
        <v>217</v>
      </c>
      <c r="C46" s="74" t="str">
        <f t="shared" si="5"/>
        <v>Sexta-Feira</v>
      </c>
      <c r="D46" s="512" t="str">
        <f>IF(C46&lt;&gt;"Quarta-Feira","15:00","10:00")</f>
        <v>15:00</v>
      </c>
      <c r="E46" s="287" t="s">
        <v>2329</v>
      </c>
      <c r="F46" s="74">
        <v>7.0010882165439E14</v>
      </c>
      <c r="G46" s="167" t="s">
        <v>1975</v>
      </c>
      <c r="H46" s="211">
        <v>29105.0</v>
      </c>
      <c r="I46" s="34" t="s">
        <v>1823</v>
      </c>
      <c r="J46" s="74"/>
      <c r="K46" s="74"/>
      <c r="R46" s="67"/>
    </row>
    <row r="47">
      <c r="A47" s="12" t="s">
        <v>17</v>
      </c>
      <c r="B47" s="229" t="s">
        <v>198</v>
      </c>
      <c r="C47" s="74" t="str">
        <f t="shared" si="5"/>
        <v>Sexta-Feira</v>
      </c>
      <c r="D47" s="512" t="str">
        <f>IF(C47&lt;&gt;"Quarta-Feira","15:20","10:20")</f>
        <v>15:20</v>
      </c>
      <c r="E47" s="287" t="s">
        <v>669</v>
      </c>
      <c r="F47" s="74">
        <v>7.08603546317283E14</v>
      </c>
      <c r="G47" s="167" t="s">
        <v>670</v>
      </c>
      <c r="H47" s="211">
        <v>23678.0</v>
      </c>
      <c r="I47" s="34" t="s">
        <v>1823</v>
      </c>
      <c r="J47" s="74"/>
      <c r="K47" s="74"/>
      <c r="R47" s="67"/>
    </row>
    <row r="48">
      <c r="A48" s="12" t="s">
        <v>85</v>
      </c>
      <c r="B48" s="229" t="s">
        <v>1468</v>
      </c>
      <c r="C48" s="74" t="str">
        <f t="shared" si="5"/>
        <v>Sexta-Feira</v>
      </c>
      <c r="D48" s="512" t="str">
        <f>IF(C48&lt;&gt;"Quarta-Feira","15:40","10:40")</f>
        <v>15:40</v>
      </c>
      <c r="E48" s="287" t="s">
        <v>2330</v>
      </c>
      <c r="F48" s="74">
        <v>7.0610185988333E14</v>
      </c>
      <c r="G48" s="167" t="s">
        <v>2331</v>
      </c>
      <c r="H48" s="211">
        <v>24195.0</v>
      </c>
      <c r="I48" s="34" t="s">
        <v>183</v>
      </c>
      <c r="J48" s="74"/>
      <c r="K48" s="74"/>
      <c r="R48" s="67"/>
    </row>
    <row r="49">
      <c r="A49" s="12" t="s">
        <v>87</v>
      </c>
      <c r="B49" s="229" t="s">
        <v>758</v>
      </c>
      <c r="C49" s="74" t="str">
        <f t="shared" si="5"/>
        <v>Sexta-Feira</v>
      </c>
      <c r="D49" s="512" t="str">
        <f>IF(C49&lt;&gt;"Quarta-Feira","16:00","11:00")</f>
        <v>16:00</v>
      </c>
      <c r="E49" s="287" t="s">
        <v>2332</v>
      </c>
      <c r="F49" s="459">
        <v>7.02008398718782E14</v>
      </c>
      <c r="G49" s="167" t="s">
        <v>2333</v>
      </c>
      <c r="H49" s="211">
        <v>21431.0</v>
      </c>
      <c r="I49" s="34" t="s">
        <v>183</v>
      </c>
      <c r="J49" s="74"/>
      <c r="K49" s="74"/>
      <c r="R49" s="67"/>
    </row>
    <row r="50">
      <c r="A50" s="12" t="s">
        <v>90</v>
      </c>
      <c r="B50" s="229" t="s">
        <v>758</v>
      </c>
      <c r="C50" s="74" t="str">
        <f t="shared" si="5"/>
        <v>Sexta-Feira</v>
      </c>
      <c r="D50" s="512" t="str">
        <f>IF(C50&lt;&gt;"Quarta-Feira","16:20","11:20")</f>
        <v>16:20</v>
      </c>
      <c r="E50" s="287" t="s">
        <v>2334</v>
      </c>
      <c r="F50" s="74">
        <v>7.08404746698267E14</v>
      </c>
      <c r="G50" s="167" t="s">
        <v>2335</v>
      </c>
      <c r="H50" s="522">
        <v>21431.0</v>
      </c>
      <c r="I50" s="34" t="s">
        <v>183</v>
      </c>
      <c r="J50" s="74"/>
      <c r="K50" s="74"/>
      <c r="R50" s="67"/>
    </row>
    <row r="51">
      <c r="A51" s="12" t="s">
        <v>93</v>
      </c>
      <c r="B51" s="229" t="s">
        <v>758</v>
      </c>
      <c r="C51" s="74" t="str">
        <f t="shared" si="5"/>
        <v>Sexta-Feira</v>
      </c>
      <c r="D51" s="512" t="str">
        <f>IF(C51&lt;&gt;"Quarta-Feira","16:40","11:40")</f>
        <v>16:40</v>
      </c>
      <c r="E51" s="287" t="s">
        <v>2336</v>
      </c>
      <c r="F51" s="74">
        <v>7.0650034117399E14</v>
      </c>
      <c r="G51" s="167" t="s">
        <v>2337</v>
      </c>
      <c r="H51" s="211">
        <v>24492.0</v>
      </c>
      <c r="I51" s="34" t="s">
        <v>1823</v>
      </c>
      <c r="J51" s="74"/>
      <c r="K51" s="74"/>
      <c r="R51" s="67"/>
    </row>
    <row r="52">
      <c r="B52" s="182"/>
      <c r="E52" s="523"/>
      <c r="G52" s="182"/>
      <c r="J52" s="67"/>
      <c r="K52" s="67"/>
      <c r="R52" s="67"/>
    </row>
    <row r="53">
      <c r="B53" s="182"/>
      <c r="E53" s="261"/>
      <c r="G53" s="182"/>
      <c r="J53" s="67"/>
      <c r="K53" s="67"/>
      <c r="R53" s="67"/>
    </row>
    <row r="54">
      <c r="B54" s="182"/>
      <c r="E54" s="261"/>
      <c r="G54" s="182"/>
      <c r="J54" s="67"/>
      <c r="K54" s="67"/>
      <c r="R54" s="67"/>
    </row>
    <row r="55">
      <c r="A55" s="23" t="s">
        <v>378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TEXT(DATE(VALUE(MID(A2,7,4)),VALUE(MID(A2,4,2)),VALUE(LEFT(A2,2)))+7,"dd/mm/yyyy")&amp;" 13h às 17h"</f>
        <v>09/03/2026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489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8.75" customHeight="1">
      <c r="A58" s="12" t="s">
        <v>10</v>
      </c>
      <c r="B58" s="229" t="s">
        <v>1358</v>
      </c>
      <c r="C58" s="74" t="str">
        <f>PROPER(TEXT(DATE(MID($A$56,7,4),MID($A$56,4,2),LEFT($A$56,2)),"dddd"))</f>
        <v>Segunda-Feira</v>
      </c>
      <c r="D58" s="512" t="str">
        <f>IF(C58&lt;&gt;"Quarta-Feira","13:00","08:00")</f>
        <v>13:00</v>
      </c>
      <c r="E58" s="287" t="s">
        <v>2338</v>
      </c>
      <c r="F58" s="74">
        <v>7.08002303968925E14</v>
      </c>
      <c r="G58" s="167" t="s">
        <v>2339</v>
      </c>
      <c r="H58" s="524">
        <v>18993.0</v>
      </c>
      <c r="I58" s="34" t="s">
        <v>183</v>
      </c>
      <c r="J58" s="74"/>
      <c r="K58" s="74"/>
      <c r="N58" s="268" t="s">
        <v>387</v>
      </c>
      <c r="O58" s="100"/>
      <c r="P58" s="100"/>
      <c r="Q58" s="100"/>
      <c r="R58" s="100"/>
    </row>
    <row r="59">
      <c r="A59" s="12" t="s">
        <v>11</v>
      </c>
      <c r="B59" s="229" t="s">
        <v>1359</v>
      </c>
      <c r="C59" s="74" t="s">
        <v>1295</v>
      </c>
      <c r="D59" s="512" t="str">
        <f>IF(C59&lt;&gt;"Quarta-Feira","13:20","08:20")</f>
        <v>13:20</v>
      </c>
      <c r="E59" s="287" t="s">
        <v>2340</v>
      </c>
      <c r="F59" s="74">
        <v>7.08405283451468E14</v>
      </c>
      <c r="G59" s="167" t="s">
        <v>2341</v>
      </c>
      <c r="H59" s="211">
        <v>26053.0</v>
      </c>
      <c r="I59" s="34" t="s">
        <v>183</v>
      </c>
      <c r="J59" s="74"/>
      <c r="K59" s="74"/>
      <c r="N59" s="270" t="s">
        <v>1824</v>
      </c>
      <c r="O59" s="2"/>
      <c r="P59" s="2"/>
      <c r="Q59" s="2"/>
      <c r="R59" s="2"/>
    </row>
    <row r="60">
      <c r="A60" s="12" t="s">
        <v>12</v>
      </c>
      <c r="B60" s="229" t="s">
        <v>1361</v>
      </c>
      <c r="C60" s="74" t="s">
        <v>1295</v>
      </c>
      <c r="D60" s="512" t="str">
        <f>IF(C60&lt;&gt;"Quarta-Feira","13:40","08:40")</f>
        <v>13:40</v>
      </c>
      <c r="E60" s="287" t="s">
        <v>2342</v>
      </c>
      <c r="F60" s="74">
        <v>7.08107532340731E14</v>
      </c>
      <c r="G60" s="167" t="s">
        <v>2343</v>
      </c>
      <c r="H60" s="211">
        <v>22446.0</v>
      </c>
      <c r="I60" s="34" t="s">
        <v>183</v>
      </c>
      <c r="J60" s="74"/>
      <c r="K60" s="74"/>
      <c r="N60" s="271" t="s">
        <v>183</v>
      </c>
      <c r="O60" s="272" t="s">
        <v>195</v>
      </c>
      <c r="P60" s="272" t="s">
        <v>181</v>
      </c>
      <c r="Q60" s="273" t="s">
        <v>173</v>
      </c>
      <c r="R60" s="286" t="s">
        <v>1823</v>
      </c>
    </row>
    <row r="61">
      <c r="A61" s="12" t="s">
        <v>13</v>
      </c>
      <c r="B61" s="229" t="s">
        <v>1363</v>
      </c>
      <c r="C61" s="74" t="s">
        <v>1295</v>
      </c>
      <c r="D61" s="512" t="str">
        <f>IF(C61&lt;&gt;"Quarta-Feira","14:00","09:00")</f>
        <v>14:00</v>
      </c>
      <c r="E61" s="287" t="s">
        <v>2344</v>
      </c>
      <c r="F61" s="74">
        <v>7.08607088052185E14</v>
      </c>
      <c r="G61" s="167" t="s">
        <v>2345</v>
      </c>
      <c r="H61" s="211">
        <v>27320.0</v>
      </c>
      <c r="I61" s="34" t="s">
        <v>183</v>
      </c>
      <c r="J61" s="74"/>
      <c r="K61" s="74"/>
      <c r="N61" s="275">
        <f t="shared" ref="N61:R61" si="7">COUNTIFS($I$58:$I$69,N60)</f>
        <v>9</v>
      </c>
      <c r="O61" s="275">
        <f t="shared" si="7"/>
        <v>0</v>
      </c>
      <c r="P61" s="275">
        <f t="shared" si="7"/>
        <v>0</v>
      </c>
      <c r="Q61" s="275">
        <f t="shared" si="7"/>
        <v>0</v>
      </c>
      <c r="R61" s="275">
        <f t="shared" si="7"/>
        <v>2</v>
      </c>
    </row>
    <row r="62">
      <c r="A62" s="12" t="s">
        <v>14</v>
      </c>
      <c r="B62" s="229" t="s">
        <v>1358</v>
      </c>
      <c r="C62" s="74" t="s">
        <v>1295</v>
      </c>
      <c r="D62" s="512" t="str">
        <f>IF(C62&lt;&gt;"Quarta-Feira","14:20","09:20")</f>
        <v>14:20</v>
      </c>
      <c r="E62" s="287" t="s">
        <v>2346</v>
      </c>
      <c r="F62" s="74">
        <v>7.08509303559679E14</v>
      </c>
      <c r="G62" s="167" t="s">
        <v>2347</v>
      </c>
      <c r="H62" s="211">
        <v>31108.0</v>
      </c>
      <c r="I62" s="34" t="s">
        <v>1823</v>
      </c>
      <c r="J62" s="74"/>
      <c r="K62" s="74"/>
      <c r="R62" s="67"/>
    </row>
    <row r="63">
      <c r="A63" s="12" t="s">
        <v>15</v>
      </c>
      <c r="B63" s="229" t="s">
        <v>1363</v>
      </c>
      <c r="C63" s="74" t="s">
        <v>1295</v>
      </c>
      <c r="D63" s="512" t="str">
        <f>IF(C63&lt;&gt;"Quarta-Feira","14:40","09:40")</f>
        <v>14:40</v>
      </c>
      <c r="E63" s="287"/>
      <c r="F63" s="74"/>
      <c r="G63" s="167"/>
      <c r="H63" s="211"/>
      <c r="I63" s="34" t="s">
        <v>2348</v>
      </c>
      <c r="J63" s="74"/>
      <c r="K63" s="74"/>
      <c r="R63" s="67"/>
    </row>
    <row r="64">
      <c r="A64" s="12" t="s">
        <v>16</v>
      </c>
      <c r="B64" s="229" t="s">
        <v>1359</v>
      </c>
      <c r="C64" s="74" t="s">
        <v>1295</v>
      </c>
      <c r="D64" s="512" t="str">
        <f>IF(C64&lt;&gt;"Quarta-Feira","15:00","10:00")</f>
        <v>15:00</v>
      </c>
      <c r="E64" s="287" t="s">
        <v>2349</v>
      </c>
      <c r="F64" s="74">
        <v>8.98004829306876E14</v>
      </c>
      <c r="G64" s="167" t="s">
        <v>2350</v>
      </c>
      <c r="H64" s="211">
        <v>21459.0</v>
      </c>
      <c r="I64" s="34" t="s">
        <v>183</v>
      </c>
      <c r="J64" s="74">
        <v>1.1985403651E10</v>
      </c>
      <c r="K64" s="74"/>
      <c r="R64" s="67"/>
    </row>
    <row r="65">
      <c r="A65" s="12" t="s">
        <v>17</v>
      </c>
      <c r="B65" s="229" t="s">
        <v>1361</v>
      </c>
      <c r="C65" s="74" t="s">
        <v>1295</v>
      </c>
      <c r="D65" s="512" t="str">
        <f>IF(C65&lt;&gt;"Quarta-Feira","15:20","10:20")</f>
        <v>15:20</v>
      </c>
      <c r="E65" s="287" t="s">
        <v>2351</v>
      </c>
      <c r="F65" s="74">
        <v>7.04701752624131E14</v>
      </c>
      <c r="G65" s="167" t="s">
        <v>2352</v>
      </c>
      <c r="H65" s="211">
        <v>17968.0</v>
      </c>
      <c r="I65" s="34" t="s">
        <v>183</v>
      </c>
      <c r="J65" s="74" t="s">
        <v>2353</v>
      </c>
      <c r="K65" s="74"/>
      <c r="L65" s="67"/>
      <c r="M65" s="67"/>
      <c r="N65" s="67"/>
      <c r="O65" s="286"/>
      <c r="P65" s="67"/>
      <c r="Q65" s="67"/>
      <c r="R65" s="67"/>
      <c r="S65" s="67"/>
      <c r="T65" s="67"/>
      <c r="U65" s="67"/>
      <c r="V65" s="67"/>
      <c r="W65" s="67"/>
      <c r="X65" s="67"/>
    </row>
    <row r="66">
      <c r="A66" s="12" t="s">
        <v>85</v>
      </c>
      <c r="B66" s="229" t="s">
        <v>1358</v>
      </c>
      <c r="C66" s="74" t="s">
        <v>1295</v>
      </c>
      <c r="D66" s="512" t="str">
        <f>IF(C66&lt;&gt;"Quarta-Feira","15:40","10:40")</f>
        <v>15:40</v>
      </c>
      <c r="E66" s="287" t="s">
        <v>2354</v>
      </c>
      <c r="F66" s="74">
        <v>7.05002419420255E14</v>
      </c>
      <c r="G66" s="167" t="s">
        <v>2355</v>
      </c>
      <c r="H66" s="211">
        <v>25212.0</v>
      </c>
      <c r="I66" s="34" t="s">
        <v>183</v>
      </c>
      <c r="J66" s="74"/>
      <c r="K66" s="74"/>
      <c r="R66" s="67"/>
    </row>
    <row r="67">
      <c r="A67" s="12" t="s">
        <v>87</v>
      </c>
      <c r="B67" s="229" t="s">
        <v>1359</v>
      </c>
      <c r="C67" s="74" t="s">
        <v>1295</v>
      </c>
      <c r="D67" s="512" t="str">
        <f>IF(C67&lt;&gt;"Quarta-Feira","16:00","11:00")</f>
        <v>16:00</v>
      </c>
      <c r="E67" s="287" t="s">
        <v>2356</v>
      </c>
      <c r="F67" s="74">
        <v>7.03401242470714E14</v>
      </c>
      <c r="G67" s="167" t="s">
        <v>2357</v>
      </c>
      <c r="H67" s="211">
        <v>29055.0</v>
      </c>
      <c r="I67" s="34" t="s">
        <v>1823</v>
      </c>
      <c r="J67" s="74"/>
      <c r="K67" s="74"/>
      <c r="R67" s="67"/>
    </row>
    <row r="68">
      <c r="A68" s="12" t="s">
        <v>90</v>
      </c>
      <c r="B68" s="229" t="s">
        <v>1361</v>
      </c>
      <c r="C68" s="74" t="s">
        <v>1295</v>
      </c>
      <c r="D68" s="512" t="str">
        <f>IF(C68&lt;&gt;"Quarta-Feira","16:20","11:20")</f>
        <v>16:20</v>
      </c>
      <c r="E68" s="287" t="s">
        <v>2358</v>
      </c>
      <c r="F68" s="74">
        <v>7.02807661127567E14</v>
      </c>
      <c r="G68" s="167" t="s">
        <v>2359</v>
      </c>
      <c r="H68" s="211">
        <v>24946.0</v>
      </c>
      <c r="I68" s="34" t="s">
        <v>183</v>
      </c>
      <c r="J68" s="74"/>
      <c r="K68" s="74"/>
      <c r="R68" s="67"/>
    </row>
    <row r="69">
      <c r="A69" s="12" t="s">
        <v>93</v>
      </c>
      <c r="B69" s="229" t="s">
        <v>1363</v>
      </c>
      <c r="C69" s="74" t="s">
        <v>1295</v>
      </c>
      <c r="D69" s="512" t="str">
        <f>IF(C69&lt;&gt;"Quarta-Feira","16:40","11:40")</f>
        <v>16:40</v>
      </c>
      <c r="E69" s="287" t="s">
        <v>2360</v>
      </c>
      <c r="F69" s="74">
        <v>8.0144040679566E14</v>
      </c>
      <c r="G69" s="167" t="s">
        <v>2361</v>
      </c>
      <c r="H69" s="211">
        <v>23659.0</v>
      </c>
      <c r="I69" s="34" t="s">
        <v>183</v>
      </c>
      <c r="J69" s="74" t="s">
        <v>2362</v>
      </c>
      <c r="K69" s="74"/>
      <c r="R69" s="67"/>
    </row>
    <row r="70">
      <c r="B70" s="182"/>
      <c r="E70" s="261"/>
      <c r="G70" s="182"/>
      <c r="J70" s="67"/>
      <c r="K70" s="67"/>
      <c r="R70" s="67"/>
    </row>
    <row r="71">
      <c r="B71" s="182"/>
      <c r="E71" s="261"/>
      <c r="G71" s="182"/>
      <c r="J71" s="67"/>
      <c r="K71" s="67"/>
      <c r="R71" s="67"/>
    </row>
    <row r="72" ht="15.0" customHeight="1">
      <c r="B72" s="182"/>
      <c r="E72" s="261"/>
      <c r="G72" s="182"/>
      <c r="J72" s="67"/>
      <c r="K72" s="67"/>
      <c r="R72" s="67"/>
    </row>
    <row r="73">
      <c r="A73" s="23" t="s">
        <v>378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TEXT(DATE(VALUE(MID(A56,7,4)),VALUE(MID(A56,4,2)),VALUE(LEFT(A56,2)))+2,"dd/mm/yyyy")&amp;" 08h às 13h"</f>
        <v>11/03/2026 08h às 13h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25"/>
      <c r="B75" s="489" t="s">
        <v>3</v>
      </c>
      <c r="C75" s="27" t="s">
        <v>2</v>
      </c>
      <c r="D75" s="28" t="s">
        <v>5</v>
      </c>
      <c r="E75" s="29" t="s">
        <v>19</v>
      </c>
      <c r="F75" s="28" t="s">
        <v>6</v>
      </c>
      <c r="G75" s="264" t="s">
        <v>7</v>
      </c>
      <c r="H75" s="30" t="s">
        <v>8</v>
      </c>
      <c r="I75" s="31" t="s">
        <v>20</v>
      </c>
      <c r="J75" s="32" t="s">
        <v>21</v>
      </c>
      <c r="K75" s="32" t="s">
        <v>22</v>
      </c>
      <c r="R75" s="67"/>
    </row>
    <row r="76">
      <c r="A76" s="12" t="s">
        <v>10</v>
      </c>
      <c r="B76" s="229" t="s">
        <v>65</v>
      </c>
      <c r="C76" s="74" t="str">
        <f t="shared" ref="C76:C87" si="8">PROPER(TEXT(DATE(MID($A$74,7,4),MID($A$74,4,2),LEFT($A$74,2)),"dddd"))</f>
        <v>Quarta-Feira</v>
      </c>
      <c r="D76" s="512" t="str">
        <f>IF(C76&lt;&gt;"Quarta-Feira","13:00","08:00")</f>
        <v>08:00</v>
      </c>
      <c r="E76" s="287" t="s">
        <v>2363</v>
      </c>
      <c r="F76" s="74">
        <v>8.01440421397581E14</v>
      </c>
      <c r="G76" s="167" t="s">
        <v>2364</v>
      </c>
      <c r="H76" s="211">
        <v>20627.0</v>
      </c>
      <c r="I76" s="34" t="s">
        <v>183</v>
      </c>
      <c r="J76" s="74" t="s">
        <v>2365</v>
      </c>
      <c r="K76" s="74" t="s">
        <v>2366</v>
      </c>
      <c r="L76" s="216" t="s">
        <v>521</v>
      </c>
      <c r="N76" s="268" t="s">
        <v>387</v>
      </c>
      <c r="O76" s="100"/>
      <c r="P76" s="100"/>
      <c r="Q76" s="100"/>
      <c r="R76" s="100"/>
    </row>
    <row r="77">
      <c r="A77" s="12" t="s">
        <v>11</v>
      </c>
      <c r="B77" s="229" t="s">
        <v>202</v>
      </c>
      <c r="C77" s="74" t="str">
        <f t="shared" si="8"/>
        <v>Quarta-Feira</v>
      </c>
      <c r="D77" s="512" t="str">
        <f>IF(C77&lt;&gt;"Quarta-Feira","13:20","08:20")</f>
        <v>08:20</v>
      </c>
      <c r="E77" s="287"/>
      <c r="F77" s="74"/>
      <c r="G77" s="167"/>
      <c r="H77" s="77"/>
      <c r="I77" s="34" t="s">
        <v>2348</v>
      </c>
      <c r="J77" s="74"/>
      <c r="K77" s="74"/>
      <c r="N77" s="270" t="s">
        <v>1824</v>
      </c>
      <c r="O77" s="2"/>
      <c r="P77" s="2"/>
      <c r="Q77" s="2"/>
      <c r="R77" s="2"/>
    </row>
    <row r="78">
      <c r="A78" s="12" t="s">
        <v>12</v>
      </c>
      <c r="B78" s="229" t="s">
        <v>1448</v>
      </c>
      <c r="C78" s="74" t="str">
        <f t="shared" si="8"/>
        <v>Quarta-Feira</v>
      </c>
      <c r="D78" s="512" t="str">
        <f>IF(C78&lt;&gt;"Quarta-Feira","13:40","08:40")</f>
        <v>08:40</v>
      </c>
      <c r="E78" s="287" t="s">
        <v>2367</v>
      </c>
      <c r="F78" s="74">
        <v>7.08405756357064E14</v>
      </c>
      <c r="G78" s="167" t="s">
        <v>2368</v>
      </c>
      <c r="H78" s="83">
        <v>28950.0</v>
      </c>
      <c r="I78" s="34" t="s">
        <v>183</v>
      </c>
      <c r="J78" s="74"/>
      <c r="K78" s="74"/>
      <c r="L78" s="216" t="s">
        <v>521</v>
      </c>
      <c r="N78" s="271" t="s">
        <v>183</v>
      </c>
      <c r="O78" s="272" t="s">
        <v>195</v>
      </c>
      <c r="P78" s="272" t="s">
        <v>181</v>
      </c>
      <c r="Q78" s="273" t="s">
        <v>173</v>
      </c>
      <c r="R78" s="286" t="s">
        <v>1823</v>
      </c>
    </row>
    <row r="79">
      <c r="A79" s="12" t="s">
        <v>13</v>
      </c>
      <c r="B79" s="229" t="s">
        <v>822</v>
      </c>
      <c r="C79" s="74" t="str">
        <f t="shared" si="8"/>
        <v>Quarta-Feira</v>
      </c>
      <c r="D79" s="512" t="str">
        <f>IF(C79&lt;&gt;"Quarta-Feira","14:00","09:00")</f>
        <v>09:00</v>
      </c>
      <c r="E79" s="287" t="s">
        <v>2369</v>
      </c>
      <c r="F79" s="74">
        <v>8.01440490534754E14</v>
      </c>
      <c r="G79" s="496" t="s">
        <v>2370</v>
      </c>
      <c r="H79" s="83">
        <v>19429.0</v>
      </c>
      <c r="I79" s="34" t="s">
        <v>183</v>
      </c>
      <c r="J79" s="74"/>
      <c r="K79" s="74"/>
      <c r="L79" s="216" t="s">
        <v>521</v>
      </c>
      <c r="N79" s="275">
        <f t="shared" ref="N79:R79" si="9">COUNTIFS($I$76:$I$87,N78)</f>
        <v>8</v>
      </c>
      <c r="O79" s="275">
        <f t="shared" si="9"/>
        <v>0</v>
      </c>
      <c r="P79" s="275">
        <f t="shared" si="9"/>
        <v>0</v>
      </c>
      <c r="Q79" s="275">
        <f t="shared" si="9"/>
        <v>0</v>
      </c>
      <c r="R79" s="275">
        <f t="shared" si="9"/>
        <v>0</v>
      </c>
    </row>
    <row r="80" ht="18.0" customHeight="1">
      <c r="A80" s="12" t="s">
        <v>14</v>
      </c>
      <c r="B80" s="229" t="s">
        <v>202</v>
      </c>
      <c r="C80" s="74" t="str">
        <f t="shared" si="8"/>
        <v>Quarta-Feira</v>
      </c>
      <c r="D80" s="512" t="str">
        <f>IF(C80&lt;&gt;"Quarta-Feira","14:20","09:20")</f>
        <v>09:20</v>
      </c>
      <c r="E80" s="287"/>
      <c r="F80" s="74"/>
      <c r="G80" s="167"/>
      <c r="H80" s="83"/>
      <c r="I80" s="34" t="s">
        <v>2348</v>
      </c>
      <c r="J80" s="74"/>
      <c r="K80" s="74"/>
      <c r="L80" s="216" t="s">
        <v>521</v>
      </c>
      <c r="R80" s="67"/>
    </row>
    <row r="81">
      <c r="A81" s="12" t="s">
        <v>15</v>
      </c>
      <c r="B81" s="229" t="s">
        <v>1448</v>
      </c>
      <c r="C81" s="74" t="str">
        <f t="shared" si="8"/>
        <v>Quarta-Feira</v>
      </c>
      <c r="D81" s="512" t="str">
        <f>IF(C81&lt;&gt;"Quarta-Feira","14:40","09:40")</f>
        <v>09:40</v>
      </c>
      <c r="E81" s="287" t="s">
        <v>2371</v>
      </c>
      <c r="F81" s="74">
        <v>7.00908954398991E14</v>
      </c>
      <c r="G81" s="167" t="s">
        <v>2372</v>
      </c>
      <c r="H81" s="83">
        <v>18025.0</v>
      </c>
      <c r="I81" s="34" t="s">
        <v>183</v>
      </c>
      <c r="J81" s="74"/>
      <c r="K81" s="74"/>
      <c r="L81" s="216" t="s">
        <v>521</v>
      </c>
      <c r="R81" s="67"/>
    </row>
    <row r="82">
      <c r="A82" s="12" t="s">
        <v>16</v>
      </c>
      <c r="B82" s="229" t="s">
        <v>65</v>
      </c>
      <c r="C82" s="74" t="str">
        <f t="shared" si="8"/>
        <v>Quarta-Feira</v>
      </c>
      <c r="D82" s="512" t="str">
        <f>IF(C82&lt;&gt;"Quarta-Feira","15:00","10:00")</f>
        <v>10:00</v>
      </c>
      <c r="E82" s="287" t="s">
        <v>2373</v>
      </c>
      <c r="F82" s="74">
        <v>7.00003865260106E14</v>
      </c>
      <c r="G82" s="167" t="s">
        <v>2374</v>
      </c>
      <c r="H82" s="83">
        <v>22879.0</v>
      </c>
      <c r="I82" s="34" t="s">
        <v>183</v>
      </c>
      <c r="J82" s="74" t="s">
        <v>2375</v>
      </c>
      <c r="K82" s="74"/>
      <c r="L82" s="216" t="s">
        <v>521</v>
      </c>
      <c r="R82" s="67"/>
    </row>
    <row r="83">
      <c r="A83" s="12" t="s">
        <v>179</v>
      </c>
      <c r="B83" s="229" t="s">
        <v>202</v>
      </c>
      <c r="C83" s="74" t="str">
        <f t="shared" si="8"/>
        <v>Quarta-Feira</v>
      </c>
      <c r="D83" s="512" t="str">
        <f>IF(C83&lt;&gt;"Quarta-Feira","15:20","10:20")</f>
        <v>10:20</v>
      </c>
      <c r="E83" s="287"/>
      <c r="F83" s="74"/>
      <c r="G83" s="167"/>
      <c r="H83" s="77"/>
      <c r="I83" s="34" t="s">
        <v>2348</v>
      </c>
      <c r="J83" s="74"/>
      <c r="K83" s="74"/>
      <c r="L83" s="216" t="s">
        <v>521</v>
      </c>
      <c r="R83" s="67"/>
    </row>
    <row r="84">
      <c r="A84" s="12" t="s">
        <v>85</v>
      </c>
      <c r="B84" s="229" t="s">
        <v>822</v>
      </c>
      <c r="C84" s="74" t="str">
        <f t="shared" si="8"/>
        <v>Quarta-Feira</v>
      </c>
      <c r="D84" s="512" t="str">
        <f>IF(C84&lt;&gt;"Quarta-Feira","15:40","10:40")</f>
        <v>10:40</v>
      </c>
      <c r="E84" s="287" t="s">
        <v>2376</v>
      </c>
      <c r="F84" s="74">
        <v>7.00805978961082E14</v>
      </c>
      <c r="G84" s="167" t="s">
        <v>2377</v>
      </c>
      <c r="H84" s="83">
        <v>23636.0</v>
      </c>
      <c r="I84" s="34" t="s">
        <v>183</v>
      </c>
      <c r="J84" s="74"/>
      <c r="K84" s="74"/>
      <c r="L84" s="216" t="s">
        <v>521</v>
      </c>
      <c r="R84" s="67"/>
    </row>
    <row r="85">
      <c r="A85" s="12" t="s">
        <v>87</v>
      </c>
      <c r="B85" s="229" t="s">
        <v>1448</v>
      </c>
      <c r="C85" s="74" t="str">
        <f t="shared" si="8"/>
        <v>Quarta-Feira</v>
      </c>
      <c r="D85" s="512" t="str">
        <f>IF(C85&lt;&gt;"Quarta-Feira","16:00","11:00")</f>
        <v>11:00</v>
      </c>
      <c r="E85" s="287"/>
      <c r="F85" s="74"/>
      <c r="G85" s="167" t="s">
        <v>2378</v>
      </c>
      <c r="H85" s="166"/>
      <c r="I85" s="34" t="s">
        <v>183</v>
      </c>
      <c r="J85" s="74"/>
      <c r="K85" s="74"/>
      <c r="L85" s="216" t="s">
        <v>521</v>
      </c>
      <c r="R85" s="67"/>
    </row>
    <row r="86">
      <c r="A86" s="12" t="s">
        <v>90</v>
      </c>
      <c r="B86" s="229" t="s">
        <v>822</v>
      </c>
      <c r="C86" s="74" t="str">
        <f t="shared" si="8"/>
        <v>Quarta-Feira</v>
      </c>
      <c r="D86" s="512" t="str">
        <f>IF(C86&lt;&gt;"Quarta-Feira","16:20","11:20")</f>
        <v>11:20</v>
      </c>
      <c r="E86" s="287" t="s">
        <v>2379</v>
      </c>
      <c r="F86" s="74">
        <v>2.01152331420009E14</v>
      </c>
      <c r="G86" s="167" t="s">
        <v>2380</v>
      </c>
      <c r="H86" s="166">
        <v>21221.0</v>
      </c>
      <c r="I86" s="34" t="s">
        <v>183</v>
      </c>
      <c r="J86" s="74"/>
      <c r="K86" s="74"/>
      <c r="L86" s="216" t="s">
        <v>521</v>
      </c>
      <c r="R86" s="67"/>
    </row>
    <row r="87">
      <c r="A87" s="12" t="s">
        <v>93</v>
      </c>
      <c r="B87" s="229" t="s">
        <v>65</v>
      </c>
      <c r="C87" s="74" t="str">
        <f t="shared" si="8"/>
        <v>Quarta-Feira</v>
      </c>
      <c r="D87" s="512" t="str">
        <f>IF(C87&lt;&gt;"Quarta-Feira","16:40","11:40")</f>
        <v>11:40</v>
      </c>
      <c r="E87" s="287"/>
      <c r="F87" s="74"/>
      <c r="G87" s="167"/>
      <c r="H87" s="166"/>
      <c r="I87" s="34" t="s">
        <v>2348</v>
      </c>
      <c r="J87" s="74"/>
      <c r="K87" s="74"/>
      <c r="R87" s="67"/>
    </row>
    <row r="88">
      <c r="B88" s="182"/>
      <c r="E88" s="261"/>
      <c r="G88" s="182"/>
      <c r="J88" s="67"/>
      <c r="K88" s="67"/>
      <c r="R88" s="67"/>
    </row>
    <row r="89">
      <c r="B89" s="182"/>
      <c r="E89" s="261"/>
      <c r="G89" s="182"/>
      <c r="J89" s="67"/>
      <c r="K89" s="67"/>
      <c r="R89" s="67"/>
    </row>
    <row r="90">
      <c r="B90" s="182"/>
      <c r="E90" s="261"/>
      <c r="G90" s="182"/>
      <c r="J90" s="67"/>
      <c r="K90" s="67"/>
      <c r="R90" s="67"/>
    </row>
    <row r="91">
      <c r="A91" s="23" t="s">
        <v>378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08h às 13h"</f>
        <v>13/03/2026 08h às 13h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489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64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2381</v>
      </c>
      <c r="C94" s="74" t="str">
        <f t="shared" ref="C94:C105" si="10">PROPER(TEXT(DATE(MID($A$92,7,4),MID($A$92,4,2),LEFT($A$92,2)),"dddd"))</f>
        <v>Sexta-Feira</v>
      </c>
      <c r="D94" s="512" t="str">
        <f>IF(C94&lt;&gt;"Quarta-Feira","13:00","08:00")</f>
        <v>13:00</v>
      </c>
      <c r="E94" s="287" t="s">
        <v>2382</v>
      </c>
      <c r="F94" s="74">
        <v>7.08400772395868E14</v>
      </c>
      <c r="G94" s="167" t="s">
        <v>2383</v>
      </c>
      <c r="H94" s="211">
        <v>20465.0</v>
      </c>
      <c r="I94" s="34" t="s">
        <v>183</v>
      </c>
      <c r="J94" s="74"/>
      <c r="K94" s="74"/>
      <c r="L94" s="216" t="s">
        <v>521</v>
      </c>
      <c r="N94" s="268" t="s">
        <v>387</v>
      </c>
      <c r="O94" s="100"/>
      <c r="P94" s="100"/>
      <c r="Q94" s="100"/>
      <c r="R94" s="100"/>
    </row>
    <row r="95">
      <c r="A95" s="12" t="s">
        <v>11</v>
      </c>
      <c r="B95" s="227" t="s">
        <v>2384</v>
      </c>
      <c r="C95" s="74" t="str">
        <f t="shared" si="10"/>
        <v>Sexta-Feira</v>
      </c>
      <c r="D95" s="512" t="str">
        <f>IF(C95&lt;&gt;"Quarta-Feira","13:20","08:20")</f>
        <v>13:20</v>
      </c>
      <c r="E95" s="287" t="s">
        <v>2385</v>
      </c>
      <c r="F95" s="74">
        <v>8.98002116460192E14</v>
      </c>
      <c r="G95" s="167" t="s">
        <v>2386</v>
      </c>
      <c r="H95" s="77">
        <v>21872.0</v>
      </c>
      <c r="I95" s="34" t="s">
        <v>183</v>
      </c>
      <c r="J95" s="74"/>
      <c r="K95" s="74"/>
      <c r="N95" s="270" t="s">
        <v>1824</v>
      </c>
      <c r="O95" s="2"/>
      <c r="P95" s="2"/>
      <c r="Q95" s="2"/>
      <c r="R95" s="2"/>
    </row>
    <row r="96">
      <c r="A96" s="12" t="s">
        <v>12</v>
      </c>
      <c r="B96" s="227" t="s">
        <v>2387</v>
      </c>
      <c r="C96" s="74" t="str">
        <f t="shared" si="10"/>
        <v>Sexta-Feira</v>
      </c>
      <c r="D96" s="512" t="str">
        <f>IF(C96&lt;&gt;"Quarta-Feira","13:40","08:40")</f>
        <v>13:40</v>
      </c>
      <c r="E96" s="287" t="s">
        <v>2388</v>
      </c>
      <c r="F96" s="74">
        <v>7.00007405527404E14</v>
      </c>
      <c r="G96" s="167" t="s">
        <v>2389</v>
      </c>
      <c r="H96" s="83">
        <v>17392.0</v>
      </c>
      <c r="I96" s="34" t="s">
        <v>183</v>
      </c>
      <c r="J96" s="74"/>
      <c r="K96" s="74"/>
      <c r="L96" s="216" t="s">
        <v>521</v>
      </c>
      <c r="N96" s="271" t="s">
        <v>183</v>
      </c>
      <c r="O96" s="272" t="s">
        <v>195</v>
      </c>
      <c r="P96" s="272" t="s">
        <v>181</v>
      </c>
      <c r="Q96" s="273" t="s">
        <v>173</v>
      </c>
      <c r="R96" s="286" t="s">
        <v>1823</v>
      </c>
    </row>
    <row r="97">
      <c r="A97" s="12" t="s">
        <v>13</v>
      </c>
      <c r="B97" s="227" t="s">
        <v>2390</v>
      </c>
      <c r="C97" s="74" t="str">
        <f t="shared" si="10"/>
        <v>Sexta-Feira</v>
      </c>
      <c r="D97" s="512" t="str">
        <f>IF(C97&lt;&gt;"Quarta-Feira","14:00","09:00")</f>
        <v>14:00</v>
      </c>
      <c r="E97" s="287" t="s">
        <v>2391</v>
      </c>
      <c r="F97" s="74">
        <v>7.00905938212495E14</v>
      </c>
      <c r="G97" s="167" t="s">
        <v>2392</v>
      </c>
      <c r="H97" s="83">
        <v>24743.0</v>
      </c>
      <c r="I97" s="34" t="s">
        <v>183</v>
      </c>
      <c r="J97" s="74"/>
      <c r="K97" s="74"/>
      <c r="L97" s="216" t="s">
        <v>521</v>
      </c>
      <c r="N97" s="275">
        <f t="shared" ref="N97:Q97" si="11">COUNTIFS($I$94:$I$105,N96)</f>
        <v>10</v>
      </c>
      <c r="O97" s="275">
        <f t="shared" si="11"/>
        <v>0</v>
      </c>
      <c r="P97" s="275">
        <f t="shared" si="11"/>
        <v>0</v>
      </c>
      <c r="Q97" s="275">
        <f t="shared" si="11"/>
        <v>0</v>
      </c>
      <c r="R97" s="67">
        <f>COUNTIFS(I94:I105,R96)</f>
        <v>2</v>
      </c>
    </row>
    <row r="98">
      <c r="A98" s="12" t="s">
        <v>14</v>
      </c>
      <c r="B98" s="227" t="s">
        <v>2381</v>
      </c>
      <c r="C98" s="74" t="str">
        <f t="shared" si="10"/>
        <v>Sexta-Feira</v>
      </c>
      <c r="D98" s="512" t="str">
        <f>IF(C98&lt;&gt;"Quarta-Feira","14:20","09:20")</f>
        <v>14:20</v>
      </c>
      <c r="E98" s="287" t="s">
        <v>2393</v>
      </c>
      <c r="F98" s="74">
        <v>7.0870414101229E14</v>
      </c>
      <c r="G98" s="167" t="s">
        <v>2394</v>
      </c>
      <c r="H98" s="83">
        <v>20292.0</v>
      </c>
      <c r="I98" s="34" t="s">
        <v>183</v>
      </c>
      <c r="J98" s="74"/>
      <c r="K98" s="74"/>
      <c r="L98" s="216" t="s">
        <v>521</v>
      </c>
      <c r="R98" s="67"/>
    </row>
    <row r="99">
      <c r="A99" s="12" t="s">
        <v>15</v>
      </c>
      <c r="B99" s="227" t="s">
        <v>2384</v>
      </c>
      <c r="C99" s="74" t="str">
        <f t="shared" si="10"/>
        <v>Sexta-Feira</v>
      </c>
      <c r="D99" s="512" t="str">
        <f>IF(C99&lt;&gt;"Quarta-Feira","14:40","09:40")</f>
        <v>14:40</v>
      </c>
      <c r="E99" s="287" t="s">
        <v>2395</v>
      </c>
      <c r="F99" s="74">
        <v>7.06006838859746E14</v>
      </c>
      <c r="G99" s="167" t="s">
        <v>2396</v>
      </c>
      <c r="H99" s="83">
        <v>26245.0</v>
      </c>
      <c r="I99" s="34" t="s">
        <v>1823</v>
      </c>
      <c r="J99" s="74"/>
      <c r="K99" s="74"/>
      <c r="L99" s="216" t="s">
        <v>521</v>
      </c>
      <c r="R99" s="67"/>
    </row>
    <row r="100">
      <c r="A100" s="12" t="s">
        <v>16</v>
      </c>
      <c r="B100" s="227" t="s">
        <v>2387</v>
      </c>
      <c r="C100" s="74" t="str">
        <f t="shared" si="10"/>
        <v>Sexta-Feira</v>
      </c>
      <c r="D100" s="512" t="str">
        <f>IF(C100&lt;&gt;"Quarta-Feira","15:00","10:00")</f>
        <v>15:00</v>
      </c>
      <c r="E100" s="287" t="s">
        <v>2397</v>
      </c>
      <c r="F100" s="74">
        <v>8.98001414247518E14</v>
      </c>
      <c r="G100" s="167" t="s">
        <v>2398</v>
      </c>
      <c r="H100" s="83">
        <v>30274.0</v>
      </c>
      <c r="I100" s="34" t="s">
        <v>183</v>
      </c>
      <c r="J100" s="74"/>
      <c r="K100" s="74"/>
      <c r="R100" s="67"/>
    </row>
    <row r="101">
      <c r="A101" s="12" t="s">
        <v>17</v>
      </c>
      <c r="B101" s="227" t="s">
        <v>2390</v>
      </c>
      <c r="C101" s="74" t="str">
        <f t="shared" si="10"/>
        <v>Sexta-Feira</v>
      </c>
      <c r="D101" s="512" t="str">
        <f>IF(C101&lt;&gt;"Quarta-Feira","15:20","10:20")</f>
        <v>15:20</v>
      </c>
      <c r="E101" s="287" t="s">
        <v>669</v>
      </c>
      <c r="F101" s="74">
        <v>7.08603546317283E14</v>
      </c>
      <c r="G101" s="167" t="s">
        <v>670</v>
      </c>
      <c r="H101" s="77">
        <v>23678.0</v>
      </c>
      <c r="I101" s="34" t="s">
        <v>183</v>
      </c>
      <c r="J101" s="74"/>
      <c r="K101" s="74"/>
      <c r="R101" s="67"/>
    </row>
    <row r="102">
      <c r="A102" s="12" t="s">
        <v>85</v>
      </c>
      <c r="B102" s="227" t="s">
        <v>2384</v>
      </c>
      <c r="C102" s="74" t="str">
        <f t="shared" si="10"/>
        <v>Sexta-Feira</v>
      </c>
      <c r="D102" s="512" t="str">
        <f>IF(C102&lt;&gt;"Quarta-Feira","15:40","10:40")</f>
        <v>15:40</v>
      </c>
      <c r="E102" s="287" t="s">
        <v>2399</v>
      </c>
      <c r="F102" s="74">
        <v>7.00503110667754E14</v>
      </c>
      <c r="G102" s="167" t="s">
        <v>2400</v>
      </c>
      <c r="H102" s="83">
        <v>27718.0</v>
      </c>
      <c r="I102" s="34" t="s">
        <v>1823</v>
      </c>
      <c r="J102" s="74"/>
      <c r="K102" s="74"/>
      <c r="L102" s="216" t="s">
        <v>577</v>
      </c>
      <c r="R102" s="67"/>
    </row>
    <row r="103">
      <c r="A103" s="12" t="s">
        <v>87</v>
      </c>
      <c r="B103" s="227" t="s">
        <v>2381</v>
      </c>
      <c r="C103" s="74" t="str">
        <f t="shared" si="10"/>
        <v>Sexta-Feira</v>
      </c>
      <c r="D103" s="512" t="str">
        <f>IF(C103&lt;&gt;"Quarta-Feira","16:00","11:00")</f>
        <v>16:00</v>
      </c>
      <c r="E103" s="287" t="s">
        <v>2401</v>
      </c>
      <c r="F103" s="74">
        <v>8.98001430999235E14</v>
      </c>
      <c r="G103" s="167" t="s">
        <v>1229</v>
      </c>
      <c r="H103" s="166">
        <v>24657.0</v>
      </c>
      <c r="I103" s="34" t="s">
        <v>183</v>
      </c>
      <c r="J103" s="74"/>
      <c r="K103" s="74"/>
      <c r="R103" s="67"/>
    </row>
    <row r="104">
      <c r="A104" s="12" t="s">
        <v>90</v>
      </c>
      <c r="B104" s="227" t="s">
        <v>2381</v>
      </c>
      <c r="C104" s="74" t="str">
        <f t="shared" si="10"/>
        <v>Sexta-Feira</v>
      </c>
      <c r="D104" s="512" t="str">
        <f>IF(C104&lt;&gt;"Quarta-Feira","16:20","11:20")</f>
        <v>16:20</v>
      </c>
      <c r="E104" s="287"/>
      <c r="F104" s="74"/>
      <c r="G104" s="167" t="s">
        <v>2402</v>
      </c>
      <c r="H104" s="166"/>
      <c r="I104" s="34" t="s">
        <v>183</v>
      </c>
      <c r="J104" s="74"/>
      <c r="K104" s="74"/>
      <c r="R104" s="67"/>
    </row>
    <row r="105">
      <c r="A105" s="12" t="s">
        <v>93</v>
      </c>
      <c r="B105" s="227" t="s">
        <v>2381</v>
      </c>
      <c r="C105" s="74" t="str">
        <f t="shared" si="10"/>
        <v>Sexta-Feira</v>
      </c>
      <c r="D105" s="512" t="str">
        <f>IF(C105&lt;&gt;"Quarta-Feira","16:40","11:40")</f>
        <v>16:40</v>
      </c>
      <c r="E105" s="287"/>
      <c r="F105" s="74"/>
      <c r="G105" s="167" t="s">
        <v>1392</v>
      </c>
      <c r="H105" s="166"/>
      <c r="I105" s="34" t="s">
        <v>183</v>
      </c>
      <c r="J105" s="74"/>
      <c r="K105" s="74"/>
      <c r="R105" s="67"/>
    </row>
    <row r="106">
      <c r="B106" s="182"/>
      <c r="E106" s="261"/>
      <c r="G106" s="182"/>
      <c r="J106" s="67"/>
      <c r="K106" s="67"/>
      <c r="R106" s="67"/>
    </row>
    <row r="107">
      <c r="B107" s="182"/>
      <c r="E107" s="261"/>
      <c r="G107" s="182"/>
      <c r="J107" s="67"/>
      <c r="K107" s="67"/>
      <c r="R107" s="67"/>
    </row>
    <row r="108">
      <c r="B108" s="182"/>
      <c r="E108" s="261"/>
      <c r="G108" s="182"/>
      <c r="J108" s="67"/>
      <c r="K108" s="67"/>
      <c r="R108" s="67"/>
    </row>
    <row r="109">
      <c r="A109" s="23" t="s">
        <v>378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TEXT(DATE(VALUE(MID(A56,7,4)),VALUE(MID(A56,4,2)),VALUE(LEFT(A56,2)))+7,"dd/mm/yyyy")&amp;" 13h às 17h"</f>
        <v>16/03/2026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489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1981</v>
      </c>
      <c r="C112" s="74" t="str">
        <f t="shared" ref="C112:C123" si="12">PROPER(TEXT(DATE(MID($A$110,7,4),MID($A$110,4,2),LEFT($A$110,2)),"dddd"))</f>
        <v>Segunda-Feira</v>
      </c>
      <c r="D112" s="512" t="str">
        <f>IF(C112&lt;&gt;"Quarta-Feira","13:00","08:00")</f>
        <v>13:00</v>
      </c>
      <c r="E112" s="287" t="s">
        <v>2403</v>
      </c>
      <c r="F112" s="74">
        <v>8.98001405209358E14</v>
      </c>
      <c r="G112" s="167" t="s">
        <v>2404</v>
      </c>
      <c r="H112" s="522">
        <v>14625.0</v>
      </c>
      <c r="I112" s="34" t="s">
        <v>183</v>
      </c>
      <c r="J112" s="74"/>
      <c r="K112" s="74"/>
      <c r="N112" s="268" t="s">
        <v>387</v>
      </c>
      <c r="O112" s="100"/>
      <c r="P112" s="100"/>
      <c r="Q112" s="100"/>
      <c r="R112" s="100"/>
    </row>
    <row r="113">
      <c r="A113" s="12" t="s">
        <v>11</v>
      </c>
      <c r="B113" s="227" t="s">
        <v>1985</v>
      </c>
      <c r="C113" s="74" t="str">
        <f t="shared" si="12"/>
        <v>Segunda-Feira</v>
      </c>
      <c r="D113" s="512" t="str">
        <f>IF(C113&lt;&gt;"Quarta-Feira","13:20","08:20")</f>
        <v>13:20</v>
      </c>
      <c r="E113" s="287" t="s">
        <v>2356</v>
      </c>
      <c r="F113" s="74">
        <v>7.03401242470714E14</v>
      </c>
      <c r="G113" s="167" t="s">
        <v>2357</v>
      </c>
      <c r="H113" s="77">
        <v>29055.0</v>
      </c>
      <c r="I113" s="34" t="s">
        <v>183</v>
      </c>
      <c r="J113" s="74"/>
      <c r="K113" s="74"/>
      <c r="N113" s="270" t="s">
        <v>1824</v>
      </c>
      <c r="O113" s="2"/>
      <c r="P113" s="2"/>
      <c r="Q113" s="2"/>
      <c r="R113" s="2"/>
    </row>
    <row r="114">
      <c r="A114" s="12" t="s">
        <v>12</v>
      </c>
      <c r="B114" s="227" t="s">
        <v>1989</v>
      </c>
      <c r="C114" s="74" t="str">
        <f t="shared" si="12"/>
        <v>Segunda-Feira</v>
      </c>
      <c r="D114" s="512" t="str">
        <f>IF(C114&lt;&gt;"Quarta-Feira","13:40","08:40")</f>
        <v>13:40</v>
      </c>
      <c r="E114" s="287" t="s">
        <v>2405</v>
      </c>
      <c r="F114" s="74">
        <v>7.00704911278976E14</v>
      </c>
      <c r="G114" s="167" t="s">
        <v>2406</v>
      </c>
      <c r="H114" s="83">
        <v>12887.0</v>
      </c>
      <c r="I114" s="34" t="s">
        <v>183</v>
      </c>
      <c r="J114" s="74"/>
      <c r="K114" s="74"/>
      <c r="N114" s="271" t="s">
        <v>183</v>
      </c>
      <c r="O114" s="272" t="s">
        <v>195</v>
      </c>
      <c r="P114" s="272" t="s">
        <v>181</v>
      </c>
      <c r="Q114" s="273" t="s">
        <v>173</v>
      </c>
      <c r="R114" s="286" t="s">
        <v>1823</v>
      </c>
    </row>
    <row r="115">
      <c r="A115" s="12" t="s">
        <v>13</v>
      </c>
      <c r="B115" s="227" t="s">
        <v>1992</v>
      </c>
      <c r="C115" s="74" t="str">
        <f t="shared" si="12"/>
        <v>Segunda-Feira</v>
      </c>
      <c r="D115" s="512" t="str">
        <f>IF(C115&lt;&gt;"Quarta-Feira","14:00","09:00")</f>
        <v>14:00</v>
      </c>
      <c r="E115" s="287" t="s">
        <v>2407</v>
      </c>
      <c r="F115" s="74">
        <v>7.02406514064326E14</v>
      </c>
      <c r="G115" s="167" t="s">
        <v>2408</v>
      </c>
      <c r="H115" s="83">
        <v>25459.0</v>
      </c>
      <c r="I115" s="34" t="s">
        <v>1823</v>
      </c>
      <c r="J115" s="74"/>
      <c r="K115" s="74"/>
      <c r="N115" s="275">
        <f t="shared" ref="N115:R115" si="13">COUNTIFS($I$112:$I$123,N114)</f>
        <v>9</v>
      </c>
      <c r="O115" s="275">
        <f t="shared" si="13"/>
        <v>0</v>
      </c>
      <c r="P115" s="275">
        <f t="shared" si="13"/>
        <v>0</v>
      </c>
      <c r="Q115" s="275">
        <f t="shared" si="13"/>
        <v>0</v>
      </c>
      <c r="R115" s="275">
        <f t="shared" si="13"/>
        <v>3</v>
      </c>
    </row>
    <row r="116">
      <c r="A116" s="12" t="s">
        <v>14</v>
      </c>
      <c r="B116" s="227" t="s">
        <v>1981</v>
      </c>
      <c r="C116" s="74" t="str">
        <f t="shared" si="12"/>
        <v>Segunda-Feira</v>
      </c>
      <c r="D116" s="512" t="str">
        <f>IF(C116&lt;&gt;"Quarta-Feira","14:20","09:20")</f>
        <v>14:20</v>
      </c>
      <c r="E116" s="287" t="s">
        <v>2409</v>
      </c>
      <c r="F116" s="74">
        <v>7.00605952182363E14</v>
      </c>
      <c r="G116" s="167" t="s">
        <v>2410</v>
      </c>
      <c r="H116" s="83">
        <v>23318.0</v>
      </c>
      <c r="I116" s="34" t="s">
        <v>183</v>
      </c>
      <c r="J116" s="74"/>
      <c r="K116" s="74"/>
      <c r="R116" s="67"/>
    </row>
    <row r="117">
      <c r="A117" s="12" t="s">
        <v>15</v>
      </c>
      <c r="B117" s="227" t="s">
        <v>1985</v>
      </c>
      <c r="C117" s="74" t="str">
        <f t="shared" si="12"/>
        <v>Segunda-Feira</v>
      </c>
      <c r="D117" s="512" t="str">
        <f>IF(C117&lt;&gt;"Quarta-Feira","14:40","09:40")</f>
        <v>14:40</v>
      </c>
      <c r="E117" s="287" t="s">
        <v>2411</v>
      </c>
      <c r="F117" s="74">
        <v>7.06204009833361E14</v>
      </c>
      <c r="G117" s="167" t="s">
        <v>2412</v>
      </c>
      <c r="H117" s="83">
        <v>21450.0</v>
      </c>
      <c r="I117" s="34" t="s">
        <v>183</v>
      </c>
      <c r="J117" s="74"/>
      <c r="K117" s="74"/>
      <c r="R117" s="67"/>
    </row>
    <row r="118">
      <c r="A118" s="12" t="s">
        <v>16</v>
      </c>
      <c r="B118" s="227" t="s">
        <v>1989</v>
      </c>
      <c r="C118" s="74" t="str">
        <f t="shared" si="12"/>
        <v>Segunda-Feira</v>
      </c>
      <c r="D118" s="512" t="str">
        <f>IF(C118&lt;&gt;"Quarta-Feira","15:00","10:00")</f>
        <v>15:00</v>
      </c>
      <c r="E118" s="287" t="s">
        <v>2413</v>
      </c>
      <c r="F118" s="74">
        <v>7.0610783204023E14</v>
      </c>
      <c r="G118" s="167" t="s">
        <v>2414</v>
      </c>
      <c r="H118" s="83">
        <v>17858.0</v>
      </c>
      <c r="I118" s="34" t="s">
        <v>183</v>
      </c>
      <c r="J118" s="74"/>
      <c r="K118" s="74"/>
      <c r="R118" s="67"/>
    </row>
    <row r="119">
      <c r="A119" s="12" t="s">
        <v>17</v>
      </c>
      <c r="B119" s="227" t="s">
        <v>1992</v>
      </c>
      <c r="C119" s="74" t="str">
        <f t="shared" si="12"/>
        <v>Segunda-Feira</v>
      </c>
      <c r="D119" s="512" t="str">
        <f>IF(C119&lt;&gt;"Quarta-Feira","15:20","10:20")</f>
        <v>15:20</v>
      </c>
      <c r="E119" s="287" t="s">
        <v>2415</v>
      </c>
      <c r="F119" s="74">
        <v>7.05801410840431E14</v>
      </c>
      <c r="G119" s="167" t="s">
        <v>2416</v>
      </c>
      <c r="H119" s="77">
        <v>23087.0</v>
      </c>
      <c r="I119" s="34" t="s">
        <v>1823</v>
      </c>
      <c r="J119" s="74"/>
      <c r="K119" s="74"/>
      <c r="R119" s="67"/>
    </row>
    <row r="120">
      <c r="A120" s="12" t="s">
        <v>85</v>
      </c>
      <c r="B120" s="227" t="s">
        <v>1981</v>
      </c>
      <c r="C120" s="74" t="str">
        <f t="shared" si="12"/>
        <v>Segunda-Feira</v>
      </c>
      <c r="D120" s="512" t="str">
        <f>IF(C120&lt;&gt;"Quarta-Feira","15:40","10:40")</f>
        <v>15:40</v>
      </c>
      <c r="E120" s="287" t="s">
        <v>2417</v>
      </c>
      <c r="F120" s="74">
        <v>7.0120405327141E14</v>
      </c>
      <c r="G120" s="167" t="s">
        <v>2418</v>
      </c>
      <c r="H120" s="83">
        <v>33590.0</v>
      </c>
      <c r="I120" s="34" t="s">
        <v>183</v>
      </c>
      <c r="J120" s="74"/>
      <c r="K120" s="74"/>
      <c r="R120" s="67"/>
      <c r="V120" s="336"/>
    </row>
    <row r="121">
      <c r="A121" s="12" t="s">
        <v>87</v>
      </c>
      <c r="B121" s="227" t="s">
        <v>1985</v>
      </c>
      <c r="C121" s="74" t="str">
        <f t="shared" si="12"/>
        <v>Segunda-Feira</v>
      </c>
      <c r="D121" s="512" t="str">
        <f>IF(C121&lt;&gt;"Quarta-Feira","16:00","11:00")</f>
        <v>16:00</v>
      </c>
      <c r="E121" s="287" t="s">
        <v>2419</v>
      </c>
      <c r="F121" s="74">
        <v>7.09809024906998E14</v>
      </c>
      <c r="G121" s="167" t="s">
        <v>2420</v>
      </c>
      <c r="H121" s="166">
        <v>20733.0</v>
      </c>
      <c r="I121" s="34" t="s">
        <v>183</v>
      </c>
      <c r="J121" s="74"/>
      <c r="K121" s="74"/>
      <c r="R121" s="67"/>
    </row>
    <row r="122">
      <c r="A122" s="12" t="s">
        <v>90</v>
      </c>
      <c r="B122" s="227" t="s">
        <v>1989</v>
      </c>
      <c r="C122" s="74" t="str">
        <f t="shared" si="12"/>
        <v>Segunda-Feira</v>
      </c>
      <c r="D122" s="512" t="str">
        <f>IF(C122&lt;&gt;"Quarta-Feira","16:20","11:20")</f>
        <v>16:20</v>
      </c>
      <c r="E122" s="287" t="s">
        <v>2421</v>
      </c>
      <c r="F122" s="74">
        <v>7.00904947632891E14</v>
      </c>
      <c r="G122" s="167" t="s">
        <v>2422</v>
      </c>
      <c r="H122" s="166">
        <v>19685.0</v>
      </c>
      <c r="I122" s="34" t="s">
        <v>183</v>
      </c>
      <c r="J122" s="74"/>
      <c r="K122" s="74"/>
      <c r="R122" s="67"/>
    </row>
    <row r="123">
      <c r="A123" s="12" t="s">
        <v>93</v>
      </c>
      <c r="B123" s="227" t="s">
        <v>1992</v>
      </c>
      <c r="C123" s="74" t="str">
        <f t="shared" si="12"/>
        <v>Segunda-Feira</v>
      </c>
      <c r="D123" s="512" t="str">
        <f>IF(C123&lt;&gt;"Quarta-Feira","16:40","11:40")</f>
        <v>16:40</v>
      </c>
      <c r="E123" s="287"/>
      <c r="F123" s="74">
        <v>8.98002968050704E14</v>
      </c>
      <c r="G123" s="167" t="s">
        <v>2423</v>
      </c>
      <c r="H123" s="166">
        <v>21351.0</v>
      </c>
      <c r="I123" s="34" t="s">
        <v>1823</v>
      </c>
      <c r="J123" s="74"/>
      <c r="K123" s="74"/>
      <c r="R123" s="67"/>
    </row>
    <row r="124">
      <c r="B124" s="182"/>
      <c r="E124" s="261"/>
      <c r="G124" s="182"/>
      <c r="J124" s="67"/>
      <c r="K124" s="67"/>
      <c r="R124" s="67"/>
    </row>
    <row r="125">
      <c r="B125" s="182"/>
      <c r="E125" s="261"/>
      <c r="G125" s="182"/>
      <c r="J125" s="67"/>
      <c r="K125" s="67"/>
      <c r="R125" s="67"/>
    </row>
    <row r="126">
      <c r="B126" s="182"/>
      <c r="E126" s="261"/>
      <c r="G126" s="182"/>
      <c r="J126" s="67"/>
      <c r="K126" s="67"/>
      <c r="R126" s="67"/>
    </row>
    <row r="127">
      <c r="A127" s="23" t="s">
        <v>378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08h às 13h"</f>
        <v>18/03/2026 08h às 13h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489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64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2014</v>
      </c>
      <c r="C130" s="74" t="str">
        <f t="shared" ref="C130:C141" si="14">PROPER(TEXT(DATE(MID($A$128,7,4),MID($A$128,4,2),LEFT($A$128,2)),"dddd"))</f>
        <v>Quarta-Feira</v>
      </c>
      <c r="D130" s="512" t="str">
        <f>IF(C130&lt;&gt;"Quarta-Feira","13:00","08:00")</f>
        <v>08:00</v>
      </c>
      <c r="E130" s="287" t="s">
        <v>2424</v>
      </c>
      <c r="F130" s="74">
        <v>7.06806740668228E14</v>
      </c>
      <c r="G130" s="167" t="s">
        <v>2425</v>
      </c>
      <c r="H130" s="211">
        <v>21574.0</v>
      </c>
      <c r="I130" s="34" t="s">
        <v>183</v>
      </c>
      <c r="J130" s="74"/>
      <c r="K130" s="74"/>
      <c r="N130" s="268" t="s">
        <v>387</v>
      </c>
      <c r="O130" s="100"/>
      <c r="P130" s="100"/>
      <c r="Q130" s="100"/>
      <c r="R130" s="100"/>
    </row>
    <row r="131">
      <c r="A131" s="12" t="s">
        <v>11</v>
      </c>
      <c r="B131" s="227" t="s">
        <v>2019</v>
      </c>
      <c r="C131" s="74" t="str">
        <f t="shared" si="14"/>
        <v>Quarta-Feira</v>
      </c>
      <c r="D131" s="512" t="str">
        <f>IF(C131&lt;&gt;"Quarta-Feira","13:20","08:20")</f>
        <v>08:20</v>
      </c>
      <c r="E131" s="287" t="s">
        <v>2426</v>
      </c>
      <c r="F131" s="74">
        <v>7.06804273051822E14</v>
      </c>
      <c r="G131" s="167" t="s">
        <v>2427</v>
      </c>
      <c r="H131" s="77">
        <v>17146.0</v>
      </c>
      <c r="I131" s="34" t="s">
        <v>183</v>
      </c>
      <c r="J131" s="74">
        <v>1.197760672E10</v>
      </c>
      <c r="K131" s="74"/>
      <c r="N131" s="270" t="s">
        <v>1824</v>
      </c>
      <c r="O131" s="2"/>
      <c r="P131" s="2"/>
      <c r="Q131" s="2"/>
      <c r="R131" s="2"/>
    </row>
    <row r="132">
      <c r="A132" s="12" t="s">
        <v>12</v>
      </c>
      <c r="B132" s="227" t="s">
        <v>2021</v>
      </c>
      <c r="C132" s="74" t="str">
        <f t="shared" si="14"/>
        <v>Quarta-Feira</v>
      </c>
      <c r="D132" s="512" t="str">
        <f>IF(C132&lt;&gt;"Quarta-Feira","13:40","08:40")</f>
        <v>08:40</v>
      </c>
      <c r="E132" s="287" t="s">
        <v>2428</v>
      </c>
      <c r="F132" s="74">
        <v>7.00803916197883E14</v>
      </c>
      <c r="G132" s="167" t="s">
        <v>2429</v>
      </c>
      <c r="H132" s="77">
        <v>28979.0</v>
      </c>
      <c r="I132" s="34" t="s">
        <v>1823</v>
      </c>
      <c r="J132" s="74">
        <v>1.1947766437E10</v>
      </c>
      <c r="K132" s="74"/>
      <c r="L132" s="68"/>
      <c r="M132" s="68"/>
      <c r="N132" s="271" t="s">
        <v>183</v>
      </c>
      <c r="O132" s="272" t="s">
        <v>195</v>
      </c>
      <c r="P132" s="272" t="s">
        <v>181</v>
      </c>
      <c r="Q132" s="273" t="s">
        <v>173</v>
      </c>
      <c r="R132" s="415" t="s">
        <v>1823</v>
      </c>
      <c r="S132" s="68"/>
      <c r="T132" s="68"/>
      <c r="U132" s="68"/>
      <c r="V132" s="68"/>
      <c r="W132" s="68"/>
      <c r="X132" s="68"/>
    </row>
    <row r="133">
      <c r="A133" s="12" t="s">
        <v>13</v>
      </c>
      <c r="B133" s="227" t="s">
        <v>2024</v>
      </c>
      <c r="C133" s="74" t="str">
        <f t="shared" si="14"/>
        <v>Quarta-Feira</v>
      </c>
      <c r="D133" s="512" t="str">
        <f>IF(C133&lt;&gt;"Quarta-Feira","14:00","09:00")</f>
        <v>09:00</v>
      </c>
      <c r="E133" s="287" t="s">
        <v>2430</v>
      </c>
      <c r="F133" s="74">
        <v>7.08006833914028E14</v>
      </c>
      <c r="G133" s="167" t="s">
        <v>2431</v>
      </c>
      <c r="H133" s="83">
        <v>14751.0</v>
      </c>
      <c r="I133" s="34" t="s">
        <v>183</v>
      </c>
      <c r="J133" s="74"/>
      <c r="K133" s="74"/>
      <c r="N133" s="275">
        <f t="shared" ref="N133:R133" si="15">COUNTIFS($I$130:$I$141,N132)</f>
        <v>9</v>
      </c>
      <c r="O133" s="275">
        <f t="shared" si="15"/>
        <v>0</v>
      </c>
      <c r="P133" s="275">
        <f t="shared" si="15"/>
        <v>0</v>
      </c>
      <c r="Q133" s="275">
        <f t="shared" si="15"/>
        <v>0</v>
      </c>
      <c r="R133" s="275">
        <f t="shared" si="15"/>
        <v>1</v>
      </c>
    </row>
    <row r="134">
      <c r="A134" s="12" t="s">
        <v>14</v>
      </c>
      <c r="B134" s="227" t="s">
        <v>2019</v>
      </c>
      <c r="C134" s="74" t="str">
        <f t="shared" si="14"/>
        <v>Quarta-Feira</v>
      </c>
      <c r="D134" s="512" t="str">
        <f>IF(C134&lt;&gt;"Quarta-Feira","14:20","09:20")</f>
        <v>09:20</v>
      </c>
      <c r="E134" s="287" t="s">
        <v>2307</v>
      </c>
      <c r="F134" s="74">
        <v>7.02802699504568E14</v>
      </c>
      <c r="G134" s="167" t="s">
        <v>2308</v>
      </c>
      <c r="H134" s="83">
        <v>28672.0</v>
      </c>
      <c r="I134" s="34" t="s">
        <v>183</v>
      </c>
      <c r="J134" s="74">
        <v>1.1951195263E10</v>
      </c>
      <c r="K134" s="74"/>
      <c r="R134" s="67"/>
    </row>
    <row r="135">
      <c r="A135" s="12" t="s">
        <v>15</v>
      </c>
      <c r="B135" s="227" t="s">
        <v>2021</v>
      </c>
      <c r="C135" s="74" t="str">
        <f t="shared" si="14"/>
        <v>Quarta-Feira</v>
      </c>
      <c r="D135" s="512" t="str">
        <f>IF(C135&lt;&gt;"Quarta-Feira","14:40","09:40")</f>
        <v>09:40</v>
      </c>
      <c r="E135" s="287"/>
      <c r="F135" s="74"/>
      <c r="G135" s="167"/>
      <c r="H135" s="83"/>
      <c r="I135" s="34"/>
      <c r="J135" s="74"/>
      <c r="K135" s="74"/>
      <c r="R135" s="67"/>
    </row>
    <row r="136">
      <c r="A136" s="12" t="s">
        <v>16</v>
      </c>
      <c r="B136" s="227" t="s">
        <v>2014</v>
      </c>
      <c r="C136" s="74" t="str">
        <f t="shared" si="14"/>
        <v>Quarta-Feira</v>
      </c>
      <c r="D136" s="512" t="str">
        <f>IF(C136&lt;&gt;"Quarta-Feira","15:00","10:00")</f>
        <v>10:00</v>
      </c>
      <c r="E136" s="287" t="s">
        <v>2432</v>
      </c>
      <c r="F136" s="74">
        <v>7.00603996257561E14</v>
      </c>
      <c r="G136" s="167" t="s">
        <v>2433</v>
      </c>
      <c r="H136" s="163">
        <v>21691.0</v>
      </c>
      <c r="I136" s="34" t="s">
        <v>183</v>
      </c>
      <c r="J136" s="74"/>
      <c r="K136" s="74"/>
      <c r="L136" s="68"/>
      <c r="M136" s="68"/>
      <c r="N136" s="68"/>
      <c r="O136" s="68"/>
      <c r="P136" s="68"/>
      <c r="Q136" s="68"/>
      <c r="R136" s="389"/>
      <c r="S136" s="68"/>
      <c r="T136" s="68"/>
      <c r="U136" s="68"/>
      <c r="V136" s="68"/>
      <c r="W136" s="68"/>
      <c r="X136" s="68"/>
    </row>
    <row r="137">
      <c r="A137" s="12" t="s">
        <v>17</v>
      </c>
      <c r="B137" s="227" t="s">
        <v>2019</v>
      </c>
      <c r="C137" s="74" t="str">
        <f t="shared" si="14"/>
        <v>Quarta-Feira</v>
      </c>
      <c r="D137" s="512" t="str">
        <f>IF(C137&lt;&gt;"Quarta-Feira","15:20","10:20")</f>
        <v>10:20</v>
      </c>
      <c r="E137" s="287" t="s">
        <v>1376</v>
      </c>
      <c r="F137" s="74">
        <v>7.00505900226352E14</v>
      </c>
      <c r="G137" s="167" t="s">
        <v>1377</v>
      </c>
      <c r="H137" s="77">
        <v>22768.0</v>
      </c>
      <c r="I137" s="34" t="s">
        <v>183</v>
      </c>
      <c r="J137" s="74"/>
      <c r="K137" s="74"/>
      <c r="R137" s="67"/>
    </row>
    <row r="138">
      <c r="A138" s="12" t="s">
        <v>85</v>
      </c>
      <c r="B138" s="227" t="s">
        <v>2024</v>
      </c>
      <c r="C138" s="74" t="str">
        <f t="shared" si="14"/>
        <v>Quarta-Feira</v>
      </c>
      <c r="D138" s="512" t="str">
        <f>IF(C138&lt;&gt;"Quarta-Feira","15:40","10:40")</f>
        <v>10:40</v>
      </c>
      <c r="E138" s="287" t="s">
        <v>2434</v>
      </c>
      <c r="F138" s="287" t="s">
        <v>2435</v>
      </c>
      <c r="G138" s="167" t="s">
        <v>2436</v>
      </c>
      <c r="H138" s="83">
        <v>21948.0</v>
      </c>
      <c r="I138" s="34" t="s">
        <v>183</v>
      </c>
      <c r="J138" s="74">
        <v>1.1988604469E10</v>
      </c>
      <c r="K138" s="74"/>
      <c r="R138" s="67"/>
    </row>
    <row r="139">
      <c r="A139" s="12" t="s">
        <v>87</v>
      </c>
      <c r="B139" s="227" t="s">
        <v>2021</v>
      </c>
      <c r="C139" s="74" t="str">
        <f t="shared" si="14"/>
        <v>Quarta-Feira</v>
      </c>
      <c r="D139" s="512" t="str">
        <f>IF(C139&lt;&gt;"Quarta-Feira","16:00","11:00")</f>
        <v>11:00</v>
      </c>
      <c r="E139" s="287"/>
      <c r="F139" s="74"/>
      <c r="G139" s="167"/>
      <c r="H139" s="166"/>
      <c r="I139" s="34"/>
      <c r="J139" s="74"/>
      <c r="K139" s="74"/>
      <c r="R139" s="67"/>
    </row>
    <row r="140">
      <c r="A140" s="12" t="s">
        <v>90</v>
      </c>
      <c r="B140" s="227" t="s">
        <v>2024</v>
      </c>
      <c r="C140" s="74" t="str">
        <f t="shared" si="14"/>
        <v>Quarta-Feira</v>
      </c>
      <c r="D140" s="512" t="str">
        <f>IF(C140&lt;&gt;"Quarta-Feira","16:20","11:20")</f>
        <v>11:20</v>
      </c>
      <c r="E140" s="287" t="s">
        <v>2437</v>
      </c>
      <c r="F140" s="74">
        <v>8.98001415914135E14</v>
      </c>
      <c r="G140" s="167" t="s">
        <v>2438</v>
      </c>
      <c r="H140" s="83">
        <v>15591.0</v>
      </c>
      <c r="I140" s="34" t="s">
        <v>183</v>
      </c>
      <c r="J140" s="74">
        <v>1.1939617259E10</v>
      </c>
      <c r="K140" s="74"/>
      <c r="R140" s="67"/>
    </row>
    <row r="141">
      <c r="A141" s="12" t="s">
        <v>93</v>
      </c>
      <c r="B141" s="227" t="s">
        <v>2014</v>
      </c>
      <c r="C141" s="74" t="str">
        <f t="shared" si="14"/>
        <v>Quarta-Feira</v>
      </c>
      <c r="D141" s="512" t="str">
        <f>IF(C141&lt;&gt;"Quarta-Feira","16:40","11:40")</f>
        <v>11:40</v>
      </c>
      <c r="E141" s="287" t="s">
        <v>2439</v>
      </c>
      <c r="F141" s="74">
        <v>7.00106908443012E14</v>
      </c>
      <c r="G141" s="167" t="s">
        <v>1938</v>
      </c>
      <c r="H141" s="166">
        <v>28725.0</v>
      </c>
      <c r="I141" s="34" t="s">
        <v>183</v>
      </c>
      <c r="J141" s="74"/>
      <c r="K141" s="74"/>
      <c r="R141" s="67"/>
    </row>
    <row r="142">
      <c r="B142" s="182"/>
      <c r="E142" s="261"/>
      <c r="G142" s="182"/>
      <c r="J142" s="67"/>
      <c r="K142" s="67"/>
      <c r="R142" s="67"/>
    </row>
    <row r="143">
      <c r="B143" s="182"/>
      <c r="E143" s="261"/>
      <c r="G143" s="182"/>
      <c r="J143" s="67"/>
      <c r="K143" s="67"/>
      <c r="R143" s="67"/>
    </row>
    <row r="144">
      <c r="B144" s="182"/>
      <c r="E144" s="261"/>
      <c r="G144" s="182"/>
      <c r="J144" s="67"/>
      <c r="K144" s="67"/>
      <c r="R144" s="67"/>
    </row>
    <row r="145">
      <c r="A145" s="23" t="s">
        <v>378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TEXT(DATE(VALUE(MID(A128,7,4)),VALUE(MID(A128,4,2)),VALUE(LEFT(A128,2)))+2,"dd/mm/yyyy")&amp;" 08h às 13h"</f>
        <v>20/03/2026 08h às 13h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489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64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2381</v>
      </c>
      <c r="C148" s="74" t="str">
        <f t="shared" ref="C148:C159" si="16">PROPER(TEXT(DATE(MID($A$146,7,4),MID($A$146,4,2),LEFT($A$146,2)),"dddd"))</f>
        <v>Sexta-Feira</v>
      </c>
      <c r="D148" s="512" t="str">
        <f>IF(C148&lt;&gt;"Quarta-Feira","13:00","08:00")</f>
        <v>13:00</v>
      </c>
      <c r="E148" s="287" t="s">
        <v>2440</v>
      </c>
      <c r="F148" s="459">
        <v>7.00005780463101E14</v>
      </c>
      <c r="G148" s="167" t="s">
        <v>2441</v>
      </c>
      <c r="H148" s="83">
        <v>16939.0</v>
      </c>
      <c r="I148" s="34" t="s">
        <v>183</v>
      </c>
      <c r="J148" s="74">
        <v>1.15870914E9</v>
      </c>
      <c r="K148" s="74"/>
      <c r="L148" s="216" t="s">
        <v>521</v>
      </c>
      <c r="N148" s="268" t="s">
        <v>387</v>
      </c>
      <c r="O148" s="100"/>
      <c r="P148" s="100"/>
      <c r="Q148" s="100"/>
      <c r="R148" s="100"/>
    </row>
    <row r="149">
      <c r="A149" s="12" t="s">
        <v>11</v>
      </c>
      <c r="B149" s="227" t="s">
        <v>2384</v>
      </c>
      <c r="C149" s="74" t="str">
        <f t="shared" si="16"/>
        <v>Sexta-Feira</v>
      </c>
      <c r="D149" s="512" t="str">
        <f>IF(C149&lt;&gt;"Quarta-Feira","13:20","08:20")</f>
        <v>13:20</v>
      </c>
      <c r="E149" s="287" t="s">
        <v>2442</v>
      </c>
      <c r="F149" s="74">
        <v>8.01434190298862E14</v>
      </c>
      <c r="G149" s="167" t="s">
        <v>2443</v>
      </c>
      <c r="H149" s="83">
        <v>19925.0</v>
      </c>
      <c r="I149" s="34" t="s">
        <v>1823</v>
      </c>
      <c r="J149" s="74">
        <v>1.1974439851E10</v>
      </c>
      <c r="K149" s="74"/>
      <c r="N149" s="270" t="s">
        <v>1824</v>
      </c>
      <c r="O149" s="2"/>
      <c r="P149" s="2"/>
      <c r="Q149" s="2"/>
      <c r="R149" s="2"/>
    </row>
    <row r="150">
      <c r="A150" s="12" t="s">
        <v>12</v>
      </c>
      <c r="B150" s="227" t="s">
        <v>2387</v>
      </c>
      <c r="C150" s="74" t="str">
        <f t="shared" si="16"/>
        <v>Sexta-Feira</v>
      </c>
      <c r="D150" s="512" t="str">
        <f>IF(C150&lt;&gt;"Quarta-Feira","13:40","08:40")</f>
        <v>13:40</v>
      </c>
      <c r="E150" s="287" t="s">
        <v>2444</v>
      </c>
      <c r="F150" s="74">
        <v>1.23886089120004E14</v>
      </c>
      <c r="G150" s="167" t="s">
        <v>2445</v>
      </c>
      <c r="H150" s="83">
        <v>26253.0</v>
      </c>
      <c r="I150" s="34" t="s">
        <v>1823</v>
      </c>
      <c r="J150" s="74">
        <v>1.1985211824E10</v>
      </c>
      <c r="K150" s="74"/>
      <c r="N150" s="271" t="s">
        <v>183</v>
      </c>
      <c r="O150" s="272" t="s">
        <v>195</v>
      </c>
      <c r="P150" s="272" t="s">
        <v>181</v>
      </c>
      <c r="Q150" s="273" t="s">
        <v>173</v>
      </c>
      <c r="R150" s="286" t="s">
        <v>1823</v>
      </c>
    </row>
    <row r="151">
      <c r="A151" s="12" t="s">
        <v>13</v>
      </c>
      <c r="B151" s="227" t="s">
        <v>2390</v>
      </c>
      <c r="C151" s="74" t="str">
        <f t="shared" si="16"/>
        <v>Sexta-Feira</v>
      </c>
      <c r="D151" s="512" t="str">
        <f>IF(C151&lt;&gt;"Quarta-Feira","14:00","09:00")</f>
        <v>14:00</v>
      </c>
      <c r="E151" s="287" t="s">
        <v>2446</v>
      </c>
      <c r="F151" s="74">
        <v>7.04805550688948E14</v>
      </c>
      <c r="G151" s="167" t="s">
        <v>46</v>
      </c>
      <c r="H151" s="83">
        <v>19518.0</v>
      </c>
      <c r="I151" s="34" t="s">
        <v>183</v>
      </c>
      <c r="J151" s="74"/>
      <c r="K151" s="74"/>
      <c r="N151" s="275">
        <f t="shared" ref="N151:R151" si="17">COUNTIFS($I$148:$I$159,N150)</f>
        <v>6</v>
      </c>
      <c r="O151" s="275">
        <f t="shared" si="17"/>
        <v>0</v>
      </c>
      <c r="P151" s="275">
        <f t="shared" si="17"/>
        <v>0</v>
      </c>
      <c r="Q151" s="275">
        <f t="shared" si="17"/>
        <v>0</v>
      </c>
      <c r="R151" s="275">
        <f t="shared" si="17"/>
        <v>5</v>
      </c>
    </row>
    <row r="152">
      <c r="A152" s="12" t="s">
        <v>14</v>
      </c>
      <c r="B152" s="227" t="s">
        <v>2381</v>
      </c>
      <c r="C152" s="74" t="str">
        <f t="shared" si="16"/>
        <v>Sexta-Feira</v>
      </c>
      <c r="D152" s="512" t="str">
        <f>IF(C152&lt;&gt;"Quarta-Feira","14:20","09:20")</f>
        <v>14:20</v>
      </c>
      <c r="E152" s="287" t="s">
        <v>2447</v>
      </c>
      <c r="F152" s="74">
        <v>7.02503327608233E14</v>
      </c>
      <c r="G152" s="167" t="s">
        <v>2448</v>
      </c>
      <c r="H152" s="83">
        <v>12364.0</v>
      </c>
      <c r="I152" s="34" t="s">
        <v>183</v>
      </c>
      <c r="J152" s="74"/>
      <c r="K152" s="74"/>
      <c r="R152" s="67"/>
    </row>
    <row r="153">
      <c r="A153" s="12" t="s">
        <v>15</v>
      </c>
      <c r="B153" s="227" t="s">
        <v>2384</v>
      </c>
      <c r="C153" s="74" t="str">
        <f t="shared" si="16"/>
        <v>Sexta-Feira</v>
      </c>
      <c r="D153" s="512" t="str">
        <f>IF(C153&lt;&gt;"Quarta-Feira","14:40","09:40")</f>
        <v>14:40</v>
      </c>
      <c r="E153" s="287" t="s">
        <v>2399</v>
      </c>
      <c r="F153" s="74">
        <v>7.00503110667754E14</v>
      </c>
      <c r="G153" s="167" t="s">
        <v>2400</v>
      </c>
      <c r="H153" s="83">
        <v>27718.0</v>
      </c>
      <c r="I153" s="34" t="s">
        <v>1823</v>
      </c>
      <c r="J153" s="74"/>
      <c r="K153" s="74"/>
      <c r="R153" s="67"/>
    </row>
    <row r="154">
      <c r="A154" s="12" t="s">
        <v>16</v>
      </c>
      <c r="B154" s="227" t="s">
        <v>2387</v>
      </c>
      <c r="C154" s="74" t="str">
        <f t="shared" si="16"/>
        <v>Sexta-Feira</v>
      </c>
      <c r="D154" s="512" t="str">
        <f>IF(C154&lt;&gt;"Quarta-Feira","15:00","10:00")</f>
        <v>15:00</v>
      </c>
      <c r="E154" s="287" t="s">
        <v>2449</v>
      </c>
      <c r="F154" s="459">
        <v>7.02908548293872E14</v>
      </c>
      <c r="G154" s="167" t="s">
        <v>2450</v>
      </c>
      <c r="H154" s="83">
        <v>25511.0</v>
      </c>
      <c r="I154" s="34" t="s">
        <v>1823</v>
      </c>
      <c r="J154" s="74"/>
      <c r="K154" s="74"/>
      <c r="R154" s="67"/>
    </row>
    <row r="155">
      <c r="A155" s="12" t="s">
        <v>17</v>
      </c>
      <c r="B155" s="227" t="s">
        <v>2390</v>
      </c>
      <c r="C155" s="74" t="str">
        <f t="shared" si="16"/>
        <v>Sexta-Feira</v>
      </c>
      <c r="D155" s="512" t="str">
        <f>IF(C155&lt;&gt;"Quarta-Feira","15:20","10:20")</f>
        <v>15:20</v>
      </c>
      <c r="E155" s="287" t="s">
        <v>2451</v>
      </c>
      <c r="F155" s="74">
        <v>7.00000754806E14</v>
      </c>
      <c r="G155" s="167" t="s">
        <v>2452</v>
      </c>
      <c r="H155" s="83">
        <v>31899.0</v>
      </c>
      <c r="I155" s="34" t="s">
        <v>183</v>
      </c>
      <c r="J155" s="74"/>
      <c r="K155" s="74"/>
      <c r="R155" s="67"/>
    </row>
    <row r="156">
      <c r="A156" s="12" t="s">
        <v>85</v>
      </c>
      <c r="B156" s="227" t="s">
        <v>2384</v>
      </c>
      <c r="C156" s="74" t="str">
        <f t="shared" si="16"/>
        <v>Sexta-Feira</v>
      </c>
      <c r="D156" s="512" t="str">
        <f>IF(C156&lt;&gt;"Quarta-Feira","15:40","10:40")</f>
        <v>15:40</v>
      </c>
      <c r="E156" s="287" t="s">
        <v>2453</v>
      </c>
      <c r="F156" s="74">
        <v>7.0090694586379E14</v>
      </c>
      <c r="G156" s="167" t="s">
        <v>2454</v>
      </c>
      <c r="H156" s="83">
        <v>19937.0</v>
      </c>
      <c r="I156" s="34" t="s">
        <v>1823</v>
      </c>
      <c r="J156" s="74">
        <v>9.80530135E8</v>
      </c>
      <c r="K156" s="74"/>
      <c r="L156" s="216" t="s">
        <v>577</v>
      </c>
      <c r="R156" s="67"/>
    </row>
    <row r="157">
      <c r="A157" s="12" t="s">
        <v>87</v>
      </c>
      <c r="B157" s="227" t="s">
        <v>2381</v>
      </c>
      <c r="C157" s="74" t="str">
        <f t="shared" si="16"/>
        <v>Sexta-Feira</v>
      </c>
      <c r="D157" s="512" t="str">
        <f>IF(C157&lt;&gt;"Quarta-Feira","16:00","11:00")</f>
        <v>16:00</v>
      </c>
      <c r="E157" s="287" t="s">
        <v>2455</v>
      </c>
      <c r="F157" s="74">
        <v>7.0630210253698E14</v>
      </c>
      <c r="G157" s="167" t="s">
        <v>2456</v>
      </c>
      <c r="H157" s="166">
        <v>23789.0</v>
      </c>
      <c r="I157" s="34" t="s">
        <v>183</v>
      </c>
      <c r="J157" s="74"/>
      <c r="K157" s="74"/>
      <c r="R157" s="67"/>
    </row>
    <row r="158">
      <c r="A158" s="12" t="s">
        <v>90</v>
      </c>
      <c r="B158" s="227" t="s">
        <v>2381</v>
      </c>
      <c r="C158" s="74" t="str">
        <f t="shared" si="16"/>
        <v>Sexta-Feira</v>
      </c>
      <c r="D158" s="512" t="str">
        <f>IF(C158&lt;&gt;"Quarta-Feira","16:20","11:20")</f>
        <v>16:20</v>
      </c>
      <c r="E158" s="287" t="s">
        <v>2457</v>
      </c>
      <c r="F158" s="74">
        <v>7.05006824032153E14</v>
      </c>
      <c r="G158" s="167" t="s">
        <v>2458</v>
      </c>
      <c r="H158" s="166">
        <v>22217.0</v>
      </c>
      <c r="I158" s="34" t="s">
        <v>183</v>
      </c>
      <c r="J158" s="74"/>
      <c r="K158" s="74"/>
      <c r="R158" s="67"/>
    </row>
    <row r="159">
      <c r="A159" s="12" t="s">
        <v>93</v>
      </c>
      <c r="B159" s="227" t="s">
        <v>2381</v>
      </c>
      <c r="C159" s="74" t="str">
        <f t="shared" si="16"/>
        <v>Sexta-Feira</v>
      </c>
      <c r="D159" s="512" t="str">
        <f>IF(C159&lt;&gt;"Quarta-Feira","16:40","11:40")</f>
        <v>16:40</v>
      </c>
      <c r="E159" s="287" t="s">
        <v>2459</v>
      </c>
      <c r="F159" s="74">
        <v>7.00008045842304E14</v>
      </c>
      <c r="G159" s="167" t="s">
        <v>2460</v>
      </c>
      <c r="H159" s="166">
        <v>26286.0</v>
      </c>
      <c r="I159" s="34" t="s">
        <v>2348</v>
      </c>
      <c r="J159" s="74"/>
      <c r="K159" s="74"/>
      <c r="R159" s="67"/>
    </row>
    <row r="160">
      <c r="B160" s="182"/>
      <c r="E160" s="261"/>
      <c r="G160" s="182"/>
      <c r="J160" s="67"/>
      <c r="K160" s="67"/>
      <c r="R160" s="67"/>
    </row>
    <row r="161">
      <c r="B161" s="182"/>
      <c r="E161" s="261"/>
      <c r="G161" s="182"/>
      <c r="J161" s="67"/>
      <c r="K161" s="67"/>
      <c r="R161" s="67"/>
    </row>
    <row r="162">
      <c r="B162" s="182"/>
      <c r="E162" s="261"/>
      <c r="G162" s="182"/>
      <c r="J162" s="67"/>
      <c r="K162" s="67"/>
      <c r="R162" s="67"/>
    </row>
    <row r="163">
      <c r="A163" s="23" t="s">
        <v>378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TEXT(DATE(VALUE(MID(A110,7,4)),VALUE(MID(A110,4,2)),VALUE(LEFT(A110,2)))+7,"dd/mm/yyyy")&amp;" 13h às 17h"</f>
        <v>23/03/2026 13h às 17h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489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64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12" t="s">
        <v>10</v>
      </c>
      <c r="B166" s="227" t="s">
        <v>1981</v>
      </c>
      <c r="C166" s="74" t="str">
        <f t="shared" ref="C166:C177" si="18">PROPER(TEXT(DATE(MID($A$164,7,4),MID($A$164,4,2),LEFT($A$164,2)),"dddd"))</f>
        <v>Segunda-Feira</v>
      </c>
      <c r="D166" s="512" t="str">
        <f>IF(C166&lt;&gt;"Quarta-Feira","13:00","08:00")</f>
        <v>13:00</v>
      </c>
      <c r="E166" s="287" t="s">
        <v>2461</v>
      </c>
      <c r="F166" s="74">
        <v>7.02109769514594E14</v>
      </c>
      <c r="G166" s="167" t="s">
        <v>2462</v>
      </c>
      <c r="H166" s="211">
        <v>25392.0</v>
      </c>
      <c r="I166" s="34" t="s">
        <v>183</v>
      </c>
      <c r="J166" s="74"/>
      <c r="K166" s="74"/>
      <c r="N166" s="268" t="s">
        <v>387</v>
      </c>
      <c r="O166" s="100"/>
      <c r="P166" s="100"/>
      <c r="Q166" s="100"/>
      <c r="R166" s="100"/>
    </row>
    <row r="167">
      <c r="A167" s="12" t="s">
        <v>11</v>
      </c>
      <c r="B167" s="227" t="s">
        <v>1985</v>
      </c>
      <c r="C167" s="74" t="str">
        <f t="shared" si="18"/>
        <v>Segunda-Feira</v>
      </c>
      <c r="D167" s="512" t="str">
        <f>IF(C167&lt;&gt;"Quarta-Feira","13:20","08:20")</f>
        <v>13:20</v>
      </c>
      <c r="E167" s="287" t="s">
        <v>2463</v>
      </c>
      <c r="F167" s="74">
        <v>7.0000995213541E14</v>
      </c>
      <c r="G167" s="167" t="s">
        <v>251</v>
      </c>
      <c r="H167" s="211">
        <v>28485.0</v>
      </c>
      <c r="I167" s="34" t="s">
        <v>183</v>
      </c>
      <c r="J167" s="74"/>
      <c r="K167" s="74"/>
      <c r="N167" s="270" t="s">
        <v>1824</v>
      </c>
      <c r="O167" s="2"/>
      <c r="P167" s="2"/>
      <c r="Q167" s="2"/>
      <c r="R167" s="2"/>
    </row>
    <row r="168">
      <c r="A168" s="12" t="s">
        <v>12</v>
      </c>
      <c r="B168" s="227" t="s">
        <v>1989</v>
      </c>
      <c r="C168" s="74" t="str">
        <f t="shared" si="18"/>
        <v>Segunda-Feira</v>
      </c>
      <c r="D168" s="512" t="str">
        <f>IF(C168&lt;&gt;"Quarta-Feira","13:40","08:40")</f>
        <v>13:40</v>
      </c>
      <c r="E168" s="287" t="s">
        <v>2464</v>
      </c>
      <c r="F168" s="74">
        <v>7.0690711387063E14</v>
      </c>
      <c r="G168" s="167" t="s">
        <v>2465</v>
      </c>
      <c r="H168" s="211">
        <v>20183.0</v>
      </c>
      <c r="I168" s="34" t="s">
        <v>1823</v>
      </c>
      <c r="J168" s="74"/>
      <c r="K168" s="74"/>
      <c r="N168" s="271" t="s">
        <v>183</v>
      </c>
      <c r="O168" s="272" t="s">
        <v>195</v>
      </c>
      <c r="P168" s="272" t="s">
        <v>181</v>
      </c>
      <c r="Q168" s="273" t="s">
        <v>173</v>
      </c>
      <c r="R168" s="286" t="s">
        <v>1823</v>
      </c>
    </row>
    <row r="169">
      <c r="A169" s="12" t="s">
        <v>13</v>
      </c>
      <c r="B169" s="227" t="s">
        <v>1992</v>
      </c>
      <c r="C169" s="74" t="str">
        <f t="shared" si="18"/>
        <v>Segunda-Feira</v>
      </c>
      <c r="D169" s="512" t="str">
        <f>IF(C169&lt;&gt;"Quarta-Feira","14:00","09:00")</f>
        <v>14:00</v>
      </c>
      <c r="E169" s="287" t="s">
        <v>2466</v>
      </c>
      <c r="F169" s="74">
        <v>2.01156291510006E14</v>
      </c>
      <c r="G169" s="167" t="s">
        <v>2467</v>
      </c>
      <c r="H169" s="211">
        <v>26407.0</v>
      </c>
      <c r="I169" s="34" t="s">
        <v>183</v>
      </c>
      <c r="J169" s="74"/>
      <c r="K169" s="74"/>
      <c r="N169" s="275">
        <f t="shared" ref="N169:R169" si="19">COUNTIFS($I$166:$I$177,$N$168)</f>
        <v>11</v>
      </c>
      <c r="O169" s="275">
        <f t="shared" si="19"/>
        <v>11</v>
      </c>
      <c r="P169" s="275">
        <f t="shared" si="19"/>
        <v>11</v>
      </c>
      <c r="Q169" s="275">
        <f t="shared" si="19"/>
        <v>11</v>
      </c>
      <c r="R169" s="275">
        <f t="shared" si="19"/>
        <v>11</v>
      </c>
    </row>
    <row r="170">
      <c r="A170" s="12" t="s">
        <v>14</v>
      </c>
      <c r="B170" s="227" t="s">
        <v>1981</v>
      </c>
      <c r="C170" s="74" t="str">
        <f t="shared" si="18"/>
        <v>Segunda-Feira</v>
      </c>
      <c r="D170" s="512" t="str">
        <f>IF(C170&lt;&gt;"Quarta-Feira","14:20","09:20")</f>
        <v>14:20</v>
      </c>
      <c r="E170" s="287" t="s">
        <v>2468</v>
      </c>
      <c r="F170" s="74">
        <v>7.06908184229033E14</v>
      </c>
      <c r="G170" s="167" t="s">
        <v>2469</v>
      </c>
      <c r="H170" s="211">
        <v>20679.0</v>
      </c>
      <c r="I170" s="34" t="s">
        <v>183</v>
      </c>
      <c r="J170" s="74"/>
      <c r="K170" s="74"/>
      <c r="R170" s="67"/>
    </row>
    <row r="171">
      <c r="A171" s="12" t="s">
        <v>15</v>
      </c>
      <c r="B171" s="227" t="s">
        <v>1985</v>
      </c>
      <c r="C171" s="74" t="str">
        <f t="shared" si="18"/>
        <v>Segunda-Feira</v>
      </c>
      <c r="D171" s="512" t="str">
        <f>IF(C171&lt;&gt;"Quarta-Feira","14:40","09:40")</f>
        <v>14:40</v>
      </c>
      <c r="E171" s="287" t="s">
        <v>633</v>
      </c>
      <c r="F171" s="74">
        <v>7.01206014777513E14</v>
      </c>
      <c r="G171" s="167" t="s">
        <v>2470</v>
      </c>
      <c r="H171" s="211">
        <v>27812.0</v>
      </c>
      <c r="I171" s="34" t="s">
        <v>183</v>
      </c>
      <c r="J171" s="74"/>
      <c r="K171" s="74"/>
      <c r="R171" s="67"/>
    </row>
    <row r="172">
      <c r="A172" s="12" t="s">
        <v>16</v>
      </c>
      <c r="B172" s="227" t="s">
        <v>1989</v>
      </c>
      <c r="C172" s="74" t="str">
        <f t="shared" si="18"/>
        <v>Segunda-Feira</v>
      </c>
      <c r="D172" s="512" t="str">
        <f>IF(C172&lt;&gt;"Quarta-Feira","15:00","10:00")</f>
        <v>15:00</v>
      </c>
      <c r="E172" s="287" t="s">
        <v>2471</v>
      </c>
      <c r="F172" s="74">
        <v>2.01154083090006E14</v>
      </c>
      <c r="G172" s="167" t="s">
        <v>2134</v>
      </c>
      <c r="H172" s="211">
        <v>21086.0</v>
      </c>
      <c r="I172" s="34" t="s">
        <v>183</v>
      </c>
      <c r="J172" s="74"/>
      <c r="K172" s="74"/>
      <c r="R172" s="67"/>
    </row>
    <row r="173">
      <c r="A173" s="12" t="s">
        <v>17</v>
      </c>
      <c r="B173" s="227" t="s">
        <v>1992</v>
      </c>
      <c r="C173" s="74" t="str">
        <f t="shared" si="18"/>
        <v>Segunda-Feira</v>
      </c>
      <c r="D173" s="512" t="str">
        <f>IF(C173&lt;&gt;"Quarta-Feira","15:20","10:20")</f>
        <v>15:20</v>
      </c>
      <c r="E173" s="287" t="s">
        <v>2472</v>
      </c>
      <c r="F173" s="74">
        <v>7.05209481313275E14</v>
      </c>
      <c r="G173" s="167" t="s">
        <v>1238</v>
      </c>
      <c r="H173" s="211">
        <v>19989.0</v>
      </c>
      <c r="I173" s="34" t="s">
        <v>183</v>
      </c>
      <c r="J173" s="74"/>
      <c r="K173" s="74"/>
      <c r="R173" s="67"/>
    </row>
    <row r="174">
      <c r="A174" s="12" t="s">
        <v>85</v>
      </c>
      <c r="B174" s="227" t="s">
        <v>1981</v>
      </c>
      <c r="C174" s="74" t="str">
        <f t="shared" si="18"/>
        <v>Segunda-Feira</v>
      </c>
      <c r="D174" s="512" t="str">
        <f>IF(C174&lt;&gt;"Quarta-Feira","15:40","10:40")</f>
        <v>15:40</v>
      </c>
      <c r="E174" s="287" t="s">
        <v>2473</v>
      </c>
      <c r="F174" s="74">
        <v>7.05003618162354E14</v>
      </c>
      <c r="G174" s="167" t="s">
        <v>2474</v>
      </c>
      <c r="H174" s="211">
        <v>25416.0</v>
      </c>
      <c r="I174" s="34" t="s">
        <v>183</v>
      </c>
      <c r="J174" s="74"/>
      <c r="K174" s="74"/>
      <c r="R174" s="67"/>
    </row>
    <row r="175">
      <c r="A175" s="12" t="s">
        <v>87</v>
      </c>
      <c r="B175" s="227" t="s">
        <v>1985</v>
      </c>
      <c r="C175" s="74" t="str">
        <f t="shared" si="18"/>
        <v>Segunda-Feira</v>
      </c>
      <c r="D175" s="512" t="str">
        <f>IF(C175&lt;&gt;"Quarta-Feira","16:00","11:00")</f>
        <v>16:00</v>
      </c>
      <c r="E175" s="287" t="s">
        <v>2475</v>
      </c>
      <c r="F175" s="74">
        <v>7.0270818517186E14</v>
      </c>
      <c r="G175" s="167" t="s">
        <v>2476</v>
      </c>
      <c r="H175" s="211">
        <v>29518.0</v>
      </c>
      <c r="I175" s="34" t="s">
        <v>183</v>
      </c>
      <c r="J175" s="74"/>
      <c r="K175" s="74"/>
      <c r="R175" s="67"/>
    </row>
    <row r="176">
      <c r="A176" s="12" t="s">
        <v>90</v>
      </c>
      <c r="B176" s="227" t="s">
        <v>1989</v>
      </c>
      <c r="C176" s="74" t="str">
        <f t="shared" si="18"/>
        <v>Segunda-Feira</v>
      </c>
      <c r="D176" s="512" t="str">
        <f>IF(C176&lt;&gt;"Quarta-Feira","16:20","11:20")</f>
        <v>16:20</v>
      </c>
      <c r="E176" s="287" t="s">
        <v>2477</v>
      </c>
      <c r="F176" s="74">
        <v>7.08009800552022E14</v>
      </c>
      <c r="G176" s="167" t="s">
        <v>2478</v>
      </c>
      <c r="H176" s="211">
        <v>21065.0</v>
      </c>
      <c r="I176" s="34" t="s">
        <v>183</v>
      </c>
      <c r="J176" s="74"/>
      <c r="K176" s="74"/>
      <c r="R176" s="67"/>
    </row>
    <row r="177">
      <c r="A177" s="12" t="s">
        <v>93</v>
      </c>
      <c r="B177" s="227" t="s">
        <v>1992</v>
      </c>
      <c r="C177" s="74" t="str">
        <f t="shared" si="18"/>
        <v>Segunda-Feira</v>
      </c>
      <c r="D177" s="512" t="str">
        <f>IF(C177&lt;&gt;"Quarta-Feira","16:40","11:40")</f>
        <v>16:40</v>
      </c>
      <c r="E177" s="287" t="s">
        <v>2479</v>
      </c>
      <c r="F177" s="74">
        <v>7.08405230153764E14</v>
      </c>
      <c r="G177" s="167" t="s">
        <v>2480</v>
      </c>
      <c r="H177" s="211">
        <v>25453.0</v>
      </c>
      <c r="I177" s="34" t="s">
        <v>183</v>
      </c>
      <c r="J177" s="74"/>
      <c r="K177" s="74"/>
      <c r="R177" s="67"/>
    </row>
    <row r="178">
      <c r="B178" s="182"/>
      <c r="E178" s="261"/>
      <c r="G178" s="182"/>
      <c r="J178" s="67"/>
      <c r="K178" s="67"/>
      <c r="R178" s="67"/>
    </row>
    <row r="179">
      <c r="B179" s="182"/>
      <c r="E179" s="261"/>
      <c r="G179" s="182"/>
      <c r="J179" s="67"/>
      <c r="K179" s="67"/>
      <c r="R179" s="67"/>
    </row>
    <row r="180">
      <c r="B180" s="182"/>
      <c r="E180" s="261"/>
      <c r="G180" s="182"/>
      <c r="J180" s="67"/>
      <c r="K180" s="67"/>
      <c r="R180" s="67"/>
    </row>
    <row r="181">
      <c r="A181" s="23" t="s">
        <v>378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  <c r="R181" s="67"/>
    </row>
    <row r="182">
      <c r="A182" s="24" t="str">
        <f>TEXT(DATE(VALUE(MID(A164,7,4)),VALUE(MID(A164,4,2)),VALUE(LEFT(A164,2)))+2,"dd/mm/yyyy")&amp;" 08h às 13h"</f>
        <v>25/03/2026 08h às 13h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>
      <c r="A183" s="25"/>
      <c r="B183" s="489" t="s">
        <v>3</v>
      </c>
      <c r="C183" s="27" t="s">
        <v>2</v>
      </c>
      <c r="D183" s="28" t="s">
        <v>5</v>
      </c>
      <c r="E183" s="29" t="s">
        <v>19</v>
      </c>
      <c r="F183" s="28" t="s">
        <v>6</v>
      </c>
      <c r="G183" s="264" t="s">
        <v>7</v>
      </c>
      <c r="H183" s="30" t="s">
        <v>8</v>
      </c>
      <c r="I183" s="31" t="s">
        <v>20</v>
      </c>
      <c r="J183" s="32" t="s">
        <v>21</v>
      </c>
      <c r="K183" s="32" t="s">
        <v>22</v>
      </c>
    </row>
    <row r="184">
      <c r="A184" s="12" t="s">
        <v>10</v>
      </c>
      <c r="B184" s="227" t="s">
        <v>2014</v>
      </c>
      <c r="C184" s="74" t="str">
        <f t="shared" ref="C184:C195" si="20">PROPER(TEXT(DATE(MID($A$128,7,4),MID($A$128,4,2),LEFT($A$128,2)),"dddd"))</f>
        <v>Quarta-Feira</v>
      </c>
      <c r="D184" s="512" t="str">
        <f>IF(C184&lt;&gt;"Quarta-Feira","13:00","08:00")</f>
        <v>08:00</v>
      </c>
      <c r="E184" s="287" t="s">
        <v>2481</v>
      </c>
      <c r="F184" s="74">
        <v>7.01009816295795E14</v>
      </c>
      <c r="G184" s="167" t="s">
        <v>2482</v>
      </c>
      <c r="H184" s="211">
        <v>22773.0</v>
      </c>
      <c r="I184" s="34" t="s">
        <v>1823</v>
      </c>
      <c r="J184" s="74"/>
      <c r="K184" s="74"/>
      <c r="N184" s="268" t="s">
        <v>387</v>
      </c>
      <c r="O184" s="100"/>
      <c r="P184" s="100"/>
      <c r="Q184" s="100"/>
      <c r="R184" s="100"/>
    </row>
    <row r="185">
      <c r="A185" s="12" t="s">
        <v>11</v>
      </c>
      <c r="B185" s="227" t="s">
        <v>2019</v>
      </c>
      <c r="C185" s="74" t="str">
        <f t="shared" si="20"/>
        <v>Quarta-Feira</v>
      </c>
      <c r="D185" s="512" t="str">
        <f>IF(C185&lt;&gt;"Quarta-Feira","13:20","08:20")</f>
        <v>08:20</v>
      </c>
      <c r="E185" s="287" t="s">
        <v>2483</v>
      </c>
      <c r="F185" s="74">
        <v>7.0290353654487E14</v>
      </c>
      <c r="G185" s="167" t="s">
        <v>2484</v>
      </c>
      <c r="H185" s="77">
        <v>12573.0</v>
      </c>
      <c r="I185" s="34" t="s">
        <v>183</v>
      </c>
      <c r="J185" s="74"/>
      <c r="K185" s="74"/>
      <c r="N185" s="270" t="s">
        <v>1824</v>
      </c>
      <c r="O185" s="2"/>
      <c r="P185" s="2"/>
      <c r="Q185" s="2"/>
      <c r="R185" s="2"/>
    </row>
    <row r="186">
      <c r="A186" s="12" t="s">
        <v>12</v>
      </c>
      <c r="B186" s="227" t="s">
        <v>2021</v>
      </c>
      <c r="C186" s="74" t="str">
        <f t="shared" si="20"/>
        <v>Quarta-Feira</v>
      </c>
      <c r="D186" s="512" t="str">
        <f>IF(C186&lt;&gt;"Quarta-Feira","13:40","08:40")</f>
        <v>08:40</v>
      </c>
      <c r="E186" s="287" t="s">
        <v>2485</v>
      </c>
      <c r="F186" s="74">
        <v>7.0040547352964E14</v>
      </c>
      <c r="G186" s="167" t="s">
        <v>2486</v>
      </c>
      <c r="H186" s="83">
        <v>28419.0</v>
      </c>
      <c r="I186" s="34" t="s">
        <v>183</v>
      </c>
      <c r="J186" s="74"/>
      <c r="K186" s="74"/>
      <c r="N186" s="271" t="s">
        <v>183</v>
      </c>
      <c r="O186" s="272" t="s">
        <v>195</v>
      </c>
      <c r="P186" s="272" t="s">
        <v>181</v>
      </c>
      <c r="Q186" s="273" t="s">
        <v>173</v>
      </c>
      <c r="R186" s="286" t="s">
        <v>1823</v>
      </c>
    </row>
    <row r="187">
      <c r="A187" s="12" t="s">
        <v>13</v>
      </c>
      <c r="B187" s="227" t="s">
        <v>2024</v>
      </c>
      <c r="C187" s="74" t="str">
        <f t="shared" si="20"/>
        <v>Quarta-Feira</v>
      </c>
      <c r="D187" s="512" t="str">
        <f>IF(C187&lt;&gt;"Quarta-Feira","14:00","09:00")</f>
        <v>09:00</v>
      </c>
      <c r="E187" s="287" t="s">
        <v>2487</v>
      </c>
      <c r="F187" s="74">
        <v>7.08204115840046E14</v>
      </c>
      <c r="G187" s="167" t="s">
        <v>2488</v>
      </c>
      <c r="H187" s="83">
        <v>21244.0</v>
      </c>
      <c r="I187" s="34" t="s">
        <v>183</v>
      </c>
      <c r="J187" s="74"/>
      <c r="K187" s="74"/>
      <c r="N187" s="275">
        <f t="shared" ref="N187:R187" si="21">COUNTIFS($I$184:$I$195,$N$168)</f>
        <v>11</v>
      </c>
      <c r="O187" s="275">
        <f t="shared" si="21"/>
        <v>11</v>
      </c>
      <c r="P187" s="275">
        <f t="shared" si="21"/>
        <v>11</v>
      </c>
      <c r="Q187" s="275">
        <f t="shared" si="21"/>
        <v>11</v>
      </c>
      <c r="R187" s="275">
        <f t="shared" si="21"/>
        <v>11</v>
      </c>
    </row>
    <row r="188">
      <c r="A188" s="12" t="s">
        <v>14</v>
      </c>
      <c r="B188" s="227" t="s">
        <v>2019</v>
      </c>
      <c r="C188" s="74" t="str">
        <f t="shared" si="20"/>
        <v>Quarta-Feira</v>
      </c>
      <c r="D188" s="512" t="str">
        <f>IF(C188&lt;&gt;"Quarta-Feira","14:20","09:20")</f>
        <v>09:20</v>
      </c>
      <c r="E188" s="287" t="s">
        <v>2489</v>
      </c>
      <c r="F188" s="74">
        <v>2.03930005020009E14</v>
      </c>
      <c r="G188" s="167" t="s">
        <v>203</v>
      </c>
      <c r="H188" s="83">
        <v>23970.0</v>
      </c>
      <c r="I188" s="34" t="s">
        <v>183</v>
      </c>
      <c r="J188" s="74"/>
      <c r="K188" s="74"/>
      <c r="R188" s="67"/>
    </row>
    <row r="189">
      <c r="A189" s="12" t="s">
        <v>15</v>
      </c>
      <c r="B189" s="227" t="s">
        <v>2021</v>
      </c>
      <c r="C189" s="74" t="str">
        <f t="shared" si="20"/>
        <v>Quarta-Feira</v>
      </c>
      <c r="D189" s="512" t="str">
        <f>IF(C189&lt;&gt;"Quarta-Feira","14:40","09:40")</f>
        <v>09:40</v>
      </c>
      <c r="E189" s="287" t="s">
        <v>2490</v>
      </c>
      <c r="F189" s="74">
        <v>7.06800796845626E14</v>
      </c>
      <c r="G189" s="167" t="s">
        <v>2491</v>
      </c>
      <c r="H189" s="83">
        <v>33779.0</v>
      </c>
      <c r="I189" s="34" t="s">
        <v>183</v>
      </c>
      <c r="J189" s="74"/>
      <c r="K189" s="74"/>
      <c r="R189" s="67"/>
    </row>
    <row r="190">
      <c r="A190" s="12" t="s">
        <v>16</v>
      </c>
      <c r="B190" s="227" t="s">
        <v>2014</v>
      </c>
      <c r="C190" s="74" t="str">
        <f t="shared" si="20"/>
        <v>Quarta-Feira</v>
      </c>
      <c r="D190" s="512" t="str">
        <f>IF(C190&lt;&gt;"Quarta-Feira","15:00","10:00")</f>
        <v>10:00</v>
      </c>
      <c r="E190" s="287" t="s">
        <v>2492</v>
      </c>
      <c r="F190" s="74">
        <v>8.980014024018E14</v>
      </c>
      <c r="G190" s="167" t="s">
        <v>2493</v>
      </c>
      <c r="H190" s="83">
        <v>18168.0</v>
      </c>
      <c r="I190" s="34" t="s">
        <v>183</v>
      </c>
      <c r="J190" s="74"/>
      <c r="K190" s="74"/>
      <c r="R190" s="67"/>
    </row>
    <row r="191">
      <c r="A191" s="12" t="s">
        <v>17</v>
      </c>
      <c r="B191" s="227" t="s">
        <v>2019</v>
      </c>
      <c r="C191" s="74" t="str">
        <f t="shared" si="20"/>
        <v>Quarta-Feira</v>
      </c>
      <c r="D191" s="512" t="str">
        <f>IF(C191&lt;&gt;"Quarta-Feira","15:20","10:20")</f>
        <v>10:20</v>
      </c>
      <c r="E191" s="287" t="s">
        <v>949</v>
      </c>
      <c r="F191" s="74">
        <v>7.06209531559564E14</v>
      </c>
      <c r="G191" s="167" t="s">
        <v>950</v>
      </c>
      <c r="H191" s="77">
        <v>18233.0</v>
      </c>
      <c r="I191" s="34" t="s">
        <v>183</v>
      </c>
      <c r="J191" s="74"/>
      <c r="K191" s="74"/>
      <c r="R191" s="67"/>
    </row>
    <row r="192">
      <c r="A192" s="12" t="s">
        <v>85</v>
      </c>
      <c r="B192" s="227" t="s">
        <v>2024</v>
      </c>
      <c r="C192" s="74" t="str">
        <f t="shared" si="20"/>
        <v>Quarta-Feira</v>
      </c>
      <c r="D192" s="512" t="str">
        <f>IF(C192&lt;&gt;"Quarta-Feira","15:40","10:40")</f>
        <v>10:40</v>
      </c>
      <c r="E192" s="287" t="s">
        <v>2494</v>
      </c>
      <c r="F192" s="74">
        <v>7.08907764119212E14</v>
      </c>
      <c r="G192" s="167" t="s">
        <v>2495</v>
      </c>
      <c r="H192" s="83">
        <v>22730.0</v>
      </c>
      <c r="I192" s="34" t="s">
        <v>183</v>
      </c>
      <c r="J192" s="74"/>
      <c r="K192" s="74"/>
      <c r="R192" s="67"/>
    </row>
    <row r="193">
      <c r="A193" s="12" t="s">
        <v>87</v>
      </c>
      <c r="B193" s="227" t="s">
        <v>2021</v>
      </c>
      <c r="C193" s="74" t="str">
        <f t="shared" si="20"/>
        <v>Quarta-Feira</v>
      </c>
      <c r="D193" s="512" t="str">
        <f>IF(C193&lt;&gt;"Quarta-Feira","16:00","11:00")</f>
        <v>11:00</v>
      </c>
      <c r="E193" s="287" t="s">
        <v>2496</v>
      </c>
      <c r="F193" s="74">
        <v>7.0230308276512E14</v>
      </c>
      <c r="G193" s="167" t="s">
        <v>2497</v>
      </c>
      <c r="H193" s="166">
        <v>36245.0</v>
      </c>
      <c r="I193" s="34" t="s">
        <v>183</v>
      </c>
      <c r="J193" s="74"/>
      <c r="K193" s="74"/>
      <c r="R193" s="67"/>
    </row>
    <row r="194">
      <c r="A194" s="12" t="s">
        <v>90</v>
      </c>
      <c r="B194" s="227" t="s">
        <v>2024</v>
      </c>
      <c r="C194" s="74" t="str">
        <f t="shared" si="20"/>
        <v>Quarta-Feira</v>
      </c>
      <c r="D194" s="512" t="str">
        <f>IF(C194&lt;&gt;"Quarta-Feira","16:20","11:20")</f>
        <v>11:20</v>
      </c>
      <c r="E194" s="287" t="s">
        <v>2498</v>
      </c>
      <c r="F194" s="74">
        <v>7.00801955069686E14</v>
      </c>
      <c r="G194" s="167" t="s">
        <v>2499</v>
      </c>
      <c r="H194" s="166">
        <v>20857.0</v>
      </c>
      <c r="I194" s="34" t="s">
        <v>183</v>
      </c>
      <c r="J194" s="74"/>
      <c r="K194" s="74"/>
      <c r="R194" s="67"/>
    </row>
    <row r="195">
      <c r="A195" s="12" t="s">
        <v>93</v>
      </c>
      <c r="B195" s="227" t="s">
        <v>2014</v>
      </c>
      <c r="C195" s="74" t="str">
        <f t="shared" si="20"/>
        <v>Quarta-Feira</v>
      </c>
      <c r="D195" s="512" t="str">
        <f>IF(C195&lt;&gt;"Quarta-Feira","16:40","11:40")</f>
        <v>11:40</v>
      </c>
      <c r="E195" s="287" t="s">
        <v>2481</v>
      </c>
      <c r="F195" s="74">
        <v>7.01009816295795E14</v>
      </c>
      <c r="G195" s="167" t="s">
        <v>2482</v>
      </c>
      <c r="H195" s="166">
        <v>22773.0</v>
      </c>
      <c r="I195" s="34" t="s">
        <v>183</v>
      </c>
      <c r="J195" s="74"/>
      <c r="K195" s="74"/>
      <c r="R195" s="67"/>
    </row>
    <row r="196">
      <c r="B196" s="182"/>
      <c r="E196" s="261"/>
      <c r="G196" s="182"/>
      <c r="J196" s="67"/>
      <c r="K196" s="67"/>
      <c r="R196" s="67"/>
    </row>
    <row r="197">
      <c r="B197" s="182"/>
      <c r="E197" s="261"/>
      <c r="G197" s="182"/>
      <c r="J197" s="67"/>
      <c r="K197" s="67"/>
      <c r="R197" s="67"/>
    </row>
    <row r="198">
      <c r="B198" s="182"/>
      <c r="E198" s="261"/>
      <c r="G198" s="182"/>
      <c r="J198" s="67"/>
      <c r="K198" s="67"/>
      <c r="R198" s="67"/>
    </row>
    <row r="199">
      <c r="A199" s="23" t="s">
        <v>378</v>
      </c>
      <c r="B199" s="2"/>
      <c r="C199" s="2"/>
      <c r="D199" s="2"/>
      <c r="E199" s="2"/>
      <c r="F199" s="2"/>
      <c r="G199" s="2"/>
      <c r="H199" s="2"/>
      <c r="I199" s="2"/>
      <c r="J199" s="2"/>
      <c r="K199" s="3"/>
      <c r="R199" s="67"/>
    </row>
    <row r="200">
      <c r="A200" s="24" t="str">
        <f>TEXT(DATE(VALUE(MID(A182,7,4)),VALUE(MID(A182,4,2)),VALUE(LEFT(A182,2)))+2,"dd/mm/yyyy")&amp;" 08h às 13h"</f>
        <v>27/03/2026 08h às 13h</v>
      </c>
      <c r="B200" s="2"/>
      <c r="C200" s="2"/>
      <c r="D200" s="2"/>
      <c r="E200" s="2"/>
      <c r="F200" s="2"/>
      <c r="G200" s="2"/>
      <c r="H200" s="2"/>
      <c r="I200" s="2"/>
      <c r="J200" s="2"/>
      <c r="K200" s="3"/>
      <c r="R200" s="67"/>
    </row>
    <row r="201">
      <c r="A201" s="25"/>
      <c r="B201" s="489" t="s">
        <v>3</v>
      </c>
      <c r="C201" s="27" t="s">
        <v>2</v>
      </c>
      <c r="D201" s="28" t="s">
        <v>5</v>
      </c>
      <c r="E201" s="29" t="s">
        <v>19</v>
      </c>
      <c r="F201" s="28" t="s">
        <v>6</v>
      </c>
      <c r="G201" s="264" t="s">
        <v>7</v>
      </c>
      <c r="H201" s="30" t="s">
        <v>8</v>
      </c>
      <c r="I201" s="31" t="s">
        <v>20</v>
      </c>
      <c r="J201" s="32" t="s">
        <v>21</v>
      </c>
      <c r="K201" s="32" t="s">
        <v>22</v>
      </c>
      <c r="R201" s="67"/>
    </row>
    <row r="202">
      <c r="A202" s="12" t="s">
        <v>10</v>
      </c>
      <c r="B202" s="227" t="s">
        <v>2381</v>
      </c>
      <c r="C202" s="74" t="str">
        <f t="shared" ref="C202:C213" si="22">PROPER(TEXT(DATE(MID($A$146,7,4),MID($A$146,4,2),LEFT($A$146,2)),"dddd"))</f>
        <v>Sexta-Feira</v>
      </c>
      <c r="D202" s="512" t="str">
        <f>IF(C202&lt;&gt;"Quarta-Feira","13:00","08:00")</f>
        <v>13:00</v>
      </c>
      <c r="E202" s="287" t="s">
        <v>2500</v>
      </c>
      <c r="F202" s="459">
        <v>7.06805722168021E14</v>
      </c>
      <c r="G202" s="167" t="s">
        <v>2501</v>
      </c>
      <c r="H202" s="83">
        <v>16788.0</v>
      </c>
      <c r="I202" s="34" t="s">
        <v>183</v>
      </c>
      <c r="J202" s="74"/>
      <c r="K202" s="74"/>
      <c r="N202" s="268" t="s">
        <v>387</v>
      </c>
      <c r="O202" s="100"/>
      <c r="P202" s="100"/>
      <c r="Q202" s="100"/>
      <c r="R202" s="100"/>
    </row>
    <row r="203">
      <c r="A203" s="12" t="s">
        <v>11</v>
      </c>
      <c r="B203" s="227" t="s">
        <v>2384</v>
      </c>
      <c r="C203" s="74" t="str">
        <f t="shared" si="22"/>
        <v>Sexta-Feira</v>
      </c>
      <c r="D203" s="512" t="str">
        <f>IF(C203&lt;&gt;"Quarta-Feira","13:20","08:20")</f>
        <v>13:20</v>
      </c>
      <c r="E203" s="287" t="s">
        <v>2502</v>
      </c>
      <c r="F203" s="74">
        <v>1.07631234950004E14</v>
      </c>
      <c r="G203" s="167" t="s">
        <v>2503</v>
      </c>
      <c r="H203" s="83">
        <v>22849.0</v>
      </c>
      <c r="I203" s="34" t="s">
        <v>183</v>
      </c>
      <c r="J203" s="74"/>
      <c r="K203" s="74"/>
      <c r="N203" s="270" t="s">
        <v>1824</v>
      </c>
      <c r="O203" s="2"/>
      <c r="P203" s="2"/>
      <c r="Q203" s="2"/>
      <c r="R203" s="2"/>
    </row>
    <row r="204">
      <c r="A204" s="12" t="s">
        <v>12</v>
      </c>
      <c r="B204" s="227" t="s">
        <v>2387</v>
      </c>
      <c r="C204" s="74" t="str">
        <f t="shared" si="22"/>
        <v>Sexta-Feira</v>
      </c>
      <c r="D204" s="512" t="str">
        <f>IF(C204&lt;&gt;"Quarta-Feira","13:40","08:40")</f>
        <v>13:40</v>
      </c>
      <c r="E204" s="287"/>
      <c r="F204" s="74">
        <v>7.02908548293872E14</v>
      </c>
      <c r="G204" s="167" t="s">
        <v>2450</v>
      </c>
      <c r="H204" s="83">
        <v>25511.0</v>
      </c>
      <c r="I204" s="34" t="s">
        <v>1823</v>
      </c>
      <c r="J204" s="74"/>
      <c r="K204" s="74"/>
      <c r="N204" s="271" t="s">
        <v>183</v>
      </c>
      <c r="O204" s="272" t="s">
        <v>195</v>
      </c>
      <c r="P204" s="272" t="s">
        <v>181</v>
      </c>
      <c r="Q204" s="273" t="s">
        <v>173</v>
      </c>
      <c r="R204" s="286" t="s">
        <v>1823</v>
      </c>
    </row>
    <row r="205">
      <c r="A205" s="12" t="s">
        <v>13</v>
      </c>
      <c r="B205" s="227" t="s">
        <v>2390</v>
      </c>
      <c r="C205" s="74" t="str">
        <f t="shared" si="22"/>
        <v>Sexta-Feira</v>
      </c>
      <c r="D205" s="512" t="str">
        <f>IF(C205&lt;&gt;"Quarta-Feira","14:00","09:00")</f>
        <v>14:00</v>
      </c>
      <c r="E205" s="287" t="s">
        <v>2504</v>
      </c>
      <c r="F205" s="74">
        <v>7.06204587027261E14</v>
      </c>
      <c r="G205" s="167" t="s">
        <v>2505</v>
      </c>
      <c r="H205" s="83">
        <v>19966.0</v>
      </c>
      <c r="I205" s="34" t="s">
        <v>183</v>
      </c>
      <c r="J205" s="74"/>
      <c r="K205" s="74"/>
      <c r="N205" s="275">
        <f t="shared" ref="N205:R205" si="23">COUNTIFS($I$202:$I$213,$N$168)</f>
        <v>10</v>
      </c>
      <c r="O205" s="275">
        <f t="shared" si="23"/>
        <v>10</v>
      </c>
      <c r="P205" s="275">
        <f t="shared" si="23"/>
        <v>10</v>
      </c>
      <c r="Q205" s="275">
        <f t="shared" si="23"/>
        <v>10</v>
      </c>
      <c r="R205" s="275">
        <f t="shared" si="23"/>
        <v>10</v>
      </c>
    </row>
    <row r="206">
      <c r="A206" s="12" t="s">
        <v>14</v>
      </c>
      <c r="B206" s="227" t="s">
        <v>2381</v>
      </c>
      <c r="C206" s="74" t="str">
        <f t="shared" si="22"/>
        <v>Sexta-Feira</v>
      </c>
      <c r="D206" s="512" t="str">
        <f>IF(C206&lt;&gt;"Quarta-Feira","14:20","09:20")</f>
        <v>14:20</v>
      </c>
      <c r="E206" s="287" t="s">
        <v>1191</v>
      </c>
      <c r="F206" s="74">
        <v>7.0420952947889E14</v>
      </c>
      <c r="G206" s="167" t="s">
        <v>1192</v>
      </c>
      <c r="H206" s="83">
        <v>17562.0</v>
      </c>
      <c r="I206" s="34" t="s">
        <v>183</v>
      </c>
      <c r="J206" s="74"/>
      <c r="K206" s="74"/>
      <c r="R206" s="67"/>
    </row>
    <row r="207">
      <c r="A207" s="12" t="s">
        <v>15</v>
      </c>
      <c r="B207" s="227" t="s">
        <v>2384</v>
      </c>
      <c r="C207" s="74" t="str">
        <f t="shared" si="22"/>
        <v>Sexta-Feira</v>
      </c>
      <c r="D207" s="512" t="str">
        <f>IF(C207&lt;&gt;"Quarta-Feira","14:40","09:40")</f>
        <v>14:40</v>
      </c>
      <c r="E207" s="287" t="s">
        <v>2506</v>
      </c>
      <c r="F207" s="74">
        <v>7.0050697124695E14</v>
      </c>
      <c r="G207" s="167" t="s">
        <v>2507</v>
      </c>
      <c r="H207" s="83">
        <v>20706.0</v>
      </c>
      <c r="I207" s="34" t="s">
        <v>183</v>
      </c>
      <c r="J207" s="74"/>
      <c r="K207" s="74"/>
      <c r="R207" s="67"/>
    </row>
    <row r="208">
      <c r="A208" s="12" t="s">
        <v>16</v>
      </c>
      <c r="B208" s="227" t="s">
        <v>2387</v>
      </c>
      <c r="C208" s="74" t="str">
        <f t="shared" si="22"/>
        <v>Sexta-Feira</v>
      </c>
      <c r="D208" s="512" t="str">
        <f>IF(C208&lt;&gt;"Quarta-Feira","15:00","10:00")</f>
        <v>15:00</v>
      </c>
      <c r="E208" s="287" t="s">
        <v>2508</v>
      </c>
      <c r="F208" s="459">
        <v>7.00508984242055E14</v>
      </c>
      <c r="G208" s="167" t="s">
        <v>2509</v>
      </c>
      <c r="H208" s="83">
        <v>29425.0</v>
      </c>
      <c r="I208" s="34" t="s">
        <v>183</v>
      </c>
      <c r="J208" s="74"/>
      <c r="K208" s="74"/>
      <c r="R208" s="67"/>
    </row>
    <row r="209">
      <c r="A209" s="12" t="s">
        <v>17</v>
      </c>
      <c r="B209" s="227" t="s">
        <v>2390</v>
      </c>
      <c r="C209" s="74" t="str">
        <f t="shared" si="22"/>
        <v>Sexta-Feira</v>
      </c>
      <c r="D209" s="512" t="str">
        <f>IF(C209&lt;&gt;"Quarta-Feira","15:20","10:20")</f>
        <v>15:20</v>
      </c>
      <c r="E209" s="287"/>
      <c r="F209" s="74">
        <v>8.98001454250838E14</v>
      </c>
      <c r="G209" s="167" t="s">
        <v>2510</v>
      </c>
      <c r="H209" s="83">
        <v>27441.0</v>
      </c>
      <c r="I209" s="34" t="s">
        <v>183</v>
      </c>
      <c r="J209" s="74"/>
      <c r="K209" s="74"/>
      <c r="R209" s="67"/>
    </row>
    <row r="210">
      <c r="A210" s="12" t="s">
        <v>85</v>
      </c>
      <c r="B210" s="227" t="s">
        <v>2384</v>
      </c>
      <c r="C210" s="74" t="str">
        <f t="shared" si="22"/>
        <v>Sexta-Feira</v>
      </c>
      <c r="D210" s="512" t="str">
        <f>IF(C210&lt;&gt;"Quarta-Feira","15:40","10:40")</f>
        <v>15:40</v>
      </c>
      <c r="E210" s="287"/>
      <c r="F210" s="74"/>
      <c r="G210" s="167"/>
      <c r="H210" s="83"/>
      <c r="I210" s="34" t="s">
        <v>2348</v>
      </c>
      <c r="J210" s="74"/>
      <c r="K210" s="74"/>
      <c r="R210" s="67"/>
    </row>
    <row r="211">
      <c r="A211" s="12" t="s">
        <v>87</v>
      </c>
      <c r="B211" s="227" t="s">
        <v>2381</v>
      </c>
      <c r="C211" s="74" t="str">
        <f t="shared" si="22"/>
        <v>Sexta-Feira</v>
      </c>
      <c r="D211" s="512" t="str">
        <f>IF(C211&lt;&gt;"Quarta-Feira","16:00","11:00")</f>
        <v>16:00</v>
      </c>
      <c r="E211" s="287" t="s">
        <v>2511</v>
      </c>
      <c r="F211" s="74">
        <v>7.08406775242162E14</v>
      </c>
      <c r="G211" s="167" t="s">
        <v>2512</v>
      </c>
      <c r="H211" s="166">
        <v>16454.0</v>
      </c>
      <c r="I211" s="34" t="s">
        <v>183</v>
      </c>
      <c r="J211" s="74"/>
      <c r="K211" s="74"/>
      <c r="R211" s="67"/>
    </row>
    <row r="212">
      <c r="A212" s="12" t="s">
        <v>90</v>
      </c>
      <c r="B212" s="227" t="s">
        <v>2381</v>
      </c>
      <c r="C212" s="74" t="str">
        <f t="shared" si="22"/>
        <v>Sexta-Feira</v>
      </c>
      <c r="D212" s="512" t="str">
        <f>IF(C212&lt;&gt;"Quarta-Feira","16:20","11:20")</f>
        <v>16:20</v>
      </c>
      <c r="E212" s="287" t="s">
        <v>2513</v>
      </c>
      <c r="F212" s="74">
        <v>7.08405713402068E14</v>
      </c>
      <c r="G212" s="167" t="s">
        <v>2514</v>
      </c>
      <c r="H212" s="166">
        <v>25981.0</v>
      </c>
      <c r="I212" s="34" t="s">
        <v>183</v>
      </c>
      <c r="J212" s="74"/>
      <c r="K212" s="74"/>
      <c r="R212" s="67"/>
    </row>
    <row r="213">
      <c r="A213" s="12" t="s">
        <v>93</v>
      </c>
      <c r="B213" s="227" t="s">
        <v>2381</v>
      </c>
      <c r="C213" s="74" t="str">
        <f t="shared" si="22"/>
        <v>Sexta-Feira</v>
      </c>
      <c r="D213" s="512" t="str">
        <f>IF(C213&lt;&gt;"Quarta-Feira","16:40","11:40")</f>
        <v>16:40</v>
      </c>
      <c r="E213" s="287" t="s">
        <v>2515</v>
      </c>
      <c r="F213" s="74">
        <v>8.98000238427554E14</v>
      </c>
      <c r="G213" s="167" t="s">
        <v>2077</v>
      </c>
      <c r="H213" s="166">
        <v>22857.0</v>
      </c>
      <c r="I213" s="34" t="s">
        <v>183</v>
      </c>
      <c r="J213" s="74"/>
      <c r="K213" s="74"/>
      <c r="R213" s="67"/>
    </row>
    <row r="214">
      <c r="B214" s="182"/>
      <c r="E214" s="261"/>
      <c r="G214" s="182"/>
      <c r="J214" s="67"/>
      <c r="K214" s="67"/>
      <c r="R214" s="67"/>
    </row>
    <row r="215">
      <c r="B215" s="182"/>
      <c r="E215" s="261"/>
      <c r="G215" s="182"/>
      <c r="J215" s="67"/>
      <c r="K215" s="67"/>
      <c r="R215" s="67"/>
    </row>
    <row r="216">
      <c r="B216" s="182"/>
      <c r="E216" s="261"/>
      <c r="G216" s="182"/>
      <c r="J216" s="67"/>
      <c r="K216" s="67"/>
      <c r="R216" s="67"/>
    </row>
    <row r="217">
      <c r="A217" s="23" t="s">
        <v>378</v>
      </c>
      <c r="B217" s="2"/>
      <c r="C217" s="2"/>
      <c r="D217" s="2"/>
      <c r="E217" s="2"/>
      <c r="F217" s="2"/>
      <c r="G217" s="2"/>
      <c r="H217" s="2"/>
      <c r="I217" s="2"/>
      <c r="J217" s="2"/>
      <c r="K217" s="3"/>
      <c r="R217" s="67"/>
    </row>
    <row r="218">
      <c r="A218" s="24" t="str">
        <f>TEXT(DATE(VALUE(MID(A164,7,4)),VALUE(MID(A164,4,2)),VALUE(LEFT(A164,2)))+7,"dd/mm/yyyy")&amp;" 13h às 17h"</f>
        <v>30/03/2026 13h às 17h</v>
      </c>
      <c r="B218" s="2"/>
      <c r="C218" s="2"/>
      <c r="D218" s="2"/>
      <c r="E218" s="2"/>
      <c r="F218" s="2"/>
      <c r="G218" s="2"/>
      <c r="H218" s="2"/>
      <c r="I218" s="2"/>
      <c r="J218" s="2"/>
      <c r="K218" s="3"/>
      <c r="R218" s="67"/>
    </row>
    <row r="219">
      <c r="A219" s="25"/>
      <c r="B219" s="489" t="s">
        <v>3</v>
      </c>
      <c r="C219" s="27" t="s">
        <v>2</v>
      </c>
      <c r="D219" s="28" t="s">
        <v>5</v>
      </c>
      <c r="E219" s="29" t="s">
        <v>19</v>
      </c>
      <c r="F219" s="28" t="s">
        <v>6</v>
      </c>
      <c r="G219" s="264" t="s">
        <v>7</v>
      </c>
      <c r="H219" s="30" t="s">
        <v>8</v>
      </c>
      <c r="I219" s="31" t="s">
        <v>20</v>
      </c>
      <c r="J219" s="32" t="s">
        <v>21</v>
      </c>
      <c r="K219" s="32" t="s">
        <v>22</v>
      </c>
      <c r="R219" s="67"/>
    </row>
    <row r="220">
      <c r="A220" s="12" t="s">
        <v>10</v>
      </c>
      <c r="B220" s="227" t="s">
        <v>1981</v>
      </c>
      <c r="C220" s="74" t="str">
        <f t="shared" ref="C220:C231" si="24">PROPER(TEXT(DATE(MID($A$164,7,4),MID($A$164,4,2),LEFT($A$164,2)),"dddd"))</f>
        <v>Segunda-Feira</v>
      </c>
      <c r="D220" s="512" t="str">
        <f>IF(C220&lt;&gt;"Quarta-Feira","13:00","08:00")</f>
        <v>13:00</v>
      </c>
      <c r="E220" s="287" t="s">
        <v>2516</v>
      </c>
      <c r="F220" s="74">
        <v>8.01440415212761E14</v>
      </c>
      <c r="G220" s="167" t="s">
        <v>2517</v>
      </c>
      <c r="H220" s="211">
        <v>30011.0</v>
      </c>
      <c r="I220" s="34" t="s">
        <v>1823</v>
      </c>
      <c r="J220" s="74"/>
      <c r="K220" s="74"/>
      <c r="N220" s="268" t="s">
        <v>387</v>
      </c>
      <c r="O220" s="100"/>
      <c r="P220" s="100"/>
      <c r="Q220" s="100"/>
      <c r="R220" s="100"/>
    </row>
    <row r="221">
      <c r="A221" s="12" t="s">
        <v>11</v>
      </c>
      <c r="B221" s="227" t="s">
        <v>1985</v>
      </c>
      <c r="C221" s="74" t="str">
        <f t="shared" si="24"/>
        <v>Segunda-Feira</v>
      </c>
      <c r="D221" s="512" t="str">
        <f>IF(C221&lt;&gt;"Quarta-Feira","13:20","08:20")</f>
        <v>13:20</v>
      </c>
      <c r="E221" s="287" t="s">
        <v>2518</v>
      </c>
      <c r="F221" s="74">
        <v>1.24217275390002E14</v>
      </c>
      <c r="G221" s="167" t="s">
        <v>2519</v>
      </c>
      <c r="H221" s="211">
        <v>23181.0</v>
      </c>
      <c r="I221" s="34" t="s">
        <v>1823</v>
      </c>
      <c r="J221" s="74"/>
      <c r="K221" s="74"/>
      <c r="N221" s="270" t="s">
        <v>1824</v>
      </c>
      <c r="O221" s="2"/>
      <c r="P221" s="2"/>
      <c r="Q221" s="2"/>
      <c r="R221" s="2"/>
    </row>
    <row r="222">
      <c r="A222" s="12" t="s">
        <v>12</v>
      </c>
      <c r="B222" s="227" t="s">
        <v>1989</v>
      </c>
      <c r="C222" s="74" t="str">
        <f t="shared" si="24"/>
        <v>Segunda-Feira</v>
      </c>
      <c r="D222" s="512" t="str">
        <f>IF(C222&lt;&gt;"Quarta-Feira","13:40","08:40")</f>
        <v>13:40</v>
      </c>
      <c r="E222" s="287" t="s">
        <v>2520</v>
      </c>
      <c r="F222" s="74">
        <v>8.01440401127481E14</v>
      </c>
      <c r="G222" s="167" t="s">
        <v>2521</v>
      </c>
      <c r="H222" s="211">
        <v>17106.0</v>
      </c>
      <c r="I222" s="34" t="s">
        <v>183</v>
      </c>
      <c r="J222" s="74"/>
      <c r="K222" s="74"/>
      <c r="N222" s="271" t="s">
        <v>183</v>
      </c>
      <c r="O222" s="272" t="s">
        <v>195</v>
      </c>
      <c r="P222" s="272" t="s">
        <v>181</v>
      </c>
      <c r="Q222" s="273" t="s">
        <v>173</v>
      </c>
      <c r="R222" s="286" t="s">
        <v>1823</v>
      </c>
    </row>
    <row r="223">
      <c r="A223" s="12" t="s">
        <v>13</v>
      </c>
      <c r="B223" s="227" t="s">
        <v>1992</v>
      </c>
      <c r="C223" s="74" t="str">
        <f t="shared" si="24"/>
        <v>Segunda-Feira</v>
      </c>
      <c r="D223" s="512" t="str">
        <f>IF(C223&lt;&gt;"Quarta-Feira","14:00","09:00")</f>
        <v>14:00</v>
      </c>
      <c r="E223" s="287" t="s">
        <v>2522</v>
      </c>
      <c r="F223" s="74">
        <v>8.01440402513571E14</v>
      </c>
      <c r="G223" s="167" t="s">
        <v>2523</v>
      </c>
      <c r="H223" s="211">
        <v>21573.0</v>
      </c>
      <c r="I223" s="34" t="s">
        <v>183</v>
      </c>
      <c r="J223" s="74"/>
      <c r="K223" s="74"/>
      <c r="N223" s="275">
        <f t="shared" ref="N223:R223" si="25">COUNTIFS($I$220:$I$231,$N$168)</f>
        <v>9</v>
      </c>
      <c r="O223" s="275">
        <f t="shared" si="25"/>
        <v>9</v>
      </c>
      <c r="P223" s="275">
        <f t="shared" si="25"/>
        <v>9</v>
      </c>
      <c r="Q223" s="275">
        <f t="shared" si="25"/>
        <v>9</v>
      </c>
      <c r="R223" s="275">
        <f t="shared" si="25"/>
        <v>9</v>
      </c>
    </row>
    <row r="224">
      <c r="A224" s="12" t="s">
        <v>14</v>
      </c>
      <c r="B224" s="227" t="s">
        <v>1981</v>
      </c>
      <c r="C224" s="74" t="str">
        <f t="shared" si="24"/>
        <v>Segunda-Feira</v>
      </c>
      <c r="D224" s="512" t="str">
        <f>IF(C224&lt;&gt;"Quarta-Feira","14:20","09:20")</f>
        <v>14:20</v>
      </c>
      <c r="E224" s="287" t="s">
        <v>2524</v>
      </c>
      <c r="F224" s="74">
        <v>8.98001475324679E14</v>
      </c>
      <c r="G224" s="167" t="s">
        <v>2525</v>
      </c>
      <c r="H224" s="211">
        <v>19661.0</v>
      </c>
      <c r="I224" s="34" t="s">
        <v>183</v>
      </c>
      <c r="J224" s="74"/>
      <c r="K224" s="74"/>
      <c r="R224" s="67"/>
    </row>
    <row r="225">
      <c r="A225" s="12" t="s">
        <v>15</v>
      </c>
      <c r="B225" s="227" t="s">
        <v>1985</v>
      </c>
      <c r="C225" s="74" t="str">
        <f t="shared" si="24"/>
        <v>Segunda-Feira</v>
      </c>
      <c r="D225" s="512" t="str">
        <f>IF(C225&lt;&gt;"Quarta-Feira","14:40","09:40")</f>
        <v>14:40</v>
      </c>
      <c r="E225" s="287" t="s">
        <v>2526</v>
      </c>
      <c r="F225" s="74">
        <v>7.00007411173309E14</v>
      </c>
      <c r="G225" s="167" t="s">
        <v>2527</v>
      </c>
      <c r="H225" s="211">
        <v>25789.0</v>
      </c>
      <c r="I225" s="34" t="s">
        <v>183</v>
      </c>
      <c r="J225" s="74"/>
      <c r="K225" s="74"/>
      <c r="R225" s="67"/>
    </row>
    <row r="226">
      <c r="A226" s="12" t="s">
        <v>16</v>
      </c>
      <c r="B226" s="227" t="s">
        <v>1989</v>
      </c>
      <c r="C226" s="74" t="str">
        <f t="shared" si="24"/>
        <v>Segunda-Feira</v>
      </c>
      <c r="D226" s="512" t="str">
        <f>IF(C226&lt;&gt;"Quarta-Feira","15:00","10:00")</f>
        <v>15:00</v>
      </c>
      <c r="E226" s="287" t="s">
        <v>2528</v>
      </c>
      <c r="F226" s="74">
        <v>8.0143417882642E14</v>
      </c>
      <c r="G226" s="167" t="s">
        <v>2529</v>
      </c>
      <c r="H226" s="211">
        <v>19274.0</v>
      </c>
      <c r="I226" s="34" t="s">
        <v>183</v>
      </c>
      <c r="J226" s="74"/>
      <c r="K226" s="74"/>
      <c r="R226" s="67"/>
    </row>
    <row r="227">
      <c r="A227" s="12" t="s">
        <v>17</v>
      </c>
      <c r="B227" s="227" t="s">
        <v>1992</v>
      </c>
      <c r="C227" s="74" t="str">
        <f t="shared" si="24"/>
        <v>Segunda-Feira</v>
      </c>
      <c r="D227" s="512" t="str">
        <f>IF(C227&lt;&gt;"Quarta-Feira","15:20","10:20")</f>
        <v>15:20</v>
      </c>
      <c r="E227" s="287" t="s">
        <v>2530</v>
      </c>
      <c r="F227" s="74">
        <v>8.01440402477036E14</v>
      </c>
      <c r="G227" s="167" t="s">
        <v>2531</v>
      </c>
      <c r="H227" s="211">
        <v>19470.0</v>
      </c>
      <c r="I227" s="34" t="s">
        <v>183</v>
      </c>
      <c r="J227" s="74"/>
      <c r="K227" s="74"/>
      <c r="R227" s="67"/>
    </row>
    <row r="228">
      <c r="A228" s="12" t="s">
        <v>85</v>
      </c>
      <c r="B228" s="227" t="s">
        <v>1981</v>
      </c>
      <c r="C228" s="74" t="str">
        <f t="shared" si="24"/>
        <v>Segunda-Feira</v>
      </c>
      <c r="D228" s="512" t="str">
        <f>IF(C228&lt;&gt;"Quarta-Feira","15:40","10:40")</f>
        <v>15:40</v>
      </c>
      <c r="E228" s="287" t="s">
        <v>2532</v>
      </c>
      <c r="F228" s="74">
        <v>7.07009850893437E14</v>
      </c>
      <c r="G228" s="167" t="s">
        <v>2533</v>
      </c>
      <c r="H228" s="211">
        <v>31021.0</v>
      </c>
      <c r="I228" s="34" t="s">
        <v>1823</v>
      </c>
      <c r="J228" s="74"/>
      <c r="K228" s="74"/>
      <c r="R228" s="67"/>
    </row>
    <row r="229">
      <c r="A229" s="12" t="s">
        <v>87</v>
      </c>
      <c r="B229" s="227" t="s">
        <v>1985</v>
      </c>
      <c r="C229" s="74" t="str">
        <f t="shared" si="24"/>
        <v>Segunda-Feira</v>
      </c>
      <c r="D229" s="512" t="str">
        <f>IF(C229&lt;&gt;"Quarta-Feira","16:00","11:00")</f>
        <v>16:00</v>
      </c>
      <c r="E229" s="287" t="s">
        <v>2534</v>
      </c>
      <c r="F229" s="74">
        <v>7.03606094960835E14</v>
      </c>
      <c r="G229" s="167" t="s">
        <v>2535</v>
      </c>
      <c r="H229" s="211">
        <v>28994.0</v>
      </c>
      <c r="I229" s="34" t="s">
        <v>183</v>
      </c>
      <c r="J229" s="74"/>
      <c r="K229" s="74"/>
      <c r="R229" s="67"/>
    </row>
    <row r="230">
      <c r="A230" s="12" t="s">
        <v>90</v>
      </c>
      <c r="B230" s="227" t="s">
        <v>1989</v>
      </c>
      <c r="C230" s="74" t="str">
        <f t="shared" si="24"/>
        <v>Segunda-Feira</v>
      </c>
      <c r="D230" s="512" t="str">
        <f>IF(C230&lt;&gt;"Quarta-Feira","16:20","11:20")</f>
        <v>16:20</v>
      </c>
      <c r="E230" s="287" t="s">
        <v>2536</v>
      </c>
      <c r="F230" s="287" t="s">
        <v>2537</v>
      </c>
      <c r="G230" s="167" t="s">
        <v>2538</v>
      </c>
      <c r="H230" s="211">
        <v>24304.0</v>
      </c>
      <c r="I230" s="34" t="s">
        <v>183</v>
      </c>
      <c r="J230" s="74"/>
      <c r="K230" s="74"/>
      <c r="R230" s="67"/>
    </row>
    <row r="231">
      <c r="A231" s="12" t="s">
        <v>93</v>
      </c>
      <c r="B231" s="227" t="s">
        <v>1992</v>
      </c>
      <c r="C231" s="74" t="str">
        <f t="shared" si="24"/>
        <v>Segunda-Feira</v>
      </c>
      <c r="D231" s="512" t="str">
        <f>IF(C231&lt;&gt;"Quarta-Feira","16:40","11:40")</f>
        <v>16:40</v>
      </c>
      <c r="E231" s="287" t="s">
        <v>2539</v>
      </c>
      <c r="F231" s="74">
        <v>7.08400706312666E14</v>
      </c>
      <c r="G231" s="167" t="s">
        <v>2540</v>
      </c>
      <c r="H231" s="211">
        <v>22890.0</v>
      </c>
      <c r="I231" s="34" t="s">
        <v>183</v>
      </c>
      <c r="J231" s="74"/>
      <c r="K231" s="74"/>
      <c r="R231" s="67"/>
    </row>
    <row r="232">
      <c r="B232" s="182"/>
      <c r="E232" s="261"/>
      <c r="G232" s="182"/>
      <c r="J232" s="67"/>
      <c r="K232" s="67"/>
      <c r="R232" s="67"/>
    </row>
    <row r="233">
      <c r="B233" s="182"/>
      <c r="E233" s="261"/>
      <c r="G233" s="182"/>
      <c r="J233" s="67"/>
      <c r="K233" s="67"/>
      <c r="R233" s="67"/>
    </row>
    <row r="234">
      <c r="B234" s="182"/>
      <c r="E234" s="261"/>
      <c r="G234" s="182"/>
      <c r="J234" s="67"/>
      <c r="K234" s="67"/>
      <c r="N234" s="268" t="s">
        <v>2080</v>
      </c>
      <c r="O234" s="100"/>
      <c r="P234" s="100"/>
      <c r="Q234" s="100"/>
      <c r="R234" s="100"/>
    </row>
    <row r="235">
      <c r="B235" s="182"/>
      <c r="E235" s="261"/>
      <c r="G235" s="182"/>
      <c r="J235" s="67"/>
      <c r="K235" s="67"/>
      <c r="N235" s="271" t="s">
        <v>183</v>
      </c>
      <c r="O235" s="272" t="s">
        <v>195</v>
      </c>
      <c r="P235" s="272" t="s">
        <v>181</v>
      </c>
      <c r="Q235" s="273" t="s">
        <v>173</v>
      </c>
      <c r="R235" s="286" t="s">
        <v>1823</v>
      </c>
    </row>
    <row r="236">
      <c r="B236" s="182"/>
      <c r="E236" s="261"/>
      <c r="G236" s="182"/>
      <c r="J236" s="67"/>
      <c r="K236" s="67"/>
      <c r="N236" s="458">
        <f t="shared" ref="N236:R236" si="26">SUM(N59:N230)</f>
        <v>92</v>
      </c>
      <c r="O236" s="458">
        <f t="shared" si="26"/>
        <v>41</v>
      </c>
      <c r="P236" s="458">
        <f t="shared" si="26"/>
        <v>41</v>
      </c>
      <c r="Q236" s="458">
        <f t="shared" si="26"/>
        <v>41</v>
      </c>
      <c r="R236" s="458">
        <f t="shared" si="26"/>
        <v>54</v>
      </c>
    </row>
    <row r="237">
      <c r="B237" s="182"/>
      <c r="E237" s="261"/>
      <c r="G237" s="182"/>
      <c r="J237" s="67"/>
      <c r="K237" s="67"/>
      <c r="R237" s="67"/>
    </row>
    <row r="238">
      <c r="B238" s="182"/>
      <c r="E238" s="261"/>
      <c r="G238" s="182"/>
      <c r="J238" s="67"/>
      <c r="K238" s="67"/>
      <c r="R238" s="67"/>
    </row>
    <row r="239">
      <c r="B239" s="182"/>
      <c r="E239" s="261"/>
      <c r="G239" s="182"/>
      <c r="J239" s="67"/>
      <c r="K239" s="67"/>
      <c r="R239" s="67"/>
    </row>
    <row r="240">
      <c r="B240" s="182"/>
      <c r="E240" s="261"/>
      <c r="G240" s="182"/>
      <c r="J240" s="67"/>
      <c r="K240" s="67"/>
      <c r="R240" s="67"/>
    </row>
    <row r="241">
      <c r="B241" s="182"/>
      <c r="E241" s="261"/>
      <c r="G241" s="182"/>
      <c r="J241" s="67"/>
      <c r="K241" s="67"/>
      <c r="R241" s="67"/>
    </row>
    <row r="242">
      <c r="B242" s="182"/>
      <c r="E242" s="261"/>
      <c r="G242" s="182"/>
      <c r="J242" s="67"/>
      <c r="K242" s="67"/>
      <c r="R242" s="67"/>
    </row>
    <row r="243">
      <c r="B243" s="182"/>
      <c r="E243" s="261"/>
      <c r="G243" s="182"/>
      <c r="J243" s="67"/>
      <c r="K243" s="67"/>
      <c r="R243" s="67"/>
    </row>
    <row r="244">
      <c r="B244" s="182"/>
      <c r="E244" s="261"/>
      <c r="G244" s="182"/>
      <c r="J244" s="67"/>
      <c r="K244" s="67"/>
      <c r="R244" s="67"/>
    </row>
    <row r="245">
      <c r="B245" s="182"/>
      <c r="E245" s="261"/>
      <c r="G245" s="182"/>
      <c r="J245" s="67"/>
      <c r="K245" s="67"/>
      <c r="R245" s="67"/>
    </row>
    <row r="246">
      <c r="B246" s="182"/>
      <c r="E246" s="261"/>
      <c r="G246" s="182"/>
      <c r="J246" s="67"/>
      <c r="K246" s="67"/>
      <c r="R246" s="67"/>
    </row>
    <row r="247">
      <c r="B247" s="182"/>
      <c r="E247" s="261"/>
      <c r="G247" s="182"/>
      <c r="J247" s="67"/>
      <c r="K247" s="67"/>
      <c r="R247" s="67"/>
    </row>
    <row r="248">
      <c r="B248" s="182"/>
      <c r="E248" s="261"/>
      <c r="G248" s="182"/>
      <c r="J248" s="67"/>
      <c r="K248" s="67"/>
      <c r="R248" s="67"/>
    </row>
    <row r="249">
      <c r="B249" s="182"/>
      <c r="E249" s="261"/>
      <c r="G249" s="182"/>
      <c r="J249" s="67"/>
      <c r="K249" s="67"/>
      <c r="R249" s="67"/>
    </row>
    <row r="250">
      <c r="B250" s="182"/>
      <c r="E250" s="261"/>
      <c r="G250" s="182"/>
      <c r="J250" s="67"/>
      <c r="K250" s="67"/>
      <c r="R250" s="67"/>
    </row>
    <row r="251">
      <c r="B251" s="182"/>
      <c r="E251" s="261"/>
      <c r="G251" s="182"/>
      <c r="J251" s="67"/>
      <c r="K251" s="67"/>
      <c r="R251" s="67"/>
    </row>
    <row r="252">
      <c r="B252" s="182"/>
      <c r="E252" s="261"/>
      <c r="G252" s="182"/>
      <c r="J252" s="67"/>
      <c r="K252" s="67"/>
      <c r="R252" s="67"/>
    </row>
    <row r="253">
      <c r="B253" s="182"/>
      <c r="E253" s="261"/>
      <c r="G253" s="182"/>
      <c r="J253" s="67"/>
      <c r="K253" s="67"/>
      <c r="R253" s="67"/>
    </row>
    <row r="254">
      <c r="B254" s="182"/>
      <c r="E254" s="261"/>
      <c r="G254" s="182"/>
      <c r="J254" s="67"/>
      <c r="K254" s="67"/>
      <c r="R254" s="67"/>
    </row>
    <row r="255">
      <c r="B255" s="182"/>
      <c r="E255" s="261"/>
      <c r="G255" s="182"/>
      <c r="J255" s="67"/>
      <c r="K255" s="67"/>
      <c r="R255" s="67"/>
    </row>
    <row r="256">
      <c r="B256" s="182"/>
      <c r="E256" s="261"/>
      <c r="G256" s="182"/>
      <c r="J256" s="67"/>
      <c r="K256" s="67"/>
      <c r="R256" s="67"/>
    </row>
    <row r="257">
      <c r="B257" s="182"/>
      <c r="E257" s="261"/>
      <c r="G257" s="182"/>
      <c r="J257" s="67"/>
      <c r="K257" s="67"/>
      <c r="R257" s="67"/>
    </row>
    <row r="258">
      <c r="B258" s="182"/>
      <c r="E258" s="261"/>
      <c r="G258" s="182"/>
      <c r="J258" s="67"/>
      <c r="K258" s="67"/>
      <c r="R258" s="67"/>
    </row>
    <row r="259">
      <c r="B259" s="182"/>
      <c r="E259" s="261"/>
      <c r="G259" s="182"/>
      <c r="J259" s="67"/>
      <c r="K259" s="67"/>
      <c r="R259" s="67"/>
    </row>
    <row r="260">
      <c r="B260" s="182"/>
      <c r="E260" s="261"/>
      <c r="G260" s="182"/>
      <c r="J260" s="67"/>
      <c r="K260" s="67"/>
      <c r="R260" s="67"/>
    </row>
    <row r="261">
      <c r="B261" s="182"/>
      <c r="E261" s="261"/>
      <c r="G261" s="182"/>
      <c r="J261" s="67"/>
      <c r="K261" s="67"/>
      <c r="R261" s="67"/>
    </row>
    <row r="262">
      <c r="B262" s="182"/>
      <c r="E262" s="261"/>
      <c r="G262" s="182"/>
      <c r="J262" s="67"/>
      <c r="K262" s="67"/>
      <c r="R262" s="67"/>
    </row>
    <row r="263">
      <c r="B263" s="182"/>
      <c r="E263" s="261"/>
      <c r="G263" s="182"/>
      <c r="J263" s="67"/>
      <c r="K263" s="67"/>
      <c r="R263" s="67"/>
    </row>
    <row r="264">
      <c r="B264" s="182"/>
      <c r="E264" s="261"/>
      <c r="G264" s="182"/>
      <c r="J264" s="67"/>
      <c r="K264" s="67"/>
      <c r="R264" s="67"/>
    </row>
    <row r="265">
      <c r="B265" s="182"/>
      <c r="E265" s="261"/>
      <c r="G265" s="182"/>
      <c r="J265" s="67"/>
      <c r="K265" s="67"/>
      <c r="R265" s="67"/>
    </row>
    <row r="266">
      <c r="B266" s="182"/>
      <c r="E266" s="261"/>
      <c r="G266" s="182"/>
      <c r="J266" s="67"/>
      <c r="K266" s="67"/>
      <c r="R266" s="67"/>
    </row>
    <row r="267">
      <c r="B267" s="182"/>
      <c r="E267" s="261"/>
      <c r="G267" s="182"/>
      <c r="J267" s="67"/>
      <c r="K267" s="67"/>
      <c r="R267" s="67"/>
    </row>
    <row r="268">
      <c r="B268" s="182"/>
      <c r="E268" s="261"/>
      <c r="G268" s="182"/>
      <c r="J268" s="67"/>
      <c r="K268" s="67"/>
      <c r="R268" s="67"/>
    </row>
    <row r="269">
      <c r="B269" s="182"/>
      <c r="E269" s="261"/>
      <c r="G269" s="182"/>
      <c r="J269" s="67"/>
      <c r="K269" s="67"/>
      <c r="R269" s="67"/>
    </row>
    <row r="270">
      <c r="B270" s="182"/>
      <c r="E270" s="261"/>
      <c r="G270" s="182"/>
      <c r="J270" s="67"/>
      <c r="K270" s="67"/>
      <c r="R270" s="67"/>
    </row>
    <row r="271">
      <c r="B271" s="182"/>
      <c r="E271" s="261"/>
      <c r="G271" s="182"/>
      <c r="J271" s="67"/>
      <c r="K271" s="67"/>
      <c r="R271" s="67"/>
    </row>
    <row r="272">
      <c r="B272" s="182"/>
      <c r="E272" s="261"/>
      <c r="G272" s="182"/>
      <c r="J272" s="67"/>
      <c r="K272" s="67"/>
      <c r="R272" s="67"/>
    </row>
    <row r="273">
      <c r="B273" s="182"/>
      <c r="E273" s="261"/>
      <c r="G273" s="182"/>
      <c r="J273" s="67"/>
      <c r="K273" s="67"/>
      <c r="R273" s="67"/>
    </row>
    <row r="274">
      <c r="B274" s="182"/>
      <c r="E274" s="261"/>
      <c r="G274" s="182"/>
      <c r="J274" s="67"/>
      <c r="K274" s="67"/>
      <c r="R274" s="67"/>
    </row>
    <row r="275">
      <c r="B275" s="182"/>
      <c r="E275" s="261"/>
      <c r="G275" s="182"/>
      <c r="J275" s="67"/>
      <c r="K275" s="67"/>
      <c r="R275" s="67"/>
    </row>
    <row r="276">
      <c r="B276" s="182"/>
      <c r="E276" s="261"/>
      <c r="G276" s="182"/>
      <c r="J276" s="67"/>
      <c r="K276" s="67"/>
      <c r="R276" s="67"/>
    </row>
    <row r="277">
      <c r="B277" s="182"/>
      <c r="E277" s="261"/>
      <c r="G277" s="182"/>
      <c r="J277" s="67"/>
      <c r="K277" s="67"/>
      <c r="R277" s="67"/>
    </row>
    <row r="278">
      <c r="B278" s="182"/>
      <c r="E278" s="261"/>
      <c r="G278" s="182"/>
      <c r="J278" s="67"/>
      <c r="K278" s="67"/>
      <c r="R278" s="67"/>
    </row>
    <row r="279">
      <c r="B279" s="182"/>
      <c r="E279" s="261"/>
      <c r="G279" s="182"/>
      <c r="J279" s="67"/>
      <c r="K279" s="67"/>
      <c r="R279" s="67"/>
    </row>
    <row r="280">
      <c r="B280" s="182"/>
      <c r="E280" s="261"/>
      <c r="G280" s="182"/>
      <c r="J280" s="67"/>
      <c r="K280" s="67"/>
      <c r="R280" s="67"/>
    </row>
    <row r="281">
      <c r="B281" s="182"/>
      <c r="E281" s="261"/>
      <c r="G281" s="182"/>
      <c r="J281" s="67"/>
      <c r="K281" s="67"/>
      <c r="R281" s="67"/>
    </row>
    <row r="282">
      <c r="B282" s="182"/>
      <c r="E282" s="261"/>
      <c r="G282" s="182"/>
      <c r="J282" s="67"/>
      <c r="K282" s="67"/>
      <c r="R282" s="67"/>
    </row>
    <row r="283">
      <c r="B283" s="182"/>
      <c r="E283" s="261"/>
      <c r="G283" s="182"/>
      <c r="J283" s="67"/>
      <c r="K283" s="67"/>
      <c r="R283" s="67"/>
    </row>
    <row r="284">
      <c r="B284" s="182"/>
      <c r="E284" s="261"/>
      <c r="G284" s="182"/>
      <c r="J284" s="67"/>
      <c r="K284" s="67"/>
      <c r="R284" s="67"/>
    </row>
    <row r="285">
      <c r="B285" s="182"/>
      <c r="E285" s="261"/>
      <c r="G285" s="182"/>
      <c r="J285" s="67"/>
      <c r="K285" s="67"/>
      <c r="R285" s="67"/>
    </row>
    <row r="286">
      <c r="B286" s="182"/>
      <c r="E286" s="261"/>
      <c r="G286" s="182"/>
      <c r="J286" s="67"/>
      <c r="K286" s="67"/>
      <c r="R286" s="67"/>
    </row>
    <row r="287">
      <c r="B287" s="182"/>
      <c r="E287" s="261"/>
      <c r="G287" s="182"/>
      <c r="J287" s="67"/>
      <c r="K287" s="67"/>
      <c r="R287" s="67"/>
    </row>
    <row r="288">
      <c r="B288" s="182"/>
      <c r="E288" s="261"/>
      <c r="G288" s="182"/>
      <c r="J288" s="67"/>
      <c r="K288" s="67"/>
      <c r="R288" s="67"/>
    </row>
    <row r="289">
      <c r="B289" s="182"/>
      <c r="E289" s="261"/>
      <c r="G289" s="182"/>
      <c r="J289" s="67"/>
      <c r="K289" s="67"/>
      <c r="R289" s="67"/>
    </row>
    <row r="290">
      <c r="B290" s="182"/>
      <c r="E290" s="261"/>
      <c r="G290" s="182"/>
      <c r="J290" s="67"/>
      <c r="K290" s="67"/>
      <c r="R290" s="67"/>
    </row>
    <row r="291">
      <c r="B291" s="182"/>
      <c r="E291" s="261"/>
      <c r="G291" s="182"/>
      <c r="J291" s="67"/>
      <c r="K291" s="67"/>
      <c r="R291" s="67"/>
    </row>
    <row r="292">
      <c r="B292" s="182"/>
      <c r="E292" s="261"/>
      <c r="G292" s="182"/>
      <c r="J292" s="67"/>
      <c r="K292" s="67"/>
      <c r="R292" s="67"/>
    </row>
    <row r="293">
      <c r="B293" s="182"/>
      <c r="E293" s="261"/>
      <c r="G293" s="182"/>
      <c r="J293" s="67"/>
      <c r="K293" s="67"/>
      <c r="R293" s="67"/>
    </row>
    <row r="294">
      <c r="B294" s="182"/>
      <c r="E294" s="261"/>
      <c r="G294" s="182"/>
      <c r="J294" s="67"/>
      <c r="K294" s="67"/>
      <c r="R294" s="67"/>
    </row>
    <row r="295">
      <c r="B295" s="182"/>
      <c r="E295" s="261"/>
      <c r="G295" s="182"/>
      <c r="J295" s="67"/>
      <c r="K295" s="67"/>
      <c r="R295" s="67"/>
    </row>
    <row r="296">
      <c r="B296" s="182"/>
      <c r="E296" s="261"/>
      <c r="G296" s="182"/>
      <c r="J296" s="67"/>
      <c r="K296" s="67"/>
      <c r="R296" s="67"/>
    </row>
    <row r="297">
      <c r="B297" s="182"/>
      <c r="E297" s="261"/>
      <c r="G297" s="182"/>
      <c r="J297" s="67"/>
      <c r="K297" s="67"/>
      <c r="R297" s="67"/>
    </row>
    <row r="298">
      <c r="B298" s="182"/>
      <c r="E298" s="261"/>
      <c r="G298" s="182"/>
      <c r="J298" s="67"/>
      <c r="K298" s="67"/>
      <c r="R298" s="67"/>
    </row>
    <row r="299">
      <c r="B299" s="182"/>
      <c r="E299" s="261"/>
      <c r="G299" s="182"/>
      <c r="J299" s="67"/>
      <c r="K299" s="67"/>
      <c r="R299" s="67"/>
    </row>
    <row r="300">
      <c r="B300" s="182"/>
      <c r="E300" s="261"/>
      <c r="G300" s="182"/>
      <c r="J300" s="67"/>
      <c r="K300" s="67"/>
      <c r="R300" s="67"/>
    </row>
    <row r="301">
      <c r="B301" s="182"/>
      <c r="E301" s="261"/>
      <c r="G301" s="182"/>
      <c r="J301" s="67"/>
      <c r="K301" s="67"/>
      <c r="R301" s="67"/>
    </row>
    <row r="302">
      <c r="B302" s="182"/>
      <c r="E302" s="261"/>
      <c r="G302" s="182"/>
      <c r="J302" s="67"/>
      <c r="K302" s="67"/>
      <c r="R302" s="67"/>
    </row>
    <row r="303">
      <c r="B303" s="182"/>
      <c r="E303" s="261"/>
      <c r="G303" s="182"/>
      <c r="J303" s="67"/>
      <c r="K303" s="67"/>
      <c r="R303" s="67"/>
    </row>
    <row r="304">
      <c r="B304" s="182"/>
      <c r="E304" s="261"/>
      <c r="G304" s="182"/>
      <c r="J304" s="67"/>
      <c r="K304" s="67"/>
      <c r="R304" s="67"/>
    </row>
    <row r="305">
      <c r="B305" s="182"/>
      <c r="E305" s="261"/>
      <c r="G305" s="182"/>
      <c r="J305" s="67"/>
      <c r="K305" s="67"/>
      <c r="R305" s="67"/>
    </row>
    <row r="306">
      <c r="B306" s="182"/>
      <c r="E306" s="261"/>
      <c r="G306" s="182"/>
      <c r="J306" s="67"/>
      <c r="K306" s="67"/>
      <c r="R306" s="67"/>
    </row>
    <row r="307">
      <c r="B307" s="182"/>
      <c r="E307" s="261"/>
      <c r="G307" s="182"/>
      <c r="J307" s="67"/>
      <c r="K307" s="67"/>
      <c r="R307" s="67"/>
    </row>
    <row r="308">
      <c r="B308" s="182"/>
      <c r="E308" s="261"/>
      <c r="G308" s="182"/>
      <c r="J308" s="67"/>
      <c r="K308" s="67"/>
      <c r="R308" s="67"/>
    </row>
    <row r="309">
      <c r="B309" s="182"/>
      <c r="E309" s="261"/>
      <c r="G309" s="182"/>
      <c r="J309" s="67"/>
      <c r="K309" s="67"/>
      <c r="R309" s="67"/>
    </row>
    <row r="310">
      <c r="B310" s="182"/>
      <c r="E310" s="261"/>
      <c r="G310" s="182"/>
      <c r="J310" s="67"/>
      <c r="K310" s="67"/>
      <c r="R310" s="67"/>
    </row>
    <row r="311">
      <c r="B311" s="182"/>
      <c r="E311" s="261"/>
      <c r="G311" s="182"/>
      <c r="J311" s="67"/>
      <c r="K311" s="67"/>
      <c r="R311" s="67"/>
    </row>
    <row r="312">
      <c r="B312" s="182"/>
      <c r="E312" s="261"/>
      <c r="G312" s="182"/>
      <c r="J312" s="67"/>
      <c r="K312" s="67"/>
      <c r="R312" s="67"/>
    </row>
    <row r="313">
      <c r="B313" s="182"/>
      <c r="E313" s="261"/>
      <c r="G313" s="182"/>
      <c r="J313" s="67"/>
      <c r="K313" s="67"/>
      <c r="R313" s="67"/>
    </row>
    <row r="314">
      <c r="B314" s="182"/>
      <c r="E314" s="261"/>
      <c r="G314" s="182"/>
      <c r="J314" s="67"/>
      <c r="K314" s="67"/>
      <c r="R314" s="67"/>
    </row>
    <row r="315">
      <c r="B315" s="182"/>
      <c r="E315" s="261"/>
      <c r="G315" s="182"/>
      <c r="J315" s="67"/>
      <c r="K315" s="67"/>
      <c r="R315" s="67"/>
    </row>
    <row r="316">
      <c r="B316" s="182"/>
      <c r="E316" s="261"/>
      <c r="G316" s="182"/>
      <c r="J316" s="67"/>
      <c r="K316" s="67"/>
      <c r="R316" s="67"/>
    </row>
    <row r="317">
      <c r="B317" s="182"/>
      <c r="E317" s="261"/>
      <c r="G317" s="182"/>
      <c r="J317" s="67"/>
      <c r="K317" s="67"/>
      <c r="R317" s="67"/>
    </row>
    <row r="318">
      <c r="B318" s="182"/>
      <c r="E318" s="261"/>
      <c r="G318" s="182"/>
      <c r="J318" s="67"/>
      <c r="K318" s="67"/>
      <c r="R318" s="67"/>
    </row>
    <row r="319">
      <c r="B319" s="182"/>
      <c r="E319" s="261"/>
      <c r="G319" s="182"/>
      <c r="J319" s="67"/>
      <c r="K319" s="67"/>
      <c r="R319" s="67"/>
    </row>
    <row r="320">
      <c r="B320" s="182"/>
      <c r="E320" s="261"/>
      <c r="G320" s="182"/>
      <c r="J320" s="67"/>
      <c r="K320" s="67"/>
      <c r="R320" s="67"/>
    </row>
    <row r="321">
      <c r="B321" s="182"/>
      <c r="E321" s="261"/>
      <c r="G321" s="182"/>
      <c r="J321" s="67"/>
      <c r="K321" s="67"/>
      <c r="R321" s="67"/>
    </row>
    <row r="322">
      <c r="B322" s="182"/>
      <c r="E322" s="261"/>
      <c r="G322" s="182"/>
      <c r="J322" s="67"/>
      <c r="K322" s="67"/>
      <c r="R322" s="67"/>
    </row>
    <row r="323">
      <c r="B323" s="182"/>
      <c r="E323" s="261"/>
      <c r="G323" s="182"/>
      <c r="J323" s="67"/>
      <c r="K323" s="67"/>
      <c r="R323" s="67"/>
    </row>
    <row r="324">
      <c r="B324" s="182"/>
      <c r="E324" s="261"/>
      <c r="G324" s="182"/>
      <c r="J324" s="67"/>
      <c r="K324" s="67"/>
      <c r="R324" s="67"/>
    </row>
    <row r="325">
      <c r="B325" s="182"/>
      <c r="E325" s="261"/>
      <c r="G325" s="182"/>
      <c r="J325" s="67"/>
      <c r="K325" s="67"/>
      <c r="R325" s="67"/>
    </row>
    <row r="326">
      <c r="B326" s="182"/>
      <c r="E326" s="261"/>
      <c r="G326" s="182"/>
      <c r="J326" s="67"/>
      <c r="K326" s="67"/>
      <c r="R326" s="67"/>
    </row>
    <row r="327">
      <c r="B327" s="182"/>
      <c r="E327" s="261"/>
      <c r="G327" s="182"/>
      <c r="J327" s="67"/>
      <c r="K327" s="67"/>
      <c r="R327" s="67"/>
    </row>
    <row r="328">
      <c r="B328" s="182"/>
      <c r="E328" s="261"/>
      <c r="G328" s="182"/>
      <c r="J328" s="67"/>
      <c r="K328" s="67"/>
      <c r="R328" s="67"/>
    </row>
    <row r="329">
      <c r="B329" s="182"/>
      <c r="E329" s="261"/>
      <c r="G329" s="182"/>
      <c r="J329" s="67"/>
      <c r="K329" s="67"/>
      <c r="R329" s="67"/>
    </row>
    <row r="330">
      <c r="B330" s="182"/>
      <c r="E330" s="261"/>
      <c r="G330" s="182"/>
      <c r="J330" s="67"/>
      <c r="K330" s="67"/>
      <c r="R330" s="67"/>
    </row>
    <row r="331">
      <c r="B331" s="182"/>
      <c r="E331" s="261"/>
      <c r="G331" s="182"/>
      <c r="J331" s="67"/>
      <c r="K331" s="67"/>
      <c r="R331" s="67"/>
    </row>
    <row r="332">
      <c r="B332" s="182"/>
      <c r="E332" s="261"/>
      <c r="G332" s="182"/>
      <c r="J332" s="67"/>
      <c r="K332" s="67"/>
      <c r="R332" s="67"/>
    </row>
    <row r="333">
      <c r="B333" s="182"/>
      <c r="E333" s="261"/>
      <c r="G333" s="182"/>
      <c r="J333" s="67"/>
      <c r="K333" s="67"/>
      <c r="R333" s="67"/>
    </row>
    <row r="334">
      <c r="B334" s="182"/>
      <c r="E334" s="261"/>
      <c r="G334" s="182"/>
      <c r="J334" s="67"/>
      <c r="K334" s="67"/>
      <c r="R334" s="67"/>
    </row>
    <row r="335">
      <c r="B335" s="182"/>
      <c r="E335" s="261"/>
      <c r="G335" s="182"/>
      <c r="J335" s="67"/>
      <c r="K335" s="67"/>
      <c r="R335" s="67"/>
    </row>
    <row r="336">
      <c r="B336" s="182"/>
      <c r="E336" s="261"/>
      <c r="G336" s="182"/>
      <c r="J336" s="67"/>
      <c r="K336" s="67"/>
      <c r="R336" s="67"/>
    </row>
    <row r="337">
      <c r="B337" s="182"/>
      <c r="E337" s="261"/>
      <c r="G337" s="182"/>
      <c r="J337" s="67"/>
      <c r="K337" s="67"/>
      <c r="R337" s="67"/>
    </row>
    <row r="338">
      <c r="B338" s="182"/>
      <c r="E338" s="261"/>
      <c r="G338" s="182"/>
      <c r="J338" s="67"/>
      <c r="K338" s="67"/>
      <c r="R338" s="67"/>
    </row>
    <row r="339">
      <c r="B339" s="182"/>
      <c r="E339" s="261"/>
      <c r="G339" s="182"/>
      <c r="J339" s="67"/>
      <c r="K339" s="67"/>
      <c r="R339" s="67"/>
    </row>
    <row r="340">
      <c r="B340" s="182"/>
      <c r="E340" s="261"/>
      <c r="G340" s="182"/>
      <c r="J340" s="67"/>
      <c r="K340" s="67"/>
      <c r="R340" s="67"/>
    </row>
    <row r="341">
      <c r="B341" s="182"/>
      <c r="E341" s="261"/>
      <c r="G341" s="182"/>
      <c r="J341" s="67"/>
      <c r="K341" s="67"/>
      <c r="R341" s="67"/>
    </row>
    <row r="342">
      <c r="B342" s="182"/>
      <c r="E342" s="261"/>
      <c r="G342" s="182"/>
      <c r="J342" s="67"/>
      <c r="K342" s="67"/>
      <c r="R342" s="67"/>
    </row>
    <row r="343">
      <c r="B343" s="182"/>
      <c r="E343" s="261"/>
      <c r="G343" s="182"/>
      <c r="J343" s="67"/>
      <c r="K343" s="67"/>
      <c r="R343" s="67"/>
    </row>
    <row r="344">
      <c r="B344" s="182"/>
      <c r="E344" s="261"/>
      <c r="G344" s="182"/>
      <c r="J344" s="67"/>
      <c r="K344" s="67"/>
      <c r="R344" s="67"/>
    </row>
    <row r="345">
      <c r="B345" s="182"/>
      <c r="E345" s="261"/>
      <c r="G345" s="182"/>
      <c r="J345" s="67"/>
      <c r="K345" s="67"/>
      <c r="R345" s="67"/>
    </row>
    <row r="346">
      <c r="B346" s="182"/>
      <c r="E346" s="261"/>
      <c r="G346" s="182"/>
      <c r="J346" s="67"/>
      <c r="K346" s="67"/>
      <c r="R346" s="67"/>
    </row>
    <row r="347">
      <c r="B347" s="182"/>
      <c r="E347" s="261"/>
      <c r="G347" s="182"/>
      <c r="J347" s="67"/>
      <c r="K347" s="67"/>
      <c r="R347" s="67"/>
    </row>
    <row r="348">
      <c r="B348" s="182"/>
      <c r="E348" s="261"/>
      <c r="G348" s="182"/>
      <c r="J348" s="67"/>
      <c r="K348" s="67"/>
      <c r="R348" s="67"/>
    </row>
    <row r="349">
      <c r="B349" s="182"/>
      <c r="E349" s="261"/>
      <c r="G349" s="182"/>
      <c r="J349" s="67"/>
      <c r="K349" s="67"/>
      <c r="R349" s="67"/>
    </row>
    <row r="350">
      <c r="B350" s="182"/>
      <c r="E350" s="261"/>
      <c r="G350" s="182"/>
      <c r="J350" s="67"/>
      <c r="K350" s="67"/>
      <c r="R350" s="67"/>
    </row>
    <row r="351">
      <c r="B351" s="182"/>
      <c r="E351" s="261"/>
      <c r="G351" s="182"/>
      <c r="J351" s="67"/>
      <c r="K351" s="67"/>
      <c r="R351" s="67"/>
    </row>
    <row r="352">
      <c r="B352" s="182"/>
      <c r="E352" s="261"/>
      <c r="G352" s="182"/>
      <c r="J352" s="67"/>
      <c r="K352" s="67"/>
      <c r="R352" s="67"/>
    </row>
    <row r="353">
      <c r="B353" s="182"/>
      <c r="E353" s="261"/>
      <c r="G353" s="182"/>
      <c r="J353" s="67"/>
      <c r="K353" s="67"/>
      <c r="R353" s="67"/>
    </row>
    <row r="354">
      <c r="B354" s="182"/>
      <c r="E354" s="261"/>
      <c r="G354" s="182"/>
      <c r="J354" s="67"/>
      <c r="K354" s="67"/>
      <c r="R354" s="67"/>
    </row>
    <row r="355">
      <c r="B355" s="182"/>
      <c r="E355" s="261"/>
      <c r="G355" s="182"/>
      <c r="J355" s="67"/>
      <c r="K355" s="67"/>
      <c r="R355" s="67"/>
    </row>
    <row r="356">
      <c r="B356" s="182"/>
      <c r="E356" s="261"/>
      <c r="G356" s="182"/>
      <c r="J356" s="67"/>
      <c r="K356" s="67"/>
      <c r="R356" s="67"/>
    </row>
    <row r="357">
      <c r="B357" s="182"/>
      <c r="E357" s="261"/>
      <c r="G357" s="182"/>
      <c r="J357" s="67"/>
      <c r="K357" s="67"/>
      <c r="R357" s="67"/>
    </row>
    <row r="358">
      <c r="B358" s="182"/>
      <c r="E358" s="261"/>
      <c r="G358" s="182"/>
      <c r="J358" s="67"/>
      <c r="K358" s="67"/>
      <c r="R358" s="67"/>
    </row>
    <row r="359">
      <c r="B359" s="182"/>
      <c r="E359" s="261"/>
      <c r="G359" s="182"/>
      <c r="J359" s="67"/>
      <c r="K359" s="67"/>
      <c r="R359" s="67"/>
    </row>
    <row r="360">
      <c r="B360" s="182"/>
      <c r="E360" s="261"/>
      <c r="G360" s="182"/>
      <c r="J360" s="67"/>
      <c r="K360" s="67"/>
      <c r="R360" s="67"/>
    </row>
    <row r="361">
      <c r="B361" s="182"/>
      <c r="E361" s="261"/>
      <c r="G361" s="182"/>
      <c r="J361" s="67"/>
      <c r="K361" s="67"/>
      <c r="R361" s="67"/>
    </row>
    <row r="362">
      <c r="B362" s="182"/>
      <c r="E362" s="261"/>
      <c r="G362" s="182"/>
      <c r="J362" s="67"/>
      <c r="K362" s="67"/>
      <c r="R362" s="67"/>
    </row>
    <row r="363">
      <c r="B363" s="182"/>
      <c r="E363" s="261"/>
      <c r="G363" s="182"/>
      <c r="J363" s="67"/>
      <c r="K363" s="67"/>
      <c r="R363" s="67"/>
    </row>
    <row r="364">
      <c r="B364" s="182"/>
      <c r="E364" s="261"/>
      <c r="G364" s="182"/>
      <c r="J364" s="67"/>
      <c r="K364" s="67"/>
      <c r="R364" s="67"/>
    </row>
    <row r="365">
      <c r="B365" s="182"/>
      <c r="E365" s="261"/>
      <c r="G365" s="182"/>
      <c r="J365" s="67"/>
      <c r="K365" s="67"/>
      <c r="R365" s="67"/>
    </row>
    <row r="366">
      <c r="B366" s="182"/>
      <c r="E366" s="261"/>
      <c r="G366" s="182"/>
      <c r="J366" s="67"/>
      <c r="K366" s="67"/>
      <c r="R366" s="67"/>
    </row>
    <row r="367">
      <c r="B367" s="182"/>
      <c r="E367" s="261"/>
      <c r="G367" s="182"/>
      <c r="J367" s="67"/>
      <c r="K367" s="67"/>
      <c r="R367" s="67"/>
    </row>
    <row r="368">
      <c r="B368" s="182"/>
      <c r="E368" s="261"/>
      <c r="G368" s="182"/>
      <c r="J368" s="67"/>
      <c r="K368" s="67"/>
      <c r="R368" s="67"/>
    </row>
    <row r="369">
      <c r="B369" s="182"/>
      <c r="E369" s="261"/>
      <c r="G369" s="182"/>
      <c r="J369" s="67"/>
      <c r="K369" s="67"/>
      <c r="R369" s="67"/>
    </row>
    <row r="370">
      <c r="B370" s="182"/>
      <c r="E370" s="261"/>
      <c r="G370" s="182"/>
      <c r="J370" s="67"/>
      <c r="K370" s="67"/>
      <c r="R370" s="67"/>
    </row>
    <row r="371">
      <c r="B371" s="182"/>
      <c r="E371" s="261"/>
      <c r="G371" s="182"/>
      <c r="J371" s="67"/>
      <c r="K371" s="67"/>
      <c r="R371" s="67"/>
    </row>
    <row r="372">
      <c r="B372" s="182"/>
      <c r="E372" s="261"/>
      <c r="G372" s="182"/>
      <c r="J372" s="67"/>
      <c r="K372" s="67"/>
      <c r="R372" s="67"/>
    </row>
    <row r="373">
      <c r="B373" s="182"/>
      <c r="E373" s="261"/>
      <c r="G373" s="182"/>
      <c r="J373" s="67"/>
      <c r="K373" s="67"/>
      <c r="R373" s="67"/>
    </row>
    <row r="374">
      <c r="B374" s="182"/>
      <c r="E374" s="261"/>
      <c r="G374" s="182"/>
      <c r="J374" s="67"/>
      <c r="K374" s="67"/>
      <c r="R374" s="67"/>
    </row>
    <row r="375">
      <c r="B375" s="182"/>
      <c r="E375" s="261"/>
      <c r="G375" s="182"/>
      <c r="J375" s="67"/>
      <c r="K375" s="67"/>
      <c r="R375" s="67"/>
    </row>
    <row r="376">
      <c r="B376" s="182"/>
      <c r="E376" s="261"/>
      <c r="G376" s="182"/>
      <c r="J376" s="67"/>
      <c r="K376" s="67"/>
      <c r="R376" s="67"/>
    </row>
    <row r="377">
      <c r="B377" s="182"/>
      <c r="E377" s="261"/>
      <c r="G377" s="182"/>
      <c r="J377" s="67"/>
      <c r="K377" s="67"/>
      <c r="R377" s="67"/>
    </row>
    <row r="378">
      <c r="B378" s="182"/>
      <c r="E378" s="261"/>
      <c r="G378" s="182"/>
      <c r="J378" s="67"/>
      <c r="K378" s="67"/>
      <c r="R378" s="67"/>
    </row>
    <row r="379">
      <c r="B379" s="182"/>
      <c r="E379" s="261"/>
      <c r="G379" s="182"/>
      <c r="J379" s="67"/>
      <c r="K379" s="67"/>
      <c r="R379" s="67"/>
    </row>
    <row r="380">
      <c r="B380" s="182"/>
      <c r="E380" s="261"/>
      <c r="G380" s="182"/>
      <c r="J380" s="67"/>
      <c r="K380" s="67"/>
      <c r="R380" s="67"/>
    </row>
    <row r="381">
      <c r="B381" s="182"/>
      <c r="E381" s="261"/>
      <c r="G381" s="182"/>
      <c r="J381" s="67"/>
      <c r="K381" s="67"/>
      <c r="R381" s="67"/>
    </row>
    <row r="382">
      <c r="B382" s="182"/>
      <c r="E382" s="261"/>
      <c r="G382" s="182"/>
      <c r="J382" s="67"/>
      <c r="K382" s="67"/>
      <c r="R382" s="67"/>
    </row>
    <row r="383">
      <c r="B383" s="182"/>
      <c r="E383" s="261"/>
      <c r="G383" s="182"/>
      <c r="J383" s="67"/>
      <c r="K383" s="67"/>
      <c r="R383" s="67"/>
    </row>
    <row r="384">
      <c r="B384" s="182"/>
      <c r="E384" s="261"/>
      <c r="G384" s="182"/>
      <c r="J384" s="67"/>
      <c r="K384" s="67"/>
      <c r="R384" s="67"/>
    </row>
    <row r="385">
      <c r="B385" s="182"/>
      <c r="E385" s="261"/>
      <c r="G385" s="182"/>
      <c r="J385" s="67"/>
      <c r="K385" s="67"/>
      <c r="R385" s="67"/>
    </row>
    <row r="386">
      <c r="B386" s="182"/>
      <c r="E386" s="261"/>
      <c r="G386" s="182"/>
      <c r="J386" s="67"/>
      <c r="K386" s="67"/>
      <c r="R386" s="67"/>
    </row>
    <row r="387">
      <c r="B387" s="182"/>
      <c r="E387" s="261"/>
      <c r="G387" s="182"/>
      <c r="J387" s="67"/>
      <c r="K387" s="67"/>
      <c r="R387" s="67"/>
    </row>
    <row r="388">
      <c r="B388" s="182"/>
      <c r="E388" s="261"/>
      <c r="G388" s="182"/>
      <c r="J388" s="67"/>
      <c r="K388" s="67"/>
      <c r="R388" s="67"/>
    </row>
    <row r="389">
      <c r="B389" s="182"/>
      <c r="E389" s="261"/>
      <c r="G389" s="182"/>
      <c r="J389" s="67"/>
      <c r="K389" s="67"/>
      <c r="R389" s="67"/>
    </row>
    <row r="390">
      <c r="B390" s="182"/>
      <c r="E390" s="261"/>
      <c r="G390" s="182"/>
      <c r="J390" s="67"/>
      <c r="K390" s="67"/>
      <c r="R390" s="67"/>
    </row>
    <row r="391">
      <c r="B391" s="182"/>
      <c r="E391" s="261"/>
      <c r="G391" s="182"/>
      <c r="J391" s="67"/>
      <c r="K391" s="67"/>
      <c r="R391" s="67"/>
    </row>
    <row r="392">
      <c r="B392" s="182"/>
      <c r="E392" s="261"/>
      <c r="G392" s="182"/>
      <c r="J392" s="67"/>
      <c r="K392" s="67"/>
      <c r="R392" s="67"/>
    </row>
    <row r="393">
      <c r="B393" s="182"/>
      <c r="E393" s="261"/>
      <c r="G393" s="182"/>
      <c r="J393" s="67"/>
      <c r="K393" s="67"/>
      <c r="R393" s="67"/>
    </row>
    <row r="394">
      <c r="B394" s="182"/>
      <c r="E394" s="261"/>
      <c r="G394" s="182"/>
      <c r="J394" s="67"/>
      <c r="K394" s="67"/>
      <c r="R394" s="67"/>
    </row>
    <row r="395">
      <c r="B395" s="182"/>
      <c r="E395" s="261"/>
      <c r="G395" s="182"/>
      <c r="J395" s="67"/>
      <c r="K395" s="67"/>
      <c r="R395" s="67"/>
    </row>
    <row r="396">
      <c r="B396" s="182"/>
      <c r="E396" s="261"/>
      <c r="G396" s="182"/>
      <c r="J396" s="67"/>
      <c r="K396" s="67"/>
      <c r="R396" s="67"/>
    </row>
    <row r="397">
      <c r="B397" s="182"/>
      <c r="E397" s="261"/>
      <c r="G397" s="182"/>
      <c r="J397" s="67"/>
      <c r="K397" s="67"/>
      <c r="R397" s="67"/>
    </row>
    <row r="398">
      <c r="B398" s="182"/>
      <c r="E398" s="261"/>
      <c r="G398" s="182"/>
      <c r="J398" s="67"/>
      <c r="K398" s="67"/>
      <c r="R398" s="67"/>
    </row>
    <row r="399">
      <c r="B399" s="182"/>
      <c r="E399" s="261"/>
      <c r="G399" s="182"/>
      <c r="J399" s="67"/>
      <c r="K399" s="67"/>
      <c r="R399" s="67"/>
    </row>
    <row r="400">
      <c r="B400" s="182"/>
      <c r="E400" s="261"/>
      <c r="G400" s="182"/>
      <c r="J400" s="67"/>
      <c r="K400" s="67"/>
      <c r="R400" s="67"/>
    </row>
    <row r="401">
      <c r="B401" s="182"/>
      <c r="E401" s="261"/>
      <c r="G401" s="182"/>
      <c r="J401" s="67"/>
      <c r="K401" s="67"/>
      <c r="R401" s="67"/>
    </row>
    <row r="402">
      <c r="B402" s="182"/>
      <c r="E402" s="261"/>
      <c r="G402" s="182"/>
      <c r="J402" s="67"/>
      <c r="K402" s="67"/>
      <c r="R402" s="67"/>
    </row>
    <row r="403">
      <c r="B403" s="182"/>
      <c r="E403" s="261"/>
      <c r="G403" s="182"/>
      <c r="J403" s="67"/>
      <c r="K403" s="67"/>
      <c r="R403" s="67"/>
    </row>
    <row r="404">
      <c r="B404" s="182"/>
      <c r="E404" s="261"/>
      <c r="G404" s="182"/>
      <c r="J404" s="67"/>
      <c r="K404" s="67"/>
      <c r="R404" s="67"/>
    </row>
    <row r="405">
      <c r="B405" s="182"/>
      <c r="E405" s="261"/>
      <c r="G405" s="182"/>
      <c r="J405" s="67"/>
      <c r="K405" s="67"/>
      <c r="R405" s="67"/>
    </row>
    <row r="406">
      <c r="B406" s="182"/>
      <c r="E406" s="261"/>
      <c r="G406" s="182"/>
      <c r="J406" s="67"/>
      <c r="K406" s="67"/>
      <c r="R406" s="67"/>
    </row>
    <row r="407">
      <c r="B407" s="182"/>
      <c r="E407" s="261"/>
      <c r="G407" s="182"/>
      <c r="J407" s="67"/>
      <c r="K407" s="67"/>
      <c r="R407" s="67"/>
    </row>
    <row r="408">
      <c r="B408" s="182"/>
      <c r="E408" s="261"/>
      <c r="G408" s="182"/>
      <c r="J408" s="67"/>
      <c r="K408" s="67"/>
      <c r="R408" s="67"/>
    </row>
    <row r="409">
      <c r="B409" s="182"/>
      <c r="E409" s="261"/>
      <c r="G409" s="182"/>
      <c r="J409" s="67"/>
      <c r="K409" s="67"/>
      <c r="R409" s="67"/>
    </row>
    <row r="410">
      <c r="B410" s="182"/>
      <c r="E410" s="261"/>
      <c r="G410" s="182"/>
      <c r="J410" s="67"/>
      <c r="K410" s="67"/>
      <c r="R410" s="67"/>
    </row>
    <row r="411">
      <c r="B411" s="182"/>
      <c r="E411" s="261"/>
      <c r="G411" s="182"/>
      <c r="J411" s="67"/>
      <c r="K411" s="67"/>
      <c r="R411" s="67"/>
    </row>
    <row r="412">
      <c r="B412" s="182"/>
      <c r="E412" s="261"/>
      <c r="G412" s="182"/>
      <c r="J412" s="67"/>
      <c r="K412" s="67"/>
      <c r="R412" s="67"/>
    </row>
    <row r="413">
      <c r="B413" s="182"/>
      <c r="E413" s="261"/>
      <c r="G413" s="182"/>
      <c r="J413" s="67"/>
      <c r="K413" s="67"/>
      <c r="R413" s="67"/>
    </row>
    <row r="414">
      <c r="B414" s="182"/>
      <c r="E414" s="261"/>
      <c r="G414" s="182"/>
      <c r="J414" s="67"/>
      <c r="K414" s="67"/>
      <c r="R414" s="67"/>
    </row>
    <row r="415">
      <c r="B415" s="182"/>
      <c r="E415" s="261"/>
      <c r="G415" s="182"/>
      <c r="J415" s="67"/>
      <c r="K415" s="67"/>
      <c r="R415" s="67"/>
    </row>
    <row r="416">
      <c r="B416" s="182"/>
      <c r="E416" s="261"/>
      <c r="G416" s="182"/>
      <c r="J416" s="67"/>
      <c r="K416" s="67"/>
      <c r="R416" s="67"/>
    </row>
    <row r="417">
      <c r="B417" s="182"/>
      <c r="E417" s="261"/>
      <c r="G417" s="182"/>
      <c r="J417" s="67"/>
      <c r="K417" s="67"/>
      <c r="R417" s="67"/>
    </row>
    <row r="418">
      <c r="B418" s="182"/>
      <c r="E418" s="261"/>
      <c r="G418" s="182"/>
      <c r="J418" s="67"/>
      <c r="K418" s="67"/>
      <c r="R418" s="67"/>
    </row>
    <row r="419">
      <c r="B419" s="182"/>
      <c r="E419" s="261"/>
      <c r="G419" s="182"/>
      <c r="J419" s="67"/>
      <c r="K419" s="67"/>
      <c r="R419" s="67"/>
    </row>
    <row r="420">
      <c r="B420" s="182"/>
      <c r="E420" s="261"/>
      <c r="G420" s="182"/>
      <c r="J420" s="67"/>
      <c r="K420" s="67"/>
      <c r="R420" s="67"/>
    </row>
    <row r="421">
      <c r="B421" s="182"/>
      <c r="E421" s="261"/>
      <c r="G421" s="182"/>
      <c r="J421" s="67"/>
      <c r="K421" s="67"/>
      <c r="R421" s="67"/>
    </row>
    <row r="422">
      <c r="B422" s="182"/>
      <c r="E422" s="261"/>
      <c r="G422" s="182"/>
      <c r="J422" s="67"/>
      <c r="K422" s="67"/>
      <c r="R422" s="67"/>
    </row>
    <row r="423">
      <c r="B423" s="182"/>
      <c r="E423" s="261"/>
      <c r="G423" s="182"/>
      <c r="J423" s="67"/>
      <c r="K423" s="67"/>
      <c r="R423" s="67"/>
    </row>
    <row r="424">
      <c r="B424" s="182"/>
      <c r="E424" s="261"/>
      <c r="G424" s="182"/>
      <c r="J424" s="67"/>
      <c r="K424" s="67"/>
      <c r="R424" s="67"/>
    </row>
    <row r="425">
      <c r="B425" s="182"/>
      <c r="E425" s="261"/>
      <c r="G425" s="182"/>
      <c r="J425" s="67"/>
      <c r="K425" s="67"/>
      <c r="R425" s="67"/>
    </row>
    <row r="426">
      <c r="B426" s="182"/>
      <c r="E426" s="261"/>
      <c r="G426" s="182"/>
      <c r="J426" s="67"/>
      <c r="K426" s="67"/>
      <c r="R426" s="67"/>
    </row>
    <row r="427">
      <c r="B427" s="182"/>
      <c r="E427" s="261"/>
      <c r="G427" s="182"/>
      <c r="J427" s="67"/>
      <c r="K427" s="67"/>
      <c r="R427" s="67"/>
    </row>
    <row r="428">
      <c r="B428" s="182"/>
      <c r="E428" s="261"/>
      <c r="G428" s="182"/>
      <c r="J428" s="67"/>
      <c r="K428" s="67"/>
      <c r="R428" s="67"/>
    </row>
    <row r="429">
      <c r="B429" s="182"/>
      <c r="E429" s="261"/>
      <c r="G429" s="182"/>
      <c r="J429" s="67"/>
      <c r="K429" s="67"/>
      <c r="R429" s="67"/>
    </row>
    <row r="430">
      <c r="B430" s="182"/>
      <c r="E430" s="261"/>
      <c r="G430" s="182"/>
      <c r="J430" s="67"/>
      <c r="K430" s="67"/>
      <c r="R430" s="67"/>
    </row>
    <row r="431">
      <c r="B431" s="182"/>
      <c r="E431" s="261"/>
      <c r="G431" s="182"/>
      <c r="J431" s="67"/>
      <c r="K431" s="67"/>
      <c r="R431" s="67"/>
    </row>
    <row r="432">
      <c r="B432" s="182"/>
      <c r="E432" s="261"/>
      <c r="G432" s="182"/>
      <c r="J432" s="67"/>
      <c r="K432" s="67"/>
      <c r="R432" s="67"/>
    </row>
    <row r="433">
      <c r="B433" s="182"/>
      <c r="E433" s="261"/>
      <c r="G433" s="182"/>
      <c r="J433" s="67"/>
      <c r="K433" s="67"/>
      <c r="R433" s="67"/>
    </row>
    <row r="434">
      <c r="B434" s="182"/>
      <c r="E434" s="261"/>
      <c r="G434" s="182"/>
      <c r="J434" s="67"/>
      <c r="K434" s="67"/>
      <c r="R434" s="67"/>
    </row>
    <row r="435">
      <c r="B435" s="182"/>
      <c r="E435" s="261"/>
      <c r="G435" s="182"/>
      <c r="J435" s="67"/>
      <c r="K435" s="67"/>
      <c r="R435" s="67"/>
    </row>
    <row r="436">
      <c r="B436" s="182"/>
      <c r="E436" s="261"/>
      <c r="G436" s="182"/>
      <c r="J436" s="67"/>
      <c r="K436" s="67"/>
      <c r="R436" s="67"/>
    </row>
    <row r="437">
      <c r="B437" s="182"/>
      <c r="E437" s="261"/>
      <c r="G437" s="182"/>
      <c r="J437" s="67"/>
      <c r="K437" s="67"/>
      <c r="R437" s="67"/>
    </row>
    <row r="438">
      <c r="B438" s="182"/>
      <c r="E438" s="261"/>
      <c r="G438" s="182"/>
      <c r="J438" s="67"/>
      <c r="K438" s="67"/>
      <c r="R438" s="67"/>
    </row>
    <row r="439">
      <c r="B439" s="182"/>
      <c r="E439" s="261"/>
      <c r="G439" s="182"/>
      <c r="J439" s="67"/>
      <c r="K439" s="67"/>
      <c r="R439" s="67"/>
    </row>
    <row r="440">
      <c r="B440" s="182"/>
      <c r="E440" s="261"/>
      <c r="G440" s="182"/>
      <c r="J440" s="67"/>
      <c r="K440" s="67"/>
      <c r="R440" s="67"/>
    </row>
    <row r="441">
      <c r="B441" s="182"/>
      <c r="E441" s="261"/>
      <c r="G441" s="182"/>
      <c r="J441" s="67"/>
      <c r="K441" s="67"/>
      <c r="R441" s="67"/>
    </row>
    <row r="442">
      <c r="B442" s="182"/>
      <c r="E442" s="261"/>
      <c r="G442" s="182"/>
      <c r="J442" s="67"/>
      <c r="K442" s="67"/>
      <c r="R442" s="67"/>
    </row>
    <row r="443">
      <c r="B443" s="182"/>
      <c r="E443" s="261"/>
      <c r="G443" s="182"/>
      <c r="J443" s="67"/>
      <c r="K443" s="67"/>
      <c r="R443" s="67"/>
    </row>
    <row r="444">
      <c r="B444" s="182"/>
      <c r="E444" s="261"/>
      <c r="G444" s="182"/>
      <c r="J444" s="67"/>
      <c r="K444" s="67"/>
      <c r="R444" s="67"/>
    </row>
    <row r="445">
      <c r="B445" s="182"/>
      <c r="E445" s="261"/>
      <c r="G445" s="182"/>
      <c r="J445" s="67"/>
      <c r="K445" s="67"/>
      <c r="R445" s="67"/>
    </row>
    <row r="446">
      <c r="B446" s="182"/>
      <c r="E446" s="261"/>
      <c r="G446" s="182"/>
      <c r="J446" s="67"/>
      <c r="K446" s="67"/>
      <c r="R446" s="67"/>
    </row>
    <row r="447">
      <c r="B447" s="182"/>
      <c r="E447" s="261"/>
      <c r="G447" s="182"/>
      <c r="J447" s="67"/>
      <c r="K447" s="67"/>
      <c r="R447" s="67"/>
    </row>
    <row r="448">
      <c r="B448" s="182"/>
      <c r="E448" s="261"/>
      <c r="G448" s="182"/>
      <c r="J448" s="67"/>
      <c r="K448" s="67"/>
      <c r="R448" s="67"/>
    </row>
    <row r="449">
      <c r="B449" s="182"/>
      <c r="E449" s="261"/>
      <c r="G449" s="182"/>
      <c r="J449" s="67"/>
      <c r="K449" s="67"/>
      <c r="R449" s="67"/>
    </row>
    <row r="450">
      <c r="B450" s="182"/>
      <c r="E450" s="261"/>
      <c r="G450" s="182"/>
      <c r="J450" s="67"/>
      <c r="K450" s="67"/>
      <c r="R450" s="67"/>
    </row>
    <row r="451">
      <c r="B451" s="182"/>
      <c r="E451" s="261"/>
      <c r="G451" s="182"/>
      <c r="J451" s="67"/>
      <c r="K451" s="67"/>
      <c r="R451" s="67"/>
    </row>
    <row r="452">
      <c r="B452" s="182"/>
      <c r="E452" s="261"/>
      <c r="G452" s="182"/>
      <c r="J452" s="67"/>
      <c r="K452" s="67"/>
      <c r="R452" s="67"/>
    </row>
    <row r="453">
      <c r="B453" s="182"/>
      <c r="E453" s="261"/>
      <c r="G453" s="182"/>
      <c r="J453" s="67"/>
      <c r="K453" s="67"/>
      <c r="R453" s="67"/>
    </row>
    <row r="454">
      <c r="B454" s="182"/>
      <c r="E454" s="261"/>
      <c r="G454" s="182"/>
      <c r="J454" s="67"/>
      <c r="K454" s="67"/>
      <c r="R454" s="67"/>
    </row>
    <row r="455">
      <c r="B455" s="182"/>
      <c r="E455" s="261"/>
      <c r="G455" s="182"/>
      <c r="J455" s="67"/>
      <c r="K455" s="67"/>
      <c r="R455" s="67"/>
    </row>
    <row r="456">
      <c r="B456" s="182"/>
      <c r="E456" s="261"/>
      <c r="G456" s="182"/>
      <c r="J456" s="67"/>
      <c r="K456" s="67"/>
      <c r="R456" s="67"/>
    </row>
    <row r="457">
      <c r="B457" s="182"/>
      <c r="E457" s="261"/>
      <c r="G457" s="182"/>
      <c r="J457" s="67"/>
      <c r="K457" s="67"/>
      <c r="R457" s="67"/>
    </row>
    <row r="458">
      <c r="B458" s="182"/>
      <c r="E458" s="261"/>
      <c r="G458" s="182"/>
      <c r="J458" s="67"/>
      <c r="K458" s="67"/>
      <c r="R458" s="67"/>
    </row>
    <row r="459">
      <c r="B459" s="182"/>
      <c r="E459" s="261"/>
      <c r="G459" s="182"/>
      <c r="J459" s="67"/>
      <c r="K459" s="67"/>
      <c r="R459" s="67"/>
    </row>
    <row r="460">
      <c r="B460" s="182"/>
      <c r="E460" s="261"/>
      <c r="G460" s="182"/>
      <c r="J460" s="67"/>
      <c r="K460" s="67"/>
      <c r="R460" s="67"/>
    </row>
    <row r="461">
      <c r="B461" s="182"/>
      <c r="E461" s="261"/>
      <c r="G461" s="182"/>
      <c r="J461" s="67"/>
      <c r="K461" s="67"/>
      <c r="R461" s="67"/>
    </row>
    <row r="462">
      <c r="B462" s="182"/>
      <c r="E462" s="261"/>
      <c r="G462" s="182"/>
      <c r="J462" s="67"/>
      <c r="K462" s="67"/>
      <c r="R462" s="67"/>
    </row>
    <row r="463">
      <c r="B463" s="182"/>
      <c r="E463" s="261"/>
      <c r="G463" s="182"/>
      <c r="J463" s="67"/>
      <c r="K463" s="67"/>
      <c r="R463" s="67"/>
    </row>
    <row r="464">
      <c r="B464" s="182"/>
      <c r="E464" s="261"/>
      <c r="G464" s="182"/>
      <c r="J464" s="67"/>
      <c r="K464" s="67"/>
      <c r="R464" s="67"/>
    </row>
    <row r="465">
      <c r="B465" s="182"/>
      <c r="E465" s="261"/>
      <c r="G465" s="182"/>
      <c r="J465" s="67"/>
      <c r="K465" s="67"/>
      <c r="R465" s="67"/>
    </row>
    <row r="466">
      <c r="B466" s="182"/>
      <c r="E466" s="261"/>
      <c r="G466" s="182"/>
      <c r="J466" s="67"/>
      <c r="K466" s="67"/>
      <c r="R466" s="67"/>
    </row>
    <row r="467">
      <c r="B467" s="182"/>
      <c r="E467" s="261"/>
      <c r="G467" s="182"/>
      <c r="J467" s="67"/>
      <c r="K467" s="67"/>
      <c r="R467" s="67"/>
    </row>
    <row r="468">
      <c r="B468" s="182"/>
      <c r="E468" s="261"/>
      <c r="G468" s="182"/>
      <c r="J468" s="67"/>
      <c r="K468" s="67"/>
      <c r="R468" s="67"/>
    </row>
    <row r="469">
      <c r="B469" s="182"/>
      <c r="E469" s="261"/>
      <c r="G469" s="182"/>
      <c r="J469" s="67"/>
      <c r="K469" s="67"/>
      <c r="R469" s="67"/>
    </row>
    <row r="470">
      <c r="B470" s="182"/>
      <c r="E470" s="261"/>
      <c r="G470" s="182"/>
      <c r="J470" s="67"/>
      <c r="K470" s="67"/>
      <c r="R470" s="67"/>
    </row>
    <row r="471">
      <c r="B471" s="182"/>
      <c r="E471" s="261"/>
      <c r="G471" s="182"/>
      <c r="J471" s="67"/>
      <c r="K471" s="67"/>
      <c r="R471" s="67"/>
    </row>
    <row r="472">
      <c r="B472" s="182"/>
      <c r="E472" s="261"/>
      <c r="G472" s="182"/>
      <c r="J472" s="67"/>
      <c r="K472" s="67"/>
      <c r="R472" s="67"/>
    </row>
    <row r="473">
      <c r="B473" s="182"/>
      <c r="E473" s="261"/>
      <c r="G473" s="182"/>
      <c r="J473" s="67"/>
      <c r="K473" s="67"/>
      <c r="R473" s="67"/>
    </row>
    <row r="474">
      <c r="B474" s="182"/>
      <c r="E474" s="261"/>
      <c r="G474" s="182"/>
      <c r="J474" s="67"/>
      <c r="K474" s="67"/>
      <c r="R474" s="67"/>
    </row>
    <row r="475">
      <c r="B475" s="182"/>
      <c r="E475" s="261"/>
      <c r="G475" s="182"/>
      <c r="J475" s="67"/>
      <c r="K475" s="67"/>
      <c r="R475" s="67"/>
    </row>
    <row r="476">
      <c r="B476" s="182"/>
      <c r="E476" s="261"/>
      <c r="G476" s="182"/>
      <c r="J476" s="67"/>
      <c r="K476" s="67"/>
      <c r="R476" s="67"/>
    </row>
    <row r="477">
      <c r="B477" s="182"/>
      <c r="E477" s="261"/>
      <c r="G477" s="182"/>
      <c r="J477" s="67"/>
      <c r="K477" s="67"/>
      <c r="R477" s="67"/>
    </row>
    <row r="478">
      <c r="B478" s="182"/>
      <c r="E478" s="261"/>
      <c r="G478" s="182"/>
      <c r="J478" s="67"/>
      <c r="K478" s="67"/>
      <c r="R478" s="67"/>
    </row>
    <row r="479">
      <c r="B479" s="182"/>
      <c r="E479" s="261"/>
      <c r="G479" s="182"/>
      <c r="J479" s="67"/>
      <c r="K479" s="67"/>
      <c r="R479" s="67"/>
    </row>
    <row r="480">
      <c r="B480" s="182"/>
      <c r="E480" s="261"/>
      <c r="G480" s="182"/>
      <c r="J480" s="67"/>
      <c r="K480" s="67"/>
      <c r="R480" s="67"/>
    </row>
    <row r="481">
      <c r="B481" s="182"/>
      <c r="E481" s="261"/>
      <c r="G481" s="182"/>
      <c r="J481" s="67"/>
      <c r="K481" s="67"/>
      <c r="R481" s="67"/>
    </row>
    <row r="482">
      <c r="B482" s="182"/>
      <c r="E482" s="261"/>
      <c r="G482" s="182"/>
      <c r="J482" s="67"/>
      <c r="K482" s="67"/>
      <c r="R482" s="67"/>
    </row>
    <row r="483">
      <c r="B483" s="182"/>
      <c r="E483" s="261"/>
      <c r="G483" s="182"/>
      <c r="J483" s="67"/>
      <c r="K483" s="67"/>
      <c r="R483" s="67"/>
    </row>
    <row r="484">
      <c r="B484" s="182"/>
      <c r="E484" s="261"/>
      <c r="G484" s="182"/>
      <c r="J484" s="67"/>
      <c r="K484" s="67"/>
      <c r="R484" s="67"/>
    </row>
    <row r="485">
      <c r="B485" s="182"/>
      <c r="E485" s="261"/>
      <c r="G485" s="182"/>
      <c r="J485" s="67"/>
      <c r="K485" s="67"/>
      <c r="R485" s="67"/>
    </row>
    <row r="486">
      <c r="B486" s="182"/>
      <c r="E486" s="261"/>
      <c r="G486" s="182"/>
      <c r="J486" s="67"/>
      <c r="K486" s="67"/>
      <c r="R486" s="67"/>
    </row>
    <row r="487">
      <c r="B487" s="182"/>
      <c r="E487" s="261"/>
      <c r="G487" s="182"/>
      <c r="J487" s="67"/>
      <c r="K487" s="67"/>
      <c r="R487" s="67"/>
    </row>
    <row r="488">
      <c r="B488" s="182"/>
      <c r="E488" s="261"/>
      <c r="G488" s="182"/>
      <c r="J488" s="67"/>
      <c r="K488" s="67"/>
      <c r="R488" s="67"/>
    </row>
    <row r="489">
      <c r="B489" s="182"/>
      <c r="E489" s="261"/>
      <c r="G489" s="182"/>
      <c r="J489" s="67"/>
      <c r="K489" s="67"/>
      <c r="R489" s="67"/>
    </row>
    <row r="490">
      <c r="B490" s="182"/>
      <c r="E490" s="261"/>
      <c r="G490" s="182"/>
      <c r="J490" s="67"/>
      <c r="K490" s="67"/>
      <c r="R490" s="67"/>
    </row>
    <row r="491">
      <c r="B491" s="182"/>
      <c r="E491" s="261"/>
      <c r="G491" s="182"/>
      <c r="J491" s="67"/>
      <c r="K491" s="67"/>
      <c r="R491" s="67"/>
    </row>
    <row r="492">
      <c r="B492" s="182"/>
      <c r="E492" s="261"/>
      <c r="G492" s="182"/>
      <c r="J492" s="67"/>
      <c r="K492" s="67"/>
      <c r="R492" s="67"/>
    </row>
    <row r="493">
      <c r="B493" s="182"/>
      <c r="E493" s="261"/>
      <c r="G493" s="182"/>
      <c r="J493" s="67"/>
      <c r="K493" s="67"/>
      <c r="R493" s="67"/>
    </row>
    <row r="494">
      <c r="B494" s="182"/>
      <c r="E494" s="261"/>
      <c r="G494" s="182"/>
      <c r="J494" s="67"/>
      <c r="K494" s="67"/>
      <c r="R494" s="67"/>
    </row>
    <row r="495">
      <c r="B495" s="182"/>
      <c r="E495" s="261"/>
      <c r="G495" s="182"/>
      <c r="J495" s="67"/>
      <c r="K495" s="67"/>
      <c r="R495" s="67"/>
    </row>
    <row r="496">
      <c r="B496" s="182"/>
      <c r="E496" s="261"/>
      <c r="G496" s="182"/>
      <c r="J496" s="67"/>
      <c r="K496" s="67"/>
      <c r="R496" s="67"/>
    </row>
    <row r="497">
      <c r="B497" s="182"/>
      <c r="E497" s="261"/>
      <c r="G497" s="182"/>
      <c r="J497" s="67"/>
      <c r="K497" s="67"/>
      <c r="R497" s="67"/>
    </row>
    <row r="498">
      <c r="B498" s="182"/>
      <c r="E498" s="261"/>
      <c r="G498" s="182"/>
      <c r="J498" s="67"/>
      <c r="K498" s="67"/>
      <c r="R498" s="67"/>
    </row>
    <row r="499">
      <c r="B499" s="182"/>
      <c r="E499" s="261"/>
      <c r="G499" s="182"/>
      <c r="J499" s="67"/>
      <c r="K499" s="67"/>
      <c r="R499" s="67"/>
    </row>
    <row r="500">
      <c r="B500" s="182"/>
      <c r="E500" s="261"/>
      <c r="G500" s="182"/>
      <c r="J500" s="67"/>
      <c r="K500" s="67"/>
      <c r="R500" s="67"/>
    </row>
    <row r="501">
      <c r="B501" s="182"/>
      <c r="E501" s="261"/>
      <c r="G501" s="182"/>
      <c r="J501" s="67"/>
      <c r="K501" s="67"/>
      <c r="R501" s="67"/>
    </row>
    <row r="502">
      <c r="B502" s="182"/>
      <c r="E502" s="261"/>
      <c r="G502" s="182"/>
      <c r="J502" s="67"/>
      <c r="K502" s="67"/>
      <c r="R502" s="67"/>
    </row>
    <row r="503">
      <c r="B503" s="182"/>
      <c r="E503" s="261"/>
      <c r="G503" s="182"/>
      <c r="J503" s="67"/>
      <c r="K503" s="67"/>
      <c r="R503" s="67"/>
    </row>
    <row r="504">
      <c r="B504" s="182"/>
      <c r="E504" s="261"/>
      <c r="G504" s="182"/>
      <c r="J504" s="67"/>
      <c r="K504" s="67"/>
      <c r="R504" s="67"/>
    </row>
    <row r="505">
      <c r="B505" s="182"/>
      <c r="E505" s="261"/>
      <c r="G505" s="182"/>
      <c r="J505" s="67"/>
      <c r="K505" s="67"/>
      <c r="R505" s="67"/>
    </row>
    <row r="506">
      <c r="B506" s="182"/>
      <c r="E506" s="261"/>
      <c r="G506" s="182"/>
      <c r="J506" s="67"/>
      <c r="K506" s="67"/>
      <c r="R506" s="67"/>
    </row>
    <row r="507">
      <c r="B507" s="182"/>
      <c r="E507" s="261"/>
      <c r="G507" s="182"/>
      <c r="J507" s="67"/>
      <c r="K507" s="67"/>
      <c r="R507" s="67"/>
    </row>
    <row r="508">
      <c r="B508" s="182"/>
      <c r="E508" s="261"/>
      <c r="G508" s="182"/>
      <c r="J508" s="67"/>
      <c r="K508" s="67"/>
      <c r="R508" s="67"/>
    </row>
    <row r="509">
      <c r="B509" s="182"/>
      <c r="E509" s="261"/>
      <c r="G509" s="182"/>
      <c r="J509" s="67"/>
      <c r="K509" s="67"/>
      <c r="R509" s="67"/>
    </row>
    <row r="510">
      <c r="B510" s="182"/>
      <c r="E510" s="261"/>
      <c r="G510" s="182"/>
      <c r="J510" s="67"/>
      <c r="K510" s="67"/>
      <c r="R510" s="67"/>
    </row>
    <row r="511">
      <c r="B511" s="182"/>
      <c r="E511" s="261"/>
      <c r="G511" s="182"/>
      <c r="J511" s="67"/>
      <c r="K511" s="67"/>
      <c r="R511" s="67"/>
    </row>
    <row r="512">
      <c r="B512" s="182"/>
      <c r="E512" s="261"/>
      <c r="G512" s="182"/>
      <c r="J512" s="67"/>
      <c r="K512" s="67"/>
      <c r="R512" s="67"/>
    </row>
    <row r="513">
      <c r="B513" s="182"/>
      <c r="E513" s="261"/>
      <c r="G513" s="182"/>
      <c r="J513" s="67"/>
      <c r="K513" s="67"/>
      <c r="R513" s="67"/>
    </row>
    <row r="514">
      <c r="B514" s="182"/>
      <c r="E514" s="261"/>
      <c r="G514" s="182"/>
      <c r="J514" s="67"/>
      <c r="K514" s="67"/>
      <c r="R514" s="67"/>
    </row>
    <row r="515">
      <c r="B515" s="182"/>
      <c r="E515" s="261"/>
      <c r="G515" s="182"/>
      <c r="J515" s="67"/>
      <c r="K515" s="67"/>
      <c r="R515" s="67"/>
    </row>
    <row r="516">
      <c r="B516" s="182"/>
      <c r="E516" s="261"/>
      <c r="G516" s="182"/>
      <c r="J516" s="67"/>
      <c r="K516" s="67"/>
      <c r="R516" s="67"/>
    </row>
    <row r="517">
      <c r="B517" s="182"/>
      <c r="E517" s="261"/>
      <c r="G517" s="182"/>
      <c r="J517" s="67"/>
      <c r="K517" s="67"/>
      <c r="R517" s="67"/>
    </row>
    <row r="518">
      <c r="B518" s="182"/>
      <c r="E518" s="261"/>
      <c r="G518" s="182"/>
      <c r="J518" s="67"/>
      <c r="K518" s="67"/>
      <c r="R518" s="67"/>
    </row>
    <row r="519">
      <c r="B519" s="182"/>
      <c r="E519" s="261"/>
      <c r="G519" s="182"/>
      <c r="J519" s="67"/>
      <c r="K519" s="67"/>
      <c r="R519" s="67"/>
    </row>
    <row r="520">
      <c r="B520" s="182"/>
      <c r="E520" s="261"/>
      <c r="G520" s="182"/>
      <c r="J520" s="67"/>
      <c r="K520" s="67"/>
      <c r="R520" s="67"/>
    </row>
    <row r="521">
      <c r="B521" s="182"/>
      <c r="E521" s="261"/>
      <c r="G521" s="182"/>
      <c r="J521" s="67"/>
      <c r="K521" s="67"/>
      <c r="R521" s="67"/>
    </row>
    <row r="522">
      <c r="B522" s="182"/>
      <c r="E522" s="261"/>
      <c r="G522" s="182"/>
      <c r="J522" s="67"/>
      <c r="K522" s="67"/>
      <c r="R522" s="67"/>
    </row>
    <row r="523">
      <c r="B523" s="182"/>
      <c r="E523" s="261"/>
      <c r="G523" s="182"/>
      <c r="J523" s="67"/>
      <c r="K523" s="67"/>
      <c r="R523" s="67"/>
    </row>
    <row r="524">
      <c r="B524" s="182"/>
      <c r="E524" s="261"/>
      <c r="G524" s="182"/>
      <c r="J524" s="67"/>
      <c r="K524" s="67"/>
      <c r="R524" s="67"/>
    </row>
    <row r="525">
      <c r="B525" s="182"/>
      <c r="E525" s="261"/>
      <c r="G525" s="182"/>
      <c r="J525" s="67"/>
      <c r="K525" s="67"/>
      <c r="R525" s="67"/>
    </row>
    <row r="526">
      <c r="B526" s="182"/>
      <c r="E526" s="261"/>
      <c r="G526" s="182"/>
      <c r="J526" s="67"/>
      <c r="K526" s="67"/>
      <c r="R526" s="67"/>
    </row>
    <row r="527">
      <c r="B527" s="182"/>
      <c r="E527" s="261"/>
      <c r="G527" s="182"/>
      <c r="J527" s="67"/>
      <c r="K527" s="67"/>
      <c r="R527" s="67"/>
    </row>
    <row r="528">
      <c r="B528" s="182"/>
      <c r="E528" s="261"/>
      <c r="G528" s="182"/>
      <c r="J528" s="67"/>
      <c r="K528" s="67"/>
      <c r="R528" s="67"/>
    </row>
    <row r="529">
      <c r="B529" s="182"/>
      <c r="E529" s="261"/>
      <c r="G529" s="182"/>
      <c r="J529" s="67"/>
      <c r="K529" s="67"/>
      <c r="R529" s="67"/>
    </row>
    <row r="530">
      <c r="B530" s="182"/>
      <c r="E530" s="261"/>
      <c r="G530" s="182"/>
      <c r="J530" s="67"/>
      <c r="K530" s="67"/>
      <c r="R530" s="67"/>
    </row>
    <row r="531">
      <c r="B531" s="182"/>
      <c r="E531" s="261"/>
      <c r="G531" s="182"/>
      <c r="J531" s="67"/>
      <c r="K531" s="67"/>
      <c r="R531" s="67"/>
    </row>
    <row r="532">
      <c r="B532" s="182"/>
      <c r="E532" s="261"/>
      <c r="G532" s="182"/>
      <c r="J532" s="67"/>
      <c r="K532" s="67"/>
      <c r="R532" s="67"/>
    </row>
    <row r="533">
      <c r="B533" s="182"/>
      <c r="E533" s="261"/>
      <c r="G533" s="182"/>
      <c r="J533" s="67"/>
      <c r="K533" s="67"/>
      <c r="R533" s="67"/>
    </row>
    <row r="534">
      <c r="B534" s="182"/>
      <c r="E534" s="261"/>
      <c r="G534" s="182"/>
      <c r="J534" s="67"/>
      <c r="K534" s="67"/>
      <c r="R534" s="67"/>
    </row>
    <row r="535">
      <c r="B535" s="182"/>
      <c r="E535" s="261"/>
      <c r="G535" s="182"/>
      <c r="J535" s="67"/>
      <c r="K535" s="67"/>
      <c r="R535" s="67"/>
    </row>
    <row r="536">
      <c r="B536" s="182"/>
      <c r="E536" s="261"/>
      <c r="G536" s="182"/>
      <c r="J536" s="67"/>
      <c r="K536" s="67"/>
      <c r="R536" s="67"/>
    </row>
    <row r="537">
      <c r="B537" s="182"/>
      <c r="E537" s="261"/>
      <c r="G537" s="182"/>
      <c r="J537" s="67"/>
      <c r="K537" s="67"/>
      <c r="R537" s="67"/>
    </row>
    <row r="538">
      <c r="B538" s="182"/>
      <c r="E538" s="261"/>
      <c r="G538" s="182"/>
      <c r="J538" s="67"/>
      <c r="K538" s="67"/>
      <c r="R538" s="67"/>
    </row>
    <row r="539">
      <c r="B539" s="182"/>
      <c r="E539" s="261"/>
      <c r="G539" s="182"/>
      <c r="J539" s="67"/>
      <c r="K539" s="67"/>
      <c r="R539" s="67"/>
    </row>
    <row r="540">
      <c r="B540" s="182"/>
      <c r="E540" s="261"/>
      <c r="G540" s="182"/>
      <c r="J540" s="67"/>
      <c r="K540" s="67"/>
      <c r="R540" s="67"/>
    </row>
    <row r="541">
      <c r="B541" s="182"/>
      <c r="E541" s="261"/>
      <c r="G541" s="182"/>
      <c r="J541" s="67"/>
      <c r="K541" s="67"/>
      <c r="R541" s="67"/>
    </row>
    <row r="542">
      <c r="B542" s="182"/>
      <c r="E542" s="261"/>
      <c r="G542" s="182"/>
      <c r="J542" s="67"/>
      <c r="K542" s="67"/>
      <c r="R542" s="67"/>
    </row>
    <row r="543">
      <c r="B543" s="182"/>
      <c r="E543" s="261"/>
      <c r="G543" s="182"/>
      <c r="J543" s="67"/>
      <c r="K543" s="67"/>
      <c r="R543" s="67"/>
    </row>
    <row r="544">
      <c r="B544" s="182"/>
      <c r="E544" s="261"/>
      <c r="G544" s="182"/>
      <c r="J544" s="67"/>
      <c r="K544" s="67"/>
      <c r="R544" s="67"/>
    </row>
    <row r="545">
      <c r="B545" s="182"/>
      <c r="E545" s="261"/>
      <c r="G545" s="182"/>
      <c r="J545" s="67"/>
      <c r="K545" s="67"/>
      <c r="R545" s="67"/>
    </row>
    <row r="546">
      <c r="B546" s="182"/>
      <c r="E546" s="261"/>
      <c r="G546" s="182"/>
      <c r="J546" s="67"/>
      <c r="K546" s="67"/>
      <c r="R546" s="67"/>
    </row>
    <row r="547">
      <c r="B547" s="182"/>
      <c r="E547" s="261"/>
      <c r="G547" s="182"/>
      <c r="J547" s="67"/>
      <c r="K547" s="67"/>
      <c r="R547" s="67"/>
    </row>
    <row r="548">
      <c r="B548" s="182"/>
      <c r="E548" s="261"/>
      <c r="G548" s="182"/>
      <c r="J548" s="67"/>
      <c r="K548" s="67"/>
      <c r="R548" s="67"/>
    </row>
    <row r="549">
      <c r="B549" s="182"/>
      <c r="E549" s="261"/>
      <c r="G549" s="182"/>
      <c r="J549" s="67"/>
      <c r="K549" s="67"/>
      <c r="R549" s="67"/>
    </row>
    <row r="550">
      <c r="B550" s="182"/>
      <c r="E550" s="261"/>
      <c r="G550" s="182"/>
      <c r="J550" s="67"/>
      <c r="K550" s="67"/>
      <c r="R550" s="67"/>
    </row>
    <row r="551">
      <c r="B551" s="182"/>
      <c r="E551" s="261"/>
      <c r="G551" s="182"/>
      <c r="J551" s="67"/>
      <c r="K551" s="67"/>
      <c r="R551" s="67"/>
    </row>
    <row r="552">
      <c r="B552" s="182"/>
      <c r="E552" s="261"/>
      <c r="G552" s="182"/>
      <c r="J552" s="67"/>
      <c r="K552" s="67"/>
      <c r="R552" s="67"/>
    </row>
    <row r="553">
      <c r="B553" s="182"/>
      <c r="E553" s="261"/>
      <c r="G553" s="182"/>
      <c r="J553" s="67"/>
      <c r="K553" s="67"/>
      <c r="R553" s="67"/>
    </row>
    <row r="554">
      <c r="B554" s="182"/>
      <c r="E554" s="261"/>
      <c r="G554" s="182"/>
      <c r="J554" s="67"/>
      <c r="K554" s="67"/>
      <c r="R554" s="67"/>
    </row>
    <row r="555">
      <c r="B555" s="182"/>
      <c r="E555" s="261"/>
      <c r="G555" s="182"/>
      <c r="J555" s="67"/>
      <c r="K555" s="67"/>
      <c r="R555" s="67"/>
    </row>
    <row r="556">
      <c r="B556" s="182"/>
      <c r="E556" s="261"/>
      <c r="G556" s="182"/>
      <c r="J556" s="67"/>
      <c r="K556" s="67"/>
      <c r="R556" s="67"/>
    </row>
    <row r="557">
      <c r="B557" s="182"/>
      <c r="E557" s="261"/>
      <c r="G557" s="182"/>
      <c r="J557" s="67"/>
      <c r="K557" s="67"/>
      <c r="R557" s="67"/>
    </row>
    <row r="558">
      <c r="B558" s="182"/>
      <c r="E558" s="261"/>
      <c r="G558" s="182"/>
      <c r="J558" s="67"/>
      <c r="K558" s="67"/>
      <c r="R558" s="67"/>
    </row>
    <row r="559">
      <c r="B559" s="182"/>
      <c r="E559" s="261"/>
      <c r="G559" s="182"/>
      <c r="J559" s="67"/>
      <c r="K559" s="67"/>
      <c r="R559" s="67"/>
    </row>
    <row r="560">
      <c r="B560" s="182"/>
      <c r="E560" s="261"/>
      <c r="G560" s="182"/>
      <c r="J560" s="67"/>
      <c r="K560" s="67"/>
      <c r="R560" s="67"/>
    </row>
    <row r="561">
      <c r="B561" s="182"/>
      <c r="E561" s="261"/>
      <c r="G561" s="182"/>
      <c r="J561" s="67"/>
      <c r="K561" s="67"/>
      <c r="R561" s="67"/>
    </row>
    <row r="562">
      <c r="B562" s="182"/>
      <c r="E562" s="261"/>
      <c r="G562" s="182"/>
      <c r="J562" s="67"/>
      <c r="K562" s="67"/>
      <c r="R562" s="67"/>
    </row>
    <row r="563">
      <c r="B563" s="182"/>
      <c r="E563" s="261"/>
      <c r="G563" s="182"/>
      <c r="J563" s="67"/>
      <c r="K563" s="67"/>
      <c r="R563" s="67"/>
    </row>
    <row r="564">
      <c r="B564" s="182"/>
      <c r="E564" s="261"/>
      <c r="G564" s="182"/>
      <c r="J564" s="67"/>
      <c r="K564" s="67"/>
      <c r="R564" s="67"/>
    </row>
    <row r="565">
      <c r="B565" s="182"/>
      <c r="E565" s="261"/>
      <c r="G565" s="182"/>
      <c r="J565" s="67"/>
      <c r="K565" s="67"/>
      <c r="R565" s="67"/>
    </row>
    <row r="566">
      <c r="B566" s="182"/>
      <c r="E566" s="261"/>
      <c r="G566" s="182"/>
      <c r="J566" s="67"/>
      <c r="K566" s="67"/>
      <c r="R566" s="67"/>
    </row>
    <row r="567">
      <c r="B567" s="182"/>
      <c r="E567" s="261"/>
      <c r="G567" s="182"/>
      <c r="J567" s="67"/>
      <c r="K567" s="67"/>
      <c r="R567" s="67"/>
    </row>
    <row r="568">
      <c r="B568" s="182"/>
      <c r="E568" s="261"/>
      <c r="G568" s="182"/>
      <c r="J568" s="67"/>
      <c r="K568" s="67"/>
      <c r="R568" s="67"/>
    </row>
    <row r="569">
      <c r="B569" s="182"/>
      <c r="E569" s="261"/>
      <c r="G569" s="182"/>
      <c r="J569" s="67"/>
      <c r="K569" s="67"/>
      <c r="R569" s="67"/>
    </row>
    <row r="570">
      <c r="B570" s="182"/>
      <c r="E570" s="261"/>
      <c r="G570" s="182"/>
      <c r="J570" s="67"/>
      <c r="K570" s="67"/>
      <c r="R570" s="67"/>
    </row>
    <row r="571">
      <c r="B571" s="182"/>
      <c r="E571" s="261"/>
      <c r="G571" s="182"/>
      <c r="J571" s="67"/>
      <c r="K571" s="67"/>
      <c r="R571" s="67"/>
    </row>
    <row r="572">
      <c r="B572" s="182"/>
      <c r="E572" s="261"/>
      <c r="G572" s="182"/>
      <c r="J572" s="67"/>
      <c r="K572" s="67"/>
      <c r="R572" s="67"/>
    </row>
    <row r="573">
      <c r="B573" s="182"/>
      <c r="E573" s="261"/>
      <c r="G573" s="182"/>
      <c r="J573" s="67"/>
      <c r="K573" s="67"/>
      <c r="R573" s="67"/>
    </row>
    <row r="574">
      <c r="B574" s="182"/>
      <c r="E574" s="261"/>
      <c r="G574" s="182"/>
      <c r="J574" s="67"/>
      <c r="K574" s="67"/>
      <c r="R574" s="67"/>
    </row>
    <row r="575">
      <c r="B575" s="182"/>
      <c r="E575" s="261"/>
      <c r="G575" s="182"/>
      <c r="J575" s="67"/>
      <c r="K575" s="67"/>
      <c r="R575" s="67"/>
    </row>
    <row r="576">
      <c r="B576" s="182"/>
      <c r="E576" s="261"/>
      <c r="G576" s="182"/>
      <c r="J576" s="67"/>
      <c r="K576" s="67"/>
      <c r="R576" s="67"/>
    </row>
    <row r="577">
      <c r="B577" s="182"/>
      <c r="E577" s="261"/>
      <c r="G577" s="182"/>
      <c r="J577" s="67"/>
      <c r="K577" s="67"/>
      <c r="R577" s="67"/>
    </row>
    <row r="578">
      <c r="B578" s="182"/>
      <c r="E578" s="261"/>
      <c r="G578" s="182"/>
      <c r="J578" s="67"/>
      <c r="K578" s="67"/>
      <c r="R578" s="67"/>
    </row>
    <row r="579">
      <c r="B579" s="182"/>
      <c r="E579" s="261"/>
      <c r="G579" s="182"/>
      <c r="J579" s="67"/>
      <c r="K579" s="67"/>
      <c r="R579" s="67"/>
    </row>
    <row r="580">
      <c r="B580" s="182"/>
      <c r="E580" s="261"/>
      <c r="G580" s="182"/>
      <c r="J580" s="67"/>
      <c r="K580" s="67"/>
      <c r="R580" s="67"/>
    </row>
    <row r="581">
      <c r="B581" s="182"/>
      <c r="E581" s="261"/>
      <c r="G581" s="182"/>
      <c r="J581" s="67"/>
      <c r="K581" s="67"/>
      <c r="R581" s="67"/>
    </row>
    <row r="582">
      <c r="B582" s="182"/>
      <c r="E582" s="261"/>
      <c r="G582" s="182"/>
      <c r="J582" s="67"/>
      <c r="K582" s="67"/>
      <c r="R582" s="67"/>
    </row>
    <row r="583">
      <c r="B583" s="182"/>
      <c r="E583" s="261"/>
      <c r="G583" s="182"/>
      <c r="J583" s="67"/>
      <c r="K583" s="67"/>
      <c r="R583" s="67"/>
    </row>
    <row r="584">
      <c r="B584" s="182"/>
      <c r="E584" s="261"/>
      <c r="G584" s="182"/>
      <c r="J584" s="67"/>
      <c r="K584" s="67"/>
      <c r="R584" s="67"/>
    </row>
    <row r="585">
      <c r="B585" s="182"/>
      <c r="E585" s="261"/>
      <c r="G585" s="182"/>
      <c r="J585" s="67"/>
      <c r="K585" s="67"/>
      <c r="R585" s="67"/>
    </row>
    <row r="586">
      <c r="B586" s="182"/>
      <c r="E586" s="261"/>
      <c r="G586" s="182"/>
      <c r="J586" s="67"/>
      <c r="K586" s="67"/>
      <c r="R586" s="67"/>
    </row>
    <row r="587">
      <c r="B587" s="182"/>
      <c r="E587" s="261"/>
      <c r="G587" s="182"/>
      <c r="J587" s="67"/>
      <c r="K587" s="67"/>
      <c r="R587" s="67"/>
    </row>
    <row r="588">
      <c r="B588" s="182"/>
      <c r="E588" s="261"/>
      <c r="G588" s="182"/>
      <c r="J588" s="67"/>
      <c r="K588" s="67"/>
      <c r="R588" s="67"/>
    </row>
    <row r="589">
      <c r="B589" s="182"/>
      <c r="E589" s="261"/>
      <c r="G589" s="182"/>
      <c r="J589" s="67"/>
      <c r="K589" s="67"/>
      <c r="R589" s="67"/>
    </row>
    <row r="590">
      <c r="B590" s="182"/>
      <c r="E590" s="261"/>
      <c r="G590" s="182"/>
      <c r="J590" s="67"/>
      <c r="K590" s="67"/>
      <c r="R590" s="67"/>
    </row>
    <row r="591">
      <c r="B591" s="182"/>
      <c r="E591" s="261"/>
      <c r="G591" s="182"/>
      <c r="J591" s="67"/>
      <c r="K591" s="67"/>
      <c r="R591" s="67"/>
    </row>
    <row r="592">
      <c r="B592" s="182"/>
      <c r="E592" s="261"/>
      <c r="G592" s="182"/>
      <c r="J592" s="67"/>
      <c r="K592" s="67"/>
      <c r="R592" s="67"/>
    </row>
    <row r="593">
      <c r="B593" s="182"/>
      <c r="E593" s="261"/>
      <c r="G593" s="182"/>
      <c r="J593" s="67"/>
      <c r="K593" s="67"/>
      <c r="R593" s="67"/>
    </row>
    <row r="594">
      <c r="B594" s="182"/>
      <c r="E594" s="261"/>
      <c r="G594" s="182"/>
      <c r="J594" s="67"/>
      <c r="K594" s="67"/>
      <c r="R594" s="67"/>
    </row>
    <row r="595">
      <c r="B595" s="182"/>
      <c r="E595" s="261"/>
      <c r="G595" s="182"/>
      <c r="J595" s="67"/>
      <c r="K595" s="67"/>
      <c r="R595" s="67"/>
    </row>
    <row r="596">
      <c r="B596" s="182"/>
      <c r="E596" s="261"/>
      <c r="G596" s="182"/>
      <c r="J596" s="67"/>
      <c r="K596" s="67"/>
      <c r="R596" s="67"/>
    </row>
    <row r="597">
      <c r="B597" s="182"/>
      <c r="E597" s="261"/>
      <c r="G597" s="182"/>
      <c r="J597" s="67"/>
      <c r="K597" s="67"/>
      <c r="R597" s="67"/>
    </row>
    <row r="598">
      <c r="B598" s="182"/>
      <c r="E598" s="261"/>
      <c r="G598" s="182"/>
      <c r="J598" s="67"/>
      <c r="K598" s="67"/>
      <c r="R598" s="67"/>
    </row>
    <row r="599">
      <c r="B599" s="182"/>
      <c r="E599" s="261"/>
      <c r="G599" s="182"/>
      <c r="J599" s="67"/>
      <c r="K599" s="67"/>
      <c r="R599" s="67"/>
    </row>
    <row r="600">
      <c r="B600" s="182"/>
      <c r="E600" s="261"/>
      <c r="G600" s="182"/>
      <c r="J600" s="67"/>
      <c r="K600" s="67"/>
      <c r="R600" s="67"/>
    </row>
    <row r="601">
      <c r="B601" s="182"/>
      <c r="E601" s="261"/>
      <c r="G601" s="182"/>
      <c r="J601" s="67"/>
      <c r="K601" s="67"/>
      <c r="R601" s="67"/>
    </row>
    <row r="602">
      <c r="B602" s="182"/>
      <c r="E602" s="261"/>
      <c r="G602" s="182"/>
      <c r="J602" s="67"/>
      <c r="K602" s="67"/>
      <c r="R602" s="67"/>
    </row>
    <row r="603">
      <c r="B603" s="182"/>
      <c r="E603" s="261"/>
      <c r="G603" s="182"/>
      <c r="J603" s="67"/>
      <c r="K603" s="67"/>
      <c r="R603" s="67"/>
    </row>
    <row r="604">
      <c r="B604" s="182"/>
      <c r="E604" s="261"/>
      <c r="G604" s="182"/>
      <c r="J604" s="67"/>
      <c r="K604" s="67"/>
      <c r="R604" s="67"/>
    </row>
    <row r="605">
      <c r="B605" s="182"/>
      <c r="E605" s="261"/>
      <c r="G605" s="182"/>
      <c r="J605" s="67"/>
      <c r="K605" s="67"/>
      <c r="R605" s="67"/>
    </row>
    <row r="606">
      <c r="B606" s="182"/>
      <c r="E606" s="261"/>
      <c r="G606" s="182"/>
      <c r="J606" s="67"/>
      <c r="K606" s="67"/>
      <c r="R606" s="67"/>
    </row>
    <row r="607">
      <c r="B607" s="182"/>
      <c r="E607" s="261"/>
      <c r="G607" s="182"/>
      <c r="J607" s="67"/>
      <c r="K607" s="67"/>
      <c r="R607" s="67"/>
    </row>
    <row r="608">
      <c r="B608" s="182"/>
      <c r="E608" s="261"/>
      <c r="G608" s="182"/>
      <c r="J608" s="67"/>
      <c r="K608" s="67"/>
      <c r="R608" s="67"/>
    </row>
    <row r="609">
      <c r="B609" s="182"/>
      <c r="E609" s="261"/>
      <c r="G609" s="182"/>
      <c r="J609" s="67"/>
      <c r="K609" s="67"/>
      <c r="R609" s="67"/>
    </row>
    <row r="610">
      <c r="B610" s="182"/>
      <c r="E610" s="261"/>
      <c r="G610" s="182"/>
      <c r="J610" s="67"/>
      <c r="K610" s="67"/>
      <c r="R610" s="67"/>
    </row>
    <row r="611">
      <c r="B611" s="182"/>
      <c r="E611" s="261"/>
      <c r="G611" s="182"/>
      <c r="J611" s="67"/>
      <c r="K611" s="67"/>
      <c r="R611" s="67"/>
    </row>
    <row r="612">
      <c r="B612" s="182"/>
      <c r="E612" s="261"/>
      <c r="G612" s="182"/>
      <c r="J612" s="67"/>
      <c r="K612" s="67"/>
      <c r="R612" s="67"/>
    </row>
    <row r="613">
      <c r="B613" s="182"/>
      <c r="E613" s="261"/>
      <c r="G613" s="182"/>
      <c r="J613" s="67"/>
      <c r="K613" s="67"/>
      <c r="R613" s="67"/>
    </row>
    <row r="614">
      <c r="B614" s="182"/>
      <c r="E614" s="261"/>
      <c r="G614" s="182"/>
      <c r="J614" s="67"/>
      <c r="K614" s="67"/>
      <c r="R614" s="67"/>
    </row>
    <row r="615">
      <c r="B615" s="182"/>
      <c r="E615" s="261"/>
      <c r="G615" s="182"/>
      <c r="J615" s="67"/>
      <c r="K615" s="67"/>
      <c r="R615" s="67"/>
    </row>
    <row r="616">
      <c r="B616" s="182"/>
      <c r="E616" s="261"/>
      <c r="G616" s="182"/>
      <c r="J616" s="67"/>
      <c r="K616" s="67"/>
      <c r="R616" s="67"/>
    </row>
    <row r="617">
      <c r="B617" s="182"/>
      <c r="E617" s="261"/>
      <c r="G617" s="182"/>
      <c r="J617" s="67"/>
      <c r="K617" s="67"/>
      <c r="R617" s="67"/>
    </row>
    <row r="618">
      <c r="B618" s="182"/>
      <c r="E618" s="261"/>
      <c r="G618" s="182"/>
      <c r="J618" s="67"/>
      <c r="K618" s="67"/>
      <c r="R618" s="67"/>
    </row>
    <row r="619">
      <c r="B619" s="182"/>
      <c r="E619" s="261"/>
      <c r="G619" s="182"/>
      <c r="J619" s="67"/>
      <c r="K619" s="67"/>
      <c r="R619" s="67"/>
    </row>
    <row r="620">
      <c r="B620" s="182"/>
      <c r="E620" s="261"/>
      <c r="G620" s="182"/>
      <c r="J620" s="67"/>
      <c r="K620" s="67"/>
      <c r="R620" s="67"/>
    </row>
    <row r="621">
      <c r="B621" s="182"/>
      <c r="E621" s="261"/>
      <c r="G621" s="182"/>
      <c r="J621" s="67"/>
      <c r="K621" s="67"/>
      <c r="R621" s="67"/>
    </row>
    <row r="622">
      <c r="B622" s="182"/>
      <c r="E622" s="261"/>
      <c r="G622" s="182"/>
      <c r="J622" s="67"/>
      <c r="K622" s="67"/>
      <c r="R622" s="67"/>
    </row>
    <row r="623">
      <c r="B623" s="182"/>
      <c r="E623" s="261"/>
      <c r="G623" s="182"/>
      <c r="J623" s="67"/>
      <c r="K623" s="67"/>
      <c r="R623" s="67"/>
    </row>
    <row r="624">
      <c r="B624" s="182"/>
      <c r="E624" s="261"/>
      <c r="G624" s="182"/>
      <c r="J624" s="67"/>
      <c r="K624" s="67"/>
      <c r="R624" s="67"/>
    </row>
    <row r="625">
      <c r="B625" s="182"/>
      <c r="E625" s="261"/>
      <c r="G625" s="182"/>
      <c r="J625" s="67"/>
      <c r="K625" s="67"/>
      <c r="R625" s="67"/>
    </row>
    <row r="626">
      <c r="B626" s="182"/>
      <c r="E626" s="261"/>
      <c r="G626" s="182"/>
      <c r="J626" s="67"/>
      <c r="K626" s="67"/>
      <c r="R626" s="67"/>
    </row>
    <row r="627">
      <c r="B627" s="182"/>
      <c r="E627" s="261"/>
      <c r="G627" s="182"/>
      <c r="J627" s="67"/>
      <c r="K627" s="67"/>
      <c r="R627" s="67"/>
    </row>
    <row r="628">
      <c r="B628" s="182"/>
      <c r="E628" s="261"/>
      <c r="G628" s="182"/>
      <c r="J628" s="67"/>
      <c r="K628" s="67"/>
      <c r="R628" s="67"/>
    </row>
    <row r="629">
      <c r="B629" s="182"/>
      <c r="E629" s="261"/>
      <c r="G629" s="182"/>
      <c r="J629" s="67"/>
      <c r="K629" s="67"/>
      <c r="R629" s="67"/>
    </row>
    <row r="630">
      <c r="B630" s="182"/>
      <c r="E630" s="261"/>
      <c r="G630" s="182"/>
      <c r="J630" s="67"/>
      <c r="K630" s="67"/>
      <c r="R630" s="67"/>
    </row>
    <row r="631">
      <c r="B631" s="182"/>
      <c r="E631" s="261"/>
      <c r="G631" s="182"/>
      <c r="J631" s="67"/>
      <c r="K631" s="67"/>
      <c r="R631" s="67"/>
    </row>
    <row r="632">
      <c r="B632" s="182"/>
      <c r="E632" s="261"/>
      <c r="G632" s="182"/>
      <c r="J632" s="67"/>
      <c r="K632" s="67"/>
      <c r="R632" s="67"/>
    </row>
    <row r="633">
      <c r="B633" s="182"/>
      <c r="E633" s="261"/>
      <c r="G633" s="182"/>
      <c r="J633" s="67"/>
      <c r="K633" s="67"/>
      <c r="R633" s="67"/>
    </row>
    <row r="634">
      <c r="B634" s="182"/>
      <c r="E634" s="261"/>
      <c r="G634" s="182"/>
      <c r="J634" s="67"/>
      <c r="K634" s="67"/>
      <c r="R634" s="67"/>
    </row>
    <row r="635">
      <c r="B635" s="182"/>
      <c r="E635" s="261"/>
      <c r="G635" s="182"/>
      <c r="J635" s="67"/>
      <c r="K635" s="67"/>
      <c r="R635" s="67"/>
    </row>
    <row r="636">
      <c r="B636" s="182"/>
      <c r="E636" s="261"/>
      <c r="G636" s="182"/>
      <c r="J636" s="67"/>
      <c r="K636" s="67"/>
      <c r="R636" s="67"/>
    </row>
    <row r="637">
      <c r="B637" s="182"/>
      <c r="E637" s="261"/>
      <c r="G637" s="182"/>
      <c r="J637" s="67"/>
      <c r="K637" s="67"/>
      <c r="R637" s="67"/>
    </row>
    <row r="638">
      <c r="B638" s="182"/>
      <c r="E638" s="261"/>
      <c r="G638" s="182"/>
      <c r="J638" s="67"/>
      <c r="K638" s="67"/>
      <c r="R638" s="67"/>
    </row>
    <row r="639">
      <c r="B639" s="182"/>
      <c r="E639" s="261"/>
      <c r="G639" s="182"/>
      <c r="J639" s="67"/>
      <c r="K639" s="67"/>
      <c r="R639" s="67"/>
    </row>
    <row r="640">
      <c r="B640" s="182"/>
      <c r="E640" s="261"/>
      <c r="G640" s="182"/>
      <c r="J640" s="67"/>
      <c r="K640" s="67"/>
      <c r="R640" s="67"/>
    </row>
    <row r="641">
      <c r="B641" s="182"/>
      <c r="E641" s="261"/>
      <c r="G641" s="182"/>
      <c r="J641" s="67"/>
      <c r="K641" s="67"/>
      <c r="R641" s="67"/>
    </row>
    <row r="642">
      <c r="B642" s="182"/>
      <c r="E642" s="261"/>
      <c r="G642" s="182"/>
      <c r="J642" s="67"/>
      <c r="K642" s="67"/>
      <c r="R642" s="67"/>
    </row>
    <row r="643">
      <c r="B643" s="182"/>
      <c r="E643" s="261"/>
      <c r="G643" s="182"/>
      <c r="J643" s="67"/>
      <c r="K643" s="67"/>
      <c r="R643" s="67"/>
    </row>
    <row r="644">
      <c r="B644" s="182"/>
      <c r="E644" s="261"/>
      <c r="G644" s="182"/>
      <c r="J644" s="67"/>
      <c r="K644" s="67"/>
      <c r="R644" s="67"/>
    </row>
    <row r="645">
      <c r="B645" s="182"/>
      <c r="E645" s="261"/>
      <c r="G645" s="182"/>
      <c r="J645" s="67"/>
      <c r="K645" s="67"/>
      <c r="R645" s="67"/>
    </row>
    <row r="646">
      <c r="B646" s="182"/>
      <c r="E646" s="261"/>
      <c r="G646" s="182"/>
      <c r="J646" s="67"/>
      <c r="K646" s="67"/>
      <c r="R646" s="67"/>
    </row>
    <row r="647">
      <c r="B647" s="182"/>
      <c r="E647" s="261"/>
      <c r="G647" s="182"/>
      <c r="J647" s="67"/>
      <c r="K647" s="67"/>
      <c r="R647" s="67"/>
    </row>
    <row r="648">
      <c r="B648" s="182"/>
      <c r="E648" s="261"/>
      <c r="G648" s="182"/>
      <c r="J648" s="67"/>
      <c r="K648" s="67"/>
      <c r="R648" s="67"/>
    </row>
    <row r="649">
      <c r="B649" s="182"/>
      <c r="E649" s="261"/>
      <c r="G649" s="182"/>
      <c r="J649" s="67"/>
      <c r="K649" s="67"/>
      <c r="R649" s="67"/>
    </row>
    <row r="650">
      <c r="B650" s="182"/>
      <c r="E650" s="261"/>
      <c r="G650" s="182"/>
      <c r="J650" s="67"/>
      <c r="K650" s="67"/>
      <c r="R650" s="67"/>
    </row>
    <row r="651">
      <c r="B651" s="182"/>
      <c r="E651" s="261"/>
      <c r="G651" s="182"/>
      <c r="J651" s="67"/>
      <c r="K651" s="67"/>
      <c r="R651" s="67"/>
    </row>
    <row r="652">
      <c r="B652" s="182"/>
      <c r="E652" s="261"/>
      <c r="G652" s="182"/>
      <c r="J652" s="67"/>
      <c r="K652" s="67"/>
      <c r="R652" s="67"/>
    </row>
    <row r="653">
      <c r="B653" s="182"/>
      <c r="E653" s="261"/>
      <c r="G653" s="182"/>
      <c r="J653" s="67"/>
      <c r="K653" s="67"/>
      <c r="R653" s="67"/>
    </row>
    <row r="654">
      <c r="B654" s="182"/>
      <c r="E654" s="261"/>
      <c r="G654" s="182"/>
      <c r="J654" s="67"/>
      <c r="K654" s="67"/>
      <c r="R654" s="67"/>
    </row>
    <row r="655">
      <c r="B655" s="182"/>
      <c r="E655" s="261"/>
      <c r="G655" s="182"/>
      <c r="J655" s="67"/>
      <c r="K655" s="67"/>
      <c r="R655" s="67"/>
    </row>
    <row r="656">
      <c r="B656" s="182"/>
      <c r="E656" s="261"/>
      <c r="G656" s="182"/>
      <c r="J656" s="67"/>
      <c r="K656" s="67"/>
      <c r="R656" s="67"/>
    </row>
    <row r="657">
      <c r="B657" s="182"/>
      <c r="E657" s="261"/>
      <c r="G657" s="182"/>
      <c r="J657" s="67"/>
      <c r="K657" s="67"/>
      <c r="R657" s="67"/>
    </row>
    <row r="658">
      <c r="B658" s="182"/>
      <c r="E658" s="261"/>
      <c r="G658" s="182"/>
      <c r="J658" s="67"/>
      <c r="K658" s="67"/>
      <c r="R658" s="67"/>
    </row>
    <row r="659">
      <c r="B659" s="182"/>
      <c r="E659" s="261"/>
      <c r="G659" s="182"/>
      <c r="J659" s="67"/>
      <c r="K659" s="67"/>
      <c r="R659" s="67"/>
    </row>
    <row r="660">
      <c r="B660" s="182"/>
      <c r="E660" s="261"/>
      <c r="G660" s="182"/>
      <c r="J660" s="67"/>
      <c r="K660" s="67"/>
      <c r="R660" s="67"/>
    </row>
    <row r="661">
      <c r="B661" s="182"/>
      <c r="E661" s="261"/>
      <c r="G661" s="182"/>
      <c r="J661" s="67"/>
      <c r="K661" s="67"/>
      <c r="R661" s="67"/>
    </row>
    <row r="662">
      <c r="B662" s="182"/>
      <c r="E662" s="261"/>
      <c r="G662" s="182"/>
      <c r="J662" s="67"/>
      <c r="K662" s="67"/>
      <c r="R662" s="67"/>
    </row>
    <row r="663">
      <c r="B663" s="182"/>
      <c r="E663" s="261"/>
      <c r="G663" s="182"/>
      <c r="J663" s="67"/>
      <c r="K663" s="67"/>
      <c r="R663" s="67"/>
    </row>
    <row r="664">
      <c r="B664" s="182"/>
      <c r="E664" s="261"/>
      <c r="G664" s="182"/>
      <c r="J664" s="67"/>
      <c r="K664" s="67"/>
      <c r="R664" s="67"/>
    </row>
    <row r="665">
      <c r="B665" s="182"/>
      <c r="E665" s="261"/>
      <c r="G665" s="182"/>
      <c r="J665" s="67"/>
      <c r="K665" s="67"/>
      <c r="R665" s="67"/>
    </row>
    <row r="666">
      <c r="B666" s="182"/>
      <c r="E666" s="261"/>
      <c r="G666" s="182"/>
      <c r="J666" s="67"/>
      <c r="K666" s="67"/>
      <c r="R666" s="67"/>
    </row>
    <row r="667">
      <c r="B667" s="182"/>
      <c r="E667" s="261"/>
      <c r="G667" s="182"/>
      <c r="J667" s="67"/>
      <c r="K667" s="67"/>
      <c r="R667" s="67"/>
    </row>
    <row r="668">
      <c r="B668" s="182"/>
      <c r="E668" s="261"/>
      <c r="G668" s="182"/>
      <c r="J668" s="67"/>
      <c r="K668" s="67"/>
      <c r="R668" s="67"/>
    </row>
    <row r="669">
      <c r="B669" s="182"/>
      <c r="E669" s="261"/>
      <c r="G669" s="182"/>
      <c r="J669" s="67"/>
      <c r="K669" s="67"/>
      <c r="R669" s="67"/>
    </row>
    <row r="670">
      <c r="B670" s="182"/>
      <c r="E670" s="261"/>
      <c r="G670" s="182"/>
      <c r="J670" s="67"/>
      <c r="K670" s="67"/>
      <c r="R670" s="67"/>
    </row>
    <row r="671">
      <c r="B671" s="182"/>
      <c r="E671" s="261"/>
      <c r="G671" s="182"/>
      <c r="J671" s="67"/>
      <c r="K671" s="67"/>
      <c r="R671" s="67"/>
    </row>
    <row r="672">
      <c r="B672" s="182"/>
      <c r="E672" s="261"/>
      <c r="G672" s="182"/>
      <c r="J672" s="67"/>
      <c r="K672" s="67"/>
      <c r="R672" s="67"/>
    </row>
    <row r="673">
      <c r="B673" s="182"/>
      <c r="E673" s="261"/>
      <c r="G673" s="182"/>
      <c r="J673" s="67"/>
      <c r="K673" s="67"/>
      <c r="R673" s="67"/>
    </row>
    <row r="674">
      <c r="B674" s="182"/>
      <c r="E674" s="261"/>
      <c r="G674" s="182"/>
      <c r="J674" s="67"/>
      <c r="K674" s="67"/>
      <c r="R674" s="67"/>
    </row>
    <row r="675">
      <c r="B675" s="182"/>
      <c r="E675" s="261"/>
      <c r="G675" s="182"/>
      <c r="J675" s="67"/>
      <c r="K675" s="67"/>
      <c r="R675" s="67"/>
    </row>
    <row r="676">
      <c r="B676" s="182"/>
      <c r="E676" s="261"/>
      <c r="G676" s="182"/>
      <c r="J676" s="67"/>
      <c r="K676" s="67"/>
      <c r="R676" s="67"/>
    </row>
    <row r="677">
      <c r="B677" s="182"/>
      <c r="E677" s="261"/>
      <c r="G677" s="182"/>
      <c r="J677" s="67"/>
      <c r="K677" s="67"/>
      <c r="R677" s="67"/>
    </row>
    <row r="678">
      <c r="B678" s="182"/>
      <c r="E678" s="261"/>
      <c r="G678" s="182"/>
      <c r="J678" s="67"/>
      <c r="K678" s="67"/>
      <c r="R678" s="67"/>
    </row>
    <row r="679">
      <c r="B679" s="182"/>
      <c r="E679" s="261"/>
      <c r="G679" s="182"/>
      <c r="J679" s="67"/>
      <c r="K679" s="67"/>
      <c r="R679" s="67"/>
    </row>
    <row r="680">
      <c r="B680" s="182"/>
      <c r="E680" s="261"/>
      <c r="G680" s="182"/>
      <c r="J680" s="67"/>
      <c r="K680" s="67"/>
      <c r="R680" s="67"/>
    </row>
    <row r="681">
      <c r="B681" s="182"/>
      <c r="E681" s="261"/>
      <c r="G681" s="182"/>
      <c r="J681" s="67"/>
      <c r="K681" s="67"/>
      <c r="R681" s="67"/>
    </row>
    <row r="682">
      <c r="B682" s="182"/>
      <c r="E682" s="261"/>
      <c r="G682" s="182"/>
      <c r="J682" s="67"/>
      <c r="K682" s="67"/>
      <c r="R682" s="67"/>
    </row>
    <row r="683">
      <c r="B683" s="182"/>
      <c r="E683" s="261"/>
      <c r="G683" s="182"/>
      <c r="J683" s="67"/>
      <c r="K683" s="67"/>
      <c r="R683" s="67"/>
    </row>
    <row r="684">
      <c r="B684" s="182"/>
      <c r="E684" s="261"/>
      <c r="G684" s="182"/>
      <c r="J684" s="67"/>
      <c r="K684" s="67"/>
      <c r="R684" s="67"/>
    </row>
    <row r="685">
      <c r="B685" s="182"/>
      <c r="E685" s="261"/>
      <c r="G685" s="182"/>
      <c r="J685" s="67"/>
      <c r="K685" s="67"/>
      <c r="R685" s="67"/>
    </row>
    <row r="686">
      <c r="B686" s="182"/>
      <c r="E686" s="261"/>
      <c r="G686" s="182"/>
      <c r="J686" s="67"/>
      <c r="K686" s="67"/>
      <c r="R686" s="67"/>
    </row>
    <row r="687">
      <c r="B687" s="182"/>
      <c r="E687" s="261"/>
      <c r="G687" s="182"/>
      <c r="J687" s="67"/>
      <c r="K687" s="67"/>
      <c r="R687" s="67"/>
    </row>
    <row r="688">
      <c r="B688" s="182"/>
      <c r="E688" s="261"/>
      <c r="G688" s="182"/>
      <c r="J688" s="67"/>
      <c r="K688" s="67"/>
      <c r="R688" s="67"/>
    </row>
    <row r="689">
      <c r="B689" s="182"/>
      <c r="E689" s="261"/>
      <c r="G689" s="182"/>
      <c r="J689" s="67"/>
      <c r="K689" s="67"/>
      <c r="R689" s="67"/>
    </row>
    <row r="690">
      <c r="B690" s="182"/>
      <c r="E690" s="261"/>
      <c r="G690" s="182"/>
      <c r="J690" s="67"/>
      <c r="K690" s="67"/>
      <c r="R690" s="67"/>
    </row>
    <row r="691">
      <c r="B691" s="182"/>
      <c r="E691" s="261"/>
      <c r="G691" s="182"/>
      <c r="J691" s="67"/>
      <c r="K691" s="67"/>
      <c r="R691" s="67"/>
    </row>
    <row r="692">
      <c r="B692" s="182"/>
      <c r="E692" s="261"/>
      <c r="G692" s="182"/>
      <c r="J692" s="67"/>
      <c r="K692" s="67"/>
      <c r="R692" s="67"/>
    </row>
    <row r="693">
      <c r="B693" s="182"/>
      <c r="E693" s="261"/>
      <c r="G693" s="182"/>
      <c r="J693" s="67"/>
      <c r="K693" s="67"/>
      <c r="R693" s="67"/>
    </row>
    <row r="694">
      <c r="B694" s="182"/>
      <c r="E694" s="261"/>
      <c r="G694" s="182"/>
      <c r="J694" s="67"/>
      <c r="K694" s="67"/>
      <c r="R694" s="67"/>
    </row>
    <row r="695">
      <c r="B695" s="182"/>
      <c r="E695" s="261"/>
      <c r="G695" s="182"/>
      <c r="J695" s="67"/>
      <c r="K695" s="67"/>
      <c r="R695" s="67"/>
    </row>
    <row r="696">
      <c r="B696" s="182"/>
      <c r="E696" s="261"/>
      <c r="G696" s="182"/>
      <c r="J696" s="67"/>
      <c r="K696" s="67"/>
      <c r="R696" s="67"/>
    </row>
    <row r="697">
      <c r="B697" s="182"/>
      <c r="E697" s="261"/>
      <c r="G697" s="182"/>
      <c r="J697" s="67"/>
      <c r="K697" s="67"/>
      <c r="R697" s="67"/>
    </row>
    <row r="698">
      <c r="B698" s="182"/>
      <c r="E698" s="261"/>
      <c r="G698" s="182"/>
      <c r="J698" s="67"/>
      <c r="K698" s="67"/>
      <c r="R698" s="67"/>
    </row>
    <row r="699">
      <c r="B699" s="182"/>
      <c r="E699" s="261"/>
      <c r="G699" s="182"/>
      <c r="J699" s="67"/>
      <c r="K699" s="67"/>
      <c r="R699" s="67"/>
    </row>
    <row r="700">
      <c r="B700" s="182"/>
      <c r="E700" s="261"/>
      <c r="G700" s="182"/>
      <c r="J700" s="67"/>
      <c r="K700" s="67"/>
      <c r="R700" s="67"/>
    </row>
    <row r="701">
      <c r="B701" s="182"/>
      <c r="E701" s="261"/>
      <c r="G701" s="182"/>
      <c r="J701" s="67"/>
      <c r="K701" s="67"/>
      <c r="R701" s="67"/>
    </row>
    <row r="702">
      <c r="B702" s="182"/>
      <c r="E702" s="261"/>
      <c r="G702" s="182"/>
      <c r="J702" s="67"/>
      <c r="K702" s="67"/>
      <c r="R702" s="67"/>
    </row>
    <row r="703">
      <c r="B703" s="182"/>
      <c r="E703" s="261"/>
      <c r="G703" s="182"/>
      <c r="J703" s="67"/>
      <c r="K703" s="67"/>
      <c r="R703" s="67"/>
    </row>
    <row r="704">
      <c r="B704" s="182"/>
      <c r="E704" s="261"/>
      <c r="G704" s="182"/>
      <c r="J704" s="67"/>
      <c r="K704" s="67"/>
      <c r="R704" s="67"/>
    </row>
    <row r="705">
      <c r="B705" s="182"/>
      <c r="E705" s="261"/>
      <c r="G705" s="182"/>
      <c r="J705" s="67"/>
      <c r="K705" s="67"/>
      <c r="R705" s="67"/>
    </row>
    <row r="706">
      <c r="B706" s="182"/>
      <c r="E706" s="261"/>
      <c r="G706" s="182"/>
      <c r="J706" s="67"/>
      <c r="K706" s="67"/>
      <c r="R706" s="67"/>
    </row>
    <row r="707">
      <c r="B707" s="182"/>
      <c r="E707" s="261"/>
      <c r="G707" s="182"/>
      <c r="J707" s="67"/>
      <c r="K707" s="67"/>
      <c r="R707" s="67"/>
    </row>
    <row r="708">
      <c r="B708" s="182"/>
      <c r="E708" s="261"/>
      <c r="G708" s="182"/>
      <c r="J708" s="67"/>
      <c r="K708" s="67"/>
      <c r="R708" s="67"/>
    </row>
    <row r="709">
      <c r="B709" s="182"/>
      <c r="E709" s="261"/>
      <c r="G709" s="182"/>
      <c r="J709" s="67"/>
      <c r="K709" s="67"/>
      <c r="R709" s="67"/>
    </row>
    <row r="710">
      <c r="B710" s="182"/>
      <c r="E710" s="261"/>
      <c r="G710" s="182"/>
      <c r="J710" s="67"/>
      <c r="K710" s="67"/>
      <c r="R710" s="67"/>
    </row>
    <row r="711">
      <c r="B711" s="182"/>
      <c r="E711" s="261"/>
      <c r="G711" s="182"/>
      <c r="J711" s="67"/>
      <c r="K711" s="67"/>
      <c r="R711" s="67"/>
    </row>
    <row r="712">
      <c r="B712" s="182"/>
      <c r="E712" s="261"/>
      <c r="G712" s="182"/>
      <c r="J712" s="67"/>
      <c r="K712" s="67"/>
      <c r="R712" s="67"/>
    </row>
    <row r="713">
      <c r="B713" s="182"/>
      <c r="E713" s="261"/>
      <c r="G713" s="182"/>
      <c r="J713" s="67"/>
      <c r="K713" s="67"/>
      <c r="R713" s="67"/>
    </row>
    <row r="714">
      <c r="B714" s="182"/>
      <c r="E714" s="261"/>
      <c r="G714" s="182"/>
      <c r="J714" s="67"/>
      <c r="K714" s="67"/>
      <c r="R714" s="67"/>
    </row>
    <row r="715">
      <c r="B715" s="182"/>
      <c r="E715" s="261"/>
      <c r="G715" s="182"/>
      <c r="J715" s="67"/>
      <c r="K715" s="67"/>
      <c r="R715" s="67"/>
    </row>
    <row r="716">
      <c r="B716" s="182"/>
      <c r="E716" s="261"/>
      <c r="G716" s="182"/>
      <c r="J716" s="67"/>
      <c r="K716" s="67"/>
      <c r="R716" s="67"/>
    </row>
    <row r="717">
      <c r="B717" s="182"/>
      <c r="E717" s="261"/>
      <c r="G717" s="182"/>
      <c r="J717" s="67"/>
      <c r="K717" s="67"/>
      <c r="R717" s="67"/>
    </row>
    <row r="718">
      <c r="B718" s="182"/>
      <c r="E718" s="261"/>
      <c r="G718" s="182"/>
      <c r="J718" s="67"/>
      <c r="K718" s="67"/>
      <c r="R718" s="67"/>
    </row>
    <row r="719">
      <c r="B719" s="182"/>
      <c r="E719" s="261"/>
      <c r="G719" s="182"/>
      <c r="J719" s="67"/>
      <c r="K719" s="67"/>
      <c r="R719" s="67"/>
    </row>
    <row r="720">
      <c r="B720" s="182"/>
      <c r="E720" s="261"/>
      <c r="G720" s="182"/>
      <c r="J720" s="67"/>
      <c r="K720" s="67"/>
      <c r="R720" s="67"/>
    </row>
    <row r="721">
      <c r="B721" s="182"/>
      <c r="E721" s="261"/>
      <c r="G721" s="182"/>
      <c r="J721" s="67"/>
      <c r="K721" s="67"/>
      <c r="R721" s="67"/>
    </row>
    <row r="722">
      <c r="B722" s="182"/>
      <c r="E722" s="261"/>
      <c r="G722" s="182"/>
      <c r="J722" s="67"/>
      <c r="K722" s="67"/>
      <c r="R722" s="67"/>
    </row>
    <row r="723">
      <c r="B723" s="182"/>
      <c r="E723" s="261"/>
      <c r="G723" s="182"/>
      <c r="J723" s="67"/>
      <c r="K723" s="67"/>
      <c r="R723" s="67"/>
    </row>
    <row r="724">
      <c r="B724" s="182"/>
      <c r="E724" s="261"/>
      <c r="G724" s="182"/>
      <c r="J724" s="67"/>
      <c r="K724" s="67"/>
      <c r="R724" s="67"/>
    </row>
    <row r="725">
      <c r="B725" s="182"/>
      <c r="E725" s="261"/>
      <c r="G725" s="182"/>
      <c r="J725" s="67"/>
      <c r="K725" s="67"/>
      <c r="R725" s="67"/>
    </row>
    <row r="726">
      <c r="B726" s="182"/>
      <c r="E726" s="261"/>
      <c r="G726" s="182"/>
      <c r="J726" s="67"/>
      <c r="K726" s="67"/>
      <c r="R726" s="67"/>
    </row>
    <row r="727">
      <c r="B727" s="182"/>
      <c r="E727" s="261"/>
      <c r="G727" s="182"/>
      <c r="J727" s="67"/>
      <c r="K727" s="67"/>
      <c r="R727" s="67"/>
    </row>
    <row r="728">
      <c r="B728" s="182"/>
      <c r="E728" s="261"/>
      <c r="G728" s="182"/>
      <c r="J728" s="67"/>
      <c r="K728" s="67"/>
      <c r="R728" s="67"/>
    </row>
    <row r="729">
      <c r="B729" s="182"/>
      <c r="E729" s="261"/>
      <c r="G729" s="182"/>
      <c r="J729" s="67"/>
      <c r="K729" s="67"/>
      <c r="R729" s="67"/>
    </row>
    <row r="730">
      <c r="B730" s="182"/>
      <c r="E730" s="261"/>
      <c r="G730" s="182"/>
      <c r="J730" s="67"/>
      <c r="K730" s="67"/>
      <c r="R730" s="67"/>
    </row>
    <row r="731">
      <c r="B731" s="182"/>
      <c r="E731" s="261"/>
      <c r="G731" s="182"/>
      <c r="J731" s="67"/>
      <c r="K731" s="67"/>
      <c r="R731" s="67"/>
    </row>
    <row r="732">
      <c r="B732" s="182"/>
      <c r="E732" s="261"/>
      <c r="G732" s="182"/>
      <c r="J732" s="67"/>
      <c r="K732" s="67"/>
      <c r="R732" s="67"/>
    </row>
    <row r="733">
      <c r="B733" s="182"/>
      <c r="E733" s="261"/>
      <c r="G733" s="182"/>
      <c r="J733" s="67"/>
      <c r="K733" s="67"/>
      <c r="R733" s="67"/>
    </row>
    <row r="734">
      <c r="B734" s="182"/>
      <c r="E734" s="261"/>
      <c r="G734" s="182"/>
      <c r="J734" s="67"/>
      <c r="K734" s="67"/>
      <c r="R734" s="67"/>
    </row>
    <row r="735">
      <c r="B735" s="182"/>
      <c r="E735" s="261"/>
      <c r="G735" s="182"/>
      <c r="J735" s="67"/>
      <c r="K735" s="67"/>
      <c r="R735" s="67"/>
    </row>
    <row r="736">
      <c r="B736" s="182"/>
      <c r="E736" s="261"/>
      <c r="G736" s="182"/>
      <c r="J736" s="67"/>
      <c r="K736" s="67"/>
      <c r="R736" s="67"/>
    </row>
    <row r="737">
      <c r="B737" s="182"/>
      <c r="E737" s="261"/>
      <c r="G737" s="182"/>
      <c r="J737" s="67"/>
      <c r="K737" s="67"/>
      <c r="R737" s="67"/>
    </row>
    <row r="738">
      <c r="B738" s="182"/>
      <c r="E738" s="261"/>
      <c r="G738" s="182"/>
      <c r="J738" s="67"/>
      <c r="K738" s="67"/>
      <c r="R738" s="67"/>
    </row>
    <row r="739">
      <c r="B739" s="182"/>
      <c r="E739" s="261"/>
      <c r="G739" s="182"/>
      <c r="J739" s="67"/>
      <c r="K739" s="67"/>
      <c r="R739" s="67"/>
    </row>
    <row r="740">
      <c r="B740" s="182"/>
      <c r="E740" s="261"/>
      <c r="G740" s="182"/>
      <c r="J740" s="67"/>
      <c r="K740" s="67"/>
      <c r="R740" s="67"/>
    </row>
    <row r="741">
      <c r="B741" s="182"/>
      <c r="E741" s="261"/>
      <c r="G741" s="182"/>
      <c r="J741" s="67"/>
      <c r="K741" s="67"/>
      <c r="R741" s="67"/>
    </row>
    <row r="742">
      <c r="B742" s="182"/>
      <c r="E742" s="261"/>
      <c r="G742" s="182"/>
      <c r="J742" s="67"/>
      <c r="K742" s="67"/>
      <c r="R742" s="67"/>
    </row>
    <row r="743">
      <c r="B743" s="182"/>
      <c r="E743" s="261"/>
      <c r="G743" s="182"/>
      <c r="J743" s="67"/>
      <c r="K743" s="67"/>
      <c r="R743" s="67"/>
    </row>
    <row r="744">
      <c r="B744" s="182"/>
      <c r="E744" s="261"/>
      <c r="G744" s="182"/>
      <c r="J744" s="67"/>
      <c r="K744" s="67"/>
      <c r="R744" s="67"/>
    </row>
    <row r="745">
      <c r="B745" s="182"/>
      <c r="E745" s="261"/>
      <c r="G745" s="182"/>
      <c r="J745" s="67"/>
      <c r="K745" s="67"/>
      <c r="R745" s="67"/>
    </row>
    <row r="746">
      <c r="B746" s="182"/>
      <c r="E746" s="261"/>
      <c r="G746" s="182"/>
      <c r="J746" s="67"/>
      <c r="K746" s="67"/>
      <c r="R746" s="67"/>
    </row>
    <row r="747">
      <c r="B747" s="182"/>
      <c r="E747" s="261"/>
      <c r="G747" s="182"/>
      <c r="J747" s="67"/>
      <c r="K747" s="67"/>
      <c r="R747" s="67"/>
    </row>
    <row r="748">
      <c r="B748" s="182"/>
      <c r="E748" s="261"/>
      <c r="G748" s="182"/>
      <c r="J748" s="67"/>
      <c r="K748" s="67"/>
      <c r="R748" s="67"/>
    </row>
    <row r="749">
      <c r="B749" s="182"/>
      <c r="E749" s="261"/>
      <c r="G749" s="182"/>
      <c r="J749" s="67"/>
      <c r="K749" s="67"/>
      <c r="R749" s="67"/>
    </row>
    <row r="750">
      <c r="B750" s="182"/>
      <c r="E750" s="261"/>
      <c r="G750" s="182"/>
      <c r="J750" s="67"/>
      <c r="K750" s="67"/>
      <c r="R750" s="67"/>
    </row>
    <row r="751">
      <c r="B751" s="182"/>
      <c r="E751" s="261"/>
      <c r="G751" s="182"/>
      <c r="J751" s="67"/>
      <c r="K751" s="67"/>
      <c r="R751" s="67"/>
    </row>
    <row r="752">
      <c r="B752" s="182"/>
      <c r="E752" s="261"/>
      <c r="G752" s="182"/>
      <c r="J752" s="67"/>
      <c r="K752" s="67"/>
      <c r="R752" s="67"/>
    </row>
    <row r="753">
      <c r="B753" s="182"/>
      <c r="E753" s="261"/>
      <c r="G753" s="182"/>
      <c r="J753" s="67"/>
      <c r="K753" s="67"/>
      <c r="R753" s="67"/>
    </row>
    <row r="754">
      <c r="B754" s="182"/>
      <c r="E754" s="261"/>
      <c r="G754" s="182"/>
      <c r="J754" s="67"/>
      <c r="K754" s="67"/>
      <c r="R754" s="67"/>
    </row>
    <row r="755">
      <c r="B755" s="182"/>
      <c r="E755" s="261"/>
      <c r="G755" s="182"/>
      <c r="J755" s="67"/>
      <c r="K755" s="67"/>
      <c r="R755" s="67"/>
    </row>
    <row r="756">
      <c r="B756" s="182"/>
      <c r="E756" s="261"/>
      <c r="G756" s="182"/>
      <c r="J756" s="67"/>
      <c r="K756" s="67"/>
      <c r="R756" s="67"/>
    </row>
    <row r="757">
      <c r="B757" s="182"/>
      <c r="E757" s="261"/>
      <c r="G757" s="182"/>
      <c r="J757" s="67"/>
      <c r="K757" s="67"/>
      <c r="R757" s="67"/>
    </row>
    <row r="758">
      <c r="B758" s="182"/>
      <c r="E758" s="261"/>
      <c r="G758" s="182"/>
      <c r="J758" s="67"/>
      <c r="K758" s="67"/>
      <c r="R758" s="67"/>
    </row>
    <row r="759">
      <c r="B759" s="182"/>
      <c r="E759" s="261"/>
      <c r="G759" s="182"/>
      <c r="J759" s="67"/>
      <c r="K759" s="67"/>
      <c r="R759" s="67"/>
    </row>
    <row r="760">
      <c r="B760" s="182"/>
      <c r="E760" s="261"/>
      <c r="G760" s="182"/>
      <c r="J760" s="67"/>
      <c r="K760" s="67"/>
      <c r="R760" s="67"/>
    </row>
    <row r="761">
      <c r="B761" s="182"/>
      <c r="E761" s="261"/>
      <c r="G761" s="182"/>
      <c r="J761" s="67"/>
      <c r="K761" s="67"/>
      <c r="R761" s="67"/>
    </row>
    <row r="762">
      <c r="B762" s="182"/>
      <c r="E762" s="261"/>
      <c r="G762" s="182"/>
      <c r="J762" s="67"/>
      <c r="K762" s="67"/>
      <c r="R762" s="67"/>
    </row>
    <row r="763">
      <c r="B763" s="182"/>
      <c r="E763" s="261"/>
      <c r="G763" s="182"/>
      <c r="J763" s="67"/>
      <c r="K763" s="67"/>
      <c r="R763" s="67"/>
    </row>
    <row r="764">
      <c r="B764" s="182"/>
      <c r="E764" s="261"/>
      <c r="G764" s="182"/>
      <c r="J764" s="67"/>
      <c r="K764" s="67"/>
      <c r="R764" s="67"/>
    </row>
    <row r="765">
      <c r="B765" s="182"/>
      <c r="E765" s="261"/>
      <c r="G765" s="182"/>
      <c r="J765" s="67"/>
      <c r="K765" s="67"/>
      <c r="R765" s="67"/>
    </row>
    <row r="766">
      <c r="B766" s="182"/>
      <c r="E766" s="261"/>
      <c r="G766" s="182"/>
      <c r="J766" s="67"/>
      <c r="K766" s="67"/>
      <c r="R766" s="67"/>
    </row>
    <row r="767">
      <c r="B767" s="182"/>
      <c r="E767" s="261"/>
      <c r="G767" s="182"/>
      <c r="J767" s="67"/>
      <c r="K767" s="67"/>
      <c r="R767" s="67"/>
    </row>
    <row r="768">
      <c r="B768" s="182"/>
      <c r="E768" s="261"/>
      <c r="G768" s="182"/>
      <c r="J768" s="67"/>
      <c r="K768" s="67"/>
      <c r="R768" s="67"/>
    </row>
    <row r="769">
      <c r="B769" s="182"/>
      <c r="E769" s="261"/>
      <c r="G769" s="182"/>
      <c r="J769" s="67"/>
      <c r="K769" s="67"/>
      <c r="R769" s="67"/>
    </row>
    <row r="770">
      <c r="B770" s="182"/>
      <c r="E770" s="261"/>
      <c r="G770" s="182"/>
      <c r="J770" s="67"/>
      <c r="K770" s="67"/>
      <c r="R770" s="67"/>
    </row>
    <row r="771">
      <c r="B771" s="182"/>
      <c r="E771" s="261"/>
      <c r="G771" s="182"/>
      <c r="J771" s="67"/>
      <c r="K771" s="67"/>
      <c r="R771" s="67"/>
    </row>
    <row r="772">
      <c r="B772" s="182"/>
      <c r="E772" s="261"/>
      <c r="G772" s="182"/>
      <c r="J772" s="67"/>
      <c r="K772" s="67"/>
      <c r="R772" s="67"/>
    </row>
    <row r="773">
      <c r="B773" s="182"/>
      <c r="E773" s="261"/>
      <c r="G773" s="182"/>
      <c r="J773" s="67"/>
      <c r="K773" s="67"/>
      <c r="R773" s="67"/>
    </row>
    <row r="774">
      <c r="B774" s="182"/>
      <c r="E774" s="261"/>
      <c r="G774" s="182"/>
      <c r="J774" s="67"/>
      <c r="K774" s="67"/>
      <c r="R774" s="67"/>
    </row>
    <row r="775">
      <c r="B775" s="182"/>
      <c r="E775" s="261"/>
      <c r="G775" s="182"/>
      <c r="J775" s="67"/>
      <c r="K775" s="67"/>
      <c r="R775" s="67"/>
    </row>
    <row r="776">
      <c r="B776" s="182"/>
      <c r="E776" s="261"/>
      <c r="G776" s="182"/>
      <c r="J776" s="67"/>
      <c r="K776" s="67"/>
      <c r="R776" s="67"/>
    </row>
    <row r="777">
      <c r="B777" s="182"/>
      <c r="E777" s="261"/>
      <c r="G777" s="182"/>
      <c r="J777" s="67"/>
      <c r="K777" s="67"/>
      <c r="R777" s="67"/>
    </row>
    <row r="778">
      <c r="B778" s="182"/>
      <c r="E778" s="261"/>
      <c r="G778" s="182"/>
      <c r="J778" s="67"/>
      <c r="K778" s="67"/>
      <c r="R778" s="67"/>
    </row>
    <row r="779">
      <c r="B779" s="182"/>
      <c r="E779" s="261"/>
      <c r="G779" s="182"/>
      <c r="J779" s="67"/>
      <c r="K779" s="67"/>
      <c r="R779" s="67"/>
    </row>
    <row r="780">
      <c r="B780" s="182"/>
      <c r="E780" s="261"/>
      <c r="G780" s="182"/>
      <c r="J780" s="67"/>
      <c r="K780" s="67"/>
      <c r="R780" s="67"/>
    </row>
    <row r="781">
      <c r="B781" s="182"/>
      <c r="E781" s="261"/>
      <c r="G781" s="182"/>
      <c r="J781" s="67"/>
      <c r="K781" s="67"/>
      <c r="R781" s="67"/>
    </row>
    <row r="782">
      <c r="B782" s="182"/>
      <c r="E782" s="261"/>
      <c r="G782" s="182"/>
      <c r="J782" s="67"/>
      <c r="K782" s="67"/>
      <c r="R782" s="67"/>
    </row>
    <row r="783">
      <c r="B783" s="182"/>
      <c r="E783" s="261"/>
      <c r="G783" s="182"/>
      <c r="J783" s="67"/>
      <c r="K783" s="67"/>
      <c r="R783" s="67"/>
    </row>
    <row r="784">
      <c r="B784" s="182"/>
      <c r="E784" s="261"/>
      <c r="G784" s="182"/>
      <c r="J784" s="67"/>
      <c r="K784" s="67"/>
      <c r="R784" s="67"/>
    </row>
    <row r="785">
      <c r="B785" s="182"/>
      <c r="E785" s="261"/>
      <c r="G785" s="182"/>
      <c r="J785" s="67"/>
      <c r="K785" s="67"/>
      <c r="R785" s="67"/>
    </row>
    <row r="786">
      <c r="B786" s="182"/>
      <c r="E786" s="261"/>
      <c r="G786" s="182"/>
      <c r="J786" s="67"/>
      <c r="K786" s="67"/>
      <c r="R786" s="67"/>
    </row>
    <row r="787">
      <c r="B787" s="182"/>
      <c r="E787" s="261"/>
      <c r="G787" s="182"/>
      <c r="J787" s="67"/>
      <c r="K787" s="67"/>
      <c r="R787" s="67"/>
    </row>
    <row r="788">
      <c r="B788" s="182"/>
      <c r="E788" s="261"/>
      <c r="G788" s="182"/>
      <c r="J788" s="67"/>
      <c r="K788" s="67"/>
      <c r="R788" s="67"/>
    </row>
    <row r="789">
      <c r="B789" s="182"/>
      <c r="E789" s="261"/>
      <c r="G789" s="182"/>
      <c r="J789" s="67"/>
      <c r="K789" s="67"/>
      <c r="R789" s="67"/>
    </row>
    <row r="790">
      <c r="B790" s="182"/>
      <c r="E790" s="261"/>
      <c r="G790" s="182"/>
      <c r="J790" s="67"/>
      <c r="K790" s="67"/>
      <c r="R790" s="67"/>
    </row>
    <row r="791">
      <c r="B791" s="182"/>
      <c r="E791" s="261"/>
      <c r="G791" s="182"/>
      <c r="J791" s="67"/>
      <c r="K791" s="67"/>
      <c r="R791" s="67"/>
    </row>
    <row r="792">
      <c r="B792" s="182"/>
      <c r="E792" s="261"/>
      <c r="G792" s="182"/>
      <c r="J792" s="67"/>
      <c r="K792" s="67"/>
      <c r="R792" s="67"/>
    </row>
    <row r="793">
      <c r="B793" s="182"/>
      <c r="E793" s="261"/>
      <c r="G793" s="182"/>
      <c r="J793" s="67"/>
      <c r="K793" s="67"/>
      <c r="R793" s="67"/>
    </row>
    <row r="794">
      <c r="B794" s="182"/>
      <c r="E794" s="261"/>
      <c r="G794" s="182"/>
      <c r="J794" s="67"/>
      <c r="K794" s="67"/>
      <c r="R794" s="67"/>
    </row>
    <row r="795">
      <c r="B795" s="182"/>
      <c r="E795" s="261"/>
      <c r="G795" s="182"/>
      <c r="J795" s="67"/>
      <c r="K795" s="67"/>
      <c r="R795" s="67"/>
    </row>
    <row r="796">
      <c r="B796" s="182"/>
      <c r="E796" s="261"/>
      <c r="G796" s="182"/>
      <c r="J796" s="67"/>
      <c r="K796" s="67"/>
      <c r="R796" s="67"/>
    </row>
    <row r="797">
      <c r="B797" s="182"/>
      <c r="E797" s="261"/>
      <c r="G797" s="182"/>
      <c r="J797" s="67"/>
      <c r="K797" s="67"/>
      <c r="R797" s="67"/>
    </row>
    <row r="798">
      <c r="B798" s="182"/>
      <c r="E798" s="261"/>
      <c r="G798" s="182"/>
      <c r="J798" s="67"/>
      <c r="K798" s="67"/>
      <c r="R798" s="67"/>
    </row>
    <row r="799">
      <c r="B799" s="182"/>
      <c r="E799" s="261"/>
      <c r="G799" s="182"/>
      <c r="J799" s="67"/>
      <c r="K799" s="67"/>
      <c r="R799" s="67"/>
    </row>
    <row r="800">
      <c r="B800" s="182"/>
      <c r="E800" s="261"/>
      <c r="G800" s="182"/>
      <c r="J800" s="67"/>
      <c r="K800" s="67"/>
      <c r="R800" s="67"/>
    </row>
    <row r="801">
      <c r="B801" s="182"/>
      <c r="E801" s="261"/>
      <c r="G801" s="182"/>
      <c r="J801" s="67"/>
      <c r="K801" s="67"/>
      <c r="R801" s="67"/>
    </row>
    <row r="802">
      <c r="B802" s="182"/>
      <c r="E802" s="261"/>
      <c r="G802" s="182"/>
      <c r="J802" s="67"/>
      <c r="K802" s="67"/>
      <c r="R802" s="67"/>
    </row>
    <row r="803">
      <c r="B803" s="182"/>
      <c r="E803" s="261"/>
      <c r="G803" s="182"/>
      <c r="J803" s="67"/>
      <c r="K803" s="67"/>
      <c r="R803" s="67"/>
    </row>
    <row r="804">
      <c r="B804" s="182"/>
      <c r="E804" s="261"/>
      <c r="G804" s="182"/>
      <c r="J804" s="67"/>
      <c r="K804" s="67"/>
      <c r="R804" s="67"/>
    </row>
    <row r="805">
      <c r="B805" s="182"/>
      <c r="E805" s="261"/>
      <c r="G805" s="182"/>
      <c r="J805" s="67"/>
      <c r="K805" s="67"/>
      <c r="R805" s="67"/>
    </row>
    <row r="806">
      <c r="B806" s="182"/>
      <c r="E806" s="261"/>
      <c r="G806" s="182"/>
      <c r="J806" s="67"/>
      <c r="K806" s="67"/>
      <c r="R806" s="67"/>
    </row>
    <row r="807">
      <c r="B807" s="182"/>
      <c r="E807" s="261"/>
      <c r="G807" s="182"/>
      <c r="J807" s="67"/>
      <c r="K807" s="67"/>
      <c r="R807" s="67"/>
    </row>
    <row r="808">
      <c r="B808" s="182"/>
      <c r="E808" s="261"/>
      <c r="G808" s="182"/>
      <c r="J808" s="67"/>
      <c r="K808" s="67"/>
      <c r="R808" s="67"/>
    </row>
    <row r="809">
      <c r="B809" s="182"/>
      <c r="E809" s="261"/>
      <c r="G809" s="182"/>
      <c r="J809" s="67"/>
      <c r="K809" s="67"/>
      <c r="R809" s="67"/>
    </row>
    <row r="810">
      <c r="B810" s="182"/>
      <c r="E810" s="261"/>
      <c r="G810" s="182"/>
      <c r="J810" s="67"/>
      <c r="K810" s="67"/>
      <c r="R810" s="67"/>
    </row>
    <row r="811">
      <c r="B811" s="182"/>
      <c r="E811" s="261"/>
      <c r="G811" s="182"/>
      <c r="J811" s="67"/>
      <c r="K811" s="67"/>
      <c r="R811" s="67"/>
    </row>
    <row r="812">
      <c r="B812" s="182"/>
      <c r="E812" s="261"/>
      <c r="G812" s="182"/>
      <c r="J812" s="67"/>
      <c r="K812" s="67"/>
      <c r="R812" s="67"/>
    </row>
    <row r="813">
      <c r="B813" s="182"/>
      <c r="E813" s="261"/>
      <c r="G813" s="182"/>
      <c r="J813" s="67"/>
      <c r="K813" s="67"/>
      <c r="R813" s="67"/>
    </row>
    <row r="814">
      <c r="B814" s="182"/>
      <c r="E814" s="261"/>
      <c r="G814" s="182"/>
      <c r="J814" s="67"/>
      <c r="K814" s="67"/>
      <c r="R814" s="67"/>
    </row>
    <row r="815">
      <c r="B815" s="182"/>
      <c r="E815" s="261"/>
      <c r="G815" s="182"/>
      <c r="J815" s="67"/>
      <c r="K815" s="67"/>
      <c r="R815" s="67"/>
    </row>
    <row r="816">
      <c r="B816" s="182"/>
      <c r="E816" s="261"/>
      <c r="G816" s="182"/>
      <c r="J816" s="67"/>
      <c r="K816" s="67"/>
      <c r="R816" s="67"/>
    </row>
    <row r="817">
      <c r="B817" s="182"/>
      <c r="E817" s="261"/>
      <c r="G817" s="182"/>
      <c r="J817" s="67"/>
      <c r="K817" s="67"/>
      <c r="R817" s="67"/>
    </row>
    <row r="818">
      <c r="B818" s="182"/>
      <c r="E818" s="261"/>
      <c r="G818" s="182"/>
      <c r="J818" s="67"/>
      <c r="K818" s="67"/>
      <c r="R818" s="67"/>
    </row>
    <row r="819">
      <c r="B819" s="182"/>
      <c r="E819" s="261"/>
      <c r="G819" s="182"/>
      <c r="J819" s="67"/>
      <c r="K819" s="67"/>
      <c r="R819" s="67"/>
    </row>
    <row r="820">
      <c r="B820" s="182"/>
      <c r="E820" s="261"/>
      <c r="G820" s="182"/>
      <c r="J820" s="67"/>
      <c r="K820" s="67"/>
      <c r="R820" s="67"/>
    </row>
    <row r="821">
      <c r="B821" s="182"/>
      <c r="E821" s="261"/>
      <c r="G821" s="182"/>
      <c r="J821" s="67"/>
      <c r="K821" s="67"/>
      <c r="R821" s="67"/>
    </row>
    <row r="822">
      <c r="B822" s="182"/>
      <c r="E822" s="261"/>
      <c r="G822" s="182"/>
      <c r="J822" s="67"/>
      <c r="K822" s="67"/>
      <c r="R822" s="67"/>
    </row>
    <row r="823">
      <c r="B823" s="182"/>
      <c r="E823" s="261"/>
      <c r="G823" s="182"/>
      <c r="J823" s="67"/>
      <c r="K823" s="67"/>
      <c r="R823" s="67"/>
    </row>
    <row r="824">
      <c r="B824" s="182"/>
      <c r="E824" s="261"/>
      <c r="G824" s="182"/>
      <c r="J824" s="67"/>
      <c r="K824" s="67"/>
      <c r="R824" s="67"/>
    </row>
    <row r="825">
      <c r="B825" s="182"/>
      <c r="E825" s="261"/>
      <c r="G825" s="182"/>
      <c r="J825" s="67"/>
      <c r="K825" s="67"/>
      <c r="R825" s="67"/>
    </row>
    <row r="826">
      <c r="B826" s="182"/>
      <c r="E826" s="261"/>
      <c r="G826" s="182"/>
      <c r="J826" s="67"/>
      <c r="K826" s="67"/>
      <c r="R826" s="67"/>
    </row>
    <row r="827">
      <c r="B827" s="182"/>
      <c r="E827" s="261"/>
      <c r="G827" s="182"/>
      <c r="J827" s="67"/>
      <c r="K827" s="67"/>
      <c r="R827" s="67"/>
    </row>
    <row r="828">
      <c r="B828" s="182"/>
      <c r="E828" s="261"/>
      <c r="G828" s="182"/>
      <c r="J828" s="67"/>
      <c r="K828" s="67"/>
      <c r="R828" s="67"/>
    </row>
    <row r="829">
      <c r="B829" s="182"/>
      <c r="E829" s="261"/>
      <c r="G829" s="182"/>
      <c r="J829" s="67"/>
      <c r="K829" s="67"/>
      <c r="R829" s="67"/>
    </row>
    <row r="830">
      <c r="B830" s="182"/>
      <c r="E830" s="261"/>
      <c r="G830" s="182"/>
      <c r="J830" s="67"/>
      <c r="K830" s="67"/>
      <c r="R830" s="67"/>
    </row>
    <row r="831">
      <c r="B831" s="182"/>
      <c r="E831" s="261"/>
      <c r="G831" s="182"/>
      <c r="J831" s="67"/>
      <c r="K831" s="67"/>
      <c r="R831" s="67"/>
    </row>
    <row r="832">
      <c r="B832" s="182"/>
      <c r="E832" s="261"/>
      <c r="G832" s="182"/>
      <c r="J832" s="67"/>
      <c r="K832" s="67"/>
      <c r="R832" s="67"/>
    </row>
    <row r="833">
      <c r="B833" s="182"/>
      <c r="E833" s="261"/>
      <c r="G833" s="182"/>
      <c r="J833" s="67"/>
      <c r="K833" s="67"/>
      <c r="R833" s="67"/>
    </row>
    <row r="834">
      <c r="B834" s="182"/>
      <c r="E834" s="261"/>
      <c r="G834" s="182"/>
      <c r="J834" s="67"/>
      <c r="K834" s="67"/>
      <c r="R834" s="67"/>
    </row>
    <row r="835">
      <c r="B835" s="182"/>
      <c r="E835" s="261"/>
      <c r="G835" s="182"/>
      <c r="J835" s="67"/>
      <c r="K835" s="67"/>
      <c r="R835" s="67"/>
    </row>
    <row r="836">
      <c r="B836" s="182"/>
      <c r="E836" s="261"/>
      <c r="G836" s="182"/>
      <c r="J836" s="67"/>
      <c r="K836" s="67"/>
      <c r="R836" s="67"/>
    </row>
    <row r="837">
      <c r="B837" s="182"/>
      <c r="E837" s="261"/>
      <c r="G837" s="182"/>
      <c r="J837" s="67"/>
      <c r="K837" s="67"/>
      <c r="R837" s="67"/>
    </row>
    <row r="838">
      <c r="B838" s="182"/>
      <c r="E838" s="261"/>
      <c r="G838" s="182"/>
      <c r="J838" s="67"/>
      <c r="K838" s="67"/>
      <c r="R838" s="67"/>
    </row>
    <row r="839">
      <c r="B839" s="182"/>
      <c r="E839" s="261"/>
      <c r="G839" s="182"/>
      <c r="J839" s="67"/>
      <c r="K839" s="67"/>
      <c r="R839" s="67"/>
    </row>
    <row r="840">
      <c r="B840" s="182"/>
      <c r="E840" s="261"/>
      <c r="G840" s="182"/>
      <c r="J840" s="67"/>
      <c r="K840" s="67"/>
      <c r="R840" s="67"/>
    </row>
    <row r="841">
      <c r="B841" s="182"/>
      <c r="E841" s="261"/>
      <c r="G841" s="182"/>
      <c r="J841" s="67"/>
      <c r="K841" s="67"/>
      <c r="R841" s="67"/>
    </row>
    <row r="842">
      <c r="B842" s="182"/>
      <c r="E842" s="261"/>
      <c r="G842" s="182"/>
      <c r="J842" s="67"/>
      <c r="K842" s="67"/>
      <c r="R842" s="67"/>
    </row>
    <row r="843">
      <c r="B843" s="182"/>
      <c r="E843" s="261"/>
      <c r="G843" s="182"/>
      <c r="J843" s="67"/>
      <c r="K843" s="67"/>
      <c r="R843" s="67"/>
    </row>
    <row r="844">
      <c r="B844" s="182"/>
      <c r="E844" s="261"/>
      <c r="G844" s="182"/>
      <c r="J844" s="67"/>
      <c r="K844" s="67"/>
      <c r="R844" s="67"/>
    </row>
    <row r="845">
      <c r="B845" s="182"/>
      <c r="E845" s="261"/>
      <c r="G845" s="182"/>
      <c r="J845" s="67"/>
      <c r="K845" s="67"/>
      <c r="R845" s="67"/>
    </row>
    <row r="846">
      <c r="B846" s="182"/>
      <c r="E846" s="261"/>
      <c r="G846" s="182"/>
      <c r="J846" s="67"/>
      <c r="K846" s="67"/>
      <c r="R846" s="67"/>
    </row>
    <row r="847">
      <c r="B847" s="182"/>
      <c r="E847" s="261"/>
      <c r="G847" s="182"/>
      <c r="J847" s="67"/>
      <c r="K847" s="67"/>
      <c r="R847" s="67"/>
    </row>
    <row r="848">
      <c r="B848" s="182"/>
      <c r="E848" s="261"/>
      <c r="G848" s="182"/>
      <c r="J848" s="67"/>
      <c r="K848" s="67"/>
      <c r="R848" s="67"/>
    </row>
    <row r="849">
      <c r="B849" s="182"/>
      <c r="E849" s="261"/>
      <c r="G849" s="182"/>
      <c r="J849" s="67"/>
      <c r="K849" s="67"/>
      <c r="R849" s="67"/>
    </row>
    <row r="850">
      <c r="B850" s="182"/>
      <c r="E850" s="261"/>
      <c r="G850" s="182"/>
      <c r="J850" s="67"/>
      <c r="K850" s="67"/>
      <c r="R850" s="67"/>
    </row>
    <row r="851">
      <c r="B851" s="182"/>
      <c r="E851" s="261"/>
      <c r="G851" s="182"/>
      <c r="J851" s="67"/>
      <c r="K851" s="67"/>
      <c r="R851" s="67"/>
    </row>
    <row r="852">
      <c r="B852" s="182"/>
      <c r="E852" s="261"/>
      <c r="G852" s="182"/>
      <c r="J852" s="67"/>
      <c r="K852" s="67"/>
      <c r="R852" s="67"/>
    </row>
    <row r="853">
      <c r="B853" s="182"/>
      <c r="E853" s="261"/>
      <c r="G853" s="182"/>
      <c r="J853" s="67"/>
      <c r="K853" s="67"/>
      <c r="R853" s="67"/>
    </row>
    <row r="854">
      <c r="B854" s="182"/>
      <c r="E854" s="261"/>
      <c r="G854" s="182"/>
      <c r="J854" s="67"/>
      <c r="K854" s="67"/>
      <c r="R854" s="67"/>
    </row>
    <row r="855">
      <c r="B855" s="182"/>
      <c r="E855" s="261"/>
      <c r="G855" s="182"/>
      <c r="J855" s="67"/>
      <c r="K855" s="67"/>
      <c r="R855" s="67"/>
    </row>
    <row r="856">
      <c r="B856" s="182"/>
      <c r="E856" s="261"/>
      <c r="G856" s="182"/>
      <c r="J856" s="67"/>
      <c r="K856" s="67"/>
      <c r="R856" s="67"/>
    </row>
    <row r="857">
      <c r="B857" s="182"/>
      <c r="E857" s="261"/>
      <c r="G857" s="182"/>
      <c r="J857" s="67"/>
      <c r="K857" s="67"/>
      <c r="R857" s="67"/>
    </row>
    <row r="858">
      <c r="B858" s="182"/>
      <c r="E858" s="261"/>
      <c r="G858" s="182"/>
      <c r="J858" s="67"/>
      <c r="K858" s="67"/>
      <c r="R858" s="67"/>
    </row>
    <row r="859">
      <c r="B859" s="182"/>
      <c r="E859" s="261"/>
      <c r="G859" s="182"/>
      <c r="J859" s="67"/>
      <c r="K859" s="67"/>
      <c r="R859" s="67"/>
    </row>
    <row r="860">
      <c r="B860" s="182"/>
      <c r="E860" s="261"/>
      <c r="G860" s="182"/>
      <c r="J860" s="67"/>
      <c r="K860" s="67"/>
      <c r="R860" s="67"/>
    </row>
    <row r="861">
      <c r="B861" s="182"/>
      <c r="E861" s="261"/>
      <c r="G861" s="182"/>
      <c r="J861" s="67"/>
      <c r="K861" s="67"/>
      <c r="R861" s="67"/>
    </row>
    <row r="862">
      <c r="B862" s="182"/>
      <c r="E862" s="261"/>
      <c r="G862" s="182"/>
      <c r="J862" s="67"/>
      <c r="K862" s="67"/>
      <c r="R862" s="67"/>
    </row>
    <row r="863">
      <c r="B863" s="182"/>
      <c r="E863" s="261"/>
      <c r="G863" s="182"/>
      <c r="J863" s="67"/>
      <c r="K863" s="67"/>
      <c r="R863" s="67"/>
    </row>
    <row r="864">
      <c r="B864" s="182"/>
      <c r="E864" s="261"/>
      <c r="G864" s="182"/>
      <c r="J864" s="67"/>
      <c r="K864" s="67"/>
      <c r="R864" s="67"/>
    </row>
    <row r="865">
      <c r="B865" s="182"/>
      <c r="E865" s="261"/>
      <c r="G865" s="182"/>
      <c r="J865" s="67"/>
      <c r="K865" s="67"/>
      <c r="R865" s="67"/>
    </row>
    <row r="866">
      <c r="B866" s="182"/>
      <c r="E866" s="261"/>
      <c r="G866" s="182"/>
      <c r="J866" s="67"/>
      <c r="K866" s="67"/>
      <c r="R866" s="67"/>
    </row>
    <row r="867">
      <c r="B867" s="182"/>
      <c r="E867" s="261"/>
      <c r="G867" s="182"/>
      <c r="J867" s="67"/>
      <c r="K867" s="67"/>
      <c r="R867" s="67"/>
    </row>
    <row r="868">
      <c r="B868" s="182"/>
      <c r="E868" s="261"/>
      <c r="G868" s="182"/>
      <c r="J868" s="67"/>
      <c r="K868" s="67"/>
      <c r="R868" s="67"/>
    </row>
    <row r="869">
      <c r="B869" s="182"/>
      <c r="E869" s="261"/>
      <c r="G869" s="182"/>
      <c r="J869" s="67"/>
      <c r="K869" s="67"/>
      <c r="R869" s="67"/>
    </row>
    <row r="870">
      <c r="B870" s="182"/>
      <c r="E870" s="261"/>
      <c r="G870" s="182"/>
      <c r="J870" s="67"/>
      <c r="K870" s="67"/>
      <c r="R870" s="67"/>
    </row>
    <row r="871">
      <c r="B871" s="182"/>
      <c r="E871" s="261"/>
      <c r="G871" s="182"/>
      <c r="J871" s="67"/>
      <c r="K871" s="67"/>
      <c r="R871" s="67"/>
    </row>
    <row r="872">
      <c r="B872" s="182"/>
      <c r="E872" s="261"/>
      <c r="G872" s="182"/>
      <c r="J872" s="67"/>
      <c r="K872" s="67"/>
      <c r="R872" s="67"/>
    </row>
    <row r="873">
      <c r="B873" s="182"/>
      <c r="E873" s="261"/>
      <c r="G873" s="182"/>
      <c r="J873" s="67"/>
      <c r="K873" s="67"/>
      <c r="R873" s="67"/>
    </row>
    <row r="874">
      <c r="B874" s="182"/>
      <c r="E874" s="261"/>
      <c r="G874" s="182"/>
      <c r="J874" s="67"/>
      <c r="K874" s="67"/>
      <c r="R874" s="67"/>
    </row>
    <row r="875">
      <c r="B875" s="182"/>
      <c r="E875" s="261"/>
      <c r="G875" s="182"/>
      <c r="J875" s="67"/>
      <c r="K875" s="67"/>
      <c r="R875" s="67"/>
    </row>
    <row r="876">
      <c r="B876" s="182"/>
      <c r="E876" s="261"/>
      <c r="G876" s="182"/>
      <c r="J876" s="67"/>
      <c r="K876" s="67"/>
      <c r="R876" s="67"/>
    </row>
    <row r="877">
      <c r="B877" s="182"/>
      <c r="E877" s="261"/>
      <c r="G877" s="182"/>
      <c r="J877" s="67"/>
      <c r="K877" s="67"/>
      <c r="R877" s="67"/>
    </row>
    <row r="878">
      <c r="B878" s="182"/>
      <c r="E878" s="261"/>
      <c r="G878" s="182"/>
      <c r="J878" s="67"/>
      <c r="K878" s="67"/>
      <c r="R878" s="67"/>
    </row>
    <row r="879">
      <c r="B879" s="182"/>
      <c r="E879" s="261"/>
      <c r="G879" s="182"/>
      <c r="J879" s="67"/>
      <c r="K879" s="67"/>
      <c r="R879" s="67"/>
    </row>
    <row r="880">
      <c r="B880" s="182"/>
      <c r="E880" s="261"/>
      <c r="G880" s="182"/>
      <c r="J880" s="67"/>
      <c r="K880" s="67"/>
      <c r="R880" s="67"/>
    </row>
    <row r="881">
      <c r="B881" s="182"/>
      <c r="E881" s="261"/>
      <c r="G881" s="182"/>
      <c r="J881" s="67"/>
      <c r="K881" s="67"/>
      <c r="R881" s="67"/>
    </row>
    <row r="882">
      <c r="B882" s="182"/>
      <c r="E882" s="261"/>
      <c r="G882" s="182"/>
      <c r="J882" s="67"/>
      <c r="K882" s="67"/>
      <c r="R882" s="67"/>
    </row>
    <row r="883">
      <c r="B883" s="182"/>
      <c r="E883" s="261"/>
      <c r="G883" s="182"/>
      <c r="J883" s="67"/>
      <c r="K883" s="67"/>
      <c r="R883" s="67"/>
    </row>
    <row r="884">
      <c r="B884" s="182"/>
      <c r="E884" s="261"/>
      <c r="G884" s="182"/>
      <c r="J884" s="67"/>
      <c r="K884" s="67"/>
      <c r="R884" s="67"/>
    </row>
    <row r="885">
      <c r="B885" s="182"/>
      <c r="E885" s="261"/>
      <c r="G885" s="182"/>
      <c r="J885" s="67"/>
      <c r="K885" s="67"/>
      <c r="R885" s="67"/>
    </row>
    <row r="886">
      <c r="B886" s="182"/>
      <c r="E886" s="261"/>
      <c r="G886" s="182"/>
      <c r="J886" s="67"/>
      <c r="K886" s="67"/>
      <c r="R886" s="67"/>
    </row>
    <row r="887">
      <c r="B887" s="182"/>
      <c r="E887" s="261"/>
      <c r="G887" s="182"/>
      <c r="J887" s="67"/>
      <c r="K887" s="67"/>
      <c r="R887" s="67"/>
    </row>
    <row r="888">
      <c r="B888" s="182"/>
      <c r="E888" s="261"/>
      <c r="G888" s="182"/>
      <c r="J888" s="67"/>
      <c r="K888" s="67"/>
      <c r="R888" s="67"/>
    </row>
    <row r="889">
      <c r="B889" s="182"/>
      <c r="E889" s="261"/>
      <c r="G889" s="182"/>
      <c r="J889" s="67"/>
      <c r="K889" s="67"/>
      <c r="R889" s="67"/>
    </row>
    <row r="890">
      <c r="B890" s="182"/>
      <c r="E890" s="261"/>
      <c r="G890" s="182"/>
      <c r="J890" s="67"/>
      <c r="K890" s="67"/>
      <c r="R890" s="67"/>
    </row>
    <row r="891">
      <c r="B891" s="182"/>
      <c r="E891" s="261"/>
      <c r="G891" s="182"/>
      <c r="J891" s="67"/>
      <c r="K891" s="67"/>
      <c r="R891" s="67"/>
    </row>
    <row r="892">
      <c r="B892" s="182"/>
      <c r="E892" s="261"/>
      <c r="G892" s="182"/>
      <c r="J892" s="67"/>
      <c r="K892" s="67"/>
      <c r="R892" s="67"/>
    </row>
    <row r="893">
      <c r="B893" s="182"/>
      <c r="E893" s="261"/>
      <c r="G893" s="182"/>
      <c r="J893" s="67"/>
      <c r="K893" s="67"/>
      <c r="R893" s="67"/>
    </row>
    <row r="894">
      <c r="B894" s="182"/>
      <c r="E894" s="261"/>
      <c r="G894" s="182"/>
      <c r="J894" s="67"/>
      <c r="K894" s="67"/>
      <c r="R894" s="67"/>
    </row>
    <row r="895">
      <c r="B895" s="182"/>
      <c r="E895" s="261"/>
      <c r="G895" s="182"/>
      <c r="J895" s="67"/>
      <c r="K895" s="67"/>
      <c r="R895" s="67"/>
    </row>
    <row r="896">
      <c r="B896" s="182"/>
      <c r="E896" s="261"/>
      <c r="G896" s="182"/>
      <c r="J896" s="67"/>
      <c r="K896" s="67"/>
      <c r="R896" s="67"/>
    </row>
    <row r="897">
      <c r="B897" s="182"/>
      <c r="E897" s="261"/>
      <c r="G897" s="182"/>
      <c r="J897" s="67"/>
      <c r="K897" s="67"/>
      <c r="R897" s="67"/>
    </row>
    <row r="898">
      <c r="B898" s="182"/>
      <c r="E898" s="261"/>
      <c r="G898" s="182"/>
      <c r="J898" s="67"/>
      <c r="K898" s="67"/>
      <c r="R898" s="67"/>
    </row>
    <row r="899">
      <c r="B899" s="182"/>
      <c r="E899" s="261"/>
      <c r="G899" s="182"/>
      <c r="J899" s="67"/>
      <c r="K899" s="67"/>
      <c r="R899" s="67"/>
    </row>
    <row r="900">
      <c r="B900" s="182"/>
      <c r="E900" s="261"/>
      <c r="G900" s="182"/>
      <c r="J900" s="67"/>
      <c r="K900" s="67"/>
      <c r="R900" s="67"/>
    </row>
    <row r="901">
      <c r="B901" s="182"/>
      <c r="E901" s="261"/>
      <c r="G901" s="182"/>
      <c r="J901" s="67"/>
      <c r="K901" s="67"/>
      <c r="R901" s="67"/>
    </row>
    <row r="902">
      <c r="B902" s="182"/>
      <c r="E902" s="261"/>
      <c r="G902" s="182"/>
      <c r="J902" s="67"/>
      <c r="K902" s="67"/>
      <c r="R902" s="67"/>
    </row>
    <row r="903">
      <c r="B903" s="182"/>
      <c r="E903" s="261"/>
      <c r="G903" s="182"/>
      <c r="J903" s="67"/>
      <c r="K903" s="67"/>
      <c r="R903" s="67"/>
    </row>
    <row r="904">
      <c r="B904" s="182"/>
      <c r="E904" s="261"/>
      <c r="G904" s="182"/>
      <c r="J904" s="67"/>
      <c r="K904" s="67"/>
      <c r="R904" s="67"/>
    </row>
    <row r="905">
      <c r="B905" s="182"/>
      <c r="E905" s="261"/>
      <c r="G905" s="182"/>
      <c r="J905" s="67"/>
      <c r="K905" s="67"/>
      <c r="R905" s="67"/>
    </row>
    <row r="906">
      <c r="B906" s="182"/>
      <c r="E906" s="261"/>
      <c r="G906" s="182"/>
      <c r="J906" s="67"/>
      <c r="K906" s="67"/>
      <c r="R906" s="67"/>
    </row>
    <row r="907">
      <c r="B907" s="182"/>
      <c r="E907" s="261"/>
      <c r="G907" s="182"/>
      <c r="J907" s="67"/>
      <c r="K907" s="67"/>
      <c r="R907" s="67"/>
    </row>
    <row r="908">
      <c r="B908" s="182"/>
      <c r="E908" s="261"/>
      <c r="G908" s="182"/>
      <c r="J908" s="67"/>
      <c r="K908" s="67"/>
      <c r="R908" s="67"/>
    </row>
    <row r="909">
      <c r="B909" s="182"/>
      <c r="E909" s="261"/>
      <c r="G909" s="182"/>
      <c r="J909" s="67"/>
      <c r="K909" s="67"/>
      <c r="R909" s="67"/>
    </row>
    <row r="910">
      <c r="B910" s="182"/>
      <c r="E910" s="261"/>
      <c r="G910" s="182"/>
      <c r="J910" s="67"/>
      <c r="K910" s="67"/>
      <c r="R910" s="67"/>
    </row>
    <row r="911">
      <c r="B911" s="182"/>
      <c r="E911" s="261"/>
      <c r="G911" s="182"/>
      <c r="J911" s="67"/>
      <c r="K911" s="67"/>
      <c r="R911" s="67"/>
    </row>
    <row r="912">
      <c r="B912" s="182"/>
      <c r="E912" s="261"/>
      <c r="G912" s="182"/>
      <c r="J912" s="67"/>
      <c r="K912" s="67"/>
      <c r="R912" s="67"/>
    </row>
    <row r="913">
      <c r="B913" s="182"/>
      <c r="E913" s="261"/>
      <c r="G913" s="182"/>
      <c r="J913" s="67"/>
      <c r="K913" s="67"/>
      <c r="R913" s="67"/>
    </row>
    <row r="914">
      <c r="B914" s="182"/>
      <c r="E914" s="261"/>
      <c r="G914" s="182"/>
      <c r="J914" s="67"/>
      <c r="K914" s="67"/>
      <c r="R914" s="67"/>
    </row>
    <row r="915">
      <c r="B915" s="182"/>
      <c r="E915" s="261"/>
      <c r="G915" s="182"/>
      <c r="J915" s="67"/>
      <c r="K915" s="67"/>
      <c r="R915" s="67"/>
    </row>
    <row r="916">
      <c r="B916" s="182"/>
      <c r="E916" s="261"/>
      <c r="G916" s="182"/>
      <c r="J916" s="67"/>
      <c r="K916" s="67"/>
      <c r="R916" s="67"/>
    </row>
    <row r="917">
      <c r="B917" s="182"/>
      <c r="E917" s="261"/>
      <c r="G917" s="182"/>
      <c r="J917" s="67"/>
      <c r="K917" s="67"/>
      <c r="R917" s="67"/>
    </row>
    <row r="918">
      <c r="B918" s="182"/>
      <c r="E918" s="261"/>
      <c r="G918" s="182"/>
      <c r="J918" s="67"/>
      <c r="K918" s="67"/>
      <c r="R918" s="67"/>
    </row>
    <row r="919">
      <c r="B919" s="182"/>
      <c r="E919" s="261"/>
      <c r="G919" s="182"/>
      <c r="J919" s="67"/>
      <c r="K919" s="67"/>
      <c r="R919" s="67"/>
    </row>
    <row r="920">
      <c r="B920" s="182"/>
      <c r="E920" s="261"/>
      <c r="G920" s="182"/>
      <c r="J920" s="67"/>
      <c r="K920" s="67"/>
      <c r="R920" s="67"/>
    </row>
    <row r="921">
      <c r="B921" s="182"/>
      <c r="E921" s="261"/>
      <c r="G921" s="182"/>
      <c r="J921" s="67"/>
      <c r="K921" s="67"/>
      <c r="R921" s="67"/>
    </row>
    <row r="922">
      <c r="B922" s="182"/>
      <c r="E922" s="261"/>
      <c r="G922" s="182"/>
      <c r="J922" s="67"/>
      <c r="K922" s="67"/>
      <c r="R922" s="67"/>
    </row>
    <row r="923">
      <c r="B923" s="182"/>
      <c r="E923" s="261"/>
      <c r="G923" s="182"/>
      <c r="J923" s="67"/>
      <c r="K923" s="67"/>
      <c r="R923" s="67"/>
    </row>
    <row r="924">
      <c r="B924" s="182"/>
      <c r="E924" s="261"/>
      <c r="G924" s="182"/>
      <c r="J924" s="67"/>
      <c r="K924" s="67"/>
      <c r="R924" s="67"/>
    </row>
    <row r="925">
      <c r="B925" s="182"/>
      <c r="E925" s="261"/>
      <c r="G925" s="182"/>
      <c r="J925" s="67"/>
      <c r="K925" s="67"/>
      <c r="R925" s="67"/>
    </row>
    <row r="926">
      <c r="B926" s="182"/>
      <c r="E926" s="261"/>
      <c r="G926" s="182"/>
      <c r="J926" s="67"/>
      <c r="K926" s="67"/>
      <c r="R926" s="67"/>
    </row>
    <row r="927">
      <c r="B927" s="182"/>
      <c r="E927" s="261"/>
      <c r="G927" s="182"/>
      <c r="J927" s="67"/>
      <c r="K927" s="67"/>
      <c r="R927" s="67"/>
    </row>
    <row r="928">
      <c r="B928" s="182"/>
      <c r="E928" s="261"/>
      <c r="G928" s="182"/>
      <c r="J928" s="67"/>
      <c r="K928" s="67"/>
      <c r="R928" s="67"/>
    </row>
    <row r="929">
      <c r="B929" s="182"/>
      <c r="E929" s="261"/>
      <c r="G929" s="182"/>
      <c r="J929" s="67"/>
      <c r="K929" s="67"/>
      <c r="R929" s="67"/>
    </row>
    <row r="930">
      <c r="B930" s="182"/>
      <c r="E930" s="261"/>
      <c r="G930" s="182"/>
      <c r="J930" s="67"/>
      <c r="K930" s="67"/>
      <c r="R930" s="67"/>
    </row>
    <row r="931">
      <c r="B931" s="182"/>
      <c r="E931" s="261"/>
      <c r="G931" s="182"/>
      <c r="J931" s="67"/>
      <c r="K931" s="67"/>
      <c r="R931" s="67"/>
    </row>
    <row r="932">
      <c r="B932" s="182"/>
      <c r="E932" s="261"/>
      <c r="G932" s="182"/>
      <c r="J932" s="67"/>
      <c r="K932" s="67"/>
      <c r="R932" s="67"/>
    </row>
    <row r="933">
      <c r="B933" s="182"/>
      <c r="E933" s="261"/>
      <c r="G933" s="182"/>
      <c r="J933" s="67"/>
      <c r="K933" s="67"/>
      <c r="R933" s="67"/>
    </row>
    <row r="934">
      <c r="B934" s="182"/>
      <c r="E934" s="261"/>
      <c r="G934" s="182"/>
      <c r="J934" s="67"/>
      <c r="K934" s="67"/>
      <c r="R934" s="67"/>
    </row>
    <row r="935">
      <c r="B935" s="182"/>
      <c r="E935" s="261"/>
      <c r="G935" s="182"/>
      <c r="J935" s="67"/>
      <c r="K935" s="67"/>
      <c r="R935" s="67"/>
    </row>
    <row r="936">
      <c r="B936" s="182"/>
      <c r="E936" s="261"/>
      <c r="G936" s="182"/>
      <c r="J936" s="67"/>
      <c r="K936" s="67"/>
      <c r="R936" s="67"/>
    </row>
    <row r="937">
      <c r="B937" s="182"/>
      <c r="E937" s="261"/>
      <c r="G937" s="182"/>
      <c r="J937" s="67"/>
      <c r="K937" s="67"/>
      <c r="R937" s="67"/>
    </row>
    <row r="938">
      <c r="B938" s="182"/>
      <c r="E938" s="261"/>
      <c r="G938" s="182"/>
      <c r="J938" s="67"/>
      <c r="K938" s="67"/>
      <c r="R938" s="67"/>
    </row>
    <row r="939">
      <c r="B939" s="182"/>
      <c r="E939" s="261"/>
      <c r="G939" s="182"/>
      <c r="J939" s="67"/>
      <c r="K939" s="67"/>
      <c r="R939" s="67"/>
    </row>
    <row r="940">
      <c r="B940" s="182"/>
      <c r="E940" s="261"/>
      <c r="G940" s="182"/>
      <c r="J940" s="67"/>
      <c r="K940" s="67"/>
      <c r="R940" s="67"/>
    </row>
    <row r="941">
      <c r="B941" s="182"/>
      <c r="E941" s="261"/>
      <c r="G941" s="182"/>
      <c r="J941" s="67"/>
      <c r="K941" s="67"/>
      <c r="R941" s="67"/>
    </row>
    <row r="942">
      <c r="B942" s="182"/>
      <c r="E942" s="261"/>
      <c r="G942" s="182"/>
      <c r="J942" s="67"/>
      <c r="K942" s="67"/>
      <c r="R942" s="67"/>
    </row>
    <row r="943">
      <c r="B943" s="182"/>
      <c r="E943" s="261"/>
      <c r="G943" s="182"/>
      <c r="J943" s="67"/>
      <c r="K943" s="67"/>
      <c r="R943" s="67"/>
    </row>
    <row r="944">
      <c r="B944" s="182"/>
      <c r="E944" s="261"/>
      <c r="G944" s="182"/>
      <c r="J944" s="67"/>
      <c r="K944" s="67"/>
      <c r="R944" s="67"/>
    </row>
    <row r="945">
      <c r="B945" s="182"/>
      <c r="E945" s="261"/>
      <c r="G945" s="182"/>
      <c r="J945" s="67"/>
      <c r="K945" s="67"/>
      <c r="R945" s="67"/>
    </row>
    <row r="946">
      <c r="B946" s="182"/>
      <c r="E946" s="261"/>
      <c r="G946" s="182"/>
      <c r="J946" s="67"/>
      <c r="K946" s="67"/>
      <c r="R946" s="67"/>
    </row>
    <row r="947">
      <c r="B947" s="182"/>
      <c r="E947" s="261"/>
      <c r="G947" s="182"/>
      <c r="J947" s="67"/>
      <c r="K947" s="67"/>
      <c r="R947" s="67"/>
    </row>
    <row r="948">
      <c r="B948" s="182"/>
      <c r="E948" s="261"/>
      <c r="G948" s="182"/>
      <c r="J948" s="67"/>
      <c r="K948" s="67"/>
      <c r="R948" s="67"/>
    </row>
    <row r="949">
      <c r="B949" s="182"/>
      <c r="E949" s="261"/>
      <c r="G949" s="182"/>
      <c r="J949" s="67"/>
      <c r="K949" s="67"/>
      <c r="R949" s="67"/>
    </row>
    <row r="950">
      <c r="B950" s="182"/>
      <c r="E950" s="261"/>
      <c r="G950" s="182"/>
      <c r="J950" s="67"/>
      <c r="K950" s="67"/>
      <c r="R950" s="67"/>
    </row>
    <row r="951">
      <c r="B951" s="182"/>
      <c r="E951" s="261"/>
      <c r="G951" s="182"/>
      <c r="J951" s="67"/>
      <c r="K951" s="67"/>
      <c r="R951" s="67"/>
    </row>
    <row r="952">
      <c r="B952" s="182"/>
      <c r="E952" s="261"/>
      <c r="G952" s="182"/>
      <c r="J952" s="67"/>
      <c r="K952" s="67"/>
      <c r="R952" s="67"/>
    </row>
    <row r="953">
      <c r="B953" s="182"/>
      <c r="E953" s="261"/>
      <c r="G953" s="182"/>
      <c r="J953" s="67"/>
      <c r="K953" s="67"/>
      <c r="R953" s="67"/>
    </row>
    <row r="954">
      <c r="B954" s="182"/>
      <c r="E954" s="261"/>
      <c r="G954" s="182"/>
      <c r="J954" s="67"/>
      <c r="K954" s="67"/>
      <c r="R954" s="67"/>
    </row>
    <row r="955">
      <c r="B955" s="182"/>
      <c r="E955" s="261"/>
      <c r="G955" s="182"/>
      <c r="J955" s="67"/>
      <c r="K955" s="67"/>
      <c r="R955" s="67"/>
    </row>
    <row r="956">
      <c r="B956" s="182"/>
      <c r="E956" s="261"/>
      <c r="G956" s="182"/>
      <c r="J956" s="67"/>
      <c r="K956" s="67"/>
      <c r="R956" s="67"/>
    </row>
    <row r="957">
      <c r="B957" s="182"/>
      <c r="E957" s="261"/>
      <c r="G957" s="182"/>
      <c r="J957" s="67"/>
      <c r="K957" s="67"/>
      <c r="R957" s="67"/>
    </row>
    <row r="958">
      <c r="B958" s="182"/>
      <c r="E958" s="261"/>
      <c r="G958" s="182"/>
      <c r="J958" s="67"/>
      <c r="K958" s="67"/>
      <c r="R958" s="67"/>
    </row>
    <row r="959">
      <c r="B959" s="182"/>
      <c r="E959" s="261"/>
      <c r="G959" s="182"/>
      <c r="J959" s="67"/>
      <c r="K959" s="67"/>
      <c r="R959" s="67"/>
    </row>
    <row r="960">
      <c r="B960" s="182"/>
      <c r="E960" s="261"/>
      <c r="G960" s="182"/>
      <c r="J960" s="67"/>
      <c r="K960" s="67"/>
      <c r="R960" s="67"/>
    </row>
    <row r="961">
      <c r="B961" s="182"/>
      <c r="E961" s="261"/>
      <c r="G961" s="182"/>
      <c r="J961" s="67"/>
      <c r="K961" s="67"/>
      <c r="R961" s="67"/>
    </row>
    <row r="962">
      <c r="B962" s="182"/>
      <c r="E962" s="261"/>
      <c r="G962" s="182"/>
      <c r="J962" s="67"/>
      <c r="K962" s="67"/>
      <c r="R962" s="67"/>
    </row>
    <row r="963">
      <c r="B963" s="182"/>
      <c r="E963" s="261"/>
      <c r="G963" s="182"/>
      <c r="J963" s="67"/>
      <c r="K963" s="67"/>
      <c r="R963" s="67"/>
    </row>
    <row r="964">
      <c r="B964" s="182"/>
      <c r="E964" s="261"/>
      <c r="G964" s="182"/>
      <c r="J964" s="67"/>
      <c r="K964" s="67"/>
      <c r="R964" s="67"/>
    </row>
    <row r="965">
      <c r="B965" s="182"/>
      <c r="E965" s="261"/>
      <c r="G965" s="182"/>
      <c r="J965" s="67"/>
      <c r="K965" s="67"/>
      <c r="R965" s="67"/>
    </row>
    <row r="966">
      <c r="B966" s="182"/>
      <c r="E966" s="261"/>
      <c r="G966" s="182"/>
      <c r="J966" s="67"/>
      <c r="K966" s="67"/>
      <c r="R966" s="67"/>
    </row>
    <row r="967">
      <c r="B967" s="182"/>
      <c r="E967" s="261"/>
      <c r="G967" s="182"/>
      <c r="J967" s="67"/>
      <c r="K967" s="67"/>
      <c r="R967" s="67"/>
    </row>
    <row r="968">
      <c r="B968" s="182"/>
      <c r="E968" s="261"/>
      <c r="G968" s="182"/>
      <c r="J968" s="67"/>
      <c r="K968" s="67"/>
      <c r="R968" s="67"/>
    </row>
    <row r="969">
      <c r="B969" s="182"/>
      <c r="E969" s="261"/>
      <c r="G969" s="182"/>
      <c r="J969" s="67"/>
      <c r="K969" s="67"/>
      <c r="R969" s="67"/>
    </row>
    <row r="970">
      <c r="B970" s="182"/>
      <c r="E970" s="261"/>
      <c r="G970" s="182"/>
      <c r="J970" s="67"/>
      <c r="K970" s="67"/>
      <c r="R970" s="67"/>
    </row>
    <row r="971">
      <c r="B971" s="182"/>
      <c r="E971" s="261"/>
      <c r="G971" s="182"/>
      <c r="J971" s="67"/>
      <c r="K971" s="67"/>
      <c r="R971" s="67"/>
    </row>
    <row r="972">
      <c r="B972" s="182"/>
      <c r="E972" s="261"/>
      <c r="G972" s="182"/>
      <c r="J972" s="67"/>
      <c r="K972" s="67"/>
      <c r="R972" s="67"/>
    </row>
    <row r="973">
      <c r="B973" s="182"/>
      <c r="E973" s="261"/>
      <c r="G973" s="182"/>
      <c r="J973" s="67"/>
      <c r="K973" s="67"/>
      <c r="R973" s="67"/>
    </row>
    <row r="974">
      <c r="B974" s="182"/>
      <c r="E974" s="261"/>
      <c r="G974" s="182"/>
      <c r="J974" s="67"/>
      <c r="K974" s="67"/>
      <c r="R974" s="67"/>
    </row>
    <row r="975">
      <c r="B975" s="182"/>
      <c r="E975" s="261"/>
      <c r="G975" s="182"/>
      <c r="J975" s="67"/>
      <c r="K975" s="67"/>
      <c r="R975" s="67"/>
    </row>
    <row r="976">
      <c r="B976" s="182"/>
      <c r="E976" s="261"/>
      <c r="G976" s="182"/>
      <c r="J976" s="67"/>
      <c r="K976" s="67"/>
      <c r="R976" s="67"/>
    </row>
    <row r="977">
      <c r="B977" s="182"/>
      <c r="E977" s="261"/>
      <c r="G977" s="182"/>
      <c r="J977" s="67"/>
      <c r="K977" s="67"/>
      <c r="R977" s="67"/>
    </row>
    <row r="978">
      <c r="B978" s="182"/>
      <c r="E978" s="261"/>
      <c r="G978" s="182"/>
      <c r="J978" s="67"/>
      <c r="K978" s="67"/>
      <c r="R978" s="67"/>
    </row>
    <row r="979">
      <c r="B979" s="182"/>
      <c r="E979" s="261"/>
      <c r="G979" s="182"/>
      <c r="J979" s="67"/>
      <c r="K979" s="67"/>
      <c r="R979" s="67"/>
    </row>
    <row r="980">
      <c r="B980" s="182"/>
      <c r="E980" s="261"/>
      <c r="G980" s="182"/>
      <c r="J980" s="67"/>
      <c r="K980" s="67"/>
      <c r="R980" s="67"/>
    </row>
    <row r="981">
      <c r="B981" s="182"/>
      <c r="E981" s="261"/>
      <c r="G981" s="182"/>
      <c r="J981" s="67"/>
      <c r="K981" s="67"/>
      <c r="R981" s="67"/>
    </row>
    <row r="982">
      <c r="B982" s="182"/>
      <c r="E982" s="261"/>
      <c r="G982" s="182"/>
      <c r="J982" s="67"/>
      <c r="K982" s="67"/>
      <c r="R982" s="67"/>
    </row>
    <row r="983">
      <c r="B983" s="182"/>
      <c r="E983" s="261"/>
      <c r="G983" s="182"/>
      <c r="J983" s="67"/>
      <c r="K983" s="67"/>
      <c r="R983" s="67"/>
    </row>
    <row r="984">
      <c r="B984" s="182"/>
      <c r="E984" s="261"/>
      <c r="G984" s="182"/>
      <c r="J984" s="67"/>
      <c r="K984" s="67"/>
      <c r="R984" s="67"/>
    </row>
    <row r="985">
      <c r="B985" s="182"/>
      <c r="E985" s="261"/>
      <c r="G985" s="182"/>
      <c r="J985" s="67"/>
      <c r="K985" s="67"/>
      <c r="R985" s="67"/>
    </row>
    <row r="986">
      <c r="B986" s="182"/>
      <c r="E986" s="261"/>
      <c r="G986" s="182"/>
      <c r="J986" s="67"/>
      <c r="K986" s="67"/>
      <c r="R986" s="67"/>
    </row>
    <row r="987">
      <c r="B987" s="182"/>
      <c r="E987" s="261"/>
      <c r="G987" s="182"/>
      <c r="J987" s="67"/>
      <c r="K987" s="67"/>
      <c r="R987" s="67"/>
    </row>
    <row r="988">
      <c r="B988" s="182"/>
      <c r="E988" s="261"/>
      <c r="G988" s="182"/>
      <c r="J988" s="67"/>
      <c r="K988" s="67"/>
      <c r="R988" s="67"/>
    </row>
    <row r="989">
      <c r="B989" s="182"/>
      <c r="E989" s="261"/>
      <c r="G989" s="182"/>
      <c r="J989" s="67"/>
      <c r="K989" s="67"/>
      <c r="R989" s="67"/>
    </row>
    <row r="990">
      <c r="B990" s="182"/>
      <c r="E990" s="261"/>
      <c r="G990" s="182"/>
      <c r="J990" s="67"/>
      <c r="K990" s="67"/>
      <c r="R990" s="67"/>
    </row>
    <row r="991">
      <c r="B991" s="182"/>
      <c r="E991" s="261"/>
      <c r="G991" s="182"/>
      <c r="J991" s="67"/>
      <c r="K991" s="67"/>
      <c r="R991" s="67"/>
    </row>
    <row r="992">
      <c r="B992" s="182"/>
      <c r="E992" s="261"/>
      <c r="G992" s="182"/>
      <c r="J992" s="67"/>
      <c r="K992" s="67"/>
      <c r="R992" s="67"/>
    </row>
    <row r="993">
      <c r="B993" s="182"/>
      <c r="E993" s="261"/>
      <c r="G993" s="182"/>
      <c r="J993" s="67"/>
      <c r="K993" s="67"/>
      <c r="R993" s="67"/>
    </row>
    <row r="994">
      <c r="B994" s="182"/>
      <c r="E994" s="261"/>
      <c r="G994" s="182"/>
      <c r="J994" s="67"/>
      <c r="K994" s="67"/>
      <c r="R994" s="67"/>
    </row>
    <row r="995">
      <c r="B995" s="182"/>
      <c r="E995" s="261"/>
      <c r="G995" s="182"/>
      <c r="J995" s="67"/>
      <c r="K995" s="67"/>
      <c r="R995" s="67"/>
    </row>
    <row r="996">
      <c r="B996" s="182"/>
      <c r="E996" s="261"/>
      <c r="G996" s="182"/>
      <c r="J996" s="67"/>
      <c r="K996" s="67"/>
      <c r="R996" s="67"/>
    </row>
    <row r="997">
      <c r="B997" s="182"/>
      <c r="E997" s="261"/>
      <c r="G997" s="182"/>
      <c r="J997" s="67"/>
      <c r="K997" s="67"/>
      <c r="R997" s="67"/>
    </row>
    <row r="998">
      <c r="B998" s="182"/>
      <c r="E998" s="261"/>
      <c r="G998" s="182"/>
      <c r="J998" s="67"/>
      <c r="K998" s="67"/>
      <c r="R998" s="67"/>
    </row>
    <row r="999">
      <c r="B999" s="182"/>
      <c r="E999" s="261"/>
      <c r="G999" s="182"/>
      <c r="J999" s="67"/>
      <c r="K999" s="67"/>
      <c r="R999" s="67"/>
    </row>
    <row r="1000">
      <c r="B1000" s="182"/>
      <c r="E1000" s="261"/>
      <c r="G1000" s="182"/>
      <c r="J1000" s="67"/>
      <c r="K1000" s="67"/>
      <c r="R1000" s="67"/>
    </row>
    <row r="1001">
      <c r="B1001" s="182"/>
      <c r="E1001" s="261"/>
      <c r="G1001" s="182"/>
      <c r="J1001" s="67"/>
      <c r="K1001" s="67"/>
      <c r="R1001" s="67"/>
    </row>
    <row r="1002">
      <c r="B1002" s="182"/>
      <c r="E1002" s="261"/>
      <c r="G1002" s="182"/>
      <c r="J1002" s="67"/>
      <c r="K1002" s="67"/>
      <c r="R1002" s="67"/>
    </row>
    <row r="1003">
      <c r="B1003" s="182"/>
      <c r="E1003" s="261"/>
      <c r="G1003" s="182"/>
      <c r="J1003" s="67"/>
      <c r="K1003" s="67"/>
      <c r="R1003" s="67"/>
    </row>
    <row r="1004">
      <c r="B1004" s="182"/>
      <c r="E1004" s="261"/>
      <c r="G1004" s="182"/>
      <c r="J1004" s="67"/>
      <c r="K1004" s="67"/>
      <c r="R1004" s="67"/>
    </row>
    <row r="1005">
      <c r="B1005" s="182"/>
      <c r="E1005" s="261"/>
      <c r="G1005" s="182"/>
      <c r="J1005" s="67"/>
      <c r="K1005" s="67"/>
      <c r="R1005" s="67"/>
    </row>
    <row r="1006">
      <c r="B1006" s="182"/>
      <c r="E1006" s="261"/>
      <c r="G1006" s="182"/>
      <c r="J1006" s="67"/>
      <c r="K1006" s="67"/>
      <c r="R1006" s="67"/>
    </row>
    <row r="1007">
      <c r="B1007" s="182"/>
      <c r="E1007" s="261"/>
      <c r="G1007" s="182"/>
      <c r="J1007" s="67"/>
      <c r="K1007" s="67"/>
      <c r="R1007" s="67"/>
    </row>
    <row r="1008">
      <c r="B1008" s="182"/>
      <c r="E1008" s="261"/>
      <c r="G1008" s="182"/>
      <c r="J1008" s="67"/>
      <c r="K1008" s="67"/>
      <c r="R1008" s="67"/>
    </row>
    <row r="1009">
      <c r="B1009" s="182"/>
      <c r="E1009" s="261"/>
      <c r="G1009" s="182"/>
      <c r="J1009" s="67"/>
      <c r="K1009" s="67"/>
      <c r="R1009" s="67"/>
    </row>
    <row r="1010">
      <c r="B1010" s="182"/>
      <c r="E1010" s="261"/>
      <c r="G1010" s="182"/>
      <c r="J1010" s="67"/>
      <c r="K1010" s="67"/>
      <c r="R1010" s="67"/>
    </row>
    <row r="1011">
      <c r="B1011" s="182"/>
      <c r="E1011" s="261"/>
      <c r="G1011" s="182"/>
      <c r="J1011" s="67"/>
      <c r="K1011" s="67"/>
      <c r="R1011" s="67"/>
    </row>
    <row r="1012">
      <c r="B1012" s="182"/>
      <c r="E1012" s="261"/>
      <c r="G1012" s="182"/>
      <c r="J1012" s="67"/>
      <c r="K1012" s="67"/>
      <c r="R1012" s="67"/>
    </row>
    <row r="1013">
      <c r="B1013" s="182"/>
      <c r="E1013" s="261"/>
      <c r="G1013" s="182"/>
      <c r="J1013" s="67"/>
      <c r="K1013" s="67"/>
      <c r="R1013" s="67"/>
    </row>
    <row r="1014">
      <c r="B1014" s="182"/>
      <c r="E1014" s="261"/>
      <c r="G1014" s="182"/>
      <c r="J1014" s="67"/>
      <c r="K1014" s="67"/>
      <c r="R1014" s="67"/>
    </row>
    <row r="1015">
      <c r="B1015" s="182"/>
      <c r="E1015" s="261"/>
      <c r="G1015" s="182"/>
      <c r="J1015" s="67"/>
      <c r="K1015" s="67"/>
      <c r="R1015" s="67"/>
    </row>
    <row r="1016">
      <c r="B1016" s="182"/>
      <c r="E1016" s="261"/>
      <c r="G1016" s="182"/>
      <c r="J1016" s="67"/>
      <c r="K1016" s="67"/>
      <c r="R1016" s="67"/>
    </row>
    <row r="1017">
      <c r="B1017" s="182"/>
      <c r="E1017" s="261"/>
      <c r="G1017" s="182"/>
      <c r="J1017" s="67"/>
      <c r="K1017" s="67"/>
      <c r="R1017" s="67"/>
    </row>
    <row r="1018">
      <c r="B1018" s="182"/>
      <c r="E1018" s="261"/>
      <c r="G1018" s="182"/>
      <c r="J1018" s="67"/>
      <c r="K1018" s="67"/>
      <c r="R1018" s="67"/>
    </row>
    <row r="1019">
      <c r="B1019" s="182"/>
      <c r="E1019" s="261"/>
      <c r="G1019" s="182"/>
      <c r="J1019" s="67"/>
      <c r="K1019" s="67"/>
      <c r="R1019" s="67"/>
    </row>
    <row r="1020">
      <c r="B1020" s="182"/>
      <c r="E1020" s="261"/>
      <c r="G1020" s="182"/>
      <c r="J1020" s="67"/>
      <c r="K1020" s="67"/>
      <c r="R1020" s="67"/>
    </row>
    <row r="1021">
      <c r="B1021" s="182"/>
      <c r="E1021" s="261"/>
      <c r="G1021" s="182"/>
      <c r="J1021" s="67"/>
      <c r="K1021" s="67"/>
      <c r="R1021" s="67"/>
    </row>
    <row r="1022">
      <c r="B1022" s="182"/>
      <c r="E1022" s="261"/>
      <c r="G1022" s="182"/>
      <c r="J1022" s="67"/>
      <c r="K1022" s="67"/>
      <c r="R1022" s="67"/>
    </row>
    <row r="1023">
      <c r="B1023" s="182"/>
      <c r="E1023" s="261"/>
      <c r="G1023" s="182"/>
      <c r="J1023" s="67"/>
      <c r="K1023" s="67"/>
      <c r="R1023" s="67"/>
    </row>
    <row r="1024">
      <c r="B1024" s="182"/>
      <c r="E1024" s="261"/>
      <c r="G1024" s="182"/>
      <c r="J1024" s="67"/>
      <c r="K1024" s="67"/>
      <c r="R1024" s="67"/>
    </row>
    <row r="1025">
      <c r="B1025" s="182"/>
      <c r="E1025" s="261"/>
      <c r="G1025" s="182"/>
      <c r="J1025" s="67"/>
      <c r="K1025" s="67"/>
      <c r="R1025" s="67"/>
    </row>
    <row r="1026">
      <c r="B1026" s="182"/>
      <c r="E1026" s="261"/>
      <c r="G1026" s="182"/>
      <c r="J1026" s="67"/>
      <c r="K1026" s="67"/>
      <c r="R1026" s="67"/>
    </row>
    <row r="1027">
      <c r="B1027" s="182"/>
      <c r="E1027" s="261"/>
      <c r="G1027" s="182"/>
      <c r="J1027" s="67"/>
      <c r="K1027" s="67"/>
      <c r="R1027" s="67"/>
    </row>
    <row r="1028">
      <c r="B1028" s="182"/>
      <c r="E1028" s="261"/>
      <c r="G1028" s="182"/>
      <c r="J1028" s="67"/>
      <c r="K1028" s="67"/>
      <c r="R1028" s="67"/>
    </row>
    <row r="1029">
      <c r="B1029" s="182"/>
      <c r="E1029" s="261"/>
      <c r="G1029" s="182"/>
      <c r="J1029" s="67"/>
      <c r="K1029" s="67"/>
      <c r="R1029" s="67"/>
    </row>
    <row r="1030">
      <c r="B1030" s="182"/>
      <c r="E1030" s="261"/>
      <c r="G1030" s="182"/>
      <c r="J1030" s="67"/>
      <c r="K1030" s="67"/>
      <c r="R1030" s="67"/>
    </row>
    <row r="1031">
      <c r="B1031" s="182"/>
      <c r="E1031" s="261"/>
      <c r="G1031" s="182"/>
      <c r="J1031" s="67"/>
      <c r="K1031" s="67"/>
      <c r="R1031" s="67"/>
    </row>
    <row r="1032">
      <c r="B1032" s="182"/>
      <c r="E1032" s="261"/>
      <c r="G1032" s="182"/>
      <c r="J1032" s="67"/>
      <c r="K1032" s="67"/>
      <c r="R1032" s="67"/>
    </row>
    <row r="1033">
      <c r="B1033" s="182"/>
      <c r="E1033" s="261"/>
      <c r="G1033" s="182"/>
      <c r="J1033" s="67"/>
      <c r="K1033" s="67"/>
      <c r="R1033" s="67"/>
    </row>
    <row r="1034">
      <c r="B1034" s="182"/>
      <c r="E1034" s="261"/>
      <c r="G1034" s="182"/>
      <c r="J1034" s="67"/>
      <c r="K1034" s="67"/>
      <c r="R1034" s="67"/>
    </row>
    <row r="1035">
      <c r="B1035" s="182"/>
      <c r="E1035" s="261"/>
      <c r="G1035" s="182"/>
      <c r="J1035" s="67"/>
      <c r="K1035" s="67"/>
      <c r="R1035" s="67"/>
    </row>
    <row r="1036">
      <c r="B1036" s="182"/>
      <c r="E1036" s="261"/>
      <c r="G1036" s="182"/>
      <c r="J1036" s="67"/>
      <c r="K1036" s="67"/>
      <c r="R1036" s="67"/>
    </row>
    <row r="1037">
      <c r="B1037" s="182"/>
      <c r="E1037" s="261"/>
      <c r="G1037" s="182"/>
      <c r="J1037" s="67"/>
      <c r="K1037" s="67"/>
      <c r="R1037" s="67"/>
    </row>
    <row r="1038">
      <c r="B1038" s="182"/>
      <c r="E1038" s="261"/>
      <c r="G1038" s="182"/>
      <c r="J1038" s="67"/>
      <c r="K1038" s="67"/>
      <c r="R1038" s="67"/>
    </row>
    <row r="1039">
      <c r="B1039" s="182"/>
      <c r="E1039" s="261"/>
      <c r="G1039" s="182"/>
      <c r="J1039" s="67"/>
      <c r="K1039" s="67"/>
      <c r="R1039" s="67"/>
    </row>
    <row r="1040">
      <c r="B1040" s="182"/>
      <c r="E1040" s="261"/>
      <c r="G1040" s="182"/>
      <c r="J1040" s="67"/>
      <c r="K1040" s="67"/>
      <c r="R1040" s="67"/>
    </row>
    <row r="1041">
      <c r="B1041" s="182"/>
      <c r="E1041" s="261"/>
      <c r="G1041" s="182"/>
      <c r="J1041" s="67"/>
      <c r="K1041" s="67"/>
      <c r="R1041" s="67"/>
    </row>
    <row r="1042">
      <c r="B1042" s="182"/>
      <c r="E1042" s="261"/>
      <c r="G1042" s="182"/>
      <c r="J1042" s="67"/>
      <c r="K1042" s="67"/>
      <c r="R1042" s="67"/>
    </row>
    <row r="1043">
      <c r="B1043" s="182"/>
      <c r="E1043" s="261"/>
      <c r="G1043" s="182"/>
      <c r="J1043" s="67"/>
      <c r="K1043" s="67"/>
      <c r="R1043" s="67"/>
    </row>
    <row r="1044">
      <c r="B1044" s="182"/>
      <c r="E1044" s="261"/>
      <c r="G1044" s="182"/>
      <c r="J1044" s="67"/>
      <c r="K1044" s="67"/>
      <c r="R1044" s="67"/>
    </row>
    <row r="1045">
      <c r="B1045" s="182"/>
      <c r="E1045" s="261"/>
      <c r="G1045" s="182"/>
      <c r="J1045" s="67"/>
      <c r="K1045" s="67"/>
      <c r="R1045" s="67"/>
    </row>
    <row r="1046">
      <c r="B1046" s="182"/>
      <c r="E1046" s="261"/>
      <c r="G1046" s="182"/>
      <c r="J1046" s="67"/>
      <c r="K1046" s="67"/>
      <c r="R1046" s="67"/>
    </row>
    <row r="1047">
      <c r="B1047" s="182"/>
      <c r="E1047" s="261"/>
      <c r="G1047" s="182"/>
      <c r="J1047" s="67"/>
      <c r="K1047" s="67"/>
      <c r="R1047" s="67"/>
    </row>
    <row r="1048">
      <c r="B1048" s="182"/>
      <c r="E1048" s="261"/>
      <c r="G1048" s="182"/>
      <c r="J1048" s="67"/>
      <c r="K1048" s="67"/>
      <c r="R1048" s="67"/>
    </row>
    <row r="1049">
      <c r="B1049" s="182"/>
      <c r="E1049" s="261"/>
      <c r="G1049" s="182"/>
      <c r="J1049" s="67"/>
      <c r="K1049" s="67"/>
      <c r="R1049" s="67"/>
    </row>
    <row r="1050">
      <c r="B1050" s="182"/>
      <c r="E1050" s="261"/>
      <c r="G1050" s="182"/>
      <c r="J1050" s="67"/>
      <c r="K1050" s="67"/>
      <c r="R1050" s="67"/>
    </row>
    <row r="1051">
      <c r="B1051" s="182"/>
      <c r="E1051" s="261"/>
      <c r="G1051" s="182"/>
      <c r="J1051" s="67"/>
      <c r="K1051" s="67"/>
      <c r="R1051" s="67"/>
    </row>
    <row r="1052">
      <c r="B1052" s="182"/>
      <c r="E1052" s="261"/>
      <c r="G1052" s="182"/>
      <c r="J1052" s="67"/>
      <c r="K1052" s="67"/>
      <c r="R1052" s="67"/>
    </row>
    <row r="1053">
      <c r="B1053" s="182"/>
      <c r="E1053" s="261"/>
      <c r="G1053" s="182"/>
      <c r="J1053" s="67"/>
      <c r="K1053" s="67"/>
      <c r="R1053" s="67"/>
    </row>
    <row r="1054">
      <c r="B1054" s="182"/>
      <c r="E1054" s="261"/>
      <c r="G1054" s="182"/>
      <c r="J1054" s="67"/>
      <c r="K1054" s="67"/>
      <c r="R1054" s="67"/>
    </row>
    <row r="1055">
      <c r="B1055" s="182"/>
      <c r="E1055" s="261"/>
      <c r="G1055" s="182"/>
      <c r="J1055" s="67"/>
      <c r="K1055" s="67"/>
      <c r="R1055" s="67"/>
    </row>
    <row r="1056">
      <c r="B1056" s="182"/>
      <c r="E1056" s="261"/>
      <c r="G1056" s="182"/>
      <c r="J1056" s="67"/>
      <c r="K1056" s="67"/>
      <c r="R1056" s="67"/>
    </row>
    <row r="1057">
      <c r="B1057" s="182"/>
      <c r="E1057" s="261"/>
      <c r="G1057" s="182"/>
      <c r="J1057" s="67"/>
      <c r="K1057" s="67"/>
      <c r="R1057" s="67"/>
    </row>
    <row r="1058">
      <c r="B1058" s="182"/>
      <c r="E1058" s="261"/>
      <c r="G1058" s="182"/>
      <c r="J1058" s="67"/>
      <c r="K1058" s="67"/>
      <c r="R1058" s="67"/>
    </row>
    <row r="1059">
      <c r="B1059" s="182"/>
      <c r="E1059" s="261"/>
      <c r="G1059" s="182"/>
      <c r="J1059" s="67"/>
      <c r="K1059" s="67"/>
      <c r="R1059" s="67"/>
    </row>
    <row r="1060">
      <c r="B1060" s="182"/>
      <c r="E1060" s="261"/>
      <c r="G1060" s="182"/>
      <c r="J1060" s="67"/>
      <c r="K1060" s="67"/>
      <c r="R1060" s="67"/>
    </row>
    <row r="1061">
      <c r="B1061" s="182"/>
      <c r="E1061" s="261"/>
      <c r="G1061" s="182"/>
      <c r="J1061" s="67"/>
      <c r="K1061" s="67"/>
      <c r="R1061" s="67"/>
    </row>
    <row r="1062">
      <c r="B1062" s="182"/>
      <c r="E1062" s="261"/>
      <c r="G1062" s="182"/>
      <c r="J1062" s="67"/>
      <c r="K1062" s="67"/>
      <c r="R1062" s="67"/>
    </row>
    <row r="1063">
      <c r="B1063" s="182"/>
      <c r="E1063" s="261"/>
      <c r="G1063" s="182"/>
      <c r="J1063" s="67"/>
      <c r="K1063" s="67"/>
      <c r="R1063" s="67"/>
    </row>
    <row r="1064">
      <c r="B1064" s="182"/>
      <c r="E1064" s="261"/>
      <c r="G1064" s="182"/>
      <c r="J1064" s="67"/>
      <c r="K1064" s="67"/>
      <c r="R1064" s="67"/>
    </row>
    <row r="1065">
      <c r="B1065" s="182"/>
      <c r="E1065" s="261"/>
      <c r="G1065" s="182"/>
      <c r="J1065" s="67"/>
      <c r="K1065" s="67"/>
      <c r="R1065" s="67"/>
    </row>
    <row r="1066">
      <c r="B1066" s="182"/>
      <c r="E1066" s="261"/>
      <c r="G1066" s="182"/>
      <c r="J1066" s="67"/>
      <c r="K1066" s="67"/>
      <c r="R1066" s="67"/>
    </row>
    <row r="1067">
      <c r="B1067" s="182"/>
      <c r="E1067" s="261"/>
      <c r="G1067" s="182"/>
      <c r="J1067" s="67"/>
      <c r="K1067" s="67"/>
      <c r="R1067" s="67"/>
    </row>
    <row r="1068">
      <c r="B1068" s="182"/>
      <c r="E1068" s="261"/>
      <c r="G1068" s="182"/>
      <c r="J1068" s="67"/>
      <c r="K1068" s="67"/>
      <c r="R1068" s="67"/>
    </row>
    <row r="1069">
      <c r="B1069" s="182"/>
      <c r="E1069" s="261"/>
      <c r="G1069" s="182"/>
      <c r="J1069" s="67"/>
      <c r="K1069" s="67"/>
      <c r="R1069" s="67"/>
    </row>
    <row r="1070">
      <c r="B1070" s="182"/>
      <c r="E1070" s="261"/>
      <c r="G1070" s="182"/>
      <c r="J1070" s="67"/>
      <c r="K1070" s="67"/>
      <c r="R1070" s="67"/>
    </row>
    <row r="1071">
      <c r="B1071" s="182"/>
      <c r="E1071" s="261"/>
      <c r="G1071" s="182"/>
      <c r="J1071" s="67"/>
      <c r="K1071" s="67"/>
      <c r="R1071" s="67"/>
    </row>
    <row r="1072">
      <c r="B1072" s="182"/>
      <c r="E1072" s="261"/>
      <c r="G1072" s="182"/>
      <c r="J1072" s="67"/>
      <c r="K1072" s="67"/>
      <c r="R1072" s="67"/>
    </row>
    <row r="1073">
      <c r="B1073" s="182"/>
      <c r="E1073" s="261"/>
      <c r="G1073" s="182"/>
      <c r="J1073" s="67"/>
      <c r="K1073" s="67"/>
      <c r="R1073" s="67"/>
    </row>
    <row r="1074">
      <c r="B1074" s="182"/>
      <c r="E1074" s="261"/>
      <c r="G1074" s="182"/>
      <c r="J1074" s="67"/>
      <c r="K1074" s="67"/>
      <c r="R1074" s="67"/>
    </row>
    <row r="1075">
      <c r="B1075" s="182"/>
      <c r="E1075" s="261"/>
      <c r="G1075" s="182"/>
      <c r="J1075" s="67"/>
      <c r="K1075" s="67"/>
      <c r="R1075" s="67"/>
    </row>
    <row r="1076">
      <c r="B1076" s="182"/>
      <c r="E1076" s="261"/>
      <c r="G1076" s="182"/>
      <c r="J1076" s="67"/>
      <c r="K1076" s="67"/>
      <c r="R1076" s="67"/>
    </row>
    <row r="1077">
      <c r="B1077" s="182"/>
      <c r="E1077" s="261"/>
      <c r="G1077" s="182"/>
      <c r="J1077" s="67"/>
      <c r="K1077" s="67"/>
      <c r="R1077" s="67"/>
    </row>
    <row r="1078">
      <c r="B1078" s="182"/>
      <c r="E1078" s="261"/>
      <c r="G1078" s="182"/>
      <c r="J1078" s="67"/>
      <c r="K1078" s="67"/>
      <c r="R1078" s="67"/>
    </row>
    <row r="1079">
      <c r="B1079" s="182"/>
      <c r="E1079" s="261"/>
      <c r="G1079" s="182"/>
      <c r="J1079" s="67"/>
      <c r="K1079" s="67"/>
      <c r="R1079" s="67"/>
    </row>
    <row r="1080">
      <c r="B1080" s="182"/>
      <c r="E1080" s="261"/>
      <c r="G1080" s="182"/>
      <c r="J1080" s="67"/>
      <c r="K1080" s="67"/>
      <c r="R1080" s="67"/>
    </row>
    <row r="1081">
      <c r="B1081" s="182"/>
      <c r="E1081" s="261"/>
      <c r="G1081" s="182"/>
      <c r="J1081" s="67"/>
      <c r="K1081" s="67"/>
      <c r="R1081" s="67"/>
    </row>
    <row r="1082">
      <c r="B1082" s="182"/>
      <c r="E1082" s="261"/>
      <c r="G1082" s="182"/>
      <c r="J1082" s="67"/>
      <c r="K1082" s="67"/>
      <c r="R1082" s="67"/>
    </row>
    <row r="1083">
      <c r="B1083" s="182"/>
      <c r="E1083" s="261"/>
      <c r="G1083" s="182"/>
      <c r="J1083" s="67"/>
      <c r="K1083" s="67"/>
      <c r="R1083" s="67"/>
    </row>
    <row r="1084">
      <c r="B1084" s="182"/>
      <c r="E1084" s="261"/>
      <c r="G1084" s="182"/>
      <c r="J1084" s="67"/>
      <c r="K1084" s="67"/>
      <c r="R1084" s="67"/>
    </row>
    <row r="1085">
      <c r="B1085" s="182"/>
      <c r="E1085" s="261"/>
      <c r="G1085" s="182"/>
      <c r="J1085" s="67"/>
      <c r="K1085" s="67"/>
      <c r="R1085" s="67"/>
    </row>
    <row r="1086">
      <c r="B1086" s="182"/>
      <c r="E1086" s="261"/>
      <c r="G1086" s="182"/>
      <c r="J1086" s="67"/>
      <c r="K1086" s="67"/>
      <c r="R1086" s="67"/>
    </row>
    <row r="1087">
      <c r="B1087" s="182"/>
      <c r="E1087" s="261"/>
      <c r="G1087" s="182"/>
      <c r="J1087" s="67"/>
      <c r="K1087" s="67"/>
      <c r="R1087" s="67"/>
    </row>
    <row r="1088">
      <c r="B1088" s="182"/>
      <c r="E1088" s="261"/>
      <c r="G1088" s="182"/>
      <c r="J1088" s="67"/>
      <c r="K1088" s="67"/>
      <c r="R1088" s="67"/>
    </row>
    <row r="1089">
      <c r="B1089" s="182"/>
      <c r="E1089" s="261"/>
      <c r="G1089" s="182"/>
      <c r="J1089" s="67"/>
      <c r="K1089" s="67"/>
      <c r="R1089" s="67"/>
    </row>
    <row r="1090">
      <c r="B1090" s="182"/>
      <c r="E1090" s="261"/>
      <c r="G1090" s="182"/>
      <c r="J1090" s="67"/>
      <c r="K1090" s="67"/>
      <c r="R1090" s="67"/>
    </row>
    <row r="1091">
      <c r="B1091" s="182"/>
      <c r="E1091" s="261"/>
      <c r="G1091" s="182"/>
      <c r="J1091" s="67"/>
      <c r="K1091" s="67"/>
      <c r="R1091" s="67"/>
    </row>
    <row r="1092">
      <c r="B1092" s="182"/>
      <c r="E1092" s="261"/>
      <c r="G1092" s="182"/>
      <c r="J1092" s="67"/>
      <c r="K1092" s="67"/>
      <c r="R1092" s="67"/>
    </row>
    <row r="1093">
      <c r="B1093" s="182"/>
      <c r="E1093" s="261"/>
      <c r="G1093" s="182"/>
      <c r="J1093" s="67"/>
      <c r="K1093" s="67"/>
      <c r="R1093" s="67"/>
    </row>
    <row r="1094">
      <c r="B1094" s="182"/>
      <c r="E1094" s="261"/>
      <c r="G1094" s="182"/>
      <c r="J1094" s="67"/>
      <c r="K1094" s="67"/>
      <c r="R1094" s="67"/>
    </row>
    <row r="1095">
      <c r="B1095" s="182"/>
      <c r="E1095" s="261"/>
      <c r="G1095" s="182"/>
      <c r="J1095" s="67"/>
      <c r="K1095" s="67"/>
      <c r="R1095" s="67"/>
    </row>
    <row r="1096">
      <c r="B1096" s="182"/>
      <c r="E1096" s="261"/>
      <c r="G1096" s="182"/>
      <c r="J1096" s="67"/>
      <c r="K1096" s="67"/>
      <c r="R1096" s="67"/>
    </row>
    <row r="1097">
      <c r="B1097" s="182"/>
      <c r="E1097" s="261"/>
      <c r="G1097" s="182"/>
      <c r="J1097" s="67"/>
      <c r="K1097" s="67"/>
      <c r="R1097" s="67"/>
    </row>
    <row r="1098">
      <c r="B1098" s="182"/>
      <c r="E1098" s="261"/>
      <c r="G1098" s="182"/>
      <c r="J1098" s="67"/>
      <c r="K1098" s="67"/>
      <c r="R1098" s="67"/>
    </row>
    <row r="1099">
      <c r="B1099" s="182"/>
      <c r="E1099" s="261"/>
      <c r="G1099" s="182"/>
      <c r="J1099" s="67"/>
      <c r="K1099" s="67"/>
      <c r="R1099" s="67"/>
    </row>
    <row r="1100">
      <c r="B1100" s="182"/>
      <c r="E1100" s="261"/>
      <c r="G1100" s="182"/>
      <c r="J1100" s="67"/>
      <c r="K1100" s="67"/>
      <c r="R1100" s="67"/>
    </row>
    <row r="1101">
      <c r="B1101" s="182"/>
      <c r="E1101" s="261"/>
      <c r="G1101" s="182"/>
      <c r="J1101" s="67"/>
      <c r="K1101" s="67"/>
      <c r="R1101" s="67"/>
    </row>
    <row r="1102">
      <c r="B1102" s="182"/>
      <c r="E1102" s="261"/>
      <c r="G1102" s="182"/>
      <c r="J1102" s="67"/>
      <c r="K1102" s="67"/>
      <c r="R1102" s="67"/>
    </row>
    <row r="1103">
      <c r="B1103" s="182"/>
      <c r="E1103" s="261"/>
      <c r="G1103" s="182"/>
      <c r="J1103" s="67"/>
      <c r="K1103" s="67"/>
      <c r="R1103" s="67"/>
    </row>
    <row r="1104">
      <c r="B1104" s="182"/>
      <c r="E1104" s="261"/>
      <c r="G1104" s="182"/>
      <c r="J1104" s="67"/>
      <c r="K1104" s="67"/>
      <c r="R1104" s="67"/>
    </row>
    <row r="1105">
      <c r="B1105" s="182"/>
      <c r="E1105" s="261"/>
      <c r="G1105" s="182"/>
      <c r="J1105" s="67"/>
      <c r="K1105" s="67"/>
      <c r="R1105" s="67"/>
    </row>
    <row r="1106">
      <c r="B1106" s="182"/>
      <c r="E1106" s="261"/>
      <c r="G1106" s="182"/>
      <c r="J1106" s="67"/>
      <c r="K1106" s="67"/>
      <c r="R1106" s="67"/>
    </row>
    <row r="1107">
      <c r="B1107" s="182"/>
      <c r="E1107" s="261"/>
      <c r="G1107" s="182"/>
      <c r="J1107" s="67"/>
      <c r="K1107" s="67"/>
      <c r="R1107" s="67"/>
    </row>
    <row r="1108">
      <c r="B1108" s="182"/>
      <c r="E1108" s="261"/>
      <c r="G1108" s="182"/>
      <c r="J1108" s="67"/>
      <c r="K1108" s="67"/>
      <c r="R1108" s="67"/>
    </row>
    <row r="1109">
      <c r="B1109" s="182"/>
      <c r="E1109" s="261"/>
      <c r="G1109" s="182"/>
      <c r="J1109" s="67"/>
      <c r="K1109" s="67"/>
      <c r="R1109" s="67"/>
    </row>
    <row r="1110">
      <c r="B1110" s="182"/>
      <c r="E1110" s="261"/>
      <c r="G1110" s="182"/>
      <c r="J1110" s="67"/>
      <c r="K1110" s="67"/>
      <c r="R1110" s="67"/>
    </row>
    <row r="1111">
      <c r="B1111" s="182"/>
      <c r="E1111" s="261"/>
      <c r="G1111" s="182"/>
      <c r="J1111" s="67"/>
      <c r="K1111" s="67"/>
      <c r="R1111" s="67"/>
    </row>
    <row r="1112">
      <c r="B1112" s="182"/>
      <c r="E1112" s="261"/>
      <c r="G1112" s="182"/>
      <c r="J1112" s="67"/>
      <c r="K1112" s="67"/>
      <c r="R1112" s="67"/>
    </row>
    <row r="1113">
      <c r="B1113" s="182"/>
      <c r="E1113" s="261"/>
      <c r="G1113" s="182"/>
      <c r="J1113" s="67"/>
      <c r="K1113" s="67"/>
      <c r="R1113" s="67"/>
    </row>
    <row r="1114">
      <c r="B1114" s="182"/>
      <c r="E1114" s="261"/>
      <c r="G1114" s="182"/>
      <c r="J1114" s="67"/>
      <c r="K1114" s="67"/>
      <c r="R1114" s="67"/>
    </row>
    <row r="1115">
      <c r="B1115" s="182"/>
      <c r="E1115" s="261"/>
      <c r="G1115" s="182"/>
      <c r="J1115" s="67"/>
      <c r="K1115" s="67"/>
      <c r="R1115" s="67"/>
    </row>
    <row r="1116">
      <c r="B1116" s="182"/>
      <c r="E1116" s="261"/>
      <c r="G1116" s="182"/>
      <c r="J1116" s="67"/>
      <c r="K1116" s="67"/>
      <c r="R1116" s="67"/>
    </row>
    <row r="1117">
      <c r="B1117" s="182"/>
      <c r="E1117" s="261"/>
      <c r="G1117" s="182"/>
      <c r="J1117" s="67"/>
      <c r="K1117" s="67"/>
      <c r="R1117" s="67"/>
    </row>
    <row r="1118">
      <c r="B1118" s="182"/>
      <c r="E1118" s="261"/>
      <c r="G1118" s="182"/>
      <c r="J1118" s="67"/>
      <c r="K1118" s="67"/>
      <c r="R1118" s="67"/>
    </row>
    <row r="1119">
      <c r="B1119" s="182"/>
      <c r="E1119" s="261"/>
      <c r="G1119" s="182"/>
      <c r="J1119" s="67"/>
      <c r="K1119" s="67"/>
      <c r="R1119" s="67"/>
    </row>
    <row r="1120">
      <c r="B1120" s="182"/>
      <c r="E1120" s="261"/>
      <c r="G1120" s="182"/>
      <c r="J1120" s="67"/>
      <c r="K1120" s="67"/>
      <c r="R1120" s="67"/>
    </row>
    <row r="1121">
      <c r="B1121" s="182"/>
      <c r="E1121" s="261"/>
      <c r="G1121" s="182"/>
      <c r="J1121" s="67"/>
      <c r="K1121" s="67"/>
      <c r="R1121" s="67"/>
    </row>
    <row r="1122">
      <c r="B1122" s="182"/>
      <c r="E1122" s="261"/>
      <c r="G1122" s="182"/>
      <c r="J1122" s="67"/>
      <c r="K1122" s="67"/>
      <c r="R1122" s="67"/>
    </row>
    <row r="1123">
      <c r="B1123" s="182"/>
      <c r="E1123" s="261"/>
      <c r="G1123" s="182"/>
      <c r="J1123" s="67"/>
      <c r="K1123" s="67"/>
      <c r="R1123" s="67"/>
    </row>
    <row r="1124">
      <c r="B1124" s="182"/>
      <c r="E1124" s="261"/>
      <c r="G1124" s="182"/>
      <c r="J1124" s="67"/>
      <c r="K1124" s="67"/>
      <c r="R1124" s="67"/>
    </row>
    <row r="1125">
      <c r="B1125" s="182"/>
      <c r="E1125" s="261"/>
      <c r="G1125" s="182"/>
      <c r="J1125" s="67"/>
      <c r="K1125" s="67"/>
      <c r="R1125" s="67"/>
    </row>
    <row r="1126">
      <c r="B1126" s="182"/>
      <c r="E1126" s="261"/>
      <c r="G1126" s="182"/>
      <c r="J1126" s="67"/>
      <c r="K1126" s="67"/>
      <c r="R1126" s="67"/>
    </row>
    <row r="1127">
      <c r="B1127" s="182"/>
      <c r="E1127" s="261"/>
      <c r="G1127" s="182"/>
      <c r="J1127" s="67"/>
      <c r="K1127" s="67"/>
      <c r="R1127" s="67"/>
    </row>
    <row r="1128">
      <c r="B1128" s="182"/>
      <c r="E1128" s="261"/>
      <c r="G1128" s="182"/>
      <c r="J1128" s="67"/>
      <c r="K1128" s="67"/>
      <c r="R1128" s="67"/>
    </row>
    <row r="1129">
      <c r="B1129" s="182"/>
      <c r="E1129" s="261"/>
      <c r="G1129" s="182"/>
      <c r="J1129" s="67"/>
      <c r="K1129" s="67"/>
      <c r="R1129" s="67"/>
    </row>
    <row r="1130">
      <c r="B1130" s="182"/>
      <c r="E1130" s="261"/>
      <c r="G1130" s="182"/>
      <c r="J1130" s="67"/>
      <c r="K1130" s="67"/>
      <c r="R1130" s="67"/>
    </row>
    <row r="1131">
      <c r="B1131" s="182"/>
      <c r="E1131" s="261"/>
      <c r="G1131" s="182"/>
      <c r="J1131" s="67"/>
      <c r="K1131" s="67"/>
      <c r="R1131" s="67"/>
    </row>
  </sheetData>
  <mergeCells count="53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N234:R234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2541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2082</v>
      </c>
      <c r="C4" s="74" t="str">
        <f t="shared" ref="C4:C15" si="1">PROPER(TEXT(DATE(MID($A$2,7,4),MID($A$2,4,2),LEFT($A$2,2)),"dddd"))</f>
        <v>Terça-Feira</v>
      </c>
      <c r="D4" s="512" t="str">
        <f>IF(C4&lt;&gt;"Quarta-Feira","13:00","08:00")</f>
        <v>13:00</v>
      </c>
      <c r="E4" s="246" t="s">
        <v>2542</v>
      </c>
      <c r="F4" s="210">
        <v>7.05001058566259E14</v>
      </c>
      <c r="G4" s="59" t="s">
        <v>2543</v>
      </c>
      <c r="H4" s="211">
        <v>20838.0</v>
      </c>
      <c r="I4" s="41" t="s">
        <v>2088</v>
      </c>
      <c r="J4" s="102" t="s">
        <v>2544</v>
      </c>
      <c r="K4" s="102" t="s">
        <v>2545</v>
      </c>
      <c r="N4" s="268" t="s">
        <v>387</v>
      </c>
      <c r="O4" s="100"/>
      <c r="P4" s="100"/>
      <c r="Q4" s="100"/>
      <c r="R4" s="67"/>
    </row>
    <row r="5">
      <c r="A5" s="12" t="s">
        <v>11</v>
      </c>
      <c r="B5" s="227" t="s">
        <v>2084</v>
      </c>
      <c r="C5" s="74" t="str">
        <f t="shared" si="1"/>
        <v>Terça-Feira</v>
      </c>
      <c r="D5" s="512" t="str">
        <f>IF(C5&lt;&gt;"Quarta-Feira","13:20","08:20")</f>
        <v>13:20</v>
      </c>
      <c r="E5" s="287" t="s">
        <v>2546</v>
      </c>
      <c r="F5" s="301">
        <v>8.01440406417909E14</v>
      </c>
      <c r="G5" s="131" t="s">
        <v>2547</v>
      </c>
      <c r="H5" s="166">
        <v>18995.0</v>
      </c>
      <c r="I5" s="41" t="s">
        <v>41</v>
      </c>
      <c r="J5" s="42" t="s">
        <v>2548</v>
      </c>
      <c r="K5" s="42" t="s">
        <v>2549</v>
      </c>
      <c r="N5" s="270" t="s">
        <v>2086</v>
      </c>
      <c r="O5" s="2"/>
      <c r="P5" s="2"/>
      <c r="Q5" s="2"/>
      <c r="R5" s="67"/>
    </row>
    <row r="6" ht="20.25" customHeight="1">
      <c r="A6" s="12" t="s">
        <v>12</v>
      </c>
      <c r="B6" s="227" t="s">
        <v>2087</v>
      </c>
      <c r="C6" s="74" t="str">
        <f t="shared" si="1"/>
        <v>Terça-Feira</v>
      </c>
      <c r="D6" s="512" t="str">
        <f>IF(C6&lt;&gt;"Quarta-Feira","13:40","08:40")</f>
        <v>13:40</v>
      </c>
      <c r="E6" s="287" t="s">
        <v>2550</v>
      </c>
      <c r="F6" s="301">
        <v>7.02407510223528E14</v>
      </c>
      <c r="G6" s="131" t="s">
        <v>2551</v>
      </c>
      <c r="H6" s="166">
        <v>14485.0</v>
      </c>
      <c r="I6" s="41" t="s">
        <v>41</v>
      </c>
      <c r="J6" s="42" t="s">
        <v>2552</v>
      </c>
      <c r="K6" s="102"/>
      <c r="N6" s="271" t="s">
        <v>41</v>
      </c>
      <c r="O6" s="272" t="s">
        <v>195</v>
      </c>
      <c r="P6" s="272" t="s">
        <v>181</v>
      </c>
      <c r="Q6" s="273" t="s">
        <v>2088</v>
      </c>
      <c r="R6" s="67"/>
    </row>
    <row r="7">
      <c r="A7" s="12" t="s">
        <v>13</v>
      </c>
      <c r="B7" s="227" t="s">
        <v>2089</v>
      </c>
      <c r="C7" s="74" t="str">
        <f t="shared" si="1"/>
        <v>Terça-Feira</v>
      </c>
      <c r="D7" s="512" t="str">
        <f>IF(C7&lt;&gt;"Quarta-Feira","14:00","09:00")</f>
        <v>14:00</v>
      </c>
      <c r="E7" s="241" t="s">
        <v>2553</v>
      </c>
      <c r="F7" s="84">
        <v>7.03602070866134E14</v>
      </c>
      <c r="G7" s="79" t="s">
        <v>2554</v>
      </c>
      <c r="H7" s="83">
        <v>26812.0</v>
      </c>
      <c r="I7" s="41" t="s">
        <v>41</v>
      </c>
      <c r="J7" s="305" t="s">
        <v>2555</v>
      </c>
      <c r="K7" s="305" t="s">
        <v>2556</v>
      </c>
      <c r="N7" s="275">
        <f t="shared" ref="N7:P7" si="2">COUNTIFS($I$4:$I$15,N6)</f>
        <v>7</v>
      </c>
      <c r="O7" s="275">
        <f t="shared" si="2"/>
        <v>0</v>
      </c>
      <c r="P7" s="275">
        <f t="shared" si="2"/>
        <v>3</v>
      </c>
      <c r="Q7" s="275">
        <f>COUNTIF(I4:I15,Q6)</f>
        <v>1</v>
      </c>
      <c r="R7" s="67"/>
    </row>
    <row r="8">
      <c r="A8" s="12" t="s">
        <v>14</v>
      </c>
      <c r="B8" s="227" t="s">
        <v>2082</v>
      </c>
      <c r="C8" s="74" t="str">
        <f t="shared" si="1"/>
        <v>Terça-Feira</v>
      </c>
      <c r="D8" s="512" t="str">
        <f>IF(C8&lt;&gt;"Quarta-Feira","14:20","09:20")</f>
        <v>14:20</v>
      </c>
      <c r="E8" s="525" t="s">
        <v>2557</v>
      </c>
      <c r="F8" s="526" t="s">
        <v>2558</v>
      </c>
      <c r="G8" s="307" t="s">
        <v>2559</v>
      </c>
      <c r="H8" s="308">
        <v>20103.0</v>
      </c>
      <c r="I8" s="41" t="s">
        <v>41</v>
      </c>
      <c r="J8" s="138" t="s">
        <v>2560</v>
      </c>
      <c r="K8" s="138" t="s">
        <v>2561</v>
      </c>
      <c r="R8" s="67"/>
    </row>
    <row r="9">
      <c r="A9" s="12" t="s">
        <v>15</v>
      </c>
      <c r="B9" s="227" t="s">
        <v>2089</v>
      </c>
      <c r="C9" s="74" t="str">
        <f t="shared" si="1"/>
        <v>Terça-Feira</v>
      </c>
      <c r="D9" s="512" t="str">
        <f>IF(C9&lt;&gt;"Quarta-Feira","14:40","09:40")</f>
        <v>14:40</v>
      </c>
      <c r="E9" s="242" t="s">
        <v>2562</v>
      </c>
      <c r="F9" s="185">
        <v>7.01408684445537E14</v>
      </c>
      <c r="G9" s="203" t="s">
        <v>2563</v>
      </c>
      <c r="H9" s="77">
        <v>32927.0</v>
      </c>
      <c r="I9" s="41" t="s">
        <v>41</v>
      </c>
      <c r="J9" s="42" t="s">
        <v>2564</v>
      </c>
      <c r="K9" s="42"/>
      <c r="R9" s="67"/>
    </row>
    <row r="10">
      <c r="A10" s="12" t="s">
        <v>16</v>
      </c>
      <c r="B10" s="227" t="s">
        <v>2093</v>
      </c>
      <c r="C10" s="74" t="str">
        <f t="shared" si="1"/>
        <v>Terça-Feira</v>
      </c>
      <c r="D10" s="512" t="str">
        <f>IF(C10&lt;&gt;"Quarta-Feira","15:00","10:00")</f>
        <v>15:00</v>
      </c>
      <c r="E10" s="241" t="s">
        <v>2565</v>
      </c>
      <c r="F10" s="84">
        <v>8.98001491792649E14</v>
      </c>
      <c r="G10" s="79" t="s">
        <v>2566</v>
      </c>
      <c r="H10" s="83">
        <v>35809.0</v>
      </c>
      <c r="I10" s="41" t="s">
        <v>2567</v>
      </c>
      <c r="J10" s="305" t="s">
        <v>2568</v>
      </c>
      <c r="K10" s="305" t="s">
        <v>2569</v>
      </c>
      <c r="R10" s="67"/>
    </row>
    <row r="11">
      <c r="A11" s="12" t="s">
        <v>17</v>
      </c>
      <c r="B11" s="227" t="s">
        <v>2094</v>
      </c>
      <c r="C11" s="74" t="str">
        <f t="shared" si="1"/>
        <v>Terça-Feira</v>
      </c>
      <c r="D11" s="512" t="str">
        <f>IF(C11&lt;&gt;"Quarta-Feira","15:20","10:20")</f>
        <v>15:20</v>
      </c>
      <c r="E11" s="527" t="s">
        <v>2570</v>
      </c>
      <c r="F11" s="528">
        <v>2.04303221210003E14</v>
      </c>
      <c r="G11" s="79" t="s">
        <v>2571</v>
      </c>
      <c r="H11" s="529">
        <v>25799.0</v>
      </c>
      <c r="I11" s="41" t="s">
        <v>41</v>
      </c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227" t="s">
        <v>2095</v>
      </c>
      <c r="C12" s="74" t="str">
        <f t="shared" si="1"/>
        <v>Terça-Feira</v>
      </c>
      <c r="D12" s="512" t="str">
        <f>IF(C12&lt;&gt;"Quarta-Feira","15:40","10:40")</f>
        <v>15:40</v>
      </c>
      <c r="E12" s="278" t="s">
        <v>2572</v>
      </c>
      <c r="F12" s="156">
        <v>7.0840774316266E14</v>
      </c>
      <c r="G12" s="79" t="s">
        <v>2573</v>
      </c>
      <c r="H12" s="91">
        <v>17569.0</v>
      </c>
      <c r="I12" s="41" t="s">
        <v>41</v>
      </c>
      <c r="J12" s="42" t="s">
        <v>2574</v>
      </c>
      <c r="K12" s="42" t="s">
        <v>2575</v>
      </c>
      <c r="R12" s="67"/>
    </row>
    <row r="13">
      <c r="A13" s="12" t="s">
        <v>87</v>
      </c>
      <c r="B13" s="227" t="s">
        <v>2096</v>
      </c>
      <c r="C13" s="74" t="str">
        <f t="shared" si="1"/>
        <v>Terça-Feira</v>
      </c>
      <c r="D13" s="512" t="str">
        <f>IF(C13&lt;&gt;"Quarta-Feira","16:00","11:00")</f>
        <v>16:00</v>
      </c>
      <c r="E13" s="245"/>
      <c r="F13" s="156"/>
      <c r="G13" s="79"/>
      <c r="H13" s="91"/>
      <c r="I13" s="41" t="s">
        <v>181</v>
      </c>
      <c r="J13" s="42"/>
      <c r="K13" s="42"/>
      <c r="R13" s="67"/>
    </row>
    <row r="14">
      <c r="A14" s="12" t="s">
        <v>90</v>
      </c>
      <c r="B14" s="227" t="s">
        <v>2098</v>
      </c>
      <c r="C14" s="74" t="str">
        <f t="shared" si="1"/>
        <v>Terça-Feira</v>
      </c>
      <c r="D14" s="512" t="str">
        <f>IF(C14&lt;&gt;"Quarta-Feira","16:20","11:20")</f>
        <v>16:20</v>
      </c>
      <c r="E14" s="295"/>
      <c r="F14" s="133"/>
      <c r="G14" s="79"/>
      <c r="H14" s="166"/>
      <c r="I14" s="41" t="s">
        <v>181</v>
      </c>
      <c r="J14" s="42"/>
      <c r="K14" s="42"/>
      <c r="R14" s="67"/>
    </row>
    <row r="15">
      <c r="A15" s="12" t="s">
        <v>93</v>
      </c>
      <c r="B15" s="227" t="s">
        <v>2096</v>
      </c>
      <c r="C15" s="74" t="str">
        <f t="shared" si="1"/>
        <v>Terça-Feira</v>
      </c>
      <c r="D15" s="512" t="str">
        <f>IF(C15&lt;&gt;"Quarta-Feira","16:40","11:40")</f>
        <v>16:40</v>
      </c>
      <c r="E15" s="295"/>
      <c r="F15" s="133"/>
      <c r="G15" s="79"/>
      <c r="H15" s="166"/>
      <c r="I15" s="41" t="s">
        <v>181</v>
      </c>
      <c r="J15" s="42"/>
      <c r="K15" s="42"/>
      <c r="R15" s="67"/>
    </row>
    <row r="16">
      <c r="E16" s="261"/>
      <c r="J16" s="67"/>
      <c r="K16" s="67"/>
      <c r="R16" s="67"/>
    </row>
    <row r="17">
      <c r="E17" s="261"/>
      <c r="J17" s="67"/>
      <c r="K17" s="67"/>
      <c r="R17" s="67"/>
    </row>
    <row r="18" ht="15.0" customHeight="1">
      <c r="E18" s="261"/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tr">
        <f>TEXT(DATE(VALUE(MID(A2,7,4)),VALUE(MID(A2,4,2)),VALUE(LEFT(A2,2)))+2,"dd/mm/yyyy")&amp;" 13h às 17h"</f>
        <v>05/03/2026 13h às 17h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1796</v>
      </c>
      <c r="C22" s="74" t="str">
        <f t="shared" ref="C22:C33" si="3">PROPER(TEXT(DATE(MID($A$20,7,4),MID($A$20,4,2),LEFT($A$20,2)),"dddd"))</f>
        <v>Quinta-Feira</v>
      </c>
      <c r="D22" s="512" t="str">
        <f>IF(C22&lt;&gt;"Quarta-Feira","13:00","08:00")</f>
        <v>13:00</v>
      </c>
      <c r="E22" s="246" t="s">
        <v>2576</v>
      </c>
      <c r="F22" s="133">
        <v>7.0030347528824E14</v>
      </c>
      <c r="G22" s="79" t="s">
        <v>2577</v>
      </c>
      <c r="H22" s="166">
        <v>23872.0</v>
      </c>
      <c r="I22" s="41" t="s">
        <v>41</v>
      </c>
      <c r="J22" s="133" t="s">
        <v>2578</v>
      </c>
      <c r="K22" s="133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1714</v>
      </c>
      <c r="C23" s="74" t="str">
        <f t="shared" si="3"/>
        <v>Quinta-Feira</v>
      </c>
      <c r="D23" s="512" t="str">
        <f>IF(C23&lt;&gt;"Quarta-Feira","13:20","08:20")</f>
        <v>13:20</v>
      </c>
      <c r="E23" s="242" t="s">
        <v>2579</v>
      </c>
      <c r="F23" s="133">
        <v>8.01440429351211E14</v>
      </c>
      <c r="G23" s="79" t="s">
        <v>2580</v>
      </c>
      <c r="H23" s="166">
        <v>19342.0</v>
      </c>
      <c r="I23" s="41" t="s">
        <v>41</v>
      </c>
      <c r="J23" s="133" t="s">
        <v>2581</v>
      </c>
      <c r="K23" s="133" t="s">
        <v>2582</v>
      </c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1790</v>
      </c>
      <c r="C24" s="74" t="str">
        <f t="shared" si="3"/>
        <v>Quinta-Feira</v>
      </c>
      <c r="D24" s="512" t="str">
        <f>IF(C24&lt;&gt;"Quarta-Feira","13:40","08:40")</f>
        <v>13:40</v>
      </c>
      <c r="E24" s="242" t="s">
        <v>2583</v>
      </c>
      <c r="F24" s="133">
        <v>7.06008899016848E14</v>
      </c>
      <c r="G24" s="79" t="s">
        <v>2584</v>
      </c>
      <c r="H24" s="166">
        <v>19730.0</v>
      </c>
      <c r="I24" s="41" t="s">
        <v>41</v>
      </c>
      <c r="J24" s="133" t="s">
        <v>2585</v>
      </c>
      <c r="K24" s="133" t="s">
        <v>2586</v>
      </c>
      <c r="L24" s="216" t="s">
        <v>521</v>
      </c>
      <c r="N24" s="271" t="s">
        <v>41</v>
      </c>
      <c r="O24" s="272" t="s">
        <v>195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1721</v>
      </c>
      <c r="C25" s="74" t="str">
        <f t="shared" si="3"/>
        <v>Quinta-Feira</v>
      </c>
      <c r="D25" s="512" t="str">
        <f>IF(C25&lt;&gt;"Quarta-Feira","14:00","09:00")</f>
        <v>14:00</v>
      </c>
      <c r="E25" s="241" t="s">
        <v>2587</v>
      </c>
      <c r="F25" s="133">
        <v>7.00008637640804E14</v>
      </c>
      <c r="G25" s="79" t="s">
        <v>2588</v>
      </c>
      <c r="H25" s="166">
        <v>18207.0</v>
      </c>
      <c r="I25" s="41" t="s">
        <v>41</v>
      </c>
      <c r="J25" s="133" t="s">
        <v>2589</v>
      </c>
      <c r="K25" s="133"/>
      <c r="L25" s="216" t="s">
        <v>521</v>
      </c>
      <c r="N25" s="275">
        <f t="shared" ref="N25:Q25" si="4">COUNTIFS($I$22:$I$33,N24)</f>
        <v>11</v>
      </c>
      <c r="O25" s="275">
        <f t="shared" si="4"/>
        <v>0</v>
      </c>
      <c r="P25" s="275">
        <f t="shared" si="4"/>
        <v>0</v>
      </c>
      <c r="Q25" s="275">
        <f t="shared" si="4"/>
        <v>1</v>
      </c>
      <c r="R25" s="67"/>
    </row>
    <row r="26" ht="18.0" customHeight="1">
      <c r="A26" s="12" t="s">
        <v>14</v>
      </c>
      <c r="B26" s="227" t="s">
        <v>1796</v>
      </c>
      <c r="C26" s="74" t="str">
        <f t="shared" si="3"/>
        <v>Quinta-Feira</v>
      </c>
      <c r="D26" s="512" t="str">
        <f>IF(C26&lt;&gt;"Quarta-Feira","14:20","09:20")</f>
        <v>14:20</v>
      </c>
      <c r="E26" s="278" t="s">
        <v>2590</v>
      </c>
      <c r="F26" s="133">
        <v>8.01440456759102E14</v>
      </c>
      <c r="G26" s="79" t="s">
        <v>2591</v>
      </c>
      <c r="H26" s="166">
        <v>32493.0</v>
      </c>
      <c r="I26" s="41" t="s">
        <v>41</v>
      </c>
      <c r="J26" s="133" t="s">
        <v>2592</v>
      </c>
      <c r="K26" s="133" t="s">
        <v>2593</v>
      </c>
      <c r="L26" s="216" t="s">
        <v>521</v>
      </c>
      <c r="R26" s="67"/>
    </row>
    <row r="27">
      <c r="A27" s="12" t="s">
        <v>15</v>
      </c>
      <c r="B27" s="227" t="s">
        <v>1790</v>
      </c>
      <c r="C27" s="74" t="str">
        <f t="shared" si="3"/>
        <v>Quinta-Feira</v>
      </c>
      <c r="D27" s="512" t="str">
        <f>IF(C27&lt;&gt;"Quarta-Feira","14:40","09:40")</f>
        <v>14:40</v>
      </c>
      <c r="E27" s="278" t="s">
        <v>2594</v>
      </c>
      <c r="F27" s="133">
        <v>7.04103128094779E14</v>
      </c>
      <c r="G27" s="79" t="s">
        <v>2595</v>
      </c>
      <c r="H27" s="166">
        <v>21546.0</v>
      </c>
      <c r="I27" s="41" t="s">
        <v>41</v>
      </c>
      <c r="J27" s="133" t="s">
        <v>2596</v>
      </c>
      <c r="K27" s="133"/>
      <c r="L27" s="216" t="s">
        <v>521</v>
      </c>
      <c r="R27" s="67"/>
    </row>
    <row r="28">
      <c r="A28" s="12" t="s">
        <v>16</v>
      </c>
      <c r="B28" s="227" t="s">
        <v>1728</v>
      </c>
      <c r="C28" s="74" t="str">
        <f t="shared" si="3"/>
        <v>Quinta-Feira</v>
      </c>
      <c r="D28" s="512" t="str">
        <f>IF(C28&lt;&gt;"Quarta-Feira","15:00","10:00")</f>
        <v>15:00</v>
      </c>
      <c r="E28" s="241" t="s">
        <v>2565</v>
      </c>
      <c r="F28" s="84">
        <v>8.98001491792649E14</v>
      </c>
      <c r="G28" s="79" t="s">
        <v>2566</v>
      </c>
      <c r="H28" s="83">
        <v>35809.0</v>
      </c>
      <c r="I28" s="41" t="s">
        <v>41</v>
      </c>
      <c r="J28" s="305" t="s">
        <v>2568</v>
      </c>
      <c r="K28" s="133"/>
      <c r="L28" s="216" t="s">
        <v>521</v>
      </c>
      <c r="R28" s="67"/>
    </row>
    <row r="29">
      <c r="A29" s="12" t="s">
        <v>17</v>
      </c>
      <c r="B29" s="227" t="s">
        <v>1738</v>
      </c>
      <c r="C29" s="74" t="str">
        <f t="shared" si="3"/>
        <v>Quinta-Feira</v>
      </c>
      <c r="D29" s="512" t="str">
        <f>IF(C29&lt;&gt;"Quarta-Feira","15:20","10:20")</f>
        <v>15:20</v>
      </c>
      <c r="E29" s="242" t="s">
        <v>2597</v>
      </c>
      <c r="F29" s="133">
        <v>7.00000330979803E14</v>
      </c>
      <c r="G29" s="79" t="s">
        <v>2598</v>
      </c>
      <c r="H29" s="166">
        <v>22536.0</v>
      </c>
      <c r="I29" s="41" t="s">
        <v>41</v>
      </c>
      <c r="J29" s="133" t="s">
        <v>2599</v>
      </c>
      <c r="K29" s="133" t="s">
        <v>2600</v>
      </c>
      <c r="L29" s="216" t="s">
        <v>521</v>
      </c>
      <c r="R29" s="67"/>
    </row>
    <row r="30">
      <c r="A30" s="12" t="s">
        <v>85</v>
      </c>
      <c r="B30" s="227" t="s">
        <v>1718</v>
      </c>
      <c r="C30" s="74" t="str">
        <f t="shared" si="3"/>
        <v>Quinta-Feira</v>
      </c>
      <c r="D30" s="512" t="str">
        <f>IF(C30&lt;&gt;"Quarta-Feira","15:40","10:40")</f>
        <v>15:40</v>
      </c>
      <c r="E30" s="295" t="s">
        <v>2601</v>
      </c>
      <c r="F30" s="133">
        <v>7.00606944816368E14</v>
      </c>
      <c r="G30" s="79" t="s">
        <v>2602</v>
      </c>
      <c r="H30" s="166">
        <v>34829.0</v>
      </c>
      <c r="I30" s="41" t="s">
        <v>41</v>
      </c>
      <c r="J30" s="133" t="s">
        <v>2603</v>
      </c>
      <c r="K30" s="133" t="s">
        <v>2604</v>
      </c>
      <c r="L30" s="216" t="s">
        <v>521</v>
      </c>
      <c r="R30" s="67"/>
    </row>
    <row r="31">
      <c r="A31" s="12" t="s">
        <v>87</v>
      </c>
      <c r="B31" s="227" t="s">
        <v>1735</v>
      </c>
      <c r="C31" s="74" t="str">
        <f t="shared" si="3"/>
        <v>Quinta-Feira</v>
      </c>
      <c r="D31" s="512" t="str">
        <f>IF(C31&lt;&gt;"Quarta-Feira","16:00","11:00")</f>
        <v>16:00</v>
      </c>
      <c r="E31" s="245" t="s">
        <v>2270</v>
      </c>
      <c r="F31" s="133">
        <v>8.98001452028704E14</v>
      </c>
      <c r="G31" s="79" t="s">
        <v>2271</v>
      </c>
      <c r="H31" s="166">
        <v>16412.0</v>
      </c>
      <c r="I31" s="41" t="s">
        <v>41</v>
      </c>
      <c r="J31" s="133" t="s">
        <v>2605</v>
      </c>
      <c r="K31" s="133" t="s">
        <v>2606</v>
      </c>
      <c r="L31" s="216" t="s">
        <v>521</v>
      </c>
      <c r="R31" s="67"/>
    </row>
    <row r="32">
      <c r="A32" s="12" t="s">
        <v>90</v>
      </c>
      <c r="B32" s="227" t="s">
        <v>1718</v>
      </c>
      <c r="C32" s="74" t="str">
        <f t="shared" si="3"/>
        <v>Quinta-Feira</v>
      </c>
      <c r="D32" s="512" t="str">
        <f>IF(C32&lt;&gt;"Quarta-Feira","16:20","11:20")</f>
        <v>16:20</v>
      </c>
      <c r="E32" s="295" t="s">
        <v>2607</v>
      </c>
      <c r="F32" s="133">
        <v>7.05604457868019E14</v>
      </c>
      <c r="G32" s="79" t="s">
        <v>2608</v>
      </c>
      <c r="H32" s="166">
        <v>23651.0</v>
      </c>
      <c r="I32" s="41" t="s">
        <v>2088</v>
      </c>
      <c r="J32" s="133" t="s">
        <v>2609</v>
      </c>
      <c r="K32" s="133" t="s">
        <v>2610</v>
      </c>
      <c r="L32" s="216" t="s">
        <v>521</v>
      </c>
      <c r="R32" s="67"/>
    </row>
    <row r="33">
      <c r="A33" s="12" t="s">
        <v>93</v>
      </c>
      <c r="B33" s="227" t="s">
        <v>1735</v>
      </c>
      <c r="C33" s="74" t="str">
        <f t="shared" si="3"/>
        <v>Quinta-Feira</v>
      </c>
      <c r="D33" s="512" t="str">
        <f>IF(C33&lt;&gt;"Quarta-Feira","16:40","11:40")</f>
        <v>16:40</v>
      </c>
      <c r="E33" s="295" t="s">
        <v>2611</v>
      </c>
      <c r="F33" s="133">
        <v>7.06802764445225E14</v>
      </c>
      <c r="G33" s="79" t="s">
        <v>2612</v>
      </c>
      <c r="H33" s="166">
        <v>29535.0</v>
      </c>
      <c r="I33" s="41" t="s">
        <v>41</v>
      </c>
      <c r="J33" s="133" t="s">
        <v>2613</v>
      </c>
      <c r="K33" s="133" t="s">
        <v>2614</v>
      </c>
      <c r="R33" s="67"/>
    </row>
    <row r="34">
      <c r="E34" s="261"/>
      <c r="J34" s="67"/>
      <c r="K34" s="67"/>
      <c r="R34" s="67"/>
    </row>
    <row r="35">
      <c r="E35" s="261"/>
      <c r="J35" s="67"/>
      <c r="K35" s="67"/>
      <c r="R35" s="67"/>
    </row>
    <row r="36">
      <c r="E36" s="261"/>
      <c r="J36" s="67"/>
      <c r="K36" s="67"/>
      <c r="R36" s="67"/>
    </row>
    <row r="37">
      <c r="A37" s="23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4.75" customHeight="1">
      <c r="A38" s="24" t="str">
        <f>TEXT(DATE(VALUE(MID(A2,7,4)),VALUE(MID(A2,4,2)),VALUE(LEFT(A2,2)))+7,"dd/mm/yyyy")&amp;" 13h às 17h"</f>
        <v>10/03/2026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26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7" t="s">
        <v>2082</v>
      </c>
      <c r="C40" s="74" t="str">
        <f t="shared" ref="C40:C51" si="5">PROPER(TEXT(DATE(MID($A$38,7,4),MID($A$38,4,2),LEFT($A$38,2)),"dddd"))</f>
        <v>Terça-Feira</v>
      </c>
      <c r="D40" s="512" t="str">
        <f>IF(C40&lt;&gt;"Quarta-Feira","13:00","08:00")</f>
        <v>13:00</v>
      </c>
      <c r="E40" s="241" t="s">
        <v>2615</v>
      </c>
      <c r="F40" s="84">
        <v>7.05401445999899E14</v>
      </c>
      <c r="G40" s="79" t="s">
        <v>2616</v>
      </c>
      <c r="H40" s="77">
        <v>21001.0</v>
      </c>
      <c r="I40" s="34" t="s">
        <v>41</v>
      </c>
      <c r="J40" s="314"/>
      <c r="K40" s="314"/>
      <c r="L40" s="216" t="s">
        <v>521</v>
      </c>
      <c r="N40" s="268" t="s">
        <v>387</v>
      </c>
      <c r="O40" s="100"/>
      <c r="P40" s="100"/>
      <c r="Q40" s="100"/>
      <c r="R40" s="67"/>
    </row>
    <row r="41">
      <c r="A41" s="12" t="s">
        <v>11</v>
      </c>
      <c r="B41" s="227" t="s">
        <v>2084</v>
      </c>
      <c r="C41" s="74" t="str">
        <f t="shared" si="5"/>
        <v>Terça-Feira</v>
      </c>
      <c r="D41" s="512" t="str">
        <f>IF(C41&lt;&gt;"Quarta-Feira","13:20","08:20")</f>
        <v>13:20</v>
      </c>
      <c r="E41" s="241" t="s">
        <v>2617</v>
      </c>
      <c r="F41" s="84">
        <v>8.01440471538596E14</v>
      </c>
      <c r="G41" s="79" t="s">
        <v>2618</v>
      </c>
      <c r="H41" s="77">
        <v>18233.0</v>
      </c>
      <c r="I41" s="34" t="s">
        <v>41</v>
      </c>
      <c r="J41" s="314"/>
      <c r="K41" s="314"/>
      <c r="N41" s="270" t="s">
        <v>2086</v>
      </c>
      <c r="O41" s="2"/>
      <c r="P41" s="2"/>
      <c r="Q41" s="2"/>
      <c r="R41" s="67"/>
    </row>
    <row r="42">
      <c r="A42" s="12" t="s">
        <v>12</v>
      </c>
      <c r="B42" s="227" t="s">
        <v>2087</v>
      </c>
      <c r="C42" s="74" t="str">
        <f t="shared" si="5"/>
        <v>Terça-Feira</v>
      </c>
      <c r="D42" s="512" t="str">
        <f>IF(C42&lt;&gt;"Quarta-Feira","13:40","08:40")</f>
        <v>13:40</v>
      </c>
      <c r="E42" s="241" t="s">
        <v>2619</v>
      </c>
      <c r="F42" s="84">
        <v>7.00501360952659E14</v>
      </c>
      <c r="G42" s="79" t="s">
        <v>2620</v>
      </c>
      <c r="H42" s="77">
        <v>11547.0</v>
      </c>
      <c r="I42" s="34" t="s">
        <v>41</v>
      </c>
      <c r="J42" s="382"/>
      <c r="K42" s="382"/>
      <c r="L42" s="216" t="s">
        <v>521</v>
      </c>
      <c r="N42" s="271" t="s">
        <v>183</v>
      </c>
      <c r="O42" s="272" t="s">
        <v>195</v>
      </c>
      <c r="P42" s="272" t="s">
        <v>181</v>
      </c>
      <c r="Q42" s="273" t="s">
        <v>2088</v>
      </c>
      <c r="R42" s="286" t="s">
        <v>439</v>
      </c>
    </row>
    <row r="43">
      <c r="A43" s="12" t="s">
        <v>13</v>
      </c>
      <c r="B43" s="227" t="s">
        <v>2089</v>
      </c>
      <c r="C43" s="74" t="str">
        <f t="shared" si="5"/>
        <v>Terça-Feira</v>
      </c>
      <c r="D43" s="512" t="str">
        <f>IF(C43&lt;&gt;"Quarta-Feira","14:00","09:00")</f>
        <v>14:00</v>
      </c>
      <c r="E43" s="241" t="s">
        <v>2621</v>
      </c>
      <c r="F43" s="84">
        <v>7.08206699526748E14</v>
      </c>
      <c r="G43" s="79" t="s">
        <v>2622</v>
      </c>
      <c r="H43" s="77">
        <v>18530.0</v>
      </c>
      <c r="I43" s="34" t="s">
        <v>41</v>
      </c>
      <c r="J43" s="314"/>
      <c r="K43" s="314"/>
      <c r="L43" s="216" t="s">
        <v>521</v>
      </c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1</v>
      </c>
      <c r="Q43" s="275">
        <f t="shared" si="6"/>
        <v>1</v>
      </c>
      <c r="R43" s="67">
        <f>COUNTIFS(I40:I51,R42)</f>
        <v>0</v>
      </c>
    </row>
    <row r="44">
      <c r="A44" s="12" t="s">
        <v>14</v>
      </c>
      <c r="B44" s="227" t="s">
        <v>2082</v>
      </c>
      <c r="C44" s="74" t="str">
        <f t="shared" si="5"/>
        <v>Terça-Feira</v>
      </c>
      <c r="D44" s="512" t="str">
        <f>IF(C44&lt;&gt;"Quarta-Feira","14:20","09:20")</f>
        <v>14:20</v>
      </c>
      <c r="E44" s="241" t="s">
        <v>2623</v>
      </c>
      <c r="F44" s="84">
        <v>7.034070460218E14</v>
      </c>
      <c r="G44" s="352" t="s">
        <v>2624</v>
      </c>
      <c r="H44" s="77">
        <v>22704.0</v>
      </c>
      <c r="I44" s="41" t="s">
        <v>41</v>
      </c>
      <c r="J44" s="314"/>
      <c r="K44" s="314"/>
      <c r="L44" s="216" t="s">
        <v>521</v>
      </c>
      <c r="R44" s="67"/>
    </row>
    <row r="45">
      <c r="A45" s="12" t="s">
        <v>15</v>
      </c>
      <c r="B45" s="227" t="s">
        <v>2089</v>
      </c>
      <c r="C45" s="74" t="str">
        <f t="shared" si="5"/>
        <v>Terça-Feira</v>
      </c>
      <c r="D45" s="512" t="str">
        <f>IF(C45&lt;&gt;"Quarta-Feira","14:40","09:40")</f>
        <v>14:40</v>
      </c>
      <c r="E45" s="241" t="s">
        <v>2625</v>
      </c>
      <c r="F45" s="84">
        <v>1.80042111650018E14</v>
      </c>
      <c r="G45" s="79" t="s">
        <v>2626</v>
      </c>
      <c r="H45" s="77">
        <v>18013.0</v>
      </c>
      <c r="I45" s="34" t="s">
        <v>41</v>
      </c>
      <c r="J45" s="314"/>
      <c r="K45" s="314"/>
      <c r="L45" s="216" t="s">
        <v>521</v>
      </c>
      <c r="R45" s="67"/>
    </row>
    <row r="46">
      <c r="A46" s="12" t="s">
        <v>16</v>
      </c>
      <c r="B46" s="227" t="s">
        <v>2093</v>
      </c>
      <c r="C46" s="74" t="str">
        <f t="shared" si="5"/>
        <v>Terça-Feira</v>
      </c>
      <c r="D46" s="512" t="str">
        <f>IF(C46&lt;&gt;"Quarta-Feira","15:00","10:00")</f>
        <v>15:00</v>
      </c>
      <c r="E46" s="241" t="s">
        <v>2627</v>
      </c>
      <c r="F46" s="84">
        <v>7.0000093891011E14</v>
      </c>
      <c r="G46" s="352" t="s">
        <v>2628</v>
      </c>
      <c r="H46" s="77">
        <v>11656.0</v>
      </c>
      <c r="I46" s="41" t="s">
        <v>41</v>
      </c>
      <c r="J46" s="382" t="s">
        <v>2629</v>
      </c>
      <c r="K46" s="314"/>
      <c r="R46" s="67"/>
    </row>
    <row r="47">
      <c r="A47" s="12" t="s">
        <v>17</v>
      </c>
      <c r="B47" s="227" t="s">
        <v>2094</v>
      </c>
      <c r="C47" s="74" t="str">
        <f t="shared" si="5"/>
        <v>Terça-Feira</v>
      </c>
      <c r="D47" s="512" t="str">
        <f>IF(C47&lt;&gt;"Quarta-Feira","15:20","10:20")</f>
        <v>15:20</v>
      </c>
      <c r="E47" s="241" t="s">
        <v>2630</v>
      </c>
      <c r="F47" s="84">
        <v>7.0310484776066E14</v>
      </c>
      <c r="G47" s="79" t="s">
        <v>2631</v>
      </c>
      <c r="H47" s="77">
        <v>19408.0</v>
      </c>
      <c r="I47" s="41" t="s">
        <v>41</v>
      </c>
      <c r="J47" s="382" t="s">
        <v>2632</v>
      </c>
      <c r="K47" s="382"/>
      <c r="R47" s="67"/>
    </row>
    <row r="48">
      <c r="A48" s="12" t="s">
        <v>85</v>
      </c>
      <c r="B48" s="227" t="s">
        <v>2095</v>
      </c>
      <c r="C48" s="74" t="str">
        <f t="shared" si="5"/>
        <v>Terça-Feira</v>
      </c>
      <c r="D48" s="512" t="str">
        <f>IF(C48&lt;&gt;"Quarta-Feira","15:40","10:40")</f>
        <v>15:40</v>
      </c>
      <c r="E48" s="241" t="s">
        <v>2633</v>
      </c>
      <c r="F48" s="84">
        <v>1.04240246210009E14</v>
      </c>
      <c r="G48" s="79" t="s">
        <v>2634</v>
      </c>
      <c r="H48" s="77">
        <v>17549.0</v>
      </c>
      <c r="I48" s="34" t="s">
        <v>41</v>
      </c>
      <c r="J48" s="314"/>
      <c r="K48" s="314"/>
      <c r="L48" s="216" t="s">
        <v>577</v>
      </c>
      <c r="R48" s="67"/>
    </row>
    <row r="49">
      <c r="A49" s="12" t="s">
        <v>87</v>
      </c>
      <c r="B49" s="227" t="s">
        <v>2096</v>
      </c>
      <c r="C49" s="74" t="str">
        <f t="shared" si="5"/>
        <v>Terça-Feira</v>
      </c>
      <c r="D49" s="512" t="str">
        <f>IF(C49&lt;&gt;"Quarta-Feira","16:00","11:00")</f>
        <v>16:00</v>
      </c>
      <c r="E49" s="241" t="s">
        <v>2635</v>
      </c>
      <c r="F49" s="84">
        <v>7.07602221878791E14</v>
      </c>
      <c r="G49" s="79" t="s">
        <v>2636</v>
      </c>
      <c r="H49" s="77">
        <v>13875.0</v>
      </c>
      <c r="I49" s="41" t="s">
        <v>2088</v>
      </c>
      <c r="J49" s="382" t="s">
        <v>2637</v>
      </c>
      <c r="K49" s="314"/>
      <c r="R49" s="67"/>
    </row>
    <row r="50">
      <c r="A50" s="12" t="s">
        <v>90</v>
      </c>
      <c r="B50" s="227" t="s">
        <v>2098</v>
      </c>
      <c r="C50" s="74" t="str">
        <f t="shared" si="5"/>
        <v>Terça-Feira</v>
      </c>
      <c r="D50" s="512" t="str">
        <f>IF(C50&lt;&gt;"Quarta-Feira","16:20","11:20")</f>
        <v>16:20</v>
      </c>
      <c r="E50" s="241"/>
      <c r="F50" s="84"/>
      <c r="G50" s="79"/>
      <c r="H50" s="314"/>
      <c r="I50" s="41" t="s">
        <v>181</v>
      </c>
      <c r="J50" s="314"/>
      <c r="K50" s="314"/>
      <c r="R50" s="67"/>
    </row>
    <row r="51">
      <c r="A51" s="12" t="s">
        <v>93</v>
      </c>
      <c r="B51" s="227" t="s">
        <v>2096</v>
      </c>
      <c r="C51" s="74" t="str">
        <f t="shared" si="5"/>
        <v>Terça-Feira</v>
      </c>
      <c r="D51" s="512" t="str">
        <f>IF(C51&lt;&gt;"Quarta-Feira","16:40","11:40")</f>
        <v>16:40</v>
      </c>
      <c r="E51" s="241" t="s">
        <v>2638</v>
      </c>
      <c r="F51" s="84">
        <v>7.00302974120239E14</v>
      </c>
      <c r="G51" s="79" t="s">
        <v>2639</v>
      </c>
      <c r="H51" s="314">
        <v>39766.0</v>
      </c>
      <c r="I51" s="41" t="s">
        <v>41</v>
      </c>
      <c r="J51" s="382" t="s">
        <v>2640</v>
      </c>
      <c r="K51" s="314"/>
      <c r="R51" s="67"/>
    </row>
    <row r="52">
      <c r="E52" s="261"/>
      <c r="J52" s="67"/>
      <c r="K52" s="67"/>
      <c r="R52" s="67"/>
    </row>
    <row r="53">
      <c r="E53" s="261"/>
      <c r="J53" s="67"/>
      <c r="K53" s="67"/>
      <c r="R53" s="67"/>
    </row>
    <row r="54">
      <c r="E54" s="261"/>
      <c r="J54" s="67"/>
      <c r="K54" s="67"/>
      <c r="R54" s="67"/>
    </row>
    <row r="55">
      <c r="A55" s="23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12/03/2026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26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5.75" customHeight="1">
      <c r="A58" s="12" t="s">
        <v>10</v>
      </c>
      <c r="B58" s="227" t="s">
        <v>1781</v>
      </c>
      <c r="C58" s="74" t="str">
        <f t="shared" ref="C58:C69" si="7">PROPER(TEXT(DATE(MID($A$56,7,4),MID($A$56,4,2),LEFT($A$56,2)),"dddd"))</f>
        <v>Quinta-Feira</v>
      </c>
      <c r="D58" s="512" t="str">
        <f>IF(C58&lt;&gt;"Quarta-Feira","13:00","08:00")</f>
        <v>13:00</v>
      </c>
      <c r="E58" s="241" t="s">
        <v>2641</v>
      </c>
      <c r="F58" s="301">
        <v>1.21722871820018E14</v>
      </c>
      <c r="G58" s="161" t="s">
        <v>2642</v>
      </c>
      <c r="H58" s="163">
        <v>15157.0</v>
      </c>
      <c r="I58" s="41" t="s">
        <v>41</v>
      </c>
      <c r="J58" s="238"/>
      <c r="K58" s="238"/>
      <c r="L58" s="216" t="s">
        <v>521</v>
      </c>
      <c r="N58" s="268" t="s">
        <v>387</v>
      </c>
      <c r="O58" s="100"/>
      <c r="P58" s="100"/>
      <c r="Q58" s="100"/>
      <c r="R58" s="67"/>
    </row>
    <row r="59" ht="15.75" customHeight="1">
      <c r="A59" s="12" t="s">
        <v>11</v>
      </c>
      <c r="B59" s="227" t="s">
        <v>1714</v>
      </c>
      <c r="C59" s="74" t="str">
        <f t="shared" si="7"/>
        <v>Quinta-Feira</v>
      </c>
      <c r="D59" s="512" t="str">
        <f>IF(C59&lt;&gt;"Quarta-Feira","13:20","08:20")</f>
        <v>13:20</v>
      </c>
      <c r="E59" s="241" t="s">
        <v>2643</v>
      </c>
      <c r="F59" s="440">
        <v>7.08209601187241E14</v>
      </c>
      <c r="G59" s="161" t="s">
        <v>2644</v>
      </c>
      <c r="H59" s="163">
        <v>20634.0</v>
      </c>
      <c r="I59" s="41" t="s">
        <v>41</v>
      </c>
      <c r="J59" s="238"/>
      <c r="K59" s="238"/>
      <c r="N59" s="270" t="s">
        <v>2086</v>
      </c>
      <c r="O59" s="2"/>
      <c r="P59" s="2"/>
      <c r="Q59" s="2"/>
      <c r="R59" s="67"/>
    </row>
    <row r="60" ht="15.75" customHeight="1">
      <c r="A60" s="12" t="s">
        <v>12</v>
      </c>
      <c r="B60" s="227" t="s">
        <v>1790</v>
      </c>
      <c r="C60" s="74" t="str">
        <f t="shared" si="7"/>
        <v>Quinta-Feira</v>
      </c>
      <c r="D60" s="512" t="str">
        <f>IF(C60&lt;&gt;"Quarta-Feira","13:40","08:40")</f>
        <v>13:40</v>
      </c>
      <c r="E60" s="241" t="s">
        <v>2645</v>
      </c>
      <c r="F60" s="301">
        <v>7.06005877545845E14</v>
      </c>
      <c r="G60" s="161" t="s">
        <v>2646</v>
      </c>
      <c r="H60" s="163">
        <v>20720.0</v>
      </c>
      <c r="I60" s="41" t="s">
        <v>41</v>
      </c>
      <c r="J60" s="238"/>
      <c r="K60" s="238"/>
      <c r="L60" s="216" t="s">
        <v>521</v>
      </c>
      <c r="N60" s="271" t="s">
        <v>183</v>
      </c>
      <c r="O60" s="272" t="s">
        <v>195</v>
      </c>
      <c r="P60" s="272" t="s">
        <v>181</v>
      </c>
      <c r="Q60" s="272" t="s">
        <v>2088</v>
      </c>
      <c r="R60" s="67"/>
    </row>
    <row r="61" ht="15.75" customHeight="1">
      <c r="A61" s="12" t="s">
        <v>13</v>
      </c>
      <c r="B61" s="227" t="s">
        <v>1721</v>
      </c>
      <c r="C61" s="74" t="str">
        <f t="shared" si="7"/>
        <v>Quinta-Feira</v>
      </c>
      <c r="D61" s="512" t="str">
        <f>IF(C61&lt;&gt;"Quarta-Feira","14:00","09:00")</f>
        <v>14:00</v>
      </c>
      <c r="E61" s="241" t="s">
        <v>2647</v>
      </c>
      <c r="F61" s="301">
        <v>8.98001424734667E14</v>
      </c>
      <c r="G61" s="161" t="s">
        <v>2648</v>
      </c>
      <c r="H61" s="163">
        <v>17961.0</v>
      </c>
      <c r="I61" s="41" t="s">
        <v>41</v>
      </c>
      <c r="J61" s="238"/>
      <c r="K61" s="238"/>
      <c r="L61" s="216" t="s">
        <v>521</v>
      </c>
      <c r="N61" s="275">
        <f t="shared" ref="N61:Q61" si="8">COUNTIFS($I$58:$I$69,N60)</f>
        <v>0</v>
      </c>
      <c r="O61" s="275">
        <f t="shared" si="8"/>
        <v>0</v>
      </c>
      <c r="P61" s="275">
        <f t="shared" si="8"/>
        <v>0</v>
      </c>
      <c r="Q61" s="275">
        <f t="shared" si="8"/>
        <v>1</v>
      </c>
      <c r="R61" s="67"/>
    </row>
    <row r="62" ht="15.75" customHeight="1">
      <c r="A62" s="12" t="s">
        <v>14</v>
      </c>
      <c r="B62" s="227" t="s">
        <v>1796</v>
      </c>
      <c r="C62" s="74" t="str">
        <f t="shared" si="7"/>
        <v>Quinta-Feira</v>
      </c>
      <c r="D62" s="512" t="str">
        <f>IF(C62&lt;&gt;"Quarta-Feira","14:20","09:20")</f>
        <v>14:20</v>
      </c>
      <c r="E62" s="241" t="s">
        <v>2649</v>
      </c>
      <c r="F62" s="301">
        <v>8.01440470156363E14</v>
      </c>
      <c r="G62" s="161" t="s">
        <v>2650</v>
      </c>
      <c r="H62" s="163">
        <v>10276.0</v>
      </c>
      <c r="I62" s="41" t="s">
        <v>41</v>
      </c>
      <c r="J62" s="238"/>
      <c r="K62" s="238"/>
      <c r="R62" s="67"/>
    </row>
    <row r="63" ht="15.75" customHeight="1">
      <c r="A63" s="12" t="s">
        <v>15</v>
      </c>
      <c r="B63" s="227" t="s">
        <v>1790</v>
      </c>
      <c r="C63" s="74" t="str">
        <f t="shared" si="7"/>
        <v>Quinta-Feira</v>
      </c>
      <c r="D63" s="512" t="str">
        <f>IF(C63&lt;&gt;"Quarta-Feira","14:40","09:40")</f>
        <v>14:40</v>
      </c>
      <c r="E63" s="241" t="s">
        <v>2651</v>
      </c>
      <c r="F63" s="440">
        <v>7.01805258135174E14</v>
      </c>
      <c r="G63" s="161" t="s">
        <v>2652</v>
      </c>
      <c r="H63" s="163">
        <v>29407.0</v>
      </c>
      <c r="I63" s="41" t="s">
        <v>41</v>
      </c>
      <c r="J63" s="238"/>
      <c r="K63" s="238"/>
      <c r="L63" s="216" t="s">
        <v>521</v>
      </c>
      <c r="R63" s="67"/>
    </row>
    <row r="64" ht="15.75" customHeight="1">
      <c r="A64" s="12" t="s">
        <v>16</v>
      </c>
      <c r="B64" s="227" t="s">
        <v>2653</v>
      </c>
      <c r="C64" s="74" t="str">
        <f t="shared" si="7"/>
        <v>Quinta-Feira</v>
      </c>
      <c r="D64" s="512" t="str">
        <f>IF(C64&lt;&gt;"Quarta-Feira","15:00","10:00")</f>
        <v>15:00</v>
      </c>
      <c r="E64" s="241" t="s">
        <v>2654</v>
      </c>
      <c r="F64" s="301">
        <v>7.00505371898158E14</v>
      </c>
      <c r="G64" s="161" t="s">
        <v>2655</v>
      </c>
      <c r="H64" s="163">
        <v>27701.0</v>
      </c>
      <c r="I64" s="41" t="s">
        <v>41</v>
      </c>
      <c r="J64" s="238"/>
      <c r="K64" s="238"/>
      <c r="L64" s="216" t="s">
        <v>521</v>
      </c>
      <c r="R64" s="67"/>
    </row>
    <row r="65" ht="15.75" customHeight="1">
      <c r="A65" s="12" t="s">
        <v>17</v>
      </c>
      <c r="B65" s="227" t="s">
        <v>2656</v>
      </c>
      <c r="C65" s="74" t="str">
        <f t="shared" si="7"/>
        <v>Quinta-Feira</v>
      </c>
      <c r="D65" s="512" t="str">
        <f>IF(C65&lt;&gt;"Quarta-Feira","15:20","10:20")</f>
        <v>15:20</v>
      </c>
      <c r="E65" s="241" t="s">
        <v>2657</v>
      </c>
      <c r="F65" s="301">
        <v>8.98001901286802E14</v>
      </c>
      <c r="G65" s="161" t="s">
        <v>2658</v>
      </c>
      <c r="H65" s="163">
        <v>23931.0</v>
      </c>
      <c r="I65" s="41" t="s">
        <v>41</v>
      </c>
      <c r="J65" s="238"/>
      <c r="K65" s="238"/>
      <c r="L65" s="216" t="s">
        <v>521</v>
      </c>
      <c r="R65" s="67"/>
    </row>
    <row r="66" ht="15.75" customHeight="1">
      <c r="A66" s="12" t="s">
        <v>85</v>
      </c>
      <c r="B66" s="227" t="s">
        <v>2659</v>
      </c>
      <c r="C66" s="74" t="str">
        <f t="shared" si="7"/>
        <v>Quinta-Feira</v>
      </c>
      <c r="D66" s="512" t="str">
        <f>IF(C66&lt;&gt;"Quarta-Feira","15:40","10:40")</f>
        <v>15:40</v>
      </c>
      <c r="E66" s="241" t="s">
        <v>2660</v>
      </c>
      <c r="F66" s="301">
        <v>7.00801448976585E14</v>
      </c>
      <c r="G66" s="161" t="s">
        <v>2661</v>
      </c>
      <c r="H66" s="163">
        <v>25738.0</v>
      </c>
      <c r="I66" s="41" t="s">
        <v>2088</v>
      </c>
      <c r="J66" s="238"/>
      <c r="K66" s="238"/>
      <c r="R66" s="67"/>
    </row>
    <row r="67" ht="15.75" customHeight="1">
      <c r="A67" s="12" t="s">
        <v>87</v>
      </c>
      <c r="B67" s="227" t="s">
        <v>1735</v>
      </c>
      <c r="C67" s="74" t="str">
        <f t="shared" si="7"/>
        <v>Quinta-Feira</v>
      </c>
      <c r="D67" s="512" t="str">
        <f>IF(C67&lt;&gt;"Quarta-Feira","16:00","11:00")</f>
        <v>16:00</v>
      </c>
      <c r="E67" s="241" t="s">
        <v>2662</v>
      </c>
      <c r="F67" s="301">
        <v>7.09007815069612E14</v>
      </c>
      <c r="G67" s="161" t="s">
        <v>2663</v>
      </c>
      <c r="H67" s="163">
        <v>21763.0</v>
      </c>
      <c r="I67" s="41" t="s">
        <v>41</v>
      </c>
      <c r="J67" s="238"/>
      <c r="K67" s="238"/>
      <c r="L67" s="216" t="s">
        <v>521</v>
      </c>
      <c r="R67" s="67"/>
    </row>
    <row r="68" ht="15.75" customHeight="1">
      <c r="A68" s="12" t="s">
        <v>90</v>
      </c>
      <c r="B68" s="227" t="s">
        <v>2659</v>
      </c>
      <c r="C68" s="74" t="str">
        <f t="shared" si="7"/>
        <v>Quinta-Feira</v>
      </c>
      <c r="D68" s="512" t="str">
        <f>IF(C68&lt;&gt;"Quarta-Feira","16:20","11:20")</f>
        <v>16:20</v>
      </c>
      <c r="E68" s="241" t="s">
        <v>2664</v>
      </c>
      <c r="F68" s="301">
        <v>7.07406035356778E14</v>
      </c>
      <c r="G68" s="161" t="s">
        <v>2665</v>
      </c>
      <c r="H68" s="163">
        <v>20736.0</v>
      </c>
      <c r="I68" s="41" t="s">
        <v>41</v>
      </c>
      <c r="J68" s="238"/>
      <c r="K68" s="238"/>
      <c r="R68" s="67"/>
    </row>
    <row r="69" ht="15.75" customHeight="1">
      <c r="A69" s="12" t="s">
        <v>93</v>
      </c>
      <c r="B69" s="227" t="s">
        <v>1735</v>
      </c>
      <c r="C69" s="74" t="str">
        <f t="shared" si="7"/>
        <v>Quinta-Feira</v>
      </c>
      <c r="D69" s="512" t="str">
        <f>IF(C69&lt;&gt;"Quarta-Feira","16:40","11:40")</f>
        <v>16:40</v>
      </c>
      <c r="E69" s="241" t="s">
        <v>2666</v>
      </c>
      <c r="F69" s="301">
        <v>7.00008381952209E14</v>
      </c>
      <c r="G69" s="161" t="s">
        <v>2667</v>
      </c>
      <c r="H69" s="163">
        <v>20888.0</v>
      </c>
      <c r="I69" s="41" t="s">
        <v>41</v>
      </c>
      <c r="J69" s="238"/>
      <c r="K69" s="238"/>
      <c r="R69" s="67"/>
    </row>
    <row r="70">
      <c r="E70" s="261"/>
      <c r="G70" s="216"/>
      <c r="J70" s="67"/>
      <c r="K70" s="67"/>
      <c r="R70" s="67"/>
    </row>
    <row r="71">
      <c r="E71" s="261"/>
      <c r="J71" s="67"/>
      <c r="K71" s="67"/>
      <c r="R71" s="67"/>
    </row>
    <row r="72">
      <c r="E72" s="261"/>
      <c r="J72" s="67"/>
      <c r="K72" s="67"/>
      <c r="R72" s="67"/>
    </row>
    <row r="73">
      <c r="A73" s="398" t="s">
        <v>18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TEXT(DATE(VALUE(MID(A38,7,4)),VALUE(MID(A38,4,2)),VALUE(LEFT(A38,2)))+7,"dd/mm/yyyy")&amp;" 13h às 17h"</f>
        <v>17/03/2026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469"/>
      <c r="B75" s="470" t="s">
        <v>3</v>
      </c>
      <c r="C75" s="471" t="s">
        <v>2</v>
      </c>
      <c r="D75" s="472" t="s">
        <v>5</v>
      </c>
      <c r="E75" s="530" t="s">
        <v>19</v>
      </c>
      <c r="F75" s="472" t="s">
        <v>6</v>
      </c>
      <c r="G75" s="473" t="s">
        <v>7</v>
      </c>
      <c r="H75" s="474" t="s">
        <v>8</v>
      </c>
      <c r="I75" s="475" t="s">
        <v>20</v>
      </c>
      <c r="J75" s="472" t="s">
        <v>21</v>
      </c>
      <c r="K75" s="472" t="s">
        <v>22</v>
      </c>
      <c r="R75" s="67"/>
    </row>
    <row r="76">
      <c r="A76" s="476" t="s">
        <v>10</v>
      </c>
      <c r="B76" s="227" t="s">
        <v>2082</v>
      </c>
      <c r="C76" s="447" t="str">
        <f t="shared" ref="C76:C87" si="9">PROPER(TEXT(DATE(MID($A$74,7,4),MID($A$74,4,2),LEFT($A$74,2)),"dddd"))</f>
        <v>Terça-Feira</v>
      </c>
      <c r="D76" s="512" t="str">
        <f>IF(C76&lt;&gt;"Quarta-Feira","13:00","08:00")</f>
        <v>13:00</v>
      </c>
      <c r="E76" s="477" t="s">
        <v>2668</v>
      </c>
      <c r="F76" s="133">
        <v>7.04203716263384E14</v>
      </c>
      <c r="G76" s="203" t="s">
        <v>2669</v>
      </c>
      <c r="H76" s="166">
        <v>18339.0</v>
      </c>
      <c r="I76" s="478" t="s">
        <v>41</v>
      </c>
      <c r="J76" s="391">
        <v>1.1932525456E10</v>
      </c>
      <c r="K76" s="391"/>
      <c r="N76" s="268" t="s">
        <v>387</v>
      </c>
      <c r="O76" s="100"/>
      <c r="P76" s="100"/>
      <c r="Q76" s="100"/>
      <c r="R76" s="67"/>
    </row>
    <row r="77">
      <c r="A77" s="476" t="s">
        <v>11</v>
      </c>
      <c r="B77" s="227" t="s">
        <v>2084</v>
      </c>
      <c r="C77" s="447" t="str">
        <f t="shared" si="9"/>
        <v>Terça-Feira</v>
      </c>
      <c r="D77" s="512" t="str">
        <f>IF(C77&lt;&gt;"Quarta-Feira","13:20","08:20")</f>
        <v>13:20</v>
      </c>
      <c r="E77" s="479" t="s">
        <v>2670</v>
      </c>
      <c r="F77" s="133">
        <v>2.09601688040006E14</v>
      </c>
      <c r="G77" s="203" t="s">
        <v>2671</v>
      </c>
      <c r="H77" s="166">
        <v>14586.0</v>
      </c>
      <c r="I77" s="478" t="s">
        <v>41</v>
      </c>
      <c r="J77" s="391" t="s">
        <v>2672</v>
      </c>
      <c r="K77" s="391"/>
      <c r="N77" s="270" t="s">
        <v>2086</v>
      </c>
      <c r="O77" s="2"/>
      <c r="P77" s="2"/>
      <c r="Q77" s="2"/>
      <c r="R77" s="67"/>
    </row>
    <row r="78">
      <c r="A78" s="476" t="s">
        <v>12</v>
      </c>
      <c r="B78" s="227" t="s">
        <v>2087</v>
      </c>
      <c r="C78" s="447" t="str">
        <f t="shared" si="9"/>
        <v>Terça-Feira</v>
      </c>
      <c r="D78" s="512" t="str">
        <f>IF(C78&lt;&gt;"Quarta-Feira","13:40","08:40")</f>
        <v>13:40</v>
      </c>
      <c r="E78" s="477" t="s">
        <v>2673</v>
      </c>
      <c r="F78" s="133">
        <v>7.01807228561975E14</v>
      </c>
      <c r="G78" s="203" t="s">
        <v>2674</v>
      </c>
      <c r="H78" s="166">
        <v>23175.0</v>
      </c>
      <c r="I78" s="478" t="s">
        <v>2088</v>
      </c>
      <c r="J78" s="391" t="s">
        <v>2675</v>
      </c>
      <c r="K78" s="391"/>
      <c r="N78" s="271" t="s">
        <v>183</v>
      </c>
      <c r="O78" s="272" t="s">
        <v>195</v>
      </c>
      <c r="P78" s="272" t="s">
        <v>181</v>
      </c>
      <c r="Q78" s="273" t="s">
        <v>2088</v>
      </c>
      <c r="R78" s="67"/>
    </row>
    <row r="79">
      <c r="A79" s="476" t="s">
        <v>13</v>
      </c>
      <c r="B79" s="227" t="s">
        <v>2089</v>
      </c>
      <c r="C79" s="447" t="str">
        <f t="shared" si="9"/>
        <v>Terça-Feira</v>
      </c>
      <c r="D79" s="512" t="str">
        <f>IF(C79&lt;&gt;"Quarta-Feira","14:00","09:00")</f>
        <v>14:00</v>
      </c>
      <c r="E79" s="477" t="s">
        <v>2676</v>
      </c>
      <c r="F79" s="133">
        <v>7.00806450369482E14</v>
      </c>
      <c r="G79" s="203" t="s">
        <v>2677</v>
      </c>
      <c r="H79" s="166">
        <v>21985.0</v>
      </c>
      <c r="I79" s="478" t="s">
        <v>41</v>
      </c>
      <c r="J79" s="391" t="s">
        <v>2678</v>
      </c>
      <c r="K79" s="391"/>
      <c r="N79" s="275">
        <f t="shared" ref="N79:Q79" si="10">COUNTIFS($I$76:$I$87,N78)</f>
        <v>0</v>
      </c>
      <c r="O79" s="275">
        <f t="shared" si="10"/>
        <v>0</v>
      </c>
      <c r="P79" s="275">
        <f t="shared" si="10"/>
        <v>1</v>
      </c>
      <c r="Q79" s="275">
        <f t="shared" si="10"/>
        <v>3</v>
      </c>
      <c r="R79" s="67"/>
    </row>
    <row r="80">
      <c r="A80" s="476" t="s">
        <v>14</v>
      </c>
      <c r="B80" s="227" t="s">
        <v>2082</v>
      </c>
      <c r="C80" s="447" t="str">
        <f t="shared" si="9"/>
        <v>Terça-Feira</v>
      </c>
      <c r="D80" s="512" t="str">
        <f>IF(C80&lt;&gt;"Quarta-Feira","14:20","09:20")</f>
        <v>14:20</v>
      </c>
      <c r="E80" s="480" t="s">
        <v>2679</v>
      </c>
      <c r="F80" s="133">
        <v>7.00802439608987E14</v>
      </c>
      <c r="G80" s="203" t="s">
        <v>2680</v>
      </c>
      <c r="H80" s="169">
        <v>22285.0</v>
      </c>
      <c r="I80" s="478" t="s">
        <v>41</v>
      </c>
      <c r="J80" s="74">
        <v>1.1946549609E10</v>
      </c>
      <c r="K80" s="391"/>
      <c r="R80" s="67"/>
    </row>
    <row r="81">
      <c r="A81" s="476" t="s">
        <v>15</v>
      </c>
      <c r="B81" s="227" t="s">
        <v>2089</v>
      </c>
      <c r="C81" s="447" t="str">
        <f t="shared" si="9"/>
        <v>Terça-Feira</v>
      </c>
      <c r="D81" s="512" t="str">
        <f>IF(C81&lt;&gt;"Quarta-Feira","14:40","09:40")</f>
        <v>14:40</v>
      </c>
      <c r="E81" s="480" t="s">
        <v>2681</v>
      </c>
      <c r="F81" s="133">
        <v>7.01803229289477E14</v>
      </c>
      <c r="G81" s="203" t="s">
        <v>2682</v>
      </c>
      <c r="H81" s="166">
        <v>17781.0</v>
      </c>
      <c r="I81" s="478" t="s">
        <v>41</v>
      </c>
      <c r="J81" s="391" t="s">
        <v>2683</v>
      </c>
      <c r="K81" s="391"/>
      <c r="R81" s="67"/>
    </row>
    <row r="82">
      <c r="A82" s="476" t="s">
        <v>16</v>
      </c>
      <c r="B82" s="227" t="s">
        <v>2093</v>
      </c>
      <c r="C82" s="447" t="str">
        <f t="shared" si="9"/>
        <v>Terça-Feira</v>
      </c>
      <c r="D82" s="512" t="str">
        <f>IF(C82&lt;&gt;"Quarta-Feira","15:00","10:00")</f>
        <v>15:00</v>
      </c>
      <c r="E82" s="480"/>
      <c r="F82" s="133"/>
      <c r="G82" s="203"/>
      <c r="H82" s="166"/>
      <c r="I82" s="478" t="s">
        <v>181</v>
      </c>
      <c r="J82" s="391"/>
      <c r="K82" s="391"/>
      <c r="R82" s="67"/>
    </row>
    <row r="83">
      <c r="A83" s="476" t="s">
        <v>17</v>
      </c>
      <c r="B83" s="227" t="s">
        <v>2094</v>
      </c>
      <c r="C83" s="447" t="str">
        <f t="shared" si="9"/>
        <v>Terça-Feira</v>
      </c>
      <c r="D83" s="512" t="str">
        <f>IF(C83&lt;&gt;"Quarta-Feira","15:20","10:20")</f>
        <v>15:20</v>
      </c>
      <c r="E83" s="480" t="s">
        <v>2684</v>
      </c>
      <c r="F83" s="133">
        <v>7.02407002787923E14</v>
      </c>
      <c r="G83" s="203" t="s">
        <v>2685</v>
      </c>
      <c r="H83" s="166">
        <v>31606.0</v>
      </c>
      <c r="I83" s="478" t="s">
        <v>41</v>
      </c>
      <c r="J83" s="391" t="s">
        <v>2686</v>
      </c>
      <c r="K83" s="391"/>
      <c r="R83" s="67"/>
    </row>
    <row r="84" ht="16.5" customHeight="1">
      <c r="A84" s="476" t="s">
        <v>85</v>
      </c>
      <c r="B84" s="227" t="s">
        <v>2095</v>
      </c>
      <c r="C84" s="447" t="str">
        <f t="shared" si="9"/>
        <v>Terça-Feira</v>
      </c>
      <c r="D84" s="512" t="str">
        <f>IF(C84&lt;&gt;"Quarta-Feira","15:40","10:40")</f>
        <v>15:40</v>
      </c>
      <c r="E84" s="480" t="s">
        <v>2687</v>
      </c>
      <c r="F84" s="133">
        <v>1.03869192990006E14</v>
      </c>
      <c r="G84" s="203" t="s">
        <v>2688</v>
      </c>
      <c r="H84" s="166">
        <v>20718.0</v>
      </c>
      <c r="I84" s="478" t="s">
        <v>41</v>
      </c>
      <c r="J84" s="391" t="s">
        <v>2689</v>
      </c>
      <c r="K84" s="391"/>
      <c r="R84" s="67"/>
    </row>
    <row r="85">
      <c r="A85" s="476" t="s">
        <v>87</v>
      </c>
      <c r="B85" s="227" t="s">
        <v>2096</v>
      </c>
      <c r="C85" s="447" t="str">
        <f t="shared" si="9"/>
        <v>Terça-Feira</v>
      </c>
      <c r="D85" s="512" t="str">
        <f>IF(C85&lt;&gt;"Quarta-Feira","16:00","11:00")</f>
        <v>16:00</v>
      </c>
      <c r="E85" s="477" t="s">
        <v>2690</v>
      </c>
      <c r="F85" s="133">
        <v>7.05004856964858E14</v>
      </c>
      <c r="G85" s="203" t="s">
        <v>807</v>
      </c>
      <c r="H85" s="166">
        <v>26346.0</v>
      </c>
      <c r="I85" s="478" t="s">
        <v>2088</v>
      </c>
      <c r="J85" s="391" t="s">
        <v>2691</v>
      </c>
      <c r="K85" s="484"/>
      <c r="R85" s="67"/>
    </row>
    <row r="86">
      <c r="A86" s="476" t="s">
        <v>90</v>
      </c>
      <c r="B86" s="227" t="s">
        <v>2098</v>
      </c>
      <c r="C86" s="447" t="str">
        <f t="shared" si="9"/>
        <v>Terça-Feira</v>
      </c>
      <c r="D86" s="512" t="str">
        <f>IF(C86&lt;&gt;"Quarta-Feira","16:20","11:20")</f>
        <v>16:20</v>
      </c>
      <c r="E86" s="480" t="s">
        <v>2692</v>
      </c>
      <c r="F86" s="500">
        <v>7.01004843648194E14</v>
      </c>
      <c r="G86" s="203" t="s">
        <v>2693</v>
      </c>
      <c r="H86" s="531">
        <v>25659.0</v>
      </c>
      <c r="I86" s="478" t="s">
        <v>41</v>
      </c>
      <c r="J86" s="484"/>
      <c r="K86" s="484"/>
      <c r="R86" s="67"/>
    </row>
    <row r="87">
      <c r="A87" s="476" t="s">
        <v>93</v>
      </c>
      <c r="B87" s="227" t="s">
        <v>2096</v>
      </c>
      <c r="C87" s="447" t="str">
        <f t="shared" si="9"/>
        <v>Terça-Feira</v>
      </c>
      <c r="D87" s="512" t="str">
        <f>IF(C87&lt;&gt;"Quarta-Feira","16:40","11:40")</f>
        <v>16:40</v>
      </c>
      <c r="E87" s="477" t="s">
        <v>2694</v>
      </c>
      <c r="F87" s="500">
        <v>7.04205769636187E14</v>
      </c>
      <c r="G87" s="501" t="s">
        <v>2695</v>
      </c>
      <c r="H87" s="166">
        <v>16783.0</v>
      </c>
      <c r="I87" s="478" t="s">
        <v>2088</v>
      </c>
      <c r="J87" s="500">
        <v>1.195163788E10</v>
      </c>
      <c r="K87" s="485"/>
      <c r="R87" s="67"/>
    </row>
    <row r="88">
      <c r="E88" s="261"/>
      <c r="J88" s="67"/>
      <c r="K88" s="67"/>
      <c r="R88" s="67"/>
    </row>
    <row r="89">
      <c r="E89" s="261"/>
      <c r="J89" s="67"/>
      <c r="K89" s="67"/>
      <c r="R89" s="67"/>
    </row>
    <row r="90">
      <c r="E90" s="261"/>
      <c r="J90" s="67"/>
      <c r="K90" s="67"/>
      <c r="R90" s="67"/>
    </row>
    <row r="91">
      <c r="A91" s="23" t="s">
        <v>18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13h às 17h"</f>
        <v>19/03/2026 13h às 17h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26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8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532" t="s">
        <v>1781</v>
      </c>
      <c r="C94" s="74" t="str">
        <f t="shared" ref="C94:C105" si="11">PROPER(TEXT(DATE(MID($A$92,7,4),MID($A$92,4,2),LEFT($A$92,2)),"dddd"))</f>
        <v>Quinta-Feira</v>
      </c>
      <c r="D94" s="512" t="str">
        <f>IF(C94&lt;&gt;"Quarta-Feira","13:00","08:00")</f>
        <v>13:00</v>
      </c>
      <c r="E94" s="245" t="s">
        <v>2696</v>
      </c>
      <c r="F94" s="162">
        <v>1.23289072390001E14</v>
      </c>
      <c r="G94" s="161" t="s">
        <v>2697</v>
      </c>
      <c r="H94" s="390">
        <v>24097.0</v>
      </c>
      <c r="I94" s="41" t="s">
        <v>41</v>
      </c>
      <c r="J94" s="238"/>
      <c r="K94" s="238"/>
      <c r="N94" s="268" t="s">
        <v>387</v>
      </c>
      <c r="O94" s="100"/>
      <c r="P94" s="100"/>
      <c r="Q94" s="100"/>
      <c r="R94" s="67"/>
    </row>
    <row r="95" ht="21.0" customHeight="1">
      <c r="A95" s="12" t="s">
        <v>11</v>
      </c>
      <c r="B95" s="227" t="s">
        <v>1714</v>
      </c>
      <c r="C95" s="74" t="str">
        <f t="shared" si="11"/>
        <v>Quinta-Feira</v>
      </c>
      <c r="D95" s="512" t="str">
        <f>IF(C95&lt;&gt;"Quarta-Feira","13:20","08:20")</f>
        <v>13:20</v>
      </c>
      <c r="E95" s="245" t="s">
        <v>2698</v>
      </c>
      <c r="F95" s="487">
        <v>8.98001497729477E14</v>
      </c>
      <c r="G95" s="161" t="s">
        <v>2699</v>
      </c>
      <c r="H95" s="502">
        <v>20935.0</v>
      </c>
      <c r="I95" s="41" t="s">
        <v>2567</v>
      </c>
      <c r="J95" s="238"/>
      <c r="K95" s="238"/>
      <c r="N95" s="270" t="s">
        <v>2086</v>
      </c>
      <c r="O95" s="2"/>
      <c r="P95" s="2"/>
      <c r="Q95" s="2"/>
      <c r="R95" s="67"/>
    </row>
    <row r="96">
      <c r="A96" s="12" t="s">
        <v>12</v>
      </c>
      <c r="B96" s="532" t="s">
        <v>1790</v>
      </c>
      <c r="C96" s="74" t="str">
        <f t="shared" si="11"/>
        <v>Quinta-Feira</v>
      </c>
      <c r="D96" s="512" t="str">
        <f>IF(C96&lt;&gt;"Quarta-Feira","13:40","08:40")</f>
        <v>13:40</v>
      </c>
      <c r="E96" s="245" t="s">
        <v>2700</v>
      </c>
      <c r="F96" s="162">
        <v>2.1014777153E14</v>
      </c>
      <c r="G96" s="161" t="s">
        <v>2701</v>
      </c>
      <c r="H96" s="390">
        <v>18388.0</v>
      </c>
      <c r="I96" s="41" t="s">
        <v>41</v>
      </c>
      <c r="J96" s="238"/>
      <c r="K96" s="238"/>
      <c r="N96" s="271" t="s">
        <v>183</v>
      </c>
      <c r="O96" s="272" t="s">
        <v>195</v>
      </c>
      <c r="P96" s="272" t="s">
        <v>181</v>
      </c>
      <c r="Q96" s="273" t="s">
        <v>2088</v>
      </c>
      <c r="R96" s="67"/>
    </row>
    <row r="97">
      <c r="A97" s="12" t="s">
        <v>13</v>
      </c>
      <c r="B97" s="227" t="s">
        <v>1721</v>
      </c>
      <c r="C97" s="74" t="str">
        <f t="shared" si="11"/>
        <v>Quinta-Feira</v>
      </c>
      <c r="D97" s="512" t="str">
        <f>IF(C97&lt;&gt;"Quarta-Feira","14:00","09:00")</f>
        <v>14:00</v>
      </c>
      <c r="E97" s="245" t="s">
        <v>2702</v>
      </c>
      <c r="F97" s="301">
        <v>7.09009898001915E14</v>
      </c>
      <c r="G97" s="233" t="s">
        <v>2703</v>
      </c>
      <c r="H97" s="521">
        <v>18936.0</v>
      </c>
      <c r="I97" s="41" t="s">
        <v>2567</v>
      </c>
      <c r="J97" s="238"/>
      <c r="K97" s="238"/>
      <c r="N97" s="275">
        <f t="shared" ref="N97:Q97" si="12">COUNTIFS($I$94:$I$105,N96)</f>
        <v>0</v>
      </c>
      <c r="O97" s="275">
        <f t="shared" si="12"/>
        <v>0</v>
      </c>
      <c r="P97" s="275">
        <f t="shared" si="12"/>
        <v>0</v>
      </c>
      <c r="Q97" s="275">
        <f t="shared" si="12"/>
        <v>1</v>
      </c>
      <c r="R97" s="67"/>
    </row>
    <row r="98">
      <c r="A98" s="12" t="s">
        <v>14</v>
      </c>
      <c r="B98" s="227" t="s">
        <v>1796</v>
      </c>
      <c r="C98" s="74" t="str">
        <f t="shared" si="11"/>
        <v>Quinta-Feira</v>
      </c>
      <c r="D98" s="512" t="str">
        <f>IF(C98&lt;&gt;"Quarta-Feira","14:20","09:20")</f>
        <v>14:20</v>
      </c>
      <c r="E98" s="245" t="s">
        <v>2704</v>
      </c>
      <c r="F98" s="162">
        <v>2.07270149990004E14</v>
      </c>
      <c r="G98" s="161" t="s">
        <v>2705</v>
      </c>
      <c r="H98" s="390">
        <v>23428.0</v>
      </c>
      <c r="I98" s="41" t="s">
        <v>41</v>
      </c>
      <c r="J98" s="238"/>
      <c r="K98" s="238"/>
      <c r="R98" s="67"/>
    </row>
    <row r="99">
      <c r="A99" s="12" t="s">
        <v>15</v>
      </c>
      <c r="B99" s="227" t="s">
        <v>1790</v>
      </c>
      <c r="C99" s="74" t="str">
        <f t="shared" si="11"/>
        <v>Quinta-Feira</v>
      </c>
      <c r="D99" s="512" t="str">
        <f>IF(C99&lt;&gt;"Quarta-Feira","14:40","09:40")</f>
        <v>14:40</v>
      </c>
      <c r="E99" s="245" t="s">
        <v>2706</v>
      </c>
      <c r="F99" s="162">
        <v>2.10147475130001E14</v>
      </c>
      <c r="G99" s="161" t="s">
        <v>2707</v>
      </c>
      <c r="H99" s="390">
        <v>22473.0</v>
      </c>
      <c r="I99" s="41" t="s">
        <v>2088</v>
      </c>
      <c r="J99" s="238"/>
      <c r="K99" s="238"/>
      <c r="R99" s="67"/>
    </row>
    <row r="100">
      <c r="A100" s="12" t="s">
        <v>16</v>
      </c>
      <c r="B100" s="227" t="s">
        <v>2653</v>
      </c>
      <c r="C100" s="74" t="str">
        <f t="shared" si="11"/>
        <v>Quinta-Feira</v>
      </c>
      <c r="D100" s="512" t="str">
        <f>IF(C100&lt;&gt;"Quarta-Feira","15:00","10:00")</f>
        <v>15:00</v>
      </c>
      <c r="E100" s="245" t="s">
        <v>2708</v>
      </c>
      <c r="F100" s="162">
        <v>7.08609541586389E14</v>
      </c>
      <c r="G100" s="161" t="s">
        <v>2709</v>
      </c>
      <c r="H100" s="390">
        <v>22215.0</v>
      </c>
      <c r="I100" s="41"/>
      <c r="J100" s="238">
        <v>1.1951490568E10</v>
      </c>
      <c r="K100" s="238"/>
      <c r="R100" s="67"/>
    </row>
    <row r="101">
      <c r="A101" s="12" t="s">
        <v>17</v>
      </c>
      <c r="B101" s="227" t="s">
        <v>2656</v>
      </c>
      <c r="C101" s="74" t="str">
        <f t="shared" si="11"/>
        <v>Quinta-Feira</v>
      </c>
      <c r="D101" s="512" t="str">
        <f>IF(C101&lt;&gt;"Quarta-Feira","15:20","10:20")</f>
        <v>15:20</v>
      </c>
      <c r="E101" s="245"/>
      <c r="F101" s="162"/>
      <c r="G101" s="161"/>
      <c r="H101" s="390"/>
      <c r="I101" s="41"/>
      <c r="J101" s="238"/>
      <c r="K101" s="238"/>
      <c r="R101" s="67"/>
    </row>
    <row r="102">
      <c r="A102" s="12" t="s">
        <v>85</v>
      </c>
      <c r="B102" s="227" t="s">
        <v>2659</v>
      </c>
      <c r="C102" s="74" t="str">
        <f t="shared" si="11"/>
        <v>Quinta-Feira</v>
      </c>
      <c r="D102" s="512" t="str">
        <f>IF(C102&lt;&gt;"Quarta-Feira","15:40","10:40")</f>
        <v>15:40</v>
      </c>
      <c r="E102" s="245" t="s">
        <v>2710</v>
      </c>
      <c r="F102" s="162">
        <v>7.06305797918774E14</v>
      </c>
      <c r="G102" s="161" t="s">
        <v>2711</v>
      </c>
      <c r="H102" s="390">
        <v>25442.0</v>
      </c>
      <c r="I102" s="41" t="s">
        <v>41</v>
      </c>
      <c r="J102" s="238"/>
      <c r="K102" s="238"/>
      <c r="R102" s="67"/>
      <c r="V102" s="336"/>
    </row>
    <row r="103">
      <c r="A103" s="12" t="s">
        <v>87</v>
      </c>
      <c r="B103" s="227" t="s">
        <v>1735</v>
      </c>
      <c r="C103" s="74" t="str">
        <f t="shared" si="11"/>
        <v>Quinta-Feira</v>
      </c>
      <c r="D103" s="512" t="str">
        <f>IF(C103&lt;&gt;"Quarta-Feira","16:00","11:00")</f>
        <v>16:00</v>
      </c>
      <c r="E103" s="245" t="s">
        <v>2712</v>
      </c>
      <c r="F103" s="162">
        <v>7.06700567355818E14</v>
      </c>
      <c r="G103" s="161" t="s">
        <v>2713</v>
      </c>
      <c r="H103" s="390">
        <v>22983.0</v>
      </c>
      <c r="I103" s="41" t="s">
        <v>41</v>
      </c>
      <c r="J103" s="238"/>
      <c r="K103" s="238"/>
      <c r="R103" s="67"/>
    </row>
    <row r="104">
      <c r="A104" s="12" t="s">
        <v>90</v>
      </c>
      <c r="B104" s="227" t="s">
        <v>2659</v>
      </c>
      <c r="C104" s="74" t="str">
        <f t="shared" si="11"/>
        <v>Quinta-Feira</v>
      </c>
      <c r="D104" s="512" t="str">
        <f>IF(C104&lt;&gt;"Quarta-Feira","16:20","11:20")</f>
        <v>16:20</v>
      </c>
      <c r="E104" s="245" t="s">
        <v>2607</v>
      </c>
      <c r="F104" s="162">
        <v>7.05604457868019E14</v>
      </c>
      <c r="G104" s="161" t="s">
        <v>2608</v>
      </c>
      <c r="H104" s="390">
        <v>23651.0</v>
      </c>
      <c r="I104" s="41" t="s">
        <v>41</v>
      </c>
      <c r="J104" s="238"/>
      <c r="K104" s="238"/>
      <c r="R104" s="67"/>
    </row>
    <row r="105">
      <c r="A105" s="12" t="s">
        <v>93</v>
      </c>
      <c r="B105" s="227" t="s">
        <v>1735</v>
      </c>
      <c r="C105" s="74" t="str">
        <f t="shared" si="11"/>
        <v>Quinta-Feira</v>
      </c>
      <c r="D105" s="512" t="str">
        <f>IF(C105&lt;&gt;"Quarta-Feira","16:40","11:40")</f>
        <v>16:40</v>
      </c>
      <c r="E105" s="245" t="s">
        <v>2714</v>
      </c>
      <c r="F105" s="162">
        <v>8.01440470401805E14</v>
      </c>
      <c r="G105" s="161" t="s">
        <v>2715</v>
      </c>
      <c r="H105" s="390">
        <v>25012.0</v>
      </c>
      <c r="I105" s="41"/>
      <c r="J105" s="238"/>
      <c r="K105" s="238"/>
      <c r="R105" s="67"/>
    </row>
    <row r="106">
      <c r="E106" s="261"/>
      <c r="J106" s="67"/>
      <c r="K106" s="67"/>
      <c r="R106" s="67"/>
    </row>
    <row r="107">
      <c r="E107" s="261"/>
      <c r="J107" s="67"/>
      <c r="K107" s="67"/>
      <c r="R107" s="67"/>
    </row>
    <row r="108">
      <c r="E108" s="261"/>
      <c r="J108" s="67"/>
      <c r="K108" s="67"/>
      <c r="R108" s="67"/>
    </row>
    <row r="109">
      <c r="A109" s="23" t="s">
        <v>18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TEXT(DATE(VALUE(MID(A74,7,4)),VALUE(MID(A74,4,2)),VALUE(LEFT(A74,2)))+7,"dd/mm/yyyy")&amp;" 13h às 17h"</f>
        <v>24/03/2026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26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2082</v>
      </c>
      <c r="C112" s="74" t="str">
        <f t="shared" ref="C112:C123" si="13">PROPER(TEXT(DATE(MID($A$110,7,4),MID($A$110,4,2),LEFT($A$110,2)),"dddd"))</f>
        <v>Terça-Feira</v>
      </c>
      <c r="D112" s="512" t="str">
        <f>IF(C112&lt;&gt;"Quarta-Feira","13:00","08:00")</f>
        <v>13:00</v>
      </c>
      <c r="E112" s="241" t="s">
        <v>2716</v>
      </c>
      <c r="F112" s="185">
        <v>2.10183418990001E14</v>
      </c>
      <c r="G112" s="105" t="s">
        <v>2717</v>
      </c>
      <c r="H112" s="83">
        <v>19906.0</v>
      </c>
      <c r="I112" s="41" t="s">
        <v>2088</v>
      </c>
      <c r="J112" s="102"/>
      <c r="K112" s="102"/>
      <c r="N112" s="268" t="s">
        <v>387</v>
      </c>
      <c r="O112" s="100"/>
      <c r="P112" s="100"/>
      <c r="Q112" s="100"/>
      <c r="R112" s="67"/>
    </row>
    <row r="113">
      <c r="A113" s="12" t="s">
        <v>11</v>
      </c>
      <c r="B113" s="227" t="s">
        <v>2084</v>
      </c>
      <c r="C113" s="74" t="str">
        <f t="shared" si="13"/>
        <v>Terça-Feira</v>
      </c>
      <c r="D113" s="512" t="str">
        <f>IF(C113&lt;&gt;"Quarta-Feira","13:20","08:20")</f>
        <v>13:20</v>
      </c>
      <c r="E113" s="241" t="s">
        <v>2718</v>
      </c>
      <c r="F113" s="185">
        <v>8.01440442832414E14</v>
      </c>
      <c r="G113" s="105" t="s">
        <v>2719</v>
      </c>
      <c r="H113" s="83">
        <v>19998.0</v>
      </c>
      <c r="I113" s="41" t="s">
        <v>41</v>
      </c>
      <c r="J113" s="102"/>
      <c r="K113" s="102"/>
      <c r="N113" s="270" t="s">
        <v>2086</v>
      </c>
      <c r="O113" s="2"/>
      <c r="P113" s="2"/>
      <c r="Q113" s="2"/>
      <c r="R113" s="67"/>
    </row>
    <row r="114">
      <c r="A114" s="12" t="s">
        <v>12</v>
      </c>
      <c r="B114" s="227" t="s">
        <v>2087</v>
      </c>
      <c r="C114" s="74" t="str">
        <f t="shared" si="13"/>
        <v>Terça-Feira</v>
      </c>
      <c r="D114" s="512" t="str">
        <f>IF(C114&lt;&gt;"Quarta-Feira","13:40","08:40")</f>
        <v>13:40</v>
      </c>
      <c r="E114" s="241" t="s">
        <v>2720</v>
      </c>
      <c r="F114" s="185">
        <v>8.98001464138364E14</v>
      </c>
      <c r="G114" s="105" t="s">
        <v>2721</v>
      </c>
      <c r="H114" s="83">
        <v>21254.0</v>
      </c>
      <c r="I114" s="41" t="s">
        <v>41</v>
      </c>
      <c r="J114" s="102"/>
      <c r="K114" s="102"/>
      <c r="N114" s="271" t="s">
        <v>183</v>
      </c>
      <c r="O114" s="272" t="s">
        <v>195</v>
      </c>
      <c r="P114" s="272" t="s">
        <v>181</v>
      </c>
      <c r="Q114" s="273" t="s">
        <v>2088</v>
      </c>
      <c r="R114" s="67"/>
    </row>
    <row r="115">
      <c r="A115" s="12" t="s">
        <v>13</v>
      </c>
      <c r="B115" s="227" t="s">
        <v>2089</v>
      </c>
      <c r="C115" s="74" t="str">
        <f t="shared" si="13"/>
        <v>Terça-Feira</v>
      </c>
      <c r="D115" s="512" t="str">
        <f>IF(C115&lt;&gt;"Quarta-Feira","14:00","09:00")</f>
        <v>14:00</v>
      </c>
      <c r="E115" s="241" t="s">
        <v>2722</v>
      </c>
      <c r="F115" s="185">
        <v>2.04299507690003E14</v>
      </c>
      <c r="G115" s="105" t="s">
        <v>2723</v>
      </c>
      <c r="H115" s="83">
        <v>22965.0</v>
      </c>
      <c r="I115" s="41" t="s">
        <v>41</v>
      </c>
      <c r="J115" s="102"/>
      <c r="K115" s="102"/>
      <c r="N115" s="275">
        <f t="shared" ref="N115:Q115" si="14">COUNTIFS($I$112:$I$123,N114)</f>
        <v>0</v>
      </c>
      <c r="O115" s="275">
        <f t="shared" si="14"/>
        <v>0</v>
      </c>
      <c r="P115" s="275">
        <f t="shared" si="14"/>
        <v>1</v>
      </c>
      <c r="Q115" s="275">
        <f t="shared" si="14"/>
        <v>2</v>
      </c>
      <c r="R115" s="67"/>
    </row>
    <row r="116">
      <c r="A116" s="12" t="s">
        <v>14</v>
      </c>
      <c r="B116" s="227" t="s">
        <v>2082</v>
      </c>
      <c r="C116" s="74" t="str">
        <f t="shared" si="13"/>
        <v>Terça-Feira</v>
      </c>
      <c r="D116" s="512" t="str">
        <f>IF(C116&lt;&gt;"Quarta-Feira","14:20","09:20")</f>
        <v>14:20</v>
      </c>
      <c r="E116" s="241" t="s">
        <v>2724</v>
      </c>
      <c r="F116" s="185">
        <v>8.98001422323465E14</v>
      </c>
      <c r="G116" s="105" t="s">
        <v>2725</v>
      </c>
      <c r="H116" s="83">
        <v>23668.0</v>
      </c>
      <c r="I116" s="41" t="s">
        <v>2088</v>
      </c>
      <c r="J116" s="102"/>
      <c r="K116" s="102"/>
      <c r="R116" s="67"/>
    </row>
    <row r="117">
      <c r="A117" s="12" t="s">
        <v>15</v>
      </c>
      <c r="B117" s="227" t="s">
        <v>2089</v>
      </c>
      <c r="C117" s="74" t="str">
        <f t="shared" si="13"/>
        <v>Terça-Feira</v>
      </c>
      <c r="D117" s="512" t="str">
        <f>IF(C117&lt;&gt;"Quarta-Feira","14:40","09:40")</f>
        <v>14:40</v>
      </c>
      <c r="E117" s="241" t="s">
        <v>2726</v>
      </c>
      <c r="F117" s="185">
        <v>7.00304933855139E14</v>
      </c>
      <c r="G117" s="105" t="s">
        <v>2727</v>
      </c>
      <c r="H117" s="83">
        <v>23973.0</v>
      </c>
      <c r="I117" s="41" t="s">
        <v>41</v>
      </c>
      <c r="J117" s="102"/>
      <c r="K117" s="102"/>
      <c r="R117" s="67"/>
    </row>
    <row r="118">
      <c r="A118" s="12" t="s">
        <v>16</v>
      </c>
      <c r="B118" s="227" t="s">
        <v>2093</v>
      </c>
      <c r="C118" s="74" t="str">
        <f t="shared" si="13"/>
        <v>Terça-Feira</v>
      </c>
      <c r="D118" s="512" t="str">
        <f>IF(C118&lt;&gt;"Quarta-Feira","15:00","10:00")</f>
        <v>15:00</v>
      </c>
      <c r="E118" s="241" t="s">
        <v>2728</v>
      </c>
      <c r="F118" s="185">
        <v>7.03606028141635E14</v>
      </c>
      <c r="G118" s="105" t="s">
        <v>2729</v>
      </c>
      <c r="H118" s="83">
        <v>28046.0</v>
      </c>
      <c r="I118" s="41" t="s">
        <v>41</v>
      </c>
      <c r="J118" s="102"/>
      <c r="K118" s="102"/>
      <c r="R118" s="67"/>
    </row>
    <row r="119">
      <c r="A119" s="12" t="s">
        <v>17</v>
      </c>
      <c r="B119" s="227" t="s">
        <v>2094</v>
      </c>
      <c r="C119" s="74" t="str">
        <f t="shared" si="13"/>
        <v>Terça-Feira</v>
      </c>
      <c r="D119" s="512" t="str">
        <f>IF(C119&lt;&gt;"Quarta-Feira","15:20","10:20")</f>
        <v>15:20</v>
      </c>
      <c r="E119" s="241" t="s">
        <v>2730</v>
      </c>
      <c r="F119" s="185">
        <v>2.0115332183E14</v>
      </c>
      <c r="G119" s="105" t="s">
        <v>2731</v>
      </c>
      <c r="H119" s="83">
        <v>19609.0</v>
      </c>
      <c r="I119" s="41" t="s">
        <v>41</v>
      </c>
      <c r="J119" s="102"/>
      <c r="K119" s="102"/>
      <c r="R119" s="67"/>
    </row>
    <row r="120">
      <c r="A120" s="12" t="s">
        <v>85</v>
      </c>
      <c r="B120" s="227" t="s">
        <v>2095</v>
      </c>
      <c r="C120" s="74" t="str">
        <f t="shared" si="13"/>
        <v>Terça-Feira</v>
      </c>
      <c r="D120" s="512" t="str">
        <f>IF(C120&lt;&gt;"Quarta-Feira","15:40","10:40")</f>
        <v>15:40</v>
      </c>
      <c r="E120" s="241" t="s">
        <v>2732</v>
      </c>
      <c r="F120" s="185">
        <v>7.04109196116079E14</v>
      </c>
      <c r="G120" s="105" t="s">
        <v>2733</v>
      </c>
      <c r="H120" s="83">
        <v>17138.0</v>
      </c>
      <c r="I120" s="41" t="s">
        <v>41</v>
      </c>
      <c r="J120" s="102"/>
      <c r="K120" s="102"/>
      <c r="R120" s="67"/>
    </row>
    <row r="121">
      <c r="A121" s="12" t="s">
        <v>87</v>
      </c>
      <c r="B121" s="227" t="s">
        <v>2096</v>
      </c>
      <c r="C121" s="74" t="str">
        <f t="shared" si="13"/>
        <v>Terça-Feira</v>
      </c>
      <c r="D121" s="512" t="str">
        <f>IF(C121&lt;&gt;"Quarta-Feira","16:00","11:00")</f>
        <v>16:00</v>
      </c>
      <c r="E121" s="241"/>
      <c r="F121" s="185"/>
      <c r="G121" s="105"/>
      <c r="H121" s="83"/>
      <c r="I121" s="41" t="s">
        <v>181</v>
      </c>
      <c r="J121" s="102"/>
      <c r="K121" s="102"/>
      <c r="R121" s="67"/>
    </row>
    <row r="122">
      <c r="A122" s="12" t="s">
        <v>90</v>
      </c>
      <c r="B122" s="227" t="s">
        <v>2098</v>
      </c>
      <c r="C122" s="74" t="str">
        <f t="shared" si="13"/>
        <v>Terça-Feira</v>
      </c>
      <c r="D122" s="512" t="str">
        <f>IF(C122&lt;&gt;"Quarta-Feira","16:20","11:20")</f>
        <v>16:20</v>
      </c>
      <c r="E122" s="241" t="s">
        <v>2734</v>
      </c>
      <c r="F122" s="185">
        <v>7.08009347233528E14</v>
      </c>
      <c r="G122" s="105" t="s">
        <v>2735</v>
      </c>
      <c r="H122" s="83">
        <v>21091.0</v>
      </c>
      <c r="I122" s="41" t="s">
        <v>41</v>
      </c>
      <c r="J122" s="102"/>
      <c r="K122" s="102"/>
      <c r="R122" s="67"/>
    </row>
    <row r="123">
      <c r="A123" s="12" t="s">
        <v>93</v>
      </c>
      <c r="B123" s="227" t="s">
        <v>2096</v>
      </c>
      <c r="C123" s="74" t="str">
        <f t="shared" si="13"/>
        <v>Terça-Feira</v>
      </c>
      <c r="D123" s="512" t="str">
        <f>IF(C123&lt;&gt;"Quarta-Feira","16:40","11:40")</f>
        <v>16:40</v>
      </c>
      <c r="E123" s="241" t="s">
        <v>2736</v>
      </c>
      <c r="F123" s="185">
        <v>2.01543840590007E14</v>
      </c>
      <c r="G123" s="105" t="s">
        <v>2737</v>
      </c>
      <c r="H123" s="83">
        <v>10896.0</v>
      </c>
      <c r="I123" s="41" t="s">
        <v>41</v>
      </c>
      <c r="J123" s="102"/>
      <c r="K123" s="102"/>
      <c r="R123" s="67"/>
    </row>
    <row r="124">
      <c r="A124" s="503"/>
      <c r="B124" s="493"/>
      <c r="C124" s="315"/>
      <c r="D124" s="504"/>
      <c r="E124" s="505"/>
      <c r="F124" s="506"/>
      <c r="G124" s="507"/>
      <c r="H124" s="508"/>
      <c r="I124" s="509"/>
      <c r="J124" s="510"/>
      <c r="K124" s="510"/>
      <c r="R124" s="67"/>
    </row>
    <row r="125">
      <c r="A125" s="503"/>
      <c r="B125" s="493"/>
      <c r="C125" s="315"/>
      <c r="D125" s="504"/>
      <c r="E125" s="505"/>
      <c r="F125" s="506"/>
      <c r="G125" s="507"/>
      <c r="H125" s="508"/>
      <c r="I125" s="509"/>
      <c r="J125" s="510"/>
      <c r="K125" s="510"/>
      <c r="R125" s="67"/>
    </row>
    <row r="126">
      <c r="A126" s="503"/>
      <c r="B126" s="493"/>
      <c r="C126" s="315"/>
      <c r="D126" s="504"/>
      <c r="E126" s="505"/>
      <c r="F126" s="506"/>
      <c r="G126" s="507"/>
      <c r="H126" s="508"/>
      <c r="I126" s="509"/>
      <c r="J126" s="510"/>
      <c r="K126" s="510"/>
      <c r="R126" s="67"/>
    </row>
    <row r="127">
      <c r="A127" s="23" t="s">
        <v>18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13h às 17h"</f>
        <v>26/03/2026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26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8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532" t="s">
        <v>1781</v>
      </c>
      <c r="C130" s="74" t="str">
        <f t="shared" ref="C130:C141" si="15">PROPER(TEXT(DATE(MID($A$92,7,4),MID($A$92,4,2),LEFT($A$92,2)),"dddd"))</f>
        <v>Quinta-Feira</v>
      </c>
      <c r="D130" s="512" t="str">
        <f>IF(C130&lt;&gt;"Quarta-Feira","13:00","08:00")</f>
        <v>13:00</v>
      </c>
      <c r="E130" s="245" t="s">
        <v>2738</v>
      </c>
      <c r="F130" s="162">
        <v>7.0840122735976E14</v>
      </c>
      <c r="G130" s="161" t="s">
        <v>2739</v>
      </c>
      <c r="H130" s="390">
        <v>8061.0</v>
      </c>
      <c r="I130" s="41" t="s">
        <v>41</v>
      </c>
      <c r="J130" s="238"/>
      <c r="K130" s="238"/>
      <c r="N130" s="268" t="s">
        <v>387</v>
      </c>
      <c r="O130" s="100"/>
      <c r="P130" s="100"/>
      <c r="Q130" s="100"/>
      <c r="R130" s="67"/>
    </row>
    <row r="131">
      <c r="A131" s="12" t="s">
        <v>11</v>
      </c>
      <c r="B131" s="227" t="s">
        <v>1714</v>
      </c>
      <c r="C131" s="74" t="str">
        <f t="shared" si="15"/>
        <v>Quinta-Feira</v>
      </c>
      <c r="D131" s="512" t="str">
        <f>IF(C131&lt;&gt;"Quarta-Feira","13:20","08:20")</f>
        <v>13:20</v>
      </c>
      <c r="E131" s="245" t="s">
        <v>2740</v>
      </c>
      <c r="F131" s="487">
        <v>7.00406403597249E14</v>
      </c>
      <c r="G131" s="161" t="s">
        <v>2741</v>
      </c>
      <c r="H131" s="502">
        <v>30151.0</v>
      </c>
      <c r="I131" s="41" t="s">
        <v>41</v>
      </c>
      <c r="J131" s="238"/>
      <c r="K131" s="238"/>
      <c r="N131" s="270" t="s">
        <v>2086</v>
      </c>
      <c r="O131" s="2"/>
      <c r="P131" s="2"/>
      <c r="Q131" s="2"/>
      <c r="R131" s="67"/>
    </row>
    <row r="132">
      <c r="A132" s="12" t="s">
        <v>12</v>
      </c>
      <c r="B132" s="532" t="s">
        <v>1790</v>
      </c>
      <c r="C132" s="74" t="str">
        <f t="shared" si="15"/>
        <v>Quinta-Feira</v>
      </c>
      <c r="D132" s="512" t="str">
        <f>IF(C132&lt;&gt;"Quarta-Feira","13:40","08:40")</f>
        <v>13:40</v>
      </c>
      <c r="E132" s="245" t="s">
        <v>2742</v>
      </c>
      <c r="F132" s="162">
        <v>7.02601294938741E14</v>
      </c>
      <c r="G132" s="161" t="s">
        <v>2743</v>
      </c>
      <c r="H132" s="390">
        <v>21536.0</v>
      </c>
      <c r="I132" s="41" t="s">
        <v>41</v>
      </c>
      <c r="J132" s="238"/>
      <c r="K132" s="238"/>
      <c r="N132" s="271" t="s">
        <v>183</v>
      </c>
      <c r="O132" s="272" t="s">
        <v>195</v>
      </c>
      <c r="P132" s="272" t="s">
        <v>181</v>
      </c>
      <c r="Q132" s="273" t="s">
        <v>2088</v>
      </c>
      <c r="R132" s="67"/>
    </row>
    <row r="133">
      <c r="A133" s="12" t="s">
        <v>13</v>
      </c>
      <c r="B133" s="227" t="s">
        <v>1721</v>
      </c>
      <c r="C133" s="74" t="str">
        <f t="shared" si="15"/>
        <v>Quinta-Feira</v>
      </c>
      <c r="D133" s="512" t="str">
        <f>IF(C133&lt;&gt;"Quarta-Feira","14:00","09:00")</f>
        <v>14:00</v>
      </c>
      <c r="E133" s="245"/>
      <c r="F133" s="228"/>
      <c r="G133" s="227"/>
      <c r="H133" s="495"/>
      <c r="I133" s="41" t="s">
        <v>181</v>
      </c>
      <c r="J133" s="238"/>
      <c r="K133" s="238"/>
      <c r="N133" s="275">
        <f t="shared" ref="N133:Q133" si="16">COUNTIFS($I$130:$I$141,N132)</f>
        <v>0</v>
      </c>
      <c r="O133" s="275">
        <f t="shared" si="16"/>
        <v>0</v>
      </c>
      <c r="P133" s="275">
        <f t="shared" si="16"/>
        <v>1</v>
      </c>
      <c r="Q133" s="275">
        <f t="shared" si="16"/>
        <v>2</v>
      </c>
      <c r="R133" s="67"/>
    </row>
    <row r="134">
      <c r="A134" s="12" t="s">
        <v>14</v>
      </c>
      <c r="B134" s="227" t="s">
        <v>1796</v>
      </c>
      <c r="C134" s="74" t="str">
        <f t="shared" si="15"/>
        <v>Quinta-Feira</v>
      </c>
      <c r="D134" s="512" t="str">
        <f>IF(C134&lt;&gt;"Quarta-Feira","14:20","09:20")</f>
        <v>14:20</v>
      </c>
      <c r="E134" s="245" t="s">
        <v>2744</v>
      </c>
      <c r="F134" s="162">
        <v>7.07007876658336E14</v>
      </c>
      <c r="G134" s="161" t="s">
        <v>2745</v>
      </c>
      <c r="H134" s="390">
        <v>27776.0</v>
      </c>
      <c r="I134" s="41" t="s">
        <v>41</v>
      </c>
      <c r="J134" s="238"/>
      <c r="K134" s="238"/>
      <c r="R134" s="67"/>
    </row>
    <row r="135">
      <c r="A135" s="12" t="s">
        <v>15</v>
      </c>
      <c r="B135" s="227" t="s">
        <v>1790</v>
      </c>
      <c r="C135" s="74" t="str">
        <f t="shared" si="15"/>
        <v>Quinta-Feira</v>
      </c>
      <c r="D135" s="512" t="str">
        <f>IF(C135&lt;&gt;"Quarta-Feira","14:40","09:40")</f>
        <v>14:40</v>
      </c>
      <c r="E135" s="245" t="s">
        <v>2746</v>
      </c>
      <c r="F135" s="162">
        <v>7.08603545367287E14</v>
      </c>
      <c r="G135" s="161" t="s">
        <v>2747</v>
      </c>
      <c r="H135" s="390">
        <v>18014.0</v>
      </c>
      <c r="I135" s="41" t="s">
        <v>41</v>
      </c>
      <c r="J135" s="238"/>
      <c r="K135" s="238"/>
      <c r="R135" s="67"/>
    </row>
    <row r="136">
      <c r="A136" s="12" t="s">
        <v>16</v>
      </c>
      <c r="B136" s="227" t="s">
        <v>2653</v>
      </c>
      <c r="C136" s="74" t="str">
        <f t="shared" si="15"/>
        <v>Quinta-Feira</v>
      </c>
      <c r="D136" s="512" t="str">
        <f>IF(C136&lt;&gt;"Quarta-Feira","15:00","10:00")</f>
        <v>15:00</v>
      </c>
      <c r="E136" s="245"/>
      <c r="F136" s="162"/>
      <c r="G136" s="161" t="s">
        <v>2748</v>
      </c>
      <c r="H136" s="390"/>
      <c r="I136" s="41" t="s">
        <v>41</v>
      </c>
      <c r="J136" s="238"/>
      <c r="K136" s="238"/>
      <c r="R136" s="67"/>
    </row>
    <row r="137">
      <c r="A137" s="12" t="s">
        <v>17</v>
      </c>
      <c r="B137" s="227" t="s">
        <v>2656</v>
      </c>
      <c r="C137" s="74" t="str">
        <f t="shared" si="15"/>
        <v>Quinta-Feira</v>
      </c>
      <c r="D137" s="512" t="str">
        <f>IF(C137&lt;&gt;"Quarta-Feira","15:20","10:20")</f>
        <v>15:20</v>
      </c>
      <c r="E137" s="245" t="s">
        <v>2749</v>
      </c>
      <c r="F137" s="162">
        <v>2.01536575660009E14</v>
      </c>
      <c r="G137" s="161" t="s">
        <v>2750</v>
      </c>
      <c r="H137" s="390">
        <v>24392.0</v>
      </c>
      <c r="I137" s="41" t="s">
        <v>41</v>
      </c>
      <c r="J137" s="238"/>
      <c r="K137" s="238"/>
      <c r="R137" s="67"/>
    </row>
    <row r="138">
      <c r="A138" s="12" t="s">
        <v>85</v>
      </c>
      <c r="B138" s="227" t="s">
        <v>2659</v>
      </c>
      <c r="C138" s="74" t="str">
        <f t="shared" si="15"/>
        <v>Quinta-Feira</v>
      </c>
      <c r="D138" s="512" t="str">
        <f>IF(C138&lt;&gt;"Quarta-Feira","15:40","10:40")</f>
        <v>15:40</v>
      </c>
      <c r="E138" s="245" t="s">
        <v>2751</v>
      </c>
      <c r="F138" s="162">
        <v>7.0900884635341E14</v>
      </c>
      <c r="G138" s="161" t="s">
        <v>2752</v>
      </c>
      <c r="H138" s="390">
        <v>27378.0</v>
      </c>
      <c r="I138" s="41" t="s">
        <v>41</v>
      </c>
      <c r="J138" s="238"/>
      <c r="K138" s="238"/>
      <c r="R138" s="67"/>
    </row>
    <row r="139">
      <c r="A139" s="12" t="s">
        <v>87</v>
      </c>
      <c r="B139" s="227" t="s">
        <v>1735</v>
      </c>
      <c r="C139" s="74" t="str">
        <f t="shared" si="15"/>
        <v>Quinta-Feira</v>
      </c>
      <c r="D139" s="512" t="str">
        <f>IF(C139&lt;&gt;"Quarta-Feira","16:00","11:00")</f>
        <v>16:00</v>
      </c>
      <c r="E139" s="245" t="s">
        <v>2753</v>
      </c>
      <c r="F139" s="162">
        <v>8.01440491102696E14</v>
      </c>
      <c r="G139" s="161" t="s">
        <v>2754</v>
      </c>
      <c r="H139" s="390">
        <v>19904.0</v>
      </c>
      <c r="I139" s="41" t="s">
        <v>41</v>
      </c>
      <c r="J139" s="238"/>
      <c r="K139" s="238"/>
      <c r="R139" s="67"/>
    </row>
    <row r="140">
      <c r="A140" s="12" t="s">
        <v>90</v>
      </c>
      <c r="B140" s="227" t="s">
        <v>2659</v>
      </c>
      <c r="C140" s="74" t="str">
        <f t="shared" si="15"/>
        <v>Quinta-Feira</v>
      </c>
      <c r="D140" s="512" t="str">
        <f>IF(C140&lt;&gt;"Quarta-Feira","16:20","11:20")</f>
        <v>16:20</v>
      </c>
      <c r="E140" s="245" t="s">
        <v>2755</v>
      </c>
      <c r="F140" s="162">
        <v>8.01440494167829E14</v>
      </c>
      <c r="G140" s="161" t="s">
        <v>2756</v>
      </c>
      <c r="H140" s="390">
        <v>26242.0</v>
      </c>
      <c r="I140" s="41" t="s">
        <v>2088</v>
      </c>
      <c r="J140" s="238"/>
      <c r="K140" s="238"/>
      <c r="R140" s="67"/>
    </row>
    <row r="141">
      <c r="A141" s="12" t="s">
        <v>93</v>
      </c>
      <c r="B141" s="227" t="s">
        <v>1735</v>
      </c>
      <c r="C141" s="74" t="str">
        <f t="shared" si="15"/>
        <v>Quinta-Feira</v>
      </c>
      <c r="D141" s="512" t="str">
        <f>IF(C141&lt;&gt;"Quarta-Feira","16:40","11:40")</f>
        <v>16:40</v>
      </c>
      <c r="E141" s="245" t="s">
        <v>2757</v>
      </c>
      <c r="F141" s="162">
        <v>7.00600454324366E14</v>
      </c>
      <c r="G141" s="161" t="s">
        <v>2758</v>
      </c>
      <c r="H141" s="390">
        <v>20512.0</v>
      </c>
      <c r="I141" s="41" t="s">
        <v>2088</v>
      </c>
      <c r="J141" s="238"/>
      <c r="K141" s="238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503"/>
      <c r="B144" s="493"/>
      <c r="C144" s="315"/>
      <c r="D144" s="504"/>
      <c r="E144" s="505"/>
      <c r="F144" s="506"/>
      <c r="G144" s="507"/>
      <c r="H144" s="508"/>
      <c r="I144" s="509"/>
      <c r="J144" s="510"/>
      <c r="K144" s="510"/>
      <c r="R144" s="67"/>
    </row>
    <row r="145">
      <c r="A145" s="23" t="s">
        <v>18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TEXT(DATE(VALUE(MID(A110,7,4)),VALUE(MID(A110,4,2)),VALUE(LEFT(A110,2)))+7,"dd/mm/yyyy")&amp;" 13h às 17h"</f>
        <v>31/03/2026 13h às 17h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26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8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2082</v>
      </c>
      <c r="C148" s="74" t="str">
        <f t="shared" ref="C148:C159" si="17">PROPER(TEXT(DATE(MID($A$110,7,4),MID($A$110,4,2),LEFT($A$110,2)),"dddd"))</f>
        <v>Terça-Feira</v>
      </c>
      <c r="D148" s="512" t="str">
        <f>IF(C148&lt;&gt;"Quarta-Feira","13:00","08:00")</f>
        <v>13:00</v>
      </c>
      <c r="E148" s="241"/>
      <c r="F148" s="185">
        <v>7.02600296478542E14</v>
      </c>
      <c r="G148" s="105" t="s">
        <v>2153</v>
      </c>
      <c r="H148" s="83">
        <v>25373.0</v>
      </c>
      <c r="I148" s="41" t="s">
        <v>2088</v>
      </c>
      <c r="J148" s="102"/>
      <c r="K148" s="102"/>
      <c r="N148" s="268" t="s">
        <v>387</v>
      </c>
      <c r="O148" s="100"/>
      <c r="P148" s="100"/>
      <c r="Q148" s="100"/>
      <c r="R148" s="67"/>
    </row>
    <row r="149">
      <c r="A149" s="12" t="s">
        <v>11</v>
      </c>
      <c r="B149" s="227" t="s">
        <v>2084</v>
      </c>
      <c r="C149" s="74" t="str">
        <f t="shared" si="17"/>
        <v>Terça-Feira</v>
      </c>
      <c r="D149" s="512" t="str">
        <f>IF(C149&lt;&gt;"Quarta-Feira","13:20","08:20")</f>
        <v>13:20</v>
      </c>
      <c r="E149" s="241" t="s">
        <v>2759</v>
      </c>
      <c r="F149" s="185">
        <v>8.98001427608131E14</v>
      </c>
      <c r="G149" s="105" t="s">
        <v>2760</v>
      </c>
      <c r="H149" s="83">
        <v>17320.0</v>
      </c>
      <c r="I149" s="41" t="s">
        <v>41</v>
      </c>
      <c r="J149" s="102"/>
      <c r="K149" s="102"/>
      <c r="N149" s="270" t="s">
        <v>2086</v>
      </c>
      <c r="O149" s="2"/>
      <c r="P149" s="2"/>
      <c r="Q149" s="2"/>
      <c r="R149" s="67"/>
    </row>
    <row r="150">
      <c r="A150" s="12" t="s">
        <v>12</v>
      </c>
      <c r="B150" s="227" t="s">
        <v>2087</v>
      </c>
      <c r="C150" s="74" t="str">
        <f t="shared" si="17"/>
        <v>Terça-Feira</v>
      </c>
      <c r="D150" s="512" t="str">
        <f>IF(C150&lt;&gt;"Quarta-Feira","13:40","08:40")</f>
        <v>13:40</v>
      </c>
      <c r="E150" s="241" t="s">
        <v>2761</v>
      </c>
      <c r="F150" s="185">
        <v>7.02401026867522E14</v>
      </c>
      <c r="G150" s="105" t="s">
        <v>2762</v>
      </c>
      <c r="H150" s="83">
        <v>14980.0</v>
      </c>
      <c r="I150" s="41" t="s">
        <v>41</v>
      </c>
      <c r="J150" s="102"/>
      <c r="K150" s="102"/>
      <c r="N150" s="271" t="s">
        <v>183</v>
      </c>
      <c r="O150" s="272" t="s">
        <v>195</v>
      </c>
      <c r="P150" s="272" t="s">
        <v>181</v>
      </c>
      <c r="Q150" s="273" t="s">
        <v>2088</v>
      </c>
      <c r="R150" s="67"/>
    </row>
    <row r="151">
      <c r="A151" s="12" t="s">
        <v>13</v>
      </c>
      <c r="B151" s="227" t="s">
        <v>2089</v>
      </c>
      <c r="C151" s="74" t="str">
        <f t="shared" si="17"/>
        <v>Terça-Feira</v>
      </c>
      <c r="D151" s="512" t="str">
        <f>IF(C151&lt;&gt;"Quarta-Feira","14:00","09:00")</f>
        <v>14:00</v>
      </c>
      <c r="E151" s="241" t="s">
        <v>1098</v>
      </c>
      <c r="F151" s="185">
        <v>7.03005836729378E14</v>
      </c>
      <c r="G151" s="105" t="s">
        <v>1099</v>
      </c>
      <c r="H151" s="83">
        <v>26103.0</v>
      </c>
      <c r="I151" s="41" t="s">
        <v>41</v>
      </c>
      <c r="J151" s="102"/>
      <c r="K151" s="102"/>
      <c r="N151" s="275">
        <f>COUNTIFS($I$220:$I$231,$N$168)</f>
        <v>0</v>
      </c>
      <c r="O151" s="275">
        <f t="shared" ref="O151:Q151" si="18">COUNTIFS($I$148:$I$159,O150)</f>
        <v>0</v>
      </c>
      <c r="P151" s="275">
        <f t="shared" si="18"/>
        <v>0</v>
      </c>
      <c r="Q151" s="275">
        <f t="shared" si="18"/>
        <v>5</v>
      </c>
      <c r="R151" s="67"/>
    </row>
    <row r="152">
      <c r="A152" s="12" t="s">
        <v>14</v>
      </c>
      <c r="B152" s="227" t="s">
        <v>2082</v>
      </c>
      <c r="C152" s="74" t="str">
        <f t="shared" si="17"/>
        <v>Terça-Feira</v>
      </c>
      <c r="D152" s="512" t="str">
        <f>IF(C152&lt;&gt;"Quarta-Feira","14:20","09:20")</f>
        <v>14:20</v>
      </c>
      <c r="E152" s="241" t="s">
        <v>2763</v>
      </c>
      <c r="F152" s="185">
        <v>7.03604073068532E14</v>
      </c>
      <c r="G152" s="105" t="s">
        <v>2764</v>
      </c>
      <c r="H152" s="83">
        <v>18212.0</v>
      </c>
      <c r="I152" s="41" t="s">
        <v>2088</v>
      </c>
      <c r="J152" s="102"/>
      <c r="K152" s="102"/>
      <c r="R152" s="67"/>
    </row>
    <row r="153">
      <c r="A153" s="12" t="s">
        <v>15</v>
      </c>
      <c r="B153" s="227" t="s">
        <v>2089</v>
      </c>
      <c r="C153" s="74" t="str">
        <f t="shared" si="17"/>
        <v>Terça-Feira</v>
      </c>
      <c r="D153" s="512" t="str">
        <f>IF(C153&lt;&gt;"Quarta-Feira","14:40","09:40")</f>
        <v>14:40</v>
      </c>
      <c r="E153" s="241" t="s">
        <v>2765</v>
      </c>
      <c r="F153" s="185">
        <v>8.01440428676974E14</v>
      </c>
      <c r="G153" s="105" t="s">
        <v>2766</v>
      </c>
      <c r="H153" s="83">
        <v>25316.0</v>
      </c>
      <c r="I153" s="41" t="s">
        <v>41</v>
      </c>
      <c r="J153" s="102"/>
      <c r="K153" s="102"/>
      <c r="R153" s="67"/>
    </row>
    <row r="154">
      <c r="A154" s="12" t="s">
        <v>16</v>
      </c>
      <c r="B154" s="227" t="s">
        <v>2093</v>
      </c>
      <c r="C154" s="74" t="str">
        <f t="shared" si="17"/>
        <v>Terça-Feira</v>
      </c>
      <c r="D154" s="512" t="str">
        <f>IF(C154&lt;&gt;"Quarta-Feira","15:00","10:00")</f>
        <v>15:00</v>
      </c>
      <c r="E154" s="241" t="s">
        <v>2767</v>
      </c>
      <c r="F154" s="185">
        <v>7.07602204783494E14</v>
      </c>
      <c r="G154" s="105" t="s">
        <v>2768</v>
      </c>
      <c r="H154" s="83">
        <v>31372.0</v>
      </c>
      <c r="I154" s="41" t="s">
        <v>41</v>
      </c>
      <c r="J154" s="102"/>
      <c r="K154" s="102"/>
      <c r="R154" s="67"/>
    </row>
    <row r="155">
      <c r="A155" s="12" t="s">
        <v>17</v>
      </c>
      <c r="B155" s="227" t="s">
        <v>2094</v>
      </c>
      <c r="C155" s="74" t="str">
        <f t="shared" si="17"/>
        <v>Terça-Feira</v>
      </c>
      <c r="D155" s="512" t="str">
        <f>IF(C155&lt;&gt;"Quarta-Feira","15:20","10:20")</f>
        <v>15:20</v>
      </c>
      <c r="E155" s="241" t="s">
        <v>2769</v>
      </c>
      <c r="F155" s="185">
        <v>7.03007862554778E14</v>
      </c>
      <c r="G155" s="105" t="s">
        <v>2770</v>
      </c>
      <c r="H155" s="83">
        <v>24000.0</v>
      </c>
      <c r="I155" s="41" t="s">
        <v>41</v>
      </c>
      <c r="J155" s="102"/>
      <c r="K155" s="102"/>
      <c r="R155" s="67"/>
    </row>
    <row r="156">
      <c r="A156" s="12" t="s">
        <v>85</v>
      </c>
      <c r="B156" s="227" t="s">
        <v>2095</v>
      </c>
      <c r="C156" s="74" t="str">
        <f t="shared" si="17"/>
        <v>Terça-Feira</v>
      </c>
      <c r="D156" s="512" t="str">
        <f>IF(C156&lt;&gt;"Quarta-Feira","15:40","10:40")</f>
        <v>15:40</v>
      </c>
      <c r="E156" s="241" t="s">
        <v>2771</v>
      </c>
      <c r="F156" s="185">
        <v>7.0610602326446E14</v>
      </c>
      <c r="G156" s="105" t="s">
        <v>2772</v>
      </c>
      <c r="H156" s="83">
        <v>21855.0</v>
      </c>
      <c r="I156" s="41" t="s">
        <v>2088</v>
      </c>
      <c r="J156" s="102"/>
      <c r="K156" s="102"/>
      <c r="R156" s="67"/>
    </row>
    <row r="157">
      <c r="A157" s="12" t="s">
        <v>87</v>
      </c>
      <c r="B157" s="227" t="s">
        <v>2096</v>
      </c>
      <c r="C157" s="74" t="str">
        <f t="shared" si="17"/>
        <v>Terça-Feira</v>
      </c>
      <c r="D157" s="512" t="str">
        <f>IF(C157&lt;&gt;"Quarta-Feira","16:00","11:00")</f>
        <v>16:00</v>
      </c>
      <c r="E157" s="241"/>
      <c r="F157" s="185"/>
      <c r="G157" s="105"/>
      <c r="H157" s="83">
        <v>20612.0</v>
      </c>
      <c r="I157" s="41" t="s">
        <v>2088</v>
      </c>
      <c r="J157" s="102"/>
      <c r="K157" s="102"/>
      <c r="R157" s="67"/>
    </row>
    <row r="158">
      <c r="A158" s="12" t="s">
        <v>90</v>
      </c>
      <c r="B158" s="227" t="s">
        <v>2098</v>
      </c>
      <c r="C158" s="74" t="str">
        <f t="shared" si="17"/>
        <v>Terça-Feira</v>
      </c>
      <c r="D158" s="512" t="str">
        <f>IF(C158&lt;&gt;"Quarta-Feira","16:20","11:20")</f>
        <v>16:20</v>
      </c>
      <c r="E158" s="241" t="s">
        <v>2773</v>
      </c>
      <c r="F158" s="185">
        <v>8.3550301090891E14</v>
      </c>
      <c r="G158" s="105" t="s">
        <v>2774</v>
      </c>
      <c r="H158" s="83">
        <v>21618.0</v>
      </c>
      <c r="I158" s="41" t="s">
        <v>41</v>
      </c>
      <c r="J158" s="102"/>
      <c r="K158" s="102"/>
      <c r="R158" s="67"/>
    </row>
    <row r="159">
      <c r="A159" s="12" t="s">
        <v>93</v>
      </c>
      <c r="B159" s="227" t="s">
        <v>2096</v>
      </c>
      <c r="C159" s="74" t="str">
        <f t="shared" si="17"/>
        <v>Terça-Feira</v>
      </c>
      <c r="D159" s="512" t="str">
        <f>IF(C159&lt;&gt;"Quarta-Feira","16:40","11:40")</f>
        <v>16:40</v>
      </c>
      <c r="E159" s="241"/>
      <c r="F159" s="185"/>
      <c r="G159" s="105"/>
      <c r="H159" s="83">
        <v>12560.0</v>
      </c>
      <c r="I159" s="41" t="s">
        <v>2088</v>
      </c>
      <c r="J159" s="102"/>
      <c r="K159" s="102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503"/>
      <c r="B162" s="493"/>
      <c r="C162" s="315"/>
      <c r="D162" s="504"/>
      <c r="E162" s="505"/>
      <c r="F162" s="506"/>
      <c r="G162" s="507"/>
      <c r="H162" s="508"/>
      <c r="I162" s="509"/>
      <c r="J162" s="510"/>
      <c r="K162" s="510"/>
      <c r="R162" s="67"/>
    </row>
    <row r="163">
      <c r="A163" s="503"/>
      <c r="B163" s="493"/>
      <c r="C163" s="315"/>
      <c r="D163" s="504"/>
      <c r="E163" s="505"/>
      <c r="F163" s="506"/>
      <c r="G163" s="507"/>
      <c r="H163" s="508"/>
      <c r="I163" s="509"/>
      <c r="J163" s="510"/>
      <c r="K163" s="510"/>
      <c r="R163" s="67"/>
    </row>
    <row r="164">
      <c r="A164" s="503"/>
      <c r="B164" s="493"/>
      <c r="C164" s="315"/>
      <c r="D164" s="504"/>
      <c r="E164" s="505"/>
      <c r="F164" s="506"/>
      <c r="G164" s="507"/>
      <c r="H164" s="508"/>
      <c r="I164" s="509"/>
      <c r="J164" s="510"/>
      <c r="K164" s="510"/>
      <c r="N164" s="268" t="s">
        <v>2080</v>
      </c>
      <c r="O164" s="100"/>
      <c r="P164" s="100"/>
      <c r="Q164" s="100"/>
      <c r="R164" s="67"/>
    </row>
    <row r="165">
      <c r="A165" s="503"/>
      <c r="B165" s="493"/>
      <c r="C165" s="315"/>
      <c r="D165" s="504"/>
      <c r="E165" s="505"/>
      <c r="F165" s="506"/>
      <c r="G165" s="507"/>
      <c r="H165" s="508"/>
      <c r="I165" s="509"/>
      <c r="J165" s="510"/>
      <c r="K165" s="510"/>
      <c r="N165" s="271" t="s">
        <v>183</v>
      </c>
      <c r="O165" s="272" t="s">
        <v>195</v>
      </c>
      <c r="P165" s="272" t="s">
        <v>181</v>
      </c>
      <c r="Q165" s="273" t="s">
        <v>173</v>
      </c>
      <c r="R165" s="67"/>
    </row>
    <row r="166">
      <c r="A166" s="503"/>
      <c r="B166" s="493"/>
      <c r="C166" s="315"/>
      <c r="D166" s="504"/>
      <c r="E166" s="505"/>
      <c r="F166" s="506"/>
      <c r="G166" s="507"/>
      <c r="H166" s="508"/>
      <c r="I166" s="509"/>
      <c r="J166" s="510"/>
      <c r="K166" s="510"/>
      <c r="N166" s="458">
        <f t="shared" ref="N166:Q166" si="19">SUM(N4:N162)</f>
        <v>18</v>
      </c>
      <c r="O166" s="458">
        <f t="shared" si="19"/>
        <v>0</v>
      </c>
      <c r="P166" s="458">
        <f t="shared" si="19"/>
        <v>7</v>
      </c>
      <c r="Q166" s="458">
        <f t="shared" si="19"/>
        <v>17</v>
      </c>
      <c r="R166" s="67"/>
    </row>
    <row r="167">
      <c r="A167" s="503"/>
      <c r="B167" s="493"/>
      <c r="C167" s="315"/>
      <c r="D167" s="504"/>
      <c r="E167" s="505"/>
      <c r="F167" s="506"/>
      <c r="G167" s="507"/>
      <c r="H167" s="508"/>
      <c r="I167" s="509"/>
      <c r="J167" s="510"/>
      <c r="K167" s="510"/>
      <c r="R167" s="67"/>
    </row>
    <row r="168">
      <c r="A168" s="503"/>
      <c r="B168" s="493"/>
      <c r="C168" s="315"/>
      <c r="D168" s="504"/>
      <c r="E168" s="505"/>
      <c r="F168" s="506"/>
      <c r="G168" s="507"/>
      <c r="H168" s="508"/>
      <c r="I168" s="509"/>
      <c r="J168" s="510"/>
      <c r="K168" s="510"/>
      <c r="R168" s="67"/>
    </row>
    <row r="169">
      <c r="A169" s="503"/>
      <c r="B169" s="493"/>
      <c r="C169" s="315"/>
      <c r="D169" s="504"/>
      <c r="E169" s="505"/>
      <c r="F169" s="506"/>
      <c r="G169" s="507"/>
      <c r="H169" s="508"/>
      <c r="I169" s="509"/>
      <c r="J169" s="510"/>
      <c r="K169" s="510"/>
      <c r="R169" s="67"/>
    </row>
    <row r="170">
      <c r="A170" s="503"/>
      <c r="B170" s="493"/>
      <c r="C170" s="315"/>
      <c r="D170" s="504"/>
      <c r="E170" s="505"/>
      <c r="F170" s="506"/>
      <c r="G170" s="507"/>
      <c r="H170" s="508"/>
      <c r="I170" s="509"/>
      <c r="J170" s="510"/>
      <c r="K170" s="510"/>
      <c r="R170" s="67"/>
    </row>
    <row r="171">
      <c r="A171" s="503"/>
      <c r="B171" s="493"/>
      <c r="C171" s="315"/>
      <c r="D171" s="504"/>
      <c r="E171" s="505"/>
      <c r="F171" s="506"/>
      <c r="G171" s="507"/>
      <c r="H171" s="508"/>
      <c r="I171" s="509"/>
      <c r="J171" s="510"/>
      <c r="K171" s="510"/>
      <c r="R171" s="67"/>
    </row>
    <row r="172">
      <c r="A172" s="503"/>
      <c r="B172" s="493"/>
      <c r="C172" s="315"/>
      <c r="D172" s="504"/>
      <c r="E172" s="505"/>
      <c r="F172" s="506"/>
      <c r="G172" s="507"/>
      <c r="H172" s="508"/>
      <c r="I172" s="509"/>
      <c r="J172" s="510"/>
      <c r="K172" s="510"/>
      <c r="R172" s="67"/>
    </row>
    <row r="173">
      <c r="A173" s="503"/>
      <c r="B173" s="493"/>
      <c r="C173" s="315"/>
      <c r="D173" s="504"/>
      <c r="E173" s="505"/>
      <c r="F173" s="506"/>
      <c r="G173" s="507"/>
      <c r="H173" s="508"/>
      <c r="I173" s="509"/>
      <c r="J173" s="510"/>
      <c r="K173" s="510"/>
      <c r="R173" s="67"/>
    </row>
    <row r="174">
      <c r="A174" s="503"/>
      <c r="B174" s="493"/>
      <c r="C174" s="315"/>
      <c r="D174" s="504"/>
      <c r="E174" s="505"/>
      <c r="F174" s="506"/>
      <c r="G174" s="507"/>
      <c r="H174" s="508"/>
      <c r="I174" s="509"/>
      <c r="J174" s="510"/>
      <c r="K174" s="510"/>
      <c r="R174" s="67"/>
    </row>
    <row r="175">
      <c r="A175" s="503"/>
      <c r="B175" s="493"/>
      <c r="C175" s="315"/>
      <c r="D175" s="504"/>
      <c r="E175" s="505"/>
      <c r="F175" s="506"/>
      <c r="G175" s="507"/>
      <c r="H175" s="508"/>
      <c r="I175" s="509"/>
      <c r="J175" s="510"/>
      <c r="K175" s="510"/>
      <c r="R175" s="67"/>
    </row>
    <row r="176">
      <c r="A176" s="503"/>
      <c r="B176" s="493"/>
      <c r="C176" s="315"/>
      <c r="D176" s="504"/>
      <c r="E176" s="505"/>
      <c r="F176" s="506"/>
      <c r="G176" s="507"/>
      <c r="H176" s="508"/>
      <c r="I176" s="509"/>
      <c r="J176" s="510"/>
      <c r="K176" s="510"/>
      <c r="R176" s="67"/>
    </row>
    <row r="177">
      <c r="A177" s="503"/>
      <c r="B177" s="493"/>
      <c r="C177" s="315"/>
      <c r="D177" s="504"/>
      <c r="E177" s="505"/>
      <c r="F177" s="506"/>
      <c r="G177" s="507"/>
      <c r="H177" s="508"/>
      <c r="I177" s="509"/>
      <c r="J177" s="510"/>
      <c r="K177" s="510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493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  <row r="1123">
      <c r="A1123" s="503"/>
      <c r="B1123" s="493"/>
      <c r="C1123" s="315"/>
      <c r="D1123" s="504"/>
      <c r="E1123" s="505"/>
      <c r="F1123" s="506"/>
      <c r="G1123" s="507"/>
      <c r="H1123" s="508"/>
      <c r="I1123" s="509"/>
      <c r="J1123" s="510"/>
      <c r="K1123" s="510"/>
      <c r="R1123" s="67"/>
    </row>
    <row r="1124">
      <c r="A1124" s="503"/>
      <c r="B1124" s="493"/>
      <c r="C1124" s="315"/>
      <c r="D1124" s="504"/>
      <c r="E1124" s="505"/>
      <c r="F1124" s="506"/>
      <c r="G1124" s="507"/>
      <c r="H1124" s="508"/>
      <c r="I1124" s="509"/>
      <c r="J1124" s="510"/>
      <c r="K1124" s="510"/>
      <c r="R1124" s="67"/>
    </row>
    <row r="1125">
      <c r="A1125" s="503"/>
      <c r="B1125" s="493"/>
      <c r="C1125" s="315"/>
      <c r="D1125" s="504"/>
      <c r="E1125" s="505"/>
      <c r="F1125" s="506"/>
      <c r="G1125" s="507"/>
      <c r="H1125" s="508"/>
      <c r="I1125" s="509"/>
      <c r="J1125" s="510"/>
      <c r="K1125" s="510"/>
      <c r="R1125" s="67"/>
    </row>
    <row r="1126">
      <c r="A1126" s="503"/>
      <c r="B1126" s="493"/>
      <c r="C1126" s="315"/>
      <c r="D1126" s="504"/>
      <c r="E1126" s="505"/>
      <c r="F1126" s="506"/>
      <c r="G1126" s="507"/>
      <c r="H1126" s="508"/>
      <c r="I1126" s="509"/>
      <c r="J1126" s="510"/>
      <c r="K1126" s="510"/>
      <c r="R1126" s="67"/>
    </row>
    <row r="1127">
      <c r="A1127" s="503"/>
      <c r="B1127" s="493"/>
      <c r="C1127" s="315"/>
      <c r="D1127" s="504"/>
      <c r="E1127" s="505"/>
      <c r="F1127" s="506"/>
      <c r="G1127" s="507"/>
      <c r="H1127" s="508"/>
      <c r="I1127" s="509"/>
      <c r="J1127" s="510"/>
      <c r="K1127" s="510"/>
      <c r="R1127" s="67"/>
    </row>
    <row r="1128">
      <c r="A1128" s="503"/>
      <c r="B1128" s="493"/>
      <c r="C1128" s="315"/>
      <c r="D1128" s="504"/>
      <c r="E1128" s="505"/>
      <c r="F1128" s="506"/>
      <c r="G1128" s="507"/>
      <c r="H1128" s="508"/>
      <c r="I1128" s="509"/>
      <c r="J1128" s="510"/>
      <c r="K1128" s="510"/>
      <c r="R1128" s="67"/>
    </row>
    <row r="1129">
      <c r="A1129" s="503"/>
      <c r="B1129" s="493"/>
      <c r="C1129" s="315"/>
      <c r="D1129" s="504"/>
      <c r="E1129" s="505"/>
      <c r="F1129" s="506"/>
      <c r="G1129" s="507"/>
      <c r="H1129" s="508"/>
      <c r="I1129" s="509"/>
      <c r="J1129" s="510"/>
      <c r="K1129" s="510"/>
      <c r="R1129" s="67"/>
    </row>
    <row r="1130">
      <c r="A1130" s="503"/>
      <c r="B1130" s="493"/>
      <c r="C1130" s="315"/>
      <c r="D1130" s="504"/>
      <c r="E1130" s="505"/>
      <c r="F1130" s="506"/>
      <c r="G1130" s="507"/>
      <c r="H1130" s="508"/>
      <c r="I1130" s="509"/>
      <c r="J1130" s="510"/>
      <c r="K1130" s="510"/>
      <c r="R1130" s="67"/>
    </row>
    <row r="1131">
      <c r="A1131" s="503"/>
      <c r="B1131" s="493"/>
      <c r="C1131" s="315"/>
      <c r="D1131" s="504"/>
      <c r="E1131" s="505"/>
      <c r="F1131" s="506"/>
      <c r="G1131" s="507"/>
      <c r="H1131" s="508"/>
      <c r="I1131" s="509"/>
      <c r="J1131" s="510"/>
      <c r="K1131" s="510"/>
      <c r="R1131" s="67"/>
    </row>
    <row r="1132">
      <c r="A1132" s="503"/>
      <c r="B1132" s="493"/>
      <c r="C1132" s="315"/>
      <c r="D1132" s="504"/>
      <c r="E1132" s="505"/>
      <c r="F1132" s="506"/>
      <c r="G1132" s="507"/>
      <c r="H1132" s="508"/>
      <c r="I1132" s="509"/>
      <c r="J1132" s="510"/>
      <c r="K1132" s="510"/>
      <c r="R1132" s="67"/>
    </row>
    <row r="1133">
      <c r="A1133" s="503"/>
      <c r="B1133" s="493"/>
      <c r="C1133" s="315"/>
      <c r="D1133" s="504"/>
      <c r="E1133" s="505"/>
      <c r="F1133" s="506"/>
      <c r="G1133" s="507"/>
      <c r="H1133" s="508"/>
      <c r="I1133" s="509"/>
      <c r="J1133" s="510"/>
      <c r="K1133" s="510"/>
      <c r="R1133" s="67"/>
    </row>
    <row r="1134">
      <c r="A1134" s="503"/>
      <c r="B1134" s="493"/>
      <c r="C1134" s="315"/>
      <c r="D1134" s="504"/>
      <c r="E1134" s="505"/>
      <c r="F1134" s="506"/>
      <c r="G1134" s="507"/>
      <c r="H1134" s="508"/>
      <c r="I1134" s="509"/>
      <c r="J1134" s="510"/>
      <c r="K1134" s="510"/>
      <c r="R1134" s="67"/>
    </row>
    <row r="1135">
      <c r="A1135" s="503"/>
      <c r="B1135" s="493"/>
      <c r="C1135" s="315"/>
      <c r="D1135" s="504"/>
      <c r="E1135" s="505"/>
      <c r="F1135" s="506"/>
      <c r="G1135" s="507"/>
      <c r="H1135" s="508"/>
      <c r="I1135" s="509"/>
      <c r="J1135" s="510"/>
      <c r="K1135" s="510"/>
      <c r="R1135" s="67"/>
    </row>
    <row r="1136">
      <c r="A1136" s="503"/>
      <c r="B1136" s="493"/>
      <c r="C1136" s="315"/>
      <c r="D1136" s="504"/>
      <c r="E1136" s="505"/>
      <c r="F1136" s="506"/>
      <c r="G1136" s="507"/>
      <c r="H1136" s="508"/>
      <c r="I1136" s="509"/>
      <c r="J1136" s="510"/>
      <c r="K1136" s="510"/>
      <c r="R1136" s="67"/>
    </row>
    <row r="1137">
      <c r="A1137" s="503"/>
      <c r="B1137" s="493"/>
      <c r="C1137" s="315"/>
      <c r="D1137" s="504"/>
      <c r="E1137" s="505"/>
      <c r="F1137" s="506"/>
      <c r="G1137" s="507"/>
      <c r="H1137" s="508"/>
      <c r="I1137" s="509"/>
      <c r="J1137" s="510"/>
      <c r="K1137" s="510"/>
      <c r="R1137" s="67"/>
    </row>
    <row r="1138">
      <c r="A1138" s="503"/>
      <c r="B1138" s="493"/>
      <c r="C1138" s="315"/>
      <c r="D1138" s="504"/>
      <c r="E1138" s="505"/>
      <c r="F1138" s="506"/>
      <c r="G1138" s="507"/>
      <c r="H1138" s="508"/>
      <c r="I1138" s="509"/>
      <c r="J1138" s="510"/>
      <c r="K1138" s="510"/>
      <c r="R1138" s="67"/>
    </row>
    <row r="1139">
      <c r="A1139" s="503"/>
      <c r="B1139" s="493"/>
      <c r="C1139" s="315"/>
      <c r="D1139" s="504"/>
      <c r="E1139" s="505"/>
      <c r="F1139" s="506"/>
      <c r="G1139" s="507"/>
      <c r="H1139" s="508"/>
      <c r="I1139" s="509"/>
      <c r="J1139" s="510"/>
      <c r="K1139" s="510"/>
      <c r="R1139" s="67"/>
    </row>
    <row r="1140">
      <c r="A1140" s="503"/>
      <c r="B1140" s="493"/>
      <c r="C1140" s="315"/>
      <c r="D1140" s="504"/>
      <c r="E1140" s="505"/>
      <c r="F1140" s="506"/>
      <c r="G1140" s="507"/>
      <c r="H1140" s="508"/>
      <c r="I1140" s="509"/>
      <c r="J1140" s="510"/>
      <c r="K1140" s="510"/>
      <c r="R1140" s="67"/>
    </row>
    <row r="1141">
      <c r="A1141" s="503"/>
      <c r="B1141" s="493"/>
      <c r="C1141" s="315"/>
      <c r="D1141" s="504"/>
      <c r="E1141" s="505"/>
      <c r="F1141" s="506"/>
      <c r="G1141" s="507"/>
      <c r="H1141" s="508"/>
      <c r="I1141" s="509"/>
      <c r="J1141" s="510"/>
      <c r="K1141" s="510"/>
      <c r="R1141" s="67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 hidden="1">
      <c r="A2" s="511" t="s">
        <v>2775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 hidden="1">
      <c r="A3" s="25"/>
      <c r="B3" s="489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 hidden="1">
      <c r="A4" s="12" t="s">
        <v>10</v>
      </c>
      <c r="B4" s="227" t="s">
        <v>1981</v>
      </c>
      <c r="C4" s="74" t="str">
        <f t="shared" ref="C4:C15" si="1">PROPER(TEXT(DATE(MID($A$2,7,4),MID($A$2,4,2),LEFT($A$2,2)),"dddd"))</f>
        <v>Segunda-Feira</v>
      </c>
      <c r="D4" s="512" t="str">
        <f>IF(C4&lt;&gt;"Quarta-Feira","13:00","08:00")</f>
        <v>13:00</v>
      </c>
      <c r="E4" s="287"/>
      <c r="F4" s="301"/>
      <c r="G4" s="131"/>
      <c r="H4" s="132"/>
      <c r="I4" s="34"/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100"/>
    </row>
    <row r="5" hidden="1">
      <c r="A5" s="12" t="s">
        <v>11</v>
      </c>
      <c r="B5" s="227" t="s">
        <v>1985</v>
      </c>
      <c r="C5" s="74" t="str">
        <f t="shared" si="1"/>
        <v>Segunda-Feira</v>
      </c>
      <c r="D5" s="512" t="str">
        <f>IF(C5&lt;&gt;"Quarta-Feira","13:20","08:20")</f>
        <v>13:20</v>
      </c>
      <c r="E5" s="287"/>
      <c r="F5" s="513"/>
      <c r="G5" s="514"/>
      <c r="H5" s="515"/>
      <c r="I5" s="34"/>
      <c r="J5" s="74"/>
      <c r="K5" s="74"/>
      <c r="M5" s="267"/>
      <c r="N5" s="270" t="s">
        <v>1824</v>
      </c>
      <c r="O5" s="2"/>
      <c r="P5" s="2"/>
      <c r="Q5" s="2"/>
      <c r="R5" s="2"/>
    </row>
    <row r="6" hidden="1">
      <c r="A6" s="12" t="s">
        <v>12</v>
      </c>
      <c r="B6" s="227" t="s">
        <v>1989</v>
      </c>
      <c r="C6" s="74" t="str">
        <f t="shared" si="1"/>
        <v>Segunda-Feira</v>
      </c>
      <c r="D6" s="512" t="str">
        <f>IF(C6&lt;&gt;"Quarta-Feira","13:40","08:40")</f>
        <v>13:40</v>
      </c>
      <c r="E6" s="287"/>
      <c r="F6" s="301"/>
      <c r="G6" s="131"/>
      <c r="H6" s="132"/>
      <c r="I6" s="34"/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 hidden="1">
      <c r="A7" s="12" t="s">
        <v>13</v>
      </c>
      <c r="B7" s="227" t="s">
        <v>1992</v>
      </c>
      <c r="C7" s="74" t="str">
        <f t="shared" si="1"/>
        <v>Segunda-Feira</v>
      </c>
      <c r="D7" s="512" t="str">
        <f>IF(C7&lt;&gt;"Quarta-Feira","14:00","09:00")</f>
        <v>14:00</v>
      </c>
      <c r="E7" s="287"/>
      <c r="F7" s="74"/>
      <c r="G7" s="131"/>
      <c r="H7" s="516"/>
      <c r="I7" s="34"/>
      <c r="J7" s="74"/>
      <c r="K7" s="74"/>
      <c r="M7" s="67"/>
      <c r="N7" s="275">
        <f t="shared" ref="N7:R7" si="2">COUNTIFS(I$4:I$15,N6)</f>
        <v>0</v>
      </c>
      <c r="O7" s="275">
        <f t="shared" si="2"/>
        <v>0</v>
      </c>
      <c r="P7" s="275">
        <f t="shared" si="2"/>
        <v>0</v>
      </c>
      <c r="Q7" s="275">
        <f t="shared" si="2"/>
        <v>0</v>
      </c>
      <c r="R7" s="517">
        <f t="shared" si="2"/>
        <v>0</v>
      </c>
      <c r="S7" s="389"/>
      <c r="T7" s="389"/>
      <c r="U7" s="389"/>
      <c r="V7" s="389"/>
      <c r="W7" s="389"/>
      <c r="X7" s="518"/>
    </row>
    <row r="8" hidden="1">
      <c r="A8" s="12" t="s">
        <v>14</v>
      </c>
      <c r="B8" s="227" t="s">
        <v>1981</v>
      </c>
      <c r="C8" s="74" t="str">
        <f t="shared" si="1"/>
        <v>Segunda-Feira</v>
      </c>
      <c r="D8" s="512" t="str">
        <f>IF(C8&lt;&gt;"Quarta-Feira","14:20","09:20")</f>
        <v>14:20</v>
      </c>
      <c r="E8" s="287"/>
      <c r="F8" s="301"/>
      <c r="G8" s="304"/>
      <c r="H8" s="519"/>
      <c r="I8" s="34"/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 hidden="1">
      <c r="A9" s="12" t="s">
        <v>15</v>
      </c>
      <c r="B9" s="227" t="s">
        <v>1985</v>
      </c>
      <c r="C9" s="74" t="str">
        <f t="shared" si="1"/>
        <v>Segunda-Feira</v>
      </c>
      <c r="D9" s="512" t="str">
        <f>IF(C9&lt;&gt;"Quarta-Feira","14:40","09:40")</f>
        <v>14:40</v>
      </c>
      <c r="E9" s="287"/>
      <c r="F9" s="520"/>
      <c r="G9" s="514"/>
      <c r="H9" s="515"/>
      <c r="I9" s="34"/>
      <c r="J9" s="74"/>
      <c r="K9" s="74"/>
      <c r="L9" s="216" t="s">
        <v>394</v>
      </c>
      <c r="R9" s="67"/>
    </row>
    <row r="10" hidden="1">
      <c r="A10" s="12" t="s">
        <v>16</v>
      </c>
      <c r="B10" s="227" t="s">
        <v>1989</v>
      </c>
      <c r="C10" s="74" t="str">
        <f t="shared" si="1"/>
        <v>Segunda-Feira</v>
      </c>
      <c r="D10" s="512" t="str">
        <f>IF(C10&lt;&gt;"Quarta-Feira","15:00","10:00")</f>
        <v>15:00</v>
      </c>
      <c r="E10" s="287"/>
      <c r="F10" s="301"/>
      <c r="G10" s="131"/>
      <c r="H10" s="132"/>
      <c r="I10" s="34"/>
      <c r="J10" s="74"/>
      <c r="K10" s="74"/>
      <c r="L10" s="216" t="s">
        <v>394</v>
      </c>
      <c r="R10" s="67"/>
    </row>
    <row r="11" hidden="1">
      <c r="A11" s="12" t="s">
        <v>17</v>
      </c>
      <c r="B11" s="227" t="s">
        <v>1992</v>
      </c>
      <c r="C11" s="74" t="str">
        <f t="shared" si="1"/>
        <v>Segunda-Feira</v>
      </c>
      <c r="D11" s="512" t="str">
        <f>IF(C11&lt;&gt;"Quarta-Feira","15:20","10:20")</f>
        <v>15:20</v>
      </c>
      <c r="E11" s="287"/>
      <c r="F11" s="301"/>
      <c r="G11" s="131"/>
      <c r="H11" s="521"/>
      <c r="I11" s="34"/>
      <c r="J11" s="74"/>
      <c r="K11" s="74"/>
      <c r="L11" s="216" t="s">
        <v>394</v>
      </c>
      <c r="R11" s="67"/>
    </row>
    <row r="12" hidden="1">
      <c r="A12" s="12" t="s">
        <v>85</v>
      </c>
      <c r="B12" s="227" t="s">
        <v>1981</v>
      </c>
      <c r="C12" s="74" t="str">
        <f t="shared" si="1"/>
        <v>Segunda-Feira</v>
      </c>
      <c r="D12" s="512" t="str">
        <f>IF(C12&lt;&gt;"Quarta-Feira","15:40","10:40")</f>
        <v>15:40</v>
      </c>
      <c r="E12" s="287"/>
      <c r="F12" s="74"/>
      <c r="G12" s="167"/>
      <c r="H12" s="83"/>
      <c r="I12" s="34"/>
      <c r="J12" s="74"/>
      <c r="K12" s="74"/>
      <c r="L12" s="216" t="s">
        <v>394</v>
      </c>
      <c r="R12" s="67"/>
    </row>
    <row r="13" hidden="1">
      <c r="A13" s="12" t="s">
        <v>87</v>
      </c>
      <c r="B13" s="227" t="s">
        <v>1985</v>
      </c>
      <c r="C13" s="74" t="str">
        <f t="shared" si="1"/>
        <v>Segunda-Feira</v>
      </c>
      <c r="D13" s="512" t="str">
        <f>IF(C13&lt;&gt;"Quarta-Feira","16:00","11:00")</f>
        <v>16:00</v>
      </c>
      <c r="E13" s="287"/>
      <c r="F13" s="74"/>
      <c r="G13" s="167"/>
      <c r="H13" s="166"/>
      <c r="I13" s="34"/>
      <c r="J13" s="74"/>
      <c r="K13" s="74"/>
      <c r="L13" s="216" t="s">
        <v>394</v>
      </c>
      <c r="R13" s="67"/>
    </row>
    <row r="14" hidden="1">
      <c r="A14" s="12" t="s">
        <v>90</v>
      </c>
      <c r="B14" s="227" t="s">
        <v>1989</v>
      </c>
      <c r="C14" s="74" t="str">
        <f t="shared" si="1"/>
        <v>Segunda-Feira</v>
      </c>
      <c r="D14" s="512" t="str">
        <f>IF(C14&lt;&gt;"Quarta-Feira","16:20","11:20")</f>
        <v>16:20</v>
      </c>
      <c r="E14" s="287"/>
      <c r="F14" s="74"/>
      <c r="G14" s="167"/>
      <c r="H14" s="166"/>
      <c r="I14" s="34"/>
      <c r="J14" s="74"/>
      <c r="K14" s="74"/>
      <c r="L14" s="216" t="s">
        <v>394</v>
      </c>
      <c r="R14" s="67"/>
    </row>
    <row r="15" hidden="1">
      <c r="A15" s="12" t="s">
        <v>93</v>
      </c>
      <c r="B15" s="227" t="s">
        <v>1992</v>
      </c>
      <c r="C15" s="74" t="str">
        <f t="shared" si="1"/>
        <v>Segunda-Feira</v>
      </c>
      <c r="D15" s="512" t="str">
        <f>IF(C15&lt;&gt;"Quarta-Feira","16:40","11:40")</f>
        <v>16:40</v>
      </c>
      <c r="E15" s="287"/>
      <c r="F15" s="74"/>
      <c r="G15" s="167"/>
      <c r="H15" s="166"/>
      <c r="I15" s="34"/>
      <c r="J15" s="74"/>
      <c r="K15" s="74"/>
      <c r="L15" s="216" t="s">
        <v>394</v>
      </c>
      <c r="R15" s="67"/>
    </row>
    <row r="16" hidden="1">
      <c r="B16" s="182"/>
      <c r="E16" s="261"/>
      <c r="G16" s="182"/>
      <c r="J16" s="67"/>
      <c r="K16" s="67"/>
      <c r="R16" s="67"/>
    </row>
    <row r="17" hidden="1">
      <c r="B17" s="182"/>
      <c r="E17" s="261"/>
      <c r="G17" s="182"/>
      <c r="J17" s="67"/>
      <c r="K17" s="67"/>
      <c r="R17" s="67"/>
    </row>
    <row r="18" hidden="1">
      <c r="B18" s="182"/>
      <c r="E18" s="261"/>
      <c r="G18" s="182"/>
      <c r="J18" s="67"/>
      <c r="K18" s="67"/>
      <c r="R18" s="67"/>
    </row>
    <row r="19">
      <c r="A19" s="23"/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 ht="22.5" customHeight="1">
      <c r="A20" s="24" t="str">
        <f>TEXT(DATE(VALUE(MID(A2,7,4)),VALUE(MID(A2,4,2)),VALUE(LEFT(A2,2)))+2,"dd/mm/yyyy")&amp;" 08h às 13h"</f>
        <v>01/04/2026 08h às 13h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 ht="17.25" customHeight="1">
      <c r="A21" s="25"/>
      <c r="B21" s="489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9" t="s">
        <v>65</v>
      </c>
      <c r="C22" s="74" t="str">
        <f t="shared" ref="C22:C33" si="3">PROPER(TEXT(DATE(MID($A$20,7,4),MID($A$20,4,2),LEFT($A$20,2)),"dddd"))</f>
        <v>Quarta-Feira</v>
      </c>
      <c r="D22" s="512" t="str">
        <f>IF(C22&lt;&gt;"Quarta-Feira","13:00","08:00")</f>
        <v>08:00</v>
      </c>
      <c r="E22" s="287" t="s">
        <v>2776</v>
      </c>
      <c r="F22" s="74">
        <v>8.01440407196655E14</v>
      </c>
      <c r="G22" s="167" t="s">
        <v>2777</v>
      </c>
      <c r="H22" s="169">
        <v>18207.0</v>
      </c>
      <c r="I22" s="74" t="s">
        <v>183</v>
      </c>
      <c r="J22" s="74"/>
      <c r="K22" s="74"/>
      <c r="N22" s="268" t="s">
        <v>387</v>
      </c>
      <c r="O22" s="100"/>
      <c r="P22" s="100"/>
      <c r="Q22" s="100"/>
      <c r="R22" s="100"/>
    </row>
    <row r="23">
      <c r="A23" s="12" t="s">
        <v>11</v>
      </c>
      <c r="B23" s="229" t="s">
        <v>202</v>
      </c>
      <c r="C23" s="74" t="str">
        <f t="shared" si="3"/>
        <v>Quarta-Feira</v>
      </c>
      <c r="D23" s="512" t="str">
        <f>IF(C23&lt;&gt;"Quarta-Feira","13:20","08:20")</f>
        <v>08:20</v>
      </c>
      <c r="E23" s="287" t="s">
        <v>2778</v>
      </c>
      <c r="F23" s="74">
        <v>7.0680477320192E14</v>
      </c>
      <c r="G23" s="167" t="s">
        <v>2779</v>
      </c>
      <c r="H23" s="166">
        <v>16857.0</v>
      </c>
      <c r="I23" s="74" t="s">
        <v>183</v>
      </c>
      <c r="J23" s="74"/>
      <c r="K23" s="74"/>
      <c r="N23" s="270" t="s">
        <v>1824</v>
      </c>
      <c r="O23" s="2"/>
      <c r="P23" s="2"/>
      <c r="Q23" s="2"/>
      <c r="R23" s="2"/>
    </row>
    <row r="24">
      <c r="A24" s="12" t="s">
        <v>12</v>
      </c>
      <c r="B24" s="229" t="s">
        <v>1448</v>
      </c>
      <c r="C24" s="74" t="str">
        <f t="shared" si="3"/>
        <v>Quarta-Feira</v>
      </c>
      <c r="D24" s="512" t="str">
        <f>IF(C24&lt;&gt;"Quarta-Feira","13:40","08:40")</f>
        <v>08:40</v>
      </c>
      <c r="E24" s="287" t="s">
        <v>2780</v>
      </c>
      <c r="F24" s="74">
        <v>8.98001432925751E14</v>
      </c>
      <c r="G24" s="167" t="s">
        <v>2781</v>
      </c>
      <c r="H24" s="166">
        <v>16673.0</v>
      </c>
      <c r="I24" s="74" t="s">
        <v>183</v>
      </c>
      <c r="J24" s="74"/>
      <c r="K24" s="74"/>
      <c r="N24" s="271" t="s">
        <v>183</v>
      </c>
      <c r="O24" s="272" t="s">
        <v>2567</v>
      </c>
      <c r="P24" s="272" t="s">
        <v>181</v>
      </c>
      <c r="Q24" s="273" t="s">
        <v>2088</v>
      </c>
      <c r="R24" s="273" t="s">
        <v>1823</v>
      </c>
    </row>
    <row r="25">
      <c r="A25" s="12" t="s">
        <v>13</v>
      </c>
      <c r="B25" s="229" t="s">
        <v>822</v>
      </c>
      <c r="C25" s="74" t="str">
        <f t="shared" si="3"/>
        <v>Quarta-Feira</v>
      </c>
      <c r="D25" s="512" t="str">
        <f>IF(C25&lt;&gt;"Quarta-Feira","14:00","09:00")</f>
        <v>09:00</v>
      </c>
      <c r="E25" s="287" t="s">
        <v>2782</v>
      </c>
      <c r="F25" s="74">
        <v>7.03601000492536E14</v>
      </c>
      <c r="G25" s="167" t="s">
        <v>2783</v>
      </c>
      <c r="H25" s="166">
        <v>31315.0</v>
      </c>
      <c r="I25" s="74" t="s">
        <v>1823</v>
      </c>
      <c r="J25" s="74"/>
      <c r="K25" s="74"/>
      <c r="L25" s="216" t="s">
        <v>442</v>
      </c>
      <c r="N25" s="275">
        <f>COUNTIFS(I$22:I$33,N24)</f>
        <v>10</v>
      </c>
      <c r="O25" s="275">
        <f t="shared" ref="O25:R25" si="4">COUNTIFS($I$22:$I$33,O24)</f>
        <v>0</v>
      </c>
      <c r="P25" s="275">
        <f t="shared" si="4"/>
        <v>0</v>
      </c>
      <c r="Q25" s="275">
        <f t="shared" si="4"/>
        <v>0</v>
      </c>
      <c r="R25" s="67">
        <f t="shared" si="4"/>
        <v>2</v>
      </c>
    </row>
    <row r="26">
      <c r="A26" s="12" t="s">
        <v>14</v>
      </c>
      <c r="B26" s="229" t="s">
        <v>202</v>
      </c>
      <c r="C26" s="74" t="str">
        <f t="shared" si="3"/>
        <v>Quarta-Feira</v>
      </c>
      <c r="D26" s="512" t="str">
        <f>IF(C26&lt;&gt;"Quarta-Feira","14:20","09:20")</f>
        <v>09:20</v>
      </c>
      <c r="E26" s="287" t="s">
        <v>2784</v>
      </c>
      <c r="F26" s="74">
        <v>7.0800985134972E14</v>
      </c>
      <c r="G26" s="167" t="s">
        <v>2785</v>
      </c>
      <c r="H26" s="166">
        <v>42036.0</v>
      </c>
      <c r="I26" s="74" t="s">
        <v>183</v>
      </c>
      <c r="J26" s="74"/>
      <c r="K26" s="74"/>
      <c r="L26" s="216" t="s">
        <v>442</v>
      </c>
      <c r="R26" s="67"/>
    </row>
    <row r="27">
      <c r="A27" s="12" t="s">
        <v>15</v>
      </c>
      <c r="B27" s="229" t="s">
        <v>1448</v>
      </c>
      <c r="C27" s="74" t="str">
        <f t="shared" si="3"/>
        <v>Quarta-Feira</v>
      </c>
      <c r="D27" s="512" t="str">
        <f>IF(C27&lt;&gt;"Quarta-Feira","14:40","09:40")</f>
        <v>09:40</v>
      </c>
      <c r="E27" s="287" t="s">
        <v>2786</v>
      </c>
      <c r="F27" s="74">
        <v>7.05005686747356E14</v>
      </c>
      <c r="G27" s="167" t="s">
        <v>2787</v>
      </c>
      <c r="H27" s="166">
        <v>18641.0</v>
      </c>
      <c r="I27" s="74" t="s">
        <v>183</v>
      </c>
      <c r="J27" s="74"/>
      <c r="K27" s="74"/>
      <c r="L27" s="216" t="s">
        <v>442</v>
      </c>
      <c r="R27" s="67"/>
    </row>
    <row r="28">
      <c r="A28" s="12" t="s">
        <v>16</v>
      </c>
      <c r="B28" s="229" t="s">
        <v>65</v>
      </c>
      <c r="C28" s="74" t="str">
        <f t="shared" si="3"/>
        <v>Quarta-Feira</v>
      </c>
      <c r="D28" s="512" t="str">
        <f>IF(C28&lt;&gt;"Quarta-Feira","15:00","10:00")</f>
        <v>10:00</v>
      </c>
      <c r="E28" s="287" t="s">
        <v>2788</v>
      </c>
      <c r="F28" s="74">
        <v>7.04801590086643E14</v>
      </c>
      <c r="G28" s="167" t="s">
        <v>2789</v>
      </c>
      <c r="H28" s="166">
        <v>16989.0</v>
      </c>
      <c r="I28" s="74" t="s">
        <v>183</v>
      </c>
      <c r="J28" s="74"/>
      <c r="K28" s="74"/>
      <c r="L28" s="216" t="s">
        <v>442</v>
      </c>
      <c r="R28" s="67"/>
    </row>
    <row r="29">
      <c r="A29" s="12" t="s">
        <v>17</v>
      </c>
      <c r="B29" s="229" t="s">
        <v>202</v>
      </c>
      <c r="C29" s="74" t="str">
        <f t="shared" si="3"/>
        <v>Quarta-Feira</v>
      </c>
      <c r="D29" s="512" t="str">
        <f>IF(C29&lt;&gt;"Quarta-Feira","15:20","10:20")</f>
        <v>10:20</v>
      </c>
      <c r="E29" s="287" t="s">
        <v>2790</v>
      </c>
      <c r="F29" s="74">
        <v>7.05006492415758E14</v>
      </c>
      <c r="G29" s="167" t="s">
        <v>1939</v>
      </c>
      <c r="H29" s="166">
        <v>22720.0</v>
      </c>
      <c r="I29" s="74" t="s">
        <v>1823</v>
      </c>
      <c r="J29" s="74"/>
      <c r="K29" s="74"/>
      <c r="L29" s="216" t="s">
        <v>442</v>
      </c>
      <c r="R29" s="67"/>
    </row>
    <row r="30">
      <c r="A30" s="12" t="s">
        <v>85</v>
      </c>
      <c r="B30" s="229" t="s">
        <v>822</v>
      </c>
      <c r="C30" s="74" t="str">
        <f t="shared" si="3"/>
        <v>Quarta-Feira</v>
      </c>
      <c r="D30" s="512" t="str">
        <f>IF(C30&lt;&gt;"Quarta-Feira","15:40","10:40")</f>
        <v>10:40</v>
      </c>
      <c r="E30" s="287" t="s">
        <v>2791</v>
      </c>
      <c r="F30" s="74">
        <v>7.04607105315026E14</v>
      </c>
      <c r="G30" s="167" t="s">
        <v>2792</v>
      </c>
      <c r="H30" s="166">
        <v>14165.0</v>
      </c>
      <c r="I30" s="74" t="s">
        <v>183</v>
      </c>
      <c r="J30" s="74"/>
      <c r="K30" s="74"/>
      <c r="R30" s="67"/>
    </row>
    <row r="31">
      <c r="A31" s="12" t="s">
        <v>87</v>
      </c>
      <c r="B31" s="229" t="s">
        <v>1448</v>
      </c>
      <c r="C31" s="74" t="str">
        <f t="shared" si="3"/>
        <v>Quarta-Feira</v>
      </c>
      <c r="D31" s="512" t="str">
        <f>IF(C31&lt;&gt;"Quarta-Feira","16:00","11:00")</f>
        <v>11:00</v>
      </c>
      <c r="E31" s="287" t="s">
        <v>2793</v>
      </c>
      <c r="F31" s="74">
        <v>7.07602220473798E14</v>
      </c>
      <c r="G31" s="167" t="s">
        <v>2794</v>
      </c>
      <c r="H31" s="166">
        <v>23703.0</v>
      </c>
      <c r="I31" s="74" t="s">
        <v>183</v>
      </c>
      <c r="J31" s="74"/>
      <c r="K31" s="74"/>
      <c r="L31" s="216" t="s">
        <v>455</v>
      </c>
      <c r="R31" s="67"/>
    </row>
    <row r="32">
      <c r="A32" s="12" t="s">
        <v>90</v>
      </c>
      <c r="B32" s="229" t="s">
        <v>822</v>
      </c>
      <c r="C32" s="74" t="str">
        <f t="shared" si="3"/>
        <v>Quarta-Feira</v>
      </c>
      <c r="D32" s="512" t="str">
        <f>IF(C32&lt;&gt;"Quarta-Feira","16:20","11:20")</f>
        <v>11:20</v>
      </c>
      <c r="E32" s="287" t="s">
        <v>2795</v>
      </c>
      <c r="F32" s="74">
        <v>7.0030498407043E14</v>
      </c>
      <c r="G32" s="167" t="s">
        <v>2796</v>
      </c>
      <c r="H32" s="166">
        <v>15033.0</v>
      </c>
      <c r="I32" s="74" t="s">
        <v>183</v>
      </c>
      <c r="J32" s="74"/>
      <c r="K32" s="74"/>
      <c r="R32" s="67"/>
    </row>
    <row r="33">
      <c r="A33" s="12" t="s">
        <v>93</v>
      </c>
      <c r="B33" s="229" t="s">
        <v>65</v>
      </c>
      <c r="C33" s="74" t="str">
        <f t="shared" si="3"/>
        <v>Quarta-Feira</v>
      </c>
      <c r="D33" s="512" t="str">
        <f>IF(C33&lt;&gt;"Quarta-Feira","16:40","11:40")</f>
        <v>11:40</v>
      </c>
      <c r="E33" s="287" t="s">
        <v>2797</v>
      </c>
      <c r="F33" s="74">
        <v>2.01152114590003E14</v>
      </c>
      <c r="G33" s="167" t="s">
        <v>2798</v>
      </c>
      <c r="H33" s="166">
        <v>28765.0</v>
      </c>
      <c r="I33" s="74" t="s">
        <v>183</v>
      </c>
      <c r="J33" s="74"/>
      <c r="K33" s="74"/>
      <c r="R33" s="67"/>
    </row>
    <row r="34">
      <c r="B34" s="182"/>
      <c r="E34" s="261"/>
      <c r="G34" s="182"/>
      <c r="J34" s="67"/>
      <c r="K34" s="67"/>
      <c r="R34" s="67"/>
    </row>
    <row r="35">
      <c r="B35" s="182"/>
      <c r="E35" s="261"/>
      <c r="G35" s="182"/>
      <c r="J35" s="67"/>
      <c r="K35" s="67"/>
      <c r="R35" s="67"/>
    </row>
    <row r="36">
      <c r="B36" s="182"/>
      <c r="E36" s="261"/>
      <c r="G36" s="182"/>
      <c r="J36" s="67"/>
      <c r="K36" s="67"/>
      <c r="R36" s="67"/>
    </row>
    <row r="37">
      <c r="A37" s="23" t="s">
        <v>378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4" t="str">
        <f>TEXT(DATE(VALUE(MID(A20,7,4)),VALUE(MID(A20,4,2)),VALUE(LEFT(A20,2)))+2,"dd/mm/yyyy")&amp;" 13h às 17h"</f>
        <v>03/04/2026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489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533" t="s">
        <v>10</v>
      </c>
      <c r="B40" s="534" t="s">
        <v>758</v>
      </c>
      <c r="C40" s="535" t="str">
        <f t="shared" ref="C40:C51" si="5">PROPER(TEXT(DATE(MID($A$38,7,4),MID($A$38,4,2),LEFT($A$38,2)),"dddd"))</f>
        <v>Sexta-Feira</v>
      </c>
      <c r="D40" s="536" t="str">
        <f>IF(C40&lt;&gt;"Quarta-Feira","13:00","08:00")</f>
        <v>13:00</v>
      </c>
      <c r="E40" s="537"/>
      <c r="F40" s="535"/>
      <c r="G40" s="538" t="s">
        <v>2799</v>
      </c>
      <c r="H40" s="539"/>
      <c r="I40" s="540"/>
      <c r="J40" s="535"/>
      <c r="K40" s="535"/>
      <c r="L40" s="541"/>
      <c r="M40" s="542"/>
      <c r="N40" s="543" t="s">
        <v>387</v>
      </c>
      <c r="O40" s="100"/>
      <c r="P40" s="100"/>
      <c r="Q40" s="100"/>
      <c r="R40" s="100"/>
      <c r="S40" s="542"/>
      <c r="T40" s="542"/>
      <c r="U40" s="542"/>
      <c r="V40" s="542"/>
      <c r="W40" s="542"/>
      <c r="X40" s="542"/>
    </row>
    <row r="41">
      <c r="A41" s="533" t="s">
        <v>15</v>
      </c>
      <c r="B41" s="534" t="s">
        <v>1468</v>
      </c>
      <c r="C41" s="535" t="str">
        <f t="shared" si="5"/>
        <v>Sexta-Feira</v>
      </c>
      <c r="D41" s="536" t="str">
        <f>IF(C41&lt;&gt;"Quarta-Feira","13:20","08:20")</f>
        <v>13:20</v>
      </c>
      <c r="E41" s="537"/>
      <c r="F41" s="535"/>
      <c r="G41" s="538" t="s">
        <v>2799</v>
      </c>
      <c r="H41" s="539"/>
      <c r="I41" s="540"/>
      <c r="J41" s="535"/>
      <c r="K41" s="535"/>
      <c r="L41" s="541"/>
      <c r="M41" s="542"/>
      <c r="N41" s="544"/>
      <c r="O41" s="544"/>
      <c r="P41" s="544"/>
      <c r="Q41" s="544"/>
      <c r="R41" s="545"/>
      <c r="S41" s="542"/>
      <c r="T41" s="542"/>
      <c r="U41" s="542"/>
      <c r="V41" s="542"/>
      <c r="W41" s="542"/>
      <c r="X41" s="542"/>
    </row>
    <row r="42">
      <c r="A42" s="533" t="s">
        <v>12</v>
      </c>
      <c r="B42" s="534" t="s">
        <v>217</v>
      </c>
      <c r="C42" s="535" t="str">
        <f t="shared" si="5"/>
        <v>Sexta-Feira</v>
      </c>
      <c r="D42" s="536" t="str">
        <f>IF(C42&lt;&gt;"Quarta-Feira","13:40","08:40")</f>
        <v>13:40</v>
      </c>
      <c r="E42" s="537"/>
      <c r="F42" s="535"/>
      <c r="G42" s="538" t="s">
        <v>2799</v>
      </c>
      <c r="H42" s="539"/>
      <c r="I42" s="540"/>
      <c r="J42" s="535"/>
      <c r="K42" s="535"/>
      <c r="L42" s="541"/>
      <c r="M42" s="542"/>
      <c r="N42" s="546" t="s">
        <v>41</v>
      </c>
      <c r="O42" s="547" t="s">
        <v>2567</v>
      </c>
      <c r="P42" s="547" t="s">
        <v>181</v>
      </c>
      <c r="Q42" s="548" t="s">
        <v>2088</v>
      </c>
      <c r="R42" s="549" t="s">
        <v>1823</v>
      </c>
      <c r="S42" s="542"/>
      <c r="T42" s="542"/>
      <c r="U42" s="542"/>
      <c r="V42" s="542"/>
      <c r="W42" s="542"/>
      <c r="X42" s="542"/>
    </row>
    <row r="43">
      <c r="A43" s="533" t="s">
        <v>13</v>
      </c>
      <c r="B43" s="534" t="s">
        <v>198</v>
      </c>
      <c r="C43" s="535" t="str">
        <f t="shared" si="5"/>
        <v>Sexta-Feira</v>
      </c>
      <c r="D43" s="536" t="str">
        <f>IF(C43&lt;&gt;"Quarta-Feira","14:00","09:00")</f>
        <v>14:00</v>
      </c>
      <c r="E43" s="537"/>
      <c r="F43" s="535"/>
      <c r="G43" s="538" t="s">
        <v>2799</v>
      </c>
      <c r="H43" s="539"/>
      <c r="I43" s="540"/>
      <c r="J43" s="535"/>
      <c r="K43" s="535"/>
      <c r="L43" s="541"/>
      <c r="M43" s="542"/>
      <c r="N43" s="550">
        <f t="shared" ref="N43:Q43" si="6">COUNTIFS($I$40:$I$51,N42)</f>
        <v>0</v>
      </c>
      <c r="O43" s="550">
        <f t="shared" si="6"/>
        <v>0</v>
      </c>
      <c r="P43" s="550">
        <f t="shared" si="6"/>
        <v>0</v>
      </c>
      <c r="Q43" s="550">
        <f t="shared" si="6"/>
        <v>0</v>
      </c>
      <c r="R43" s="551">
        <f>COUNTIFS(I40:I51,R42)</f>
        <v>0</v>
      </c>
      <c r="S43" s="542"/>
      <c r="T43" s="542"/>
      <c r="U43" s="542"/>
      <c r="V43" s="542"/>
      <c r="W43" s="542"/>
      <c r="X43" s="542"/>
    </row>
    <row r="44">
      <c r="A44" s="533" t="s">
        <v>14</v>
      </c>
      <c r="B44" s="534" t="s">
        <v>758</v>
      </c>
      <c r="C44" s="535" t="str">
        <f t="shared" si="5"/>
        <v>Sexta-Feira</v>
      </c>
      <c r="D44" s="536" t="str">
        <f>IF(C44&lt;&gt;"Quarta-Feira","14:20","09:20")</f>
        <v>14:20</v>
      </c>
      <c r="E44" s="537"/>
      <c r="F44" s="535"/>
      <c r="G44" s="538" t="s">
        <v>2799</v>
      </c>
      <c r="H44" s="539"/>
      <c r="I44" s="540"/>
      <c r="J44" s="535"/>
      <c r="K44" s="535"/>
      <c r="L44" s="541"/>
      <c r="M44" s="542"/>
      <c r="N44" s="544"/>
      <c r="O44" s="544"/>
      <c r="P44" s="544"/>
      <c r="Q44" s="544"/>
      <c r="R44" s="545"/>
      <c r="S44" s="542"/>
      <c r="T44" s="542"/>
      <c r="U44" s="542"/>
      <c r="V44" s="542"/>
      <c r="W44" s="542"/>
      <c r="X44" s="542"/>
    </row>
    <row r="45">
      <c r="A45" s="533" t="s">
        <v>11</v>
      </c>
      <c r="B45" s="534" t="s">
        <v>1468</v>
      </c>
      <c r="C45" s="535" t="str">
        <f t="shared" si="5"/>
        <v>Sexta-Feira</v>
      </c>
      <c r="D45" s="536" t="str">
        <f>IF(C45&lt;&gt;"Quarta-Feira","14:40","09:40")</f>
        <v>14:40</v>
      </c>
      <c r="E45" s="537"/>
      <c r="F45" s="535"/>
      <c r="G45" s="538" t="s">
        <v>2799</v>
      </c>
      <c r="H45" s="552"/>
      <c r="I45" s="540"/>
      <c r="J45" s="535"/>
      <c r="K45" s="535"/>
      <c r="L45" s="541"/>
      <c r="M45" s="542"/>
      <c r="N45" s="553"/>
      <c r="O45" s="2"/>
      <c r="P45" s="2"/>
      <c r="Q45" s="2"/>
      <c r="R45" s="2"/>
      <c r="S45" s="542"/>
      <c r="T45" s="542"/>
      <c r="U45" s="542"/>
      <c r="V45" s="542"/>
      <c r="W45" s="542"/>
      <c r="X45" s="542"/>
    </row>
    <row r="46">
      <c r="A46" s="533" t="s">
        <v>16</v>
      </c>
      <c r="B46" s="534" t="s">
        <v>217</v>
      </c>
      <c r="C46" s="535" t="str">
        <f t="shared" si="5"/>
        <v>Sexta-Feira</v>
      </c>
      <c r="D46" s="536" t="str">
        <f>IF(C46&lt;&gt;"Quarta-Feira","15:00","10:00")</f>
        <v>15:00</v>
      </c>
      <c r="E46" s="537"/>
      <c r="F46" s="535"/>
      <c r="G46" s="538" t="s">
        <v>2799</v>
      </c>
      <c r="H46" s="539"/>
      <c r="I46" s="540"/>
      <c r="J46" s="535"/>
      <c r="K46" s="535"/>
      <c r="L46" s="541"/>
      <c r="M46" s="542"/>
      <c r="N46" s="542"/>
      <c r="O46" s="542"/>
      <c r="P46" s="542"/>
      <c r="Q46" s="542"/>
      <c r="R46" s="554"/>
      <c r="S46" s="542"/>
      <c r="T46" s="542"/>
      <c r="U46" s="542"/>
      <c r="V46" s="542"/>
      <c r="W46" s="542"/>
      <c r="X46" s="542"/>
    </row>
    <row r="47">
      <c r="A47" s="533" t="s">
        <v>17</v>
      </c>
      <c r="B47" s="534" t="s">
        <v>198</v>
      </c>
      <c r="C47" s="535" t="str">
        <f t="shared" si="5"/>
        <v>Sexta-Feira</v>
      </c>
      <c r="D47" s="536" t="str">
        <f>IF(C47&lt;&gt;"Quarta-Feira","15:20","10:20")</f>
        <v>15:20</v>
      </c>
      <c r="E47" s="537"/>
      <c r="F47" s="535"/>
      <c r="G47" s="538" t="s">
        <v>2799</v>
      </c>
      <c r="H47" s="539"/>
      <c r="I47" s="540"/>
      <c r="J47" s="535"/>
      <c r="K47" s="535"/>
      <c r="L47" s="541"/>
      <c r="M47" s="542"/>
      <c r="N47" s="542"/>
      <c r="O47" s="542"/>
      <c r="P47" s="542"/>
      <c r="Q47" s="542"/>
      <c r="R47" s="554"/>
      <c r="S47" s="542"/>
      <c r="T47" s="542"/>
      <c r="U47" s="542"/>
      <c r="V47" s="542"/>
      <c r="W47" s="542"/>
      <c r="X47" s="542"/>
    </row>
    <row r="48">
      <c r="A48" s="533" t="s">
        <v>85</v>
      </c>
      <c r="B48" s="534" t="s">
        <v>1468</v>
      </c>
      <c r="C48" s="535" t="str">
        <f t="shared" si="5"/>
        <v>Sexta-Feira</v>
      </c>
      <c r="D48" s="536" t="str">
        <f>IF(C48&lt;&gt;"Quarta-Feira","15:40","10:40")</f>
        <v>15:40</v>
      </c>
      <c r="E48" s="537"/>
      <c r="F48" s="535"/>
      <c r="G48" s="538" t="s">
        <v>2799</v>
      </c>
      <c r="H48" s="539"/>
      <c r="I48" s="540"/>
      <c r="J48" s="535"/>
      <c r="K48" s="535"/>
      <c r="L48" s="541"/>
      <c r="M48" s="542"/>
      <c r="N48" s="542"/>
      <c r="O48" s="542"/>
      <c r="P48" s="542"/>
      <c r="Q48" s="542"/>
      <c r="R48" s="554"/>
      <c r="S48" s="542"/>
      <c r="T48" s="542"/>
      <c r="U48" s="542"/>
      <c r="V48" s="542"/>
      <c r="W48" s="542"/>
      <c r="X48" s="542"/>
    </row>
    <row r="49">
      <c r="A49" s="533" t="s">
        <v>87</v>
      </c>
      <c r="B49" s="534" t="s">
        <v>758</v>
      </c>
      <c r="C49" s="535" t="str">
        <f t="shared" si="5"/>
        <v>Sexta-Feira</v>
      </c>
      <c r="D49" s="536" t="str">
        <f>IF(C49&lt;&gt;"Quarta-Feira","16:00","11:00")</f>
        <v>16:00</v>
      </c>
      <c r="E49" s="537"/>
      <c r="F49" s="555"/>
      <c r="G49" s="538" t="s">
        <v>2799</v>
      </c>
      <c r="H49" s="539"/>
      <c r="I49" s="540"/>
      <c r="J49" s="535"/>
      <c r="K49" s="535"/>
      <c r="L49" s="541"/>
      <c r="M49" s="542"/>
      <c r="N49" s="542"/>
      <c r="O49" s="542"/>
      <c r="P49" s="542"/>
      <c r="Q49" s="542"/>
      <c r="R49" s="554"/>
      <c r="S49" s="542"/>
      <c r="T49" s="542"/>
      <c r="U49" s="542"/>
      <c r="V49" s="542"/>
      <c r="W49" s="542"/>
      <c r="X49" s="542"/>
    </row>
    <row r="50">
      <c r="A50" s="533" t="s">
        <v>90</v>
      </c>
      <c r="B50" s="534" t="s">
        <v>758</v>
      </c>
      <c r="C50" s="535" t="str">
        <f t="shared" si="5"/>
        <v>Sexta-Feira</v>
      </c>
      <c r="D50" s="536" t="str">
        <f>IF(C50&lt;&gt;"Quarta-Feira","16:20","11:20")</f>
        <v>16:20</v>
      </c>
      <c r="E50" s="537"/>
      <c r="F50" s="535"/>
      <c r="G50" s="538" t="s">
        <v>2799</v>
      </c>
      <c r="H50" s="556"/>
      <c r="I50" s="540"/>
      <c r="J50" s="535"/>
      <c r="K50" s="535"/>
      <c r="L50" s="541"/>
      <c r="M50" s="542"/>
      <c r="N50" s="542"/>
      <c r="O50" s="542"/>
      <c r="P50" s="542"/>
      <c r="Q50" s="542"/>
      <c r="R50" s="554"/>
      <c r="S50" s="542"/>
      <c r="T50" s="542"/>
      <c r="U50" s="542"/>
      <c r="V50" s="542"/>
      <c r="W50" s="542"/>
      <c r="X50" s="542"/>
    </row>
    <row r="51">
      <c r="A51" s="533" t="s">
        <v>93</v>
      </c>
      <c r="B51" s="534" t="s">
        <v>758</v>
      </c>
      <c r="C51" s="535" t="str">
        <f t="shared" si="5"/>
        <v>Sexta-Feira</v>
      </c>
      <c r="D51" s="536" t="str">
        <f>IF(C51&lt;&gt;"Quarta-Feira","16:40","11:40")</f>
        <v>16:40</v>
      </c>
      <c r="E51" s="537"/>
      <c r="F51" s="535"/>
      <c r="G51" s="538" t="s">
        <v>2799</v>
      </c>
      <c r="H51" s="539"/>
      <c r="I51" s="540"/>
      <c r="J51" s="535"/>
      <c r="K51" s="535"/>
      <c r="L51" s="541"/>
      <c r="M51" s="542"/>
      <c r="N51" s="542"/>
      <c r="O51" s="542"/>
      <c r="P51" s="542"/>
      <c r="Q51" s="542"/>
      <c r="R51" s="554"/>
      <c r="S51" s="542"/>
      <c r="T51" s="542"/>
      <c r="U51" s="542"/>
      <c r="V51" s="542"/>
      <c r="W51" s="542"/>
      <c r="X51" s="542"/>
    </row>
    <row r="52">
      <c r="B52" s="182"/>
      <c r="E52" s="523"/>
      <c r="G52" s="182"/>
      <c r="J52" s="67"/>
      <c r="K52" s="67"/>
      <c r="R52" s="67"/>
    </row>
    <row r="53">
      <c r="B53" s="182"/>
      <c r="E53" s="261"/>
      <c r="G53" s="182"/>
      <c r="J53" s="67"/>
      <c r="K53" s="67"/>
      <c r="R53" s="67"/>
    </row>
    <row r="54">
      <c r="B54" s="182"/>
      <c r="E54" s="261"/>
      <c r="G54" s="182"/>
      <c r="J54" s="67"/>
      <c r="K54" s="67"/>
      <c r="R54" s="67"/>
    </row>
    <row r="55">
      <c r="A55" s="23" t="s">
        <v>378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TEXT(DATE(VALUE(MID(A2,7,4)),VALUE(MID(A2,4,2)),VALUE(LEFT(A2,2)))+7,"dd/mm/yyyy")&amp;" 13h às 17h"</f>
        <v>06/04/2026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489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8.75" customHeight="1">
      <c r="A58" s="12" t="s">
        <v>10</v>
      </c>
      <c r="B58" s="229" t="s">
        <v>1358</v>
      </c>
      <c r="C58" s="74" t="str">
        <f>PROPER(TEXT(DATE(MID($A$56,7,4),MID($A$56,4,2),LEFT($A$56,2)),"dddd"))</f>
        <v>Segunda-Feira</v>
      </c>
      <c r="D58" s="512" t="str">
        <f>IF(C58&lt;&gt;"Quarta-Feira","13:00","08:00")</f>
        <v>13:00</v>
      </c>
      <c r="E58" s="287" t="s">
        <v>2800</v>
      </c>
      <c r="F58" s="74">
        <v>7.00502108752552E14</v>
      </c>
      <c r="G58" s="167" t="s">
        <v>2801</v>
      </c>
      <c r="H58" s="524">
        <v>19842.0</v>
      </c>
      <c r="I58" s="34" t="s">
        <v>183</v>
      </c>
      <c r="J58" s="74"/>
      <c r="K58" s="74"/>
      <c r="N58" s="268" t="s">
        <v>387</v>
      </c>
      <c r="O58" s="100"/>
      <c r="P58" s="100"/>
      <c r="Q58" s="100"/>
      <c r="R58" s="100"/>
    </row>
    <row r="59">
      <c r="A59" s="12" t="s">
        <v>11</v>
      </c>
      <c r="B59" s="229" t="s">
        <v>1359</v>
      </c>
      <c r="C59" s="74" t="s">
        <v>1295</v>
      </c>
      <c r="D59" s="512" t="str">
        <f>IF(C59&lt;&gt;"Quarta-Feira","13:20","08:20")</f>
        <v>13:20</v>
      </c>
      <c r="E59" s="287" t="s">
        <v>2802</v>
      </c>
      <c r="F59" s="74">
        <v>8.98000432963032E14</v>
      </c>
      <c r="G59" s="167" t="s">
        <v>2803</v>
      </c>
      <c r="H59" s="211">
        <v>24739.0</v>
      </c>
      <c r="I59" s="34" t="s">
        <v>183</v>
      </c>
      <c r="J59" s="74"/>
      <c r="K59" s="74"/>
      <c r="N59" s="270" t="s">
        <v>1824</v>
      </c>
      <c r="O59" s="2"/>
      <c r="P59" s="2"/>
      <c r="Q59" s="2"/>
      <c r="R59" s="2"/>
    </row>
    <row r="60">
      <c r="A60" s="12" t="s">
        <v>12</v>
      </c>
      <c r="B60" s="229" t="s">
        <v>1361</v>
      </c>
      <c r="C60" s="74" t="s">
        <v>1295</v>
      </c>
      <c r="D60" s="512" t="str">
        <f>IF(C60&lt;&gt;"Quarta-Feira","13:40","08:40")</f>
        <v>13:40</v>
      </c>
      <c r="E60" s="287" t="s">
        <v>2804</v>
      </c>
      <c r="F60" s="74">
        <v>7.02305105845216E14</v>
      </c>
      <c r="G60" s="557" t="s">
        <v>2805</v>
      </c>
      <c r="H60" s="211">
        <v>26334.0</v>
      </c>
      <c r="I60" s="34" t="s">
        <v>183</v>
      </c>
      <c r="J60" s="74"/>
      <c r="K60" s="74"/>
      <c r="N60" s="271" t="s">
        <v>183</v>
      </c>
      <c r="O60" s="272" t="s">
        <v>195</v>
      </c>
      <c r="P60" s="272" t="s">
        <v>181</v>
      </c>
      <c r="Q60" s="273" t="s">
        <v>173</v>
      </c>
      <c r="R60" s="286" t="s">
        <v>1823</v>
      </c>
    </row>
    <row r="61">
      <c r="A61" s="12" t="s">
        <v>13</v>
      </c>
      <c r="B61" s="229" t="s">
        <v>1363</v>
      </c>
      <c r="C61" s="74" t="s">
        <v>1295</v>
      </c>
      <c r="D61" s="512" t="str">
        <f>IF(C61&lt;&gt;"Quarta-Feira","14:00","09:00")</f>
        <v>14:00</v>
      </c>
      <c r="E61" s="287" t="s">
        <v>2806</v>
      </c>
      <c r="F61" s="74">
        <v>7.02800193684466E14</v>
      </c>
      <c r="G61" s="167" t="s">
        <v>2807</v>
      </c>
      <c r="H61" s="522">
        <v>30008.0</v>
      </c>
      <c r="I61" s="34" t="s">
        <v>183</v>
      </c>
      <c r="J61" s="74"/>
      <c r="K61" s="74"/>
      <c r="N61" s="275">
        <f t="shared" ref="N61:R61" si="7">COUNTIFS($I$58:$I$69,N60)</f>
        <v>12</v>
      </c>
      <c r="O61" s="275">
        <f t="shared" si="7"/>
        <v>0</v>
      </c>
      <c r="P61" s="275">
        <f t="shared" si="7"/>
        <v>0</v>
      </c>
      <c r="Q61" s="275">
        <f t="shared" si="7"/>
        <v>0</v>
      </c>
      <c r="R61" s="275">
        <f t="shared" si="7"/>
        <v>0</v>
      </c>
    </row>
    <row r="62">
      <c r="A62" s="12" t="s">
        <v>14</v>
      </c>
      <c r="B62" s="229" t="s">
        <v>1358</v>
      </c>
      <c r="C62" s="74" t="s">
        <v>1295</v>
      </c>
      <c r="D62" s="512" t="str">
        <f>IF(C62&lt;&gt;"Quarta-Feira","14:20","09:20")</f>
        <v>14:20</v>
      </c>
      <c r="E62" s="287" t="s">
        <v>2808</v>
      </c>
      <c r="F62" s="74">
        <v>7.00008889457109E14</v>
      </c>
      <c r="G62" s="167" t="s">
        <v>2809</v>
      </c>
      <c r="H62" s="211">
        <v>21777.0</v>
      </c>
      <c r="I62" s="34" t="s">
        <v>183</v>
      </c>
      <c r="J62" s="74"/>
      <c r="K62" s="74"/>
      <c r="R62" s="67"/>
    </row>
    <row r="63">
      <c r="A63" s="12" t="s">
        <v>15</v>
      </c>
      <c r="B63" s="229" t="s">
        <v>1363</v>
      </c>
      <c r="C63" s="74" t="s">
        <v>1295</v>
      </c>
      <c r="D63" s="512" t="str">
        <f>IF(C63&lt;&gt;"Quarta-Feira","14:40","09:40")</f>
        <v>14:40</v>
      </c>
      <c r="E63" s="287" t="s">
        <v>2810</v>
      </c>
      <c r="F63" s="74">
        <v>8.98001413699172E14</v>
      </c>
      <c r="G63" s="167" t="s">
        <v>1270</v>
      </c>
      <c r="H63" s="211">
        <v>26258.0</v>
      </c>
      <c r="I63" s="34" t="s">
        <v>183</v>
      </c>
      <c r="J63" s="74"/>
      <c r="K63" s="74"/>
      <c r="R63" s="67"/>
    </row>
    <row r="64">
      <c r="A64" s="12" t="s">
        <v>16</v>
      </c>
      <c r="B64" s="229" t="s">
        <v>1359</v>
      </c>
      <c r="C64" s="74" t="s">
        <v>1295</v>
      </c>
      <c r="D64" s="512" t="str">
        <f>IF(C64&lt;&gt;"Quarta-Feira","15:00","10:00")</f>
        <v>15:00</v>
      </c>
      <c r="E64" s="287" t="s">
        <v>2811</v>
      </c>
      <c r="F64" s="74">
        <v>7.02409591169725E14</v>
      </c>
      <c r="G64" s="557" t="s">
        <v>2812</v>
      </c>
      <c r="H64" s="211">
        <v>17697.0</v>
      </c>
      <c r="I64" s="34" t="s">
        <v>183</v>
      </c>
      <c r="J64" s="74"/>
      <c r="K64" s="74"/>
      <c r="R64" s="67"/>
    </row>
    <row r="65">
      <c r="A65" s="12" t="s">
        <v>17</v>
      </c>
      <c r="B65" s="229" t="s">
        <v>1361</v>
      </c>
      <c r="C65" s="74" t="s">
        <v>1295</v>
      </c>
      <c r="D65" s="512" t="str">
        <f>IF(C65&lt;&gt;"Quarta-Feira","15:20","10:20")</f>
        <v>15:20</v>
      </c>
      <c r="E65" s="287" t="s">
        <v>2813</v>
      </c>
      <c r="F65" s="74">
        <v>7.06907187586731E14</v>
      </c>
      <c r="G65" s="167" t="s">
        <v>2814</v>
      </c>
      <c r="H65" s="211">
        <v>29431.0</v>
      </c>
      <c r="I65" s="34" t="s">
        <v>183</v>
      </c>
      <c r="J65" s="74"/>
      <c r="K65" s="74"/>
      <c r="L65" s="67"/>
      <c r="M65" s="67"/>
      <c r="N65" s="67"/>
      <c r="O65" s="286"/>
      <c r="P65" s="67"/>
      <c r="Q65" s="67"/>
      <c r="R65" s="67"/>
      <c r="S65" s="67"/>
      <c r="T65" s="67"/>
      <c r="U65" s="67"/>
      <c r="V65" s="67"/>
      <c r="W65" s="67"/>
      <c r="X65" s="67"/>
    </row>
    <row r="66">
      <c r="A66" s="12" t="s">
        <v>85</v>
      </c>
      <c r="B66" s="229" t="s">
        <v>1358</v>
      </c>
      <c r="C66" s="74" t="s">
        <v>1295</v>
      </c>
      <c r="D66" s="512" t="str">
        <f>IF(C66&lt;&gt;"Quarta-Feira","15:40","10:40")</f>
        <v>15:40</v>
      </c>
      <c r="E66" s="287" t="s">
        <v>2815</v>
      </c>
      <c r="F66" s="74">
        <v>7.0450665285212E14</v>
      </c>
      <c r="G66" s="167" t="s">
        <v>2816</v>
      </c>
      <c r="H66" s="211">
        <v>26376.0</v>
      </c>
      <c r="I66" s="34" t="s">
        <v>183</v>
      </c>
      <c r="J66" s="74"/>
      <c r="K66" s="74"/>
      <c r="R66" s="67"/>
    </row>
    <row r="67">
      <c r="A67" s="12" t="s">
        <v>87</v>
      </c>
      <c r="B67" s="229" t="s">
        <v>1359</v>
      </c>
      <c r="C67" s="74" t="s">
        <v>1295</v>
      </c>
      <c r="D67" s="512" t="str">
        <f>IF(C67&lt;&gt;"Quarta-Feira","16:00","11:00")</f>
        <v>16:00</v>
      </c>
      <c r="E67" s="287" t="s">
        <v>2817</v>
      </c>
      <c r="F67" s="74">
        <v>7.08202123804248E14</v>
      </c>
      <c r="G67" s="167" t="s">
        <v>2818</v>
      </c>
      <c r="H67" s="211">
        <v>18913.0</v>
      </c>
      <c r="I67" s="34" t="s">
        <v>183</v>
      </c>
      <c r="J67" s="74"/>
      <c r="K67" s="74"/>
      <c r="R67" s="67"/>
    </row>
    <row r="68">
      <c r="A68" s="12" t="s">
        <v>90</v>
      </c>
      <c r="B68" s="229" t="s">
        <v>1361</v>
      </c>
      <c r="C68" s="74" t="s">
        <v>1295</v>
      </c>
      <c r="D68" s="512" t="str">
        <f>IF(C68&lt;&gt;"Quarta-Feira","16:20","11:20")</f>
        <v>16:20</v>
      </c>
      <c r="E68" s="287" t="s">
        <v>2819</v>
      </c>
      <c r="F68" s="74">
        <v>7.00000507395101E14</v>
      </c>
      <c r="G68" s="557" t="s">
        <v>2820</v>
      </c>
      <c r="H68" s="211">
        <v>18310.0</v>
      </c>
      <c r="I68" s="34" t="s">
        <v>183</v>
      </c>
      <c r="J68" s="74"/>
      <c r="K68" s="74"/>
      <c r="R68" s="67"/>
    </row>
    <row r="69">
      <c r="A69" s="12" t="s">
        <v>93</v>
      </c>
      <c r="B69" s="229" t="s">
        <v>1363</v>
      </c>
      <c r="C69" s="74" t="s">
        <v>1295</v>
      </c>
      <c r="D69" s="512" t="str">
        <f>IF(C69&lt;&gt;"Quarta-Feira","16:40","11:40")</f>
        <v>16:40</v>
      </c>
      <c r="E69" s="287" t="s">
        <v>2821</v>
      </c>
      <c r="F69" s="74">
        <v>7.04004304510964E14</v>
      </c>
      <c r="G69" s="167" t="s">
        <v>2822</v>
      </c>
      <c r="H69" s="211">
        <v>26805.0</v>
      </c>
      <c r="I69" s="34" t="s">
        <v>183</v>
      </c>
      <c r="J69" s="74"/>
      <c r="K69" s="74"/>
      <c r="R69" s="67"/>
    </row>
    <row r="70">
      <c r="B70" s="182"/>
      <c r="E70" s="261"/>
      <c r="G70" s="182"/>
      <c r="J70" s="67"/>
      <c r="K70" s="67"/>
      <c r="R70" s="67"/>
    </row>
    <row r="71">
      <c r="B71" s="182"/>
      <c r="E71" s="261"/>
      <c r="G71" s="182"/>
      <c r="J71" s="67"/>
      <c r="K71" s="67"/>
      <c r="R71" s="67"/>
    </row>
    <row r="72" ht="15.0" customHeight="1">
      <c r="B72" s="182"/>
      <c r="E72" s="261"/>
      <c r="G72" s="182"/>
      <c r="J72" s="67"/>
      <c r="K72" s="67"/>
      <c r="R72" s="67"/>
    </row>
    <row r="73">
      <c r="A73" s="23" t="s">
        <v>378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TEXT(DATE(VALUE(MID(A56,7,4)),VALUE(MID(A56,4,2)),VALUE(LEFT(A56,2)))+2,"dd/mm/yyyy")&amp;" 08h às 13h"</f>
        <v>08/04/2026 08h às 13h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25"/>
      <c r="B75" s="489" t="s">
        <v>3</v>
      </c>
      <c r="C75" s="27" t="s">
        <v>2</v>
      </c>
      <c r="D75" s="28" t="s">
        <v>5</v>
      </c>
      <c r="E75" s="29" t="s">
        <v>19</v>
      </c>
      <c r="F75" s="28" t="s">
        <v>6</v>
      </c>
      <c r="G75" s="264" t="s">
        <v>7</v>
      </c>
      <c r="H75" s="30" t="s">
        <v>8</v>
      </c>
      <c r="I75" s="31" t="s">
        <v>20</v>
      </c>
      <c r="J75" s="32" t="s">
        <v>21</v>
      </c>
      <c r="K75" s="32" t="s">
        <v>22</v>
      </c>
      <c r="R75" s="67"/>
    </row>
    <row r="76">
      <c r="A76" s="12" t="s">
        <v>10</v>
      </c>
      <c r="B76" s="229" t="s">
        <v>65</v>
      </c>
      <c r="C76" s="74" t="str">
        <f t="shared" ref="C76:C87" si="8">PROPER(TEXT(DATE(MID($A$74,7,4),MID($A$74,4,2),LEFT($A$74,2)),"dddd"))</f>
        <v>Quarta-Feira</v>
      </c>
      <c r="D76" s="512" t="str">
        <f>IF(C76&lt;&gt;"Quarta-Feira","13:00","08:00")</f>
        <v>08:00</v>
      </c>
      <c r="E76" s="287" t="s">
        <v>2823</v>
      </c>
      <c r="F76" s="74">
        <v>8.98001409104313E14</v>
      </c>
      <c r="G76" s="167" t="s">
        <v>2824</v>
      </c>
      <c r="H76" s="211">
        <v>26041.0</v>
      </c>
      <c r="I76" s="34" t="s">
        <v>183</v>
      </c>
      <c r="J76" s="74"/>
      <c r="K76" s="74"/>
      <c r="L76" s="216" t="s">
        <v>521</v>
      </c>
      <c r="N76" s="268" t="s">
        <v>387</v>
      </c>
      <c r="O76" s="100"/>
      <c r="P76" s="100"/>
      <c r="Q76" s="100"/>
      <c r="R76" s="100"/>
    </row>
    <row r="77">
      <c r="A77" s="12" t="s">
        <v>11</v>
      </c>
      <c r="B77" s="229" t="s">
        <v>202</v>
      </c>
      <c r="C77" s="74" t="str">
        <f t="shared" si="8"/>
        <v>Quarta-Feira</v>
      </c>
      <c r="D77" s="512" t="str">
        <f>IF(C77&lt;&gt;"Quarta-Feira","13:20","08:20")</f>
        <v>08:20</v>
      </c>
      <c r="E77" s="287" t="s">
        <v>2825</v>
      </c>
      <c r="F77" s="74">
        <v>2.01536171490004E14</v>
      </c>
      <c r="G77" s="167" t="s">
        <v>2826</v>
      </c>
      <c r="H77" s="77">
        <v>17897.0</v>
      </c>
      <c r="I77" s="34" t="s">
        <v>183</v>
      </c>
      <c r="J77" s="74"/>
      <c r="K77" s="74"/>
      <c r="N77" s="270" t="s">
        <v>1824</v>
      </c>
      <c r="O77" s="2"/>
      <c r="P77" s="2"/>
      <c r="Q77" s="2"/>
      <c r="R77" s="2"/>
    </row>
    <row r="78">
      <c r="A78" s="12" t="s">
        <v>12</v>
      </c>
      <c r="B78" s="229" t="s">
        <v>1448</v>
      </c>
      <c r="C78" s="74" t="str">
        <f t="shared" si="8"/>
        <v>Quarta-Feira</v>
      </c>
      <c r="D78" s="512" t="str">
        <f>IF(C78&lt;&gt;"Quarta-Feira","13:40","08:40")</f>
        <v>08:40</v>
      </c>
      <c r="E78" s="287" t="s">
        <v>2827</v>
      </c>
      <c r="F78" s="74">
        <v>7.05209422794572E14</v>
      </c>
      <c r="G78" s="167" t="s">
        <v>2828</v>
      </c>
      <c r="H78" s="83"/>
      <c r="I78" s="34" t="s">
        <v>183</v>
      </c>
      <c r="J78" s="74"/>
      <c r="K78" s="74"/>
      <c r="L78" s="216" t="s">
        <v>521</v>
      </c>
      <c r="N78" s="271" t="s">
        <v>183</v>
      </c>
      <c r="O78" s="272" t="s">
        <v>195</v>
      </c>
      <c r="P78" s="272" t="s">
        <v>181</v>
      </c>
      <c r="Q78" s="273" t="s">
        <v>173</v>
      </c>
      <c r="R78" s="286" t="s">
        <v>1823</v>
      </c>
    </row>
    <row r="79">
      <c r="A79" s="12" t="s">
        <v>13</v>
      </c>
      <c r="B79" s="229" t="s">
        <v>822</v>
      </c>
      <c r="C79" s="74" t="str">
        <f t="shared" si="8"/>
        <v>Quarta-Feira</v>
      </c>
      <c r="D79" s="512" t="str">
        <f>IF(C79&lt;&gt;"Quarta-Feira","14:00","09:00")</f>
        <v>09:00</v>
      </c>
      <c r="E79" s="287" t="s">
        <v>2829</v>
      </c>
      <c r="F79" s="74">
        <v>7.0620903512936E14</v>
      </c>
      <c r="G79" s="496" t="s">
        <v>2830</v>
      </c>
      <c r="H79" s="83">
        <v>18297.0</v>
      </c>
      <c r="I79" s="34" t="s">
        <v>183</v>
      </c>
      <c r="J79" s="74"/>
      <c r="K79" s="74"/>
      <c r="L79" s="216" t="s">
        <v>521</v>
      </c>
      <c r="N79" s="275">
        <f t="shared" ref="N79:R79" si="9">COUNTIFS($I$76:$I$87,N78)</f>
        <v>11</v>
      </c>
      <c r="O79" s="275">
        <f t="shared" si="9"/>
        <v>0</v>
      </c>
      <c r="P79" s="275">
        <f t="shared" si="9"/>
        <v>0</v>
      </c>
      <c r="Q79" s="275">
        <f t="shared" si="9"/>
        <v>0</v>
      </c>
      <c r="R79" s="275">
        <f t="shared" si="9"/>
        <v>1</v>
      </c>
    </row>
    <row r="80" ht="18.0" customHeight="1">
      <c r="A80" s="12" t="s">
        <v>14</v>
      </c>
      <c r="B80" s="229" t="s">
        <v>202</v>
      </c>
      <c r="C80" s="74" t="str">
        <f t="shared" si="8"/>
        <v>Quarta-Feira</v>
      </c>
      <c r="D80" s="512" t="str">
        <f>IF(C80&lt;&gt;"Quarta-Feira","14:20","09:20")</f>
        <v>09:20</v>
      </c>
      <c r="E80" s="287" t="s">
        <v>2831</v>
      </c>
      <c r="F80" s="74">
        <v>2.01157051760009E14</v>
      </c>
      <c r="G80" s="167" t="s">
        <v>2832</v>
      </c>
      <c r="H80" s="83">
        <v>19972.0</v>
      </c>
      <c r="I80" s="34" t="s">
        <v>1823</v>
      </c>
      <c r="J80" s="74"/>
      <c r="K80" s="74"/>
      <c r="L80" s="216" t="s">
        <v>521</v>
      </c>
      <c r="R80" s="67"/>
    </row>
    <row r="81">
      <c r="A81" s="12" t="s">
        <v>15</v>
      </c>
      <c r="B81" s="229" t="s">
        <v>1448</v>
      </c>
      <c r="C81" s="74" t="str">
        <f t="shared" si="8"/>
        <v>Quarta-Feira</v>
      </c>
      <c r="D81" s="512" t="str">
        <f>IF(C81&lt;&gt;"Quarta-Feira","14:40","09:40")</f>
        <v>09:40</v>
      </c>
      <c r="E81" s="287" t="s">
        <v>2833</v>
      </c>
      <c r="F81" s="74">
        <v>7.09009855265414E14</v>
      </c>
      <c r="G81" s="167" t="s">
        <v>2834</v>
      </c>
      <c r="H81" s="83">
        <v>13979.0</v>
      </c>
      <c r="I81" s="34" t="s">
        <v>183</v>
      </c>
      <c r="J81" s="74"/>
      <c r="K81" s="74"/>
      <c r="L81" s="216" t="s">
        <v>521</v>
      </c>
      <c r="R81" s="67"/>
    </row>
    <row r="82">
      <c r="A82" s="12" t="s">
        <v>16</v>
      </c>
      <c r="B82" s="229" t="s">
        <v>65</v>
      </c>
      <c r="C82" s="74" t="str">
        <f t="shared" si="8"/>
        <v>Quarta-Feira</v>
      </c>
      <c r="D82" s="512" t="str">
        <f>IF(C82&lt;&gt;"Quarta-Feira","15:00","10:00")</f>
        <v>10:00</v>
      </c>
      <c r="E82" s="287" t="s">
        <v>2835</v>
      </c>
      <c r="F82" s="74">
        <v>7.02808674195265E14</v>
      </c>
      <c r="G82" s="167" t="s">
        <v>2836</v>
      </c>
      <c r="H82" s="83">
        <v>32881.0</v>
      </c>
      <c r="I82" s="34" t="s">
        <v>183</v>
      </c>
      <c r="J82" s="74"/>
      <c r="K82" s="74"/>
      <c r="L82" s="216" t="s">
        <v>521</v>
      </c>
      <c r="R82" s="67"/>
    </row>
    <row r="83">
      <c r="A83" s="12" t="s">
        <v>179</v>
      </c>
      <c r="B83" s="229" t="s">
        <v>202</v>
      </c>
      <c r="C83" s="74" t="str">
        <f t="shared" si="8"/>
        <v>Quarta-Feira</v>
      </c>
      <c r="D83" s="512" t="str">
        <f>IF(C83&lt;&gt;"Quarta-Feira","15:20","10:20")</f>
        <v>10:20</v>
      </c>
      <c r="E83" s="287" t="s">
        <v>2837</v>
      </c>
      <c r="F83" s="74">
        <v>8.01440409468768E14</v>
      </c>
      <c r="G83" s="167" t="s">
        <v>2838</v>
      </c>
      <c r="H83" s="77">
        <v>19094.0</v>
      </c>
      <c r="I83" s="34" t="s">
        <v>183</v>
      </c>
      <c r="J83" s="74"/>
      <c r="K83" s="74"/>
      <c r="L83" s="216" t="s">
        <v>521</v>
      </c>
      <c r="R83" s="67"/>
    </row>
    <row r="84">
      <c r="A84" s="12" t="s">
        <v>85</v>
      </c>
      <c r="B84" s="229" t="s">
        <v>822</v>
      </c>
      <c r="C84" s="74" t="str">
        <f t="shared" si="8"/>
        <v>Quarta-Feira</v>
      </c>
      <c r="D84" s="512" t="str">
        <f>IF(C84&lt;&gt;"Quarta-Feira","15:40","10:40")</f>
        <v>10:40</v>
      </c>
      <c r="E84" s="287" t="s">
        <v>2839</v>
      </c>
      <c r="F84" s="74">
        <v>7.08408216708668E14</v>
      </c>
      <c r="G84" s="167" t="s">
        <v>1841</v>
      </c>
      <c r="H84" s="83">
        <v>19730.0</v>
      </c>
      <c r="I84" s="34" t="s">
        <v>183</v>
      </c>
      <c r="J84" s="74"/>
      <c r="K84" s="74"/>
      <c r="L84" s="216" t="s">
        <v>521</v>
      </c>
      <c r="R84" s="67"/>
    </row>
    <row r="85">
      <c r="A85" s="12" t="s">
        <v>87</v>
      </c>
      <c r="B85" s="229" t="s">
        <v>1448</v>
      </c>
      <c r="C85" s="74" t="str">
        <f t="shared" si="8"/>
        <v>Quarta-Feira</v>
      </c>
      <c r="D85" s="512" t="str">
        <f>IF(C85&lt;&gt;"Quarta-Feira","16:00","11:00")</f>
        <v>11:00</v>
      </c>
      <c r="E85" s="287" t="s">
        <v>2840</v>
      </c>
      <c r="F85" s="74">
        <v>7.00809476125982E14</v>
      </c>
      <c r="G85" s="167" t="s">
        <v>2841</v>
      </c>
      <c r="H85" s="166">
        <v>24802.0</v>
      </c>
      <c r="I85" s="34" t="s">
        <v>183</v>
      </c>
      <c r="J85" s="74"/>
      <c r="K85" s="74"/>
      <c r="L85" s="216" t="s">
        <v>521</v>
      </c>
      <c r="R85" s="67"/>
    </row>
    <row r="86">
      <c r="A86" s="12" t="s">
        <v>90</v>
      </c>
      <c r="B86" s="229" t="s">
        <v>822</v>
      </c>
      <c r="C86" s="74" t="str">
        <f t="shared" si="8"/>
        <v>Quarta-Feira</v>
      </c>
      <c r="D86" s="512" t="str">
        <f>IF(C86&lt;&gt;"Quarta-Feira","16:20","11:20")</f>
        <v>11:20</v>
      </c>
      <c r="E86" s="287" t="s">
        <v>2842</v>
      </c>
      <c r="F86" s="74">
        <v>8.98000422262155E14</v>
      </c>
      <c r="G86" s="167" t="s">
        <v>2843</v>
      </c>
      <c r="H86" s="166">
        <v>27187.0</v>
      </c>
      <c r="I86" s="34" t="s">
        <v>183</v>
      </c>
      <c r="J86" s="74"/>
      <c r="K86" s="74"/>
      <c r="L86" s="216" t="s">
        <v>521</v>
      </c>
      <c r="R86" s="67"/>
    </row>
    <row r="87">
      <c r="A87" s="12" t="s">
        <v>93</v>
      </c>
      <c r="B87" s="229" t="s">
        <v>65</v>
      </c>
      <c r="C87" s="74" t="str">
        <f t="shared" si="8"/>
        <v>Quarta-Feira</v>
      </c>
      <c r="D87" s="512" t="str">
        <f>IF(C87&lt;&gt;"Quarta-Feira","16:40","11:40")</f>
        <v>11:40</v>
      </c>
      <c r="E87" s="287" t="s">
        <v>2844</v>
      </c>
      <c r="F87" s="74">
        <v>7.00005032287703E14</v>
      </c>
      <c r="G87" s="167" t="s">
        <v>2845</v>
      </c>
      <c r="H87" s="166">
        <v>14500.0</v>
      </c>
      <c r="I87" s="34" t="s">
        <v>183</v>
      </c>
      <c r="J87" s="74"/>
      <c r="K87" s="74"/>
      <c r="R87" s="67"/>
    </row>
    <row r="88">
      <c r="B88" s="182"/>
      <c r="E88" s="261"/>
      <c r="G88" s="182"/>
      <c r="J88" s="67"/>
      <c r="K88" s="67"/>
      <c r="R88" s="67"/>
    </row>
    <row r="89">
      <c r="B89" s="182"/>
      <c r="E89" s="261"/>
      <c r="G89" s="182"/>
      <c r="J89" s="67"/>
      <c r="K89" s="67"/>
      <c r="R89" s="67"/>
    </row>
    <row r="90">
      <c r="B90" s="182"/>
      <c r="E90" s="261"/>
      <c r="G90" s="182"/>
      <c r="J90" s="67"/>
      <c r="K90" s="67"/>
      <c r="R90" s="67"/>
    </row>
    <row r="91">
      <c r="A91" s="23" t="s">
        <v>378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08h às 13h"</f>
        <v>10/04/2026 08h às 13h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489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64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2381</v>
      </c>
      <c r="C94" s="74" t="str">
        <f t="shared" ref="C94:C105" si="10">PROPER(TEXT(DATE(MID($A$92,7,4),MID($A$92,4,2),LEFT($A$92,2)),"dddd"))</f>
        <v>Sexta-Feira</v>
      </c>
      <c r="D94" s="512" t="str">
        <f>IF(C94&lt;&gt;"Quarta-Feira","13:00","08:00")</f>
        <v>13:00</v>
      </c>
      <c r="E94" s="287" t="s">
        <v>2846</v>
      </c>
      <c r="F94" s="74">
        <v>7.04803514259542E14</v>
      </c>
      <c r="G94" s="167" t="s">
        <v>2847</v>
      </c>
      <c r="H94" s="211">
        <v>17759.0</v>
      </c>
      <c r="I94" s="34" t="s">
        <v>183</v>
      </c>
      <c r="J94" s="74"/>
      <c r="K94" s="74"/>
      <c r="L94" s="216" t="s">
        <v>521</v>
      </c>
      <c r="N94" s="268" t="s">
        <v>387</v>
      </c>
      <c r="O94" s="100"/>
      <c r="P94" s="100"/>
      <c r="Q94" s="100"/>
      <c r="R94" s="100"/>
    </row>
    <row r="95">
      <c r="A95" s="12" t="s">
        <v>11</v>
      </c>
      <c r="B95" s="227" t="s">
        <v>2384</v>
      </c>
      <c r="C95" s="74" t="str">
        <f t="shared" si="10"/>
        <v>Sexta-Feira</v>
      </c>
      <c r="D95" s="512" t="str">
        <f>IF(C95&lt;&gt;"Quarta-Feira","13:20","08:20")</f>
        <v>13:20</v>
      </c>
      <c r="E95" s="287" t="s">
        <v>2848</v>
      </c>
      <c r="F95" s="74">
        <v>7.01202086987413E14</v>
      </c>
      <c r="G95" s="167" t="s">
        <v>2849</v>
      </c>
      <c r="H95" s="77">
        <v>20542.0</v>
      </c>
      <c r="I95" s="34" t="s">
        <v>183</v>
      </c>
      <c r="J95" s="74"/>
      <c r="K95" s="74"/>
      <c r="N95" s="270" t="s">
        <v>1824</v>
      </c>
      <c r="O95" s="2"/>
      <c r="P95" s="2"/>
      <c r="Q95" s="2"/>
      <c r="R95" s="2"/>
    </row>
    <row r="96">
      <c r="A96" s="12" t="s">
        <v>12</v>
      </c>
      <c r="B96" s="227" t="s">
        <v>2387</v>
      </c>
      <c r="C96" s="74" t="str">
        <f t="shared" si="10"/>
        <v>Sexta-Feira</v>
      </c>
      <c r="D96" s="512" t="str">
        <f>IF(C96&lt;&gt;"Quarta-Feira","13:40","08:40")</f>
        <v>13:40</v>
      </c>
      <c r="E96" s="287" t="s">
        <v>2850</v>
      </c>
      <c r="F96" s="74">
        <v>7.07403027896677E14</v>
      </c>
      <c r="G96" s="167" t="s">
        <v>2851</v>
      </c>
      <c r="H96" s="83">
        <v>40932.0</v>
      </c>
      <c r="I96" s="34" t="s">
        <v>183</v>
      </c>
      <c r="J96" s="74"/>
      <c r="K96" s="74"/>
      <c r="L96" s="216" t="s">
        <v>521</v>
      </c>
      <c r="N96" s="271" t="s">
        <v>183</v>
      </c>
      <c r="O96" s="272" t="s">
        <v>195</v>
      </c>
      <c r="P96" s="272" t="s">
        <v>181</v>
      </c>
      <c r="Q96" s="273" t="s">
        <v>173</v>
      </c>
      <c r="R96" s="286" t="s">
        <v>1823</v>
      </c>
    </row>
    <row r="97">
      <c r="A97" s="12" t="s">
        <v>13</v>
      </c>
      <c r="B97" s="227" t="s">
        <v>2390</v>
      </c>
      <c r="C97" s="74" t="str">
        <f t="shared" si="10"/>
        <v>Sexta-Feira</v>
      </c>
      <c r="D97" s="512" t="str">
        <f>IF(C97&lt;&gt;"Quarta-Feira","14:00","09:00")</f>
        <v>14:00</v>
      </c>
      <c r="E97" s="287" t="s">
        <v>2852</v>
      </c>
      <c r="F97" s="74">
        <v>7.08602001233382E14</v>
      </c>
      <c r="G97" s="167" t="s">
        <v>2853</v>
      </c>
      <c r="H97" s="83">
        <v>22970.0</v>
      </c>
      <c r="I97" s="34" t="s">
        <v>183</v>
      </c>
      <c r="J97" s="74"/>
      <c r="K97" s="74"/>
      <c r="L97" s="216" t="s">
        <v>521</v>
      </c>
      <c r="N97" s="275">
        <f t="shared" ref="N97:Q97" si="11">COUNTIFS($I$94:$I$105,N96)</f>
        <v>10</v>
      </c>
      <c r="O97" s="275">
        <f t="shared" si="11"/>
        <v>0</v>
      </c>
      <c r="P97" s="275">
        <f t="shared" si="11"/>
        <v>0</v>
      </c>
      <c r="Q97" s="275">
        <f t="shared" si="11"/>
        <v>0</v>
      </c>
      <c r="R97" s="67">
        <f>COUNTIFS(I94:I105,R96)</f>
        <v>2</v>
      </c>
    </row>
    <row r="98">
      <c r="A98" s="12" t="s">
        <v>14</v>
      </c>
      <c r="B98" s="227" t="s">
        <v>2381</v>
      </c>
      <c r="C98" s="74" t="str">
        <f t="shared" si="10"/>
        <v>Sexta-Feira</v>
      </c>
      <c r="D98" s="512" t="str">
        <f>IF(C98&lt;&gt;"Quarta-Feira","14:20","09:20")</f>
        <v>14:20</v>
      </c>
      <c r="E98" s="287" t="s">
        <v>2854</v>
      </c>
      <c r="F98" s="74">
        <v>2.01151112170006E14</v>
      </c>
      <c r="G98" s="216" t="s">
        <v>2855</v>
      </c>
      <c r="H98" s="83">
        <v>17124.0</v>
      </c>
      <c r="I98" s="34" t="s">
        <v>183</v>
      </c>
      <c r="J98" s="74"/>
      <c r="K98" s="74"/>
      <c r="L98" s="216" t="s">
        <v>521</v>
      </c>
      <c r="R98" s="67"/>
    </row>
    <row r="99">
      <c r="A99" s="12" t="s">
        <v>15</v>
      </c>
      <c r="B99" s="227" t="s">
        <v>2384</v>
      </c>
      <c r="C99" s="74" t="str">
        <f t="shared" si="10"/>
        <v>Sexta-Feira</v>
      </c>
      <c r="D99" s="512" t="str">
        <f>IF(C99&lt;&gt;"Quarta-Feira","14:40","09:40")</f>
        <v>14:40</v>
      </c>
      <c r="E99" s="287" t="s">
        <v>2856</v>
      </c>
      <c r="F99" s="74">
        <v>7.08700183893399E14</v>
      </c>
      <c r="G99" s="167" t="s">
        <v>2857</v>
      </c>
      <c r="H99" s="83">
        <v>22571.0</v>
      </c>
      <c r="I99" s="34" t="s">
        <v>183</v>
      </c>
      <c r="J99" s="74"/>
      <c r="K99" s="74"/>
      <c r="L99" s="216" t="s">
        <v>521</v>
      </c>
      <c r="R99" s="67"/>
    </row>
    <row r="100">
      <c r="A100" s="12" t="s">
        <v>16</v>
      </c>
      <c r="B100" s="227" t="s">
        <v>2387</v>
      </c>
      <c r="C100" s="74" t="str">
        <f t="shared" si="10"/>
        <v>Sexta-Feira</v>
      </c>
      <c r="D100" s="512" t="str">
        <f>IF(C100&lt;&gt;"Quarta-Feira","15:00","10:00")</f>
        <v>15:00</v>
      </c>
      <c r="E100" s="287" t="s">
        <v>2858</v>
      </c>
      <c r="F100" s="74">
        <v>8.9800146885862E14</v>
      </c>
      <c r="G100" s="167" t="s">
        <v>2859</v>
      </c>
      <c r="H100" s="83">
        <v>41253.0</v>
      </c>
      <c r="I100" s="34" t="s">
        <v>183</v>
      </c>
      <c r="J100" s="74"/>
      <c r="K100" s="74"/>
      <c r="R100" s="67"/>
    </row>
    <row r="101">
      <c r="A101" s="12" t="s">
        <v>17</v>
      </c>
      <c r="B101" s="227" t="s">
        <v>2390</v>
      </c>
      <c r="C101" s="74" t="str">
        <f t="shared" si="10"/>
        <v>Sexta-Feira</v>
      </c>
      <c r="D101" s="512" t="str">
        <f>IF(C101&lt;&gt;"Quarta-Feira","15:20","10:20")</f>
        <v>15:20</v>
      </c>
      <c r="E101" s="287" t="s">
        <v>2860</v>
      </c>
      <c r="F101" s="74">
        <v>7.08004885075122E14</v>
      </c>
      <c r="G101" s="167" t="s">
        <v>88</v>
      </c>
      <c r="H101" s="77">
        <v>16117.0</v>
      </c>
      <c r="I101" s="34" t="s">
        <v>183</v>
      </c>
      <c r="J101" s="74"/>
      <c r="K101" s="74"/>
      <c r="R101" s="67"/>
    </row>
    <row r="102">
      <c r="A102" s="12" t="s">
        <v>85</v>
      </c>
      <c r="B102" s="227" t="s">
        <v>2384</v>
      </c>
      <c r="C102" s="74" t="str">
        <f t="shared" si="10"/>
        <v>Sexta-Feira</v>
      </c>
      <c r="D102" s="512" t="str">
        <f>IF(C102&lt;&gt;"Quarta-Feira","15:40","10:40")</f>
        <v>15:40</v>
      </c>
      <c r="E102" s="287" t="s">
        <v>2861</v>
      </c>
      <c r="F102" s="74">
        <v>7.05205400409672E14</v>
      </c>
      <c r="G102" s="167" t="s">
        <v>2862</v>
      </c>
      <c r="H102" s="83">
        <v>19049.0</v>
      </c>
      <c r="I102" s="34" t="s">
        <v>183</v>
      </c>
      <c r="J102" s="74"/>
      <c r="K102" s="74"/>
      <c r="L102" s="216" t="s">
        <v>577</v>
      </c>
      <c r="R102" s="67"/>
    </row>
    <row r="103">
      <c r="A103" s="12" t="s">
        <v>87</v>
      </c>
      <c r="B103" s="227" t="s">
        <v>2381</v>
      </c>
      <c r="C103" s="74" t="str">
        <f t="shared" si="10"/>
        <v>Sexta-Feira</v>
      </c>
      <c r="D103" s="512" t="str">
        <f>IF(C103&lt;&gt;"Quarta-Feira","16:00","11:00")</f>
        <v>16:00</v>
      </c>
      <c r="E103" s="287" t="s">
        <v>2863</v>
      </c>
      <c r="F103" s="74">
        <v>7.09800084956292E14</v>
      </c>
      <c r="G103" s="167" t="s">
        <v>2864</v>
      </c>
      <c r="H103" s="166">
        <v>28602.0</v>
      </c>
      <c r="I103" s="34" t="s">
        <v>1823</v>
      </c>
      <c r="J103" s="74"/>
      <c r="K103" s="74"/>
      <c r="R103" s="67"/>
    </row>
    <row r="104">
      <c r="A104" s="12" t="s">
        <v>90</v>
      </c>
      <c r="B104" s="227" t="s">
        <v>2381</v>
      </c>
      <c r="C104" s="74" t="str">
        <f t="shared" si="10"/>
        <v>Sexta-Feira</v>
      </c>
      <c r="D104" s="512" t="str">
        <f>IF(C104&lt;&gt;"Quarta-Feira","16:20","11:20")</f>
        <v>16:20</v>
      </c>
      <c r="E104" s="287" t="s">
        <v>2865</v>
      </c>
      <c r="F104" s="74">
        <v>7.03404239096419E14</v>
      </c>
      <c r="G104" s="167" t="s">
        <v>2866</v>
      </c>
      <c r="H104" s="166">
        <v>26728.0</v>
      </c>
      <c r="I104" s="34" t="s">
        <v>1823</v>
      </c>
      <c r="J104" s="74"/>
      <c r="K104" s="74"/>
      <c r="R104" s="67"/>
    </row>
    <row r="105">
      <c r="A105" s="12" t="s">
        <v>93</v>
      </c>
      <c r="B105" s="227" t="s">
        <v>2381</v>
      </c>
      <c r="C105" s="74" t="str">
        <f t="shared" si="10"/>
        <v>Sexta-Feira</v>
      </c>
      <c r="D105" s="512" t="str">
        <f>IF(C105&lt;&gt;"Quarta-Feira","16:40","11:40")</f>
        <v>16:40</v>
      </c>
      <c r="E105" s="287" t="s">
        <v>2867</v>
      </c>
      <c r="F105" s="74">
        <v>7.08904734779513E14</v>
      </c>
      <c r="G105" s="167" t="s">
        <v>820</v>
      </c>
      <c r="H105" s="166">
        <v>20748.0</v>
      </c>
      <c r="I105" s="34" t="s">
        <v>183</v>
      </c>
      <c r="J105" s="74"/>
      <c r="K105" s="74"/>
      <c r="R105" s="67"/>
    </row>
    <row r="106">
      <c r="B106" s="182"/>
      <c r="E106" s="261"/>
      <c r="G106" s="182"/>
      <c r="J106" s="67"/>
      <c r="K106" s="67"/>
      <c r="R106" s="67"/>
    </row>
    <row r="107">
      <c r="B107" s="182"/>
      <c r="E107" s="261"/>
      <c r="G107" s="182"/>
      <c r="J107" s="67"/>
      <c r="K107" s="67"/>
      <c r="R107" s="67"/>
    </row>
    <row r="108">
      <c r="B108" s="182"/>
      <c r="E108" s="261"/>
      <c r="G108" s="182"/>
      <c r="J108" s="67"/>
      <c r="K108" s="67"/>
      <c r="R108" s="67"/>
    </row>
    <row r="109">
      <c r="A109" s="23" t="s">
        <v>378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TEXT(DATE(VALUE(MID(A56,7,4)),VALUE(MID(A56,4,2)),VALUE(LEFT(A56,2)))+7,"dd/mm/yyyy")&amp;" 13h às 17h"</f>
        <v>13/04/2026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489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1981</v>
      </c>
      <c r="C112" s="74" t="str">
        <f t="shared" ref="C112:C123" si="12">PROPER(TEXT(DATE(MID($A$110,7,4),MID($A$110,4,2),LEFT($A$110,2)),"dddd"))</f>
        <v>Segunda-Feira</v>
      </c>
      <c r="D112" s="512" t="str">
        <f>IF(C112&lt;&gt;"Quarta-Feira","13:00","08:00")</f>
        <v>13:00</v>
      </c>
      <c r="E112" s="287" t="s">
        <v>2868</v>
      </c>
      <c r="F112" s="74">
        <v>7.0890370748851E14</v>
      </c>
      <c r="G112" s="167" t="s">
        <v>2869</v>
      </c>
      <c r="H112" s="522">
        <v>14767.0</v>
      </c>
      <c r="I112" s="34" t="s">
        <v>183</v>
      </c>
      <c r="J112" s="74"/>
      <c r="K112" s="74"/>
      <c r="N112" s="268" t="s">
        <v>387</v>
      </c>
      <c r="O112" s="100"/>
      <c r="P112" s="100"/>
      <c r="Q112" s="100"/>
      <c r="R112" s="100"/>
    </row>
    <row r="113">
      <c r="A113" s="12" t="s">
        <v>11</v>
      </c>
      <c r="B113" s="227" t="s">
        <v>1985</v>
      </c>
      <c r="C113" s="74" t="str">
        <f t="shared" si="12"/>
        <v>Segunda-Feira</v>
      </c>
      <c r="D113" s="512" t="str">
        <f>IF(C113&lt;&gt;"Quarta-Feira","13:20","08:20")</f>
        <v>13:20</v>
      </c>
      <c r="E113" s="287" t="s">
        <v>2870</v>
      </c>
      <c r="F113" s="74">
        <v>7.04107132264075E14</v>
      </c>
      <c r="G113" s="167" t="s">
        <v>2871</v>
      </c>
      <c r="H113" s="77">
        <v>23959.0</v>
      </c>
      <c r="I113" s="34" t="s">
        <v>183</v>
      </c>
      <c r="J113" s="74"/>
      <c r="K113" s="74"/>
      <c r="N113" s="270" t="s">
        <v>1824</v>
      </c>
      <c r="O113" s="2"/>
      <c r="P113" s="2"/>
      <c r="Q113" s="2"/>
      <c r="R113" s="2"/>
    </row>
    <row r="114">
      <c r="A114" s="12" t="s">
        <v>12</v>
      </c>
      <c r="B114" s="227" t="s">
        <v>1989</v>
      </c>
      <c r="C114" s="74" t="str">
        <f t="shared" si="12"/>
        <v>Segunda-Feira</v>
      </c>
      <c r="D114" s="512" t="str">
        <f>IF(C114&lt;&gt;"Quarta-Feira","13:40","08:40")</f>
        <v>13:40</v>
      </c>
      <c r="E114" s="287" t="s">
        <v>2872</v>
      </c>
      <c r="F114" s="74">
        <v>7.0030840468144E14</v>
      </c>
      <c r="G114" s="167" t="s">
        <v>167</v>
      </c>
      <c r="H114" s="83">
        <v>23460.0</v>
      </c>
      <c r="I114" s="34" t="s">
        <v>183</v>
      </c>
      <c r="J114" s="74"/>
      <c r="K114" s="74"/>
      <c r="N114" s="271" t="s">
        <v>183</v>
      </c>
      <c r="O114" s="272" t="s">
        <v>195</v>
      </c>
      <c r="P114" s="272" t="s">
        <v>181</v>
      </c>
      <c r="Q114" s="273" t="s">
        <v>173</v>
      </c>
      <c r="R114" s="286" t="s">
        <v>1823</v>
      </c>
    </row>
    <row r="115">
      <c r="A115" s="12" t="s">
        <v>13</v>
      </c>
      <c r="B115" s="227" t="s">
        <v>1992</v>
      </c>
      <c r="C115" s="74" t="str">
        <f t="shared" si="12"/>
        <v>Segunda-Feira</v>
      </c>
      <c r="D115" s="512" t="str">
        <f>IF(C115&lt;&gt;"Quarta-Feira","14:00","09:00")</f>
        <v>14:00</v>
      </c>
      <c r="E115" s="287" t="s">
        <v>2873</v>
      </c>
      <c r="F115" s="74">
        <v>8.98001454086957E14</v>
      </c>
      <c r="G115" s="167" t="s">
        <v>2874</v>
      </c>
      <c r="H115" s="77">
        <v>35553.0</v>
      </c>
      <c r="I115" s="34" t="s">
        <v>183</v>
      </c>
      <c r="J115" s="74"/>
      <c r="K115" s="74"/>
      <c r="N115" s="275">
        <f t="shared" ref="N115:R115" si="13">COUNTIFS($I$112:$I$123,N114)</f>
        <v>10</v>
      </c>
      <c r="O115" s="275">
        <f t="shared" si="13"/>
        <v>0</v>
      </c>
      <c r="P115" s="275">
        <f t="shared" si="13"/>
        <v>0</v>
      </c>
      <c r="Q115" s="275">
        <f t="shared" si="13"/>
        <v>0</v>
      </c>
      <c r="R115" s="275">
        <f t="shared" si="13"/>
        <v>2</v>
      </c>
    </row>
    <row r="116">
      <c r="A116" s="12" t="s">
        <v>14</v>
      </c>
      <c r="B116" s="227" t="s">
        <v>1981</v>
      </c>
      <c r="C116" s="74" t="str">
        <f t="shared" si="12"/>
        <v>Segunda-Feira</v>
      </c>
      <c r="D116" s="512" t="str">
        <f>IF(C116&lt;&gt;"Quarta-Feira","14:20","09:20")</f>
        <v>14:20</v>
      </c>
      <c r="E116" s="287" t="s">
        <v>2875</v>
      </c>
      <c r="F116" s="74">
        <v>8.01440426782955E14</v>
      </c>
      <c r="G116" s="167" t="s">
        <v>2876</v>
      </c>
      <c r="H116" s="83">
        <v>23389.0</v>
      </c>
      <c r="I116" s="34" t="s">
        <v>183</v>
      </c>
      <c r="J116" s="74"/>
      <c r="K116" s="74"/>
      <c r="R116" s="67"/>
    </row>
    <row r="117">
      <c r="A117" s="12" t="s">
        <v>15</v>
      </c>
      <c r="B117" s="227" t="s">
        <v>1985</v>
      </c>
      <c r="C117" s="74" t="str">
        <f t="shared" si="12"/>
        <v>Segunda-Feira</v>
      </c>
      <c r="D117" s="512" t="str">
        <f>IF(C117&lt;&gt;"Quarta-Feira","14:40","09:40")</f>
        <v>14:40</v>
      </c>
      <c r="E117" s="287" t="s">
        <v>2877</v>
      </c>
      <c r="F117" s="74">
        <v>8.0144041528074E14</v>
      </c>
      <c r="G117" s="167" t="s">
        <v>2878</v>
      </c>
      <c r="H117" s="83">
        <v>19315.0</v>
      </c>
      <c r="I117" s="34" t="s">
        <v>183</v>
      </c>
      <c r="J117" s="74"/>
      <c r="K117" s="74"/>
      <c r="R117" s="67"/>
    </row>
    <row r="118">
      <c r="A118" s="12" t="s">
        <v>16</v>
      </c>
      <c r="B118" s="227" t="s">
        <v>1989</v>
      </c>
      <c r="C118" s="74" t="str">
        <f t="shared" si="12"/>
        <v>Segunda-Feira</v>
      </c>
      <c r="D118" s="512" t="str">
        <f>IF(C118&lt;&gt;"Quarta-Feira","15:00","10:00")</f>
        <v>15:00</v>
      </c>
      <c r="E118" s="287" t="s">
        <v>2276</v>
      </c>
      <c r="F118" s="74">
        <v>8.98001440717585E14</v>
      </c>
      <c r="G118" s="167" t="s">
        <v>2277</v>
      </c>
      <c r="H118" s="83">
        <v>26825.0</v>
      </c>
      <c r="I118" s="34" t="s">
        <v>1823</v>
      </c>
      <c r="J118" s="74"/>
      <c r="K118" s="74"/>
      <c r="R118" s="67"/>
    </row>
    <row r="119">
      <c r="A119" s="12" t="s">
        <v>17</v>
      </c>
      <c r="B119" s="227" t="s">
        <v>1992</v>
      </c>
      <c r="C119" s="74" t="str">
        <f t="shared" si="12"/>
        <v>Segunda-Feira</v>
      </c>
      <c r="D119" s="512" t="str">
        <f>IF(C119&lt;&gt;"Quarta-Feira","15:20","10:20")</f>
        <v>15:20</v>
      </c>
      <c r="E119" s="287" t="s">
        <v>2879</v>
      </c>
      <c r="F119" s="74">
        <v>7.0480002400644E14</v>
      </c>
      <c r="G119" s="167" t="s">
        <v>2880</v>
      </c>
      <c r="H119" s="77">
        <v>27198.0</v>
      </c>
      <c r="I119" s="34" t="s">
        <v>183</v>
      </c>
      <c r="J119" s="74"/>
      <c r="K119" s="74"/>
      <c r="R119" s="67"/>
    </row>
    <row r="120">
      <c r="A120" s="12" t="s">
        <v>85</v>
      </c>
      <c r="B120" s="227" t="s">
        <v>1981</v>
      </c>
      <c r="C120" s="74" t="str">
        <f t="shared" si="12"/>
        <v>Segunda-Feira</v>
      </c>
      <c r="D120" s="512" t="str">
        <f>IF(C120&lt;&gt;"Quarta-Feira","15:40","10:40")</f>
        <v>15:40</v>
      </c>
      <c r="E120" s="287" t="s">
        <v>2881</v>
      </c>
      <c r="F120" s="74">
        <v>7.05603455565816E14</v>
      </c>
      <c r="G120" s="167" t="s">
        <v>2882</v>
      </c>
      <c r="H120" s="83">
        <v>24227.0</v>
      </c>
      <c r="I120" s="34" t="s">
        <v>183</v>
      </c>
      <c r="J120" s="74"/>
      <c r="K120" s="74"/>
      <c r="R120" s="67"/>
      <c r="V120" s="336"/>
    </row>
    <row r="121">
      <c r="A121" s="12" t="s">
        <v>87</v>
      </c>
      <c r="B121" s="227" t="s">
        <v>1985</v>
      </c>
      <c r="C121" s="74" t="str">
        <f t="shared" si="12"/>
        <v>Segunda-Feira</v>
      </c>
      <c r="D121" s="512" t="str">
        <f>IF(C121&lt;&gt;"Quarta-Feira","16:00","11:00")</f>
        <v>16:00</v>
      </c>
      <c r="E121" s="287" t="s">
        <v>2883</v>
      </c>
      <c r="F121" s="74">
        <v>7.03206609658991E14</v>
      </c>
      <c r="G121" s="167" t="s">
        <v>2884</v>
      </c>
      <c r="H121" s="166">
        <v>29669.0</v>
      </c>
      <c r="I121" s="34" t="s">
        <v>1823</v>
      </c>
      <c r="J121" s="74"/>
      <c r="K121" s="74"/>
      <c r="R121" s="67"/>
    </row>
    <row r="122">
      <c r="A122" s="12" t="s">
        <v>90</v>
      </c>
      <c r="B122" s="227" t="s">
        <v>1989</v>
      </c>
      <c r="C122" s="74" t="str">
        <f t="shared" si="12"/>
        <v>Segunda-Feira</v>
      </c>
      <c r="D122" s="512" t="str">
        <f>IF(C122&lt;&gt;"Quarta-Feira","16:20","11:20")</f>
        <v>16:20</v>
      </c>
      <c r="E122" s="287" t="s">
        <v>2885</v>
      </c>
      <c r="F122" s="74">
        <v>7.08200642257343E14</v>
      </c>
      <c r="G122" s="167" t="s">
        <v>2886</v>
      </c>
      <c r="H122" s="166">
        <v>24152.0</v>
      </c>
      <c r="I122" s="34" t="s">
        <v>183</v>
      </c>
      <c r="J122" s="74"/>
      <c r="K122" s="74"/>
      <c r="R122" s="67"/>
    </row>
    <row r="123">
      <c r="A123" s="12" t="s">
        <v>93</v>
      </c>
      <c r="B123" s="227" t="s">
        <v>1992</v>
      </c>
      <c r="C123" s="74" t="str">
        <f t="shared" si="12"/>
        <v>Segunda-Feira</v>
      </c>
      <c r="D123" s="512" t="str">
        <f>IF(C123&lt;&gt;"Quarta-Feira","16:40","11:40")</f>
        <v>16:40</v>
      </c>
      <c r="E123" s="287" t="s">
        <v>2887</v>
      </c>
      <c r="F123" s="74">
        <v>7.05002056509658E14</v>
      </c>
      <c r="G123" s="167" t="s">
        <v>2888</v>
      </c>
      <c r="H123" s="166">
        <v>24216.0</v>
      </c>
      <c r="I123" s="34" t="s">
        <v>183</v>
      </c>
      <c r="J123" s="74"/>
      <c r="K123" s="74"/>
      <c r="R123" s="67"/>
    </row>
    <row r="124">
      <c r="B124" s="182"/>
      <c r="E124" s="261"/>
      <c r="G124" s="182"/>
      <c r="J124" s="67"/>
      <c r="K124" s="67"/>
      <c r="R124" s="67"/>
    </row>
    <row r="125">
      <c r="B125" s="182"/>
      <c r="E125" s="261"/>
      <c r="G125" s="182"/>
      <c r="J125" s="67"/>
      <c r="K125" s="67"/>
      <c r="R125" s="67"/>
    </row>
    <row r="126">
      <c r="B126" s="182"/>
      <c r="E126" s="261"/>
      <c r="G126" s="182"/>
      <c r="J126" s="67"/>
      <c r="K126" s="67"/>
      <c r="R126" s="67"/>
    </row>
    <row r="127">
      <c r="A127" s="23" t="s">
        <v>378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08h às 13h"</f>
        <v>15/04/2026 08h às 13h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489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64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2014</v>
      </c>
      <c r="C130" s="74" t="str">
        <f t="shared" ref="C130:C141" si="14">PROPER(TEXT(DATE(MID($A$128,7,4),MID($A$128,4,2),LEFT($A$128,2)),"dddd"))</f>
        <v>Quarta-Feira</v>
      </c>
      <c r="D130" s="512" t="str">
        <f>IF(C130&lt;&gt;"Quarta-Feira","13:00","08:00")</f>
        <v>08:00</v>
      </c>
      <c r="E130" s="287" t="s">
        <v>2889</v>
      </c>
      <c r="F130" s="74">
        <v>8.9800146061036E14</v>
      </c>
      <c r="G130" s="167" t="s">
        <v>2890</v>
      </c>
      <c r="H130" s="211">
        <v>25798.0</v>
      </c>
      <c r="I130" s="34" t="s">
        <v>183</v>
      </c>
      <c r="J130" s="74"/>
      <c r="K130" s="74"/>
      <c r="N130" s="268" t="s">
        <v>387</v>
      </c>
      <c r="O130" s="100"/>
      <c r="P130" s="100"/>
      <c r="Q130" s="100"/>
      <c r="R130" s="100"/>
    </row>
    <row r="131">
      <c r="A131" s="12" t="s">
        <v>11</v>
      </c>
      <c r="B131" s="227" t="s">
        <v>2019</v>
      </c>
      <c r="C131" s="74" t="str">
        <f t="shared" si="14"/>
        <v>Quarta-Feira</v>
      </c>
      <c r="D131" s="512" t="str">
        <f>IF(C131&lt;&gt;"Quarta-Feira","13:20","08:20")</f>
        <v>08:20</v>
      </c>
      <c r="E131" s="287" t="s">
        <v>2891</v>
      </c>
      <c r="F131" s="74">
        <v>7.08405264142161E14</v>
      </c>
      <c r="G131" s="167" t="s">
        <v>2892</v>
      </c>
      <c r="H131" s="77">
        <v>23512.0</v>
      </c>
      <c r="I131" s="34" t="s">
        <v>183</v>
      </c>
      <c r="J131" s="74"/>
      <c r="K131" s="74"/>
      <c r="N131" s="270" t="s">
        <v>1824</v>
      </c>
      <c r="O131" s="2"/>
      <c r="P131" s="2"/>
      <c r="Q131" s="2"/>
      <c r="R131" s="2"/>
    </row>
    <row r="132">
      <c r="A132" s="12" t="s">
        <v>12</v>
      </c>
      <c r="B132" s="227" t="s">
        <v>2021</v>
      </c>
      <c r="C132" s="74" t="str">
        <f t="shared" si="14"/>
        <v>Quarta-Feira</v>
      </c>
      <c r="D132" s="512" t="str">
        <f>IF(C132&lt;&gt;"Quarta-Feira","13:40","08:40")</f>
        <v>08:40</v>
      </c>
      <c r="E132" s="287" t="s">
        <v>2893</v>
      </c>
      <c r="F132" s="74">
        <v>7.02808183400268E14</v>
      </c>
      <c r="G132" s="167" t="s">
        <v>2894</v>
      </c>
      <c r="H132" s="77">
        <v>27940.0</v>
      </c>
      <c r="I132" s="34" t="s">
        <v>1823</v>
      </c>
      <c r="J132" s="74"/>
      <c r="K132" s="74"/>
      <c r="L132" s="68"/>
      <c r="M132" s="68"/>
      <c r="N132" s="271" t="s">
        <v>183</v>
      </c>
      <c r="O132" s="272" t="s">
        <v>195</v>
      </c>
      <c r="P132" s="272" t="s">
        <v>181</v>
      </c>
      <c r="Q132" s="273" t="s">
        <v>173</v>
      </c>
      <c r="R132" s="415" t="s">
        <v>1823</v>
      </c>
      <c r="S132" s="68"/>
      <c r="T132" s="68"/>
      <c r="U132" s="68"/>
      <c r="V132" s="68"/>
      <c r="W132" s="68"/>
      <c r="X132" s="68"/>
    </row>
    <row r="133">
      <c r="A133" s="12" t="s">
        <v>13</v>
      </c>
      <c r="B133" s="227" t="s">
        <v>2024</v>
      </c>
      <c r="C133" s="74" t="str">
        <f t="shared" si="14"/>
        <v>Quarta-Feira</v>
      </c>
      <c r="D133" s="512" t="str">
        <f>IF(C133&lt;&gt;"Quarta-Feira","14:00","09:00")</f>
        <v>09:00</v>
      </c>
      <c r="E133" s="287" t="s">
        <v>2895</v>
      </c>
      <c r="F133" s="74">
        <v>7.00007028146205E14</v>
      </c>
      <c r="G133" s="167" t="s">
        <v>2896</v>
      </c>
      <c r="H133" s="83">
        <v>34166.0</v>
      </c>
      <c r="I133" s="34" t="s">
        <v>183</v>
      </c>
      <c r="J133" s="74"/>
      <c r="K133" s="74"/>
      <c r="N133" s="275">
        <f t="shared" ref="N133:R133" si="15">COUNTIFS($I$130:$I$141,N132)</f>
        <v>10</v>
      </c>
      <c r="O133" s="275">
        <f t="shared" si="15"/>
        <v>0</v>
      </c>
      <c r="P133" s="275">
        <f t="shared" si="15"/>
        <v>0</v>
      </c>
      <c r="Q133" s="275">
        <f t="shared" si="15"/>
        <v>0</v>
      </c>
      <c r="R133" s="275">
        <f t="shared" si="15"/>
        <v>2</v>
      </c>
    </row>
    <row r="134">
      <c r="A134" s="12" t="s">
        <v>14</v>
      </c>
      <c r="B134" s="227" t="s">
        <v>2019</v>
      </c>
      <c r="C134" s="74" t="str">
        <f t="shared" si="14"/>
        <v>Quarta-Feira</v>
      </c>
      <c r="D134" s="512" t="str">
        <f>IF(C134&lt;&gt;"Quarta-Feira","14:20","09:20")</f>
        <v>09:20</v>
      </c>
      <c r="E134" s="287" t="s">
        <v>2897</v>
      </c>
      <c r="F134" s="74">
        <v>8.98001487025817E14</v>
      </c>
      <c r="G134" s="167" t="s">
        <v>2898</v>
      </c>
      <c r="H134" s="83">
        <v>17731.0</v>
      </c>
      <c r="I134" s="34" t="s">
        <v>183</v>
      </c>
      <c r="J134" s="74"/>
      <c r="K134" s="74"/>
      <c r="R134" s="67"/>
    </row>
    <row r="135">
      <c r="A135" s="12" t="s">
        <v>15</v>
      </c>
      <c r="B135" s="227" t="s">
        <v>2021</v>
      </c>
      <c r="C135" s="74" t="str">
        <f t="shared" si="14"/>
        <v>Quarta-Feira</v>
      </c>
      <c r="D135" s="512" t="str">
        <f>IF(C135&lt;&gt;"Quarta-Feira","14:40","09:40")</f>
        <v>09:40</v>
      </c>
      <c r="E135" s="287" t="s">
        <v>2899</v>
      </c>
      <c r="F135" s="74">
        <v>7.00004726739403E14</v>
      </c>
      <c r="G135" s="167" t="s">
        <v>2900</v>
      </c>
      <c r="H135" s="83">
        <v>26024.0</v>
      </c>
      <c r="I135" s="34" t="s">
        <v>1823</v>
      </c>
      <c r="J135" s="74"/>
      <c r="K135" s="74"/>
      <c r="R135" s="67"/>
    </row>
    <row r="136">
      <c r="A136" s="12" t="s">
        <v>16</v>
      </c>
      <c r="B136" s="227" t="s">
        <v>2014</v>
      </c>
      <c r="C136" s="74" t="str">
        <f t="shared" si="14"/>
        <v>Quarta-Feira</v>
      </c>
      <c r="D136" s="512" t="str">
        <f>IF(C136&lt;&gt;"Quarta-Feira","15:00","10:00")</f>
        <v>10:00</v>
      </c>
      <c r="E136" s="287" t="s">
        <v>2901</v>
      </c>
      <c r="F136" s="74">
        <v>7.03003875502077E14</v>
      </c>
      <c r="G136" s="167" t="s">
        <v>2902</v>
      </c>
      <c r="H136" s="163">
        <v>23804.0</v>
      </c>
      <c r="I136" s="34" t="s">
        <v>183</v>
      </c>
      <c r="J136" s="74"/>
      <c r="K136" s="74"/>
      <c r="L136" s="68"/>
      <c r="M136" s="68"/>
      <c r="N136" s="68"/>
      <c r="O136" s="68"/>
      <c r="P136" s="68"/>
      <c r="Q136" s="68"/>
      <c r="R136" s="389"/>
      <c r="S136" s="68"/>
      <c r="T136" s="68"/>
      <c r="U136" s="68"/>
      <c r="V136" s="68"/>
      <c r="W136" s="68"/>
      <c r="X136" s="68"/>
    </row>
    <row r="137">
      <c r="A137" s="12" t="s">
        <v>17</v>
      </c>
      <c r="B137" s="227" t="s">
        <v>2019</v>
      </c>
      <c r="C137" s="74" t="str">
        <f t="shared" si="14"/>
        <v>Quarta-Feira</v>
      </c>
      <c r="D137" s="512" t="str">
        <f>IF(C137&lt;&gt;"Quarta-Feira","15:20","10:20")</f>
        <v>10:20</v>
      </c>
      <c r="E137" s="287" t="s">
        <v>2903</v>
      </c>
      <c r="F137" s="74">
        <v>7.00504144286959E14</v>
      </c>
      <c r="G137" s="167" t="s">
        <v>2904</v>
      </c>
      <c r="H137" s="77">
        <v>21856.0</v>
      </c>
      <c r="I137" s="34" t="s">
        <v>183</v>
      </c>
      <c r="J137" s="74"/>
      <c r="K137" s="74"/>
      <c r="R137" s="67"/>
    </row>
    <row r="138">
      <c r="A138" s="12" t="s">
        <v>85</v>
      </c>
      <c r="B138" s="227" t="s">
        <v>2024</v>
      </c>
      <c r="C138" s="74" t="str">
        <f t="shared" si="14"/>
        <v>Quarta-Feira</v>
      </c>
      <c r="D138" s="512" t="str">
        <f>IF(C138&lt;&gt;"Quarta-Feira","15:40","10:40")</f>
        <v>10:40</v>
      </c>
      <c r="E138" s="287" t="s">
        <v>2905</v>
      </c>
      <c r="F138" s="287" t="s">
        <v>2906</v>
      </c>
      <c r="G138" s="167" t="s">
        <v>2907</v>
      </c>
      <c r="H138" s="83">
        <v>18271.0</v>
      </c>
      <c r="I138" s="34" t="s">
        <v>183</v>
      </c>
      <c r="J138" s="74"/>
      <c r="K138" s="74"/>
      <c r="R138" s="67"/>
    </row>
    <row r="139">
      <c r="A139" s="12" t="s">
        <v>87</v>
      </c>
      <c r="B139" s="227" t="s">
        <v>2021</v>
      </c>
      <c r="C139" s="74" t="str">
        <f t="shared" si="14"/>
        <v>Quarta-Feira</v>
      </c>
      <c r="D139" s="512" t="str">
        <f>IF(C139&lt;&gt;"Quarta-Feira","16:00","11:00")</f>
        <v>11:00</v>
      </c>
      <c r="E139" s="287" t="s">
        <v>780</v>
      </c>
      <c r="F139" s="74">
        <v>7.02800187387064E14</v>
      </c>
      <c r="G139" s="167" t="s">
        <v>781</v>
      </c>
      <c r="H139" s="166">
        <v>21107.0</v>
      </c>
      <c r="I139" s="34" t="s">
        <v>183</v>
      </c>
      <c r="J139" s="74"/>
      <c r="K139" s="74"/>
      <c r="R139" s="67"/>
    </row>
    <row r="140">
      <c r="A140" s="12" t="s">
        <v>90</v>
      </c>
      <c r="B140" s="227" t="s">
        <v>2024</v>
      </c>
      <c r="C140" s="74" t="str">
        <f t="shared" si="14"/>
        <v>Quarta-Feira</v>
      </c>
      <c r="D140" s="512" t="str">
        <f>IF(C140&lt;&gt;"Quarta-Feira","16:20","11:20")</f>
        <v>11:20</v>
      </c>
      <c r="E140" s="287" t="s">
        <v>2908</v>
      </c>
      <c r="F140" s="74">
        <v>8.01440408927882E14</v>
      </c>
      <c r="G140" s="167" t="s">
        <v>2909</v>
      </c>
      <c r="H140" s="83">
        <v>14160.0</v>
      </c>
      <c r="I140" s="34" t="s">
        <v>183</v>
      </c>
      <c r="J140" s="74"/>
      <c r="K140" s="74"/>
      <c r="R140" s="67"/>
    </row>
    <row r="141">
      <c r="A141" s="12" t="s">
        <v>93</v>
      </c>
      <c r="B141" s="227" t="s">
        <v>2014</v>
      </c>
      <c r="C141" s="74" t="str">
        <f t="shared" si="14"/>
        <v>Quarta-Feira</v>
      </c>
      <c r="D141" s="512" t="str">
        <f>IF(C141&lt;&gt;"Quarta-Feira","16:40","11:40")</f>
        <v>11:40</v>
      </c>
      <c r="E141" s="287" t="s">
        <v>2910</v>
      </c>
      <c r="F141" s="74">
        <v>8.01440497698884E14</v>
      </c>
      <c r="G141" s="167" t="s">
        <v>2911</v>
      </c>
      <c r="H141" s="166">
        <v>20981.0</v>
      </c>
      <c r="I141" s="34" t="s">
        <v>183</v>
      </c>
      <c r="J141" s="74"/>
      <c r="K141" s="74"/>
      <c r="R141" s="67"/>
    </row>
    <row r="142">
      <c r="B142" s="182"/>
      <c r="E142" s="261"/>
      <c r="G142" s="182"/>
      <c r="J142" s="67"/>
      <c r="K142" s="67"/>
      <c r="R142" s="67"/>
    </row>
    <row r="143">
      <c r="B143" s="182"/>
      <c r="E143" s="261"/>
      <c r="G143" s="182"/>
      <c r="J143" s="67"/>
      <c r="K143" s="67"/>
      <c r="R143" s="67"/>
    </row>
    <row r="144">
      <c r="B144" s="182"/>
      <c r="E144" s="261"/>
      <c r="G144" s="182"/>
      <c r="J144" s="67"/>
      <c r="K144" s="67"/>
      <c r="R144" s="67"/>
    </row>
    <row r="145">
      <c r="A145" s="23" t="s">
        <v>378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TEXT(DATE(VALUE(MID(A128,7,4)),VALUE(MID(A128,4,2)),VALUE(LEFT(A128,2)))+2,"dd/mm/yyyy")&amp;" 08h às 13h"</f>
        <v>17/04/2026 08h às 13h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489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64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2381</v>
      </c>
      <c r="C148" s="74" t="str">
        <f t="shared" ref="C148:C159" si="16">PROPER(TEXT(DATE(MID($A$146,7,4),MID($A$146,4,2),LEFT($A$146,2)),"dddd"))</f>
        <v>Sexta-Feira</v>
      </c>
      <c r="D148" s="512" t="str">
        <f>IF(C148&lt;&gt;"Quarta-Feira","13:00","08:00")</f>
        <v>13:00</v>
      </c>
      <c r="E148" s="287" t="s">
        <v>2912</v>
      </c>
      <c r="F148" s="459">
        <v>7.0220010107881E14</v>
      </c>
      <c r="G148" s="167" t="s">
        <v>1270</v>
      </c>
      <c r="H148" s="83">
        <v>20497.0</v>
      </c>
      <c r="I148" s="34" t="s">
        <v>183</v>
      </c>
      <c r="J148" s="74"/>
      <c r="K148" s="74"/>
      <c r="L148" s="216" t="s">
        <v>521</v>
      </c>
      <c r="N148" s="268" t="s">
        <v>387</v>
      </c>
      <c r="O148" s="100"/>
      <c r="P148" s="100"/>
      <c r="Q148" s="100"/>
      <c r="R148" s="100"/>
    </row>
    <row r="149">
      <c r="A149" s="12" t="s">
        <v>11</v>
      </c>
      <c r="B149" s="227" t="s">
        <v>2384</v>
      </c>
      <c r="C149" s="74" t="str">
        <f t="shared" si="16"/>
        <v>Sexta-Feira</v>
      </c>
      <c r="D149" s="512" t="str">
        <f>IF(C149&lt;&gt;"Quarta-Feira","13:20","08:20")</f>
        <v>13:20</v>
      </c>
      <c r="E149" s="287"/>
      <c r="F149" s="74"/>
      <c r="G149" s="167"/>
      <c r="H149" s="83"/>
      <c r="I149" s="34" t="s">
        <v>2348</v>
      </c>
      <c r="J149" s="74"/>
      <c r="K149" s="74"/>
      <c r="N149" s="270" t="s">
        <v>1824</v>
      </c>
      <c r="O149" s="2"/>
      <c r="P149" s="2"/>
      <c r="Q149" s="2"/>
      <c r="R149" s="2"/>
    </row>
    <row r="150">
      <c r="A150" s="12" t="s">
        <v>12</v>
      </c>
      <c r="B150" s="227" t="s">
        <v>2387</v>
      </c>
      <c r="C150" s="74" t="str">
        <f t="shared" si="16"/>
        <v>Sexta-Feira</v>
      </c>
      <c r="D150" s="512" t="str">
        <f>IF(C150&lt;&gt;"Quarta-Feira","13:40","08:40")</f>
        <v>13:40</v>
      </c>
      <c r="E150" s="287" t="s">
        <v>2913</v>
      </c>
      <c r="F150" s="74">
        <v>8.01440493860768E14</v>
      </c>
      <c r="G150" s="167" t="s">
        <v>2914</v>
      </c>
      <c r="H150" s="83">
        <v>16968.0</v>
      </c>
      <c r="I150" s="34" t="s">
        <v>183</v>
      </c>
      <c r="J150" s="74"/>
      <c r="K150" s="74"/>
      <c r="N150" s="271" t="s">
        <v>183</v>
      </c>
      <c r="O150" s="272" t="s">
        <v>195</v>
      </c>
      <c r="P150" s="272" t="s">
        <v>2348</v>
      </c>
      <c r="Q150" s="273" t="s">
        <v>173</v>
      </c>
      <c r="R150" s="286" t="s">
        <v>1823</v>
      </c>
    </row>
    <row r="151">
      <c r="A151" s="12" t="s">
        <v>13</v>
      </c>
      <c r="B151" s="227" t="s">
        <v>2390</v>
      </c>
      <c r="C151" s="74" t="str">
        <f t="shared" si="16"/>
        <v>Sexta-Feira</v>
      </c>
      <c r="D151" s="512" t="str">
        <f>IF(C151&lt;&gt;"Quarta-Feira","14:00","09:00")</f>
        <v>14:00</v>
      </c>
      <c r="E151" s="287" t="s">
        <v>2915</v>
      </c>
      <c r="F151" s="74">
        <v>7.06309777987774E14</v>
      </c>
      <c r="G151" s="167" t="s">
        <v>2916</v>
      </c>
      <c r="H151" s="83">
        <v>28140.0</v>
      </c>
      <c r="I151" s="34" t="s">
        <v>183</v>
      </c>
      <c r="J151" s="74"/>
      <c r="K151" s="74"/>
      <c r="N151" s="275">
        <f t="shared" ref="N151:R151" si="17">COUNTIFS($I$148:$I$159,N150)</f>
        <v>8</v>
      </c>
      <c r="O151" s="275">
        <f t="shared" si="17"/>
        <v>0</v>
      </c>
      <c r="P151" s="275">
        <f t="shared" si="17"/>
        <v>3</v>
      </c>
      <c r="Q151" s="275">
        <f t="shared" si="17"/>
        <v>0</v>
      </c>
      <c r="R151" s="275">
        <f t="shared" si="17"/>
        <v>1</v>
      </c>
    </row>
    <row r="152">
      <c r="A152" s="12" t="s">
        <v>14</v>
      </c>
      <c r="B152" s="227" t="s">
        <v>2381</v>
      </c>
      <c r="C152" s="74" t="str">
        <f t="shared" si="16"/>
        <v>Sexta-Feira</v>
      </c>
      <c r="D152" s="512" t="str">
        <f>IF(C152&lt;&gt;"Quarta-Feira","14:20","09:20")</f>
        <v>14:20</v>
      </c>
      <c r="E152" s="287" t="s">
        <v>2917</v>
      </c>
      <c r="F152" s="74">
        <v>7.06403694854886E14</v>
      </c>
      <c r="G152" s="167" t="s">
        <v>2918</v>
      </c>
      <c r="H152" s="83">
        <v>18153.0</v>
      </c>
      <c r="I152" s="34" t="s">
        <v>183</v>
      </c>
      <c r="J152" s="74"/>
      <c r="K152" s="74"/>
      <c r="R152" s="67"/>
    </row>
    <row r="153">
      <c r="A153" s="12" t="s">
        <v>15</v>
      </c>
      <c r="B153" s="227" t="s">
        <v>2384</v>
      </c>
      <c r="C153" s="74" t="str">
        <f t="shared" si="16"/>
        <v>Sexta-Feira</v>
      </c>
      <c r="D153" s="512" t="str">
        <f>IF(C153&lt;&gt;"Quarta-Feira","14:40","09:40")</f>
        <v>14:40</v>
      </c>
      <c r="E153" s="287"/>
      <c r="F153" s="74"/>
      <c r="G153" s="167"/>
      <c r="H153" s="83"/>
      <c r="I153" s="34" t="s">
        <v>2348</v>
      </c>
      <c r="J153" s="74"/>
      <c r="K153" s="74"/>
      <c r="R153" s="67"/>
    </row>
    <row r="154">
      <c r="A154" s="12" t="s">
        <v>16</v>
      </c>
      <c r="B154" s="227" t="s">
        <v>2387</v>
      </c>
      <c r="C154" s="74" t="str">
        <f t="shared" si="16"/>
        <v>Sexta-Feira</v>
      </c>
      <c r="D154" s="512" t="str">
        <f>IF(C154&lt;&gt;"Quarta-Feira","15:00","10:00")</f>
        <v>15:00</v>
      </c>
      <c r="E154" s="287" t="s">
        <v>2919</v>
      </c>
      <c r="F154" s="459">
        <v>7.06205545486161E14</v>
      </c>
      <c r="G154" s="167" t="s">
        <v>2920</v>
      </c>
      <c r="H154" s="83">
        <v>17462.0</v>
      </c>
      <c r="I154" s="34" t="s">
        <v>183</v>
      </c>
      <c r="J154" s="74"/>
      <c r="K154" s="74"/>
      <c r="R154" s="67"/>
    </row>
    <row r="155">
      <c r="A155" s="12" t="s">
        <v>17</v>
      </c>
      <c r="B155" s="227" t="s">
        <v>2390</v>
      </c>
      <c r="C155" s="74" t="str">
        <f t="shared" si="16"/>
        <v>Sexta-Feira</v>
      </c>
      <c r="D155" s="512" t="str">
        <f>IF(C155&lt;&gt;"Quarta-Feira","15:20","10:20")</f>
        <v>15:20</v>
      </c>
      <c r="E155" s="287" t="s">
        <v>2921</v>
      </c>
      <c r="F155" s="74">
        <v>8.01440406912101E14</v>
      </c>
      <c r="G155" s="167" t="s">
        <v>1884</v>
      </c>
      <c r="H155" s="83">
        <v>17007.0</v>
      </c>
      <c r="I155" s="34" t="s">
        <v>183</v>
      </c>
      <c r="J155" s="74"/>
      <c r="K155" s="74"/>
      <c r="R155" s="67"/>
    </row>
    <row r="156">
      <c r="A156" s="12" t="s">
        <v>85</v>
      </c>
      <c r="B156" s="227" t="s">
        <v>2384</v>
      </c>
      <c r="C156" s="74" t="str">
        <f t="shared" si="16"/>
        <v>Sexta-Feira</v>
      </c>
      <c r="D156" s="512" t="str">
        <f>IF(C156&lt;&gt;"Quarta-Feira","15:40","10:40")</f>
        <v>15:40</v>
      </c>
      <c r="E156" s="287"/>
      <c r="F156" s="74"/>
      <c r="G156" s="167"/>
      <c r="H156" s="83"/>
      <c r="I156" s="34" t="s">
        <v>2348</v>
      </c>
      <c r="J156" s="74"/>
      <c r="K156" s="74"/>
      <c r="L156" s="216" t="s">
        <v>577</v>
      </c>
      <c r="R156" s="67"/>
    </row>
    <row r="157">
      <c r="A157" s="12" t="s">
        <v>87</v>
      </c>
      <c r="B157" s="227" t="s">
        <v>2381</v>
      </c>
      <c r="C157" s="74" t="str">
        <f t="shared" si="16"/>
        <v>Sexta-Feira</v>
      </c>
      <c r="D157" s="512" t="str">
        <f>IF(C157&lt;&gt;"Quarta-Feira","16:00","11:00")</f>
        <v>16:00</v>
      </c>
      <c r="E157" s="287" t="s">
        <v>1195</v>
      </c>
      <c r="F157" s="74">
        <v>7.0920524012183E14</v>
      </c>
      <c r="G157" s="167" t="s">
        <v>1196</v>
      </c>
      <c r="H157" s="166">
        <v>24382.0</v>
      </c>
      <c r="I157" s="34" t="s">
        <v>1823</v>
      </c>
      <c r="J157" s="74"/>
      <c r="K157" s="74"/>
      <c r="R157" s="67"/>
    </row>
    <row r="158">
      <c r="A158" s="12" t="s">
        <v>90</v>
      </c>
      <c r="B158" s="227" t="s">
        <v>2381</v>
      </c>
      <c r="C158" s="74" t="str">
        <f t="shared" si="16"/>
        <v>Sexta-Feira</v>
      </c>
      <c r="D158" s="512" t="str">
        <f>IF(C158&lt;&gt;"Quarta-Feira","16:20","11:20")</f>
        <v>16:20</v>
      </c>
      <c r="E158" s="287" t="s">
        <v>2922</v>
      </c>
      <c r="F158" s="74">
        <v>7.05004867227159E14</v>
      </c>
      <c r="G158" s="167" t="s">
        <v>2923</v>
      </c>
      <c r="H158" s="166">
        <v>26348.0</v>
      </c>
      <c r="I158" s="34" t="s">
        <v>183</v>
      </c>
      <c r="J158" s="74"/>
      <c r="K158" s="74"/>
      <c r="R158" s="67"/>
    </row>
    <row r="159">
      <c r="A159" s="12" t="s">
        <v>93</v>
      </c>
      <c r="B159" s="227" t="s">
        <v>2381</v>
      </c>
      <c r="C159" s="74" t="str">
        <f t="shared" si="16"/>
        <v>Sexta-Feira</v>
      </c>
      <c r="D159" s="512" t="str">
        <f>IF(C159&lt;&gt;"Quarta-Feira","16:40","11:40")</f>
        <v>16:40</v>
      </c>
      <c r="E159" s="287" t="s">
        <v>2924</v>
      </c>
      <c r="F159" s="74">
        <v>2.01151392430003E14</v>
      </c>
      <c r="G159" s="167" t="s">
        <v>2925</v>
      </c>
      <c r="H159" s="166">
        <v>19549.0</v>
      </c>
      <c r="I159" s="34" t="s">
        <v>183</v>
      </c>
      <c r="J159" s="74"/>
      <c r="K159" s="74"/>
      <c r="R159" s="67"/>
    </row>
    <row r="160">
      <c r="B160" s="182"/>
      <c r="E160" s="261"/>
      <c r="G160" s="182"/>
      <c r="J160" s="67"/>
      <c r="K160" s="67"/>
      <c r="R160" s="67"/>
    </row>
    <row r="161">
      <c r="B161" s="182"/>
      <c r="E161" s="261"/>
      <c r="G161" s="182"/>
      <c r="J161" s="67"/>
      <c r="K161" s="67"/>
      <c r="R161" s="67"/>
    </row>
    <row r="162">
      <c r="B162" s="182"/>
      <c r="E162" s="261"/>
      <c r="G162" s="182"/>
      <c r="J162" s="67"/>
      <c r="K162" s="67"/>
      <c r="R162" s="67"/>
    </row>
    <row r="163">
      <c r="A163" s="23" t="s">
        <v>378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TEXT(DATE(VALUE(MID(A110,7,4)),VALUE(MID(A110,4,2)),VALUE(LEFT(A110,2)))+7,"dd/mm/yyyy")&amp;" 13h às 17h"</f>
        <v>20/04/2026 13h às 17h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489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64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533" t="s">
        <v>10</v>
      </c>
      <c r="B166" s="558" t="s">
        <v>1981</v>
      </c>
      <c r="C166" s="535" t="str">
        <f t="shared" ref="C166:C177" si="18">PROPER(TEXT(DATE(MID($A$164,7,4),MID($A$164,4,2),LEFT($A$164,2)),"dddd"))</f>
        <v>Segunda-Feira</v>
      </c>
      <c r="D166" s="536" t="str">
        <f>IF(C166&lt;&gt;"Quarta-Feira","13:00","08:00")</f>
        <v>13:00</v>
      </c>
      <c r="E166" s="537"/>
      <c r="F166" s="535"/>
      <c r="G166" s="538" t="s">
        <v>2926</v>
      </c>
      <c r="H166" s="539"/>
      <c r="I166" s="540"/>
      <c r="J166" s="535"/>
      <c r="K166" s="535"/>
      <c r="L166" s="541"/>
      <c r="M166" s="541"/>
      <c r="N166" s="559" t="s">
        <v>387</v>
      </c>
      <c r="O166" s="100"/>
      <c r="P166" s="100"/>
      <c r="Q166" s="100"/>
      <c r="R166" s="100"/>
      <c r="S166" s="541"/>
      <c r="T166" s="541"/>
      <c r="U166" s="541"/>
      <c r="V166" s="541"/>
      <c r="W166" s="541"/>
      <c r="X166" s="541"/>
    </row>
    <row r="167">
      <c r="A167" s="533" t="s">
        <v>11</v>
      </c>
      <c r="B167" s="558" t="s">
        <v>1985</v>
      </c>
      <c r="C167" s="535" t="str">
        <f t="shared" si="18"/>
        <v>Segunda-Feira</v>
      </c>
      <c r="D167" s="536" t="str">
        <f>IF(C167&lt;&gt;"Quarta-Feira","13:20","08:20")</f>
        <v>13:20</v>
      </c>
      <c r="E167" s="537"/>
      <c r="F167" s="535"/>
      <c r="G167" s="538" t="s">
        <v>2926</v>
      </c>
      <c r="H167" s="539"/>
      <c r="I167" s="540"/>
      <c r="J167" s="535"/>
      <c r="K167" s="535"/>
      <c r="L167" s="541"/>
      <c r="M167" s="541"/>
      <c r="N167" s="560" t="s">
        <v>1824</v>
      </c>
      <c r="O167" s="2"/>
      <c r="P167" s="2"/>
      <c r="Q167" s="2"/>
      <c r="R167" s="2"/>
      <c r="S167" s="541"/>
      <c r="T167" s="541"/>
      <c r="U167" s="541"/>
      <c r="V167" s="541"/>
      <c r="W167" s="541"/>
      <c r="X167" s="541"/>
    </row>
    <row r="168">
      <c r="A168" s="533" t="s">
        <v>12</v>
      </c>
      <c r="B168" s="558" t="s">
        <v>1989</v>
      </c>
      <c r="C168" s="535" t="str">
        <f t="shared" si="18"/>
        <v>Segunda-Feira</v>
      </c>
      <c r="D168" s="536" t="str">
        <f>IF(C168&lt;&gt;"Quarta-Feira","13:40","08:40")</f>
        <v>13:40</v>
      </c>
      <c r="E168" s="537"/>
      <c r="F168" s="535"/>
      <c r="G168" s="538" t="s">
        <v>2926</v>
      </c>
      <c r="H168" s="539"/>
      <c r="I168" s="540"/>
      <c r="J168" s="535"/>
      <c r="K168" s="535"/>
      <c r="L168" s="541"/>
      <c r="M168" s="541"/>
      <c r="N168" s="561" t="s">
        <v>183</v>
      </c>
      <c r="O168" s="562" t="s">
        <v>195</v>
      </c>
      <c r="P168" s="562" t="s">
        <v>181</v>
      </c>
      <c r="Q168" s="563" t="s">
        <v>173</v>
      </c>
      <c r="R168" s="564" t="s">
        <v>1823</v>
      </c>
      <c r="S168" s="541"/>
      <c r="T168" s="541"/>
      <c r="U168" s="541"/>
      <c r="V168" s="541"/>
      <c r="W168" s="541"/>
      <c r="X168" s="541"/>
    </row>
    <row r="169">
      <c r="A169" s="533" t="s">
        <v>13</v>
      </c>
      <c r="B169" s="558" t="s">
        <v>1992</v>
      </c>
      <c r="C169" s="535" t="str">
        <f t="shared" si="18"/>
        <v>Segunda-Feira</v>
      </c>
      <c r="D169" s="536" t="str">
        <f>IF(C169&lt;&gt;"Quarta-Feira","14:00","09:00")</f>
        <v>14:00</v>
      </c>
      <c r="E169" s="537"/>
      <c r="F169" s="535"/>
      <c r="G169" s="538" t="s">
        <v>2926</v>
      </c>
      <c r="H169" s="539"/>
      <c r="I169" s="540"/>
      <c r="J169" s="535"/>
      <c r="K169" s="535"/>
      <c r="L169" s="541"/>
      <c r="M169" s="541"/>
      <c r="N169" s="565">
        <f t="shared" ref="N169:R169" si="19">COUNTIFS($I$166:$I$177,$N$168)</f>
        <v>0</v>
      </c>
      <c r="O169" s="565">
        <f t="shared" si="19"/>
        <v>0</v>
      </c>
      <c r="P169" s="565">
        <f t="shared" si="19"/>
        <v>0</v>
      </c>
      <c r="Q169" s="565">
        <f t="shared" si="19"/>
        <v>0</v>
      </c>
      <c r="R169" s="565">
        <f t="shared" si="19"/>
        <v>0</v>
      </c>
      <c r="S169" s="541"/>
      <c r="T169" s="541"/>
      <c r="U169" s="541"/>
      <c r="V169" s="541"/>
      <c r="W169" s="541"/>
      <c r="X169" s="541"/>
    </row>
    <row r="170">
      <c r="A170" s="533" t="s">
        <v>14</v>
      </c>
      <c r="B170" s="558" t="s">
        <v>1981</v>
      </c>
      <c r="C170" s="535" t="str">
        <f t="shared" si="18"/>
        <v>Segunda-Feira</v>
      </c>
      <c r="D170" s="536" t="str">
        <f>IF(C170&lt;&gt;"Quarta-Feira","14:20","09:20")</f>
        <v>14:20</v>
      </c>
      <c r="E170" s="537"/>
      <c r="F170" s="535"/>
      <c r="G170" s="538" t="s">
        <v>2926</v>
      </c>
      <c r="H170" s="539"/>
      <c r="I170" s="540"/>
      <c r="J170" s="535"/>
      <c r="K170" s="535"/>
      <c r="L170" s="541"/>
      <c r="M170" s="541"/>
      <c r="N170" s="541"/>
      <c r="O170" s="541"/>
      <c r="P170" s="541"/>
      <c r="Q170" s="541"/>
      <c r="R170" s="566"/>
      <c r="S170" s="541"/>
      <c r="T170" s="541"/>
      <c r="U170" s="541"/>
      <c r="V170" s="541"/>
      <c r="W170" s="541"/>
      <c r="X170" s="541"/>
    </row>
    <row r="171">
      <c r="A171" s="533" t="s">
        <v>15</v>
      </c>
      <c r="B171" s="558" t="s">
        <v>1985</v>
      </c>
      <c r="C171" s="535" t="str">
        <f t="shared" si="18"/>
        <v>Segunda-Feira</v>
      </c>
      <c r="D171" s="536" t="str">
        <f>IF(C171&lt;&gt;"Quarta-Feira","14:40","09:40")</f>
        <v>14:40</v>
      </c>
      <c r="E171" s="537"/>
      <c r="F171" s="535"/>
      <c r="G171" s="538" t="s">
        <v>2926</v>
      </c>
      <c r="H171" s="539"/>
      <c r="I171" s="540"/>
      <c r="J171" s="535"/>
      <c r="K171" s="535"/>
      <c r="L171" s="541"/>
      <c r="M171" s="541"/>
      <c r="N171" s="541"/>
      <c r="O171" s="541"/>
      <c r="P171" s="541"/>
      <c r="Q171" s="541"/>
      <c r="R171" s="566"/>
      <c r="S171" s="541"/>
      <c r="T171" s="541"/>
      <c r="U171" s="541"/>
      <c r="V171" s="541"/>
      <c r="W171" s="541"/>
      <c r="X171" s="541"/>
    </row>
    <row r="172">
      <c r="A172" s="533" t="s">
        <v>16</v>
      </c>
      <c r="B172" s="558" t="s">
        <v>1989</v>
      </c>
      <c r="C172" s="535" t="str">
        <f t="shared" si="18"/>
        <v>Segunda-Feira</v>
      </c>
      <c r="D172" s="536" t="str">
        <f>IF(C172&lt;&gt;"Quarta-Feira","15:00","10:00")</f>
        <v>15:00</v>
      </c>
      <c r="E172" s="537"/>
      <c r="F172" s="535"/>
      <c r="G172" s="538" t="s">
        <v>2926</v>
      </c>
      <c r="H172" s="539"/>
      <c r="I172" s="540"/>
      <c r="J172" s="535"/>
      <c r="K172" s="535"/>
      <c r="L172" s="541"/>
      <c r="M172" s="541"/>
      <c r="N172" s="541"/>
      <c r="O172" s="541"/>
      <c r="P172" s="541"/>
      <c r="Q172" s="541"/>
      <c r="R172" s="566"/>
      <c r="S172" s="541"/>
      <c r="T172" s="541"/>
      <c r="U172" s="541"/>
      <c r="V172" s="541"/>
      <c r="W172" s="541"/>
      <c r="X172" s="541"/>
    </row>
    <row r="173">
      <c r="A173" s="533" t="s">
        <v>17</v>
      </c>
      <c r="B173" s="558" t="s">
        <v>1992</v>
      </c>
      <c r="C173" s="535" t="str">
        <f t="shared" si="18"/>
        <v>Segunda-Feira</v>
      </c>
      <c r="D173" s="536" t="str">
        <f>IF(C173&lt;&gt;"Quarta-Feira","15:20","10:20")</f>
        <v>15:20</v>
      </c>
      <c r="E173" s="537"/>
      <c r="F173" s="535"/>
      <c r="G173" s="538" t="s">
        <v>2926</v>
      </c>
      <c r="H173" s="539"/>
      <c r="I173" s="540"/>
      <c r="J173" s="535"/>
      <c r="K173" s="535"/>
      <c r="L173" s="541"/>
      <c r="M173" s="541"/>
      <c r="N173" s="541"/>
      <c r="O173" s="541"/>
      <c r="P173" s="541"/>
      <c r="Q173" s="541"/>
      <c r="R173" s="566"/>
      <c r="S173" s="541"/>
      <c r="T173" s="541"/>
      <c r="U173" s="541"/>
      <c r="V173" s="541"/>
      <c r="W173" s="541"/>
      <c r="X173" s="541"/>
    </row>
    <row r="174">
      <c r="A174" s="533" t="s">
        <v>85</v>
      </c>
      <c r="B174" s="558" t="s">
        <v>1981</v>
      </c>
      <c r="C174" s="535" t="str">
        <f t="shared" si="18"/>
        <v>Segunda-Feira</v>
      </c>
      <c r="D174" s="536" t="str">
        <f>IF(C174&lt;&gt;"Quarta-Feira","15:40","10:40")</f>
        <v>15:40</v>
      </c>
      <c r="E174" s="537"/>
      <c r="F174" s="535"/>
      <c r="G174" s="538" t="s">
        <v>2926</v>
      </c>
      <c r="H174" s="539"/>
      <c r="I174" s="540"/>
      <c r="J174" s="535"/>
      <c r="K174" s="535"/>
      <c r="L174" s="541"/>
      <c r="M174" s="541"/>
      <c r="N174" s="541"/>
      <c r="O174" s="541"/>
      <c r="P174" s="541"/>
      <c r="Q174" s="541"/>
      <c r="R174" s="566"/>
      <c r="S174" s="541"/>
      <c r="T174" s="541"/>
      <c r="U174" s="541"/>
      <c r="V174" s="541"/>
      <c r="W174" s="541"/>
      <c r="X174" s="541"/>
    </row>
    <row r="175">
      <c r="A175" s="533" t="s">
        <v>87</v>
      </c>
      <c r="B175" s="558" t="s">
        <v>1985</v>
      </c>
      <c r="C175" s="535" t="str">
        <f t="shared" si="18"/>
        <v>Segunda-Feira</v>
      </c>
      <c r="D175" s="536" t="str">
        <f>IF(C175&lt;&gt;"Quarta-Feira","16:00","11:00")</f>
        <v>16:00</v>
      </c>
      <c r="E175" s="537"/>
      <c r="F175" s="535"/>
      <c r="G175" s="538" t="s">
        <v>2926</v>
      </c>
      <c r="H175" s="539"/>
      <c r="I175" s="540"/>
      <c r="J175" s="535"/>
      <c r="K175" s="535"/>
      <c r="L175" s="541"/>
      <c r="M175" s="541"/>
      <c r="N175" s="541"/>
      <c r="O175" s="541"/>
      <c r="P175" s="541"/>
      <c r="Q175" s="541"/>
      <c r="R175" s="566"/>
      <c r="S175" s="541"/>
      <c r="T175" s="541"/>
      <c r="U175" s="541"/>
      <c r="V175" s="541"/>
      <c r="W175" s="541"/>
      <c r="X175" s="541"/>
    </row>
    <row r="176">
      <c r="A176" s="533" t="s">
        <v>90</v>
      </c>
      <c r="B176" s="558" t="s">
        <v>1989</v>
      </c>
      <c r="C176" s="535" t="str">
        <f t="shared" si="18"/>
        <v>Segunda-Feira</v>
      </c>
      <c r="D176" s="536" t="str">
        <f>IF(C176&lt;&gt;"Quarta-Feira","16:20","11:20")</f>
        <v>16:20</v>
      </c>
      <c r="E176" s="537"/>
      <c r="F176" s="535"/>
      <c r="G176" s="538" t="s">
        <v>2926</v>
      </c>
      <c r="H176" s="539"/>
      <c r="I176" s="540"/>
      <c r="J176" s="535"/>
      <c r="K176" s="535"/>
      <c r="L176" s="541"/>
      <c r="M176" s="541"/>
      <c r="N176" s="541"/>
      <c r="O176" s="541"/>
      <c r="P176" s="541"/>
      <c r="Q176" s="541"/>
      <c r="R176" s="566"/>
      <c r="S176" s="541"/>
      <c r="T176" s="541"/>
      <c r="U176" s="541"/>
      <c r="V176" s="541"/>
      <c r="W176" s="541"/>
      <c r="X176" s="541"/>
    </row>
    <row r="177">
      <c r="A177" s="533" t="s">
        <v>93</v>
      </c>
      <c r="B177" s="558" t="s">
        <v>1992</v>
      </c>
      <c r="C177" s="535" t="str">
        <f t="shared" si="18"/>
        <v>Segunda-Feira</v>
      </c>
      <c r="D177" s="536" t="str">
        <f>IF(C177&lt;&gt;"Quarta-Feira","16:40","11:40")</f>
        <v>16:40</v>
      </c>
      <c r="E177" s="537"/>
      <c r="F177" s="535"/>
      <c r="G177" s="538" t="s">
        <v>2926</v>
      </c>
      <c r="H177" s="539"/>
      <c r="I177" s="540"/>
      <c r="J177" s="535"/>
      <c r="K177" s="535"/>
      <c r="L177" s="541"/>
      <c r="M177" s="541"/>
      <c r="N177" s="541"/>
      <c r="O177" s="541"/>
      <c r="P177" s="541"/>
      <c r="Q177" s="541"/>
      <c r="R177" s="566"/>
      <c r="S177" s="541"/>
      <c r="T177" s="541"/>
      <c r="U177" s="541"/>
      <c r="V177" s="541"/>
      <c r="W177" s="541"/>
      <c r="X177" s="541"/>
    </row>
    <row r="178">
      <c r="B178" s="182"/>
      <c r="E178" s="261"/>
      <c r="G178" s="182"/>
      <c r="J178" s="67"/>
      <c r="K178" s="67"/>
      <c r="R178" s="67"/>
    </row>
    <row r="179">
      <c r="B179" s="182"/>
      <c r="E179" s="261"/>
      <c r="G179" s="182"/>
      <c r="J179" s="67"/>
      <c r="K179" s="67"/>
      <c r="R179" s="67"/>
    </row>
    <row r="180">
      <c r="B180" s="182"/>
      <c r="E180" s="261"/>
      <c r="G180" s="182"/>
      <c r="J180" s="67"/>
      <c r="K180" s="67"/>
      <c r="R180" s="67"/>
    </row>
    <row r="181">
      <c r="A181" s="23" t="s">
        <v>378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  <c r="R181" s="67"/>
    </row>
    <row r="182">
      <c r="A182" s="24" t="str">
        <f>TEXT(DATE(VALUE(MID(A164,7,4)),VALUE(MID(A164,4,2)),VALUE(LEFT(A164,2)))+2,"dd/mm/yyyy")&amp;" 08h às 13h"</f>
        <v>22/04/2026 08h às 13h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>
      <c r="A183" s="25"/>
      <c r="B183" s="489" t="s">
        <v>3</v>
      </c>
      <c r="C183" s="27" t="s">
        <v>2</v>
      </c>
      <c r="D183" s="28" t="s">
        <v>5</v>
      </c>
      <c r="E183" s="29" t="s">
        <v>19</v>
      </c>
      <c r="F183" s="28" t="s">
        <v>6</v>
      </c>
      <c r="G183" s="264" t="s">
        <v>7</v>
      </c>
      <c r="H183" s="30" t="s">
        <v>8</v>
      </c>
      <c r="I183" s="31" t="s">
        <v>20</v>
      </c>
      <c r="J183" s="32" t="s">
        <v>21</v>
      </c>
      <c r="K183" s="32" t="s">
        <v>22</v>
      </c>
    </row>
    <row r="184">
      <c r="A184" s="12" t="s">
        <v>10</v>
      </c>
      <c r="B184" s="227" t="s">
        <v>2014</v>
      </c>
      <c r="C184" s="74" t="str">
        <f t="shared" ref="C184:C195" si="20">PROPER(TEXT(DATE(MID($A$128,7,4),MID($A$128,4,2),LEFT($A$128,2)),"dddd"))</f>
        <v>Quarta-Feira</v>
      </c>
      <c r="D184" s="512" t="str">
        <f>IF(C184&lt;&gt;"Quarta-Feira","13:00","08:00")</f>
        <v>08:00</v>
      </c>
      <c r="E184" s="287" t="s">
        <v>2927</v>
      </c>
      <c r="F184" s="74">
        <v>8.01440406643755E14</v>
      </c>
      <c r="G184" s="167" t="s">
        <v>2928</v>
      </c>
      <c r="H184" s="211">
        <v>27301.0</v>
      </c>
      <c r="I184" s="34" t="s">
        <v>183</v>
      </c>
      <c r="J184" s="74"/>
      <c r="K184" s="74"/>
      <c r="N184" s="268" t="s">
        <v>387</v>
      </c>
      <c r="O184" s="100"/>
      <c r="P184" s="100"/>
      <c r="Q184" s="100"/>
      <c r="R184" s="100"/>
    </row>
    <row r="185">
      <c r="A185" s="12" t="s">
        <v>11</v>
      </c>
      <c r="B185" s="227" t="s">
        <v>2019</v>
      </c>
      <c r="C185" s="74" t="str">
        <f t="shared" si="20"/>
        <v>Quarta-Feira</v>
      </c>
      <c r="D185" s="512" t="str">
        <f>IF(C185&lt;&gt;"Quarta-Feira","13:20","08:20")</f>
        <v>08:20</v>
      </c>
      <c r="E185" s="287" t="s">
        <v>2929</v>
      </c>
      <c r="F185" s="74">
        <v>7.00901901066998E14</v>
      </c>
      <c r="G185" s="167" t="s">
        <v>2930</v>
      </c>
      <c r="H185" s="77">
        <v>14097.0</v>
      </c>
      <c r="I185" s="34" t="s">
        <v>183</v>
      </c>
      <c r="J185" s="74"/>
      <c r="K185" s="74"/>
      <c r="N185" s="270" t="s">
        <v>1824</v>
      </c>
      <c r="O185" s="2"/>
      <c r="P185" s="2"/>
      <c r="Q185" s="2"/>
      <c r="R185" s="2"/>
    </row>
    <row r="186">
      <c r="A186" s="12" t="s">
        <v>12</v>
      </c>
      <c r="B186" s="227" t="s">
        <v>2021</v>
      </c>
      <c r="C186" s="74" t="str">
        <f t="shared" si="20"/>
        <v>Quarta-Feira</v>
      </c>
      <c r="D186" s="512" t="str">
        <f>IF(C186&lt;&gt;"Quarta-Feira","13:40","08:40")</f>
        <v>08:40</v>
      </c>
      <c r="E186" s="287" t="s">
        <v>2931</v>
      </c>
      <c r="F186" s="74">
        <v>7.04602162510423E14</v>
      </c>
      <c r="G186" s="167" t="s">
        <v>2932</v>
      </c>
      <c r="H186" s="83">
        <v>20905.0</v>
      </c>
      <c r="I186" s="34" t="s">
        <v>183</v>
      </c>
      <c r="J186" s="74"/>
      <c r="K186" s="74"/>
      <c r="N186" s="271" t="s">
        <v>183</v>
      </c>
      <c r="O186" s="272" t="s">
        <v>195</v>
      </c>
      <c r="P186" s="272" t="s">
        <v>2348</v>
      </c>
      <c r="Q186" s="273" t="s">
        <v>173</v>
      </c>
      <c r="R186" s="286" t="s">
        <v>1823</v>
      </c>
    </row>
    <row r="187">
      <c r="A187" s="12" t="s">
        <v>13</v>
      </c>
      <c r="B187" s="227" t="s">
        <v>2024</v>
      </c>
      <c r="C187" s="74" t="str">
        <f t="shared" si="20"/>
        <v>Quarta-Feira</v>
      </c>
      <c r="D187" s="512" t="str">
        <f>IF(C187&lt;&gt;"Quarta-Feira","14:00","09:00")</f>
        <v>09:00</v>
      </c>
      <c r="E187" s="287" t="s">
        <v>2933</v>
      </c>
      <c r="F187" s="74">
        <v>7.00108925840611E14</v>
      </c>
      <c r="G187" s="167" t="s">
        <v>2934</v>
      </c>
      <c r="H187" s="83">
        <v>25424.0</v>
      </c>
      <c r="I187" s="34" t="s">
        <v>183</v>
      </c>
      <c r="J187" s="74"/>
      <c r="K187" s="74"/>
      <c r="N187" s="275">
        <f t="shared" ref="N187:R187" si="21">COUNTIFS($I$184:$I$195,N186)</f>
        <v>10</v>
      </c>
      <c r="O187" s="275">
        <f t="shared" si="21"/>
        <v>0</v>
      </c>
      <c r="P187" s="275">
        <f t="shared" si="21"/>
        <v>0</v>
      </c>
      <c r="Q187" s="275">
        <f t="shared" si="21"/>
        <v>0</v>
      </c>
      <c r="R187" s="275">
        <f t="shared" si="21"/>
        <v>2</v>
      </c>
    </row>
    <row r="188">
      <c r="A188" s="12" t="s">
        <v>14</v>
      </c>
      <c r="B188" s="227" t="s">
        <v>2019</v>
      </c>
      <c r="C188" s="74" t="str">
        <f t="shared" si="20"/>
        <v>Quarta-Feira</v>
      </c>
      <c r="D188" s="512" t="str">
        <f>IF(C188&lt;&gt;"Quarta-Feira","14:20","09:20")</f>
        <v>09:20</v>
      </c>
      <c r="E188" s="287" t="s">
        <v>2935</v>
      </c>
      <c r="F188" s="74">
        <v>7.00406974314249E14</v>
      </c>
      <c r="G188" s="167" t="s">
        <v>2936</v>
      </c>
      <c r="H188" s="83">
        <v>14957.0</v>
      </c>
      <c r="I188" s="34" t="s">
        <v>183</v>
      </c>
      <c r="J188" s="74"/>
      <c r="K188" s="74"/>
      <c r="R188" s="67"/>
    </row>
    <row r="189">
      <c r="A189" s="12" t="s">
        <v>15</v>
      </c>
      <c r="B189" s="227" t="s">
        <v>2021</v>
      </c>
      <c r="C189" s="74" t="str">
        <f t="shared" si="20"/>
        <v>Quarta-Feira</v>
      </c>
      <c r="D189" s="512" t="str">
        <f>IF(C189&lt;&gt;"Quarta-Feira","14:40","09:40")</f>
        <v>09:40</v>
      </c>
      <c r="E189" s="287" t="s">
        <v>2899</v>
      </c>
      <c r="F189" s="74">
        <v>7.00004726739403E14</v>
      </c>
      <c r="G189" s="167" t="s">
        <v>2900</v>
      </c>
      <c r="H189" s="83">
        <v>26024.0</v>
      </c>
      <c r="I189" s="34" t="s">
        <v>183</v>
      </c>
      <c r="J189" s="74"/>
      <c r="K189" s="74"/>
      <c r="R189" s="67"/>
    </row>
    <row r="190">
      <c r="A190" s="12" t="s">
        <v>16</v>
      </c>
      <c r="B190" s="227" t="s">
        <v>2014</v>
      </c>
      <c r="C190" s="74" t="str">
        <f t="shared" si="20"/>
        <v>Quarta-Feira</v>
      </c>
      <c r="D190" s="512" t="str">
        <f>IF(C190&lt;&gt;"Quarta-Feira","15:00","10:00")</f>
        <v>10:00</v>
      </c>
      <c r="E190" s="287" t="s">
        <v>2937</v>
      </c>
      <c r="F190" s="74">
        <v>7.0050697576016E14</v>
      </c>
      <c r="G190" s="167" t="s">
        <v>2938</v>
      </c>
      <c r="H190" s="77">
        <v>21205.0</v>
      </c>
      <c r="I190" s="34" t="s">
        <v>183</v>
      </c>
      <c r="J190" s="74"/>
      <c r="K190" s="74"/>
      <c r="R190" s="67"/>
    </row>
    <row r="191">
      <c r="A191" s="12" t="s">
        <v>17</v>
      </c>
      <c r="B191" s="227" t="s">
        <v>2019</v>
      </c>
      <c r="C191" s="74" t="str">
        <f t="shared" si="20"/>
        <v>Quarta-Feira</v>
      </c>
      <c r="D191" s="512" t="str">
        <f>IF(C191&lt;&gt;"Quarta-Feira","15:20","10:20")</f>
        <v>10:20</v>
      </c>
      <c r="E191" s="287" t="s">
        <v>2939</v>
      </c>
      <c r="F191" s="74">
        <v>7.00505141993159E14</v>
      </c>
      <c r="G191" s="167" t="s">
        <v>2940</v>
      </c>
      <c r="H191" s="77">
        <v>18233.0</v>
      </c>
      <c r="I191" s="34" t="s">
        <v>183</v>
      </c>
      <c r="J191" s="74"/>
      <c r="K191" s="74"/>
      <c r="R191" s="67"/>
    </row>
    <row r="192">
      <c r="A192" s="12" t="s">
        <v>85</v>
      </c>
      <c r="B192" s="227" t="s">
        <v>2024</v>
      </c>
      <c r="C192" s="74" t="str">
        <f t="shared" si="20"/>
        <v>Quarta-Feira</v>
      </c>
      <c r="D192" s="512" t="str">
        <f>IF(C192&lt;&gt;"Quarta-Feira","15:40","10:40")</f>
        <v>10:40</v>
      </c>
      <c r="E192" s="287" t="s">
        <v>2941</v>
      </c>
      <c r="F192" s="74">
        <v>7.05004444659055E14</v>
      </c>
      <c r="G192" s="167" t="s">
        <v>2942</v>
      </c>
      <c r="H192" s="83">
        <v>29905.0</v>
      </c>
      <c r="I192" s="34" t="s">
        <v>183</v>
      </c>
      <c r="J192" s="74"/>
      <c r="K192" s="74"/>
      <c r="R192" s="67"/>
    </row>
    <row r="193">
      <c r="A193" s="12" t="s">
        <v>87</v>
      </c>
      <c r="B193" s="227" t="s">
        <v>2021</v>
      </c>
      <c r="C193" s="74" t="str">
        <f t="shared" si="20"/>
        <v>Quarta-Feira</v>
      </c>
      <c r="D193" s="512" t="str">
        <f>IF(C193&lt;&gt;"Quarta-Feira","16:00","11:00")</f>
        <v>11:00</v>
      </c>
      <c r="E193" s="287" t="s">
        <v>2943</v>
      </c>
      <c r="F193" s="74">
        <v>7.04800040197247E14</v>
      </c>
      <c r="G193" s="167" t="s">
        <v>2944</v>
      </c>
      <c r="H193" s="166">
        <v>27624.0</v>
      </c>
      <c r="I193" s="34" t="s">
        <v>1823</v>
      </c>
      <c r="J193" s="74"/>
      <c r="K193" s="74"/>
      <c r="R193" s="67"/>
    </row>
    <row r="194">
      <c r="A194" s="12" t="s">
        <v>90</v>
      </c>
      <c r="B194" s="227" t="s">
        <v>2024</v>
      </c>
      <c r="C194" s="74" t="str">
        <f t="shared" si="20"/>
        <v>Quarta-Feira</v>
      </c>
      <c r="D194" s="512" t="str">
        <f>IF(C194&lt;&gt;"Quarta-Feira","16:20","11:20")</f>
        <v>11:20</v>
      </c>
      <c r="E194" s="287" t="s">
        <v>2945</v>
      </c>
      <c r="F194" s="74">
        <v>7.02008356638985E14</v>
      </c>
      <c r="G194" s="167" t="s">
        <v>2946</v>
      </c>
      <c r="H194" s="166">
        <v>25133.0</v>
      </c>
      <c r="I194" s="34" t="s">
        <v>183</v>
      </c>
      <c r="J194" s="74"/>
      <c r="K194" s="74"/>
      <c r="R194" s="67"/>
    </row>
    <row r="195">
      <c r="A195" s="12" t="s">
        <v>93</v>
      </c>
      <c r="B195" s="227" t="s">
        <v>2014</v>
      </c>
      <c r="C195" s="74" t="str">
        <f t="shared" si="20"/>
        <v>Quarta-Feira</v>
      </c>
      <c r="D195" s="512" t="str">
        <f>IF(C195&lt;&gt;"Quarta-Feira","16:40","11:40")</f>
        <v>11:40</v>
      </c>
      <c r="E195" s="287" t="s">
        <v>2947</v>
      </c>
      <c r="F195" s="74">
        <v>7.02905527708876E14</v>
      </c>
      <c r="G195" s="167" t="s">
        <v>2948</v>
      </c>
      <c r="H195" s="166">
        <v>29246.0</v>
      </c>
      <c r="I195" s="34" t="s">
        <v>1823</v>
      </c>
      <c r="J195" s="74"/>
      <c r="K195" s="74"/>
      <c r="R195" s="67"/>
    </row>
    <row r="196">
      <c r="B196" s="182"/>
      <c r="E196" s="261"/>
      <c r="G196" s="182"/>
      <c r="J196" s="67"/>
      <c r="K196" s="67"/>
      <c r="R196" s="67"/>
    </row>
    <row r="197">
      <c r="B197" s="182"/>
      <c r="E197" s="261"/>
      <c r="G197" s="182"/>
      <c r="J197" s="67"/>
      <c r="K197" s="67"/>
      <c r="R197" s="67"/>
    </row>
    <row r="198">
      <c r="B198" s="182"/>
      <c r="E198" s="261"/>
      <c r="G198" s="182"/>
      <c r="J198" s="67"/>
      <c r="K198" s="67"/>
      <c r="R198" s="67"/>
    </row>
    <row r="199">
      <c r="A199" s="23" t="s">
        <v>378</v>
      </c>
      <c r="B199" s="2"/>
      <c r="C199" s="2"/>
      <c r="D199" s="2"/>
      <c r="E199" s="2"/>
      <c r="F199" s="2"/>
      <c r="G199" s="2"/>
      <c r="H199" s="2"/>
      <c r="I199" s="2"/>
      <c r="J199" s="2"/>
      <c r="K199" s="3"/>
      <c r="R199" s="67"/>
    </row>
    <row r="200">
      <c r="A200" s="24" t="str">
        <f>TEXT(DATE(VALUE(MID(A182,7,4)),VALUE(MID(A182,4,2)),VALUE(LEFT(A182,2)))+2,"dd/mm/yyyy")&amp;" 08h às 13h"</f>
        <v>24/04/2026 08h às 13h</v>
      </c>
      <c r="B200" s="2"/>
      <c r="C200" s="2"/>
      <c r="D200" s="2"/>
      <c r="E200" s="2"/>
      <c r="F200" s="2"/>
      <c r="G200" s="2"/>
      <c r="H200" s="2"/>
      <c r="I200" s="2"/>
      <c r="J200" s="2"/>
      <c r="K200" s="3"/>
      <c r="R200" s="67"/>
    </row>
    <row r="201">
      <c r="A201" s="25"/>
      <c r="B201" s="489" t="s">
        <v>3</v>
      </c>
      <c r="C201" s="27" t="s">
        <v>2</v>
      </c>
      <c r="D201" s="28" t="s">
        <v>5</v>
      </c>
      <c r="E201" s="29" t="s">
        <v>19</v>
      </c>
      <c r="F201" s="28" t="s">
        <v>6</v>
      </c>
      <c r="G201" s="264" t="s">
        <v>7</v>
      </c>
      <c r="H201" s="30" t="s">
        <v>8</v>
      </c>
      <c r="I201" s="31" t="s">
        <v>20</v>
      </c>
      <c r="J201" s="32" t="s">
        <v>21</v>
      </c>
      <c r="K201" s="32" t="s">
        <v>22</v>
      </c>
      <c r="R201" s="67"/>
    </row>
    <row r="202">
      <c r="A202" s="12" t="s">
        <v>10</v>
      </c>
      <c r="B202" s="227" t="s">
        <v>2381</v>
      </c>
      <c r="C202" s="74" t="str">
        <f t="shared" ref="C202:C213" si="22">PROPER(TEXT(DATE(MID($A$146,7,4),MID($A$146,4,2),LEFT($A$146,2)),"dddd"))</f>
        <v>Sexta-Feira</v>
      </c>
      <c r="D202" s="512" t="str">
        <f>IF(C202&lt;&gt;"Quarta-Feira","13:00","08:00")</f>
        <v>13:00</v>
      </c>
      <c r="E202" s="287" t="s">
        <v>2949</v>
      </c>
      <c r="F202" s="459">
        <v>8.01440415320238E14</v>
      </c>
      <c r="G202" s="167" t="s">
        <v>2950</v>
      </c>
      <c r="H202" s="83">
        <v>23438.0</v>
      </c>
      <c r="I202" s="34" t="s">
        <v>1823</v>
      </c>
      <c r="J202" s="74"/>
      <c r="K202" s="74"/>
      <c r="N202" s="268" t="s">
        <v>387</v>
      </c>
      <c r="O202" s="100"/>
      <c r="P202" s="100"/>
      <c r="Q202" s="100"/>
      <c r="R202" s="100"/>
    </row>
    <row r="203">
      <c r="A203" s="12" t="s">
        <v>11</v>
      </c>
      <c r="B203" s="227" t="s">
        <v>2384</v>
      </c>
      <c r="C203" s="74" t="str">
        <f t="shared" si="22"/>
        <v>Sexta-Feira</v>
      </c>
      <c r="D203" s="512" t="str">
        <f>IF(C203&lt;&gt;"Quarta-Feira","13:20","08:20")</f>
        <v>13:20</v>
      </c>
      <c r="E203" s="287" t="s">
        <v>2951</v>
      </c>
      <c r="F203" s="74">
        <v>8.01440417549054E14</v>
      </c>
      <c r="G203" s="167" t="s">
        <v>2952</v>
      </c>
      <c r="H203" s="83">
        <v>22980.0</v>
      </c>
      <c r="I203" s="34" t="s">
        <v>183</v>
      </c>
      <c r="J203" s="74"/>
      <c r="K203" s="74"/>
      <c r="N203" s="270" t="s">
        <v>1824</v>
      </c>
      <c r="O203" s="2"/>
      <c r="P203" s="2"/>
      <c r="Q203" s="2"/>
      <c r="R203" s="2"/>
    </row>
    <row r="204">
      <c r="A204" s="12" t="s">
        <v>12</v>
      </c>
      <c r="B204" s="227" t="s">
        <v>2387</v>
      </c>
      <c r="C204" s="74" t="str">
        <f t="shared" si="22"/>
        <v>Sexta-Feira</v>
      </c>
      <c r="D204" s="512" t="str">
        <f>IF(C204&lt;&gt;"Quarta-Feira","13:40","08:40")</f>
        <v>13:40</v>
      </c>
      <c r="E204" s="287" t="s">
        <v>2953</v>
      </c>
      <c r="F204" s="74">
        <v>7.04609690726422E14</v>
      </c>
      <c r="G204" s="167" t="s">
        <v>2954</v>
      </c>
      <c r="H204" s="83">
        <v>19816.0</v>
      </c>
      <c r="I204" s="34" t="s">
        <v>183</v>
      </c>
      <c r="J204" s="74"/>
      <c r="K204" s="74"/>
      <c r="N204" s="271" t="s">
        <v>183</v>
      </c>
      <c r="O204" s="272" t="s">
        <v>195</v>
      </c>
      <c r="P204" s="272" t="s">
        <v>181</v>
      </c>
      <c r="Q204" s="273" t="s">
        <v>173</v>
      </c>
      <c r="R204" s="286" t="s">
        <v>1823</v>
      </c>
    </row>
    <row r="205">
      <c r="A205" s="12" t="s">
        <v>13</v>
      </c>
      <c r="B205" s="227" t="s">
        <v>2390</v>
      </c>
      <c r="C205" s="74" t="str">
        <f t="shared" si="22"/>
        <v>Sexta-Feira</v>
      </c>
      <c r="D205" s="512" t="str">
        <f>IF(C205&lt;&gt;"Quarta-Feira","14:00","09:00")</f>
        <v>14:00</v>
      </c>
      <c r="E205" s="287" t="s">
        <v>2955</v>
      </c>
      <c r="F205" s="74">
        <v>8.01440477187876E14</v>
      </c>
      <c r="G205" s="167" t="s">
        <v>2956</v>
      </c>
      <c r="H205" s="83">
        <v>17548.0</v>
      </c>
      <c r="I205" s="34" t="s">
        <v>183</v>
      </c>
      <c r="J205" s="74"/>
      <c r="K205" s="74"/>
      <c r="N205" s="275">
        <f t="shared" ref="N205:R205" si="23">COUNTIFS($I$202:$I$213,N204)</f>
        <v>9</v>
      </c>
      <c r="O205" s="275">
        <f t="shared" si="23"/>
        <v>0</v>
      </c>
      <c r="P205" s="275">
        <f t="shared" si="23"/>
        <v>0</v>
      </c>
      <c r="Q205" s="275">
        <f t="shared" si="23"/>
        <v>0</v>
      </c>
      <c r="R205" s="275">
        <f t="shared" si="23"/>
        <v>2</v>
      </c>
    </row>
    <row r="206">
      <c r="A206" s="12" t="s">
        <v>14</v>
      </c>
      <c r="B206" s="227" t="s">
        <v>2381</v>
      </c>
      <c r="C206" s="74" t="str">
        <f t="shared" si="22"/>
        <v>Sexta-Feira</v>
      </c>
      <c r="D206" s="512" t="str">
        <f>IF(C206&lt;&gt;"Quarta-Feira","14:20","09:20")</f>
        <v>14:20</v>
      </c>
      <c r="E206" s="287" t="s">
        <v>2957</v>
      </c>
      <c r="F206" s="74">
        <v>8.01440470124542E14</v>
      </c>
      <c r="G206" s="167" t="s">
        <v>2050</v>
      </c>
      <c r="H206" s="83">
        <v>15031.0</v>
      </c>
      <c r="I206" s="34" t="s">
        <v>183</v>
      </c>
      <c r="J206" s="74"/>
      <c r="K206" s="74"/>
      <c r="R206" s="67"/>
    </row>
    <row r="207">
      <c r="A207" s="12" t="s">
        <v>15</v>
      </c>
      <c r="B207" s="227" t="s">
        <v>2384</v>
      </c>
      <c r="C207" s="74" t="str">
        <f t="shared" si="22"/>
        <v>Sexta-Feira</v>
      </c>
      <c r="D207" s="512" t="str">
        <f>IF(C207&lt;&gt;"Quarta-Feira","14:40","09:40")</f>
        <v>14:40</v>
      </c>
      <c r="E207" s="287" t="s">
        <v>2958</v>
      </c>
      <c r="F207" s="74">
        <v>7.00408496140742E14</v>
      </c>
      <c r="G207" s="167" t="s">
        <v>2959</v>
      </c>
      <c r="H207" s="83">
        <v>17710.0</v>
      </c>
      <c r="I207" s="34" t="s">
        <v>183</v>
      </c>
      <c r="J207" s="74"/>
      <c r="K207" s="74"/>
      <c r="R207" s="67"/>
    </row>
    <row r="208">
      <c r="A208" s="12" t="s">
        <v>16</v>
      </c>
      <c r="B208" s="227" t="s">
        <v>2387</v>
      </c>
      <c r="C208" s="74" t="str">
        <f t="shared" si="22"/>
        <v>Sexta-Feira</v>
      </c>
      <c r="D208" s="512" t="str">
        <f>IF(C208&lt;&gt;"Quarta-Feira","15:00","10:00")</f>
        <v>15:00</v>
      </c>
      <c r="E208" s="287" t="s">
        <v>2960</v>
      </c>
      <c r="F208" s="459">
        <v>7.03401202954915E14</v>
      </c>
      <c r="G208" s="167" t="s">
        <v>2961</v>
      </c>
      <c r="H208" s="83">
        <v>22135.0</v>
      </c>
      <c r="I208" s="34" t="s">
        <v>183</v>
      </c>
      <c r="J208" s="74"/>
      <c r="K208" s="74"/>
      <c r="R208" s="67"/>
    </row>
    <row r="209">
      <c r="A209" s="12" t="s">
        <v>17</v>
      </c>
      <c r="B209" s="227" t="s">
        <v>2390</v>
      </c>
      <c r="C209" s="74" t="str">
        <f t="shared" si="22"/>
        <v>Sexta-Feira</v>
      </c>
      <c r="D209" s="512" t="str">
        <f>IF(C209&lt;&gt;"Quarta-Feira","15:20","10:20")</f>
        <v>15:20</v>
      </c>
      <c r="E209" s="287" t="s">
        <v>2962</v>
      </c>
      <c r="F209" s="74">
        <v>2.06882035790004E14</v>
      </c>
      <c r="G209" s="167" t="s">
        <v>1951</v>
      </c>
      <c r="H209" s="83">
        <v>28626.0</v>
      </c>
      <c r="I209" s="34" t="s">
        <v>1823</v>
      </c>
      <c r="J209" s="74"/>
      <c r="K209" s="74"/>
      <c r="R209" s="67"/>
    </row>
    <row r="210">
      <c r="A210" s="12" t="s">
        <v>85</v>
      </c>
      <c r="B210" s="227" t="s">
        <v>2384</v>
      </c>
      <c r="C210" s="74" t="str">
        <f t="shared" si="22"/>
        <v>Sexta-Feira</v>
      </c>
      <c r="D210" s="512" t="str">
        <f>IF(C210&lt;&gt;"Quarta-Feira","15:40","10:40")</f>
        <v>15:40</v>
      </c>
      <c r="E210" s="287"/>
      <c r="F210" s="74"/>
      <c r="G210" s="167"/>
      <c r="H210" s="83"/>
      <c r="I210" s="34" t="s">
        <v>2348</v>
      </c>
      <c r="J210" s="74"/>
      <c r="K210" s="74"/>
      <c r="R210" s="67"/>
    </row>
    <row r="211">
      <c r="A211" s="12" t="s">
        <v>87</v>
      </c>
      <c r="B211" s="227" t="s">
        <v>2381</v>
      </c>
      <c r="C211" s="74" t="str">
        <f t="shared" si="22"/>
        <v>Sexta-Feira</v>
      </c>
      <c r="D211" s="512" t="str">
        <f>IF(C211&lt;&gt;"Quarta-Feira","16:00","11:00")</f>
        <v>16:00</v>
      </c>
      <c r="E211" s="287" t="s">
        <v>2963</v>
      </c>
      <c r="F211" s="74">
        <v>7.04606660252527E14</v>
      </c>
      <c r="G211" s="167" t="s">
        <v>2964</v>
      </c>
      <c r="H211" s="166">
        <v>21774.0</v>
      </c>
      <c r="I211" s="34" t="s">
        <v>183</v>
      </c>
      <c r="J211" s="74"/>
      <c r="K211" s="74"/>
      <c r="R211" s="67"/>
    </row>
    <row r="212">
      <c r="A212" s="12" t="s">
        <v>90</v>
      </c>
      <c r="B212" s="227" t="s">
        <v>2381</v>
      </c>
      <c r="C212" s="74" t="str">
        <f t="shared" si="22"/>
        <v>Sexta-Feira</v>
      </c>
      <c r="D212" s="512" t="str">
        <f>IF(C212&lt;&gt;"Quarta-Feira","16:20","11:20")</f>
        <v>16:20</v>
      </c>
      <c r="E212" s="287" t="s">
        <v>2965</v>
      </c>
      <c r="F212" s="74">
        <v>7.07605285229592E14</v>
      </c>
      <c r="G212" s="167" t="s">
        <v>2966</v>
      </c>
      <c r="H212" s="166">
        <v>20749.0</v>
      </c>
      <c r="I212" s="34" t="s">
        <v>183</v>
      </c>
      <c r="J212" s="74"/>
      <c r="K212" s="74"/>
      <c r="R212" s="67"/>
    </row>
    <row r="213">
      <c r="A213" s="12" t="s">
        <v>93</v>
      </c>
      <c r="B213" s="227" t="s">
        <v>2381</v>
      </c>
      <c r="C213" s="74" t="str">
        <f t="shared" si="22"/>
        <v>Sexta-Feira</v>
      </c>
      <c r="D213" s="512" t="str">
        <f>IF(C213&lt;&gt;"Quarta-Feira","16:40","11:40")</f>
        <v>16:40</v>
      </c>
      <c r="E213" s="287" t="s">
        <v>2967</v>
      </c>
      <c r="F213" s="74">
        <v>8.01440401081368E14</v>
      </c>
      <c r="G213" s="167" t="s">
        <v>2968</v>
      </c>
      <c r="H213" s="166">
        <v>19637.0</v>
      </c>
      <c r="I213" s="34" t="s">
        <v>183</v>
      </c>
      <c r="J213" s="74"/>
      <c r="K213" s="74"/>
      <c r="R213" s="67"/>
    </row>
    <row r="214">
      <c r="B214" s="182"/>
      <c r="E214" s="261"/>
      <c r="G214" s="182"/>
      <c r="J214" s="67"/>
      <c r="K214" s="67"/>
      <c r="R214" s="67"/>
    </row>
    <row r="215">
      <c r="B215" s="182"/>
      <c r="J215" s="67"/>
      <c r="K215" s="67"/>
      <c r="R215" s="67"/>
    </row>
    <row r="216">
      <c r="B216" s="182"/>
      <c r="E216" s="261"/>
      <c r="G216" s="182"/>
      <c r="J216" s="67"/>
      <c r="K216" s="67"/>
      <c r="R216" s="67"/>
    </row>
    <row r="217">
      <c r="A217" s="23" t="s">
        <v>378</v>
      </c>
      <c r="B217" s="2"/>
      <c r="C217" s="2"/>
      <c r="D217" s="2"/>
      <c r="E217" s="2"/>
      <c r="F217" s="2"/>
      <c r="G217" s="2"/>
      <c r="H217" s="2"/>
      <c r="I217" s="2"/>
      <c r="J217" s="2"/>
      <c r="K217" s="3"/>
      <c r="R217" s="67"/>
    </row>
    <row r="218">
      <c r="A218" s="24" t="str">
        <f>TEXT(DATE(VALUE(MID(A164,7,4)),VALUE(MID(A164,4,2)),VALUE(LEFT(A164,2)))+7,"dd/mm/yyyy")&amp;" 13h às 17h"</f>
        <v>27/04/2026 13h às 17h</v>
      </c>
      <c r="B218" s="2"/>
      <c r="C218" s="2"/>
      <c r="D218" s="2"/>
      <c r="E218" s="2"/>
      <c r="F218" s="2"/>
      <c r="G218" s="2"/>
      <c r="H218" s="2"/>
      <c r="I218" s="2"/>
      <c r="J218" s="2"/>
      <c r="K218" s="3"/>
      <c r="R218" s="67"/>
    </row>
    <row r="219">
      <c r="A219" s="25"/>
      <c r="B219" s="489" t="s">
        <v>3</v>
      </c>
      <c r="C219" s="27" t="s">
        <v>2</v>
      </c>
      <c r="D219" s="28" t="s">
        <v>5</v>
      </c>
      <c r="E219" s="29" t="s">
        <v>19</v>
      </c>
      <c r="F219" s="28" t="s">
        <v>6</v>
      </c>
      <c r="G219" s="264" t="s">
        <v>7</v>
      </c>
      <c r="H219" s="30" t="s">
        <v>8</v>
      </c>
      <c r="I219" s="31" t="s">
        <v>20</v>
      </c>
      <c r="J219" s="32" t="s">
        <v>21</v>
      </c>
      <c r="K219" s="32" t="s">
        <v>22</v>
      </c>
      <c r="R219" s="67"/>
    </row>
    <row r="220">
      <c r="A220" s="12" t="s">
        <v>10</v>
      </c>
      <c r="B220" s="227" t="s">
        <v>1981</v>
      </c>
      <c r="C220" s="74" t="str">
        <f t="shared" ref="C220:C231" si="24">PROPER(TEXT(DATE(MID($A$164,7,4),MID($A$164,4,2),LEFT($A$164,2)),"dddd"))</f>
        <v>Segunda-Feira</v>
      </c>
      <c r="D220" s="512" t="str">
        <f>IF(C220&lt;&gt;"Quarta-Feira","13:00","08:00")</f>
        <v>13:00</v>
      </c>
      <c r="E220" s="287" t="s">
        <v>2516</v>
      </c>
      <c r="F220" s="74">
        <v>8.01440415212761E14</v>
      </c>
      <c r="G220" s="167" t="s">
        <v>2517</v>
      </c>
      <c r="H220" s="211">
        <v>30011.0</v>
      </c>
      <c r="I220" s="34" t="s">
        <v>183</v>
      </c>
      <c r="J220" s="74"/>
      <c r="K220" s="74"/>
      <c r="N220" s="268" t="s">
        <v>387</v>
      </c>
      <c r="O220" s="100"/>
      <c r="P220" s="100"/>
      <c r="Q220" s="100"/>
      <c r="R220" s="100"/>
    </row>
    <row r="221">
      <c r="A221" s="12" t="s">
        <v>11</v>
      </c>
      <c r="B221" s="227" t="s">
        <v>1985</v>
      </c>
      <c r="C221" s="74" t="str">
        <f t="shared" si="24"/>
        <v>Segunda-Feira</v>
      </c>
      <c r="D221" s="512" t="str">
        <f>IF(C221&lt;&gt;"Quarta-Feira","13:20","08:20")</f>
        <v>13:20</v>
      </c>
      <c r="E221" s="287" t="s">
        <v>2340</v>
      </c>
      <c r="F221" s="74">
        <v>7.08405283451468E14</v>
      </c>
      <c r="G221" s="167" t="s">
        <v>2341</v>
      </c>
      <c r="H221" s="211">
        <v>26053.0</v>
      </c>
      <c r="I221" s="34" t="s">
        <v>183</v>
      </c>
      <c r="J221" s="74"/>
      <c r="K221" s="74"/>
      <c r="N221" s="270" t="s">
        <v>1824</v>
      </c>
      <c r="O221" s="2"/>
      <c r="P221" s="2"/>
      <c r="Q221" s="2"/>
      <c r="R221" s="2"/>
    </row>
    <row r="222">
      <c r="A222" s="12" t="s">
        <v>12</v>
      </c>
      <c r="B222" s="227" t="s">
        <v>1989</v>
      </c>
      <c r="C222" s="74" t="str">
        <f t="shared" si="24"/>
        <v>Segunda-Feira</v>
      </c>
      <c r="D222" s="512" t="str">
        <f>IF(C222&lt;&gt;"Quarta-Feira","13:40","08:40")</f>
        <v>13:40</v>
      </c>
      <c r="E222" s="287" t="s">
        <v>2969</v>
      </c>
      <c r="F222" s="74">
        <v>7.00009292772605E14</v>
      </c>
      <c r="G222" s="167" t="s">
        <v>2970</v>
      </c>
      <c r="H222" s="211">
        <v>23102.0</v>
      </c>
      <c r="I222" s="34" t="s">
        <v>183</v>
      </c>
      <c r="J222" s="74"/>
      <c r="K222" s="74"/>
      <c r="N222" s="271" t="s">
        <v>183</v>
      </c>
      <c r="O222" s="272" t="s">
        <v>195</v>
      </c>
      <c r="P222" s="272" t="s">
        <v>181</v>
      </c>
      <c r="Q222" s="273" t="s">
        <v>173</v>
      </c>
      <c r="R222" s="286" t="s">
        <v>1823</v>
      </c>
    </row>
    <row r="223">
      <c r="A223" s="12" t="s">
        <v>13</v>
      </c>
      <c r="B223" s="227" t="s">
        <v>1992</v>
      </c>
      <c r="C223" s="74" t="str">
        <f t="shared" si="24"/>
        <v>Segunda-Feira</v>
      </c>
      <c r="D223" s="512" t="str">
        <f>IF(C223&lt;&gt;"Quarta-Feira","14:00","09:00")</f>
        <v>14:00</v>
      </c>
      <c r="E223" s="287" t="s">
        <v>2971</v>
      </c>
      <c r="F223" s="74">
        <v>7.00604480964664E14</v>
      </c>
      <c r="G223" s="167" t="s">
        <v>2972</v>
      </c>
      <c r="H223" s="211">
        <v>17857.0</v>
      </c>
      <c r="I223" s="34" t="s">
        <v>183</v>
      </c>
      <c r="J223" s="74"/>
      <c r="K223" s="74"/>
      <c r="N223" s="275">
        <f t="shared" ref="N223:R223" si="25">COUNTIFS($I$220:$I$231,N222)</f>
        <v>11</v>
      </c>
      <c r="O223" s="275">
        <f t="shared" si="25"/>
        <v>0</v>
      </c>
      <c r="P223" s="275">
        <f t="shared" si="25"/>
        <v>0</v>
      </c>
      <c r="Q223" s="275">
        <f t="shared" si="25"/>
        <v>0</v>
      </c>
      <c r="R223" s="275">
        <f t="shared" si="25"/>
        <v>1</v>
      </c>
    </row>
    <row r="224">
      <c r="A224" s="12" t="s">
        <v>14</v>
      </c>
      <c r="B224" s="227" t="s">
        <v>1981</v>
      </c>
      <c r="C224" s="74" t="str">
        <f t="shared" si="24"/>
        <v>Segunda-Feira</v>
      </c>
      <c r="D224" s="512" t="str">
        <f>IF(C224&lt;&gt;"Quarta-Feira","14:20","09:20")</f>
        <v>14:20</v>
      </c>
      <c r="E224" s="287" t="s">
        <v>2973</v>
      </c>
      <c r="F224" s="74">
        <v>7.0610753876546E14</v>
      </c>
      <c r="G224" s="167" t="s">
        <v>2974</v>
      </c>
      <c r="H224" s="211">
        <v>16915.0</v>
      </c>
      <c r="I224" s="34" t="s">
        <v>183</v>
      </c>
      <c r="J224" s="74"/>
      <c r="K224" s="74"/>
      <c r="R224" s="67"/>
    </row>
    <row r="225">
      <c r="A225" s="12" t="s">
        <v>15</v>
      </c>
      <c r="B225" s="227" t="s">
        <v>1985</v>
      </c>
      <c r="C225" s="74" t="str">
        <f t="shared" si="24"/>
        <v>Segunda-Feira</v>
      </c>
      <c r="D225" s="512" t="str">
        <f>IF(C225&lt;&gt;"Quarta-Feira","14:40","09:40")</f>
        <v>14:40</v>
      </c>
      <c r="E225" s="287" t="s">
        <v>2975</v>
      </c>
      <c r="F225" s="74">
        <v>8.35503045695573E14</v>
      </c>
      <c r="G225" s="167" t="s">
        <v>2976</v>
      </c>
      <c r="H225" s="211">
        <v>21381.0</v>
      </c>
      <c r="I225" s="34" t="s">
        <v>183</v>
      </c>
      <c r="J225" s="74"/>
      <c r="K225" s="74"/>
      <c r="R225" s="67"/>
    </row>
    <row r="226">
      <c r="A226" s="12" t="s">
        <v>16</v>
      </c>
      <c r="B226" s="227" t="s">
        <v>1989</v>
      </c>
      <c r="C226" s="74" t="str">
        <f t="shared" si="24"/>
        <v>Segunda-Feira</v>
      </c>
      <c r="D226" s="512" t="str">
        <f>IF(C226&lt;&gt;"Quarta-Feira","15:00","10:00")</f>
        <v>15:00</v>
      </c>
      <c r="E226" s="287" t="s">
        <v>2977</v>
      </c>
      <c r="F226" s="74">
        <v>7.08001371884129E14</v>
      </c>
      <c r="G226" s="167" t="s">
        <v>2978</v>
      </c>
      <c r="H226" s="211">
        <v>24212.0</v>
      </c>
      <c r="I226" s="34" t="s">
        <v>183</v>
      </c>
      <c r="J226" s="74"/>
      <c r="K226" s="74"/>
      <c r="R226" s="67"/>
    </row>
    <row r="227">
      <c r="A227" s="12" t="s">
        <v>17</v>
      </c>
      <c r="B227" s="227" t="s">
        <v>1992</v>
      </c>
      <c r="C227" s="74" t="str">
        <f t="shared" si="24"/>
        <v>Segunda-Feira</v>
      </c>
      <c r="D227" s="512" t="str">
        <f>IF(C227&lt;&gt;"Quarta-Feira","15:20","10:20")</f>
        <v>15:20</v>
      </c>
      <c r="E227" s="287" t="s">
        <v>2979</v>
      </c>
      <c r="F227" s="74">
        <v>7.02405542912521E14</v>
      </c>
      <c r="G227" s="167" t="s">
        <v>1368</v>
      </c>
      <c r="H227" s="211">
        <v>19783.0</v>
      </c>
      <c r="I227" s="34" t="s">
        <v>183</v>
      </c>
      <c r="J227" s="74"/>
      <c r="K227" s="74"/>
      <c r="R227" s="67"/>
    </row>
    <row r="228">
      <c r="A228" s="12" t="s">
        <v>85</v>
      </c>
      <c r="B228" s="227" t="s">
        <v>1981</v>
      </c>
      <c r="C228" s="74" t="str">
        <f t="shared" si="24"/>
        <v>Segunda-Feira</v>
      </c>
      <c r="D228" s="512" t="str">
        <f>IF(C228&lt;&gt;"Quarta-Feira","15:40","10:40")</f>
        <v>15:40</v>
      </c>
      <c r="E228" s="287" t="s">
        <v>2532</v>
      </c>
      <c r="F228" s="74">
        <v>7.07009850893437E14</v>
      </c>
      <c r="G228" s="167" t="s">
        <v>2533</v>
      </c>
      <c r="H228" s="211">
        <v>31021.0</v>
      </c>
      <c r="I228" s="34" t="s">
        <v>183</v>
      </c>
      <c r="J228" s="74"/>
      <c r="K228" s="74"/>
      <c r="R228" s="67"/>
    </row>
    <row r="229">
      <c r="A229" s="12" t="s">
        <v>87</v>
      </c>
      <c r="B229" s="227" t="s">
        <v>1985</v>
      </c>
      <c r="C229" s="74" t="str">
        <f t="shared" si="24"/>
        <v>Segunda-Feira</v>
      </c>
      <c r="D229" s="512" t="str">
        <f>IF(C229&lt;&gt;"Quarta-Feira","16:00","11:00")</f>
        <v>16:00</v>
      </c>
      <c r="E229" s="287" t="s">
        <v>2980</v>
      </c>
      <c r="F229" s="74">
        <v>7.04604175117727E14</v>
      </c>
      <c r="G229" s="167" t="s">
        <v>2981</v>
      </c>
      <c r="H229" s="211">
        <v>30093.0</v>
      </c>
      <c r="I229" s="34" t="s">
        <v>183</v>
      </c>
      <c r="J229" s="74"/>
      <c r="K229" s="74"/>
      <c r="R229" s="67"/>
    </row>
    <row r="230">
      <c r="A230" s="12" t="s">
        <v>90</v>
      </c>
      <c r="B230" s="227" t="s">
        <v>1989</v>
      </c>
      <c r="C230" s="74" t="str">
        <f t="shared" si="24"/>
        <v>Segunda-Feira</v>
      </c>
      <c r="D230" s="512" t="str">
        <f>IF(C230&lt;&gt;"Quarta-Feira","16:20","11:20")</f>
        <v>16:20</v>
      </c>
      <c r="E230" s="287" t="s">
        <v>2982</v>
      </c>
      <c r="F230" s="74">
        <v>7.06304789877974E14</v>
      </c>
      <c r="G230" s="167" t="s">
        <v>2983</v>
      </c>
      <c r="H230" s="211">
        <v>28690.0</v>
      </c>
      <c r="I230" s="34" t="s">
        <v>183</v>
      </c>
      <c r="J230" s="74"/>
      <c r="K230" s="74"/>
      <c r="R230" s="67"/>
    </row>
    <row r="231">
      <c r="A231" s="12" t="s">
        <v>93</v>
      </c>
      <c r="B231" s="227" t="s">
        <v>1992</v>
      </c>
      <c r="C231" s="74" t="str">
        <f t="shared" si="24"/>
        <v>Segunda-Feira</v>
      </c>
      <c r="D231" s="512" t="str">
        <f>IF(C231&lt;&gt;"Quarta-Feira","16:40","11:40")</f>
        <v>16:40</v>
      </c>
      <c r="E231" s="287" t="s">
        <v>2984</v>
      </c>
      <c r="F231" s="74">
        <v>2.0115635917E14</v>
      </c>
      <c r="G231" s="167" t="s">
        <v>2985</v>
      </c>
      <c r="H231" s="211">
        <v>16004.0</v>
      </c>
      <c r="I231" s="34" t="s">
        <v>1823</v>
      </c>
      <c r="J231" s="74"/>
      <c r="K231" s="74"/>
      <c r="R231" s="67"/>
    </row>
    <row r="232">
      <c r="B232" s="182"/>
      <c r="E232" s="261"/>
      <c r="G232" s="182"/>
      <c r="J232" s="67"/>
      <c r="K232" s="67"/>
      <c r="R232" s="67"/>
    </row>
    <row r="233">
      <c r="B233" s="182"/>
      <c r="E233" s="261"/>
      <c r="G233" s="182"/>
      <c r="J233" s="67"/>
      <c r="K233" s="67"/>
      <c r="R233" s="67"/>
    </row>
    <row r="234">
      <c r="B234" s="182"/>
      <c r="E234" s="261"/>
      <c r="G234" s="182"/>
      <c r="J234" s="67"/>
      <c r="K234" s="67"/>
    </row>
    <row r="235">
      <c r="A235" s="23" t="s">
        <v>378</v>
      </c>
      <c r="B235" s="2"/>
      <c r="C235" s="2"/>
      <c r="D235" s="2"/>
      <c r="E235" s="2"/>
      <c r="F235" s="2"/>
      <c r="G235" s="2"/>
      <c r="H235" s="2"/>
      <c r="I235" s="2"/>
      <c r="J235" s="2"/>
      <c r="K235" s="3"/>
      <c r="R235" s="67"/>
    </row>
    <row r="236">
      <c r="A236" s="24" t="str">
        <f>TEXT(DATE(VALUE(MID(A218,7,4)),VALUE(MID(A218,4,2)),VALUE(LEFT(A218,2)))+2,"dd/mm/yyyy")&amp;" 08h às 13h"</f>
        <v>29/04/2026 08h às 13h</v>
      </c>
      <c r="B236" s="2"/>
      <c r="C236" s="2"/>
      <c r="D236" s="2"/>
      <c r="E236" s="2"/>
      <c r="F236" s="2"/>
      <c r="G236" s="2"/>
      <c r="H236" s="2"/>
      <c r="I236" s="2"/>
      <c r="J236" s="2"/>
      <c r="K236" s="3"/>
    </row>
    <row r="237">
      <c r="A237" s="25"/>
      <c r="B237" s="489" t="s">
        <v>3</v>
      </c>
      <c r="C237" s="27" t="s">
        <v>2</v>
      </c>
      <c r="D237" s="28" t="s">
        <v>5</v>
      </c>
      <c r="E237" s="29" t="s">
        <v>19</v>
      </c>
      <c r="F237" s="28" t="s">
        <v>6</v>
      </c>
      <c r="G237" s="264" t="s">
        <v>7</v>
      </c>
      <c r="H237" s="30" t="s">
        <v>8</v>
      </c>
      <c r="I237" s="31" t="s">
        <v>20</v>
      </c>
      <c r="J237" s="32" t="s">
        <v>21</v>
      </c>
      <c r="K237" s="32" t="s">
        <v>22</v>
      </c>
    </row>
    <row r="238">
      <c r="A238" s="12" t="s">
        <v>10</v>
      </c>
      <c r="B238" s="227" t="s">
        <v>2014</v>
      </c>
      <c r="C238" s="74" t="str">
        <f t="shared" ref="C238:C249" si="26">PROPER(TEXT(DATE(MID($A$128,7,4),MID($A$128,4,2),LEFT($A$128,2)),"dddd"))</f>
        <v>Quarta-Feira</v>
      </c>
      <c r="D238" s="512" t="str">
        <f>IF(C238&lt;&gt;"Quarta-Feira","13:00","08:00")</f>
        <v>08:00</v>
      </c>
      <c r="E238" s="287" t="s">
        <v>2947</v>
      </c>
      <c r="F238" s="74">
        <v>7.02905527708876E14</v>
      </c>
      <c r="G238" s="167" t="s">
        <v>2948</v>
      </c>
      <c r="H238" s="211">
        <v>29246.0</v>
      </c>
      <c r="I238" s="34" t="s">
        <v>183</v>
      </c>
      <c r="J238" s="74"/>
      <c r="K238" s="74"/>
      <c r="N238" s="268" t="s">
        <v>387</v>
      </c>
      <c r="O238" s="100"/>
      <c r="P238" s="100"/>
      <c r="Q238" s="100"/>
      <c r="R238" s="100"/>
    </row>
    <row r="239">
      <c r="A239" s="12" t="s">
        <v>11</v>
      </c>
      <c r="B239" s="227" t="s">
        <v>2019</v>
      </c>
      <c r="C239" s="74" t="str">
        <f t="shared" si="26"/>
        <v>Quarta-Feira</v>
      </c>
      <c r="D239" s="512" t="str">
        <f>IF(C239&lt;&gt;"Quarta-Feira","13:20","08:20")</f>
        <v>08:20</v>
      </c>
      <c r="E239" s="287" t="s">
        <v>2986</v>
      </c>
      <c r="F239" s="74">
        <v>7.05205466318276E14</v>
      </c>
      <c r="G239" s="167" t="s">
        <v>2987</v>
      </c>
      <c r="H239" s="77">
        <v>17382.0</v>
      </c>
      <c r="I239" s="34" t="s">
        <v>183</v>
      </c>
      <c r="J239" s="74"/>
      <c r="K239" s="74"/>
      <c r="N239" s="270" t="s">
        <v>1824</v>
      </c>
      <c r="O239" s="2"/>
      <c r="P239" s="2"/>
      <c r="Q239" s="2"/>
      <c r="R239" s="2"/>
    </row>
    <row r="240">
      <c r="A240" s="12" t="s">
        <v>12</v>
      </c>
      <c r="B240" s="227" t="s">
        <v>2021</v>
      </c>
      <c r="C240" s="74" t="str">
        <f t="shared" si="26"/>
        <v>Quarta-Feira</v>
      </c>
      <c r="D240" s="512" t="str">
        <f>IF(C240&lt;&gt;"Quarta-Feira","13:40","08:40")</f>
        <v>08:40</v>
      </c>
      <c r="E240" s="287" t="s">
        <v>2893</v>
      </c>
      <c r="F240" s="74">
        <v>7.02808183400268E14</v>
      </c>
      <c r="G240" s="167" t="s">
        <v>2894</v>
      </c>
      <c r="H240" s="83">
        <v>27940.0</v>
      </c>
      <c r="I240" s="34" t="s">
        <v>1823</v>
      </c>
      <c r="J240" s="74"/>
      <c r="K240" s="74"/>
      <c r="N240" s="271" t="s">
        <v>183</v>
      </c>
      <c r="O240" s="272" t="s">
        <v>195</v>
      </c>
      <c r="P240" s="272" t="s">
        <v>181</v>
      </c>
      <c r="Q240" s="273" t="s">
        <v>173</v>
      </c>
      <c r="R240" s="286" t="s">
        <v>1823</v>
      </c>
    </row>
    <row r="241">
      <c r="A241" s="12" t="s">
        <v>13</v>
      </c>
      <c r="B241" s="227" t="s">
        <v>2024</v>
      </c>
      <c r="C241" s="74" t="str">
        <f t="shared" si="26"/>
        <v>Quarta-Feira</v>
      </c>
      <c r="D241" s="512" t="str">
        <f>IF(C241&lt;&gt;"Quarta-Feira","14:00","09:00")</f>
        <v>09:00</v>
      </c>
      <c r="E241" s="287" t="s">
        <v>2988</v>
      </c>
      <c r="F241" s="74">
        <v>7.09609641535377E14</v>
      </c>
      <c r="G241" s="167" t="s">
        <v>2989</v>
      </c>
      <c r="H241" s="83">
        <v>21236.0</v>
      </c>
      <c r="I241" s="34" t="s">
        <v>1823</v>
      </c>
      <c r="J241" s="74"/>
      <c r="K241" s="74"/>
      <c r="N241" s="275">
        <f t="shared" ref="N241:R241" si="27">COUNTIFS($I$238:$I$249,N240)</f>
        <v>8</v>
      </c>
      <c r="O241" s="275">
        <f t="shared" si="27"/>
        <v>0</v>
      </c>
      <c r="P241" s="275">
        <f t="shared" si="27"/>
        <v>0</v>
      </c>
      <c r="Q241" s="275">
        <f t="shared" si="27"/>
        <v>0</v>
      </c>
      <c r="R241" s="275">
        <f t="shared" si="27"/>
        <v>3</v>
      </c>
    </row>
    <row r="242">
      <c r="A242" s="12" t="s">
        <v>14</v>
      </c>
      <c r="B242" s="227" t="s">
        <v>2019</v>
      </c>
      <c r="C242" s="74" t="str">
        <f t="shared" si="26"/>
        <v>Quarta-Feira</v>
      </c>
      <c r="D242" s="512" t="str">
        <f>IF(C242&lt;&gt;"Quarta-Feira","14:20","09:20")</f>
        <v>09:20</v>
      </c>
      <c r="E242" s="287" t="s">
        <v>2990</v>
      </c>
      <c r="F242" s="74">
        <v>7.06808227016223E14</v>
      </c>
      <c r="G242" s="167" t="s">
        <v>2991</v>
      </c>
      <c r="H242" s="83">
        <v>25669.0</v>
      </c>
      <c r="I242" s="34" t="s">
        <v>183</v>
      </c>
      <c r="J242" s="74"/>
      <c r="K242" s="74"/>
      <c r="R242" s="67"/>
    </row>
    <row r="243">
      <c r="A243" s="12" t="s">
        <v>15</v>
      </c>
      <c r="B243" s="227" t="s">
        <v>2021</v>
      </c>
      <c r="C243" s="74" t="str">
        <f t="shared" si="26"/>
        <v>Quarta-Feira</v>
      </c>
      <c r="D243" s="512" t="str">
        <f>IF(C243&lt;&gt;"Quarta-Feira","14:40","09:40")</f>
        <v>09:40</v>
      </c>
      <c r="E243" s="287" t="s">
        <v>2943</v>
      </c>
      <c r="F243" s="74">
        <v>7.04800040197247E14</v>
      </c>
      <c r="G243" s="167" t="s">
        <v>2944</v>
      </c>
      <c r="H243" s="83">
        <v>27624.0</v>
      </c>
      <c r="I243" s="34" t="s">
        <v>183</v>
      </c>
      <c r="J243" s="74"/>
      <c r="K243" s="74"/>
      <c r="R243" s="67"/>
    </row>
    <row r="244">
      <c r="A244" s="12" t="s">
        <v>16</v>
      </c>
      <c r="B244" s="227" t="s">
        <v>2014</v>
      </c>
      <c r="C244" s="74" t="str">
        <f t="shared" si="26"/>
        <v>Quarta-Feira</v>
      </c>
      <c r="D244" s="512" t="str">
        <f>IF(C244&lt;&gt;"Quarta-Feira","15:00","10:00")</f>
        <v>10:00</v>
      </c>
      <c r="E244" s="287" t="s">
        <v>2992</v>
      </c>
      <c r="F244" s="74">
        <v>7.05401486332295E14</v>
      </c>
      <c r="G244" s="167" t="s">
        <v>2993</v>
      </c>
      <c r="H244" s="83">
        <v>26278.0</v>
      </c>
      <c r="I244" s="34" t="s">
        <v>183</v>
      </c>
      <c r="J244" s="74"/>
      <c r="K244" s="74"/>
      <c r="R244" s="67"/>
    </row>
    <row r="245">
      <c r="A245" s="12" t="s">
        <v>17</v>
      </c>
      <c r="B245" s="227" t="s">
        <v>2019</v>
      </c>
      <c r="C245" s="74" t="str">
        <f t="shared" si="26"/>
        <v>Quarta-Feira</v>
      </c>
      <c r="D245" s="512" t="str">
        <f>IF(C245&lt;&gt;"Quarta-Feira","15:20","10:20")</f>
        <v>10:20</v>
      </c>
      <c r="E245" s="287" t="s">
        <v>2994</v>
      </c>
      <c r="F245" s="74">
        <v>7.0850039569837E14</v>
      </c>
      <c r="G245" s="167" t="s">
        <v>2995</v>
      </c>
      <c r="H245" s="77">
        <v>27748.0</v>
      </c>
      <c r="I245" s="34" t="s">
        <v>183</v>
      </c>
      <c r="J245" s="74"/>
      <c r="K245" s="74"/>
      <c r="R245" s="67"/>
    </row>
    <row r="246">
      <c r="A246" s="12" t="s">
        <v>85</v>
      </c>
      <c r="B246" s="227" t="s">
        <v>2024</v>
      </c>
      <c r="C246" s="74" t="str">
        <f t="shared" si="26"/>
        <v>Quarta-Feira</v>
      </c>
      <c r="D246" s="512" t="str">
        <f>IF(C246&lt;&gt;"Quarta-Feira","15:40","10:40")</f>
        <v>10:40</v>
      </c>
      <c r="E246" s="287" t="s">
        <v>2996</v>
      </c>
      <c r="F246" s="74">
        <v>7.08401295226568E14</v>
      </c>
      <c r="G246" s="167" t="s">
        <v>2997</v>
      </c>
      <c r="H246" s="83">
        <v>19989.0</v>
      </c>
      <c r="I246" s="34" t="s">
        <v>183</v>
      </c>
      <c r="J246" s="74"/>
      <c r="K246" s="74"/>
      <c r="R246" s="67"/>
    </row>
    <row r="247">
      <c r="A247" s="12" t="s">
        <v>87</v>
      </c>
      <c r="B247" s="227" t="s">
        <v>2021</v>
      </c>
      <c r="C247" s="74" t="str">
        <f t="shared" si="26"/>
        <v>Quarta-Feira</v>
      </c>
      <c r="D247" s="512" t="str">
        <f>IF(C247&lt;&gt;"Quarta-Feira","16:00","11:00")</f>
        <v>11:00</v>
      </c>
      <c r="E247" s="287"/>
      <c r="F247" s="74"/>
      <c r="G247" s="167" t="s">
        <v>2998</v>
      </c>
      <c r="H247" s="166"/>
      <c r="I247" s="34" t="s">
        <v>183</v>
      </c>
      <c r="J247" s="74"/>
      <c r="K247" s="74"/>
      <c r="R247" s="67"/>
    </row>
    <row r="248">
      <c r="A248" s="12" t="s">
        <v>90</v>
      </c>
      <c r="B248" s="227" t="s">
        <v>2024</v>
      </c>
      <c r="C248" s="74" t="str">
        <f t="shared" si="26"/>
        <v>Quarta-Feira</v>
      </c>
      <c r="D248" s="512" t="str">
        <f>IF(C248&lt;&gt;"Quarta-Feira","16:20","11:20")</f>
        <v>11:20</v>
      </c>
      <c r="E248" s="287" t="s">
        <v>2999</v>
      </c>
      <c r="F248" s="74">
        <v>8.01440441423898E14</v>
      </c>
      <c r="G248" s="167" t="s">
        <v>3000</v>
      </c>
      <c r="H248" s="166">
        <v>23891.0</v>
      </c>
      <c r="I248" s="34" t="s">
        <v>1823</v>
      </c>
      <c r="J248" s="74"/>
      <c r="K248" s="74"/>
      <c r="R248" s="67"/>
    </row>
    <row r="249">
      <c r="A249" s="12" t="s">
        <v>93</v>
      </c>
      <c r="B249" s="227" t="s">
        <v>2014</v>
      </c>
      <c r="C249" s="74" t="str">
        <f t="shared" si="26"/>
        <v>Quarta-Feira</v>
      </c>
      <c r="D249" s="512" t="str">
        <f>IF(C249&lt;&gt;"Quarta-Feira","16:40","11:40")</f>
        <v>11:40</v>
      </c>
      <c r="E249" s="287"/>
      <c r="F249" s="74"/>
      <c r="G249" s="167"/>
      <c r="H249" s="166"/>
      <c r="I249" s="34"/>
      <c r="J249" s="74"/>
      <c r="K249" s="74"/>
      <c r="R249" s="67"/>
    </row>
    <row r="250">
      <c r="B250" s="182"/>
      <c r="E250" s="261"/>
      <c r="G250" s="182"/>
      <c r="J250" s="67"/>
      <c r="K250" s="67"/>
      <c r="R250" s="67"/>
    </row>
    <row r="251">
      <c r="B251" s="182"/>
      <c r="E251" s="261"/>
      <c r="G251" s="182"/>
      <c r="J251" s="67"/>
      <c r="K251" s="67"/>
      <c r="R251" s="67"/>
    </row>
    <row r="252">
      <c r="B252" s="182"/>
      <c r="E252" s="261"/>
      <c r="G252" s="182"/>
      <c r="J252" s="67"/>
      <c r="K252" s="67"/>
      <c r="R252" s="67"/>
    </row>
    <row r="253">
      <c r="B253" s="182"/>
      <c r="E253" s="261"/>
      <c r="G253" s="182"/>
      <c r="J253" s="67"/>
      <c r="K253" s="67"/>
      <c r="R253" s="67"/>
    </row>
    <row r="254">
      <c r="B254" s="182"/>
      <c r="E254" s="261"/>
      <c r="G254" s="182"/>
      <c r="J254" s="67"/>
      <c r="K254" s="67"/>
      <c r="R254" s="67"/>
    </row>
    <row r="255">
      <c r="B255" s="182"/>
      <c r="E255" s="261"/>
      <c r="G255" s="182"/>
      <c r="J255" s="67"/>
      <c r="K255" s="67"/>
      <c r="R255" s="67"/>
    </row>
    <row r="256">
      <c r="B256" s="182"/>
      <c r="E256" s="261"/>
      <c r="G256" s="182"/>
      <c r="J256" s="67"/>
      <c r="K256" s="67"/>
      <c r="R256" s="67"/>
    </row>
    <row r="257">
      <c r="B257" s="182"/>
      <c r="E257" s="261"/>
      <c r="G257" s="182"/>
      <c r="J257" s="67"/>
      <c r="K257" s="67"/>
      <c r="R257" s="67"/>
    </row>
    <row r="258">
      <c r="B258" s="182"/>
      <c r="E258" s="261"/>
      <c r="G258" s="182"/>
      <c r="J258" s="67"/>
      <c r="K258" s="67"/>
      <c r="R258" s="67"/>
    </row>
    <row r="259">
      <c r="B259" s="182"/>
      <c r="E259" s="261"/>
      <c r="G259" s="182"/>
      <c r="J259" s="67"/>
      <c r="K259" s="67"/>
      <c r="R259" s="67"/>
    </row>
    <row r="260">
      <c r="B260" s="182"/>
      <c r="E260" s="261"/>
      <c r="G260" s="182"/>
      <c r="J260" s="67"/>
      <c r="K260" s="67"/>
      <c r="N260" s="268" t="s">
        <v>2080</v>
      </c>
      <c r="O260" s="100"/>
      <c r="P260" s="100"/>
      <c r="Q260" s="100"/>
      <c r="R260" s="100"/>
    </row>
    <row r="261">
      <c r="B261" s="182"/>
      <c r="E261" s="261"/>
      <c r="G261" s="182"/>
      <c r="J261" s="67"/>
      <c r="K261" s="67"/>
      <c r="N261" s="271" t="s">
        <v>183</v>
      </c>
      <c r="O261" s="272" t="s">
        <v>195</v>
      </c>
      <c r="P261" s="272" t="s">
        <v>181</v>
      </c>
      <c r="Q261" s="273" t="s">
        <v>173</v>
      </c>
      <c r="R261" s="286" t="s">
        <v>1823</v>
      </c>
    </row>
    <row r="262">
      <c r="B262" s="182"/>
      <c r="E262" s="261"/>
      <c r="G262" s="182"/>
      <c r="J262" s="67"/>
      <c r="K262" s="67"/>
      <c r="N262" s="458">
        <f t="shared" ref="N262:R262" si="28">SUM(N59:N256)</f>
        <v>99</v>
      </c>
      <c r="O262" s="458">
        <f t="shared" si="28"/>
        <v>0</v>
      </c>
      <c r="P262" s="458">
        <f t="shared" si="28"/>
        <v>3</v>
      </c>
      <c r="Q262" s="458">
        <f t="shared" si="28"/>
        <v>0</v>
      </c>
      <c r="R262" s="458">
        <f t="shared" si="28"/>
        <v>16</v>
      </c>
    </row>
    <row r="263">
      <c r="B263" s="182"/>
      <c r="E263" s="261"/>
      <c r="G263" s="182"/>
      <c r="J263" s="67"/>
      <c r="K263" s="67"/>
      <c r="R263" s="67"/>
    </row>
    <row r="264">
      <c r="B264" s="182"/>
      <c r="E264" s="261"/>
      <c r="G264" s="182"/>
      <c r="J264" s="67"/>
      <c r="K264" s="67"/>
      <c r="R264" s="67"/>
    </row>
    <row r="265">
      <c r="B265" s="182"/>
      <c r="E265" s="261"/>
      <c r="G265" s="182"/>
      <c r="J265" s="67"/>
      <c r="K265" s="67"/>
      <c r="R265" s="67"/>
    </row>
    <row r="266">
      <c r="B266" s="182"/>
      <c r="E266" s="261"/>
      <c r="G266" s="182"/>
      <c r="J266" s="67"/>
      <c r="K266" s="67"/>
      <c r="R266" s="67"/>
    </row>
    <row r="267">
      <c r="B267" s="182"/>
      <c r="E267" s="261"/>
      <c r="G267" s="182"/>
      <c r="J267" s="67"/>
      <c r="K267" s="67"/>
      <c r="R267" s="67"/>
    </row>
    <row r="268">
      <c r="B268" s="182"/>
      <c r="E268" s="261"/>
      <c r="G268" s="182"/>
      <c r="J268" s="67"/>
      <c r="K268" s="67"/>
      <c r="R268" s="67"/>
    </row>
    <row r="269">
      <c r="B269" s="182"/>
      <c r="E269" s="261"/>
      <c r="G269" s="182"/>
      <c r="J269" s="67"/>
      <c r="K269" s="67"/>
      <c r="R269" s="67"/>
    </row>
    <row r="270">
      <c r="B270" s="182"/>
      <c r="E270" s="261"/>
      <c r="G270" s="182"/>
      <c r="J270" s="67"/>
      <c r="K270" s="67"/>
      <c r="R270" s="67"/>
    </row>
    <row r="271">
      <c r="B271" s="182"/>
      <c r="E271" s="261"/>
      <c r="G271" s="182"/>
      <c r="J271" s="67"/>
      <c r="K271" s="67"/>
      <c r="R271" s="67"/>
    </row>
    <row r="272">
      <c r="B272" s="182"/>
      <c r="E272" s="261"/>
      <c r="G272" s="182"/>
      <c r="J272" s="67"/>
      <c r="K272" s="67"/>
      <c r="R272" s="67"/>
    </row>
    <row r="273">
      <c r="B273" s="182"/>
      <c r="E273" s="261"/>
      <c r="G273" s="182"/>
      <c r="J273" s="67"/>
      <c r="K273" s="67"/>
      <c r="R273" s="67"/>
    </row>
    <row r="274">
      <c r="B274" s="182"/>
      <c r="E274" s="261"/>
      <c r="G274" s="182"/>
      <c r="J274" s="67"/>
      <c r="K274" s="67"/>
      <c r="R274" s="67"/>
    </row>
    <row r="275">
      <c r="B275" s="182"/>
      <c r="E275" s="261"/>
      <c r="G275" s="182"/>
      <c r="J275" s="67"/>
      <c r="K275" s="67"/>
      <c r="R275" s="67"/>
    </row>
    <row r="276">
      <c r="B276" s="182"/>
      <c r="E276" s="261"/>
      <c r="G276" s="182"/>
      <c r="J276" s="67"/>
      <c r="K276" s="67"/>
      <c r="R276" s="67"/>
    </row>
    <row r="277">
      <c r="B277" s="182"/>
      <c r="E277" s="261"/>
      <c r="G277" s="182"/>
      <c r="J277" s="67"/>
      <c r="K277" s="67"/>
      <c r="R277" s="67"/>
    </row>
    <row r="278">
      <c r="B278" s="182"/>
      <c r="E278" s="261"/>
      <c r="G278" s="182"/>
      <c r="J278" s="67"/>
      <c r="K278" s="67"/>
      <c r="R278" s="67"/>
    </row>
    <row r="279">
      <c r="B279" s="182"/>
      <c r="E279" s="261"/>
      <c r="G279" s="182"/>
      <c r="J279" s="67"/>
      <c r="K279" s="67"/>
      <c r="R279" s="67"/>
    </row>
    <row r="280">
      <c r="B280" s="182"/>
      <c r="E280" s="261"/>
      <c r="G280" s="182"/>
      <c r="J280" s="67"/>
      <c r="K280" s="67"/>
      <c r="R280" s="67"/>
    </row>
    <row r="281">
      <c r="B281" s="182"/>
      <c r="E281" s="261"/>
      <c r="G281" s="182"/>
      <c r="J281" s="67"/>
      <c r="K281" s="67"/>
      <c r="R281" s="67"/>
    </row>
    <row r="282">
      <c r="B282" s="182"/>
      <c r="E282" s="261"/>
      <c r="G282" s="182"/>
      <c r="J282" s="67"/>
      <c r="K282" s="67"/>
      <c r="R282" s="67"/>
    </row>
    <row r="283">
      <c r="B283" s="182"/>
      <c r="E283" s="261"/>
      <c r="G283" s="182"/>
      <c r="J283" s="67"/>
      <c r="K283" s="67"/>
      <c r="R283" s="67"/>
    </row>
    <row r="284">
      <c r="B284" s="182"/>
      <c r="E284" s="261"/>
      <c r="G284" s="182"/>
      <c r="J284" s="67"/>
      <c r="K284" s="67"/>
      <c r="R284" s="67"/>
    </row>
    <row r="285">
      <c r="B285" s="182"/>
      <c r="E285" s="261"/>
      <c r="G285" s="182"/>
      <c r="J285" s="67"/>
      <c r="K285" s="67"/>
      <c r="R285" s="67"/>
    </row>
    <row r="286">
      <c r="B286" s="182"/>
      <c r="E286" s="261"/>
      <c r="G286" s="182"/>
      <c r="J286" s="67"/>
      <c r="K286" s="67"/>
      <c r="R286" s="67"/>
    </row>
    <row r="287">
      <c r="B287" s="182"/>
      <c r="E287" s="261"/>
      <c r="G287" s="182"/>
      <c r="J287" s="67"/>
      <c r="K287" s="67"/>
      <c r="R287" s="67"/>
    </row>
    <row r="288">
      <c r="B288" s="182"/>
      <c r="E288" s="261"/>
      <c r="G288" s="182"/>
      <c r="J288" s="67"/>
      <c r="K288" s="67"/>
      <c r="R288" s="67"/>
    </row>
    <row r="289">
      <c r="B289" s="182"/>
      <c r="E289" s="261"/>
      <c r="G289" s="182"/>
      <c r="J289" s="67"/>
      <c r="K289" s="67"/>
      <c r="R289" s="67"/>
    </row>
    <row r="290">
      <c r="B290" s="182"/>
      <c r="E290" s="261"/>
      <c r="G290" s="182"/>
      <c r="J290" s="67"/>
      <c r="K290" s="67"/>
      <c r="R290" s="67"/>
    </row>
    <row r="291">
      <c r="B291" s="182"/>
      <c r="E291" s="261"/>
      <c r="G291" s="182"/>
      <c r="J291" s="67"/>
      <c r="K291" s="67"/>
      <c r="R291" s="67"/>
    </row>
    <row r="292">
      <c r="B292" s="182"/>
      <c r="E292" s="261"/>
      <c r="G292" s="182"/>
      <c r="J292" s="67"/>
      <c r="K292" s="67"/>
      <c r="R292" s="67"/>
    </row>
    <row r="293">
      <c r="B293" s="182"/>
      <c r="E293" s="261"/>
      <c r="G293" s="182"/>
      <c r="J293" s="67"/>
      <c r="K293" s="67"/>
      <c r="R293" s="67"/>
    </row>
    <row r="294">
      <c r="B294" s="182"/>
      <c r="E294" s="261"/>
      <c r="G294" s="182"/>
      <c r="J294" s="67"/>
      <c r="K294" s="67"/>
      <c r="R294" s="67"/>
    </row>
    <row r="295">
      <c r="B295" s="182"/>
      <c r="E295" s="261"/>
      <c r="G295" s="182"/>
      <c r="J295" s="67"/>
      <c r="K295" s="67"/>
      <c r="R295" s="67"/>
    </row>
    <row r="296">
      <c r="B296" s="182"/>
      <c r="E296" s="261"/>
      <c r="G296" s="182"/>
      <c r="J296" s="67"/>
      <c r="K296" s="67"/>
      <c r="R296" s="67"/>
    </row>
    <row r="297">
      <c r="B297" s="182"/>
      <c r="E297" s="261"/>
      <c r="G297" s="182"/>
      <c r="J297" s="67"/>
      <c r="K297" s="67"/>
      <c r="R297" s="67"/>
    </row>
    <row r="298">
      <c r="B298" s="182"/>
      <c r="E298" s="261"/>
      <c r="G298" s="182"/>
      <c r="J298" s="67"/>
      <c r="K298" s="67"/>
      <c r="R298" s="67"/>
    </row>
    <row r="299">
      <c r="B299" s="182"/>
      <c r="E299" s="261"/>
      <c r="G299" s="182"/>
      <c r="J299" s="67"/>
      <c r="K299" s="67"/>
      <c r="R299" s="67"/>
    </row>
    <row r="300">
      <c r="B300" s="182"/>
      <c r="E300" s="261"/>
      <c r="G300" s="182"/>
      <c r="J300" s="67"/>
      <c r="K300" s="67"/>
      <c r="R300" s="67"/>
    </row>
    <row r="301">
      <c r="B301" s="182"/>
      <c r="E301" s="261"/>
      <c r="G301" s="182"/>
      <c r="J301" s="67"/>
      <c r="K301" s="67"/>
      <c r="R301" s="67"/>
    </row>
    <row r="302">
      <c r="B302" s="182"/>
      <c r="E302" s="261"/>
      <c r="G302" s="182"/>
      <c r="J302" s="67"/>
      <c r="K302" s="67"/>
      <c r="R302" s="67"/>
    </row>
    <row r="303">
      <c r="B303" s="182"/>
      <c r="E303" s="261"/>
      <c r="G303" s="182"/>
      <c r="J303" s="67"/>
      <c r="K303" s="67"/>
      <c r="R303" s="67"/>
    </row>
    <row r="304">
      <c r="B304" s="182"/>
      <c r="E304" s="261"/>
      <c r="G304" s="182"/>
      <c r="J304" s="67"/>
      <c r="K304" s="67"/>
      <c r="R304" s="67"/>
    </row>
    <row r="305">
      <c r="B305" s="182"/>
      <c r="E305" s="261"/>
      <c r="G305" s="182"/>
      <c r="J305" s="67"/>
      <c r="K305" s="67"/>
      <c r="R305" s="67"/>
    </row>
    <row r="306">
      <c r="B306" s="182"/>
      <c r="E306" s="261"/>
      <c r="G306" s="182"/>
      <c r="J306" s="67"/>
      <c r="K306" s="67"/>
      <c r="R306" s="67"/>
    </row>
    <row r="307">
      <c r="B307" s="182"/>
      <c r="E307" s="261"/>
      <c r="G307" s="182"/>
      <c r="J307" s="67"/>
      <c r="K307" s="67"/>
      <c r="R307" s="67"/>
    </row>
    <row r="308">
      <c r="B308" s="182"/>
      <c r="E308" s="261"/>
      <c r="G308" s="182"/>
      <c r="J308" s="67"/>
      <c r="K308" s="67"/>
      <c r="R308" s="67"/>
    </row>
    <row r="309">
      <c r="B309" s="182"/>
      <c r="E309" s="261"/>
      <c r="G309" s="182"/>
      <c r="J309" s="67"/>
      <c r="K309" s="67"/>
      <c r="R309" s="67"/>
    </row>
    <row r="310">
      <c r="B310" s="182"/>
      <c r="E310" s="261"/>
      <c r="G310" s="182"/>
      <c r="J310" s="67"/>
      <c r="K310" s="67"/>
      <c r="R310" s="67"/>
    </row>
    <row r="311">
      <c r="B311" s="182"/>
      <c r="E311" s="261"/>
      <c r="G311" s="182"/>
      <c r="J311" s="67"/>
      <c r="K311" s="67"/>
      <c r="R311" s="67"/>
    </row>
    <row r="312">
      <c r="B312" s="182"/>
      <c r="E312" s="261"/>
      <c r="G312" s="182"/>
      <c r="J312" s="67"/>
      <c r="K312" s="67"/>
      <c r="R312" s="67"/>
    </row>
    <row r="313">
      <c r="B313" s="182"/>
      <c r="E313" s="261"/>
      <c r="G313" s="182"/>
      <c r="J313" s="67"/>
      <c r="K313" s="67"/>
      <c r="R313" s="67"/>
    </row>
    <row r="314">
      <c r="B314" s="182"/>
      <c r="E314" s="261"/>
      <c r="G314" s="182"/>
      <c r="J314" s="67"/>
      <c r="K314" s="67"/>
      <c r="R314" s="67"/>
    </row>
    <row r="315">
      <c r="B315" s="182"/>
      <c r="E315" s="261"/>
      <c r="G315" s="182"/>
      <c r="J315" s="67"/>
      <c r="K315" s="67"/>
      <c r="R315" s="67"/>
    </row>
    <row r="316">
      <c r="B316" s="182"/>
      <c r="E316" s="261"/>
      <c r="G316" s="182"/>
      <c r="J316" s="67"/>
      <c r="K316" s="67"/>
      <c r="R316" s="67"/>
    </row>
    <row r="317">
      <c r="B317" s="182"/>
      <c r="E317" s="261"/>
      <c r="G317" s="182"/>
      <c r="J317" s="67"/>
      <c r="K317" s="67"/>
      <c r="R317" s="67"/>
    </row>
    <row r="318">
      <c r="B318" s="182"/>
      <c r="E318" s="261"/>
      <c r="G318" s="182"/>
      <c r="J318" s="67"/>
      <c r="K318" s="67"/>
      <c r="R318" s="67"/>
    </row>
    <row r="319">
      <c r="B319" s="182"/>
      <c r="E319" s="261"/>
      <c r="G319" s="182"/>
      <c r="J319" s="67"/>
      <c r="K319" s="67"/>
      <c r="R319" s="67"/>
    </row>
    <row r="320">
      <c r="B320" s="182"/>
      <c r="E320" s="261"/>
      <c r="G320" s="182"/>
      <c r="J320" s="67"/>
      <c r="K320" s="67"/>
      <c r="R320" s="67"/>
    </row>
    <row r="321">
      <c r="B321" s="182"/>
      <c r="E321" s="261"/>
      <c r="G321" s="182"/>
      <c r="J321" s="67"/>
      <c r="K321" s="67"/>
      <c r="R321" s="67"/>
    </row>
    <row r="322">
      <c r="B322" s="182"/>
      <c r="E322" s="261"/>
      <c r="G322" s="182"/>
      <c r="J322" s="67"/>
      <c r="K322" s="67"/>
      <c r="R322" s="67"/>
    </row>
    <row r="323">
      <c r="B323" s="182"/>
      <c r="E323" s="261"/>
      <c r="G323" s="182"/>
      <c r="J323" s="67"/>
      <c r="K323" s="67"/>
      <c r="R323" s="67"/>
    </row>
    <row r="324">
      <c r="B324" s="182"/>
      <c r="E324" s="261"/>
      <c r="G324" s="182"/>
      <c r="J324" s="67"/>
      <c r="K324" s="67"/>
      <c r="R324" s="67"/>
    </row>
    <row r="325">
      <c r="B325" s="182"/>
      <c r="E325" s="261"/>
      <c r="G325" s="182"/>
      <c r="J325" s="67"/>
      <c r="K325" s="67"/>
      <c r="R325" s="67"/>
    </row>
    <row r="326">
      <c r="B326" s="182"/>
      <c r="E326" s="261"/>
      <c r="G326" s="182"/>
      <c r="J326" s="67"/>
      <c r="K326" s="67"/>
      <c r="R326" s="67"/>
    </row>
    <row r="327">
      <c r="B327" s="182"/>
      <c r="E327" s="261"/>
      <c r="G327" s="182"/>
      <c r="J327" s="67"/>
      <c r="K327" s="67"/>
      <c r="R327" s="67"/>
    </row>
    <row r="328">
      <c r="B328" s="182"/>
      <c r="E328" s="261"/>
      <c r="G328" s="182"/>
      <c r="J328" s="67"/>
      <c r="K328" s="67"/>
      <c r="R328" s="67"/>
    </row>
    <row r="329">
      <c r="B329" s="182"/>
      <c r="E329" s="261"/>
      <c r="G329" s="182"/>
      <c r="J329" s="67"/>
      <c r="K329" s="67"/>
      <c r="R329" s="67"/>
    </row>
    <row r="330">
      <c r="B330" s="182"/>
      <c r="E330" s="261"/>
      <c r="G330" s="182"/>
      <c r="J330" s="67"/>
      <c r="K330" s="67"/>
      <c r="R330" s="67"/>
    </row>
    <row r="331">
      <c r="B331" s="182"/>
      <c r="E331" s="261"/>
      <c r="G331" s="182"/>
      <c r="J331" s="67"/>
      <c r="K331" s="67"/>
      <c r="R331" s="67"/>
    </row>
    <row r="332">
      <c r="B332" s="182"/>
      <c r="E332" s="261"/>
      <c r="G332" s="182"/>
      <c r="J332" s="67"/>
      <c r="K332" s="67"/>
      <c r="R332" s="67"/>
    </row>
    <row r="333">
      <c r="B333" s="182"/>
      <c r="E333" s="261"/>
      <c r="G333" s="182"/>
      <c r="J333" s="67"/>
      <c r="K333" s="67"/>
      <c r="R333" s="67"/>
    </row>
    <row r="334">
      <c r="B334" s="182"/>
      <c r="E334" s="261"/>
      <c r="G334" s="182"/>
      <c r="J334" s="67"/>
      <c r="K334" s="67"/>
      <c r="R334" s="67"/>
    </row>
    <row r="335">
      <c r="B335" s="182"/>
      <c r="E335" s="261"/>
      <c r="G335" s="182"/>
      <c r="J335" s="67"/>
      <c r="K335" s="67"/>
      <c r="R335" s="67"/>
    </row>
    <row r="336">
      <c r="B336" s="182"/>
      <c r="E336" s="261"/>
      <c r="G336" s="182"/>
      <c r="J336" s="67"/>
      <c r="K336" s="67"/>
      <c r="R336" s="67"/>
    </row>
    <row r="337">
      <c r="B337" s="182"/>
      <c r="E337" s="261"/>
      <c r="G337" s="182"/>
      <c r="J337" s="67"/>
      <c r="K337" s="67"/>
      <c r="R337" s="67"/>
    </row>
    <row r="338">
      <c r="B338" s="182"/>
      <c r="E338" s="261"/>
      <c r="G338" s="182"/>
      <c r="J338" s="67"/>
      <c r="K338" s="67"/>
      <c r="R338" s="67"/>
    </row>
    <row r="339">
      <c r="B339" s="182"/>
      <c r="E339" s="261"/>
      <c r="G339" s="182"/>
      <c r="J339" s="67"/>
      <c r="K339" s="67"/>
      <c r="R339" s="67"/>
    </row>
    <row r="340">
      <c r="B340" s="182"/>
      <c r="E340" s="261"/>
      <c r="G340" s="182"/>
      <c r="J340" s="67"/>
      <c r="K340" s="67"/>
      <c r="R340" s="67"/>
    </row>
    <row r="341">
      <c r="B341" s="182"/>
      <c r="E341" s="261"/>
      <c r="G341" s="182"/>
      <c r="J341" s="67"/>
      <c r="K341" s="67"/>
      <c r="R341" s="67"/>
    </row>
    <row r="342">
      <c r="B342" s="182"/>
      <c r="E342" s="261"/>
      <c r="G342" s="182"/>
      <c r="J342" s="67"/>
      <c r="K342" s="67"/>
      <c r="R342" s="67"/>
    </row>
    <row r="343">
      <c r="B343" s="182"/>
      <c r="E343" s="261"/>
      <c r="G343" s="182"/>
      <c r="J343" s="67"/>
      <c r="K343" s="67"/>
      <c r="R343" s="67"/>
    </row>
    <row r="344">
      <c r="B344" s="182"/>
      <c r="E344" s="261"/>
      <c r="G344" s="182"/>
      <c r="J344" s="67"/>
      <c r="K344" s="67"/>
      <c r="R344" s="67"/>
    </row>
    <row r="345">
      <c r="B345" s="182"/>
      <c r="E345" s="261"/>
      <c r="G345" s="182"/>
      <c r="J345" s="67"/>
      <c r="K345" s="67"/>
      <c r="R345" s="67"/>
    </row>
    <row r="346">
      <c r="B346" s="182"/>
      <c r="E346" s="261"/>
      <c r="G346" s="182"/>
      <c r="J346" s="67"/>
      <c r="K346" s="67"/>
      <c r="R346" s="67"/>
    </row>
    <row r="347">
      <c r="B347" s="182"/>
      <c r="E347" s="261"/>
      <c r="G347" s="182"/>
      <c r="J347" s="67"/>
      <c r="K347" s="67"/>
      <c r="R347" s="67"/>
    </row>
    <row r="348">
      <c r="B348" s="182"/>
      <c r="E348" s="261"/>
      <c r="G348" s="182"/>
      <c r="J348" s="67"/>
      <c r="K348" s="67"/>
      <c r="R348" s="67"/>
    </row>
    <row r="349">
      <c r="B349" s="182"/>
      <c r="E349" s="261"/>
      <c r="G349" s="182"/>
      <c r="J349" s="67"/>
      <c r="K349" s="67"/>
      <c r="R349" s="67"/>
    </row>
    <row r="350">
      <c r="B350" s="182"/>
      <c r="E350" s="261"/>
      <c r="G350" s="182"/>
      <c r="J350" s="67"/>
      <c r="K350" s="67"/>
      <c r="R350" s="67"/>
    </row>
    <row r="351">
      <c r="B351" s="182"/>
      <c r="E351" s="261"/>
      <c r="G351" s="182"/>
      <c r="J351" s="67"/>
      <c r="K351" s="67"/>
      <c r="R351" s="67"/>
    </row>
    <row r="352">
      <c r="B352" s="182"/>
      <c r="E352" s="261"/>
      <c r="G352" s="182"/>
      <c r="J352" s="67"/>
      <c r="K352" s="67"/>
      <c r="R352" s="67"/>
    </row>
    <row r="353">
      <c r="B353" s="182"/>
      <c r="E353" s="261"/>
      <c r="G353" s="182"/>
      <c r="J353" s="67"/>
      <c r="K353" s="67"/>
      <c r="R353" s="67"/>
    </row>
    <row r="354">
      <c r="B354" s="182"/>
      <c r="E354" s="261"/>
      <c r="G354" s="182"/>
      <c r="J354" s="67"/>
      <c r="K354" s="67"/>
      <c r="R354" s="67"/>
    </row>
    <row r="355">
      <c r="B355" s="182"/>
      <c r="E355" s="261"/>
      <c r="G355" s="182"/>
      <c r="J355" s="67"/>
      <c r="K355" s="67"/>
      <c r="R355" s="67"/>
    </row>
    <row r="356">
      <c r="B356" s="182"/>
      <c r="E356" s="261"/>
      <c r="G356" s="182"/>
      <c r="J356" s="67"/>
      <c r="K356" s="67"/>
      <c r="R356" s="67"/>
    </row>
    <row r="357">
      <c r="B357" s="182"/>
      <c r="E357" s="261"/>
      <c r="G357" s="182"/>
      <c r="J357" s="67"/>
      <c r="K357" s="67"/>
      <c r="R357" s="67"/>
    </row>
    <row r="358">
      <c r="B358" s="182"/>
      <c r="E358" s="261"/>
      <c r="G358" s="182"/>
      <c r="J358" s="67"/>
      <c r="K358" s="67"/>
      <c r="R358" s="67"/>
    </row>
    <row r="359">
      <c r="B359" s="182"/>
      <c r="E359" s="261"/>
      <c r="G359" s="182"/>
      <c r="J359" s="67"/>
      <c r="K359" s="67"/>
      <c r="R359" s="67"/>
    </row>
    <row r="360">
      <c r="B360" s="182"/>
      <c r="E360" s="261"/>
      <c r="G360" s="182"/>
      <c r="J360" s="67"/>
      <c r="K360" s="67"/>
      <c r="R360" s="67"/>
    </row>
    <row r="361">
      <c r="B361" s="182"/>
      <c r="E361" s="261"/>
      <c r="G361" s="182"/>
      <c r="J361" s="67"/>
      <c r="K361" s="67"/>
      <c r="R361" s="67"/>
    </row>
    <row r="362">
      <c r="B362" s="182"/>
      <c r="E362" s="261"/>
      <c r="G362" s="182"/>
      <c r="J362" s="67"/>
      <c r="K362" s="67"/>
      <c r="R362" s="67"/>
    </row>
    <row r="363">
      <c r="B363" s="182"/>
      <c r="E363" s="261"/>
      <c r="G363" s="182"/>
      <c r="J363" s="67"/>
      <c r="K363" s="67"/>
      <c r="R363" s="67"/>
    </row>
    <row r="364">
      <c r="B364" s="182"/>
      <c r="E364" s="261"/>
      <c r="G364" s="182"/>
      <c r="J364" s="67"/>
      <c r="K364" s="67"/>
      <c r="R364" s="67"/>
    </row>
    <row r="365">
      <c r="B365" s="182"/>
      <c r="E365" s="261"/>
      <c r="G365" s="182"/>
      <c r="J365" s="67"/>
      <c r="K365" s="67"/>
      <c r="R365" s="67"/>
    </row>
    <row r="366">
      <c r="B366" s="182"/>
      <c r="E366" s="261"/>
      <c r="G366" s="182"/>
      <c r="J366" s="67"/>
      <c r="K366" s="67"/>
      <c r="R366" s="67"/>
    </row>
    <row r="367">
      <c r="B367" s="182"/>
      <c r="E367" s="261"/>
      <c r="G367" s="182"/>
      <c r="J367" s="67"/>
      <c r="K367" s="67"/>
      <c r="R367" s="67"/>
    </row>
    <row r="368">
      <c r="B368" s="182"/>
      <c r="E368" s="261"/>
      <c r="G368" s="182"/>
      <c r="J368" s="67"/>
      <c r="K368" s="67"/>
      <c r="R368" s="67"/>
    </row>
    <row r="369">
      <c r="B369" s="182"/>
      <c r="E369" s="261"/>
      <c r="G369" s="182"/>
      <c r="J369" s="67"/>
      <c r="K369" s="67"/>
      <c r="R369" s="67"/>
    </row>
    <row r="370">
      <c r="B370" s="182"/>
      <c r="E370" s="261"/>
      <c r="G370" s="182"/>
      <c r="J370" s="67"/>
      <c r="K370" s="67"/>
      <c r="R370" s="67"/>
    </row>
    <row r="371">
      <c r="B371" s="182"/>
      <c r="E371" s="261"/>
      <c r="G371" s="182"/>
      <c r="J371" s="67"/>
      <c r="K371" s="67"/>
      <c r="R371" s="67"/>
    </row>
    <row r="372">
      <c r="B372" s="182"/>
      <c r="E372" s="261"/>
      <c r="G372" s="182"/>
      <c r="J372" s="67"/>
      <c r="K372" s="67"/>
      <c r="R372" s="67"/>
    </row>
    <row r="373">
      <c r="B373" s="182"/>
      <c r="E373" s="261"/>
      <c r="G373" s="182"/>
      <c r="J373" s="67"/>
      <c r="K373" s="67"/>
      <c r="R373" s="67"/>
    </row>
    <row r="374">
      <c r="B374" s="182"/>
      <c r="E374" s="261"/>
      <c r="G374" s="182"/>
      <c r="J374" s="67"/>
      <c r="K374" s="67"/>
      <c r="R374" s="67"/>
    </row>
    <row r="375">
      <c r="B375" s="182"/>
      <c r="E375" s="261"/>
      <c r="G375" s="182"/>
      <c r="J375" s="67"/>
      <c r="K375" s="67"/>
      <c r="R375" s="67"/>
    </row>
    <row r="376">
      <c r="B376" s="182"/>
      <c r="E376" s="261"/>
      <c r="G376" s="182"/>
      <c r="J376" s="67"/>
      <c r="K376" s="67"/>
      <c r="R376" s="67"/>
    </row>
    <row r="377">
      <c r="B377" s="182"/>
      <c r="E377" s="261"/>
      <c r="G377" s="182"/>
      <c r="J377" s="67"/>
      <c r="K377" s="67"/>
      <c r="R377" s="67"/>
    </row>
    <row r="378">
      <c r="B378" s="182"/>
      <c r="E378" s="261"/>
      <c r="G378" s="182"/>
      <c r="J378" s="67"/>
      <c r="K378" s="67"/>
      <c r="R378" s="67"/>
    </row>
    <row r="379">
      <c r="B379" s="182"/>
      <c r="E379" s="261"/>
      <c r="G379" s="182"/>
      <c r="J379" s="67"/>
      <c r="K379" s="67"/>
      <c r="R379" s="67"/>
    </row>
    <row r="380">
      <c r="B380" s="182"/>
      <c r="E380" s="261"/>
      <c r="G380" s="182"/>
      <c r="J380" s="67"/>
      <c r="K380" s="67"/>
      <c r="R380" s="67"/>
    </row>
    <row r="381">
      <c r="B381" s="182"/>
      <c r="E381" s="261"/>
      <c r="G381" s="182"/>
      <c r="J381" s="67"/>
      <c r="K381" s="67"/>
      <c r="R381" s="67"/>
    </row>
    <row r="382">
      <c r="B382" s="182"/>
      <c r="E382" s="261"/>
      <c r="G382" s="182"/>
      <c r="J382" s="67"/>
      <c r="K382" s="67"/>
      <c r="R382" s="67"/>
    </row>
    <row r="383">
      <c r="B383" s="182"/>
      <c r="E383" s="261"/>
      <c r="G383" s="182"/>
      <c r="J383" s="67"/>
      <c r="K383" s="67"/>
      <c r="R383" s="67"/>
    </row>
    <row r="384">
      <c r="B384" s="182"/>
      <c r="E384" s="261"/>
      <c r="G384" s="182"/>
      <c r="J384" s="67"/>
      <c r="K384" s="67"/>
      <c r="R384" s="67"/>
    </row>
    <row r="385">
      <c r="B385" s="182"/>
      <c r="E385" s="261"/>
      <c r="G385" s="182"/>
      <c r="J385" s="67"/>
      <c r="K385" s="67"/>
      <c r="R385" s="67"/>
    </row>
    <row r="386">
      <c r="B386" s="182"/>
      <c r="E386" s="261"/>
      <c r="G386" s="182"/>
      <c r="J386" s="67"/>
      <c r="K386" s="67"/>
      <c r="R386" s="67"/>
    </row>
    <row r="387">
      <c r="B387" s="182"/>
      <c r="E387" s="261"/>
      <c r="G387" s="182"/>
      <c r="J387" s="67"/>
      <c r="K387" s="67"/>
      <c r="R387" s="67"/>
    </row>
    <row r="388">
      <c r="B388" s="182"/>
      <c r="E388" s="261"/>
      <c r="G388" s="182"/>
      <c r="J388" s="67"/>
      <c r="K388" s="67"/>
      <c r="R388" s="67"/>
    </row>
    <row r="389">
      <c r="B389" s="182"/>
      <c r="E389" s="261"/>
      <c r="G389" s="182"/>
      <c r="J389" s="67"/>
      <c r="K389" s="67"/>
      <c r="R389" s="67"/>
    </row>
    <row r="390">
      <c r="B390" s="182"/>
      <c r="E390" s="261"/>
      <c r="G390" s="182"/>
      <c r="J390" s="67"/>
      <c r="K390" s="67"/>
      <c r="R390" s="67"/>
    </row>
    <row r="391">
      <c r="B391" s="182"/>
      <c r="E391" s="261"/>
      <c r="G391" s="182"/>
      <c r="J391" s="67"/>
      <c r="K391" s="67"/>
      <c r="R391" s="67"/>
    </row>
    <row r="392">
      <c r="B392" s="182"/>
      <c r="E392" s="261"/>
      <c r="G392" s="182"/>
      <c r="J392" s="67"/>
      <c r="K392" s="67"/>
      <c r="R392" s="67"/>
    </row>
    <row r="393">
      <c r="B393" s="182"/>
      <c r="E393" s="261"/>
      <c r="G393" s="182"/>
      <c r="J393" s="67"/>
      <c r="K393" s="67"/>
      <c r="R393" s="67"/>
    </row>
    <row r="394">
      <c r="B394" s="182"/>
      <c r="E394" s="261"/>
      <c r="G394" s="182"/>
      <c r="J394" s="67"/>
      <c r="K394" s="67"/>
      <c r="R394" s="67"/>
    </row>
    <row r="395">
      <c r="B395" s="182"/>
      <c r="E395" s="261"/>
      <c r="G395" s="182"/>
      <c r="J395" s="67"/>
      <c r="K395" s="67"/>
      <c r="R395" s="67"/>
    </row>
    <row r="396">
      <c r="B396" s="182"/>
      <c r="E396" s="261"/>
      <c r="G396" s="182"/>
      <c r="J396" s="67"/>
      <c r="K396" s="67"/>
      <c r="R396" s="67"/>
    </row>
    <row r="397">
      <c r="B397" s="182"/>
      <c r="E397" s="261"/>
      <c r="G397" s="182"/>
      <c r="J397" s="67"/>
      <c r="K397" s="67"/>
      <c r="R397" s="67"/>
    </row>
    <row r="398">
      <c r="B398" s="182"/>
      <c r="E398" s="261"/>
      <c r="G398" s="182"/>
      <c r="J398" s="67"/>
      <c r="K398" s="67"/>
      <c r="R398" s="67"/>
    </row>
    <row r="399">
      <c r="B399" s="182"/>
      <c r="E399" s="261"/>
      <c r="G399" s="182"/>
      <c r="J399" s="67"/>
      <c r="K399" s="67"/>
      <c r="R399" s="67"/>
    </row>
    <row r="400">
      <c r="B400" s="182"/>
      <c r="E400" s="261"/>
      <c r="G400" s="182"/>
      <c r="J400" s="67"/>
      <c r="K400" s="67"/>
      <c r="R400" s="67"/>
    </row>
    <row r="401">
      <c r="B401" s="182"/>
      <c r="E401" s="261"/>
      <c r="G401" s="182"/>
      <c r="J401" s="67"/>
      <c r="K401" s="67"/>
      <c r="R401" s="67"/>
    </row>
    <row r="402">
      <c r="B402" s="182"/>
      <c r="E402" s="261"/>
      <c r="G402" s="182"/>
      <c r="J402" s="67"/>
      <c r="K402" s="67"/>
      <c r="R402" s="67"/>
    </row>
    <row r="403">
      <c r="B403" s="182"/>
      <c r="E403" s="261"/>
      <c r="G403" s="182"/>
      <c r="J403" s="67"/>
      <c r="K403" s="67"/>
      <c r="R403" s="67"/>
    </row>
    <row r="404">
      <c r="B404" s="182"/>
      <c r="E404" s="261"/>
      <c r="G404" s="182"/>
      <c r="J404" s="67"/>
      <c r="K404" s="67"/>
      <c r="R404" s="67"/>
    </row>
    <row r="405">
      <c r="B405" s="182"/>
      <c r="E405" s="261"/>
      <c r="G405" s="182"/>
      <c r="J405" s="67"/>
      <c r="K405" s="67"/>
      <c r="R405" s="67"/>
    </row>
    <row r="406">
      <c r="B406" s="182"/>
      <c r="E406" s="261"/>
      <c r="G406" s="182"/>
      <c r="J406" s="67"/>
      <c r="K406" s="67"/>
      <c r="R406" s="67"/>
    </row>
    <row r="407">
      <c r="B407" s="182"/>
      <c r="E407" s="261"/>
      <c r="G407" s="182"/>
      <c r="J407" s="67"/>
      <c r="K407" s="67"/>
      <c r="R407" s="67"/>
    </row>
    <row r="408">
      <c r="B408" s="182"/>
      <c r="E408" s="261"/>
      <c r="G408" s="182"/>
      <c r="J408" s="67"/>
      <c r="K408" s="67"/>
      <c r="R408" s="67"/>
    </row>
    <row r="409">
      <c r="B409" s="182"/>
      <c r="E409" s="261"/>
      <c r="G409" s="182"/>
      <c r="J409" s="67"/>
      <c r="K409" s="67"/>
      <c r="R409" s="67"/>
    </row>
    <row r="410">
      <c r="B410" s="182"/>
      <c r="E410" s="261"/>
      <c r="G410" s="182"/>
      <c r="J410" s="67"/>
      <c r="K410" s="67"/>
      <c r="R410" s="67"/>
    </row>
    <row r="411">
      <c r="B411" s="182"/>
      <c r="E411" s="261"/>
      <c r="G411" s="182"/>
      <c r="J411" s="67"/>
      <c r="K411" s="67"/>
      <c r="R411" s="67"/>
    </row>
    <row r="412">
      <c r="B412" s="182"/>
      <c r="E412" s="261"/>
      <c r="G412" s="182"/>
      <c r="J412" s="67"/>
      <c r="K412" s="67"/>
      <c r="R412" s="67"/>
    </row>
    <row r="413">
      <c r="B413" s="182"/>
      <c r="E413" s="261"/>
      <c r="G413" s="182"/>
      <c r="J413" s="67"/>
      <c r="K413" s="67"/>
      <c r="R413" s="67"/>
    </row>
    <row r="414">
      <c r="B414" s="182"/>
      <c r="E414" s="261"/>
      <c r="G414" s="182"/>
      <c r="J414" s="67"/>
      <c r="K414" s="67"/>
      <c r="R414" s="67"/>
    </row>
    <row r="415">
      <c r="B415" s="182"/>
      <c r="E415" s="261"/>
      <c r="G415" s="182"/>
      <c r="J415" s="67"/>
      <c r="K415" s="67"/>
      <c r="R415" s="67"/>
    </row>
    <row r="416">
      <c r="B416" s="182"/>
      <c r="E416" s="261"/>
      <c r="G416" s="182"/>
      <c r="J416" s="67"/>
      <c r="K416" s="67"/>
      <c r="R416" s="67"/>
    </row>
    <row r="417">
      <c r="B417" s="182"/>
      <c r="E417" s="261"/>
      <c r="G417" s="182"/>
      <c r="J417" s="67"/>
      <c r="K417" s="67"/>
      <c r="R417" s="67"/>
    </row>
    <row r="418">
      <c r="B418" s="182"/>
      <c r="E418" s="261"/>
      <c r="G418" s="182"/>
      <c r="J418" s="67"/>
      <c r="K418" s="67"/>
      <c r="R418" s="67"/>
    </row>
    <row r="419">
      <c r="B419" s="182"/>
      <c r="E419" s="261"/>
      <c r="G419" s="182"/>
      <c r="J419" s="67"/>
      <c r="K419" s="67"/>
      <c r="R419" s="67"/>
    </row>
    <row r="420">
      <c r="B420" s="182"/>
      <c r="E420" s="261"/>
      <c r="G420" s="182"/>
      <c r="J420" s="67"/>
      <c r="K420" s="67"/>
      <c r="R420" s="67"/>
    </row>
    <row r="421">
      <c r="B421" s="182"/>
      <c r="E421" s="261"/>
      <c r="G421" s="182"/>
      <c r="J421" s="67"/>
      <c r="K421" s="67"/>
      <c r="R421" s="67"/>
    </row>
    <row r="422">
      <c r="B422" s="182"/>
      <c r="E422" s="261"/>
      <c r="G422" s="182"/>
      <c r="J422" s="67"/>
      <c r="K422" s="67"/>
      <c r="R422" s="67"/>
    </row>
    <row r="423">
      <c r="B423" s="182"/>
      <c r="E423" s="261"/>
      <c r="G423" s="182"/>
      <c r="J423" s="67"/>
      <c r="K423" s="67"/>
      <c r="R423" s="67"/>
    </row>
    <row r="424">
      <c r="B424" s="182"/>
      <c r="E424" s="261"/>
      <c r="G424" s="182"/>
      <c r="J424" s="67"/>
      <c r="K424" s="67"/>
      <c r="R424" s="67"/>
    </row>
    <row r="425">
      <c r="B425" s="182"/>
      <c r="E425" s="261"/>
      <c r="G425" s="182"/>
      <c r="J425" s="67"/>
      <c r="K425" s="67"/>
      <c r="R425" s="67"/>
    </row>
    <row r="426">
      <c r="B426" s="182"/>
      <c r="E426" s="261"/>
      <c r="G426" s="182"/>
      <c r="J426" s="67"/>
      <c r="K426" s="67"/>
      <c r="R426" s="67"/>
    </row>
    <row r="427">
      <c r="B427" s="182"/>
      <c r="E427" s="261"/>
      <c r="G427" s="182"/>
      <c r="J427" s="67"/>
      <c r="K427" s="67"/>
      <c r="R427" s="67"/>
    </row>
    <row r="428">
      <c r="B428" s="182"/>
      <c r="E428" s="261"/>
      <c r="G428" s="182"/>
      <c r="J428" s="67"/>
      <c r="K428" s="67"/>
      <c r="R428" s="67"/>
    </row>
    <row r="429">
      <c r="B429" s="182"/>
      <c r="E429" s="261"/>
      <c r="G429" s="182"/>
      <c r="J429" s="67"/>
      <c r="K429" s="67"/>
      <c r="R429" s="67"/>
    </row>
    <row r="430">
      <c r="B430" s="182"/>
      <c r="E430" s="261"/>
      <c r="G430" s="182"/>
      <c r="J430" s="67"/>
      <c r="K430" s="67"/>
      <c r="R430" s="67"/>
    </row>
    <row r="431">
      <c r="B431" s="182"/>
      <c r="E431" s="261"/>
      <c r="G431" s="182"/>
      <c r="J431" s="67"/>
      <c r="K431" s="67"/>
      <c r="R431" s="67"/>
    </row>
    <row r="432">
      <c r="B432" s="182"/>
      <c r="E432" s="261"/>
      <c r="G432" s="182"/>
      <c r="J432" s="67"/>
      <c r="K432" s="67"/>
      <c r="R432" s="67"/>
    </row>
    <row r="433">
      <c r="B433" s="182"/>
      <c r="E433" s="261"/>
      <c r="G433" s="182"/>
      <c r="J433" s="67"/>
      <c r="K433" s="67"/>
      <c r="R433" s="67"/>
    </row>
    <row r="434">
      <c r="B434" s="182"/>
      <c r="E434" s="261"/>
      <c r="G434" s="182"/>
      <c r="J434" s="67"/>
      <c r="K434" s="67"/>
      <c r="R434" s="67"/>
    </row>
    <row r="435">
      <c r="B435" s="182"/>
      <c r="E435" s="261"/>
      <c r="G435" s="182"/>
      <c r="J435" s="67"/>
      <c r="K435" s="67"/>
      <c r="R435" s="67"/>
    </row>
    <row r="436">
      <c r="B436" s="182"/>
      <c r="E436" s="261"/>
      <c r="G436" s="182"/>
      <c r="J436" s="67"/>
      <c r="K436" s="67"/>
      <c r="R436" s="67"/>
    </row>
    <row r="437">
      <c r="B437" s="182"/>
      <c r="E437" s="261"/>
      <c r="G437" s="182"/>
      <c r="J437" s="67"/>
      <c r="K437" s="67"/>
      <c r="R437" s="67"/>
    </row>
    <row r="438">
      <c r="B438" s="182"/>
      <c r="E438" s="261"/>
      <c r="G438" s="182"/>
      <c r="J438" s="67"/>
      <c r="K438" s="67"/>
      <c r="R438" s="67"/>
    </row>
    <row r="439">
      <c r="B439" s="182"/>
      <c r="E439" s="261"/>
      <c r="G439" s="182"/>
      <c r="J439" s="67"/>
      <c r="K439" s="67"/>
      <c r="R439" s="67"/>
    </row>
    <row r="440">
      <c r="B440" s="182"/>
      <c r="E440" s="261"/>
      <c r="G440" s="182"/>
      <c r="J440" s="67"/>
      <c r="K440" s="67"/>
      <c r="R440" s="67"/>
    </row>
    <row r="441">
      <c r="B441" s="182"/>
      <c r="E441" s="261"/>
      <c r="G441" s="182"/>
      <c r="J441" s="67"/>
      <c r="K441" s="67"/>
      <c r="R441" s="67"/>
    </row>
    <row r="442">
      <c r="B442" s="182"/>
      <c r="E442" s="261"/>
      <c r="G442" s="182"/>
      <c r="J442" s="67"/>
      <c r="K442" s="67"/>
      <c r="R442" s="67"/>
    </row>
    <row r="443">
      <c r="B443" s="182"/>
      <c r="E443" s="261"/>
      <c r="G443" s="182"/>
      <c r="J443" s="67"/>
      <c r="K443" s="67"/>
      <c r="R443" s="67"/>
    </row>
    <row r="444">
      <c r="B444" s="182"/>
      <c r="E444" s="261"/>
      <c r="G444" s="182"/>
      <c r="J444" s="67"/>
      <c r="K444" s="67"/>
      <c r="R444" s="67"/>
    </row>
    <row r="445">
      <c r="B445" s="182"/>
      <c r="E445" s="261"/>
      <c r="G445" s="182"/>
      <c r="J445" s="67"/>
      <c r="K445" s="67"/>
      <c r="R445" s="67"/>
    </row>
    <row r="446">
      <c r="B446" s="182"/>
      <c r="E446" s="261"/>
      <c r="G446" s="182"/>
      <c r="J446" s="67"/>
      <c r="K446" s="67"/>
      <c r="R446" s="67"/>
    </row>
    <row r="447">
      <c r="B447" s="182"/>
      <c r="E447" s="261"/>
      <c r="G447" s="182"/>
      <c r="J447" s="67"/>
      <c r="K447" s="67"/>
      <c r="R447" s="67"/>
    </row>
    <row r="448">
      <c r="B448" s="182"/>
      <c r="E448" s="261"/>
      <c r="G448" s="182"/>
      <c r="J448" s="67"/>
      <c r="K448" s="67"/>
      <c r="R448" s="67"/>
    </row>
    <row r="449">
      <c r="B449" s="182"/>
      <c r="E449" s="261"/>
      <c r="G449" s="182"/>
      <c r="J449" s="67"/>
      <c r="K449" s="67"/>
      <c r="R449" s="67"/>
    </row>
    <row r="450">
      <c r="B450" s="182"/>
      <c r="E450" s="261"/>
      <c r="G450" s="182"/>
      <c r="J450" s="67"/>
      <c r="K450" s="67"/>
      <c r="R450" s="67"/>
    </row>
    <row r="451">
      <c r="B451" s="182"/>
      <c r="E451" s="261"/>
      <c r="G451" s="182"/>
      <c r="J451" s="67"/>
      <c r="K451" s="67"/>
      <c r="R451" s="67"/>
    </row>
    <row r="452">
      <c r="B452" s="182"/>
      <c r="E452" s="261"/>
      <c r="G452" s="182"/>
      <c r="J452" s="67"/>
      <c r="K452" s="67"/>
      <c r="R452" s="67"/>
    </row>
    <row r="453">
      <c r="B453" s="182"/>
      <c r="E453" s="261"/>
      <c r="G453" s="182"/>
      <c r="J453" s="67"/>
      <c r="K453" s="67"/>
      <c r="R453" s="67"/>
    </row>
    <row r="454">
      <c r="B454" s="182"/>
      <c r="E454" s="261"/>
      <c r="G454" s="182"/>
      <c r="J454" s="67"/>
      <c r="K454" s="67"/>
      <c r="R454" s="67"/>
    </row>
    <row r="455">
      <c r="B455" s="182"/>
      <c r="E455" s="261"/>
      <c r="G455" s="182"/>
      <c r="J455" s="67"/>
      <c r="K455" s="67"/>
      <c r="R455" s="67"/>
    </row>
    <row r="456">
      <c r="B456" s="182"/>
      <c r="E456" s="261"/>
      <c r="G456" s="182"/>
      <c r="J456" s="67"/>
      <c r="K456" s="67"/>
      <c r="R456" s="67"/>
    </row>
    <row r="457">
      <c r="B457" s="182"/>
      <c r="E457" s="261"/>
      <c r="G457" s="182"/>
      <c r="J457" s="67"/>
      <c r="K457" s="67"/>
      <c r="R457" s="67"/>
    </row>
    <row r="458">
      <c r="B458" s="182"/>
      <c r="E458" s="261"/>
      <c r="G458" s="182"/>
      <c r="J458" s="67"/>
      <c r="K458" s="67"/>
      <c r="R458" s="67"/>
    </row>
    <row r="459">
      <c r="B459" s="182"/>
      <c r="E459" s="261"/>
      <c r="G459" s="182"/>
      <c r="J459" s="67"/>
      <c r="K459" s="67"/>
      <c r="R459" s="67"/>
    </row>
    <row r="460">
      <c r="B460" s="182"/>
      <c r="E460" s="261"/>
      <c r="G460" s="182"/>
      <c r="J460" s="67"/>
      <c r="K460" s="67"/>
      <c r="R460" s="67"/>
    </row>
    <row r="461">
      <c r="B461" s="182"/>
      <c r="E461" s="261"/>
      <c r="G461" s="182"/>
      <c r="J461" s="67"/>
      <c r="K461" s="67"/>
      <c r="R461" s="67"/>
    </row>
    <row r="462">
      <c r="B462" s="182"/>
      <c r="E462" s="261"/>
      <c r="G462" s="182"/>
      <c r="J462" s="67"/>
      <c r="K462" s="67"/>
      <c r="R462" s="67"/>
    </row>
    <row r="463">
      <c r="B463" s="182"/>
      <c r="E463" s="261"/>
      <c r="G463" s="182"/>
      <c r="J463" s="67"/>
      <c r="K463" s="67"/>
      <c r="R463" s="67"/>
    </row>
    <row r="464">
      <c r="B464" s="182"/>
      <c r="E464" s="261"/>
      <c r="G464" s="182"/>
      <c r="J464" s="67"/>
      <c r="K464" s="67"/>
      <c r="R464" s="67"/>
    </row>
    <row r="465">
      <c r="B465" s="182"/>
      <c r="E465" s="261"/>
      <c r="G465" s="182"/>
      <c r="J465" s="67"/>
      <c r="K465" s="67"/>
      <c r="R465" s="67"/>
    </row>
    <row r="466">
      <c r="B466" s="182"/>
      <c r="E466" s="261"/>
      <c r="G466" s="182"/>
      <c r="J466" s="67"/>
      <c r="K466" s="67"/>
      <c r="R466" s="67"/>
    </row>
    <row r="467">
      <c r="B467" s="182"/>
      <c r="E467" s="261"/>
      <c r="G467" s="182"/>
      <c r="J467" s="67"/>
      <c r="K467" s="67"/>
      <c r="R467" s="67"/>
    </row>
    <row r="468">
      <c r="B468" s="182"/>
      <c r="E468" s="261"/>
      <c r="G468" s="182"/>
      <c r="J468" s="67"/>
      <c r="K468" s="67"/>
      <c r="R468" s="67"/>
    </row>
    <row r="469">
      <c r="B469" s="182"/>
      <c r="E469" s="261"/>
      <c r="G469" s="182"/>
      <c r="J469" s="67"/>
      <c r="K469" s="67"/>
      <c r="R469" s="67"/>
    </row>
    <row r="470">
      <c r="B470" s="182"/>
      <c r="E470" s="261"/>
      <c r="G470" s="182"/>
      <c r="J470" s="67"/>
      <c r="K470" s="67"/>
      <c r="R470" s="67"/>
    </row>
    <row r="471">
      <c r="B471" s="182"/>
      <c r="E471" s="261"/>
      <c r="G471" s="182"/>
      <c r="J471" s="67"/>
      <c r="K471" s="67"/>
      <c r="R471" s="67"/>
    </row>
    <row r="472">
      <c r="B472" s="182"/>
      <c r="E472" s="261"/>
      <c r="G472" s="182"/>
      <c r="J472" s="67"/>
      <c r="K472" s="67"/>
      <c r="R472" s="67"/>
    </row>
    <row r="473">
      <c r="B473" s="182"/>
      <c r="E473" s="261"/>
      <c r="G473" s="182"/>
      <c r="J473" s="67"/>
      <c r="K473" s="67"/>
      <c r="R473" s="67"/>
    </row>
    <row r="474">
      <c r="B474" s="182"/>
      <c r="E474" s="261"/>
      <c r="G474" s="182"/>
      <c r="J474" s="67"/>
      <c r="K474" s="67"/>
      <c r="R474" s="67"/>
    </row>
    <row r="475">
      <c r="B475" s="182"/>
      <c r="E475" s="261"/>
      <c r="G475" s="182"/>
      <c r="J475" s="67"/>
      <c r="K475" s="67"/>
      <c r="R475" s="67"/>
    </row>
    <row r="476">
      <c r="B476" s="182"/>
      <c r="E476" s="261"/>
      <c r="G476" s="182"/>
      <c r="J476" s="67"/>
      <c r="K476" s="67"/>
      <c r="R476" s="67"/>
    </row>
    <row r="477">
      <c r="B477" s="182"/>
      <c r="E477" s="261"/>
      <c r="G477" s="182"/>
      <c r="J477" s="67"/>
      <c r="K477" s="67"/>
      <c r="R477" s="67"/>
    </row>
    <row r="478">
      <c r="B478" s="182"/>
      <c r="E478" s="261"/>
      <c r="G478" s="182"/>
      <c r="J478" s="67"/>
      <c r="K478" s="67"/>
      <c r="R478" s="67"/>
    </row>
    <row r="479">
      <c r="B479" s="182"/>
      <c r="E479" s="261"/>
      <c r="G479" s="182"/>
      <c r="J479" s="67"/>
      <c r="K479" s="67"/>
      <c r="R479" s="67"/>
    </row>
    <row r="480">
      <c r="B480" s="182"/>
      <c r="E480" s="261"/>
      <c r="G480" s="182"/>
      <c r="J480" s="67"/>
      <c r="K480" s="67"/>
      <c r="R480" s="67"/>
    </row>
    <row r="481">
      <c r="B481" s="182"/>
      <c r="E481" s="261"/>
      <c r="G481" s="182"/>
      <c r="J481" s="67"/>
      <c r="K481" s="67"/>
      <c r="R481" s="67"/>
    </row>
    <row r="482">
      <c r="B482" s="182"/>
      <c r="E482" s="261"/>
      <c r="G482" s="182"/>
      <c r="J482" s="67"/>
      <c r="K482" s="67"/>
      <c r="R482" s="67"/>
    </row>
    <row r="483">
      <c r="B483" s="182"/>
      <c r="E483" s="261"/>
      <c r="G483" s="182"/>
      <c r="J483" s="67"/>
      <c r="K483" s="67"/>
      <c r="R483" s="67"/>
    </row>
    <row r="484">
      <c r="B484" s="182"/>
      <c r="E484" s="261"/>
      <c r="G484" s="182"/>
      <c r="J484" s="67"/>
      <c r="K484" s="67"/>
      <c r="R484" s="67"/>
    </row>
    <row r="485">
      <c r="B485" s="182"/>
      <c r="E485" s="261"/>
      <c r="G485" s="182"/>
      <c r="J485" s="67"/>
      <c r="K485" s="67"/>
      <c r="R485" s="67"/>
    </row>
    <row r="486">
      <c r="B486" s="182"/>
      <c r="E486" s="261"/>
      <c r="G486" s="182"/>
      <c r="J486" s="67"/>
      <c r="K486" s="67"/>
      <c r="R486" s="67"/>
    </row>
    <row r="487">
      <c r="B487" s="182"/>
      <c r="E487" s="261"/>
      <c r="G487" s="182"/>
      <c r="J487" s="67"/>
      <c r="K487" s="67"/>
      <c r="R487" s="67"/>
    </row>
    <row r="488">
      <c r="B488" s="182"/>
      <c r="E488" s="261"/>
      <c r="G488" s="182"/>
      <c r="J488" s="67"/>
      <c r="K488" s="67"/>
      <c r="R488" s="67"/>
    </row>
    <row r="489">
      <c r="B489" s="182"/>
      <c r="E489" s="261"/>
      <c r="G489" s="182"/>
      <c r="J489" s="67"/>
      <c r="K489" s="67"/>
      <c r="R489" s="67"/>
    </row>
    <row r="490">
      <c r="B490" s="182"/>
      <c r="E490" s="261"/>
      <c r="G490" s="182"/>
      <c r="J490" s="67"/>
      <c r="K490" s="67"/>
      <c r="R490" s="67"/>
    </row>
    <row r="491">
      <c r="B491" s="182"/>
      <c r="E491" s="261"/>
      <c r="G491" s="182"/>
      <c r="J491" s="67"/>
      <c r="K491" s="67"/>
      <c r="R491" s="67"/>
    </row>
    <row r="492">
      <c r="B492" s="182"/>
      <c r="E492" s="261"/>
      <c r="G492" s="182"/>
      <c r="J492" s="67"/>
      <c r="K492" s="67"/>
      <c r="R492" s="67"/>
    </row>
    <row r="493">
      <c r="B493" s="182"/>
      <c r="E493" s="261"/>
      <c r="G493" s="182"/>
      <c r="J493" s="67"/>
      <c r="K493" s="67"/>
      <c r="R493" s="67"/>
    </row>
    <row r="494">
      <c r="B494" s="182"/>
      <c r="E494" s="261"/>
      <c r="G494" s="182"/>
      <c r="J494" s="67"/>
      <c r="K494" s="67"/>
      <c r="R494" s="67"/>
    </row>
    <row r="495">
      <c r="B495" s="182"/>
      <c r="E495" s="261"/>
      <c r="G495" s="182"/>
      <c r="J495" s="67"/>
      <c r="K495" s="67"/>
      <c r="R495" s="67"/>
    </row>
    <row r="496">
      <c r="B496" s="182"/>
      <c r="E496" s="261"/>
      <c r="G496" s="182"/>
      <c r="J496" s="67"/>
      <c r="K496" s="67"/>
      <c r="R496" s="67"/>
    </row>
    <row r="497">
      <c r="B497" s="182"/>
      <c r="E497" s="261"/>
      <c r="G497" s="182"/>
      <c r="J497" s="67"/>
      <c r="K497" s="67"/>
      <c r="R497" s="67"/>
    </row>
    <row r="498">
      <c r="B498" s="182"/>
      <c r="E498" s="261"/>
      <c r="G498" s="182"/>
      <c r="J498" s="67"/>
      <c r="K498" s="67"/>
      <c r="R498" s="67"/>
    </row>
    <row r="499">
      <c r="B499" s="182"/>
      <c r="E499" s="261"/>
      <c r="G499" s="182"/>
      <c r="J499" s="67"/>
      <c r="K499" s="67"/>
      <c r="R499" s="67"/>
    </row>
    <row r="500">
      <c r="B500" s="182"/>
      <c r="E500" s="261"/>
      <c r="G500" s="182"/>
      <c r="J500" s="67"/>
      <c r="K500" s="67"/>
      <c r="R500" s="67"/>
    </row>
    <row r="501">
      <c r="B501" s="182"/>
      <c r="E501" s="261"/>
      <c r="G501" s="182"/>
      <c r="J501" s="67"/>
      <c r="K501" s="67"/>
      <c r="R501" s="67"/>
    </row>
    <row r="502">
      <c r="B502" s="182"/>
      <c r="E502" s="261"/>
      <c r="G502" s="182"/>
      <c r="J502" s="67"/>
      <c r="K502" s="67"/>
      <c r="R502" s="67"/>
    </row>
    <row r="503">
      <c r="B503" s="182"/>
      <c r="E503" s="261"/>
      <c r="G503" s="182"/>
      <c r="J503" s="67"/>
      <c r="K503" s="67"/>
      <c r="R503" s="67"/>
    </row>
    <row r="504">
      <c r="B504" s="182"/>
      <c r="E504" s="261"/>
      <c r="G504" s="182"/>
      <c r="J504" s="67"/>
      <c r="K504" s="67"/>
      <c r="R504" s="67"/>
    </row>
    <row r="505">
      <c r="B505" s="182"/>
      <c r="E505" s="261"/>
      <c r="G505" s="182"/>
      <c r="J505" s="67"/>
      <c r="K505" s="67"/>
      <c r="R505" s="67"/>
    </row>
    <row r="506">
      <c r="B506" s="182"/>
      <c r="E506" s="261"/>
      <c r="G506" s="182"/>
      <c r="J506" s="67"/>
      <c r="K506" s="67"/>
      <c r="R506" s="67"/>
    </row>
    <row r="507">
      <c r="B507" s="182"/>
      <c r="E507" s="261"/>
      <c r="G507" s="182"/>
      <c r="J507" s="67"/>
      <c r="K507" s="67"/>
      <c r="R507" s="67"/>
    </row>
    <row r="508">
      <c r="B508" s="182"/>
      <c r="E508" s="261"/>
      <c r="G508" s="182"/>
      <c r="J508" s="67"/>
      <c r="K508" s="67"/>
      <c r="R508" s="67"/>
    </row>
    <row r="509">
      <c r="B509" s="182"/>
      <c r="E509" s="261"/>
      <c r="G509" s="182"/>
      <c r="J509" s="67"/>
      <c r="K509" s="67"/>
      <c r="R509" s="67"/>
    </row>
    <row r="510">
      <c r="B510" s="182"/>
      <c r="E510" s="261"/>
      <c r="G510" s="182"/>
      <c r="J510" s="67"/>
      <c r="K510" s="67"/>
      <c r="R510" s="67"/>
    </row>
    <row r="511">
      <c r="B511" s="182"/>
      <c r="E511" s="261"/>
      <c r="G511" s="182"/>
      <c r="J511" s="67"/>
      <c r="K511" s="67"/>
      <c r="R511" s="67"/>
    </row>
    <row r="512">
      <c r="B512" s="182"/>
      <c r="E512" s="261"/>
      <c r="G512" s="182"/>
      <c r="J512" s="67"/>
      <c r="K512" s="67"/>
      <c r="R512" s="67"/>
    </row>
    <row r="513">
      <c r="B513" s="182"/>
      <c r="E513" s="261"/>
      <c r="G513" s="182"/>
      <c r="J513" s="67"/>
      <c r="K513" s="67"/>
      <c r="R513" s="67"/>
    </row>
    <row r="514">
      <c r="B514" s="182"/>
      <c r="E514" s="261"/>
      <c r="G514" s="182"/>
      <c r="J514" s="67"/>
      <c r="K514" s="67"/>
      <c r="R514" s="67"/>
    </row>
    <row r="515">
      <c r="B515" s="182"/>
      <c r="E515" s="261"/>
      <c r="G515" s="182"/>
      <c r="J515" s="67"/>
      <c r="K515" s="67"/>
      <c r="R515" s="67"/>
    </row>
    <row r="516">
      <c r="B516" s="182"/>
      <c r="E516" s="261"/>
      <c r="G516" s="182"/>
      <c r="J516" s="67"/>
      <c r="K516" s="67"/>
      <c r="R516" s="67"/>
    </row>
    <row r="517">
      <c r="B517" s="182"/>
      <c r="E517" s="261"/>
      <c r="G517" s="182"/>
      <c r="J517" s="67"/>
      <c r="K517" s="67"/>
      <c r="R517" s="67"/>
    </row>
    <row r="518">
      <c r="B518" s="182"/>
      <c r="E518" s="261"/>
      <c r="G518" s="182"/>
      <c r="J518" s="67"/>
      <c r="K518" s="67"/>
      <c r="R518" s="67"/>
    </row>
    <row r="519">
      <c r="B519" s="182"/>
      <c r="E519" s="261"/>
      <c r="G519" s="182"/>
      <c r="J519" s="67"/>
      <c r="K519" s="67"/>
      <c r="R519" s="67"/>
    </row>
    <row r="520">
      <c r="B520" s="182"/>
      <c r="E520" s="261"/>
      <c r="G520" s="182"/>
      <c r="J520" s="67"/>
      <c r="K520" s="67"/>
      <c r="R520" s="67"/>
    </row>
    <row r="521">
      <c r="B521" s="182"/>
      <c r="E521" s="261"/>
      <c r="G521" s="182"/>
      <c r="J521" s="67"/>
      <c r="K521" s="67"/>
      <c r="R521" s="67"/>
    </row>
    <row r="522">
      <c r="B522" s="182"/>
      <c r="E522" s="261"/>
      <c r="G522" s="182"/>
      <c r="J522" s="67"/>
      <c r="K522" s="67"/>
      <c r="R522" s="67"/>
    </row>
    <row r="523">
      <c r="B523" s="182"/>
      <c r="E523" s="261"/>
      <c r="G523" s="182"/>
      <c r="J523" s="67"/>
      <c r="K523" s="67"/>
      <c r="R523" s="67"/>
    </row>
    <row r="524">
      <c r="B524" s="182"/>
      <c r="E524" s="261"/>
      <c r="G524" s="182"/>
      <c r="J524" s="67"/>
      <c r="K524" s="67"/>
      <c r="R524" s="67"/>
    </row>
    <row r="525">
      <c r="B525" s="182"/>
      <c r="E525" s="261"/>
      <c r="G525" s="182"/>
      <c r="J525" s="67"/>
      <c r="K525" s="67"/>
      <c r="R525" s="67"/>
    </row>
    <row r="526">
      <c r="B526" s="182"/>
      <c r="E526" s="261"/>
      <c r="G526" s="182"/>
      <c r="J526" s="67"/>
      <c r="K526" s="67"/>
      <c r="R526" s="67"/>
    </row>
    <row r="527">
      <c r="B527" s="182"/>
      <c r="E527" s="261"/>
      <c r="G527" s="182"/>
      <c r="J527" s="67"/>
      <c r="K527" s="67"/>
      <c r="R527" s="67"/>
    </row>
    <row r="528">
      <c r="B528" s="182"/>
      <c r="E528" s="261"/>
      <c r="G528" s="182"/>
      <c r="J528" s="67"/>
      <c r="K528" s="67"/>
      <c r="R528" s="67"/>
    </row>
    <row r="529">
      <c r="B529" s="182"/>
      <c r="E529" s="261"/>
      <c r="G529" s="182"/>
      <c r="J529" s="67"/>
      <c r="K529" s="67"/>
      <c r="R529" s="67"/>
    </row>
    <row r="530">
      <c r="B530" s="182"/>
      <c r="E530" s="261"/>
      <c r="G530" s="182"/>
      <c r="J530" s="67"/>
      <c r="K530" s="67"/>
      <c r="R530" s="67"/>
    </row>
    <row r="531">
      <c r="B531" s="182"/>
      <c r="E531" s="261"/>
      <c r="G531" s="182"/>
      <c r="J531" s="67"/>
      <c r="K531" s="67"/>
      <c r="R531" s="67"/>
    </row>
    <row r="532">
      <c r="B532" s="182"/>
      <c r="E532" s="261"/>
      <c r="G532" s="182"/>
      <c r="J532" s="67"/>
      <c r="K532" s="67"/>
      <c r="R532" s="67"/>
    </row>
    <row r="533">
      <c r="B533" s="182"/>
      <c r="E533" s="261"/>
      <c r="G533" s="182"/>
      <c r="J533" s="67"/>
      <c r="K533" s="67"/>
      <c r="R533" s="67"/>
    </row>
    <row r="534">
      <c r="B534" s="182"/>
      <c r="E534" s="261"/>
      <c r="G534" s="182"/>
      <c r="J534" s="67"/>
      <c r="K534" s="67"/>
      <c r="R534" s="67"/>
    </row>
    <row r="535">
      <c r="B535" s="182"/>
      <c r="E535" s="261"/>
      <c r="G535" s="182"/>
      <c r="J535" s="67"/>
      <c r="K535" s="67"/>
      <c r="R535" s="67"/>
    </row>
    <row r="536">
      <c r="B536" s="182"/>
      <c r="E536" s="261"/>
      <c r="G536" s="182"/>
      <c r="J536" s="67"/>
      <c r="K536" s="67"/>
      <c r="R536" s="67"/>
    </row>
    <row r="537">
      <c r="B537" s="182"/>
      <c r="E537" s="261"/>
      <c r="G537" s="182"/>
      <c r="J537" s="67"/>
      <c r="K537" s="67"/>
      <c r="R537" s="67"/>
    </row>
    <row r="538">
      <c r="B538" s="182"/>
      <c r="E538" s="261"/>
      <c r="G538" s="182"/>
      <c r="J538" s="67"/>
      <c r="K538" s="67"/>
      <c r="R538" s="67"/>
    </row>
    <row r="539">
      <c r="B539" s="182"/>
      <c r="E539" s="261"/>
      <c r="G539" s="182"/>
      <c r="J539" s="67"/>
      <c r="K539" s="67"/>
      <c r="R539" s="67"/>
    </row>
    <row r="540">
      <c r="B540" s="182"/>
      <c r="E540" s="261"/>
      <c r="G540" s="182"/>
      <c r="J540" s="67"/>
      <c r="K540" s="67"/>
      <c r="R540" s="67"/>
    </row>
    <row r="541">
      <c r="B541" s="182"/>
      <c r="E541" s="261"/>
      <c r="G541" s="182"/>
      <c r="J541" s="67"/>
      <c r="K541" s="67"/>
      <c r="R541" s="67"/>
    </row>
    <row r="542">
      <c r="B542" s="182"/>
      <c r="E542" s="261"/>
      <c r="G542" s="182"/>
      <c r="J542" s="67"/>
      <c r="K542" s="67"/>
      <c r="R542" s="67"/>
    </row>
    <row r="543">
      <c r="B543" s="182"/>
      <c r="E543" s="261"/>
      <c r="G543" s="182"/>
      <c r="J543" s="67"/>
      <c r="K543" s="67"/>
      <c r="R543" s="67"/>
    </row>
    <row r="544">
      <c r="B544" s="182"/>
      <c r="E544" s="261"/>
      <c r="G544" s="182"/>
      <c r="J544" s="67"/>
      <c r="K544" s="67"/>
      <c r="R544" s="67"/>
    </row>
    <row r="545">
      <c r="B545" s="182"/>
      <c r="E545" s="261"/>
      <c r="G545" s="182"/>
      <c r="J545" s="67"/>
      <c r="K545" s="67"/>
      <c r="R545" s="67"/>
    </row>
    <row r="546">
      <c r="B546" s="182"/>
      <c r="E546" s="261"/>
      <c r="G546" s="182"/>
      <c r="J546" s="67"/>
      <c r="K546" s="67"/>
      <c r="R546" s="67"/>
    </row>
    <row r="547">
      <c r="B547" s="182"/>
      <c r="E547" s="261"/>
      <c r="G547" s="182"/>
      <c r="J547" s="67"/>
      <c r="K547" s="67"/>
      <c r="R547" s="67"/>
    </row>
    <row r="548">
      <c r="B548" s="182"/>
      <c r="E548" s="261"/>
      <c r="G548" s="182"/>
      <c r="J548" s="67"/>
      <c r="K548" s="67"/>
      <c r="R548" s="67"/>
    </row>
    <row r="549">
      <c r="B549" s="182"/>
      <c r="E549" s="261"/>
      <c r="G549" s="182"/>
      <c r="J549" s="67"/>
      <c r="K549" s="67"/>
      <c r="R549" s="67"/>
    </row>
    <row r="550">
      <c r="B550" s="182"/>
      <c r="E550" s="261"/>
      <c r="G550" s="182"/>
      <c r="J550" s="67"/>
      <c r="K550" s="67"/>
      <c r="R550" s="67"/>
    </row>
    <row r="551">
      <c r="B551" s="182"/>
      <c r="E551" s="261"/>
      <c r="G551" s="182"/>
      <c r="J551" s="67"/>
      <c r="K551" s="67"/>
      <c r="R551" s="67"/>
    </row>
    <row r="552">
      <c r="B552" s="182"/>
      <c r="E552" s="261"/>
      <c r="G552" s="182"/>
      <c r="J552" s="67"/>
      <c r="K552" s="67"/>
      <c r="R552" s="67"/>
    </row>
    <row r="553">
      <c r="B553" s="182"/>
      <c r="E553" s="261"/>
      <c r="G553" s="182"/>
      <c r="J553" s="67"/>
      <c r="K553" s="67"/>
      <c r="R553" s="67"/>
    </row>
    <row r="554">
      <c r="B554" s="182"/>
      <c r="E554" s="261"/>
      <c r="G554" s="182"/>
      <c r="J554" s="67"/>
      <c r="K554" s="67"/>
      <c r="R554" s="67"/>
    </row>
    <row r="555">
      <c r="B555" s="182"/>
      <c r="E555" s="261"/>
      <c r="G555" s="182"/>
      <c r="J555" s="67"/>
      <c r="K555" s="67"/>
      <c r="R555" s="67"/>
    </row>
    <row r="556">
      <c r="B556" s="182"/>
      <c r="E556" s="261"/>
      <c r="G556" s="182"/>
      <c r="J556" s="67"/>
      <c r="K556" s="67"/>
      <c r="R556" s="67"/>
    </row>
    <row r="557">
      <c r="B557" s="182"/>
      <c r="E557" s="261"/>
      <c r="G557" s="182"/>
      <c r="J557" s="67"/>
      <c r="K557" s="67"/>
      <c r="R557" s="67"/>
    </row>
    <row r="558">
      <c r="B558" s="182"/>
      <c r="E558" s="261"/>
      <c r="G558" s="182"/>
      <c r="J558" s="67"/>
      <c r="K558" s="67"/>
      <c r="R558" s="67"/>
    </row>
    <row r="559">
      <c r="B559" s="182"/>
      <c r="E559" s="261"/>
      <c r="G559" s="182"/>
      <c r="J559" s="67"/>
      <c r="K559" s="67"/>
      <c r="R559" s="67"/>
    </row>
    <row r="560">
      <c r="B560" s="182"/>
      <c r="E560" s="261"/>
      <c r="G560" s="182"/>
      <c r="J560" s="67"/>
      <c r="K560" s="67"/>
      <c r="R560" s="67"/>
    </row>
    <row r="561">
      <c r="B561" s="182"/>
      <c r="E561" s="261"/>
      <c r="G561" s="182"/>
      <c r="J561" s="67"/>
      <c r="K561" s="67"/>
      <c r="R561" s="67"/>
    </row>
    <row r="562">
      <c r="B562" s="182"/>
      <c r="E562" s="261"/>
      <c r="G562" s="182"/>
      <c r="J562" s="67"/>
      <c r="K562" s="67"/>
      <c r="R562" s="67"/>
    </row>
    <row r="563">
      <c r="B563" s="182"/>
      <c r="E563" s="261"/>
      <c r="G563" s="182"/>
      <c r="J563" s="67"/>
      <c r="K563" s="67"/>
      <c r="R563" s="67"/>
    </row>
    <row r="564">
      <c r="B564" s="182"/>
      <c r="E564" s="261"/>
      <c r="G564" s="182"/>
      <c r="J564" s="67"/>
      <c r="K564" s="67"/>
      <c r="R564" s="67"/>
    </row>
    <row r="565">
      <c r="B565" s="182"/>
      <c r="E565" s="261"/>
      <c r="G565" s="182"/>
      <c r="J565" s="67"/>
      <c r="K565" s="67"/>
      <c r="R565" s="67"/>
    </row>
    <row r="566">
      <c r="B566" s="182"/>
      <c r="E566" s="261"/>
      <c r="G566" s="182"/>
      <c r="J566" s="67"/>
      <c r="K566" s="67"/>
      <c r="R566" s="67"/>
    </row>
    <row r="567">
      <c r="B567" s="182"/>
      <c r="E567" s="261"/>
      <c r="G567" s="182"/>
      <c r="J567" s="67"/>
      <c r="K567" s="67"/>
      <c r="R567" s="67"/>
    </row>
    <row r="568">
      <c r="B568" s="182"/>
      <c r="E568" s="261"/>
      <c r="G568" s="182"/>
      <c r="J568" s="67"/>
      <c r="K568" s="67"/>
      <c r="R568" s="67"/>
    </row>
    <row r="569">
      <c r="B569" s="182"/>
      <c r="E569" s="261"/>
      <c r="G569" s="182"/>
      <c r="J569" s="67"/>
      <c r="K569" s="67"/>
      <c r="R569" s="67"/>
    </row>
    <row r="570">
      <c r="B570" s="182"/>
      <c r="E570" s="261"/>
      <c r="G570" s="182"/>
      <c r="J570" s="67"/>
      <c r="K570" s="67"/>
      <c r="R570" s="67"/>
    </row>
    <row r="571">
      <c r="B571" s="182"/>
      <c r="E571" s="261"/>
      <c r="G571" s="182"/>
      <c r="J571" s="67"/>
      <c r="K571" s="67"/>
      <c r="R571" s="67"/>
    </row>
    <row r="572">
      <c r="B572" s="182"/>
      <c r="E572" s="261"/>
      <c r="G572" s="182"/>
      <c r="J572" s="67"/>
      <c r="K572" s="67"/>
      <c r="R572" s="67"/>
    </row>
    <row r="573">
      <c r="B573" s="182"/>
      <c r="E573" s="261"/>
      <c r="G573" s="182"/>
      <c r="J573" s="67"/>
      <c r="K573" s="67"/>
      <c r="R573" s="67"/>
    </row>
    <row r="574">
      <c r="B574" s="182"/>
      <c r="E574" s="261"/>
      <c r="G574" s="182"/>
      <c r="J574" s="67"/>
      <c r="K574" s="67"/>
      <c r="R574" s="67"/>
    </row>
    <row r="575">
      <c r="B575" s="182"/>
      <c r="E575" s="261"/>
      <c r="G575" s="182"/>
      <c r="J575" s="67"/>
      <c r="K575" s="67"/>
      <c r="R575" s="67"/>
    </row>
    <row r="576">
      <c r="B576" s="182"/>
      <c r="E576" s="261"/>
      <c r="G576" s="182"/>
      <c r="J576" s="67"/>
      <c r="K576" s="67"/>
      <c r="R576" s="67"/>
    </row>
    <row r="577">
      <c r="B577" s="182"/>
      <c r="E577" s="261"/>
      <c r="G577" s="182"/>
      <c r="J577" s="67"/>
      <c r="K577" s="67"/>
      <c r="R577" s="67"/>
    </row>
    <row r="578">
      <c r="B578" s="182"/>
      <c r="E578" s="261"/>
      <c r="G578" s="182"/>
      <c r="J578" s="67"/>
      <c r="K578" s="67"/>
      <c r="R578" s="67"/>
    </row>
    <row r="579">
      <c r="B579" s="182"/>
      <c r="E579" s="261"/>
      <c r="G579" s="182"/>
      <c r="J579" s="67"/>
      <c r="K579" s="67"/>
      <c r="R579" s="67"/>
    </row>
    <row r="580">
      <c r="B580" s="182"/>
      <c r="E580" s="261"/>
      <c r="G580" s="182"/>
      <c r="J580" s="67"/>
      <c r="K580" s="67"/>
      <c r="R580" s="67"/>
    </row>
    <row r="581">
      <c r="B581" s="182"/>
      <c r="E581" s="261"/>
      <c r="G581" s="182"/>
      <c r="J581" s="67"/>
      <c r="K581" s="67"/>
      <c r="R581" s="67"/>
    </row>
    <row r="582">
      <c r="B582" s="182"/>
      <c r="E582" s="261"/>
      <c r="G582" s="182"/>
      <c r="J582" s="67"/>
      <c r="K582" s="67"/>
      <c r="R582" s="67"/>
    </row>
    <row r="583">
      <c r="B583" s="182"/>
      <c r="E583" s="261"/>
      <c r="G583" s="182"/>
      <c r="J583" s="67"/>
      <c r="K583" s="67"/>
      <c r="R583" s="67"/>
    </row>
    <row r="584">
      <c r="B584" s="182"/>
      <c r="E584" s="261"/>
      <c r="G584" s="182"/>
      <c r="J584" s="67"/>
      <c r="K584" s="67"/>
      <c r="R584" s="67"/>
    </row>
    <row r="585">
      <c r="B585" s="182"/>
      <c r="E585" s="261"/>
      <c r="G585" s="182"/>
      <c r="J585" s="67"/>
      <c r="K585" s="67"/>
      <c r="R585" s="67"/>
    </row>
    <row r="586">
      <c r="B586" s="182"/>
      <c r="E586" s="261"/>
      <c r="G586" s="182"/>
      <c r="J586" s="67"/>
      <c r="K586" s="67"/>
      <c r="R586" s="67"/>
    </row>
    <row r="587">
      <c r="B587" s="182"/>
      <c r="E587" s="261"/>
      <c r="G587" s="182"/>
      <c r="J587" s="67"/>
      <c r="K587" s="67"/>
      <c r="R587" s="67"/>
    </row>
    <row r="588">
      <c r="B588" s="182"/>
      <c r="E588" s="261"/>
      <c r="G588" s="182"/>
      <c r="J588" s="67"/>
      <c r="K588" s="67"/>
      <c r="R588" s="67"/>
    </row>
    <row r="589">
      <c r="B589" s="182"/>
      <c r="E589" s="261"/>
      <c r="G589" s="182"/>
      <c r="J589" s="67"/>
      <c r="K589" s="67"/>
      <c r="R589" s="67"/>
    </row>
    <row r="590">
      <c r="B590" s="182"/>
      <c r="E590" s="261"/>
      <c r="G590" s="182"/>
      <c r="J590" s="67"/>
      <c r="K590" s="67"/>
      <c r="R590" s="67"/>
    </row>
    <row r="591">
      <c r="B591" s="182"/>
      <c r="E591" s="261"/>
      <c r="G591" s="182"/>
      <c r="J591" s="67"/>
      <c r="K591" s="67"/>
      <c r="R591" s="67"/>
    </row>
    <row r="592">
      <c r="B592" s="182"/>
      <c r="E592" s="261"/>
      <c r="G592" s="182"/>
      <c r="J592" s="67"/>
      <c r="K592" s="67"/>
      <c r="R592" s="67"/>
    </row>
    <row r="593">
      <c r="B593" s="182"/>
      <c r="E593" s="261"/>
      <c r="G593" s="182"/>
      <c r="J593" s="67"/>
      <c r="K593" s="67"/>
      <c r="R593" s="67"/>
    </row>
    <row r="594">
      <c r="B594" s="182"/>
      <c r="E594" s="261"/>
      <c r="G594" s="182"/>
      <c r="J594" s="67"/>
      <c r="K594" s="67"/>
      <c r="R594" s="67"/>
    </row>
    <row r="595">
      <c r="B595" s="182"/>
      <c r="E595" s="261"/>
      <c r="G595" s="182"/>
      <c r="J595" s="67"/>
      <c r="K595" s="67"/>
      <c r="R595" s="67"/>
    </row>
    <row r="596">
      <c r="B596" s="182"/>
      <c r="E596" s="261"/>
      <c r="G596" s="182"/>
      <c r="J596" s="67"/>
      <c r="K596" s="67"/>
      <c r="R596" s="67"/>
    </row>
    <row r="597">
      <c r="B597" s="182"/>
      <c r="E597" s="261"/>
      <c r="G597" s="182"/>
      <c r="J597" s="67"/>
      <c r="K597" s="67"/>
      <c r="R597" s="67"/>
    </row>
    <row r="598">
      <c r="B598" s="182"/>
      <c r="E598" s="261"/>
      <c r="G598" s="182"/>
      <c r="J598" s="67"/>
      <c r="K598" s="67"/>
      <c r="R598" s="67"/>
    </row>
    <row r="599">
      <c r="B599" s="182"/>
      <c r="E599" s="261"/>
      <c r="G599" s="182"/>
      <c r="J599" s="67"/>
      <c r="K599" s="67"/>
      <c r="R599" s="67"/>
    </row>
    <row r="600">
      <c r="B600" s="182"/>
      <c r="E600" s="261"/>
      <c r="G600" s="182"/>
      <c r="J600" s="67"/>
      <c r="K600" s="67"/>
      <c r="R600" s="67"/>
    </row>
    <row r="601">
      <c r="B601" s="182"/>
      <c r="E601" s="261"/>
      <c r="G601" s="182"/>
      <c r="J601" s="67"/>
      <c r="K601" s="67"/>
      <c r="R601" s="67"/>
    </row>
    <row r="602">
      <c r="B602" s="182"/>
      <c r="E602" s="261"/>
      <c r="G602" s="182"/>
      <c r="J602" s="67"/>
      <c r="K602" s="67"/>
      <c r="R602" s="67"/>
    </row>
    <row r="603">
      <c r="B603" s="182"/>
      <c r="E603" s="261"/>
      <c r="G603" s="182"/>
      <c r="J603" s="67"/>
      <c r="K603" s="67"/>
      <c r="R603" s="67"/>
    </row>
    <row r="604">
      <c r="B604" s="182"/>
      <c r="E604" s="261"/>
      <c r="G604" s="182"/>
      <c r="J604" s="67"/>
      <c r="K604" s="67"/>
      <c r="R604" s="67"/>
    </row>
    <row r="605">
      <c r="B605" s="182"/>
      <c r="E605" s="261"/>
      <c r="G605" s="182"/>
      <c r="J605" s="67"/>
      <c r="K605" s="67"/>
      <c r="R605" s="67"/>
    </row>
    <row r="606">
      <c r="B606" s="182"/>
      <c r="E606" s="261"/>
      <c r="G606" s="182"/>
      <c r="J606" s="67"/>
      <c r="K606" s="67"/>
      <c r="R606" s="67"/>
    </row>
    <row r="607">
      <c r="B607" s="182"/>
      <c r="E607" s="261"/>
      <c r="G607" s="182"/>
      <c r="J607" s="67"/>
      <c r="K607" s="67"/>
      <c r="R607" s="67"/>
    </row>
    <row r="608">
      <c r="B608" s="182"/>
      <c r="E608" s="261"/>
      <c r="G608" s="182"/>
      <c r="J608" s="67"/>
      <c r="K608" s="67"/>
      <c r="R608" s="67"/>
    </row>
    <row r="609">
      <c r="B609" s="182"/>
      <c r="E609" s="261"/>
      <c r="G609" s="182"/>
      <c r="J609" s="67"/>
      <c r="K609" s="67"/>
      <c r="R609" s="67"/>
    </row>
    <row r="610">
      <c r="B610" s="182"/>
      <c r="E610" s="261"/>
      <c r="G610" s="182"/>
      <c r="J610" s="67"/>
      <c r="K610" s="67"/>
      <c r="R610" s="67"/>
    </row>
    <row r="611">
      <c r="B611" s="182"/>
      <c r="E611" s="261"/>
      <c r="G611" s="182"/>
      <c r="J611" s="67"/>
      <c r="K611" s="67"/>
      <c r="R611" s="67"/>
    </row>
    <row r="612">
      <c r="B612" s="182"/>
      <c r="E612" s="261"/>
      <c r="G612" s="182"/>
      <c r="J612" s="67"/>
      <c r="K612" s="67"/>
      <c r="R612" s="67"/>
    </row>
    <row r="613">
      <c r="B613" s="182"/>
      <c r="E613" s="261"/>
      <c r="G613" s="182"/>
      <c r="J613" s="67"/>
      <c r="K613" s="67"/>
      <c r="R613" s="67"/>
    </row>
    <row r="614">
      <c r="B614" s="182"/>
      <c r="E614" s="261"/>
      <c r="G614" s="182"/>
      <c r="J614" s="67"/>
      <c r="K614" s="67"/>
      <c r="R614" s="67"/>
    </row>
    <row r="615">
      <c r="B615" s="182"/>
      <c r="E615" s="261"/>
      <c r="G615" s="182"/>
      <c r="J615" s="67"/>
      <c r="K615" s="67"/>
      <c r="R615" s="67"/>
    </row>
    <row r="616">
      <c r="B616" s="182"/>
      <c r="E616" s="261"/>
      <c r="G616" s="182"/>
      <c r="J616" s="67"/>
      <c r="K616" s="67"/>
      <c r="R616" s="67"/>
    </row>
    <row r="617">
      <c r="B617" s="182"/>
      <c r="E617" s="261"/>
      <c r="G617" s="182"/>
      <c r="J617" s="67"/>
      <c r="K617" s="67"/>
      <c r="R617" s="67"/>
    </row>
    <row r="618">
      <c r="B618" s="182"/>
      <c r="E618" s="261"/>
      <c r="G618" s="182"/>
      <c r="J618" s="67"/>
      <c r="K618" s="67"/>
      <c r="R618" s="67"/>
    </row>
    <row r="619">
      <c r="B619" s="182"/>
      <c r="E619" s="261"/>
      <c r="G619" s="182"/>
      <c r="J619" s="67"/>
      <c r="K619" s="67"/>
      <c r="R619" s="67"/>
    </row>
    <row r="620">
      <c r="B620" s="182"/>
      <c r="E620" s="261"/>
      <c r="G620" s="182"/>
      <c r="J620" s="67"/>
      <c r="K620" s="67"/>
      <c r="R620" s="67"/>
    </row>
    <row r="621">
      <c r="B621" s="182"/>
      <c r="E621" s="261"/>
      <c r="G621" s="182"/>
      <c r="J621" s="67"/>
      <c r="K621" s="67"/>
      <c r="R621" s="67"/>
    </row>
    <row r="622">
      <c r="B622" s="182"/>
      <c r="E622" s="261"/>
      <c r="G622" s="182"/>
      <c r="J622" s="67"/>
      <c r="K622" s="67"/>
      <c r="R622" s="67"/>
    </row>
    <row r="623">
      <c r="B623" s="182"/>
      <c r="E623" s="261"/>
      <c r="G623" s="182"/>
      <c r="J623" s="67"/>
      <c r="K623" s="67"/>
      <c r="R623" s="67"/>
    </row>
    <row r="624">
      <c r="B624" s="182"/>
      <c r="E624" s="261"/>
      <c r="G624" s="182"/>
      <c r="J624" s="67"/>
      <c r="K624" s="67"/>
      <c r="R624" s="67"/>
    </row>
    <row r="625">
      <c r="B625" s="182"/>
      <c r="E625" s="261"/>
      <c r="G625" s="182"/>
      <c r="J625" s="67"/>
      <c r="K625" s="67"/>
      <c r="R625" s="67"/>
    </row>
    <row r="626">
      <c r="B626" s="182"/>
      <c r="E626" s="261"/>
      <c r="G626" s="182"/>
      <c r="J626" s="67"/>
      <c r="K626" s="67"/>
      <c r="R626" s="67"/>
    </row>
    <row r="627">
      <c r="B627" s="182"/>
      <c r="E627" s="261"/>
      <c r="G627" s="182"/>
      <c r="J627" s="67"/>
      <c r="K627" s="67"/>
      <c r="R627" s="67"/>
    </row>
    <row r="628">
      <c r="B628" s="182"/>
      <c r="E628" s="261"/>
      <c r="G628" s="182"/>
      <c r="J628" s="67"/>
      <c r="K628" s="67"/>
      <c r="R628" s="67"/>
    </row>
    <row r="629">
      <c r="B629" s="182"/>
      <c r="E629" s="261"/>
      <c r="G629" s="182"/>
      <c r="J629" s="67"/>
      <c r="K629" s="67"/>
      <c r="R629" s="67"/>
    </row>
    <row r="630">
      <c r="B630" s="182"/>
      <c r="E630" s="261"/>
      <c r="G630" s="182"/>
      <c r="J630" s="67"/>
      <c r="K630" s="67"/>
      <c r="R630" s="67"/>
    </row>
    <row r="631">
      <c r="B631" s="182"/>
      <c r="E631" s="261"/>
      <c r="G631" s="182"/>
      <c r="J631" s="67"/>
      <c r="K631" s="67"/>
      <c r="R631" s="67"/>
    </row>
    <row r="632">
      <c r="B632" s="182"/>
      <c r="E632" s="261"/>
      <c r="G632" s="182"/>
      <c r="J632" s="67"/>
      <c r="K632" s="67"/>
      <c r="R632" s="67"/>
    </row>
    <row r="633">
      <c r="B633" s="182"/>
      <c r="E633" s="261"/>
      <c r="G633" s="182"/>
      <c r="J633" s="67"/>
      <c r="K633" s="67"/>
      <c r="R633" s="67"/>
    </row>
    <row r="634">
      <c r="B634" s="182"/>
      <c r="E634" s="261"/>
      <c r="G634" s="182"/>
      <c r="J634" s="67"/>
      <c r="K634" s="67"/>
      <c r="R634" s="67"/>
    </row>
    <row r="635">
      <c r="B635" s="182"/>
      <c r="E635" s="261"/>
      <c r="G635" s="182"/>
      <c r="J635" s="67"/>
      <c r="K635" s="67"/>
      <c r="R635" s="67"/>
    </row>
    <row r="636">
      <c r="B636" s="182"/>
      <c r="E636" s="261"/>
      <c r="G636" s="182"/>
      <c r="J636" s="67"/>
      <c r="K636" s="67"/>
      <c r="R636" s="67"/>
    </row>
    <row r="637">
      <c r="B637" s="182"/>
      <c r="E637" s="261"/>
      <c r="G637" s="182"/>
      <c r="J637" s="67"/>
      <c r="K637" s="67"/>
      <c r="R637" s="67"/>
    </row>
    <row r="638">
      <c r="B638" s="182"/>
      <c r="E638" s="261"/>
      <c r="G638" s="182"/>
      <c r="J638" s="67"/>
      <c r="K638" s="67"/>
      <c r="R638" s="67"/>
    </row>
    <row r="639">
      <c r="B639" s="182"/>
      <c r="E639" s="261"/>
      <c r="G639" s="182"/>
      <c r="J639" s="67"/>
      <c r="K639" s="67"/>
      <c r="R639" s="67"/>
    </row>
    <row r="640">
      <c r="B640" s="182"/>
      <c r="E640" s="261"/>
      <c r="G640" s="182"/>
      <c r="J640" s="67"/>
      <c r="K640" s="67"/>
      <c r="R640" s="67"/>
    </row>
    <row r="641">
      <c r="B641" s="182"/>
      <c r="E641" s="261"/>
      <c r="G641" s="182"/>
      <c r="J641" s="67"/>
      <c r="K641" s="67"/>
      <c r="R641" s="67"/>
    </row>
    <row r="642">
      <c r="B642" s="182"/>
      <c r="E642" s="261"/>
      <c r="G642" s="182"/>
      <c r="J642" s="67"/>
      <c r="K642" s="67"/>
      <c r="R642" s="67"/>
    </row>
    <row r="643">
      <c r="B643" s="182"/>
      <c r="E643" s="261"/>
      <c r="G643" s="182"/>
      <c r="J643" s="67"/>
      <c r="K643" s="67"/>
      <c r="R643" s="67"/>
    </row>
    <row r="644">
      <c r="B644" s="182"/>
      <c r="E644" s="261"/>
      <c r="G644" s="182"/>
      <c r="J644" s="67"/>
      <c r="K644" s="67"/>
      <c r="R644" s="67"/>
    </row>
    <row r="645">
      <c r="B645" s="182"/>
      <c r="E645" s="261"/>
      <c r="G645" s="182"/>
      <c r="J645" s="67"/>
      <c r="K645" s="67"/>
      <c r="R645" s="67"/>
    </row>
    <row r="646">
      <c r="B646" s="182"/>
      <c r="E646" s="261"/>
      <c r="G646" s="182"/>
      <c r="J646" s="67"/>
      <c r="K646" s="67"/>
      <c r="R646" s="67"/>
    </row>
    <row r="647">
      <c r="B647" s="182"/>
      <c r="E647" s="261"/>
      <c r="G647" s="182"/>
      <c r="J647" s="67"/>
      <c r="K647" s="67"/>
      <c r="R647" s="67"/>
    </row>
    <row r="648">
      <c r="B648" s="182"/>
      <c r="E648" s="261"/>
      <c r="G648" s="182"/>
      <c r="J648" s="67"/>
      <c r="K648" s="67"/>
      <c r="R648" s="67"/>
    </row>
    <row r="649">
      <c r="B649" s="182"/>
      <c r="E649" s="261"/>
      <c r="G649" s="182"/>
      <c r="J649" s="67"/>
      <c r="K649" s="67"/>
      <c r="R649" s="67"/>
    </row>
    <row r="650">
      <c r="B650" s="182"/>
      <c r="E650" s="261"/>
      <c r="G650" s="182"/>
      <c r="J650" s="67"/>
      <c r="K650" s="67"/>
      <c r="R650" s="67"/>
    </row>
    <row r="651">
      <c r="B651" s="182"/>
      <c r="E651" s="261"/>
      <c r="G651" s="182"/>
      <c r="J651" s="67"/>
      <c r="K651" s="67"/>
      <c r="R651" s="67"/>
    </row>
    <row r="652">
      <c r="B652" s="182"/>
      <c r="E652" s="261"/>
      <c r="G652" s="182"/>
      <c r="J652" s="67"/>
      <c r="K652" s="67"/>
      <c r="R652" s="67"/>
    </row>
    <row r="653">
      <c r="B653" s="182"/>
      <c r="E653" s="261"/>
      <c r="G653" s="182"/>
      <c r="J653" s="67"/>
      <c r="K653" s="67"/>
      <c r="R653" s="67"/>
    </row>
    <row r="654">
      <c r="B654" s="182"/>
      <c r="E654" s="261"/>
      <c r="G654" s="182"/>
      <c r="J654" s="67"/>
      <c r="K654" s="67"/>
      <c r="R654" s="67"/>
    </row>
    <row r="655">
      <c r="B655" s="182"/>
      <c r="E655" s="261"/>
      <c r="G655" s="182"/>
      <c r="J655" s="67"/>
      <c r="K655" s="67"/>
      <c r="R655" s="67"/>
    </row>
    <row r="656">
      <c r="B656" s="182"/>
      <c r="E656" s="261"/>
      <c r="G656" s="182"/>
      <c r="J656" s="67"/>
      <c r="K656" s="67"/>
      <c r="R656" s="67"/>
    </row>
    <row r="657">
      <c r="B657" s="182"/>
      <c r="E657" s="261"/>
      <c r="G657" s="182"/>
      <c r="J657" s="67"/>
      <c r="K657" s="67"/>
      <c r="R657" s="67"/>
    </row>
    <row r="658">
      <c r="B658" s="182"/>
      <c r="E658" s="261"/>
      <c r="G658" s="182"/>
      <c r="J658" s="67"/>
      <c r="K658" s="67"/>
      <c r="R658" s="67"/>
    </row>
    <row r="659">
      <c r="B659" s="182"/>
      <c r="E659" s="261"/>
      <c r="G659" s="182"/>
      <c r="J659" s="67"/>
      <c r="K659" s="67"/>
      <c r="R659" s="67"/>
    </row>
    <row r="660">
      <c r="B660" s="182"/>
      <c r="E660" s="261"/>
      <c r="G660" s="182"/>
      <c r="J660" s="67"/>
      <c r="K660" s="67"/>
      <c r="R660" s="67"/>
    </row>
    <row r="661">
      <c r="B661" s="182"/>
      <c r="E661" s="261"/>
      <c r="G661" s="182"/>
      <c r="J661" s="67"/>
      <c r="K661" s="67"/>
      <c r="R661" s="67"/>
    </row>
    <row r="662">
      <c r="B662" s="182"/>
      <c r="E662" s="261"/>
      <c r="G662" s="182"/>
      <c r="J662" s="67"/>
      <c r="K662" s="67"/>
      <c r="R662" s="67"/>
    </row>
    <row r="663">
      <c r="B663" s="182"/>
      <c r="E663" s="261"/>
      <c r="G663" s="182"/>
      <c r="J663" s="67"/>
      <c r="K663" s="67"/>
      <c r="R663" s="67"/>
    </row>
    <row r="664">
      <c r="B664" s="182"/>
      <c r="E664" s="261"/>
      <c r="G664" s="182"/>
      <c r="J664" s="67"/>
      <c r="K664" s="67"/>
      <c r="R664" s="67"/>
    </row>
    <row r="665">
      <c r="B665" s="182"/>
      <c r="E665" s="261"/>
      <c r="G665" s="182"/>
      <c r="J665" s="67"/>
      <c r="K665" s="67"/>
      <c r="R665" s="67"/>
    </row>
    <row r="666">
      <c r="B666" s="182"/>
      <c r="E666" s="261"/>
      <c r="G666" s="182"/>
      <c r="J666" s="67"/>
      <c r="K666" s="67"/>
      <c r="R666" s="67"/>
    </row>
    <row r="667">
      <c r="B667" s="182"/>
      <c r="E667" s="261"/>
      <c r="G667" s="182"/>
      <c r="J667" s="67"/>
      <c r="K667" s="67"/>
      <c r="R667" s="67"/>
    </row>
    <row r="668">
      <c r="B668" s="182"/>
      <c r="E668" s="261"/>
      <c r="G668" s="182"/>
      <c r="J668" s="67"/>
      <c r="K668" s="67"/>
      <c r="R668" s="67"/>
    </row>
    <row r="669">
      <c r="B669" s="182"/>
      <c r="E669" s="261"/>
      <c r="G669" s="182"/>
      <c r="J669" s="67"/>
      <c r="K669" s="67"/>
      <c r="R669" s="67"/>
    </row>
    <row r="670">
      <c r="B670" s="182"/>
      <c r="E670" s="261"/>
      <c r="G670" s="182"/>
      <c r="J670" s="67"/>
      <c r="K670" s="67"/>
      <c r="R670" s="67"/>
    </row>
    <row r="671">
      <c r="B671" s="182"/>
      <c r="E671" s="261"/>
      <c r="G671" s="182"/>
      <c r="J671" s="67"/>
      <c r="K671" s="67"/>
      <c r="R671" s="67"/>
    </row>
    <row r="672">
      <c r="B672" s="182"/>
      <c r="E672" s="261"/>
      <c r="G672" s="182"/>
      <c r="J672" s="67"/>
      <c r="K672" s="67"/>
      <c r="R672" s="67"/>
    </row>
    <row r="673">
      <c r="B673" s="182"/>
      <c r="E673" s="261"/>
      <c r="G673" s="182"/>
      <c r="J673" s="67"/>
      <c r="K673" s="67"/>
      <c r="R673" s="67"/>
    </row>
    <row r="674">
      <c r="B674" s="182"/>
      <c r="E674" s="261"/>
      <c r="G674" s="182"/>
      <c r="J674" s="67"/>
      <c r="K674" s="67"/>
      <c r="R674" s="67"/>
    </row>
    <row r="675">
      <c r="B675" s="182"/>
      <c r="E675" s="261"/>
      <c r="G675" s="182"/>
      <c r="J675" s="67"/>
      <c r="K675" s="67"/>
      <c r="R675" s="67"/>
    </row>
    <row r="676">
      <c r="B676" s="182"/>
      <c r="E676" s="261"/>
      <c r="G676" s="182"/>
      <c r="J676" s="67"/>
      <c r="K676" s="67"/>
      <c r="R676" s="67"/>
    </row>
    <row r="677">
      <c r="B677" s="182"/>
      <c r="E677" s="261"/>
      <c r="G677" s="182"/>
      <c r="J677" s="67"/>
      <c r="K677" s="67"/>
      <c r="R677" s="67"/>
    </row>
    <row r="678">
      <c r="B678" s="182"/>
      <c r="E678" s="261"/>
      <c r="G678" s="182"/>
      <c r="J678" s="67"/>
      <c r="K678" s="67"/>
      <c r="R678" s="67"/>
    </row>
    <row r="679">
      <c r="B679" s="182"/>
      <c r="E679" s="261"/>
      <c r="G679" s="182"/>
      <c r="J679" s="67"/>
      <c r="K679" s="67"/>
      <c r="R679" s="67"/>
    </row>
    <row r="680">
      <c r="B680" s="182"/>
      <c r="E680" s="261"/>
      <c r="G680" s="182"/>
      <c r="J680" s="67"/>
      <c r="K680" s="67"/>
      <c r="R680" s="67"/>
    </row>
    <row r="681">
      <c r="B681" s="182"/>
      <c r="E681" s="261"/>
      <c r="G681" s="182"/>
      <c r="J681" s="67"/>
      <c r="K681" s="67"/>
      <c r="R681" s="67"/>
    </row>
    <row r="682">
      <c r="B682" s="182"/>
      <c r="E682" s="261"/>
      <c r="G682" s="182"/>
      <c r="J682" s="67"/>
      <c r="K682" s="67"/>
      <c r="R682" s="67"/>
    </row>
    <row r="683">
      <c r="B683" s="182"/>
      <c r="E683" s="261"/>
      <c r="G683" s="182"/>
      <c r="J683" s="67"/>
      <c r="K683" s="67"/>
      <c r="R683" s="67"/>
    </row>
    <row r="684">
      <c r="B684" s="182"/>
      <c r="E684" s="261"/>
      <c r="G684" s="182"/>
      <c r="J684" s="67"/>
      <c r="K684" s="67"/>
      <c r="R684" s="67"/>
    </row>
    <row r="685">
      <c r="B685" s="182"/>
      <c r="E685" s="261"/>
      <c r="G685" s="182"/>
      <c r="J685" s="67"/>
      <c r="K685" s="67"/>
      <c r="R685" s="67"/>
    </row>
    <row r="686">
      <c r="B686" s="182"/>
      <c r="E686" s="261"/>
      <c r="G686" s="182"/>
      <c r="J686" s="67"/>
      <c r="K686" s="67"/>
      <c r="R686" s="67"/>
    </row>
    <row r="687">
      <c r="B687" s="182"/>
      <c r="E687" s="261"/>
      <c r="G687" s="182"/>
      <c r="J687" s="67"/>
      <c r="K687" s="67"/>
      <c r="R687" s="67"/>
    </row>
    <row r="688">
      <c r="B688" s="182"/>
      <c r="E688" s="261"/>
      <c r="G688" s="182"/>
      <c r="J688" s="67"/>
      <c r="K688" s="67"/>
      <c r="R688" s="67"/>
    </row>
    <row r="689">
      <c r="B689" s="182"/>
      <c r="E689" s="261"/>
      <c r="G689" s="182"/>
      <c r="J689" s="67"/>
      <c r="K689" s="67"/>
      <c r="R689" s="67"/>
    </row>
    <row r="690">
      <c r="B690" s="182"/>
      <c r="E690" s="261"/>
      <c r="G690" s="182"/>
      <c r="J690" s="67"/>
      <c r="K690" s="67"/>
      <c r="R690" s="67"/>
    </row>
    <row r="691">
      <c r="B691" s="182"/>
      <c r="E691" s="261"/>
      <c r="G691" s="182"/>
      <c r="J691" s="67"/>
      <c r="K691" s="67"/>
      <c r="R691" s="67"/>
    </row>
    <row r="692">
      <c r="B692" s="182"/>
      <c r="E692" s="261"/>
      <c r="G692" s="182"/>
      <c r="J692" s="67"/>
      <c r="K692" s="67"/>
      <c r="R692" s="67"/>
    </row>
    <row r="693">
      <c r="B693" s="182"/>
      <c r="E693" s="261"/>
      <c r="G693" s="182"/>
      <c r="J693" s="67"/>
      <c r="K693" s="67"/>
      <c r="R693" s="67"/>
    </row>
    <row r="694">
      <c r="B694" s="182"/>
      <c r="E694" s="261"/>
      <c r="G694" s="182"/>
      <c r="J694" s="67"/>
      <c r="K694" s="67"/>
      <c r="R694" s="67"/>
    </row>
    <row r="695">
      <c r="B695" s="182"/>
      <c r="E695" s="261"/>
      <c r="G695" s="182"/>
      <c r="J695" s="67"/>
      <c r="K695" s="67"/>
      <c r="R695" s="67"/>
    </row>
    <row r="696">
      <c r="B696" s="182"/>
      <c r="E696" s="261"/>
      <c r="G696" s="182"/>
      <c r="J696" s="67"/>
      <c r="K696" s="67"/>
      <c r="R696" s="67"/>
    </row>
    <row r="697">
      <c r="B697" s="182"/>
      <c r="E697" s="261"/>
      <c r="G697" s="182"/>
      <c r="J697" s="67"/>
      <c r="K697" s="67"/>
      <c r="R697" s="67"/>
    </row>
    <row r="698">
      <c r="B698" s="182"/>
      <c r="E698" s="261"/>
      <c r="G698" s="182"/>
      <c r="J698" s="67"/>
      <c r="K698" s="67"/>
      <c r="R698" s="67"/>
    </row>
    <row r="699">
      <c r="B699" s="182"/>
      <c r="E699" s="261"/>
      <c r="G699" s="182"/>
      <c r="J699" s="67"/>
      <c r="K699" s="67"/>
      <c r="R699" s="67"/>
    </row>
    <row r="700">
      <c r="B700" s="182"/>
      <c r="E700" s="261"/>
      <c r="G700" s="182"/>
      <c r="J700" s="67"/>
      <c r="K700" s="67"/>
      <c r="R700" s="67"/>
    </row>
    <row r="701">
      <c r="B701" s="182"/>
      <c r="E701" s="261"/>
      <c r="G701" s="182"/>
      <c r="J701" s="67"/>
      <c r="K701" s="67"/>
      <c r="R701" s="67"/>
    </row>
    <row r="702">
      <c r="B702" s="182"/>
      <c r="E702" s="261"/>
      <c r="G702" s="182"/>
      <c r="J702" s="67"/>
      <c r="K702" s="67"/>
      <c r="R702" s="67"/>
    </row>
    <row r="703">
      <c r="B703" s="182"/>
      <c r="E703" s="261"/>
      <c r="G703" s="182"/>
      <c r="J703" s="67"/>
      <c r="K703" s="67"/>
      <c r="R703" s="67"/>
    </row>
    <row r="704">
      <c r="B704" s="182"/>
      <c r="E704" s="261"/>
      <c r="G704" s="182"/>
      <c r="J704" s="67"/>
      <c r="K704" s="67"/>
      <c r="R704" s="67"/>
    </row>
    <row r="705">
      <c r="B705" s="182"/>
      <c r="E705" s="261"/>
      <c r="G705" s="182"/>
      <c r="J705" s="67"/>
      <c r="K705" s="67"/>
      <c r="R705" s="67"/>
    </row>
    <row r="706">
      <c r="B706" s="182"/>
      <c r="E706" s="261"/>
      <c r="G706" s="182"/>
      <c r="J706" s="67"/>
      <c r="K706" s="67"/>
      <c r="R706" s="67"/>
    </row>
    <row r="707">
      <c r="B707" s="182"/>
      <c r="E707" s="261"/>
      <c r="G707" s="182"/>
      <c r="J707" s="67"/>
      <c r="K707" s="67"/>
      <c r="R707" s="67"/>
    </row>
    <row r="708">
      <c r="B708" s="182"/>
      <c r="E708" s="261"/>
      <c r="G708" s="182"/>
      <c r="J708" s="67"/>
      <c r="K708" s="67"/>
      <c r="R708" s="67"/>
    </row>
    <row r="709">
      <c r="B709" s="182"/>
      <c r="E709" s="261"/>
      <c r="G709" s="182"/>
      <c r="J709" s="67"/>
      <c r="K709" s="67"/>
      <c r="R709" s="67"/>
    </row>
    <row r="710">
      <c r="B710" s="182"/>
      <c r="E710" s="261"/>
      <c r="G710" s="182"/>
      <c r="J710" s="67"/>
      <c r="K710" s="67"/>
      <c r="R710" s="67"/>
    </row>
    <row r="711">
      <c r="B711" s="182"/>
      <c r="E711" s="261"/>
      <c r="G711" s="182"/>
      <c r="J711" s="67"/>
      <c r="K711" s="67"/>
      <c r="R711" s="67"/>
    </row>
    <row r="712">
      <c r="B712" s="182"/>
      <c r="E712" s="261"/>
      <c r="G712" s="182"/>
      <c r="J712" s="67"/>
      <c r="K712" s="67"/>
      <c r="R712" s="67"/>
    </row>
    <row r="713">
      <c r="B713" s="182"/>
      <c r="E713" s="261"/>
      <c r="G713" s="182"/>
      <c r="J713" s="67"/>
      <c r="K713" s="67"/>
      <c r="R713" s="67"/>
    </row>
    <row r="714">
      <c r="B714" s="182"/>
      <c r="E714" s="261"/>
      <c r="G714" s="182"/>
      <c r="J714" s="67"/>
      <c r="K714" s="67"/>
      <c r="R714" s="67"/>
    </row>
    <row r="715">
      <c r="B715" s="182"/>
      <c r="E715" s="261"/>
      <c r="G715" s="182"/>
      <c r="J715" s="67"/>
      <c r="K715" s="67"/>
      <c r="R715" s="67"/>
    </row>
    <row r="716">
      <c r="B716" s="182"/>
      <c r="E716" s="261"/>
      <c r="G716" s="182"/>
      <c r="J716" s="67"/>
      <c r="K716" s="67"/>
      <c r="R716" s="67"/>
    </row>
    <row r="717">
      <c r="B717" s="182"/>
      <c r="E717" s="261"/>
      <c r="G717" s="182"/>
      <c r="J717" s="67"/>
      <c r="K717" s="67"/>
      <c r="R717" s="67"/>
    </row>
    <row r="718">
      <c r="B718" s="182"/>
      <c r="E718" s="261"/>
      <c r="G718" s="182"/>
      <c r="J718" s="67"/>
      <c r="K718" s="67"/>
      <c r="R718" s="67"/>
    </row>
    <row r="719">
      <c r="B719" s="182"/>
      <c r="E719" s="261"/>
      <c r="G719" s="182"/>
      <c r="J719" s="67"/>
      <c r="K719" s="67"/>
      <c r="R719" s="67"/>
    </row>
    <row r="720">
      <c r="B720" s="182"/>
      <c r="E720" s="261"/>
      <c r="G720" s="182"/>
      <c r="J720" s="67"/>
      <c r="K720" s="67"/>
      <c r="R720" s="67"/>
    </row>
    <row r="721">
      <c r="B721" s="182"/>
      <c r="E721" s="261"/>
      <c r="G721" s="182"/>
      <c r="J721" s="67"/>
      <c r="K721" s="67"/>
      <c r="R721" s="67"/>
    </row>
    <row r="722">
      <c r="B722" s="182"/>
      <c r="E722" s="261"/>
      <c r="G722" s="182"/>
      <c r="J722" s="67"/>
      <c r="K722" s="67"/>
      <c r="R722" s="67"/>
    </row>
    <row r="723">
      <c r="B723" s="182"/>
      <c r="E723" s="261"/>
      <c r="G723" s="182"/>
      <c r="J723" s="67"/>
      <c r="K723" s="67"/>
      <c r="R723" s="67"/>
    </row>
    <row r="724">
      <c r="B724" s="182"/>
      <c r="E724" s="261"/>
      <c r="G724" s="182"/>
      <c r="J724" s="67"/>
      <c r="K724" s="67"/>
      <c r="R724" s="67"/>
    </row>
    <row r="725">
      <c r="B725" s="182"/>
      <c r="E725" s="261"/>
      <c r="G725" s="182"/>
      <c r="J725" s="67"/>
      <c r="K725" s="67"/>
      <c r="R725" s="67"/>
    </row>
    <row r="726">
      <c r="B726" s="182"/>
      <c r="E726" s="261"/>
      <c r="G726" s="182"/>
      <c r="J726" s="67"/>
      <c r="K726" s="67"/>
      <c r="R726" s="67"/>
    </row>
    <row r="727">
      <c r="B727" s="182"/>
      <c r="E727" s="261"/>
      <c r="G727" s="182"/>
      <c r="J727" s="67"/>
      <c r="K727" s="67"/>
      <c r="R727" s="67"/>
    </row>
    <row r="728">
      <c r="B728" s="182"/>
      <c r="E728" s="261"/>
      <c r="G728" s="182"/>
      <c r="J728" s="67"/>
      <c r="K728" s="67"/>
      <c r="R728" s="67"/>
    </row>
    <row r="729">
      <c r="B729" s="182"/>
      <c r="E729" s="261"/>
      <c r="G729" s="182"/>
      <c r="J729" s="67"/>
      <c r="K729" s="67"/>
      <c r="R729" s="67"/>
    </row>
    <row r="730">
      <c r="B730" s="182"/>
      <c r="E730" s="261"/>
      <c r="G730" s="182"/>
      <c r="J730" s="67"/>
      <c r="K730" s="67"/>
      <c r="R730" s="67"/>
    </row>
    <row r="731">
      <c r="B731" s="182"/>
      <c r="E731" s="261"/>
      <c r="G731" s="182"/>
      <c r="J731" s="67"/>
      <c r="K731" s="67"/>
      <c r="R731" s="67"/>
    </row>
    <row r="732">
      <c r="B732" s="182"/>
      <c r="E732" s="261"/>
      <c r="G732" s="182"/>
      <c r="J732" s="67"/>
      <c r="K732" s="67"/>
      <c r="R732" s="67"/>
    </row>
    <row r="733">
      <c r="B733" s="182"/>
      <c r="E733" s="261"/>
      <c r="G733" s="182"/>
      <c r="J733" s="67"/>
      <c r="K733" s="67"/>
      <c r="R733" s="67"/>
    </row>
    <row r="734">
      <c r="B734" s="182"/>
      <c r="E734" s="261"/>
      <c r="G734" s="182"/>
      <c r="J734" s="67"/>
      <c r="K734" s="67"/>
      <c r="R734" s="67"/>
    </row>
    <row r="735">
      <c r="B735" s="182"/>
      <c r="E735" s="261"/>
      <c r="G735" s="182"/>
      <c r="J735" s="67"/>
      <c r="K735" s="67"/>
      <c r="R735" s="67"/>
    </row>
    <row r="736">
      <c r="B736" s="182"/>
      <c r="E736" s="261"/>
      <c r="G736" s="182"/>
      <c r="J736" s="67"/>
      <c r="K736" s="67"/>
      <c r="R736" s="67"/>
    </row>
    <row r="737">
      <c r="B737" s="182"/>
      <c r="E737" s="261"/>
      <c r="G737" s="182"/>
      <c r="J737" s="67"/>
      <c r="K737" s="67"/>
      <c r="R737" s="67"/>
    </row>
    <row r="738">
      <c r="B738" s="182"/>
      <c r="E738" s="261"/>
      <c r="G738" s="182"/>
      <c r="J738" s="67"/>
      <c r="K738" s="67"/>
      <c r="R738" s="67"/>
    </row>
    <row r="739">
      <c r="B739" s="182"/>
      <c r="E739" s="261"/>
      <c r="G739" s="182"/>
      <c r="J739" s="67"/>
      <c r="K739" s="67"/>
      <c r="R739" s="67"/>
    </row>
    <row r="740">
      <c r="B740" s="182"/>
      <c r="E740" s="261"/>
      <c r="G740" s="182"/>
      <c r="J740" s="67"/>
      <c r="K740" s="67"/>
      <c r="R740" s="67"/>
    </row>
    <row r="741">
      <c r="B741" s="182"/>
      <c r="E741" s="261"/>
      <c r="G741" s="182"/>
      <c r="J741" s="67"/>
      <c r="K741" s="67"/>
      <c r="R741" s="67"/>
    </row>
    <row r="742">
      <c r="B742" s="182"/>
      <c r="E742" s="261"/>
      <c r="G742" s="182"/>
      <c r="J742" s="67"/>
      <c r="K742" s="67"/>
      <c r="R742" s="67"/>
    </row>
    <row r="743">
      <c r="B743" s="182"/>
      <c r="E743" s="261"/>
      <c r="G743" s="182"/>
      <c r="J743" s="67"/>
      <c r="K743" s="67"/>
      <c r="R743" s="67"/>
    </row>
    <row r="744">
      <c r="B744" s="182"/>
      <c r="E744" s="261"/>
      <c r="G744" s="182"/>
      <c r="J744" s="67"/>
      <c r="K744" s="67"/>
      <c r="R744" s="67"/>
    </row>
    <row r="745">
      <c r="B745" s="182"/>
      <c r="E745" s="261"/>
      <c r="G745" s="182"/>
      <c r="J745" s="67"/>
      <c r="K745" s="67"/>
      <c r="R745" s="67"/>
    </row>
    <row r="746">
      <c r="B746" s="182"/>
      <c r="E746" s="261"/>
      <c r="G746" s="182"/>
      <c r="J746" s="67"/>
      <c r="K746" s="67"/>
      <c r="R746" s="67"/>
    </row>
    <row r="747">
      <c r="B747" s="182"/>
      <c r="E747" s="261"/>
      <c r="G747" s="182"/>
      <c r="J747" s="67"/>
      <c r="K747" s="67"/>
      <c r="R747" s="67"/>
    </row>
    <row r="748">
      <c r="B748" s="182"/>
      <c r="E748" s="261"/>
      <c r="G748" s="182"/>
      <c r="J748" s="67"/>
      <c r="K748" s="67"/>
      <c r="R748" s="67"/>
    </row>
    <row r="749">
      <c r="B749" s="182"/>
      <c r="E749" s="261"/>
      <c r="G749" s="182"/>
      <c r="J749" s="67"/>
      <c r="K749" s="67"/>
      <c r="R749" s="67"/>
    </row>
    <row r="750">
      <c r="B750" s="182"/>
      <c r="E750" s="261"/>
      <c r="G750" s="182"/>
      <c r="J750" s="67"/>
      <c r="K750" s="67"/>
      <c r="R750" s="67"/>
    </row>
    <row r="751">
      <c r="B751" s="182"/>
      <c r="E751" s="261"/>
      <c r="G751" s="182"/>
      <c r="J751" s="67"/>
      <c r="K751" s="67"/>
      <c r="R751" s="67"/>
    </row>
    <row r="752">
      <c r="B752" s="182"/>
      <c r="E752" s="261"/>
      <c r="G752" s="182"/>
      <c r="J752" s="67"/>
      <c r="K752" s="67"/>
      <c r="R752" s="67"/>
    </row>
    <row r="753">
      <c r="B753" s="182"/>
      <c r="E753" s="261"/>
      <c r="G753" s="182"/>
      <c r="J753" s="67"/>
      <c r="K753" s="67"/>
      <c r="R753" s="67"/>
    </row>
    <row r="754">
      <c r="B754" s="182"/>
      <c r="E754" s="261"/>
      <c r="G754" s="182"/>
      <c r="J754" s="67"/>
      <c r="K754" s="67"/>
      <c r="R754" s="67"/>
    </row>
    <row r="755">
      <c r="B755" s="182"/>
      <c r="E755" s="261"/>
      <c r="G755" s="182"/>
      <c r="J755" s="67"/>
      <c r="K755" s="67"/>
      <c r="R755" s="67"/>
    </row>
    <row r="756">
      <c r="B756" s="182"/>
      <c r="E756" s="261"/>
      <c r="G756" s="182"/>
      <c r="J756" s="67"/>
      <c r="K756" s="67"/>
      <c r="R756" s="67"/>
    </row>
    <row r="757">
      <c r="B757" s="182"/>
      <c r="E757" s="261"/>
      <c r="G757" s="182"/>
      <c r="J757" s="67"/>
      <c r="K757" s="67"/>
      <c r="R757" s="67"/>
    </row>
    <row r="758">
      <c r="B758" s="182"/>
      <c r="E758" s="261"/>
      <c r="G758" s="182"/>
      <c r="J758" s="67"/>
      <c r="K758" s="67"/>
      <c r="R758" s="67"/>
    </row>
    <row r="759">
      <c r="B759" s="182"/>
      <c r="E759" s="261"/>
      <c r="G759" s="182"/>
      <c r="J759" s="67"/>
      <c r="K759" s="67"/>
      <c r="R759" s="67"/>
    </row>
    <row r="760">
      <c r="B760" s="182"/>
      <c r="E760" s="261"/>
      <c r="G760" s="182"/>
      <c r="J760" s="67"/>
      <c r="K760" s="67"/>
      <c r="R760" s="67"/>
    </row>
    <row r="761">
      <c r="B761" s="182"/>
      <c r="E761" s="261"/>
      <c r="G761" s="182"/>
      <c r="J761" s="67"/>
      <c r="K761" s="67"/>
      <c r="R761" s="67"/>
    </row>
    <row r="762">
      <c r="B762" s="182"/>
      <c r="E762" s="261"/>
      <c r="G762" s="182"/>
      <c r="J762" s="67"/>
      <c r="K762" s="67"/>
      <c r="R762" s="67"/>
    </row>
    <row r="763">
      <c r="B763" s="182"/>
      <c r="E763" s="261"/>
      <c r="G763" s="182"/>
      <c r="J763" s="67"/>
      <c r="K763" s="67"/>
      <c r="R763" s="67"/>
    </row>
    <row r="764">
      <c r="B764" s="182"/>
      <c r="E764" s="261"/>
      <c r="G764" s="182"/>
      <c r="J764" s="67"/>
      <c r="K764" s="67"/>
      <c r="R764" s="67"/>
    </row>
    <row r="765">
      <c r="B765" s="182"/>
      <c r="E765" s="261"/>
      <c r="G765" s="182"/>
      <c r="J765" s="67"/>
      <c r="K765" s="67"/>
      <c r="R765" s="67"/>
    </row>
    <row r="766">
      <c r="B766" s="182"/>
      <c r="E766" s="261"/>
      <c r="G766" s="182"/>
      <c r="J766" s="67"/>
      <c r="K766" s="67"/>
      <c r="R766" s="67"/>
    </row>
    <row r="767">
      <c r="B767" s="182"/>
      <c r="E767" s="261"/>
      <c r="G767" s="182"/>
      <c r="J767" s="67"/>
      <c r="K767" s="67"/>
      <c r="R767" s="67"/>
    </row>
    <row r="768">
      <c r="B768" s="182"/>
      <c r="E768" s="261"/>
      <c r="G768" s="182"/>
      <c r="J768" s="67"/>
      <c r="K768" s="67"/>
      <c r="R768" s="67"/>
    </row>
    <row r="769">
      <c r="B769" s="182"/>
      <c r="E769" s="261"/>
      <c r="G769" s="182"/>
      <c r="J769" s="67"/>
      <c r="K769" s="67"/>
      <c r="R769" s="67"/>
    </row>
    <row r="770">
      <c r="B770" s="182"/>
      <c r="E770" s="261"/>
      <c r="G770" s="182"/>
      <c r="J770" s="67"/>
      <c r="K770" s="67"/>
      <c r="R770" s="67"/>
    </row>
    <row r="771">
      <c r="B771" s="182"/>
      <c r="E771" s="261"/>
      <c r="G771" s="182"/>
      <c r="J771" s="67"/>
      <c r="K771" s="67"/>
      <c r="R771" s="67"/>
    </row>
    <row r="772">
      <c r="B772" s="182"/>
      <c r="E772" s="261"/>
      <c r="G772" s="182"/>
      <c r="J772" s="67"/>
      <c r="K772" s="67"/>
      <c r="R772" s="67"/>
    </row>
    <row r="773">
      <c r="B773" s="182"/>
      <c r="E773" s="261"/>
      <c r="G773" s="182"/>
      <c r="J773" s="67"/>
      <c r="K773" s="67"/>
      <c r="R773" s="67"/>
    </row>
    <row r="774">
      <c r="B774" s="182"/>
      <c r="E774" s="261"/>
      <c r="G774" s="182"/>
      <c r="J774" s="67"/>
      <c r="K774" s="67"/>
      <c r="R774" s="67"/>
    </row>
    <row r="775">
      <c r="B775" s="182"/>
      <c r="E775" s="261"/>
      <c r="G775" s="182"/>
      <c r="J775" s="67"/>
      <c r="K775" s="67"/>
      <c r="R775" s="67"/>
    </row>
    <row r="776">
      <c r="B776" s="182"/>
      <c r="E776" s="261"/>
      <c r="G776" s="182"/>
      <c r="J776" s="67"/>
      <c r="K776" s="67"/>
      <c r="R776" s="67"/>
    </row>
    <row r="777">
      <c r="B777" s="182"/>
      <c r="E777" s="261"/>
      <c r="G777" s="182"/>
      <c r="J777" s="67"/>
      <c r="K777" s="67"/>
      <c r="R777" s="67"/>
    </row>
    <row r="778">
      <c r="B778" s="182"/>
      <c r="E778" s="261"/>
      <c r="G778" s="182"/>
      <c r="J778" s="67"/>
      <c r="K778" s="67"/>
      <c r="R778" s="67"/>
    </row>
    <row r="779">
      <c r="B779" s="182"/>
      <c r="E779" s="261"/>
      <c r="G779" s="182"/>
      <c r="J779" s="67"/>
      <c r="K779" s="67"/>
      <c r="R779" s="67"/>
    </row>
    <row r="780">
      <c r="B780" s="182"/>
      <c r="E780" s="261"/>
      <c r="G780" s="182"/>
      <c r="J780" s="67"/>
      <c r="K780" s="67"/>
      <c r="R780" s="67"/>
    </row>
    <row r="781">
      <c r="B781" s="182"/>
      <c r="E781" s="261"/>
      <c r="G781" s="182"/>
      <c r="J781" s="67"/>
      <c r="K781" s="67"/>
      <c r="R781" s="67"/>
    </row>
    <row r="782">
      <c r="B782" s="182"/>
      <c r="E782" s="261"/>
      <c r="G782" s="182"/>
      <c r="J782" s="67"/>
      <c r="K782" s="67"/>
      <c r="R782" s="67"/>
    </row>
    <row r="783">
      <c r="B783" s="182"/>
      <c r="E783" s="261"/>
      <c r="G783" s="182"/>
      <c r="J783" s="67"/>
      <c r="K783" s="67"/>
      <c r="R783" s="67"/>
    </row>
    <row r="784">
      <c r="B784" s="182"/>
      <c r="E784" s="261"/>
      <c r="G784" s="182"/>
      <c r="J784" s="67"/>
      <c r="K784" s="67"/>
      <c r="R784" s="67"/>
    </row>
    <row r="785">
      <c r="B785" s="182"/>
      <c r="E785" s="261"/>
      <c r="G785" s="182"/>
      <c r="J785" s="67"/>
      <c r="K785" s="67"/>
      <c r="R785" s="67"/>
    </row>
    <row r="786">
      <c r="B786" s="182"/>
      <c r="E786" s="261"/>
      <c r="G786" s="182"/>
      <c r="J786" s="67"/>
      <c r="K786" s="67"/>
      <c r="R786" s="67"/>
    </row>
    <row r="787">
      <c r="B787" s="182"/>
      <c r="E787" s="261"/>
      <c r="G787" s="182"/>
      <c r="J787" s="67"/>
      <c r="K787" s="67"/>
      <c r="R787" s="67"/>
    </row>
    <row r="788">
      <c r="B788" s="182"/>
      <c r="E788" s="261"/>
      <c r="G788" s="182"/>
      <c r="J788" s="67"/>
      <c r="K788" s="67"/>
      <c r="R788" s="67"/>
    </row>
    <row r="789">
      <c r="B789" s="182"/>
      <c r="E789" s="261"/>
      <c r="G789" s="182"/>
      <c r="J789" s="67"/>
      <c r="K789" s="67"/>
      <c r="R789" s="67"/>
    </row>
    <row r="790">
      <c r="B790" s="182"/>
      <c r="E790" s="261"/>
      <c r="G790" s="182"/>
      <c r="J790" s="67"/>
      <c r="K790" s="67"/>
      <c r="R790" s="67"/>
    </row>
    <row r="791">
      <c r="B791" s="182"/>
      <c r="E791" s="261"/>
      <c r="G791" s="182"/>
      <c r="J791" s="67"/>
      <c r="K791" s="67"/>
      <c r="R791" s="67"/>
    </row>
    <row r="792">
      <c r="B792" s="182"/>
      <c r="E792" s="261"/>
      <c r="G792" s="182"/>
      <c r="J792" s="67"/>
      <c r="K792" s="67"/>
      <c r="R792" s="67"/>
    </row>
    <row r="793">
      <c r="B793" s="182"/>
      <c r="E793" s="261"/>
      <c r="G793" s="182"/>
      <c r="J793" s="67"/>
      <c r="K793" s="67"/>
      <c r="R793" s="67"/>
    </row>
    <row r="794">
      <c r="B794" s="182"/>
      <c r="E794" s="261"/>
      <c r="G794" s="182"/>
      <c r="J794" s="67"/>
      <c r="K794" s="67"/>
      <c r="R794" s="67"/>
    </row>
    <row r="795">
      <c r="B795" s="182"/>
      <c r="E795" s="261"/>
      <c r="G795" s="182"/>
      <c r="J795" s="67"/>
      <c r="K795" s="67"/>
      <c r="R795" s="67"/>
    </row>
    <row r="796">
      <c r="B796" s="182"/>
      <c r="E796" s="261"/>
      <c r="G796" s="182"/>
      <c r="J796" s="67"/>
      <c r="K796" s="67"/>
      <c r="R796" s="67"/>
    </row>
    <row r="797">
      <c r="B797" s="182"/>
      <c r="E797" s="261"/>
      <c r="G797" s="182"/>
      <c r="J797" s="67"/>
      <c r="K797" s="67"/>
      <c r="R797" s="67"/>
    </row>
    <row r="798">
      <c r="B798" s="182"/>
      <c r="E798" s="261"/>
      <c r="G798" s="182"/>
      <c r="J798" s="67"/>
      <c r="K798" s="67"/>
      <c r="R798" s="67"/>
    </row>
    <row r="799">
      <c r="B799" s="182"/>
      <c r="E799" s="261"/>
      <c r="G799" s="182"/>
      <c r="J799" s="67"/>
      <c r="K799" s="67"/>
      <c r="R799" s="67"/>
    </row>
    <row r="800">
      <c r="B800" s="182"/>
      <c r="E800" s="261"/>
      <c r="G800" s="182"/>
      <c r="J800" s="67"/>
      <c r="K800" s="67"/>
      <c r="R800" s="67"/>
    </row>
    <row r="801">
      <c r="B801" s="182"/>
      <c r="E801" s="261"/>
      <c r="G801" s="182"/>
      <c r="J801" s="67"/>
      <c r="K801" s="67"/>
      <c r="R801" s="67"/>
    </row>
    <row r="802">
      <c r="B802" s="182"/>
      <c r="E802" s="261"/>
      <c r="G802" s="182"/>
      <c r="J802" s="67"/>
      <c r="K802" s="67"/>
      <c r="R802" s="67"/>
    </row>
    <row r="803">
      <c r="B803" s="182"/>
      <c r="E803" s="261"/>
      <c r="G803" s="182"/>
      <c r="J803" s="67"/>
      <c r="K803" s="67"/>
      <c r="R803" s="67"/>
    </row>
    <row r="804">
      <c r="B804" s="182"/>
      <c r="E804" s="261"/>
      <c r="G804" s="182"/>
      <c r="J804" s="67"/>
      <c r="K804" s="67"/>
      <c r="R804" s="67"/>
    </row>
    <row r="805">
      <c r="B805" s="182"/>
      <c r="E805" s="261"/>
      <c r="G805" s="182"/>
      <c r="J805" s="67"/>
      <c r="K805" s="67"/>
      <c r="R805" s="67"/>
    </row>
    <row r="806">
      <c r="B806" s="182"/>
      <c r="E806" s="261"/>
      <c r="G806" s="182"/>
      <c r="J806" s="67"/>
      <c r="K806" s="67"/>
      <c r="R806" s="67"/>
    </row>
    <row r="807">
      <c r="B807" s="182"/>
      <c r="E807" s="261"/>
      <c r="G807" s="182"/>
      <c r="J807" s="67"/>
      <c r="K807" s="67"/>
      <c r="R807" s="67"/>
    </row>
    <row r="808">
      <c r="B808" s="182"/>
      <c r="E808" s="261"/>
      <c r="G808" s="182"/>
      <c r="J808" s="67"/>
      <c r="K808" s="67"/>
      <c r="R808" s="67"/>
    </row>
    <row r="809">
      <c r="B809" s="182"/>
      <c r="E809" s="261"/>
      <c r="G809" s="182"/>
      <c r="J809" s="67"/>
      <c r="K809" s="67"/>
      <c r="R809" s="67"/>
    </row>
    <row r="810">
      <c r="B810" s="182"/>
      <c r="E810" s="261"/>
      <c r="G810" s="182"/>
      <c r="J810" s="67"/>
      <c r="K810" s="67"/>
      <c r="R810" s="67"/>
    </row>
    <row r="811">
      <c r="B811" s="182"/>
      <c r="E811" s="261"/>
      <c r="G811" s="182"/>
      <c r="J811" s="67"/>
      <c r="K811" s="67"/>
      <c r="R811" s="67"/>
    </row>
    <row r="812">
      <c r="B812" s="182"/>
      <c r="E812" s="261"/>
      <c r="G812" s="182"/>
      <c r="J812" s="67"/>
      <c r="K812" s="67"/>
      <c r="R812" s="67"/>
    </row>
    <row r="813">
      <c r="B813" s="182"/>
      <c r="E813" s="261"/>
      <c r="G813" s="182"/>
      <c r="J813" s="67"/>
      <c r="K813" s="67"/>
      <c r="R813" s="67"/>
    </row>
    <row r="814">
      <c r="B814" s="182"/>
      <c r="E814" s="261"/>
      <c r="G814" s="182"/>
      <c r="J814" s="67"/>
      <c r="K814" s="67"/>
      <c r="R814" s="67"/>
    </row>
    <row r="815">
      <c r="B815" s="182"/>
      <c r="E815" s="261"/>
      <c r="G815" s="182"/>
      <c r="J815" s="67"/>
      <c r="K815" s="67"/>
      <c r="R815" s="67"/>
    </row>
    <row r="816">
      <c r="B816" s="182"/>
      <c r="E816" s="261"/>
      <c r="G816" s="182"/>
      <c r="J816" s="67"/>
      <c r="K816" s="67"/>
      <c r="R816" s="67"/>
    </row>
    <row r="817">
      <c r="B817" s="182"/>
      <c r="E817" s="261"/>
      <c r="G817" s="182"/>
      <c r="J817" s="67"/>
      <c r="K817" s="67"/>
      <c r="R817" s="67"/>
    </row>
    <row r="818">
      <c r="B818" s="182"/>
      <c r="E818" s="261"/>
      <c r="G818" s="182"/>
      <c r="J818" s="67"/>
      <c r="K818" s="67"/>
      <c r="R818" s="67"/>
    </row>
    <row r="819">
      <c r="B819" s="182"/>
      <c r="E819" s="261"/>
      <c r="G819" s="182"/>
      <c r="J819" s="67"/>
      <c r="K819" s="67"/>
      <c r="R819" s="67"/>
    </row>
    <row r="820">
      <c r="B820" s="182"/>
      <c r="E820" s="261"/>
      <c r="G820" s="182"/>
      <c r="J820" s="67"/>
      <c r="K820" s="67"/>
      <c r="R820" s="67"/>
    </row>
    <row r="821">
      <c r="B821" s="182"/>
      <c r="E821" s="261"/>
      <c r="G821" s="182"/>
      <c r="J821" s="67"/>
      <c r="K821" s="67"/>
      <c r="R821" s="67"/>
    </row>
    <row r="822">
      <c r="B822" s="182"/>
      <c r="E822" s="261"/>
      <c r="G822" s="182"/>
      <c r="J822" s="67"/>
      <c r="K822" s="67"/>
      <c r="R822" s="67"/>
    </row>
    <row r="823">
      <c r="B823" s="182"/>
      <c r="E823" s="261"/>
      <c r="G823" s="182"/>
      <c r="J823" s="67"/>
      <c r="K823" s="67"/>
      <c r="R823" s="67"/>
    </row>
    <row r="824">
      <c r="B824" s="182"/>
      <c r="E824" s="261"/>
      <c r="G824" s="182"/>
      <c r="J824" s="67"/>
      <c r="K824" s="67"/>
      <c r="R824" s="67"/>
    </row>
    <row r="825">
      <c r="B825" s="182"/>
      <c r="E825" s="261"/>
      <c r="G825" s="182"/>
      <c r="J825" s="67"/>
      <c r="K825" s="67"/>
      <c r="R825" s="67"/>
    </row>
    <row r="826">
      <c r="B826" s="182"/>
      <c r="E826" s="261"/>
      <c r="G826" s="182"/>
      <c r="J826" s="67"/>
      <c r="K826" s="67"/>
      <c r="R826" s="67"/>
    </row>
    <row r="827">
      <c r="B827" s="182"/>
      <c r="E827" s="261"/>
      <c r="G827" s="182"/>
      <c r="J827" s="67"/>
      <c r="K827" s="67"/>
      <c r="R827" s="67"/>
    </row>
    <row r="828">
      <c r="B828" s="182"/>
      <c r="E828" s="261"/>
      <c r="G828" s="182"/>
      <c r="J828" s="67"/>
      <c r="K828" s="67"/>
      <c r="R828" s="67"/>
    </row>
    <row r="829">
      <c r="B829" s="182"/>
      <c r="E829" s="261"/>
      <c r="G829" s="182"/>
      <c r="J829" s="67"/>
      <c r="K829" s="67"/>
      <c r="R829" s="67"/>
    </row>
    <row r="830">
      <c r="B830" s="182"/>
      <c r="E830" s="261"/>
      <c r="G830" s="182"/>
      <c r="J830" s="67"/>
      <c r="K830" s="67"/>
      <c r="R830" s="67"/>
    </row>
    <row r="831">
      <c r="B831" s="182"/>
      <c r="E831" s="261"/>
      <c r="G831" s="182"/>
      <c r="J831" s="67"/>
      <c r="K831" s="67"/>
      <c r="R831" s="67"/>
    </row>
    <row r="832">
      <c r="B832" s="182"/>
      <c r="E832" s="261"/>
      <c r="G832" s="182"/>
      <c r="J832" s="67"/>
      <c r="K832" s="67"/>
      <c r="R832" s="67"/>
    </row>
    <row r="833">
      <c r="B833" s="182"/>
      <c r="E833" s="261"/>
      <c r="G833" s="182"/>
      <c r="J833" s="67"/>
      <c r="K833" s="67"/>
      <c r="R833" s="67"/>
    </row>
    <row r="834">
      <c r="B834" s="182"/>
      <c r="E834" s="261"/>
      <c r="G834" s="182"/>
      <c r="J834" s="67"/>
      <c r="K834" s="67"/>
      <c r="R834" s="67"/>
    </row>
    <row r="835">
      <c r="B835" s="182"/>
      <c r="E835" s="261"/>
      <c r="G835" s="182"/>
      <c r="J835" s="67"/>
      <c r="K835" s="67"/>
      <c r="R835" s="67"/>
    </row>
    <row r="836">
      <c r="B836" s="182"/>
      <c r="E836" s="261"/>
      <c r="G836" s="182"/>
      <c r="J836" s="67"/>
      <c r="K836" s="67"/>
      <c r="R836" s="67"/>
    </row>
    <row r="837">
      <c r="B837" s="182"/>
      <c r="E837" s="261"/>
      <c r="G837" s="182"/>
      <c r="J837" s="67"/>
      <c r="K837" s="67"/>
      <c r="R837" s="67"/>
    </row>
    <row r="838">
      <c r="B838" s="182"/>
      <c r="E838" s="261"/>
      <c r="G838" s="182"/>
      <c r="J838" s="67"/>
      <c r="K838" s="67"/>
      <c r="R838" s="67"/>
    </row>
    <row r="839">
      <c r="B839" s="182"/>
      <c r="E839" s="261"/>
      <c r="G839" s="182"/>
      <c r="J839" s="67"/>
      <c r="K839" s="67"/>
      <c r="R839" s="67"/>
    </row>
    <row r="840">
      <c r="B840" s="182"/>
      <c r="E840" s="261"/>
      <c r="G840" s="182"/>
      <c r="J840" s="67"/>
      <c r="K840" s="67"/>
      <c r="R840" s="67"/>
    </row>
    <row r="841">
      <c r="B841" s="182"/>
      <c r="E841" s="261"/>
      <c r="G841" s="182"/>
      <c r="J841" s="67"/>
      <c r="K841" s="67"/>
      <c r="R841" s="67"/>
    </row>
    <row r="842">
      <c r="B842" s="182"/>
      <c r="E842" s="261"/>
      <c r="G842" s="182"/>
      <c r="J842" s="67"/>
      <c r="K842" s="67"/>
      <c r="R842" s="67"/>
    </row>
    <row r="843">
      <c r="B843" s="182"/>
      <c r="E843" s="261"/>
      <c r="G843" s="182"/>
      <c r="J843" s="67"/>
      <c r="K843" s="67"/>
      <c r="R843" s="67"/>
    </row>
    <row r="844">
      <c r="B844" s="182"/>
      <c r="E844" s="261"/>
      <c r="G844" s="182"/>
      <c r="J844" s="67"/>
      <c r="K844" s="67"/>
      <c r="R844" s="67"/>
    </row>
    <row r="845">
      <c r="B845" s="182"/>
      <c r="E845" s="261"/>
      <c r="G845" s="182"/>
      <c r="J845" s="67"/>
      <c r="K845" s="67"/>
      <c r="R845" s="67"/>
    </row>
    <row r="846">
      <c r="B846" s="182"/>
      <c r="E846" s="261"/>
      <c r="G846" s="182"/>
      <c r="J846" s="67"/>
      <c r="K846" s="67"/>
      <c r="R846" s="67"/>
    </row>
    <row r="847">
      <c r="B847" s="182"/>
      <c r="E847" s="261"/>
      <c r="G847" s="182"/>
      <c r="J847" s="67"/>
      <c r="K847" s="67"/>
      <c r="R847" s="67"/>
    </row>
    <row r="848">
      <c r="B848" s="182"/>
      <c r="E848" s="261"/>
      <c r="G848" s="182"/>
      <c r="J848" s="67"/>
      <c r="K848" s="67"/>
      <c r="R848" s="67"/>
    </row>
    <row r="849">
      <c r="B849" s="182"/>
      <c r="E849" s="261"/>
      <c r="G849" s="182"/>
      <c r="J849" s="67"/>
      <c r="K849" s="67"/>
      <c r="R849" s="67"/>
    </row>
    <row r="850">
      <c r="B850" s="182"/>
      <c r="E850" s="261"/>
      <c r="G850" s="182"/>
      <c r="J850" s="67"/>
      <c r="K850" s="67"/>
      <c r="R850" s="67"/>
    </row>
    <row r="851">
      <c r="B851" s="182"/>
      <c r="E851" s="261"/>
      <c r="G851" s="182"/>
      <c r="J851" s="67"/>
      <c r="K851" s="67"/>
      <c r="R851" s="67"/>
    </row>
    <row r="852">
      <c r="B852" s="182"/>
      <c r="E852" s="261"/>
      <c r="G852" s="182"/>
      <c r="J852" s="67"/>
      <c r="K852" s="67"/>
      <c r="R852" s="67"/>
    </row>
    <row r="853">
      <c r="B853" s="182"/>
      <c r="E853" s="261"/>
      <c r="G853" s="182"/>
      <c r="J853" s="67"/>
      <c r="K853" s="67"/>
      <c r="R853" s="67"/>
    </row>
    <row r="854">
      <c r="B854" s="182"/>
      <c r="E854" s="261"/>
      <c r="G854" s="182"/>
      <c r="J854" s="67"/>
      <c r="K854" s="67"/>
      <c r="R854" s="67"/>
    </row>
    <row r="855">
      <c r="B855" s="182"/>
      <c r="E855" s="261"/>
      <c r="G855" s="182"/>
      <c r="J855" s="67"/>
      <c r="K855" s="67"/>
      <c r="R855" s="67"/>
    </row>
    <row r="856">
      <c r="B856" s="182"/>
      <c r="E856" s="261"/>
      <c r="G856" s="182"/>
      <c r="J856" s="67"/>
      <c r="K856" s="67"/>
      <c r="R856" s="67"/>
    </row>
    <row r="857">
      <c r="B857" s="182"/>
      <c r="E857" s="261"/>
      <c r="G857" s="182"/>
      <c r="J857" s="67"/>
      <c r="K857" s="67"/>
      <c r="R857" s="67"/>
    </row>
    <row r="858">
      <c r="B858" s="182"/>
      <c r="E858" s="261"/>
      <c r="G858" s="182"/>
      <c r="J858" s="67"/>
      <c r="K858" s="67"/>
      <c r="R858" s="67"/>
    </row>
    <row r="859">
      <c r="B859" s="182"/>
      <c r="E859" s="261"/>
      <c r="G859" s="182"/>
      <c r="J859" s="67"/>
      <c r="K859" s="67"/>
      <c r="R859" s="67"/>
    </row>
    <row r="860">
      <c r="B860" s="182"/>
      <c r="E860" s="261"/>
      <c r="G860" s="182"/>
      <c r="J860" s="67"/>
      <c r="K860" s="67"/>
      <c r="R860" s="67"/>
    </row>
    <row r="861">
      <c r="B861" s="182"/>
      <c r="E861" s="261"/>
      <c r="G861" s="182"/>
      <c r="J861" s="67"/>
      <c r="K861" s="67"/>
      <c r="R861" s="67"/>
    </row>
    <row r="862">
      <c r="B862" s="182"/>
      <c r="E862" s="261"/>
      <c r="G862" s="182"/>
      <c r="J862" s="67"/>
      <c r="K862" s="67"/>
      <c r="R862" s="67"/>
    </row>
    <row r="863">
      <c r="B863" s="182"/>
      <c r="E863" s="261"/>
      <c r="G863" s="182"/>
      <c r="J863" s="67"/>
      <c r="K863" s="67"/>
      <c r="R863" s="67"/>
    </row>
    <row r="864">
      <c r="B864" s="182"/>
      <c r="E864" s="261"/>
      <c r="G864" s="182"/>
      <c r="J864" s="67"/>
      <c r="K864" s="67"/>
      <c r="R864" s="67"/>
    </row>
    <row r="865">
      <c r="B865" s="182"/>
      <c r="E865" s="261"/>
      <c r="G865" s="182"/>
      <c r="J865" s="67"/>
      <c r="K865" s="67"/>
      <c r="R865" s="67"/>
    </row>
    <row r="866">
      <c r="B866" s="182"/>
      <c r="E866" s="261"/>
      <c r="G866" s="182"/>
      <c r="J866" s="67"/>
      <c r="K866" s="67"/>
      <c r="R866" s="67"/>
    </row>
    <row r="867">
      <c r="B867" s="182"/>
      <c r="E867" s="261"/>
      <c r="G867" s="182"/>
      <c r="J867" s="67"/>
      <c r="K867" s="67"/>
      <c r="R867" s="67"/>
    </row>
    <row r="868">
      <c r="B868" s="182"/>
      <c r="E868" s="261"/>
      <c r="G868" s="182"/>
      <c r="J868" s="67"/>
      <c r="K868" s="67"/>
      <c r="R868" s="67"/>
    </row>
    <row r="869">
      <c r="B869" s="182"/>
      <c r="E869" s="261"/>
      <c r="G869" s="182"/>
      <c r="J869" s="67"/>
      <c r="K869" s="67"/>
      <c r="R869" s="67"/>
    </row>
    <row r="870">
      <c r="B870" s="182"/>
      <c r="E870" s="261"/>
      <c r="G870" s="182"/>
      <c r="J870" s="67"/>
      <c r="K870" s="67"/>
      <c r="R870" s="67"/>
    </row>
    <row r="871">
      <c r="B871" s="182"/>
      <c r="E871" s="261"/>
      <c r="G871" s="182"/>
      <c r="J871" s="67"/>
      <c r="K871" s="67"/>
      <c r="R871" s="67"/>
    </row>
    <row r="872">
      <c r="B872" s="182"/>
      <c r="E872" s="261"/>
      <c r="G872" s="182"/>
      <c r="J872" s="67"/>
      <c r="K872" s="67"/>
      <c r="R872" s="67"/>
    </row>
    <row r="873">
      <c r="B873" s="182"/>
      <c r="E873" s="261"/>
      <c r="G873" s="182"/>
      <c r="J873" s="67"/>
      <c r="K873" s="67"/>
      <c r="R873" s="67"/>
    </row>
    <row r="874">
      <c r="B874" s="182"/>
      <c r="E874" s="261"/>
      <c r="G874" s="182"/>
      <c r="J874" s="67"/>
      <c r="K874" s="67"/>
      <c r="R874" s="67"/>
    </row>
    <row r="875">
      <c r="B875" s="182"/>
      <c r="E875" s="261"/>
      <c r="G875" s="182"/>
      <c r="J875" s="67"/>
      <c r="K875" s="67"/>
      <c r="R875" s="67"/>
    </row>
    <row r="876">
      <c r="B876" s="182"/>
      <c r="E876" s="261"/>
      <c r="G876" s="182"/>
      <c r="J876" s="67"/>
      <c r="K876" s="67"/>
      <c r="R876" s="67"/>
    </row>
    <row r="877">
      <c r="B877" s="182"/>
      <c r="E877" s="261"/>
      <c r="G877" s="182"/>
      <c r="J877" s="67"/>
      <c r="K877" s="67"/>
      <c r="R877" s="67"/>
    </row>
    <row r="878">
      <c r="B878" s="182"/>
      <c r="E878" s="261"/>
      <c r="G878" s="182"/>
      <c r="J878" s="67"/>
      <c r="K878" s="67"/>
      <c r="R878" s="67"/>
    </row>
    <row r="879">
      <c r="B879" s="182"/>
      <c r="E879" s="261"/>
      <c r="G879" s="182"/>
      <c r="J879" s="67"/>
      <c r="K879" s="67"/>
      <c r="R879" s="67"/>
    </row>
    <row r="880">
      <c r="B880" s="182"/>
      <c r="E880" s="261"/>
      <c r="G880" s="182"/>
      <c r="J880" s="67"/>
      <c r="K880" s="67"/>
      <c r="R880" s="67"/>
    </row>
    <row r="881">
      <c r="B881" s="182"/>
      <c r="E881" s="261"/>
      <c r="G881" s="182"/>
      <c r="J881" s="67"/>
      <c r="K881" s="67"/>
      <c r="R881" s="67"/>
    </row>
    <row r="882">
      <c r="B882" s="182"/>
      <c r="E882" s="261"/>
      <c r="G882" s="182"/>
      <c r="J882" s="67"/>
      <c r="K882" s="67"/>
      <c r="R882" s="67"/>
    </row>
    <row r="883">
      <c r="B883" s="182"/>
      <c r="E883" s="261"/>
      <c r="G883" s="182"/>
      <c r="J883" s="67"/>
      <c r="K883" s="67"/>
      <c r="R883" s="67"/>
    </row>
    <row r="884">
      <c r="B884" s="182"/>
      <c r="E884" s="261"/>
      <c r="G884" s="182"/>
      <c r="J884" s="67"/>
      <c r="K884" s="67"/>
      <c r="R884" s="67"/>
    </row>
    <row r="885">
      <c r="B885" s="182"/>
      <c r="E885" s="261"/>
      <c r="G885" s="182"/>
      <c r="J885" s="67"/>
      <c r="K885" s="67"/>
      <c r="R885" s="67"/>
    </row>
    <row r="886">
      <c r="B886" s="182"/>
      <c r="E886" s="261"/>
      <c r="G886" s="182"/>
      <c r="J886" s="67"/>
      <c r="K886" s="67"/>
      <c r="R886" s="67"/>
    </row>
    <row r="887">
      <c r="B887" s="182"/>
      <c r="E887" s="261"/>
      <c r="G887" s="182"/>
      <c r="J887" s="67"/>
      <c r="K887" s="67"/>
      <c r="R887" s="67"/>
    </row>
    <row r="888">
      <c r="B888" s="182"/>
      <c r="E888" s="261"/>
      <c r="G888" s="182"/>
      <c r="J888" s="67"/>
      <c r="K888" s="67"/>
      <c r="R888" s="67"/>
    </row>
    <row r="889">
      <c r="B889" s="182"/>
      <c r="E889" s="261"/>
      <c r="G889" s="182"/>
      <c r="J889" s="67"/>
      <c r="K889" s="67"/>
      <c r="R889" s="67"/>
    </row>
    <row r="890">
      <c r="B890" s="182"/>
      <c r="E890" s="261"/>
      <c r="G890" s="182"/>
      <c r="J890" s="67"/>
      <c r="K890" s="67"/>
      <c r="R890" s="67"/>
    </row>
    <row r="891">
      <c r="B891" s="182"/>
      <c r="E891" s="261"/>
      <c r="G891" s="182"/>
      <c r="J891" s="67"/>
      <c r="K891" s="67"/>
      <c r="R891" s="67"/>
    </row>
    <row r="892">
      <c r="B892" s="182"/>
      <c r="E892" s="261"/>
      <c r="G892" s="182"/>
      <c r="J892" s="67"/>
      <c r="K892" s="67"/>
      <c r="R892" s="67"/>
    </row>
    <row r="893">
      <c r="B893" s="182"/>
      <c r="E893" s="261"/>
      <c r="G893" s="182"/>
      <c r="J893" s="67"/>
      <c r="K893" s="67"/>
      <c r="R893" s="67"/>
    </row>
    <row r="894">
      <c r="B894" s="182"/>
      <c r="E894" s="261"/>
      <c r="G894" s="182"/>
      <c r="J894" s="67"/>
      <c r="K894" s="67"/>
      <c r="R894" s="67"/>
    </row>
    <row r="895">
      <c r="B895" s="182"/>
      <c r="E895" s="261"/>
      <c r="G895" s="182"/>
      <c r="J895" s="67"/>
      <c r="K895" s="67"/>
      <c r="R895" s="67"/>
    </row>
    <row r="896">
      <c r="B896" s="182"/>
      <c r="E896" s="261"/>
      <c r="G896" s="182"/>
      <c r="J896" s="67"/>
      <c r="K896" s="67"/>
      <c r="R896" s="67"/>
    </row>
    <row r="897">
      <c r="B897" s="182"/>
      <c r="E897" s="261"/>
      <c r="G897" s="182"/>
      <c r="J897" s="67"/>
      <c r="K897" s="67"/>
      <c r="R897" s="67"/>
    </row>
    <row r="898">
      <c r="B898" s="182"/>
      <c r="E898" s="261"/>
      <c r="G898" s="182"/>
      <c r="J898" s="67"/>
      <c r="K898" s="67"/>
      <c r="R898" s="67"/>
    </row>
    <row r="899">
      <c r="B899" s="182"/>
      <c r="E899" s="261"/>
      <c r="G899" s="182"/>
      <c r="J899" s="67"/>
      <c r="K899" s="67"/>
      <c r="R899" s="67"/>
    </row>
    <row r="900">
      <c r="B900" s="182"/>
      <c r="E900" s="261"/>
      <c r="G900" s="182"/>
      <c r="J900" s="67"/>
      <c r="K900" s="67"/>
      <c r="R900" s="67"/>
    </row>
    <row r="901">
      <c r="B901" s="182"/>
      <c r="E901" s="261"/>
      <c r="G901" s="182"/>
      <c r="J901" s="67"/>
      <c r="K901" s="67"/>
      <c r="R901" s="67"/>
    </row>
    <row r="902">
      <c r="B902" s="182"/>
      <c r="E902" s="261"/>
      <c r="G902" s="182"/>
      <c r="J902" s="67"/>
      <c r="K902" s="67"/>
      <c r="R902" s="67"/>
    </row>
    <row r="903">
      <c r="B903" s="182"/>
      <c r="E903" s="261"/>
      <c r="G903" s="182"/>
      <c r="J903" s="67"/>
      <c r="K903" s="67"/>
      <c r="R903" s="67"/>
    </row>
    <row r="904">
      <c r="B904" s="182"/>
      <c r="E904" s="261"/>
      <c r="G904" s="182"/>
      <c r="J904" s="67"/>
      <c r="K904" s="67"/>
      <c r="R904" s="67"/>
    </row>
    <row r="905">
      <c r="B905" s="182"/>
      <c r="E905" s="261"/>
      <c r="G905" s="182"/>
      <c r="J905" s="67"/>
      <c r="K905" s="67"/>
      <c r="R905" s="67"/>
    </row>
    <row r="906">
      <c r="B906" s="182"/>
      <c r="E906" s="261"/>
      <c r="G906" s="182"/>
      <c r="J906" s="67"/>
      <c r="K906" s="67"/>
      <c r="R906" s="67"/>
    </row>
    <row r="907">
      <c r="B907" s="182"/>
      <c r="E907" s="261"/>
      <c r="G907" s="182"/>
      <c r="J907" s="67"/>
      <c r="K907" s="67"/>
      <c r="R907" s="67"/>
    </row>
    <row r="908">
      <c r="B908" s="182"/>
      <c r="E908" s="261"/>
      <c r="G908" s="182"/>
      <c r="J908" s="67"/>
      <c r="K908" s="67"/>
      <c r="R908" s="67"/>
    </row>
    <row r="909">
      <c r="B909" s="182"/>
      <c r="E909" s="261"/>
      <c r="G909" s="182"/>
      <c r="J909" s="67"/>
      <c r="K909" s="67"/>
      <c r="R909" s="67"/>
    </row>
    <row r="910">
      <c r="B910" s="182"/>
      <c r="E910" s="261"/>
      <c r="G910" s="182"/>
      <c r="J910" s="67"/>
      <c r="K910" s="67"/>
      <c r="R910" s="67"/>
    </row>
    <row r="911">
      <c r="B911" s="182"/>
      <c r="E911" s="261"/>
      <c r="G911" s="182"/>
      <c r="J911" s="67"/>
      <c r="K911" s="67"/>
      <c r="R911" s="67"/>
    </row>
    <row r="912">
      <c r="B912" s="182"/>
      <c r="E912" s="261"/>
      <c r="G912" s="182"/>
      <c r="J912" s="67"/>
      <c r="K912" s="67"/>
      <c r="R912" s="67"/>
    </row>
    <row r="913">
      <c r="B913" s="182"/>
      <c r="E913" s="261"/>
      <c r="G913" s="182"/>
      <c r="J913" s="67"/>
      <c r="K913" s="67"/>
      <c r="R913" s="67"/>
    </row>
    <row r="914">
      <c r="B914" s="182"/>
      <c r="E914" s="261"/>
      <c r="G914" s="182"/>
      <c r="J914" s="67"/>
      <c r="K914" s="67"/>
      <c r="R914" s="67"/>
    </row>
    <row r="915">
      <c r="B915" s="182"/>
      <c r="E915" s="261"/>
      <c r="G915" s="182"/>
      <c r="J915" s="67"/>
      <c r="K915" s="67"/>
      <c r="R915" s="67"/>
    </row>
    <row r="916">
      <c r="B916" s="182"/>
      <c r="E916" s="261"/>
      <c r="G916" s="182"/>
      <c r="J916" s="67"/>
      <c r="K916" s="67"/>
      <c r="R916" s="67"/>
    </row>
    <row r="917">
      <c r="B917" s="182"/>
      <c r="E917" s="261"/>
      <c r="G917" s="182"/>
      <c r="J917" s="67"/>
      <c r="K917" s="67"/>
      <c r="R917" s="67"/>
    </row>
    <row r="918">
      <c r="B918" s="182"/>
      <c r="E918" s="261"/>
      <c r="G918" s="182"/>
      <c r="J918" s="67"/>
      <c r="K918" s="67"/>
      <c r="R918" s="67"/>
    </row>
    <row r="919">
      <c r="B919" s="182"/>
      <c r="E919" s="261"/>
      <c r="G919" s="182"/>
      <c r="J919" s="67"/>
      <c r="K919" s="67"/>
      <c r="R919" s="67"/>
    </row>
    <row r="920">
      <c r="B920" s="182"/>
      <c r="E920" s="261"/>
      <c r="G920" s="182"/>
      <c r="J920" s="67"/>
      <c r="K920" s="67"/>
      <c r="R920" s="67"/>
    </row>
    <row r="921">
      <c r="B921" s="182"/>
      <c r="E921" s="261"/>
      <c r="G921" s="182"/>
      <c r="J921" s="67"/>
      <c r="K921" s="67"/>
      <c r="R921" s="67"/>
    </row>
    <row r="922">
      <c r="B922" s="182"/>
      <c r="E922" s="261"/>
      <c r="G922" s="182"/>
      <c r="J922" s="67"/>
      <c r="K922" s="67"/>
      <c r="R922" s="67"/>
    </row>
    <row r="923">
      <c r="B923" s="182"/>
      <c r="E923" s="261"/>
      <c r="G923" s="182"/>
      <c r="J923" s="67"/>
      <c r="K923" s="67"/>
      <c r="R923" s="67"/>
    </row>
    <row r="924">
      <c r="B924" s="182"/>
      <c r="E924" s="261"/>
      <c r="G924" s="182"/>
      <c r="J924" s="67"/>
      <c r="K924" s="67"/>
      <c r="R924" s="67"/>
    </row>
    <row r="925">
      <c r="B925" s="182"/>
      <c r="E925" s="261"/>
      <c r="G925" s="182"/>
      <c r="J925" s="67"/>
      <c r="K925" s="67"/>
      <c r="R925" s="67"/>
    </row>
    <row r="926">
      <c r="B926" s="182"/>
      <c r="E926" s="261"/>
      <c r="G926" s="182"/>
      <c r="J926" s="67"/>
      <c r="K926" s="67"/>
      <c r="R926" s="67"/>
    </row>
    <row r="927">
      <c r="B927" s="182"/>
      <c r="E927" s="261"/>
      <c r="G927" s="182"/>
      <c r="J927" s="67"/>
      <c r="K927" s="67"/>
      <c r="R927" s="67"/>
    </row>
    <row r="928">
      <c r="B928" s="182"/>
      <c r="E928" s="261"/>
      <c r="G928" s="182"/>
      <c r="J928" s="67"/>
      <c r="K928" s="67"/>
      <c r="R928" s="67"/>
    </row>
    <row r="929">
      <c r="B929" s="182"/>
      <c r="E929" s="261"/>
      <c r="G929" s="182"/>
      <c r="J929" s="67"/>
      <c r="K929" s="67"/>
      <c r="R929" s="67"/>
    </row>
    <row r="930">
      <c r="B930" s="182"/>
      <c r="E930" s="261"/>
      <c r="G930" s="182"/>
      <c r="J930" s="67"/>
      <c r="K930" s="67"/>
      <c r="R930" s="67"/>
    </row>
    <row r="931">
      <c r="B931" s="182"/>
      <c r="E931" s="261"/>
      <c r="G931" s="182"/>
      <c r="J931" s="67"/>
      <c r="K931" s="67"/>
      <c r="R931" s="67"/>
    </row>
    <row r="932">
      <c r="B932" s="182"/>
      <c r="E932" s="261"/>
      <c r="G932" s="182"/>
      <c r="J932" s="67"/>
      <c r="K932" s="67"/>
      <c r="R932" s="67"/>
    </row>
    <row r="933">
      <c r="B933" s="182"/>
      <c r="E933" s="261"/>
      <c r="G933" s="182"/>
      <c r="J933" s="67"/>
      <c r="K933" s="67"/>
      <c r="R933" s="67"/>
    </row>
    <row r="934">
      <c r="B934" s="182"/>
      <c r="E934" s="261"/>
      <c r="G934" s="182"/>
      <c r="J934" s="67"/>
      <c r="K934" s="67"/>
      <c r="R934" s="67"/>
    </row>
    <row r="935">
      <c r="B935" s="182"/>
      <c r="E935" s="261"/>
      <c r="G935" s="182"/>
      <c r="J935" s="67"/>
      <c r="K935" s="67"/>
      <c r="R935" s="67"/>
    </row>
    <row r="936">
      <c r="B936" s="182"/>
      <c r="E936" s="261"/>
      <c r="G936" s="182"/>
      <c r="J936" s="67"/>
      <c r="K936" s="67"/>
      <c r="R936" s="67"/>
    </row>
    <row r="937">
      <c r="B937" s="182"/>
      <c r="E937" s="261"/>
      <c r="G937" s="182"/>
      <c r="J937" s="67"/>
      <c r="K937" s="67"/>
      <c r="R937" s="67"/>
    </row>
    <row r="938">
      <c r="B938" s="182"/>
      <c r="E938" s="261"/>
      <c r="G938" s="182"/>
      <c r="J938" s="67"/>
      <c r="K938" s="67"/>
      <c r="R938" s="67"/>
    </row>
    <row r="939">
      <c r="B939" s="182"/>
      <c r="E939" s="261"/>
      <c r="G939" s="182"/>
      <c r="J939" s="67"/>
      <c r="K939" s="67"/>
      <c r="R939" s="67"/>
    </row>
    <row r="940">
      <c r="B940" s="182"/>
      <c r="E940" s="261"/>
      <c r="G940" s="182"/>
      <c r="J940" s="67"/>
      <c r="K940" s="67"/>
      <c r="R940" s="67"/>
    </row>
    <row r="941">
      <c r="B941" s="182"/>
      <c r="E941" s="261"/>
      <c r="G941" s="182"/>
      <c r="J941" s="67"/>
      <c r="K941" s="67"/>
      <c r="R941" s="67"/>
    </row>
    <row r="942">
      <c r="B942" s="182"/>
      <c r="E942" s="261"/>
      <c r="G942" s="182"/>
      <c r="J942" s="67"/>
      <c r="K942" s="67"/>
      <c r="R942" s="67"/>
    </row>
    <row r="943">
      <c r="B943" s="182"/>
      <c r="E943" s="261"/>
      <c r="G943" s="182"/>
      <c r="J943" s="67"/>
      <c r="K943" s="67"/>
      <c r="R943" s="67"/>
    </row>
    <row r="944">
      <c r="B944" s="182"/>
      <c r="E944" s="261"/>
      <c r="G944" s="182"/>
      <c r="J944" s="67"/>
      <c r="K944" s="67"/>
      <c r="R944" s="67"/>
    </row>
    <row r="945">
      <c r="B945" s="182"/>
      <c r="E945" s="261"/>
      <c r="G945" s="182"/>
      <c r="J945" s="67"/>
      <c r="K945" s="67"/>
      <c r="R945" s="67"/>
    </row>
    <row r="946">
      <c r="B946" s="182"/>
      <c r="E946" s="261"/>
      <c r="G946" s="182"/>
      <c r="J946" s="67"/>
      <c r="K946" s="67"/>
      <c r="R946" s="67"/>
    </row>
    <row r="947">
      <c r="B947" s="182"/>
      <c r="E947" s="261"/>
      <c r="G947" s="182"/>
      <c r="J947" s="67"/>
      <c r="K947" s="67"/>
      <c r="R947" s="67"/>
    </row>
    <row r="948">
      <c r="B948" s="182"/>
      <c r="E948" s="261"/>
      <c r="G948" s="182"/>
      <c r="J948" s="67"/>
      <c r="K948" s="67"/>
      <c r="R948" s="67"/>
    </row>
    <row r="949">
      <c r="B949" s="182"/>
      <c r="E949" s="261"/>
      <c r="G949" s="182"/>
      <c r="J949" s="67"/>
      <c r="K949" s="67"/>
      <c r="R949" s="67"/>
    </row>
    <row r="950">
      <c r="B950" s="182"/>
      <c r="E950" s="261"/>
      <c r="G950" s="182"/>
      <c r="J950" s="67"/>
      <c r="K950" s="67"/>
      <c r="R950" s="67"/>
    </row>
    <row r="951">
      <c r="B951" s="182"/>
      <c r="E951" s="261"/>
      <c r="G951" s="182"/>
      <c r="J951" s="67"/>
      <c r="K951" s="67"/>
      <c r="R951" s="67"/>
    </row>
    <row r="952">
      <c r="B952" s="182"/>
      <c r="E952" s="261"/>
      <c r="G952" s="182"/>
      <c r="J952" s="67"/>
      <c r="K952" s="67"/>
      <c r="R952" s="67"/>
    </row>
    <row r="953">
      <c r="B953" s="182"/>
      <c r="E953" s="261"/>
      <c r="G953" s="182"/>
      <c r="J953" s="67"/>
      <c r="K953" s="67"/>
      <c r="R953" s="67"/>
    </row>
    <row r="954">
      <c r="B954" s="182"/>
      <c r="E954" s="261"/>
      <c r="G954" s="182"/>
      <c r="J954" s="67"/>
      <c r="K954" s="67"/>
      <c r="R954" s="67"/>
    </row>
    <row r="955">
      <c r="B955" s="182"/>
      <c r="E955" s="261"/>
      <c r="G955" s="182"/>
      <c r="J955" s="67"/>
      <c r="K955" s="67"/>
      <c r="R955" s="67"/>
    </row>
    <row r="956">
      <c r="B956" s="182"/>
      <c r="E956" s="261"/>
      <c r="G956" s="182"/>
      <c r="J956" s="67"/>
      <c r="K956" s="67"/>
      <c r="R956" s="67"/>
    </row>
    <row r="957">
      <c r="B957" s="182"/>
      <c r="E957" s="261"/>
      <c r="G957" s="182"/>
      <c r="J957" s="67"/>
      <c r="K957" s="67"/>
      <c r="R957" s="67"/>
    </row>
    <row r="958">
      <c r="B958" s="182"/>
      <c r="E958" s="261"/>
      <c r="G958" s="182"/>
      <c r="J958" s="67"/>
      <c r="K958" s="67"/>
      <c r="R958" s="67"/>
    </row>
    <row r="959">
      <c r="B959" s="182"/>
      <c r="E959" s="261"/>
      <c r="G959" s="182"/>
      <c r="J959" s="67"/>
      <c r="K959" s="67"/>
      <c r="R959" s="67"/>
    </row>
    <row r="960">
      <c r="B960" s="182"/>
      <c r="E960" s="261"/>
      <c r="G960" s="182"/>
      <c r="J960" s="67"/>
      <c r="K960" s="67"/>
      <c r="R960" s="67"/>
    </row>
    <row r="961">
      <c r="B961" s="182"/>
      <c r="E961" s="261"/>
      <c r="G961" s="182"/>
      <c r="J961" s="67"/>
      <c r="K961" s="67"/>
      <c r="R961" s="67"/>
    </row>
    <row r="962">
      <c r="B962" s="182"/>
      <c r="E962" s="261"/>
      <c r="G962" s="182"/>
      <c r="J962" s="67"/>
      <c r="K962" s="67"/>
      <c r="R962" s="67"/>
    </row>
    <row r="963">
      <c r="B963" s="182"/>
      <c r="E963" s="261"/>
      <c r="G963" s="182"/>
      <c r="J963" s="67"/>
      <c r="K963" s="67"/>
      <c r="R963" s="67"/>
    </row>
    <row r="964">
      <c r="B964" s="182"/>
      <c r="E964" s="261"/>
      <c r="G964" s="182"/>
      <c r="J964" s="67"/>
      <c r="K964" s="67"/>
      <c r="R964" s="67"/>
    </row>
    <row r="965">
      <c r="B965" s="182"/>
      <c r="E965" s="261"/>
      <c r="G965" s="182"/>
      <c r="J965" s="67"/>
      <c r="K965" s="67"/>
      <c r="R965" s="67"/>
    </row>
    <row r="966">
      <c r="B966" s="182"/>
      <c r="E966" s="261"/>
      <c r="G966" s="182"/>
      <c r="J966" s="67"/>
      <c r="K966" s="67"/>
      <c r="R966" s="67"/>
    </row>
    <row r="967">
      <c r="B967" s="182"/>
      <c r="E967" s="261"/>
      <c r="G967" s="182"/>
      <c r="J967" s="67"/>
      <c r="K967" s="67"/>
      <c r="R967" s="67"/>
    </row>
    <row r="968">
      <c r="B968" s="182"/>
      <c r="E968" s="261"/>
      <c r="G968" s="182"/>
      <c r="J968" s="67"/>
      <c r="K968" s="67"/>
      <c r="R968" s="67"/>
    </row>
    <row r="969">
      <c r="B969" s="182"/>
      <c r="E969" s="261"/>
      <c r="G969" s="182"/>
      <c r="J969" s="67"/>
      <c r="K969" s="67"/>
      <c r="R969" s="67"/>
    </row>
    <row r="970">
      <c r="B970" s="182"/>
      <c r="E970" s="261"/>
      <c r="G970" s="182"/>
      <c r="J970" s="67"/>
      <c r="K970" s="67"/>
      <c r="R970" s="67"/>
    </row>
    <row r="971">
      <c r="B971" s="182"/>
      <c r="E971" s="261"/>
      <c r="G971" s="182"/>
      <c r="J971" s="67"/>
      <c r="K971" s="67"/>
      <c r="R971" s="67"/>
    </row>
    <row r="972">
      <c r="B972" s="182"/>
      <c r="E972" s="261"/>
      <c r="G972" s="182"/>
      <c r="J972" s="67"/>
      <c r="K972" s="67"/>
      <c r="R972" s="67"/>
    </row>
    <row r="973">
      <c r="B973" s="182"/>
      <c r="E973" s="261"/>
      <c r="G973" s="182"/>
      <c r="J973" s="67"/>
      <c r="K973" s="67"/>
      <c r="R973" s="67"/>
    </row>
    <row r="974">
      <c r="B974" s="182"/>
      <c r="E974" s="261"/>
      <c r="G974" s="182"/>
      <c r="J974" s="67"/>
      <c r="K974" s="67"/>
      <c r="R974" s="67"/>
    </row>
    <row r="975">
      <c r="B975" s="182"/>
      <c r="E975" s="261"/>
      <c r="G975" s="182"/>
      <c r="J975" s="67"/>
      <c r="K975" s="67"/>
      <c r="R975" s="67"/>
    </row>
    <row r="976">
      <c r="B976" s="182"/>
      <c r="E976" s="261"/>
      <c r="G976" s="182"/>
      <c r="J976" s="67"/>
      <c r="K976" s="67"/>
      <c r="R976" s="67"/>
    </row>
    <row r="977">
      <c r="B977" s="182"/>
      <c r="E977" s="261"/>
      <c r="G977" s="182"/>
      <c r="J977" s="67"/>
      <c r="K977" s="67"/>
      <c r="R977" s="67"/>
    </row>
    <row r="978">
      <c r="B978" s="182"/>
      <c r="E978" s="261"/>
      <c r="G978" s="182"/>
      <c r="J978" s="67"/>
      <c r="K978" s="67"/>
      <c r="R978" s="67"/>
    </row>
    <row r="979">
      <c r="B979" s="182"/>
      <c r="E979" s="261"/>
      <c r="G979" s="182"/>
      <c r="J979" s="67"/>
      <c r="K979" s="67"/>
      <c r="R979" s="67"/>
    </row>
    <row r="980">
      <c r="B980" s="182"/>
      <c r="E980" s="261"/>
      <c r="G980" s="182"/>
      <c r="J980" s="67"/>
      <c r="K980" s="67"/>
      <c r="R980" s="67"/>
    </row>
    <row r="981">
      <c r="B981" s="182"/>
      <c r="E981" s="261"/>
      <c r="G981" s="182"/>
      <c r="J981" s="67"/>
      <c r="K981" s="67"/>
      <c r="R981" s="67"/>
    </row>
    <row r="982">
      <c r="B982" s="182"/>
      <c r="E982" s="261"/>
      <c r="G982" s="182"/>
      <c r="J982" s="67"/>
      <c r="K982" s="67"/>
      <c r="R982" s="67"/>
    </row>
    <row r="983">
      <c r="B983" s="182"/>
      <c r="E983" s="261"/>
      <c r="G983" s="182"/>
      <c r="J983" s="67"/>
      <c r="K983" s="67"/>
      <c r="R983" s="67"/>
    </row>
    <row r="984">
      <c r="B984" s="182"/>
      <c r="E984" s="261"/>
      <c r="G984" s="182"/>
      <c r="J984" s="67"/>
      <c r="K984" s="67"/>
      <c r="R984" s="67"/>
    </row>
    <row r="985">
      <c r="B985" s="182"/>
      <c r="E985" s="261"/>
      <c r="G985" s="182"/>
      <c r="J985" s="67"/>
      <c r="K985" s="67"/>
      <c r="R985" s="67"/>
    </row>
    <row r="986">
      <c r="B986" s="182"/>
      <c r="E986" s="261"/>
      <c r="G986" s="182"/>
      <c r="J986" s="67"/>
      <c r="K986" s="67"/>
      <c r="R986" s="67"/>
    </row>
    <row r="987">
      <c r="B987" s="182"/>
      <c r="E987" s="261"/>
      <c r="G987" s="182"/>
      <c r="J987" s="67"/>
      <c r="K987" s="67"/>
      <c r="R987" s="67"/>
    </row>
    <row r="988">
      <c r="B988" s="182"/>
      <c r="E988" s="261"/>
      <c r="G988" s="182"/>
      <c r="J988" s="67"/>
      <c r="K988" s="67"/>
      <c r="R988" s="67"/>
    </row>
    <row r="989">
      <c r="B989" s="182"/>
      <c r="E989" s="261"/>
      <c r="G989" s="182"/>
      <c r="J989" s="67"/>
      <c r="K989" s="67"/>
      <c r="R989" s="67"/>
    </row>
    <row r="990">
      <c r="B990" s="182"/>
      <c r="E990" s="261"/>
      <c r="G990" s="182"/>
      <c r="J990" s="67"/>
      <c r="K990" s="67"/>
      <c r="R990" s="67"/>
    </row>
    <row r="991">
      <c r="B991" s="182"/>
      <c r="E991" s="261"/>
      <c r="G991" s="182"/>
      <c r="J991" s="67"/>
      <c r="K991" s="67"/>
      <c r="R991" s="67"/>
    </row>
    <row r="992">
      <c r="B992" s="182"/>
      <c r="E992" s="261"/>
      <c r="G992" s="182"/>
      <c r="J992" s="67"/>
      <c r="K992" s="67"/>
      <c r="R992" s="67"/>
    </row>
    <row r="993">
      <c r="B993" s="182"/>
      <c r="E993" s="261"/>
      <c r="G993" s="182"/>
      <c r="J993" s="67"/>
      <c r="K993" s="67"/>
      <c r="R993" s="67"/>
    </row>
    <row r="994">
      <c r="B994" s="182"/>
      <c r="E994" s="261"/>
      <c r="G994" s="182"/>
      <c r="J994" s="67"/>
      <c r="K994" s="67"/>
      <c r="R994" s="67"/>
    </row>
    <row r="995">
      <c r="B995" s="182"/>
      <c r="E995" s="261"/>
      <c r="G995" s="182"/>
      <c r="J995" s="67"/>
      <c r="K995" s="67"/>
      <c r="R995" s="67"/>
    </row>
    <row r="996">
      <c r="B996" s="182"/>
      <c r="E996" s="261"/>
      <c r="G996" s="182"/>
      <c r="J996" s="67"/>
      <c r="K996" s="67"/>
      <c r="R996" s="67"/>
    </row>
    <row r="997">
      <c r="B997" s="182"/>
      <c r="E997" s="261"/>
      <c r="G997" s="182"/>
      <c r="J997" s="67"/>
      <c r="K997" s="67"/>
      <c r="R997" s="67"/>
    </row>
    <row r="998">
      <c r="B998" s="182"/>
      <c r="E998" s="261"/>
      <c r="G998" s="182"/>
      <c r="J998" s="67"/>
      <c r="K998" s="67"/>
      <c r="R998" s="67"/>
    </row>
    <row r="999">
      <c r="B999" s="182"/>
      <c r="E999" s="261"/>
      <c r="G999" s="182"/>
      <c r="J999" s="67"/>
      <c r="K999" s="67"/>
      <c r="R999" s="67"/>
    </row>
    <row r="1000">
      <c r="B1000" s="182"/>
      <c r="E1000" s="261"/>
      <c r="G1000" s="182"/>
      <c r="J1000" s="67"/>
      <c r="K1000" s="67"/>
      <c r="R1000" s="67"/>
    </row>
    <row r="1001">
      <c r="B1001" s="182"/>
      <c r="E1001" s="261"/>
      <c r="G1001" s="182"/>
      <c r="J1001" s="67"/>
      <c r="K1001" s="67"/>
      <c r="R1001" s="67"/>
    </row>
    <row r="1002">
      <c r="B1002" s="182"/>
      <c r="E1002" s="261"/>
      <c r="G1002" s="182"/>
      <c r="J1002" s="67"/>
      <c r="K1002" s="67"/>
      <c r="R1002" s="67"/>
    </row>
    <row r="1003">
      <c r="B1003" s="182"/>
      <c r="E1003" s="261"/>
      <c r="G1003" s="182"/>
      <c r="J1003" s="67"/>
      <c r="K1003" s="67"/>
      <c r="R1003" s="67"/>
    </row>
    <row r="1004">
      <c r="B1004" s="182"/>
      <c r="E1004" s="261"/>
      <c r="G1004" s="182"/>
      <c r="J1004" s="67"/>
      <c r="K1004" s="67"/>
      <c r="R1004" s="67"/>
    </row>
    <row r="1005">
      <c r="B1005" s="182"/>
      <c r="E1005" s="261"/>
      <c r="G1005" s="182"/>
      <c r="J1005" s="67"/>
      <c r="K1005" s="67"/>
      <c r="R1005" s="67"/>
    </row>
    <row r="1006">
      <c r="B1006" s="182"/>
      <c r="E1006" s="261"/>
      <c r="G1006" s="182"/>
      <c r="J1006" s="67"/>
      <c r="K1006" s="67"/>
      <c r="R1006" s="67"/>
    </row>
    <row r="1007">
      <c r="B1007" s="182"/>
      <c r="E1007" s="261"/>
      <c r="G1007" s="182"/>
      <c r="J1007" s="67"/>
      <c r="K1007" s="67"/>
      <c r="R1007" s="67"/>
    </row>
    <row r="1008">
      <c r="B1008" s="182"/>
      <c r="E1008" s="261"/>
      <c r="G1008" s="182"/>
      <c r="J1008" s="67"/>
      <c r="K1008" s="67"/>
      <c r="R1008" s="67"/>
    </row>
    <row r="1009">
      <c r="B1009" s="182"/>
      <c r="E1009" s="261"/>
      <c r="G1009" s="182"/>
      <c r="J1009" s="67"/>
      <c r="K1009" s="67"/>
      <c r="R1009" s="67"/>
    </row>
    <row r="1010">
      <c r="B1010" s="182"/>
      <c r="E1010" s="261"/>
      <c r="G1010" s="182"/>
      <c r="J1010" s="67"/>
      <c r="K1010" s="67"/>
      <c r="R1010" s="67"/>
    </row>
    <row r="1011">
      <c r="B1011" s="182"/>
      <c r="E1011" s="261"/>
      <c r="G1011" s="182"/>
      <c r="J1011" s="67"/>
      <c r="K1011" s="67"/>
      <c r="R1011" s="67"/>
    </row>
    <row r="1012">
      <c r="B1012" s="182"/>
      <c r="E1012" s="261"/>
      <c r="G1012" s="182"/>
      <c r="J1012" s="67"/>
      <c r="K1012" s="67"/>
      <c r="R1012" s="67"/>
    </row>
    <row r="1013">
      <c r="B1013" s="182"/>
      <c r="E1013" s="261"/>
      <c r="G1013" s="182"/>
      <c r="J1013" s="67"/>
      <c r="K1013" s="67"/>
      <c r="R1013" s="67"/>
    </row>
    <row r="1014">
      <c r="B1014" s="182"/>
      <c r="E1014" s="261"/>
      <c r="G1014" s="182"/>
      <c r="J1014" s="67"/>
      <c r="K1014" s="67"/>
      <c r="R1014" s="67"/>
    </row>
    <row r="1015">
      <c r="B1015" s="182"/>
      <c r="E1015" s="261"/>
      <c r="G1015" s="182"/>
      <c r="J1015" s="67"/>
      <c r="K1015" s="67"/>
      <c r="R1015" s="67"/>
    </row>
    <row r="1016">
      <c r="B1016" s="182"/>
      <c r="E1016" s="261"/>
      <c r="G1016" s="182"/>
      <c r="J1016" s="67"/>
      <c r="K1016" s="67"/>
      <c r="R1016" s="67"/>
    </row>
    <row r="1017">
      <c r="B1017" s="182"/>
      <c r="E1017" s="261"/>
      <c r="G1017" s="182"/>
      <c r="J1017" s="67"/>
      <c r="K1017" s="67"/>
      <c r="R1017" s="67"/>
    </row>
    <row r="1018">
      <c r="B1018" s="182"/>
      <c r="E1018" s="261"/>
      <c r="G1018" s="182"/>
      <c r="J1018" s="67"/>
      <c r="K1018" s="67"/>
      <c r="R1018" s="67"/>
    </row>
    <row r="1019">
      <c r="B1019" s="182"/>
      <c r="E1019" s="261"/>
      <c r="G1019" s="182"/>
      <c r="J1019" s="67"/>
      <c r="K1019" s="67"/>
      <c r="R1019" s="67"/>
    </row>
    <row r="1020">
      <c r="B1020" s="182"/>
      <c r="E1020" s="261"/>
      <c r="G1020" s="182"/>
      <c r="J1020" s="67"/>
      <c r="K1020" s="67"/>
      <c r="R1020" s="67"/>
    </row>
    <row r="1021">
      <c r="B1021" s="182"/>
      <c r="E1021" s="261"/>
      <c r="G1021" s="182"/>
      <c r="J1021" s="67"/>
      <c r="K1021" s="67"/>
      <c r="R1021" s="67"/>
    </row>
    <row r="1022">
      <c r="B1022" s="182"/>
      <c r="E1022" s="261"/>
      <c r="G1022" s="182"/>
      <c r="J1022" s="67"/>
      <c r="K1022" s="67"/>
      <c r="R1022" s="67"/>
    </row>
    <row r="1023">
      <c r="B1023" s="182"/>
      <c r="E1023" s="261"/>
      <c r="G1023" s="182"/>
      <c r="J1023" s="67"/>
      <c r="K1023" s="67"/>
      <c r="R1023" s="67"/>
    </row>
    <row r="1024">
      <c r="B1024" s="182"/>
      <c r="E1024" s="261"/>
      <c r="G1024" s="182"/>
      <c r="J1024" s="67"/>
      <c r="K1024" s="67"/>
      <c r="R1024" s="67"/>
    </row>
    <row r="1025">
      <c r="B1025" s="182"/>
      <c r="E1025" s="261"/>
      <c r="G1025" s="182"/>
      <c r="J1025" s="67"/>
      <c r="K1025" s="67"/>
      <c r="R1025" s="67"/>
    </row>
    <row r="1026">
      <c r="B1026" s="182"/>
      <c r="E1026" s="261"/>
      <c r="G1026" s="182"/>
      <c r="J1026" s="67"/>
      <c r="K1026" s="67"/>
      <c r="R1026" s="67"/>
    </row>
    <row r="1027">
      <c r="B1027" s="182"/>
      <c r="E1027" s="261"/>
      <c r="G1027" s="182"/>
      <c r="J1027" s="67"/>
      <c r="K1027" s="67"/>
      <c r="R1027" s="67"/>
    </row>
    <row r="1028">
      <c r="B1028" s="182"/>
      <c r="E1028" s="261"/>
      <c r="G1028" s="182"/>
      <c r="J1028" s="67"/>
      <c r="K1028" s="67"/>
      <c r="R1028" s="67"/>
    </row>
    <row r="1029">
      <c r="B1029" s="182"/>
      <c r="E1029" s="261"/>
      <c r="G1029" s="182"/>
      <c r="J1029" s="67"/>
      <c r="K1029" s="67"/>
      <c r="R1029" s="67"/>
    </row>
    <row r="1030">
      <c r="B1030" s="182"/>
      <c r="E1030" s="261"/>
      <c r="G1030" s="182"/>
      <c r="J1030" s="67"/>
      <c r="K1030" s="67"/>
      <c r="R1030" s="67"/>
    </row>
    <row r="1031">
      <c r="B1031" s="182"/>
      <c r="E1031" s="261"/>
      <c r="G1031" s="182"/>
      <c r="J1031" s="67"/>
      <c r="K1031" s="67"/>
      <c r="R1031" s="67"/>
    </row>
    <row r="1032">
      <c r="B1032" s="182"/>
      <c r="E1032" s="261"/>
      <c r="G1032" s="182"/>
      <c r="J1032" s="67"/>
      <c r="K1032" s="67"/>
      <c r="R1032" s="67"/>
    </row>
    <row r="1033">
      <c r="B1033" s="182"/>
      <c r="E1033" s="261"/>
      <c r="G1033" s="182"/>
      <c r="J1033" s="67"/>
      <c r="K1033" s="67"/>
      <c r="R1033" s="67"/>
    </row>
    <row r="1034">
      <c r="B1034" s="182"/>
      <c r="E1034" s="261"/>
      <c r="G1034" s="182"/>
      <c r="J1034" s="67"/>
      <c r="K1034" s="67"/>
      <c r="R1034" s="67"/>
    </row>
    <row r="1035">
      <c r="B1035" s="182"/>
      <c r="E1035" s="261"/>
      <c r="G1035" s="182"/>
      <c r="J1035" s="67"/>
      <c r="K1035" s="67"/>
      <c r="R1035" s="67"/>
    </row>
    <row r="1036">
      <c r="B1036" s="182"/>
      <c r="E1036" s="261"/>
      <c r="G1036" s="182"/>
      <c r="J1036" s="67"/>
      <c r="K1036" s="67"/>
      <c r="R1036" s="67"/>
    </row>
    <row r="1037">
      <c r="B1037" s="182"/>
      <c r="E1037" s="261"/>
      <c r="G1037" s="182"/>
      <c r="J1037" s="67"/>
      <c r="K1037" s="67"/>
      <c r="R1037" s="67"/>
    </row>
    <row r="1038">
      <c r="B1038" s="182"/>
      <c r="E1038" s="261"/>
      <c r="G1038" s="182"/>
      <c r="J1038" s="67"/>
      <c r="K1038" s="67"/>
      <c r="R1038" s="67"/>
    </row>
    <row r="1039">
      <c r="B1039" s="182"/>
      <c r="E1039" s="261"/>
      <c r="G1039" s="182"/>
      <c r="J1039" s="67"/>
      <c r="K1039" s="67"/>
      <c r="R1039" s="67"/>
    </row>
    <row r="1040">
      <c r="B1040" s="182"/>
      <c r="E1040" s="261"/>
      <c r="G1040" s="182"/>
      <c r="J1040" s="67"/>
      <c r="K1040" s="67"/>
      <c r="R1040" s="67"/>
    </row>
    <row r="1041">
      <c r="B1041" s="182"/>
      <c r="E1041" s="261"/>
      <c r="G1041" s="182"/>
      <c r="J1041" s="67"/>
      <c r="K1041" s="67"/>
      <c r="R1041" s="67"/>
    </row>
    <row r="1042">
      <c r="B1042" s="182"/>
      <c r="E1042" s="261"/>
      <c r="G1042" s="182"/>
      <c r="J1042" s="67"/>
      <c r="K1042" s="67"/>
      <c r="R1042" s="67"/>
    </row>
    <row r="1043">
      <c r="B1043" s="182"/>
      <c r="E1043" s="261"/>
      <c r="G1043" s="182"/>
      <c r="J1043" s="67"/>
      <c r="K1043" s="67"/>
      <c r="R1043" s="67"/>
    </row>
    <row r="1044">
      <c r="B1044" s="182"/>
      <c r="E1044" s="261"/>
      <c r="G1044" s="182"/>
      <c r="J1044" s="67"/>
      <c r="K1044" s="67"/>
      <c r="R1044" s="67"/>
    </row>
    <row r="1045">
      <c r="B1045" s="182"/>
      <c r="E1045" s="261"/>
      <c r="G1045" s="182"/>
      <c r="J1045" s="67"/>
      <c r="K1045" s="67"/>
      <c r="R1045" s="67"/>
    </row>
    <row r="1046">
      <c r="B1046" s="182"/>
      <c r="E1046" s="261"/>
      <c r="G1046" s="182"/>
      <c r="J1046" s="67"/>
      <c r="K1046" s="67"/>
      <c r="R1046" s="67"/>
    </row>
    <row r="1047">
      <c r="B1047" s="182"/>
      <c r="E1047" s="261"/>
      <c r="G1047" s="182"/>
      <c r="J1047" s="67"/>
      <c r="K1047" s="67"/>
      <c r="R1047" s="67"/>
    </row>
    <row r="1048">
      <c r="B1048" s="182"/>
      <c r="E1048" s="261"/>
      <c r="G1048" s="182"/>
      <c r="J1048" s="67"/>
      <c r="K1048" s="67"/>
      <c r="R1048" s="67"/>
    </row>
    <row r="1049">
      <c r="B1049" s="182"/>
      <c r="E1049" s="261"/>
      <c r="G1049" s="182"/>
      <c r="J1049" s="67"/>
      <c r="K1049" s="67"/>
      <c r="R1049" s="67"/>
    </row>
    <row r="1050">
      <c r="B1050" s="182"/>
      <c r="E1050" s="261"/>
      <c r="G1050" s="182"/>
      <c r="J1050" s="67"/>
      <c r="K1050" s="67"/>
      <c r="R1050" s="67"/>
    </row>
    <row r="1051">
      <c r="B1051" s="182"/>
      <c r="E1051" s="261"/>
      <c r="G1051" s="182"/>
      <c r="J1051" s="67"/>
      <c r="K1051" s="67"/>
      <c r="R1051" s="67"/>
    </row>
    <row r="1052">
      <c r="B1052" s="182"/>
      <c r="E1052" s="261"/>
      <c r="G1052" s="182"/>
      <c r="J1052" s="67"/>
      <c r="K1052" s="67"/>
      <c r="R1052" s="67"/>
    </row>
    <row r="1053">
      <c r="B1053" s="182"/>
      <c r="E1053" s="261"/>
      <c r="G1053" s="182"/>
      <c r="J1053" s="67"/>
      <c r="K1053" s="67"/>
      <c r="R1053" s="67"/>
    </row>
    <row r="1054">
      <c r="B1054" s="182"/>
      <c r="E1054" s="261"/>
      <c r="G1054" s="182"/>
      <c r="J1054" s="67"/>
      <c r="K1054" s="67"/>
      <c r="R1054" s="67"/>
    </row>
    <row r="1055">
      <c r="B1055" s="182"/>
      <c r="E1055" s="261"/>
      <c r="G1055" s="182"/>
      <c r="J1055" s="67"/>
      <c r="K1055" s="67"/>
      <c r="R1055" s="67"/>
    </row>
    <row r="1056">
      <c r="B1056" s="182"/>
      <c r="E1056" s="261"/>
      <c r="G1056" s="182"/>
      <c r="J1056" s="67"/>
      <c r="K1056" s="67"/>
      <c r="R1056" s="67"/>
    </row>
    <row r="1057">
      <c r="B1057" s="182"/>
      <c r="E1057" s="261"/>
      <c r="G1057" s="182"/>
      <c r="J1057" s="67"/>
      <c r="K1057" s="67"/>
      <c r="R1057" s="67"/>
    </row>
    <row r="1058">
      <c r="B1058" s="182"/>
      <c r="E1058" s="261"/>
      <c r="G1058" s="182"/>
      <c r="J1058" s="67"/>
      <c r="K1058" s="67"/>
      <c r="R1058" s="67"/>
    </row>
    <row r="1059">
      <c r="B1059" s="182"/>
      <c r="E1059" s="261"/>
      <c r="G1059" s="182"/>
      <c r="J1059" s="67"/>
      <c r="K1059" s="67"/>
      <c r="R1059" s="67"/>
    </row>
    <row r="1060">
      <c r="B1060" s="182"/>
      <c r="E1060" s="261"/>
      <c r="G1060" s="182"/>
      <c r="J1060" s="67"/>
      <c r="K1060" s="67"/>
      <c r="R1060" s="67"/>
    </row>
    <row r="1061">
      <c r="B1061" s="182"/>
      <c r="E1061" s="261"/>
      <c r="G1061" s="182"/>
      <c r="J1061" s="67"/>
      <c r="K1061" s="67"/>
      <c r="R1061" s="67"/>
    </row>
    <row r="1062">
      <c r="B1062" s="182"/>
      <c r="E1062" s="261"/>
      <c r="G1062" s="182"/>
      <c r="J1062" s="67"/>
      <c r="K1062" s="67"/>
      <c r="R1062" s="67"/>
    </row>
    <row r="1063">
      <c r="B1063" s="182"/>
      <c r="E1063" s="261"/>
      <c r="G1063" s="182"/>
      <c r="J1063" s="67"/>
      <c r="K1063" s="67"/>
      <c r="R1063" s="67"/>
    </row>
    <row r="1064">
      <c r="B1064" s="182"/>
      <c r="E1064" s="261"/>
      <c r="G1064" s="182"/>
      <c r="J1064" s="67"/>
      <c r="K1064" s="67"/>
      <c r="R1064" s="67"/>
    </row>
    <row r="1065">
      <c r="B1065" s="182"/>
      <c r="E1065" s="261"/>
      <c r="G1065" s="182"/>
      <c r="J1065" s="67"/>
      <c r="K1065" s="67"/>
      <c r="R1065" s="67"/>
    </row>
    <row r="1066">
      <c r="B1066" s="182"/>
      <c r="E1066" s="261"/>
      <c r="G1066" s="182"/>
      <c r="J1066" s="67"/>
      <c r="K1066" s="67"/>
      <c r="R1066" s="67"/>
    </row>
    <row r="1067">
      <c r="B1067" s="182"/>
      <c r="E1067" s="261"/>
      <c r="G1067" s="182"/>
      <c r="J1067" s="67"/>
      <c r="K1067" s="67"/>
      <c r="R1067" s="67"/>
    </row>
    <row r="1068">
      <c r="B1068" s="182"/>
      <c r="E1068" s="261"/>
      <c r="G1068" s="182"/>
      <c r="J1068" s="67"/>
      <c r="K1068" s="67"/>
      <c r="R1068" s="67"/>
    </row>
    <row r="1069">
      <c r="B1069" s="182"/>
      <c r="E1069" s="261"/>
      <c r="G1069" s="182"/>
      <c r="J1069" s="67"/>
      <c r="K1069" s="67"/>
      <c r="R1069" s="67"/>
    </row>
    <row r="1070">
      <c r="B1070" s="182"/>
      <c r="E1070" s="261"/>
      <c r="G1070" s="182"/>
      <c r="J1070" s="67"/>
      <c r="K1070" s="67"/>
      <c r="R1070" s="67"/>
    </row>
    <row r="1071">
      <c r="B1071" s="182"/>
      <c r="E1071" s="261"/>
      <c r="G1071" s="182"/>
      <c r="J1071" s="67"/>
      <c r="K1071" s="67"/>
      <c r="R1071" s="67"/>
    </row>
    <row r="1072">
      <c r="B1072" s="182"/>
      <c r="E1072" s="261"/>
      <c r="G1072" s="182"/>
      <c r="J1072" s="67"/>
      <c r="K1072" s="67"/>
      <c r="R1072" s="67"/>
    </row>
    <row r="1073">
      <c r="B1073" s="182"/>
      <c r="E1073" s="261"/>
      <c r="G1073" s="182"/>
      <c r="J1073" s="67"/>
      <c r="K1073" s="67"/>
      <c r="R1073" s="67"/>
    </row>
    <row r="1074">
      <c r="B1074" s="182"/>
      <c r="E1074" s="261"/>
      <c r="G1074" s="182"/>
      <c r="J1074" s="67"/>
      <c r="K1074" s="67"/>
      <c r="R1074" s="67"/>
    </row>
    <row r="1075">
      <c r="B1075" s="182"/>
      <c r="E1075" s="261"/>
      <c r="G1075" s="182"/>
      <c r="J1075" s="67"/>
      <c r="K1075" s="67"/>
      <c r="R1075" s="67"/>
    </row>
    <row r="1076">
      <c r="B1076" s="182"/>
      <c r="E1076" s="261"/>
      <c r="G1076" s="182"/>
      <c r="J1076" s="67"/>
      <c r="K1076" s="67"/>
      <c r="R1076" s="67"/>
    </row>
    <row r="1077">
      <c r="B1077" s="182"/>
      <c r="E1077" s="261"/>
      <c r="G1077" s="182"/>
      <c r="J1077" s="67"/>
      <c r="K1077" s="67"/>
      <c r="R1077" s="67"/>
    </row>
    <row r="1078">
      <c r="B1078" s="182"/>
      <c r="E1078" s="261"/>
      <c r="G1078" s="182"/>
      <c r="J1078" s="67"/>
      <c r="K1078" s="67"/>
      <c r="R1078" s="67"/>
    </row>
    <row r="1079">
      <c r="B1079" s="182"/>
      <c r="E1079" s="261"/>
      <c r="G1079" s="182"/>
      <c r="J1079" s="67"/>
      <c r="K1079" s="67"/>
      <c r="R1079" s="67"/>
    </row>
    <row r="1080">
      <c r="B1080" s="182"/>
      <c r="E1080" s="261"/>
      <c r="G1080" s="182"/>
      <c r="J1080" s="67"/>
      <c r="K1080" s="67"/>
      <c r="R1080" s="67"/>
    </row>
    <row r="1081">
      <c r="B1081" s="182"/>
      <c r="E1081" s="261"/>
      <c r="G1081" s="182"/>
      <c r="J1081" s="67"/>
      <c r="K1081" s="67"/>
      <c r="R1081" s="67"/>
    </row>
    <row r="1082">
      <c r="B1082" s="182"/>
      <c r="E1082" s="261"/>
      <c r="G1082" s="182"/>
      <c r="J1082" s="67"/>
      <c r="K1082" s="67"/>
      <c r="R1082" s="67"/>
    </row>
    <row r="1083">
      <c r="B1083" s="182"/>
      <c r="E1083" s="261"/>
      <c r="G1083" s="182"/>
      <c r="J1083" s="67"/>
      <c r="K1083" s="67"/>
      <c r="R1083" s="67"/>
    </row>
    <row r="1084">
      <c r="B1084" s="182"/>
      <c r="E1084" s="261"/>
      <c r="G1084" s="182"/>
      <c r="J1084" s="67"/>
      <c r="K1084" s="67"/>
      <c r="R1084" s="67"/>
    </row>
    <row r="1085">
      <c r="B1085" s="182"/>
      <c r="E1085" s="261"/>
      <c r="G1085" s="182"/>
      <c r="J1085" s="67"/>
      <c r="K1085" s="67"/>
      <c r="R1085" s="67"/>
    </row>
    <row r="1086">
      <c r="B1086" s="182"/>
      <c r="E1086" s="261"/>
      <c r="G1086" s="182"/>
      <c r="J1086" s="67"/>
      <c r="K1086" s="67"/>
      <c r="R1086" s="67"/>
    </row>
    <row r="1087">
      <c r="B1087" s="182"/>
      <c r="E1087" s="261"/>
      <c r="G1087" s="182"/>
      <c r="J1087" s="67"/>
      <c r="K1087" s="67"/>
      <c r="R1087" s="67"/>
    </row>
    <row r="1088">
      <c r="B1088" s="182"/>
      <c r="E1088" s="261"/>
      <c r="G1088" s="182"/>
      <c r="J1088" s="67"/>
      <c r="K1088" s="67"/>
      <c r="R1088" s="67"/>
    </row>
    <row r="1089">
      <c r="B1089" s="182"/>
      <c r="E1089" s="261"/>
      <c r="G1089" s="182"/>
      <c r="J1089" s="67"/>
      <c r="K1089" s="67"/>
      <c r="R1089" s="67"/>
    </row>
    <row r="1090">
      <c r="B1090" s="182"/>
      <c r="E1090" s="261"/>
      <c r="G1090" s="182"/>
      <c r="J1090" s="67"/>
      <c r="K1090" s="67"/>
      <c r="R1090" s="67"/>
    </row>
    <row r="1091">
      <c r="B1091" s="182"/>
      <c r="E1091" s="261"/>
      <c r="G1091" s="182"/>
      <c r="J1091" s="67"/>
      <c r="K1091" s="67"/>
      <c r="R1091" s="67"/>
    </row>
    <row r="1092">
      <c r="B1092" s="182"/>
      <c r="E1092" s="261"/>
      <c r="G1092" s="182"/>
      <c r="J1092" s="67"/>
      <c r="K1092" s="67"/>
      <c r="R1092" s="67"/>
    </row>
    <row r="1093">
      <c r="B1093" s="182"/>
      <c r="E1093" s="261"/>
      <c r="G1093" s="182"/>
      <c r="J1093" s="67"/>
      <c r="K1093" s="67"/>
      <c r="R1093" s="67"/>
    </row>
    <row r="1094">
      <c r="B1094" s="182"/>
      <c r="E1094" s="261"/>
      <c r="G1094" s="182"/>
      <c r="J1094" s="67"/>
      <c r="K1094" s="67"/>
      <c r="R1094" s="67"/>
    </row>
    <row r="1095">
      <c r="B1095" s="182"/>
      <c r="E1095" s="261"/>
      <c r="G1095" s="182"/>
      <c r="J1095" s="67"/>
      <c r="K1095" s="67"/>
      <c r="R1095" s="67"/>
    </row>
    <row r="1096">
      <c r="B1096" s="182"/>
      <c r="E1096" s="261"/>
      <c r="G1096" s="182"/>
      <c r="J1096" s="67"/>
      <c r="K1096" s="67"/>
      <c r="R1096" s="67"/>
    </row>
    <row r="1097">
      <c r="B1097" s="182"/>
      <c r="E1097" s="261"/>
      <c r="G1097" s="182"/>
      <c r="J1097" s="67"/>
      <c r="K1097" s="67"/>
      <c r="R1097" s="67"/>
    </row>
    <row r="1098">
      <c r="B1098" s="182"/>
      <c r="E1098" s="261"/>
      <c r="G1098" s="182"/>
      <c r="J1098" s="67"/>
      <c r="K1098" s="67"/>
      <c r="R1098" s="67"/>
    </row>
    <row r="1099">
      <c r="B1099" s="182"/>
      <c r="E1099" s="261"/>
      <c r="G1099" s="182"/>
      <c r="J1099" s="67"/>
      <c r="K1099" s="67"/>
      <c r="R1099" s="67"/>
    </row>
    <row r="1100">
      <c r="B1100" s="182"/>
      <c r="E1100" s="261"/>
      <c r="G1100" s="182"/>
      <c r="J1100" s="67"/>
      <c r="K1100" s="67"/>
      <c r="R1100" s="67"/>
    </row>
    <row r="1101">
      <c r="B1101" s="182"/>
      <c r="E1101" s="261"/>
      <c r="G1101" s="182"/>
      <c r="J1101" s="67"/>
      <c r="K1101" s="67"/>
      <c r="R1101" s="67"/>
    </row>
    <row r="1102">
      <c r="B1102" s="182"/>
      <c r="E1102" s="261"/>
      <c r="G1102" s="182"/>
      <c r="J1102" s="67"/>
      <c r="K1102" s="67"/>
      <c r="R1102" s="67"/>
    </row>
    <row r="1103">
      <c r="B1103" s="182"/>
      <c r="E1103" s="261"/>
      <c r="G1103" s="182"/>
      <c r="J1103" s="67"/>
      <c r="K1103" s="67"/>
      <c r="R1103" s="67"/>
    </row>
    <row r="1104">
      <c r="B1104" s="182"/>
      <c r="E1104" s="261"/>
      <c r="G1104" s="182"/>
      <c r="J1104" s="67"/>
      <c r="K1104" s="67"/>
      <c r="R1104" s="67"/>
    </row>
    <row r="1105">
      <c r="B1105" s="182"/>
      <c r="E1105" s="261"/>
      <c r="G1105" s="182"/>
      <c r="J1105" s="67"/>
      <c r="K1105" s="67"/>
      <c r="R1105" s="67"/>
    </row>
    <row r="1106">
      <c r="B1106" s="182"/>
      <c r="E1106" s="261"/>
      <c r="G1106" s="182"/>
      <c r="J1106" s="67"/>
      <c r="K1106" s="67"/>
      <c r="R1106" s="67"/>
    </row>
    <row r="1107">
      <c r="B1107" s="182"/>
      <c r="E1107" s="261"/>
      <c r="G1107" s="182"/>
      <c r="J1107" s="67"/>
      <c r="K1107" s="67"/>
      <c r="R1107" s="67"/>
    </row>
    <row r="1108">
      <c r="B1108" s="182"/>
      <c r="E1108" s="261"/>
      <c r="G1108" s="182"/>
      <c r="J1108" s="67"/>
      <c r="K1108" s="67"/>
      <c r="R1108" s="67"/>
    </row>
    <row r="1109">
      <c r="B1109" s="182"/>
      <c r="E1109" s="261"/>
      <c r="G1109" s="182"/>
      <c r="J1109" s="67"/>
      <c r="K1109" s="67"/>
      <c r="R1109" s="67"/>
    </row>
    <row r="1110">
      <c r="B1110" s="182"/>
      <c r="E1110" s="261"/>
      <c r="G1110" s="182"/>
      <c r="J1110" s="67"/>
      <c r="K1110" s="67"/>
      <c r="R1110" s="67"/>
    </row>
    <row r="1111">
      <c r="B1111" s="182"/>
      <c r="E1111" s="261"/>
      <c r="G1111" s="182"/>
      <c r="J1111" s="67"/>
      <c r="K1111" s="67"/>
      <c r="R1111" s="67"/>
    </row>
    <row r="1112">
      <c r="B1112" s="182"/>
      <c r="E1112" s="261"/>
      <c r="G1112" s="182"/>
      <c r="J1112" s="67"/>
      <c r="K1112" s="67"/>
      <c r="R1112" s="67"/>
    </row>
    <row r="1113">
      <c r="B1113" s="182"/>
      <c r="E1113" s="261"/>
      <c r="G1113" s="182"/>
      <c r="J1113" s="67"/>
      <c r="K1113" s="67"/>
      <c r="R1113" s="67"/>
    </row>
    <row r="1114">
      <c r="B1114" s="182"/>
      <c r="E1114" s="261"/>
      <c r="G1114" s="182"/>
      <c r="J1114" s="67"/>
      <c r="K1114" s="67"/>
      <c r="R1114" s="67"/>
    </row>
    <row r="1115">
      <c r="B1115" s="182"/>
      <c r="E1115" s="261"/>
      <c r="G1115" s="182"/>
      <c r="J1115" s="67"/>
      <c r="K1115" s="67"/>
      <c r="R1115" s="67"/>
    </row>
    <row r="1116">
      <c r="B1116" s="182"/>
      <c r="E1116" s="261"/>
      <c r="G1116" s="182"/>
      <c r="J1116" s="67"/>
      <c r="K1116" s="67"/>
      <c r="R1116" s="67"/>
    </row>
    <row r="1117">
      <c r="B1117" s="182"/>
      <c r="E1117" s="261"/>
      <c r="G1117" s="182"/>
      <c r="J1117" s="67"/>
      <c r="K1117" s="67"/>
      <c r="R1117" s="67"/>
    </row>
    <row r="1118">
      <c r="B1118" s="182"/>
      <c r="E1118" s="261"/>
      <c r="G1118" s="182"/>
      <c r="J1118" s="67"/>
      <c r="K1118" s="67"/>
      <c r="R1118" s="67"/>
    </row>
    <row r="1119">
      <c r="B1119" s="182"/>
      <c r="E1119" s="261"/>
      <c r="G1119" s="182"/>
      <c r="J1119" s="67"/>
      <c r="K1119" s="67"/>
      <c r="R1119" s="67"/>
    </row>
    <row r="1120">
      <c r="B1120" s="182"/>
      <c r="E1120" s="261"/>
      <c r="G1120" s="182"/>
      <c r="J1120" s="67"/>
      <c r="K1120" s="67"/>
      <c r="R1120" s="67"/>
    </row>
    <row r="1121">
      <c r="B1121" s="182"/>
      <c r="E1121" s="261"/>
      <c r="G1121" s="182"/>
      <c r="J1121" s="67"/>
      <c r="K1121" s="67"/>
      <c r="R1121" s="67"/>
    </row>
    <row r="1122">
      <c r="B1122" s="182"/>
      <c r="E1122" s="261"/>
      <c r="G1122" s="182"/>
      <c r="J1122" s="67"/>
      <c r="K1122" s="67"/>
      <c r="R1122" s="67"/>
    </row>
    <row r="1123">
      <c r="B1123" s="182"/>
      <c r="E1123" s="261"/>
      <c r="G1123" s="182"/>
      <c r="J1123" s="67"/>
      <c r="K1123" s="67"/>
      <c r="R1123" s="67"/>
    </row>
    <row r="1124">
      <c r="B1124" s="182"/>
      <c r="E1124" s="261"/>
      <c r="G1124" s="182"/>
      <c r="J1124" s="67"/>
      <c r="K1124" s="67"/>
      <c r="R1124" s="67"/>
    </row>
    <row r="1125">
      <c r="B1125" s="182"/>
      <c r="E1125" s="261"/>
      <c r="G1125" s="182"/>
      <c r="J1125" s="67"/>
      <c r="K1125" s="67"/>
      <c r="R1125" s="67"/>
    </row>
    <row r="1126">
      <c r="B1126" s="182"/>
      <c r="E1126" s="261"/>
      <c r="G1126" s="182"/>
      <c r="J1126" s="67"/>
      <c r="K1126" s="67"/>
      <c r="R1126" s="67"/>
    </row>
    <row r="1127">
      <c r="B1127" s="182"/>
      <c r="E1127" s="261"/>
      <c r="G1127" s="182"/>
      <c r="J1127" s="67"/>
      <c r="K1127" s="67"/>
      <c r="R1127" s="67"/>
    </row>
    <row r="1128">
      <c r="B1128" s="182"/>
      <c r="E1128" s="261"/>
      <c r="G1128" s="182"/>
      <c r="J1128" s="67"/>
      <c r="K1128" s="67"/>
      <c r="R1128" s="67"/>
    </row>
    <row r="1129">
      <c r="B1129" s="182"/>
      <c r="E1129" s="261"/>
      <c r="G1129" s="182"/>
      <c r="J1129" s="67"/>
      <c r="K1129" s="67"/>
      <c r="R1129" s="67"/>
    </row>
    <row r="1130">
      <c r="B1130" s="182"/>
      <c r="E1130" s="261"/>
      <c r="G1130" s="182"/>
      <c r="J1130" s="67"/>
      <c r="K1130" s="67"/>
      <c r="R1130" s="67"/>
    </row>
    <row r="1131">
      <c r="B1131" s="182"/>
      <c r="E1131" s="261"/>
      <c r="G1131" s="182"/>
      <c r="J1131" s="67"/>
      <c r="K1131" s="67"/>
      <c r="R1131" s="67"/>
    </row>
  </sheetData>
  <mergeCells count="57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A235:K235"/>
    <mergeCell ref="A236:K236"/>
    <mergeCell ref="N238:R238"/>
    <mergeCell ref="N239:R239"/>
    <mergeCell ref="N260:R260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 I238:I249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 hidden="1">
      <c r="A2" s="511" t="s">
        <v>3001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 hidden="1">
      <c r="A3" s="25"/>
      <c r="B3" s="26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 hidden="1">
      <c r="A4" s="12" t="s">
        <v>10</v>
      </c>
      <c r="B4" s="227" t="s">
        <v>2082</v>
      </c>
      <c r="C4" s="74" t="str">
        <f t="shared" ref="C4:C15" si="1">PROPER(TEXT(DATE(MID($A$2,7,4),MID($A$2,4,2),LEFT($A$2,2)),"dddd"))</f>
        <v>Terça-Feira</v>
      </c>
      <c r="D4" s="512" t="str">
        <f>IF(C4&lt;&gt;"Quarta-Feira","13:00","08:00")</f>
        <v>13:00</v>
      </c>
      <c r="E4" s="246"/>
      <c r="F4" s="210"/>
      <c r="G4" s="59"/>
      <c r="H4" s="211"/>
      <c r="I4" s="41"/>
      <c r="J4" s="102"/>
      <c r="K4" s="102"/>
      <c r="N4" s="268" t="s">
        <v>387</v>
      </c>
      <c r="O4" s="100"/>
      <c r="P4" s="100"/>
      <c r="Q4" s="100"/>
      <c r="R4" s="67"/>
    </row>
    <row r="5" hidden="1">
      <c r="A5" s="12" t="s">
        <v>11</v>
      </c>
      <c r="B5" s="227" t="s">
        <v>2084</v>
      </c>
      <c r="C5" s="74" t="str">
        <f t="shared" si="1"/>
        <v>Terça-Feira</v>
      </c>
      <c r="D5" s="512" t="str">
        <f>IF(C5&lt;&gt;"Quarta-Feira","13:20","08:20")</f>
        <v>13:20</v>
      </c>
      <c r="E5" s="287"/>
      <c r="F5" s="301"/>
      <c r="G5" s="131"/>
      <c r="H5" s="166"/>
      <c r="I5" s="41"/>
      <c r="J5" s="42"/>
      <c r="K5" s="42"/>
      <c r="N5" s="270" t="s">
        <v>2086</v>
      </c>
      <c r="O5" s="2"/>
      <c r="P5" s="2"/>
      <c r="Q5" s="2"/>
      <c r="R5" s="67"/>
    </row>
    <row r="6" ht="20.25" hidden="1" customHeight="1">
      <c r="A6" s="12" t="s">
        <v>12</v>
      </c>
      <c r="B6" s="227" t="s">
        <v>2087</v>
      </c>
      <c r="C6" s="74" t="str">
        <f t="shared" si="1"/>
        <v>Terça-Feira</v>
      </c>
      <c r="D6" s="512" t="str">
        <f>IF(C6&lt;&gt;"Quarta-Feira","13:40","08:40")</f>
        <v>13:40</v>
      </c>
      <c r="E6" s="287"/>
      <c r="F6" s="301"/>
      <c r="G6" s="131"/>
      <c r="H6" s="166"/>
      <c r="I6" s="41"/>
      <c r="J6" s="42"/>
      <c r="K6" s="102"/>
      <c r="N6" s="271" t="s">
        <v>41</v>
      </c>
      <c r="O6" s="272" t="s">
        <v>195</v>
      </c>
      <c r="P6" s="272" t="s">
        <v>181</v>
      </c>
      <c r="Q6" s="273" t="s">
        <v>2088</v>
      </c>
      <c r="R6" s="67"/>
    </row>
    <row r="7" hidden="1">
      <c r="A7" s="12" t="s">
        <v>13</v>
      </c>
      <c r="B7" s="227" t="s">
        <v>2089</v>
      </c>
      <c r="C7" s="74" t="str">
        <f t="shared" si="1"/>
        <v>Terça-Feira</v>
      </c>
      <c r="D7" s="512" t="str">
        <f>IF(C7&lt;&gt;"Quarta-Feira","14:00","09:00")</f>
        <v>14:00</v>
      </c>
      <c r="E7" s="241"/>
      <c r="F7" s="84"/>
      <c r="G7" s="79"/>
      <c r="H7" s="83"/>
      <c r="I7" s="41"/>
      <c r="J7" s="305"/>
      <c r="K7" s="305"/>
      <c r="N7" s="275">
        <f t="shared" ref="N7:P7" si="2">COUNTIFS($I$4:$I$15,N6)</f>
        <v>0</v>
      </c>
      <c r="O7" s="275">
        <f t="shared" si="2"/>
        <v>0</v>
      </c>
      <c r="P7" s="275">
        <f t="shared" si="2"/>
        <v>0</v>
      </c>
      <c r="Q7" s="275">
        <f>COUNTIF(I4:I15,Q6)</f>
        <v>0</v>
      </c>
      <c r="R7" s="67"/>
    </row>
    <row r="8" hidden="1">
      <c r="A8" s="12" t="s">
        <v>14</v>
      </c>
      <c r="B8" s="227" t="s">
        <v>2082</v>
      </c>
      <c r="C8" s="74" t="str">
        <f t="shared" si="1"/>
        <v>Terça-Feira</v>
      </c>
      <c r="D8" s="512" t="str">
        <f>IF(C8&lt;&gt;"Quarta-Feira","14:20","09:20")</f>
        <v>14:20</v>
      </c>
      <c r="E8" s="306"/>
      <c r="F8" s="526"/>
      <c r="G8" s="307"/>
      <c r="H8" s="308"/>
      <c r="I8" s="41"/>
      <c r="J8" s="138"/>
      <c r="K8" s="138"/>
      <c r="R8" s="67"/>
    </row>
    <row r="9" hidden="1">
      <c r="A9" s="12" t="s">
        <v>15</v>
      </c>
      <c r="B9" s="227" t="s">
        <v>2089</v>
      </c>
      <c r="C9" s="74" t="str">
        <f t="shared" si="1"/>
        <v>Terça-Feira</v>
      </c>
      <c r="D9" s="512" t="str">
        <f>IF(C9&lt;&gt;"Quarta-Feira","14:40","09:40")</f>
        <v>14:40</v>
      </c>
      <c r="E9" s="242"/>
      <c r="F9" s="185"/>
      <c r="G9" s="203"/>
      <c r="H9" s="77"/>
      <c r="I9" s="41"/>
      <c r="J9" s="42"/>
      <c r="K9" s="42"/>
      <c r="R9" s="67"/>
    </row>
    <row r="10" hidden="1">
      <c r="A10" s="12" t="s">
        <v>16</v>
      </c>
      <c r="B10" s="227" t="s">
        <v>2093</v>
      </c>
      <c r="C10" s="74" t="str">
        <f t="shared" si="1"/>
        <v>Terça-Feira</v>
      </c>
      <c r="D10" s="512" t="str">
        <f>IF(C10&lt;&gt;"Quarta-Feira","15:00","10:00")</f>
        <v>15:00</v>
      </c>
      <c r="E10" s="241"/>
      <c r="F10" s="84"/>
      <c r="G10" s="79"/>
      <c r="H10" s="83"/>
      <c r="I10" s="41"/>
      <c r="J10" s="305"/>
      <c r="K10" s="305"/>
      <c r="R10" s="67"/>
    </row>
    <row r="11" hidden="1">
      <c r="A11" s="12" t="s">
        <v>17</v>
      </c>
      <c r="B11" s="227" t="s">
        <v>2094</v>
      </c>
      <c r="C11" s="74" t="str">
        <f t="shared" si="1"/>
        <v>Terça-Feira</v>
      </c>
      <c r="D11" s="512" t="str">
        <f>IF(C11&lt;&gt;"Quarta-Feira","15:20","10:20")</f>
        <v>15:20</v>
      </c>
      <c r="E11" s="322"/>
      <c r="F11" s="423"/>
      <c r="G11" s="79"/>
      <c r="H11" s="529"/>
      <c r="I11" s="41"/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 hidden="1">
      <c r="A12" s="12" t="s">
        <v>85</v>
      </c>
      <c r="B12" s="227" t="s">
        <v>2095</v>
      </c>
      <c r="C12" s="74" t="str">
        <f t="shared" si="1"/>
        <v>Terça-Feira</v>
      </c>
      <c r="D12" s="512" t="str">
        <f>IF(C12&lt;&gt;"Quarta-Feira","15:40","10:40")</f>
        <v>15:40</v>
      </c>
      <c r="E12" s="278"/>
      <c r="F12" s="156"/>
      <c r="G12" s="79"/>
      <c r="H12" s="91"/>
      <c r="I12" s="41"/>
      <c r="J12" s="42"/>
      <c r="K12" s="42"/>
      <c r="R12" s="67"/>
    </row>
    <row r="13" hidden="1">
      <c r="A13" s="12" t="s">
        <v>87</v>
      </c>
      <c r="B13" s="227" t="s">
        <v>2096</v>
      </c>
      <c r="C13" s="74" t="str">
        <f t="shared" si="1"/>
        <v>Terça-Feira</v>
      </c>
      <c r="D13" s="512" t="str">
        <f>IF(C13&lt;&gt;"Quarta-Feira","16:00","11:00")</f>
        <v>16:00</v>
      </c>
      <c r="E13" s="245"/>
      <c r="F13" s="156"/>
      <c r="G13" s="79"/>
      <c r="H13" s="91"/>
      <c r="I13" s="41"/>
      <c r="J13" s="42"/>
      <c r="K13" s="42"/>
      <c r="R13" s="67"/>
    </row>
    <row r="14" hidden="1">
      <c r="A14" s="12" t="s">
        <v>90</v>
      </c>
      <c r="B14" s="227" t="s">
        <v>2098</v>
      </c>
      <c r="C14" s="74" t="str">
        <f t="shared" si="1"/>
        <v>Terça-Feira</v>
      </c>
      <c r="D14" s="512" t="str">
        <f>IF(C14&lt;&gt;"Quarta-Feira","16:20","11:20")</f>
        <v>16:20</v>
      </c>
      <c r="E14" s="295"/>
      <c r="F14" s="133"/>
      <c r="G14" s="79"/>
      <c r="H14" s="166"/>
      <c r="I14" s="41"/>
      <c r="J14" s="42"/>
      <c r="K14" s="42"/>
      <c r="R14" s="67"/>
    </row>
    <row r="15" hidden="1">
      <c r="A15" s="12" t="s">
        <v>93</v>
      </c>
      <c r="B15" s="227" t="s">
        <v>2096</v>
      </c>
      <c r="C15" s="74" t="str">
        <f t="shared" si="1"/>
        <v>Terça-Feira</v>
      </c>
      <c r="D15" s="512" t="str">
        <f>IF(C15&lt;&gt;"Quarta-Feira","16:40","11:40")</f>
        <v>16:40</v>
      </c>
      <c r="E15" s="295"/>
      <c r="F15" s="133"/>
      <c r="G15" s="79"/>
      <c r="H15" s="166"/>
      <c r="I15" s="41"/>
      <c r="J15" s="42"/>
      <c r="K15" s="42"/>
      <c r="R15" s="67"/>
    </row>
    <row r="16" hidden="1">
      <c r="E16" s="261"/>
      <c r="J16" s="67"/>
      <c r="K16" s="67"/>
      <c r="R16" s="67"/>
    </row>
    <row r="17" hidden="1">
      <c r="E17" s="261"/>
      <c r="J17" s="67"/>
      <c r="K17" s="67"/>
      <c r="R17" s="67"/>
    </row>
    <row r="18" ht="15.0" hidden="1" customHeight="1">
      <c r="E18" s="261"/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tr">
        <f>TEXT(DATE(VALUE(MID(A2,7,4)),VALUE(MID(A2,4,2)),VALUE(LEFT(A2,2)))+2,"dd/mm/yyyy")&amp;" 13h às 17h"</f>
        <v>02/04/2026 13h às 17h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1790</v>
      </c>
      <c r="C22" s="74" t="str">
        <f t="shared" ref="C22:C33" si="3">PROPER(TEXT(DATE(MID($A$20,7,4),MID($A$20,4,2),LEFT($A$20,2)),"dddd"))</f>
        <v>Quinta-Feira</v>
      </c>
      <c r="D22" s="512" t="str">
        <f>IF(C22&lt;&gt;"Quarta-Feira","13:00","08:00")</f>
        <v>13:00</v>
      </c>
      <c r="E22" s="246" t="s">
        <v>3002</v>
      </c>
      <c r="F22" s="133">
        <v>8.01440409857187E14</v>
      </c>
      <c r="G22" s="79" t="s">
        <v>3003</v>
      </c>
      <c r="H22" s="166">
        <v>9980.0</v>
      </c>
      <c r="I22" s="41" t="s">
        <v>41</v>
      </c>
      <c r="J22" s="133"/>
      <c r="K22" s="133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1714</v>
      </c>
      <c r="C23" s="74" t="str">
        <f t="shared" si="3"/>
        <v>Quinta-Feira</v>
      </c>
      <c r="D23" s="512" t="str">
        <f>IF(C23&lt;&gt;"Quarta-Feira","13:20","08:20")</f>
        <v>13:20</v>
      </c>
      <c r="E23" s="242" t="s">
        <v>2698</v>
      </c>
      <c r="F23" s="133">
        <v>8.98001497729477E14</v>
      </c>
      <c r="G23" s="79" t="s">
        <v>2699</v>
      </c>
      <c r="H23" s="166">
        <v>20935.0</v>
      </c>
      <c r="I23" s="41" t="s">
        <v>41</v>
      </c>
      <c r="J23" s="133"/>
      <c r="K23" s="133"/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1781</v>
      </c>
      <c r="C24" s="74" t="str">
        <f t="shared" si="3"/>
        <v>Quinta-Feira</v>
      </c>
      <c r="D24" s="512" t="str">
        <f>IF(C24&lt;&gt;"Quarta-Feira","13:40","08:40")</f>
        <v>13:40</v>
      </c>
      <c r="E24" s="242" t="s">
        <v>3004</v>
      </c>
      <c r="F24" s="133">
        <v>8.98001449545965E14</v>
      </c>
      <c r="G24" s="79" t="s">
        <v>3005</v>
      </c>
      <c r="H24" s="166">
        <v>28978.0</v>
      </c>
      <c r="I24" s="41" t="s">
        <v>2567</v>
      </c>
      <c r="J24" s="133"/>
      <c r="K24" s="133"/>
      <c r="L24" s="216" t="s">
        <v>521</v>
      </c>
      <c r="N24" s="271" t="s">
        <v>41</v>
      </c>
      <c r="O24" s="272" t="s">
        <v>2567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1721</v>
      </c>
      <c r="C25" s="74" t="str">
        <f t="shared" si="3"/>
        <v>Quinta-Feira</v>
      </c>
      <c r="D25" s="512" t="str">
        <f>IF(C25&lt;&gt;"Quarta-Feira","14:00","09:00")</f>
        <v>14:00</v>
      </c>
      <c r="E25" s="241" t="s">
        <v>2702</v>
      </c>
      <c r="F25" s="133">
        <v>7.09009898001915E14</v>
      </c>
      <c r="G25" s="79" t="s">
        <v>2703</v>
      </c>
      <c r="H25" s="166">
        <v>18936.0</v>
      </c>
      <c r="I25" s="41" t="s">
        <v>41</v>
      </c>
      <c r="J25" s="133"/>
      <c r="K25" s="133"/>
      <c r="L25" s="216" t="s">
        <v>521</v>
      </c>
      <c r="N25" s="275">
        <f t="shared" ref="N25:Q25" si="4">COUNTIFS($I$22:$I$33,N24)</f>
        <v>10</v>
      </c>
      <c r="O25" s="275">
        <f t="shared" si="4"/>
        <v>1</v>
      </c>
      <c r="P25" s="275">
        <f t="shared" si="4"/>
        <v>0</v>
      </c>
      <c r="Q25" s="275">
        <f t="shared" si="4"/>
        <v>1</v>
      </c>
      <c r="R25" s="67"/>
    </row>
    <row r="26" ht="18.0" customHeight="1">
      <c r="A26" s="12" t="s">
        <v>14</v>
      </c>
      <c r="B26" s="227" t="s">
        <v>1796</v>
      </c>
      <c r="C26" s="74" t="str">
        <f t="shared" si="3"/>
        <v>Quinta-Feira</v>
      </c>
      <c r="D26" s="512" t="str">
        <f>IF(C26&lt;&gt;"Quarta-Feira","14:20","09:20")</f>
        <v>14:20</v>
      </c>
      <c r="E26" s="278" t="s">
        <v>3006</v>
      </c>
      <c r="F26" s="133">
        <v>7.08400780558762E14</v>
      </c>
      <c r="G26" s="79" t="s">
        <v>3007</v>
      </c>
      <c r="H26" s="166">
        <v>20040.0</v>
      </c>
      <c r="I26" s="41" t="s">
        <v>2088</v>
      </c>
      <c r="J26" s="133"/>
      <c r="K26" s="133"/>
      <c r="L26" s="216" t="s">
        <v>521</v>
      </c>
      <c r="R26" s="67"/>
    </row>
    <row r="27">
      <c r="A27" s="12" t="s">
        <v>15</v>
      </c>
      <c r="B27" s="227" t="s">
        <v>1790</v>
      </c>
      <c r="C27" s="74" t="str">
        <f t="shared" si="3"/>
        <v>Quinta-Feira</v>
      </c>
      <c r="D27" s="512" t="str">
        <f>IF(C27&lt;&gt;"Quarta-Feira","14:40","09:40")</f>
        <v>14:40</v>
      </c>
      <c r="E27" s="278" t="s">
        <v>3008</v>
      </c>
      <c r="F27" s="133">
        <v>7.06307768355777E14</v>
      </c>
      <c r="G27" s="79" t="s">
        <v>3009</v>
      </c>
      <c r="H27" s="166">
        <v>22982.0</v>
      </c>
      <c r="I27" s="41" t="s">
        <v>41</v>
      </c>
      <c r="J27" s="133"/>
      <c r="K27" s="133"/>
      <c r="L27" s="216" t="s">
        <v>521</v>
      </c>
      <c r="R27" s="67"/>
    </row>
    <row r="28">
      <c r="A28" s="12" t="s">
        <v>16</v>
      </c>
      <c r="B28" s="227" t="s">
        <v>2653</v>
      </c>
      <c r="C28" s="74" t="str">
        <f t="shared" si="3"/>
        <v>Quinta-Feira</v>
      </c>
      <c r="D28" s="512" t="str">
        <f>IF(C28&lt;&gt;"Quarta-Feira","15:00","10:00")</f>
        <v>15:00</v>
      </c>
      <c r="E28" s="241" t="s">
        <v>3010</v>
      </c>
      <c r="F28" s="84">
        <v>7.08100537696333E14</v>
      </c>
      <c r="G28" s="79" t="s">
        <v>3011</v>
      </c>
      <c r="H28" s="83">
        <v>25057.0</v>
      </c>
      <c r="I28" s="41" t="s">
        <v>41</v>
      </c>
      <c r="J28" s="305"/>
      <c r="K28" s="133"/>
      <c r="L28" s="216" t="s">
        <v>521</v>
      </c>
      <c r="R28" s="67"/>
    </row>
    <row r="29">
      <c r="A29" s="12" t="s">
        <v>17</v>
      </c>
      <c r="B29" s="227" t="s">
        <v>2656</v>
      </c>
      <c r="C29" s="74" t="str">
        <f t="shared" si="3"/>
        <v>Quinta-Feira</v>
      </c>
      <c r="D29" s="512" t="str">
        <f>IF(C29&lt;&gt;"Quarta-Feira","15:20","10:20")</f>
        <v>15:20</v>
      </c>
      <c r="E29" s="242" t="s">
        <v>3012</v>
      </c>
      <c r="F29" s="133">
        <v>8.98000639297716E14</v>
      </c>
      <c r="G29" s="79" t="s">
        <v>3013</v>
      </c>
      <c r="H29" s="166">
        <v>14117.0</v>
      </c>
      <c r="I29" s="41" t="s">
        <v>41</v>
      </c>
      <c r="J29" s="133"/>
      <c r="K29" s="133"/>
      <c r="L29" s="216" t="s">
        <v>521</v>
      </c>
      <c r="R29" s="67"/>
    </row>
    <row r="30">
      <c r="A30" s="12" t="s">
        <v>85</v>
      </c>
      <c r="B30" s="227" t="s">
        <v>2659</v>
      </c>
      <c r="C30" s="74" t="str">
        <f t="shared" si="3"/>
        <v>Quinta-Feira</v>
      </c>
      <c r="D30" s="512" t="str">
        <f>IF(C30&lt;&gt;"Quarta-Feira","15:40","10:40")</f>
        <v>15:40</v>
      </c>
      <c r="E30" s="295" t="s">
        <v>3014</v>
      </c>
      <c r="F30" s="133">
        <v>7.04009848771864E14</v>
      </c>
      <c r="G30" s="79" t="s">
        <v>3015</v>
      </c>
      <c r="H30" s="166">
        <v>27575.0</v>
      </c>
      <c r="I30" s="41" t="s">
        <v>41</v>
      </c>
      <c r="J30" s="133"/>
      <c r="K30" s="133"/>
      <c r="L30" s="216" t="s">
        <v>521</v>
      </c>
      <c r="R30" s="67"/>
    </row>
    <row r="31">
      <c r="A31" s="12" t="s">
        <v>87</v>
      </c>
      <c r="B31" s="227" t="s">
        <v>1735</v>
      </c>
      <c r="C31" s="74" t="str">
        <f t="shared" si="3"/>
        <v>Quinta-Feira</v>
      </c>
      <c r="D31" s="512" t="str">
        <f>IF(C31&lt;&gt;"Quarta-Feira","16:00","11:00")</f>
        <v>16:00</v>
      </c>
      <c r="E31" s="245" t="s">
        <v>2757</v>
      </c>
      <c r="F31" s="133">
        <v>7.00600454324366E14</v>
      </c>
      <c r="G31" s="79" t="s">
        <v>2758</v>
      </c>
      <c r="H31" s="166">
        <v>20512.0</v>
      </c>
      <c r="I31" s="41" t="s">
        <v>41</v>
      </c>
      <c r="J31" s="133"/>
      <c r="K31" s="133"/>
      <c r="L31" s="216" t="s">
        <v>521</v>
      </c>
      <c r="R31" s="67"/>
    </row>
    <row r="32">
      <c r="A32" s="12" t="s">
        <v>90</v>
      </c>
      <c r="B32" s="227" t="s">
        <v>2659</v>
      </c>
      <c r="C32" s="74" t="str">
        <f t="shared" si="3"/>
        <v>Quinta-Feira</v>
      </c>
      <c r="D32" s="512" t="str">
        <f>IF(C32&lt;&gt;"Quarta-Feira","16:20","11:20")</f>
        <v>16:20</v>
      </c>
      <c r="E32" s="295" t="s">
        <v>3016</v>
      </c>
      <c r="F32" s="133">
        <v>7.00801448976585E14</v>
      </c>
      <c r="G32" s="79" t="s">
        <v>2661</v>
      </c>
      <c r="H32" s="166">
        <v>25738.0</v>
      </c>
      <c r="I32" s="41" t="s">
        <v>41</v>
      </c>
      <c r="J32" s="133"/>
      <c r="K32" s="133"/>
      <c r="L32" s="216" t="s">
        <v>521</v>
      </c>
      <c r="R32" s="67"/>
    </row>
    <row r="33">
      <c r="A33" s="12" t="s">
        <v>93</v>
      </c>
      <c r="B33" s="227" t="s">
        <v>1735</v>
      </c>
      <c r="C33" s="74" t="str">
        <f t="shared" si="3"/>
        <v>Quinta-Feira</v>
      </c>
      <c r="D33" s="512" t="str">
        <f>IF(C33&lt;&gt;"Quarta-Feira","16:40","11:40")</f>
        <v>16:40</v>
      </c>
      <c r="E33" s="295" t="s">
        <v>3017</v>
      </c>
      <c r="F33" s="133">
        <v>7.08104511825539E14</v>
      </c>
      <c r="G33" s="79" t="s">
        <v>3018</v>
      </c>
      <c r="H33" s="166">
        <v>24476.0</v>
      </c>
      <c r="I33" s="41" t="s">
        <v>41</v>
      </c>
      <c r="J33" s="133"/>
      <c r="K33" s="133"/>
      <c r="R33" s="67"/>
    </row>
    <row r="34">
      <c r="E34" s="261"/>
      <c r="J34" s="67"/>
      <c r="K34" s="67"/>
      <c r="R34" s="67"/>
    </row>
    <row r="35">
      <c r="E35" s="261"/>
      <c r="J35" s="67"/>
      <c r="K35" s="67"/>
      <c r="R35" s="67"/>
    </row>
    <row r="36">
      <c r="E36" s="261"/>
      <c r="J36" s="67"/>
      <c r="K36" s="67"/>
      <c r="R36" s="67"/>
    </row>
    <row r="37">
      <c r="A37" s="23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4.75" customHeight="1">
      <c r="A38" s="24" t="str">
        <f>TEXT(DATE(VALUE(MID(A2,7,4)),VALUE(MID(A2,4,2)),VALUE(LEFT(A2,2)))+7,"dd/mm/yyyy")&amp;" 13h às 17h"</f>
        <v>07/04/2026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26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7" t="s">
        <v>2082</v>
      </c>
      <c r="C40" s="74" t="str">
        <f t="shared" ref="C40:C51" si="5">PROPER(TEXT(DATE(MID($A$38,7,4),MID($A$38,4,2),LEFT($A$38,2)),"dddd"))</f>
        <v>Terça-Feira</v>
      </c>
      <c r="D40" s="512" t="str">
        <f>IF(C40&lt;&gt;"Quarta-Feira","13:00","08:00")</f>
        <v>13:00</v>
      </c>
      <c r="E40" s="241" t="s">
        <v>3019</v>
      </c>
      <c r="F40" s="84">
        <v>7.0220916823921E14</v>
      </c>
      <c r="G40" s="79" t="s">
        <v>3020</v>
      </c>
      <c r="H40" s="77">
        <v>18710.0</v>
      </c>
      <c r="I40" s="34" t="s">
        <v>41</v>
      </c>
      <c r="J40" s="314"/>
      <c r="K40" s="314"/>
      <c r="L40" s="216" t="s">
        <v>521</v>
      </c>
      <c r="N40" s="268" t="s">
        <v>387</v>
      </c>
      <c r="O40" s="100"/>
      <c r="P40" s="100"/>
      <c r="Q40" s="100"/>
      <c r="R40" s="67"/>
    </row>
    <row r="41">
      <c r="A41" s="12" t="s">
        <v>11</v>
      </c>
      <c r="B41" s="227" t="s">
        <v>2084</v>
      </c>
      <c r="C41" s="74" t="str">
        <f t="shared" si="5"/>
        <v>Terça-Feira</v>
      </c>
      <c r="D41" s="512" t="str">
        <f>IF(C41&lt;&gt;"Quarta-Feira","13:20","08:20")</f>
        <v>13:20</v>
      </c>
      <c r="E41" s="241" t="s">
        <v>3021</v>
      </c>
      <c r="F41" s="84">
        <v>7.04503356429518E14</v>
      </c>
      <c r="G41" s="79" t="s">
        <v>3022</v>
      </c>
      <c r="H41" s="77">
        <v>25058.0</v>
      </c>
      <c r="I41" s="34" t="s">
        <v>2567</v>
      </c>
      <c r="J41" s="314"/>
      <c r="K41" s="314"/>
      <c r="N41" s="270" t="s">
        <v>2086</v>
      </c>
      <c r="O41" s="2"/>
      <c r="P41" s="2"/>
      <c r="Q41" s="2"/>
      <c r="R41" s="67"/>
    </row>
    <row r="42">
      <c r="A42" s="12" t="s">
        <v>12</v>
      </c>
      <c r="B42" s="227" t="s">
        <v>2087</v>
      </c>
      <c r="C42" s="74" t="str">
        <f t="shared" si="5"/>
        <v>Terça-Feira</v>
      </c>
      <c r="D42" s="512" t="str">
        <f>IF(C42&lt;&gt;"Quarta-Feira","13:40","08:40")</f>
        <v>13:40</v>
      </c>
      <c r="E42" s="241" t="s">
        <v>640</v>
      </c>
      <c r="F42" s="84">
        <v>7.00900905129195E14</v>
      </c>
      <c r="G42" s="79" t="s">
        <v>3023</v>
      </c>
      <c r="H42" s="77">
        <v>17151.0</v>
      </c>
      <c r="I42" s="34" t="s">
        <v>41</v>
      </c>
      <c r="J42" s="382"/>
      <c r="K42" s="382"/>
      <c r="L42" s="216" t="s">
        <v>521</v>
      </c>
      <c r="N42" s="271" t="s">
        <v>41</v>
      </c>
      <c r="O42" s="272" t="s">
        <v>2567</v>
      </c>
      <c r="P42" s="272" t="s">
        <v>181</v>
      </c>
      <c r="Q42" s="273" t="s">
        <v>2088</v>
      </c>
      <c r="R42" s="286" t="s">
        <v>439</v>
      </c>
    </row>
    <row r="43">
      <c r="A43" s="12" t="s">
        <v>13</v>
      </c>
      <c r="B43" s="227" t="s">
        <v>2089</v>
      </c>
      <c r="C43" s="74" t="str">
        <f t="shared" si="5"/>
        <v>Terça-Feira</v>
      </c>
      <c r="D43" s="512" t="str">
        <f>IF(C43&lt;&gt;"Quarta-Feira","14:00","09:00")</f>
        <v>14:00</v>
      </c>
      <c r="E43" s="241" t="s">
        <v>3024</v>
      </c>
      <c r="F43" s="84">
        <v>7.08907748565912E14</v>
      </c>
      <c r="G43" s="79" t="s">
        <v>3025</v>
      </c>
      <c r="H43" s="77">
        <v>29634.0</v>
      </c>
      <c r="I43" s="34" t="s">
        <v>41</v>
      </c>
      <c r="J43" s="314"/>
      <c r="K43" s="314"/>
      <c r="L43" s="216" t="s">
        <v>521</v>
      </c>
      <c r="N43" s="275">
        <f t="shared" ref="N43:Q43" si="6">COUNTIFS($I$40:$I$51,N42)</f>
        <v>8</v>
      </c>
      <c r="O43" s="275">
        <f t="shared" si="6"/>
        <v>2</v>
      </c>
      <c r="P43" s="275">
        <f t="shared" si="6"/>
        <v>1</v>
      </c>
      <c r="Q43" s="275">
        <f t="shared" si="6"/>
        <v>1</v>
      </c>
      <c r="R43" s="67">
        <f>COUNTIFS(I40:I51,R42)</f>
        <v>0</v>
      </c>
    </row>
    <row r="44">
      <c r="A44" s="12" t="s">
        <v>14</v>
      </c>
      <c r="B44" s="227" t="s">
        <v>2082</v>
      </c>
      <c r="C44" s="74" t="str">
        <f t="shared" si="5"/>
        <v>Terça-Feira</v>
      </c>
      <c r="D44" s="512" t="str">
        <f>IF(C44&lt;&gt;"Quarta-Feira","14:20","09:20")</f>
        <v>14:20</v>
      </c>
      <c r="E44" s="241" t="s">
        <v>3026</v>
      </c>
      <c r="F44" s="84">
        <v>8.98001445778957E14</v>
      </c>
      <c r="G44" s="160" t="s">
        <v>3027</v>
      </c>
      <c r="H44" s="77">
        <v>22059.0</v>
      </c>
      <c r="I44" s="41" t="s">
        <v>2567</v>
      </c>
      <c r="J44" s="314"/>
      <c r="K44" s="314"/>
      <c r="L44" s="216" t="s">
        <v>521</v>
      </c>
      <c r="R44" s="67"/>
    </row>
    <row r="45">
      <c r="A45" s="12" t="s">
        <v>15</v>
      </c>
      <c r="B45" s="227" t="s">
        <v>2089</v>
      </c>
      <c r="C45" s="74" t="str">
        <f t="shared" si="5"/>
        <v>Terça-Feira</v>
      </c>
      <c r="D45" s="512" t="str">
        <f>IF(C45&lt;&gt;"Quarta-Feira","14:40","09:40")</f>
        <v>14:40</v>
      </c>
      <c r="E45" s="241" t="s">
        <v>3028</v>
      </c>
      <c r="F45" s="84">
        <v>7.04201284924284E14</v>
      </c>
      <c r="G45" s="79" t="s">
        <v>3029</v>
      </c>
      <c r="H45" s="77">
        <v>26024.0</v>
      </c>
      <c r="I45" s="34" t="s">
        <v>41</v>
      </c>
      <c r="J45" s="314"/>
      <c r="K45" s="314"/>
      <c r="L45" s="216" t="s">
        <v>521</v>
      </c>
      <c r="R45" s="67"/>
    </row>
    <row r="46">
      <c r="A46" s="12" t="s">
        <v>16</v>
      </c>
      <c r="B46" s="227" t="s">
        <v>2093</v>
      </c>
      <c r="C46" s="74" t="str">
        <f t="shared" si="5"/>
        <v>Terça-Feira</v>
      </c>
      <c r="D46" s="512" t="str">
        <f>IF(C46&lt;&gt;"Quarta-Feira","15:00","10:00")</f>
        <v>15:00</v>
      </c>
      <c r="E46" s="241" t="s">
        <v>3030</v>
      </c>
      <c r="F46" s="84">
        <v>8.01440483761619E14</v>
      </c>
      <c r="G46" s="160" t="s">
        <v>3031</v>
      </c>
      <c r="H46" s="77">
        <v>25480.0</v>
      </c>
      <c r="I46" s="41" t="s">
        <v>41</v>
      </c>
      <c r="J46" s="382"/>
      <c r="K46" s="314"/>
      <c r="R46" s="67"/>
    </row>
    <row r="47">
      <c r="A47" s="12" t="s">
        <v>17</v>
      </c>
      <c r="B47" s="227" t="s">
        <v>2094</v>
      </c>
      <c r="C47" s="74" t="str">
        <f t="shared" si="5"/>
        <v>Terça-Feira</v>
      </c>
      <c r="D47" s="512" t="str">
        <f>IF(C47&lt;&gt;"Quarta-Feira","15:20","10:20")</f>
        <v>15:20</v>
      </c>
      <c r="E47" s="241" t="s">
        <v>3032</v>
      </c>
      <c r="F47" s="84">
        <v>2.10150886290006E14</v>
      </c>
      <c r="G47" s="79" t="s">
        <v>3033</v>
      </c>
      <c r="H47" s="77">
        <v>17449.0</v>
      </c>
      <c r="I47" s="41" t="s">
        <v>41</v>
      </c>
      <c r="J47" s="382"/>
      <c r="K47" s="382"/>
      <c r="R47" s="67"/>
    </row>
    <row r="48">
      <c r="A48" s="12" t="s">
        <v>85</v>
      </c>
      <c r="B48" s="227" t="s">
        <v>2095</v>
      </c>
      <c r="C48" s="74" t="str">
        <f t="shared" si="5"/>
        <v>Terça-Feira</v>
      </c>
      <c r="D48" s="512" t="str">
        <f>IF(C48&lt;&gt;"Quarta-Feira","15:40","10:40")</f>
        <v>15:40</v>
      </c>
      <c r="E48" s="241" t="s">
        <v>2771</v>
      </c>
      <c r="F48" s="84">
        <v>7.0610602326446E14</v>
      </c>
      <c r="G48" s="79" t="s">
        <v>2772</v>
      </c>
      <c r="H48" s="77">
        <v>21855.0</v>
      </c>
      <c r="I48" s="34" t="s">
        <v>41</v>
      </c>
      <c r="J48" s="314"/>
      <c r="K48" s="314"/>
      <c r="L48" s="216" t="s">
        <v>577</v>
      </c>
      <c r="R48" s="67"/>
    </row>
    <row r="49">
      <c r="A49" s="12" t="s">
        <v>87</v>
      </c>
      <c r="B49" s="227" t="s">
        <v>2096</v>
      </c>
      <c r="C49" s="74" t="str">
        <f t="shared" si="5"/>
        <v>Terça-Feira</v>
      </c>
      <c r="D49" s="512" t="str">
        <f>IF(C49&lt;&gt;"Quarta-Feira","16:00","11:00")</f>
        <v>16:00</v>
      </c>
      <c r="E49" s="241" t="s">
        <v>3034</v>
      </c>
      <c r="F49" s="84">
        <v>2.01539090260001E14</v>
      </c>
      <c r="G49" s="79" t="s">
        <v>3035</v>
      </c>
      <c r="H49" s="77">
        <v>20612.0</v>
      </c>
      <c r="I49" s="41" t="s">
        <v>2088</v>
      </c>
      <c r="J49" s="382"/>
      <c r="K49" s="314"/>
      <c r="R49" s="67"/>
    </row>
    <row r="50">
      <c r="A50" s="12" t="s">
        <v>90</v>
      </c>
      <c r="B50" s="227" t="s">
        <v>2098</v>
      </c>
      <c r="C50" s="74" t="str">
        <f t="shared" si="5"/>
        <v>Terça-Feira</v>
      </c>
      <c r="D50" s="512" t="str">
        <f>IF(C50&lt;&gt;"Quarta-Feira","16:20","11:20")</f>
        <v>16:20</v>
      </c>
      <c r="E50" s="241" t="s">
        <v>3036</v>
      </c>
      <c r="F50" s="84">
        <v>7.05402401467892E14</v>
      </c>
      <c r="G50" s="79" t="s">
        <v>3037</v>
      </c>
      <c r="H50" s="314">
        <v>22171.0</v>
      </c>
      <c r="I50" s="41" t="s">
        <v>41</v>
      </c>
      <c r="J50" s="314"/>
      <c r="K50" s="314"/>
      <c r="R50" s="67"/>
    </row>
    <row r="51">
      <c r="A51" s="12" t="s">
        <v>93</v>
      </c>
      <c r="B51" s="227" t="s">
        <v>2096</v>
      </c>
      <c r="C51" s="74" t="str">
        <f t="shared" si="5"/>
        <v>Terça-Feira</v>
      </c>
      <c r="D51" s="512" t="str">
        <f>IF(C51&lt;&gt;"Quarta-Feira","16:40","11:40")</f>
        <v>16:40</v>
      </c>
      <c r="E51" s="241"/>
      <c r="F51" s="84"/>
      <c r="G51" s="79"/>
      <c r="H51" s="314"/>
      <c r="I51" s="41" t="s">
        <v>181</v>
      </c>
      <c r="J51" s="382"/>
      <c r="K51" s="314"/>
      <c r="R51" s="67"/>
    </row>
    <row r="52">
      <c r="E52" s="261"/>
      <c r="J52" s="67"/>
      <c r="K52" s="67"/>
      <c r="R52" s="67"/>
    </row>
    <row r="53">
      <c r="E53" s="261"/>
      <c r="J53" s="67"/>
      <c r="K53" s="67"/>
      <c r="R53" s="67"/>
    </row>
    <row r="54">
      <c r="E54" s="261"/>
      <c r="J54" s="67"/>
      <c r="K54" s="67"/>
      <c r="R54" s="67"/>
    </row>
    <row r="55">
      <c r="A55" s="23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09/04/2026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26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5.75" customHeight="1">
      <c r="A58" s="12" t="s">
        <v>10</v>
      </c>
      <c r="B58" s="227" t="s">
        <v>1790</v>
      </c>
      <c r="C58" s="74" t="str">
        <f t="shared" ref="C58:C69" si="7">PROPER(TEXT(DATE(MID($A$56,7,4),MID($A$56,4,2),LEFT($A$56,2)),"dddd"))</f>
        <v>Quinta-Feira</v>
      </c>
      <c r="D58" s="512" t="str">
        <f>IF(C58&lt;&gt;"Quarta-Feira","13:00","08:00")</f>
        <v>13:00</v>
      </c>
      <c r="E58" s="241" t="s">
        <v>3038</v>
      </c>
      <c r="F58" s="301">
        <v>7.00708980481673E14</v>
      </c>
      <c r="G58" s="161" t="s">
        <v>3039</v>
      </c>
      <c r="H58" s="163">
        <v>16695.0</v>
      </c>
      <c r="I58" s="41" t="s">
        <v>41</v>
      </c>
      <c r="J58" s="238"/>
      <c r="K58" s="238"/>
      <c r="L58" s="216" t="s">
        <v>521</v>
      </c>
      <c r="N58" s="268" t="s">
        <v>387</v>
      </c>
      <c r="O58" s="100"/>
      <c r="P58" s="100"/>
      <c r="Q58" s="100"/>
      <c r="R58" s="67"/>
    </row>
    <row r="59" ht="15.75" customHeight="1">
      <c r="A59" s="12" t="s">
        <v>11</v>
      </c>
      <c r="B59" s="227" t="s">
        <v>1714</v>
      </c>
      <c r="C59" s="74" t="str">
        <f t="shared" si="7"/>
        <v>Quinta-Feira</v>
      </c>
      <c r="D59" s="512" t="str">
        <f>IF(C59&lt;&gt;"Quarta-Feira","13:20","08:20")</f>
        <v>13:20</v>
      </c>
      <c r="E59" s="241" t="s">
        <v>3040</v>
      </c>
      <c r="F59" s="301">
        <v>8.01440421334822E14</v>
      </c>
      <c r="G59" s="161" t="s">
        <v>3041</v>
      </c>
      <c r="H59" s="163">
        <v>29170.0</v>
      </c>
      <c r="I59" s="41" t="s">
        <v>41</v>
      </c>
      <c r="J59" s="238"/>
      <c r="K59" s="238"/>
      <c r="N59" s="270" t="s">
        <v>2086</v>
      </c>
      <c r="O59" s="2"/>
      <c r="P59" s="2"/>
      <c r="Q59" s="2"/>
      <c r="R59" s="67"/>
    </row>
    <row r="60" ht="15.75" customHeight="1">
      <c r="A60" s="12" t="s">
        <v>12</v>
      </c>
      <c r="B60" s="227" t="s">
        <v>1781</v>
      </c>
      <c r="C60" s="74" t="str">
        <f t="shared" si="7"/>
        <v>Quinta-Feira</v>
      </c>
      <c r="D60" s="512" t="str">
        <f>IF(C60&lt;&gt;"Quarta-Feira","13:40","08:40")</f>
        <v>13:40</v>
      </c>
      <c r="E60" s="241" t="s">
        <v>3042</v>
      </c>
      <c r="F60" s="216">
        <v>7.02408078830723E14</v>
      </c>
      <c r="G60" s="161" t="s">
        <v>3043</v>
      </c>
      <c r="H60" s="163">
        <v>27030.0</v>
      </c>
      <c r="I60" s="41" t="s">
        <v>41</v>
      </c>
      <c r="J60" s="238"/>
      <c r="K60" s="238"/>
      <c r="L60" s="216" t="s">
        <v>521</v>
      </c>
      <c r="N60" s="271" t="s">
        <v>41</v>
      </c>
      <c r="O60" s="272" t="s">
        <v>2567</v>
      </c>
      <c r="P60" s="272" t="s">
        <v>181</v>
      </c>
      <c r="Q60" s="272" t="s">
        <v>2088</v>
      </c>
      <c r="R60" s="67"/>
    </row>
    <row r="61" ht="15.75" customHeight="1">
      <c r="A61" s="12" t="s">
        <v>13</v>
      </c>
      <c r="B61" s="227" t="s">
        <v>1721</v>
      </c>
      <c r="C61" s="74" t="str">
        <f t="shared" si="7"/>
        <v>Quinta-Feira</v>
      </c>
      <c r="D61" s="512" t="str">
        <f>IF(C61&lt;&gt;"Quarta-Feira","14:00","09:00")</f>
        <v>14:00</v>
      </c>
      <c r="E61" s="241" t="s">
        <v>3044</v>
      </c>
      <c r="F61" s="301">
        <v>8.98001455206328E14</v>
      </c>
      <c r="G61" s="161" t="s">
        <v>3045</v>
      </c>
      <c r="H61" s="163">
        <v>17297.0</v>
      </c>
      <c r="I61" s="41" t="s">
        <v>41</v>
      </c>
      <c r="J61" s="238"/>
      <c r="K61" s="238"/>
      <c r="L61" s="216" t="s">
        <v>521</v>
      </c>
      <c r="N61" s="275">
        <f t="shared" ref="N61:Q61" si="8">COUNTIFS($I$58:$I$69,N60)</f>
        <v>11</v>
      </c>
      <c r="O61" s="275">
        <f t="shared" si="8"/>
        <v>0</v>
      </c>
      <c r="P61" s="275">
        <f t="shared" si="8"/>
        <v>0</v>
      </c>
      <c r="Q61" s="275">
        <f t="shared" si="8"/>
        <v>0</v>
      </c>
      <c r="R61" s="67"/>
    </row>
    <row r="62" ht="15.75" customHeight="1">
      <c r="A62" s="12" t="s">
        <v>14</v>
      </c>
      <c r="B62" s="227" t="s">
        <v>1796</v>
      </c>
      <c r="C62" s="74" t="str">
        <f t="shared" si="7"/>
        <v>Quinta-Feira</v>
      </c>
      <c r="D62" s="512" t="str">
        <f>IF(C62&lt;&gt;"Quarta-Feira","14:20","09:20")</f>
        <v>14:20</v>
      </c>
      <c r="E62" s="241" t="s">
        <v>3006</v>
      </c>
      <c r="F62" s="301">
        <v>7.08400780558762E14</v>
      </c>
      <c r="G62" s="161" t="s">
        <v>3007</v>
      </c>
      <c r="H62" s="163">
        <v>20040.0</v>
      </c>
      <c r="I62" s="41" t="s">
        <v>41</v>
      </c>
      <c r="J62" s="238"/>
      <c r="K62" s="238"/>
      <c r="R62" s="67"/>
    </row>
    <row r="63" ht="15.75" customHeight="1">
      <c r="A63" s="12" t="s">
        <v>15</v>
      </c>
      <c r="B63" s="227" t="s">
        <v>1790</v>
      </c>
      <c r="C63" s="74" t="str">
        <f t="shared" si="7"/>
        <v>Quinta-Feira</v>
      </c>
      <c r="D63" s="512" t="str">
        <f>IF(C63&lt;&gt;"Quarta-Feira","14:40","09:40")</f>
        <v>14:40</v>
      </c>
      <c r="E63" s="241" t="s">
        <v>3046</v>
      </c>
      <c r="F63" s="440">
        <v>7.04007838514867E14</v>
      </c>
      <c r="G63" s="161" t="s">
        <v>3047</v>
      </c>
      <c r="H63" s="163">
        <v>23706.0</v>
      </c>
      <c r="I63" s="41" t="s">
        <v>41</v>
      </c>
      <c r="J63" s="238"/>
      <c r="K63" s="238"/>
      <c r="L63" s="216" t="s">
        <v>521</v>
      </c>
      <c r="R63" s="67"/>
    </row>
    <row r="64" ht="15.75" customHeight="1">
      <c r="A64" s="12" t="s">
        <v>16</v>
      </c>
      <c r="B64" s="227" t="s">
        <v>2653</v>
      </c>
      <c r="C64" s="74" t="str">
        <f t="shared" si="7"/>
        <v>Quinta-Feira</v>
      </c>
      <c r="D64" s="512" t="str">
        <f>IF(C64&lt;&gt;"Quarta-Feira","15:00","10:00")</f>
        <v>15:00</v>
      </c>
      <c r="E64" s="241" t="s">
        <v>3048</v>
      </c>
      <c r="F64" s="301">
        <v>7.00005833291105E14</v>
      </c>
      <c r="G64" s="161" t="s">
        <v>3049</v>
      </c>
      <c r="H64" s="163">
        <v>23572.0</v>
      </c>
      <c r="I64" s="41" t="s">
        <v>41</v>
      </c>
      <c r="J64" s="238"/>
      <c r="K64" s="238"/>
      <c r="L64" s="216" t="s">
        <v>521</v>
      </c>
      <c r="R64" s="67"/>
    </row>
    <row r="65" ht="15.75" customHeight="1">
      <c r="A65" s="12" t="s">
        <v>17</v>
      </c>
      <c r="B65" s="227" t="s">
        <v>2656</v>
      </c>
      <c r="C65" s="74" t="str">
        <f t="shared" si="7"/>
        <v>Quinta-Feira</v>
      </c>
      <c r="D65" s="512" t="str">
        <f>IF(C65&lt;&gt;"Quarta-Feira","15:20","10:20")</f>
        <v>15:20</v>
      </c>
      <c r="E65" s="241" t="s">
        <v>3050</v>
      </c>
      <c r="F65" s="301">
        <v>7.04308582053899E14</v>
      </c>
      <c r="G65" s="161" t="s">
        <v>3051</v>
      </c>
      <c r="H65" s="163">
        <v>13485.0</v>
      </c>
      <c r="I65" s="41" t="s">
        <v>41</v>
      </c>
      <c r="J65" s="238"/>
      <c r="K65" s="238"/>
      <c r="L65" s="216" t="s">
        <v>521</v>
      </c>
      <c r="R65" s="67"/>
    </row>
    <row r="66" ht="15.75" customHeight="1">
      <c r="A66" s="12" t="s">
        <v>85</v>
      </c>
      <c r="B66" s="227" t="s">
        <v>2659</v>
      </c>
      <c r="C66" s="74" t="str">
        <f t="shared" si="7"/>
        <v>Quinta-Feira</v>
      </c>
      <c r="D66" s="512" t="str">
        <f>IF(C66&lt;&gt;"Quarta-Feira","15:40","10:40")</f>
        <v>15:40</v>
      </c>
      <c r="E66" s="241" t="s">
        <v>3052</v>
      </c>
      <c r="F66" s="301">
        <v>7.08602577974889E14</v>
      </c>
      <c r="G66" s="161" t="s">
        <v>3053</v>
      </c>
      <c r="H66" s="163">
        <v>15460.0</v>
      </c>
      <c r="I66" s="41" t="s">
        <v>41</v>
      </c>
      <c r="J66" s="238"/>
      <c r="K66" s="238"/>
      <c r="R66" s="67"/>
    </row>
    <row r="67" ht="15.75" customHeight="1">
      <c r="A67" s="12" t="s">
        <v>87</v>
      </c>
      <c r="B67" s="227" t="s">
        <v>1735</v>
      </c>
      <c r="C67" s="74" t="str">
        <f t="shared" si="7"/>
        <v>Quinta-Feira</v>
      </c>
      <c r="D67" s="512" t="str">
        <f>IF(C67&lt;&gt;"Quarta-Feira","16:00","11:00")</f>
        <v>16:00</v>
      </c>
      <c r="E67" s="241" t="s">
        <v>3054</v>
      </c>
      <c r="F67" s="301">
        <v>7.06405679097184E14</v>
      </c>
      <c r="G67" s="161" t="s">
        <v>3055</v>
      </c>
      <c r="H67" s="163">
        <v>24539.0</v>
      </c>
      <c r="I67" s="41" t="s">
        <v>41</v>
      </c>
      <c r="J67" s="238"/>
      <c r="K67" s="238"/>
      <c r="L67" s="216" t="s">
        <v>521</v>
      </c>
      <c r="R67" s="67"/>
    </row>
    <row r="68" ht="15.75" customHeight="1">
      <c r="A68" s="12" t="s">
        <v>90</v>
      </c>
      <c r="B68" s="227" t="s">
        <v>2659</v>
      </c>
      <c r="C68" s="74" t="str">
        <f t="shared" si="7"/>
        <v>Quinta-Feira</v>
      </c>
      <c r="D68" s="512" t="str">
        <f>IF(C68&lt;&gt;"Quarta-Feira","16:20","11:20")</f>
        <v>16:20</v>
      </c>
      <c r="E68" s="241" t="s">
        <v>2755</v>
      </c>
      <c r="F68" s="301">
        <v>7.02601290370449E14</v>
      </c>
      <c r="G68" s="161" t="s">
        <v>2756</v>
      </c>
      <c r="H68" s="163">
        <v>26242.0</v>
      </c>
      <c r="I68" s="41" t="s">
        <v>41</v>
      </c>
      <c r="J68" s="238"/>
      <c r="K68" s="238"/>
      <c r="R68" s="67"/>
    </row>
    <row r="69" ht="15.75" customHeight="1">
      <c r="A69" s="12" t="s">
        <v>93</v>
      </c>
      <c r="B69" s="227" t="s">
        <v>1735</v>
      </c>
      <c r="C69" s="74" t="str">
        <f t="shared" si="7"/>
        <v>Quinta-Feira</v>
      </c>
      <c r="D69" s="512" t="str">
        <f>IF(C69&lt;&gt;"Quarta-Feira","16:40","11:40")</f>
        <v>16:40</v>
      </c>
      <c r="E69" s="241" t="s">
        <v>3056</v>
      </c>
      <c r="F69" s="301">
        <v>7.04506377619912E14</v>
      </c>
      <c r="G69" s="161" t="s">
        <v>3057</v>
      </c>
      <c r="H69" s="163">
        <v>33760.0</v>
      </c>
      <c r="I69" s="41"/>
      <c r="J69" s="238"/>
      <c r="K69" s="238"/>
      <c r="R69" s="67"/>
    </row>
    <row r="70">
      <c r="E70" s="261"/>
      <c r="G70" s="216"/>
      <c r="J70" s="67"/>
      <c r="K70" s="67"/>
      <c r="R70" s="67"/>
    </row>
    <row r="71">
      <c r="E71" s="261"/>
      <c r="J71" s="67"/>
      <c r="K71" s="67"/>
      <c r="R71" s="67"/>
    </row>
    <row r="72">
      <c r="E72" s="261"/>
      <c r="J72" s="67"/>
      <c r="K72" s="67"/>
      <c r="R72" s="67"/>
    </row>
    <row r="73">
      <c r="A73" s="398" t="s">
        <v>18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TEXT(DATE(VALUE(MID(A38,7,4)),VALUE(MID(A38,4,2)),VALUE(LEFT(A38,2)))+7,"dd/mm/yyyy")&amp;" 13h às 17h"</f>
        <v>14/04/2026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469"/>
      <c r="B75" s="470" t="s">
        <v>3</v>
      </c>
      <c r="C75" s="471" t="s">
        <v>2</v>
      </c>
      <c r="D75" s="472" t="s">
        <v>5</v>
      </c>
      <c r="E75" s="530" t="s">
        <v>19</v>
      </c>
      <c r="F75" s="472" t="s">
        <v>6</v>
      </c>
      <c r="G75" s="473" t="s">
        <v>7</v>
      </c>
      <c r="H75" s="474" t="s">
        <v>8</v>
      </c>
      <c r="I75" s="475" t="s">
        <v>20</v>
      </c>
      <c r="J75" s="472" t="s">
        <v>21</v>
      </c>
      <c r="K75" s="472" t="s">
        <v>22</v>
      </c>
      <c r="R75" s="67"/>
    </row>
    <row r="76">
      <c r="A76" s="476" t="s">
        <v>10</v>
      </c>
      <c r="B76" s="227" t="s">
        <v>2082</v>
      </c>
      <c r="C76" s="447" t="str">
        <f t="shared" ref="C76:C87" si="9">PROPER(TEXT(DATE(MID($A$74,7,4),MID($A$74,4,2),LEFT($A$74,2)),"dddd"))</f>
        <v>Terça-Feira</v>
      </c>
      <c r="D76" s="512" t="str">
        <f>IF(C76&lt;&gt;"Quarta-Feira","13:00","08:00")</f>
        <v>13:00</v>
      </c>
      <c r="E76" s="477" t="s">
        <v>3058</v>
      </c>
      <c r="F76" s="133">
        <v>7.00009827796407E14</v>
      </c>
      <c r="G76" s="203" t="s">
        <v>3059</v>
      </c>
      <c r="H76" s="166">
        <v>19441.0</v>
      </c>
      <c r="I76" s="478" t="s">
        <v>41</v>
      </c>
      <c r="J76" s="391"/>
      <c r="K76" s="391"/>
      <c r="N76" s="268" t="s">
        <v>387</v>
      </c>
      <c r="O76" s="100"/>
      <c r="P76" s="100"/>
      <c r="Q76" s="100"/>
      <c r="R76" s="67"/>
    </row>
    <row r="77">
      <c r="A77" s="476" t="s">
        <v>11</v>
      </c>
      <c r="B77" s="227" t="s">
        <v>2084</v>
      </c>
      <c r="C77" s="447" t="str">
        <f t="shared" si="9"/>
        <v>Terça-Feira</v>
      </c>
      <c r="D77" s="512" t="str">
        <f>IF(C77&lt;&gt;"Quarta-Feira","13:20","08:20")</f>
        <v>13:20</v>
      </c>
      <c r="E77" s="479" t="s">
        <v>3060</v>
      </c>
      <c r="F77" s="133">
        <v>7.00506912838154E14</v>
      </c>
      <c r="G77" s="203" t="s">
        <v>3061</v>
      </c>
      <c r="H77" s="166">
        <v>29019.0</v>
      </c>
      <c r="I77" s="478" t="s">
        <v>41</v>
      </c>
      <c r="J77" s="391"/>
      <c r="K77" s="391"/>
      <c r="N77" s="270" t="s">
        <v>2086</v>
      </c>
      <c r="O77" s="2"/>
      <c r="P77" s="2"/>
      <c r="Q77" s="2"/>
      <c r="R77" s="67"/>
    </row>
    <row r="78">
      <c r="A78" s="476" t="s">
        <v>12</v>
      </c>
      <c r="B78" s="227" t="s">
        <v>2087</v>
      </c>
      <c r="C78" s="447" t="str">
        <f t="shared" si="9"/>
        <v>Terça-Feira</v>
      </c>
      <c r="D78" s="512" t="str">
        <f>IF(C78&lt;&gt;"Quarta-Feira","13:40","08:40")</f>
        <v>13:40</v>
      </c>
      <c r="E78" s="477" t="s">
        <v>3062</v>
      </c>
      <c r="F78" s="133">
        <v>7.00704970842777E14</v>
      </c>
      <c r="G78" s="203" t="s">
        <v>1252</v>
      </c>
      <c r="H78" s="166">
        <v>13386.0</v>
      </c>
      <c r="I78" s="478" t="s">
        <v>41</v>
      </c>
      <c r="J78" s="391"/>
      <c r="K78" s="391"/>
      <c r="N78" s="271" t="s">
        <v>41</v>
      </c>
      <c r="O78" s="272" t="s">
        <v>195</v>
      </c>
      <c r="P78" s="272" t="s">
        <v>181</v>
      </c>
      <c r="Q78" s="273" t="s">
        <v>2088</v>
      </c>
      <c r="R78" s="67"/>
    </row>
    <row r="79">
      <c r="A79" s="476" t="s">
        <v>13</v>
      </c>
      <c r="B79" s="227" t="s">
        <v>2089</v>
      </c>
      <c r="C79" s="447" t="str">
        <f t="shared" si="9"/>
        <v>Terça-Feira</v>
      </c>
      <c r="D79" s="512" t="str">
        <f>IF(C79&lt;&gt;"Quarta-Feira","14:00","09:00")</f>
        <v>14:00</v>
      </c>
      <c r="E79" s="477" t="s">
        <v>3063</v>
      </c>
      <c r="F79" s="133">
        <v>7.00607943961667E14</v>
      </c>
      <c r="G79" s="203" t="s">
        <v>3064</v>
      </c>
      <c r="H79" s="166">
        <v>22560.0</v>
      </c>
      <c r="I79" s="478" t="s">
        <v>41</v>
      </c>
      <c r="J79" s="391"/>
      <c r="K79" s="391"/>
      <c r="N79" s="275">
        <f t="shared" ref="N79:Q79" si="10">COUNTIFS($I$76:$I$87,N78)</f>
        <v>11</v>
      </c>
      <c r="O79" s="275">
        <f t="shared" si="10"/>
        <v>0</v>
      </c>
      <c r="P79" s="275">
        <f t="shared" si="10"/>
        <v>1</v>
      </c>
      <c r="Q79" s="275">
        <f t="shared" si="10"/>
        <v>0</v>
      </c>
      <c r="R79" s="67"/>
    </row>
    <row r="80">
      <c r="A80" s="476" t="s">
        <v>14</v>
      </c>
      <c r="B80" s="227" t="s">
        <v>2082</v>
      </c>
      <c r="C80" s="447" t="str">
        <f t="shared" si="9"/>
        <v>Terça-Feira</v>
      </c>
      <c r="D80" s="512" t="str">
        <f>IF(C80&lt;&gt;"Quarta-Feira","14:20","09:20")</f>
        <v>14:20</v>
      </c>
      <c r="E80" s="480" t="s">
        <v>3065</v>
      </c>
      <c r="F80" s="133">
        <v>7.0050731959585E14</v>
      </c>
      <c r="G80" s="203" t="s">
        <v>3066</v>
      </c>
      <c r="H80" s="169">
        <v>20297.0</v>
      </c>
      <c r="I80" s="478" t="s">
        <v>41</v>
      </c>
      <c r="J80" s="74"/>
      <c r="K80" s="391"/>
      <c r="R80" s="67"/>
    </row>
    <row r="81">
      <c r="A81" s="476" t="s">
        <v>15</v>
      </c>
      <c r="B81" s="227" t="s">
        <v>2089</v>
      </c>
      <c r="C81" s="447" t="str">
        <f t="shared" si="9"/>
        <v>Terça-Feira</v>
      </c>
      <c r="D81" s="512" t="str">
        <f>IF(C81&lt;&gt;"Quarta-Feira","14:40","09:40")</f>
        <v>14:40</v>
      </c>
      <c r="E81" s="480" t="s">
        <v>3067</v>
      </c>
      <c r="F81" s="133">
        <v>7.04600630427625E14</v>
      </c>
      <c r="G81" s="203" t="s">
        <v>3068</v>
      </c>
      <c r="H81" s="166">
        <v>24396.0</v>
      </c>
      <c r="I81" s="478" t="s">
        <v>41</v>
      </c>
      <c r="J81" s="391"/>
      <c r="K81" s="391"/>
      <c r="R81" s="67"/>
    </row>
    <row r="82">
      <c r="A82" s="476" t="s">
        <v>16</v>
      </c>
      <c r="B82" s="227" t="s">
        <v>2093</v>
      </c>
      <c r="C82" s="447" t="str">
        <f t="shared" si="9"/>
        <v>Terça-Feira</v>
      </c>
      <c r="D82" s="512" t="str">
        <f>IF(C82&lt;&gt;"Quarta-Feira","15:00","10:00")</f>
        <v>15:00</v>
      </c>
      <c r="E82" s="480" t="s">
        <v>3069</v>
      </c>
      <c r="F82" s="133">
        <v>8.98050052064052E14</v>
      </c>
      <c r="G82" s="203" t="s">
        <v>3070</v>
      </c>
      <c r="H82" s="166">
        <v>19887.0</v>
      </c>
      <c r="I82" s="478" t="s">
        <v>41</v>
      </c>
      <c r="J82" s="391"/>
      <c r="K82" s="391"/>
      <c r="R82" s="67"/>
    </row>
    <row r="83">
      <c r="A83" s="476" t="s">
        <v>17</v>
      </c>
      <c r="B83" s="227" t="s">
        <v>2094</v>
      </c>
      <c r="C83" s="447" t="str">
        <f t="shared" si="9"/>
        <v>Terça-Feira</v>
      </c>
      <c r="D83" s="512" t="str">
        <f>IF(C83&lt;&gt;"Quarta-Feira","15:20","10:20")</f>
        <v>15:20</v>
      </c>
      <c r="E83" s="480" t="s">
        <v>3071</v>
      </c>
      <c r="F83" s="133">
        <v>7.0500001995005E14</v>
      </c>
      <c r="G83" s="203" t="s">
        <v>3072</v>
      </c>
      <c r="H83" s="166">
        <v>32935.0</v>
      </c>
      <c r="I83" s="478" t="s">
        <v>41</v>
      </c>
      <c r="J83" s="391"/>
      <c r="K83" s="391"/>
      <c r="R83" s="67"/>
    </row>
    <row r="84" ht="16.5" customHeight="1">
      <c r="A84" s="476" t="s">
        <v>85</v>
      </c>
      <c r="B84" s="227" t="s">
        <v>2095</v>
      </c>
      <c r="C84" s="447" t="str">
        <f t="shared" si="9"/>
        <v>Terça-Feira</v>
      </c>
      <c r="D84" s="512" t="str">
        <f>IF(C84&lt;&gt;"Quarta-Feira","15:40","10:40")</f>
        <v>15:40</v>
      </c>
      <c r="E84" s="480" t="s">
        <v>3073</v>
      </c>
      <c r="F84" s="133">
        <v>7.04203780018689E14</v>
      </c>
      <c r="G84" s="203" t="s">
        <v>3074</v>
      </c>
      <c r="H84" s="166">
        <v>17849.0</v>
      </c>
      <c r="I84" s="478" t="s">
        <v>41</v>
      </c>
      <c r="J84" s="391"/>
      <c r="K84" s="391"/>
      <c r="R84" s="67"/>
    </row>
    <row r="85">
      <c r="A85" s="476" t="s">
        <v>87</v>
      </c>
      <c r="B85" s="227" t="s">
        <v>2096</v>
      </c>
      <c r="C85" s="447" t="str">
        <f t="shared" si="9"/>
        <v>Terça-Feira</v>
      </c>
      <c r="D85" s="512" t="str">
        <f>IF(C85&lt;&gt;"Quarta-Feira","16:00","11:00")</f>
        <v>16:00</v>
      </c>
      <c r="E85" s="477" t="s">
        <v>3075</v>
      </c>
      <c r="F85" s="133">
        <v>7.00001266905205E14</v>
      </c>
      <c r="G85" s="203" t="s">
        <v>3076</v>
      </c>
      <c r="H85" s="166">
        <v>12560.0</v>
      </c>
      <c r="I85" s="478" t="s">
        <v>41</v>
      </c>
      <c r="J85" s="391"/>
      <c r="K85" s="484"/>
      <c r="R85" s="67"/>
    </row>
    <row r="86">
      <c r="A86" s="476" t="s">
        <v>90</v>
      </c>
      <c r="B86" s="227" t="s">
        <v>2098</v>
      </c>
      <c r="C86" s="447" t="str">
        <f t="shared" si="9"/>
        <v>Terça-Feira</v>
      </c>
      <c r="D86" s="512" t="str">
        <f>IF(C86&lt;&gt;"Quarta-Feira","16:20","11:20")</f>
        <v>16:20</v>
      </c>
      <c r="E86" s="480" t="s">
        <v>3077</v>
      </c>
      <c r="F86" s="500">
        <v>7.05606411611416E14</v>
      </c>
      <c r="G86" s="203" t="s">
        <v>3078</v>
      </c>
      <c r="H86" s="531">
        <v>30480.0</v>
      </c>
      <c r="I86" s="478" t="s">
        <v>41</v>
      </c>
      <c r="J86" s="484"/>
      <c r="K86" s="484"/>
      <c r="R86" s="67"/>
    </row>
    <row r="87">
      <c r="A87" s="476" t="s">
        <v>93</v>
      </c>
      <c r="B87" s="227" t="s">
        <v>2096</v>
      </c>
      <c r="C87" s="447" t="str">
        <f t="shared" si="9"/>
        <v>Terça-Feira</v>
      </c>
      <c r="D87" s="512" t="str">
        <f>IF(C87&lt;&gt;"Quarta-Feira","16:40","11:40")</f>
        <v>16:40</v>
      </c>
      <c r="E87" s="477"/>
      <c r="F87" s="500"/>
      <c r="G87" s="501"/>
      <c r="H87" s="166"/>
      <c r="I87" s="478" t="s">
        <v>181</v>
      </c>
      <c r="J87" s="500"/>
      <c r="K87" s="485"/>
      <c r="R87" s="67"/>
    </row>
    <row r="88">
      <c r="E88" s="261"/>
      <c r="J88" s="67"/>
      <c r="K88" s="67"/>
      <c r="R88" s="67"/>
    </row>
    <row r="89">
      <c r="E89" s="261"/>
      <c r="J89" s="67"/>
      <c r="K89" s="67"/>
      <c r="R89" s="67"/>
    </row>
    <row r="90">
      <c r="E90" s="261"/>
      <c r="J90" s="67"/>
      <c r="K90" s="67"/>
      <c r="R90" s="67"/>
    </row>
    <row r="91">
      <c r="A91" s="23" t="s">
        <v>18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13h às 17h"</f>
        <v>16/04/2026 13h às 17h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26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8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1790</v>
      </c>
      <c r="C94" s="74" t="str">
        <f t="shared" ref="C94:C105" si="11">PROPER(TEXT(DATE(MID($A$92,7,4),MID($A$92,4,2),LEFT($A$92,2)),"dddd"))</f>
        <v>Quinta-Feira</v>
      </c>
      <c r="D94" s="512" t="str">
        <f>IF(C94&lt;&gt;"Quarta-Feira","13:00","08:00")</f>
        <v>13:00</v>
      </c>
      <c r="E94" s="245" t="s">
        <v>3079</v>
      </c>
      <c r="F94" s="162">
        <v>7.04306504697897E14</v>
      </c>
      <c r="G94" s="161" t="s">
        <v>3080</v>
      </c>
      <c r="H94" s="390">
        <v>19448.0</v>
      </c>
      <c r="I94" s="41" t="s">
        <v>41</v>
      </c>
      <c r="J94" s="238"/>
      <c r="K94" s="238"/>
      <c r="N94" s="268" t="s">
        <v>387</v>
      </c>
      <c r="O94" s="100"/>
      <c r="P94" s="100"/>
      <c r="Q94" s="100"/>
      <c r="R94" s="67"/>
    </row>
    <row r="95" ht="21.0" customHeight="1">
      <c r="A95" s="12" t="s">
        <v>11</v>
      </c>
      <c r="B95" s="227" t="s">
        <v>1714</v>
      </c>
      <c r="C95" s="74" t="str">
        <f t="shared" si="11"/>
        <v>Quinta-Feira</v>
      </c>
      <c r="D95" s="512" t="str">
        <f>IF(C95&lt;&gt;"Quarta-Feira","13:20","08:20")</f>
        <v>13:20</v>
      </c>
      <c r="E95" s="245"/>
      <c r="F95" s="487"/>
      <c r="G95" s="161"/>
      <c r="H95" s="502"/>
      <c r="I95" s="41"/>
      <c r="J95" s="238"/>
      <c r="K95" s="238"/>
      <c r="N95" s="270" t="s">
        <v>2086</v>
      </c>
      <c r="O95" s="2"/>
      <c r="P95" s="2"/>
      <c r="Q95" s="2"/>
      <c r="R95" s="67"/>
    </row>
    <row r="96">
      <c r="A96" s="12" t="s">
        <v>12</v>
      </c>
      <c r="B96" s="227" t="s">
        <v>1781</v>
      </c>
      <c r="C96" s="74" t="str">
        <f t="shared" si="11"/>
        <v>Quinta-Feira</v>
      </c>
      <c r="D96" s="512" t="str">
        <f>IF(C96&lt;&gt;"Quarta-Feira","13:40","08:40")</f>
        <v>13:40</v>
      </c>
      <c r="E96" s="245"/>
      <c r="F96" s="162"/>
      <c r="G96" s="161"/>
      <c r="H96" s="390"/>
      <c r="I96" s="41"/>
      <c r="J96" s="238"/>
      <c r="K96" s="238"/>
      <c r="N96" s="271" t="s">
        <v>41</v>
      </c>
      <c r="O96" s="272" t="s">
        <v>195</v>
      </c>
      <c r="P96" s="272" t="s">
        <v>181</v>
      </c>
      <c r="Q96" s="273" t="s">
        <v>2088</v>
      </c>
      <c r="R96" s="67"/>
    </row>
    <row r="97">
      <c r="A97" s="12" t="s">
        <v>13</v>
      </c>
      <c r="B97" s="227" t="s">
        <v>1721</v>
      </c>
      <c r="C97" s="74" t="str">
        <f t="shared" si="11"/>
        <v>Quinta-Feira</v>
      </c>
      <c r="D97" s="512" t="str">
        <f>IF(C97&lt;&gt;"Quarta-Feira","14:00","09:00")</f>
        <v>14:00</v>
      </c>
      <c r="E97" s="245" t="s">
        <v>3081</v>
      </c>
      <c r="F97" s="301">
        <v>7.034097558887E14</v>
      </c>
      <c r="G97" s="233" t="s">
        <v>3082</v>
      </c>
      <c r="H97" s="521">
        <v>18247.0</v>
      </c>
      <c r="I97" s="41" t="s">
        <v>41</v>
      </c>
      <c r="J97" s="238"/>
      <c r="K97" s="238"/>
      <c r="N97" s="275">
        <f t="shared" ref="N97:Q97" si="12">COUNTIFS($I$94:$I$105,N96)</f>
        <v>6</v>
      </c>
      <c r="O97" s="275">
        <f t="shared" si="12"/>
        <v>0</v>
      </c>
      <c r="P97" s="275">
        <f t="shared" si="12"/>
        <v>0</v>
      </c>
      <c r="Q97" s="275">
        <f t="shared" si="12"/>
        <v>0</v>
      </c>
      <c r="R97" s="67"/>
    </row>
    <row r="98">
      <c r="A98" s="12" t="s">
        <v>14</v>
      </c>
      <c r="B98" s="227" t="s">
        <v>1796</v>
      </c>
      <c r="C98" s="74" t="str">
        <f t="shared" si="11"/>
        <v>Quinta-Feira</v>
      </c>
      <c r="D98" s="512" t="str">
        <f>IF(C98&lt;&gt;"Quarta-Feira","14:20","09:20")</f>
        <v>14:20</v>
      </c>
      <c r="E98" s="245" t="s">
        <v>3083</v>
      </c>
      <c r="F98" s="162">
        <v>7.02503340150938E14</v>
      </c>
      <c r="G98" s="161" t="s">
        <v>3084</v>
      </c>
      <c r="H98" s="390">
        <v>26542.0</v>
      </c>
      <c r="I98" s="41" t="s">
        <v>2567</v>
      </c>
      <c r="J98" s="238"/>
      <c r="K98" s="238"/>
      <c r="R98" s="67"/>
    </row>
    <row r="99">
      <c r="A99" s="12" t="s">
        <v>15</v>
      </c>
      <c r="B99" s="227" t="s">
        <v>1790</v>
      </c>
      <c r="C99" s="74" t="str">
        <f t="shared" si="11"/>
        <v>Quinta-Feira</v>
      </c>
      <c r="D99" s="512" t="str">
        <f>IF(C99&lt;&gt;"Quarta-Feira","14:40","09:40")</f>
        <v>14:40</v>
      </c>
      <c r="E99" s="245" t="s">
        <v>3085</v>
      </c>
      <c r="F99" s="162">
        <v>7.09002808589512E14</v>
      </c>
      <c r="G99" s="161" t="s">
        <v>3086</v>
      </c>
      <c r="H99" s="390">
        <v>12389.0</v>
      </c>
      <c r="I99" s="41" t="s">
        <v>41</v>
      </c>
      <c r="J99" s="238"/>
      <c r="K99" s="238"/>
      <c r="R99" s="67"/>
    </row>
    <row r="100">
      <c r="A100" s="12" t="s">
        <v>16</v>
      </c>
      <c r="B100" s="227" t="s">
        <v>2653</v>
      </c>
      <c r="C100" s="74" t="str">
        <f t="shared" si="11"/>
        <v>Quinta-Feira</v>
      </c>
      <c r="D100" s="512" t="str">
        <f>IF(C100&lt;&gt;"Quarta-Feira","15:00","10:00")</f>
        <v>15:00</v>
      </c>
      <c r="E100" s="245" t="s">
        <v>3087</v>
      </c>
      <c r="F100" s="162">
        <v>7.02408007476625E14</v>
      </c>
      <c r="G100" s="161" t="s">
        <v>3088</v>
      </c>
      <c r="H100" s="390">
        <v>18394.0</v>
      </c>
      <c r="I100" s="41" t="s">
        <v>41</v>
      </c>
      <c r="J100" s="238"/>
      <c r="K100" s="238"/>
      <c r="R100" s="67"/>
    </row>
    <row r="101">
      <c r="A101" s="12" t="s">
        <v>17</v>
      </c>
      <c r="B101" s="227" t="s">
        <v>2656</v>
      </c>
      <c r="C101" s="74" t="str">
        <f t="shared" si="11"/>
        <v>Quinta-Feira</v>
      </c>
      <c r="D101" s="512" t="str">
        <f>IF(C101&lt;&gt;"Quarta-Feira","15:20","10:20")</f>
        <v>15:20</v>
      </c>
      <c r="E101" s="245" t="s">
        <v>3089</v>
      </c>
      <c r="F101" s="162">
        <v>7.02006365761784E14</v>
      </c>
      <c r="G101" s="161" t="s">
        <v>3090</v>
      </c>
      <c r="H101" s="390">
        <v>17521.0</v>
      </c>
      <c r="I101" s="41" t="s">
        <v>2567</v>
      </c>
      <c r="J101" s="238"/>
      <c r="K101" s="238"/>
      <c r="R101" s="67"/>
    </row>
    <row r="102">
      <c r="A102" s="12" t="s">
        <v>85</v>
      </c>
      <c r="B102" s="227" t="s">
        <v>2659</v>
      </c>
      <c r="C102" s="74" t="str">
        <f t="shared" si="11"/>
        <v>Quinta-Feira</v>
      </c>
      <c r="D102" s="512" t="str">
        <f>IF(C102&lt;&gt;"Quarta-Feira","15:40","10:40")</f>
        <v>15:40</v>
      </c>
      <c r="E102" s="245" t="s">
        <v>3091</v>
      </c>
      <c r="F102" s="162">
        <v>7.01409691691832E14</v>
      </c>
      <c r="G102" s="161" t="s">
        <v>3092</v>
      </c>
      <c r="H102" s="390">
        <v>24118.0</v>
      </c>
      <c r="I102" s="41" t="s">
        <v>41</v>
      </c>
      <c r="J102" s="238"/>
      <c r="K102" s="238"/>
      <c r="R102" s="67"/>
      <c r="V102" s="336"/>
    </row>
    <row r="103">
      <c r="A103" s="12" t="s">
        <v>87</v>
      </c>
      <c r="B103" s="227" t="s">
        <v>1735</v>
      </c>
      <c r="C103" s="74" t="str">
        <f t="shared" si="11"/>
        <v>Quinta-Feira</v>
      </c>
      <c r="D103" s="512" t="str">
        <f>IF(C103&lt;&gt;"Quarta-Feira","16:00","11:00")</f>
        <v>16:00</v>
      </c>
      <c r="E103" s="245" t="s">
        <v>3093</v>
      </c>
      <c r="F103" s="162">
        <v>8.01440411683689E14</v>
      </c>
      <c r="G103" s="161" t="s">
        <v>3094</v>
      </c>
      <c r="H103" s="390">
        <v>24053.0</v>
      </c>
      <c r="I103" s="41" t="s">
        <v>41</v>
      </c>
      <c r="J103" s="238"/>
      <c r="K103" s="238"/>
      <c r="R103" s="67"/>
    </row>
    <row r="104">
      <c r="A104" s="12" t="s">
        <v>90</v>
      </c>
      <c r="B104" s="227" t="s">
        <v>2659</v>
      </c>
      <c r="C104" s="74" t="str">
        <f t="shared" si="11"/>
        <v>Quinta-Feira</v>
      </c>
      <c r="D104" s="512" t="str">
        <f>IF(C104&lt;&gt;"Quarta-Feira","16:20","11:20")</f>
        <v>16:20</v>
      </c>
      <c r="E104" s="245" t="s">
        <v>3095</v>
      </c>
      <c r="F104" s="162">
        <v>7.04708734578634E14</v>
      </c>
      <c r="G104" s="161" t="s">
        <v>3096</v>
      </c>
      <c r="H104" s="308">
        <v>27143.0</v>
      </c>
      <c r="I104" s="41"/>
      <c r="J104" s="238"/>
      <c r="K104" s="238"/>
      <c r="R104" s="67"/>
    </row>
    <row r="105">
      <c r="A105" s="12" t="s">
        <v>93</v>
      </c>
      <c r="B105" s="227" t="s">
        <v>1735</v>
      </c>
      <c r="C105" s="74" t="str">
        <f t="shared" si="11"/>
        <v>Quinta-Feira</v>
      </c>
      <c r="D105" s="512" t="str">
        <f>IF(C105&lt;&gt;"Quarta-Feira","16:40","11:40")</f>
        <v>16:40</v>
      </c>
      <c r="E105" s="245" t="s">
        <v>3097</v>
      </c>
      <c r="F105" s="162">
        <v>8.01440431700686E14</v>
      </c>
      <c r="G105" s="161" t="s">
        <v>3098</v>
      </c>
      <c r="H105" s="390">
        <v>22351.0</v>
      </c>
      <c r="I105" s="41"/>
      <c r="J105" s="238"/>
      <c r="K105" s="238"/>
      <c r="R105" s="67"/>
    </row>
    <row r="106">
      <c r="E106" s="261"/>
      <c r="J106" s="67"/>
      <c r="K106" s="67"/>
      <c r="R106" s="67"/>
    </row>
    <row r="107">
      <c r="E107" s="261"/>
      <c r="J107" s="67"/>
      <c r="K107" s="67"/>
      <c r="R107" s="67"/>
    </row>
    <row r="108">
      <c r="E108" s="261"/>
      <c r="J108" s="67"/>
      <c r="K108" s="67"/>
      <c r="R108" s="67"/>
    </row>
    <row r="109">
      <c r="A109" s="23" t="s">
        <v>18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TEXT(DATE(VALUE(MID(A74,7,4)),VALUE(MID(A74,4,2)),VALUE(LEFT(A74,2)))+7,"dd/mm/yyyy")&amp;" 13h às 17h"</f>
        <v>21/04/2026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26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2082</v>
      </c>
      <c r="C112" s="74" t="str">
        <f t="shared" ref="C112:C123" si="13">PROPER(TEXT(DATE(MID($A$110,7,4),MID($A$110,4,2),LEFT($A$110,2)),"dddd"))</f>
        <v>Terça-Feira</v>
      </c>
      <c r="D112" s="512" t="str">
        <f>IF(C112&lt;&gt;"Quarta-Feira","13:00","08:00")</f>
        <v>13:00</v>
      </c>
      <c r="E112" s="372"/>
      <c r="F112" s="370"/>
      <c r="G112" s="567" t="s">
        <v>3099</v>
      </c>
      <c r="H112" s="431"/>
      <c r="I112" s="41"/>
      <c r="J112" s="102"/>
      <c r="K112" s="102"/>
      <c r="N112" s="268" t="s">
        <v>387</v>
      </c>
      <c r="O112" s="100"/>
      <c r="P112" s="100"/>
      <c r="Q112" s="100"/>
      <c r="R112" s="67"/>
    </row>
    <row r="113">
      <c r="A113" s="12" t="s">
        <v>11</v>
      </c>
      <c r="B113" s="227" t="s">
        <v>2084</v>
      </c>
      <c r="C113" s="74" t="str">
        <f t="shared" si="13"/>
        <v>Terça-Feira</v>
      </c>
      <c r="D113" s="512" t="str">
        <f>IF(C113&lt;&gt;"Quarta-Feira","13:20","08:20")</f>
        <v>13:20</v>
      </c>
      <c r="E113" s="372"/>
      <c r="F113" s="370"/>
      <c r="G113" s="567" t="s">
        <v>3099</v>
      </c>
      <c r="H113" s="431"/>
      <c r="I113" s="41"/>
      <c r="J113" s="102"/>
      <c r="K113" s="102"/>
      <c r="N113" s="270" t="s">
        <v>2086</v>
      </c>
      <c r="O113" s="2"/>
      <c r="P113" s="2"/>
      <c r="Q113" s="2"/>
      <c r="R113" s="67"/>
    </row>
    <row r="114">
      <c r="A114" s="12" t="s">
        <v>12</v>
      </c>
      <c r="B114" s="227" t="s">
        <v>2087</v>
      </c>
      <c r="C114" s="74" t="str">
        <f t="shared" si="13"/>
        <v>Terça-Feira</v>
      </c>
      <c r="D114" s="512" t="str">
        <f>IF(C114&lt;&gt;"Quarta-Feira","13:40","08:40")</f>
        <v>13:40</v>
      </c>
      <c r="E114" s="372"/>
      <c r="F114" s="370"/>
      <c r="G114" s="567" t="s">
        <v>3099</v>
      </c>
      <c r="H114" s="431"/>
      <c r="I114" s="41"/>
      <c r="J114" s="102"/>
      <c r="K114" s="102"/>
      <c r="N114" s="271" t="s">
        <v>41</v>
      </c>
      <c r="O114" s="272" t="s">
        <v>195</v>
      </c>
      <c r="P114" s="272" t="s">
        <v>181</v>
      </c>
      <c r="Q114" s="273" t="s">
        <v>2088</v>
      </c>
      <c r="R114" s="67"/>
    </row>
    <row r="115">
      <c r="A115" s="12" t="s">
        <v>13</v>
      </c>
      <c r="B115" s="227" t="s">
        <v>2089</v>
      </c>
      <c r="C115" s="74" t="str">
        <f t="shared" si="13"/>
        <v>Terça-Feira</v>
      </c>
      <c r="D115" s="512" t="str">
        <f>IF(C115&lt;&gt;"Quarta-Feira","14:00","09:00")</f>
        <v>14:00</v>
      </c>
      <c r="E115" s="372"/>
      <c r="F115" s="370"/>
      <c r="G115" s="567" t="s">
        <v>3099</v>
      </c>
      <c r="H115" s="431"/>
      <c r="I115" s="41"/>
      <c r="J115" s="102"/>
      <c r="K115" s="102"/>
      <c r="N115" s="275">
        <f t="shared" ref="N115:Q115" si="14">COUNTIFS($I$112:$I$123,N114)</f>
        <v>0</v>
      </c>
      <c r="O115" s="275">
        <f t="shared" si="14"/>
        <v>0</v>
      </c>
      <c r="P115" s="275">
        <f t="shared" si="14"/>
        <v>0</v>
      </c>
      <c r="Q115" s="275">
        <f t="shared" si="14"/>
        <v>0</v>
      </c>
      <c r="R115" s="67"/>
    </row>
    <row r="116">
      <c r="A116" s="12" t="s">
        <v>14</v>
      </c>
      <c r="B116" s="227" t="s">
        <v>2082</v>
      </c>
      <c r="C116" s="74" t="str">
        <f t="shared" si="13"/>
        <v>Terça-Feira</v>
      </c>
      <c r="D116" s="512" t="str">
        <f>IF(C116&lt;&gt;"Quarta-Feira","14:20","09:20")</f>
        <v>14:20</v>
      </c>
      <c r="E116" s="372"/>
      <c r="F116" s="370"/>
      <c r="G116" s="567" t="s">
        <v>3099</v>
      </c>
      <c r="H116" s="431"/>
      <c r="I116" s="41"/>
      <c r="J116" s="102"/>
      <c r="K116" s="102"/>
      <c r="R116" s="67"/>
    </row>
    <row r="117">
      <c r="A117" s="12" t="s">
        <v>15</v>
      </c>
      <c r="B117" s="227" t="s">
        <v>2089</v>
      </c>
      <c r="C117" s="74" t="str">
        <f t="shared" si="13"/>
        <v>Terça-Feira</v>
      </c>
      <c r="D117" s="512" t="str">
        <f>IF(C117&lt;&gt;"Quarta-Feira","14:40","09:40")</f>
        <v>14:40</v>
      </c>
      <c r="E117" s="372"/>
      <c r="F117" s="370"/>
      <c r="G117" s="567" t="s">
        <v>3099</v>
      </c>
      <c r="H117" s="431"/>
      <c r="I117" s="41"/>
      <c r="J117" s="102"/>
      <c r="K117" s="102"/>
      <c r="R117" s="67"/>
    </row>
    <row r="118">
      <c r="A118" s="12" t="s">
        <v>16</v>
      </c>
      <c r="B118" s="227" t="s">
        <v>2093</v>
      </c>
      <c r="C118" s="74" t="str">
        <f t="shared" si="13"/>
        <v>Terça-Feira</v>
      </c>
      <c r="D118" s="512" t="str">
        <f>IF(C118&lt;&gt;"Quarta-Feira","15:00","10:00")</f>
        <v>15:00</v>
      </c>
      <c r="E118" s="372"/>
      <c r="F118" s="370"/>
      <c r="G118" s="567" t="s">
        <v>3099</v>
      </c>
      <c r="H118" s="431"/>
      <c r="I118" s="41"/>
      <c r="J118" s="102"/>
      <c r="K118" s="102"/>
      <c r="R118" s="67"/>
    </row>
    <row r="119">
      <c r="A119" s="12" t="s">
        <v>17</v>
      </c>
      <c r="B119" s="227" t="s">
        <v>2094</v>
      </c>
      <c r="C119" s="74" t="str">
        <f t="shared" si="13"/>
        <v>Terça-Feira</v>
      </c>
      <c r="D119" s="512" t="str">
        <f>IF(C119&lt;&gt;"Quarta-Feira","15:20","10:20")</f>
        <v>15:20</v>
      </c>
      <c r="E119" s="372"/>
      <c r="F119" s="370"/>
      <c r="G119" s="567" t="s">
        <v>3099</v>
      </c>
      <c r="H119" s="431"/>
      <c r="I119" s="41"/>
      <c r="J119" s="102"/>
      <c r="K119" s="102"/>
      <c r="R119" s="67"/>
    </row>
    <row r="120">
      <c r="A120" s="12" t="s">
        <v>85</v>
      </c>
      <c r="B120" s="227" t="s">
        <v>2095</v>
      </c>
      <c r="C120" s="74" t="str">
        <f t="shared" si="13"/>
        <v>Terça-Feira</v>
      </c>
      <c r="D120" s="512" t="str">
        <f>IF(C120&lt;&gt;"Quarta-Feira","15:40","10:40")</f>
        <v>15:40</v>
      </c>
      <c r="E120" s="372"/>
      <c r="F120" s="370"/>
      <c r="G120" s="567" t="s">
        <v>3099</v>
      </c>
      <c r="H120" s="431"/>
      <c r="I120" s="41"/>
      <c r="J120" s="102"/>
      <c r="K120" s="102"/>
      <c r="R120" s="67"/>
    </row>
    <row r="121">
      <c r="A121" s="12" t="s">
        <v>87</v>
      </c>
      <c r="B121" s="227" t="s">
        <v>2096</v>
      </c>
      <c r="C121" s="74" t="str">
        <f t="shared" si="13"/>
        <v>Terça-Feira</v>
      </c>
      <c r="D121" s="512" t="str">
        <f>IF(C121&lt;&gt;"Quarta-Feira","16:00","11:00")</f>
        <v>16:00</v>
      </c>
      <c r="E121" s="372"/>
      <c r="F121" s="370"/>
      <c r="G121" s="567" t="s">
        <v>3099</v>
      </c>
      <c r="H121" s="431"/>
      <c r="I121" s="41"/>
      <c r="J121" s="102"/>
      <c r="K121" s="102"/>
      <c r="R121" s="67"/>
    </row>
    <row r="122">
      <c r="A122" s="12" t="s">
        <v>90</v>
      </c>
      <c r="B122" s="227" t="s">
        <v>2098</v>
      </c>
      <c r="C122" s="74" t="str">
        <f t="shared" si="13"/>
        <v>Terça-Feira</v>
      </c>
      <c r="D122" s="512" t="str">
        <f>IF(C122&lt;&gt;"Quarta-Feira","16:20","11:20")</f>
        <v>16:20</v>
      </c>
      <c r="E122" s="372"/>
      <c r="F122" s="370"/>
      <c r="G122" s="567" t="s">
        <v>3099</v>
      </c>
      <c r="H122" s="431"/>
      <c r="I122" s="41"/>
      <c r="J122" s="102"/>
      <c r="K122" s="102"/>
      <c r="R122" s="67"/>
    </row>
    <row r="123">
      <c r="A123" s="12" t="s">
        <v>93</v>
      </c>
      <c r="B123" s="227" t="s">
        <v>2096</v>
      </c>
      <c r="C123" s="74" t="str">
        <f t="shared" si="13"/>
        <v>Terça-Feira</v>
      </c>
      <c r="D123" s="512" t="str">
        <f>IF(C123&lt;&gt;"Quarta-Feira","16:40","11:40")</f>
        <v>16:40</v>
      </c>
      <c r="E123" s="372"/>
      <c r="F123" s="370"/>
      <c r="G123" s="567" t="s">
        <v>3099</v>
      </c>
      <c r="H123" s="431"/>
      <c r="I123" s="41"/>
      <c r="J123" s="102"/>
      <c r="K123" s="102"/>
      <c r="R123" s="67"/>
    </row>
    <row r="124">
      <c r="A124" s="503"/>
      <c r="B124" s="493"/>
      <c r="C124" s="315"/>
      <c r="D124" s="504"/>
      <c r="E124" s="505"/>
      <c r="F124" s="506"/>
      <c r="G124" s="507"/>
      <c r="H124" s="508"/>
      <c r="I124" s="509"/>
      <c r="J124" s="510"/>
      <c r="K124" s="510"/>
      <c r="R124" s="67"/>
    </row>
    <row r="125">
      <c r="A125" s="503"/>
      <c r="B125" s="493"/>
      <c r="C125" s="315"/>
      <c r="D125" s="504"/>
      <c r="E125" s="505"/>
      <c r="F125" s="506"/>
      <c r="G125" s="507"/>
      <c r="H125" s="508"/>
      <c r="I125" s="509"/>
      <c r="J125" s="510"/>
      <c r="K125" s="510"/>
      <c r="R125" s="67"/>
    </row>
    <row r="126">
      <c r="A126" s="503"/>
      <c r="B126" s="493"/>
      <c r="C126" s="315"/>
      <c r="D126" s="504"/>
      <c r="E126" s="505"/>
      <c r="F126" s="506"/>
      <c r="G126" s="507"/>
      <c r="H126" s="508"/>
      <c r="I126" s="509"/>
      <c r="J126" s="510"/>
      <c r="K126" s="510"/>
      <c r="R126" s="67"/>
    </row>
    <row r="127">
      <c r="A127" s="23" t="s">
        <v>18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13h às 17h"</f>
        <v>23/04/2026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26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8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1790</v>
      </c>
      <c r="C130" s="74" t="str">
        <f t="shared" ref="C130:C141" si="15">PROPER(TEXT(DATE(MID($A$92,7,4),MID($A$92,4,2),LEFT($A$92,2)),"dddd"))</f>
        <v>Quinta-Feira</v>
      </c>
      <c r="D130" s="512" t="str">
        <f>IF(C130&lt;&gt;"Quarta-Feira","13:00","08:00")</f>
        <v>13:00</v>
      </c>
      <c r="E130" s="245" t="s">
        <v>3100</v>
      </c>
      <c r="F130" s="162">
        <v>7.06208064212563E14</v>
      </c>
      <c r="G130" s="161" t="s">
        <v>3101</v>
      </c>
      <c r="H130" s="390">
        <v>23599.0</v>
      </c>
      <c r="I130" s="41" t="s">
        <v>41</v>
      </c>
      <c r="J130" s="238"/>
      <c r="K130" s="238"/>
      <c r="N130" s="268" t="s">
        <v>387</v>
      </c>
      <c r="O130" s="100"/>
      <c r="P130" s="100"/>
      <c r="Q130" s="100"/>
      <c r="R130" s="67"/>
    </row>
    <row r="131">
      <c r="A131" s="12" t="s">
        <v>11</v>
      </c>
      <c r="B131" s="227" t="s">
        <v>1714</v>
      </c>
      <c r="C131" s="74" t="str">
        <f t="shared" si="15"/>
        <v>Quinta-Feira</v>
      </c>
      <c r="D131" s="512" t="str">
        <f>IF(C131&lt;&gt;"Quarta-Feira","13:20","08:20")</f>
        <v>13:20</v>
      </c>
      <c r="E131" s="245" t="s">
        <v>3102</v>
      </c>
      <c r="F131" s="487">
        <v>7.05400413794298E14</v>
      </c>
      <c r="G131" s="161" t="s">
        <v>3103</v>
      </c>
      <c r="H131" s="502">
        <v>22953.0</v>
      </c>
      <c r="I131" s="41" t="s">
        <v>41</v>
      </c>
      <c r="J131" s="238"/>
      <c r="K131" s="238"/>
      <c r="N131" s="270" t="s">
        <v>2086</v>
      </c>
      <c r="O131" s="2"/>
      <c r="P131" s="2"/>
      <c r="Q131" s="2"/>
      <c r="R131" s="67"/>
    </row>
    <row r="132">
      <c r="A132" s="12" t="s">
        <v>12</v>
      </c>
      <c r="B132" s="227" t="s">
        <v>1781</v>
      </c>
      <c r="C132" s="74" t="str">
        <f t="shared" si="15"/>
        <v>Quinta-Feira</v>
      </c>
      <c r="D132" s="512" t="str">
        <f>IF(C132&lt;&gt;"Quarta-Feira","13:40","08:40")</f>
        <v>13:40</v>
      </c>
      <c r="E132" s="245" t="s">
        <v>3104</v>
      </c>
      <c r="F132" s="162">
        <v>8.01440492727495E14</v>
      </c>
      <c r="G132" s="161" t="s">
        <v>3105</v>
      </c>
      <c r="H132" s="390">
        <v>21409.0</v>
      </c>
      <c r="I132" s="41" t="s">
        <v>41</v>
      </c>
      <c r="J132" s="238"/>
      <c r="K132" s="238"/>
      <c r="N132" s="271" t="s">
        <v>41</v>
      </c>
      <c r="O132" s="272" t="s">
        <v>195</v>
      </c>
      <c r="P132" s="272" t="s">
        <v>181</v>
      </c>
      <c r="Q132" s="273" t="s">
        <v>2088</v>
      </c>
      <c r="R132" s="67"/>
    </row>
    <row r="133">
      <c r="A133" s="12" t="s">
        <v>13</v>
      </c>
      <c r="B133" s="227" t="s">
        <v>1721</v>
      </c>
      <c r="C133" s="74" t="str">
        <f t="shared" si="15"/>
        <v>Quinta-Feira</v>
      </c>
      <c r="D133" s="512" t="str">
        <f>IF(C133&lt;&gt;"Quarta-Feira","14:00","09:00")</f>
        <v>14:00</v>
      </c>
      <c r="E133" s="245" t="s">
        <v>3106</v>
      </c>
      <c r="F133" s="301">
        <v>8.98001418804063E14</v>
      </c>
      <c r="G133" s="233" t="s">
        <v>3107</v>
      </c>
      <c r="H133" s="521">
        <v>26762.0</v>
      </c>
      <c r="I133" s="41" t="s">
        <v>41</v>
      </c>
      <c r="J133" s="238"/>
      <c r="K133" s="238"/>
      <c r="N133" s="275">
        <f t="shared" ref="N133:Q133" si="16">COUNTIFS($I$130:$I$141,N132)</f>
        <v>9</v>
      </c>
      <c r="O133" s="275">
        <f t="shared" si="16"/>
        <v>0</v>
      </c>
      <c r="P133" s="275">
        <f t="shared" si="16"/>
        <v>0</v>
      </c>
      <c r="Q133" s="275">
        <f t="shared" si="16"/>
        <v>3</v>
      </c>
      <c r="R133" s="67"/>
    </row>
    <row r="134">
      <c r="A134" s="12" t="s">
        <v>14</v>
      </c>
      <c r="B134" s="227" t="s">
        <v>1796</v>
      </c>
      <c r="C134" s="74" t="str">
        <f t="shared" si="15"/>
        <v>Quinta-Feira</v>
      </c>
      <c r="D134" s="512" t="str">
        <f>IF(C134&lt;&gt;"Quarta-Feira","14:20","09:20")</f>
        <v>14:20</v>
      </c>
      <c r="E134" s="245" t="s">
        <v>3083</v>
      </c>
      <c r="F134" s="162">
        <v>7.02503340150938E14</v>
      </c>
      <c r="G134" s="161" t="s">
        <v>3084</v>
      </c>
      <c r="H134" s="390">
        <v>26542.0</v>
      </c>
      <c r="I134" s="41" t="s">
        <v>2088</v>
      </c>
      <c r="J134" s="238"/>
      <c r="K134" s="238"/>
      <c r="R134" s="67"/>
    </row>
    <row r="135">
      <c r="A135" s="12" t="s">
        <v>15</v>
      </c>
      <c r="B135" s="227" t="s">
        <v>1790</v>
      </c>
      <c r="C135" s="74" t="str">
        <f t="shared" si="15"/>
        <v>Quinta-Feira</v>
      </c>
      <c r="D135" s="512" t="str">
        <f>IF(C135&lt;&gt;"Quarta-Feira","14:40","09:40")</f>
        <v>14:40</v>
      </c>
      <c r="E135" s="245" t="s">
        <v>3108</v>
      </c>
      <c r="F135" s="162">
        <v>8.98004954633852E14</v>
      </c>
      <c r="G135" s="161" t="s">
        <v>3109</v>
      </c>
      <c r="H135" s="390">
        <v>14143.0</v>
      </c>
      <c r="I135" s="41" t="s">
        <v>41</v>
      </c>
      <c r="J135" s="238"/>
      <c r="K135" s="238"/>
      <c r="R135" s="67"/>
    </row>
    <row r="136">
      <c r="A136" s="12" t="s">
        <v>16</v>
      </c>
      <c r="B136" s="227" t="s">
        <v>2653</v>
      </c>
      <c r="C136" s="74" t="str">
        <f t="shared" si="15"/>
        <v>Quinta-Feira</v>
      </c>
      <c r="D136" s="512" t="str">
        <f>IF(C136&lt;&gt;"Quarta-Feira","15:00","10:00")</f>
        <v>15:00</v>
      </c>
      <c r="E136" s="245" t="s">
        <v>3110</v>
      </c>
      <c r="F136" s="162">
        <v>7.01008899527795E14</v>
      </c>
      <c r="G136" s="161" t="s">
        <v>3111</v>
      </c>
      <c r="H136" s="390">
        <v>28044.0</v>
      </c>
      <c r="I136" s="41" t="s">
        <v>2088</v>
      </c>
      <c r="J136" s="238"/>
      <c r="K136" s="238"/>
      <c r="R136" s="67"/>
    </row>
    <row r="137">
      <c r="A137" s="12" t="s">
        <v>17</v>
      </c>
      <c r="B137" s="227" t="s">
        <v>2656</v>
      </c>
      <c r="C137" s="74" t="str">
        <f t="shared" si="15"/>
        <v>Quinta-Feira</v>
      </c>
      <c r="D137" s="512" t="str">
        <f>IF(C137&lt;&gt;"Quarta-Feira","15:20","10:20")</f>
        <v>15:20</v>
      </c>
      <c r="E137" s="245" t="s">
        <v>3112</v>
      </c>
      <c r="F137" s="162">
        <v>7.000088120531E14</v>
      </c>
      <c r="G137" s="161" t="s">
        <v>3113</v>
      </c>
      <c r="H137" s="390">
        <v>19089.0</v>
      </c>
      <c r="I137" s="41" t="s">
        <v>41</v>
      </c>
      <c r="J137" s="238"/>
      <c r="K137" s="238"/>
      <c r="R137" s="67"/>
    </row>
    <row r="138">
      <c r="A138" s="12" t="s">
        <v>85</v>
      </c>
      <c r="B138" s="227" t="s">
        <v>2659</v>
      </c>
      <c r="C138" s="74" t="str">
        <f t="shared" si="15"/>
        <v>Quinta-Feira</v>
      </c>
      <c r="D138" s="512" t="str">
        <f>IF(C138&lt;&gt;"Quarta-Feira","15:40","10:40")</f>
        <v>15:40</v>
      </c>
      <c r="E138" s="245" t="s">
        <v>3114</v>
      </c>
      <c r="F138" s="162">
        <v>7.00606974744365E14</v>
      </c>
      <c r="G138" s="161" t="s">
        <v>3115</v>
      </c>
      <c r="H138" s="390">
        <v>16506.0</v>
      </c>
      <c r="I138" s="41" t="s">
        <v>41</v>
      </c>
      <c r="J138" s="238"/>
      <c r="K138" s="238"/>
      <c r="R138" s="67"/>
    </row>
    <row r="139">
      <c r="A139" s="12" t="s">
        <v>87</v>
      </c>
      <c r="B139" s="227" t="s">
        <v>1735</v>
      </c>
      <c r="C139" s="74" t="str">
        <f t="shared" si="15"/>
        <v>Quinta-Feira</v>
      </c>
      <c r="D139" s="512" t="str">
        <f>IF(C139&lt;&gt;"Quarta-Feira","16:00","11:00")</f>
        <v>16:00</v>
      </c>
      <c r="E139" s="245" t="s">
        <v>3116</v>
      </c>
      <c r="F139" s="162">
        <v>8.98002302023201E14</v>
      </c>
      <c r="G139" s="161" t="s">
        <v>3117</v>
      </c>
      <c r="H139" s="390">
        <v>24178.0</v>
      </c>
      <c r="I139" s="41" t="s">
        <v>41</v>
      </c>
      <c r="J139" s="238"/>
      <c r="K139" s="238"/>
      <c r="R139" s="67"/>
    </row>
    <row r="140">
      <c r="A140" s="12" t="s">
        <v>90</v>
      </c>
      <c r="B140" s="227" t="s">
        <v>2659</v>
      </c>
      <c r="C140" s="74" t="str">
        <f t="shared" si="15"/>
        <v>Quinta-Feira</v>
      </c>
      <c r="D140" s="512" t="str">
        <f>IF(C140&lt;&gt;"Quarta-Feira","16:20","11:20")</f>
        <v>16:20</v>
      </c>
      <c r="E140" s="245" t="s">
        <v>3118</v>
      </c>
      <c r="F140" s="162">
        <v>7.0830879685276E14</v>
      </c>
      <c r="G140" s="161" t="s">
        <v>3119</v>
      </c>
      <c r="H140" s="390">
        <v>27497.0</v>
      </c>
      <c r="I140" s="41" t="s">
        <v>41</v>
      </c>
      <c r="J140" s="238"/>
      <c r="K140" s="238"/>
      <c r="R140" s="67"/>
    </row>
    <row r="141">
      <c r="A141" s="12" t="s">
        <v>93</v>
      </c>
      <c r="B141" s="227" t="s">
        <v>1735</v>
      </c>
      <c r="C141" s="74" t="str">
        <f t="shared" si="15"/>
        <v>Quinta-Feira</v>
      </c>
      <c r="D141" s="512" t="str">
        <f>IF(C141&lt;&gt;"Quarta-Feira","16:40","11:40")</f>
        <v>16:40</v>
      </c>
      <c r="E141" s="245" t="s">
        <v>3120</v>
      </c>
      <c r="F141" s="162">
        <v>7.09801063856796E14</v>
      </c>
      <c r="G141" s="161" t="s">
        <v>3121</v>
      </c>
      <c r="H141" s="390">
        <v>26157.0</v>
      </c>
      <c r="I141" s="41" t="s">
        <v>2088</v>
      </c>
      <c r="J141" s="238"/>
      <c r="K141" s="238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503"/>
      <c r="B144" s="493"/>
      <c r="C144" s="315"/>
      <c r="D144" s="504"/>
      <c r="E144" s="505"/>
      <c r="F144" s="506"/>
      <c r="G144" s="507"/>
      <c r="H144" s="508"/>
      <c r="I144" s="509"/>
      <c r="J144" s="510"/>
      <c r="K144" s="510"/>
      <c r="R144" s="67"/>
    </row>
    <row r="145">
      <c r="A145" s="568" t="s">
        <v>3122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TEXT(DATE(VALUE(MID(A110,7,4)),VALUE(MID(A110,4,2)),VALUE(LEFT(A110,2)))+7,"dd/mm/yyyy")&amp;" 13h às 17h"</f>
        <v>28/04/2026 13h às 17h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26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8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2082</v>
      </c>
      <c r="C148" s="74" t="str">
        <f t="shared" ref="C148:C159" si="17">PROPER(TEXT(DATE(MID($A$110,7,4),MID($A$110,4,2),LEFT($A$110,2)),"dddd"))</f>
        <v>Terça-Feira</v>
      </c>
      <c r="D148" s="512" t="str">
        <f>IF(C148&lt;&gt;"Quarta-Feira","13:00","08:00")</f>
        <v>13:00</v>
      </c>
      <c r="E148" s="241"/>
      <c r="F148" s="185"/>
      <c r="G148" s="105" t="s">
        <v>3123</v>
      </c>
      <c r="H148" s="83"/>
      <c r="I148" s="41"/>
      <c r="J148" s="102"/>
      <c r="K148" s="102"/>
      <c r="N148" s="268" t="s">
        <v>387</v>
      </c>
      <c r="O148" s="100"/>
      <c r="P148" s="100"/>
      <c r="Q148" s="100"/>
      <c r="R148" s="67"/>
    </row>
    <row r="149">
      <c r="A149" s="12" t="s">
        <v>11</v>
      </c>
      <c r="B149" s="227" t="s">
        <v>2084</v>
      </c>
      <c r="C149" s="74" t="str">
        <f t="shared" si="17"/>
        <v>Terça-Feira</v>
      </c>
      <c r="D149" s="512" t="str">
        <f>IF(C149&lt;&gt;"Quarta-Feira","13:20","08:20")</f>
        <v>13:20</v>
      </c>
      <c r="E149" s="241"/>
      <c r="F149" s="185"/>
      <c r="G149" s="105" t="s">
        <v>3123</v>
      </c>
      <c r="H149" s="83"/>
      <c r="I149" s="41"/>
      <c r="J149" s="102"/>
      <c r="K149" s="102"/>
      <c r="N149" s="270" t="s">
        <v>2086</v>
      </c>
      <c r="O149" s="2"/>
      <c r="P149" s="2"/>
      <c r="Q149" s="2"/>
      <c r="R149" s="67"/>
    </row>
    <row r="150">
      <c r="A150" s="12" t="s">
        <v>12</v>
      </c>
      <c r="B150" s="227" t="s">
        <v>2087</v>
      </c>
      <c r="C150" s="74" t="str">
        <f t="shared" si="17"/>
        <v>Terça-Feira</v>
      </c>
      <c r="D150" s="512" t="str">
        <f>IF(C150&lt;&gt;"Quarta-Feira","13:40","08:40")</f>
        <v>13:40</v>
      </c>
      <c r="E150" s="241"/>
      <c r="F150" s="185"/>
      <c r="G150" s="105" t="s">
        <v>3123</v>
      </c>
      <c r="H150" s="83"/>
      <c r="I150" s="41"/>
      <c r="J150" s="102"/>
      <c r="K150" s="102"/>
      <c r="N150" s="271" t="s">
        <v>41</v>
      </c>
      <c r="O150" s="272" t="s">
        <v>195</v>
      </c>
      <c r="P150" s="272" t="s">
        <v>181</v>
      </c>
      <c r="Q150" s="273" t="s">
        <v>2088</v>
      </c>
      <c r="R150" s="67"/>
    </row>
    <row r="151">
      <c r="A151" s="12" t="s">
        <v>13</v>
      </c>
      <c r="B151" s="227" t="s">
        <v>2089</v>
      </c>
      <c r="C151" s="74" t="str">
        <f t="shared" si="17"/>
        <v>Terça-Feira</v>
      </c>
      <c r="D151" s="512" t="str">
        <f>IF(C151&lt;&gt;"Quarta-Feira","14:00","09:00")</f>
        <v>14:00</v>
      </c>
      <c r="E151" s="241"/>
      <c r="F151" s="185"/>
      <c r="G151" s="105" t="s">
        <v>3123</v>
      </c>
      <c r="H151" s="83"/>
      <c r="I151" s="41"/>
      <c r="J151" s="102"/>
      <c r="K151" s="102"/>
      <c r="N151" s="275">
        <f t="shared" ref="N151:Q151" si="18">COUNTIFS($I$148:$I$159,N150)</f>
        <v>0</v>
      </c>
      <c r="O151" s="275">
        <f t="shared" si="18"/>
        <v>0</v>
      </c>
      <c r="P151" s="275">
        <f t="shared" si="18"/>
        <v>0</v>
      </c>
      <c r="Q151" s="275">
        <f t="shared" si="18"/>
        <v>0</v>
      </c>
      <c r="R151" s="67"/>
    </row>
    <row r="152">
      <c r="A152" s="12" t="s">
        <v>14</v>
      </c>
      <c r="B152" s="227" t="s">
        <v>2082</v>
      </c>
      <c r="C152" s="74" t="str">
        <f t="shared" si="17"/>
        <v>Terça-Feira</v>
      </c>
      <c r="D152" s="512" t="str">
        <f>IF(C152&lt;&gt;"Quarta-Feira","14:20","09:20")</f>
        <v>14:20</v>
      </c>
      <c r="E152" s="241"/>
      <c r="F152" s="185"/>
      <c r="G152" s="105" t="s">
        <v>3123</v>
      </c>
      <c r="H152" s="83"/>
      <c r="I152" s="41"/>
      <c r="J152" s="102"/>
      <c r="K152" s="102"/>
      <c r="R152" s="67"/>
    </row>
    <row r="153">
      <c r="A153" s="12" t="s">
        <v>15</v>
      </c>
      <c r="B153" s="227" t="s">
        <v>2089</v>
      </c>
      <c r="C153" s="74" t="str">
        <f t="shared" si="17"/>
        <v>Terça-Feira</v>
      </c>
      <c r="D153" s="512" t="str">
        <f>IF(C153&lt;&gt;"Quarta-Feira","14:40","09:40")</f>
        <v>14:40</v>
      </c>
      <c r="E153" s="241"/>
      <c r="F153" s="185"/>
      <c r="G153" s="105" t="s">
        <v>3123</v>
      </c>
      <c r="H153" s="83"/>
      <c r="I153" s="41"/>
      <c r="J153" s="102"/>
      <c r="K153" s="102"/>
      <c r="R153" s="67"/>
    </row>
    <row r="154">
      <c r="A154" s="12" t="s">
        <v>16</v>
      </c>
      <c r="B154" s="227" t="s">
        <v>2093</v>
      </c>
      <c r="C154" s="74" t="str">
        <f t="shared" si="17"/>
        <v>Terça-Feira</v>
      </c>
      <c r="D154" s="512" t="str">
        <f>IF(C154&lt;&gt;"Quarta-Feira","15:00","10:00")</f>
        <v>15:00</v>
      </c>
      <c r="E154" s="241"/>
      <c r="F154" s="185"/>
      <c r="G154" s="105" t="s">
        <v>3123</v>
      </c>
      <c r="H154" s="83"/>
      <c r="I154" s="41"/>
      <c r="J154" s="102"/>
      <c r="K154" s="102"/>
      <c r="R154" s="67"/>
    </row>
    <row r="155">
      <c r="A155" s="12" t="s">
        <v>17</v>
      </c>
      <c r="B155" s="227" t="s">
        <v>2094</v>
      </c>
      <c r="C155" s="74" t="str">
        <f t="shared" si="17"/>
        <v>Terça-Feira</v>
      </c>
      <c r="D155" s="512" t="str">
        <f>IF(C155&lt;&gt;"Quarta-Feira","15:20","10:20")</f>
        <v>15:20</v>
      </c>
      <c r="E155" s="241"/>
      <c r="F155" s="185"/>
      <c r="G155" s="105" t="s">
        <v>3123</v>
      </c>
      <c r="H155" s="83"/>
      <c r="I155" s="41"/>
      <c r="J155" s="102"/>
      <c r="K155" s="102"/>
      <c r="R155" s="67"/>
    </row>
    <row r="156">
      <c r="A156" s="12" t="s">
        <v>85</v>
      </c>
      <c r="B156" s="227" t="s">
        <v>2095</v>
      </c>
      <c r="C156" s="74" t="str">
        <f t="shared" si="17"/>
        <v>Terça-Feira</v>
      </c>
      <c r="D156" s="512" t="str">
        <f>IF(C156&lt;&gt;"Quarta-Feira","15:40","10:40")</f>
        <v>15:40</v>
      </c>
      <c r="E156" s="241"/>
      <c r="F156" s="185"/>
      <c r="G156" s="105" t="s">
        <v>3123</v>
      </c>
      <c r="H156" s="83"/>
      <c r="I156" s="41"/>
      <c r="J156" s="102"/>
      <c r="K156" s="102"/>
      <c r="R156" s="67"/>
    </row>
    <row r="157">
      <c r="A157" s="12" t="s">
        <v>87</v>
      </c>
      <c r="B157" s="227" t="s">
        <v>2096</v>
      </c>
      <c r="C157" s="74" t="str">
        <f t="shared" si="17"/>
        <v>Terça-Feira</v>
      </c>
      <c r="D157" s="512" t="str">
        <f>IF(C157&lt;&gt;"Quarta-Feira","16:00","11:00")</f>
        <v>16:00</v>
      </c>
      <c r="E157" s="241"/>
      <c r="F157" s="185"/>
      <c r="G157" s="105" t="s">
        <v>3123</v>
      </c>
      <c r="H157" s="83"/>
      <c r="I157" s="41"/>
      <c r="J157" s="102"/>
      <c r="K157" s="102"/>
      <c r="R157" s="67"/>
    </row>
    <row r="158">
      <c r="A158" s="12" t="s">
        <v>90</v>
      </c>
      <c r="B158" s="227" t="s">
        <v>2098</v>
      </c>
      <c r="C158" s="74" t="str">
        <f t="shared" si="17"/>
        <v>Terça-Feira</v>
      </c>
      <c r="D158" s="512" t="str">
        <f>IF(C158&lt;&gt;"Quarta-Feira","16:20","11:20")</f>
        <v>16:20</v>
      </c>
      <c r="E158" s="241"/>
      <c r="F158" s="185"/>
      <c r="G158" s="105" t="s">
        <v>3123</v>
      </c>
      <c r="H158" s="83"/>
      <c r="I158" s="41"/>
      <c r="J158" s="102"/>
      <c r="K158" s="102"/>
      <c r="R158" s="67"/>
    </row>
    <row r="159">
      <c r="A159" s="12" t="s">
        <v>93</v>
      </c>
      <c r="B159" s="227" t="s">
        <v>2096</v>
      </c>
      <c r="C159" s="74" t="str">
        <f t="shared" si="17"/>
        <v>Terça-Feira</v>
      </c>
      <c r="D159" s="512" t="str">
        <f>IF(C159&lt;&gt;"Quarta-Feira","16:40","11:40")</f>
        <v>16:40</v>
      </c>
      <c r="E159" s="241"/>
      <c r="F159" s="185"/>
      <c r="G159" s="105" t="s">
        <v>3123</v>
      </c>
      <c r="H159" s="83"/>
      <c r="I159" s="41"/>
      <c r="J159" s="102"/>
      <c r="K159" s="102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503"/>
      <c r="B162" s="493"/>
      <c r="C162" s="315"/>
      <c r="D162" s="504"/>
      <c r="E162" s="505"/>
      <c r="F162" s="506"/>
      <c r="G162" s="507"/>
      <c r="H162" s="508"/>
      <c r="I162" s="509"/>
      <c r="J162" s="510"/>
      <c r="K162" s="510"/>
      <c r="R162" s="67"/>
    </row>
    <row r="163">
      <c r="A163" s="23" t="s">
        <v>18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TEXT(DATE(VALUE(MID(A146,7,4)),VALUE(MID(A146,4,2)),VALUE(LEFT(A146,2)))+2,"dd/mm/yyyy")&amp;" 13h às 17h"</f>
        <v>30/04/2026 13h às 17h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26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8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12" t="s">
        <v>10</v>
      </c>
      <c r="B166" s="227" t="s">
        <v>1790</v>
      </c>
      <c r="C166" s="74" t="str">
        <f t="shared" ref="C166:C177" si="19">PROPER(TEXT(DATE(MID($A$92,7,4),MID($A$92,4,2),LEFT($A$92,2)),"dddd"))</f>
        <v>Quinta-Feira</v>
      </c>
      <c r="D166" s="512" t="str">
        <f>IF(C166&lt;&gt;"Quarta-Feira","13:00","08:00")</f>
        <v>13:00</v>
      </c>
      <c r="E166" s="245" t="s">
        <v>3124</v>
      </c>
      <c r="F166" s="162">
        <v>7.06800215627527E14</v>
      </c>
      <c r="G166" s="161" t="s">
        <v>3125</v>
      </c>
      <c r="H166" s="390">
        <v>16829.0</v>
      </c>
      <c r="I166" s="41" t="s">
        <v>41</v>
      </c>
      <c r="J166" s="238"/>
      <c r="K166" s="238"/>
      <c r="N166" s="268" t="s">
        <v>387</v>
      </c>
      <c r="O166" s="100"/>
      <c r="P166" s="100"/>
      <c r="Q166" s="100"/>
      <c r="R166" s="67"/>
    </row>
    <row r="167">
      <c r="A167" s="12" t="s">
        <v>11</v>
      </c>
      <c r="B167" s="227" t="s">
        <v>1714</v>
      </c>
      <c r="C167" s="74" t="str">
        <f t="shared" si="19"/>
        <v>Quinta-Feira</v>
      </c>
      <c r="D167" s="512" t="str">
        <f>IF(C167&lt;&gt;"Quarta-Feira","13:20","08:20")</f>
        <v>13:20</v>
      </c>
      <c r="E167" s="245" t="s">
        <v>3126</v>
      </c>
      <c r="F167" s="487">
        <v>8.01440477114666E14</v>
      </c>
      <c r="G167" s="161" t="s">
        <v>3127</v>
      </c>
      <c r="H167" s="502">
        <v>18301.0</v>
      </c>
      <c r="I167" s="41" t="s">
        <v>41</v>
      </c>
      <c r="J167" s="238"/>
      <c r="K167" s="238"/>
      <c r="N167" s="270" t="s">
        <v>2086</v>
      </c>
      <c r="O167" s="2"/>
      <c r="P167" s="2"/>
      <c r="Q167" s="2"/>
      <c r="R167" s="67"/>
    </row>
    <row r="168">
      <c r="A168" s="12" t="s">
        <v>12</v>
      </c>
      <c r="B168" s="227" t="s">
        <v>1781</v>
      </c>
      <c r="C168" s="74" t="str">
        <f t="shared" si="19"/>
        <v>Quinta-Feira</v>
      </c>
      <c r="D168" s="512" t="str">
        <f>IF(C168&lt;&gt;"Quarta-Feira","13:40","08:40")</f>
        <v>13:40</v>
      </c>
      <c r="E168" s="245" t="s">
        <v>3128</v>
      </c>
      <c r="F168" s="162">
        <v>1.03902238130007E14</v>
      </c>
      <c r="G168" s="161" t="s">
        <v>3129</v>
      </c>
      <c r="H168" s="390">
        <v>18827.0</v>
      </c>
      <c r="I168" s="41" t="s">
        <v>2567</v>
      </c>
      <c r="J168" s="238"/>
      <c r="K168" s="238"/>
      <c r="N168" s="271" t="s">
        <v>41</v>
      </c>
      <c r="O168" s="272" t="s">
        <v>195</v>
      </c>
      <c r="P168" s="272" t="s">
        <v>181</v>
      </c>
      <c r="Q168" s="273" t="s">
        <v>2088</v>
      </c>
      <c r="R168" s="67"/>
    </row>
    <row r="169">
      <c r="A169" s="12" t="s">
        <v>13</v>
      </c>
      <c r="B169" s="227" t="s">
        <v>1721</v>
      </c>
      <c r="C169" s="74" t="str">
        <f t="shared" si="19"/>
        <v>Quinta-Feira</v>
      </c>
      <c r="D169" s="512" t="str">
        <f>IF(C169&lt;&gt;"Quarta-Feira","14:00","09:00")</f>
        <v>14:00</v>
      </c>
      <c r="E169" s="245" t="s">
        <v>3130</v>
      </c>
      <c r="F169" s="301">
        <v>2.1014915483E14</v>
      </c>
      <c r="G169" s="233" t="s">
        <v>3131</v>
      </c>
      <c r="H169" s="521">
        <v>15317.0</v>
      </c>
      <c r="I169" s="41" t="s">
        <v>41</v>
      </c>
      <c r="J169" s="238"/>
      <c r="K169" s="238"/>
      <c r="N169" s="275">
        <f t="shared" ref="N169:Q169" si="20">COUNTIFS($I$130:$I$141,N168)</f>
        <v>9</v>
      </c>
      <c r="O169" s="275">
        <f t="shared" si="20"/>
        <v>0</v>
      </c>
      <c r="P169" s="275">
        <f t="shared" si="20"/>
        <v>0</v>
      </c>
      <c r="Q169" s="275">
        <f t="shared" si="20"/>
        <v>3</v>
      </c>
      <c r="R169" s="67"/>
    </row>
    <row r="170">
      <c r="A170" s="12" t="s">
        <v>14</v>
      </c>
      <c r="B170" s="227" t="s">
        <v>1796</v>
      </c>
      <c r="C170" s="74" t="str">
        <f t="shared" si="19"/>
        <v>Quinta-Feira</v>
      </c>
      <c r="D170" s="512" t="str">
        <f>IF(C170&lt;&gt;"Quarta-Feira","14:20","09:20")</f>
        <v>14:20</v>
      </c>
      <c r="E170" s="245" t="s">
        <v>3132</v>
      </c>
      <c r="F170" s="162">
        <v>8.98001446159088E14</v>
      </c>
      <c r="G170" s="161" t="s">
        <v>3133</v>
      </c>
      <c r="H170" s="390">
        <v>40599.0</v>
      </c>
      <c r="I170" s="41" t="s">
        <v>41</v>
      </c>
      <c r="J170" s="238"/>
      <c r="K170" s="238"/>
      <c r="R170" s="67"/>
    </row>
    <row r="171">
      <c r="A171" s="12" t="s">
        <v>15</v>
      </c>
      <c r="B171" s="227" t="s">
        <v>1790</v>
      </c>
      <c r="C171" s="74" t="str">
        <f t="shared" si="19"/>
        <v>Quinta-Feira</v>
      </c>
      <c r="D171" s="512" t="str">
        <f>IF(C171&lt;&gt;"Quarta-Feira","14:40","09:40")</f>
        <v>14:40</v>
      </c>
      <c r="E171" s="245" t="s">
        <v>3132</v>
      </c>
      <c r="F171" s="162">
        <v>8.98001446159088E14</v>
      </c>
      <c r="G171" s="161" t="s">
        <v>3134</v>
      </c>
      <c r="H171" s="390">
        <v>20075.0</v>
      </c>
      <c r="I171" s="41" t="s">
        <v>41</v>
      </c>
      <c r="J171" s="238"/>
      <c r="K171" s="238"/>
      <c r="R171" s="67"/>
    </row>
    <row r="172">
      <c r="A172" s="12" t="s">
        <v>16</v>
      </c>
      <c r="B172" s="227" t="s">
        <v>2653</v>
      </c>
      <c r="C172" s="74" t="str">
        <f t="shared" si="19"/>
        <v>Quinta-Feira</v>
      </c>
      <c r="D172" s="512" t="str">
        <f>IF(C172&lt;&gt;"Quarta-Feira","15:00","10:00")</f>
        <v>15:00</v>
      </c>
      <c r="E172" s="245" t="s">
        <v>3110</v>
      </c>
      <c r="F172" s="162">
        <v>7.01008899527795E14</v>
      </c>
      <c r="G172" s="161" t="s">
        <v>3111</v>
      </c>
      <c r="H172" s="390">
        <v>28044.0</v>
      </c>
      <c r="I172" s="41" t="s">
        <v>41</v>
      </c>
      <c r="J172" s="238"/>
      <c r="K172" s="238"/>
      <c r="R172" s="67"/>
    </row>
    <row r="173">
      <c r="A173" s="12" t="s">
        <v>17</v>
      </c>
      <c r="B173" s="227" t="s">
        <v>2656</v>
      </c>
      <c r="C173" s="74" t="str">
        <f t="shared" si="19"/>
        <v>Quinta-Feira</v>
      </c>
      <c r="D173" s="512" t="str">
        <f>IF(C173&lt;&gt;"Quarta-Feira","15:20","10:20")</f>
        <v>15:20</v>
      </c>
      <c r="E173" s="245" t="s">
        <v>3135</v>
      </c>
      <c r="F173" s="162">
        <v>7.06909108410432E14</v>
      </c>
      <c r="G173" s="161" t="s">
        <v>3136</v>
      </c>
      <c r="H173" s="390">
        <v>9892.0</v>
      </c>
      <c r="I173" s="41" t="s">
        <v>41</v>
      </c>
      <c r="J173" s="238"/>
      <c r="K173" s="238"/>
      <c r="R173" s="67"/>
    </row>
    <row r="174">
      <c r="A174" s="12" t="s">
        <v>85</v>
      </c>
      <c r="B174" s="227" t="s">
        <v>2659</v>
      </c>
      <c r="C174" s="74" t="str">
        <f t="shared" si="19"/>
        <v>Quinta-Feira</v>
      </c>
      <c r="D174" s="512" t="str">
        <f>IF(C174&lt;&gt;"Quarta-Feira","15:40","10:40")</f>
        <v>15:40</v>
      </c>
      <c r="E174" s="245" t="s">
        <v>3137</v>
      </c>
      <c r="F174" s="162">
        <v>2.10144476410005E14</v>
      </c>
      <c r="G174" s="161" t="s">
        <v>3138</v>
      </c>
      <c r="H174" s="390">
        <v>32162.0</v>
      </c>
      <c r="I174" s="41" t="s">
        <v>41</v>
      </c>
      <c r="J174" s="238"/>
      <c r="K174" s="238"/>
      <c r="R174" s="67"/>
    </row>
    <row r="175">
      <c r="A175" s="12" t="s">
        <v>87</v>
      </c>
      <c r="B175" s="227" t="s">
        <v>1735</v>
      </c>
      <c r="C175" s="74" t="str">
        <f t="shared" si="19"/>
        <v>Quinta-Feira</v>
      </c>
      <c r="D175" s="512" t="str">
        <f>IF(C175&lt;&gt;"Quarta-Feira","16:00","11:00")</f>
        <v>16:00</v>
      </c>
      <c r="E175" s="245"/>
      <c r="F175" s="162"/>
      <c r="G175" s="161" t="s">
        <v>3139</v>
      </c>
      <c r="H175" s="390"/>
      <c r="I175" s="41" t="s">
        <v>41</v>
      </c>
      <c r="J175" s="238"/>
      <c r="K175" s="238"/>
      <c r="R175" s="67"/>
    </row>
    <row r="176">
      <c r="A176" s="12" t="s">
        <v>90</v>
      </c>
      <c r="B176" s="227" t="s">
        <v>2659</v>
      </c>
      <c r="C176" s="74" t="str">
        <f t="shared" si="19"/>
        <v>Quinta-Feira</v>
      </c>
      <c r="D176" s="512" t="str">
        <f>IF(C176&lt;&gt;"Quarta-Feira","16:20","11:20")</f>
        <v>16:20</v>
      </c>
      <c r="E176" s="245" t="s">
        <v>3140</v>
      </c>
      <c r="F176" s="162">
        <v>7.0250975313864E14</v>
      </c>
      <c r="G176" s="161" t="s">
        <v>3141</v>
      </c>
      <c r="H176" s="390">
        <v>23653.0</v>
      </c>
      <c r="I176" s="41" t="s">
        <v>2567</v>
      </c>
      <c r="J176" s="238"/>
      <c r="K176" s="238"/>
      <c r="R176" s="67"/>
    </row>
    <row r="177">
      <c r="A177" s="12" t="s">
        <v>93</v>
      </c>
      <c r="B177" s="227" t="s">
        <v>1735</v>
      </c>
      <c r="C177" s="74" t="str">
        <f t="shared" si="19"/>
        <v>Quinta-Feira</v>
      </c>
      <c r="D177" s="512" t="str">
        <f>IF(C177&lt;&gt;"Quarta-Feira","16:40","11:40")</f>
        <v>16:40</v>
      </c>
      <c r="E177" s="245" t="s">
        <v>3142</v>
      </c>
      <c r="F177" s="162">
        <v>7.06704519392818E14</v>
      </c>
      <c r="G177" s="161" t="s">
        <v>3143</v>
      </c>
      <c r="H177" s="390">
        <v>23736.0</v>
      </c>
      <c r="I177" s="41" t="s">
        <v>41</v>
      </c>
      <c r="J177" s="238"/>
      <c r="K177" s="238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493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  <row r="1123">
      <c r="A1123" s="503"/>
      <c r="B1123" s="493"/>
      <c r="C1123" s="315"/>
      <c r="D1123" s="504"/>
      <c r="E1123" s="505"/>
      <c r="F1123" s="506"/>
      <c r="G1123" s="507"/>
      <c r="H1123" s="508"/>
      <c r="I1123" s="509"/>
      <c r="J1123" s="510"/>
      <c r="K1123" s="510"/>
      <c r="R1123" s="67"/>
    </row>
    <row r="1124">
      <c r="A1124" s="503"/>
      <c r="B1124" s="493"/>
      <c r="C1124" s="315"/>
      <c r="D1124" s="504"/>
      <c r="E1124" s="505"/>
      <c r="F1124" s="506"/>
      <c r="G1124" s="507"/>
      <c r="H1124" s="508"/>
      <c r="I1124" s="509"/>
      <c r="J1124" s="510"/>
      <c r="K1124" s="510"/>
      <c r="R1124" s="67"/>
    </row>
    <row r="1125">
      <c r="A1125" s="503"/>
      <c r="B1125" s="493"/>
      <c r="C1125" s="315"/>
      <c r="D1125" s="504"/>
      <c r="E1125" s="505"/>
      <c r="F1125" s="506"/>
      <c r="G1125" s="507"/>
      <c r="H1125" s="508"/>
      <c r="I1125" s="509"/>
      <c r="J1125" s="510"/>
      <c r="K1125" s="510"/>
      <c r="R1125" s="67"/>
    </row>
    <row r="1126">
      <c r="A1126" s="503"/>
      <c r="B1126" s="493"/>
      <c r="C1126" s="315"/>
      <c r="D1126" s="504"/>
      <c r="E1126" s="505"/>
      <c r="F1126" s="506"/>
      <c r="G1126" s="507"/>
      <c r="H1126" s="508"/>
      <c r="I1126" s="509"/>
      <c r="J1126" s="510"/>
      <c r="K1126" s="510"/>
      <c r="R1126" s="67"/>
    </row>
    <row r="1127">
      <c r="A1127" s="503"/>
      <c r="B1127" s="493"/>
      <c r="C1127" s="315"/>
      <c r="D1127" s="504"/>
      <c r="E1127" s="505"/>
      <c r="F1127" s="506"/>
      <c r="G1127" s="507"/>
      <c r="H1127" s="508"/>
      <c r="I1127" s="509"/>
      <c r="J1127" s="510"/>
      <c r="K1127" s="510"/>
      <c r="R1127" s="67"/>
    </row>
    <row r="1128">
      <c r="A1128" s="503"/>
      <c r="B1128" s="493"/>
      <c r="C1128" s="315"/>
      <c r="D1128" s="504"/>
      <c r="E1128" s="505"/>
      <c r="F1128" s="506"/>
      <c r="G1128" s="507"/>
      <c r="H1128" s="508"/>
      <c r="I1128" s="509"/>
      <c r="J1128" s="510"/>
      <c r="K1128" s="510"/>
      <c r="R1128" s="67"/>
    </row>
    <row r="1129">
      <c r="A1129" s="503"/>
      <c r="B1129" s="493"/>
      <c r="C1129" s="315"/>
      <c r="D1129" s="504"/>
      <c r="E1129" s="505"/>
      <c r="F1129" s="506"/>
      <c r="G1129" s="507"/>
      <c r="H1129" s="508"/>
      <c r="I1129" s="509"/>
      <c r="J1129" s="510"/>
      <c r="K1129" s="510"/>
      <c r="R1129" s="67"/>
    </row>
    <row r="1130">
      <c r="A1130" s="503"/>
      <c r="B1130" s="493"/>
      <c r="C1130" s="315"/>
      <c r="D1130" s="504"/>
      <c r="E1130" s="505"/>
      <c r="F1130" s="506"/>
      <c r="G1130" s="507"/>
      <c r="H1130" s="508"/>
      <c r="I1130" s="509"/>
      <c r="J1130" s="510"/>
      <c r="K1130" s="510"/>
      <c r="R1130" s="67"/>
    </row>
    <row r="1131">
      <c r="A1131" s="503"/>
      <c r="B1131" s="493"/>
      <c r="C1131" s="315"/>
      <c r="D1131" s="504"/>
      <c r="E1131" s="505"/>
      <c r="F1131" s="506"/>
      <c r="G1131" s="507"/>
      <c r="H1131" s="508"/>
      <c r="I1131" s="509"/>
      <c r="J1131" s="510"/>
      <c r="K1131" s="510"/>
      <c r="R1131" s="67"/>
    </row>
    <row r="1132">
      <c r="A1132" s="503"/>
      <c r="B1132" s="493"/>
      <c r="C1132" s="315"/>
      <c r="D1132" s="504"/>
      <c r="E1132" s="505"/>
      <c r="F1132" s="506"/>
      <c r="G1132" s="507"/>
      <c r="H1132" s="508"/>
      <c r="I1132" s="509"/>
      <c r="J1132" s="510"/>
      <c r="K1132" s="510"/>
      <c r="R1132" s="67"/>
    </row>
    <row r="1133">
      <c r="A1133" s="503"/>
      <c r="B1133" s="493"/>
      <c r="C1133" s="315"/>
      <c r="D1133" s="504"/>
      <c r="E1133" s="505"/>
      <c r="F1133" s="506"/>
      <c r="G1133" s="507"/>
      <c r="H1133" s="508"/>
      <c r="I1133" s="509"/>
      <c r="J1133" s="510"/>
      <c r="K1133" s="510"/>
      <c r="R1133" s="67"/>
    </row>
    <row r="1134">
      <c r="A1134" s="503"/>
      <c r="B1134" s="493"/>
      <c r="C1134" s="315"/>
      <c r="D1134" s="504"/>
      <c r="E1134" s="505"/>
      <c r="F1134" s="506"/>
      <c r="G1134" s="507"/>
      <c r="H1134" s="508"/>
      <c r="I1134" s="509"/>
      <c r="J1134" s="510"/>
      <c r="K1134" s="510"/>
      <c r="R1134" s="67"/>
    </row>
    <row r="1135">
      <c r="A1135" s="503"/>
      <c r="B1135" s="493"/>
      <c r="C1135" s="315"/>
      <c r="D1135" s="504"/>
      <c r="E1135" s="505"/>
      <c r="F1135" s="506"/>
      <c r="G1135" s="507"/>
      <c r="H1135" s="508"/>
      <c r="I1135" s="509"/>
      <c r="J1135" s="510"/>
      <c r="K1135" s="510"/>
      <c r="R1135" s="67"/>
    </row>
    <row r="1136">
      <c r="A1136" s="503"/>
      <c r="B1136" s="493"/>
      <c r="C1136" s="315"/>
      <c r="D1136" s="504"/>
      <c r="E1136" s="505"/>
      <c r="F1136" s="506"/>
      <c r="G1136" s="507"/>
      <c r="H1136" s="508"/>
      <c r="I1136" s="509"/>
      <c r="J1136" s="510"/>
      <c r="K1136" s="510"/>
      <c r="R1136" s="67"/>
    </row>
    <row r="1137">
      <c r="A1137" s="503"/>
      <c r="B1137" s="493"/>
      <c r="C1137" s="315"/>
      <c r="D1137" s="504"/>
      <c r="E1137" s="505"/>
      <c r="F1137" s="506"/>
      <c r="G1137" s="507"/>
      <c r="H1137" s="508"/>
      <c r="I1137" s="509"/>
      <c r="J1137" s="510"/>
      <c r="K1137" s="510"/>
      <c r="R1137" s="67"/>
    </row>
    <row r="1138">
      <c r="A1138" s="503"/>
      <c r="B1138" s="493"/>
      <c r="C1138" s="315"/>
      <c r="D1138" s="504"/>
      <c r="E1138" s="505"/>
      <c r="F1138" s="506"/>
      <c r="G1138" s="507"/>
      <c r="H1138" s="508"/>
      <c r="I1138" s="509"/>
      <c r="J1138" s="510"/>
      <c r="K1138" s="510"/>
      <c r="R1138" s="67"/>
    </row>
    <row r="1139">
      <c r="A1139" s="503"/>
      <c r="B1139" s="493"/>
      <c r="C1139" s="315"/>
      <c r="D1139" s="504"/>
      <c r="E1139" s="505"/>
      <c r="F1139" s="506"/>
      <c r="G1139" s="507"/>
      <c r="H1139" s="508"/>
      <c r="I1139" s="509"/>
      <c r="J1139" s="510"/>
      <c r="K1139" s="510"/>
      <c r="R1139" s="67"/>
    </row>
    <row r="1140">
      <c r="A1140" s="503"/>
      <c r="B1140" s="493"/>
      <c r="C1140" s="315"/>
      <c r="D1140" s="504"/>
      <c r="E1140" s="505"/>
      <c r="F1140" s="506"/>
      <c r="G1140" s="507"/>
      <c r="H1140" s="508"/>
      <c r="I1140" s="509"/>
      <c r="J1140" s="510"/>
      <c r="K1140" s="510"/>
      <c r="R1140" s="67"/>
    </row>
    <row r="1141">
      <c r="A1141" s="503"/>
      <c r="B1141" s="493"/>
      <c r="C1141" s="315"/>
      <c r="D1141" s="504"/>
      <c r="E1141" s="505"/>
      <c r="F1141" s="506"/>
      <c r="G1141" s="507"/>
      <c r="H1141" s="508"/>
      <c r="I1141" s="509"/>
      <c r="J1141" s="510"/>
      <c r="K1141" s="510"/>
      <c r="R1141" s="67"/>
    </row>
  </sheetData>
  <mergeCells count="40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A146:K146"/>
    <mergeCell ref="A163:K163"/>
    <mergeCell ref="A164:K164"/>
    <mergeCell ref="N166:Q166"/>
    <mergeCell ref="N167:Q167"/>
    <mergeCell ref="A127:K127"/>
    <mergeCell ref="A128:K128"/>
    <mergeCell ref="N130:Q130"/>
    <mergeCell ref="N131:Q131"/>
    <mergeCell ref="A145:K145"/>
    <mergeCell ref="N148:Q148"/>
    <mergeCell ref="N149:Q149"/>
  </mergeCells>
  <dataValidations>
    <dataValidation type="list" allowBlank="1" showErrorMessage="1" sqref="I4:I15 I22:I33 I40:I51 I58:I69 I76:I87 I94:I105 I112:I123 I130:I141 I148:I159 I166:I177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3144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489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9" t="s">
        <v>758</v>
      </c>
      <c r="C4" s="74" t="str">
        <f t="shared" ref="C4:C15" si="1">PROPER(TEXT(DATE(MID($A$56,7,4),MID($A$56,4,2),LEFT($A$56,2)),"dddd"))</f>
        <v>Sexta-Feira</v>
      </c>
      <c r="D4" s="512" t="str">
        <f>IF(C4&lt;&gt;"Quarta-Feira","13:00","08:00")</f>
        <v>13:00</v>
      </c>
      <c r="E4" s="569"/>
      <c r="F4" s="570"/>
      <c r="G4" s="571" t="s">
        <v>2799</v>
      </c>
      <c r="H4" s="572"/>
      <c r="I4" s="34"/>
      <c r="J4" s="74"/>
      <c r="K4" s="74"/>
      <c r="N4" s="268" t="s">
        <v>387</v>
      </c>
      <c r="O4" s="100"/>
      <c r="P4" s="100"/>
      <c r="Q4" s="100"/>
      <c r="R4" s="100"/>
    </row>
    <row r="5">
      <c r="A5" s="12" t="s">
        <v>15</v>
      </c>
      <c r="B5" s="229" t="s">
        <v>1468</v>
      </c>
      <c r="C5" s="74" t="str">
        <f t="shared" si="1"/>
        <v>Sexta-Feira</v>
      </c>
      <c r="D5" s="512" t="str">
        <f>IF(C5&lt;&gt;"Quarta-Feira","13:20","08:20")</f>
        <v>13:20</v>
      </c>
      <c r="E5" s="569"/>
      <c r="F5" s="570"/>
      <c r="G5" s="571" t="s">
        <v>2799</v>
      </c>
      <c r="H5" s="572"/>
      <c r="I5" s="34"/>
      <c r="J5" s="74"/>
      <c r="K5" s="74"/>
      <c r="R5" s="67"/>
    </row>
    <row r="6">
      <c r="A6" s="12" t="s">
        <v>12</v>
      </c>
      <c r="B6" s="229" t="s">
        <v>217</v>
      </c>
      <c r="C6" s="74" t="str">
        <f t="shared" si="1"/>
        <v>Sexta-Feira</v>
      </c>
      <c r="D6" s="512" t="str">
        <f>IF(C6&lt;&gt;"Quarta-Feira","13:40","08:40")</f>
        <v>13:40</v>
      </c>
      <c r="E6" s="569"/>
      <c r="F6" s="570"/>
      <c r="G6" s="571" t="s">
        <v>2799</v>
      </c>
      <c r="H6" s="572"/>
      <c r="I6" s="34"/>
      <c r="J6" s="74"/>
      <c r="K6" s="74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>
      <c r="A7" s="12" t="s">
        <v>13</v>
      </c>
      <c r="B7" s="229" t="s">
        <v>198</v>
      </c>
      <c r="C7" s="74" t="str">
        <f t="shared" si="1"/>
        <v>Sexta-Feira</v>
      </c>
      <c r="D7" s="512" t="str">
        <f>IF(C7&lt;&gt;"Quarta-Feira","14:00","09:00")</f>
        <v>14:00</v>
      </c>
      <c r="E7" s="569"/>
      <c r="F7" s="570"/>
      <c r="G7" s="571" t="s">
        <v>2799</v>
      </c>
      <c r="H7" s="572"/>
      <c r="I7" s="34"/>
      <c r="J7" s="74"/>
      <c r="K7" s="74"/>
      <c r="N7" s="275">
        <f t="shared" ref="N7:Q7" si="2">COUNTIFS($I$58:$I$69,N6)</f>
        <v>3</v>
      </c>
      <c r="O7" s="275">
        <f t="shared" si="2"/>
        <v>0</v>
      </c>
      <c r="P7" s="275">
        <f t="shared" si="2"/>
        <v>0</v>
      </c>
      <c r="Q7" s="275">
        <f t="shared" si="2"/>
        <v>0</v>
      </c>
      <c r="R7" s="67">
        <f>COUNTIFS(I4:I15,R6)</f>
        <v>0</v>
      </c>
    </row>
    <row r="8">
      <c r="A8" s="12" t="s">
        <v>14</v>
      </c>
      <c r="B8" s="229" t="s">
        <v>758</v>
      </c>
      <c r="C8" s="74" t="str">
        <f t="shared" si="1"/>
        <v>Sexta-Feira</v>
      </c>
      <c r="D8" s="512" t="str">
        <f>IF(C8&lt;&gt;"Quarta-Feira","14:20","09:20")</f>
        <v>14:20</v>
      </c>
      <c r="E8" s="569"/>
      <c r="F8" s="570"/>
      <c r="G8" s="571" t="s">
        <v>2799</v>
      </c>
      <c r="H8" s="572"/>
      <c r="I8" s="34"/>
      <c r="J8" s="74"/>
      <c r="K8" s="74"/>
      <c r="R8" s="67"/>
    </row>
    <row r="9">
      <c r="A9" s="12" t="s">
        <v>11</v>
      </c>
      <c r="B9" s="229" t="s">
        <v>1468</v>
      </c>
      <c r="C9" s="74" t="str">
        <f t="shared" si="1"/>
        <v>Sexta-Feira</v>
      </c>
      <c r="D9" s="512" t="str">
        <f>IF(C9&lt;&gt;"Quarta-Feira","14:40","09:40")</f>
        <v>14:40</v>
      </c>
      <c r="E9" s="569"/>
      <c r="F9" s="570"/>
      <c r="G9" s="571" t="s">
        <v>2799</v>
      </c>
      <c r="H9" s="573"/>
      <c r="I9" s="34"/>
      <c r="J9" s="74"/>
      <c r="K9" s="74"/>
      <c r="N9" s="270" t="s">
        <v>1824</v>
      </c>
      <c r="O9" s="2"/>
      <c r="P9" s="2"/>
      <c r="Q9" s="2"/>
      <c r="R9" s="2"/>
    </row>
    <row r="10">
      <c r="A10" s="12" t="s">
        <v>16</v>
      </c>
      <c r="B10" s="229" t="s">
        <v>217</v>
      </c>
      <c r="C10" s="74" t="str">
        <f t="shared" si="1"/>
        <v>Sexta-Feira</v>
      </c>
      <c r="D10" s="512" t="str">
        <f>IF(C10&lt;&gt;"Quarta-Feira","15:00","10:00")</f>
        <v>15:00</v>
      </c>
      <c r="E10" s="569"/>
      <c r="F10" s="570"/>
      <c r="G10" s="571" t="s">
        <v>2799</v>
      </c>
      <c r="H10" s="572"/>
      <c r="I10" s="34"/>
      <c r="J10" s="74"/>
      <c r="K10" s="74"/>
      <c r="R10" s="67"/>
    </row>
    <row r="11">
      <c r="A11" s="12" t="s">
        <v>17</v>
      </c>
      <c r="B11" s="229" t="s">
        <v>198</v>
      </c>
      <c r="C11" s="74" t="str">
        <f t="shared" si="1"/>
        <v>Sexta-Feira</v>
      </c>
      <c r="D11" s="512" t="str">
        <f>IF(C11&lt;&gt;"Quarta-Feira","15:20","10:20")</f>
        <v>15:20</v>
      </c>
      <c r="E11" s="569"/>
      <c r="F11" s="570"/>
      <c r="G11" s="571" t="s">
        <v>2799</v>
      </c>
      <c r="H11" s="572"/>
      <c r="I11" s="34"/>
      <c r="J11" s="74"/>
      <c r="K11" s="74"/>
      <c r="R11" s="67"/>
    </row>
    <row r="12">
      <c r="A12" s="12" t="s">
        <v>85</v>
      </c>
      <c r="B12" s="229" t="s">
        <v>1468</v>
      </c>
      <c r="C12" s="74" t="str">
        <f t="shared" si="1"/>
        <v>Sexta-Feira</v>
      </c>
      <c r="D12" s="512" t="str">
        <f>IF(C12&lt;&gt;"Quarta-Feira","15:40","10:40")</f>
        <v>15:40</v>
      </c>
      <c r="E12" s="569"/>
      <c r="F12" s="570"/>
      <c r="G12" s="571" t="s">
        <v>2799</v>
      </c>
      <c r="H12" s="572"/>
      <c r="I12" s="34"/>
      <c r="J12" s="74"/>
      <c r="K12" s="74"/>
      <c r="R12" s="67"/>
    </row>
    <row r="13">
      <c r="A13" s="12" t="s">
        <v>87</v>
      </c>
      <c r="B13" s="229" t="s">
        <v>758</v>
      </c>
      <c r="C13" s="74" t="str">
        <f t="shared" si="1"/>
        <v>Sexta-Feira</v>
      </c>
      <c r="D13" s="512" t="str">
        <f>IF(C13&lt;&gt;"Quarta-Feira","16:00","11:00")</f>
        <v>16:00</v>
      </c>
      <c r="E13" s="569"/>
      <c r="F13" s="574"/>
      <c r="G13" s="571" t="s">
        <v>2799</v>
      </c>
      <c r="H13" s="572"/>
      <c r="I13" s="34"/>
      <c r="J13" s="74"/>
      <c r="K13" s="74"/>
      <c r="R13" s="67"/>
    </row>
    <row r="14">
      <c r="A14" s="12" t="s">
        <v>90</v>
      </c>
      <c r="B14" s="229" t="s">
        <v>758</v>
      </c>
      <c r="C14" s="74" t="str">
        <f t="shared" si="1"/>
        <v>Sexta-Feira</v>
      </c>
      <c r="D14" s="512" t="str">
        <f>IF(C14&lt;&gt;"Quarta-Feira","16:20","11:20")</f>
        <v>16:20</v>
      </c>
      <c r="E14" s="569"/>
      <c r="F14" s="570"/>
      <c r="G14" s="571" t="s">
        <v>2799</v>
      </c>
      <c r="H14" s="575"/>
      <c r="I14" s="34"/>
      <c r="J14" s="74"/>
      <c r="K14" s="74"/>
      <c r="R14" s="67"/>
    </row>
    <row r="15">
      <c r="A15" s="12" t="s">
        <v>93</v>
      </c>
      <c r="B15" s="229" t="s">
        <v>758</v>
      </c>
      <c r="C15" s="74" t="str">
        <f t="shared" si="1"/>
        <v>Sexta-Feira</v>
      </c>
      <c r="D15" s="512" t="str">
        <f>IF(C15&lt;&gt;"Quarta-Feira","16:40","11:40")</f>
        <v>16:40</v>
      </c>
      <c r="E15" s="569"/>
      <c r="F15" s="570"/>
      <c r="G15" s="571" t="s">
        <v>2799</v>
      </c>
      <c r="H15" s="572"/>
      <c r="I15" s="34"/>
      <c r="J15" s="74"/>
      <c r="K15" s="74"/>
      <c r="R15" s="67"/>
    </row>
    <row r="16">
      <c r="A16" s="576"/>
      <c r="B16" s="576"/>
      <c r="C16" s="576"/>
      <c r="D16" s="576"/>
      <c r="E16" s="576"/>
      <c r="F16" s="576"/>
      <c r="G16" s="576"/>
      <c r="H16" s="576"/>
      <c r="I16" s="576"/>
      <c r="J16" s="576"/>
      <c r="K16" s="576"/>
      <c r="R16" s="67"/>
    </row>
    <row r="17">
      <c r="A17" s="576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R17" s="67"/>
    </row>
    <row r="18">
      <c r="A18" s="576"/>
      <c r="B18" s="576"/>
      <c r="C18" s="576"/>
      <c r="D18" s="576"/>
      <c r="E18" s="576"/>
      <c r="F18" s="576"/>
      <c r="G18" s="576"/>
      <c r="H18" s="576"/>
      <c r="I18" s="576"/>
      <c r="J18" s="576"/>
      <c r="K18" s="576"/>
      <c r="R18" s="67"/>
    </row>
    <row r="19">
      <c r="A19" s="23" t="s">
        <v>378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">
        <v>3145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489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1981</v>
      </c>
      <c r="C22" s="74" t="str">
        <f t="shared" ref="C22:C33" si="3">PROPER(TEXT(DATE(MID($A$20,7,4),MID($A$20,4,2),LEFT($A$20,2)),"dddd"))</f>
        <v>Segunda-Feira</v>
      </c>
      <c r="D22" s="512" t="str">
        <f>IF(C22&lt;&gt;"Quarta-Feira","13:00","08:00")</f>
        <v>13:00</v>
      </c>
      <c r="E22" s="287" t="s">
        <v>3146</v>
      </c>
      <c r="F22" s="301">
        <v>7.04504396357616E14</v>
      </c>
      <c r="G22" s="131" t="s">
        <v>3147</v>
      </c>
      <c r="H22" s="132">
        <v>23675.0</v>
      </c>
      <c r="I22" s="34" t="s">
        <v>183</v>
      </c>
      <c r="J22" s="74"/>
      <c r="K22" s="74"/>
      <c r="L22" s="266" t="s">
        <v>386</v>
      </c>
      <c r="M22" s="267"/>
      <c r="N22" s="268" t="s">
        <v>387</v>
      </c>
      <c r="O22" s="100"/>
      <c r="P22" s="100"/>
      <c r="Q22" s="100"/>
      <c r="R22" s="100"/>
    </row>
    <row r="23">
      <c r="A23" s="12" t="s">
        <v>11</v>
      </c>
      <c r="B23" s="227" t="s">
        <v>1985</v>
      </c>
      <c r="C23" s="74" t="str">
        <f t="shared" si="3"/>
        <v>Segunda-Feira</v>
      </c>
      <c r="D23" s="512" t="str">
        <f>IF(C23&lt;&gt;"Quarta-Feira","13:20","08:20")</f>
        <v>13:20</v>
      </c>
      <c r="E23" s="287" t="s">
        <v>3148</v>
      </c>
      <c r="F23" s="513">
        <v>7.03600067326432E14</v>
      </c>
      <c r="G23" s="514" t="s">
        <v>3149</v>
      </c>
      <c r="H23" s="515">
        <v>21699.0</v>
      </c>
      <c r="I23" s="34" t="s">
        <v>183</v>
      </c>
      <c r="J23" s="74"/>
      <c r="K23" s="74"/>
      <c r="M23" s="267"/>
      <c r="N23" s="270" t="s">
        <v>1824</v>
      </c>
      <c r="O23" s="2"/>
      <c r="P23" s="2"/>
      <c r="Q23" s="2"/>
      <c r="R23" s="2"/>
    </row>
    <row r="24">
      <c r="A24" s="12" t="s">
        <v>12</v>
      </c>
      <c r="B24" s="227" t="s">
        <v>1989</v>
      </c>
      <c r="C24" s="74" t="str">
        <f t="shared" si="3"/>
        <v>Segunda-Feira</v>
      </c>
      <c r="D24" s="512" t="str">
        <f>IF(C24&lt;&gt;"Quarta-Feira","13:40","08:40")</f>
        <v>13:40</v>
      </c>
      <c r="E24" s="287" t="s">
        <v>3150</v>
      </c>
      <c r="F24" s="301">
        <v>7.05001293685556E14</v>
      </c>
      <c r="G24" s="131" t="s">
        <v>3151</v>
      </c>
      <c r="H24" s="132">
        <v>19944.0</v>
      </c>
      <c r="I24" s="34" t="s">
        <v>183</v>
      </c>
      <c r="J24" s="74"/>
      <c r="K24" s="74"/>
      <c r="L24" s="216" t="s">
        <v>394</v>
      </c>
      <c r="M24" s="267"/>
      <c r="N24" s="271" t="s">
        <v>183</v>
      </c>
      <c r="O24" s="272" t="s">
        <v>195</v>
      </c>
      <c r="P24" s="272" t="s">
        <v>181</v>
      </c>
      <c r="Q24" s="273" t="s">
        <v>173</v>
      </c>
      <c r="R24" s="286" t="s">
        <v>1823</v>
      </c>
    </row>
    <row r="25">
      <c r="A25" s="12" t="s">
        <v>13</v>
      </c>
      <c r="B25" s="227" t="s">
        <v>1992</v>
      </c>
      <c r="C25" s="74" t="str">
        <f t="shared" si="3"/>
        <v>Segunda-Feira</v>
      </c>
      <c r="D25" s="512" t="str">
        <f>IF(C25&lt;&gt;"Quarta-Feira","14:00","09:00")</f>
        <v>14:00</v>
      </c>
      <c r="E25" s="287" t="s">
        <v>3152</v>
      </c>
      <c r="F25" s="74">
        <v>7.0500643891175E14</v>
      </c>
      <c r="G25" s="131" t="s">
        <v>3153</v>
      </c>
      <c r="H25" s="516">
        <v>24264.0</v>
      </c>
      <c r="I25" s="34" t="s">
        <v>183</v>
      </c>
      <c r="J25" s="74"/>
      <c r="K25" s="74"/>
      <c r="M25" s="67"/>
      <c r="N25" s="275">
        <f t="shared" ref="N25:R25" si="4">COUNTIFS(I$22:I$33,N24)</f>
        <v>12</v>
      </c>
      <c r="O25" s="275">
        <f t="shared" si="4"/>
        <v>0</v>
      </c>
      <c r="P25" s="275">
        <f t="shared" si="4"/>
        <v>0</v>
      </c>
      <c r="Q25" s="275">
        <f t="shared" si="4"/>
        <v>0</v>
      </c>
      <c r="R25" s="517">
        <f t="shared" si="4"/>
        <v>0</v>
      </c>
      <c r="S25" s="389"/>
      <c r="T25" s="389"/>
      <c r="U25" s="389"/>
      <c r="V25" s="389"/>
      <c r="W25" s="389"/>
      <c r="X25" s="518"/>
    </row>
    <row r="26">
      <c r="A26" s="12" t="s">
        <v>14</v>
      </c>
      <c r="B26" s="227" t="s">
        <v>1981</v>
      </c>
      <c r="C26" s="74" t="str">
        <f t="shared" si="3"/>
        <v>Segunda-Feira</v>
      </c>
      <c r="D26" s="512" t="str">
        <f>IF(C26&lt;&gt;"Quarta-Feira","14:20","09:20")</f>
        <v>14:20</v>
      </c>
      <c r="E26" s="287" t="s">
        <v>3154</v>
      </c>
      <c r="F26" s="301">
        <v>7.0420558376429E14</v>
      </c>
      <c r="G26" s="304" t="s">
        <v>3155</v>
      </c>
      <c r="H26" s="519">
        <v>29420.0</v>
      </c>
      <c r="I26" s="34" t="s">
        <v>183</v>
      </c>
      <c r="J26" s="74"/>
      <c r="K26" s="74"/>
      <c r="L26" s="216" t="s">
        <v>403</v>
      </c>
      <c r="M26" s="67"/>
      <c r="N26" s="67"/>
      <c r="O26" s="67"/>
      <c r="P26" s="67"/>
      <c r="Q26" s="67"/>
      <c r="R26" s="67"/>
    </row>
    <row r="27">
      <c r="A27" s="12" t="s">
        <v>15</v>
      </c>
      <c r="B27" s="227" t="s">
        <v>1985</v>
      </c>
      <c r="C27" s="74" t="str">
        <f t="shared" si="3"/>
        <v>Segunda-Feira</v>
      </c>
      <c r="D27" s="512" t="str">
        <f>IF(C27&lt;&gt;"Quarta-Feira","14:40","09:40")</f>
        <v>14:40</v>
      </c>
      <c r="E27" s="287" t="s">
        <v>3156</v>
      </c>
      <c r="F27" s="520">
        <v>1.24702358140004E14</v>
      </c>
      <c r="G27" s="514" t="s">
        <v>1986</v>
      </c>
      <c r="H27" s="515">
        <v>25500.0</v>
      </c>
      <c r="I27" s="34" t="s">
        <v>183</v>
      </c>
      <c r="J27" s="74"/>
      <c r="K27" s="74"/>
      <c r="L27" s="216" t="s">
        <v>394</v>
      </c>
      <c r="R27" s="67"/>
    </row>
    <row r="28">
      <c r="A28" s="12" t="s">
        <v>16</v>
      </c>
      <c r="B28" s="227" t="s">
        <v>1989</v>
      </c>
      <c r="C28" s="74" t="str">
        <f t="shared" si="3"/>
        <v>Segunda-Feira</v>
      </c>
      <c r="D28" s="512" t="str">
        <f>IF(C28&lt;&gt;"Quarta-Feira","15:00","10:00")</f>
        <v>15:00</v>
      </c>
      <c r="E28" s="287" t="s">
        <v>3157</v>
      </c>
      <c r="F28" s="301">
        <v>7.01209017680017E14</v>
      </c>
      <c r="G28" s="131" t="s">
        <v>3158</v>
      </c>
      <c r="H28" s="132">
        <v>25144.0</v>
      </c>
      <c r="I28" s="34" t="s">
        <v>183</v>
      </c>
      <c r="J28" s="74"/>
      <c r="K28" s="74"/>
      <c r="L28" s="216" t="s">
        <v>394</v>
      </c>
      <c r="R28" s="67"/>
    </row>
    <row r="29">
      <c r="A29" s="12" t="s">
        <v>17</v>
      </c>
      <c r="B29" s="227" t="s">
        <v>1992</v>
      </c>
      <c r="C29" s="74" t="str">
        <f t="shared" si="3"/>
        <v>Segunda-Feira</v>
      </c>
      <c r="D29" s="512" t="str">
        <f>IF(C29&lt;&gt;"Quarta-Feira","15:20","10:20")</f>
        <v>15:20</v>
      </c>
      <c r="E29" s="287" t="s">
        <v>3159</v>
      </c>
      <c r="F29" s="301">
        <v>7.04206723680788E14</v>
      </c>
      <c r="G29" s="131" t="s">
        <v>3160</v>
      </c>
      <c r="H29" s="521">
        <v>26521.0</v>
      </c>
      <c r="I29" s="34" t="s">
        <v>183</v>
      </c>
      <c r="J29" s="74"/>
      <c r="K29" s="74"/>
      <c r="L29" s="216" t="s">
        <v>394</v>
      </c>
      <c r="R29" s="67"/>
    </row>
    <row r="30">
      <c r="A30" s="12" t="s">
        <v>85</v>
      </c>
      <c r="B30" s="227" t="s">
        <v>1981</v>
      </c>
      <c r="C30" s="74" t="str">
        <f t="shared" si="3"/>
        <v>Segunda-Feira</v>
      </c>
      <c r="D30" s="512" t="str">
        <f>IF(C30&lt;&gt;"Quarta-Feira","15:40","10:40")</f>
        <v>15:40</v>
      </c>
      <c r="E30" s="287" t="s">
        <v>3161</v>
      </c>
      <c r="F30" s="74">
        <v>7.08909761199411E14</v>
      </c>
      <c r="G30" s="167" t="s">
        <v>3162</v>
      </c>
      <c r="H30" s="83">
        <v>21153.0</v>
      </c>
      <c r="I30" s="34" t="s">
        <v>183</v>
      </c>
      <c r="J30" s="74"/>
      <c r="K30" s="74"/>
      <c r="L30" s="216" t="s">
        <v>394</v>
      </c>
      <c r="R30" s="67"/>
    </row>
    <row r="31">
      <c r="A31" s="12" t="s">
        <v>87</v>
      </c>
      <c r="B31" s="227" t="s">
        <v>1985</v>
      </c>
      <c r="C31" s="74" t="str">
        <f t="shared" si="3"/>
        <v>Segunda-Feira</v>
      </c>
      <c r="D31" s="512" t="str">
        <f>IF(C31&lt;&gt;"Quarta-Feira","16:00","11:00")</f>
        <v>16:00</v>
      </c>
      <c r="E31" s="287" t="s">
        <v>3163</v>
      </c>
      <c r="F31" s="74">
        <v>2.06880155430003E14</v>
      </c>
      <c r="G31" s="167" t="s">
        <v>3164</v>
      </c>
      <c r="H31" s="166">
        <v>22242.0</v>
      </c>
      <c r="I31" s="34" t="s">
        <v>183</v>
      </c>
      <c r="J31" s="74"/>
      <c r="K31" s="74"/>
      <c r="L31" s="216" t="s">
        <v>394</v>
      </c>
      <c r="R31" s="67"/>
    </row>
    <row r="32">
      <c r="A32" s="12" t="s">
        <v>90</v>
      </c>
      <c r="B32" s="227" t="s">
        <v>1989</v>
      </c>
      <c r="C32" s="74" t="str">
        <f t="shared" si="3"/>
        <v>Segunda-Feira</v>
      </c>
      <c r="D32" s="512" t="str">
        <f>IF(C32&lt;&gt;"Quarta-Feira","16:20","11:20")</f>
        <v>16:20</v>
      </c>
      <c r="E32" s="287" t="s">
        <v>2354</v>
      </c>
      <c r="F32" s="74">
        <v>7.05002419420255E14</v>
      </c>
      <c r="G32" s="167" t="s">
        <v>2355</v>
      </c>
      <c r="H32" s="166">
        <v>25212.0</v>
      </c>
      <c r="I32" s="34" t="s">
        <v>183</v>
      </c>
      <c r="J32" s="74"/>
      <c r="K32" s="74"/>
      <c r="L32" s="216" t="s">
        <v>394</v>
      </c>
      <c r="R32" s="67"/>
    </row>
    <row r="33">
      <c r="A33" s="12" t="s">
        <v>93</v>
      </c>
      <c r="B33" s="227" t="s">
        <v>1992</v>
      </c>
      <c r="C33" s="74" t="str">
        <f t="shared" si="3"/>
        <v>Segunda-Feira</v>
      </c>
      <c r="D33" s="512" t="str">
        <f>IF(C33&lt;&gt;"Quarta-Feira","16:40","11:40")</f>
        <v>16:40</v>
      </c>
      <c r="E33" s="287" t="s">
        <v>3165</v>
      </c>
      <c r="F33" s="74">
        <v>7.09604665279074E14</v>
      </c>
      <c r="G33" s="167" t="s">
        <v>3166</v>
      </c>
      <c r="H33" s="166">
        <v>22445.0</v>
      </c>
      <c r="I33" s="34" t="s">
        <v>183</v>
      </c>
      <c r="J33" s="74"/>
      <c r="K33" s="74"/>
      <c r="L33" s="216" t="s">
        <v>394</v>
      </c>
      <c r="R33" s="67"/>
    </row>
    <row r="34">
      <c r="B34" s="182"/>
      <c r="E34" s="261"/>
      <c r="G34" s="182"/>
      <c r="J34" s="67"/>
      <c r="K34" s="67"/>
      <c r="R34" s="67"/>
    </row>
    <row r="35">
      <c r="B35" s="182"/>
      <c r="E35" s="261"/>
      <c r="G35" s="182"/>
      <c r="J35" s="67"/>
      <c r="K35" s="67"/>
      <c r="R35" s="67"/>
    </row>
    <row r="36">
      <c r="B36" s="182"/>
      <c r="E36" s="261"/>
      <c r="G36" s="182"/>
      <c r="J36" s="67"/>
      <c r="K36" s="67"/>
      <c r="R36" s="67"/>
    </row>
    <row r="37">
      <c r="A37" s="23" t="s">
        <v>378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2.5" customHeight="1">
      <c r="A38" s="24" t="str">
        <f>TEXT(DATE(VALUE(MID(A20,7,4)),VALUE(MID(A20,4,2)),VALUE(LEFT(A20,2)))+2,"dd/mm/yyyy")&amp;" 08h às 13h"</f>
        <v>06/05/2026 08h às 13h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 ht="17.25" customHeight="1">
      <c r="A39" s="25"/>
      <c r="B39" s="489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9" t="s">
        <v>65</v>
      </c>
      <c r="C40" s="74" t="str">
        <f t="shared" ref="C40:C51" si="5">PROPER(TEXT(DATE(MID($A$38,7,4),MID($A$38,4,2),LEFT($A$38,2)),"dddd"))</f>
        <v>Quarta-Feira</v>
      </c>
      <c r="D40" s="512" t="str">
        <f>IF(C40&lt;&gt;"Quarta-Feira","13:00","08:00")</f>
        <v>08:00</v>
      </c>
      <c r="E40" s="287" t="s">
        <v>3167</v>
      </c>
      <c r="F40" s="74">
        <v>7.08401276700861E14</v>
      </c>
      <c r="G40" s="167" t="s">
        <v>3168</v>
      </c>
      <c r="H40" s="169">
        <v>23626.0</v>
      </c>
      <c r="I40" s="74" t="s">
        <v>183</v>
      </c>
      <c r="J40" s="74"/>
      <c r="K40" s="74"/>
      <c r="N40" s="268" t="s">
        <v>387</v>
      </c>
      <c r="O40" s="100"/>
      <c r="P40" s="100"/>
      <c r="Q40" s="100"/>
      <c r="R40" s="100"/>
    </row>
    <row r="41">
      <c r="A41" s="12" t="s">
        <v>11</v>
      </c>
      <c r="B41" s="229" t="s">
        <v>202</v>
      </c>
      <c r="C41" s="74" t="str">
        <f t="shared" si="5"/>
        <v>Quarta-Feira</v>
      </c>
      <c r="D41" s="512" t="str">
        <f>IF(C41&lt;&gt;"Quarta-Feira","13:20","08:20")</f>
        <v>08:20</v>
      </c>
      <c r="E41" s="287"/>
      <c r="F41" s="74"/>
      <c r="G41" s="167"/>
      <c r="H41" s="166"/>
      <c r="I41" s="74"/>
      <c r="J41" s="74"/>
      <c r="K41" s="74"/>
      <c r="N41" s="270" t="s">
        <v>1824</v>
      </c>
      <c r="O41" s="2"/>
      <c r="P41" s="2"/>
      <c r="Q41" s="2"/>
      <c r="R41" s="2"/>
    </row>
    <row r="42">
      <c r="A42" s="12" t="s">
        <v>12</v>
      </c>
      <c r="B42" s="229" t="s">
        <v>1448</v>
      </c>
      <c r="C42" s="74" t="str">
        <f t="shared" si="5"/>
        <v>Quarta-Feira</v>
      </c>
      <c r="D42" s="512" t="str">
        <f>IF(C42&lt;&gt;"Quarta-Feira","13:40","08:40")</f>
        <v>08:40</v>
      </c>
      <c r="E42" s="287" t="s">
        <v>3169</v>
      </c>
      <c r="F42" s="74">
        <v>7.06803723975425E14</v>
      </c>
      <c r="G42" s="167" t="s">
        <v>3170</v>
      </c>
      <c r="H42" s="166">
        <v>23992.0</v>
      </c>
      <c r="I42" s="74" t="s">
        <v>183</v>
      </c>
      <c r="J42" s="74"/>
      <c r="K42" s="74"/>
      <c r="N42" s="271" t="s">
        <v>183</v>
      </c>
      <c r="O42" s="272" t="s">
        <v>195</v>
      </c>
      <c r="P42" s="272" t="s">
        <v>181</v>
      </c>
      <c r="Q42" s="273" t="s">
        <v>173</v>
      </c>
      <c r="R42" s="273" t="s">
        <v>1823</v>
      </c>
    </row>
    <row r="43">
      <c r="A43" s="12" t="s">
        <v>13</v>
      </c>
      <c r="B43" s="229" t="s">
        <v>822</v>
      </c>
      <c r="C43" s="74" t="str">
        <f t="shared" si="5"/>
        <v>Quarta-Feira</v>
      </c>
      <c r="D43" s="512" t="str">
        <f>IF(C43&lt;&gt;"Quarta-Feira","14:00","09:00")</f>
        <v>09:00</v>
      </c>
      <c r="E43" s="287" t="s">
        <v>3171</v>
      </c>
      <c r="F43" s="216">
        <v>7.09605629983779E14</v>
      </c>
      <c r="G43" s="167" t="s">
        <v>3172</v>
      </c>
      <c r="H43" s="166">
        <v>17559.0</v>
      </c>
      <c r="I43" s="74" t="s">
        <v>183</v>
      </c>
      <c r="J43" s="74"/>
      <c r="K43" s="74"/>
      <c r="L43" s="216" t="s">
        <v>442</v>
      </c>
      <c r="N43" s="275">
        <f>COUNTIFS(I$40:I$51,N42)</f>
        <v>8</v>
      </c>
      <c r="O43" s="275">
        <f t="shared" ref="O43:R43" si="6">COUNTIFS($I$40:$I$51,O42)</f>
        <v>0</v>
      </c>
      <c r="P43" s="275">
        <f t="shared" si="6"/>
        <v>0</v>
      </c>
      <c r="Q43" s="275">
        <f t="shared" si="6"/>
        <v>0</v>
      </c>
      <c r="R43" s="67">
        <f t="shared" si="6"/>
        <v>0</v>
      </c>
    </row>
    <row r="44">
      <c r="A44" s="12" t="s">
        <v>14</v>
      </c>
      <c r="B44" s="229" t="s">
        <v>202</v>
      </c>
      <c r="C44" s="74" t="str">
        <f t="shared" si="5"/>
        <v>Quarta-Feira</v>
      </c>
      <c r="D44" s="512" t="str">
        <f>IF(C44&lt;&gt;"Quarta-Feira","14:20","09:20")</f>
        <v>09:20</v>
      </c>
      <c r="E44" s="287"/>
      <c r="F44" s="74"/>
      <c r="G44" s="167"/>
      <c r="H44" s="166"/>
      <c r="I44" s="74"/>
      <c r="J44" s="74"/>
      <c r="K44" s="74"/>
      <c r="L44" s="216" t="s">
        <v>442</v>
      </c>
      <c r="R44" s="67"/>
    </row>
    <row r="45">
      <c r="A45" s="12" t="s">
        <v>15</v>
      </c>
      <c r="B45" s="229" t="s">
        <v>1448</v>
      </c>
      <c r="C45" s="74" t="str">
        <f t="shared" si="5"/>
        <v>Quarta-Feira</v>
      </c>
      <c r="D45" s="512" t="str">
        <f>IF(C45&lt;&gt;"Quarta-Feira","14:40","09:40")</f>
        <v>09:40</v>
      </c>
      <c r="E45" s="287" t="s">
        <v>3173</v>
      </c>
      <c r="F45" s="74">
        <v>8.01440405303225E14</v>
      </c>
      <c r="G45" s="167" t="s">
        <v>3174</v>
      </c>
      <c r="H45" s="166">
        <v>25589.0</v>
      </c>
      <c r="I45" s="74" t="s">
        <v>183</v>
      </c>
      <c r="J45" s="74"/>
      <c r="K45" s="74"/>
      <c r="L45" s="216" t="s">
        <v>442</v>
      </c>
      <c r="R45" s="67"/>
    </row>
    <row r="46">
      <c r="A46" s="12" t="s">
        <v>16</v>
      </c>
      <c r="B46" s="229" t="s">
        <v>65</v>
      </c>
      <c r="C46" s="74" t="str">
        <f t="shared" si="5"/>
        <v>Quarta-Feira</v>
      </c>
      <c r="D46" s="512" t="str">
        <f>IF(C46&lt;&gt;"Quarta-Feira","15:00","10:00")</f>
        <v>10:00</v>
      </c>
      <c r="E46" s="287" t="s">
        <v>934</v>
      </c>
      <c r="F46" s="74">
        <v>7.03001859310477E14</v>
      </c>
      <c r="G46" s="167" t="s">
        <v>3175</v>
      </c>
      <c r="H46" s="166">
        <v>23757.0</v>
      </c>
      <c r="I46" s="74" t="s">
        <v>183</v>
      </c>
      <c r="J46" s="74"/>
      <c r="K46" s="74"/>
      <c r="L46" s="216" t="s">
        <v>442</v>
      </c>
      <c r="R46" s="67"/>
    </row>
    <row r="47">
      <c r="A47" s="12" t="s">
        <v>17</v>
      </c>
      <c r="B47" s="229" t="s">
        <v>202</v>
      </c>
      <c r="C47" s="74" t="str">
        <f t="shared" si="5"/>
        <v>Quarta-Feira</v>
      </c>
      <c r="D47" s="512" t="str">
        <f>IF(C47&lt;&gt;"Quarta-Feira","15:20","10:20")</f>
        <v>10:20</v>
      </c>
      <c r="E47" s="287"/>
      <c r="F47" s="74"/>
      <c r="G47" s="167"/>
      <c r="H47" s="166"/>
      <c r="I47" s="74"/>
      <c r="J47" s="74"/>
      <c r="K47" s="74"/>
      <c r="L47" s="216" t="s">
        <v>442</v>
      </c>
      <c r="R47" s="67"/>
    </row>
    <row r="48">
      <c r="A48" s="12" t="s">
        <v>85</v>
      </c>
      <c r="B48" s="229" t="s">
        <v>822</v>
      </c>
      <c r="C48" s="74" t="str">
        <f t="shared" si="5"/>
        <v>Quarta-Feira</v>
      </c>
      <c r="D48" s="512" t="str">
        <f>IF(C48&lt;&gt;"Quarta-Feira","15:40","10:40")</f>
        <v>10:40</v>
      </c>
      <c r="E48" s="287" t="s">
        <v>3176</v>
      </c>
      <c r="F48" s="74">
        <v>7.0410718639877E14</v>
      </c>
      <c r="G48" s="167" t="s">
        <v>3177</v>
      </c>
      <c r="H48" s="166">
        <v>18275.0</v>
      </c>
      <c r="I48" s="74" t="s">
        <v>183</v>
      </c>
      <c r="J48" s="74"/>
      <c r="K48" s="74"/>
      <c r="R48" s="67"/>
    </row>
    <row r="49">
      <c r="A49" s="12" t="s">
        <v>87</v>
      </c>
      <c r="B49" s="229" t="s">
        <v>1448</v>
      </c>
      <c r="C49" s="74" t="str">
        <f t="shared" si="5"/>
        <v>Quarta-Feira</v>
      </c>
      <c r="D49" s="512" t="str">
        <f>IF(C49&lt;&gt;"Quarta-Feira","16:00","11:00")</f>
        <v>11:00</v>
      </c>
      <c r="E49" s="287" t="s">
        <v>3178</v>
      </c>
      <c r="F49" s="74">
        <v>1.27371459390003E14</v>
      </c>
      <c r="G49" s="167" t="s">
        <v>3179</v>
      </c>
      <c r="H49" s="166">
        <v>27620.0</v>
      </c>
      <c r="I49" s="74" t="s">
        <v>183</v>
      </c>
      <c r="J49" s="74"/>
      <c r="K49" s="74"/>
      <c r="L49" s="216" t="s">
        <v>455</v>
      </c>
      <c r="R49" s="67"/>
    </row>
    <row r="50">
      <c r="A50" s="12" t="s">
        <v>90</v>
      </c>
      <c r="B50" s="229" t="s">
        <v>822</v>
      </c>
      <c r="C50" s="74" t="str">
        <f t="shared" si="5"/>
        <v>Quarta-Feira</v>
      </c>
      <c r="D50" s="512" t="str">
        <f>IF(C50&lt;&gt;"Quarta-Feira","16:20","11:20")</f>
        <v>11:20</v>
      </c>
      <c r="E50" s="287" t="s">
        <v>3180</v>
      </c>
      <c r="F50" s="74">
        <v>7.0420157768779E14</v>
      </c>
      <c r="G50" s="167" t="s">
        <v>3181</v>
      </c>
      <c r="H50" s="166">
        <v>19786.0</v>
      </c>
      <c r="I50" s="74" t="s">
        <v>183</v>
      </c>
      <c r="J50" s="74"/>
      <c r="K50" s="74"/>
      <c r="R50" s="67"/>
    </row>
    <row r="51">
      <c r="A51" s="12" t="s">
        <v>93</v>
      </c>
      <c r="B51" s="229" t="s">
        <v>65</v>
      </c>
      <c r="C51" s="74" t="str">
        <f t="shared" si="5"/>
        <v>Quarta-Feira</v>
      </c>
      <c r="D51" s="512" t="str">
        <f>IF(C51&lt;&gt;"Quarta-Feira","16:40","11:40")</f>
        <v>11:40</v>
      </c>
      <c r="E51" s="287" t="s">
        <v>3182</v>
      </c>
      <c r="F51" s="74">
        <v>7.00102954181315E14</v>
      </c>
      <c r="G51" s="167" t="s">
        <v>3183</v>
      </c>
      <c r="H51" s="166">
        <v>20839.0</v>
      </c>
      <c r="I51" s="74"/>
      <c r="J51" s="74"/>
      <c r="K51" s="74"/>
      <c r="R51" s="67"/>
    </row>
    <row r="52">
      <c r="B52" s="182"/>
      <c r="E52" s="261"/>
      <c r="G52" s="182"/>
      <c r="J52" s="67"/>
      <c r="K52" s="67"/>
      <c r="R52" s="67"/>
    </row>
    <row r="53">
      <c r="B53" s="182"/>
      <c r="E53" s="261"/>
      <c r="G53" s="182"/>
      <c r="J53" s="67"/>
      <c r="K53" s="67"/>
      <c r="R53" s="67"/>
    </row>
    <row r="54">
      <c r="B54" s="182"/>
      <c r="E54" s="261"/>
      <c r="G54" s="182"/>
      <c r="J54" s="67"/>
      <c r="K54" s="67"/>
      <c r="R54" s="67"/>
    </row>
    <row r="55">
      <c r="A55" s="577" t="s">
        <v>3184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08/05/2026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489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>
      <c r="A58" s="12" t="s">
        <v>10</v>
      </c>
      <c r="B58" s="229" t="s">
        <v>758</v>
      </c>
      <c r="C58" s="74" t="str">
        <f t="shared" ref="C58:C69" si="7">PROPER(TEXT(DATE(MID($A$56,7,4),MID($A$56,4,2),LEFT($A$56,2)),"dddd"))</f>
        <v>Sexta-Feira</v>
      </c>
      <c r="D58" s="512" t="str">
        <f>IF(C58&lt;&gt;"Quarta-Feira","13:00","08:00")</f>
        <v>13:00</v>
      </c>
      <c r="E58" s="287" t="s">
        <v>3185</v>
      </c>
      <c r="F58" s="74">
        <v>8.98002117236261E14</v>
      </c>
      <c r="G58" s="167" t="s">
        <v>3186</v>
      </c>
      <c r="H58" s="211">
        <v>21037.0</v>
      </c>
      <c r="I58" s="34" t="s">
        <v>183</v>
      </c>
      <c r="J58" s="74"/>
      <c r="K58" s="74"/>
      <c r="N58" s="268" t="s">
        <v>387</v>
      </c>
      <c r="O58" s="100"/>
      <c r="P58" s="100"/>
      <c r="Q58" s="100"/>
      <c r="R58" s="100"/>
    </row>
    <row r="59">
      <c r="A59" s="12" t="s">
        <v>15</v>
      </c>
      <c r="B59" s="229" t="s">
        <v>1468</v>
      </c>
      <c r="C59" s="74" t="str">
        <f t="shared" si="7"/>
        <v>Sexta-Feira</v>
      </c>
      <c r="D59" s="512" t="str">
        <f>IF(C59&lt;&gt;"Quarta-Feira","13:20","08:20")</f>
        <v>13:20</v>
      </c>
      <c r="E59" s="287" t="s">
        <v>3187</v>
      </c>
      <c r="F59" s="74">
        <v>7.09201211924137E14</v>
      </c>
      <c r="G59" s="167" t="s">
        <v>3188</v>
      </c>
      <c r="H59" s="211">
        <v>26865.0</v>
      </c>
      <c r="I59" s="34"/>
      <c r="J59" s="74"/>
      <c r="K59" s="74"/>
      <c r="R59" s="67"/>
    </row>
    <row r="60">
      <c r="A60" s="12" t="s">
        <v>12</v>
      </c>
      <c r="B60" s="229" t="s">
        <v>217</v>
      </c>
      <c r="C60" s="74" t="str">
        <f t="shared" si="7"/>
        <v>Sexta-Feira</v>
      </c>
      <c r="D60" s="512" t="str">
        <f>IF(C60&lt;&gt;"Quarta-Feira","13:40","08:40")</f>
        <v>13:40</v>
      </c>
      <c r="E60" s="287" t="s">
        <v>2953</v>
      </c>
      <c r="F60" s="74">
        <v>7.04609690726422E14</v>
      </c>
      <c r="G60" s="167" t="s">
        <v>2954</v>
      </c>
      <c r="H60" s="211">
        <v>19816.0</v>
      </c>
      <c r="I60" s="34" t="s">
        <v>183</v>
      </c>
      <c r="J60" s="74"/>
      <c r="K60" s="74"/>
      <c r="N60" s="271" t="s">
        <v>183</v>
      </c>
      <c r="O60" s="272" t="s">
        <v>195</v>
      </c>
      <c r="P60" s="272" t="s">
        <v>181</v>
      </c>
      <c r="Q60" s="273" t="s">
        <v>173</v>
      </c>
      <c r="R60" s="286" t="s">
        <v>1823</v>
      </c>
    </row>
    <row r="61">
      <c r="A61" s="12" t="s">
        <v>13</v>
      </c>
      <c r="B61" s="229" t="s">
        <v>198</v>
      </c>
      <c r="C61" s="74" t="str">
        <f t="shared" si="7"/>
        <v>Sexta-Feira</v>
      </c>
      <c r="D61" s="512" t="str">
        <f>IF(C61&lt;&gt;"Quarta-Feira","14:00","09:00")</f>
        <v>14:00</v>
      </c>
      <c r="E61" s="287" t="s">
        <v>3189</v>
      </c>
      <c r="F61" s="74">
        <v>7.06808298123227E14</v>
      </c>
      <c r="G61" s="167" t="s">
        <v>3190</v>
      </c>
      <c r="H61" s="211">
        <v>27028.0</v>
      </c>
      <c r="I61" s="34" t="s">
        <v>183</v>
      </c>
      <c r="J61" s="74"/>
      <c r="K61" s="74"/>
      <c r="N61" s="275">
        <f t="shared" ref="N61:Q61" si="8">COUNTIFS($I$58:$I$69,N60)</f>
        <v>3</v>
      </c>
      <c r="O61" s="275">
        <f t="shared" si="8"/>
        <v>0</v>
      </c>
      <c r="P61" s="275">
        <f t="shared" si="8"/>
        <v>0</v>
      </c>
      <c r="Q61" s="275">
        <f t="shared" si="8"/>
        <v>0</v>
      </c>
      <c r="R61" s="67">
        <f>COUNTIFS(I58:I69,R60)</f>
        <v>2</v>
      </c>
    </row>
    <row r="62">
      <c r="A62" s="12" t="s">
        <v>14</v>
      </c>
      <c r="B62" s="229" t="s">
        <v>758</v>
      </c>
      <c r="C62" s="74" t="str">
        <f t="shared" si="7"/>
        <v>Sexta-Feira</v>
      </c>
      <c r="D62" s="512" t="str">
        <f>IF(C62&lt;&gt;"Quarta-Feira","14:20","09:20")</f>
        <v>14:20</v>
      </c>
      <c r="E62" s="287" t="s">
        <v>3191</v>
      </c>
      <c r="F62" s="74">
        <v>7.04605125730027E14</v>
      </c>
      <c r="G62" s="167" t="s">
        <v>3192</v>
      </c>
      <c r="H62" s="211">
        <v>22000.0</v>
      </c>
      <c r="I62" s="34"/>
      <c r="J62" s="74"/>
      <c r="K62" s="74"/>
      <c r="R62" s="67"/>
    </row>
    <row r="63">
      <c r="A63" s="12" t="s">
        <v>11</v>
      </c>
      <c r="B63" s="229" t="s">
        <v>1468</v>
      </c>
      <c r="C63" s="74" t="str">
        <f t="shared" si="7"/>
        <v>Sexta-Feira</v>
      </c>
      <c r="D63" s="512" t="str">
        <f>IF(C63&lt;&gt;"Quarta-Feira","14:40","09:40")</f>
        <v>14:40</v>
      </c>
      <c r="E63" s="287" t="s">
        <v>3193</v>
      </c>
      <c r="F63" s="74">
        <v>7.04603151329626E14</v>
      </c>
      <c r="G63" s="167" t="s">
        <v>3194</v>
      </c>
      <c r="H63" s="169">
        <v>23798.0</v>
      </c>
      <c r="I63" s="34"/>
      <c r="J63" s="74"/>
      <c r="K63" s="74"/>
      <c r="N63" s="270" t="s">
        <v>1824</v>
      </c>
      <c r="O63" s="2"/>
      <c r="P63" s="2"/>
      <c r="Q63" s="2"/>
      <c r="R63" s="2"/>
    </row>
    <row r="64">
      <c r="A64" s="12" t="s">
        <v>16</v>
      </c>
      <c r="B64" s="229" t="s">
        <v>217</v>
      </c>
      <c r="C64" s="74" t="str">
        <f t="shared" si="7"/>
        <v>Sexta-Feira</v>
      </c>
      <c r="D64" s="512" t="str">
        <f>IF(C64&lt;&gt;"Quarta-Feira","15:00","10:00")</f>
        <v>15:00</v>
      </c>
      <c r="E64" s="287" t="s">
        <v>3195</v>
      </c>
      <c r="F64" s="74">
        <v>7.05407438581197E14</v>
      </c>
      <c r="G64" s="167" t="s">
        <v>3196</v>
      </c>
      <c r="H64" s="211">
        <v>24053.0</v>
      </c>
      <c r="I64" s="34" t="s">
        <v>1823</v>
      </c>
      <c r="J64" s="74"/>
      <c r="K64" s="74"/>
      <c r="R64" s="67"/>
    </row>
    <row r="65">
      <c r="A65" s="12" t="s">
        <v>17</v>
      </c>
      <c r="B65" s="229" t="s">
        <v>198</v>
      </c>
      <c r="C65" s="74" t="str">
        <f t="shared" si="7"/>
        <v>Sexta-Feira</v>
      </c>
      <c r="D65" s="512" t="str">
        <f>IF(C65&lt;&gt;"Quarta-Feira","15:20","10:20")</f>
        <v>15:20</v>
      </c>
      <c r="E65" s="287" t="s">
        <v>3197</v>
      </c>
      <c r="F65" s="74">
        <v>7.00304908324133E14</v>
      </c>
      <c r="G65" s="167" t="s">
        <v>3198</v>
      </c>
      <c r="H65" s="211">
        <v>26574.0</v>
      </c>
      <c r="I65" s="34"/>
      <c r="J65" s="74"/>
      <c r="K65" s="74"/>
      <c r="R65" s="67"/>
    </row>
    <row r="66">
      <c r="A66" s="12" t="s">
        <v>85</v>
      </c>
      <c r="B66" s="229" t="s">
        <v>1468</v>
      </c>
      <c r="C66" s="74" t="str">
        <f t="shared" si="7"/>
        <v>Sexta-Feira</v>
      </c>
      <c r="D66" s="512" t="str">
        <f>IF(C66&lt;&gt;"Quarta-Feira","15:40","10:40")</f>
        <v>15:40</v>
      </c>
      <c r="E66" s="287" t="s">
        <v>3199</v>
      </c>
      <c r="F66" s="74">
        <v>7.0740209903727E14</v>
      </c>
      <c r="G66" s="167" t="s">
        <v>3200</v>
      </c>
      <c r="H66" s="211">
        <v>23547.0</v>
      </c>
      <c r="I66" s="34" t="s">
        <v>1823</v>
      </c>
      <c r="J66" s="74"/>
      <c r="K66" s="74"/>
      <c r="R66" s="67"/>
    </row>
    <row r="67">
      <c r="A67" s="12" t="s">
        <v>87</v>
      </c>
      <c r="B67" s="229" t="s">
        <v>758</v>
      </c>
      <c r="C67" s="74" t="str">
        <f t="shared" si="7"/>
        <v>Sexta-Feira</v>
      </c>
      <c r="D67" s="512" t="str">
        <f>IF(C67&lt;&gt;"Quarta-Feira","16:00","11:00")</f>
        <v>16:00</v>
      </c>
      <c r="E67" s="287" t="s">
        <v>3201</v>
      </c>
      <c r="F67" s="459">
        <v>2.03923294110005E14</v>
      </c>
      <c r="G67" s="167" t="s">
        <v>3202</v>
      </c>
      <c r="H67" s="211">
        <v>18846.0</v>
      </c>
      <c r="I67" s="34"/>
      <c r="J67" s="74"/>
      <c r="K67" s="74"/>
      <c r="R67" s="67"/>
    </row>
    <row r="68">
      <c r="A68" s="12" t="s">
        <v>90</v>
      </c>
      <c r="B68" s="229" t="s">
        <v>758</v>
      </c>
      <c r="C68" s="74" t="str">
        <f t="shared" si="7"/>
        <v>Sexta-Feira</v>
      </c>
      <c r="D68" s="512" t="str">
        <f>IF(C68&lt;&gt;"Quarta-Feira","16:20","11:20")</f>
        <v>16:20</v>
      </c>
      <c r="E68" s="287" t="s">
        <v>3203</v>
      </c>
      <c r="F68" s="74">
        <v>7.02001850410888E14</v>
      </c>
      <c r="G68" s="167" t="s">
        <v>3204</v>
      </c>
      <c r="H68" s="522">
        <v>15427.0</v>
      </c>
      <c r="I68" s="34"/>
      <c r="J68" s="74"/>
      <c r="K68" s="74"/>
      <c r="R68" s="67"/>
    </row>
    <row r="69">
      <c r="A69" s="12" t="s">
        <v>93</v>
      </c>
      <c r="B69" s="229" t="s">
        <v>758</v>
      </c>
      <c r="C69" s="74" t="str">
        <f t="shared" si="7"/>
        <v>Sexta-Feira</v>
      </c>
      <c r="D69" s="512" t="str">
        <f>IF(C69&lt;&gt;"Quarta-Feira","16:40","11:40")</f>
        <v>16:40</v>
      </c>
      <c r="E69" s="287" t="s">
        <v>3205</v>
      </c>
      <c r="F69" s="74">
        <v>7.05007269381351E14</v>
      </c>
      <c r="G69" s="167" t="s">
        <v>3206</v>
      </c>
      <c r="H69" s="211">
        <v>23778.0</v>
      </c>
      <c r="I69" s="34"/>
      <c r="J69" s="74"/>
      <c r="K69" s="74"/>
      <c r="R69" s="67"/>
    </row>
    <row r="70">
      <c r="B70" s="182"/>
      <c r="J70" s="67"/>
      <c r="K70" s="67"/>
      <c r="R70" s="67"/>
    </row>
    <row r="71">
      <c r="B71" s="182"/>
      <c r="E71" s="261"/>
      <c r="G71" s="182"/>
      <c r="J71" s="67"/>
      <c r="K71" s="67"/>
      <c r="R71" s="67"/>
    </row>
    <row r="72">
      <c r="B72" s="182"/>
      <c r="E72" s="261"/>
      <c r="G72" s="182"/>
      <c r="J72" s="67"/>
      <c r="K72" s="67"/>
      <c r="R72" s="67"/>
    </row>
    <row r="73">
      <c r="A73" s="23" t="s">
        <v>378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TEXT(DATE(VALUE(MID(A20,7,4)),VALUE(MID(A20,4,2)),VALUE(LEFT(A20,2)))+7,"dd/mm/yyyy")&amp;" 13h às 17h"</f>
        <v>11/05/2026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25"/>
      <c r="B75" s="489" t="s">
        <v>3</v>
      </c>
      <c r="C75" s="27" t="s">
        <v>2</v>
      </c>
      <c r="D75" s="28" t="s">
        <v>5</v>
      </c>
      <c r="E75" s="29" t="s">
        <v>19</v>
      </c>
      <c r="F75" s="28" t="s">
        <v>6</v>
      </c>
      <c r="G75" s="264" t="s">
        <v>7</v>
      </c>
      <c r="H75" s="30" t="s">
        <v>8</v>
      </c>
      <c r="I75" s="31" t="s">
        <v>20</v>
      </c>
      <c r="J75" s="32" t="s">
        <v>21</v>
      </c>
      <c r="K75" s="32" t="s">
        <v>22</v>
      </c>
      <c r="R75" s="67"/>
    </row>
    <row r="76" ht="18.75" customHeight="1">
      <c r="A76" s="12" t="s">
        <v>10</v>
      </c>
      <c r="B76" s="229" t="s">
        <v>1358</v>
      </c>
      <c r="C76" s="74" t="str">
        <f>PROPER(TEXT(DATE(MID($A$74,7,4),MID($A$74,4,2),LEFT($A$74,2)),"dddd"))</f>
        <v>Segunda-Feira</v>
      </c>
      <c r="D76" s="512" t="str">
        <f>IF(C76&lt;&gt;"Quarta-Feira","13:00","08:00")</f>
        <v>13:00</v>
      </c>
      <c r="E76" s="287"/>
      <c r="F76" s="74">
        <v>7.00006462242102E14</v>
      </c>
      <c r="G76" s="167" t="s">
        <v>3207</v>
      </c>
      <c r="H76" s="524">
        <v>27701.0</v>
      </c>
      <c r="I76" s="34" t="s">
        <v>1823</v>
      </c>
      <c r="J76" s="74"/>
      <c r="K76" s="74"/>
      <c r="N76" s="268" t="s">
        <v>387</v>
      </c>
      <c r="O76" s="100"/>
      <c r="P76" s="100"/>
      <c r="Q76" s="100"/>
      <c r="R76" s="100"/>
    </row>
    <row r="77">
      <c r="A77" s="12" t="s">
        <v>11</v>
      </c>
      <c r="B77" s="229" t="s">
        <v>1359</v>
      </c>
      <c r="C77" s="74" t="s">
        <v>1295</v>
      </c>
      <c r="D77" s="512" t="str">
        <f>IF(C77&lt;&gt;"Quarta-Feira","13:20","08:20")</f>
        <v>13:20</v>
      </c>
      <c r="E77" s="287" t="s">
        <v>3208</v>
      </c>
      <c r="F77" s="74">
        <v>8.98001412313033E14</v>
      </c>
      <c r="G77" s="167" t="s">
        <v>3209</v>
      </c>
      <c r="H77" s="211">
        <v>39546.0</v>
      </c>
      <c r="I77" s="34" t="s">
        <v>183</v>
      </c>
      <c r="J77" s="74"/>
      <c r="K77" s="74"/>
      <c r="N77" s="270" t="s">
        <v>1824</v>
      </c>
      <c r="O77" s="2"/>
      <c r="P77" s="2"/>
      <c r="Q77" s="2"/>
      <c r="R77" s="2"/>
    </row>
    <row r="78">
      <c r="A78" s="12" t="s">
        <v>12</v>
      </c>
      <c r="B78" s="229" t="s">
        <v>1361</v>
      </c>
      <c r="C78" s="74" t="s">
        <v>1295</v>
      </c>
      <c r="D78" s="512" t="str">
        <f>IF(C78&lt;&gt;"Quarta-Feira","13:40","08:40")</f>
        <v>13:40</v>
      </c>
      <c r="E78" s="287" t="s">
        <v>3210</v>
      </c>
      <c r="F78" s="74">
        <v>7.08002316924824E14</v>
      </c>
      <c r="G78" s="167" t="s">
        <v>3211</v>
      </c>
      <c r="H78" s="211">
        <v>20168.0</v>
      </c>
      <c r="I78" s="34" t="s">
        <v>1823</v>
      </c>
      <c r="J78" s="74"/>
      <c r="K78" s="74"/>
      <c r="N78" s="271" t="s">
        <v>183</v>
      </c>
      <c r="O78" s="272" t="s">
        <v>195</v>
      </c>
      <c r="P78" s="272" t="s">
        <v>181</v>
      </c>
      <c r="Q78" s="273" t="s">
        <v>173</v>
      </c>
      <c r="R78" s="286" t="s">
        <v>1823</v>
      </c>
    </row>
    <row r="79">
      <c r="A79" s="12" t="s">
        <v>13</v>
      </c>
      <c r="B79" s="229" t="s">
        <v>1363</v>
      </c>
      <c r="C79" s="74" t="s">
        <v>1295</v>
      </c>
      <c r="D79" s="512" t="str">
        <f>IF(C79&lt;&gt;"Quarta-Feira","14:00","09:00")</f>
        <v>14:00</v>
      </c>
      <c r="E79" s="287" t="s">
        <v>3212</v>
      </c>
      <c r="F79" s="74">
        <v>2.01156360770008E14</v>
      </c>
      <c r="G79" s="167" t="s">
        <v>3213</v>
      </c>
      <c r="H79" s="211">
        <v>32395.0</v>
      </c>
      <c r="I79" s="34" t="s">
        <v>183</v>
      </c>
      <c r="J79" s="74"/>
      <c r="K79" s="74"/>
      <c r="N79" s="275">
        <f t="shared" ref="N79:R79" si="9">COUNTIFS($I$76:$I$87,N78)</f>
        <v>9</v>
      </c>
      <c r="O79" s="275">
        <f t="shared" si="9"/>
        <v>0</v>
      </c>
      <c r="P79" s="275">
        <f t="shared" si="9"/>
        <v>0</v>
      </c>
      <c r="Q79" s="275">
        <f t="shared" si="9"/>
        <v>0</v>
      </c>
      <c r="R79" s="275">
        <f t="shared" si="9"/>
        <v>3</v>
      </c>
    </row>
    <row r="80">
      <c r="A80" s="12" t="s">
        <v>14</v>
      </c>
      <c r="B80" s="229" t="s">
        <v>1358</v>
      </c>
      <c r="C80" s="74" t="s">
        <v>1295</v>
      </c>
      <c r="D80" s="512" t="str">
        <f>IF(C80&lt;&gt;"Quarta-Feira","14:20","09:20")</f>
        <v>14:20</v>
      </c>
      <c r="E80" s="287" t="s">
        <v>3214</v>
      </c>
      <c r="F80" s="74">
        <v>8.98002116504807E14</v>
      </c>
      <c r="G80" s="167" t="s">
        <v>3215</v>
      </c>
      <c r="H80" s="211">
        <v>22796.0</v>
      </c>
      <c r="I80" s="34" t="s">
        <v>183</v>
      </c>
      <c r="J80" s="74"/>
      <c r="K80" s="74"/>
      <c r="R80" s="67"/>
    </row>
    <row r="81">
      <c r="A81" s="12" t="s">
        <v>15</v>
      </c>
      <c r="B81" s="229" t="s">
        <v>1363</v>
      </c>
      <c r="C81" s="74" t="s">
        <v>1295</v>
      </c>
      <c r="D81" s="512" t="str">
        <f>IF(C81&lt;&gt;"Quarta-Feira","14:40","09:40")</f>
        <v>14:40</v>
      </c>
      <c r="E81" s="287" t="s">
        <v>3216</v>
      </c>
      <c r="F81" s="74">
        <v>7.08105563352837E14</v>
      </c>
      <c r="G81" s="167" t="s">
        <v>3217</v>
      </c>
      <c r="H81" s="211">
        <v>23965.0</v>
      </c>
      <c r="I81" s="34" t="s">
        <v>183</v>
      </c>
      <c r="J81" s="74"/>
      <c r="K81" s="74"/>
      <c r="R81" s="67"/>
    </row>
    <row r="82">
      <c r="A82" s="12" t="s">
        <v>16</v>
      </c>
      <c r="B82" s="229" t="s">
        <v>1359</v>
      </c>
      <c r="C82" s="74" t="s">
        <v>1295</v>
      </c>
      <c r="D82" s="512" t="str">
        <f>IF(C82&lt;&gt;"Quarta-Feira","15:00","10:00")</f>
        <v>15:00</v>
      </c>
      <c r="E82" s="287" t="s">
        <v>3218</v>
      </c>
      <c r="F82" s="74">
        <v>8.98002981178085E14</v>
      </c>
      <c r="G82" s="167" t="s">
        <v>3219</v>
      </c>
      <c r="H82" s="211">
        <v>23392.0</v>
      </c>
      <c r="I82" s="34" t="s">
        <v>183</v>
      </c>
      <c r="J82" s="74"/>
      <c r="K82" s="74"/>
      <c r="R82" s="67"/>
    </row>
    <row r="83">
      <c r="A83" s="12" t="s">
        <v>17</v>
      </c>
      <c r="B83" s="229" t="s">
        <v>1361</v>
      </c>
      <c r="C83" s="74" t="s">
        <v>1295</v>
      </c>
      <c r="D83" s="512" t="str">
        <f>IF(C83&lt;&gt;"Quarta-Feira","15:20","10:20")</f>
        <v>15:20</v>
      </c>
      <c r="E83" s="287" t="s">
        <v>3220</v>
      </c>
      <c r="F83" s="74">
        <v>7.05002684331257E14</v>
      </c>
      <c r="G83" s="167" t="s">
        <v>3221</v>
      </c>
      <c r="H83" s="211">
        <v>19995.0</v>
      </c>
      <c r="I83" s="34" t="s">
        <v>183</v>
      </c>
      <c r="J83" s="74"/>
      <c r="K83" s="74"/>
      <c r="L83" s="67"/>
      <c r="M83" s="67"/>
      <c r="N83" s="67"/>
      <c r="O83" s="286"/>
      <c r="P83" s="67"/>
      <c r="Q83" s="67"/>
      <c r="R83" s="67"/>
      <c r="S83" s="67"/>
      <c r="T83" s="67"/>
      <c r="U83" s="67"/>
      <c r="V83" s="67"/>
      <c r="W83" s="67"/>
      <c r="X83" s="67"/>
    </row>
    <row r="84">
      <c r="A84" s="12" t="s">
        <v>85</v>
      </c>
      <c r="B84" s="229" t="s">
        <v>1358</v>
      </c>
      <c r="C84" s="74" t="s">
        <v>1295</v>
      </c>
      <c r="D84" s="512" t="str">
        <f>IF(C84&lt;&gt;"Quarta-Feira","15:40","10:40")</f>
        <v>15:40</v>
      </c>
      <c r="E84" s="287" t="s">
        <v>3222</v>
      </c>
      <c r="F84" s="74">
        <v>8.01440450892374E14</v>
      </c>
      <c r="G84" s="167" t="s">
        <v>3223</v>
      </c>
      <c r="H84" s="211">
        <v>29169.0</v>
      </c>
      <c r="I84" s="34" t="s">
        <v>183</v>
      </c>
      <c r="J84" s="74"/>
      <c r="K84" s="74"/>
      <c r="R84" s="67"/>
    </row>
    <row r="85">
      <c r="A85" s="12" t="s">
        <v>87</v>
      </c>
      <c r="B85" s="229" t="s">
        <v>1359</v>
      </c>
      <c r="C85" s="74" t="s">
        <v>1295</v>
      </c>
      <c r="D85" s="512" t="str">
        <f>IF(C85&lt;&gt;"Quarta-Feira","16:00","11:00")</f>
        <v>16:00</v>
      </c>
      <c r="E85" s="287" t="s">
        <v>3224</v>
      </c>
      <c r="F85" s="74">
        <v>7.00009774292701E14</v>
      </c>
      <c r="G85" s="167" t="s">
        <v>3225</v>
      </c>
      <c r="H85" s="211">
        <v>35619.0</v>
      </c>
      <c r="I85" s="34" t="s">
        <v>1823</v>
      </c>
      <c r="J85" s="74"/>
      <c r="K85" s="74"/>
      <c r="R85" s="67"/>
    </row>
    <row r="86">
      <c r="A86" s="12" t="s">
        <v>90</v>
      </c>
      <c r="B86" s="229" t="s">
        <v>1361</v>
      </c>
      <c r="C86" s="74" t="s">
        <v>1295</v>
      </c>
      <c r="D86" s="512" t="str">
        <f>IF(C86&lt;&gt;"Quarta-Feira","16:20","11:20")</f>
        <v>16:20</v>
      </c>
      <c r="E86" s="287" t="s">
        <v>3226</v>
      </c>
      <c r="F86" s="74">
        <v>7.02406561078028E14</v>
      </c>
      <c r="G86" s="167" t="s">
        <v>3227</v>
      </c>
      <c r="H86" s="211">
        <v>20612.0</v>
      </c>
      <c r="I86" s="34" t="s">
        <v>183</v>
      </c>
      <c r="J86" s="74"/>
      <c r="K86" s="74"/>
      <c r="R86" s="67"/>
    </row>
    <row r="87">
      <c r="A87" s="12" t="s">
        <v>93</v>
      </c>
      <c r="B87" s="229" t="s">
        <v>1363</v>
      </c>
      <c r="C87" s="74" t="s">
        <v>1295</v>
      </c>
      <c r="D87" s="512" t="str">
        <f>IF(C87&lt;&gt;"Quarta-Feira","16:40","11:40")</f>
        <v>16:40</v>
      </c>
      <c r="E87" s="287" t="s">
        <v>3228</v>
      </c>
      <c r="F87" s="74">
        <v>7.04706752928739E14</v>
      </c>
      <c r="G87" s="167" t="s">
        <v>3229</v>
      </c>
      <c r="H87" s="211">
        <v>24794.0</v>
      </c>
      <c r="I87" s="34" t="s">
        <v>183</v>
      </c>
      <c r="J87" s="74"/>
      <c r="K87" s="74"/>
      <c r="R87" s="67"/>
    </row>
    <row r="88">
      <c r="B88" s="182"/>
      <c r="E88" s="261"/>
      <c r="G88" s="182"/>
      <c r="J88" s="67"/>
      <c r="K88" s="67"/>
      <c r="R88" s="67"/>
    </row>
    <row r="89">
      <c r="B89" s="182"/>
      <c r="E89" s="261"/>
      <c r="G89" s="182"/>
      <c r="J89" s="67"/>
      <c r="K89" s="67"/>
      <c r="R89" s="67"/>
    </row>
    <row r="90" ht="15.0" customHeight="1">
      <c r="B90" s="182"/>
      <c r="E90" s="261"/>
      <c r="G90" s="182"/>
      <c r="J90" s="67"/>
      <c r="K90" s="67"/>
      <c r="R90" s="67"/>
    </row>
    <row r="91">
      <c r="A91" s="23" t="s">
        <v>378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08h às 13h"</f>
        <v>13/05/2026 08h às 13h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489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64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9" t="s">
        <v>65</v>
      </c>
      <c r="C94" s="74" t="str">
        <f t="shared" ref="C94:C105" si="10">PROPER(TEXT(DATE(MID($A$92,7,4),MID($A$92,4,2),LEFT($A$92,2)),"dddd"))</f>
        <v>Quarta-Feira</v>
      </c>
      <c r="D94" s="512" t="str">
        <f>IF(C94&lt;&gt;"Quarta-Feira","13:00","08:00")</f>
        <v>08:00</v>
      </c>
      <c r="E94" s="287" t="s">
        <v>3230</v>
      </c>
      <c r="F94" s="74">
        <v>7.0550044390541E14</v>
      </c>
      <c r="G94" s="167" t="s">
        <v>3231</v>
      </c>
      <c r="H94" s="211">
        <v>19197.0</v>
      </c>
      <c r="I94" s="34" t="s">
        <v>1823</v>
      </c>
      <c r="J94" s="74"/>
      <c r="K94" s="74"/>
      <c r="L94" s="216" t="s">
        <v>521</v>
      </c>
      <c r="N94" s="268" t="s">
        <v>387</v>
      </c>
      <c r="O94" s="100"/>
      <c r="P94" s="100"/>
      <c r="Q94" s="100"/>
      <c r="R94" s="100"/>
    </row>
    <row r="95">
      <c r="A95" s="12" t="s">
        <v>11</v>
      </c>
      <c r="B95" s="229" t="s">
        <v>202</v>
      </c>
      <c r="C95" s="74" t="str">
        <f t="shared" si="10"/>
        <v>Quarta-Feira</v>
      </c>
      <c r="D95" s="512" t="str">
        <f>IF(C95&lt;&gt;"Quarta-Feira","13:20","08:20")</f>
        <v>08:20</v>
      </c>
      <c r="E95" s="287" t="s">
        <v>3232</v>
      </c>
      <c r="F95" s="74">
        <v>7.00201449859227E14</v>
      </c>
      <c r="G95" s="167" t="s">
        <v>3233</v>
      </c>
      <c r="H95" s="77">
        <v>28937.0</v>
      </c>
      <c r="I95" s="34" t="s">
        <v>1823</v>
      </c>
      <c r="J95" s="74"/>
      <c r="K95" s="74"/>
      <c r="N95" s="270" t="s">
        <v>1824</v>
      </c>
      <c r="O95" s="2"/>
      <c r="P95" s="2"/>
      <c r="Q95" s="2"/>
      <c r="R95" s="2"/>
    </row>
    <row r="96">
      <c r="A96" s="12" t="s">
        <v>12</v>
      </c>
      <c r="B96" s="229" t="s">
        <v>1448</v>
      </c>
      <c r="C96" s="74" t="str">
        <f t="shared" si="10"/>
        <v>Quarta-Feira</v>
      </c>
      <c r="D96" s="512" t="str">
        <f>IF(C96&lt;&gt;"Quarta-Feira","13:40","08:40")</f>
        <v>08:40</v>
      </c>
      <c r="E96" s="287" t="s">
        <v>3234</v>
      </c>
      <c r="F96" s="74">
        <v>7.0200272511229E14</v>
      </c>
      <c r="G96" s="167" t="s">
        <v>3235</v>
      </c>
      <c r="H96" s="83">
        <v>22222.0</v>
      </c>
      <c r="I96" s="34" t="s">
        <v>183</v>
      </c>
      <c r="J96" s="74"/>
      <c r="K96" s="74"/>
      <c r="L96" s="216" t="s">
        <v>521</v>
      </c>
      <c r="N96" s="271" t="s">
        <v>183</v>
      </c>
      <c r="O96" s="272" t="s">
        <v>195</v>
      </c>
      <c r="P96" s="272" t="s">
        <v>181</v>
      </c>
      <c r="Q96" s="273" t="s">
        <v>173</v>
      </c>
      <c r="R96" s="286" t="s">
        <v>1823</v>
      </c>
    </row>
    <row r="97">
      <c r="A97" s="12" t="s">
        <v>13</v>
      </c>
      <c r="B97" s="229" t="s">
        <v>822</v>
      </c>
      <c r="C97" s="74" t="str">
        <f t="shared" si="10"/>
        <v>Quarta-Feira</v>
      </c>
      <c r="D97" s="512" t="str">
        <f>IF(C97&lt;&gt;"Quarta-Feira","14:00","09:00")</f>
        <v>09:00</v>
      </c>
      <c r="E97" s="287" t="s">
        <v>3236</v>
      </c>
      <c r="F97" s="74">
        <v>7.0850730841627E14</v>
      </c>
      <c r="G97" s="496" t="s">
        <v>3237</v>
      </c>
      <c r="H97" s="83">
        <v>20951.0</v>
      </c>
      <c r="I97" s="34" t="s">
        <v>1823</v>
      </c>
      <c r="J97" s="74"/>
      <c r="K97" s="74"/>
      <c r="L97" s="216" t="s">
        <v>521</v>
      </c>
      <c r="N97" s="275">
        <f t="shared" ref="N97:R97" si="11">COUNTIFS($I$94:$I$105,N96)</f>
        <v>6</v>
      </c>
      <c r="O97" s="275">
        <f t="shared" si="11"/>
        <v>0</v>
      </c>
      <c r="P97" s="275">
        <f t="shared" si="11"/>
        <v>0</v>
      </c>
      <c r="Q97" s="275">
        <f t="shared" si="11"/>
        <v>0</v>
      </c>
      <c r="R97" s="275">
        <f t="shared" si="11"/>
        <v>6</v>
      </c>
    </row>
    <row r="98" ht="18.0" customHeight="1">
      <c r="A98" s="12" t="s">
        <v>14</v>
      </c>
      <c r="B98" s="229" t="s">
        <v>202</v>
      </c>
      <c r="C98" s="74" t="str">
        <f t="shared" si="10"/>
        <v>Quarta-Feira</v>
      </c>
      <c r="D98" s="512" t="str">
        <f>IF(C98&lt;&gt;"Quarta-Feira","14:20","09:20")</f>
        <v>09:20</v>
      </c>
      <c r="E98" s="287" t="s">
        <v>3238</v>
      </c>
      <c r="F98" s="74">
        <v>7.00000716571808E14</v>
      </c>
      <c r="G98" s="167" t="s">
        <v>3239</v>
      </c>
      <c r="H98" s="83">
        <v>22715.0</v>
      </c>
      <c r="I98" s="34" t="s">
        <v>1823</v>
      </c>
      <c r="J98" s="74"/>
      <c r="K98" s="74"/>
      <c r="L98" s="216" t="s">
        <v>521</v>
      </c>
      <c r="R98" s="67"/>
    </row>
    <row r="99">
      <c r="A99" s="12" t="s">
        <v>15</v>
      </c>
      <c r="B99" s="229" t="s">
        <v>1448</v>
      </c>
      <c r="C99" s="74" t="str">
        <f t="shared" si="10"/>
        <v>Quarta-Feira</v>
      </c>
      <c r="D99" s="512" t="str">
        <f>IF(C99&lt;&gt;"Quarta-Feira","14:40","09:40")</f>
        <v>09:40</v>
      </c>
      <c r="E99" s="287" t="s">
        <v>3240</v>
      </c>
      <c r="F99" s="74">
        <v>7.08700143167891E14</v>
      </c>
      <c r="G99" s="167" t="s">
        <v>3241</v>
      </c>
      <c r="H99" s="83">
        <v>19013.0</v>
      </c>
      <c r="I99" s="34" t="s">
        <v>1823</v>
      </c>
      <c r="J99" s="74"/>
      <c r="K99" s="74"/>
      <c r="L99" s="216" t="s">
        <v>521</v>
      </c>
      <c r="R99" s="67"/>
    </row>
    <row r="100">
      <c r="A100" s="12" t="s">
        <v>16</v>
      </c>
      <c r="B100" s="229" t="s">
        <v>65</v>
      </c>
      <c r="C100" s="74" t="str">
        <f t="shared" si="10"/>
        <v>Quarta-Feira</v>
      </c>
      <c r="D100" s="512" t="str">
        <f>IF(C100&lt;&gt;"Quarta-Feira","15:00","10:00")</f>
        <v>10:00</v>
      </c>
      <c r="E100" s="287" t="s">
        <v>3242</v>
      </c>
      <c r="F100" s="74">
        <v>7.00501759957054E14</v>
      </c>
      <c r="G100" s="167" t="s">
        <v>3243</v>
      </c>
      <c r="H100" s="83">
        <v>19860.0</v>
      </c>
      <c r="I100" s="34" t="s">
        <v>183</v>
      </c>
      <c r="J100" s="74"/>
      <c r="K100" s="74"/>
      <c r="L100" s="216" t="s">
        <v>521</v>
      </c>
      <c r="R100" s="67"/>
    </row>
    <row r="101">
      <c r="A101" s="12" t="s">
        <v>179</v>
      </c>
      <c r="B101" s="229" t="s">
        <v>202</v>
      </c>
      <c r="C101" s="74" t="str">
        <f t="shared" si="10"/>
        <v>Quarta-Feira</v>
      </c>
      <c r="D101" s="512" t="str">
        <f>IF(C101&lt;&gt;"Quarta-Feira","15:20","10:20")</f>
        <v>10:20</v>
      </c>
      <c r="E101" s="287" t="s">
        <v>3244</v>
      </c>
      <c r="F101" s="74">
        <v>7.034071853219E14</v>
      </c>
      <c r="G101" s="167" t="s">
        <v>3245</v>
      </c>
      <c r="H101" s="77">
        <v>22402.0</v>
      </c>
      <c r="I101" s="34" t="s">
        <v>183</v>
      </c>
      <c r="J101" s="74"/>
      <c r="K101" s="74"/>
      <c r="L101" s="216" t="s">
        <v>521</v>
      </c>
      <c r="R101" s="67"/>
    </row>
    <row r="102">
      <c r="A102" s="12" t="s">
        <v>85</v>
      </c>
      <c r="B102" s="229" t="s">
        <v>822</v>
      </c>
      <c r="C102" s="74" t="str">
        <f t="shared" si="10"/>
        <v>Quarta-Feira</v>
      </c>
      <c r="D102" s="512" t="str">
        <f>IF(C102&lt;&gt;"Quarta-Feira","15:40","10:40")</f>
        <v>10:40</v>
      </c>
      <c r="E102" s="287" t="s">
        <v>3246</v>
      </c>
      <c r="F102" s="74">
        <v>7.06809712044528E14</v>
      </c>
      <c r="G102" s="167" t="s">
        <v>3247</v>
      </c>
      <c r="H102" s="83">
        <v>16091.0</v>
      </c>
      <c r="I102" s="34" t="s">
        <v>183</v>
      </c>
      <c r="J102" s="74"/>
      <c r="K102" s="74"/>
      <c r="L102" s="216" t="s">
        <v>521</v>
      </c>
      <c r="R102" s="67"/>
    </row>
    <row r="103">
      <c r="A103" s="12" t="s">
        <v>87</v>
      </c>
      <c r="B103" s="229" t="s">
        <v>1448</v>
      </c>
      <c r="C103" s="74" t="str">
        <f t="shared" si="10"/>
        <v>Quarta-Feira</v>
      </c>
      <c r="D103" s="512" t="str">
        <f>IF(C103&lt;&gt;"Quarta-Feira","16:00","11:00")</f>
        <v>11:00</v>
      </c>
      <c r="E103" s="287" t="s">
        <v>3248</v>
      </c>
      <c r="F103" s="74">
        <v>8.0144040254641E14</v>
      </c>
      <c r="G103" s="167" t="s">
        <v>3249</v>
      </c>
      <c r="H103" s="166">
        <v>21835.0</v>
      </c>
      <c r="I103" s="34" t="s">
        <v>1823</v>
      </c>
      <c r="J103" s="74"/>
      <c r="K103" s="74"/>
      <c r="L103" s="216" t="s">
        <v>521</v>
      </c>
      <c r="R103" s="67"/>
    </row>
    <row r="104">
      <c r="A104" s="12" t="s">
        <v>90</v>
      </c>
      <c r="B104" s="229" t="s">
        <v>822</v>
      </c>
      <c r="C104" s="74" t="str">
        <f t="shared" si="10"/>
        <v>Quarta-Feira</v>
      </c>
      <c r="D104" s="512" t="str">
        <f>IF(C104&lt;&gt;"Quarta-Feira","16:20","11:20")</f>
        <v>11:20</v>
      </c>
      <c r="E104" s="287" t="s">
        <v>3250</v>
      </c>
      <c r="F104" s="74">
        <v>8.0144040913396E14</v>
      </c>
      <c r="G104" s="167" t="s">
        <v>3251</v>
      </c>
      <c r="H104" s="166">
        <v>16345.0</v>
      </c>
      <c r="I104" s="34" t="s">
        <v>183</v>
      </c>
      <c r="J104" s="74"/>
      <c r="K104" s="74"/>
      <c r="L104" s="216" t="s">
        <v>521</v>
      </c>
      <c r="R104" s="67"/>
    </row>
    <row r="105">
      <c r="A105" s="12" t="s">
        <v>93</v>
      </c>
      <c r="B105" s="229" t="s">
        <v>65</v>
      </c>
      <c r="C105" s="74" t="str">
        <f t="shared" si="10"/>
        <v>Quarta-Feira</v>
      </c>
      <c r="D105" s="512" t="str">
        <f>IF(C105&lt;&gt;"Quarta-Feira","16:40","11:40")</f>
        <v>11:40</v>
      </c>
      <c r="E105" s="287" t="s">
        <v>3252</v>
      </c>
      <c r="F105" s="74">
        <v>8.98001443052916E14</v>
      </c>
      <c r="G105" s="167" t="s">
        <v>3253</v>
      </c>
      <c r="H105" s="166">
        <v>22978.0</v>
      </c>
      <c r="I105" s="34" t="s">
        <v>183</v>
      </c>
      <c r="J105" s="74"/>
      <c r="K105" s="74"/>
      <c r="R105" s="67"/>
    </row>
    <row r="106">
      <c r="B106" s="182"/>
      <c r="E106" s="261"/>
      <c r="G106" s="182"/>
      <c r="J106" s="67"/>
      <c r="K106" s="67"/>
      <c r="R106" s="67"/>
    </row>
    <row r="107">
      <c r="B107" s="182"/>
      <c r="E107" s="261"/>
      <c r="G107" s="182"/>
      <c r="J107" s="67"/>
      <c r="K107" s="67"/>
      <c r="R107" s="67"/>
    </row>
    <row r="108">
      <c r="B108" s="182"/>
      <c r="E108" s="261"/>
      <c r="G108" s="182"/>
      <c r="J108" s="67"/>
      <c r="K108" s="67"/>
      <c r="R108" s="67"/>
    </row>
    <row r="109">
      <c r="A109" s="23" t="s">
        <v>378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TEXT(DATE(VALUE(MID(A92,7,4)),VALUE(MID(A92,4,2)),VALUE(LEFT(A92,2)))+2,"dd/mm/yyyy")&amp;" 08h às 13h"</f>
        <v>15/05/2026 08h às 13h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489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64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2381</v>
      </c>
      <c r="C112" s="74" t="str">
        <f t="shared" ref="C112:C123" si="12">PROPER(TEXT(DATE(MID($A$110,7,4),MID($A$110,4,2),LEFT($A$110,2)),"dddd"))</f>
        <v>Sexta-Feira</v>
      </c>
      <c r="D112" s="512" t="str">
        <f>IF(C112&lt;&gt;"Quarta-Feira","13:00","08:00")</f>
        <v>13:00</v>
      </c>
      <c r="E112" s="287"/>
      <c r="F112" s="74"/>
      <c r="G112" s="167" t="s">
        <v>3254</v>
      </c>
      <c r="H112" s="211"/>
      <c r="I112" s="34" t="s">
        <v>183</v>
      </c>
      <c r="J112" s="74"/>
      <c r="K112" s="74"/>
      <c r="L112" s="216" t="s">
        <v>521</v>
      </c>
      <c r="N112" s="268" t="s">
        <v>387</v>
      </c>
      <c r="O112" s="100"/>
      <c r="P112" s="100"/>
      <c r="Q112" s="100"/>
      <c r="R112" s="100"/>
    </row>
    <row r="113">
      <c r="A113" s="12" t="s">
        <v>11</v>
      </c>
      <c r="B113" s="227" t="s">
        <v>2384</v>
      </c>
      <c r="C113" s="74" t="str">
        <f t="shared" si="12"/>
        <v>Sexta-Feira</v>
      </c>
      <c r="D113" s="512" t="str">
        <f>IF(C113&lt;&gt;"Quarta-Feira","13:20","08:20")</f>
        <v>13:20</v>
      </c>
      <c r="E113" s="287" t="s">
        <v>3255</v>
      </c>
      <c r="F113" s="74">
        <v>7.07406041086078E14</v>
      </c>
      <c r="G113" s="167" t="s">
        <v>1960</v>
      </c>
      <c r="H113" s="77">
        <v>23689.0</v>
      </c>
      <c r="I113" s="34" t="s">
        <v>183</v>
      </c>
      <c r="J113" s="74"/>
      <c r="K113" s="74"/>
      <c r="N113" s="270" t="s">
        <v>1824</v>
      </c>
      <c r="O113" s="2"/>
      <c r="P113" s="2"/>
      <c r="Q113" s="2"/>
      <c r="R113" s="2"/>
    </row>
    <row r="114">
      <c r="A114" s="12" t="s">
        <v>12</v>
      </c>
      <c r="B114" s="227" t="s">
        <v>2387</v>
      </c>
      <c r="C114" s="74" t="str">
        <f t="shared" si="12"/>
        <v>Sexta-Feira</v>
      </c>
      <c r="D114" s="512" t="str">
        <f>IF(C114&lt;&gt;"Quarta-Feira","13:40","08:40")</f>
        <v>13:40</v>
      </c>
      <c r="E114" s="287" t="s">
        <v>3256</v>
      </c>
      <c r="F114" s="74">
        <v>8.98001450642464E14</v>
      </c>
      <c r="G114" s="167" t="s">
        <v>3257</v>
      </c>
      <c r="H114" s="83">
        <v>26245.0</v>
      </c>
      <c r="I114" s="34" t="s">
        <v>1823</v>
      </c>
      <c r="J114" s="74"/>
      <c r="K114" s="74"/>
      <c r="L114" s="216" t="s">
        <v>521</v>
      </c>
      <c r="N114" s="271" t="s">
        <v>183</v>
      </c>
      <c r="O114" s="272" t="s">
        <v>195</v>
      </c>
      <c r="P114" s="272" t="s">
        <v>181</v>
      </c>
      <c r="Q114" s="273" t="s">
        <v>173</v>
      </c>
      <c r="R114" s="286" t="s">
        <v>1823</v>
      </c>
    </row>
    <row r="115">
      <c r="A115" s="12" t="s">
        <v>13</v>
      </c>
      <c r="B115" s="227" t="s">
        <v>2390</v>
      </c>
      <c r="C115" s="74" t="str">
        <f t="shared" si="12"/>
        <v>Sexta-Feira</v>
      </c>
      <c r="D115" s="512" t="str">
        <f>IF(C115&lt;&gt;"Quarta-Feira","14:00","09:00")</f>
        <v>14:00</v>
      </c>
      <c r="E115" s="287" t="s">
        <v>3258</v>
      </c>
      <c r="F115" s="74">
        <v>7.05000872001658E14</v>
      </c>
      <c r="G115" s="167" t="s">
        <v>3259</v>
      </c>
      <c r="H115" s="83">
        <v>21093.0</v>
      </c>
      <c r="I115" s="34" t="s">
        <v>1823</v>
      </c>
      <c r="J115" s="74"/>
      <c r="K115" s="74"/>
      <c r="L115" s="216" t="s">
        <v>521</v>
      </c>
      <c r="N115" s="275">
        <f t="shared" ref="N115:Q115" si="13">COUNTIFS($I$112:$I$123,N114)</f>
        <v>9</v>
      </c>
      <c r="O115" s="275">
        <f t="shared" si="13"/>
        <v>0</v>
      </c>
      <c r="P115" s="275">
        <f t="shared" si="13"/>
        <v>0</v>
      </c>
      <c r="Q115" s="275">
        <f t="shared" si="13"/>
        <v>0</v>
      </c>
      <c r="R115" s="67">
        <f>COUNTIFS(I112:I123,R114)</f>
        <v>3</v>
      </c>
    </row>
    <row r="116">
      <c r="A116" s="12" t="s">
        <v>14</v>
      </c>
      <c r="B116" s="227" t="s">
        <v>2381</v>
      </c>
      <c r="C116" s="74" t="str">
        <f t="shared" si="12"/>
        <v>Sexta-Feira</v>
      </c>
      <c r="D116" s="512" t="str">
        <f>IF(C116&lt;&gt;"Quarta-Feira","14:20","09:20")</f>
        <v>14:20</v>
      </c>
      <c r="E116" s="287" t="s">
        <v>3260</v>
      </c>
      <c r="F116" s="74">
        <v>7.06507337047591E14</v>
      </c>
      <c r="G116" s="167" t="s">
        <v>3261</v>
      </c>
      <c r="H116" s="83">
        <v>18301.0</v>
      </c>
      <c r="I116" s="34" t="s">
        <v>183</v>
      </c>
      <c r="J116" s="74"/>
      <c r="K116" s="74"/>
      <c r="L116" s="216" t="s">
        <v>521</v>
      </c>
      <c r="R116" s="67"/>
    </row>
    <row r="117">
      <c r="A117" s="12" t="s">
        <v>15</v>
      </c>
      <c r="B117" s="227" t="s">
        <v>2384</v>
      </c>
      <c r="C117" s="74" t="str">
        <f t="shared" si="12"/>
        <v>Sexta-Feira</v>
      </c>
      <c r="D117" s="512" t="str">
        <f>IF(C117&lt;&gt;"Quarta-Feira","14:40","09:40")</f>
        <v>14:40</v>
      </c>
      <c r="E117" s="287" t="s">
        <v>3262</v>
      </c>
      <c r="F117" s="74">
        <v>7.01205011807119E14</v>
      </c>
      <c r="G117" s="167" t="s">
        <v>3263</v>
      </c>
      <c r="H117" s="83">
        <v>26970.0</v>
      </c>
      <c r="I117" s="34" t="s">
        <v>183</v>
      </c>
      <c r="J117" s="74"/>
      <c r="K117" s="74"/>
      <c r="L117" s="216" t="s">
        <v>521</v>
      </c>
      <c r="R117" s="67"/>
    </row>
    <row r="118">
      <c r="A118" s="12" t="s">
        <v>16</v>
      </c>
      <c r="B118" s="227" t="s">
        <v>2387</v>
      </c>
      <c r="C118" s="74" t="str">
        <f t="shared" si="12"/>
        <v>Sexta-Feira</v>
      </c>
      <c r="D118" s="512" t="str">
        <f>IF(C118&lt;&gt;"Quarta-Feira","15:00","10:00")</f>
        <v>15:00</v>
      </c>
      <c r="E118" s="287" t="s">
        <v>3264</v>
      </c>
      <c r="F118" s="74">
        <v>7.00003764786501E14</v>
      </c>
      <c r="G118" s="167" t="s">
        <v>3265</v>
      </c>
      <c r="H118" s="83">
        <v>19183.0</v>
      </c>
      <c r="I118" s="34" t="s">
        <v>183</v>
      </c>
      <c r="J118" s="74"/>
      <c r="K118" s="74"/>
      <c r="R118" s="67"/>
    </row>
    <row r="119">
      <c r="A119" s="12" t="s">
        <v>17</v>
      </c>
      <c r="B119" s="227" t="s">
        <v>2390</v>
      </c>
      <c r="C119" s="74" t="str">
        <f t="shared" si="12"/>
        <v>Sexta-Feira</v>
      </c>
      <c r="D119" s="512" t="str">
        <f>IF(C119&lt;&gt;"Quarta-Feira","15:20","10:20")</f>
        <v>15:20</v>
      </c>
      <c r="E119" s="287" t="s">
        <v>3266</v>
      </c>
      <c r="F119" s="74">
        <v>7.09203245214231E14</v>
      </c>
      <c r="G119" s="167" t="s">
        <v>3267</v>
      </c>
      <c r="H119" s="77">
        <v>22150.0</v>
      </c>
      <c r="I119" s="34" t="s">
        <v>183</v>
      </c>
      <c r="J119" s="74"/>
      <c r="K119" s="74"/>
      <c r="R119" s="67"/>
    </row>
    <row r="120">
      <c r="A120" s="12" t="s">
        <v>85</v>
      </c>
      <c r="B120" s="227" t="s">
        <v>2384</v>
      </c>
      <c r="C120" s="74" t="str">
        <f t="shared" si="12"/>
        <v>Sexta-Feira</v>
      </c>
      <c r="D120" s="512" t="str">
        <f>IF(C120&lt;&gt;"Quarta-Feira","15:40","10:40")</f>
        <v>15:40</v>
      </c>
      <c r="E120" s="287" t="s">
        <v>3268</v>
      </c>
      <c r="F120" s="74">
        <v>7.02301179773916E14</v>
      </c>
      <c r="G120" s="167" t="s">
        <v>3269</v>
      </c>
      <c r="H120" s="83">
        <v>20958.0</v>
      </c>
      <c r="I120" s="34" t="s">
        <v>183</v>
      </c>
      <c r="J120" s="74"/>
      <c r="K120" s="74"/>
      <c r="L120" s="216" t="s">
        <v>577</v>
      </c>
      <c r="R120" s="67"/>
    </row>
    <row r="121">
      <c r="A121" s="12" t="s">
        <v>87</v>
      </c>
      <c r="B121" s="227" t="s">
        <v>2381</v>
      </c>
      <c r="C121" s="74" t="str">
        <f t="shared" si="12"/>
        <v>Sexta-Feira</v>
      </c>
      <c r="D121" s="512" t="str">
        <f>IF(C121&lt;&gt;"Quarta-Feira","16:00","11:00")</f>
        <v>16:00</v>
      </c>
      <c r="E121" s="287" t="s">
        <v>3270</v>
      </c>
      <c r="F121" s="74">
        <v>7.02102781935298E14</v>
      </c>
      <c r="G121" s="167" t="s">
        <v>3271</v>
      </c>
      <c r="H121" s="166">
        <v>20145.0</v>
      </c>
      <c r="I121" s="34" t="s">
        <v>183</v>
      </c>
      <c r="J121" s="74"/>
      <c r="K121" s="74"/>
      <c r="R121" s="67"/>
    </row>
    <row r="122">
      <c r="A122" s="12" t="s">
        <v>90</v>
      </c>
      <c r="B122" s="227" t="s">
        <v>2381</v>
      </c>
      <c r="C122" s="74" t="str">
        <f t="shared" si="12"/>
        <v>Sexta-Feira</v>
      </c>
      <c r="D122" s="512" t="str">
        <f>IF(C122&lt;&gt;"Quarta-Feira","16:20","11:20")</f>
        <v>16:20</v>
      </c>
      <c r="E122" s="287" t="s">
        <v>3272</v>
      </c>
      <c r="F122" s="74">
        <v>7.00807975812983E14</v>
      </c>
      <c r="G122" s="167" t="s">
        <v>1392</v>
      </c>
      <c r="H122" s="166">
        <v>19170.0</v>
      </c>
      <c r="I122" s="34" t="s">
        <v>183</v>
      </c>
      <c r="J122" s="74"/>
      <c r="K122" s="74"/>
      <c r="R122" s="67"/>
    </row>
    <row r="123">
      <c r="A123" s="12" t="s">
        <v>93</v>
      </c>
      <c r="B123" s="227" t="s">
        <v>2381</v>
      </c>
      <c r="C123" s="74" t="str">
        <f t="shared" si="12"/>
        <v>Sexta-Feira</v>
      </c>
      <c r="D123" s="512" t="str">
        <f>IF(C123&lt;&gt;"Quarta-Feira","16:40","11:40")</f>
        <v>16:40</v>
      </c>
      <c r="E123" s="287" t="s">
        <v>3273</v>
      </c>
      <c r="F123" s="74">
        <v>7.07603255462491E14</v>
      </c>
      <c r="G123" s="167" t="s">
        <v>3274</v>
      </c>
      <c r="H123" s="166">
        <v>23447.0</v>
      </c>
      <c r="I123" s="34" t="s">
        <v>1823</v>
      </c>
      <c r="J123" s="74"/>
      <c r="K123" s="74"/>
      <c r="R123" s="67"/>
    </row>
    <row r="124">
      <c r="B124" s="182"/>
      <c r="E124" s="261"/>
      <c r="G124" s="182"/>
      <c r="J124" s="67"/>
      <c r="K124" s="67"/>
      <c r="R124" s="67"/>
    </row>
    <row r="125">
      <c r="B125" s="182"/>
      <c r="E125" s="261"/>
      <c r="G125" s="182"/>
      <c r="J125" s="67"/>
      <c r="K125" s="67"/>
      <c r="R125" s="67"/>
    </row>
    <row r="126">
      <c r="B126" s="182"/>
      <c r="E126" s="261"/>
      <c r="G126" s="182"/>
      <c r="J126" s="67"/>
      <c r="K126" s="67"/>
      <c r="R126" s="67"/>
    </row>
    <row r="127">
      <c r="A127" s="23" t="s">
        <v>378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TEXT(DATE(VALUE(MID(A74,7,4)),VALUE(MID(A74,4,2)),VALUE(LEFT(A74,2)))+7,"dd/mm/yyyy")&amp;" 13h às 17h"</f>
        <v>18/05/2026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489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8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1981</v>
      </c>
      <c r="C130" s="74" t="str">
        <f t="shared" ref="C130:C141" si="14">PROPER(TEXT(DATE(MID($A$128,7,4),MID($A$128,4,2),LEFT($A$128,2)),"dddd"))</f>
        <v>Segunda-Feira</v>
      </c>
      <c r="D130" s="512" t="str">
        <f>IF(C130&lt;&gt;"Quarta-Feira","13:00","08:00")</f>
        <v>13:00</v>
      </c>
      <c r="E130" s="287" t="s">
        <v>3275</v>
      </c>
      <c r="F130" s="74">
        <v>7.08701188470896E14</v>
      </c>
      <c r="G130" s="167" t="s">
        <v>3276</v>
      </c>
      <c r="H130" s="522">
        <v>22025.0</v>
      </c>
      <c r="I130" s="34" t="s">
        <v>183</v>
      </c>
      <c r="J130" s="74"/>
      <c r="K130" s="74"/>
      <c r="N130" s="268" t="s">
        <v>387</v>
      </c>
      <c r="O130" s="100"/>
      <c r="P130" s="100"/>
      <c r="Q130" s="100"/>
      <c r="R130" s="100"/>
    </row>
    <row r="131">
      <c r="A131" s="12" t="s">
        <v>11</v>
      </c>
      <c r="B131" s="227" t="s">
        <v>1985</v>
      </c>
      <c r="C131" s="74" t="str">
        <f t="shared" si="14"/>
        <v>Segunda-Feira</v>
      </c>
      <c r="D131" s="512" t="str">
        <f>IF(C131&lt;&gt;"Quarta-Feira","13:20","08:20")</f>
        <v>13:20</v>
      </c>
      <c r="E131" s="287" t="s">
        <v>3277</v>
      </c>
      <c r="F131" s="74">
        <v>8.98002117045598E14</v>
      </c>
      <c r="G131" s="167" t="s">
        <v>3278</v>
      </c>
      <c r="H131" s="77">
        <v>21258.0</v>
      </c>
      <c r="I131" s="34" t="s">
        <v>183</v>
      </c>
      <c r="J131" s="74"/>
      <c r="K131" s="74"/>
      <c r="N131" s="270" t="s">
        <v>1824</v>
      </c>
      <c r="O131" s="2"/>
      <c r="P131" s="2"/>
      <c r="Q131" s="2"/>
      <c r="R131" s="2"/>
    </row>
    <row r="132">
      <c r="A132" s="12" t="s">
        <v>12</v>
      </c>
      <c r="B132" s="227" t="s">
        <v>1989</v>
      </c>
      <c r="C132" s="74" t="str">
        <f t="shared" si="14"/>
        <v>Segunda-Feira</v>
      </c>
      <c r="D132" s="512" t="str">
        <f>IF(C132&lt;&gt;"Quarta-Feira","13:40","08:40")</f>
        <v>13:40</v>
      </c>
      <c r="E132" s="287" t="s">
        <v>3279</v>
      </c>
      <c r="F132" s="74">
        <v>8.98001407443846E14</v>
      </c>
      <c r="G132" s="167" t="s">
        <v>3280</v>
      </c>
      <c r="H132" s="83">
        <v>21897.0</v>
      </c>
      <c r="I132" s="34" t="s">
        <v>183</v>
      </c>
      <c r="J132" s="74"/>
      <c r="K132" s="74"/>
      <c r="N132" s="271" t="s">
        <v>183</v>
      </c>
      <c r="O132" s="272" t="s">
        <v>195</v>
      </c>
      <c r="P132" s="272" t="s">
        <v>181</v>
      </c>
      <c r="Q132" s="273" t="s">
        <v>173</v>
      </c>
      <c r="R132" s="286" t="s">
        <v>1823</v>
      </c>
    </row>
    <row r="133">
      <c r="A133" s="12" t="s">
        <v>13</v>
      </c>
      <c r="B133" s="227" t="s">
        <v>1992</v>
      </c>
      <c r="C133" s="74" t="str">
        <f t="shared" si="14"/>
        <v>Segunda-Feira</v>
      </c>
      <c r="D133" s="512" t="str">
        <f>IF(C133&lt;&gt;"Quarta-Feira","14:00","09:00")</f>
        <v>14:00</v>
      </c>
      <c r="E133" s="287" t="s">
        <v>3281</v>
      </c>
      <c r="F133" s="74">
        <v>7.0500063703415E14</v>
      </c>
      <c r="G133" s="167" t="s">
        <v>3282</v>
      </c>
      <c r="H133" s="83">
        <v>38871.0</v>
      </c>
      <c r="I133" s="34" t="s">
        <v>183</v>
      </c>
      <c r="J133" s="74"/>
      <c r="K133" s="74"/>
      <c r="N133" s="275">
        <f t="shared" ref="N133:R133" si="15">COUNTIFS($I$130:$I$141,N132)</f>
        <v>10</v>
      </c>
      <c r="O133" s="275">
        <f t="shared" si="15"/>
        <v>0</v>
      </c>
      <c r="P133" s="275">
        <f t="shared" si="15"/>
        <v>0</v>
      </c>
      <c r="Q133" s="275">
        <f t="shared" si="15"/>
        <v>0</v>
      </c>
      <c r="R133" s="275">
        <f t="shared" si="15"/>
        <v>1</v>
      </c>
    </row>
    <row r="134">
      <c r="A134" s="12" t="s">
        <v>14</v>
      </c>
      <c r="B134" s="227" t="s">
        <v>1981</v>
      </c>
      <c r="C134" s="74" t="str">
        <f t="shared" si="14"/>
        <v>Segunda-Feira</v>
      </c>
      <c r="D134" s="512" t="str">
        <f>IF(C134&lt;&gt;"Quarta-Feira","14:20","09:20")</f>
        <v>14:20</v>
      </c>
      <c r="E134" s="287" t="s">
        <v>3283</v>
      </c>
      <c r="F134" s="74">
        <v>7.0610952348836E14</v>
      </c>
      <c r="G134" s="167" t="s">
        <v>3284</v>
      </c>
      <c r="H134" s="83">
        <v>24460.0</v>
      </c>
      <c r="I134" s="34" t="s">
        <v>183</v>
      </c>
      <c r="J134" s="74"/>
      <c r="K134" s="74"/>
      <c r="R134" s="67"/>
    </row>
    <row r="135">
      <c r="A135" s="12" t="s">
        <v>15</v>
      </c>
      <c r="B135" s="227" t="s">
        <v>1985</v>
      </c>
      <c r="C135" s="74" t="str">
        <f t="shared" si="14"/>
        <v>Segunda-Feira</v>
      </c>
      <c r="D135" s="512" t="str">
        <f>IF(C135&lt;&gt;"Quarta-Feira","14:40","09:40")</f>
        <v>14:40</v>
      </c>
      <c r="E135" s="287"/>
      <c r="F135" s="74">
        <v>7.01007832795797E14</v>
      </c>
      <c r="G135" s="167" t="s">
        <v>3285</v>
      </c>
      <c r="H135" s="166">
        <v>19778.0</v>
      </c>
      <c r="I135" s="34" t="s">
        <v>183</v>
      </c>
      <c r="J135" s="74"/>
      <c r="K135" s="74"/>
      <c r="R135" s="67"/>
    </row>
    <row r="136">
      <c r="A136" s="12" t="s">
        <v>16</v>
      </c>
      <c r="B136" s="227" t="s">
        <v>1989</v>
      </c>
      <c r="C136" s="74" t="str">
        <f t="shared" si="14"/>
        <v>Segunda-Feira</v>
      </c>
      <c r="D136" s="512" t="str">
        <f>IF(C136&lt;&gt;"Quarta-Feira","15:00","10:00")</f>
        <v>15:00</v>
      </c>
      <c r="E136" s="287" t="s">
        <v>3286</v>
      </c>
      <c r="F136" s="74">
        <v>7.02908520451775E14</v>
      </c>
      <c r="G136" s="167" t="s">
        <v>3287</v>
      </c>
      <c r="H136" s="83">
        <v>19420.0</v>
      </c>
      <c r="I136" s="34" t="s">
        <v>183</v>
      </c>
      <c r="J136" s="74"/>
      <c r="K136" s="74"/>
      <c r="R136" s="67"/>
    </row>
    <row r="137">
      <c r="A137" s="12" t="s">
        <v>17</v>
      </c>
      <c r="B137" s="227" t="s">
        <v>1992</v>
      </c>
      <c r="C137" s="74" t="str">
        <f t="shared" si="14"/>
        <v>Segunda-Feira</v>
      </c>
      <c r="D137" s="512" t="str">
        <f>IF(C137&lt;&gt;"Quarta-Feira","15:20","10:20")</f>
        <v>15:20</v>
      </c>
      <c r="E137" s="287" t="s">
        <v>1113</v>
      </c>
      <c r="F137" s="74">
        <v>7.0040649628444E14</v>
      </c>
      <c r="G137" s="167" t="s">
        <v>1114</v>
      </c>
      <c r="H137" s="77">
        <v>22601.0</v>
      </c>
      <c r="I137" s="34" t="s">
        <v>1823</v>
      </c>
      <c r="J137" s="74"/>
      <c r="K137" s="74"/>
      <c r="R137" s="67"/>
    </row>
    <row r="138">
      <c r="A138" s="12" t="s">
        <v>85</v>
      </c>
      <c r="B138" s="227" t="s">
        <v>1981</v>
      </c>
      <c r="C138" s="74" t="str">
        <f t="shared" si="14"/>
        <v>Segunda-Feira</v>
      </c>
      <c r="D138" s="512" t="str">
        <f>IF(C138&lt;&gt;"Quarta-Feira","15:40","10:40")</f>
        <v>15:40</v>
      </c>
      <c r="E138" s="287" t="s">
        <v>3288</v>
      </c>
      <c r="F138" s="74">
        <v>8.98001433865701E14</v>
      </c>
      <c r="G138" s="167" t="s">
        <v>3289</v>
      </c>
      <c r="H138" s="83">
        <v>25547.0</v>
      </c>
      <c r="I138" s="34" t="s">
        <v>183</v>
      </c>
      <c r="J138" s="74"/>
      <c r="K138" s="74"/>
      <c r="R138" s="67"/>
      <c r="V138" s="336"/>
    </row>
    <row r="139">
      <c r="A139" s="12" t="s">
        <v>87</v>
      </c>
      <c r="B139" s="227" t="s">
        <v>1985</v>
      </c>
      <c r="C139" s="74" t="str">
        <f t="shared" si="14"/>
        <v>Segunda-Feira</v>
      </c>
      <c r="D139" s="512" t="str">
        <f>IF(C139&lt;&gt;"Quarta-Feira","16:00","11:00")</f>
        <v>16:00</v>
      </c>
      <c r="E139" s="287"/>
      <c r="F139" s="74"/>
      <c r="G139" s="167"/>
      <c r="H139" s="166"/>
      <c r="I139" s="34" t="s">
        <v>2348</v>
      </c>
      <c r="J139" s="74"/>
      <c r="K139" s="74"/>
      <c r="R139" s="67"/>
    </row>
    <row r="140">
      <c r="A140" s="12" t="s">
        <v>90</v>
      </c>
      <c r="B140" s="227" t="s">
        <v>1989</v>
      </c>
      <c r="C140" s="74" t="str">
        <f t="shared" si="14"/>
        <v>Segunda-Feira</v>
      </c>
      <c r="D140" s="512" t="str">
        <f>IF(C140&lt;&gt;"Quarta-Feira","16:20","11:20")</f>
        <v>16:20</v>
      </c>
      <c r="E140" s="287" t="s">
        <v>3288</v>
      </c>
      <c r="F140" s="74">
        <v>7.04008884416962E14</v>
      </c>
      <c r="G140" s="167" t="s">
        <v>3290</v>
      </c>
      <c r="H140" s="166">
        <v>28415.0</v>
      </c>
      <c r="I140" s="34" t="s">
        <v>183</v>
      </c>
      <c r="J140" s="74"/>
      <c r="K140" s="74"/>
      <c r="R140" s="67"/>
    </row>
    <row r="141">
      <c r="A141" s="12" t="s">
        <v>93</v>
      </c>
      <c r="B141" s="227" t="s">
        <v>1992</v>
      </c>
      <c r="C141" s="74" t="str">
        <f t="shared" si="14"/>
        <v>Segunda-Feira</v>
      </c>
      <c r="D141" s="512" t="str">
        <f>IF(C141&lt;&gt;"Quarta-Feira","16:40","11:40")</f>
        <v>16:40</v>
      </c>
      <c r="E141" s="287" t="s">
        <v>311</v>
      </c>
      <c r="F141" s="74">
        <v>7.07804616872117E14</v>
      </c>
      <c r="G141" s="167" t="s">
        <v>1304</v>
      </c>
      <c r="H141" s="166">
        <v>28804.0</v>
      </c>
      <c r="I141" s="34" t="s">
        <v>183</v>
      </c>
      <c r="J141" s="74"/>
      <c r="K141" s="74"/>
      <c r="R141" s="67"/>
    </row>
    <row r="142">
      <c r="B142" s="182"/>
      <c r="E142" s="261"/>
      <c r="G142" s="182"/>
      <c r="J142" s="67"/>
      <c r="K142" s="67"/>
      <c r="R142" s="67"/>
    </row>
    <row r="143">
      <c r="B143" s="182"/>
      <c r="E143" s="261"/>
      <c r="G143" s="182"/>
      <c r="J143" s="67"/>
      <c r="K143" s="67"/>
      <c r="R143" s="67"/>
    </row>
    <row r="144">
      <c r="B144" s="182"/>
      <c r="E144" s="261"/>
      <c r="G144" s="182"/>
      <c r="J144" s="67"/>
      <c r="K144" s="67"/>
      <c r="R144" s="67"/>
    </row>
    <row r="145">
      <c r="A145" s="23" t="s">
        <v>378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TEXT(DATE(VALUE(MID(A128,7,4)),VALUE(MID(A128,4,2)),VALUE(LEFT(A128,2)))+2,"dd/mm/yyyy")&amp;" 08h às 13h"</f>
        <v>20/05/2026 08h às 13h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489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64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2014</v>
      </c>
      <c r="C148" s="74" t="str">
        <f t="shared" ref="C148:C159" si="16">PROPER(TEXT(DATE(MID($A$146,7,4),MID($A$146,4,2),LEFT($A$146,2)),"dddd"))</f>
        <v>Quarta-Feira</v>
      </c>
      <c r="D148" s="512" t="str">
        <f>IF(C148&lt;&gt;"Quarta-Feira","13:00","08:00")</f>
        <v>08:00</v>
      </c>
      <c r="E148" s="287" t="s">
        <v>3291</v>
      </c>
      <c r="F148" s="74">
        <v>7.0540540203679E14</v>
      </c>
      <c r="G148" s="167"/>
      <c r="H148" s="211">
        <v>24226.0</v>
      </c>
      <c r="I148" s="34" t="s">
        <v>183</v>
      </c>
      <c r="J148" s="74"/>
      <c r="K148" s="74"/>
      <c r="N148" s="268" t="s">
        <v>387</v>
      </c>
      <c r="O148" s="100"/>
      <c r="P148" s="100"/>
      <c r="Q148" s="100"/>
      <c r="R148" s="100"/>
    </row>
    <row r="149">
      <c r="A149" s="12" t="s">
        <v>11</v>
      </c>
      <c r="B149" s="227" t="s">
        <v>2019</v>
      </c>
      <c r="C149" s="74" t="str">
        <f t="shared" si="16"/>
        <v>Quarta-Feira</v>
      </c>
      <c r="D149" s="512" t="str">
        <f>IF(C149&lt;&gt;"Quarta-Feira","13:20","08:20")</f>
        <v>08:20</v>
      </c>
      <c r="E149" s="287" t="s">
        <v>3292</v>
      </c>
      <c r="F149" s="74">
        <v>2.04303053240001E14</v>
      </c>
      <c r="G149" s="167" t="s">
        <v>3293</v>
      </c>
      <c r="H149" s="77">
        <v>21638.0</v>
      </c>
      <c r="I149" s="34" t="s">
        <v>183</v>
      </c>
      <c r="J149" s="74"/>
      <c r="K149" s="74"/>
      <c r="N149" s="270" t="s">
        <v>1824</v>
      </c>
      <c r="O149" s="2"/>
      <c r="P149" s="2"/>
      <c r="Q149" s="2"/>
      <c r="R149" s="2"/>
    </row>
    <row r="150">
      <c r="A150" s="12" t="s">
        <v>12</v>
      </c>
      <c r="B150" s="227" t="s">
        <v>2021</v>
      </c>
      <c r="C150" s="74" t="str">
        <f t="shared" si="16"/>
        <v>Quarta-Feira</v>
      </c>
      <c r="D150" s="512" t="str">
        <f>IF(C150&lt;&gt;"Quarta-Feira","13:40","08:40")</f>
        <v>08:40</v>
      </c>
      <c r="E150" s="287" t="s">
        <v>3240</v>
      </c>
      <c r="F150" s="74">
        <v>7.08700143167891E14</v>
      </c>
      <c r="G150" s="167" t="s">
        <v>3241</v>
      </c>
      <c r="H150" s="77">
        <v>19013.0</v>
      </c>
      <c r="I150" s="34" t="s">
        <v>183</v>
      </c>
      <c r="J150" s="74"/>
      <c r="K150" s="74"/>
      <c r="L150" s="68"/>
      <c r="M150" s="68"/>
      <c r="N150" s="271" t="s">
        <v>183</v>
      </c>
      <c r="O150" s="272" t="s">
        <v>195</v>
      </c>
      <c r="P150" s="272" t="s">
        <v>181</v>
      </c>
      <c r="Q150" s="273" t="s">
        <v>173</v>
      </c>
      <c r="R150" s="415" t="s">
        <v>1823</v>
      </c>
      <c r="S150" s="68"/>
      <c r="T150" s="68"/>
      <c r="U150" s="68"/>
      <c r="V150" s="68"/>
      <c r="W150" s="68"/>
      <c r="X150" s="68"/>
    </row>
    <row r="151">
      <c r="A151" s="12" t="s">
        <v>13</v>
      </c>
      <c r="B151" s="227" t="s">
        <v>2024</v>
      </c>
      <c r="C151" s="74" t="str">
        <f t="shared" si="16"/>
        <v>Quarta-Feira</v>
      </c>
      <c r="D151" s="512" t="str">
        <f>IF(C151&lt;&gt;"Quarta-Feira","14:00","09:00")</f>
        <v>09:00</v>
      </c>
      <c r="E151" s="287" t="s">
        <v>3294</v>
      </c>
      <c r="F151" s="74">
        <v>2.01538188450002E14</v>
      </c>
      <c r="G151" s="167" t="s">
        <v>3295</v>
      </c>
      <c r="H151" s="83">
        <v>26833.0</v>
      </c>
      <c r="I151" s="34" t="s">
        <v>183</v>
      </c>
      <c r="J151" s="74"/>
      <c r="K151" s="74"/>
      <c r="N151" s="275">
        <f t="shared" ref="N151:R151" si="17">COUNTIFS($I$148:$I$159,N150)</f>
        <v>12</v>
      </c>
      <c r="O151" s="275">
        <f t="shared" si="17"/>
        <v>0</v>
      </c>
      <c r="P151" s="275">
        <f t="shared" si="17"/>
        <v>0</v>
      </c>
      <c r="Q151" s="275">
        <f t="shared" si="17"/>
        <v>0</v>
      </c>
      <c r="R151" s="275">
        <f t="shared" si="17"/>
        <v>0</v>
      </c>
    </row>
    <row r="152">
      <c r="A152" s="12" t="s">
        <v>14</v>
      </c>
      <c r="B152" s="227" t="s">
        <v>2019</v>
      </c>
      <c r="C152" s="74" t="str">
        <f t="shared" si="16"/>
        <v>Quarta-Feira</v>
      </c>
      <c r="D152" s="512" t="str">
        <f>IF(C152&lt;&gt;"Quarta-Feira","14:20","09:20")</f>
        <v>09:20</v>
      </c>
      <c r="E152" s="287" t="s">
        <v>3296</v>
      </c>
      <c r="F152" s="74">
        <v>7.06007806813342E14</v>
      </c>
      <c r="G152" s="167" t="s">
        <v>3297</v>
      </c>
      <c r="H152" s="83">
        <v>22691.0</v>
      </c>
      <c r="I152" s="34" t="s">
        <v>183</v>
      </c>
      <c r="J152" s="74"/>
      <c r="K152" s="74"/>
      <c r="R152" s="67"/>
    </row>
    <row r="153">
      <c r="A153" s="12" t="s">
        <v>15</v>
      </c>
      <c r="B153" s="227" t="s">
        <v>2021</v>
      </c>
      <c r="C153" s="74" t="str">
        <f t="shared" si="16"/>
        <v>Quarta-Feira</v>
      </c>
      <c r="D153" s="512" t="str">
        <f>IF(C153&lt;&gt;"Quarta-Feira","14:40","09:40")</f>
        <v>09:40</v>
      </c>
      <c r="E153" s="287" t="s">
        <v>3248</v>
      </c>
      <c r="F153" s="74">
        <v>7.0100589432499E14</v>
      </c>
      <c r="G153" s="167" t="s">
        <v>3249</v>
      </c>
      <c r="H153" s="83">
        <v>21835.0</v>
      </c>
      <c r="I153" s="34" t="s">
        <v>183</v>
      </c>
      <c r="J153" s="74"/>
      <c r="K153" s="74"/>
      <c r="N153" s="68"/>
      <c r="R153" s="67"/>
    </row>
    <row r="154">
      <c r="A154" s="12" t="s">
        <v>16</v>
      </c>
      <c r="B154" s="227" t="s">
        <v>2014</v>
      </c>
      <c r="C154" s="74" t="str">
        <f t="shared" si="16"/>
        <v>Quarta-Feira</v>
      </c>
      <c r="D154" s="512" t="str">
        <f>IF(C154&lt;&gt;"Quarta-Feira","15:00","10:00")</f>
        <v>10:00</v>
      </c>
      <c r="E154" s="287" t="s">
        <v>3230</v>
      </c>
      <c r="F154" s="74">
        <v>7.0550044390541E14</v>
      </c>
      <c r="G154" s="167" t="s">
        <v>3231</v>
      </c>
      <c r="H154" s="163">
        <v>19197.0</v>
      </c>
      <c r="I154" s="34" t="s">
        <v>183</v>
      </c>
      <c r="J154" s="74"/>
      <c r="K154" s="74"/>
      <c r="L154" s="68"/>
      <c r="M154" s="68"/>
      <c r="O154" s="68"/>
      <c r="P154" s="68"/>
      <c r="Q154" s="68"/>
      <c r="R154" s="389"/>
      <c r="S154" s="68"/>
      <c r="T154" s="68"/>
      <c r="U154" s="68"/>
      <c r="V154" s="68"/>
      <c r="W154" s="68"/>
      <c r="X154" s="68"/>
    </row>
    <row r="155">
      <c r="A155" s="12" t="s">
        <v>17</v>
      </c>
      <c r="B155" s="227" t="s">
        <v>2019</v>
      </c>
      <c r="C155" s="74" t="str">
        <f t="shared" si="16"/>
        <v>Quarta-Feira</v>
      </c>
      <c r="D155" s="512" t="str">
        <f>IF(C155&lt;&gt;"Quarta-Feira","15:20","10:20")</f>
        <v>10:20</v>
      </c>
      <c r="E155" s="287" t="s">
        <v>3298</v>
      </c>
      <c r="F155" s="74">
        <v>7.0070342919918E14</v>
      </c>
      <c r="G155" s="167" t="s">
        <v>3299</v>
      </c>
      <c r="H155" s="77">
        <v>19591.0</v>
      </c>
      <c r="I155" s="34" t="s">
        <v>183</v>
      </c>
      <c r="J155" s="74"/>
      <c r="K155" s="74"/>
      <c r="R155" s="67"/>
    </row>
    <row r="156">
      <c r="A156" s="12" t="s">
        <v>85</v>
      </c>
      <c r="B156" s="227" t="s">
        <v>2024</v>
      </c>
      <c r="C156" s="74" t="str">
        <f t="shared" si="16"/>
        <v>Quarta-Feira</v>
      </c>
      <c r="D156" s="512" t="str">
        <f>IF(C156&lt;&gt;"Quarta-Feira","15:40","10:40")</f>
        <v>10:40</v>
      </c>
      <c r="E156" s="287" t="s">
        <v>3300</v>
      </c>
      <c r="F156" s="287" t="s">
        <v>3301</v>
      </c>
      <c r="G156" s="167" t="s">
        <v>826</v>
      </c>
      <c r="H156" s="83">
        <v>21561.0</v>
      </c>
      <c r="I156" s="34" t="s">
        <v>183</v>
      </c>
      <c r="J156" s="74"/>
      <c r="K156" s="74"/>
      <c r="R156" s="67"/>
    </row>
    <row r="157">
      <c r="A157" s="12" t="s">
        <v>87</v>
      </c>
      <c r="B157" s="227" t="s">
        <v>2021</v>
      </c>
      <c r="C157" s="74" t="str">
        <f t="shared" si="16"/>
        <v>Quarta-Feira</v>
      </c>
      <c r="D157" s="512" t="str">
        <f>IF(C157&lt;&gt;"Quarta-Feira","16:00","11:00")</f>
        <v>11:00</v>
      </c>
      <c r="E157" s="287" t="s">
        <v>3302</v>
      </c>
      <c r="F157" s="74">
        <v>7.05005893087955E14</v>
      </c>
      <c r="G157" s="167" t="s">
        <v>3303</v>
      </c>
      <c r="H157" s="166">
        <v>17547.0</v>
      </c>
      <c r="I157" s="34" t="s">
        <v>183</v>
      </c>
      <c r="J157" s="74"/>
      <c r="K157" s="74"/>
      <c r="R157" s="67"/>
    </row>
    <row r="158">
      <c r="A158" s="12" t="s">
        <v>90</v>
      </c>
      <c r="B158" s="227" t="s">
        <v>2024</v>
      </c>
      <c r="C158" s="74" t="str">
        <f t="shared" si="16"/>
        <v>Quarta-Feira</v>
      </c>
      <c r="D158" s="512" t="str">
        <f>IF(C158&lt;&gt;"Quarta-Feira","16:20","11:20")</f>
        <v>11:20</v>
      </c>
      <c r="E158" s="287" t="s">
        <v>3304</v>
      </c>
      <c r="F158" s="74">
        <v>7.0040344682264E14</v>
      </c>
      <c r="G158" s="167" t="s">
        <v>3305</v>
      </c>
      <c r="H158" s="83">
        <v>23977.0</v>
      </c>
      <c r="I158" s="34" t="s">
        <v>183</v>
      </c>
      <c r="J158" s="74"/>
      <c r="K158" s="74"/>
      <c r="R158" s="67"/>
    </row>
    <row r="159">
      <c r="A159" s="12" t="s">
        <v>93</v>
      </c>
      <c r="B159" s="227" t="s">
        <v>2014</v>
      </c>
      <c r="C159" s="74" t="str">
        <f t="shared" si="16"/>
        <v>Quarta-Feira</v>
      </c>
      <c r="D159" s="512" t="str">
        <f>IF(C159&lt;&gt;"Quarta-Feira","16:40","11:40")</f>
        <v>11:40</v>
      </c>
      <c r="E159" s="287" t="s">
        <v>3306</v>
      </c>
      <c r="F159" s="74">
        <v>2.01152587060001E14</v>
      </c>
      <c r="G159" s="167" t="s">
        <v>3307</v>
      </c>
      <c r="H159" s="166">
        <v>15816.0</v>
      </c>
      <c r="I159" s="34" t="s">
        <v>183</v>
      </c>
      <c r="J159" s="74"/>
      <c r="K159" s="74"/>
      <c r="R159" s="67"/>
    </row>
    <row r="160">
      <c r="B160" s="182"/>
      <c r="E160" s="261"/>
      <c r="G160" s="182"/>
      <c r="J160" s="67"/>
      <c r="K160" s="67"/>
      <c r="R160" s="67"/>
    </row>
    <row r="161">
      <c r="B161" s="182"/>
      <c r="E161" s="261"/>
      <c r="G161" s="182"/>
      <c r="J161" s="67"/>
      <c r="K161" s="67"/>
      <c r="R161" s="67"/>
    </row>
    <row r="162">
      <c r="B162" s="182"/>
      <c r="E162" s="261"/>
      <c r="G162" s="182"/>
      <c r="J162" s="67"/>
      <c r="K162" s="67"/>
      <c r="R162" s="67"/>
    </row>
    <row r="163">
      <c r="A163" s="23" t="s">
        <v>378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TEXT(DATE(VALUE(MID(A146,7,4)),VALUE(MID(A146,4,2)),VALUE(LEFT(A146,2)))+2,"dd/mm/yyyy")&amp;" 08h às 13h"</f>
        <v>22/05/2026 08h às 13h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489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64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12" t="s">
        <v>10</v>
      </c>
      <c r="B166" s="227" t="s">
        <v>2381</v>
      </c>
      <c r="C166" s="74" t="str">
        <f t="shared" ref="C166:C177" si="18">PROPER(TEXT(DATE(MID($A$164,7,4),MID($A$164,4,2),LEFT($A$164,2)),"dddd"))</f>
        <v>Sexta-Feira</v>
      </c>
      <c r="D166" s="512" t="str">
        <f>IF(C166&lt;&gt;"Quarta-Feira","13:00","08:00")</f>
        <v>13:00</v>
      </c>
      <c r="E166" s="287" t="s">
        <v>3308</v>
      </c>
      <c r="F166" s="459">
        <v>7.00002956967104E14</v>
      </c>
      <c r="G166" s="167" t="s">
        <v>3309</v>
      </c>
      <c r="H166" s="83">
        <v>16091.0</v>
      </c>
      <c r="I166" s="34" t="s">
        <v>183</v>
      </c>
      <c r="J166" s="74"/>
      <c r="K166" s="74"/>
      <c r="L166" s="216" t="s">
        <v>521</v>
      </c>
      <c r="N166" s="268" t="s">
        <v>387</v>
      </c>
      <c r="O166" s="100"/>
      <c r="P166" s="100"/>
      <c r="Q166" s="100"/>
      <c r="R166" s="100"/>
    </row>
    <row r="167">
      <c r="A167" s="12" t="s">
        <v>11</v>
      </c>
      <c r="B167" s="227" t="s">
        <v>2384</v>
      </c>
      <c r="C167" s="74" t="str">
        <f t="shared" si="18"/>
        <v>Sexta-Feira</v>
      </c>
      <c r="D167" s="512" t="str">
        <f>IF(C167&lt;&gt;"Quarta-Feira","13:20","08:20")</f>
        <v>13:20</v>
      </c>
      <c r="E167" s="287" t="s">
        <v>3310</v>
      </c>
      <c r="F167" s="74">
        <v>7.0980603136459E14</v>
      </c>
      <c r="G167" s="167" t="s">
        <v>3311</v>
      </c>
      <c r="H167" s="83">
        <v>20827.0</v>
      </c>
      <c r="I167" s="34" t="s">
        <v>1823</v>
      </c>
      <c r="J167" s="74"/>
      <c r="K167" s="74"/>
      <c r="N167" s="270" t="s">
        <v>1824</v>
      </c>
      <c r="O167" s="2"/>
      <c r="P167" s="2"/>
      <c r="Q167" s="2"/>
      <c r="R167" s="2"/>
    </row>
    <row r="168">
      <c r="A168" s="12" t="s">
        <v>12</v>
      </c>
      <c r="B168" s="227" t="s">
        <v>2387</v>
      </c>
      <c r="C168" s="74" t="str">
        <f t="shared" si="18"/>
        <v>Sexta-Feira</v>
      </c>
      <c r="D168" s="512" t="str">
        <f>IF(C168&lt;&gt;"Quarta-Feira","13:40","08:40")</f>
        <v>13:40</v>
      </c>
      <c r="E168" s="287" t="s">
        <v>3312</v>
      </c>
      <c r="F168" s="74">
        <v>7.00002233180806E14</v>
      </c>
      <c r="G168" s="167" t="s">
        <v>3313</v>
      </c>
      <c r="H168" s="83">
        <v>36564.0</v>
      </c>
      <c r="I168" s="34" t="s">
        <v>183</v>
      </c>
      <c r="J168" s="74"/>
      <c r="K168" s="74"/>
      <c r="N168" s="271" t="s">
        <v>183</v>
      </c>
      <c r="O168" s="272" t="s">
        <v>195</v>
      </c>
      <c r="P168" s="272" t="s">
        <v>181</v>
      </c>
      <c r="Q168" s="273" t="s">
        <v>173</v>
      </c>
      <c r="R168" s="286" t="s">
        <v>1823</v>
      </c>
    </row>
    <row r="169">
      <c r="A169" s="12" t="s">
        <v>13</v>
      </c>
      <c r="B169" s="227" t="s">
        <v>2390</v>
      </c>
      <c r="C169" s="74" t="str">
        <f t="shared" si="18"/>
        <v>Sexta-Feira</v>
      </c>
      <c r="D169" s="512" t="str">
        <f>IF(C169&lt;&gt;"Quarta-Feira","14:00","09:00")</f>
        <v>14:00</v>
      </c>
      <c r="E169" s="287" t="s">
        <v>3314</v>
      </c>
      <c r="F169" s="74">
        <v>7.02403009040323E14</v>
      </c>
      <c r="G169" s="167" t="s">
        <v>3315</v>
      </c>
      <c r="H169" s="83">
        <v>15056.0</v>
      </c>
      <c r="I169" s="34" t="s">
        <v>1823</v>
      </c>
      <c r="J169" s="74"/>
      <c r="K169" s="74"/>
      <c r="N169" s="275">
        <f t="shared" ref="N169:R169" si="19">COUNTIFS($I$166:$I$177,N168)</f>
        <v>9</v>
      </c>
      <c r="O169" s="275">
        <f t="shared" si="19"/>
        <v>0</v>
      </c>
      <c r="P169" s="275">
        <f t="shared" si="19"/>
        <v>0</v>
      </c>
      <c r="Q169" s="275">
        <f t="shared" si="19"/>
        <v>0</v>
      </c>
      <c r="R169" s="275">
        <f t="shared" si="19"/>
        <v>3</v>
      </c>
    </row>
    <row r="170">
      <c r="A170" s="12" t="s">
        <v>14</v>
      </c>
      <c r="B170" s="227" t="s">
        <v>2381</v>
      </c>
      <c r="C170" s="74" t="str">
        <f t="shared" si="18"/>
        <v>Sexta-Feira</v>
      </c>
      <c r="D170" s="512" t="str">
        <f>IF(C170&lt;&gt;"Quarta-Feira","14:20","09:20")</f>
        <v>14:20</v>
      </c>
      <c r="E170" s="287" t="s">
        <v>3316</v>
      </c>
      <c r="F170" s="74">
        <v>8.98001485032778E14</v>
      </c>
      <c r="G170" s="167" t="s">
        <v>3317</v>
      </c>
      <c r="H170" s="83">
        <v>18997.0</v>
      </c>
      <c r="I170" s="34" t="s">
        <v>183</v>
      </c>
      <c r="J170" s="74"/>
      <c r="K170" s="74"/>
      <c r="R170" s="67"/>
    </row>
    <row r="171">
      <c r="A171" s="12" t="s">
        <v>15</v>
      </c>
      <c r="B171" s="227" t="s">
        <v>2384</v>
      </c>
      <c r="C171" s="74" t="str">
        <f t="shared" si="18"/>
        <v>Sexta-Feira</v>
      </c>
      <c r="D171" s="512" t="str">
        <f>IF(C171&lt;&gt;"Quarta-Feira","14:40","09:40")</f>
        <v>14:40</v>
      </c>
      <c r="E171" s="287" t="s">
        <v>3318</v>
      </c>
      <c r="F171" s="74">
        <v>8.01440468943973E14</v>
      </c>
      <c r="G171" s="167" t="s">
        <v>3319</v>
      </c>
      <c r="H171" s="83">
        <v>21564.0</v>
      </c>
      <c r="I171" s="34" t="s">
        <v>183</v>
      </c>
      <c r="J171" s="74"/>
      <c r="K171" s="74"/>
      <c r="R171" s="67"/>
    </row>
    <row r="172">
      <c r="A172" s="12" t="s">
        <v>16</v>
      </c>
      <c r="B172" s="227" t="s">
        <v>2387</v>
      </c>
      <c r="C172" s="74" t="str">
        <f t="shared" si="18"/>
        <v>Sexta-Feira</v>
      </c>
      <c r="D172" s="512" t="str">
        <f>IF(C172&lt;&gt;"Quarta-Feira","15:00","10:00")</f>
        <v>15:00</v>
      </c>
      <c r="E172" s="287" t="s">
        <v>3320</v>
      </c>
      <c r="F172" s="459">
        <v>7.00004650024905E14</v>
      </c>
      <c r="G172" s="167" t="s">
        <v>3321</v>
      </c>
      <c r="H172" s="83">
        <v>21403.0</v>
      </c>
      <c r="I172" s="34" t="s">
        <v>1823</v>
      </c>
      <c r="J172" s="74"/>
      <c r="K172" s="74"/>
      <c r="R172" s="67"/>
    </row>
    <row r="173">
      <c r="A173" s="12" t="s">
        <v>17</v>
      </c>
      <c r="B173" s="227" t="s">
        <v>2390</v>
      </c>
      <c r="C173" s="74" t="str">
        <f t="shared" si="18"/>
        <v>Sexta-Feira</v>
      </c>
      <c r="D173" s="512" t="str">
        <f>IF(C173&lt;&gt;"Quarta-Feira","15:20","10:20")</f>
        <v>15:20</v>
      </c>
      <c r="E173" s="287" t="s">
        <v>3322</v>
      </c>
      <c r="F173" s="74">
        <v>2.0688258977E14</v>
      </c>
      <c r="G173" s="167" t="s">
        <v>3323</v>
      </c>
      <c r="H173" s="83">
        <v>18426.0</v>
      </c>
      <c r="I173" s="34" t="s">
        <v>183</v>
      </c>
      <c r="J173" s="74"/>
      <c r="K173" s="74"/>
      <c r="R173" s="67"/>
    </row>
    <row r="174">
      <c r="A174" s="12" t="s">
        <v>85</v>
      </c>
      <c r="B174" s="227" t="s">
        <v>2384</v>
      </c>
      <c r="C174" s="74" t="str">
        <f t="shared" si="18"/>
        <v>Sexta-Feira</v>
      </c>
      <c r="D174" s="512" t="str">
        <f>IF(C174&lt;&gt;"Quarta-Feira","15:40","10:40")</f>
        <v>15:40</v>
      </c>
      <c r="E174" s="287" t="s">
        <v>3324</v>
      </c>
      <c r="F174" s="74">
        <v>7.00307974014336E14</v>
      </c>
      <c r="G174" s="167" t="s">
        <v>3325</v>
      </c>
      <c r="H174" s="83">
        <v>21011.0</v>
      </c>
      <c r="I174" s="34" t="s">
        <v>183</v>
      </c>
      <c r="J174" s="74"/>
      <c r="K174" s="74"/>
      <c r="L174" s="216" t="s">
        <v>577</v>
      </c>
      <c r="R174" s="67"/>
    </row>
    <row r="175">
      <c r="A175" s="12" t="s">
        <v>87</v>
      </c>
      <c r="B175" s="227" t="s">
        <v>2381</v>
      </c>
      <c r="C175" s="74" t="str">
        <f t="shared" si="18"/>
        <v>Sexta-Feira</v>
      </c>
      <c r="D175" s="512" t="str">
        <f>IF(C175&lt;&gt;"Quarta-Feira","16:00","11:00")</f>
        <v>16:00</v>
      </c>
      <c r="E175" s="287" t="s">
        <v>3326</v>
      </c>
      <c r="F175" s="74">
        <v>1.22009620200001E14</v>
      </c>
      <c r="G175" s="167" t="s">
        <v>3327</v>
      </c>
      <c r="H175" s="166">
        <v>17791.0</v>
      </c>
      <c r="I175" s="34" t="s">
        <v>183</v>
      </c>
      <c r="J175" s="74"/>
      <c r="K175" s="74"/>
      <c r="R175" s="67"/>
    </row>
    <row r="176">
      <c r="A176" s="12" t="s">
        <v>90</v>
      </c>
      <c r="B176" s="227" t="s">
        <v>2381</v>
      </c>
      <c r="C176" s="74" t="str">
        <f t="shared" si="18"/>
        <v>Sexta-Feira</v>
      </c>
      <c r="D176" s="512" t="str">
        <f>IF(C176&lt;&gt;"Quarta-Feira","16:20","11:20")</f>
        <v>16:20</v>
      </c>
      <c r="E176" s="287" t="s">
        <v>3328</v>
      </c>
      <c r="F176" s="74">
        <v>8.01440401159847E14</v>
      </c>
      <c r="G176" s="167" t="s">
        <v>3329</v>
      </c>
      <c r="H176" s="166">
        <v>19958.0</v>
      </c>
      <c r="I176" s="34" t="s">
        <v>183</v>
      </c>
      <c r="J176" s="74"/>
      <c r="K176" s="74"/>
      <c r="R176" s="67"/>
    </row>
    <row r="177">
      <c r="A177" s="12" t="s">
        <v>93</v>
      </c>
      <c r="B177" s="227" t="s">
        <v>2381</v>
      </c>
      <c r="C177" s="74" t="str">
        <f t="shared" si="18"/>
        <v>Sexta-Feira</v>
      </c>
      <c r="D177" s="512" t="str">
        <f>IF(C177&lt;&gt;"Quarta-Feira","16:40","11:40")</f>
        <v>16:40</v>
      </c>
      <c r="E177" s="287" t="s">
        <v>3330</v>
      </c>
      <c r="F177" s="74">
        <v>2.03922847790003E14</v>
      </c>
      <c r="G177" s="167" t="s">
        <v>3331</v>
      </c>
      <c r="H177" s="166">
        <v>20180.0</v>
      </c>
      <c r="I177" s="34" t="s">
        <v>183</v>
      </c>
      <c r="J177" s="74"/>
      <c r="K177" s="74"/>
      <c r="R177" s="67"/>
    </row>
    <row r="178">
      <c r="B178" s="182"/>
      <c r="E178" s="261"/>
      <c r="G178" s="182"/>
      <c r="J178" s="67"/>
      <c r="K178" s="67"/>
      <c r="R178" s="67"/>
    </row>
    <row r="179">
      <c r="B179" s="182"/>
      <c r="E179" s="261"/>
      <c r="G179" s="182"/>
      <c r="J179" s="67"/>
      <c r="K179" s="67"/>
      <c r="R179" s="67"/>
    </row>
    <row r="180">
      <c r="B180" s="182"/>
      <c r="E180" s="261"/>
      <c r="G180" s="182"/>
      <c r="J180" s="67"/>
      <c r="K180" s="67"/>
      <c r="R180" s="67"/>
    </row>
    <row r="181">
      <c r="A181" s="23" t="s">
        <v>378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  <c r="R181" s="67"/>
    </row>
    <row r="182">
      <c r="A182" s="24" t="str">
        <f>TEXT(DATE(VALUE(MID(A128,7,4)),VALUE(MID(A128,4,2)),VALUE(LEFT(A128,2)))+7,"dd/mm/yyyy")&amp;" 13h às 17h"</f>
        <v>25/05/2026 13h às 17h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  <c r="R182" s="67"/>
    </row>
    <row r="183">
      <c r="A183" s="25"/>
      <c r="B183" s="489" t="s">
        <v>3</v>
      </c>
      <c r="C183" s="27" t="s">
        <v>2</v>
      </c>
      <c r="D183" s="28" t="s">
        <v>5</v>
      </c>
      <c r="E183" s="29" t="s">
        <v>19</v>
      </c>
      <c r="F183" s="28" t="s">
        <v>6</v>
      </c>
      <c r="G183" s="264" t="s">
        <v>7</v>
      </c>
      <c r="H183" s="30" t="s">
        <v>8</v>
      </c>
      <c r="I183" s="31" t="s">
        <v>20</v>
      </c>
      <c r="J183" s="32" t="s">
        <v>21</v>
      </c>
      <c r="K183" s="32" t="s">
        <v>22</v>
      </c>
      <c r="R183" s="67"/>
    </row>
    <row r="184">
      <c r="A184" s="12" t="s">
        <v>10</v>
      </c>
      <c r="B184" s="227" t="s">
        <v>1981</v>
      </c>
      <c r="C184" s="74" t="str">
        <f t="shared" ref="C184:C195" si="20">PROPER(TEXT(DATE(MID($A$182,7,4),MID($A$182,4,2),LEFT($A$182,2)),"dddd"))</f>
        <v>Segunda-Feira</v>
      </c>
      <c r="D184" s="512" t="str">
        <f>IF(C184&lt;&gt;"Quarta-Feira","13:00","08:00")</f>
        <v>13:00</v>
      </c>
      <c r="E184" s="287" t="s">
        <v>3332</v>
      </c>
      <c r="F184" s="74">
        <v>7.06809716441521E14</v>
      </c>
      <c r="G184" s="167" t="s">
        <v>3333</v>
      </c>
      <c r="H184" s="211">
        <v>29832.0</v>
      </c>
      <c r="I184" s="34" t="s">
        <v>183</v>
      </c>
      <c r="J184" s="74"/>
      <c r="K184" s="74"/>
      <c r="N184" s="268" t="s">
        <v>387</v>
      </c>
      <c r="O184" s="100"/>
      <c r="P184" s="100"/>
      <c r="Q184" s="100"/>
      <c r="R184" s="100"/>
    </row>
    <row r="185">
      <c r="A185" s="12" t="s">
        <v>11</v>
      </c>
      <c r="B185" s="227" t="s">
        <v>1985</v>
      </c>
      <c r="C185" s="74" t="str">
        <f t="shared" si="20"/>
        <v>Segunda-Feira</v>
      </c>
      <c r="D185" s="512" t="str">
        <f>IF(C185&lt;&gt;"Quarta-Feira","13:20","08:20")</f>
        <v>13:20</v>
      </c>
      <c r="E185" s="287" t="s">
        <v>3334</v>
      </c>
      <c r="F185" s="74">
        <v>7.05001673997355E14</v>
      </c>
      <c r="G185" s="167" t="s">
        <v>3335</v>
      </c>
      <c r="H185" s="211">
        <v>23701.0</v>
      </c>
      <c r="I185" s="34" t="s">
        <v>1823</v>
      </c>
      <c r="J185" s="74"/>
      <c r="K185" s="74"/>
      <c r="N185" s="270" t="s">
        <v>1824</v>
      </c>
      <c r="O185" s="2"/>
      <c r="P185" s="2"/>
      <c r="Q185" s="2"/>
      <c r="R185" s="2"/>
    </row>
    <row r="186">
      <c r="A186" s="12" t="s">
        <v>12</v>
      </c>
      <c r="B186" s="227" t="s">
        <v>1989</v>
      </c>
      <c r="C186" s="74" t="str">
        <f t="shared" si="20"/>
        <v>Segunda-Feira</v>
      </c>
      <c r="D186" s="512" t="str">
        <f>IF(C186&lt;&gt;"Quarta-Feira","13:40","08:40")</f>
        <v>13:40</v>
      </c>
      <c r="E186" s="287" t="s">
        <v>3336</v>
      </c>
      <c r="F186" s="74">
        <v>7.0090790852029E14</v>
      </c>
      <c r="G186" s="167" t="s">
        <v>3337</v>
      </c>
      <c r="H186" s="211">
        <v>16980.0</v>
      </c>
      <c r="I186" s="34" t="s">
        <v>183</v>
      </c>
      <c r="J186" s="74"/>
      <c r="K186" s="74"/>
      <c r="N186" s="271" t="s">
        <v>183</v>
      </c>
      <c r="O186" s="272" t="s">
        <v>195</v>
      </c>
      <c r="P186" s="272" t="s">
        <v>181</v>
      </c>
      <c r="Q186" s="273" t="s">
        <v>173</v>
      </c>
      <c r="R186" s="286" t="s">
        <v>1823</v>
      </c>
    </row>
    <row r="187">
      <c r="A187" s="12" t="s">
        <v>13</v>
      </c>
      <c r="B187" s="227" t="s">
        <v>1992</v>
      </c>
      <c r="C187" s="74" t="str">
        <f t="shared" si="20"/>
        <v>Segunda-Feira</v>
      </c>
      <c r="D187" s="512" t="str">
        <f>IF(C187&lt;&gt;"Quarta-Feira","14:00","09:00")</f>
        <v>14:00</v>
      </c>
      <c r="E187" s="287" t="s">
        <v>3338</v>
      </c>
      <c r="F187" s="74">
        <v>7.09805026381295E14</v>
      </c>
      <c r="G187" s="167" t="s">
        <v>3339</v>
      </c>
      <c r="H187" s="211">
        <v>22967.0</v>
      </c>
      <c r="I187" s="34" t="s">
        <v>183</v>
      </c>
      <c r="J187" s="74"/>
      <c r="K187" s="74"/>
      <c r="N187" s="275">
        <f t="shared" ref="N187:R187" si="21">COUNTIFS($I$184:$I$195,$N$186)</f>
        <v>11</v>
      </c>
      <c r="O187" s="275">
        <f t="shared" si="21"/>
        <v>11</v>
      </c>
      <c r="P187" s="275">
        <f t="shared" si="21"/>
        <v>11</v>
      </c>
      <c r="Q187" s="275">
        <f t="shared" si="21"/>
        <v>11</v>
      </c>
      <c r="R187" s="275">
        <f t="shared" si="21"/>
        <v>11</v>
      </c>
    </row>
    <row r="188">
      <c r="A188" s="12" t="s">
        <v>14</v>
      </c>
      <c r="B188" s="227" t="s">
        <v>1981</v>
      </c>
      <c r="C188" s="74" t="str">
        <f t="shared" si="20"/>
        <v>Segunda-Feira</v>
      </c>
      <c r="D188" s="512" t="str">
        <f>IF(C188&lt;&gt;"Quarta-Feira","14:20","09:20")</f>
        <v>14:20</v>
      </c>
      <c r="E188" s="287" t="s">
        <v>3340</v>
      </c>
      <c r="F188" s="74">
        <v>7.05804473654638E14</v>
      </c>
      <c r="G188" s="167" t="s">
        <v>3341</v>
      </c>
      <c r="H188" s="211">
        <v>29092.0</v>
      </c>
      <c r="I188" s="34" t="s">
        <v>183</v>
      </c>
      <c r="J188" s="74"/>
      <c r="K188" s="74"/>
      <c r="R188" s="67"/>
    </row>
    <row r="189">
      <c r="A189" s="12" t="s">
        <v>15</v>
      </c>
      <c r="B189" s="227" t="s">
        <v>1985</v>
      </c>
      <c r="C189" s="74" t="str">
        <f t="shared" si="20"/>
        <v>Segunda-Feira</v>
      </c>
      <c r="D189" s="512" t="str">
        <f>IF(C189&lt;&gt;"Quarta-Feira","14:40","09:40")</f>
        <v>14:40</v>
      </c>
      <c r="E189" s="287" t="s">
        <v>3342</v>
      </c>
      <c r="F189" s="74">
        <v>7.02007343205189E14</v>
      </c>
      <c r="G189" s="167" t="s">
        <v>3343</v>
      </c>
      <c r="H189" s="211">
        <v>30282.0</v>
      </c>
      <c r="I189" s="34" t="s">
        <v>183</v>
      </c>
      <c r="J189" s="74"/>
      <c r="K189" s="74"/>
      <c r="R189" s="67"/>
    </row>
    <row r="190">
      <c r="A190" s="12" t="s">
        <v>16</v>
      </c>
      <c r="B190" s="227" t="s">
        <v>1989</v>
      </c>
      <c r="C190" s="74" t="str">
        <f t="shared" si="20"/>
        <v>Segunda-Feira</v>
      </c>
      <c r="D190" s="512" t="str">
        <f>IF(C190&lt;&gt;"Quarta-Feira","15:00","10:00")</f>
        <v>15:00</v>
      </c>
      <c r="E190" s="287" t="s">
        <v>3344</v>
      </c>
      <c r="F190" s="74">
        <v>8.01440437898658E14</v>
      </c>
      <c r="G190" s="167" t="s">
        <v>3345</v>
      </c>
      <c r="H190" s="211">
        <v>20587.0</v>
      </c>
      <c r="I190" s="34" t="s">
        <v>183</v>
      </c>
      <c r="J190" s="74"/>
      <c r="K190" s="74"/>
      <c r="R190" s="67"/>
    </row>
    <row r="191">
      <c r="A191" s="12" t="s">
        <v>17</v>
      </c>
      <c r="B191" s="227" t="s">
        <v>1992</v>
      </c>
      <c r="C191" s="74" t="str">
        <f t="shared" si="20"/>
        <v>Segunda-Feira</v>
      </c>
      <c r="D191" s="512" t="str">
        <f>IF(C191&lt;&gt;"Quarta-Feira","15:20","10:20")</f>
        <v>15:20</v>
      </c>
      <c r="E191" s="287" t="s">
        <v>3346</v>
      </c>
      <c r="F191" s="74">
        <v>7.00207412547626E14</v>
      </c>
      <c r="G191" s="167" t="s">
        <v>3347</v>
      </c>
      <c r="H191" s="211">
        <v>19711.0</v>
      </c>
      <c r="I191" s="34" t="s">
        <v>183</v>
      </c>
      <c r="J191" s="74"/>
      <c r="K191" s="74"/>
      <c r="R191" s="67"/>
    </row>
    <row r="192">
      <c r="A192" s="12" t="s">
        <v>85</v>
      </c>
      <c r="B192" s="227" t="s">
        <v>1981</v>
      </c>
      <c r="C192" s="74" t="str">
        <f t="shared" si="20"/>
        <v>Segunda-Feira</v>
      </c>
      <c r="D192" s="512" t="str">
        <f>IF(C192&lt;&gt;"Quarta-Feira","15:40","10:40")</f>
        <v>15:40</v>
      </c>
      <c r="E192" s="287"/>
      <c r="F192" s="74"/>
      <c r="G192" s="167" t="s">
        <v>3348</v>
      </c>
      <c r="H192" s="211"/>
      <c r="I192" s="34" t="s">
        <v>183</v>
      </c>
      <c r="J192" s="74"/>
      <c r="K192" s="74"/>
      <c r="R192" s="67"/>
    </row>
    <row r="193">
      <c r="A193" s="12" t="s">
        <v>87</v>
      </c>
      <c r="B193" s="227" t="s">
        <v>1985</v>
      </c>
      <c r="C193" s="74" t="str">
        <f t="shared" si="20"/>
        <v>Segunda-Feira</v>
      </c>
      <c r="D193" s="512" t="str">
        <f>IF(C193&lt;&gt;"Quarta-Feira","16:00","11:00")</f>
        <v>16:00</v>
      </c>
      <c r="E193" s="287" t="s">
        <v>3349</v>
      </c>
      <c r="F193" s="74">
        <v>7.02000895248981E14</v>
      </c>
      <c r="G193" s="167" t="s">
        <v>3350</v>
      </c>
      <c r="H193" s="211">
        <v>15752.0</v>
      </c>
      <c r="I193" s="34" t="s">
        <v>183</v>
      </c>
      <c r="J193" s="74"/>
      <c r="K193" s="74"/>
      <c r="R193" s="67"/>
    </row>
    <row r="194">
      <c r="A194" s="12" t="s">
        <v>90</v>
      </c>
      <c r="B194" s="227" t="s">
        <v>1989</v>
      </c>
      <c r="C194" s="74" t="str">
        <f t="shared" si="20"/>
        <v>Segunda-Feira</v>
      </c>
      <c r="D194" s="512" t="str">
        <f>IF(C194&lt;&gt;"Quarta-Feira","16:20","11:20")</f>
        <v>16:20</v>
      </c>
      <c r="E194" s="287" t="s">
        <v>3351</v>
      </c>
      <c r="F194" s="74">
        <v>7.04709785527035E14</v>
      </c>
      <c r="G194" s="167" t="s">
        <v>3352</v>
      </c>
      <c r="H194" s="211">
        <v>15656.0</v>
      </c>
      <c r="I194" s="34" t="s">
        <v>183</v>
      </c>
      <c r="J194" s="74"/>
      <c r="K194" s="74"/>
      <c r="R194" s="67"/>
    </row>
    <row r="195">
      <c r="A195" s="12" t="s">
        <v>93</v>
      </c>
      <c r="B195" s="227" t="s">
        <v>1992</v>
      </c>
      <c r="C195" s="74" t="str">
        <f t="shared" si="20"/>
        <v>Segunda-Feira</v>
      </c>
      <c r="D195" s="512" t="str">
        <f>IF(C195&lt;&gt;"Quarta-Feira","16:40","11:40")</f>
        <v>16:40</v>
      </c>
      <c r="E195" s="287" t="s">
        <v>3353</v>
      </c>
      <c r="F195" s="74">
        <v>7.00004367536208E14</v>
      </c>
      <c r="G195" s="167" t="s">
        <v>3354</v>
      </c>
      <c r="H195" s="211">
        <v>25062.0</v>
      </c>
      <c r="I195" s="34" t="s">
        <v>183</v>
      </c>
      <c r="J195" s="74"/>
      <c r="K195" s="74"/>
      <c r="R195" s="67"/>
    </row>
    <row r="196">
      <c r="B196" s="182"/>
      <c r="E196" s="261"/>
      <c r="G196" s="182"/>
      <c r="J196" s="67"/>
      <c r="K196" s="67"/>
      <c r="R196" s="67"/>
    </row>
    <row r="197">
      <c r="B197" s="182"/>
      <c r="E197" s="261"/>
      <c r="G197" s="182"/>
      <c r="J197" s="67"/>
      <c r="K197" s="67"/>
      <c r="R197" s="67"/>
    </row>
    <row r="198">
      <c r="B198" s="182"/>
      <c r="E198" s="261"/>
      <c r="G198" s="182"/>
      <c r="J198" s="67"/>
      <c r="K198" s="67"/>
      <c r="R198" s="67"/>
    </row>
    <row r="199">
      <c r="A199" s="23" t="s">
        <v>378</v>
      </c>
      <c r="B199" s="2"/>
      <c r="C199" s="2"/>
      <c r="D199" s="2"/>
      <c r="E199" s="2"/>
      <c r="F199" s="2"/>
      <c r="G199" s="2"/>
      <c r="H199" s="2"/>
      <c r="I199" s="2"/>
      <c r="J199" s="2"/>
      <c r="K199" s="3"/>
      <c r="R199" s="67"/>
    </row>
    <row r="200">
      <c r="A200" s="24" t="str">
        <f>TEXT(DATE(VALUE(MID(A182,7,4)),VALUE(MID(A182,4,2)),VALUE(LEFT(A182,2)))+2,"dd/mm/yyyy")&amp;" 08h às 13h"</f>
        <v>27/05/2026 08h às 13h</v>
      </c>
      <c r="B200" s="2"/>
      <c r="C200" s="2"/>
      <c r="D200" s="2"/>
      <c r="E200" s="2"/>
      <c r="F200" s="2"/>
      <c r="G200" s="2"/>
      <c r="H200" s="2"/>
      <c r="I200" s="2"/>
      <c r="J200" s="2"/>
      <c r="K200" s="3"/>
    </row>
    <row r="201">
      <c r="A201" s="25"/>
      <c r="B201" s="489" t="s">
        <v>3</v>
      </c>
      <c r="C201" s="27" t="s">
        <v>2</v>
      </c>
      <c r="D201" s="28" t="s">
        <v>5</v>
      </c>
      <c r="E201" s="29" t="s">
        <v>19</v>
      </c>
      <c r="F201" s="28" t="s">
        <v>6</v>
      </c>
      <c r="G201" s="264" t="s">
        <v>7</v>
      </c>
      <c r="H201" s="30" t="s">
        <v>8</v>
      </c>
      <c r="I201" s="31" t="s">
        <v>20</v>
      </c>
      <c r="J201" s="32" t="s">
        <v>21</v>
      </c>
      <c r="K201" s="32" t="s">
        <v>22</v>
      </c>
    </row>
    <row r="202">
      <c r="A202" s="12" t="s">
        <v>10</v>
      </c>
      <c r="B202" s="227" t="s">
        <v>2014</v>
      </c>
      <c r="C202" s="74" t="str">
        <f t="shared" ref="C202:C213" si="22">PROPER(TEXT(DATE(MID($A$146,7,4),MID($A$146,4,2),LEFT($A$146,2)),"dddd"))</f>
        <v>Quarta-Feira</v>
      </c>
      <c r="D202" s="512" t="str">
        <f>IF(C202&lt;&gt;"Quarta-Feira","13:00","08:00")</f>
        <v>08:00</v>
      </c>
      <c r="E202" s="287" t="s">
        <v>1463</v>
      </c>
      <c r="F202" s="74">
        <v>8.98005838567696E14</v>
      </c>
      <c r="G202" s="167" t="s">
        <v>1464</v>
      </c>
      <c r="H202" s="211">
        <v>43132.0</v>
      </c>
      <c r="I202" s="34" t="s">
        <v>183</v>
      </c>
      <c r="J202" s="74"/>
      <c r="K202" s="74"/>
      <c r="N202" s="268" t="s">
        <v>387</v>
      </c>
      <c r="O202" s="100"/>
      <c r="P202" s="100"/>
      <c r="Q202" s="100"/>
      <c r="R202" s="100"/>
    </row>
    <row r="203">
      <c r="A203" s="12" t="s">
        <v>11</v>
      </c>
      <c r="B203" s="227" t="s">
        <v>2019</v>
      </c>
      <c r="C203" s="74" t="str">
        <f t="shared" si="22"/>
        <v>Quarta-Feira</v>
      </c>
      <c r="D203" s="512" t="str">
        <f>IF(C203&lt;&gt;"Quarta-Feira","13:20","08:20")</f>
        <v>08:20</v>
      </c>
      <c r="E203" s="287" t="s">
        <v>3355</v>
      </c>
      <c r="F203" s="74">
        <v>7.02007877095784E14</v>
      </c>
      <c r="G203" s="167" t="s">
        <v>3356</v>
      </c>
      <c r="H203" s="77">
        <v>22414.0</v>
      </c>
      <c r="I203" s="34" t="s">
        <v>183</v>
      </c>
      <c r="J203" s="74"/>
      <c r="K203" s="74"/>
      <c r="N203" s="270" t="s">
        <v>1824</v>
      </c>
      <c r="O203" s="2"/>
      <c r="P203" s="2"/>
      <c r="Q203" s="2"/>
      <c r="R203" s="2"/>
    </row>
    <row r="204">
      <c r="A204" s="12" t="s">
        <v>12</v>
      </c>
      <c r="B204" s="227" t="s">
        <v>2021</v>
      </c>
      <c r="C204" s="74" t="str">
        <f t="shared" si="22"/>
        <v>Quarta-Feira</v>
      </c>
      <c r="D204" s="512" t="str">
        <f>IF(C204&lt;&gt;"Quarta-Feira","13:40","08:40")</f>
        <v>08:40</v>
      </c>
      <c r="E204" s="287" t="s">
        <v>3357</v>
      </c>
      <c r="F204" s="74">
        <v>7.04809049441548E14</v>
      </c>
      <c r="G204" s="167" t="s">
        <v>3358</v>
      </c>
      <c r="H204" s="329">
        <v>21321.0</v>
      </c>
      <c r="I204" s="34" t="s">
        <v>183</v>
      </c>
      <c r="J204" s="74"/>
      <c r="K204" s="74"/>
      <c r="N204" s="271" t="s">
        <v>183</v>
      </c>
      <c r="O204" s="272" t="s">
        <v>195</v>
      </c>
      <c r="P204" s="272" t="s">
        <v>181</v>
      </c>
      <c r="Q204" s="273" t="s">
        <v>173</v>
      </c>
      <c r="R204" s="286" t="s">
        <v>1823</v>
      </c>
    </row>
    <row r="205">
      <c r="A205" s="12" t="s">
        <v>13</v>
      </c>
      <c r="B205" s="227" t="s">
        <v>2024</v>
      </c>
      <c r="C205" s="74" t="str">
        <f t="shared" si="22"/>
        <v>Quarta-Feira</v>
      </c>
      <c r="D205" s="512" t="str">
        <f>IF(C205&lt;&gt;"Quarta-Feira","14:00","09:00")</f>
        <v>09:00</v>
      </c>
      <c r="E205" s="287" t="s">
        <v>3359</v>
      </c>
      <c r="F205" s="74">
        <v>7.00504939644553E14</v>
      </c>
      <c r="G205" s="167" t="s">
        <v>3360</v>
      </c>
      <c r="H205" s="83">
        <v>18401.0</v>
      </c>
      <c r="I205" s="34" t="s">
        <v>183</v>
      </c>
      <c r="J205" s="74"/>
      <c r="K205" s="74"/>
      <c r="N205" s="275">
        <f t="shared" ref="N205:R205" si="23">COUNTIFS($I$202:$I$213,$N$186)</f>
        <v>10</v>
      </c>
      <c r="O205" s="275">
        <f t="shared" si="23"/>
        <v>10</v>
      </c>
      <c r="P205" s="275">
        <f t="shared" si="23"/>
        <v>10</v>
      </c>
      <c r="Q205" s="275">
        <f t="shared" si="23"/>
        <v>10</v>
      </c>
      <c r="R205" s="275">
        <f t="shared" si="23"/>
        <v>10</v>
      </c>
    </row>
    <row r="206">
      <c r="A206" s="12" t="s">
        <v>14</v>
      </c>
      <c r="B206" s="227" t="s">
        <v>2019</v>
      </c>
      <c r="C206" s="74" t="str">
        <f t="shared" si="22"/>
        <v>Quarta-Feira</v>
      </c>
      <c r="D206" s="512" t="str">
        <f>IF(C206&lt;&gt;"Quarta-Feira","14:20","09:20")</f>
        <v>09:20</v>
      </c>
      <c r="E206" s="287" t="s">
        <v>3361</v>
      </c>
      <c r="F206" s="74">
        <v>8.01440476655167E14</v>
      </c>
      <c r="G206" s="167" t="s">
        <v>3362</v>
      </c>
      <c r="H206" s="83">
        <v>38538.0</v>
      </c>
      <c r="I206" s="34" t="s">
        <v>183</v>
      </c>
      <c r="J206" s="74"/>
      <c r="K206" s="74"/>
      <c r="R206" s="67"/>
    </row>
    <row r="207">
      <c r="A207" s="12" t="s">
        <v>15</v>
      </c>
      <c r="B207" s="227" t="s">
        <v>2021</v>
      </c>
      <c r="C207" s="74" t="str">
        <f t="shared" si="22"/>
        <v>Quarta-Feira</v>
      </c>
      <c r="D207" s="512" t="str">
        <f>IF(C207&lt;&gt;"Quarta-Feira","14:40","09:40")</f>
        <v>09:40</v>
      </c>
      <c r="E207" s="287" t="s">
        <v>3363</v>
      </c>
      <c r="F207" s="74">
        <v>2.09803018010018E14</v>
      </c>
      <c r="G207" s="167" t="s">
        <v>3364</v>
      </c>
      <c r="H207" s="83">
        <v>22100.0</v>
      </c>
      <c r="I207" s="34" t="s">
        <v>183</v>
      </c>
      <c r="J207" s="74"/>
      <c r="K207" s="74"/>
      <c r="R207" s="67"/>
    </row>
    <row r="208">
      <c r="A208" s="12" t="s">
        <v>16</v>
      </c>
      <c r="B208" s="227" t="s">
        <v>2014</v>
      </c>
      <c r="C208" s="74" t="str">
        <f t="shared" si="22"/>
        <v>Quarta-Feira</v>
      </c>
      <c r="D208" s="512" t="str">
        <f>IF(C208&lt;&gt;"Quarta-Feira","15:00","10:00")</f>
        <v>10:00</v>
      </c>
      <c r="E208" s="287" t="s">
        <v>3365</v>
      </c>
      <c r="F208" s="74">
        <v>7.08104525348932E14</v>
      </c>
      <c r="G208" s="167" t="s">
        <v>3366</v>
      </c>
      <c r="H208" s="83">
        <v>21994.0</v>
      </c>
      <c r="I208" s="34" t="s">
        <v>183</v>
      </c>
      <c r="J208" s="74"/>
      <c r="K208" s="74"/>
      <c r="R208" s="67"/>
    </row>
    <row r="209">
      <c r="A209" s="12" t="s">
        <v>17</v>
      </c>
      <c r="B209" s="227" t="s">
        <v>2019</v>
      </c>
      <c r="C209" s="74" t="str">
        <f t="shared" si="22"/>
        <v>Quarta-Feira</v>
      </c>
      <c r="D209" s="512" t="str">
        <f>IF(C209&lt;&gt;"Quarta-Feira","15:20","10:20")</f>
        <v>10:20</v>
      </c>
      <c r="E209" s="287" t="s">
        <v>3367</v>
      </c>
      <c r="F209" s="74">
        <v>7.07402055685277E14</v>
      </c>
      <c r="G209" s="167" t="s">
        <v>3368</v>
      </c>
      <c r="H209" s="77">
        <v>20462.0</v>
      </c>
      <c r="I209" s="34" t="s">
        <v>1823</v>
      </c>
      <c r="J209" s="74"/>
      <c r="K209" s="74"/>
      <c r="R209" s="67"/>
    </row>
    <row r="210">
      <c r="A210" s="12" t="s">
        <v>85</v>
      </c>
      <c r="B210" s="227" t="s">
        <v>2024</v>
      </c>
      <c r="C210" s="74" t="str">
        <f t="shared" si="22"/>
        <v>Quarta-Feira</v>
      </c>
      <c r="D210" s="512" t="str">
        <f>IF(C210&lt;&gt;"Quarta-Feira","15:40","10:40")</f>
        <v>10:40</v>
      </c>
      <c r="E210" s="287" t="s">
        <v>3369</v>
      </c>
      <c r="F210" s="74">
        <v>7.00504779985153E14</v>
      </c>
      <c r="G210" s="167" t="s">
        <v>3370</v>
      </c>
      <c r="H210" s="83">
        <v>20032.0</v>
      </c>
      <c r="I210" s="34" t="s">
        <v>183</v>
      </c>
      <c r="J210" s="74"/>
      <c r="K210" s="74"/>
      <c r="R210" s="67"/>
    </row>
    <row r="211">
      <c r="A211" s="12" t="s">
        <v>87</v>
      </c>
      <c r="B211" s="227" t="s">
        <v>2021</v>
      </c>
      <c r="C211" s="74" t="str">
        <f t="shared" si="22"/>
        <v>Quarta-Feira</v>
      </c>
      <c r="D211" s="512" t="str">
        <f>IF(C211&lt;&gt;"Quarta-Feira","16:00","11:00")</f>
        <v>11:00</v>
      </c>
      <c r="E211" s="287" t="s">
        <v>3371</v>
      </c>
      <c r="F211" s="74">
        <v>8.98001901063862E14</v>
      </c>
      <c r="G211" s="167" t="s">
        <v>3372</v>
      </c>
      <c r="H211" s="166">
        <v>18007.0</v>
      </c>
      <c r="I211" s="34" t="s">
        <v>1823</v>
      </c>
      <c r="J211" s="74"/>
      <c r="K211" s="74"/>
      <c r="R211" s="67"/>
    </row>
    <row r="212">
      <c r="A212" s="12" t="s">
        <v>90</v>
      </c>
      <c r="B212" s="227" t="s">
        <v>2024</v>
      </c>
      <c r="C212" s="74" t="str">
        <f t="shared" si="22"/>
        <v>Quarta-Feira</v>
      </c>
      <c r="D212" s="512" t="str">
        <f>IF(C212&lt;&gt;"Quarta-Feira","16:20","11:20")</f>
        <v>11:20</v>
      </c>
      <c r="E212" s="287" t="s">
        <v>3373</v>
      </c>
      <c r="F212" s="74">
        <v>8.01440401145382E14</v>
      </c>
      <c r="G212" s="167" t="s">
        <v>3374</v>
      </c>
      <c r="H212" s="166">
        <v>20444.0</v>
      </c>
      <c r="I212" s="34" t="s">
        <v>183</v>
      </c>
      <c r="J212" s="74"/>
      <c r="K212" s="74"/>
      <c r="R212" s="67"/>
    </row>
    <row r="213">
      <c r="A213" s="12" t="s">
        <v>93</v>
      </c>
      <c r="B213" s="227" t="s">
        <v>2014</v>
      </c>
      <c r="C213" s="74" t="str">
        <f t="shared" si="22"/>
        <v>Quarta-Feira</v>
      </c>
      <c r="D213" s="512" t="str">
        <f>IF(C213&lt;&gt;"Quarta-Feira","16:40","11:40")</f>
        <v>11:40</v>
      </c>
      <c r="E213" s="287" t="s">
        <v>3375</v>
      </c>
      <c r="F213" s="74">
        <v>8.98001481197977E14</v>
      </c>
      <c r="G213" s="167" t="s">
        <v>3376</v>
      </c>
      <c r="H213" s="166">
        <v>41781.0</v>
      </c>
      <c r="I213" s="34" t="s">
        <v>183</v>
      </c>
      <c r="J213" s="74"/>
      <c r="K213" s="74"/>
      <c r="R213" s="67"/>
    </row>
    <row r="214">
      <c r="B214" s="182"/>
      <c r="E214" s="261"/>
      <c r="G214" s="182"/>
      <c r="J214" s="67"/>
      <c r="K214" s="67"/>
      <c r="R214" s="67"/>
    </row>
    <row r="215">
      <c r="B215" s="182"/>
      <c r="E215" s="261"/>
      <c r="G215" s="182"/>
      <c r="J215" s="67"/>
      <c r="K215" s="67"/>
      <c r="R215" s="67"/>
    </row>
    <row r="216">
      <c r="B216" s="182"/>
      <c r="E216" s="261"/>
      <c r="G216" s="182"/>
      <c r="J216" s="67"/>
      <c r="K216" s="67"/>
      <c r="R216" s="67"/>
    </row>
    <row r="217">
      <c r="A217" s="23" t="s">
        <v>378</v>
      </c>
      <c r="B217" s="2"/>
      <c r="C217" s="2"/>
      <c r="D217" s="2"/>
      <c r="E217" s="2"/>
      <c r="F217" s="2"/>
      <c r="G217" s="2"/>
      <c r="H217" s="2"/>
      <c r="I217" s="2"/>
      <c r="J217" s="2"/>
      <c r="K217" s="3"/>
      <c r="R217" s="67"/>
    </row>
    <row r="218">
      <c r="A218" s="24" t="str">
        <f>TEXT(DATE(VALUE(MID(A200,7,4)),VALUE(MID(A200,4,2)),VALUE(LEFT(A200,2)))+2,"dd/mm/yyyy")&amp;" 08h às 13h"</f>
        <v>29/05/2026 08h às 13h</v>
      </c>
      <c r="B218" s="2"/>
      <c r="C218" s="2"/>
      <c r="D218" s="2"/>
      <c r="E218" s="2"/>
      <c r="F218" s="2"/>
      <c r="G218" s="2"/>
      <c r="H218" s="2"/>
      <c r="I218" s="2"/>
      <c r="J218" s="2"/>
      <c r="K218" s="3"/>
      <c r="R218" s="67"/>
    </row>
    <row r="219">
      <c r="A219" s="25"/>
      <c r="B219" s="489" t="s">
        <v>3</v>
      </c>
      <c r="C219" s="27" t="s">
        <v>2</v>
      </c>
      <c r="D219" s="28" t="s">
        <v>5</v>
      </c>
      <c r="E219" s="29" t="s">
        <v>19</v>
      </c>
      <c r="F219" s="28" t="s">
        <v>6</v>
      </c>
      <c r="G219" s="264" t="s">
        <v>7</v>
      </c>
      <c r="H219" s="30" t="s">
        <v>8</v>
      </c>
      <c r="I219" s="31" t="s">
        <v>20</v>
      </c>
      <c r="J219" s="32" t="s">
        <v>21</v>
      </c>
      <c r="K219" s="32" t="s">
        <v>22</v>
      </c>
      <c r="R219" s="67"/>
    </row>
    <row r="220">
      <c r="A220" s="12" t="s">
        <v>10</v>
      </c>
      <c r="B220" s="227" t="s">
        <v>2381</v>
      </c>
      <c r="C220" s="74" t="str">
        <f t="shared" ref="C220:C231" si="24">PROPER(TEXT(DATE(MID($A$164,7,4),MID($A$164,4,2),LEFT($A$164,2)),"dddd"))</f>
        <v>Sexta-Feira</v>
      </c>
      <c r="D220" s="512" t="str">
        <f>IF(C220&lt;&gt;"Quarta-Feira","13:00","08:00")</f>
        <v>13:00</v>
      </c>
      <c r="E220" s="287" t="s">
        <v>3377</v>
      </c>
      <c r="F220" s="459">
        <v>2.01151341360008E14</v>
      </c>
      <c r="G220" s="167" t="s">
        <v>3378</v>
      </c>
      <c r="H220" s="83">
        <v>23950.0</v>
      </c>
      <c r="I220" s="34" t="s">
        <v>183</v>
      </c>
      <c r="J220" s="74"/>
      <c r="K220" s="74"/>
      <c r="N220" s="268" t="s">
        <v>387</v>
      </c>
      <c r="O220" s="100"/>
      <c r="P220" s="100"/>
      <c r="Q220" s="100"/>
      <c r="R220" s="100"/>
    </row>
    <row r="221">
      <c r="A221" s="12" t="s">
        <v>11</v>
      </c>
      <c r="B221" s="227" t="s">
        <v>2384</v>
      </c>
      <c r="C221" s="74" t="str">
        <f t="shared" si="24"/>
        <v>Sexta-Feira</v>
      </c>
      <c r="D221" s="512" t="str">
        <f>IF(C221&lt;&gt;"Quarta-Feira","13:20","08:20")</f>
        <v>13:20</v>
      </c>
      <c r="E221" s="287" t="s">
        <v>3379</v>
      </c>
      <c r="F221" s="74">
        <v>7.08006356771224E14</v>
      </c>
      <c r="G221" s="167" t="s">
        <v>3380</v>
      </c>
      <c r="H221" s="83">
        <v>20456.0</v>
      </c>
      <c r="I221" s="34" t="s">
        <v>183</v>
      </c>
      <c r="J221" s="74"/>
      <c r="K221" s="74"/>
      <c r="N221" s="270" t="s">
        <v>1824</v>
      </c>
      <c r="O221" s="2"/>
      <c r="P221" s="2"/>
      <c r="Q221" s="2"/>
      <c r="R221" s="2"/>
    </row>
    <row r="222">
      <c r="A222" s="12" t="s">
        <v>12</v>
      </c>
      <c r="B222" s="227" t="s">
        <v>2387</v>
      </c>
      <c r="C222" s="74" t="str">
        <f t="shared" si="24"/>
        <v>Sexta-Feira</v>
      </c>
      <c r="D222" s="512" t="str">
        <f>IF(C222&lt;&gt;"Quarta-Feira","13:40","08:40")</f>
        <v>13:40</v>
      </c>
      <c r="E222" s="287" t="s">
        <v>3381</v>
      </c>
      <c r="F222" s="74">
        <v>8.98001464036014E14</v>
      </c>
      <c r="G222" s="167" t="s">
        <v>3382</v>
      </c>
      <c r="H222" s="83">
        <v>41152.0</v>
      </c>
      <c r="I222" s="34" t="s">
        <v>183</v>
      </c>
      <c r="J222" s="74"/>
      <c r="K222" s="74"/>
      <c r="N222" s="271" t="s">
        <v>183</v>
      </c>
      <c r="O222" s="272" t="s">
        <v>195</v>
      </c>
      <c r="P222" s="272" t="s">
        <v>181</v>
      </c>
      <c r="Q222" s="273" t="s">
        <v>173</v>
      </c>
      <c r="R222" s="286" t="s">
        <v>1823</v>
      </c>
    </row>
    <row r="223">
      <c r="A223" s="12" t="s">
        <v>13</v>
      </c>
      <c r="B223" s="227" t="s">
        <v>2390</v>
      </c>
      <c r="C223" s="74" t="str">
        <f t="shared" si="24"/>
        <v>Sexta-Feira</v>
      </c>
      <c r="D223" s="512" t="str">
        <f>IF(C223&lt;&gt;"Quarta-Feira","14:00","09:00")</f>
        <v>14:00</v>
      </c>
      <c r="E223" s="287" t="s">
        <v>3383</v>
      </c>
      <c r="F223" s="74">
        <v>7.09000847757119E14</v>
      </c>
      <c r="G223" s="167" t="s">
        <v>3384</v>
      </c>
      <c r="H223" s="83">
        <v>20511.0</v>
      </c>
      <c r="I223" s="34" t="s">
        <v>183</v>
      </c>
      <c r="J223" s="74"/>
      <c r="K223" s="74"/>
      <c r="N223" s="275">
        <f t="shared" ref="N223:R223" si="25">COUNTIFS($I$220:$I$231,$N$186)</f>
        <v>9</v>
      </c>
      <c r="O223" s="275">
        <f t="shared" si="25"/>
        <v>9</v>
      </c>
      <c r="P223" s="275">
        <f t="shared" si="25"/>
        <v>9</v>
      </c>
      <c r="Q223" s="275">
        <f t="shared" si="25"/>
        <v>9</v>
      </c>
      <c r="R223" s="275">
        <f t="shared" si="25"/>
        <v>9</v>
      </c>
    </row>
    <row r="224">
      <c r="A224" s="12" t="s">
        <v>14</v>
      </c>
      <c r="B224" s="227" t="s">
        <v>2381</v>
      </c>
      <c r="C224" s="74" t="str">
        <f t="shared" si="24"/>
        <v>Sexta-Feira</v>
      </c>
      <c r="D224" s="512" t="str">
        <f>IF(C224&lt;&gt;"Quarta-Feira","14:20","09:20")</f>
        <v>14:20</v>
      </c>
      <c r="E224" s="287" t="s">
        <v>3385</v>
      </c>
      <c r="F224" s="74">
        <v>7.0630974897247E14</v>
      </c>
      <c r="G224" s="167" t="s">
        <v>3386</v>
      </c>
      <c r="H224" s="83">
        <v>16321.0</v>
      </c>
      <c r="I224" s="34" t="s">
        <v>183</v>
      </c>
      <c r="J224" s="74"/>
      <c r="K224" s="74"/>
      <c r="R224" s="67"/>
    </row>
    <row r="225">
      <c r="A225" s="12" t="s">
        <v>15</v>
      </c>
      <c r="B225" s="227" t="s">
        <v>2384</v>
      </c>
      <c r="C225" s="74" t="str">
        <f t="shared" si="24"/>
        <v>Sexta-Feira</v>
      </c>
      <c r="D225" s="512" t="str">
        <f>IF(C225&lt;&gt;"Quarta-Feira","14:40","09:40")</f>
        <v>14:40</v>
      </c>
      <c r="E225" s="287"/>
      <c r="F225" s="74"/>
      <c r="G225" s="167"/>
      <c r="H225" s="83"/>
      <c r="I225" s="34" t="s">
        <v>2348</v>
      </c>
      <c r="J225" s="74"/>
      <c r="K225" s="74"/>
      <c r="R225" s="67"/>
    </row>
    <row r="226">
      <c r="A226" s="12" t="s">
        <v>16</v>
      </c>
      <c r="B226" s="227" t="s">
        <v>2387</v>
      </c>
      <c r="C226" s="74" t="str">
        <f t="shared" si="24"/>
        <v>Sexta-Feira</v>
      </c>
      <c r="D226" s="512" t="str">
        <f>IF(C226&lt;&gt;"Quarta-Feira","15:00","10:00")</f>
        <v>15:00</v>
      </c>
      <c r="E226" s="287" t="s">
        <v>3387</v>
      </c>
      <c r="F226" s="459">
        <v>7.06301738265979E14</v>
      </c>
      <c r="G226" s="167" t="s">
        <v>3388</v>
      </c>
      <c r="H226" s="83">
        <v>25580.0</v>
      </c>
      <c r="I226" s="34" t="s">
        <v>183</v>
      </c>
      <c r="J226" s="74"/>
      <c r="K226" s="74"/>
      <c r="R226" s="67"/>
    </row>
    <row r="227">
      <c r="A227" s="12" t="s">
        <v>17</v>
      </c>
      <c r="B227" s="227" t="s">
        <v>2390</v>
      </c>
      <c r="C227" s="74" t="str">
        <f t="shared" si="24"/>
        <v>Sexta-Feira</v>
      </c>
      <c r="D227" s="512" t="str">
        <f>IF(C227&lt;&gt;"Quarta-Feira","15:20","10:20")</f>
        <v>15:20</v>
      </c>
      <c r="E227" s="287" t="s">
        <v>1479</v>
      </c>
      <c r="F227" s="74">
        <v>2.06882484830003E14</v>
      </c>
      <c r="G227" s="167" t="s">
        <v>1480</v>
      </c>
      <c r="H227" s="83">
        <v>15085.0</v>
      </c>
      <c r="I227" s="34" t="s">
        <v>183</v>
      </c>
      <c r="J227" s="74"/>
      <c r="K227" s="74"/>
      <c r="R227" s="67"/>
    </row>
    <row r="228">
      <c r="A228" s="12" t="s">
        <v>85</v>
      </c>
      <c r="B228" s="227" t="s">
        <v>2384</v>
      </c>
      <c r="C228" s="74" t="str">
        <f t="shared" si="24"/>
        <v>Sexta-Feira</v>
      </c>
      <c r="D228" s="512" t="str">
        <f>IF(C228&lt;&gt;"Quarta-Feira","15:40","10:40")</f>
        <v>15:40</v>
      </c>
      <c r="E228" s="287" t="s">
        <v>3193</v>
      </c>
      <c r="F228" s="74">
        <v>7.04603151329626E14</v>
      </c>
      <c r="G228" s="167" t="s">
        <v>3194</v>
      </c>
      <c r="H228" s="83">
        <v>23798.0</v>
      </c>
      <c r="I228" s="34" t="s">
        <v>183</v>
      </c>
      <c r="J228" s="74"/>
      <c r="K228" s="74"/>
      <c r="R228" s="67"/>
    </row>
    <row r="229">
      <c r="A229" s="12" t="s">
        <v>87</v>
      </c>
      <c r="B229" s="227" t="s">
        <v>2381</v>
      </c>
      <c r="C229" s="74" t="str">
        <f t="shared" si="24"/>
        <v>Sexta-Feira</v>
      </c>
      <c r="D229" s="512" t="str">
        <f>IF(C229&lt;&gt;"Quarta-Feira","16:00","11:00")</f>
        <v>16:00</v>
      </c>
      <c r="E229" s="287" t="s">
        <v>3389</v>
      </c>
      <c r="F229" s="74">
        <v>7.00009164991908E14</v>
      </c>
      <c r="G229" s="167" t="s">
        <v>3390</v>
      </c>
      <c r="H229" s="166">
        <v>33058.0</v>
      </c>
      <c r="I229" s="34" t="s">
        <v>1823</v>
      </c>
      <c r="J229" s="74"/>
      <c r="K229" s="74"/>
      <c r="R229" s="67"/>
    </row>
    <row r="230">
      <c r="A230" s="12" t="s">
        <v>90</v>
      </c>
      <c r="B230" s="227" t="s">
        <v>2381</v>
      </c>
      <c r="C230" s="74" t="str">
        <f t="shared" si="24"/>
        <v>Sexta-Feira</v>
      </c>
      <c r="D230" s="512" t="str">
        <f>IF(C230&lt;&gt;"Quarta-Feira","16:20","11:20")</f>
        <v>16:20</v>
      </c>
      <c r="E230" s="287" t="s">
        <v>3273</v>
      </c>
      <c r="F230" s="74">
        <v>7.07603255462491E14</v>
      </c>
      <c r="G230" s="167" t="s">
        <v>3274</v>
      </c>
      <c r="H230" s="166">
        <v>23447.0</v>
      </c>
      <c r="I230" s="34" t="s">
        <v>183</v>
      </c>
      <c r="J230" s="74"/>
      <c r="K230" s="74"/>
      <c r="R230" s="67"/>
    </row>
    <row r="231">
      <c r="A231" s="12" t="s">
        <v>93</v>
      </c>
      <c r="B231" s="227" t="s">
        <v>2381</v>
      </c>
      <c r="C231" s="74" t="str">
        <f t="shared" si="24"/>
        <v>Sexta-Feira</v>
      </c>
      <c r="D231" s="512" t="str">
        <f>IF(C231&lt;&gt;"Quarta-Feira","16:40","11:40")</f>
        <v>16:40</v>
      </c>
      <c r="E231" s="287" t="s">
        <v>3391</v>
      </c>
      <c r="F231" s="74">
        <v>7.04600191630324E14</v>
      </c>
      <c r="G231" s="167" t="s">
        <v>3392</v>
      </c>
      <c r="H231" s="166">
        <v>29736.0</v>
      </c>
      <c r="I231" s="34" t="s">
        <v>1823</v>
      </c>
      <c r="J231" s="74"/>
      <c r="K231" s="74"/>
      <c r="R231" s="67"/>
    </row>
    <row r="232">
      <c r="B232" s="182"/>
      <c r="E232" s="261"/>
      <c r="G232" s="182"/>
      <c r="J232" s="67"/>
      <c r="K232" s="67"/>
      <c r="R232" s="67"/>
    </row>
    <row r="233">
      <c r="B233" s="182"/>
      <c r="E233" s="261"/>
      <c r="G233" s="182"/>
      <c r="J233" s="67"/>
      <c r="K233" s="67"/>
      <c r="R233" s="67"/>
    </row>
    <row r="234">
      <c r="B234" s="182"/>
      <c r="E234" s="261"/>
      <c r="G234" s="182"/>
      <c r="J234" s="67"/>
      <c r="K234" s="67"/>
      <c r="R234" s="67"/>
    </row>
    <row r="235">
      <c r="B235" s="182"/>
      <c r="E235" s="261"/>
      <c r="G235" s="182"/>
      <c r="J235" s="67"/>
      <c r="K235" s="67"/>
      <c r="R235" s="67"/>
    </row>
    <row r="236">
      <c r="B236" s="182"/>
      <c r="E236" s="261"/>
      <c r="G236" s="182"/>
      <c r="J236" s="67"/>
      <c r="K236" s="67"/>
      <c r="R236" s="67"/>
    </row>
    <row r="237">
      <c r="B237" s="182"/>
      <c r="E237" s="261"/>
      <c r="G237" s="182"/>
      <c r="J237" s="67"/>
      <c r="K237" s="67"/>
      <c r="R237" s="67"/>
    </row>
    <row r="238">
      <c r="B238" s="182"/>
      <c r="E238" s="261"/>
      <c r="G238" s="182"/>
      <c r="J238" s="67"/>
      <c r="K238" s="67"/>
      <c r="R238" s="67"/>
    </row>
    <row r="239">
      <c r="B239" s="182"/>
      <c r="E239" s="261"/>
      <c r="G239" s="182"/>
      <c r="J239" s="67"/>
      <c r="K239" s="67"/>
      <c r="N239" s="268" t="s">
        <v>2080</v>
      </c>
      <c r="O239" s="100"/>
      <c r="P239" s="100"/>
      <c r="Q239" s="100"/>
      <c r="R239" s="100"/>
    </row>
    <row r="240">
      <c r="B240" s="182"/>
      <c r="E240" s="261"/>
      <c r="G240" s="182"/>
      <c r="J240" s="67"/>
      <c r="K240" s="67"/>
      <c r="N240" s="271" t="s">
        <v>183</v>
      </c>
      <c r="O240" s="272" t="s">
        <v>195</v>
      </c>
      <c r="P240" s="272" t="s">
        <v>181</v>
      </c>
      <c r="Q240" s="273" t="s">
        <v>173</v>
      </c>
      <c r="R240" s="286" t="s">
        <v>1823</v>
      </c>
    </row>
    <row r="241">
      <c r="B241" s="182"/>
      <c r="E241" s="261"/>
      <c r="G241" s="182"/>
      <c r="J241" s="67"/>
      <c r="K241" s="67"/>
      <c r="N241" s="458">
        <f t="shared" ref="N241:R241" si="26">SUM(N77:N235)</f>
        <v>85</v>
      </c>
      <c r="O241" s="458">
        <f t="shared" si="26"/>
        <v>30</v>
      </c>
      <c r="P241" s="458">
        <f t="shared" si="26"/>
        <v>30</v>
      </c>
      <c r="Q241" s="458">
        <f t="shared" si="26"/>
        <v>30</v>
      </c>
      <c r="R241" s="458">
        <f t="shared" si="26"/>
        <v>46</v>
      </c>
    </row>
    <row r="242">
      <c r="B242" s="182"/>
      <c r="E242" s="261"/>
      <c r="G242" s="182"/>
      <c r="J242" s="67"/>
      <c r="K242" s="67"/>
      <c r="R242" s="67"/>
    </row>
    <row r="243">
      <c r="B243" s="182"/>
      <c r="E243" s="261"/>
      <c r="G243" s="182"/>
      <c r="J243" s="67"/>
      <c r="K243" s="67"/>
      <c r="R243" s="67"/>
    </row>
    <row r="244">
      <c r="B244" s="182"/>
      <c r="E244" s="261"/>
      <c r="G244" s="182"/>
      <c r="J244" s="67"/>
      <c r="K244" s="67"/>
      <c r="R244" s="67"/>
    </row>
    <row r="245">
      <c r="B245" s="182"/>
      <c r="E245" s="261"/>
      <c r="G245" s="182"/>
      <c r="J245" s="67"/>
      <c r="K245" s="67"/>
      <c r="R245" s="67"/>
    </row>
    <row r="246">
      <c r="B246" s="182"/>
      <c r="E246" s="261"/>
      <c r="G246" s="182"/>
      <c r="J246" s="67"/>
      <c r="K246" s="67"/>
      <c r="R246" s="67"/>
    </row>
    <row r="247">
      <c r="B247" s="182"/>
      <c r="E247" s="261"/>
      <c r="G247" s="182"/>
      <c r="J247" s="67"/>
      <c r="K247" s="67"/>
      <c r="R247" s="67"/>
    </row>
    <row r="248">
      <c r="B248" s="182"/>
      <c r="E248" s="261"/>
      <c r="G248" s="182"/>
      <c r="J248" s="67"/>
      <c r="K248" s="67"/>
      <c r="R248" s="67"/>
    </row>
    <row r="249">
      <c r="B249" s="182"/>
      <c r="E249" s="261"/>
      <c r="G249" s="182"/>
      <c r="J249" s="67"/>
      <c r="K249" s="67"/>
      <c r="R249" s="67"/>
    </row>
    <row r="250">
      <c r="B250" s="182"/>
      <c r="E250" s="261"/>
      <c r="G250" s="182"/>
      <c r="J250" s="67"/>
      <c r="K250" s="67"/>
      <c r="R250" s="67"/>
    </row>
    <row r="251">
      <c r="B251" s="182"/>
      <c r="E251" s="261"/>
      <c r="G251" s="182"/>
      <c r="J251" s="67"/>
      <c r="K251" s="67"/>
      <c r="R251" s="67"/>
    </row>
    <row r="252">
      <c r="B252" s="182"/>
      <c r="E252" s="261"/>
      <c r="G252" s="182"/>
      <c r="J252" s="67"/>
      <c r="K252" s="67"/>
      <c r="R252" s="67"/>
    </row>
    <row r="253">
      <c r="B253" s="182"/>
      <c r="E253" s="261"/>
      <c r="G253" s="182"/>
      <c r="J253" s="67"/>
      <c r="K253" s="67"/>
      <c r="R253" s="67"/>
    </row>
    <row r="254">
      <c r="B254" s="182"/>
      <c r="E254" s="261"/>
      <c r="G254" s="182"/>
      <c r="J254" s="67"/>
      <c r="K254" s="67"/>
      <c r="R254" s="67"/>
    </row>
    <row r="255">
      <c r="B255" s="182"/>
      <c r="E255" s="261"/>
      <c r="G255" s="182"/>
      <c r="J255" s="67"/>
      <c r="K255" s="67"/>
      <c r="R255" s="67"/>
    </row>
    <row r="256">
      <c r="B256" s="182"/>
      <c r="E256" s="261"/>
      <c r="G256" s="182"/>
      <c r="J256" s="67"/>
      <c r="K256" s="67"/>
      <c r="R256" s="67"/>
    </row>
    <row r="257">
      <c r="B257" s="182"/>
      <c r="E257" s="261"/>
      <c r="G257" s="182"/>
      <c r="J257" s="67"/>
      <c r="K257" s="67"/>
      <c r="R257" s="67"/>
    </row>
    <row r="258">
      <c r="B258" s="182"/>
      <c r="E258" s="261"/>
      <c r="G258" s="182"/>
      <c r="J258" s="67"/>
      <c r="K258" s="67"/>
      <c r="R258" s="67"/>
    </row>
    <row r="259">
      <c r="B259" s="182"/>
      <c r="E259" s="261"/>
      <c r="G259" s="182"/>
      <c r="J259" s="67"/>
      <c r="K259" s="67"/>
      <c r="R259" s="67"/>
    </row>
    <row r="260">
      <c r="B260" s="182"/>
      <c r="E260" s="261"/>
      <c r="G260" s="182"/>
      <c r="J260" s="67"/>
      <c r="K260" s="67"/>
      <c r="R260" s="67"/>
    </row>
    <row r="261">
      <c r="B261" s="182"/>
      <c r="E261" s="261"/>
      <c r="G261" s="182"/>
      <c r="J261" s="67"/>
      <c r="K261" s="67"/>
      <c r="R261" s="67"/>
    </row>
    <row r="262">
      <c r="B262" s="182"/>
      <c r="E262" s="261"/>
      <c r="G262" s="182"/>
      <c r="J262" s="67"/>
      <c r="K262" s="67"/>
      <c r="R262" s="67"/>
    </row>
    <row r="263">
      <c r="B263" s="182"/>
      <c r="E263" s="261"/>
      <c r="G263" s="182"/>
      <c r="J263" s="67"/>
      <c r="K263" s="67"/>
      <c r="R263" s="67"/>
    </row>
    <row r="264">
      <c r="B264" s="182"/>
      <c r="E264" s="261"/>
      <c r="G264" s="182"/>
      <c r="J264" s="67"/>
      <c r="K264" s="67"/>
      <c r="R264" s="67"/>
    </row>
    <row r="265">
      <c r="B265" s="182"/>
      <c r="E265" s="261"/>
      <c r="G265" s="182"/>
      <c r="J265" s="67"/>
      <c r="K265" s="67"/>
      <c r="R265" s="67"/>
    </row>
    <row r="266">
      <c r="B266" s="182"/>
      <c r="E266" s="261"/>
      <c r="G266" s="182"/>
      <c r="J266" s="67"/>
      <c r="K266" s="67"/>
      <c r="R266" s="67"/>
    </row>
    <row r="267">
      <c r="B267" s="182"/>
      <c r="E267" s="261"/>
      <c r="G267" s="182"/>
      <c r="J267" s="67"/>
      <c r="K267" s="67"/>
      <c r="R267" s="67"/>
    </row>
    <row r="268">
      <c r="B268" s="182"/>
      <c r="E268" s="261"/>
      <c r="G268" s="182"/>
      <c r="J268" s="67"/>
      <c r="K268" s="67"/>
      <c r="R268" s="67"/>
    </row>
    <row r="269">
      <c r="B269" s="182"/>
      <c r="E269" s="261"/>
      <c r="G269" s="182"/>
      <c r="J269" s="67"/>
      <c r="K269" s="67"/>
      <c r="R269" s="67"/>
    </row>
    <row r="270">
      <c r="B270" s="182"/>
      <c r="E270" s="261"/>
      <c r="G270" s="182"/>
      <c r="J270" s="67"/>
      <c r="K270" s="67"/>
      <c r="R270" s="67"/>
    </row>
    <row r="271">
      <c r="B271" s="182"/>
      <c r="E271" s="261"/>
      <c r="G271" s="182"/>
      <c r="J271" s="67"/>
      <c r="K271" s="67"/>
      <c r="R271" s="67"/>
    </row>
    <row r="272">
      <c r="B272" s="182"/>
      <c r="E272" s="261"/>
      <c r="G272" s="182"/>
      <c r="J272" s="67"/>
      <c r="K272" s="67"/>
      <c r="R272" s="67"/>
    </row>
    <row r="273">
      <c r="B273" s="182"/>
      <c r="E273" s="261"/>
      <c r="G273" s="182"/>
      <c r="J273" s="67"/>
      <c r="K273" s="67"/>
      <c r="R273" s="67"/>
    </row>
    <row r="274">
      <c r="B274" s="182"/>
      <c r="E274" s="261"/>
      <c r="G274" s="182"/>
      <c r="J274" s="67"/>
      <c r="K274" s="67"/>
      <c r="R274" s="67"/>
    </row>
    <row r="275">
      <c r="B275" s="182"/>
      <c r="E275" s="261"/>
      <c r="G275" s="182"/>
      <c r="J275" s="67"/>
      <c r="K275" s="67"/>
      <c r="R275" s="67"/>
    </row>
    <row r="276">
      <c r="B276" s="182"/>
      <c r="E276" s="261"/>
      <c r="G276" s="182"/>
      <c r="J276" s="67"/>
      <c r="K276" s="67"/>
      <c r="R276" s="67"/>
    </row>
    <row r="277">
      <c r="B277" s="182"/>
      <c r="E277" s="261"/>
      <c r="G277" s="182"/>
      <c r="J277" s="67"/>
      <c r="K277" s="67"/>
      <c r="R277" s="67"/>
    </row>
    <row r="278">
      <c r="B278" s="182"/>
      <c r="E278" s="261"/>
      <c r="G278" s="182"/>
      <c r="J278" s="67"/>
      <c r="K278" s="67"/>
      <c r="R278" s="67"/>
    </row>
    <row r="279">
      <c r="B279" s="182"/>
      <c r="E279" s="261"/>
      <c r="G279" s="182"/>
      <c r="J279" s="67"/>
      <c r="K279" s="67"/>
      <c r="R279" s="67"/>
    </row>
    <row r="280">
      <c r="B280" s="182"/>
      <c r="E280" s="261"/>
      <c r="G280" s="182"/>
      <c r="J280" s="67"/>
      <c r="K280" s="67"/>
      <c r="R280" s="67"/>
    </row>
    <row r="281">
      <c r="B281" s="182"/>
      <c r="E281" s="261"/>
      <c r="G281" s="182"/>
      <c r="J281" s="67"/>
      <c r="K281" s="67"/>
      <c r="R281" s="67"/>
    </row>
    <row r="282">
      <c r="B282" s="182"/>
      <c r="E282" s="261"/>
      <c r="G282" s="182"/>
      <c r="J282" s="67"/>
      <c r="K282" s="67"/>
      <c r="R282" s="67"/>
    </row>
    <row r="283">
      <c r="B283" s="182"/>
      <c r="E283" s="261"/>
      <c r="G283" s="182"/>
      <c r="J283" s="67"/>
      <c r="K283" s="67"/>
      <c r="R283" s="67"/>
    </row>
    <row r="284">
      <c r="B284" s="182"/>
      <c r="E284" s="261"/>
      <c r="G284" s="182"/>
      <c r="J284" s="67"/>
      <c r="K284" s="67"/>
      <c r="R284" s="67"/>
    </row>
    <row r="285">
      <c r="B285" s="182"/>
      <c r="E285" s="261"/>
      <c r="G285" s="182"/>
      <c r="J285" s="67"/>
      <c r="K285" s="67"/>
      <c r="R285" s="67"/>
    </row>
    <row r="286">
      <c r="B286" s="182"/>
      <c r="E286" s="261"/>
      <c r="G286" s="182"/>
      <c r="J286" s="67"/>
      <c r="K286" s="67"/>
      <c r="R286" s="67"/>
    </row>
    <row r="287">
      <c r="B287" s="182"/>
      <c r="E287" s="261"/>
      <c r="G287" s="182"/>
      <c r="J287" s="67"/>
      <c r="K287" s="67"/>
      <c r="R287" s="67"/>
    </row>
    <row r="288">
      <c r="B288" s="182"/>
      <c r="E288" s="261"/>
      <c r="G288" s="182"/>
      <c r="J288" s="67"/>
      <c r="K288" s="67"/>
      <c r="R288" s="67"/>
    </row>
    <row r="289">
      <c r="B289" s="182"/>
      <c r="E289" s="261"/>
      <c r="G289" s="182"/>
      <c r="J289" s="67"/>
      <c r="K289" s="67"/>
      <c r="R289" s="67"/>
    </row>
    <row r="290">
      <c r="B290" s="182"/>
      <c r="E290" s="261"/>
      <c r="G290" s="182"/>
      <c r="J290" s="67"/>
      <c r="K290" s="67"/>
      <c r="R290" s="67"/>
    </row>
    <row r="291">
      <c r="B291" s="182"/>
      <c r="E291" s="261"/>
      <c r="G291" s="182"/>
      <c r="J291" s="67"/>
      <c r="K291" s="67"/>
      <c r="R291" s="67"/>
    </row>
    <row r="292">
      <c r="B292" s="182"/>
      <c r="E292" s="261"/>
      <c r="G292" s="182"/>
      <c r="J292" s="67"/>
      <c r="K292" s="67"/>
      <c r="R292" s="67"/>
    </row>
    <row r="293">
      <c r="B293" s="182"/>
      <c r="E293" s="261"/>
      <c r="G293" s="182"/>
      <c r="J293" s="67"/>
      <c r="K293" s="67"/>
      <c r="R293" s="67"/>
    </row>
    <row r="294">
      <c r="B294" s="182"/>
      <c r="E294" s="261"/>
      <c r="G294" s="182"/>
      <c r="J294" s="67"/>
      <c r="K294" s="67"/>
      <c r="R294" s="67"/>
    </row>
    <row r="295">
      <c r="B295" s="182"/>
      <c r="E295" s="261"/>
      <c r="G295" s="182"/>
      <c r="J295" s="67"/>
      <c r="K295" s="67"/>
      <c r="R295" s="67"/>
    </row>
    <row r="296">
      <c r="B296" s="182"/>
      <c r="E296" s="261"/>
      <c r="G296" s="182"/>
      <c r="J296" s="67"/>
      <c r="K296" s="67"/>
      <c r="R296" s="67"/>
    </row>
    <row r="297">
      <c r="B297" s="182"/>
      <c r="E297" s="261"/>
      <c r="G297" s="182"/>
      <c r="J297" s="67"/>
      <c r="K297" s="67"/>
      <c r="R297" s="67"/>
    </row>
    <row r="298">
      <c r="B298" s="182"/>
      <c r="E298" s="261"/>
      <c r="G298" s="182"/>
      <c r="J298" s="67"/>
      <c r="K298" s="67"/>
      <c r="R298" s="67"/>
    </row>
    <row r="299">
      <c r="B299" s="182"/>
      <c r="E299" s="261"/>
      <c r="G299" s="182"/>
      <c r="J299" s="67"/>
      <c r="K299" s="67"/>
      <c r="R299" s="67"/>
    </row>
    <row r="300">
      <c r="B300" s="182"/>
      <c r="E300" s="261"/>
      <c r="G300" s="182"/>
      <c r="J300" s="67"/>
      <c r="K300" s="67"/>
      <c r="R300" s="67"/>
    </row>
    <row r="301">
      <c r="B301" s="182"/>
      <c r="E301" s="261"/>
      <c r="G301" s="182"/>
      <c r="J301" s="67"/>
      <c r="K301" s="67"/>
      <c r="R301" s="67"/>
    </row>
    <row r="302">
      <c r="B302" s="182"/>
      <c r="E302" s="261"/>
      <c r="G302" s="182"/>
      <c r="J302" s="67"/>
      <c r="K302" s="67"/>
      <c r="R302" s="67"/>
    </row>
    <row r="303">
      <c r="B303" s="182"/>
      <c r="E303" s="261"/>
      <c r="G303" s="182"/>
      <c r="J303" s="67"/>
      <c r="K303" s="67"/>
      <c r="R303" s="67"/>
    </row>
    <row r="304">
      <c r="B304" s="182"/>
      <c r="E304" s="261"/>
      <c r="G304" s="182"/>
      <c r="J304" s="67"/>
      <c r="K304" s="67"/>
      <c r="R304" s="67"/>
    </row>
    <row r="305">
      <c r="B305" s="182"/>
      <c r="E305" s="261"/>
      <c r="G305" s="182"/>
      <c r="J305" s="67"/>
      <c r="K305" s="67"/>
      <c r="R305" s="67"/>
    </row>
    <row r="306">
      <c r="B306" s="182"/>
      <c r="E306" s="261"/>
      <c r="G306" s="182"/>
      <c r="J306" s="67"/>
      <c r="K306" s="67"/>
      <c r="R306" s="67"/>
    </row>
    <row r="307">
      <c r="B307" s="182"/>
      <c r="E307" s="261"/>
      <c r="G307" s="182"/>
      <c r="J307" s="67"/>
      <c r="K307" s="67"/>
      <c r="R307" s="67"/>
    </row>
    <row r="308">
      <c r="B308" s="182"/>
      <c r="E308" s="261"/>
      <c r="G308" s="182"/>
      <c r="J308" s="67"/>
      <c r="K308" s="67"/>
      <c r="R308" s="67"/>
    </row>
    <row r="309">
      <c r="B309" s="182"/>
      <c r="E309" s="261"/>
      <c r="G309" s="182"/>
      <c r="J309" s="67"/>
      <c r="K309" s="67"/>
      <c r="R309" s="67"/>
    </row>
    <row r="310">
      <c r="B310" s="182"/>
      <c r="E310" s="261"/>
      <c r="G310" s="182"/>
      <c r="J310" s="67"/>
      <c r="K310" s="67"/>
      <c r="R310" s="67"/>
    </row>
    <row r="311">
      <c r="B311" s="182"/>
      <c r="E311" s="261"/>
      <c r="G311" s="182"/>
      <c r="J311" s="67"/>
      <c r="K311" s="67"/>
      <c r="R311" s="67"/>
    </row>
    <row r="312">
      <c r="B312" s="182"/>
      <c r="E312" s="261"/>
      <c r="G312" s="182"/>
      <c r="J312" s="67"/>
      <c r="K312" s="67"/>
      <c r="R312" s="67"/>
    </row>
    <row r="313">
      <c r="B313" s="182"/>
      <c r="E313" s="261"/>
      <c r="G313" s="182"/>
      <c r="J313" s="67"/>
      <c r="K313" s="67"/>
      <c r="R313" s="67"/>
    </row>
    <row r="314">
      <c r="B314" s="182"/>
      <c r="E314" s="261"/>
      <c r="G314" s="182"/>
      <c r="J314" s="67"/>
      <c r="K314" s="67"/>
      <c r="R314" s="67"/>
    </row>
    <row r="315">
      <c r="B315" s="182"/>
      <c r="E315" s="261"/>
      <c r="G315" s="182"/>
      <c r="J315" s="67"/>
      <c r="K315" s="67"/>
      <c r="R315" s="67"/>
    </row>
    <row r="316">
      <c r="B316" s="182"/>
      <c r="E316" s="261"/>
      <c r="G316" s="182"/>
      <c r="J316" s="67"/>
      <c r="K316" s="67"/>
      <c r="R316" s="67"/>
    </row>
    <row r="317">
      <c r="B317" s="182"/>
      <c r="E317" s="261"/>
      <c r="G317" s="182"/>
      <c r="J317" s="67"/>
      <c r="K317" s="67"/>
      <c r="R317" s="67"/>
    </row>
    <row r="318">
      <c r="B318" s="182"/>
      <c r="E318" s="261"/>
      <c r="G318" s="182"/>
      <c r="J318" s="67"/>
      <c r="K318" s="67"/>
      <c r="R318" s="67"/>
    </row>
    <row r="319">
      <c r="B319" s="182"/>
      <c r="E319" s="261"/>
      <c r="G319" s="182"/>
      <c r="J319" s="67"/>
      <c r="K319" s="67"/>
      <c r="R319" s="67"/>
    </row>
    <row r="320">
      <c r="B320" s="182"/>
      <c r="E320" s="261"/>
      <c r="G320" s="182"/>
      <c r="J320" s="67"/>
      <c r="K320" s="67"/>
      <c r="R320" s="67"/>
    </row>
    <row r="321">
      <c r="B321" s="182"/>
      <c r="E321" s="261"/>
      <c r="G321" s="182"/>
      <c r="J321" s="67"/>
      <c r="K321" s="67"/>
      <c r="R321" s="67"/>
    </row>
    <row r="322">
      <c r="B322" s="182"/>
      <c r="E322" s="261"/>
      <c r="G322" s="182"/>
      <c r="J322" s="67"/>
      <c r="K322" s="67"/>
      <c r="R322" s="67"/>
    </row>
    <row r="323">
      <c r="B323" s="182"/>
      <c r="E323" s="261"/>
      <c r="G323" s="182"/>
      <c r="J323" s="67"/>
      <c r="K323" s="67"/>
      <c r="R323" s="67"/>
    </row>
    <row r="324">
      <c r="B324" s="182"/>
      <c r="E324" s="261"/>
      <c r="G324" s="182"/>
      <c r="J324" s="67"/>
      <c r="K324" s="67"/>
      <c r="R324" s="67"/>
    </row>
    <row r="325">
      <c r="B325" s="182"/>
      <c r="E325" s="261"/>
      <c r="G325" s="182"/>
      <c r="J325" s="67"/>
      <c r="K325" s="67"/>
      <c r="R325" s="67"/>
    </row>
    <row r="326">
      <c r="B326" s="182"/>
      <c r="E326" s="261"/>
      <c r="G326" s="182"/>
      <c r="J326" s="67"/>
      <c r="K326" s="67"/>
      <c r="R326" s="67"/>
    </row>
    <row r="327">
      <c r="B327" s="182"/>
      <c r="E327" s="261"/>
      <c r="G327" s="182"/>
      <c r="J327" s="67"/>
      <c r="K327" s="67"/>
      <c r="R327" s="67"/>
    </row>
    <row r="328">
      <c r="B328" s="182"/>
      <c r="E328" s="261"/>
      <c r="G328" s="182"/>
      <c r="J328" s="67"/>
      <c r="K328" s="67"/>
      <c r="R328" s="67"/>
    </row>
    <row r="329">
      <c r="B329" s="182"/>
      <c r="E329" s="261"/>
      <c r="G329" s="182"/>
      <c r="J329" s="67"/>
      <c r="K329" s="67"/>
      <c r="R329" s="67"/>
    </row>
    <row r="330">
      <c r="B330" s="182"/>
      <c r="E330" s="261"/>
      <c r="G330" s="182"/>
      <c r="J330" s="67"/>
      <c r="K330" s="67"/>
      <c r="R330" s="67"/>
    </row>
    <row r="331">
      <c r="B331" s="182"/>
      <c r="E331" s="261"/>
      <c r="G331" s="182"/>
      <c r="J331" s="67"/>
      <c r="K331" s="67"/>
      <c r="R331" s="67"/>
    </row>
    <row r="332">
      <c r="B332" s="182"/>
      <c r="E332" s="261"/>
      <c r="G332" s="182"/>
      <c r="J332" s="67"/>
      <c r="K332" s="67"/>
      <c r="R332" s="67"/>
    </row>
    <row r="333">
      <c r="B333" s="182"/>
      <c r="E333" s="261"/>
      <c r="G333" s="182"/>
      <c r="J333" s="67"/>
      <c r="K333" s="67"/>
      <c r="R333" s="67"/>
    </row>
    <row r="334">
      <c r="B334" s="182"/>
      <c r="E334" s="261"/>
      <c r="G334" s="182"/>
      <c r="J334" s="67"/>
      <c r="K334" s="67"/>
      <c r="R334" s="67"/>
    </row>
    <row r="335">
      <c r="B335" s="182"/>
      <c r="E335" s="261"/>
      <c r="G335" s="182"/>
      <c r="J335" s="67"/>
      <c r="K335" s="67"/>
      <c r="R335" s="67"/>
    </row>
    <row r="336">
      <c r="B336" s="182"/>
      <c r="E336" s="261"/>
      <c r="G336" s="182"/>
      <c r="J336" s="67"/>
      <c r="K336" s="67"/>
      <c r="R336" s="67"/>
    </row>
    <row r="337">
      <c r="B337" s="182"/>
      <c r="E337" s="261"/>
      <c r="G337" s="182"/>
      <c r="J337" s="67"/>
      <c r="K337" s="67"/>
      <c r="R337" s="67"/>
    </row>
    <row r="338">
      <c r="B338" s="182"/>
      <c r="E338" s="261"/>
      <c r="G338" s="182"/>
      <c r="J338" s="67"/>
      <c r="K338" s="67"/>
      <c r="R338" s="67"/>
    </row>
    <row r="339">
      <c r="B339" s="182"/>
      <c r="E339" s="261"/>
      <c r="G339" s="182"/>
      <c r="J339" s="67"/>
      <c r="K339" s="67"/>
      <c r="R339" s="67"/>
    </row>
    <row r="340">
      <c r="B340" s="182"/>
      <c r="E340" s="261"/>
      <c r="G340" s="182"/>
      <c r="J340" s="67"/>
      <c r="K340" s="67"/>
      <c r="R340" s="67"/>
    </row>
    <row r="341">
      <c r="B341" s="182"/>
      <c r="E341" s="261"/>
      <c r="G341" s="182"/>
      <c r="J341" s="67"/>
      <c r="K341" s="67"/>
      <c r="R341" s="67"/>
    </row>
    <row r="342">
      <c r="B342" s="182"/>
      <c r="E342" s="261"/>
      <c r="G342" s="182"/>
      <c r="J342" s="67"/>
      <c r="K342" s="67"/>
      <c r="R342" s="67"/>
    </row>
    <row r="343">
      <c r="B343" s="182"/>
      <c r="E343" s="261"/>
      <c r="G343" s="182"/>
      <c r="J343" s="67"/>
      <c r="K343" s="67"/>
      <c r="R343" s="67"/>
    </row>
    <row r="344">
      <c r="B344" s="182"/>
      <c r="E344" s="261"/>
      <c r="G344" s="182"/>
      <c r="J344" s="67"/>
      <c r="K344" s="67"/>
      <c r="R344" s="67"/>
    </row>
    <row r="345">
      <c r="B345" s="182"/>
      <c r="E345" s="261"/>
      <c r="G345" s="182"/>
      <c r="J345" s="67"/>
      <c r="K345" s="67"/>
      <c r="R345" s="67"/>
    </row>
    <row r="346">
      <c r="B346" s="182"/>
      <c r="E346" s="261"/>
      <c r="G346" s="182"/>
      <c r="J346" s="67"/>
      <c r="K346" s="67"/>
      <c r="R346" s="67"/>
    </row>
    <row r="347">
      <c r="B347" s="182"/>
      <c r="E347" s="261"/>
      <c r="G347" s="182"/>
      <c r="J347" s="67"/>
      <c r="K347" s="67"/>
      <c r="R347" s="67"/>
    </row>
    <row r="348">
      <c r="B348" s="182"/>
      <c r="E348" s="261"/>
      <c r="G348" s="182"/>
      <c r="J348" s="67"/>
      <c r="K348" s="67"/>
      <c r="R348" s="67"/>
    </row>
    <row r="349">
      <c r="B349" s="182"/>
      <c r="E349" s="261"/>
      <c r="G349" s="182"/>
      <c r="J349" s="67"/>
      <c r="K349" s="67"/>
      <c r="R349" s="67"/>
    </row>
    <row r="350">
      <c r="B350" s="182"/>
      <c r="E350" s="261"/>
      <c r="G350" s="182"/>
      <c r="J350" s="67"/>
      <c r="K350" s="67"/>
      <c r="R350" s="67"/>
    </row>
    <row r="351">
      <c r="B351" s="182"/>
      <c r="E351" s="261"/>
      <c r="G351" s="182"/>
      <c r="J351" s="67"/>
      <c r="K351" s="67"/>
      <c r="R351" s="67"/>
    </row>
    <row r="352">
      <c r="B352" s="182"/>
      <c r="E352" s="261"/>
      <c r="G352" s="182"/>
      <c r="J352" s="67"/>
      <c r="K352" s="67"/>
      <c r="R352" s="67"/>
    </row>
    <row r="353">
      <c r="B353" s="182"/>
      <c r="E353" s="261"/>
      <c r="G353" s="182"/>
      <c r="J353" s="67"/>
      <c r="K353" s="67"/>
      <c r="R353" s="67"/>
    </row>
    <row r="354">
      <c r="B354" s="182"/>
      <c r="E354" s="261"/>
      <c r="G354" s="182"/>
      <c r="J354" s="67"/>
      <c r="K354" s="67"/>
      <c r="R354" s="67"/>
    </row>
    <row r="355">
      <c r="B355" s="182"/>
      <c r="E355" s="261"/>
      <c r="G355" s="182"/>
      <c r="J355" s="67"/>
      <c r="K355" s="67"/>
      <c r="R355" s="67"/>
    </row>
    <row r="356">
      <c r="B356" s="182"/>
      <c r="E356" s="261"/>
      <c r="G356" s="182"/>
      <c r="J356" s="67"/>
      <c r="K356" s="67"/>
      <c r="R356" s="67"/>
    </row>
    <row r="357">
      <c r="B357" s="182"/>
      <c r="E357" s="261"/>
      <c r="G357" s="182"/>
      <c r="J357" s="67"/>
      <c r="K357" s="67"/>
      <c r="R357" s="67"/>
    </row>
    <row r="358">
      <c r="B358" s="182"/>
      <c r="E358" s="261"/>
      <c r="G358" s="182"/>
      <c r="J358" s="67"/>
      <c r="K358" s="67"/>
      <c r="R358" s="67"/>
    </row>
    <row r="359">
      <c r="B359" s="182"/>
      <c r="E359" s="261"/>
      <c r="G359" s="182"/>
      <c r="J359" s="67"/>
      <c r="K359" s="67"/>
      <c r="R359" s="67"/>
    </row>
    <row r="360">
      <c r="B360" s="182"/>
      <c r="E360" s="261"/>
      <c r="G360" s="182"/>
      <c r="J360" s="67"/>
      <c r="K360" s="67"/>
      <c r="R360" s="67"/>
    </row>
    <row r="361">
      <c r="B361" s="182"/>
      <c r="E361" s="261"/>
      <c r="G361" s="182"/>
      <c r="J361" s="67"/>
      <c r="K361" s="67"/>
      <c r="R361" s="67"/>
    </row>
    <row r="362">
      <c r="B362" s="182"/>
      <c r="E362" s="261"/>
      <c r="G362" s="182"/>
      <c r="J362" s="67"/>
      <c r="K362" s="67"/>
      <c r="R362" s="67"/>
    </row>
    <row r="363">
      <c r="B363" s="182"/>
      <c r="E363" s="261"/>
      <c r="G363" s="182"/>
      <c r="J363" s="67"/>
      <c r="K363" s="67"/>
      <c r="R363" s="67"/>
    </row>
    <row r="364">
      <c r="B364" s="182"/>
      <c r="E364" s="261"/>
      <c r="G364" s="182"/>
      <c r="J364" s="67"/>
      <c r="K364" s="67"/>
      <c r="R364" s="67"/>
    </row>
    <row r="365">
      <c r="B365" s="182"/>
      <c r="E365" s="261"/>
      <c r="G365" s="182"/>
      <c r="J365" s="67"/>
      <c r="K365" s="67"/>
      <c r="R365" s="67"/>
    </row>
    <row r="366">
      <c r="B366" s="182"/>
      <c r="E366" s="261"/>
      <c r="G366" s="182"/>
      <c r="J366" s="67"/>
      <c r="K366" s="67"/>
      <c r="R366" s="67"/>
    </row>
    <row r="367">
      <c r="B367" s="182"/>
      <c r="E367" s="261"/>
      <c r="G367" s="182"/>
      <c r="J367" s="67"/>
      <c r="K367" s="67"/>
      <c r="R367" s="67"/>
    </row>
    <row r="368">
      <c r="B368" s="182"/>
      <c r="E368" s="261"/>
      <c r="G368" s="182"/>
      <c r="J368" s="67"/>
      <c r="K368" s="67"/>
      <c r="R368" s="67"/>
    </row>
    <row r="369">
      <c r="B369" s="182"/>
      <c r="E369" s="261"/>
      <c r="G369" s="182"/>
      <c r="J369" s="67"/>
      <c r="K369" s="67"/>
      <c r="R369" s="67"/>
    </row>
    <row r="370">
      <c r="B370" s="182"/>
      <c r="E370" s="261"/>
      <c r="G370" s="182"/>
      <c r="J370" s="67"/>
      <c r="K370" s="67"/>
      <c r="R370" s="67"/>
    </row>
    <row r="371">
      <c r="B371" s="182"/>
      <c r="E371" s="261"/>
      <c r="G371" s="182"/>
      <c r="J371" s="67"/>
      <c r="K371" s="67"/>
      <c r="R371" s="67"/>
    </row>
    <row r="372">
      <c r="B372" s="182"/>
      <c r="E372" s="261"/>
      <c r="G372" s="182"/>
      <c r="J372" s="67"/>
      <c r="K372" s="67"/>
      <c r="R372" s="67"/>
    </row>
    <row r="373">
      <c r="B373" s="182"/>
      <c r="E373" s="261"/>
      <c r="G373" s="182"/>
      <c r="J373" s="67"/>
      <c r="K373" s="67"/>
      <c r="R373" s="67"/>
    </row>
    <row r="374">
      <c r="B374" s="182"/>
      <c r="E374" s="261"/>
      <c r="G374" s="182"/>
      <c r="J374" s="67"/>
      <c r="K374" s="67"/>
      <c r="R374" s="67"/>
    </row>
    <row r="375">
      <c r="B375" s="182"/>
      <c r="E375" s="261"/>
      <c r="G375" s="182"/>
      <c r="J375" s="67"/>
      <c r="K375" s="67"/>
      <c r="R375" s="67"/>
    </row>
    <row r="376">
      <c r="B376" s="182"/>
      <c r="E376" s="261"/>
      <c r="G376" s="182"/>
      <c r="J376" s="67"/>
      <c r="K376" s="67"/>
      <c r="R376" s="67"/>
    </row>
    <row r="377">
      <c r="B377" s="182"/>
      <c r="E377" s="261"/>
      <c r="G377" s="182"/>
      <c r="J377" s="67"/>
      <c r="K377" s="67"/>
      <c r="R377" s="67"/>
    </row>
    <row r="378">
      <c r="B378" s="182"/>
      <c r="E378" s="261"/>
      <c r="G378" s="182"/>
      <c r="J378" s="67"/>
      <c r="K378" s="67"/>
      <c r="R378" s="67"/>
    </row>
    <row r="379">
      <c r="B379" s="182"/>
      <c r="E379" s="261"/>
      <c r="G379" s="182"/>
      <c r="J379" s="67"/>
      <c r="K379" s="67"/>
      <c r="R379" s="67"/>
    </row>
    <row r="380">
      <c r="B380" s="182"/>
      <c r="E380" s="261"/>
      <c r="G380" s="182"/>
      <c r="J380" s="67"/>
      <c r="K380" s="67"/>
      <c r="R380" s="67"/>
    </row>
    <row r="381">
      <c r="B381" s="182"/>
      <c r="E381" s="261"/>
      <c r="G381" s="182"/>
      <c r="J381" s="67"/>
      <c r="K381" s="67"/>
      <c r="R381" s="67"/>
    </row>
    <row r="382">
      <c r="B382" s="182"/>
      <c r="E382" s="261"/>
      <c r="G382" s="182"/>
      <c r="J382" s="67"/>
      <c r="K382" s="67"/>
      <c r="R382" s="67"/>
    </row>
    <row r="383">
      <c r="B383" s="182"/>
      <c r="E383" s="261"/>
      <c r="G383" s="182"/>
      <c r="J383" s="67"/>
      <c r="K383" s="67"/>
      <c r="R383" s="67"/>
    </row>
    <row r="384">
      <c r="B384" s="182"/>
      <c r="E384" s="261"/>
      <c r="G384" s="182"/>
      <c r="J384" s="67"/>
      <c r="K384" s="67"/>
      <c r="R384" s="67"/>
    </row>
    <row r="385">
      <c r="B385" s="182"/>
      <c r="E385" s="261"/>
      <c r="G385" s="182"/>
      <c r="J385" s="67"/>
      <c r="K385" s="67"/>
      <c r="R385" s="67"/>
    </row>
    <row r="386">
      <c r="B386" s="182"/>
      <c r="E386" s="261"/>
      <c r="G386" s="182"/>
      <c r="J386" s="67"/>
      <c r="K386" s="67"/>
      <c r="R386" s="67"/>
    </row>
    <row r="387">
      <c r="B387" s="182"/>
      <c r="E387" s="261"/>
      <c r="G387" s="182"/>
      <c r="J387" s="67"/>
      <c r="K387" s="67"/>
      <c r="R387" s="67"/>
    </row>
    <row r="388">
      <c r="B388" s="182"/>
      <c r="E388" s="261"/>
      <c r="G388" s="182"/>
      <c r="J388" s="67"/>
      <c r="K388" s="67"/>
      <c r="R388" s="67"/>
    </row>
    <row r="389">
      <c r="B389" s="182"/>
      <c r="E389" s="261"/>
      <c r="G389" s="182"/>
      <c r="J389" s="67"/>
      <c r="K389" s="67"/>
      <c r="R389" s="67"/>
    </row>
    <row r="390">
      <c r="B390" s="182"/>
      <c r="E390" s="261"/>
      <c r="G390" s="182"/>
      <c r="J390" s="67"/>
      <c r="K390" s="67"/>
      <c r="R390" s="67"/>
    </row>
    <row r="391">
      <c r="B391" s="182"/>
      <c r="E391" s="261"/>
      <c r="G391" s="182"/>
      <c r="J391" s="67"/>
      <c r="K391" s="67"/>
      <c r="R391" s="67"/>
    </row>
    <row r="392">
      <c r="B392" s="182"/>
      <c r="E392" s="261"/>
      <c r="G392" s="182"/>
      <c r="J392" s="67"/>
      <c r="K392" s="67"/>
      <c r="R392" s="67"/>
    </row>
    <row r="393">
      <c r="B393" s="182"/>
      <c r="E393" s="261"/>
      <c r="G393" s="182"/>
      <c r="J393" s="67"/>
      <c r="K393" s="67"/>
      <c r="R393" s="67"/>
    </row>
    <row r="394">
      <c r="B394" s="182"/>
      <c r="E394" s="261"/>
      <c r="G394" s="182"/>
      <c r="J394" s="67"/>
      <c r="K394" s="67"/>
      <c r="R394" s="67"/>
    </row>
    <row r="395">
      <c r="B395" s="182"/>
      <c r="E395" s="261"/>
      <c r="G395" s="182"/>
      <c r="J395" s="67"/>
      <c r="K395" s="67"/>
      <c r="R395" s="67"/>
    </row>
    <row r="396">
      <c r="B396" s="182"/>
      <c r="E396" s="261"/>
      <c r="G396" s="182"/>
      <c r="J396" s="67"/>
      <c r="K396" s="67"/>
      <c r="R396" s="67"/>
    </row>
    <row r="397">
      <c r="B397" s="182"/>
      <c r="E397" s="261"/>
      <c r="G397" s="182"/>
      <c r="J397" s="67"/>
      <c r="K397" s="67"/>
      <c r="R397" s="67"/>
    </row>
    <row r="398">
      <c r="B398" s="182"/>
      <c r="E398" s="261"/>
      <c r="G398" s="182"/>
      <c r="J398" s="67"/>
      <c r="K398" s="67"/>
      <c r="R398" s="67"/>
    </row>
    <row r="399">
      <c r="B399" s="182"/>
      <c r="E399" s="261"/>
      <c r="G399" s="182"/>
      <c r="J399" s="67"/>
      <c r="K399" s="67"/>
      <c r="R399" s="67"/>
    </row>
    <row r="400">
      <c r="B400" s="182"/>
      <c r="E400" s="261"/>
      <c r="G400" s="182"/>
      <c r="J400" s="67"/>
      <c r="K400" s="67"/>
      <c r="R400" s="67"/>
    </row>
    <row r="401">
      <c r="B401" s="182"/>
      <c r="E401" s="261"/>
      <c r="G401" s="182"/>
      <c r="J401" s="67"/>
      <c r="K401" s="67"/>
      <c r="R401" s="67"/>
    </row>
    <row r="402">
      <c r="B402" s="182"/>
      <c r="E402" s="261"/>
      <c r="G402" s="182"/>
      <c r="J402" s="67"/>
      <c r="K402" s="67"/>
      <c r="R402" s="67"/>
    </row>
    <row r="403">
      <c r="B403" s="182"/>
      <c r="E403" s="261"/>
      <c r="G403" s="182"/>
      <c r="J403" s="67"/>
      <c r="K403" s="67"/>
      <c r="R403" s="67"/>
    </row>
    <row r="404">
      <c r="B404" s="182"/>
      <c r="E404" s="261"/>
      <c r="G404" s="182"/>
      <c r="J404" s="67"/>
      <c r="K404" s="67"/>
      <c r="R404" s="67"/>
    </row>
    <row r="405">
      <c r="B405" s="182"/>
      <c r="E405" s="261"/>
      <c r="G405" s="182"/>
      <c r="J405" s="67"/>
      <c r="K405" s="67"/>
      <c r="R405" s="67"/>
    </row>
    <row r="406">
      <c r="B406" s="182"/>
      <c r="E406" s="261"/>
      <c r="G406" s="182"/>
      <c r="J406" s="67"/>
      <c r="K406" s="67"/>
      <c r="R406" s="67"/>
    </row>
    <row r="407">
      <c r="B407" s="182"/>
      <c r="E407" s="261"/>
      <c r="G407" s="182"/>
      <c r="J407" s="67"/>
      <c r="K407" s="67"/>
      <c r="R407" s="67"/>
    </row>
    <row r="408">
      <c r="B408" s="182"/>
      <c r="E408" s="261"/>
      <c r="G408" s="182"/>
      <c r="J408" s="67"/>
      <c r="K408" s="67"/>
      <c r="R408" s="67"/>
    </row>
    <row r="409">
      <c r="B409" s="182"/>
      <c r="E409" s="261"/>
      <c r="G409" s="182"/>
      <c r="J409" s="67"/>
      <c r="K409" s="67"/>
      <c r="R409" s="67"/>
    </row>
    <row r="410">
      <c r="B410" s="182"/>
      <c r="E410" s="261"/>
      <c r="G410" s="182"/>
      <c r="J410" s="67"/>
      <c r="K410" s="67"/>
      <c r="R410" s="67"/>
    </row>
    <row r="411">
      <c r="B411" s="182"/>
      <c r="E411" s="261"/>
      <c r="G411" s="182"/>
      <c r="J411" s="67"/>
      <c r="K411" s="67"/>
      <c r="R411" s="67"/>
    </row>
    <row r="412">
      <c r="B412" s="182"/>
      <c r="E412" s="261"/>
      <c r="G412" s="182"/>
      <c r="J412" s="67"/>
      <c r="K412" s="67"/>
      <c r="R412" s="67"/>
    </row>
    <row r="413">
      <c r="B413" s="182"/>
      <c r="E413" s="261"/>
      <c r="G413" s="182"/>
      <c r="J413" s="67"/>
      <c r="K413" s="67"/>
      <c r="R413" s="67"/>
    </row>
    <row r="414">
      <c r="B414" s="182"/>
      <c r="E414" s="261"/>
      <c r="G414" s="182"/>
      <c r="J414" s="67"/>
      <c r="K414" s="67"/>
      <c r="R414" s="67"/>
    </row>
    <row r="415">
      <c r="B415" s="182"/>
      <c r="E415" s="261"/>
      <c r="G415" s="182"/>
      <c r="J415" s="67"/>
      <c r="K415" s="67"/>
      <c r="R415" s="67"/>
    </row>
    <row r="416">
      <c r="B416" s="182"/>
      <c r="E416" s="261"/>
      <c r="G416" s="182"/>
      <c r="J416" s="67"/>
      <c r="K416" s="67"/>
      <c r="R416" s="67"/>
    </row>
    <row r="417">
      <c r="B417" s="182"/>
      <c r="E417" s="261"/>
      <c r="G417" s="182"/>
      <c r="J417" s="67"/>
      <c r="K417" s="67"/>
      <c r="R417" s="67"/>
    </row>
    <row r="418">
      <c r="B418" s="182"/>
      <c r="E418" s="261"/>
      <c r="G418" s="182"/>
      <c r="J418" s="67"/>
      <c r="K418" s="67"/>
      <c r="R418" s="67"/>
    </row>
    <row r="419">
      <c r="B419" s="182"/>
      <c r="E419" s="261"/>
      <c r="G419" s="182"/>
      <c r="J419" s="67"/>
      <c r="K419" s="67"/>
      <c r="R419" s="67"/>
    </row>
    <row r="420">
      <c r="B420" s="182"/>
      <c r="E420" s="261"/>
      <c r="G420" s="182"/>
      <c r="J420" s="67"/>
      <c r="K420" s="67"/>
      <c r="R420" s="67"/>
    </row>
    <row r="421">
      <c r="B421" s="182"/>
      <c r="E421" s="261"/>
      <c r="G421" s="182"/>
      <c r="J421" s="67"/>
      <c r="K421" s="67"/>
      <c r="R421" s="67"/>
    </row>
    <row r="422">
      <c r="B422" s="182"/>
      <c r="E422" s="261"/>
      <c r="G422" s="182"/>
      <c r="J422" s="67"/>
      <c r="K422" s="67"/>
      <c r="R422" s="67"/>
    </row>
    <row r="423">
      <c r="B423" s="182"/>
      <c r="E423" s="261"/>
      <c r="G423" s="182"/>
      <c r="J423" s="67"/>
      <c r="K423" s="67"/>
      <c r="R423" s="67"/>
    </row>
    <row r="424">
      <c r="B424" s="182"/>
      <c r="E424" s="261"/>
      <c r="G424" s="182"/>
      <c r="J424" s="67"/>
      <c r="K424" s="67"/>
      <c r="R424" s="67"/>
    </row>
    <row r="425">
      <c r="B425" s="182"/>
      <c r="E425" s="261"/>
      <c r="G425" s="182"/>
      <c r="J425" s="67"/>
      <c r="K425" s="67"/>
      <c r="R425" s="67"/>
    </row>
    <row r="426">
      <c r="B426" s="182"/>
      <c r="E426" s="261"/>
      <c r="G426" s="182"/>
      <c r="J426" s="67"/>
      <c r="K426" s="67"/>
      <c r="R426" s="67"/>
    </row>
    <row r="427">
      <c r="B427" s="182"/>
      <c r="E427" s="261"/>
      <c r="G427" s="182"/>
      <c r="J427" s="67"/>
      <c r="K427" s="67"/>
      <c r="R427" s="67"/>
    </row>
    <row r="428">
      <c r="B428" s="182"/>
      <c r="E428" s="261"/>
      <c r="G428" s="182"/>
      <c r="J428" s="67"/>
      <c r="K428" s="67"/>
      <c r="R428" s="67"/>
    </row>
    <row r="429">
      <c r="B429" s="182"/>
      <c r="E429" s="261"/>
      <c r="G429" s="182"/>
      <c r="J429" s="67"/>
      <c r="K429" s="67"/>
      <c r="R429" s="67"/>
    </row>
    <row r="430">
      <c r="B430" s="182"/>
      <c r="E430" s="261"/>
      <c r="G430" s="182"/>
      <c r="J430" s="67"/>
      <c r="K430" s="67"/>
      <c r="R430" s="67"/>
    </row>
    <row r="431">
      <c r="B431" s="182"/>
      <c r="E431" s="261"/>
      <c r="G431" s="182"/>
      <c r="J431" s="67"/>
      <c r="K431" s="67"/>
      <c r="R431" s="67"/>
    </row>
    <row r="432">
      <c r="B432" s="182"/>
      <c r="E432" s="261"/>
      <c r="G432" s="182"/>
      <c r="J432" s="67"/>
      <c r="K432" s="67"/>
      <c r="R432" s="67"/>
    </row>
    <row r="433">
      <c r="B433" s="182"/>
      <c r="E433" s="261"/>
      <c r="G433" s="182"/>
      <c r="J433" s="67"/>
      <c r="K433" s="67"/>
      <c r="R433" s="67"/>
    </row>
    <row r="434">
      <c r="B434" s="182"/>
      <c r="E434" s="261"/>
      <c r="G434" s="182"/>
      <c r="J434" s="67"/>
      <c r="K434" s="67"/>
      <c r="R434" s="67"/>
    </row>
    <row r="435">
      <c r="B435" s="182"/>
      <c r="E435" s="261"/>
      <c r="G435" s="182"/>
      <c r="J435" s="67"/>
      <c r="K435" s="67"/>
      <c r="R435" s="67"/>
    </row>
    <row r="436">
      <c r="B436" s="182"/>
      <c r="E436" s="261"/>
      <c r="G436" s="182"/>
      <c r="J436" s="67"/>
      <c r="K436" s="67"/>
      <c r="R436" s="67"/>
    </row>
    <row r="437">
      <c r="B437" s="182"/>
      <c r="E437" s="261"/>
      <c r="G437" s="182"/>
      <c r="J437" s="67"/>
      <c r="K437" s="67"/>
      <c r="R437" s="67"/>
    </row>
    <row r="438">
      <c r="B438" s="182"/>
      <c r="E438" s="261"/>
      <c r="G438" s="182"/>
      <c r="J438" s="67"/>
      <c r="K438" s="67"/>
      <c r="R438" s="67"/>
    </row>
    <row r="439">
      <c r="B439" s="182"/>
      <c r="E439" s="261"/>
      <c r="G439" s="182"/>
      <c r="J439" s="67"/>
      <c r="K439" s="67"/>
      <c r="R439" s="67"/>
    </row>
    <row r="440">
      <c r="B440" s="182"/>
      <c r="E440" s="261"/>
      <c r="G440" s="182"/>
      <c r="J440" s="67"/>
      <c r="K440" s="67"/>
      <c r="R440" s="67"/>
    </row>
    <row r="441">
      <c r="B441" s="182"/>
      <c r="E441" s="261"/>
      <c r="G441" s="182"/>
      <c r="J441" s="67"/>
      <c r="K441" s="67"/>
      <c r="R441" s="67"/>
    </row>
    <row r="442">
      <c r="B442" s="182"/>
      <c r="E442" s="261"/>
      <c r="G442" s="182"/>
      <c r="J442" s="67"/>
      <c r="K442" s="67"/>
      <c r="R442" s="67"/>
    </row>
    <row r="443">
      <c r="B443" s="182"/>
      <c r="E443" s="261"/>
      <c r="G443" s="182"/>
      <c r="J443" s="67"/>
      <c r="K443" s="67"/>
      <c r="R443" s="67"/>
    </row>
    <row r="444">
      <c r="B444" s="182"/>
      <c r="E444" s="261"/>
      <c r="G444" s="182"/>
      <c r="J444" s="67"/>
      <c r="K444" s="67"/>
      <c r="R444" s="67"/>
    </row>
    <row r="445">
      <c r="B445" s="182"/>
      <c r="E445" s="261"/>
      <c r="G445" s="182"/>
      <c r="J445" s="67"/>
      <c r="K445" s="67"/>
      <c r="R445" s="67"/>
    </row>
    <row r="446">
      <c r="B446" s="182"/>
      <c r="E446" s="261"/>
      <c r="G446" s="182"/>
      <c r="J446" s="67"/>
      <c r="K446" s="67"/>
      <c r="R446" s="67"/>
    </row>
    <row r="447">
      <c r="B447" s="182"/>
      <c r="E447" s="261"/>
      <c r="G447" s="182"/>
      <c r="J447" s="67"/>
      <c r="K447" s="67"/>
      <c r="R447" s="67"/>
    </row>
    <row r="448">
      <c r="B448" s="182"/>
      <c r="E448" s="261"/>
      <c r="G448" s="182"/>
      <c r="J448" s="67"/>
      <c r="K448" s="67"/>
      <c r="R448" s="67"/>
    </row>
    <row r="449">
      <c r="B449" s="182"/>
      <c r="E449" s="261"/>
      <c r="G449" s="182"/>
      <c r="J449" s="67"/>
      <c r="K449" s="67"/>
      <c r="R449" s="67"/>
    </row>
    <row r="450">
      <c r="B450" s="182"/>
      <c r="E450" s="261"/>
      <c r="G450" s="182"/>
      <c r="J450" s="67"/>
      <c r="K450" s="67"/>
      <c r="R450" s="67"/>
    </row>
    <row r="451">
      <c r="B451" s="182"/>
      <c r="E451" s="261"/>
      <c r="G451" s="182"/>
      <c r="J451" s="67"/>
      <c r="K451" s="67"/>
      <c r="R451" s="67"/>
    </row>
    <row r="452">
      <c r="B452" s="182"/>
      <c r="E452" s="261"/>
      <c r="G452" s="182"/>
      <c r="J452" s="67"/>
      <c r="K452" s="67"/>
      <c r="R452" s="67"/>
    </row>
    <row r="453">
      <c r="B453" s="182"/>
      <c r="E453" s="261"/>
      <c r="G453" s="182"/>
      <c r="J453" s="67"/>
      <c r="K453" s="67"/>
      <c r="R453" s="67"/>
    </row>
    <row r="454">
      <c r="B454" s="182"/>
      <c r="E454" s="261"/>
      <c r="G454" s="182"/>
      <c r="J454" s="67"/>
      <c r="K454" s="67"/>
      <c r="R454" s="67"/>
    </row>
    <row r="455">
      <c r="B455" s="182"/>
      <c r="E455" s="261"/>
      <c r="G455" s="182"/>
      <c r="J455" s="67"/>
      <c r="K455" s="67"/>
      <c r="R455" s="67"/>
    </row>
    <row r="456">
      <c r="B456" s="182"/>
      <c r="E456" s="261"/>
      <c r="G456" s="182"/>
      <c r="J456" s="67"/>
      <c r="K456" s="67"/>
      <c r="R456" s="67"/>
    </row>
    <row r="457">
      <c r="B457" s="182"/>
      <c r="E457" s="261"/>
      <c r="G457" s="182"/>
      <c r="J457" s="67"/>
      <c r="K457" s="67"/>
      <c r="R457" s="67"/>
    </row>
    <row r="458">
      <c r="B458" s="182"/>
      <c r="E458" s="261"/>
      <c r="G458" s="182"/>
      <c r="J458" s="67"/>
      <c r="K458" s="67"/>
      <c r="R458" s="67"/>
    </row>
    <row r="459">
      <c r="B459" s="182"/>
      <c r="E459" s="261"/>
      <c r="G459" s="182"/>
      <c r="J459" s="67"/>
      <c r="K459" s="67"/>
      <c r="R459" s="67"/>
    </row>
    <row r="460">
      <c r="B460" s="182"/>
      <c r="E460" s="261"/>
      <c r="G460" s="182"/>
      <c r="J460" s="67"/>
      <c r="K460" s="67"/>
      <c r="R460" s="67"/>
    </row>
    <row r="461">
      <c r="B461" s="182"/>
      <c r="E461" s="261"/>
      <c r="G461" s="182"/>
      <c r="J461" s="67"/>
      <c r="K461" s="67"/>
      <c r="R461" s="67"/>
    </row>
    <row r="462">
      <c r="B462" s="182"/>
      <c r="E462" s="261"/>
      <c r="G462" s="182"/>
      <c r="J462" s="67"/>
      <c r="K462" s="67"/>
      <c r="R462" s="67"/>
    </row>
    <row r="463">
      <c r="B463" s="182"/>
      <c r="E463" s="261"/>
      <c r="G463" s="182"/>
      <c r="J463" s="67"/>
      <c r="K463" s="67"/>
      <c r="R463" s="67"/>
    </row>
    <row r="464">
      <c r="B464" s="182"/>
      <c r="E464" s="261"/>
      <c r="G464" s="182"/>
      <c r="J464" s="67"/>
      <c r="K464" s="67"/>
      <c r="R464" s="67"/>
    </row>
    <row r="465">
      <c r="B465" s="182"/>
      <c r="E465" s="261"/>
      <c r="G465" s="182"/>
      <c r="J465" s="67"/>
      <c r="K465" s="67"/>
      <c r="R465" s="67"/>
    </row>
    <row r="466">
      <c r="B466" s="182"/>
      <c r="E466" s="261"/>
      <c r="G466" s="182"/>
      <c r="J466" s="67"/>
      <c r="K466" s="67"/>
      <c r="R466" s="67"/>
    </row>
    <row r="467">
      <c r="B467" s="182"/>
      <c r="E467" s="261"/>
      <c r="G467" s="182"/>
      <c r="J467" s="67"/>
      <c r="K467" s="67"/>
      <c r="R467" s="67"/>
    </row>
    <row r="468">
      <c r="B468" s="182"/>
      <c r="E468" s="261"/>
      <c r="G468" s="182"/>
      <c r="J468" s="67"/>
      <c r="K468" s="67"/>
      <c r="R468" s="67"/>
    </row>
    <row r="469">
      <c r="B469" s="182"/>
      <c r="E469" s="261"/>
      <c r="G469" s="182"/>
      <c r="J469" s="67"/>
      <c r="K469" s="67"/>
      <c r="R469" s="67"/>
    </row>
    <row r="470">
      <c r="B470" s="182"/>
      <c r="E470" s="261"/>
      <c r="G470" s="182"/>
      <c r="J470" s="67"/>
      <c r="K470" s="67"/>
      <c r="R470" s="67"/>
    </row>
    <row r="471">
      <c r="B471" s="182"/>
      <c r="E471" s="261"/>
      <c r="G471" s="182"/>
      <c r="J471" s="67"/>
      <c r="K471" s="67"/>
      <c r="R471" s="67"/>
    </row>
    <row r="472">
      <c r="B472" s="182"/>
      <c r="E472" s="261"/>
      <c r="G472" s="182"/>
      <c r="J472" s="67"/>
      <c r="K472" s="67"/>
      <c r="R472" s="67"/>
    </row>
    <row r="473">
      <c r="B473" s="182"/>
      <c r="E473" s="261"/>
      <c r="G473" s="182"/>
      <c r="J473" s="67"/>
      <c r="K473" s="67"/>
      <c r="R473" s="67"/>
    </row>
    <row r="474">
      <c r="B474" s="182"/>
      <c r="E474" s="261"/>
      <c r="G474" s="182"/>
      <c r="J474" s="67"/>
      <c r="K474" s="67"/>
      <c r="R474" s="67"/>
    </row>
    <row r="475">
      <c r="B475" s="182"/>
      <c r="E475" s="261"/>
      <c r="G475" s="182"/>
      <c r="J475" s="67"/>
      <c r="K475" s="67"/>
      <c r="R475" s="67"/>
    </row>
    <row r="476">
      <c r="B476" s="182"/>
      <c r="E476" s="261"/>
      <c r="G476" s="182"/>
      <c r="J476" s="67"/>
      <c r="K476" s="67"/>
      <c r="R476" s="67"/>
    </row>
    <row r="477">
      <c r="B477" s="182"/>
      <c r="E477" s="261"/>
      <c r="G477" s="182"/>
      <c r="J477" s="67"/>
      <c r="K477" s="67"/>
      <c r="R477" s="67"/>
    </row>
    <row r="478">
      <c r="B478" s="182"/>
      <c r="E478" s="261"/>
      <c r="G478" s="182"/>
      <c r="J478" s="67"/>
      <c r="K478" s="67"/>
      <c r="R478" s="67"/>
    </row>
    <row r="479">
      <c r="B479" s="182"/>
      <c r="E479" s="261"/>
      <c r="G479" s="182"/>
      <c r="J479" s="67"/>
      <c r="K479" s="67"/>
      <c r="R479" s="67"/>
    </row>
    <row r="480">
      <c r="B480" s="182"/>
      <c r="E480" s="261"/>
      <c r="G480" s="182"/>
      <c r="J480" s="67"/>
      <c r="K480" s="67"/>
      <c r="R480" s="67"/>
    </row>
    <row r="481">
      <c r="B481" s="182"/>
      <c r="E481" s="261"/>
      <c r="G481" s="182"/>
      <c r="J481" s="67"/>
      <c r="K481" s="67"/>
      <c r="R481" s="67"/>
    </row>
    <row r="482">
      <c r="B482" s="182"/>
      <c r="E482" s="261"/>
      <c r="G482" s="182"/>
      <c r="J482" s="67"/>
      <c r="K482" s="67"/>
      <c r="R482" s="67"/>
    </row>
    <row r="483">
      <c r="B483" s="182"/>
      <c r="E483" s="261"/>
      <c r="G483" s="182"/>
      <c r="J483" s="67"/>
      <c r="K483" s="67"/>
      <c r="R483" s="67"/>
    </row>
    <row r="484">
      <c r="B484" s="182"/>
      <c r="E484" s="261"/>
      <c r="G484" s="182"/>
      <c r="J484" s="67"/>
      <c r="K484" s="67"/>
      <c r="R484" s="67"/>
    </row>
    <row r="485">
      <c r="B485" s="182"/>
      <c r="E485" s="261"/>
      <c r="G485" s="182"/>
      <c r="J485" s="67"/>
      <c r="K485" s="67"/>
      <c r="R485" s="67"/>
    </row>
    <row r="486">
      <c r="B486" s="182"/>
      <c r="E486" s="261"/>
      <c r="G486" s="182"/>
      <c r="J486" s="67"/>
      <c r="K486" s="67"/>
      <c r="R486" s="67"/>
    </row>
    <row r="487">
      <c r="B487" s="182"/>
      <c r="E487" s="261"/>
      <c r="G487" s="182"/>
      <c r="J487" s="67"/>
      <c r="K487" s="67"/>
      <c r="R487" s="67"/>
    </row>
    <row r="488">
      <c r="B488" s="182"/>
      <c r="E488" s="261"/>
      <c r="G488" s="182"/>
      <c r="J488" s="67"/>
      <c r="K488" s="67"/>
      <c r="R488" s="67"/>
    </row>
    <row r="489">
      <c r="B489" s="182"/>
      <c r="E489" s="261"/>
      <c r="G489" s="182"/>
      <c r="J489" s="67"/>
      <c r="K489" s="67"/>
      <c r="R489" s="67"/>
    </row>
    <row r="490">
      <c r="B490" s="182"/>
      <c r="E490" s="261"/>
      <c r="G490" s="182"/>
      <c r="J490" s="67"/>
      <c r="K490" s="67"/>
      <c r="R490" s="67"/>
    </row>
    <row r="491">
      <c r="B491" s="182"/>
      <c r="E491" s="261"/>
      <c r="G491" s="182"/>
      <c r="J491" s="67"/>
      <c r="K491" s="67"/>
      <c r="R491" s="67"/>
    </row>
    <row r="492">
      <c r="B492" s="182"/>
      <c r="E492" s="261"/>
      <c r="G492" s="182"/>
      <c r="J492" s="67"/>
      <c r="K492" s="67"/>
      <c r="R492" s="67"/>
    </row>
    <row r="493">
      <c r="B493" s="182"/>
      <c r="E493" s="261"/>
      <c r="G493" s="182"/>
      <c r="J493" s="67"/>
      <c r="K493" s="67"/>
      <c r="R493" s="67"/>
    </row>
    <row r="494">
      <c r="B494" s="182"/>
      <c r="E494" s="261"/>
      <c r="G494" s="182"/>
      <c r="J494" s="67"/>
      <c r="K494" s="67"/>
      <c r="R494" s="67"/>
    </row>
    <row r="495">
      <c r="B495" s="182"/>
      <c r="E495" s="261"/>
      <c r="G495" s="182"/>
      <c r="J495" s="67"/>
      <c r="K495" s="67"/>
      <c r="R495" s="67"/>
    </row>
    <row r="496">
      <c r="B496" s="182"/>
      <c r="E496" s="261"/>
      <c r="G496" s="182"/>
      <c r="J496" s="67"/>
      <c r="K496" s="67"/>
      <c r="R496" s="67"/>
    </row>
    <row r="497">
      <c r="B497" s="182"/>
      <c r="E497" s="261"/>
      <c r="G497" s="182"/>
      <c r="J497" s="67"/>
      <c r="K497" s="67"/>
      <c r="R497" s="67"/>
    </row>
    <row r="498">
      <c r="B498" s="182"/>
      <c r="E498" s="261"/>
      <c r="G498" s="182"/>
      <c r="J498" s="67"/>
      <c r="K498" s="67"/>
      <c r="R498" s="67"/>
    </row>
    <row r="499">
      <c r="B499" s="182"/>
      <c r="E499" s="261"/>
      <c r="G499" s="182"/>
      <c r="J499" s="67"/>
      <c r="K499" s="67"/>
      <c r="R499" s="67"/>
    </row>
    <row r="500">
      <c r="B500" s="182"/>
      <c r="E500" s="261"/>
      <c r="G500" s="182"/>
      <c r="J500" s="67"/>
      <c r="K500" s="67"/>
      <c r="R500" s="67"/>
    </row>
    <row r="501">
      <c r="B501" s="182"/>
      <c r="E501" s="261"/>
      <c r="G501" s="182"/>
      <c r="J501" s="67"/>
      <c r="K501" s="67"/>
      <c r="R501" s="67"/>
    </row>
    <row r="502">
      <c r="B502" s="182"/>
      <c r="E502" s="261"/>
      <c r="G502" s="182"/>
      <c r="J502" s="67"/>
      <c r="K502" s="67"/>
      <c r="R502" s="67"/>
    </row>
    <row r="503">
      <c r="B503" s="182"/>
      <c r="E503" s="261"/>
      <c r="G503" s="182"/>
      <c r="J503" s="67"/>
      <c r="K503" s="67"/>
      <c r="R503" s="67"/>
    </row>
    <row r="504">
      <c r="B504" s="182"/>
      <c r="E504" s="261"/>
      <c r="G504" s="182"/>
      <c r="J504" s="67"/>
      <c r="K504" s="67"/>
      <c r="R504" s="67"/>
    </row>
    <row r="505">
      <c r="B505" s="182"/>
      <c r="E505" s="261"/>
      <c r="G505" s="182"/>
      <c r="J505" s="67"/>
      <c r="K505" s="67"/>
      <c r="R505" s="67"/>
    </row>
    <row r="506">
      <c r="B506" s="182"/>
      <c r="E506" s="261"/>
      <c r="G506" s="182"/>
      <c r="J506" s="67"/>
      <c r="K506" s="67"/>
      <c r="R506" s="67"/>
    </row>
    <row r="507">
      <c r="B507" s="182"/>
      <c r="E507" s="261"/>
      <c r="G507" s="182"/>
      <c r="J507" s="67"/>
      <c r="K507" s="67"/>
      <c r="R507" s="67"/>
    </row>
    <row r="508">
      <c r="B508" s="182"/>
      <c r="E508" s="261"/>
      <c r="G508" s="182"/>
      <c r="J508" s="67"/>
      <c r="K508" s="67"/>
      <c r="R508" s="67"/>
    </row>
    <row r="509">
      <c r="B509" s="182"/>
      <c r="E509" s="261"/>
      <c r="G509" s="182"/>
      <c r="J509" s="67"/>
      <c r="K509" s="67"/>
      <c r="R509" s="67"/>
    </row>
    <row r="510">
      <c r="B510" s="182"/>
      <c r="E510" s="261"/>
      <c r="G510" s="182"/>
      <c r="J510" s="67"/>
      <c r="K510" s="67"/>
      <c r="R510" s="67"/>
    </row>
    <row r="511">
      <c r="B511" s="182"/>
      <c r="E511" s="261"/>
      <c r="G511" s="182"/>
      <c r="J511" s="67"/>
      <c r="K511" s="67"/>
      <c r="R511" s="67"/>
    </row>
    <row r="512">
      <c r="B512" s="182"/>
      <c r="E512" s="261"/>
      <c r="G512" s="182"/>
      <c r="J512" s="67"/>
      <c r="K512" s="67"/>
      <c r="R512" s="67"/>
    </row>
    <row r="513">
      <c r="B513" s="182"/>
      <c r="E513" s="261"/>
      <c r="G513" s="182"/>
      <c r="J513" s="67"/>
      <c r="K513" s="67"/>
      <c r="R513" s="67"/>
    </row>
    <row r="514">
      <c r="B514" s="182"/>
      <c r="E514" s="261"/>
      <c r="G514" s="182"/>
      <c r="J514" s="67"/>
      <c r="K514" s="67"/>
      <c r="R514" s="67"/>
    </row>
    <row r="515">
      <c r="B515" s="182"/>
      <c r="E515" s="261"/>
      <c r="G515" s="182"/>
      <c r="J515" s="67"/>
      <c r="K515" s="67"/>
      <c r="R515" s="67"/>
    </row>
    <row r="516">
      <c r="B516" s="182"/>
      <c r="E516" s="261"/>
      <c r="G516" s="182"/>
      <c r="J516" s="67"/>
      <c r="K516" s="67"/>
      <c r="R516" s="67"/>
    </row>
    <row r="517">
      <c r="B517" s="182"/>
      <c r="E517" s="261"/>
      <c r="G517" s="182"/>
      <c r="J517" s="67"/>
      <c r="K517" s="67"/>
      <c r="R517" s="67"/>
    </row>
    <row r="518">
      <c r="B518" s="182"/>
      <c r="E518" s="261"/>
      <c r="G518" s="182"/>
      <c r="J518" s="67"/>
      <c r="K518" s="67"/>
      <c r="R518" s="67"/>
    </row>
    <row r="519">
      <c r="B519" s="182"/>
      <c r="E519" s="261"/>
      <c r="G519" s="182"/>
      <c r="J519" s="67"/>
      <c r="K519" s="67"/>
      <c r="R519" s="67"/>
    </row>
    <row r="520">
      <c r="B520" s="182"/>
      <c r="E520" s="261"/>
      <c r="G520" s="182"/>
      <c r="J520" s="67"/>
      <c r="K520" s="67"/>
      <c r="R520" s="67"/>
    </row>
    <row r="521">
      <c r="B521" s="182"/>
      <c r="E521" s="261"/>
      <c r="G521" s="182"/>
      <c r="J521" s="67"/>
      <c r="K521" s="67"/>
      <c r="R521" s="67"/>
    </row>
    <row r="522">
      <c r="B522" s="182"/>
      <c r="E522" s="261"/>
      <c r="G522" s="182"/>
      <c r="J522" s="67"/>
      <c r="K522" s="67"/>
      <c r="R522" s="67"/>
    </row>
    <row r="523">
      <c r="B523" s="182"/>
      <c r="E523" s="261"/>
      <c r="G523" s="182"/>
      <c r="J523" s="67"/>
      <c r="K523" s="67"/>
      <c r="R523" s="67"/>
    </row>
    <row r="524">
      <c r="B524" s="182"/>
      <c r="E524" s="261"/>
      <c r="G524" s="182"/>
      <c r="J524" s="67"/>
      <c r="K524" s="67"/>
      <c r="R524" s="67"/>
    </row>
    <row r="525">
      <c r="B525" s="182"/>
      <c r="E525" s="261"/>
      <c r="G525" s="182"/>
      <c r="J525" s="67"/>
      <c r="K525" s="67"/>
      <c r="R525" s="67"/>
    </row>
    <row r="526">
      <c r="B526" s="182"/>
      <c r="E526" s="261"/>
      <c r="G526" s="182"/>
      <c r="J526" s="67"/>
      <c r="K526" s="67"/>
      <c r="R526" s="67"/>
    </row>
    <row r="527">
      <c r="B527" s="182"/>
      <c r="E527" s="261"/>
      <c r="G527" s="182"/>
      <c r="J527" s="67"/>
      <c r="K527" s="67"/>
      <c r="R527" s="67"/>
    </row>
    <row r="528">
      <c r="B528" s="182"/>
      <c r="E528" s="261"/>
      <c r="G528" s="182"/>
      <c r="J528" s="67"/>
      <c r="K528" s="67"/>
      <c r="R528" s="67"/>
    </row>
    <row r="529">
      <c r="B529" s="182"/>
      <c r="E529" s="261"/>
      <c r="G529" s="182"/>
      <c r="J529" s="67"/>
      <c r="K529" s="67"/>
      <c r="R529" s="67"/>
    </row>
    <row r="530">
      <c r="B530" s="182"/>
      <c r="E530" s="261"/>
      <c r="G530" s="182"/>
      <c r="J530" s="67"/>
      <c r="K530" s="67"/>
      <c r="R530" s="67"/>
    </row>
    <row r="531">
      <c r="B531" s="182"/>
      <c r="E531" s="261"/>
      <c r="G531" s="182"/>
      <c r="J531" s="67"/>
      <c r="K531" s="67"/>
      <c r="R531" s="67"/>
    </row>
    <row r="532">
      <c r="B532" s="182"/>
      <c r="E532" s="261"/>
      <c r="G532" s="182"/>
      <c r="J532" s="67"/>
      <c r="K532" s="67"/>
      <c r="R532" s="67"/>
    </row>
    <row r="533">
      <c r="B533" s="182"/>
      <c r="E533" s="261"/>
      <c r="G533" s="182"/>
      <c r="J533" s="67"/>
      <c r="K533" s="67"/>
      <c r="R533" s="67"/>
    </row>
    <row r="534">
      <c r="B534" s="182"/>
      <c r="E534" s="261"/>
      <c r="G534" s="182"/>
      <c r="J534" s="67"/>
      <c r="K534" s="67"/>
      <c r="R534" s="67"/>
    </row>
    <row r="535">
      <c r="B535" s="182"/>
      <c r="E535" s="261"/>
      <c r="G535" s="182"/>
      <c r="J535" s="67"/>
      <c r="K535" s="67"/>
      <c r="R535" s="67"/>
    </row>
    <row r="536">
      <c r="B536" s="182"/>
      <c r="E536" s="261"/>
      <c r="G536" s="182"/>
      <c r="J536" s="67"/>
      <c r="K536" s="67"/>
      <c r="R536" s="67"/>
    </row>
    <row r="537">
      <c r="B537" s="182"/>
      <c r="E537" s="261"/>
      <c r="G537" s="182"/>
      <c r="J537" s="67"/>
      <c r="K537" s="67"/>
      <c r="R537" s="67"/>
    </row>
    <row r="538">
      <c r="B538" s="182"/>
      <c r="E538" s="261"/>
      <c r="G538" s="182"/>
      <c r="J538" s="67"/>
      <c r="K538" s="67"/>
      <c r="R538" s="67"/>
    </row>
    <row r="539">
      <c r="B539" s="182"/>
      <c r="E539" s="261"/>
      <c r="G539" s="182"/>
      <c r="J539" s="67"/>
      <c r="K539" s="67"/>
      <c r="R539" s="67"/>
    </row>
    <row r="540">
      <c r="B540" s="182"/>
      <c r="E540" s="261"/>
      <c r="G540" s="182"/>
      <c r="J540" s="67"/>
      <c r="K540" s="67"/>
      <c r="R540" s="67"/>
    </row>
    <row r="541">
      <c r="B541" s="182"/>
      <c r="E541" s="261"/>
      <c r="G541" s="182"/>
      <c r="J541" s="67"/>
      <c r="K541" s="67"/>
      <c r="R541" s="67"/>
    </row>
    <row r="542">
      <c r="B542" s="182"/>
      <c r="E542" s="261"/>
      <c r="G542" s="182"/>
      <c r="J542" s="67"/>
      <c r="K542" s="67"/>
      <c r="R542" s="67"/>
    </row>
    <row r="543">
      <c r="B543" s="182"/>
      <c r="E543" s="261"/>
      <c r="G543" s="182"/>
      <c r="J543" s="67"/>
      <c r="K543" s="67"/>
      <c r="R543" s="67"/>
    </row>
    <row r="544">
      <c r="B544" s="182"/>
      <c r="E544" s="261"/>
      <c r="G544" s="182"/>
      <c r="J544" s="67"/>
      <c r="K544" s="67"/>
      <c r="R544" s="67"/>
    </row>
    <row r="545">
      <c r="B545" s="182"/>
      <c r="E545" s="261"/>
      <c r="G545" s="182"/>
      <c r="J545" s="67"/>
      <c r="K545" s="67"/>
      <c r="R545" s="67"/>
    </row>
    <row r="546">
      <c r="B546" s="182"/>
      <c r="E546" s="261"/>
      <c r="G546" s="182"/>
      <c r="J546" s="67"/>
      <c r="K546" s="67"/>
      <c r="R546" s="67"/>
    </row>
    <row r="547">
      <c r="B547" s="182"/>
      <c r="E547" s="261"/>
      <c r="G547" s="182"/>
      <c r="J547" s="67"/>
      <c r="K547" s="67"/>
      <c r="R547" s="67"/>
    </row>
    <row r="548">
      <c r="B548" s="182"/>
      <c r="E548" s="261"/>
      <c r="G548" s="182"/>
      <c r="J548" s="67"/>
      <c r="K548" s="67"/>
      <c r="R548" s="67"/>
    </row>
    <row r="549">
      <c r="B549" s="182"/>
      <c r="E549" s="261"/>
      <c r="G549" s="182"/>
      <c r="J549" s="67"/>
      <c r="K549" s="67"/>
      <c r="R549" s="67"/>
    </row>
    <row r="550">
      <c r="B550" s="182"/>
      <c r="E550" s="261"/>
      <c r="G550" s="182"/>
      <c r="J550" s="67"/>
      <c r="K550" s="67"/>
      <c r="R550" s="67"/>
    </row>
    <row r="551">
      <c r="B551" s="182"/>
      <c r="E551" s="261"/>
      <c r="G551" s="182"/>
      <c r="J551" s="67"/>
      <c r="K551" s="67"/>
      <c r="R551" s="67"/>
    </row>
    <row r="552">
      <c r="B552" s="182"/>
      <c r="E552" s="261"/>
      <c r="G552" s="182"/>
      <c r="J552" s="67"/>
      <c r="K552" s="67"/>
      <c r="R552" s="67"/>
    </row>
    <row r="553">
      <c r="B553" s="182"/>
      <c r="E553" s="261"/>
      <c r="G553" s="182"/>
      <c r="J553" s="67"/>
      <c r="K553" s="67"/>
      <c r="R553" s="67"/>
    </row>
    <row r="554">
      <c r="B554" s="182"/>
      <c r="E554" s="261"/>
      <c r="G554" s="182"/>
      <c r="J554" s="67"/>
      <c r="K554" s="67"/>
      <c r="R554" s="67"/>
    </row>
    <row r="555">
      <c r="B555" s="182"/>
      <c r="E555" s="261"/>
      <c r="G555" s="182"/>
      <c r="J555" s="67"/>
      <c r="K555" s="67"/>
      <c r="R555" s="67"/>
    </row>
    <row r="556">
      <c r="B556" s="182"/>
      <c r="E556" s="261"/>
      <c r="G556" s="182"/>
      <c r="J556" s="67"/>
      <c r="K556" s="67"/>
      <c r="R556" s="67"/>
    </row>
    <row r="557">
      <c r="B557" s="182"/>
      <c r="E557" s="261"/>
      <c r="G557" s="182"/>
      <c r="J557" s="67"/>
      <c r="K557" s="67"/>
      <c r="R557" s="67"/>
    </row>
    <row r="558">
      <c r="B558" s="182"/>
      <c r="E558" s="261"/>
      <c r="G558" s="182"/>
      <c r="J558" s="67"/>
      <c r="K558" s="67"/>
      <c r="R558" s="67"/>
    </row>
    <row r="559">
      <c r="B559" s="182"/>
      <c r="E559" s="261"/>
      <c r="G559" s="182"/>
      <c r="J559" s="67"/>
      <c r="K559" s="67"/>
      <c r="R559" s="67"/>
    </row>
    <row r="560">
      <c r="B560" s="182"/>
      <c r="E560" s="261"/>
      <c r="G560" s="182"/>
      <c r="J560" s="67"/>
      <c r="K560" s="67"/>
      <c r="R560" s="67"/>
    </row>
    <row r="561">
      <c r="B561" s="182"/>
      <c r="E561" s="261"/>
      <c r="G561" s="182"/>
      <c r="J561" s="67"/>
      <c r="K561" s="67"/>
      <c r="R561" s="67"/>
    </row>
    <row r="562">
      <c r="B562" s="182"/>
      <c r="E562" s="261"/>
      <c r="G562" s="182"/>
      <c r="J562" s="67"/>
      <c r="K562" s="67"/>
      <c r="R562" s="67"/>
    </row>
    <row r="563">
      <c r="B563" s="182"/>
      <c r="E563" s="261"/>
      <c r="G563" s="182"/>
      <c r="J563" s="67"/>
      <c r="K563" s="67"/>
      <c r="R563" s="67"/>
    </row>
    <row r="564">
      <c r="B564" s="182"/>
      <c r="E564" s="261"/>
      <c r="G564" s="182"/>
      <c r="J564" s="67"/>
      <c r="K564" s="67"/>
      <c r="R564" s="67"/>
    </row>
    <row r="565">
      <c r="B565" s="182"/>
      <c r="E565" s="261"/>
      <c r="G565" s="182"/>
      <c r="J565" s="67"/>
      <c r="K565" s="67"/>
      <c r="R565" s="67"/>
    </row>
    <row r="566">
      <c r="B566" s="182"/>
      <c r="E566" s="261"/>
      <c r="G566" s="182"/>
      <c r="J566" s="67"/>
      <c r="K566" s="67"/>
      <c r="R566" s="67"/>
    </row>
    <row r="567">
      <c r="B567" s="182"/>
      <c r="E567" s="261"/>
      <c r="G567" s="182"/>
      <c r="J567" s="67"/>
      <c r="K567" s="67"/>
      <c r="R567" s="67"/>
    </row>
    <row r="568">
      <c r="B568" s="182"/>
      <c r="E568" s="261"/>
      <c r="G568" s="182"/>
      <c r="J568" s="67"/>
      <c r="K568" s="67"/>
      <c r="R568" s="67"/>
    </row>
    <row r="569">
      <c r="B569" s="182"/>
      <c r="E569" s="261"/>
      <c r="G569" s="182"/>
      <c r="J569" s="67"/>
      <c r="K569" s="67"/>
      <c r="R569" s="67"/>
    </row>
    <row r="570">
      <c r="B570" s="182"/>
      <c r="E570" s="261"/>
      <c r="G570" s="182"/>
      <c r="J570" s="67"/>
      <c r="K570" s="67"/>
      <c r="R570" s="67"/>
    </row>
    <row r="571">
      <c r="B571" s="182"/>
      <c r="E571" s="261"/>
      <c r="G571" s="182"/>
      <c r="J571" s="67"/>
      <c r="K571" s="67"/>
      <c r="R571" s="67"/>
    </row>
    <row r="572">
      <c r="B572" s="182"/>
      <c r="E572" s="261"/>
      <c r="G572" s="182"/>
      <c r="J572" s="67"/>
      <c r="K572" s="67"/>
      <c r="R572" s="67"/>
    </row>
    <row r="573">
      <c r="B573" s="182"/>
      <c r="E573" s="261"/>
      <c r="G573" s="182"/>
      <c r="J573" s="67"/>
      <c r="K573" s="67"/>
      <c r="R573" s="67"/>
    </row>
    <row r="574">
      <c r="B574" s="182"/>
      <c r="E574" s="261"/>
      <c r="G574" s="182"/>
      <c r="J574" s="67"/>
      <c r="K574" s="67"/>
      <c r="R574" s="67"/>
    </row>
    <row r="575">
      <c r="B575" s="182"/>
      <c r="E575" s="261"/>
      <c r="G575" s="182"/>
      <c r="J575" s="67"/>
      <c r="K575" s="67"/>
      <c r="R575" s="67"/>
    </row>
    <row r="576">
      <c r="B576" s="182"/>
      <c r="E576" s="261"/>
      <c r="G576" s="182"/>
      <c r="J576" s="67"/>
      <c r="K576" s="67"/>
      <c r="R576" s="67"/>
    </row>
    <row r="577">
      <c r="B577" s="182"/>
      <c r="E577" s="261"/>
      <c r="G577" s="182"/>
      <c r="J577" s="67"/>
      <c r="K577" s="67"/>
      <c r="R577" s="67"/>
    </row>
    <row r="578">
      <c r="B578" s="182"/>
      <c r="E578" s="261"/>
      <c r="G578" s="182"/>
      <c r="J578" s="67"/>
      <c r="K578" s="67"/>
      <c r="R578" s="67"/>
    </row>
    <row r="579">
      <c r="B579" s="182"/>
      <c r="E579" s="261"/>
      <c r="G579" s="182"/>
      <c r="J579" s="67"/>
      <c r="K579" s="67"/>
      <c r="R579" s="67"/>
    </row>
    <row r="580">
      <c r="B580" s="182"/>
      <c r="E580" s="261"/>
      <c r="G580" s="182"/>
      <c r="J580" s="67"/>
      <c r="K580" s="67"/>
      <c r="R580" s="67"/>
    </row>
    <row r="581">
      <c r="B581" s="182"/>
      <c r="E581" s="261"/>
      <c r="G581" s="182"/>
      <c r="J581" s="67"/>
      <c r="K581" s="67"/>
      <c r="R581" s="67"/>
    </row>
    <row r="582">
      <c r="B582" s="182"/>
      <c r="E582" s="261"/>
      <c r="G582" s="182"/>
      <c r="J582" s="67"/>
      <c r="K582" s="67"/>
      <c r="R582" s="67"/>
    </row>
    <row r="583">
      <c r="B583" s="182"/>
      <c r="E583" s="261"/>
      <c r="G583" s="182"/>
      <c r="J583" s="67"/>
      <c r="K583" s="67"/>
      <c r="R583" s="67"/>
    </row>
    <row r="584">
      <c r="B584" s="182"/>
      <c r="E584" s="261"/>
      <c r="G584" s="182"/>
      <c r="J584" s="67"/>
      <c r="K584" s="67"/>
      <c r="R584" s="67"/>
    </row>
    <row r="585">
      <c r="B585" s="182"/>
      <c r="E585" s="261"/>
      <c r="G585" s="182"/>
      <c r="J585" s="67"/>
      <c r="K585" s="67"/>
      <c r="R585" s="67"/>
    </row>
    <row r="586">
      <c r="B586" s="182"/>
      <c r="E586" s="261"/>
      <c r="G586" s="182"/>
      <c r="J586" s="67"/>
      <c r="K586" s="67"/>
      <c r="R586" s="67"/>
    </row>
    <row r="587">
      <c r="B587" s="182"/>
      <c r="E587" s="261"/>
      <c r="G587" s="182"/>
      <c r="J587" s="67"/>
      <c r="K587" s="67"/>
      <c r="R587" s="67"/>
    </row>
    <row r="588">
      <c r="B588" s="182"/>
      <c r="E588" s="261"/>
      <c r="G588" s="182"/>
      <c r="J588" s="67"/>
      <c r="K588" s="67"/>
      <c r="R588" s="67"/>
    </row>
    <row r="589">
      <c r="B589" s="182"/>
      <c r="E589" s="261"/>
      <c r="G589" s="182"/>
      <c r="J589" s="67"/>
      <c r="K589" s="67"/>
      <c r="R589" s="67"/>
    </row>
    <row r="590">
      <c r="B590" s="182"/>
      <c r="E590" s="261"/>
      <c r="G590" s="182"/>
      <c r="J590" s="67"/>
      <c r="K590" s="67"/>
      <c r="R590" s="67"/>
    </row>
    <row r="591">
      <c r="B591" s="182"/>
      <c r="E591" s="261"/>
      <c r="G591" s="182"/>
      <c r="J591" s="67"/>
      <c r="K591" s="67"/>
      <c r="R591" s="67"/>
    </row>
    <row r="592">
      <c r="B592" s="182"/>
      <c r="E592" s="261"/>
      <c r="G592" s="182"/>
      <c r="J592" s="67"/>
      <c r="K592" s="67"/>
      <c r="R592" s="67"/>
    </row>
    <row r="593">
      <c r="B593" s="182"/>
      <c r="E593" s="261"/>
      <c r="G593" s="182"/>
      <c r="J593" s="67"/>
      <c r="K593" s="67"/>
      <c r="R593" s="67"/>
    </row>
    <row r="594">
      <c r="B594" s="182"/>
      <c r="E594" s="261"/>
      <c r="G594" s="182"/>
      <c r="J594" s="67"/>
      <c r="K594" s="67"/>
      <c r="R594" s="67"/>
    </row>
    <row r="595">
      <c r="B595" s="182"/>
      <c r="E595" s="261"/>
      <c r="G595" s="182"/>
      <c r="J595" s="67"/>
      <c r="K595" s="67"/>
      <c r="R595" s="67"/>
    </row>
    <row r="596">
      <c r="B596" s="182"/>
      <c r="E596" s="261"/>
      <c r="G596" s="182"/>
      <c r="J596" s="67"/>
      <c r="K596" s="67"/>
      <c r="R596" s="67"/>
    </row>
    <row r="597">
      <c r="B597" s="182"/>
      <c r="E597" s="261"/>
      <c r="G597" s="182"/>
      <c r="J597" s="67"/>
      <c r="K597" s="67"/>
      <c r="R597" s="67"/>
    </row>
    <row r="598">
      <c r="B598" s="182"/>
      <c r="E598" s="261"/>
      <c r="G598" s="182"/>
      <c r="J598" s="67"/>
      <c r="K598" s="67"/>
      <c r="R598" s="67"/>
    </row>
    <row r="599">
      <c r="B599" s="182"/>
      <c r="E599" s="261"/>
      <c r="G599" s="182"/>
      <c r="J599" s="67"/>
      <c r="K599" s="67"/>
      <c r="R599" s="67"/>
    </row>
    <row r="600">
      <c r="B600" s="182"/>
      <c r="E600" s="261"/>
      <c r="G600" s="182"/>
      <c r="J600" s="67"/>
      <c r="K600" s="67"/>
      <c r="R600" s="67"/>
    </row>
    <row r="601">
      <c r="B601" s="182"/>
      <c r="E601" s="261"/>
      <c r="G601" s="182"/>
      <c r="J601" s="67"/>
      <c r="K601" s="67"/>
      <c r="R601" s="67"/>
    </row>
    <row r="602">
      <c r="B602" s="182"/>
      <c r="E602" s="261"/>
      <c r="G602" s="182"/>
      <c r="J602" s="67"/>
      <c r="K602" s="67"/>
      <c r="R602" s="67"/>
    </row>
    <row r="603">
      <c r="B603" s="182"/>
      <c r="E603" s="261"/>
      <c r="G603" s="182"/>
      <c r="J603" s="67"/>
      <c r="K603" s="67"/>
      <c r="R603" s="67"/>
    </row>
    <row r="604">
      <c r="B604" s="182"/>
      <c r="E604" s="261"/>
      <c r="G604" s="182"/>
      <c r="J604" s="67"/>
      <c r="K604" s="67"/>
      <c r="R604" s="67"/>
    </row>
    <row r="605">
      <c r="B605" s="182"/>
      <c r="E605" s="261"/>
      <c r="G605" s="182"/>
      <c r="J605" s="67"/>
      <c r="K605" s="67"/>
      <c r="R605" s="67"/>
    </row>
    <row r="606">
      <c r="B606" s="182"/>
      <c r="E606" s="261"/>
      <c r="G606" s="182"/>
      <c r="J606" s="67"/>
      <c r="K606" s="67"/>
      <c r="R606" s="67"/>
    </row>
    <row r="607">
      <c r="B607" s="182"/>
      <c r="E607" s="261"/>
      <c r="G607" s="182"/>
      <c r="J607" s="67"/>
      <c r="K607" s="67"/>
      <c r="R607" s="67"/>
    </row>
    <row r="608">
      <c r="B608" s="182"/>
      <c r="E608" s="261"/>
      <c r="G608" s="182"/>
      <c r="J608" s="67"/>
      <c r="K608" s="67"/>
      <c r="R608" s="67"/>
    </row>
    <row r="609">
      <c r="B609" s="182"/>
      <c r="E609" s="261"/>
      <c r="G609" s="182"/>
      <c r="J609" s="67"/>
      <c r="K609" s="67"/>
      <c r="R609" s="67"/>
    </row>
    <row r="610">
      <c r="B610" s="182"/>
      <c r="E610" s="261"/>
      <c r="G610" s="182"/>
      <c r="J610" s="67"/>
      <c r="K610" s="67"/>
      <c r="R610" s="67"/>
    </row>
    <row r="611">
      <c r="B611" s="182"/>
      <c r="E611" s="261"/>
      <c r="G611" s="182"/>
      <c r="J611" s="67"/>
      <c r="K611" s="67"/>
      <c r="R611" s="67"/>
    </row>
    <row r="612">
      <c r="B612" s="182"/>
      <c r="E612" s="261"/>
      <c r="G612" s="182"/>
      <c r="J612" s="67"/>
      <c r="K612" s="67"/>
      <c r="R612" s="67"/>
    </row>
    <row r="613">
      <c r="B613" s="182"/>
      <c r="E613" s="261"/>
      <c r="G613" s="182"/>
      <c r="J613" s="67"/>
      <c r="K613" s="67"/>
      <c r="R613" s="67"/>
    </row>
    <row r="614">
      <c r="B614" s="182"/>
      <c r="E614" s="261"/>
      <c r="G614" s="182"/>
      <c r="J614" s="67"/>
      <c r="K614" s="67"/>
      <c r="R614" s="67"/>
    </row>
    <row r="615">
      <c r="B615" s="182"/>
      <c r="E615" s="261"/>
      <c r="G615" s="182"/>
      <c r="J615" s="67"/>
      <c r="K615" s="67"/>
      <c r="R615" s="67"/>
    </row>
    <row r="616">
      <c r="B616" s="182"/>
      <c r="E616" s="261"/>
      <c r="G616" s="182"/>
      <c r="J616" s="67"/>
      <c r="K616" s="67"/>
      <c r="R616" s="67"/>
    </row>
    <row r="617">
      <c r="B617" s="182"/>
      <c r="E617" s="261"/>
      <c r="G617" s="182"/>
      <c r="J617" s="67"/>
      <c r="K617" s="67"/>
      <c r="R617" s="67"/>
    </row>
    <row r="618">
      <c r="B618" s="182"/>
      <c r="E618" s="261"/>
      <c r="G618" s="182"/>
      <c r="J618" s="67"/>
      <c r="K618" s="67"/>
      <c r="R618" s="67"/>
    </row>
    <row r="619">
      <c r="B619" s="182"/>
      <c r="E619" s="261"/>
      <c r="G619" s="182"/>
      <c r="J619" s="67"/>
      <c r="K619" s="67"/>
      <c r="R619" s="67"/>
    </row>
    <row r="620">
      <c r="B620" s="182"/>
      <c r="E620" s="261"/>
      <c r="G620" s="182"/>
      <c r="J620" s="67"/>
      <c r="K620" s="67"/>
      <c r="R620" s="67"/>
    </row>
    <row r="621">
      <c r="B621" s="182"/>
      <c r="E621" s="261"/>
      <c r="G621" s="182"/>
      <c r="J621" s="67"/>
      <c r="K621" s="67"/>
      <c r="R621" s="67"/>
    </row>
    <row r="622">
      <c r="B622" s="182"/>
      <c r="E622" s="261"/>
      <c r="G622" s="182"/>
      <c r="J622" s="67"/>
      <c r="K622" s="67"/>
      <c r="R622" s="67"/>
    </row>
    <row r="623">
      <c r="B623" s="182"/>
      <c r="E623" s="261"/>
      <c r="G623" s="182"/>
      <c r="J623" s="67"/>
      <c r="K623" s="67"/>
      <c r="R623" s="67"/>
    </row>
    <row r="624">
      <c r="B624" s="182"/>
      <c r="E624" s="261"/>
      <c r="G624" s="182"/>
      <c r="J624" s="67"/>
      <c r="K624" s="67"/>
      <c r="R624" s="67"/>
    </row>
    <row r="625">
      <c r="B625" s="182"/>
      <c r="E625" s="261"/>
      <c r="G625" s="182"/>
      <c r="J625" s="67"/>
      <c r="K625" s="67"/>
      <c r="R625" s="67"/>
    </row>
    <row r="626">
      <c r="B626" s="182"/>
      <c r="E626" s="261"/>
      <c r="G626" s="182"/>
      <c r="J626" s="67"/>
      <c r="K626" s="67"/>
      <c r="R626" s="67"/>
    </row>
    <row r="627">
      <c r="B627" s="182"/>
      <c r="E627" s="261"/>
      <c r="G627" s="182"/>
      <c r="J627" s="67"/>
      <c r="K627" s="67"/>
      <c r="R627" s="67"/>
    </row>
    <row r="628">
      <c r="B628" s="182"/>
      <c r="E628" s="261"/>
      <c r="G628" s="182"/>
      <c r="J628" s="67"/>
      <c r="K628" s="67"/>
      <c r="R628" s="67"/>
    </row>
    <row r="629">
      <c r="B629" s="182"/>
      <c r="E629" s="261"/>
      <c r="G629" s="182"/>
      <c r="J629" s="67"/>
      <c r="K629" s="67"/>
      <c r="R629" s="67"/>
    </row>
    <row r="630">
      <c r="B630" s="182"/>
      <c r="E630" s="261"/>
      <c r="G630" s="182"/>
      <c r="J630" s="67"/>
      <c r="K630" s="67"/>
      <c r="R630" s="67"/>
    </row>
    <row r="631">
      <c r="B631" s="182"/>
      <c r="E631" s="261"/>
      <c r="G631" s="182"/>
      <c r="J631" s="67"/>
      <c r="K631" s="67"/>
      <c r="R631" s="67"/>
    </row>
    <row r="632">
      <c r="B632" s="182"/>
      <c r="E632" s="261"/>
      <c r="G632" s="182"/>
      <c r="J632" s="67"/>
      <c r="K632" s="67"/>
      <c r="R632" s="67"/>
    </row>
    <row r="633">
      <c r="B633" s="182"/>
      <c r="E633" s="261"/>
      <c r="G633" s="182"/>
      <c r="J633" s="67"/>
      <c r="K633" s="67"/>
      <c r="R633" s="67"/>
    </row>
    <row r="634">
      <c r="B634" s="182"/>
      <c r="E634" s="261"/>
      <c r="G634" s="182"/>
      <c r="J634" s="67"/>
      <c r="K634" s="67"/>
      <c r="R634" s="67"/>
    </row>
    <row r="635">
      <c r="B635" s="182"/>
      <c r="E635" s="261"/>
      <c r="G635" s="182"/>
      <c r="J635" s="67"/>
      <c r="K635" s="67"/>
      <c r="R635" s="67"/>
    </row>
    <row r="636">
      <c r="B636" s="182"/>
      <c r="E636" s="261"/>
      <c r="G636" s="182"/>
      <c r="J636" s="67"/>
      <c r="K636" s="67"/>
      <c r="R636" s="67"/>
    </row>
    <row r="637">
      <c r="B637" s="182"/>
      <c r="E637" s="261"/>
      <c r="G637" s="182"/>
      <c r="J637" s="67"/>
      <c r="K637" s="67"/>
      <c r="R637" s="67"/>
    </row>
    <row r="638">
      <c r="B638" s="182"/>
      <c r="E638" s="261"/>
      <c r="G638" s="182"/>
      <c r="J638" s="67"/>
      <c r="K638" s="67"/>
      <c r="R638" s="67"/>
    </row>
    <row r="639">
      <c r="B639" s="182"/>
      <c r="E639" s="261"/>
      <c r="G639" s="182"/>
      <c r="J639" s="67"/>
      <c r="K639" s="67"/>
      <c r="R639" s="67"/>
    </row>
    <row r="640">
      <c r="B640" s="182"/>
      <c r="E640" s="261"/>
      <c r="G640" s="182"/>
      <c r="J640" s="67"/>
      <c r="K640" s="67"/>
      <c r="R640" s="67"/>
    </row>
    <row r="641">
      <c r="B641" s="182"/>
      <c r="E641" s="261"/>
      <c r="G641" s="182"/>
      <c r="J641" s="67"/>
      <c r="K641" s="67"/>
      <c r="R641" s="67"/>
    </row>
    <row r="642">
      <c r="B642" s="182"/>
      <c r="E642" s="261"/>
      <c r="G642" s="182"/>
      <c r="J642" s="67"/>
      <c r="K642" s="67"/>
      <c r="R642" s="67"/>
    </row>
    <row r="643">
      <c r="B643" s="182"/>
      <c r="E643" s="261"/>
      <c r="G643" s="182"/>
      <c r="J643" s="67"/>
      <c r="K643" s="67"/>
      <c r="R643" s="67"/>
    </row>
    <row r="644">
      <c r="B644" s="182"/>
      <c r="E644" s="261"/>
      <c r="G644" s="182"/>
      <c r="J644" s="67"/>
      <c r="K644" s="67"/>
      <c r="R644" s="67"/>
    </row>
    <row r="645">
      <c r="B645" s="182"/>
      <c r="E645" s="261"/>
      <c r="G645" s="182"/>
      <c r="J645" s="67"/>
      <c r="K645" s="67"/>
      <c r="R645" s="67"/>
    </row>
    <row r="646">
      <c r="B646" s="182"/>
      <c r="E646" s="261"/>
      <c r="G646" s="182"/>
      <c r="J646" s="67"/>
      <c r="K646" s="67"/>
      <c r="R646" s="67"/>
    </row>
    <row r="647">
      <c r="B647" s="182"/>
      <c r="E647" s="261"/>
      <c r="G647" s="182"/>
      <c r="J647" s="67"/>
      <c r="K647" s="67"/>
      <c r="R647" s="67"/>
    </row>
    <row r="648">
      <c r="B648" s="182"/>
      <c r="E648" s="261"/>
      <c r="G648" s="182"/>
      <c r="J648" s="67"/>
      <c r="K648" s="67"/>
      <c r="R648" s="67"/>
    </row>
    <row r="649">
      <c r="B649" s="182"/>
      <c r="E649" s="261"/>
      <c r="G649" s="182"/>
      <c r="J649" s="67"/>
      <c r="K649" s="67"/>
      <c r="R649" s="67"/>
    </row>
    <row r="650">
      <c r="B650" s="182"/>
      <c r="E650" s="261"/>
      <c r="G650" s="182"/>
      <c r="J650" s="67"/>
      <c r="K650" s="67"/>
      <c r="R650" s="67"/>
    </row>
    <row r="651">
      <c r="B651" s="182"/>
      <c r="E651" s="261"/>
      <c r="G651" s="182"/>
      <c r="J651" s="67"/>
      <c r="K651" s="67"/>
      <c r="R651" s="67"/>
    </row>
    <row r="652">
      <c r="B652" s="182"/>
      <c r="E652" s="261"/>
      <c r="G652" s="182"/>
      <c r="J652" s="67"/>
      <c r="K652" s="67"/>
      <c r="R652" s="67"/>
    </row>
    <row r="653">
      <c r="B653" s="182"/>
      <c r="E653" s="261"/>
      <c r="G653" s="182"/>
      <c r="J653" s="67"/>
      <c r="K653" s="67"/>
      <c r="R653" s="67"/>
    </row>
    <row r="654">
      <c r="B654" s="182"/>
      <c r="E654" s="261"/>
      <c r="G654" s="182"/>
      <c r="J654" s="67"/>
      <c r="K654" s="67"/>
      <c r="R654" s="67"/>
    </row>
    <row r="655">
      <c r="B655" s="182"/>
      <c r="E655" s="261"/>
      <c r="G655" s="182"/>
      <c r="J655" s="67"/>
      <c r="K655" s="67"/>
      <c r="R655" s="67"/>
    </row>
    <row r="656">
      <c r="B656" s="182"/>
      <c r="E656" s="261"/>
      <c r="G656" s="182"/>
      <c r="J656" s="67"/>
      <c r="K656" s="67"/>
      <c r="R656" s="67"/>
    </row>
    <row r="657">
      <c r="B657" s="182"/>
      <c r="E657" s="261"/>
      <c r="G657" s="182"/>
      <c r="J657" s="67"/>
      <c r="K657" s="67"/>
      <c r="R657" s="67"/>
    </row>
    <row r="658">
      <c r="B658" s="182"/>
      <c r="E658" s="261"/>
      <c r="G658" s="182"/>
      <c r="J658" s="67"/>
      <c r="K658" s="67"/>
      <c r="R658" s="67"/>
    </row>
    <row r="659">
      <c r="B659" s="182"/>
      <c r="E659" s="261"/>
      <c r="G659" s="182"/>
      <c r="J659" s="67"/>
      <c r="K659" s="67"/>
      <c r="R659" s="67"/>
    </row>
    <row r="660">
      <c r="B660" s="182"/>
      <c r="E660" s="261"/>
      <c r="G660" s="182"/>
      <c r="J660" s="67"/>
      <c r="K660" s="67"/>
      <c r="R660" s="67"/>
    </row>
    <row r="661">
      <c r="B661" s="182"/>
      <c r="E661" s="261"/>
      <c r="G661" s="182"/>
      <c r="J661" s="67"/>
      <c r="K661" s="67"/>
      <c r="R661" s="67"/>
    </row>
    <row r="662">
      <c r="B662" s="182"/>
      <c r="E662" s="261"/>
      <c r="G662" s="182"/>
      <c r="J662" s="67"/>
      <c r="K662" s="67"/>
      <c r="R662" s="67"/>
    </row>
    <row r="663">
      <c r="B663" s="182"/>
      <c r="E663" s="261"/>
      <c r="G663" s="182"/>
      <c r="J663" s="67"/>
      <c r="K663" s="67"/>
      <c r="R663" s="67"/>
    </row>
    <row r="664">
      <c r="B664" s="182"/>
      <c r="E664" s="261"/>
      <c r="G664" s="182"/>
      <c r="J664" s="67"/>
      <c r="K664" s="67"/>
      <c r="R664" s="67"/>
    </row>
    <row r="665">
      <c r="B665" s="182"/>
      <c r="E665" s="261"/>
      <c r="G665" s="182"/>
      <c r="J665" s="67"/>
      <c r="K665" s="67"/>
      <c r="R665" s="67"/>
    </row>
    <row r="666">
      <c r="B666" s="182"/>
      <c r="E666" s="261"/>
      <c r="G666" s="182"/>
      <c r="J666" s="67"/>
      <c r="K666" s="67"/>
      <c r="R666" s="67"/>
    </row>
    <row r="667">
      <c r="B667" s="182"/>
      <c r="E667" s="261"/>
      <c r="G667" s="182"/>
      <c r="J667" s="67"/>
      <c r="K667" s="67"/>
      <c r="R667" s="67"/>
    </row>
    <row r="668">
      <c r="B668" s="182"/>
      <c r="E668" s="261"/>
      <c r="G668" s="182"/>
      <c r="J668" s="67"/>
      <c r="K668" s="67"/>
      <c r="R668" s="67"/>
    </row>
    <row r="669">
      <c r="B669" s="182"/>
      <c r="E669" s="261"/>
      <c r="G669" s="182"/>
      <c r="J669" s="67"/>
      <c r="K669" s="67"/>
      <c r="R669" s="67"/>
    </row>
    <row r="670">
      <c r="B670" s="182"/>
      <c r="E670" s="261"/>
      <c r="G670" s="182"/>
      <c r="J670" s="67"/>
      <c r="K670" s="67"/>
      <c r="R670" s="67"/>
    </row>
    <row r="671">
      <c r="B671" s="182"/>
      <c r="E671" s="261"/>
      <c r="G671" s="182"/>
      <c r="J671" s="67"/>
      <c r="K671" s="67"/>
      <c r="R671" s="67"/>
    </row>
    <row r="672">
      <c r="B672" s="182"/>
      <c r="E672" s="261"/>
      <c r="G672" s="182"/>
      <c r="J672" s="67"/>
      <c r="K672" s="67"/>
      <c r="R672" s="67"/>
    </row>
    <row r="673">
      <c r="B673" s="182"/>
      <c r="E673" s="261"/>
      <c r="G673" s="182"/>
      <c r="J673" s="67"/>
      <c r="K673" s="67"/>
      <c r="R673" s="67"/>
    </row>
    <row r="674">
      <c r="B674" s="182"/>
      <c r="E674" s="261"/>
      <c r="G674" s="182"/>
      <c r="J674" s="67"/>
      <c r="K674" s="67"/>
      <c r="R674" s="67"/>
    </row>
    <row r="675">
      <c r="B675" s="182"/>
      <c r="E675" s="261"/>
      <c r="G675" s="182"/>
      <c r="J675" s="67"/>
      <c r="K675" s="67"/>
      <c r="R675" s="67"/>
    </row>
    <row r="676">
      <c r="B676" s="182"/>
      <c r="E676" s="261"/>
      <c r="G676" s="182"/>
      <c r="J676" s="67"/>
      <c r="K676" s="67"/>
      <c r="R676" s="67"/>
    </row>
    <row r="677">
      <c r="B677" s="182"/>
      <c r="E677" s="261"/>
      <c r="G677" s="182"/>
      <c r="J677" s="67"/>
      <c r="K677" s="67"/>
      <c r="R677" s="67"/>
    </row>
    <row r="678">
      <c r="B678" s="182"/>
      <c r="E678" s="261"/>
      <c r="G678" s="182"/>
      <c r="J678" s="67"/>
      <c r="K678" s="67"/>
      <c r="R678" s="67"/>
    </row>
    <row r="679">
      <c r="B679" s="182"/>
      <c r="E679" s="261"/>
      <c r="G679" s="182"/>
      <c r="J679" s="67"/>
      <c r="K679" s="67"/>
      <c r="R679" s="67"/>
    </row>
    <row r="680">
      <c r="B680" s="182"/>
      <c r="E680" s="261"/>
      <c r="G680" s="182"/>
      <c r="J680" s="67"/>
      <c r="K680" s="67"/>
      <c r="R680" s="67"/>
    </row>
    <row r="681">
      <c r="B681" s="182"/>
      <c r="E681" s="261"/>
      <c r="G681" s="182"/>
      <c r="J681" s="67"/>
      <c r="K681" s="67"/>
      <c r="R681" s="67"/>
    </row>
    <row r="682">
      <c r="B682" s="182"/>
      <c r="E682" s="261"/>
      <c r="G682" s="182"/>
      <c r="J682" s="67"/>
      <c r="K682" s="67"/>
      <c r="R682" s="67"/>
    </row>
    <row r="683">
      <c r="B683" s="182"/>
      <c r="E683" s="261"/>
      <c r="G683" s="182"/>
      <c r="J683" s="67"/>
      <c r="K683" s="67"/>
      <c r="R683" s="67"/>
    </row>
    <row r="684">
      <c r="B684" s="182"/>
      <c r="E684" s="261"/>
      <c r="G684" s="182"/>
      <c r="J684" s="67"/>
      <c r="K684" s="67"/>
      <c r="R684" s="67"/>
    </row>
    <row r="685">
      <c r="B685" s="182"/>
      <c r="E685" s="261"/>
      <c r="G685" s="182"/>
      <c r="J685" s="67"/>
      <c r="K685" s="67"/>
      <c r="R685" s="67"/>
    </row>
    <row r="686">
      <c r="B686" s="182"/>
      <c r="E686" s="261"/>
      <c r="G686" s="182"/>
      <c r="J686" s="67"/>
      <c r="K686" s="67"/>
      <c r="R686" s="67"/>
    </row>
    <row r="687">
      <c r="B687" s="182"/>
      <c r="E687" s="261"/>
      <c r="G687" s="182"/>
      <c r="J687" s="67"/>
      <c r="K687" s="67"/>
      <c r="R687" s="67"/>
    </row>
    <row r="688">
      <c r="B688" s="182"/>
      <c r="E688" s="261"/>
      <c r="G688" s="182"/>
      <c r="J688" s="67"/>
      <c r="K688" s="67"/>
      <c r="R688" s="67"/>
    </row>
    <row r="689">
      <c r="B689" s="182"/>
      <c r="E689" s="261"/>
      <c r="G689" s="182"/>
      <c r="J689" s="67"/>
      <c r="K689" s="67"/>
      <c r="R689" s="67"/>
    </row>
    <row r="690">
      <c r="B690" s="182"/>
      <c r="E690" s="261"/>
      <c r="G690" s="182"/>
      <c r="J690" s="67"/>
      <c r="K690" s="67"/>
      <c r="R690" s="67"/>
    </row>
    <row r="691">
      <c r="B691" s="182"/>
      <c r="E691" s="261"/>
      <c r="G691" s="182"/>
      <c r="J691" s="67"/>
      <c r="K691" s="67"/>
      <c r="R691" s="67"/>
    </row>
    <row r="692">
      <c r="B692" s="182"/>
      <c r="E692" s="261"/>
      <c r="G692" s="182"/>
      <c r="J692" s="67"/>
      <c r="K692" s="67"/>
      <c r="R692" s="67"/>
    </row>
    <row r="693">
      <c r="B693" s="182"/>
      <c r="E693" s="261"/>
      <c r="G693" s="182"/>
      <c r="J693" s="67"/>
      <c r="K693" s="67"/>
      <c r="R693" s="67"/>
    </row>
    <row r="694">
      <c r="B694" s="182"/>
      <c r="E694" s="261"/>
      <c r="G694" s="182"/>
      <c r="J694" s="67"/>
      <c r="K694" s="67"/>
      <c r="R694" s="67"/>
    </row>
    <row r="695">
      <c r="B695" s="182"/>
      <c r="E695" s="261"/>
      <c r="G695" s="182"/>
      <c r="J695" s="67"/>
      <c r="K695" s="67"/>
      <c r="R695" s="67"/>
    </row>
    <row r="696">
      <c r="B696" s="182"/>
      <c r="E696" s="261"/>
      <c r="G696" s="182"/>
      <c r="J696" s="67"/>
      <c r="K696" s="67"/>
      <c r="R696" s="67"/>
    </row>
    <row r="697">
      <c r="B697" s="182"/>
      <c r="E697" s="261"/>
      <c r="G697" s="182"/>
      <c r="J697" s="67"/>
      <c r="K697" s="67"/>
      <c r="R697" s="67"/>
    </row>
    <row r="698">
      <c r="B698" s="182"/>
      <c r="E698" s="261"/>
      <c r="G698" s="182"/>
      <c r="J698" s="67"/>
      <c r="K698" s="67"/>
      <c r="R698" s="67"/>
    </row>
    <row r="699">
      <c r="B699" s="182"/>
      <c r="E699" s="261"/>
      <c r="G699" s="182"/>
      <c r="J699" s="67"/>
      <c r="K699" s="67"/>
      <c r="R699" s="67"/>
    </row>
    <row r="700">
      <c r="B700" s="182"/>
      <c r="E700" s="261"/>
      <c r="G700" s="182"/>
      <c r="J700" s="67"/>
      <c r="K700" s="67"/>
      <c r="R700" s="67"/>
    </row>
    <row r="701">
      <c r="B701" s="182"/>
      <c r="E701" s="261"/>
      <c r="G701" s="182"/>
      <c r="J701" s="67"/>
      <c r="K701" s="67"/>
      <c r="R701" s="67"/>
    </row>
    <row r="702">
      <c r="B702" s="182"/>
      <c r="E702" s="261"/>
      <c r="G702" s="182"/>
      <c r="J702" s="67"/>
      <c r="K702" s="67"/>
      <c r="R702" s="67"/>
    </row>
    <row r="703">
      <c r="B703" s="182"/>
      <c r="E703" s="261"/>
      <c r="G703" s="182"/>
      <c r="J703" s="67"/>
      <c r="K703" s="67"/>
      <c r="R703" s="67"/>
    </row>
    <row r="704">
      <c r="B704" s="182"/>
      <c r="E704" s="261"/>
      <c r="G704" s="182"/>
      <c r="J704" s="67"/>
      <c r="K704" s="67"/>
      <c r="R704" s="67"/>
    </row>
    <row r="705">
      <c r="B705" s="182"/>
      <c r="E705" s="261"/>
      <c r="G705" s="182"/>
      <c r="J705" s="67"/>
      <c r="K705" s="67"/>
      <c r="R705" s="67"/>
    </row>
    <row r="706">
      <c r="B706" s="182"/>
      <c r="E706" s="261"/>
      <c r="G706" s="182"/>
      <c r="J706" s="67"/>
      <c r="K706" s="67"/>
      <c r="R706" s="67"/>
    </row>
    <row r="707">
      <c r="B707" s="182"/>
      <c r="E707" s="261"/>
      <c r="G707" s="182"/>
      <c r="J707" s="67"/>
      <c r="K707" s="67"/>
      <c r="R707" s="67"/>
    </row>
    <row r="708">
      <c r="B708" s="182"/>
      <c r="E708" s="261"/>
      <c r="G708" s="182"/>
      <c r="J708" s="67"/>
      <c r="K708" s="67"/>
      <c r="R708" s="67"/>
    </row>
    <row r="709">
      <c r="B709" s="182"/>
      <c r="E709" s="261"/>
      <c r="G709" s="182"/>
      <c r="J709" s="67"/>
      <c r="K709" s="67"/>
      <c r="R709" s="67"/>
    </row>
    <row r="710">
      <c r="B710" s="182"/>
      <c r="E710" s="261"/>
      <c r="G710" s="182"/>
      <c r="J710" s="67"/>
      <c r="K710" s="67"/>
      <c r="R710" s="67"/>
    </row>
    <row r="711">
      <c r="B711" s="182"/>
      <c r="E711" s="261"/>
      <c r="G711" s="182"/>
      <c r="J711" s="67"/>
      <c r="K711" s="67"/>
      <c r="R711" s="67"/>
    </row>
    <row r="712">
      <c r="B712" s="182"/>
      <c r="E712" s="261"/>
      <c r="G712" s="182"/>
      <c r="J712" s="67"/>
      <c r="K712" s="67"/>
      <c r="R712" s="67"/>
    </row>
    <row r="713">
      <c r="B713" s="182"/>
      <c r="E713" s="261"/>
      <c r="G713" s="182"/>
      <c r="J713" s="67"/>
      <c r="K713" s="67"/>
      <c r="R713" s="67"/>
    </row>
    <row r="714">
      <c r="B714" s="182"/>
      <c r="E714" s="261"/>
      <c r="G714" s="182"/>
      <c r="J714" s="67"/>
      <c r="K714" s="67"/>
      <c r="R714" s="67"/>
    </row>
    <row r="715">
      <c r="B715" s="182"/>
      <c r="E715" s="261"/>
      <c r="G715" s="182"/>
      <c r="J715" s="67"/>
      <c r="K715" s="67"/>
      <c r="R715" s="67"/>
    </row>
    <row r="716">
      <c r="B716" s="182"/>
      <c r="E716" s="261"/>
      <c r="G716" s="182"/>
      <c r="J716" s="67"/>
      <c r="K716" s="67"/>
      <c r="R716" s="67"/>
    </row>
    <row r="717">
      <c r="B717" s="182"/>
      <c r="E717" s="261"/>
      <c r="G717" s="182"/>
      <c r="J717" s="67"/>
      <c r="K717" s="67"/>
      <c r="R717" s="67"/>
    </row>
    <row r="718">
      <c r="B718" s="182"/>
      <c r="E718" s="261"/>
      <c r="G718" s="182"/>
      <c r="J718" s="67"/>
      <c r="K718" s="67"/>
      <c r="R718" s="67"/>
    </row>
    <row r="719">
      <c r="B719" s="182"/>
      <c r="E719" s="261"/>
      <c r="G719" s="182"/>
      <c r="J719" s="67"/>
      <c r="K719" s="67"/>
      <c r="R719" s="67"/>
    </row>
    <row r="720">
      <c r="B720" s="182"/>
      <c r="E720" s="261"/>
      <c r="G720" s="182"/>
      <c r="J720" s="67"/>
      <c r="K720" s="67"/>
      <c r="R720" s="67"/>
    </row>
    <row r="721">
      <c r="B721" s="182"/>
      <c r="E721" s="261"/>
      <c r="G721" s="182"/>
      <c r="J721" s="67"/>
      <c r="K721" s="67"/>
      <c r="R721" s="67"/>
    </row>
    <row r="722">
      <c r="B722" s="182"/>
      <c r="E722" s="261"/>
      <c r="G722" s="182"/>
      <c r="J722" s="67"/>
      <c r="K722" s="67"/>
      <c r="R722" s="67"/>
    </row>
    <row r="723">
      <c r="B723" s="182"/>
      <c r="E723" s="261"/>
      <c r="G723" s="182"/>
      <c r="J723" s="67"/>
      <c r="K723" s="67"/>
      <c r="R723" s="67"/>
    </row>
    <row r="724">
      <c r="B724" s="182"/>
      <c r="E724" s="261"/>
      <c r="G724" s="182"/>
      <c r="J724" s="67"/>
      <c r="K724" s="67"/>
      <c r="R724" s="67"/>
    </row>
    <row r="725">
      <c r="B725" s="182"/>
      <c r="E725" s="261"/>
      <c r="G725" s="182"/>
      <c r="J725" s="67"/>
      <c r="K725" s="67"/>
      <c r="R725" s="67"/>
    </row>
    <row r="726">
      <c r="B726" s="182"/>
      <c r="E726" s="261"/>
      <c r="G726" s="182"/>
      <c r="J726" s="67"/>
      <c r="K726" s="67"/>
      <c r="R726" s="67"/>
    </row>
    <row r="727">
      <c r="B727" s="182"/>
      <c r="E727" s="261"/>
      <c r="G727" s="182"/>
      <c r="J727" s="67"/>
      <c r="K727" s="67"/>
      <c r="R727" s="67"/>
    </row>
    <row r="728">
      <c r="B728" s="182"/>
      <c r="E728" s="261"/>
      <c r="G728" s="182"/>
      <c r="J728" s="67"/>
      <c r="K728" s="67"/>
      <c r="R728" s="67"/>
    </row>
    <row r="729">
      <c r="B729" s="182"/>
      <c r="E729" s="261"/>
      <c r="G729" s="182"/>
      <c r="J729" s="67"/>
      <c r="K729" s="67"/>
      <c r="R729" s="67"/>
    </row>
    <row r="730">
      <c r="B730" s="182"/>
      <c r="E730" s="261"/>
      <c r="G730" s="182"/>
      <c r="J730" s="67"/>
      <c r="K730" s="67"/>
      <c r="R730" s="67"/>
    </row>
    <row r="731">
      <c r="B731" s="182"/>
      <c r="E731" s="261"/>
      <c r="G731" s="182"/>
      <c r="J731" s="67"/>
      <c r="K731" s="67"/>
      <c r="R731" s="67"/>
    </row>
    <row r="732">
      <c r="B732" s="182"/>
      <c r="E732" s="261"/>
      <c r="G732" s="182"/>
      <c r="J732" s="67"/>
      <c r="K732" s="67"/>
      <c r="R732" s="67"/>
    </row>
    <row r="733">
      <c r="B733" s="182"/>
      <c r="E733" s="261"/>
      <c r="G733" s="182"/>
      <c r="J733" s="67"/>
      <c r="K733" s="67"/>
      <c r="R733" s="67"/>
    </row>
    <row r="734">
      <c r="B734" s="182"/>
      <c r="E734" s="261"/>
      <c r="G734" s="182"/>
      <c r="J734" s="67"/>
      <c r="K734" s="67"/>
      <c r="R734" s="67"/>
    </row>
    <row r="735">
      <c r="B735" s="182"/>
      <c r="E735" s="261"/>
      <c r="G735" s="182"/>
      <c r="J735" s="67"/>
      <c r="K735" s="67"/>
      <c r="R735" s="67"/>
    </row>
    <row r="736">
      <c r="B736" s="182"/>
      <c r="E736" s="261"/>
      <c r="G736" s="182"/>
      <c r="J736" s="67"/>
      <c r="K736" s="67"/>
      <c r="R736" s="67"/>
    </row>
    <row r="737">
      <c r="B737" s="182"/>
      <c r="E737" s="261"/>
      <c r="G737" s="182"/>
      <c r="J737" s="67"/>
      <c r="K737" s="67"/>
      <c r="R737" s="67"/>
    </row>
    <row r="738">
      <c r="B738" s="182"/>
      <c r="E738" s="261"/>
      <c r="G738" s="182"/>
      <c r="J738" s="67"/>
      <c r="K738" s="67"/>
      <c r="R738" s="67"/>
    </row>
    <row r="739">
      <c r="B739" s="182"/>
      <c r="E739" s="261"/>
      <c r="G739" s="182"/>
      <c r="J739" s="67"/>
      <c r="K739" s="67"/>
      <c r="R739" s="67"/>
    </row>
    <row r="740">
      <c r="B740" s="182"/>
      <c r="E740" s="261"/>
      <c r="G740" s="182"/>
      <c r="J740" s="67"/>
      <c r="K740" s="67"/>
      <c r="R740" s="67"/>
    </row>
    <row r="741">
      <c r="B741" s="182"/>
      <c r="E741" s="261"/>
      <c r="G741" s="182"/>
      <c r="J741" s="67"/>
      <c r="K741" s="67"/>
      <c r="R741" s="67"/>
    </row>
    <row r="742">
      <c r="B742" s="182"/>
      <c r="E742" s="261"/>
      <c r="G742" s="182"/>
      <c r="J742" s="67"/>
      <c r="K742" s="67"/>
      <c r="R742" s="67"/>
    </row>
    <row r="743">
      <c r="B743" s="182"/>
      <c r="E743" s="261"/>
      <c r="G743" s="182"/>
      <c r="J743" s="67"/>
      <c r="K743" s="67"/>
      <c r="R743" s="67"/>
    </row>
    <row r="744">
      <c r="B744" s="182"/>
      <c r="E744" s="261"/>
      <c r="G744" s="182"/>
      <c r="J744" s="67"/>
      <c r="K744" s="67"/>
      <c r="R744" s="67"/>
    </row>
    <row r="745">
      <c r="B745" s="182"/>
      <c r="E745" s="261"/>
      <c r="G745" s="182"/>
      <c r="J745" s="67"/>
      <c r="K745" s="67"/>
      <c r="R745" s="67"/>
    </row>
    <row r="746">
      <c r="B746" s="182"/>
      <c r="E746" s="261"/>
      <c r="G746" s="182"/>
      <c r="J746" s="67"/>
      <c r="K746" s="67"/>
      <c r="R746" s="67"/>
    </row>
    <row r="747">
      <c r="B747" s="182"/>
      <c r="E747" s="261"/>
      <c r="G747" s="182"/>
      <c r="J747" s="67"/>
      <c r="K747" s="67"/>
      <c r="R747" s="67"/>
    </row>
    <row r="748">
      <c r="B748" s="182"/>
      <c r="E748" s="261"/>
      <c r="G748" s="182"/>
      <c r="J748" s="67"/>
      <c r="K748" s="67"/>
      <c r="R748" s="67"/>
    </row>
    <row r="749">
      <c r="B749" s="182"/>
      <c r="E749" s="261"/>
      <c r="G749" s="182"/>
      <c r="J749" s="67"/>
      <c r="K749" s="67"/>
      <c r="R749" s="67"/>
    </row>
    <row r="750">
      <c r="B750" s="182"/>
      <c r="E750" s="261"/>
      <c r="G750" s="182"/>
      <c r="J750" s="67"/>
      <c r="K750" s="67"/>
      <c r="R750" s="67"/>
    </row>
    <row r="751">
      <c r="B751" s="182"/>
      <c r="E751" s="261"/>
      <c r="G751" s="182"/>
      <c r="J751" s="67"/>
      <c r="K751" s="67"/>
      <c r="R751" s="67"/>
    </row>
    <row r="752">
      <c r="B752" s="182"/>
      <c r="E752" s="261"/>
      <c r="G752" s="182"/>
      <c r="J752" s="67"/>
      <c r="K752" s="67"/>
      <c r="R752" s="67"/>
    </row>
    <row r="753">
      <c r="B753" s="182"/>
      <c r="E753" s="261"/>
      <c r="G753" s="182"/>
      <c r="J753" s="67"/>
      <c r="K753" s="67"/>
      <c r="R753" s="67"/>
    </row>
    <row r="754">
      <c r="B754" s="182"/>
      <c r="E754" s="261"/>
      <c r="G754" s="182"/>
      <c r="J754" s="67"/>
      <c r="K754" s="67"/>
      <c r="R754" s="67"/>
    </row>
    <row r="755">
      <c r="B755" s="182"/>
      <c r="E755" s="261"/>
      <c r="G755" s="182"/>
      <c r="J755" s="67"/>
      <c r="K755" s="67"/>
      <c r="R755" s="67"/>
    </row>
    <row r="756">
      <c r="B756" s="182"/>
      <c r="E756" s="261"/>
      <c r="G756" s="182"/>
      <c r="J756" s="67"/>
      <c r="K756" s="67"/>
      <c r="R756" s="67"/>
    </row>
    <row r="757">
      <c r="B757" s="182"/>
      <c r="E757" s="261"/>
      <c r="G757" s="182"/>
      <c r="J757" s="67"/>
      <c r="K757" s="67"/>
      <c r="R757" s="67"/>
    </row>
    <row r="758">
      <c r="B758" s="182"/>
      <c r="E758" s="261"/>
      <c r="G758" s="182"/>
      <c r="J758" s="67"/>
      <c r="K758" s="67"/>
      <c r="R758" s="67"/>
    </row>
    <row r="759">
      <c r="B759" s="182"/>
      <c r="E759" s="261"/>
      <c r="G759" s="182"/>
      <c r="J759" s="67"/>
      <c r="K759" s="67"/>
      <c r="R759" s="67"/>
    </row>
    <row r="760">
      <c r="B760" s="182"/>
      <c r="E760" s="261"/>
      <c r="G760" s="182"/>
      <c r="J760" s="67"/>
      <c r="K760" s="67"/>
      <c r="R760" s="67"/>
    </row>
    <row r="761">
      <c r="B761" s="182"/>
      <c r="E761" s="261"/>
      <c r="G761" s="182"/>
      <c r="J761" s="67"/>
      <c r="K761" s="67"/>
      <c r="R761" s="67"/>
    </row>
    <row r="762">
      <c r="B762" s="182"/>
      <c r="E762" s="261"/>
      <c r="G762" s="182"/>
      <c r="J762" s="67"/>
      <c r="K762" s="67"/>
      <c r="R762" s="67"/>
    </row>
    <row r="763">
      <c r="B763" s="182"/>
      <c r="E763" s="261"/>
      <c r="G763" s="182"/>
      <c r="J763" s="67"/>
      <c r="K763" s="67"/>
      <c r="R763" s="67"/>
    </row>
    <row r="764">
      <c r="B764" s="182"/>
      <c r="E764" s="261"/>
      <c r="G764" s="182"/>
      <c r="J764" s="67"/>
      <c r="K764" s="67"/>
      <c r="R764" s="67"/>
    </row>
    <row r="765">
      <c r="B765" s="182"/>
      <c r="E765" s="261"/>
      <c r="G765" s="182"/>
      <c r="J765" s="67"/>
      <c r="K765" s="67"/>
      <c r="R765" s="67"/>
    </row>
    <row r="766">
      <c r="B766" s="182"/>
      <c r="E766" s="261"/>
      <c r="G766" s="182"/>
      <c r="J766" s="67"/>
      <c r="K766" s="67"/>
      <c r="R766" s="67"/>
    </row>
    <row r="767">
      <c r="B767" s="182"/>
      <c r="E767" s="261"/>
      <c r="G767" s="182"/>
      <c r="J767" s="67"/>
      <c r="K767" s="67"/>
      <c r="R767" s="67"/>
    </row>
    <row r="768">
      <c r="B768" s="182"/>
      <c r="E768" s="261"/>
      <c r="G768" s="182"/>
      <c r="J768" s="67"/>
      <c r="K768" s="67"/>
      <c r="R768" s="67"/>
    </row>
    <row r="769">
      <c r="B769" s="182"/>
      <c r="E769" s="261"/>
      <c r="G769" s="182"/>
      <c r="J769" s="67"/>
      <c r="K769" s="67"/>
      <c r="R769" s="67"/>
    </row>
    <row r="770">
      <c r="B770" s="182"/>
      <c r="E770" s="261"/>
      <c r="G770" s="182"/>
      <c r="J770" s="67"/>
      <c r="K770" s="67"/>
      <c r="R770" s="67"/>
    </row>
    <row r="771">
      <c r="B771" s="182"/>
      <c r="E771" s="261"/>
      <c r="G771" s="182"/>
      <c r="J771" s="67"/>
      <c r="K771" s="67"/>
      <c r="R771" s="67"/>
    </row>
    <row r="772">
      <c r="B772" s="182"/>
      <c r="E772" s="261"/>
      <c r="G772" s="182"/>
      <c r="J772" s="67"/>
      <c r="K772" s="67"/>
      <c r="R772" s="67"/>
    </row>
    <row r="773">
      <c r="B773" s="182"/>
      <c r="E773" s="261"/>
      <c r="G773" s="182"/>
      <c r="J773" s="67"/>
      <c r="K773" s="67"/>
      <c r="R773" s="67"/>
    </row>
    <row r="774">
      <c r="B774" s="182"/>
      <c r="E774" s="261"/>
      <c r="G774" s="182"/>
      <c r="J774" s="67"/>
      <c r="K774" s="67"/>
      <c r="R774" s="67"/>
    </row>
    <row r="775">
      <c r="B775" s="182"/>
      <c r="E775" s="261"/>
      <c r="G775" s="182"/>
      <c r="J775" s="67"/>
      <c r="K775" s="67"/>
      <c r="R775" s="67"/>
    </row>
    <row r="776">
      <c r="B776" s="182"/>
      <c r="E776" s="261"/>
      <c r="G776" s="182"/>
      <c r="J776" s="67"/>
      <c r="K776" s="67"/>
      <c r="R776" s="67"/>
    </row>
    <row r="777">
      <c r="B777" s="182"/>
      <c r="E777" s="261"/>
      <c r="G777" s="182"/>
      <c r="J777" s="67"/>
      <c r="K777" s="67"/>
      <c r="R777" s="67"/>
    </row>
    <row r="778">
      <c r="B778" s="182"/>
      <c r="E778" s="261"/>
      <c r="G778" s="182"/>
      <c r="J778" s="67"/>
      <c r="K778" s="67"/>
      <c r="R778" s="67"/>
    </row>
    <row r="779">
      <c r="B779" s="182"/>
      <c r="E779" s="261"/>
      <c r="G779" s="182"/>
      <c r="J779" s="67"/>
      <c r="K779" s="67"/>
      <c r="R779" s="67"/>
    </row>
    <row r="780">
      <c r="B780" s="182"/>
      <c r="E780" s="261"/>
      <c r="G780" s="182"/>
      <c r="J780" s="67"/>
      <c r="K780" s="67"/>
      <c r="R780" s="67"/>
    </row>
    <row r="781">
      <c r="B781" s="182"/>
      <c r="E781" s="261"/>
      <c r="G781" s="182"/>
      <c r="J781" s="67"/>
      <c r="K781" s="67"/>
      <c r="R781" s="67"/>
    </row>
    <row r="782">
      <c r="B782" s="182"/>
      <c r="E782" s="261"/>
      <c r="G782" s="182"/>
      <c r="J782" s="67"/>
      <c r="K782" s="67"/>
      <c r="R782" s="67"/>
    </row>
    <row r="783">
      <c r="B783" s="182"/>
      <c r="E783" s="261"/>
      <c r="G783" s="182"/>
      <c r="J783" s="67"/>
      <c r="K783" s="67"/>
      <c r="R783" s="67"/>
    </row>
    <row r="784">
      <c r="B784" s="182"/>
      <c r="E784" s="261"/>
      <c r="G784" s="182"/>
      <c r="J784" s="67"/>
      <c r="K784" s="67"/>
      <c r="R784" s="67"/>
    </row>
    <row r="785">
      <c r="B785" s="182"/>
      <c r="E785" s="261"/>
      <c r="G785" s="182"/>
      <c r="J785" s="67"/>
      <c r="K785" s="67"/>
      <c r="R785" s="67"/>
    </row>
    <row r="786">
      <c r="B786" s="182"/>
      <c r="E786" s="261"/>
      <c r="G786" s="182"/>
      <c r="J786" s="67"/>
      <c r="K786" s="67"/>
      <c r="R786" s="67"/>
    </row>
    <row r="787">
      <c r="B787" s="182"/>
      <c r="E787" s="261"/>
      <c r="G787" s="182"/>
      <c r="J787" s="67"/>
      <c r="K787" s="67"/>
      <c r="R787" s="67"/>
    </row>
    <row r="788">
      <c r="B788" s="182"/>
      <c r="E788" s="261"/>
      <c r="G788" s="182"/>
      <c r="J788" s="67"/>
      <c r="K788" s="67"/>
      <c r="R788" s="67"/>
    </row>
    <row r="789">
      <c r="B789" s="182"/>
      <c r="E789" s="261"/>
      <c r="G789" s="182"/>
      <c r="J789" s="67"/>
      <c r="K789" s="67"/>
      <c r="R789" s="67"/>
    </row>
    <row r="790">
      <c r="B790" s="182"/>
      <c r="E790" s="261"/>
      <c r="G790" s="182"/>
      <c r="J790" s="67"/>
      <c r="K790" s="67"/>
      <c r="R790" s="67"/>
    </row>
    <row r="791">
      <c r="B791" s="182"/>
      <c r="E791" s="261"/>
      <c r="G791" s="182"/>
      <c r="J791" s="67"/>
      <c r="K791" s="67"/>
      <c r="R791" s="67"/>
    </row>
    <row r="792">
      <c r="B792" s="182"/>
      <c r="E792" s="261"/>
      <c r="G792" s="182"/>
      <c r="J792" s="67"/>
      <c r="K792" s="67"/>
      <c r="R792" s="67"/>
    </row>
    <row r="793">
      <c r="B793" s="182"/>
      <c r="E793" s="261"/>
      <c r="G793" s="182"/>
      <c r="J793" s="67"/>
      <c r="K793" s="67"/>
      <c r="R793" s="67"/>
    </row>
    <row r="794">
      <c r="B794" s="182"/>
      <c r="E794" s="261"/>
      <c r="G794" s="182"/>
      <c r="J794" s="67"/>
      <c r="K794" s="67"/>
      <c r="R794" s="67"/>
    </row>
    <row r="795">
      <c r="B795" s="182"/>
      <c r="E795" s="261"/>
      <c r="G795" s="182"/>
      <c r="J795" s="67"/>
      <c r="K795" s="67"/>
      <c r="R795" s="67"/>
    </row>
    <row r="796">
      <c r="B796" s="182"/>
      <c r="E796" s="261"/>
      <c r="G796" s="182"/>
      <c r="J796" s="67"/>
      <c r="K796" s="67"/>
      <c r="R796" s="67"/>
    </row>
    <row r="797">
      <c r="B797" s="182"/>
      <c r="E797" s="261"/>
      <c r="G797" s="182"/>
      <c r="J797" s="67"/>
      <c r="K797" s="67"/>
      <c r="R797" s="67"/>
    </row>
    <row r="798">
      <c r="B798" s="182"/>
      <c r="E798" s="261"/>
      <c r="G798" s="182"/>
      <c r="J798" s="67"/>
      <c r="K798" s="67"/>
      <c r="R798" s="67"/>
    </row>
    <row r="799">
      <c r="B799" s="182"/>
      <c r="E799" s="261"/>
      <c r="G799" s="182"/>
      <c r="J799" s="67"/>
      <c r="K799" s="67"/>
      <c r="R799" s="67"/>
    </row>
    <row r="800">
      <c r="B800" s="182"/>
      <c r="E800" s="261"/>
      <c r="G800" s="182"/>
      <c r="J800" s="67"/>
      <c r="K800" s="67"/>
      <c r="R800" s="67"/>
    </row>
    <row r="801">
      <c r="B801" s="182"/>
      <c r="E801" s="261"/>
      <c r="G801" s="182"/>
      <c r="J801" s="67"/>
      <c r="K801" s="67"/>
      <c r="R801" s="67"/>
    </row>
    <row r="802">
      <c r="B802" s="182"/>
      <c r="E802" s="261"/>
      <c r="G802" s="182"/>
      <c r="J802" s="67"/>
      <c r="K802" s="67"/>
      <c r="R802" s="67"/>
    </row>
    <row r="803">
      <c r="B803" s="182"/>
      <c r="E803" s="261"/>
      <c r="G803" s="182"/>
      <c r="J803" s="67"/>
      <c r="K803" s="67"/>
      <c r="R803" s="67"/>
    </row>
    <row r="804">
      <c r="B804" s="182"/>
      <c r="E804" s="261"/>
      <c r="G804" s="182"/>
      <c r="J804" s="67"/>
      <c r="K804" s="67"/>
      <c r="R804" s="67"/>
    </row>
    <row r="805">
      <c r="B805" s="182"/>
      <c r="E805" s="261"/>
      <c r="G805" s="182"/>
      <c r="J805" s="67"/>
      <c r="K805" s="67"/>
      <c r="R805" s="67"/>
    </row>
    <row r="806">
      <c r="B806" s="182"/>
      <c r="E806" s="261"/>
      <c r="G806" s="182"/>
      <c r="J806" s="67"/>
      <c r="K806" s="67"/>
      <c r="R806" s="67"/>
    </row>
    <row r="807">
      <c r="B807" s="182"/>
      <c r="E807" s="261"/>
      <c r="G807" s="182"/>
      <c r="J807" s="67"/>
      <c r="K807" s="67"/>
      <c r="R807" s="67"/>
    </row>
    <row r="808">
      <c r="B808" s="182"/>
      <c r="E808" s="261"/>
      <c r="G808" s="182"/>
      <c r="J808" s="67"/>
      <c r="K808" s="67"/>
      <c r="R808" s="67"/>
    </row>
    <row r="809">
      <c r="B809" s="182"/>
      <c r="E809" s="261"/>
      <c r="G809" s="182"/>
      <c r="J809" s="67"/>
      <c r="K809" s="67"/>
      <c r="R809" s="67"/>
    </row>
    <row r="810">
      <c r="B810" s="182"/>
      <c r="E810" s="261"/>
      <c r="G810" s="182"/>
      <c r="J810" s="67"/>
      <c r="K810" s="67"/>
      <c r="R810" s="67"/>
    </row>
    <row r="811">
      <c r="B811" s="182"/>
      <c r="E811" s="261"/>
      <c r="G811" s="182"/>
      <c r="J811" s="67"/>
      <c r="K811" s="67"/>
      <c r="R811" s="67"/>
    </row>
    <row r="812">
      <c r="B812" s="182"/>
      <c r="E812" s="261"/>
      <c r="G812" s="182"/>
      <c r="J812" s="67"/>
      <c r="K812" s="67"/>
      <c r="R812" s="67"/>
    </row>
    <row r="813">
      <c r="B813" s="182"/>
      <c r="E813" s="261"/>
      <c r="G813" s="182"/>
      <c r="J813" s="67"/>
      <c r="K813" s="67"/>
      <c r="R813" s="67"/>
    </row>
    <row r="814">
      <c r="B814" s="182"/>
      <c r="E814" s="261"/>
      <c r="G814" s="182"/>
      <c r="J814" s="67"/>
      <c r="K814" s="67"/>
      <c r="R814" s="67"/>
    </row>
    <row r="815">
      <c r="B815" s="182"/>
      <c r="E815" s="261"/>
      <c r="G815" s="182"/>
      <c r="J815" s="67"/>
      <c r="K815" s="67"/>
      <c r="R815" s="67"/>
    </row>
    <row r="816">
      <c r="B816" s="182"/>
      <c r="E816" s="261"/>
      <c r="G816" s="182"/>
      <c r="J816" s="67"/>
      <c r="K816" s="67"/>
      <c r="R816" s="67"/>
    </row>
    <row r="817">
      <c r="B817" s="182"/>
      <c r="E817" s="261"/>
      <c r="G817" s="182"/>
      <c r="J817" s="67"/>
      <c r="K817" s="67"/>
      <c r="R817" s="67"/>
    </row>
    <row r="818">
      <c r="B818" s="182"/>
      <c r="E818" s="261"/>
      <c r="G818" s="182"/>
      <c r="J818" s="67"/>
      <c r="K818" s="67"/>
      <c r="R818" s="67"/>
    </row>
    <row r="819">
      <c r="B819" s="182"/>
      <c r="E819" s="261"/>
      <c r="G819" s="182"/>
      <c r="J819" s="67"/>
      <c r="K819" s="67"/>
      <c r="R819" s="67"/>
    </row>
    <row r="820">
      <c r="B820" s="182"/>
      <c r="E820" s="261"/>
      <c r="G820" s="182"/>
      <c r="J820" s="67"/>
      <c r="K820" s="67"/>
      <c r="R820" s="67"/>
    </row>
    <row r="821">
      <c r="B821" s="182"/>
      <c r="E821" s="261"/>
      <c r="G821" s="182"/>
      <c r="J821" s="67"/>
      <c r="K821" s="67"/>
      <c r="R821" s="67"/>
    </row>
    <row r="822">
      <c r="B822" s="182"/>
      <c r="E822" s="261"/>
      <c r="G822" s="182"/>
      <c r="J822" s="67"/>
      <c r="K822" s="67"/>
      <c r="R822" s="67"/>
    </row>
    <row r="823">
      <c r="B823" s="182"/>
      <c r="E823" s="261"/>
      <c r="G823" s="182"/>
      <c r="J823" s="67"/>
      <c r="K823" s="67"/>
      <c r="R823" s="67"/>
    </row>
    <row r="824">
      <c r="B824" s="182"/>
      <c r="E824" s="261"/>
      <c r="G824" s="182"/>
      <c r="J824" s="67"/>
      <c r="K824" s="67"/>
      <c r="R824" s="67"/>
    </row>
    <row r="825">
      <c r="B825" s="182"/>
      <c r="E825" s="261"/>
      <c r="G825" s="182"/>
      <c r="J825" s="67"/>
      <c r="K825" s="67"/>
      <c r="R825" s="67"/>
    </row>
    <row r="826">
      <c r="B826" s="182"/>
      <c r="E826" s="261"/>
      <c r="G826" s="182"/>
      <c r="J826" s="67"/>
      <c r="K826" s="67"/>
      <c r="R826" s="67"/>
    </row>
    <row r="827">
      <c r="B827" s="182"/>
      <c r="E827" s="261"/>
      <c r="G827" s="182"/>
      <c r="J827" s="67"/>
      <c r="K827" s="67"/>
      <c r="R827" s="67"/>
    </row>
    <row r="828">
      <c r="B828" s="182"/>
      <c r="E828" s="261"/>
      <c r="G828" s="182"/>
      <c r="J828" s="67"/>
      <c r="K828" s="67"/>
      <c r="R828" s="67"/>
    </row>
    <row r="829">
      <c r="B829" s="182"/>
      <c r="E829" s="261"/>
      <c r="G829" s="182"/>
      <c r="J829" s="67"/>
      <c r="K829" s="67"/>
      <c r="R829" s="67"/>
    </row>
    <row r="830">
      <c r="B830" s="182"/>
      <c r="E830" s="261"/>
      <c r="G830" s="182"/>
      <c r="J830" s="67"/>
      <c r="K830" s="67"/>
      <c r="R830" s="67"/>
    </row>
    <row r="831">
      <c r="B831" s="182"/>
      <c r="E831" s="261"/>
      <c r="G831" s="182"/>
      <c r="J831" s="67"/>
      <c r="K831" s="67"/>
      <c r="R831" s="67"/>
    </row>
    <row r="832">
      <c r="B832" s="182"/>
      <c r="E832" s="261"/>
      <c r="G832" s="182"/>
      <c r="J832" s="67"/>
      <c r="K832" s="67"/>
      <c r="R832" s="67"/>
    </row>
    <row r="833">
      <c r="B833" s="182"/>
      <c r="E833" s="261"/>
      <c r="G833" s="182"/>
      <c r="J833" s="67"/>
      <c r="K833" s="67"/>
      <c r="R833" s="67"/>
    </row>
    <row r="834">
      <c r="B834" s="182"/>
      <c r="E834" s="261"/>
      <c r="G834" s="182"/>
      <c r="J834" s="67"/>
      <c r="K834" s="67"/>
      <c r="R834" s="67"/>
    </row>
    <row r="835">
      <c r="B835" s="182"/>
      <c r="E835" s="261"/>
      <c r="G835" s="182"/>
      <c r="J835" s="67"/>
      <c r="K835" s="67"/>
      <c r="R835" s="67"/>
    </row>
    <row r="836">
      <c r="B836" s="182"/>
      <c r="E836" s="261"/>
      <c r="G836" s="182"/>
      <c r="J836" s="67"/>
      <c r="K836" s="67"/>
      <c r="R836" s="67"/>
    </row>
    <row r="837">
      <c r="B837" s="182"/>
      <c r="E837" s="261"/>
      <c r="G837" s="182"/>
      <c r="J837" s="67"/>
      <c r="K837" s="67"/>
      <c r="R837" s="67"/>
    </row>
    <row r="838">
      <c r="B838" s="182"/>
      <c r="E838" s="261"/>
      <c r="G838" s="182"/>
      <c r="J838" s="67"/>
      <c r="K838" s="67"/>
      <c r="R838" s="67"/>
    </row>
    <row r="839">
      <c r="B839" s="182"/>
      <c r="E839" s="261"/>
      <c r="G839" s="182"/>
      <c r="J839" s="67"/>
      <c r="K839" s="67"/>
      <c r="R839" s="67"/>
    </row>
    <row r="840">
      <c r="B840" s="182"/>
      <c r="E840" s="261"/>
      <c r="G840" s="182"/>
      <c r="J840" s="67"/>
      <c r="K840" s="67"/>
      <c r="R840" s="67"/>
    </row>
    <row r="841">
      <c r="B841" s="182"/>
      <c r="E841" s="261"/>
      <c r="G841" s="182"/>
      <c r="J841" s="67"/>
      <c r="K841" s="67"/>
      <c r="R841" s="67"/>
    </row>
    <row r="842">
      <c r="B842" s="182"/>
      <c r="E842" s="261"/>
      <c r="G842" s="182"/>
      <c r="J842" s="67"/>
      <c r="K842" s="67"/>
      <c r="R842" s="67"/>
    </row>
    <row r="843">
      <c r="B843" s="182"/>
      <c r="E843" s="261"/>
      <c r="G843" s="182"/>
      <c r="J843" s="67"/>
      <c r="K843" s="67"/>
      <c r="R843" s="67"/>
    </row>
    <row r="844">
      <c r="B844" s="182"/>
      <c r="E844" s="261"/>
      <c r="G844" s="182"/>
      <c r="J844" s="67"/>
      <c r="K844" s="67"/>
      <c r="R844" s="67"/>
    </row>
    <row r="845">
      <c r="B845" s="182"/>
      <c r="E845" s="261"/>
      <c r="G845" s="182"/>
      <c r="J845" s="67"/>
      <c r="K845" s="67"/>
      <c r="R845" s="67"/>
    </row>
    <row r="846">
      <c r="B846" s="182"/>
      <c r="E846" s="261"/>
      <c r="G846" s="182"/>
      <c r="J846" s="67"/>
      <c r="K846" s="67"/>
      <c r="R846" s="67"/>
    </row>
    <row r="847">
      <c r="B847" s="182"/>
      <c r="E847" s="261"/>
      <c r="G847" s="182"/>
      <c r="J847" s="67"/>
      <c r="K847" s="67"/>
      <c r="R847" s="67"/>
    </row>
    <row r="848">
      <c r="B848" s="182"/>
      <c r="E848" s="261"/>
      <c r="G848" s="182"/>
      <c r="J848" s="67"/>
      <c r="K848" s="67"/>
      <c r="R848" s="67"/>
    </row>
    <row r="849">
      <c r="B849" s="182"/>
      <c r="E849" s="261"/>
      <c r="G849" s="182"/>
      <c r="J849" s="67"/>
      <c r="K849" s="67"/>
      <c r="R849" s="67"/>
    </row>
    <row r="850">
      <c r="B850" s="182"/>
      <c r="E850" s="261"/>
      <c r="G850" s="182"/>
      <c r="J850" s="67"/>
      <c r="K850" s="67"/>
      <c r="R850" s="67"/>
    </row>
    <row r="851">
      <c r="B851" s="182"/>
      <c r="E851" s="261"/>
      <c r="G851" s="182"/>
      <c r="J851" s="67"/>
      <c r="K851" s="67"/>
      <c r="R851" s="67"/>
    </row>
    <row r="852">
      <c r="B852" s="182"/>
      <c r="E852" s="261"/>
      <c r="G852" s="182"/>
      <c r="J852" s="67"/>
      <c r="K852" s="67"/>
      <c r="R852" s="67"/>
    </row>
    <row r="853">
      <c r="B853" s="182"/>
      <c r="E853" s="261"/>
      <c r="G853" s="182"/>
      <c r="J853" s="67"/>
      <c r="K853" s="67"/>
      <c r="R853" s="67"/>
    </row>
    <row r="854">
      <c r="B854" s="182"/>
      <c r="E854" s="261"/>
      <c r="G854" s="182"/>
      <c r="J854" s="67"/>
      <c r="K854" s="67"/>
      <c r="R854" s="67"/>
    </row>
    <row r="855">
      <c r="B855" s="182"/>
      <c r="E855" s="261"/>
      <c r="G855" s="182"/>
      <c r="J855" s="67"/>
      <c r="K855" s="67"/>
      <c r="R855" s="67"/>
    </row>
    <row r="856">
      <c r="B856" s="182"/>
      <c r="E856" s="261"/>
      <c r="G856" s="182"/>
      <c r="J856" s="67"/>
      <c r="K856" s="67"/>
      <c r="R856" s="67"/>
    </row>
    <row r="857">
      <c r="B857" s="182"/>
      <c r="E857" s="261"/>
      <c r="G857" s="182"/>
      <c r="J857" s="67"/>
      <c r="K857" s="67"/>
      <c r="R857" s="67"/>
    </row>
    <row r="858">
      <c r="B858" s="182"/>
      <c r="E858" s="261"/>
      <c r="G858" s="182"/>
      <c r="J858" s="67"/>
      <c r="K858" s="67"/>
      <c r="R858" s="67"/>
    </row>
    <row r="859">
      <c r="B859" s="182"/>
      <c r="E859" s="261"/>
      <c r="G859" s="182"/>
      <c r="J859" s="67"/>
      <c r="K859" s="67"/>
      <c r="R859" s="67"/>
    </row>
    <row r="860">
      <c r="B860" s="182"/>
      <c r="E860" s="261"/>
      <c r="G860" s="182"/>
      <c r="J860" s="67"/>
      <c r="K860" s="67"/>
      <c r="R860" s="67"/>
    </row>
    <row r="861">
      <c r="B861" s="182"/>
      <c r="E861" s="261"/>
      <c r="G861" s="182"/>
      <c r="J861" s="67"/>
      <c r="K861" s="67"/>
      <c r="R861" s="67"/>
    </row>
    <row r="862">
      <c r="B862" s="182"/>
      <c r="E862" s="261"/>
      <c r="G862" s="182"/>
      <c r="J862" s="67"/>
      <c r="K862" s="67"/>
      <c r="R862" s="67"/>
    </row>
    <row r="863">
      <c r="B863" s="182"/>
      <c r="E863" s="261"/>
      <c r="G863" s="182"/>
      <c r="J863" s="67"/>
      <c r="K863" s="67"/>
      <c r="R863" s="67"/>
    </row>
    <row r="864">
      <c r="B864" s="182"/>
      <c r="E864" s="261"/>
      <c r="G864" s="182"/>
      <c r="J864" s="67"/>
      <c r="K864" s="67"/>
      <c r="R864" s="67"/>
    </row>
    <row r="865">
      <c r="B865" s="182"/>
      <c r="E865" s="261"/>
      <c r="G865" s="182"/>
      <c r="J865" s="67"/>
      <c r="K865" s="67"/>
      <c r="R865" s="67"/>
    </row>
    <row r="866">
      <c r="B866" s="182"/>
      <c r="E866" s="261"/>
      <c r="G866" s="182"/>
      <c r="J866" s="67"/>
      <c r="K866" s="67"/>
      <c r="R866" s="67"/>
    </row>
    <row r="867">
      <c r="B867" s="182"/>
      <c r="E867" s="261"/>
      <c r="G867" s="182"/>
      <c r="J867" s="67"/>
      <c r="K867" s="67"/>
      <c r="R867" s="67"/>
    </row>
    <row r="868">
      <c r="B868" s="182"/>
      <c r="E868" s="261"/>
      <c r="G868" s="182"/>
      <c r="J868" s="67"/>
      <c r="K868" s="67"/>
      <c r="R868" s="67"/>
    </row>
    <row r="869">
      <c r="B869" s="182"/>
      <c r="E869" s="261"/>
      <c r="G869" s="182"/>
      <c r="J869" s="67"/>
      <c r="K869" s="67"/>
      <c r="R869" s="67"/>
    </row>
    <row r="870">
      <c r="B870" s="182"/>
      <c r="E870" s="261"/>
      <c r="G870" s="182"/>
      <c r="J870" s="67"/>
      <c r="K870" s="67"/>
      <c r="R870" s="67"/>
    </row>
    <row r="871">
      <c r="B871" s="182"/>
      <c r="E871" s="261"/>
      <c r="G871" s="182"/>
      <c r="J871" s="67"/>
      <c r="K871" s="67"/>
      <c r="R871" s="67"/>
    </row>
    <row r="872">
      <c r="B872" s="182"/>
      <c r="E872" s="261"/>
      <c r="G872" s="182"/>
      <c r="J872" s="67"/>
      <c r="K872" s="67"/>
      <c r="R872" s="67"/>
    </row>
    <row r="873">
      <c r="B873" s="182"/>
      <c r="E873" s="261"/>
      <c r="G873" s="182"/>
      <c r="J873" s="67"/>
      <c r="K873" s="67"/>
      <c r="R873" s="67"/>
    </row>
    <row r="874">
      <c r="B874" s="182"/>
      <c r="E874" s="261"/>
      <c r="G874" s="182"/>
      <c r="J874" s="67"/>
      <c r="K874" s="67"/>
      <c r="R874" s="67"/>
    </row>
    <row r="875">
      <c r="B875" s="182"/>
      <c r="E875" s="261"/>
      <c r="G875" s="182"/>
      <c r="J875" s="67"/>
      <c r="K875" s="67"/>
      <c r="R875" s="67"/>
    </row>
    <row r="876">
      <c r="B876" s="182"/>
      <c r="E876" s="261"/>
      <c r="G876" s="182"/>
      <c r="J876" s="67"/>
      <c r="K876" s="67"/>
      <c r="R876" s="67"/>
    </row>
    <row r="877">
      <c r="B877" s="182"/>
      <c r="E877" s="261"/>
      <c r="G877" s="182"/>
      <c r="J877" s="67"/>
      <c r="K877" s="67"/>
      <c r="R877" s="67"/>
    </row>
    <row r="878">
      <c r="B878" s="182"/>
      <c r="E878" s="261"/>
      <c r="G878" s="182"/>
      <c r="J878" s="67"/>
      <c r="K878" s="67"/>
      <c r="R878" s="67"/>
    </row>
    <row r="879">
      <c r="B879" s="182"/>
      <c r="E879" s="261"/>
      <c r="G879" s="182"/>
      <c r="J879" s="67"/>
      <c r="K879" s="67"/>
      <c r="R879" s="67"/>
    </row>
    <row r="880">
      <c r="B880" s="182"/>
      <c r="E880" s="261"/>
      <c r="G880" s="182"/>
      <c r="J880" s="67"/>
      <c r="K880" s="67"/>
      <c r="R880" s="67"/>
    </row>
    <row r="881">
      <c r="B881" s="182"/>
      <c r="E881" s="261"/>
      <c r="G881" s="182"/>
      <c r="J881" s="67"/>
      <c r="K881" s="67"/>
      <c r="R881" s="67"/>
    </row>
    <row r="882">
      <c r="B882" s="182"/>
      <c r="E882" s="261"/>
      <c r="G882" s="182"/>
      <c r="J882" s="67"/>
      <c r="K882" s="67"/>
      <c r="R882" s="67"/>
    </row>
    <row r="883">
      <c r="B883" s="182"/>
      <c r="E883" s="261"/>
      <c r="G883" s="182"/>
      <c r="J883" s="67"/>
      <c r="K883" s="67"/>
      <c r="R883" s="67"/>
    </row>
    <row r="884">
      <c r="B884" s="182"/>
      <c r="E884" s="261"/>
      <c r="G884" s="182"/>
      <c r="J884" s="67"/>
      <c r="K884" s="67"/>
      <c r="R884" s="67"/>
    </row>
    <row r="885">
      <c r="B885" s="182"/>
      <c r="E885" s="261"/>
      <c r="G885" s="182"/>
      <c r="J885" s="67"/>
      <c r="K885" s="67"/>
      <c r="R885" s="67"/>
    </row>
    <row r="886">
      <c r="B886" s="182"/>
      <c r="E886" s="261"/>
      <c r="G886" s="182"/>
      <c r="J886" s="67"/>
      <c r="K886" s="67"/>
      <c r="R886" s="67"/>
    </row>
    <row r="887">
      <c r="B887" s="182"/>
      <c r="E887" s="261"/>
      <c r="G887" s="182"/>
      <c r="J887" s="67"/>
      <c r="K887" s="67"/>
      <c r="R887" s="67"/>
    </row>
    <row r="888">
      <c r="B888" s="182"/>
      <c r="E888" s="261"/>
      <c r="G888" s="182"/>
      <c r="J888" s="67"/>
      <c r="K888" s="67"/>
      <c r="R888" s="67"/>
    </row>
    <row r="889">
      <c r="B889" s="182"/>
      <c r="E889" s="261"/>
      <c r="G889" s="182"/>
      <c r="J889" s="67"/>
      <c r="K889" s="67"/>
      <c r="R889" s="67"/>
    </row>
    <row r="890">
      <c r="B890" s="182"/>
      <c r="E890" s="261"/>
      <c r="G890" s="182"/>
      <c r="J890" s="67"/>
      <c r="K890" s="67"/>
      <c r="R890" s="67"/>
    </row>
    <row r="891">
      <c r="B891" s="182"/>
      <c r="E891" s="261"/>
      <c r="G891" s="182"/>
      <c r="J891" s="67"/>
      <c r="K891" s="67"/>
      <c r="R891" s="67"/>
    </row>
    <row r="892">
      <c r="B892" s="182"/>
      <c r="E892" s="261"/>
      <c r="G892" s="182"/>
      <c r="J892" s="67"/>
      <c r="K892" s="67"/>
      <c r="R892" s="67"/>
    </row>
    <row r="893">
      <c r="B893" s="182"/>
      <c r="E893" s="261"/>
      <c r="G893" s="182"/>
      <c r="J893" s="67"/>
      <c r="K893" s="67"/>
      <c r="R893" s="67"/>
    </row>
    <row r="894">
      <c r="B894" s="182"/>
      <c r="E894" s="261"/>
      <c r="G894" s="182"/>
      <c r="J894" s="67"/>
      <c r="K894" s="67"/>
      <c r="R894" s="67"/>
    </row>
    <row r="895">
      <c r="B895" s="182"/>
      <c r="E895" s="261"/>
      <c r="G895" s="182"/>
      <c r="J895" s="67"/>
      <c r="K895" s="67"/>
      <c r="R895" s="67"/>
    </row>
    <row r="896">
      <c r="B896" s="182"/>
      <c r="E896" s="261"/>
      <c r="G896" s="182"/>
      <c r="J896" s="67"/>
      <c r="K896" s="67"/>
      <c r="R896" s="67"/>
    </row>
    <row r="897">
      <c r="B897" s="182"/>
      <c r="E897" s="261"/>
      <c r="G897" s="182"/>
      <c r="J897" s="67"/>
      <c r="K897" s="67"/>
      <c r="R897" s="67"/>
    </row>
    <row r="898">
      <c r="B898" s="182"/>
      <c r="E898" s="261"/>
      <c r="G898" s="182"/>
      <c r="J898" s="67"/>
      <c r="K898" s="67"/>
      <c r="R898" s="67"/>
    </row>
    <row r="899">
      <c r="B899" s="182"/>
      <c r="E899" s="261"/>
      <c r="G899" s="182"/>
      <c r="J899" s="67"/>
      <c r="K899" s="67"/>
      <c r="R899" s="67"/>
    </row>
    <row r="900">
      <c r="B900" s="182"/>
      <c r="E900" s="261"/>
      <c r="G900" s="182"/>
      <c r="J900" s="67"/>
      <c r="K900" s="67"/>
      <c r="R900" s="67"/>
    </row>
    <row r="901">
      <c r="B901" s="182"/>
      <c r="E901" s="261"/>
      <c r="G901" s="182"/>
      <c r="J901" s="67"/>
      <c r="K901" s="67"/>
      <c r="R901" s="67"/>
    </row>
    <row r="902">
      <c r="B902" s="182"/>
      <c r="E902" s="261"/>
      <c r="G902" s="182"/>
      <c r="J902" s="67"/>
      <c r="K902" s="67"/>
      <c r="R902" s="67"/>
    </row>
    <row r="903">
      <c r="B903" s="182"/>
      <c r="E903" s="261"/>
      <c r="G903" s="182"/>
      <c r="J903" s="67"/>
      <c r="K903" s="67"/>
      <c r="R903" s="67"/>
    </row>
    <row r="904">
      <c r="B904" s="182"/>
      <c r="E904" s="261"/>
      <c r="G904" s="182"/>
      <c r="J904" s="67"/>
      <c r="K904" s="67"/>
      <c r="R904" s="67"/>
    </row>
    <row r="905">
      <c r="B905" s="182"/>
      <c r="E905" s="261"/>
      <c r="G905" s="182"/>
      <c r="J905" s="67"/>
      <c r="K905" s="67"/>
      <c r="R905" s="67"/>
    </row>
    <row r="906">
      <c r="B906" s="182"/>
      <c r="E906" s="261"/>
      <c r="G906" s="182"/>
      <c r="J906" s="67"/>
      <c r="K906" s="67"/>
      <c r="R906" s="67"/>
    </row>
    <row r="907">
      <c r="B907" s="182"/>
      <c r="E907" s="261"/>
      <c r="G907" s="182"/>
      <c r="J907" s="67"/>
      <c r="K907" s="67"/>
      <c r="R907" s="67"/>
    </row>
    <row r="908">
      <c r="B908" s="182"/>
      <c r="E908" s="261"/>
      <c r="G908" s="182"/>
      <c r="J908" s="67"/>
      <c r="K908" s="67"/>
      <c r="R908" s="67"/>
    </row>
    <row r="909">
      <c r="B909" s="182"/>
      <c r="E909" s="261"/>
      <c r="G909" s="182"/>
      <c r="J909" s="67"/>
      <c r="K909" s="67"/>
      <c r="R909" s="67"/>
    </row>
    <row r="910">
      <c r="B910" s="182"/>
      <c r="E910" s="261"/>
      <c r="G910" s="182"/>
      <c r="J910" s="67"/>
      <c r="K910" s="67"/>
      <c r="R910" s="67"/>
    </row>
    <row r="911">
      <c r="B911" s="182"/>
      <c r="E911" s="261"/>
      <c r="G911" s="182"/>
      <c r="J911" s="67"/>
      <c r="K911" s="67"/>
      <c r="R911" s="67"/>
    </row>
    <row r="912">
      <c r="B912" s="182"/>
      <c r="E912" s="261"/>
      <c r="G912" s="182"/>
      <c r="J912" s="67"/>
      <c r="K912" s="67"/>
      <c r="R912" s="67"/>
    </row>
    <row r="913">
      <c r="B913" s="182"/>
      <c r="E913" s="261"/>
      <c r="G913" s="182"/>
      <c r="J913" s="67"/>
      <c r="K913" s="67"/>
      <c r="R913" s="67"/>
    </row>
    <row r="914">
      <c r="B914" s="182"/>
      <c r="E914" s="261"/>
      <c r="G914" s="182"/>
      <c r="J914" s="67"/>
      <c r="K914" s="67"/>
      <c r="R914" s="67"/>
    </row>
    <row r="915">
      <c r="B915" s="182"/>
      <c r="E915" s="261"/>
      <c r="G915" s="182"/>
      <c r="J915" s="67"/>
      <c r="K915" s="67"/>
      <c r="R915" s="67"/>
    </row>
    <row r="916">
      <c r="B916" s="182"/>
      <c r="E916" s="261"/>
      <c r="G916" s="182"/>
      <c r="J916" s="67"/>
      <c r="K916" s="67"/>
      <c r="R916" s="67"/>
    </row>
    <row r="917">
      <c r="B917" s="182"/>
      <c r="E917" s="261"/>
      <c r="G917" s="182"/>
      <c r="J917" s="67"/>
      <c r="K917" s="67"/>
      <c r="R917" s="67"/>
    </row>
    <row r="918">
      <c r="B918" s="182"/>
      <c r="E918" s="261"/>
      <c r="G918" s="182"/>
      <c r="J918" s="67"/>
      <c r="K918" s="67"/>
      <c r="R918" s="67"/>
    </row>
    <row r="919">
      <c r="B919" s="182"/>
      <c r="E919" s="261"/>
      <c r="G919" s="182"/>
      <c r="J919" s="67"/>
      <c r="K919" s="67"/>
      <c r="R919" s="67"/>
    </row>
    <row r="920">
      <c r="B920" s="182"/>
      <c r="E920" s="261"/>
      <c r="G920" s="182"/>
      <c r="J920" s="67"/>
      <c r="K920" s="67"/>
      <c r="R920" s="67"/>
    </row>
    <row r="921">
      <c r="B921" s="182"/>
      <c r="E921" s="261"/>
      <c r="G921" s="182"/>
      <c r="J921" s="67"/>
      <c r="K921" s="67"/>
      <c r="R921" s="67"/>
    </row>
    <row r="922">
      <c r="B922" s="182"/>
      <c r="E922" s="261"/>
      <c r="G922" s="182"/>
      <c r="J922" s="67"/>
      <c r="K922" s="67"/>
      <c r="R922" s="67"/>
    </row>
    <row r="923">
      <c r="B923" s="182"/>
      <c r="E923" s="261"/>
      <c r="G923" s="182"/>
      <c r="J923" s="67"/>
      <c r="K923" s="67"/>
      <c r="R923" s="67"/>
    </row>
    <row r="924">
      <c r="B924" s="182"/>
      <c r="E924" s="261"/>
      <c r="G924" s="182"/>
      <c r="J924" s="67"/>
      <c r="K924" s="67"/>
      <c r="R924" s="67"/>
    </row>
    <row r="925">
      <c r="B925" s="182"/>
      <c r="E925" s="261"/>
      <c r="G925" s="182"/>
      <c r="J925" s="67"/>
      <c r="K925" s="67"/>
      <c r="R925" s="67"/>
    </row>
    <row r="926">
      <c r="B926" s="182"/>
      <c r="E926" s="261"/>
      <c r="G926" s="182"/>
      <c r="J926" s="67"/>
      <c r="K926" s="67"/>
      <c r="R926" s="67"/>
    </row>
    <row r="927">
      <c r="B927" s="182"/>
      <c r="E927" s="261"/>
      <c r="G927" s="182"/>
      <c r="J927" s="67"/>
      <c r="K927" s="67"/>
      <c r="R927" s="67"/>
    </row>
    <row r="928">
      <c r="B928" s="182"/>
      <c r="E928" s="261"/>
      <c r="G928" s="182"/>
      <c r="J928" s="67"/>
      <c r="K928" s="67"/>
      <c r="R928" s="67"/>
    </row>
    <row r="929">
      <c r="B929" s="182"/>
      <c r="E929" s="261"/>
      <c r="G929" s="182"/>
      <c r="J929" s="67"/>
      <c r="K929" s="67"/>
      <c r="R929" s="67"/>
    </row>
    <row r="930">
      <c r="B930" s="182"/>
      <c r="E930" s="261"/>
      <c r="G930" s="182"/>
      <c r="J930" s="67"/>
      <c r="K930" s="67"/>
      <c r="R930" s="67"/>
    </row>
    <row r="931">
      <c r="B931" s="182"/>
      <c r="E931" s="261"/>
      <c r="G931" s="182"/>
      <c r="J931" s="67"/>
      <c r="K931" s="67"/>
      <c r="R931" s="67"/>
    </row>
    <row r="932">
      <c r="B932" s="182"/>
      <c r="E932" s="261"/>
      <c r="G932" s="182"/>
      <c r="J932" s="67"/>
      <c r="K932" s="67"/>
      <c r="R932" s="67"/>
    </row>
    <row r="933">
      <c r="B933" s="182"/>
      <c r="E933" s="261"/>
      <c r="G933" s="182"/>
      <c r="J933" s="67"/>
      <c r="K933" s="67"/>
      <c r="R933" s="67"/>
    </row>
    <row r="934">
      <c r="B934" s="182"/>
      <c r="E934" s="261"/>
      <c r="G934" s="182"/>
      <c r="J934" s="67"/>
      <c r="K934" s="67"/>
      <c r="R934" s="67"/>
    </row>
    <row r="935">
      <c r="B935" s="182"/>
      <c r="E935" s="261"/>
      <c r="G935" s="182"/>
      <c r="J935" s="67"/>
      <c r="K935" s="67"/>
      <c r="R935" s="67"/>
    </row>
    <row r="936">
      <c r="B936" s="182"/>
      <c r="E936" s="261"/>
      <c r="G936" s="182"/>
      <c r="J936" s="67"/>
      <c r="K936" s="67"/>
      <c r="R936" s="67"/>
    </row>
    <row r="937">
      <c r="B937" s="182"/>
      <c r="E937" s="261"/>
      <c r="G937" s="182"/>
      <c r="J937" s="67"/>
      <c r="K937" s="67"/>
      <c r="R937" s="67"/>
    </row>
    <row r="938">
      <c r="B938" s="182"/>
      <c r="E938" s="261"/>
      <c r="G938" s="182"/>
      <c r="J938" s="67"/>
      <c r="K938" s="67"/>
      <c r="R938" s="67"/>
    </row>
    <row r="939">
      <c r="B939" s="182"/>
      <c r="E939" s="261"/>
      <c r="G939" s="182"/>
      <c r="J939" s="67"/>
      <c r="K939" s="67"/>
      <c r="R939" s="67"/>
    </row>
    <row r="940">
      <c r="B940" s="182"/>
      <c r="E940" s="261"/>
      <c r="G940" s="182"/>
      <c r="J940" s="67"/>
      <c r="K940" s="67"/>
      <c r="R940" s="67"/>
    </row>
    <row r="941">
      <c r="B941" s="182"/>
      <c r="E941" s="261"/>
      <c r="G941" s="182"/>
      <c r="J941" s="67"/>
      <c r="K941" s="67"/>
      <c r="R941" s="67"/>
    </row>
    <row r="942">
      <c r="B942" s="182"/>
      <c r="E942" s="261"/>
      <c r="G942" s="182"/>
      <c r="J942" s="67"/>
      <c r="K942" s="67"/>
      <c r="R942" s="67"/>
    </row>
    <row r="943">
      <c r="B943" s="182"/>
      <c r="E943" s="261"/>
      <c r="G943" s="182"/>
      <c r="J943" s="67"/>
      <c r="K943" s="67"/>
      <c r="R943" s="67"/>
    </row>
    <row r="944">
      <c r="B944" s="182"/>
      <c r="E944" s="261"/>
      <c r="G944" s="182"/>
      <c r="J944" s="67"/>
      <c r="K944" s="67"/>
      <c r="R944" s="67"/>
    </row>
    <row r="945">
      <c r="B945" s="182"/>
      <c r="E945" s="261"/>
      <c r="G945" s="182"/>
      <c r="J945" s="67"/>
      <c r="K945" s="67"/>
      <c r="R945" s="67"/>
    </row>
    <row r="946">
      <c r="B946" s="182"/>
      <c r="E946" s="261"/>
      <c r="G946" s="182"/>
      <c r="J946" s="67"/>
      <c r="K946" s="67"/>
      <c r="R946" s="67"/>
    </row>
    <row r="947">
      <c r="B947" s="182"/>
      <c r="E947" s="261"/>
      <c r="G947" s="182"/>
      <c r="J947" s="67"/>
      <c r="K947" s="67"/>
      <c r="R947" s="67"/>
    </row>
    <row r="948">
      <c r="B948" s="182"/>
      <c r="E948" s="261"/>
      <c r="G948" s="182"/>
      <c r="J948" s="67"/>
      <c r="K948" s="67"/>
      <c r="R948" s="67"/>
    </row>
    <row r="949">
      <c r="B949" s="182"/>
      <c r="E949" s="261"/>
      <c r="G949" s="182"/>
      <c r="J949" s="67"/>
      <c r="K949" s="67"/>
      <c r="R949" s="67"/>
    </row>
    <row r="950">
      <c r="B950" s="182"/>
      <c r="E950" s="261"/>
      <c r="G950" s="182"/>
      <c r="J950" s="67"/>
      <c r="K950" s="67"/>
      <c r="R950" s="67"/>
    </row>
    <row r="951">
      <c r="B951" s="182"/>
      <c r="E951" s="261"/>
      <c r="G951" s="182"/>
      <c r="J951" s="67"/>
      <c r="K951" s="67"/>
      <c r="R951" s="67"/>
    </row>
    <row r="952">
      <c r="B952" s="182"/>
      <c r="E952" s="261"/>
      <c r="G952" s="182"/>
      <c r="J952" s="67"/>
      <c r="K952" s="67"/>
      <c r="R952" s="67"/>
    </row>
    <row r="953">
      <c r="B953" s="182"/>
      <c r="E953" s="261"/>
      <c r="G953" s="182"/>
      <c r="J953" s="67"/>
      <c r="K953" s="67"/>
      <c r="R953" s="67"/>
    </row>
    <row r="954">
      <c r="B954" s="182"/>
      <c r="E954" s="261"/>
      <c r="G954" s="182"/>
      <c r="J954" s="67"/>
      <c r="K954" s="67"/>
      <c r="R954" s="67"/>
    </row>
    <row r="955">
      <c r="B955" s="182"/>
      <c r="E955" s="261"/>
      <c r="G955" s="182"/>
      <c r="J955" s="67"/>
      <c r="K955" s="67"/>
      <c r="R955" s="67"/>
    </row>
    <row r="956">
      <c r="B956" s="182"/>
      <c r="E956" s="261"/>
      <c r="G956" s="182"/>
      <c r="J956" s="67"/>
      <c r="K956" s="67"/>
      <c r="R956" s="67"/>
    </row>
    <row r="957">
      <c r="B957" s="182"/>
      <c r="E957" s="261"/>
      <c r="G957" s="182"/>
      <c r="J957" s="67"/>
      <c r="K957" s="67"/>
      <c r="R957" s="67"/>
    </row>
    <row r="958">
      <c r="B958" s="182"/>
      <c r="E958" s="261"/>
      <c r="G958" s="182"/>
      <c r="J958" s="67"/>
      <c r="K958" s="67"/>
      <c r="R958" s="67"/>
    </row>
    <row r="959">
      <c r="B959" s="182"/>
      <c r="E959" s="261"/>
      <c r="G959" s="182"/>
      <c r="J959" s="67"/>
      <c r="K959" s="67"/>
      <c r="R959" s="67"/>
    </row>
    <row r="960">
      <c r="B960" s="182"/>
      <c r="E960" s="261"/>
      <c r="G960" s="182"/>
      <c r="J960" s="67"/>
      <c r="K960" s="67"/>
      <c r="R960" s="67"/>
    </row>
    <row r="961">
      <c r="B961" s="182"/>
      <c r="E961" s="261"/>
      <c r="G961" s="182"/>
      <c r="J961" s="67"/>
      <c r="K961" s="67"/>
      <c r="R961" s="67"/>
    </row>
    <row r="962">
      <c r="B962" s="182"/>
      <c r="E962" s="261"/>
      <c r="G962" s="182"/>
      <c r="J962" s="67"/>
      <c r="K962" s="67"/>
      <c r="R962" s="67"/>
    </row>
    <row r="963">
      <c r="B963" s="182"/>
      <c r="E963" s="261"/>
      <c r="G963" s="182"/>
      <c r="J963" s="67"/>
      <c r="K963" s="67"/>
      <c r="R963" s="67"/>
    </row>
    <row r="964">
      <c r="B964" s="182"/>
      <c r="E964" s="261"/>
      <c r="G964" s="182"/>
      <c r="J964" s="67"/>
      <c r="K964" s="67"/>
      <c r="R964" s="67"/>
    </row>
    <row r="965">
      <c r="B965" s="182"/>
      <c r="E965" s="261"/>
      <c r="G965" s="182"/>
      <c r="J965" s="67"/>
      <c r="K965" s="67"/>
      <c r="R965" s="67"/>
    </row>
    <row r="966">
      <c r="B966" s="182"/>
      <c r="E966" s="261"/>
      <c r="G966" s="182"/>
      <c r="J966" s="67"/>
      <c r="K966" s="67"/>
      <c r="R966" s="67"/>
    </row>
    <row r="967">
      <c r="B967" s="182"/>
      <c r="E967" s="261"/>
      <c r="G967" s="182"/>
      <c r="J967" s="67"/>
      <c r="K967" s="67"/>
      <c r="R967" s="67"/>
    </row>
    <row r="968">
      <c r="B968" s="182"/>
      <c r="E968" s="261"/>
      <c r="G968" s="182"/>
      <c r="J968" s="67"/>
      <c r="K968" s="67"/>
      <c r="R968" s="67"/>
    </row>
    <row r="969">
      <c r="B969" s="182"/>
      <c r="E969" s="261"/>
      <c r="G969" s="182"/>
      <c r="J969" s="67"/>
      <c r="K969" s="67"/>
      <c r="R969" s="67"/>
    </row>
    <row r="970">
      <c r="B970" s="182"/>
      <c r="E970" s="261"/>
      <c r="G970" s="182"/>
      <c r="J970" s="67"/>
      <c r="K970" s="67"/>
      <c r="R970" s="67"/>
    </row>
    <row r="971">
      <c r="B971" s="182"/>
      <c r="E971" s="261"/>
      <c r="G971" s="182"/>
      <c r="J971" s="67"/>
      <c r="K971" s="67"/>
      <c r="R971" s="67"/>
    </row>
    <row r="972">
      <c r="B972" s="182"/>
      <c r="E972" s="261"/>
      <c r="G972" s="182"/>
      <c r="J972" s="67"/>
      <c r="K972" s="67"/>
      <c r="R972" s="67"/>
    </row>
    <row r="973">
      <c r="B973" s="182"/>
      <c r="E973" s="261"/>
      <c r="G973" s="182"/>
      <c r="J973" s="67"/>
      <c r="K973" s="67"/>
      <c r="R973" s="67"/>
    </row>
    <row r="974">
      <c r="B974" s="182"/>
      <c r="E974" s="261"/>
      <c r="G974" s="182"/>
      <c r="J974" s="67"/>
      <c r="K974" s="67"/>
      <c r="R974" s="67"/>
    </row>
    <row r="975">
      <c r="B975" s="182"/>
      <c r="E975" s="261"/>
      <c r="G975" s="182"/>
      <c r="J975" s="67"/>
      <c r="K975" s="67"/>
      <c r="R975" s="67"/>
    </row>
    <row r="976">
      <c r="B976" s="182"/>
      <c r="E976" s="261"/>
      <c r="G976" s="182"/>
      <c r="J976" s="67"/>
      <c r="K976" s="67"/>
      <c r="R976" s="67"/>
    </row>
    <row r="977">
      <c r="B977" s="182"/>
      <c r="E977" s="261"/>
      <c r="G977" s="182"/>
      <c r="J977" s="67"/>
      <c r="K977" s="67"/>
      <c r="R977" s="67"/>
    </row>
    <row r="978">
      <c r="B978" s="182"/>
      <c r="E978" s="261"/>
      <c r="G978" s="182"/>
      <c r="J978" s="67"/>
      <c r="K978" s="67"/>
      <c r="R978" s="67"/>
    </row>
    <row r="979">
      <c r="B979" s="182"/>
      <c r="E979" s="261"/>
      <c r="G979" s="182"/>
      <c r="J979" s="67"/>
      <c r="K979" s="67"/>
      <c r="R979" s="67"/>
    </row>
    <row r="980">
      <c r="B980" s="182"/>
      <c r="E980" s="261"/>
      <c r="G980" s="182"/>
      <c r="J980" s="67"/>
      <c r="K980" s="67"/>
      <c r="R980" s="67"/>
    </row>
    <row r="981">
      <c r="B981" s="182"/>
      <c r="E981" s="261"/>
      <c r="G981" s="182"/>
      <c r="J981" s="67"/>
      <c r="K981" s="67"/>
      <c r="R981" s="67"/>
    </row>
    <row r="982">
      <c r="B982" s="182"/>
      <c r="E982" s="261"/>
      <c r="G982" s="182"/>
      <c r="J982" s="67"/>
      <c r="K982" s="67"/>
      <c r="R982" s="67"/>
    </row>
    <row r="983">
      <c r="B983" s="182"/>
      <c r="E983" s="261"/>
      <c r="G983" s="182"/>
      <c r="J983" s="67"/>
      <c r="K983" s="67"/>
      <c r="R983" s="67"/>
    </row>
    <row r="984">
      <c r="B984" s="182"/>
      <c r="E984" s="261"/>
      <c r="G984" s="182"/>
      <c r="J984" s="67"/>
      <c r="K984" s="67"/>
      <c r="R984" s="67"/>
    </row>
    <row r="985">
      <c r="B985" s="182"/>
      <c r="E985" s="261"/>
      <c r="G985" s="182"/>
      <c r="J985" s="67"/>
      <c r="K985" s="67"/>
      <c r="R985" s="67"/>
    </row>
    <row r="986">
      <c r="B986" s="182"/>
      <c r="E986" s="261"/>
      <c r="G986" s="182"/>
      <c r="J986" s="67"/>
      <c r="K986" s="67"/>
      <c r="R986" s="67"/>
    </row>
    <row r="987">
      <c r="B987" s="182"/>
      <c r="E987" s="261"/>
      <c r="G987" s="182"/>
      <c r="J987" s="67"/>
      <c r="K987" s="67"/>
      <c r="R987" s="67"/>
    </row>
    <row r="988">
      <c r="B988" s="182"/>
      <c r="E988" s="261"/>
      <c r="G988" s="182"/>
      <c r="J988" s="67"/>
      <c r="K988" s="67"/>
      <c r="R988" s="67"/>
    </row>
    <row r="989">
      <c r="B989" s="182"/>
      <c r="E989" s="261"/>
      <c r="G989" s="182"/>
      <c r="J989" s="67"/>
      <c r="K989" s="67"/>
      <c r="R989" s="67"/>
    </row>
    <row r="990">
      <c r="B990" s="182"/>
      <c r="E990" s="261"/>
      <c r="G990" s="182"/>
      <c r="J990" s="67"/>
      <c r="K990" s="67"/>
      <c r="R990" s="67"/>
    </row>
    <row r="991">
      <c r="B991" s="182"/>
      <c r="E991" s="261"/>
      <c r="G991" s="182"/>
      <c r="J991" s="67"/>
      <c r="K991" s="67"/>
      <c r="R991" s="67"/>
    </row>
    <row r="992">
      <c r="B992" s="182"/>
      <c r="E992" s="261"/>
      <c r="G992" s="182"/>
      <c r="J992" s="67"/>
      <c r="K992" s="67"/>
      <c r="R992" s="67"/>
    </row>
    <row r="993">
      <c r="B993" s="182"/>
      <c r="E993" s="261"/>
      <c r="G993" s="182"/>
      <c r="J993" s="67"/>
      <c r="K993" s="67"/>
      <c r="R993" s="67"/>
    </row>
    <row r="994">
      <c r="B994" s="182"/>
      <c r="E994" s="261"/>
      <c r="G994" s="182"/>
      <c r="J994" s="67"/>
      <c r="K994" s="67"/>
      <c r="R994" s="67"/>
    </row>
    <row r="995">
      <c r="B995" s="182"/>
      <c r="E995" s="261"/>
      <c r="G995" s="182"/>
      <c r="J995" s="67"/>
      <c r="K995" s="67"/>
      <c r="R995" s="67"/>
    </row>
    <row r="996">
      <c r="B996" s="182"/>
      <c r="E996" s="261"/>
      <c r="G996" s="182"/>
      <c r="J996" s="67"/>
      <c r="K996" s="67"/>
      <c r="R996" s="67"/>
    </row>
    <row r="997">
      <c r="B997" s="182"/>
      <c r="E997" s="261"/>
      <c r="G997" s="182"/>
      <c r="J997" s="67"/>
      <c r="K997" s="67"/>
      <c r="R997" s="67"/>
    </row>
    <row r="998">
      <c r="B998" s="182"/>
      <c r="E998" s="261"/>
      <c r="G998" s="182"/>
      <c r="J998" s="67"/>
      <c r="K998" s="67"/>
      <c r="R998" s="67"/>
    </row>
    <row r="999">
      <c r="B999" s="182"/>
      <c r="E999" s="261"/>
      <c r="G999" s="182"/>
      <c r="J999" s="67"/>
      <c r="K999" s="67"/>
      <c r="R999" s="67"/>
    </row>
    <row r="1000">
      <c r="B1000" s="182"/>
      <c r="E1000" s="261"/>
      <c r="G1000" s="182"/>
      <c r="J1000" s="67"/>
      <c r="K1000" s="67"/>
      <c r="R1000" s="67"/>
    </row>
    <row r="1001">
      <c r="B1001" s="182"/>
      <c r="E1001" s="261"/>
      <c r="G1001" s="182"/>
      <c r="J1001" s="67"/>
      <c r="K1001" s="67"/>
      <c r="R1001" s="67"/>
    </row>
    <row r="1002">
      <c r="B1002" s="182"/>
      <c r="E1002" s="261"/>
      <c r="G1002" s="182"/>
      <c r="J1002" s="67"/>
      <c r="K1002" s="67"/>
      <c r="R1002" s="67"/>
    </row>
    <row r="1003">
      <c r="B1003" s="182"/>
      <c r="E1003" s="261"/>
      <c r="G1003" s="182"/>
      <c r="J1003" s="67"/>
      <c r="K1003" s="67"/>
      <c r="R1003" s="67"/>
    </row>
    <row r="1004">
      <c r="B1004" s="182"/>
      <c r="E1004" s="261"/>
      <c r="G1004" s="182"/>
      <c r="J1004" s="67"/>
      <c r="K1004" s="67"/>
      <c r="R1004" s="67"/>
    </row>
    <row r="1005">
      <c r="B1005" s="182"/>
      <c r="E1005" s="261"/>
      <c r="G1005" s="182"/>
      <c r="J1005" s="67"/>
      <c r="K1005" s="67"/>
      <c r="R1005" s="67"/>
    </row>
    <row r="1006">
      <c r="B1006" s="182"/>
      <c r="E1006" s="261"/>
      <c r="G1006" s="182"/>
      <c r="J1006" s="67"/>
      <c r="K1006" s="67"/>
      <c r="R1006" s="67"/>
    </row>
    <row r="1007">
      <c r="B1007" s="182"/>
      <c r="E1007" s="261"/>
      <c r="G1007" s="182"/>
      <c r="J1007" s="67"/>
      <c r="K1007" s="67"/>
      <c r="R1007" s="67"/>
    </row>
    <row r="1008">
      <c r="B1008" s="182"/>
      <c r="E1008" s="261"/>
      <c r="G1008" s="182"/>
      <c r="J1008" s="67"/>
      <c r="K1008" s="67"/>
      <c r="R1008" s="67"/>
    </row>
    <row r="1009">
      <c r="B1009" s="182"/>
      <c r="E1009" s="261"/>
      <c r="G1009" s="182"/>
      <c r="J1009" s="67"/>
      <c r="K1009" s="67"/>
      <c r="R1009" s="67"/>
    </row>
    <row r="1010">
      <c r="B1010" s="182"/>
      <c r="E1010" s="261"/>
      <c r="G1010" s="182"/>
      <c r="J1010" s="67"/>
      <c r="K1010" s="67"/>
      <c r="R1010" s="67"/>
    </row>
    <row r="1011">
      <c r="B1011" s="182"/>
      <c r="E1011" s="261"/>
      <c r="G1011" s="182"/>
      <c r="J1011" s="67"/>
      <c r="K1011" s="67"/>
      <c r="R1011" s="67"/>
    </row>
    <row r="1012">
      <c r="B1012" s="182"/>
      <c r="E1012" s="261"/>
      <c r="G1012" s="182"/>
      <c r="J1012" s="67"/>
      <c r="K1012" s="67"/>
      <c r="R1012" s="67"/>
    </row>
    <row r="1013">
      <c r="B1013" s="182"/>
      <c r="E1013" s="261"/>
      <c r="G1013" s="182"/>
      <c r="J1013" s="67"/>
      <c r="K1013" s="67"/>
      <c r="R1013" s="67"/>
    </row>
    <row r="1014">
      <c r="B1014" s="182"/>
      <c r="E1014" s="261"/>
      <c r="G1014" s="182"/>
      <c r="J1014" s="67"/>
      <c r="K1014" s="67"/>
      <c r="R1014" s="67"/>
    </row>
    <row r="1015">
      <c r="B1015" s="182"/>
      <c r="E1015" s="261"/>
      <c r="G1015" s="182"/>
      <c r="J1015" s="67"/>
      <c r="K1015" s="67"/>
      <c r="R1015" s="67"/>
    </row>
    <row r="1016">
      <c r="B1016" s="182"/>
      <c r="E1016" s="261"/>
      <c r="G1016" s="182"/>
      <c r="J1016" s="67"/>
      <c r="K1016" s="67"/>
      <c r="R1016" s="67"/>
    </row>
    <row r="1017">
      <c r="B1017" s="182"/>
      <c r="E1017" s="261"/>
      <c r="G1017" s="182"/>
      <c r="J1017" s="67"/>
      <c r="K1017" s="67"/>
      <c r="R1017" s="67"/>
    </row>
    <row r="1018">
      <c r="B1018" s="182"/>
      <c r="E1018" s="261"/>
      <c r="G1018" s="182"/>
      <c r="J1018" s="67"/>
      <c r="K1018" s="67"/>
      <c r="R1018" s="67"/>
    </row>
    <row r="1019">
      <c r="B1019" s="182"/>
      <c r="E1019" s="261"/>
      <c r="G1019" s="182"/>
      <c r="J1019" s="67"/>
      <c r="K1019" s="67"/>
      <c r="R1019" s="67"/>
    </row>
    <row r="1020">
      <c r="B1020" s="182"/>
      <c r="E1020" s="261"/>
      <c r="G1020" s="182"/>
      <c r="J1020" s="67"/>
      <c r="K1020" s="67"/>
      <c r="R1020" s="67"/>
    </row>
    <row r="1021">
      <c r="B1021" s="182"/>
      <c r="E1021" s="261"/>
      <c r="G1021" s="182"/>
      <c r="J1021" s="67"/>
      <c r="K1021" s="67"/>
      <c r="R1021" s="67"/>
    </row>
    <row r="1022">
      <c r="B1022" s="182"/>
      <c r="E1022" s="261"/>
      <c r="G1022" s="182"/>
      <c r="J1022" s="67"/>
      <c r="K1022" s="67"/>
      <c r="R1022" s="67"/>
    </row>
    <row r="1023">
      <c r="B1023" s="182"/>
      <c r="E1023" s="261"/>
      <c r="G1023" s="182"/>
      <c r="J1023" s="67"/>
      <c r="K1023" s="67"/>
      <c r="R1023" s="67"/>
    </row>
    <row r="1024">
      <c r="B1024" s="182"/>
      <c r="E1024" s="261"/>
      <c r="G1024" s="182"/>
      <c r="J1024" s="67"/>
      <c r="K1024" s="67"/>
      <c r="R1024" s="67"/>
    </row>
    <row r="1025">
      <c r="B1025" s="182"/>
      <c r="E1025" s="261"/>
      <c r="G1025" s="182"/>
      <c r="J1025" s="67"/>
      <c r="K1025" s="67"/>
      <c r="R1025" s="67"/>
    </row>
    <row r="1026">
      <c r="B1026" s="182"/>
      <c r="E1026" s="261"/>
      <c r="G1026" s="182"/>
      <c r="J1026" s="67"/>
      <c r="K1026" s="67"/>
      <c r="R1026" s="67"/>
    </row>
    <row r="1027">
      <c r="B1027" s="182"/>
      <c r="E1027" s="261"/>
      <c r="G1027" s="182"/>
      <c r="J1027" s="67"/>
      <c r="K1027" s="67"/>
      <c r="R1027" s="67"/>
    </row>
    <row r="1028">
      <c r="B1028" s="182"/>
      <c r="E1028" s="261"/>
      <c r="G1028" s="182"/>
      <c r="J1028" s="67"/>
      <c r="K1028" s="67"/>
      <c r="R1028" s="67"/>
    </row>
    <row r="1029">
      <c r="B1029" s="182"/>
      <c r="E1029" s="261"/>
      <c r="G1029" s="182"/>
      <c r="J1029" s="67"/>
      <c r="K1029" s="67"/>
      <c r="R1029" s="67"/>
    </row>
    <row r="1030">
      <c r="B1030" s="182"/>
      <c r="E1030" s="261"/>
      <c r="G1030" s="182"/>
      <c r="J1030" s="67"/>
      <c r="K1030" s="67"/>
      <c r="R1030" s="67"/>
    </row>
    <row r="1031">
      <c r="B1031" s="182"/>
      <c r="E1031" s="261"/>
      <c r="G1031" s="182"/>
      <c r="J1031" s="67"/>
      <c r="K1031" s="67"/>
      <c r="R1031" s="67"/>
    </row>
    <row r="1032">
      <c r="B1032" s="182"/>
      <c r="E1032" s="261"/>
      <c r="G1032" s="182"/>
      <c r="J1032" s="67"/>
      <c r="K1032" s="67"/>
      <c r="R1032" s="67"/>
    </row>
    <row r="1033">
      <c r="B1033" s="182"/>
      <c r="E1033" s="261"/>
      <c r="G1033" s="182"/>
      <c r="J1033" s="67"/>
      <c r="K1033" s="67"/>
      <c r="R1033" s="67"/>
    </row>
    <row r="1034">
      <c r="B1034" s="182"/>
      <c r="E1034" s="261"/>
      <c r="G1034" s="182"/>
      <c r="J1034" s="67"/>
      <c r="K1034" s="67"/>
      <c r="R1034" s="67"/>
    </row>
    <row r="1035">
      <c r="B1035" s="182"/>
      <c r="E1035" s="261"/>
      <c r="G1035" s="182"/>
      <c r="J1035" s="67"/>
      <c r="K1035" s="67"/>
      <c r="R1035" s="67"/>
    </row>
    <row r="1036">
      <c r="B1036" s="182"/>
      <c r="E1036" s="261"/>
      <c r="G1036" s="182"/>
      <c r="J1036" s="67"/>
      <c r="K1036" s="67"/>
      <c r="R1036" s="67"/>
    </row>
    <row r="1037">
      <c r="B1037" s="182"/>
      <c r="E1037" s="261"/>
      <c r="G1037" s="182"/>
      <c r="J1037" s="67"/>
      <c r="K1037" s="67"/>
      <c r="R1037" s="67"/>
    </row>
    <row r="1038">
      <c r="B1038" s="182"/>
      <c r="E1038" s="261"/>
      <c r="G1038" s="182"/>
      <c r="J1038" s="67"/>
      <c r="K1038" s="67"/>
      <c r="R1038" s="67"/>
    </row>
    <row r="1039">
      <c r="B1039" s="182"/>
      <c r="E1039" s="261"/>
      <c r="G1039" s="182"/>
      <c r="J1039" s="67"/>
      <c r="K1039" s="67"/>
      <c r="R1039" s="67"/>
    </row>
    <row r="1040">
      <c r="B1040" s="182"/>
      <c r="E1040" s="261"/>
      <c r="G1040" s="182"/>
      <c r="J1040" s="67"/>
      <c r="K1040" s="67"/>
      <c r="R1040" s="67"/>
    </row>
    <row r="1041">
      <c r="B1041" s="182"/>
      <c r="E1041" s="261"/>
      <c r="G1041" s="182"/>
      <c r="J1041" s="67"/>
      <c r="K1041" s="67"/>
      <c r="R1041" s="67"/>
    </row>
    <row r="1042">
      <c r="B1042" s="182"/>
      <c r="E1042" s="261"/>
      <c r="G1042" s="182"/>
      <c r="J1042" s="67"/>
      <c r="K1042" s="67"/>
      <c r="R1042" s="67"/>
    </row>
    <row r="1043">
      <c r="B1043" s="182"/>
      <c r="E1043" s="261"/>
      <c r="G1043" s="182"/>
      <c r="J1043" s="67"/>
      <c r="K1043" s="67"/>
      <c r="R1043" s="67"/>
    </row>
    <row r="1044">
      <c r="B1044" s="182"/>
      <c r="E1044" s="261"/>
      <c r="G1044" s="182"/>
      <c r="J1044" s="67"/>
      <c r="K1044" s="67"/>
      <c r="R1044" s="67"/>
    </row>
    <row r="1045">
      <c r="B1045" s="182"/>
      <c r="E1045" s="261"/>
      <c r="G1045" s="182"/>
      <c r="J1045" s="67"/>
      <c r="K1045" s="67"/>
      <c r="R1045" s="67"/>
    </row>
    <row r="1046">
      <c r="B1046" s="182"/>
      <c r="E1046" s="261"/>
      <c r="G1046" s="182"/>
      <c r="J1046" s="67"/>
      <c r="K1046" s="67"/>
      <c r="R1046" s="67"/>
    </row>
    <row r="1047">
      <c r="B1047" s="182"/>
      <c r="E1047" s="261"/>
      <c r="G1047" s="182"/>
      <c r="J1047" s="67"/>
      <c r="K1047" s="67"/>
      <c r="R1047" s="67"/>
    </row>
    <row r="1048">
      <c r="B1048" s="182"/>
      <c r="E1048" s="261"/>
      <c r="G1048" s="182"/>
      <c r="J1048" s="67"/>
      <c r="K1048" s="67"/>
      <c r="R1048" s="67"/>
    </row>
    <row r="1049">
      <c r="B1049" s="182"/>
      <c r="E1049" s="261"/>
      <c r="G1049" s="182"/>
      <c r="J1049" s="67"/>
      <c r="K1049" s="67"/>
      <c r="R1049" s="67"/>
    </row>
    <row r="1050">
      <c r="B1050" s="182"/>
      <c r="E1050" s="261"/>
      <c r="G1050" s="182"/>
      <c r="J1050" s="67"/>
      <c r="K1050" s="67"/>
      <c r="R1050" s="67"/>
    </row>
    <row r="1051">
      <c r="B1051" s="182"/>
      <c r="E1051" s="261"/>
      <c r="G1051" s="182"/>
      <c r="J1051" s="67"/>
      <c r="K1051" s="67"/>
      <c r="R1051" s="67"/>
    </row>
    <row r="1052">
      <c r="B1052" s="182"/>
      <c r="E1052" s="261"/>
      <c r="G1052" s="182"/>
      <c r="J1052" s="67"/>
      <c r="K1052" s="67"/>
      <c r="R1052" s="67"/>
    </row>
    <row r="1053">
      <c r="B1053" s="182"/>
      <c r="E1053" s="261"/>
      <c r="G1053" s="182"/>
      <c r="J1053" s="67"/>
      <c r="K1053" s="67"/>
      <c r="R1053" s="67"/>
    </row>
    <row r="1054">
      <c r="B1054" s="182"/>
      <c r="E1054" s="261"/>
      <c r="G1054" s="182"/>
      <c r="J1054" s="67"/>
      <c r="K1054" s="67"/>
      <c r="R1054" s="67"/>
    </row>
    <row r="1055">
      <c r="B1055" s="182"/>
      <c r="E1055" s="261"/>
      <c r="G1055" s="182"/>
      <c r="J1055" s="67"/>
      <c r="K1055" s="67"/>
      <c r="R1055" s="67"/>
    </row>
    <row r="1056">
      <c r="B1056" s="182"/>
      <c r="E1056" s="261"/>
      <c r="G1056" s="182"/>
      <c r="J1056" s="67"/>
      <c r="K1056" s="67"/>
      <c r="R1056" s="67"/>
    </row>
    <row r="1057">
      <c r="B1057" s="182"/>
      <c r="E1057" s="261"/>
      <c r="G1057" s="182"/>
      <c r="J1057" s="67"/>
      <c r="K1057" s="67"/>
      <c r="R1057" s="67"/>
    </row>
    <row r="1058">
      <c r="B1058" s="182"/>
      <c r="E1058" s="261"/>
      <c r="G1058" s="182"/>
      <c r="J1058" s="67"/>
      <c r="K1058" s="67"/>
      <c r="R1058" s="67"/>
    </row>
    <row r="1059">
      <c r="B1059" s="182"/>
      <c r="E1059" s="261"/>
      <c r="G1059" s="182"/>
      <c r="J1059" s="67"/>
      <c r="K1059" s="67"/>
      <c r="R1059" s="67"/>
    </row>
    <row r="1060">
      <c r="B1060" s="182"/>
      <c r="E1060" s="261"/>
      <c r="G1060" s="182"/>
      <c r="J1060" s="67"/>
      <c r="K1060" s="67"/>
      <c r="R1060" s="67"/>
    </row>
    <row r="1061">
      <c r="B1061" s="182"/>
      <c r="E1061" s="261"/>
      <c r="G1061" s="182"/>
      <c r="J1061" s="67"/>
      <c r="K1061" s="67"/>
      <c r="R1061" s="67"/>
    </row>
    <row r="1062">
      <c r="B1062" s="182"/>
      <c r="E1062" s="261"/>
      <c r="G1062" s="182"/>
      <c r="J1062" s="67"/>
      <c r="K1062" s="67"/>
      <c r="R1062" s="67"/>
    </row>
    <row r="1063">
      <c r="B1063" s="182"/>
      <c r="E1063" s="261"/>
      <c r="G1063" s="182"/>
      <c r="J1063" s="67"/>
      <c r="K1063" s="67"/>
      <c r="R1063" s="67"/>
    </row>
    <row r="1064">
      <c r="B1064" s="182"/>
      <c r="E1064" s="261"/>
      <c r="G1064" s="182"/>
      <c r="J1064" s="67"/>
      <c r="K1064" s="67"/>
      <c r="R1064" s="67"/>
    </row>
    <row r="1065">
      <c r="B1065" s="182"/>
      <c r="E1065" s="261"/>
      <c r="G1065" s="182"/>
      <c r="J1065" s="67"/>
      <c r="K1065" s="67"/>
      <c r="R1065" s="67"/>
    </row>
    <row r="1066">
      <c r="B1066" s="182"/>
      <c r="E1066" s="261"/>
      <c r="G1066" s="182"/>
      <c r="J1066" s="67"/>
      <c r="K1066" s="67"/>
      <c r="R1066" s="67"/>
    </row>
    <row r="1067">
      <c r="B1067" s="182"/>
      <c r="E1067" s="261"/>
      <c r="G1067" s="182"/>
      <c r="J1067" s="67"/>
      <c r="K1067" s="67"/>
      <c r="R1067" s="67"/>
    </row>
    <row r="1068">
      <c r="B1068" s="182"/>
      <c r="E1068" s="261"/>
      <c r="G1068" s="182"/>
      <c r="J1068" s="67"/>
      <c r="K1068" s="67"/>
      <c r="R1068" s="67"/>
    </row>
    <row r="1069">
      <c r="B1069" s="182"/>
      <c r="E1069" s="261"/>
      <c r="G1069" s="182"/>
      <c r="J1069" s="67"/>
      <c r="K1069" s="67"/>
      <c r="R1069" s="67"/>
    </row>
    <row r="1070">
      <c r="B1070" s="182"/>
      <c r="E1070" s="261"/>
      <c r="G1070" s="182"/>
      <c r="J1070" s="67"/>
      <c r="K1070" s="67"/>
      <c r="R1070" s="67"/>
    </row>
    <row r="1071">
      <c r="B1071" s="182"/>
      <c r="E1071" s="261"/>
      <c r="G1071" s="182"/>
      <c r="J1071" s="67"/>
      <c r="K1071" s="67"/>
      <c r="R1071" s="67"/>
    </row>
    <row r="1072">
      <c r="B1072" s="182"/>
      <c r="E1072" s="261"/>
      <c r="G1072" s="182"/>
      <c r="J1072" s="67"/>
      <c r="K1072" s="67"/>
      <c r="R1072" s="67"/>
    </row>
    <row r="1073">
      <c r="B1073" s="182"/>
      <c r="E1073" s="261"/>
      <c r="G1073" s="182"/>
      <c r="J1073" s="67"/>
      <c r="K1073" s="67"/>
      <c r="R1073" s="67"/>
    </row>
    <row r="1074">
      <c r="B1074" s="182"/>
      <c r="E1074" s="261"/>
      <c r="G1074" s="182"/>
      <c r="J1074" s="67"/>
      <c r="K1074" s="67"/>
      <c r="R1074" s="67"/>
    </row>
    <row r="1075">
      <c r="B1075" s="182"/>
      <c r="E1075" s="261"/>
      <c r="G1075" s="182"/>
      <c r="J1075" s="67"/>
      <c r="K1075" s="67"/>
      <c r="R1075" s="67"/>
    </row>
    <row r="1076">
      <c r="B1076" s="182"/>
      <c r="E1076" s="261"/>
      <c r="G1076" s="182"/>
      <c r="J1076" s="67"/>
      <c r="K1076" s="67"/>
      <c r="R1076" s="67"/>
    </row>
    <row r="1077">
      <c r="B1077" s="182"/>
      <c r="E1077" s="261"/>
      <c r="G1077" s="182"/>
      <c r="J1077" s="67"/>
      <c r="K1077" s="67"/>
      <c r="R1077" s="67"/>
    </row>
    <row r="1078">
      <c r="B1078" s="182"/>
      <c r="E1078" s="261"/>
      <c r="G1078" s="182"/>
      <c r="J1078" s="67"/>
      <c r="K1078" s="67"/>
      <c r="R1078" s="67"/>
    </row>
    <row r="1079">
      <c r="B1079" s="182"/>
      <c r="E1079" s="261"/>
      <c r="G1079" s="182"/>
      <c r="J1079" s="67"/>
      <c r="K1079" s="67"/>
      <c r="R1079" s="67"/>
    </row>
    <row r="1080">
      <c r="B1080" s="182"/>
      <c r="E1080" s="261"/>
      <c r="G1080" s="182"/>
      <c r="J1080" s="67"/>
      <c r="K1080" s="67"/>
      <c r="R1080" s="67"/>
    </row>
    <row r="1081">
      <c r="B1081" s="182"/>
      <c r="E1081" s="261"/>
      <c r="G1081" s="182"/>
      <c r="J1081" s="67"/>
      <c r="K1081" s="67"/>
      <c r="R1081" s="67"/>
    </row>
    <row r="1082">
      <c r="B1082" s="182"/>
      <c r="E1082" s="261"/>
      <c r="G1082" s="182"/>
      <c r="J1082" s="67"/>
      <c r="K1082" s="67"/>
      <c r="R1082" s="67"/>
    </row>
    <row r="1083">
      <c r="B1083" s="182"/>
      <c r="E1083" s="261"/>
      <c r="G1083" s="182"/>
      <c r="J1083" s="67"/>
      <c r="K1083" s="67"/>
      <c r="R1083" s="67"/>
    </row>
    <row r="1084">
      <c r="B1084" s="182"/>
      <c r="E1084" s="261"/>
      <c r="G1084" s="182"/>
      <c r="J1084" s="67"/>
      <c r="K1084" s="67"/>
      <c r="R1084" s="67"/>
    </row>
    <row r="1085">
      <c r="B1085" s="182"/>
      <c r="E1085" s="261"/>
      <c r="G1085" s="182"/>
      <c r="J1085" s="67"/>
      <c r="K1085" s="67"/>
      <c r="R1085" s="67"/>
    </row>
    <row r="1086">
      <c r="B1086" s="182"/>
      <c r="E1086" s="261"/>
      <c r="G1086" s="182"/>
      <c r="J1086" s="67"/>
      <c r="K1086" s="67"/>
      <c r="R1086" s="67"/>
    </row>
    <row r="1087">
      <c r="B1087" s="182"/>
      <c r="E1087" s="261"/>
      <c r="G1087" s="182"/>
      <c r="J1087" s="67"/>
      <c r="K1087" s="67"/>
      <c r="R1087" s="67"/>
    </row>
    <row r="1088">
      <c r="B1088" s="182"/>
      <c r="E1088" s="261"/>
      <c r="G1088" s="182"/>
      <c r="J1088" s="67"/>
      <c r="K1088" s="67"/>
      <c r="R1088" s="67"/>
    </row>
    <row r="1089">
      <c r="B1089" s="182"/>
      <c r="E1089" s="261"/>
      <c r="G1089" s="182"/>
      <c r="J1089" s="67"/>
      <c r="K1089" s="67"/>
      <c r="R1089" s="67"/>
    </row>
    <row r="1090">
      <c r="B1090" s="182"/>
      <c r="E1090" s="261"/>
      <c r="G1090" s="182"/>
      <c r="J1090" s="67"/>
      <c r="K1090" s="67"/>
      <c r="R1090" s="67"/>
    </row>
    <row r="1091">
      <c r="B1091" s="182"/>
      <c r="E1091" s="261"/>
      <c r="G1091" s="182"/>
      <c r="J1091" s="67"/>
      <c r="K1091" s="67"/>
      <c r="R1091" s="67"/>
    </row>
    <row r="1092">
      <c r="B1092" s="182"/>
      <c r="E1092" s="261"/>
      <c r="G1092" s="182"/>
      <c r="J1092" s="67"/>
      <c r="K1092" s="67"/>
      <c r="R1092" s="67"/>
    </row>
    <row r="1093">
      <c r="B1093" s="182"/>
      <c r="E1093" s="261"/>
      <c r="G1093" s="182"/>
      <c r="J1093" s="67"/>
      <c r="K1093" s="67"/>
      <c r="R1093" s="67"/>
    </row>
    <row r="1094">
      <c r="B1094" s="182"/>
      <c r="E1094" s="261"/>
      <c r="G1094" s="182"/>
      <c r="J1094" s="67"/>
      <c r="K1094" s="67"/>
      <c r="R1094" s="67"/>
    </row>
    <row r="1095">
      <c r="B1095" s="182"/>
      <c r="E1095" s="261"/>
      <c r="G1095" s="182"/>
      <c r="J1095" s="67"/>
      <c r="K1095" s="67"/>
      <c r="R1095" s="67"/>
    </row>
    <row r="1096">
      <c r="B1096" s="182"/>
      <c r="E1096" s="261"/>
      <c r="G1096" s="182"/>
      <c r="J1096" s="67"/>
      <c r="K1096" s="67"/>
      <c r="R1096" s="67"/>
    </row>
    <row r="1097">
      <c r="B1097" s="182"/>
      <c r="E1097" s="261"/>
      <c r="G1097" s="182"/>
      <c r="J1097" s="67"/>
      <c r="K1097" s="67"/>
      <c r="R1097" s="67"/>
    </row>
    <row r="1098">
      <c r="B1098" s="182"/>
      <c r="E1098" s="261"/>
      <c r="G1098" s="182"/>
      <c r="J1098" s="67"/>
      <c r="K1098" s="67"/>
      <c r="R1098" s="67"/>
    </row>
    <row r="1099">
      <c r="B1099" s="182"/>
      <c r="E1099" s="261"/>
      <c r="G1099" s="182"/>
      <c r="J1099" s="67"/>
      <c r="K1099" s="67"/>
      <c r="R1099" s="67"/>
    </row>
    <row r="1100">
      <c r="B1100" s="182"/>
      <c r="E1100" s="261"/>
      <c r="G1100" s="182"/>
      <c r="J1100" s="67"/>
      <c r="K1100" s="67"/>
      <c r="R1100" s="67"/>
    </row>
    <row r="1101">
      <c r="B1101" s="182"/>
      <c r="E1101" s="261"/>
      <c r="G1101" s="182"/>
      <c r="J1101" s="67"/>
      <c r="K1101" s="67"/>
      <c r="R1101" s="67"/>
    </row>
    <row r="1102">
      <c r="B1102" s="182"/>
      <c r="E1102" s="261"/>
      <c r="G1102" s="182"/>
      <c r="J1102" s="67"/>
      <c r="K1102" s="67"/>
      <c r="R1102" s="67"/>
    </row>
    <row r="1103">
      <c r="B1103" s="182"/>
      <c r="E1103" s="261"/>
      <c r="G1103" s="182"/>
      <c r="J1103" s="67"/>
      <c r="K1103" s="67"/>
      <c r="R1103" s="67"/>
    </row>
    <row r="1104">
      <c r="B1104" s="182"/>
      <c r="E1104" s="261"/>
      <c r="G1104" s="182"/>
      <c r="J1104" s="67"/>
      <c r="K1104" s="67"/>
      <c r="R1104" s="67"/>
    </row>
    <row r="1105">
      <c r="B1105" s="182"/>
      <c r="E1105" s="261"/>
      <c r="G1105" s="182"/>
      <c r="J1105" s="67"/>
      <c r="K1105" s="67"/>
      <c r="R1105" s="67"/>
    </row>
    <row r="1106">
      <c r="B1106" s="182"/>
      <c r="E1106" s="261"/>
      <c r="G1106" s="182"/>
      <c r="J1106" s="67"/>
      <c r="K1106" s="67"/>
      <c r="R1106" s="67"/>
    </row>
    <row r="1107">
      <c r="B1107" s="182"/>
      <c r="E1107" s="261"/>
      <c r="G1107" s="182"/>
      <c r="J1107" s="67"/>
      <c r="K1107" s="67"/>
      <c r="R1107" s="67"/>
    </row>
    <row r="1108">
      <c r="B1108" s="182"/>
      <c r="E1108" s="261"/>
      <c r="G1108" s="182"/>
      <c r="J1108" s="67"/>
      <c r="K1108" s="67"/>
      <c r="R1108" s="67"/>
    </row>
    <row r="1109">
      <c r="B1109" s="182"/>
      <c r="E1109" s="261"/>
      <c r="G1109" s="182"/>
      <c r="J1109" s="67"/>
      <c r="K1109" s="67"/>
      <c r="R1109" s="67"/>
    </row>
    <row r="1110">
      <c r="B1110" s="182"/>
      <c r="E1110" s="261"/>
      <c r="G1110" s="182"/>
      <c r="J1110" s="67"/>
      <c r="K1110" s="67"/>
      <c r="R1110" s="67"/>
    </row>
  </sheetData>
  <mergeCells count="53">
    <mergeCell ref="A1:K1"/>
    <mergeCell ref="A2:K2"/>
    <mergeCell ref="N4:R4"/>
    <mergeCell ref="N9:R9"/>
    <mergeCell ref="A19:K19"/>
    <mergeCell ref="N22:R22"/>
    <mergeCell ref="N23:R23"/>
    <mergeCell ref="A20:K20"/>
    <mergeCell ref="A37:K37"/>
    <mergeCell ref="A38:K38"/>
    <mergeCell ref="N40:R40"/>
    <mergeCell ref="N41:R41"/>
    <mergeCell ref="A55:K55"/>
    <mergeCell ref="A56:K56"/>
    <mergeCell ref="N58:R58"/>
    <mergeCell ref="N63:R63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N239:R239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3393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2082</v>
      </c>
      <c r="C4" s="74" t="str">
        <f t="shared" ref="C4:C15" si="1">PROPER(TEXT(DATE(MID($A$2,7,4),MID($A$2,4,2),LEFT($A$2,2)),"dddd"))</f>
        <v>Terça-Feira</v>
      </c>
      <c r="D4" s="512" t="str">
        <f>IF(C4&lt;&gt;"Quarta-Feira","13:00","08:00")</f>
        <v>13:00</v>
      </c>
      <c r="E4" s="246" t="s">
        <v>3394</v>
      </c>
      <c r="F4" s="210">
        <v>1.07424994100004E14</v>
      </c>
      <c r="G4" s="59" t="s">
        <v>3395</v>
      </c>
      <c r="H4" s="211">
        <v>20199.0</v>
      </c>
      <c r="I4" s="41" t="s">
        <v>41</v>
      </c>
      <c r="J4" s="102"/>
      <c r="K4" s="102"/>
      <c r="N4" s="268" t="s">
        <v>387</v>
      </c>
      <c r="O4" s="100"/>
      <c r="P4" s="100"/>
      <c r="Q4" s="100"/>
      <c r="R4" s="67"/>
    </row>
    <row r="5">
      <c r="A5" s="12" t="s">
        <v>11</v>
      </c>
      <c r="B5" s="227" t="s">
        <v>2084</v>
      </c>
      <c r="C5" s="74" t="str">
        <f t="shared" si="1"/>
        <v>Terça-Feira</v>
      </c>
      <c r="D5" s="512" t="str">
        <f>IF(C5&lt;&gt;"Quarta-Feira","13:20","08:20")</f>
        <v>13:20</v>
      </c>
      <c r="E5" s="74">
        <v>3.646220589E10</v>
      </c>
      <c r="F5" s="301">
        <v>8.01440477878283E14</v>
      </c>
      <c r="G5" s="131" t="s">
        <v>3396</v>
      </c>
      <c r="H5" s="166">
        <v>19709.0</v>
      </c>
      <c r="I5" s="41" t="s">
        <v>41</v>
      </c>
      <c r="J5" s="42"/>
      <c r="K5" s="42"/>
      <c r="N5" s="270" t="s">
        <v>2086</v>
      </c>
      <c r="O5" s="2"/>
      <c r="P5" s="2"/>
      <c r="Q5" s="2"/>
      <c r="R5" s="67"/>
    </row>
    <row r="6" ht="20.25" customHeight="1">
      <c r="A6" s="12" t="s">
        <v>12</v>
      </c>
      <c r="B6" s="227" t="s">
        <v>2087</v>
      </c>
      <c r="C6" s="74" t="str">
        <f t="shared" si="1"/>
        <v>Terça-Feira</v>
      </c>
      <c r="D6" s="512" t="str">
        <f>IF(C6&lt;&gt;"Quarta-Feira","13:40","08:40")</f>
        <v>13:40</v>
      </c>
      <c r="E6" s="287" t="s">
        <v>446</v>
      </c>
      <c r="F6" s="301">
        <v>8.01440406110773E14</v>
      </c>
      <c r="G6" s="131" t="s">
        <v>3397</v>
      </c>
      <c r="H6" s="166">
        <v>17381.0</v>
      </c>
      <c r="I6" s="41" t="s">
        <v>41</v>
      </c>
      <c r="J6" s="42"/>
      <c r="K6" s="102"/>
      <c r="N6" s="271" t="s">
        <v>41</v>
      </c>
      <c r="O6" s="272" t="s">
        <v>195</v>
      </c>
      <c r="P6" s="272" t="s">
        <v>181</v>
      </c>
      <c r="Q6" s="273" t="s">
        <v>2088</v>
      </c>
      <c r="R6" s="67"/>
    </row>
    <row r="7">
      <c r="A7" s="12" t="s">
        <v>13</v>
      </c>
      <c r="B7" s="227" t="s">
        <v>2089</v>
      </c>
      <c r="C7" s="74" t="str">
        <f t="shared" si="1"/>
        <v>Terça-Feira</v>
      </c>
      <c r="D7" s="512" t="str">
        <f>IF(C7&lt;&gt;"Quarta-Feira","14:00","09:00")</f>
        <v>14:00</v>
      </c>
      <c r="E7" s="241" t="s">
        <v>3398</v>
      </c>
      <c r="F7" s="84">
        <v>7.00503776879459E14</v>
      </c>
      <c r="G7" s="79" t="s">
        <v>3399</v>
      </c>
      <c r="H7" s="83">
        <v>29535.0</v>
      </c>
      <c r="I7" s="41" t="s">
        <v>41</v>
      </c>
      <c r="J7" s="305"/>
      <c r="K7" s="305"/>
      <c r="N7" s="275">
        <f t="shared" ref="N7:P7" si="2">COUNTIFS($I$4:$I$15,N6)</f>
        <v>10</v>
      </c>
      <c r="O7" s="275">
        <f t="shared" si="2"/>
        <v>0</v>
      </c>
      <c r="P7" s="275">
        <f t="shared" si="2"/>
        <v>2</v>
      </c>
      <c r="Q7" s="275">
        <f>COUNTIF(I4:I15,Q6)</f>
        <v>0</v>
      </c>
      <c r="R7" s="67"/>
    </row>
    <row r="8">
      <c r="A8" s="12" t="s">
        <v>14</v>
      </c>
      <c r="B8" s="227" t="s">
        <v>2082</v>
      </c>
      <c r="C8" s="74" t="str">
        <f t="shared" si="1"/>
        <v>Terça-Feira</v>
      </c>
      <c r="D8" s="512" t="str">
        <f>IF(C8&lt;&gt;"Quarta-Feira","14:20","09:20")</f>
        <v>14:20</v>
      </c>
      <c r="E8" s="306" t="s">
        <v>3400</v>
      </c>
      <c r="F8" s="526">
        <v>7.05001442401759E14</v>
      </c>
      <c r="G8" s="307" t="s">
        <v>3401</v>
      </c>
      <c r="H8" s="308">
        <v>12416.0</v>
      </c>
      <c r="I8" s="41" t="s">
        <v>41</v>
      </c>
      <c r="J8" s="138"/>
      <c r="K8" s="138"/>
      <c r="R8" s="67"/>
    </row>
    <row r="9">
      <c r="A9" s="12" t="s">
        <v>15</v>
      </c>
      <c r="B9" s="227" t="s">
        <v>2089</v>
      </c>
      <c r="C9" s="74" t="str">
        <f t="shared" si="1"/>
        <v>Terça-Feira</v>
      </c>
      <c r="D9" s="512" t="str">
        <f>IF(C9&lt;&gt;"Quarta-Feira","14:40","09:40")</f>
        <v>14:40</v>
      </c>
      <c r="E9" s="242" t="s">
        <v>3402</v>
      </c>
      <c r="F9" s="185">
        <v>7.09207275383132E14</v>
      </c>
      <c r="G9" s="203" t="s">
        <v>3403</v>
      </c>
      <c r="H9" s="77">
        <v>27603.0</v>
      </c>
      <c r="I9" s="41" t="s">
        <v>41</v>
      </c>
      <c r="J9" s="42"/>
      <c r="K9" s="42"/>
      <c r="R9" s="67"/>
    </row>
    <row r="10">
      <c r="A10" s="12" t="s">
        <v>16</v>
      </c>
      <c r="B10" s="227" t="s">
        <v>2093</v>
      </c>
      <c r="C10" s="74" t="str">
        <f t="shared" si="1"/>
        <v>Terça-Feira</v>
      </c>
      <c r="D10" s="512" t="str">
        <f>IF(C10&lt;&gt;"Quarta-Feira","15:00","10:00")</f>
        <v>15:00</v>
      </c>
      <c r="E10" s="241" t="s">
        <v>3404</v>
      </c>
      <c r="F10" s="84">
        <v>7.08503360357979E14</v>
      </c>
      <c r="G10" s="203" t="s">
        <v>3405</v>
      </c>
      <c r="H10" s="83">
        <v>32434.0</v>
      </c>
      <c r="I10" s="41" t="s">
        <v>41</v>
      </c>
      <c r="J10" s="305"/>
      <c r="K10" s="305"/>
      <c r="R10" s="67"/>
    </row>
    <row r="11">
      <c r="A11" s="12" t="s">
        <v>17</v>
      </c>
      <c r="B11" s="227" t="s">
        <v>2094</v>
      </c>
      <c r="C11" s="74" t="str">
        <f t="shared" si="1"/>
        <v>Terça-Feira</v>
      </c>
      <c r="D11" s="512" t="str">
        <f>IF(C11&lt;&gt;"Quarta-Feira","15:20","10:20")</f>
        <v>15:20</v>
      </c>
      <c r="E11" s="242" t="s">
        <v>3406</v>
      </c>
      <c r="F11" s="185">
        <v>7.05000202729155E14</v>
      </c>
      <c r="G11" s="216" t="s">
        <v>871</v>
      </c>
      <c r="H11" s="529">
        <v>14855.0</v>
      </c>
      <c r="I11" s="41" t="s">
        <v>41</v>
      </c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227" t="s">
        <v>2095</v>
      </c>
      <c r="C12" s="74" t="str">
        <f t="shared" si="1"/>
        <v>Terça-Feira</v>
      </c>
      <c r="D12" s="512" t="str">
        <f>IF(C12&lt;&gt;"Quarta-Feira","15:40","10:40")</f>
        <v>15:40</v>
      </c>
      <c r="E12" s="278" t="s">
        <v>3407</v>
      </c>
      <c r="F12" s="156">
        <v>8.01440427402587E14</v>
      </c>
      <c r="G12" s="79" t="s">
        <v>3408</v>
      </c>
      <c r="H12" s="91">
        <v>19101.0</v>
      </c>
      <c r="I12" s="41" t="s">
        <v>41</v>
      </c>
      <c r="J12" s="42"/>
      <c r="K12" s="42"/>
      <c r="R12" s="67"/>
    </row>
    <row r="13">
      <c r="A13" s="12" t="s">
        <v>87</v>
      </c>
      <c r="B13" s="227" t="s">
        <v>2096</v>
      </c>
      <c r="C13" s="74" t="str">
        <f t="shared" si="1"/>
        <v>Terça-Feira</v>
      </c>
      <c r="D13" s="512" t="str">
        <f>IF(C13&lt;&gt;"Quarta-Feira","16:00","11:00")</f>
        <v>16:00</v>
      </c>
      <c r="E13" s="245"/>
      <c r="F13" s="156"/>
      <c r="G13" s="79"/>
      <c r="H13" s="91"/>
      <c r="I13" s="41" t="s">
        <v>181</v>
      </c>
      <c r="J13" s="42"/>
      <c r="K13" s="42"/>
      <c r="R13" s="67"/>
    </row>
    <row r="14">
      <c r="A14" s="12" t="s">
        <v>90</v>
      </c>
      <c r="B14" s="227" t="s">
        <v>2098</v>
      </c>
      <c r="C14" s="74" t="str">
        <f t="shared" si="1"/>
        <v>Terça-Feira</v>
      </c>
      <c r="D14" s="512" t="str">
        <f>IF(C14&lt;&gt;"Quarta-Feira","16:20","11:20")</f>
        <v>16:20</v>
      </c>
      <c r="E14" s="295" t="s">
        <v>3409</v>
      </c>
      <c r="F14" s="133">
        <v>7.05006041358954E14</v>
      </c>
      <c r="G14" s="79" t="s">
        <v>3410</v>
      </c>
      <c r="H14" s="166">
        <v>26090.0</v>
      </c>
      <c r="I14" s="41" t="s">
        <v>41</v>
      </c>
      <c r="J14" s="42"/>
      <c r="K14" s="42"/>
      <c r="R14" s="67"/>
    </row>
    <row r="15">
      <c r="A15" s="12" t="s">
        <v>93</v>
      </c>
      <c r="B15" s="227" t="s">
        <v>2096</v>
      </c>
      <c r="C15" s="74" t="str">
        <f t="shared" si="1"/>
        <v>Terça-Feira</v>
      </c>
      <c r="D15" s="512" t="str">
        <f>IF(C15&lt;&gt;"Quarta-Feira","16:40","11:40")</f>
        <v>16:40</v>
      </c>
      <c r="E15" s="295"/>
      <c r="F15" s="133"/>
      <c r="G15" s="79"/>
      <c r="H15" s="166"/>
      <c r="I15" s="41" t="s">
        <v>181</v>
      </c>
      <c r="J15" s="42"/>
      <c r="K15" s="42"/>
      <c r="R15" s="67"/>
    </row>
    <row r="16">
      <c r="E16" s="261"/>
      <c r="J16" s="67"/>
      <c r="K16" s="67"/>
      <c r="R16" s="67"/>
    </row>
    <row r="17">
      <c r="E17" s="261"/>
      <c r="J17" s="67"/>
      <c r="K17" s="67"/>
      <c r="R17" s="67"/>
    </row>
    <row r="18" ht="15.0" customHeight="1">
      <c r="E18" s="261"/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tr">
        <f>TEXT(DATE(VALUE(MID(A2,7,4)),VALUE(MID(A2,4,2)),VALUE(LEFT(A2,2)))+2,"dd/mm/yyyy")&amp;" 13h às 17h"</f>
        <v>07/05/2026 13h às 17h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1790</v>
      </c>
      <c r="C22" s="74" t="str">
        <f t="shared" ref="C22:C33" si="3">PROPER(TEXT(DATE(MID($A$20,7,4),MID($A$20,4,2),LEFT($A$20,2)),"dddd"))</f>
        <v>Quinta-Feira</v>
      </c>
      <c r="D22" s="512" t="str">
        <f>IF(C22&lt;&gt;"Quarta-Feira","13:00","08:00")</f>
        <v>13:00</v>
      </c>
      <c r="E22" s="246" t="s">
        <v>3411</v>
      </c>
      <c r="F22" s="133">
        <v>7.03408225679011E14</v>
      </c>
      <c r="G22" s="79" t="s">
        <v>3412</v>
      </c>
      <c r="H22" s="166">
        <v>22283.0</v>
      </c>
      <c r="I22" s="41" t="s">
        <v>41</v>
      </c>
      <c r="J22" s="133"/>
      <c r="K22" s="133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1714</v>
      </c>
      <c r="C23" s="74" t="str">
        <f t="shared" si="3"/>
        <v>Quinta-Feira</v>
      </c>
      <c r="D23" s="512" t="str">
        <f>IF(C23&lt;&gt;"Quarta-Feira","13:20","08:20")</f>
        <v>13:20</v>
      </c>
      <c r="E23" s="242" t="s">
        <v>3413</v>
      </c>
      <c r="F23" s="133">
        <v>7.00004515554802E14</v>
      </c>
      <c r="G23" s="79" t="s">
        <v>3414</v>
      </c>
      <c r="H23" s="166">
        <v>21160.0</v>
      </c>
      <c r="I23" s="41" t="s">
        <v>2567</v>
      </c>
      <c r="J23" s="133"/>
      <c r="K23" s="133"/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1781</v>
      </c>
      <c r="C24" s="74" t="str">
        <f t="shared" si="3"/>
        <v>Quinta-Feira</v>
      </c>
      <c r="D24" s="512" t="str">
        <f>IF(C24&lt;&gt;"Quarta-Feira","13:40","08:40")</f>
        <v>13:40</v>
      </c>
      <c r="E24" s="242" t="s">
        <v>3415</v>
      </c>
      <c r="F24" s="133">
        <v>2.04297704930005E14</v>
      </c>
      <c r="G24" s="79" t="s">
        <v>3416</v>
      </c>
      <c r="H24" s="166">
        <v>19617.0</v>
      </c>
      <c r="I24" s="41" t="s">
        <v>41</v>
      </c>
      <c r="J24" s="133"/>
      <c r="K24" s="133"/>
      <c r="L24" s="216" t="s">
        <v>521</v>
      </c>
      <c r="N24" s="271" t="s">
        <v>41</v>
      </c>
      <c r="O24" s="272" t="s">
        <v>195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1721</v>
      </c>
      <c r="C25" s="74" t="str">
        <f t="shared" si="3"/>
        <v>Quinta-Feira</v>
      </c>
      <c r="D25" s="512" t="str">
        <f>IF(C25&lt;&gt;"Quarta-Feira","14:00","09:00")</f>
        <v>14:00</v>
      </c>
      <c r="E25" s="241" t="s">
        <v>3417</v>
      </c>
      <c r="F25" s="133">
        <v>2.0429581054E14</v>
      </c>
      <c r="G25" s="79" t="s">
        <v>3418</v>
      </c>
      <c r="H25" s="166">
        <v>19403.0</v>
      </c>
      <c r="I25" s="41" t="s">
        <v>41</v>
      </c>
      <c r="J25" s="133"/>
      <c r="K25" s="133"/>
      <c r="L25" s="216" t="s">
        <v>521</v>
      </c>
      <c r="N25" s="275">
        <f t="shared" ref="N25:Q25" si="4">COUNTIFS($I$22:$I$33,N24)</f>
        <v>10</v>
      </c>
      <c r="O25" s="275">
        <f t="shared" si="4"/>
        <v>0</v>
      </c>
      <c r="P25" s="275">
        <f t="shared" si="4"/>
        <v>0</v>
      </c>
      <c r="Q25" s="275">
        <f t="shared" si="4"/>
        <v>1</v>
      </c>
      <c r="R25" s="67"/>
    </row>
    <row r="26" ht="18.0" customHeight="1">
      <c r="A26" s="12" t="s">
        <v>14</v>
      </c>
      <c r="B26" s="227" t="s">
        <v>1796</v>
      </c>
      <c r="C26" s="74" t="str">
        <f t="shared" si="3"/>
        <v>Quinta-Feira</v>
      </c>
      <c r="D26" s="512" t="str">
        <f>IF(C26&lt;&gt;"Quarta-Feira","14:20","09:20")</f>
        <v>14:20</v>
      </c>
      <c r="E26" s="278" t="s">
        <v>3419</v>
      </c>
      <c r="F26" s="133">
        <v>7.02905585110473E14</v>
      </c>
      <c r="G26" s="79" t="s">
        <v>3420</v>
      </c>
      <c r="H26" s="166">
        <v>26677.0</v>
      </c>
      <c r="I26" s="41" t="s">
        <v>41</v>
      </c>
      <c r="J26" s="133"/>
      <c r="K26" s="133"/>
      <c r="L26" s="216" t="s">
        <v>521</v>
      </c>
      <c r="R26" s="67"/>
    </row>
    <row r="27">
      <c r="A27" s="12" t="s">
        <v>15</v>
      </c>
      <c r="B27" s="227" t="s">
        <v>1790</v>
      </c>
      <c r="C27" s="74" t="str">
        <f t="shared" si="3"/>
        <v>Quinta-Feira</v>
      </c>
      <c r="D27" s="512" t="str">
        <f>IF(C27&lt;&gt;"Quarta-Feira","14:40","09:40")</f>
        <v>14:40</v>
      </c>
      <c r="E27" s="278" t="s">
        <v>3421</v>
      </c>
      <c r="F27" s="133">
        <v>7.00409443913845E14</v>
      </c>
      <c r="G27" s="79" t="s">
        <v>3422</v>
      </c>
      <c r="H27" s="166">
        <v>22107.0</v>
      </c>
      <c r="I27" s="41" t="s">
        <v>41</v>
      </c>
      <c r="J27" s="133"/>
      <c r="K27" s="133"/>
      <c r="L27" s="216" t="s">
        <v>521</v>
      </c>
      <c r="R27" s="67"/>
    </row>
    <row r="28">
      <c r="A28" s="12" t="s">
        <v>16</v>
      </c>
      <c r="B28" s="227" t="s">
        <v>2653</v>
      </c>
      <c r="C28" s="74" t="str">
        <f t="shared" si="3"/>
        <v>Quinta-Feira</v>
      </c>
      <c r="D28" s="512" t="str">
        <f>IF(C28&lt;&gt;"Quarta-Feira","15:00","10:00")</f>
        <v>15:00</v>
      </c>
      <c r="E28" s="241"/>
      <c r="F28" s="84"/>
      <c r="G28" s="79" t="s">
        <v>3423</v>
      </c>
      <c r="H28" s="83"/>
      <c r="I28" s="41" t="s">
        <v>41</v>
      </c>
      <c r="J28" s="305"/>
      <c r="K28" s="133"/>
      <c r="L28" s="216" t="s">
        <v>521</v>
      </c>
      <c r="R28" s="67"/>
    </row>
    <row r="29">
      <c r="A29" s="12" t="s">
        <v>17</v>
      </c>
      <c r="B29" s="227" t="s">
        <v>2656</v>
      </c>
      <c r="C29" s="74" t="str">
        <f t="shared" si="3"/>
        <v>Quinta-Feira</v>
      </c>
      <c r="D29" s="512" t="str">
        <f>IF(C29&lt;&gt;"Quarta-Feira","15:20","10:20")</f>
        <v>15:20</v>
      </c>
      <c r="E29" s="242" t="s">
        <v>3424</v>
      </c>
      <c r="F29" s="133">
        <v>7.04808552398249E14</v>
      </c>
      <c r="G29" s="79" t="s">
        <v>3425</v>
      </c>
      <c r="H29" s="166">
        <v>13103.0</v>
      </c>
      <c r="I29" s="41" t="s">
        <v>41</v>
      </c>
      <c r="J29" s="133"/>
      <c r="K29" s="133"/>
      <c r="L29" s="216" t="s">
        <v>521</v>
      </c>
      <c r="R29" s="67"/>
    </row>
    <row r="30">
      <c r="A30" s="12" t="s">
        <v>85</v>
      </c>
      <c r="B30" s="227" t="s">
        <v>2659</v>
      </c>
      <c r="C30" s="74" t="str">
        <f t="shared" si="3"/>
        <v>Quinta-Feira</v>
      </c>
      <c r="D30" s="512" t="str">
        <f>IF(C30&lt;&gt;"Quarta-Feira","15:40","10:40")</f>
        <v>15:40</v>
      </c>
      <c r="E30" s="295" t="s">
        <v>3426</v>
      </c>
      <c r="F30" s="133">
        <v>7.06402118410085E14</v>
      </c>
      <c r="G30" s="79" t="s">
        <v>3427</v>
      </c>
      <c r="H30" s="166">
        <v>28596.0</v>
      </c>
      <c r="I30" s="41" t="s">
        <v>41</v>
      </c>
      <c r="J30" s="133"/>
      <c r="K30" s="133"/>
      <c r="L30" s="216" t="s">
        <v>521</v>
      </c>
      <c r="R30" s="67"/>
    </row>
    <row r="31">
      <c r="A31" s="12" t="s">
        <v>87</v>
      </c>
      <c r="B31" s="227" t="s">
        <v>1735</v>
      </c>
      <c r="C31" s="74" t="str">
        <f t="shared" si="3"/>
        <v>Quinta-Feira</v>
      </c>
      <c r="D31" s="512" t="str">
        <f>IF(C31&lt;&gt;"Quarta-Feira","16:00","11:00")</f>
        <v>16:00</v>
      </c>
      <c r="E31" s="245" t="s">
        <v>179</v>
      </c>
      <c r="F31" s="133" t="s">
        <v>179</v>
      </c>
      <c r="G31" s="79" t="s">
        <v>3428</v>
      </c>
      <c r="H31" s="166">
        <v>31043.0</v>
      </c>
      <c r="I31" s="41" t="s">
        <v>41</v>
      </c>
      <c r="J31" s="133"/>
      <c r="K31" s="133"/>
      <c r="L31" s="216" t="s">
        <v>521</v>
      </c>
      <c r="R31" s="67"/>
    </row>
    <row r="32">
      <c r="A32" s="12" t="s">
        <v>90</v>
      </c>
      <c r="B32" s="227" t="s">
        <v>2659</v>
      </c>
      <c r="C32" s="74" t="str">
        <f t="shared" si="3"/>
        <v>Quinta-Feira</v>
      </c>
      <c r="D32" s="512" t="str">
        <f>IF(C32&lt;&gt;"Quarta-Feira","16:20","11:20")</f>
        <v>16:20</v>
      </c>
      <c r="E32" s="295" t="s">
        <v>3429</v>
      </c>
      <c r="F32" s="133">
        <v>7.02905546144672E14</v>
      </c>
      <c r="G32" s="79" t="s">
        <v>3430</v>
      </c>
      <c r="H32" s="166">
        <v>20201.0</v>
      </c>
      <c r="I32" s="41" t="s">
        <v>2088</v>
      </c>
      <c r="J32" s="133"/>
      <c r="K32" s="133"/>
      <c r="L32" s="216" t="s">
        <v>521</v>
      </c>
      <c r="R32" s="67"/>
    </row>
    <row r="33">
      <c r="A33" s="12" t="s">
        <v>93</v>
      </c>
      <c r="B33" s="227" t="s">
        <v>1735</v>
      </c>
      <c r="C33" s="74" t="str">
        <f t="shared" si="3"/>
        <v>Quinta-Feira</v>
      </c>
      <c r="D33" s="512" t="str">
        <f>IF(C33&lt;&gt;"Quarta-Feira","16:40","11:40")</f>
        <v>16:40</v>
      </c>
      <c r="E33" s="295" t="s">
        <v>3431</v>
      </c>
      <c r="F33" s="133">
        <v>8.01440471118031E14</v>
      </c>
      <c r="G33" s="79" t="s">
        <v>3432</v>
      </c>
      <c r="H33" s="166">
        <v>24839.0</v>
      </c>
      <c r="I33" s="41" t="s">
        <v>41</v>
      </c>
      <c r="J33" s="133"/>
      <c r="K33" s="133"/>
      <c r="R33" s="67"/>
    </row>
    <row r="34">
      <c r="E34" s="261"/>
      <c r="J34" s="67"/>
      <c r="K34" s="67"/>
      <c r="R34" s="67"/>
    </row>
    <row r="35">
      <c r="E35" s="261"/>
      <c r="J35" s="67"/>
      <c r="K35" s="67"/>
      <c r="R35" s="67"/>
    </row>
    <row r="36">
      <c r="E36" s="261"/>
      <c r="J36" s="67"/>
      <c r="K36" s="67"/>
      <c r="R36" s="67"/>
    </row>
    <row r="37">
      <c r="A37" s="23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4.75" customHeight="1">
      <c r="A38" s="24" t="str">
        <f>TEXT(DATE(VALUE(MID(A2,7,4)),VALUE(MID(A2,4,2)),VALUE(LEFT(A2,2)))+7,"dd/mm/yyyy")&amp;" 13h às 17h"</f>
        <v>12/05/2026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26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7" t="s">
        <v>2082</v>
      </c>
      <c r="C40" s="74" t="str">
        <f t="shared" ref="C40:C51" si="5">PROPER(TEXT(DATE(MID($A$38,7,4),MID($A$38,4,2),LEFT($A$38,2)),"dddd"))</f>
        <v>Terça-Feira</v>
      </c>
      <c r="D40" s="512" t="str">
        <f>IF(C40&lt;&gt;"Quarta-Feira","13:00","08:00")</f>
        <v>13:00</v>
      </c>
      <c r="E40" s="241" t="s">
        <v>2623</v>
      </c>
      <c r="F40" s="84">
        <v>7.034070460218E14</v>
      </c>
      <c r="G40" s="79" t="s">
        <v>2624</v>
      </c>
      <c r="H40" s="77">
        <v>22704.0</v>
      </c>
      <c r="I40" s="34" t="s">
        <v>41</v>
      </c>
      <c r="J40" s="314"/>
      <c r="K40" s="314"/>
      <c r="L40" s="216" t="s">
        <v>521</v>
      </c>
      <c r="N40" s="268" t="s">
        <v>387</v>
      </c>
      <c r="O40" s="100"/>
      <c r="P40" s="100"/>
      <c r="Q40" s="100"/>
      <c r="R40" s="67"/>
    </row>
    <row r="41">
      <c r="A41" s="12" t="s">
        <v>11</v>
      </c>
      <c r="B41" s="227" t="s">
        <v>2084</v>
      </c>
      <c r="C41" s="74" t="str">
        <f t="shared" si="5"/>
        <v>Terça-Feira</v>
      </c>
      <c r="D41" s="512" t="str">
        <f>IF(C41&lt;&gt;"Quarta-Feira","13:20","08:20")</f>
        <v>13:20</v>
      </c>
      <c r="E41" s="241" t="s">
        <v>3433</v>
      </c>
      <c r="F41" s="84">
        <v>1.6366335487E14</v>
      </c>
      <c r="G41" s="341" t="s">
        <v>3434</v>
      </c>
      <c r="H41" s="77">
        <v>15790.0</v>
      </c>
      <c r="I41" s="34" t="s">
        <v>2088</v>
      </c>
      <c r="J41" s="314"/>
      <c r="K41" s="314"/>
      <c r="N41" s="270" t="s">
        <v>2086</v>
      </c>
      <c r="O41" s="2"/>
      <c r="P41" s="2"/>
      <c r="Q41" s="2"/>
      <c r="R41" s="67"/>
    </row>
    <row r="42">
      <c r="A42" s="12" t="s">
        <v>12</v>
      </c>
      <c r="B42" s="227" t="s">
        <v>2087</v>
      </c>
      <c r="C42" s="74" t="str">
        <f t="shared" si="5"/>
        <v>Terça-Feira</v>
      </c>
      <c r="D42" s="512" t="str">
        <f>IF(C42&lt;&gt;"Quarta-Feira","13:40","08:40")</f>
        <v>13:40</v>
      </c>
      <c r="E42" s="241"/>
      <c r="F42" s="84"/>
      <c r="G42" s="79"/>
      <c r="H42" s="77"/>
      <c r="I42" s="34"/>
      <c r="J42" s="382"/>
      <c r="K42" s="382"/>
      <c r="L42" s="216" t="s">
        <v>521</v>
      </c>
      <c r="N42" s="271" t="s">
        <v>183</v>
      </c>
      <c r="O42" s="272" t="s">
        <v>195</v>
      </c>
      <c r="P42" s="272" t="s">
        <v>181</v>
      </c>
      <c r="Q42" s="273" t="s">
        <v>2088</v>
      </c>
      <c r="R42" s="286" t="s">
        <v>439</v>
      </c>
    </row>
    <row r="43">
      <c r="A43" s="12" t="s">
        <v>13</v>
      </c>
      <c r="B43" s="227" t="s">
        <v>2089</v>
      </c>
      <c r="C43" s="74" t="str">
        <f t="shared" si="5"/>
        <v>Terça-Feira</v>
      </c>
      <c r="D43" s="512" t="str">
        <f>IF(C43&lt;&gt;"Quarta-Feira","14:00","09:00")</f>
        <v>14:00</v>
      </c>
      <c r="E43" s="241" t="s">
        <v>2154</v>
      </c>
      <c r="F43" s="84">
        <v>7.00002287262002E14</v>
      </c>
      <c r="G43" s="79" t="s">
        <v>2155</v>
      </c>
      <c r="H43" s="77">
        <v>19480.0</v>
      </c>
      <c r="I43" s="34" t="s">
        <v>41</v>
      </c>
      <c r="J43" s="314"/>
      <c r="K43" s="314"/>
      <c r="L43" s="216" t="s">
        <v>521</v>
      </c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0</v>
      </c>
      <c r="Q43" s="275">
        <f t="shared" si="6"/>
        <v>1</v>
      </c>
      <c r="R43" s="67">
        <f>COUNTIFS(I40:I51,R42)</f>
        <v>0</v>
      </c>
    </row>
    <row r="44">
      <c r="A44" s="12" t="s">
        <v>14</v>
      </c>
      <c r="B44" s="227" t="s">
        <v>2082</v>
      </c>
      <c r="C44" s="74" t="str">
        <f t="shared" si="5"/>
        <v>Terça-Feira</v>
      </c>
      <c r="D44" s="512" t="str">
        <f>IF(C44&lt;&gt;"Quarta-Feira","14:20","09:20")</f>
        <v>14:20</v>
      </c>
      <c r="E44" s="241" t="s">
        <v>3435</v>
      </c>
      <c r="F44" s="84">
        <v>8.01440406547942E14</v>
      </c>
      <c r="G44" s="341" t="s">
        <v>3436</v>
      </c>
      <c r="H44" s="77">
        <v>25769.0</v>
      </c>
      <c r="I44" s="41" t="s">
        <v>41</v>
      </c>
      <c r="J44" s="314"/>
      <c r="K44" s="314"/>
      <c r="L44" s="216" t="s">
        <v>521</v>
      </c>
      <c r="R44" s="67"/>
    </row>
    <row r="45">
      <c r="A45" s="12" t="s">
        <v>15</v>
      </c>
      <c r="B45" s="227" t="s">
        <v>2089</v>
      </c>
      <c r="C45" s="74" t="str">
        <f t="shared" si="5"/>
        <v>Terça-Feira</v>
      </c>
      <c r="D45" s="512" t="str">
        <f>IF(C45&lt;&gt;"Quarta-Feira","14:40","09:40")</f>
        <v>14:40</v>
      </c>
      <c r="E45" s="241" t="s">
        <v>3437</v>
      </c>
      <c r="F45" s="84">
        <v>7.0810514103804E14</v>
      </c>
      <c r="G45" s="79" t="s">
        <v>3438</v>
      </c>
      <c r="H45" s="77">
        <v>32302.0</v>
      </c>
      <c r="I45" s="34" t="s">
        <v>41</v>
      </c>
      <c r="J45" s="314"/>
      <c r="K45" s="314"/>
      <c r="L45" s="216" t="s">
        <v>521</v>
      </c>
      <c r="R45" s="67"/>
    </row>
    <row r="46">
      <c r="A46" s="12" t="s">
        <v>16</v>
      </c>
      <c r="B46" s="227" t="s">
        <v>2093</v>
      </c>
      <c r="C46" s="74" t="str">
        <f t="shared" si="5"/>
        <v>Terça-Feira</v>
      </c>
      <c r="D46" s="512" t="str">
        <f>IF(C46&lt;&gt;"Quarta-Feira","15:00","10:00")</f>
        <v>15:00</v>
      </c>
      <c r="E46" s="241"/>
      <c r="F46" s="84"/>
      <c r="G46" s="352"/>
      <c r="H46" s="77"/>
      <c r="I46" s="41"/>
      <c r="J46" s="382"/>
      <c r="K46" s="314"/>
      <c r="R46" s="67"/>
    </row>
    <row r="47">
      <c r="A47" s="12" t="s">
        <v>17</v>
      </c>
      <c r="B47" s="227" t="s">
        <v>2094</v>
      </c>
      <c r="C47" s="74" t="str">
        <f t="shared" si="5"/>
        <v>Terça-Feira</v>
      </c>
      <c r="D47" s="512" t="str">
        <f>IF(C47&lt;&gt;"Quarta-Feira","15:20","10:20")</f>
        <v>15:20</v>
      </c>
      <c r="E47" s="241" t="s">
        <v>3439</v>
      </c>
      <c r="F47" s="84">
        <v>2.07238639320002E14</v>
      </c>
      <c r="G47" s="79" t="s">
        <v>3440</v>
      </c>
      <c r="H47" s="77">
        <v>25520.0</v>
      </c>
      <c r="I47" s="41" t="s">
        <v>41</v>
      </c>
      <c r="J47" s="382"/>
      <c r="K47" s="382"/>
      <c r="R47" s="67"/>
    </row>
    <row r="48">
      <c r="A48" s="12" t="s">
        <v>85</v>
      </c>
      <c r="B48" s="227" t="s">
        <v>2095</v>
      </c>
      <c r="C48" s="74" t="str">
        <f t="shared" si="5"/>
        <v>Terça-Feira</v>
      </c>
      <c r="D48" s="512" t="str">
        <f>IF(C48&lt;&gt;"Quarta-Feira","15:40","10:40")</f>
        <v>15:40</v>
      </c>
      <c r="E48" s="241" t="s">
        <v>3441</v>
      </c>
      <c r="F48" s="84">
        <v>7.05004850855151E14</v>
      </c>
      <c r="G48" s="79" t="s">
        <v>3442</v>
      </c>
      <c r="H48" s="77">
        <v>18659.0</v>
      </c>
      <c r="I48" s="34" t="s">
        <v>41</v>
      </c>
      <c r="J48" s="314"/>
      <c r="K48" s="314"/>
      <c r="L48" s="216" t="s">
        <v>577</v>
      </c>
      <c r="R48" s="67"/>
    </row>
    <row r="49">
      <c r="A49" s="12" t="s">
        <v>87</v>
      </c>
      <c r="B49" s="227" t="s">
        <v>2096</v>
      </c>
      <c r="C49" s="74" t="str">
        <f t="shared" si="5"/>
        <v>Terça-Feira</v>
      </c>
      <c r="D49" s="512" t="str">
        <f>IF(C49&lt;&gt;"Quarta-Feira","16:00","11:00")</f>
        <v>16:00</v>
      </c>
      <c r="E49" s="241" t="s">
        <v>3034</v>
      </c>
      <c r="F49" s="84">
        <v>2.01539090260001E14</v>
      </c>
      <c r="G49" s="79" t="s">
        <v>3035</v>
      </c>
      <c r="H49" s="77">
        <v>20612.0</v>
      </c>
      <c r="I49" s="41"/>
      <c r="J49" s="382"/>
      <c r="K49" s="314"/>
      <c r="R49" s="67"/>
    </row>
    <row r="50">
      <c r="A50" s="12" t="s">
        <v>90</v>
      </c>
      <c r="B50" s="227" t="s">
        <v>2098</v>
      </c>
      <c r="C50" s="74" t="str">
        <f t="shared" si="5"/>
        <v>Terça-Feira</v>
      </c>
      <c r="D50" s="512" t="str">
        <f>IF(C50&lt;&gt;"Quarta-Feira","16:20","11:20")</f>
        <v>16:20</v>
      </c>
      <c r="E50" s="241" t="s">
        <v>3443</v>
      </c>
      <c r="F50" s="84">
        <v>7.0040678869575E14</v>
      </c>
      <c r="G50" s="79" t="s">
        <v>3444</v>
      </c>
      <c r="H50" s="314">
        <v>19965.0</v>
      </c>
      <c r="I50" s="41" t="s">
        <v>41</v>
      </c>
      <c r="J50" s="314"/>
      <c r="K50" s="314"/>
      <c r="R50" s="67"/>
    </row>
    <row r="51">
      <c r="A51" s="12" t="s">
        <v>93</v>
      </c>
      <c r="B51" s="227" t="s">
        <v>2096</v>
      </c>
      <c r="C51" s="74" t="str">
        <f t="shared" si="5"/>
        <v>Terça-Feira</v>
      </c>
      <c r="D51" s="512" t="str">
        <f>IF(C51&lt;&gt;"Quarta-Feira","16:40","11:40")</f>
        <v>16:40</v>
      </c>
      <c r="E51" s="241"/>
      <c r="F51" s="84"/>
      <c r="G51" s="79"/>
      <c r="H51" s="314"/>
      <c r="I51" s="41"/>
      <c r="J51" s="382"/>
      <c r="K51" s="314"/>
      <c r="R51" s="67"/>
    </row>
    <row r="52">
      <c r="E52" s="261"/>
      <c r="J52" s="67"/>
      <c r="K52" s="67"/>
      <c r="R52" s="67"/>
    </row>
    <row r="53">
      <c r="E53" s="261"/>
      <c r="J53" s="67"/>
      <c r="K53" s="67"/>
      <c r="R53" s="67"/>
    </row>
    <row r="54">
      <c r="E54" s="261"/>
      <c r="J54" s="67"/>
      <c r="K54" s="67"/>
      <c r="R54" s="67"/>
    </row>
    <row r="55">
      <c r="A55" s="23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14/05/2026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26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5.75" customHeight="1">
      <c r="A58" s="12" t="s">
        <v>10</v>
      </c>
      <c r="B58" s="227" t="s">
        <v>1790</v>
      </c>
      <c r="C58" s="74" t="str">
        <f t="shared" ref="C58:C69" si="7">PROPER(TEXT(DATE(MID($A$56,7,4),MID($A$56,4,2),LEFT($A$56,2)),"dddd"))</f>
        <v>Quinta-Feira</v>
      </c>
      <c r="D58" s="512" t="str">
        <f>IF(C58&lt;&gt;"Quarta-Feira","13:00","08:00")</f>
        <v>13:00</v>
      </c>
      <c r="E58" s="241" t="s">
        <v>3445</v>
      </c>
      <c r="F58" s="301">
        <v>7.03407203880414E14</v>
      </c>
      <c r="G58" s="161" t="s">
        <v>3446</v>
      </c>
      <c r="H58" s="163">
        <v>18151.0</v>
      </c>
      <c r="I58" s="41" t="s">
        <v>41</v>
      </c>
      <c r="J58" s="238"/>
      <c r="K58" s="238"/>
      <c r="L58" s="216" t="s">
        <v>521</v>
      </c>
      <c r="N58" s="268" t="s">
        <v>387</v>
      </c>
      <c r="O58" s="100"/>
      <c r="P58" s="100"/>
      <c r="Q58" s="100"/>
      <c r="R58" s="67"/>
    </row>
    <row r="59" ht="15.75" customHeight="1">
      <c r="A59" s="12" t="s">
        <v>11</v>
      </c>
      <c r="B59" s="227" t="s">
        <v>1714</v>
      </c>
      <c r="C59" s="74" t="str">
        <f t="shared" si="7"/>
        <v>Quinta-Feira</v>
      </c>
      <c r="D59" s="512" t="str">
        <f>IF(C59&lt;&gt;"Quarta-Feira","13:20","08:20")</f>
        <v>13:20</v>
      </c>
      <c r="E59" s="241"/>
      <c r="F59" s="440"/>
      <c r="G59" s="161"/>
      <c r="H59" s="163"/>
      <c r="I59" s="41" t="s">
        <v>181</v>
      </c>
      <c r="J59" s="238"/>
      <c r="K59" s="238"/>
      <c r="N59" s="270" t="s">
        <v>2086</v>
      </c>
      <c r="O59" s="2"/>
      <c r="P59" s="2"/>
      <c r="Q59" s="2"/>
      <c r="R59" s="67"/>
    </row>
    <row r="60" ht="15.75" customHeight="1">
      <c r="A60" s="12" t="s">
        <v>12</v>
      </c>
      <c r="B60" s="227" t="s">
        <v>1781</v>
      </c>
      <c r="C60" s="74" t="str">
        <f t="shared" si="7"/>
        <v>Quinta-Feira</v>
      </c>
      <c r="D60" s="512" t="str">
        <f>IF(C60&lt;&gt;"Quarta-Feira","13:40","08:40")</f>
        <v>13:40</v>
      </c>
      <c r="E60" s="241" t="s">
        <v>3447</v>
      </c>
      <c r="F60" s="301">
        <v>8.98001454868696E14</v>
      </c>
      <c r="G60" s="161" t="s">
        <v>3448</v>
      </c>
      <c r="H60" s="163">
        <v>26416.0</v>
      </c>
      <c r="I60" s="41" t="s">
        <v>41</v>
      </c>
      <c r="J60" s="238"/>
      <c r="K60" s="238"/>
      <c r="L60" s="216" t="s">
        <v>521</v>
      </c>
      <c r="N60" s="271" t="s">
        <v>183</v>
      </c>
      <c r="O60" s="272" t="s">
        <v>195</v>
      </c>
      <c r="P60" s="272" t="s">
        <v>181</v>
      </c>
      <c r="Q60" s="272" t="s">
        <v>2088</v>
      </c>
      <c r="R60" s="67"/>
    </row>
    <row r="61" ht="15.75" customHeight="1">
      <c r="A61" s="12" t="s">
        <v>13</v>
      </c>
      <c r="B61" s="227" t="s">
        <v>1721</v>
      </c>
      <c r="C61" s="74" t="str">
        <f t="shared" si="7"/>
        <v>Quinta-Feira</v>
      </c>
      <c r="D61" s="512" t="str">
        <f>IF(C61&lt;&gt;"Quarta-Feira","14:00","09:00")</f>
        <v>14:00</v>
      </c>
      <c r="E61" s="241" t="s">
        <v>3449</v>
      </c>
      <c r="F61" s="301">
        <v>8.01440405045064E14</v>
      </c>
      <c r="G61" s="161" t="s">
        <v>3450</v>
      </c>
      <c r="H61" s="163">
        <v>23886.0</v>
      </c>
      <c r="I61" s="41" t="s">
        <v>41</v>
      </c>
      <c r="J61" s="238"/>
      <c r="K61" s="238"/>
      <c r="L61" s="216" t="s">
        <v>521</v>
      </c>
      <c r="N61" s="275">
        <f t="shared" ref="N61:Q61" si="8">COUNTIFS($I$58:$I$69,N60)</f>
        <v>0</v>
      </c>
      <c r="O61" s="275">
        <f t="shared" si="8"/>
        <v>0</v>
      </c>
      <c r="P61" s="275">
        <f t="shared" si="8"/>
        <v>1</v>
      </c>
      <c r="Q61" s="275">
        <f t="shared" si="8"/>
        <v>0</v>
      </c>
      <c r="R61" s="67"/>
    </row>
    <row r="62" ht="15.75" customHeight="1">
      <c r="A62" s="12" t="s">
        <v>14</v>
      </c>
      <c r="B62" s="227" t="s">
        <v>1796</v>
      </c>
      <c r="C62" s="74" t="str">
        <f t="shared" si="7"/>
        <v>Quinta-Feira</v>
      </c>
      <c r="D62" s="512" t="str">
        <f>IF(C62&lt;&gt;"Quarta-Feira","14:20","09:20")</f>
        <v>14:20</v>
      </c>
      <c r="E62" s="241" t="s">
        <v>3451</v>
      </c>
      <c r="F62" s="301">
        <v>7.02302141122714E14</v>
      </c>
      <c r="G62" s="161" t="s">
        <v>3452</v>
      </c>
      <c r="H62" s="163">
        <v>34658.0</v>
      </c>
      <c r="I62" s="41" t="s">
        <v>41</v>
      </c>
      <c r="J62" s="238"/>
      <c r="K62" s="238"/>
      <c r="R62" s="67"/>
    </row>
    <row r="63" ht="15.75" customHeight="1">
      <c r="A63" s="12" t="s">
        <v>15</v>
      </c>
      <c r="B63" s="227" t="s">
        <v>1790</v>
      </c>
      <c r="C63" s="74" t="str">
        <f t="shared" si="7"/>
        <v>Quinta-Feira</v>
      </c>
      <c r="D63" s="512" t="str">
        <f>IF(C63&lt;&gt;"Quarta-Feira","14:40","09:40")</f>
        <v>14:40</v>
      </c>
      <c r="E63" s="241" t="s">
        <v>1791</v>
      </c>
      <c r="F63" s="440">
        <v>8.0144048185127E14</v>
      </c>
      <c r="G63" s="161" t="s">
        <v>1792</v>
      </c>
      <c r="H63" s="163">
        <v>17835.0</v>
      </c>
      <c r="I63" s="41" t="s">
        <v>41</v>
      </c>
      <c r="J63" s="238"/>
      <c r="K63" s="238"/>
      <c r="L63" s="216" t="s">
        <v>521</v>
      </c>
      <c r="R63" s="67"/>
    </row>
    <row r="64" ht="15.75" customHeight="1">
      <c r="A64" s="12" t="s">
        <v>16</v>
      </c>
      <c r="B64" s="227" t="s">
        <v>2653</v>
      </c>
      <c r="C64" s="74" t="str">
        <f t="shared" si="7"/>
        <v>Quinta-Feira</v>
      </c>
      <c r="D64" s="512" t="str">
        <f>IF(C64&lt;&gt;"Quarta-Feira","15:00","10:00")</f>
        <v>15:00</v>
      </c>
      <c r="E64" s="241" t="s">
        <v>3453</v>
      </c>
      <c r="F64" s="301">
        <v>7.04205707108284E14</v>
      </c>
      <c r="G64" s="161" t="s">
        <v>3454</v>
      </c>
      <c r="H64" s="163">
        <v>23425.0</v>
      </c>
      <c r="I64" s="41" t="s">
        <v>41</v>
      </c>
      <c r="J64" s="238"/>
      <c r="K64" s="238"/>
      <c r="L64" s="216" t="s">
        <v>521</v>
      </c>
      <c r="R64" s="67"/>
    </row>
    <row r="65" ht="15.75" customHeight="1">
      <c r="A65" s="12" t="s">
        <v>17</v>
      </c>
      <c r="B65" s="227" t="s">
        <v>2656</v>
      </c>
      <c r="C65" s="74" t="str">
        <f t="shared" si="7"/>
        <v>Quinta-Feira</v>
      </c>
      <c r="D65" s="512" t="str">
        <f>IF(C65&lt;&gt;"Quarta-Feira","15:20","10:20")</f>
        <v>15:20</v>
      </c>
      <c r="E65" s="241" t="s">
        <v>3455</v>
      </c>
      <c r="F65" s="301">
        <v>7.0800483690912E14</v>
      </c>
      <c r="G65" s="161" t="s">
        <v>3456</v>
      </c>
      <c r="H65" s="163">
        <v>24527.0</v>
      </c>
      <c r="I65" s="41" t="s">
        <v>41</v>
      </c>
      <c r="J65" s="238"/>
      <c r="K65" s="238"/>
      <c r="L65" s="216" t="s">
        <v>521</v>
      </c>
      <c r="R65" s="67"/>
    </row>
    <row r="66" ht="15.75" customHeight="1">
      <c r="A66" s="12" t="s">
        <v>85</v>
      </c>
      <c r="B66" s="227" t="s">
        <v>2659</v>
      </c>
      <c r="C66" s="74" t="str">
        <f t="shared" si="7"/>
        <v>Quinta-Feira</v>
      </c>
      <c r="D66" s="512" t="str">
        <f>IF(C66&lt;&gt;"Quarta-Feira","15:40","10:40")</f>
        <v>15:40</v>
      </c>
      <c r="E66" s="241" t="s">
        <v>3457</v>
      </c>
      <c r="F66" s="301">
        <v>7.06905194742237E14</v>
      </c>
      <c r="G66" s="161" t="s">
        <v>3458</v>
      </c>
      <c r="H66" s="163">
        <v>25169.0</v>
      </c>
      <c r="I66" s="41" t="s">
        <v>41</v>
      </c>
      <c r="J66" s="238"/>
      <c r="K66" s="238"/>
      <c r="R66" s="67"/>
    </row>
    <row r="67" ht="15.75" customHeight="1">
      <c r="A67" s="12" t="s">
        <v>87</v>
      </c>
      <c r="B67" s="227" t="s">
        <v>1735</v>
      </c>
      <c r="C67" s="74" t="str">
        <f t="shared" si="7"/>
        <v>Quinta-Feira</v>
      </c>
      <c r="D67" s="512" t="str">
        <f>IF(C67&lt;&gt;"Quarta-Feira","16:00","11:00")</f>
        <v>16:00</v>
      </c>
      <c r="E67" s="241" t="s">
        <v>3431</v>
      </c>
      <c r="F67" s="301">
        <v>8.01440471118031E14</v>
      </c>
      <c r="G67" s="161" t="s">
        <v>3432</v>
      </c>
      <c r="H67" s="163">
        <v>24839.0</v>
      </c>
      <c r="I67" s="41" t="s">
        <v>41</v>
      </c>
      <c r="J67" s="238"/>
      <c r="K67" s="238"/>
      <c r="L67" s="216" t="s">
        <v>521</v>
      </c>
      <c r="R67" s="67"/>
    </row>
    <row r="68" ht="15.75" customHeight="1">
      <c r="A68" s="12" t="s">
        <v>90</v>
      </c>
      <c r="B68" s="227" t="s">
        <v>2659</v>
      </c>
      <c r="C68" s="74" t="str">
        <f t="shared" si="7"/>
        <v>Quinta-Feira</v>
      </c>
      <c r="D68" s="512" t="str">
        <f>IF(C68&lt;&gt;"Quarta-Feira","16:20","11:20")</f>
        <v>16:20</v>
      </c>
      <c r="E68" s="241" t="s">
        <v>3459</v>
      </c>
      <c r="F68" s="301">
        <v>1.25397632100007E14</v>
      </c>
      <c r="G68" s="161" t="s">
        <v>3460</v>
      </c>
      <c r="H68" s="163">
        <v>28153.0</v>
      </c>
      <c r="I68" s="41" t="s">
        <v>41</v>
      </c>
      <c r="J68" s="238"/>
      <c r="K68" s="238"/>
      <c r="R68" s="67"/>
    </row>
    <row r="69" ht="15.75" customHeight="1">
      <c r="A69" s="12" t="s">
        <v>93</v>
      </c>
      <c r="B69" s="227" t="s">
        <v>1735</v>
      </c>
      <c r="C69" s="74" t="str">
        <f t="shared" si="7"/>
        <v>Quinta-Feira</v>
      </c>
      <c r="D69" s="512" t="str">
        <f>IF(C69&lt;&gt;"Quarta-Feira","16:40","11:40")</f>
        <v>16:40</v>
      </c>
      <c r="E69" s="241" t="s">
        <v>3461</v>
      </c>
      <c r="F69" s="301">
        <v>7.06008824317441E14</v>
      </c>
      <c r="G69" s="161" t="s">
        <v>3462</v>
      </c>
      <c r="H69" s="163">
        <v>31043.0</v>
      </c>
      <c r="I69" s="41" t="s">
        <v>41</v>
      </c>
      <c r="J69" s="238"/>
      <c r="K69" s="238"/>
      <c r="R69" s="67"/>
    </row>
    <row r="70">
      <c r="E70" s="261"/>
      <c r="G70" s="216"/>
      <c r="J70" s="67"/>
      <c r="K70" s="67"/>
      <c r="R70" s="67"/>
    </row>
    <row r="71">
      <c r="E71" s="261"/>
      <c r="J71" s="67"/>
      <c r="K71" s="67"/>
      <c r="R71" s="67"/>
    </row>
    <row r="72">
      <c r="E72" s="261"/>
      <c r="J72" s="67"/>
      <c r="K72" s="67"/>
      <c r="R72" s="67"/>
    </row>
    <row r="73">
      <c r="A73" s="398" t="s">
        <v>18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TEXT(DATE(VALUE(MID(A38,7,4)),VALUE(MID(A38,4,2)),VALUE(LEFT(A38,2)))+7,"dd/mm/yyyy")&amp;" 13h às 17h"</f>
        <v>19/05/2026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469"/>
      <c r="B75" s="470" t="s">
        <v>3</v>
      </c>
      <c r="C75" s="471" t="s">
        <v>2</v>
      </c>
      <c r="D75" s="472" t="s">
        <v>5</v>
      </c>
      <c r="E75" s="530" t="s">
        <v>19</v>
      </c>
      <c r="F75" s="472" t="s">
        <v>6</v>
      </c>
      <c r="G75" s="473" t="s">
        <v>7</v>
      </c>
      <c r="H75" s="474" t="s">
        <v>8</v>
      </c>
      <c r="I75" s="475" t="s">
        <v>20</v>
      </c>
      <c r="J75" s="472" t="s">
        <v>21</v>
      </c>
      <c r="K75" s="472" t="s">
        <v>22</v>
      </c>
      <c r="R75" s="67"/>
    </row>
    <row r="76">
      <c r="A76" s="476" t="s">
        <v>10</v>
      </c>
      <c r="B76" s="227" t="s">
        <v>2082</v>
      </c>
      <c r="C76" s="447" t="str">
        <f t="shared" ref="C76:C87" si="9">PROPER(TEXT(DATE(MID($A$74,7,4),MID($A$74,4,2),LEFT($A$74,2)),"dddd"))</f>
        <v>Terça-Feira</v>
      </c>
      <c r="D76" s="512" t="str">
        <f>IF(C76&lt;&gt;"Quarta-Feira","13:00","08:00")</f>
        <v>13:00</v>
      </c>
      <c r="E76" s="477" t="s">
        <v>3463</v>
      </c>
      <c r="F76" s="133">
        <v>8.98000082161854E14</v>
      </c>
      <c r="G76" s="203" t="s">
        <v>3464</v>
      </c>
      <c r="H76" s="166">
        <v>20290.0</v>
      </c>
      <c r="I76" s="478" t="s">
        <v>41</v>
      </c>
      <c r="J76" s="391"/>
      <c r="K76" s="391"/>
      <c r="N76" s="268" t="s">
        <v>387</v>
      </c>
      <c r="O76" s="100"/>
      <c r="P76" s="100"/>
      <c r="Q76" s="100"/>
      <c r="R76" s="67"/>
    </row>
    <row r="77">
      <c r="A77" s="476" t="s">
        <v>11</v>
      </c>
      <c r="B77" s="227" t="s">
        <v>2084</v>
      </c>
      <c r="C77" s="447" t="str">
        <f t="shared" si="9"/>
        <v>Terça-Feira</v>
      </c>
      <c r="D77" s="512" t="str">
        <f>IF(C77&lt;&gt;"Quarta-Feira","13:20","08:20")</f>
        <v>13:20</v>
      </c>
      <c r="E77" s="479" t="s">
        <v>3465</v>
      </c>
      <c r="F77" s="133">
        <v>8.01440421486185E14</v>
      </c>
      <c r="G77" s="203" t="s">
        <v>3466</v>
      </c>
      <c r="H77" s="166">
        <v>27470.0</v>
      </c>
      <c r="I77" s="478" t="s">
        <v>41</v>
      </c>
      <c r="J77" s="391"/>
      <c r="K77" s="391"/>
      <c r="N77" s="270" t="s">
        <v>2086</v>
      </c>
      <c r="O77" s="2"/>
      <c r="P77" s="2"/>
      <c r="Q77" s="2"/>
      <c r="R77" s="67"/>
    </row>
    <row r="78">
      <c r="A78" s="476" t="s">
        <v>12</v>
      </c>
      <c r="B78" s="227" t="s">
        <v>2087</v>
      </c>
      <c r="C78" s="447" t="str">
        <f t="shared" si="9"/>
        <v>Terça-Feira</v>
      </c>
      <c r="D78" s="512" t="str">
        <f>IF(C78&lt;&gt;"Quarta-Feira","13:40","08:40")</f>
        <v>13:40</v>
      </c>
      <c r="E78" s="477" t="s">
        <v>3467</v>
      </c>
      <c r="F78" s="133">
        <v>7.0500164931045E14</v>
      </c>
      <c r="G78" s="203" t="s">
        <v>3468</v>
      </c>
      <c r="H78" s="166">
        <v>15775.0</v>
      </c>
      <c r="I78" s="478" t="s">
        <v>2088</v>
      </c>
      <c r="J78" s="391"/>
      <c r="K78" s="391"/>
      <c r="N78" s="271" t="s">
        <v>183</v>
      </c>
      <c r="O78" s="272" t="s">
        <v>195</v>
      </c>
      <c r="P78" s="272" t="s">
        <v>181</v>
      </c>
      <c r="Q78" s="273" t="s">
        <v>2088</v>
      </c>
      <c r="R78" s="67"/>
    </row>
    <row r="79">
      <c r="A79" s="476" t="s">
        <v>13</v>
      </c>
      <c r="B79" s="227" t="s">
        <v>2089</v>
      </c>
      <c r="C79" s="447" t="str">
        <f t="shared" si="9"/>
        <v>Terça-Feira</v>
      </c>
      <c r="D79" s="512" t="str">
        <f>IF(C79&lt;&gt;"Quarta-Feira","14:00","09:00")</f>
        <v>14:00</v>
      </c>
      <c r="E79" s="477" t="s">
        <v>3469</v>
      </c>
      <c r="F79" s="133">
        <v>7.0080143081468E14</v>
      </c>
      <c r="G79" s="203" t="s">
        <v>3470</v>
      </c>
      <c r="H79" s="166">
        <v>27919.0</v>
      </c>
      <c r="I79" s="478" t="s">
        <v>41</v>
      </c>
      <c r="J79" s="391"/>
      <c r="K79" s="391"/>
      <c r="N79" s="275">
        <f t="shared" ref="N79:Q79" si="10">COUNTIFS($I$76:$I$87,N78)</f>
        <v>0</v>
      </c>
      <c r="O79" s="275">
        <f t="shared" si="10"/>
        <v>0</v>
      </c>
      <c r="P79" s="275">
        <f t="shared" si="10"/>
        <v>0</v>
      </c>
      <c r="Q79" s="275">
        <f t="shared" si="10"/>
        <v>1</v>
      </c>
      <c r="R79" s="67"/>
    </row>
    <row r="80">
      <c r="A80" s="476" t="s">
        <v>14</v>
      </c>
      <c r="B80" s="227" t="s">
        <v>2082</v>
      </c>
      <c r="C80" s="447" t="str">
        <f t="shared" si="9"/>
        <v>Terça-Feira</v>
      </c>
      <c r="D80" s="512" t="str">
        <f>IF(C80&lt;&gt;"Quarta-Feira","14:20","09:20")</f>
        <v>14:20</v>
      </c>
      <c r="E80" s="480" t="s">
        <v>3471</v>
      </c>
      <c r="F80" s="133">
        <v>7.07601218968695E14</v>
      </c>
      <c r="G80" s="203" t="s">
        <v>3472</v>
      </c>
      <c r="H80" s="169">
        <v>27990.0</v>
      </c>
      <c r="I80" s="478" t="s">
        <v>41</v>
      </c>
      <c r="J80" s="74"/>
      <c r="K80" s="391"/>
      <c r="R80" s="67"/>
    </row>
    <row r="81">
      <c r="A81" s="476" t="s">
        <v>15</v>
      </c>
      <c r="B81" s="227" t="s">
        <v>2089</v>
      </c>
      <c r="C81" s="447" t="str">
        <f t="shared" si="9"/>
        <v>Terça-Feira</v>
      </c>
      <c r="D81" s="512" t="str">
        <f>IF(C81&lt;&gt;"Quarta-Feira","14:40","09:40")</f>
        <v>14:40</v>
      </c>
      <c r="E81" s="480" t="s">
        <v>3473</v>
      </c>
      <c r="F81" s="133">
        <v>7.0610300721616E14</v>
      </c>
      <c r="G81" s="203" t="s">
        <v>3474</v>
      </c>
      <c r="H81" s="166">
        <v>26489.0</v>
      </c>
      <c r="I81" s="478" t="s">
        <v>41</v>
      </c>
      <c r="J81" s="391"/>
      <c r="K81" s="391"/>
      <c r="R81" s="67"/>
    </row>
    <row r="82">
      <c r="A82" s="476" t="s">
        <v>16</v>
      </c>
      <c r="B82" s="227" t="s">
        <v>2093</v>
      </c>
      <c r="C82" s="447" t="str">
        <f t="shared" si="9"/>
        <v>Terça-Feira</v>
      </c>
      <c r="D82" s="512" t="str">
        <f>IF(C82&lt;&gt;"Quarta-Feira","15:00","10:00")</f>
        <v>15:00</v>
      </c>
      <c r="E82" s="480"/>
      <c r="F82" s="133"/>
      <c r="G82" s="203"/>
      <c r="H82" s="166"/>
      <c r="I82" s="478"/>
      <c r="J82" s="391"/>
      <c r="K82" s="391"/>
      <c r="R82" s="67"/>
    </row>
    <row r="83">
      <c r="A83" s="476" t="s">
        <v>17</v>
      </c>
      <c r="B83" s="227" t="s">
        <v>2094</v>
      </c>
      <c r="C83" s="447" t="str">
        <f t="shared" si="9"/>
        <v>Terça-Feira</v>
      </c>
      <c r="D83" s="512" t="str">
        <f>IF(C83&lt;&gt;"Quarta-Feira","15:20","10:20")</f>
        <v>15:20</v>
      </c>
      <c r="E83" s="480" t="s">
        <v>3475</v>
      </c>
      <c r="F83" s="133">
        <v>7.06807221261128E14</v>
      </c>
      <c r="G83" s="203" t="s">
        <v>3476</v>
      </c>
      <c r="H83" s="166">
        <v>33576.0</v>
      </c>
      <c r="I83" s="478" t="s">
        <v>41</v>
      </c>
      <c r="J83" s="391"/>
      <c r="K83" s="391"/>
      <c r="R83" s="67"/>
    </row>
    <row r="84" ht="16.5" customHeight="1">
      <c r="A84" s="476" t="s">
        <v>85</v>
      </c>
      <c r="B84" s="227" t="s">
        <v>2095</v>
      </c>
      <c r="C84" s="447" t="str">
        <f t="shared" si="9"/>
        <v>Terça-Feira</v>
      </c>
      <c r="D84" s="512" t="str">
        <f>IF(C84&lt;&gt;"Quarta-Feira","15:40","10:40")</f>
        <v>15:40</v>
      </c>
      <c r="E84" s="480" t="s">
        <v>3477</v>
      </c>
      <c r="F84" s="133">
        <v>7.0850730714117E14</v>
      </c>
      <c r="G84" s="203" t="s">
        <v>3478</v>
      </c>
      <c r="H84" s="166">
        <v>17620.0</v>
      </c>
      <c r="I84" s="478" t="s">
        <v>41</v>
      </c>
      <c r="J84" s="391"/>
      <c r="K84" s="391"/>
      <c r="R84" s="67"/>
    </row>
    <row r="85">
      <c r="A85" s="476" t="s">
        <v>87</v>
      </c>
      <c r="B85" s="227" t="s">
        <v>2096</v>
      </c>
      <c r="C85" s="447" t="str">
        <f t="shared" si="9"/>
        <v>Terça-Feira</v>
      </c>
      <c r="D85" s="512" t="str">
        <f>IF(C85&lt;&gt;"Quarta-Feira","16:00","11:00")</f>
        <v>16:00</v>
      </c>
      <c r="E85" s="477"/>
      <c r="F85" s="133"/>
      <c r="G85" s="203"/>
      <c r="H85" s="166"/>
      <c r="I85" s="478"/>
      <c r="J85" s="391"/>
      <c r="K85" s="484"/>
      <c r="R85" s="67"/>
    </row>
    <row r="86">
      <c r="A86" s="476" t="s">
        <v>90</v>
      </c>
      <c r="B86" s="227" t="s">
        <v>2098</v>
      </c>
      <c r="C86" s="447" t="str">
        <f t="shared" si="9"/>
        <v>Terça-Feira</v>
      </c>
      <c r="D86" s="512" t="str">
        <f>IF(C86&lt;&gt;"Quarta-Feira","16:20","11:20")</f>
        <v>16:20</v>
      </c>
      <c r="E86" s="480" t="s">
        <v>3479</v>
      </c>
      <c r="F86" s="500">
        <v>8.98002117854526E14</v>
      </c>
      <c r="G86" s="203" t="s">
        <v>3480</v>
      </c>
      <c r="H86" s="531">
        <v>19134.0</v>
      </c>
      <c r="I86" s="478" t="s">
        <v>41</v>
      </c>
      <c r="J86" s="484"/>
      <c r="K86" s="484"/>
      <c r="R86" s="67"/>
    </row>
    <row r="87">
      <c r="A87" s="476" t="s">
        <v>93</v>
      </c>
      <c r="B87" s="227" t="s">
        <v>2096</v>
      </c>
      <c r="C87" s="447" t="str">
        <f t="shared" si="9"/>
        <v>Terça-Feira</v>
      </c>
      <c r="D87" s="512" t="str">
        <f>IF(C87&lt;&gt;"Quarta-Feira","16:40","11:40")</f>
        <v>16:40</v>
      </c>
      <c r="E87" s="477"/>
      <c r="F87" s="500"/>
      <c r="G87" s="501"/>
      <c r="H87" s="166"/>
      <c r="I87" s="478"/>
      <c r="J87" s="500"/>
      <c r="K87" s="485"/>
      <c r="R87" s="67"/>
    </row>
    <row r="88">
      <c r="E88" s="261"/>
      <c r="J88" s="67"/>
      <c r="K88" s="67"/>
      <c r="R88" s="67"/>
    </row>
    <row r="89">
      <c r="E89" s="261"/>
      <c r="J89" s="67"/>
      <c r="K89" s="67"/>
      <c r="R89" s="67"/>
    </row>
    <row r="90">
      <c r="E90" s="261"/>
      <c r="J90" s="67"/>
      <c r="K90" s="67"/>
      <c r="R90" s="67"/>
    </row>
    <row r="91">
      <c r="A91" s="23" t="s">
        <v>18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13h às 17h"</f>
        <v>21/05/2026 13h às 17h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26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8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1790</v>
      </c>
      <c r="C94" s="74" t="str">
        <f t="shared" ref="C94:C105" si="11">PROPER(TEXT(DATE(MID($A$92,7,4),MID($A$92,4,2),LEFT($A$92,2)),"dddd"))</f>
        <v>Quinta-Feira</v>
      </c>
      <c r="D94" s="512" t="str">
        <f>IF(C94&lt;&gt;"Quarta-Feira","13:00","08:00")</f>
        <v>13:00</v>
      </c>
      <c r="E94" s="245" t="s">
        <v>2210</v>
      </c>
      <c r="F94" s="162">
        <v>7.07006899165335E14</v>
      </c>
      <c r="G94" s="161" t="s">
        <v>2211</v>
      </c>
      <c r="H94" s="390">
        <v>17220.0</v>
      </c>
      <c r="I94" s="41" t="s">
        <v>41</v>
      </c>
      <c r="J94" s="238"/>
      <c r="K94" s="238"/>
      <c r="N94" s="268" t="s">
        <v>387</v>
      </c>
      <c r="O94" s="100"/>
      <c r="P94" s="100"/>
      <c r="Q94" s="100"/>
      <c r="R94" s="67"/>
    </row>
    <row r="95" ht="21.0" customHeight="1">
      <c r="A95" s="12" t="s">
        <v>11</v>
      </c>
      <c r="B95" s="227" t="s">
        <v>1714</v>
      </c>
      <c r="C95" s="74" t="str">
        <f t="shared" si="11"/>
        <v>Quinta-Feira</v>
      </c>
      <c r="D95" s="512" t="str">
        <f>IF(C95&lt;&gt;"Quarta-Feira","13:20","08:20")</f>
        <v>13:20</v>
      </c>
      <c r="E95" s="245"/>
      <c r="F95" s="487"/>
      <c r="G95" s="161"/>
      <c r="H95" s="502"/>
      <c r="I95" s="41" t="s">
        <v>181</v>
      </c>
      <c r="J95" s="238"/>
      <c r="K95" s="238"/>
      <c r="N95" s="270" t="s">
        <v>2086</v>
      </c>
      <c r="O95" s="2"/>
      <c r="P95" s="2"/>
      <c r="Q95" s="2"/>
      <c r="R95" s="67"/>
    </row>
    <row r="96">
      <c r="A96" s="12" t="s">
        <v>12</v>
      </c>
      <c r="B96" s="227" t="s">
        <v>1781</v>
      </c>
      <c r="C96" s="74" t="str">
        <f t="shared" si="11"/>
        <v>Quinta-Feira</v>
      </c>
      <c r="D96" s="512" t="str">
        <f>IF(C96&lt;&gt;"Quarta-Feira","13:40","08:40")</f>
        <v>13:40</v>
      </c>
      <c r="E96" s="245" t="s">
        <v>3481</v>
      </c>
      <c r="F96" s="162">
        <v>7.08109529069838E14</v>
      </c>
      <c r="G96" s="161" t="s">
        <v>3482</v>
      </c>
      <c r="H96" s="390">
        <v>33300.0</v>
      </c>
      <c r="I96" s="41" t="s">
        <v>2567</v>
      </c>
      <c r="J96" s="238"/>
      <c r="K96" s="238"/>
      <c r="N96" s="271" t="s">
        <v>183</v>
      </c>
      <c r="O96" s="272" t="s">
        <v>195</v>
      </c>
      <c r="P96" s="272" t="s">
        <v>181</v>
      </c>
      <c r="Q96" s="273" t="s">
        <v>2088</v>
      </c>
      <c r="R96" s="67"/>
    </row>
    <row r="97">
      <c r="A97" s="12" t="s">
        <v>13</v>
      </c>
      <c r="B97" s="227" t="s">
        <v>1721</v>
      </c>
      <c r="C97" s="74" t="str">
        <f t="shared" si="11"/>
        <v>Quinta-Feira</v>
      </c>
      <c r="D97" s="512" t="str">
        <f>IF(C97&lt;&gt;"Quarta-Feira","14:00","09:00")</f>
        <v>14:00</v>
      </c>
      <c r="E97" s="245" t="s">
        <v>3483</v>
      </c>
      <c r="F97" s="301">
        <v>7.06803796834821E14</v>
      </c>
      <c r="G97" s="233" t="s">
        <v>3484</v>
      </c>
      <c r="H97" s="521">
        <v>19395.0</v>
      </c>
      <c r="I97" s="41" t="s">
        <v>41</v>
      </c>
      <c r="J97" s="238"/>
      <c r="K97" s="238"/>
      <c r="N97" s="275">
        <f t="shared" ref="N97:Q97" si="12">COUNTIFS($I$94:$I$105,N96)</f>
        <v>0</v>
      </c>
      <c r="O97" s="275">
        <f t="shared" si="12"/>
        <v>0</v>
      </c>
      <c r="P97" s="275">
        <f t="shared" si="12"/>
        <v>1</v>
      </c>
      <c r="Q97" s="275">
        <f t="shared" si="12"/>
        <v>0</v>
      </c>
      <c r="R97" s="67"/>
    </row>
    <row r="98">
      <c r="A98" s="12" t="s">
        <v>14</v>
      </c>
      <c r="B98" s="227" t="s">
        <v>1796</v>
      </c>
      <c r="C98" s="74" t="str">
        <f t="shared" si="11"/>
        <v>Quinta-Feira</v>
      </c>
      <c r="D98" s="512" t="str">
        <f>IF(C98&lt;&gt;"Quarta-Feira","14:20","09:20")</f>
        <v>14:20</v>
      </c>
      <c r="E98" s="245" t="s">
        <v>3485</v>
      </c>
      <c r="F98" s="162">
        <v>7.00602418555363E14</v>
      </c>
      <c r="G98" s="161" t="s">
        <v>3486</v>
      </c>
      <c r="H98" s="390">
        <v>21644.0</v>
      </c>
      <c r="I98" s="41" t="s">
        <v>41</v>
      </c>
      <c r="J98" s="238"/>
      <c r="K98" s="238"/>
      <c r="R98" s="67"/>
    </row>
    <row r="99">
      <c r="A99" s="12" t="s">
        <v>15</v>
      </c>
      <c r="B99" s="227" t="s">
        <v>1790</v>
      </c>
      <c r="C99" s="74" t="str">
        <f t="shared" si="11"/>
        <v>Quinta-Feira</v>
      </c>
      <c r="D99" s="512" t="str">
        <f>IF(C99&lt;&gt;"Quarta-Feira","14:40","09:40")</f>
        <v>14:40</v>
      </c>
      <c r="E99" s="245" t="s">
        <v>3487</v>
      </c>
      <c r="F99" s="162">
        <v>8.0144040498886E14</v>
      </c>
      <c r="G99" s="161" t="s">
        <v>3488</v>
      </c>
      <c r="H99" s="390">
        <v>16572.0</v>
      </c>
      <c r="I99" s="41" t="s">
        <v>41</v>
      </c>
      <c r="J99" s="238"/>
      <c r="K99" s="238"/>
      <c r="R99" s="67"/>
    </row>
    <row r="100">
      <c r="A100" s="12" t="s">
        <v>16</v>
      </c>
      <c r="B100" s="227" t="s">
        <v>2653</v>
      </c>
      <c r="C100" s="74" t="str">
        <f t="shared" si="11"/>
        <v>Quinta-Feira</v>
      </c>
      <c r="D100" s="512" t="str">
        <f>IF(C100&lt;&gt;"Quarta-Feira","15:00","10:00")</f>
        <v>15:00</v>
      </c>
      <c r="E100" s="245" t="s">
        <v>3489</v>
      </c>
      <c r="F100" s="162">
        <v>8.98050047501989E14</v>
      </c>
      <c r="G100" s="161" t="s">
        <v>3490</v>
      </c>
      <c r="H100" s="390">
        <v>18782.0</v>
      </c>
      <c r="I100" s="41" t="s">
        <v>41</v>
      </c>
      <c r="J100" s="238"/>
      <c r="K100" s="238"/>
      <c r="R100" s="67"/>
    </row>
    <row r="101">
      <c r="A101" s="12" t="s">
        <v>17</v>
      </c>
      <c r="B101" s="227" t="s">
        <v>2656</v>
      </c>
      <c r="C101" s="74" t="str">
        <f t="shared" si="11"/>
        <v>Quinta-Feira</v>
      </c>
      <c r="D101" s="512" t="str">
        <f>IF(C101&lt;&gt;"Quarta-Feira","15:20","10:20")</f>
        <v>15:20</v>
      </c>
      <c r="E101" s="245" t="s">
        <v>3491</v>
      </c>
      <c r="F101" s="162">
        <v>2.01538911860006E14</v>
      </c>
      <c r="G101" s="161" t="s">
        <v>3492</v>
      </c>
      <c r="H101" s="390">
        <v>21843.0</v>
      </c>
      <c r="I101" s="41" t="s">
        <v>41</v>
      </c>
      <c r="J101" s="238"/>
      <c r="K101" s="238"/>
      <c r="R101" s="67"/>
    </row>
    <row r="102">
      <c r="A102" s="12" t="s">
        <v>85</v>
      </c>
      <c r="B102" s="227" t="s">
        <v>2659</v>
      </c>
      <c r="C102" s="74" t="str">
        <f t="shared" si="11"/>
        <v>Quinta-Feira</v>
      </c>
      <c r="D102" s="512" t="str">
        <f>IF(C102&lt;&gt;"Quarta-Feira","15:40","10:40")</f>
        <v>15:40</v>
      </c>
      <c r="E102" s="245" t="s">
        <v>3493</v>
      </c>
      <c r="F102" s="162">
        <v>8.98001460485086E14</v>
      </c>
      <c r="G102" s="161" t="s">
        <v>3494</v>
      </c>
      <c r="H102" s="390">
        <v>18253.0</v>
      </c>
      <c r="I102" s="41" t="s">
        <v>41</v>
      </c>
      <c r="J102" s="238"/>
      <c r="K102" s="238"/>
      <c r="R102" s="67"/>
      <c r="V102" s="336"/>
    </row>
    <row r="103">
      <c r="A103" s="12" t="s">
        <v>87</v>
      </c>
      <c r="B103" s="227" t="s">
        <v>1735</v>
      </c>
      <c r="C103" s="74" t="str">
        <f t="shared" si="11"/>
        <v>Quinta-Feira</v>
      </c>
      <c r="D103" s="512" t="str">
        <f>IF(C103&lt;&gt;"Quarta-Feira","16:00","11:00")</f>
        <v>16:00</v>
      </c>
      <c r="E103" s="245" t="s">
        <v>3495</v>
      </c>
      <c r="F103" s="162">
        <v>7.0500828262565E14</v>
      </c>
      <c r="G103" s="216" t="s">
        <v>3496</v>
      </c>
      <c r="H103" s="390">
        <v>28537.0</v>
      </c>
      <c r="I103" s="41" t="s">
        <v>41</v>
      </c>
      <c r="J103" s="238"/>
      <c r="K103" s="238"/>
      <c r="R103" s="67"/>
    </row>
    <row r="104">
      <c r="A104" s="12" t="s">
        <v>90</v>
      </c>
      <c r="B104" s="227" t="s">
        <v>2659</v>
      </c>
      <c r="C104" s="74" t="str">
        <f t="shared" si="11"/>
        <v>Quinta-Feira</v>
      </c>
      <c r="D104" s="512" t="str">
        <f>IF(C104&lt;&gt;"Quarta-Feira","16:20","11:20")</f>
        <v>16:20</v>
      </c>
      <c r="E104" s="245" t="s">
        <v>3497</v>
      </c>
      <c r="F104" s="162">
        <v>7.034036514304E14</v>
      </c>
      <c r="G104" s="161" t="s">
        <v>3498</v>
      </c>
      <c r="H104" s="390">
        <v>19943.0</v>
      </c>
      <c r="I104" s="41"/>
      <c r="J104" s="238"/>
      <c r="K104" s="238"/>
      <c r="R104" s="67"/>
    </row>
    <row r="105">
      <c r="A105" s="12" t="s">
        <v>93</v>
      </c>
      <c r="B105" s="227" t="s">
        <v>1735</v>
      </c>
      <c r="C105" s="74" t="str">
        <f t="shared" si="11"/>
        <v>Quinta-Feira</v>
      </c>
      <c r="D105" s="512" t="str">
        <f>IF(C105&lt;&gt;"Quarta-Feira","16:40","11:40")</f>
        <v>16:40</v>
      </c>
      <c r="E105" s="245" t="s">
        <v>3499</v>
      </c>
      <c r="F105" s="162">
        <v>8.98001451084368E14</v>
      </c>
      <c r="G105" s="161" t="s">
        <v>3500</v>
      </c>
      <c r="H105" s="390">
        <v>31287.0</v>
      </c>
      <c r="I105" s="41"/>
      <c r="J105" s="238"/>
      <c r="K105" s="238"/>
      <c r="R105" s="67"/>
    </row>
    <row r="106">
      <c r="E106" s="261"/>
      <c r="J106" s="67"/>
      <c r="K106" s="67"/>
      <c r="R106" s="67"/>
    </row>
    <row r="107">
      <c r="E107" s="261"/>
      <c r="J107" s="67"/>
      <c r="K107" s="67"/>
      <c r="R107" s="67"/>
    </row>
    <row r="108">
      <c r="E108" s="261"/>
      <c r="J108" s="67"/>
      <c r="K108" s="67"/>
      <c r="R108" s="67"/>
    </row>
    <row r="109">
      <c r="A109" s="23" t="s">
        <v>18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TEXT(DATE(VALUE(MID(A74,7,4)),VALUE(MID(A74,4,2)),VALUE(LEFT(A74,2)))+7,"dd/mm/yyyy")&amp;" 13h às 17h"</f>
        <v>26/05/2026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26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2082</v>
      </c>
      <c r="C112" s="74" t="str">
        <f t="shared" ref="C112:C123" si="13">PROPER(TEXT(DATE(MID($A$110,7,4),MID($A$110,4,2),LEFT($A$110,2)),"dddd"))</f>
        <v>Terça-Feira</v>
      </c>
      <c r="D112" s="512" t="str">
        <f>IF(C112&lt;&gt;"Quarta-Feira","13:00","08:00")</f>
        <v>13:00</v>
      </c>
      <c r="E112" s="287" t="s">
        <v>3501</v>
      </c>
      <c r="F112" s="74">
        <v>7.06202026770567E14</v>
      </c>
      <c r="G112" s="167" t="s">
        <v>3502</v>
      </c>
      <c r="H112" s="211">
        <v>30677.0</v>
      </c>
      <c r="I112" s="41" t="s">
        <v>2088</v>
      </c>
      <c r="J112" s="102"/>
      <c r="K112" s="102"/>
      <c r="N112" s="268" t="s">
        <v>387</v>
      </c>
      <c r="O112" s="100"/>
      <c r="P112" s="100"/>
      <c r="Q112" s="100"/>
      <c r="R112" s="67"/>
    </row>
    <row r="113">
      <c r="A113" s="12" t="s">
        <v>11</v>
      </c>
      <c r="B113" s="227" t="s">
        <v>2084</v>
      </c>
      <c r="C113" s="74" t="str">
        <f t="shared" si="13"/>
        <v>Terça-Feira</v>
      </c>
      <c r="D113" s="512" t="str">
        <f>IF(C113&lt;&gt;"Quarta-Feira","13:20","08:20")</f>
        <v>13:20</v>
      </c>
      <c r="E113" s="287"/>
      <c r="F113" s="74"/>
      <c r="G113" s="167" t="s">
        <v>3503</v>
      </c>
      <c r="H113" s="211"/>
      <c r="I113" s="41" t="s">
        <v>41</v>
      </c>
      <c r="J113" s="102"/>
      <c r="K113" s="102"/>
      <c r="N113" s="270" t="s">
        <v>2086</v>
      </c>
      <c r="O113" s="2"/>
      <c r="P113" s="2"/>
      <c r="Q113" s="2"/>
      <c r="R113" s="67"/>
    </row>
    <row r="114">
      <c r="A114" s="12" t="s">
        <v>12</v>
      </c>
      <c r="B114" s="227" t="s">
        <v>2087</v>
      </c>
      <c r="C114" s="74" t="str">
        <f t="shared" si="13"/>
        <v>Terça-Feira</v>
      </c>
      <c r="D114" s="512" t="str">
        <f>IF(C114&lt;&gt;"Quarta-Feira","13:40","08:40")</f>
        <v>13:40</v>
      </c>
      <c r="E114" s="287" t="s">
        <v>3504</v>
      </c>
      <c r="F114" s="74">
        <v>7.0470300219834E14</v>
      </c>
      <c r="G114" s="167" t="s">
        <v>253</v>
      </c>
      <c r="H114" s="211">
        <v>21663.0</v>
      </c>
      <c r="I114" s="41" t="s">
        <v>41</v>
      </c>
      <c r="J114" s="102"/>
      <c r="K114" s="102"/>
      <c r="N114" s="271" t="s">
        <v>183</v>
      </c>
      <c r="O114" s="272" t="s">
        <v>195</v>
      </c>
      <c r="P114" s="272" t="s">
        <v>181</v>
      </c>
      <c r="Q114" s="273" t="s">
        <v>2088</v>
      </c>
      <c r="R114" s="67"/>
    </row>
    <row r="115">
      <c r="A115" s="12" t="s">
        <v>13</v>
      </c>
      <c r="B115" s="227" t="s">
        <v>2089</v>
      </c>
      <c r="C115" s="74" t="str">
        <f t="shared" si="13"/>
        <v>Terça-Feira</v>
      </c>
      <c r="D115" s="512" t="str">
        <f>IF(C115&lt;&gt;"Quarta-Feira","14:00","09:00")</f>
        <v>14:00</v>
      </c>
      <c r="E115" s="287" t="s">
        <v>3505</v>
      </c>
      <c r="F115" s="74">
        <v>8.01440488193147E14</v>
      </c>
      <c r="G115" s="167" t="s">
        <v>3506</v>
      </c>
      <c r="H115" s="211">
        <v>38826.0</v>
      </c>
      <c r="I115" s="41" t="s">
        <v>41</v>
      </c>
      <c r="J115" s="102"/>
      <c r="K115" s="102"/>
      <c r="N115" s="275">
        <f t="shared" ref="N115:Q115" si="14">COUNTIFS($I$112:$I$123,N114)</f>
        <v>0</v>
      </c>
      <c r="O115" s="275">
        <f t="shared" si="14"/>
        <v>0</v>
      </c>
      <c r="P115" s="275">
        <f t="shared" si="14"/>
        <v>2</v>
      </c>
      <c r="Q115" s="275">
        <f t="shared" si="14"/>
        <v>1</v>
      </c>
      <c r="R115" s="67"/>
    </row>
    <row r="116">
      <c r="A116" s="12" t="s">
        <v>14</v>
      </c>
      <c r="B116" s="227" t="s">
        <v>2082</v>
      </c>
      <c r="C116" s="74" t="str">
        <f t="shared" si="13"/>
        <v>Terça-Feira</v>
      </c>
      <c r="D116" s="512" t="str">
        <f>IF(C116&lt;&gt;"Quarta-Feira","14:20","09:20")</f>
        <v>14:20</v>
      </c>
      <c r="E116" s="287"/>
      <c r="F116" s="74"/>
      <c r="G116" s="167"/>
      <c r="H116" s="211"/>
      <c r="I116" s="41"/>
      <c r="J116" s="102"/>
      <c r="K116" s="102"/>
      <c r="R116" s="67"/>
    </row>
    <row r="117">
      <c r="A117" s="12" t="s">
        <v>15</v>
      </c>
      <c r="B117" s="227" t="s">
        <v>2089</v>
      </c>
      <c r="C117" s="74" t="str">
        <f t="shared" si="13"/>
        <v>Terça-Feira</v>
      </c>
      <c r="D117" s="512" t="str">
        <f>IF(C117&lt;&gt;"Quarta-Feira","14:40","09:40")</f>
        <v>14:40</v>
      </c>
      <c r="E117" s="287" t="s">
        <v>3507</v>
      </c>
      <c r="F117" s="74">
        <v>7.08405277429669E14</v>
      </c>
      <c r="G117" s="167" t="s">
        <v>3508</v>
      </c>
      <c r="H117" s="211">
        <v>33674.0</v>
      </c>
      <c r="I117" s="41" t="s">
        <v>41</v>
      </c>
      <c r="J117" s="102"/>
      <c r="K117" s="102"/>
      <c r="R117" s="67"/>
    </row>
    <row r="118">
      <c r="A118" s="12" t="s">
        <v>16</v>
      </c>
      <c r="B118" s="227" t="s">
        <v>2093</v>
      </c>
      <c r="C118" s="74" t="str">
        <f t="shared" si="13"/>
        <v>Terça-Feira</v>
      </c>
      <c r="D118" s="512" t="str">
        <f>IF(C118&lt;&gt;"Quarta-Feira","15:00","10:00")</f>
        <v>15:00</v>
      </c>
      <c r="E118" s="287"/>
      <c r="F118" s="74"/>
      <c r="G118" s="167"/>
      <c r="H118" s="211"/>
      <c r="I118" s="41" t="s">
        <v>181</v>
      </c>
      <c r="J118" s="102"/>
      <c r="K118" s="102"/>
      <c r="R118" s="67"/>
    </row>
    <row r="119">
      <c r="A119" s="12" t="s">
        <v>17</v>
      </c>
      <c r="B119" s="227" t="s">
        <v>2094</v>
      </c>
      <c r="C119" s="74" t="str">
        <f t="shared" si="13"/>
        <v>Terça-Feira</v>
      </c>
      <c r="D119" s="512" t="str">
        <f>IF(C119&lt;&gt;"Quarta-Feira","15:20","10:20")</f>
        <v>15:20</v>
      </c>
      <c r="E119" s="287" t="s">
        <v>3509</v>
      </c>
      <c r="F119" s="74">
        <v>7.02809161663364E14</v>
      </c>
      <c r="G119" s="167" t="s">
        <v>3510</v>
      </c>
      <c r="H119" s="211">
        <v>20876.0</v>
      </c>
      <c r="I119" s="41" t="s">
        <v>41</v>
      </c>
      <c r="J119" s="102"/>
      <c r="K119" s="102"/>
      <c r="R119" s="67"/>
    </row>
    <row r="120">
      <c r="A120" s="12" t="s">
        <v>85</v>
      </c>
      <c r="B120" s="227" t="s">
        <v>2095</v>
      </c>
      <c r="C120" s="74" t="str">
        <f t="shared" si="13"/>
        <v>Terça-Feira</v>
      </c>
      <c r="D120" s="512" t="str">
        <f>IF(C120&lt;&gt;"Quarta-Feira","15:40","10:40")</f>
        <v>15:40</v>
      </c>
      <c r="E120" s="287" t="s">
        <v>1772</v>
      </c>
      <c r="F120" s="74">
        <v>7.06409659523386E14</v>
      </c>
      <c r="G120" s="167" t="s">
        <v>1773</v>
      </c>
      <c r="H120" s="211">
        <v>14733.0</v>
      </c>
      <c r="I120" s="41" t="s">
        <v>41</v>
      </c>
      <c r="J120" s="102"/>
      <c r="K120" s="102"/>
      <c r="R120" s="67"/>
    </row>
    <row r="121">
      <c r="A121" s="12" t="s">
        <v>87</v>
      </c>
      <c r="B121" s="227" t="s">
        <v>2096</v>
      </c>
      <c r="C121" s="74" t="str">
        <f t="shared" si="13"/>
        <v>Terça-Feira</v>
      </c>
      <c r="D121" s="512" t="str">
        <f>IF(C121&lt;&gt;"Quarta-Feira","16:00","11:00")</f>
        <v>16:00</v>
      </c>
      <c r="E121" s="287" t="s">
        <v>2694</v>
      </c>
      <c r="F121" s="74">
        <v>7.04205769636187E14</v>
      </c>
      <c r="G121" s="216" t="s">
        <v>2695</v>
      </c>
      <c r="H121" s="211">
        <v>16783.0</v>
      </c>
      <c r="I121" s="41"/>
      <c r="J121" s="102"/>
      <c r="K121" s="102"/>
      <c r="R121" s="67"/>
    </row>
    <row r="122">
      <c r="A122" s="12" t="s">
        <v>90</v>
      </c>
      <c r="B122" s="227" t="s">
        <v>2098</v>
      </c>
      <c r="C122" s="74" t="str">
        <f t="shared" si="13"/>
        <v>Terça-Feira</v>
      </c>
      <c r="D122" s="512" t="str">
        <f>IF(C122&lt;&gt;"Quarta-Feira","16:20","11:20")</f>
        <v>16:20</v>
      </c>
      <c r="E122" s="287" t="s">
        <v>3511</v>
      </c>
      <c r="F122" s="74">
        <v>8.01440403298321E14</v>
      </c>
      <c r="G122" s="167" t="s">
        <v>3512</v>
      </c>
      <c r="H122" s="211">
        <v>18053.0</v>
      </c>
      <c r="I122" s="41"/>
      <c r="J122" s="102"/>
      <c r="K122" s="102"/>
      <c r="R122" s="67"/>
    </row>
    <row r="123">
      <c r="A123" s="12" t="s">
        <v>93</v>
      </c>
      <c r="B123" s="227" t="s">
        <v>2096</v>
      </c>
      <c r="C123" s="74" t="str">
        <f t="shared" si="13"/>
        <v>Terça-Feira</v>
      </c>
      <c r="D123" s="512" t="str">
        <f>IF(C123&lt;&gt;"Quarta-Feira","16:40","11:40")</f>
        <v>16:40</v>
      </c>
      <c r="E123" s="287"/>
      <c r="F123" s="74"/>
      <c r="G123" s="167"/>
      <c r="H123" s="211"/>
      <c r="I123" s="41" t="s">
        <v>181</v>
      </c>
      <c r="J123" s="102"/>
      <c r="K123" s="102"/>
      <c r="R123" s="67"/>
    </row>
    <row r="124">
      <c r="A124" s="503"/>
      <c r="B124" s="493"/>
      <c r="C124" s="315"/>
      <c r="D124" s="504"/>
      <c r="E124" s="505"/>
      <c r="F124" s="506"/>
      <c r="G124" s="507"/>
      <c r="H124" s="508"/>
      <c r="I124" s="509"/>
      <c r="J124" s="510"/>
      <c r="K124" s="510"/>
      <c r="R124" s="67"/>
    </row>
    <row r="125">
      <c r="A125" s="503"/>
      <c r="B125" s="493"/>
      <c r="C125" s="315"/>
      <c r="D125" s="504"/>
      <c r="E125" s="505"/>
      <c r="F125" s="506"/>
      <c r="G125" s="507"/>
      <c r="H125" s="508"/>
      <c r="I125" s="509"/>
      <c r="J125" s="510"/>
      <c r="K125" s="510"/>
      <c r="R125" s="67"/>
    </row>
    <row r="126">
      <c r="A126" s="503"/>
      <c r="B126" s="493"/>
      <c r="C126" s="315"/>
      <c r="D126" s="504"/>
      <c r="E126" s="505"/>
      <c r="F126" s="506"/>
      <c r="G126" s="507"/>
      <c r="H126" s="508"/>
      <c r="I126" s="509"/>
      <c r="J126" s="510"/>
      <c r="K126" s="510"/>
      <c r="R126" s="67"/>
    </row>
    <row r="127">
      <c r="A127" s="23" t="s">
        <v>18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13h às 17h"</f>
        <v>28/05/2026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26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8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1790</v>
      </c>
      <c r="C130" s="74" t="str">
        <f t="shared" ref="C130:C141" si="15">PROPER(TEXT(DATE(MID($A$92,7,4),MID($A$92,4,2),LEFT($A$92,2)),"dddd"))</f>
        <v>Quinta-Feira</v>
      </c>
      <c r="D130" s="512" t="str">
        <f>IF(C130&lt;&gt;"Quarta-Feira","13:00","08:00")</f>
        <v>13:00</v>
      </c>
      <c r="E130" s="245" t="s">
        <v>3513</v>
      </c>
      <c r="F130" s="162">
        <v>2.07261188470009E14</v>
      </c>
      <c r="G130" s="161" t="s">
        <v>3514</v>
      </c>
      <c r="H130" s="390">
        <v>14687.0</v>
      </c>
      <c r="I130" s="41" t="s">
        <v>41</v>
      </c>
      <c r="J130" s="238"/>
      <c r="K130" s="238"/>
      <c r="N130" s="268" t="s">
        <v>387</v>
      </c>
      <c r="O130" s="100"/>
      <c r="P130" s="100"/>
      <c r="Q130" s="100"/>
      <c r="R130" s="67"/>
    </row>
    <row r="131">
      <c r="A131" s="12" t="s">
        <v>11</v>
      </c>
      <c r="B131" s="227" t="s">
        <v>1714</v>
      </c>
      <c r="C131" s="74" t="str">
        <f t="shared" si="15"/>
        <v>Quinta-Feira</v>
      </c>
      <c r="D131" s="512" t="str">
        <f>IF(C131&lt;&gt;"Quarta-Feira","13:20","08:20")</f>
        <v>13:20</v>
      </c>
      <c r="E131" s="245"/>
      <c r="F131" s="487"/>
      <c r="G131" s="161"/>
      <c r="H131" s="502"/>
      <c r="I131" s="41" t="s">
        <v>181</v>
      </c>
      <c r="J131" s="238"/>
      <c r="K131" s="238"/>
      <c r="N131" s="270" t="s">
        <v>2086</v>
      </c>
      <c r="O131" s="2"/>
      <c r="P131" s="2"/>
      <c r="Q131" s="2"/>
      <c r="R131" s="67"/>
    </row>
    <row r="132">
      <c r="A132" s="12" t="s">
        <v>12</v>
      </c>
      <c r="B132" s="227" t="s">
        <v>1781</v>
      </c>
      <c r="C132" s="74" t="str">
        <f t="shared" si="15"/>
        <v>Quinta-Feira</v>
      </c>
      <c r="D132" s="512" t="str">
        <f>IF(C132&lt;&gt;"Quarta-Feira","13:40","08:40")</f>
        <v>13:40</v>
      </c>
      <c r="E132" s="245" t="s">
        <v>3515</v>
      </c>
      <c r="F132" s="162">
        <v>7.09601675830978E14</v>
      </c>
      <c r="G132" s="161" t="s">
        <v>3516</v>
      </c>
      <c r="H132" s="390">
        <v>12222.0</v>
      </c>
      <c r="I132" s="41" t="s">
        <v>41</v>
      </c>
      <c r="J132" s="238"/>
      <c r="K132" s="238"/>
      <c r="N132" s="271" t="s">
        <v>183</v>
      </c>
      <c r="O132" s="272" t="s">
        <v>195</v>
      </c>
      <c r="P132" s="272" t="s">
        <v>181</v>
      </c>
      <c r="Q132" s="273" t="s">
        <v>2088</v>
      </c>
      <c r="R132" s="67"/>
    </row>
    <row r="133">
      <c r="A133" s="12" t="s">
        <v>13</v>
      </c>
      <c r="B133" s="227" t="s">
        <v>1721</v>
      </c>
      <c r="C133" s="74" t="str">
        <f t="shared" si="15"/>
        <v>Quinta-Feira</v>
      </c>
      <c r="D133" s="512" t="str">
        <f>IF(C133&lt;&gt;"Quarta-Feira","14:00","09:00")</f>
        <v>14:00</v>
      </c>
      <c r="E133" s="245" t="s">
        <v>3517</v>
      </c>
      <c r="F133" s="301">
        <v>7.04808533980345E14</v>
      </c>
      <c r="G133" s="233" t="s">
        <v>3518</v>
      </c>
      <c r="H133" s="521">
        <v>23584.0</v>
      </c>
      <c r="I133" s="41" t="s">
        <v>41</v>
      </c>
      <c r="J133" s="238"/>
      <c r="K133" s="238"/>
      <c r="N133" s="275">
        <f t="shared" ref="N133:Q133" si="16">COUNTIFS($I$130:$I$141,N132)</f>
        <v>0</v>
      </c>
      <c r="O133" s="275">
        <f t="shared" si="16"/>
        <v>0</v>
      </c>
      <c r="P133" s="275">
        <f t="shared" si="16"/>
        <v>1</v>
      </c>
      <c r="Q133" s="275">
        <f t="shared" si="16"/>
        <v>2</v>
      </c>
      <c r="R133" s="67"/>
    </row>
    <row r="134">
      <c r="A134" s="12" t="s">
        <v>14</v>
      </c>
      <c r="B134" s="227" t="s">
        <v>1796</v>
      </c>
      <c r="C134" s="74" t="str">
        <f t="shared" si="15"/>
        <v>Quinta-Feira</v>
      </c>
      <c r="D134" s="512" t="str">
        <f>IF(C134&lt;&gt;"Quarta-Feira","14:20","09:20")</f>
        <v>14:20</v>
      </c>
      <c r="E134" s="245" t="s">
        <v>3519</v>
      </c>
      <c r="F134" s="162">
        <v>7.05603436941611E14</v>
      </c>
      <c r="G134" s="161" t="s">
        <v>3520</v>
      </c>
      <c r="H134" s="390">
        <v>15176.0</v>
      </c>
      <c r="I134" s="41" t="s">
        <v>41</v>
      </c>
      <c r="J134" s="238"/>
      <c r="K134" s="238"/>
      <c r="R134" s="67"/>
    </row>
    <row r="135">
      <c r="A135" s="12" t="s">
        <v>15</v>
      </c>
      <c r="B135" s="227" t="s">
        <v>1790</v>
      </c>
      <c r="C135" s="74" t="str">
        <f t="shared" si="15"/>
        <v>Quinta-Feira</v>
      </c>
      <c r="D135" s="512" t="str">
        <f>IF(C135&lt;&gt;"Quarta-Feira","14:40","09:40")</f>
        <v>14:40</v>
      </c>
      <c r="E135" s="245" t="s">
        <v>2180</v>
      </c>
      <c r="F135" s="162">
        <v>7.00501718455453E14</v>
      </c>
      <c r="G135" s="161" t="s">
        <v>2182</v>
      </c>
      <c r="H135" s="390">
        <v>16907.0</v>
      </c>
      <c r="I135" s="41" t="s">
        <v>41</v>
      </c>
      <c r="J135" s="238"/>
      <c r="K135" s="238"/>
      <c r="R135" s="67"/>
    </row>
    <row r="136">
      <c r="A136" s="12" t="s">
        <v>16</v>
      </c>
      <c r="B136" s="227" t="s">
        <v>2653</v>
      </c>
      <c r="C136" s="74" t="str">
        <f t="shared" si="15"/>
        <v>Quinta-Feira</v>
      </c>
      <c r="D136" s="512" t="str">
        <f>IF(C136&lt;&gt;"Quarta-Feira","15:00","10:00")</f>
        <v>15:00</v>
      </c>
      <c r="E136" s="245" t="s">
        <v>3521</v>
      </c>
      <c r="F136" s="162">
        <v>7.08208110435147E14</v>
      </c>
      <c r="G136" s="161" t="s">
        <v>3522</v>
      </c>
      <c r="H136" s="390">
        <v>32934.0</v>
      </c>
      <c r="I136" s="41" t="s">
        <v>2088</v>
      </c>
      <c r="J136" s="238"/>
      <c r="K136" s="238"/>
      <c r="R136" s="67"/>
    </row>
    <row r="137">
      <c r="A137" s="12" t="s">
        <v>17</v>
      </c>
      <c r="B137" s="227" t="s">
        <v>2656</v>
      </c>
      <c r="C137" s="74" t="str">
        <f t="shared" si="15"/>
        <v>Quinta-Feira</v>
      </c>
      <c r="D137" s="512" t="str">
        <f>IF(C137&lt;&gt;"Quarta-Feira","15:20","10:20")</f>
        <v>15:20</v>
      </c>
      <c r="E137" s="245" t="s">
        <v>3523</v>
      </c>
      <c r="F137" s="162">
        <v>7.04204209803281E14</v>
      </c>
      <c r="G137" s="161" t="s">
        <v>3524</v>
      </c>
      <c r="H137" s="390">
        <v>21931.0</v>
      </c>
      <c r="I137" s="41" t="s">
        <v>41</v>
      </c>
      <c r="J137" s="238"/>
      <c r="K137" s="238"/>
      <c r="R137" s="67"/>
    </row>
    <row r="138">
      <c r="A138" s="12" t="s">
        <v>85</v>
      </c>
      <c r="B138" s="227" t="s">
        <v>2659</v>
      </c>
      <c r="C138" s="74" t="str">
        <f t="shared" si="15"/>
        <v>Quinta-Feira</v>
      </c>
      <c r="D138" s="512" t="str">
        <f>IF(C138&lt;&gt;"Quarta-Feira","15:40","10:40")</f>
        <v>15:40</v>
      </c>
      <c r="E138" s="245" t="s">
        <v>3525</v>
      </c>
      <c r="F138" s="162">
        <v>7.00004225545304E14</v>
      </c>
      <c r="G138" s="161" t="s">
        <v>3526</v>
      </c>
      <c r="H138" s="390">
        <v>32486.0</v>
      </c>
      <c r="I138" s="41" t="s">
        <v>2088</v>
      </c>
      <c r="J138" s="238"/>
      <c r="K138" s="238"/>
      <c r="R138" s="67"/>
    </row>
    <row r="139">
      <c r="A139" s="12" t="s">
        <v>87</v>
      </c>
      <c r="B139" s="227" t="s">
        <v>1735</v>
      </c>
      <c r="C139" s="74" t="str">
        <f t="shared" si="15"/>
        <v>Quinta-Feira</v>
      </c>
      <c r="D139" s="512" t="str">
        <f>IF(C139&lt;&gt;"Quarta-Feira","16:00","11:00")</f>
        <v>16:00</v>
      </c>
      <c r="E139" s="245" t="s">
        <v>3527</v>
      </c>
      <c r="F139" s="162">
        <v>7.0780161109581E14</v>
      </c>
      <c r="G139" s="161" t="s">
        <v>3528</v>
      </c>
      <c r="H139" s="390">
        <v>27442.0</v>
      </c>
      <c r="I139" s="41" t="s">
        <v>41</v>
      </c>
      <c r="J139" s="238"/>
      <c r="K139" s="238"/>
      <c r="R139" s="67"/>
    </row>
    <row r="140">
      <c r="A140" s="12" t="s">
        <v>90</v>
      </c>
      <c r="B140" s="227" t="s">
        <v>2659</v>
      </c>
      <c r="C140" s="74" t="str">
        <f t="shared" si="15"/>
        <v>Quinta-Feira</v>
      </c>
      <c r="D140" s="512" t="str">
        <f>IF(C140&lt;&gt;"Quarta-Feira","16:20","11:20")</f>
        <v>16:20</v>
      </c>
      <c r="E140" s="245" t="s">
        <v>3529</v>
      </c>
      <c r="F140" s="162">
        <v>7.03607060584831E14</v>
      </c>
      <c r="G140" s="161" t="s">
        <v>3530</v>
      </c>
      <c r="H140" s="390">
        <v>20299.0</v>
      </c>
      <c r="I140" s="41" t="s">
        <v>41</v>
      </c>
      <c r="J140" s="238"/>
      <c r="K140" s="238"/>
      <c r="R140" s="67"/>
    </row>
    <row r="141">
      <c r="A141" s="12" t="s">
        <v>93</v>
      </c>
      <c r="B141" s="227" t="s">
        <v>1735</v>
      </c>
      <c r="C141" s="74" t="str">
        <f t="shared" si="15"/>
        <v>Quinta-Feira</v>
      </c>
      <c r="D141" s="512" t="str">
        <f>IF(C141&lt;&gt;"Quarta-Feira","16:40","11:40")</f>
        <v>16:40</v>
      </c>
      <c r="E141" s="245" t="s">
        <v>3531</v>
      </c>
      <c r="F141" s="162">
        <v>7.0230903426782E14</v>
      </c>
      <c r="G141" s="161" t="s">
        <v>3532</v>
      </c>
      <c r="H141" s="390">
        <v>27657.0</v>
      </c>
      <c r="I141" s="41" t="s">
        <v>41</v>
      </c>
      <c r="J141" s="238"/>
      <c r="K141" s="238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503"/>
      <c r="B144" s="493"/>
      <c r="C144" s="315"/>
      <c r="D144" s="504"/>
      <c r="E144" s="505"/>
      <c r="F144" s="506"/>
      <c r="G144" s="507"/>
      <c r="H144" s="508"/>
      <c r="I144" s="509"/>
      <c r="J144" s="510"/>
      <c r="K144" s="510"/>
      <c r="R144" s="67"/>
    </row>
    <row r="145">
      <c r="A145" s="23" t="s">
        <v>18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/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26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8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2082</v>
      </c>
      <c r="C148" s="74" t="str">
        <f t="shared" ref="C148:C159" si="17">PROPER(TEXT(DATE(MID($A$110,7,4),MID($A$110,4,2),LEFT($A$110,2)),"dddd"))</f>
        <v>Terça-Feira</v>
      </c>
      <c r="D148" s="512" t="str">
        <f>IF(C148&lt;&gt;"Quarta-Feira","13:00","08:00")</f>
        <v>13:00</v>
      </c>
      <c r="E148" s="241"/>
      <c r="F148" s="185"/>
      <c r="G148" s="105"/>
      <c r="H148" s="83"/>
      <c r="I148" s="41"/>
      <c r="J148" s="102"/>
      <c r="K148" s="102"/>
      <c r="N148" s="268" t="s">
        <v>387</v>
      </c>
      <c r="O148" s="100"/>
      <c r="P148" s="100"/>
      <c r="Q148" s="100"/>
      <c r="R148" s="67"/>
    </row>
    <row r="149">
      <c r="A149" s="12" t="s">
        <v>11</v>
      </c>
      <c r="B149" s="227" t="s">
        <v>2084</v>
      </c>
      <c r="C149" s="74" t="str">
        <f t="shared" si="17"/>
        <v>Terça-Feira</v>
      </c>
      <c r="D149" s="512" t="str">
        <f>IF(C149&lt;&gt;"Quarta-Feira","13:20","08:20")</f>
        <v>13:20</v>
      </c>
      <c r="E149" s="241"/>
      <c r="F149" s="185"/>
      <c r="G149" s="105"/>
      <c r="H149" s="83"/>
      <c r="I149" s="41"/>
      <c r="J149" s="102"/>
      <c r="K149" s="102"/>
      <c r="N149" s="270" t="s">
        <v>2086</v>
      </c>
      <c r="O149" s="2"/>
      <c r="P149" s="2"/>
      <c r="Q149" s="2"/>
      <c r="R149" s="67"/>
    </row>
    <row r="150">
      <c r="A150" s="12" t="s">
        <v>12</v>
      </c>
      <c r="B150" s="227" t="s">
        <v>2087</v>
      </c>
      <c r="C150" s="74" t="str">
        <f t="shared" si="17"/>
        <v>Terça-Feira</v>
      </c>
      <c r="D150" s="512" t="str">
        <f>IF(C150&lt;&gt;"Quarta-Feira","13:40","08:40")</f>
        <v>13:40</v>
      </c>
      <c r="E150" s="241"/>
      <c r="F150" s="185"/>
      <c r="G150" s="105"/>
      <c r="H150" s="83"/>
      <c r="I150" s="41"/>
      <c r="J150" s="102"/>
      <c r="K150" s="102"/>
      <c r="N150" s="271" t="s">
        <v>183</v>
      </c>
      <c r="O150" s="272" t="s">
        <v>195</v>
      </c>
      <c r="P150" s="272" t="s">
        <v>181</v>
      </c>
      <c r="Q150" s="273" t="s">
        <v>2088</v>
      </c>
      <c r="R150" s="67"/>
    </row>
    <row r="151">
      <c r="A151" s="12" t="s">
        <v>13</v>
      </c>
      <c r="B151" s="227" t="s">
        <v>2089</v>
      </c>
      <c r="C151" s="74" t="str">
        <f t="shared" si="17"/>
        <v>Terça-Feira</v>
      </c>
      <c r="D151" s="512" t="str">
        <f>IF(C151&lt;&gt;"Quarta-Feira","14:00","09:00")</f>
        <v>14:00</v>
      </c>
      <c r="E151" s="241"/>
      <c r="F151" s="185"/>
      <c r="G151" s="105"/>
      <c r="H151" s="83"/>
      <c r="I151" s="41"/>
      <c r="J151" s="102"/>
      <c r="K151" s="102"/>
      <c r="N151" s="275">
        <f t="shared" ref="N151:Q151" si="18">COUNTIFS($I$148:$I$159,N150)</f>
        <v>0</v>
      </c>
      <c r="O151" s="275">
        <f t="shared" si="18"/>
        <v>0</v>
      </c>
      <c r="P151" s="275">
        <f t="shared" si="18"/>
        <v>0</v>
      </c>
      <c r="Q151" s="275">
        <f t="shared" si="18"/>
        <v>0</v>
      </c>
      <c r="R151" s="67"/>
    </row>
    <row r="152">
      <c r="A152" s="12" t="s">
        <v>14</v>
      </c>
      <c r="B152" s="227" t="s">
        <v>2082</v>
      </c>
      <c r="C152" s="74" t="str">
        <f t="shared" si="17"/>
        <v>Terça-Feira</v>
      </c>
      <c r="D152" s="512" t="str">
        <f>IF(C152&lt;&gt;"Quarta-Feira","14:20","09:20")</f>
        <v>14:20</v>
      </c>
      <c r="E152" s="241"/>
      <c r="F152" s="185"/>
      <c r="G152" s="105"/>
      <c r="H152" s="83"/>
      <c r="I152" s="41"/>
      <c r="J152" s="102"/>
      <c r="K152" s="102"/>
      <c r="R152" s="67"/>
    </row>
    <row r="153">
      <c r="A153" s="12" t="s">
        <v>15</v>
      </c>
      <c r="B153" s="227" t="s">
        <v>2089</v>
      </c>
      <c r="C153" s="74" t="str">
        <f t="shared" si="17"/>
        <v>Terça-Feira</v>
      </c>
      <c r="D153" s="512" t="str">
        <f>IF(C153&lt;&gt;"Quarta-Feira","14:40","09:40")</f>
        <v>14:40</v>
      </c>
      <c r="E153" s="241"/>
      <c r="F153" s="185"/>
      <c r="G153" s="105"/>
      <c r="H153" s="83"/>
      <c r="I153" s="41"/>
      <c r="J153" s="102"/>
      <c r="K153" s="102"/>
      <c r="R153" s="67"/>
    </row>
    <row r="154">
      <c r="A154" s="12" t="s">
        <v>16</v>
      </c>
      <c r="B154" s="227" t="s">
        <v>2093</v>
      </c>
      <c r="C154" s="74" t="str">
        <f t="shared" si="17"/>
        <v>Terça-Feira</v>
      </c>
      <c r="D154" s="512" t="str">
        <f>IF(C154&lt;&gt;"Quarta-Feira","15:00","10:00")</f>
        <v>15:00</v>
      </c>
      <c r="E154" s="241"/>
      <c r="F154" s="185"/>
      <c r="G154" s="105"/>
      <c r="H154" s="83"/>
      <c r="I154" s="41"/>
      <c r="J154" s="102"/>
      <c r="K154" s="102"/>
      <c r="R154" s="67"/>
    </row>
    <row r="155">
      <c r="A155" s="12" t="s">
        <v>17</v>
      </c>
      <c r="B155" s="227" t="s">
        <v>2094</v>
      </c>
      <c r="C155" s="74" t="str">
        <f t="shared" si="17"/>
        <v>Terça-Feira</v>
      </c>
      <c r="D155" s="512" t="str">
        <f>IF(C155&lt;&gt;"Quarta-Feira","15:20","10:20")</f>
        <v>15:20</v>
      </c>
      <c r="E155" s="241"/>
      <c r="F155" s="185"/>
      <c r="G155" s="105"/>
      <c r="H155" s="83"/>
      <c r="I155" s="41"/>
      <c r="J155" s="102"/>
      <c r="K155" s="102"/>
      <c r="R155" s="67"/>
    </row>
    <row r="156">
      <c r="A156" s="12" t="s">
        <v>85</v>
      </c>
      <c r="B156" s="227" t="s">
        <v>2095</v>
      </c>
      <c r="C156" s="74" t="str">
        <f t="shared" si="17"/>
        <v>Terça-Feira</v>
      </c>
      <c r="D156" s="512" t="str">
        <f>IF(C156&lt;&gt;"Quarta-Feira","15:40","10:40")</f>
        <v>15:40</v>
      </c>
      <c r="E156" s="241"/>
      <c r="F156" s="185"/>
      <c r="G156" s="105"/>
      <c r="H156" s="83"/>
      <c r="I156" s="41"/>
      <c r="J156" s="102"/>
      <c r="K156" s="102"/>
      <c r="R156" s="67"/>
    </row>
    <row r="157">
      <c r="A157" s="12" t="s">
        <v>87</v>
      </c>
      <c r="B157" s="227" t="s">
        <v>2096</v>
      </c>
      <c r="C157" s="74" t="str">
        <f t="shared" si="17"/>
        <v>Terça-Feira</v>
      </c>
      <c r="D157" s="512" t="str">
        <f>IF(C157&lt;&gt;"Quarta-Feira","16:00","11:00")</f>
        <v>16:00</v>
      </c>
      <c r="E157" s="241"/>
      <c r="F157" s="185"/>
      <c r="G157" s="105"/>
      <c r="H157" s="83"/>
      <c r="I157" s="41"/>
      <c r="J157" s="102"/>
      <c r="K157" s="102"/>
      <c r="R157" s="67"/>
    </row>
    <row r="158">
      <c r="A158" s="12" t="s">
        <v>90</v>
      </c>
      <c r="B158" s="227" t="s">
        <v>2098</v>
      </c>
      <c r="C158" s="74" t="str">
        <f t="shared" si="17"/>
        <v>Terça-Feira</v>
      </c>
      <c r="D158" s="512" t="str">
        <f>IF(C158&lt;&gt;"Quarta-Feira","16:20","11:20")</f>
        <v>16:20</v>
      </c>
      <c r="E158" s="241"/>
      <c r="F158" s="185"/>
      <c r="G158" s="105"/>
      <c r="H158" s="83"/>
      <c r="I158" s="41"/>
      <c r="J158" s="102"/>
      <c r="K158" s="102"/>
      <c r="R158" s="67"/>
    </row>
    <row r="159">
      <c r="A159" s="12" t="s">
        <v>93</v>
      </c>
      <c r="B159" s="227" t="s">
        <v>2096</v>
      </c>
      <c r="C159" s="74" t="str">
        <f t="shared" si="17"/>
        <v>Terça-Feira</v>
      </c>
      <c r="D159" s="512" t="str">
        <f>IF(C159&lt;&gt;"Quarta-Feira","16:40","11:40")</f>
        <v>16:40</v>
      </c>
      <c r="E159" s="241"/>
      <c r="F159" s="185"/>
      <c r="G159" s="105"/>
      <c r="H159" s="83"/>
      <c r="I159" s="41"/>
      <c r="J159" s="102"/>
      <c r="K159" s="102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503"/>
      <c r="B162" s="493"/>
      <c r="C162" s="315"/>
      <c r="D162" s="504"/>
      <c r="E162" s="505"/>
      <c r="F162" s="506"/>
      <c r="G162" s="507"/>
      <c r="H162" s="508"/>
      <c r="I162" s="509"/>
      <c r="J162" s="510"/>
      <c r="K162" s="510"/>
      <c r="R162" s="67"/>
    </row>
    <row r="163">
      <c r="A163" s="503"/>
      <c r="B163" s="493"/>
      <c r="C163" s="315"/>
      <c r="D163" s="504"/>
      <c r="E163" s="505"/>
      <c r="F163" s="506"/>
      <c r="G163" s="507"/>
      <c r="H163" s="508"/>
      <c r="I163" s="509"/>
      <c r="J163" s="510"/>
      <c r="K163" s="510"/>
      <c r="R163" s="67"/>
    </row>
    <row r="164">
      <c r="A164" s="503"/>
      <c r="B164" s="493"/>
      <c r="C164" s="315"/>
      <c r="D164" s="504"/>
      <c r="E164" s="505"/>
      <c r="F164" s="506"/>
      <c r="G164" s="507"/>
      <c r="H164" s="508"/>
      <c r="I164" s="509"/>
      <c r="J164" s="510"/>
      <c r="K164" s="510"/>
      <c r="N164" s="268" t="s">
        <v>2080</v>
      </c>
      <c r="O164" s="100"/>
      <c r="P164" s="100"/>
      <c r="Q164" s="100"/>
      <c r="R164" s="67"/>
    </row>
    <row r="165">
      <c r="A165" s="503"/>
      <c r="B165" s="493"/>
      <c r="C165" s="315"/>
      <c r="D165" s="504"/>
      <c r="E165" s="505"/>
      <c r="F165" s="506"/>
      <c r="G165" s="507"/>
      <c r="H165" s="508"/>
      <c r="I165" s="509"/>
      <c r="J165" s="510"/>
      <c r="K165" s="510"/>
      <c r="N165" s="271" t="s">
        <v>183</v>
      </c>
      <c r="O165" s="272" t="s">
        <v>195</v>
      </c>
      <c r="P165" s="272" t="s">
        <v>181</v>
      </c>
      <c r="Q165" s="273" t="s">
        <v>173</v>
      </c>
      <c r="R165" s="67"/>
    </row>
    <row r="166">
      <c r="A166" s="503"/>
      <c r="B166" s="493"/>
      <c r="C166" s="315"/>
      <c r="D166" s="504"/>
      <c r="E166" s="505"/>
      <c r="F166" s="506"/>
      <c r="G166" s="507"/>
      <c r="H166" s="508"/>
      <c r="I166" s="509"/>
      <c r="J166" s="510"/>
      <c r="K166" s="510"/>
      <c r="N166" s="458">
        <f t="shared" ref="N166:Q166" si="19">SUM(N4:N162)</f>
        <v>20</v>
      </c>
      <c r="O166" s="458">
        <f t="shared" si="19"/>
        <v>0</v>
      </c>
      <c r="P166" s="458">
        <f t="shared" si="19"/>
        <v>7</v>
      </c>
      <c r="Q166" s="458">
        <f t="shared" si="19"/>
        <v>6</v>
      </c>
      <c r="R166" s="67"/>
    </row>
    <row r="167">
      <c r="A167" s="503"/>
      <c r="B167" s="493"/>
      <c r="C167" s="315"/>
      <c r="D167" s="504"/>
      <c r="E167" s="505"/>
      <c r="F167" s="506"/>
      <c r="G167" s="507"/>
      <c r="H167" s="508"/>
      <c r="I167" s="509"/>
      <c r="J167" s="510"/>
      <c r="K167" s="510"/>
      <c r="R167" s="67"/>
    </row>
    <row r="168">
      <c r="A168" s="503"/>
      <c r="B168" s="493"/>
      <c r="C168" s="315"/>
      <c r="D168" s="504"/>
      <c r="E168" s="505"/>
      <c r="F168" s="506"/>
      <c r="G168" s="507"/>
      <c r="H168" s="508"/>
      <c r="I168" s="509"/>
      <c r="J168" s="510"/>
      <c r="K168" s="510"/>
      <c r="R168" s="67"/>
    </row>
    <row r="169">
      <c r="A169" s="503"/>
      <c r="B169" s="493"/>
      <c r="C169" s="315"/>
      <c r="D169" s="504"/>
      <c r="E169" s="505"/>
      <c r="F169" s="506"/>
      <c r="G169" s="507"/>
      <c r="H169" s="508"/>
      <c r="I169" s="509"/>
      <c r="J169" s="510"/>
      <c r="K169" s="510"/>
      <c r="R169" s="67"/>
    </row>
    <row r="170">
      <c r="A170" s="503"/>
      <c r="B170" s="493"/>
      <c r="C170" s="315"/>
      <c r="D170" s="504"/>
      <c r="E170" s="505"/>
      <c r="F170" s="506"/>
      <c r="G170" s="507"/>
      <c r="H170" s="508"/>
      <c r="I170" s="509"/>
      <c r="J170" s="510"/>
      <c r="K170" s="510"/>
      <c r="R170" s="67"/>
    </row>
    <row r="171">
      <c r="A171" s="503"/>
      <c r="B171" s="493"/>
      <c r="C171" s="315"/>
      <c r="D171" s="504"/>
      <c r="E171" s="505"/>
      <c r="F171" s="506"/>
      <c r="G171" s="507"/>
      <c r="H171" s="508"/>
      <c r="I171" s="509"/>
      <c r="J171" s="510"/>
      <c r="K171" s="510"/>
      <c r="R171" s="67"/>
    </row>
    <row r="172">
      <c r="A172" s="503"/>
      <c r="B172" s="493"/>
      <c r="C172" s="315"/>
      <c r="D172" s="504"/>
      <c r="E172" s="505"/>
      <c r="F172" s="506"/>
      <c r="G172" s="507"/>
      <c r="H172" s="508"/>
      <c r="I172" s="509"/>
      <c r="J172" s="510"/>
      <c r="K172" s="510"/>
      <c r="R172" s="67"/>
    </row>
    <row r="173">
      <c r="A173" s="503"/>
      <c r="B173" s="493"/>
      <c r="C173" s="315"/>
      <c r="D173" s="504"/>
      <c r="E173" s="505"/>
      <c r="F173" s="506"/>
      <c r="G173" s="507"/>
      <c r="H173" s="508"/>
      <c r="I173" s="509"/>
      <c r="J173" s="510"/>
      <c r="K173" s="510"/>
      <c r="R173" s="67"/>
    </row>
    <row r="174">
      <c r="A174" s="503"/>
      <c r="B174" s="493"/>
      <c r="C174" s="315"/>
      <c r="D174" s="504"/>
      <c r="E174" s="505"/>
      <c r="F174" s="506"/>
      <c r="G174" s="507"/>
      <c r="H174" s="508"/>
      <c r="I174" s="509"/>
      <c r="J174" s="510"/>
      <c r="K174" s="510"/>
      <c r="R174" s="67"/>
    </row>
    <row r="175">
      <c r="A175" s="503"/>
      <c r="B175" s="493"/>
      <c r="C175" s="315"/>
      <c r="D175" s="504"/>
      <c r="E175" s="505"/>
      <c r="F175" s="506"/>
      <c r="G175" s="507"/>
      <c r="H175" s="508"/>
      <c r="I175" s="509"/>
      <c r="J175" s="510"/>
      <c r="K175" s="510"/>
      <c r="R175" s="67"/>
    </row>
    <row r="176">
      <c r="A176" s="503"/>
      <c r="B176" s="493"/>
      <c r="C176" s="315"/>
      <c r="D176" s="504"/>
      <c r="E176" s="505"/>
      <c r="F176" s="506"/>
      <c r="G176" s="507"/>
      <c r="H176" s="508"/>
      <c r="I176" s="509"/>
      <c r="J176" s="510"/>
      <c r="K176" s="510"/>
      <c r="R176" s="67"/>
    </row>
    <row r="177">
      <c r="A177" s="503"/>
      <c r="B177" s="493"/>
      <c r="C177" s="315"/>
      <c r="D177" s="504"/>
      <c r="E177" s="505"/>
      <c r="F177" s="506"/>
      <c r="G177" s="507"/>
      <c r="H177" s="508"/>
      <c r="I177" s="509"/>
      <c r="J177" s="510"/>
      <c r="K177" s="510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493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  <row r="1123">
      <c r="A1123" s="503"/>
      <c r="B1123" s="493"/>
      <c r="C1123" s="315"/>
      <c r="D1123" s="504"/>
      <c r="E1123" s="505"/>
      <c r="F1123" s="506"/>
      <c r="G1123" s="507"/>
      <c r="H1123" s="508"/>
      <c r="I1123" s="509"/>
      <c r="J1123" s="510"/>
      <c r="K1123" s="510"/>
      <c r="R1123" s="67"/>
    </row>
    <row r="1124">
      <c r="A1124" s="503"/>
      <c r="B1124" s="493"/>
      <c r="C1124" s="315"/>
      <c r="D1124" s="504"/>
      <c r="E1124" s="505"/>
      <c r="F1124" s="506"/>
      <c r="G1124" s="507"/>
      <c r="H1124" s="508"/>
      <c r="I1124" s="509"/>
      <c r="J1124" s="510"/>
      <c r="K1124" s="510"/>
      <c r="R1124" s="67"/>
    </row>
    <row r="1125">
      <c r="A1125" s="503"/>
      <c r="B1125" s="493"/>
      <c r="C1125" s="315"/>
      <c r="D1125" s="504"/>
      <c r="E1125" s="505"/>
      <c r="F1125" s="506"/>
      <c r="G1125" s="507"/>
      <c r="H1125" s="508"/>
      <c r="I1125" s="509"/>
      <c r="J1125" s="510"/>
      <c r="K1125" s="510"/>
      <c r="R1125" s="67"/>
    </row>
    <row r="1126">
      <c r="A1126" s="503"/>
      <c r="B1126" s="493"/>
      <c r="C1126" s="315"/>
      <c r="D1126" s="504"/>
      <c r="E1126" s="505"/>
      <c r="F1126" s="506"/>
      <c r="G1126" s="507"/>
      <c r="H1126" s="508"/>
      <c r="I1126" s="509"/>
      <c r="J1126" s="510"/>
      <c r="K1126" s="510"/>
      <c r="R1126" s="67"/>
    </row>
    <row r="1127">
      <c r="A1127" s="503"/>
      <c r="B1127" s="493"/>
      <c r="C1127" s="315"/>
      <c r="D1127" s="504"/>
      <c r="E1127" s="505"/>
      <c r="F1127" s="506"/>
      <c r="G1127" s="507"/>
      <c r="H1127" s="508"/>
      <c r="I1127" s="509"/>
      <c r="J1127" s="510"/>
      <c r="K1127" s="510"/>
      <c r="R1127" s="67"/>
    </row>
    <row r="1128">
      <c r="A1128" s="503"/>
      <c r="B1128" s="493"/>
      <c r="C1128" s="315"/>
      <c r="D1128" s="504"/>
      <c r="E1128" s="505"/>
      <c r="F1128" s="506"/>
      <c r="G1128" s="507"/>
      <c r="H1128" s="508"/>
      <c r="I1128" s="509"/>
      <c r="J1128" s="510"/>
      <c r="K1128" s="510"/>
      <c r="R1128" s="67"/>
    </row>
    <row r="1129">
      <c r="A1129" s="503"/>
      <c r="B1129" s="493"/>
      <c r="C1129" s="315"/>
      <c r="D1129" s="504"/>
      <c r="E1129" s="505"/>
      <c r="F1129" s="506"/>
      <c r="G1129" s="507"/>
      <c r="H1129" s="508"/>
      <c r="I1129" s="509"/>
      <c r="J1129" s="510"/>
      <c r="K1129" s="510"/>
      <c r="R1129" s="67"/>
    </row>
    <row r="1130">
      <c r="A1130" s="503"/>
      <c r="B1130" s="493"/>
      <c r="C1130" s="315"/>
      <c r="D1130" s="504"/>
      <c r="E1130" s="505"/>
      <c r="F1130" s="506"/>
      <c r="G1130" s="507"/>
      <c r="H1130" s="508"/>
      <c r="I1130" s="509"/>
      <c r="J1130" s="510"/>
      <c r="K1130" s="510"/>
      <c r="R1130" s="67"/>
    </row>
    <row r="1131">
      <c r="A1131" s="503"/>
      <c r="B1131" s="493"/>
      <c r="C1131" s="315"/>
      <c r="D1131" s="504"/>
      <c r="E1131" s="505"/>
      <c r="F1131" s="506"/>
      <c r="G1131" s="507"/>
      <c r="H1131" s="508"/>
      <c r="I1131" s="509"/>
      <c r="J1131" s="510"/>
      <c r="K1131" s="510"/>
      <c r="R1131" s="67"/>
    </row>
    <row r="1132">
      <c r="A1132" s="503"/>
      <c r="B1132" s="493"/>
      <c r="C1132" s="315"/>
      <c r="D1132" s="504"/>
      <c r="E1132" s="505"/>
      <c r="F1132" s="506"/>
      <c r="G1132" s="507"/>
      <c r="H1132" s="508"/>
      <c r="I1132" s="509"/>
      <c r="J1132" s="510"/>
      <c r="K1132" s="510"/>
      <c r="R1132" s="67"/>
    </row>
    <row r="1133">
      <c r="A1133" s="503"/>
      <c r="B1133" s="493"/>
      <c r="C1133" s="315"/>
      <c r="D1133" s="504"/>
      <c r="E1133" s="505"/>
      <c r="F1133" s="506"/>
      <c r="G1133" s="507"/>
      <c r="H1133" s="508"/>
      <c r="I1133" s="509"/>
      <c r="J1133" s="510"/>
      <c r="K1133" s="510"/>
      <c r="R1133" s="67"/>
    </row>
    <row r="1134">
      <c r="A1134" s="503"/>
      <c r="B1134" s="493"/>
      <c r="C1134" s="315"/>
      <c r="D1134" s="504"/>
      <c r="E1134" s="505"/>
      <c r="F1134" s="506"/>
      <c r="G1134" s="507"/>
      <c r="H1134" s="508"/>
      <c r="I1134" s="509"/>
      <c r="J1134" s="510"/>
      <c r="K1134" s="510"/>
      <c r="R1134" s="67"/>
    </row>
    <row r="1135">
      <c r="A1135" s="503"/>
      <c r="B1135" s="493"/>
      <c r="C1135" s="315"/>
      <c r="D1135" s="504"/>
      <c r="E1135" s="505"/>
      <c r="F1135" s="506"/>
      <c r="G1135" s="507"/>
      <c r="H1135" s="508"/>
      <c r="I1135" s="509"/>
      <c r="J1135" s="510"/>
      <c r="K1135" s="510"/>
      <c r="R1135" s="67"/>
    </row>
    <row r="1136">
      <c r="A1136" s="503"/>
      <c r="B1136" s="493"/>
      <c r="C1136" s="315"/>
      <c r="D1136" s="504"/>
      <c r="E1136" s="505"/>
      <c r="F1136" s="506"/>
      <c r="G1136" s="507"/>
      <c r="H1136" s="508"/>
      <c r="I1136" s="509"/>
      <c r="J1136" s="510"/>
      <c r="K1136" s="510"/>
      <c r="R1136" s="67"/>
    </row>
    <row r="1137">
      <c r="A1137" s="503"/>
      <c r="B1137" s="493"/>
      <c r="C1137" s="315"/>
      <c r="D1137" s="504"/>
      <c r="E1137" s="505"/>
      <c r="F1137" s="506"/>
      <c r="G1137" s="507"/>
      <c r="H1137" s="508"/>
      <c r="I1137" s="509"/>
      <c r="J1137" s="510"/>
      <c r="K1137" s="510"/>
      <c r="R1137" s="67"/>
    </row>
    <row r="1138">
      <c r="A1138" s="503"/>
      <c r="B1138" s="493"/>
      <c r="C1138" s="315"/>
      <c r="D1138" s="504"/>
      <c r="E1138" s="505"/>
      <c r="F1138" s="506"/>
      <c r="G1138" s="507"/>
      <c r="H1138" s="508"/>
      <c r="I1138" s="509"/>
      <c r="J1138" s="510"/>
      <c r="K1138" s="510"/>
      <c r="R1138" s="67"/>
    </row>
    <row r="1139">
      <c r="A1139" s="503"/>
      <c r="B1139" s="493"/>
      <c r="C1139" s="315"/>
      <c r="D1139" s="504"/>
      <c r="E1139" s="505"/>
      <c r="F1139" s="506"/>
      <c r="G1139" s="507"/>
      <c r="H1139" s="508"/>
      <c r="I1139" s="509"/>
      <c r="J1139" s="510"/>
      <c r="K1139" s="510"/>
      <c r="R1139" s="67"/>
    </row>
    <row r="1140">
      <c r="A1140" s="503"/>
      <c r="B1140" s="493"/>
      <c r="C1140" s="315"/>
      <c r="D1140" s="504"/>
      <c r="E1140" s="505"/>
      <c r="F1140" s="506"/>
      <c r="G1140" s="507"/>
      <c r="H1140" s="508"/>
      <c r="I1140" s="509"/>
      <c r="J1140" s="510"/>
      <c r="K1140" s="510"/>
      <c r="R1140" s="67"/>
    </row>
    <row r="1141">
      <c r="A1141" s="503"/>
      <c r="B1141" s="493"/>
      <c r="C1141" s="315"/>
      <c r="D1141" s="504"/>
      <c r="E1141" s="505"/>
      <c r="F1141" s="506"/>
      <c r="G1141" s="507"/>
      <c r="H1141" s="508"/>
      <c r="I1141" s="509"/>
      <c r="J1141" s="510"/>
      <c r="K1141" s="510"/>
      <c r="R1141" s="67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24" t="s">
        <v>3533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489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1981</v>
      </c>
      <c r="C4" s="74" t="str">
        <f t="shared" ref="C4:C15" si="1">PROPER(TEXT(DATE(MID($A$2,7,4),MID($A$2,4,2),LEFT($A$2,2)),"dddd"))</f>
        <v>Segunda-Feira</v>
      </c>
      <c r="D4" s="512" t="str">
        <f>IF(C4&lt;&gt;"Quarta-Feira","13:00","08:00")</f>
        <v>13:00</v>
      </c>
      <c r="E4" s="287" t="s">
        <v>3534</v>
      </c>
      <c r="F4" s="301">
        <v>7.07008869244239E14</v>
      </c>
      <c r="G4" s="131" t="s">
        <v>3535</v>
      </c>
      <c r="H4" s="132">
        <v>28114.0</v>
      </c>
      <c r="I4" s="34" t="s">
        <v>183</v>
      </c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100"/>
    </row>
    <row r="5">
      <c r="A5" s="12" t="s">
        <v>11</v>
      </c>
      <c r="B5" s="227" t="s">
        <v>1985</v>
      </c>
      <c r="C5" s="74" t="str">
        <f t="shared" si="1"/>
        <v>Segunda-Feira</v>
      </c>
      <c r="D5" s="512" t="str">
        <f>IF(C5&lt;&gt;"Quarta-Feira","13:20","08:20")</f>
        <v>13:20</v>
      </c>
      <c r="E5" s="287" t="s">
        <v>3536</v>
      </c>
      <c r="F5" s="301">
        <v>7.06802251042926E14</v>
      </c>
      <c r="G5" s="514" t="s">
        <v>3537</v>
      </c>
      <c r="H5" s="515">
        <v>17801.0</v>
      </c>
      <c r="I5" s="34" t="s">
        <v>183</v>
      </c>
      <c r="J5" s="74"/>
      <c r="K5" s="74"/>
      <c r="M5" s="267"/>
      <c r="N5" s="270" t="s">
        <v>1824</v>
      </c>
      <c r="O5" s="2"/>
      <c r="P5" s="2"/>
      <c r="Q5" s="2"/>
      <c r="R5" s="2"/>
    </row>
    <row r="6">
      <c r="A6" s="12" t="s">
        <v>12</v>
      </c>
      <c r="B6" s="227" t="s">
        <v>1989</v>
      </c>
      <c r="C6" s="74" t="str">
        <f t="shared" si="1"/>
        <v>Segunda-Feira</v>
      </c>
      <c r="D6" s="512" t="str">
        <f>IF(C6&lt;&gt;"Quarta-Feira","13:40","08:40")</f>
        <v>13:40</v>
      </c>
      <c r="E6" s="287" t="s">
        <v>3538</v>
      </c>
      <c r="F6" s="301">
        <v>7.02908519217179E14</v>
      </c>
      <c r="G6" s="131" t="s">
        <v>3539</v>
      </c>
      <c r="H6" s="132">
        <v>15497.0</v>
      </c>
      <c r="I6" s="34" t="s">
        <v>1823</v>
      </c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>
      <c r="A7" s="12" t="s">
        <v>13</v>
      </c>
      <c r="B7" s="227" t="s">
        <v>1992</v>
      </c>
      <c r="C7" s="74" t="str">
        <f t="shared" si="1"/>
        <v>Segunda-Feira</v>
      </c>
      <c r="D7" s="512" t="str">
        <f>IF(C7&lt;&gt;"Quarta-Feira","14:00","09:00")</f>
        <v>14:00</v>
      </c>
      <c r="E7" s="287"/>
      <c r="F7" s="74"/>
      <c r="G7" s="131" t="s">
        <v>3540</v>
      </c>
      <c r="H7" s="516"/>
      <c r="I7" s="34" t="s">
        <v>183</v>
      </c>
      <c r="J7" s="74"/>
      <c r="K7" s="74"/>
      <c r="M7" s="67"/>
      <c r="N7" s="275">
        <f t="shared" ref="N7:R7" si="2">COUNTIFS(I$4:I$15,N6)</f>
        <v>8</v>
      </c>
      <c r="O7" s="275">
        <f t="shared" si="2"/>
        <v>0</v>
      </c>
      <c r="P7" s="275">
        <f t="shared" si="2"/>
        <v>0</v>
      </c>
      <c r="Q7" s="275">
        <f t="shared" si="2"/>
        <v>0</v>
      </c>
      <c r="R7" s="517">
        <f t="shared" si="2"/>
        <v>0</v>
      </c>
      <c r="S7" s="389"/>
      <c r="T7" s="389"/>
      <c r="U7" s="389"/>
      <c r="V7" s="389"/>
      <c r="W7" s="389"/>
      <c r="X7" s="518"/>
    </row>
    <row r="8">
      <c r="A8" s="12" t="s">
        <v>14</v>
      </c>
      <c r="B8" s="227" t="s">
        <v>1981</v>
      </c>
      <c r="C8" s="74" t="str">
        <f t="shared" si="1"/>
        <v>Segunda-Feira</v>
      </c>
      <c r="D8" s="512" t="str">
        <f>IF(C8&lt;&gt;"Quarta-Feira","14:20","09:20")</f>
        <v>14:20</v>
      </c>
      <c r="E8" s="287" t="s">
        <v>3541</v>
      </c>
      <c r="F8" s="301">
        <v>2.0391029473E14</v>
      </c>
      <c r="G8" s="304" t="s">
        <v>3542</v>
      </c>
      <c r="H8" s="519">
        <v>18794.0</v>
      </c>
      <c r="I8" s="34" t="s">
        <v>183</v>
      </c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>
      <c r="A9" s="12" t="s">
        <v>15</v>
      </c>
      <c r="B9" s="227" t="s">
        <v>1985</v>
      </c>
      <c r="C9" s="74" t="str">
        <f t="shared" si="1"/>
        <v>Segunda-Feira</v>
      </c>
      <c r="D9" s="512" t="str">
        <f>IF(C9&lt;&gt;"Quarta-Feira","14:40","09:40")</f>
        <v>14:40</v>
      </c>
      <c r="E9" s="287" t="s">
        <v>3334</v>
      </c>
      <c r="F9" s="520">
        <v>7.05001673997355E14</v>
      </c>
      <c r="G9" s="514" t="s">
        <v>3335</v>
      </c>
      <c r="H9" s="515">
        <v>23701.0</v>
      </c>
      <c r="I9" s="34" t="s">
        <v>183</v>
      </c>
      <c r="J9" s="74"/>
      <c r="K9" s="74"/>
      <c r="L9" s="216" t="s">
        <v>394</v>
      </c>
      <c r="R9" s="67"/>
    </row>
    <row r="10">
      <c r="A10" s="12" t="s">
        <v>16</v>
      </c>
      <c r="B10" s="227" t="s">
        <v>1989</v>
      </c>
      <c r="C10" s="74" t="str">
        <f t="shared" si="1"/>
        <v>Segunda-Feira</v>
      </c>
      <c r="D10" s="512" t="str">
        <f>IF(C10&lt;&gt;"Quarta-Feira","15:00","10:00")</f>
        <v>15:00</v>
      </c>
      <c r="E10" s="287" t="s">
        <v>3543</v>
      </c>
      <c r="F10" s="301">
        <v>7.08505305299379E14</v>
      </c>
      <c r="G10" s="131" t="s">
        <v>158</v>
      </c>
      <c r="H10" s="132">
        <v>18621.0</v>
      </c>
      <c r="I10" s="34" t="s">
        <v>1823</v>
      </c>
      <c r="J10" s="74"/>
      <c r="K10" s="74"/>
      <c r="L10" s="216" t="s">
        <v>394</v>
      </c>
      <c r="R10" s="67"/>
    </row>
    <row r="11">
      <c r="A11" s="12" t="s">
        <v>17</v>
      </c>
      <c r="B11" s="227" t="s">
        <v>1992</v>
      </c>
      <c r="C11" s="74" t="str">
        <f t="shared" si="1"/>
        <v>Segunda-Feira</v>
      </c>
      <c r="D11" s="512" t="str">
        <f>IF(C11&lt;&gt;"Quarta-Feira","15:20","10:20")</f>
        <v>15:20</v>
      </c>
      <c r="E11" s="287" t="s">
        <v>2971</v>
      </c>
      <c r="F11" s="301">
        <v>7.00604480964664E14</v>
      </c>
      <c r="G11" s="131" t="s">
        <v>3544</v>
      </c>
      <c r="H11" s="521">
        <v>17857.0</v>
      </c>
      <c r="I11" s="34" t="s">
        <v>183</v>
      </c>
      <c r="J11" s="74"/>
      <c r="K11" s="74"/>
      <c r="L11" s="216" t="s">
        <v>394</v>
      </c>
      <c r="R11" s="67"/>
    </row>
    <row r="12">
      <c r="A12" s="12" t="s">
        <v>85</v>
      </c>
      <c r="B12" s="227" t="s">
        <v>1981</v>
      </c>
      <c r="C12" s="74" t="str">
        <f t="shared" si="1"/>
        <v>Segunda-Feira</v>
      </c>
      <c r="D12" s="512" t="str">
        <f>IF(C12&lt;&gt;"Quarta-Feira","15:40","10:40")</f>
        <v>15:40</v>
      </c>
      <c r="E12" s="287" t="s">
        <v>3545</v>
      </c>
      <c r="F12" s="74">
        <v>7.06501384156096E14</v>
      </c>
      <c r="G12" s="167" t="s">
        <v>3546</v>
      </c>
      <c r="H12" s="83">
        <v>17199.0</v>
      </c>
      <c r="I12" s="34" t="s">
        <v>183</v>
      </c>
      <c r="J12" s="74"/>
      <c r="K12" s="74"/>
      <c r="L12" s="216" t="s">
        <v>394</v>
      </c>
      <c r="R12" s="67"/>
    </row>
    <row r="13">
      <c r="A13" s="12" t="s">
        <v>87</v>
      </c>
      <c r="B13" s="227" t="s">
        <v>1985</v>
      </c>
      <c r="C13" s="74" t="str">
        <f t="shared" si="1"/>
        <v>Segunda-Feira</v>
      </c>
      <c r="D13" s="512" t="str">
        <f>IF(C13&lt;&gt;"Quarta-Feira","16:00","11:00")</f>
        <v>16:00</v>
      </c>
      <c r="E13" s="287" t="s">
        <v>3547</v>
      </c>
      <c r="F13" s="74">
        <v>7.00000024337409E14</v>
      </c>
      <c r="G13" s="167" t="s">
        <v>3548</v>
      </c>
      <c r="H13" s="166">
        <v>23467.0</v>
      </c>
      <c r="I13" s="34" t="s">
        <v>183</v>
      </c>
      <c r="J13" s="74"/>
      <c r="K13" s="74"/>
      <c r="L13" s="216" t="s">
        <v>394</v>
      </c>
      <c r="R13" s="67"/>
    </row>
    <row r="14">
      <c r="A14" s="12" t="s">
        <v>90</v>
      </c>
      <c r="B14" s="227" t="s">
        <v>1989</v>
      </c>
      <c r="C14" s="74" t="str">
        <f t="shared" si="1"/>
        <v>Segunda-Feira</v>
      </c>
      <c r="D14" s="512" t="str">
        <f>IF(C14&lt;&gt;"Quarta-Feira","16:20","11:20")</f>
        <v>16:20</v>
      </c>
      <c r="E14" s="287" t="s">
        <v>3549</v>
      </c>
      <c r="F14" s="74">
        <v>7.05607432857113E14</v>
      </c>
      <c r="G14" s="167" t="s">
        <v>3550</v>
      </c>
      <c r="H14" s="166">
        <v>20109.0</v>
      </c>
      <c r="I14" s="34" t="s">
        <v>1823</v>
      </c>
      <c r="J14" s="74"/>
      <c r="K14" s="74"/>
      <c r="L14" s="216" t="s">
        <v>394</v>
      </c>
      <c r="R14" s="67"/>
    </row>
    <row r="15">
      <c r="A15" s="12" t="s">
        <v>93</v>
      </c>
      <c r="B15" s="227" t="s">
        <v>1992</v>
      </c>
      <c r="C15" s="74" t="str">
        <f t="shared" si="1"/>
        <v>Segunda-Feira</v>
      </c>
      <c r="D15" s="512" t="str">
        <f>IF(C15&lt;&gt;"Quarta-Feira","16:40","11:40")</f>
        <v>16:40</v>
      </c>
      <c r="E15" s="287" t="s">
        <v>3551</v>
      </c>
      <c r="F15" s="74">
        <v>7.0520042934817E14</v>
      </c>
      <c r="G15" s="167" t="s">
        <v>3552</v>
      </c>
      <c r="H15" s="166">
        <v>18851.0</v>
      </c>
      <c r="I15" s="34" t="s">
        <v>1823</v>
      </c>
      <c r="J15" s="74"/>
      <c r="K15" s="74"/>
      <c r="L15" s="216" t="s">
        <v>394</v>
      </c>
      <c r="R15" s="67"/>
    </row>
    <row r="16">
      <c r="B16" s="182"/>
      <c r="E16" s="261"/>
      <c r="G16" s="182"/>
      <c r="J16" s="67"/>
      <c r="K16" s="67"/>
      <c r="R16" s="67"/>
    </row>
    <row r="17">
      <c r="B17" s="182"/>
      <c r="E17" s="261"/>
      <c r="G17" s="182"/>
      <c r="J17" s="67"/>
      <c r="K17" s="67"/>
      <c r="R17" s="67"/>
    </row>
    <row r="18">
      <c r="B18" s="182"/>
      <c r="E18" s="261"/>
      <c r="G18" s="182"/>
      <c r="J18" s="67"/>
      <c r="K18" s="67"/>
      <c r="R18" s="67"/>
    </row>
    <row r="19">
      <c r="A19" s="23" t="s">
        <v>378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 ht="22.5" customHeight="1">
      <c r="A20" s="24" t="str">
        <f>TEXT(DATE(VALUE(MID(A2,7,4)),VALUE(MID(A2,4,2)),VALUE(LEFT(A2,2)))+2,"dd/mm/yyyy")&amp;" 08h às 13h"</f>
        <v>03/06/2026 08h às 13h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 ht="17.25" customHeight="1">
      <c r="A21" s="25"/>
      <c r="B21" s="489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9" t="s">
        <v>65</v>
      </c>
      <c r="C22" s="74" t="str">
        <f t="shared" ref="C22:C33" si="3">PROPER(TEXT(DATE(MID($A$20,7,4),MID($A$20,4,2),LEFT($A$20,2)),"dddd"))</f>
        <v>Quarta-Feira</v>
      </c>
      <c r="D22" s="512" t="str">
        <f>IF(C22&lt;&gt;"Quarta-Feira","13:00","08:00")</f>
        <v>08:00</v>
      </c>
      <c r="E22" s="287" t="s">
        <v>1117</v>
      </c>
      <c r="F22" s="74">
        <v>7.01807288524677E14</v>
      </c>
      <c r="G22" s="167" t="s">
        <v>1118</v>
      </c>
      <c r="H22" s="169">
        <v>16163.0</v>
      </c>
      <c r="I22" s="74" t="s">
        <v>183</v>
      </c>
      <c r="J22" s="74"/>
      <c r="K22" s="74"/>
      <c r="N22" s="268" t="s">
        <v>387</v>
      </c>
      <c r="O22" s="100"/>
      <c r="P22" s="100"/>
      <c r="Q22" s="100"/>
      <c r="R22" s="100"/>
    </row>
    <row r="23">
      <c r="A23" s="12" t="s">
        <v>11</v>
      </c>
      <c r="B23" s="229" t="s">
        <v>202</v>
      </c>
      <c r="C23" s="74" t="str">
        <f t="shared" si="3"/>
        <v>Quarta-Feira</v>
      </c>
      <c r="D23" s="512" t="str">
        <f>IF(C23&lt;&gt;"Quarta-Feira","13:20","08:20")</f>
        <v>08:20</v>
      </c>
      <c r="E23" s="287" t="s">
        <v>3232</v>
      </c>
      <c r="F23" s="74">
        <v>7.00201449859227E14</v>
      </c>
      <c r="G23" s="167" t="s">
        <v>3233</v>
      </c>
      <c r="H23" s="166">
        <v>28937.0</v>
      </c>
      <c r="I23" s="74" t="s">
        <v>1823</v>
      </c>
      <c r="J23" s="74"/>
      <c r="K23" s="74"/>
      <c r="N23" s="270" t="s">
        <v>1824</v>
      </c>
      <c r="O23" s="2"/>
      <c r="P23" s="2"/>
      <c r="Q23" s="2"/>
      <c r="R23" s="2"/>
    </row>
    <row r="24">
      <c r="A24" s="12" t="s">
        <v>12</v>
      </c>
      <c r="B24" s="229" t="s">
        <v>1448</v>
      </c>
      <c r="C24" s="74" t="str">
        <f t="shared" si="3"/>
        <v>Quarta-Feira</v>
      </c>
      <c r="D24" s="512" t="str">
        <f>IF(C24&lt;&gt;"Quarta-Feira","13:40","08:40")</f>
        <v>08:40</v>
      </c>
      <c r="E24" s="287" t="s">
        <v>3553</v>
      </c>
      <c r="F24" s="74">
        <v>7.00101990636016E14</v>
      </c>
      <c r="G24" s="167" t="s">
        <v>3554</v>
      </c>
      <c r="H24" s="166">
        <v>15855.0</v>
      </c>
      <c r="I24" s="74" t="s">
        <v>183</v>
      </c>
      <c r="J24" s="74"/>
      <c r="K24" s="74"/>
      <c r="N24" s="271" t="s">
        <v>183</v>
      </c>
      <c r="O24" s="272" t="s">
        <v>195</v>
      </c>
      <c r="P24" s="272" t="s">
        <v>181</v>
      </c>
      <c r="Q24" s="273" t="s">
        <v>173</v>
      </c>
      <c r="R24" s="273" t="s">
        <v>1823</v>
      </c>
    </row>
    <row r="25">
      <c r="A25" s="12" t="s">
        <v>13</v>
      </c>
      <c r="B25" s="229" t="s">
        <v>822</v>
      </c>
      <c r="C25" s="74" t="str">
        <f t="shared" si="3"/>
        <v>Quarta-Feira</v>
      </c>
      <c r="D25" s="512" t="str">
        <f>IF(C25&lt;&gt;"Quarta-Feira","14:00","09:00")</f>
        <v>09:00</v>
      </c>
      <c r="E25" s="287" t="s">
        <v>3555</v>
      </c>
      <c r="F25" s="74">
        <v>8.01440441133407E14</v>
      </c>
      <c r="G25" s="167" t="s">
        <v>3556</v>
      </c>
      <c r="H25" s="166">
        <v>23816.0</v>
      </c>
      <c r="I25" s="74" t="s">
        <v>183</v>
      </c>
      <c r="J25" s="74"/>
      <c r="K25" s="74"/>
      <c r="L25" s="216" t="s">
        <v>442</v>
      </c>
      <c r="N25" s="275">
        <f>COUNTIFS(I$22:I$33,N24)</f>
        <v>9</v>
      </c>
      <c r="O25" s="275">
        <f t="shared" ref="O25:R25" si="4">COUNTIFS($I$22:$I$33,O24)</f>
        <v>0</v>
      </c>
      <c r="P25" s="275">
        <f t="shared" si="4"/>
        <v>0</v>
      </c>
      <c r="Q25" s="275">
        <f t="shared" si="4"/>
        <v>0</v>
      </c>
      <c r="R25" s="67">
        <f t="shared" si="4"/>
        <v>3</v>
      </c>
    </row>
    <row r="26">
      <c r="A26" s="12" t="s">
        <v>14</v>
      </c>
      <c r="B26" s="229" t="s">
        <v>202</v>
      </c>
      <c r="C26" s="74" t="str">
        <f t="shared" si="3"/>
        <v>Quarta-Feira</v>
      </c>
      <c r="D26" s="512" t="str">
        <f>IF(C26&lt;&gt;"Quarta-Feira","14:20","09:20")</f>
        <v>09:20</v>
      </c>
      <c r="E26" s="287" t="s">
        <v>3557</v>
      </c>
      <c r="F26" s="74">
        <v>8.98005922591853E14</v>
      </c>
      <c r="G26" s="167" t="s">
        <v>3558</v>
      </c>
      <c r="H26" s="166">
        <v>42240.0</v>
      </c>
      <c r="I26" s="74" t="s">
        <v>1823</v>
      </c>
      <c r="J26" s="74"/>
      <c r="K26" s="74"/>
      <c r="L26" s="216" t="s">
        <v>442</v>
      </c>
      <c r="R26" s="67"/>
    </row>
    <row r="27">
      <c r="A27" s="12" t="s">
        <v>15</v>
      </c>
      <c r="B27" s="229" t="s">
        <v>1448</v>
      </c>
      <c r="C27" s="74" t="str">
        <f t="shared" si="3"/>
        <v>Quarta-Feira</v>
      </c>
      <c r="D27" s="512" t="str">
        <f>IF(C27&lt;&gt;"Quarta-Feira","14:40","09:40")</f>
        <v>09:40</v>
      </c>
      <c r="E27" s="287" t="s">
        <v>3559</v>
      </c>
      <c r="F27" s="74">
        <v>7.00006996919902E14</v>
      </c>
      <c r="G27" s="167" t="s">
        <v>3560</v>
      </c>
      <c r="H27" s="166">
        <v>29314.0</v>
      </c>
      <c r="I27" s="74" t="s">
        <v>183</v>
      </c>
      <c r="J27" s="74"/>
      <c r="K27" s="74"/>
      <c r="L27" s="216" t="s">
        <v>442</v>
      </c>
      <c r="R27" s="67"/>
    </row>
    <row r="28">
      <c r="A28" s="12" t="s">
        <v>16</v>
      </c>
      <c r="B28" s="229" t="s">
        <v>65</v>
      </c>
      <c r="C28" s="74" t="str">
        <f t="shared" si="3"/>
        <v>Quarta-Feira</v>
      </c>
      <c r="D28" s="512" t="str">
        <f>IF(C28&lt;&gt;"Quarta-Feira","15:00","10:00")</f>
        <v>10:00</v>
      </c>
      <c r="E28" s="287" t="s">
        <v>3561</v>
      </c>
      <c r="F28" s="74">
        <v>8.01440421397581E14</v>
      </c>
      <c r="G28" s="167" t="s">
        <v>2364</v>
      </c>
      <c r="H28" s="166">
        <v>20627.0</v>
      </c>
      <c r="I28" s="74" t="s">
        <v>183</v>
      </c>
      <c r="J28" s="74"/>
      <c r="K28" s="74"/>
      <c r="L28" s="216" t="s">
        <v>442</v>
      </c>
      <c r="R28" s="67"/>
    </row>
    <row r="29">
      <c r="A29" s="12" t="s">
        <v>17</v>
      </c>
      <c r="B29" s="229" t="s">
        <v>202</v>
      </c>
      <c r="C29" s="74" t="str">
        <f t="shared" si="3"/>
        <v>Quarta-Feira</v>
      </c>
      <c r="D29" s="512" t="str">
        <f>IF(C29&lt;&gt;"Quarta-Feira","15:20","10:20")</f>
        <v>10:20</v>
      </c>
      <c r="E29" s="287" t="s">
        <v>3562</v>
      </c>
      <c r="F29" s="74">
        <v>7.06401645641783E14</v>
      </c>
      <c r="G29" s="167" t="s">
        <v>3563</v>
      </c>
      <c r="H29" s="166">
        <v>27806.0</v>
      </c>
      <c r="I29" s="74" t="s">
        <v>1823</v>
      </c>
      <c r="J29" s="74"/>
      <c r="K29" s="74"/>
      <c r="L29" s="216" t="s">
        <v>442</v>
      </c>
      <c r="R29" s="67"/>
    </row>
    <row r="30">
      <c r="A30" s="12" t="s">
        <v>85</v>
      </c>
      <c r="B30" s="229" t="s">
        <v>822</v>
      </c>
      <c r="C30" s="74" t="str">
        <f t="shared" si="3"/>
        <v>Quarta-Feira</v>
      </c>
      <c r="D30" s="512" t="str">
        <f>IF(C30&lt;&gt;"Quarta-Feira","15:40","10:40")</f>
        <v>10:40</v>
      </c>
      <c r="E30" s="287" t="s">
        <v>3564</v>
      </c>
      <c r="F30" s="74">
        <v>7.01404637001233E14</v>
      </c>
      <c r="G30" s="167" t="s">
        <v>3565</v>
      </c>
      <c r="H30" s="166">
        <v>20792.0</v>
      </c>
      <c r="I30" s="74" t="s">
        <v>183</v>
      </c>
      <c r="J30" s="74"/>
      <c r="K30" s="74"/>
      <c r="R30" s="67"/>
    </row>
    <row r="31">
      <c r="A31" s="12" t="s">
        <v>87</v>
      </c>
      <c r="B31" s="229" t="s">
        <v>1448</v>
      </c>
      <c r="C31" s="74" t="str">
        <f t="shared" si="3"/>
        <v>Quarta-Feira</v>
      </c>
      <c r="D31" s="512" t="str">
        <f>IF(C31&lt;&gt;"Quarta-Feira","16:00","11:00")</f>
        <v>11:00</v>
      </c>
      <c r="E31" s="287" t="s">
        <v>3566</v>
      </c>
      <c r="F31" s="74">
        <v>7.02608291896149E14</v>
      </c>
      <c r="G31" s="167" t="s">
        <v>3567</v>
      </c>
      <c r="H31" s="166">
        <v>19682.0</v>
      </c>
      <c r="I31" s="74" t="s">
        <v>183</v>
      </c>
      <c r="J31" s="74"/>
      <c r="K31" s="74"/>
      <c r="L31" s="216" t="s">
        <v>455</v>
      </c>
      <c r="R31" s="67"/>
    </row>
    <row r="32">
      <c r="A32" s="12" t="s">
        <v>90</v>
      </c>
      <c r="B32" s="229" t="s">
        <v>822</v>
      </c>
      <c r="C32" s="74" t="str">
        <f t="shared" si="3"/>
        <v>Quarta-Feira</v>
      </c>
      <c r="D32" s="512" t="str">
        <f>IF(C32&lt;&gt;"Quarta-Feira","16:20","11:20")</f>
        <v>11:20</v>
      </c>
      <c r="E32" s="287" t="s">
        <v>3568</v>
      </c>
      <c r="F32" s="74">
        <v>7.00002284818808E14</v>
      </c>
      <c r="G32" s="167" t="s">
        <v>3569</v>
      </c>
      <c r="H32" s="166">
        <v>24010.0</v>
      </c>
      <c r="I32" s="74" t="s">
        <v>183</v>
      </c>
      <c r="J32" s="74"/>
      <c r="K32" s="74"/>
      <c r="R32" s="67"/>
    </row>
    <row r="33">
      <c r="A33" s="12" t="s">
        <v>93</v>
      </c>
      <c r="B33" s="229" t="s">
        <v>65</v>
      </c>
      <c r="C33" s="74" t="str">
        <f t="shared" si="3"/>
        <v>Quarta-Feira</v>
      </c>
      <c r="D33" s="512" t="str">
        <f>IF(C33&lt;&gt;"Quarta-Feira","16:40","11:40")</f>
        <v>11:40</v>
      </c>
      <c r="E33" s="287" t="s">
        <v>1444</v>
      </c>
      <c r="F33" s="74">
        <v>7.0700588833743E14</v>
      </c>
      <c r="G33" s="167" t="s">
        <v>1445</v>
      </c>
      <c r="H33" s="166">
        <v>19761.0</v>
      </c>
      <c r="I33" s="74" t="s">
        <v>183</v>
      </c>
      <c r="J33" s="74"/>
      <c r="K33" s="74"/>
      <c r="R33" s="67"/>
    </row>
    <row r="34">
      <c r="B34" s="182"/>
      <c r="E34" s="261"/>
      <c r="G34" s="182"/>
      <c r="J34" s="67"/>
      <c r="K34" s="67"/>
      <c r="R34" s="67"/>
    </row>
    <row r="35">
      <c r="B35" s="182"/>
      <c r="E35" s="261"/>
      <c r="G35" s="182"/>
      <c r="J35" s="67"/>
      <c r="K35" s="67"/>
      <c r="R35" s="67"/>
    </row>
    <row r="36">
      <c r="B36" s="182"/>
      <c r="E36" s="261"/>
      <c r="G36" s="182"/>
      <c r="J36" s="67"/>
      <c r="K36" s="67"/>
      <c r="R36" s="67"/>
    </row>
    <row r="37">
      <c r="A37" s="23" t="s">
        <v>378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4" t="str">
        <f>TEXT(DATE(VALUE(MID(A20,7,4)),VALUE(MID(A20,4,2)),VALUE(LEFT(A20,2)))+2,"dd/mm/yyyy")&amp;" 13h às 17h"</f>
        <v>05/06/2026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489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9" t="s">
        <v>758</v>
      </c>
      <c r="C40" s="74" t="str">
        <f t="shared" ref="C40:C51" si="5">PROPER(TEXT(DATE(MID($A$38,7,4),MID($A$38,4,2),LEFT($A$38,2)),"dddd"))</f>
        <v>Sexta-Feira</v>
      </c>
      <c r="D40" s="512" t="str">
        <f>IF(C40&lt;&gt;"Quarta-Feira","13:00","08:00")</f>
        <v>13:00</v>
      </c>
      <c r="E40" s="578"/>
      <c r="F40" s="442"/>
      <c r="G40" s="124" t="s">
        <v>2926</v>
      </c>
      <c r="H40" s="579"/>
      <c r="I40" s="34"/>
      <c r="J40" s="74"/>
      <c r="K40" s="74"/>
      <c r="N40" s="268" t="s">
        <v>387</v>
      </c>
      <c r="O40" s="100"/>
      <c r="P40" s="100"/>
      <c r="Q40" s="100"/>
      <c r="R40" s="100"/>
    </row>
    <row r="41">
      <c r="A41" s="12" t="s">
        <v>15</v>
      </c>
      <c r="B41" s="229" t="s">
        <v>1468</v>
      </c>
      <c r="C41" s="74" t="str">
        <f t="shared" si="5"/>
        <v>Sexta-Feira</v>
      </c>
      <c r="D41" s="512" t="str">
        <f>IF(C41&lt;&gt;"Quarta-Feira","13:20","08:20")</f>
        <v>13:20</v>
      </c>
      <c r="E41" s="578"/>
      <c r="F41" s="442"/>
      <c r="G41" s="124" t="s">
        <v>2926</v>
      </c>
      <c r="H41" s="579"/>
      <c r="I41" s="34"/>
      <c r="J41" s="74"/>
      <c r="K41" s="74"/>
      <c r="R41" s="67"/>
    </row>
    <row r="42">
      <c r="A42" s="12" t="s">
        <v>12</v>
      </c>
      <c r="B42" s="229" t="s">
        <v>217</v>
      </c>
      <c r="C42" s="74" t="str">
        <f t="shared" si="5"/>
        <v>Sexta-Feira</v>
      </c>
      <c r="D42" s="512" t="str">
        <f>IF(C42&lt;&gt;"Quarta-Feira","13:40","08:40")</f>
        <v>13:40</v>
      </c>
      <c r="E42" s="578"/>
      <c r="F42" s="442"/>
      <c r="G42" s="124" t="s">
        <v>2926</v>
      </c>
      <c r="H42" s="579"/>
      <c r="I42" s="34"/>
      <c r="J42" s="74"/>
      <c r="K42" s="74"/>
      <c r="N42" s="271" t="s">
        <v>183</v>
      </c>
      <c r="O42" s="272" t="s">
        <v>195</v>
      </c>
      <c r="P42" s="272" t="s">
        <v>181</v>
      </c>
      <c r="Q42" s="273" t="s">
        <v>173</v>
      </c>
      <c r="R42" s="286" t="s">
        <v>1823</v>
      </c>
    </row>
    <row r="43">
      <c r="A43" s="12" t="s">
        <v>13</v>
      </c>
      <c r="B43" s="229" t="s">
        <v>198</v>
      </c>
      <c r="C43" s="74" t="str">
        <f t="shared" si="5"/>
        <v>Sexta-Feira</v>
      </c>
      <c r="D43" s="512" t="str">
        <f>IF(C43&lt;&gt;"Quarta-Feira","14:00","09:00")</f>
        <v>14:00</v>
      </c>
      <c r="E43" s="578"/>
      <c r="F43" s="442"/>
      <c r="G43" s="124" t="s">
        <v>2926</v>
      </c>
      <c r="H43" s="579"/>
      <c r="I43" s="34"/>
      <c r="J43" s="74"/>
      <c r="K43" s="74"/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0</v>
      </c>
    </row>
    <row r="44">
      <c r="A44" s="12" t="s">
        <v>14</v>
      </c>
      <c r="B44" s="229" t="s">
        <v>758</v>
      </c>
      <c r="C44" s="74" t="str">
        <f t="shared" si="5"/>
        <v>Sexta-Feira</v>
      </c>
      <c r="D44" s="512" t="str">
        <f>IF(C44&lt;&gt;"Quarta-Feira","14:20","09:20")</f>
        <v>14:20</v>
      </c>
      <c r="E44" s="578"/>
      <c r="F44" s="442"/>
      <c r="G44" s="124" t="s">
        <v>2926</v>
      </c>
      <c r="H44" s="579"/>
      <c r="I44" s="34"/>
      <c r="J44" s="74"/>
      <c r="K44" s="74"/>
      <c r="R44" s="67"/>
    </row>
    <row r="45">
      <c r="A45" s="12" t="s">
        <v>11</v>
      </c>
      <c r="B45" s="229" t="s">
        <v>1468</v>
      </c>
      <c r="C45" s="74" t="str">
        <f t="shared" si="5"/>
        <v>Sexta-Feira</v>
      </c>
      <c r="D45" s="512" t="str">
        <f>IF(C45&lt;&gt;"Quarta-Feira","14:40","09:40")</f>
        <v>14:40</v>
      </c>
      <c r="E45" s="578"/>
      <c r="F45" s="442"/>
      <c r="G45" s="124" t="s">
        <v>2926</v>
      </c>
      <c r="H45" s="580"/>
      <c r="I45" s="34"/>
      <c r="J45" s="74"/>
      <c r="K45" s="74"/>
      <c r="N45" s="270" t="s">
        <v>1824</v>
      </c>
      <c r="O45" s="2"/>
      <c r="P45" s="2"/>
      <c r="Q45" s="2"/>
      <c r="R45" s="2"/>
    </row>
    <row r="46">
      <c r="A46" s="12" t="s">
        <v>16</v>
      </c>
      <c r="B46" s="229" t="s">
        <v>217</v>
      </c>
      <c r="C46" s="74" t="str">
        <f t="shared" si="5"/>
        <v>Sexta-Feira</v>
      </c>
      <c r="D46" s="512" t="str">
        <f>IF(C46&lt;&gt;"Quarta-Feira","15:00","10:00")</f>
        <v>15:00</v>
      </c>
      <c r="E46" s="578"/>
      <c r="F46" s="442"/>
      <c r="G46" s="124" t="s">
        <v>2926</v>
      </c>
      <c r="H46" s="579"/>
      <c r="I46" s="34"/>
      <c r="J46" s="74"/>
      <c r="K46" s="74"/>
      <c r="R46" s="67"/>
    </row>
    <row r="47">
      <c r="A47" s="12" t="s">
        <v>17</v>
      </c>
      <c r="B47" s="229" t="s">
        <v>198</v>
      </c>
      <c r="C47" s="74" t="str">
        <f t="shared" si="5"/>
        <v>Sexta-Feira</v>
      </c>
      <c r="D47" s="512" t="str">
        <f>IF(C47&lt;&gt;"Quarta-Feira","15:20","10:20")</f>
        <v>15:20</v>
      </c>
      <c r="E47" s="578"/>
      <c r="F47" s="442"/>
      <c r="G47" s="124" t="s">
        <v>2926</v>
      </c>
      <c r="H47" s="579"/>
      <c r="I47" s="34"/>
      <c r="J47" s="74"/>
      <c r="K47" s="74"/>
      <c r="R47" s="67"/>
    </row>
    <row r="48">
      <c r="A48" s="12" t="s">
        <v>85</v>
      </c>
      <c r="B48" s="229" t="s">
        <v>1468</v>
      </c>
      <c r="C48" s="74" t="str">
        <f t="shared" si="5"/>
        <v>Sexta-Feira</v>
      </c>
      <c r="D48" s="512" t="str">
        <f>IF(C48&lt;&gt;"Quarta-Feira","15:40","10:40")</f>
        <v>15:40</v>
      </c>
      <c r="E48" s="578"/>
      <c r="F48" s="442"/>
      <c r="G48" s="124" t="s">
        <v>2926</v>
      </c>
      <c r="H48" s="579"/>
      <c r="I48" s="34"/>
      <c r="J48" s="74"/>
      <c r="K48" s="74"/>
      <c r="R48" s="67"/>
    </row>
    <row r="49">
      <c r="A49" s="12" t="s">
        <v>87</v>
      </c>
      <c r="B49" s="229" t="s">
        <v>758</v>
      </c>
      <c r="C49" s="74" t="str">
        <f t="shared" si="5"/>
        <v>Sexta-Feira</v>
      </c>
      <c r="D49" s="512" t="str">
        <f>IF(C49&lt;&gt;"Quarta-Feira","16:00","11:00")</f>
        <v>16:00</v>
      </c>
      <c r="E49" s="578"/>
      <c r="F49" s="581"/>
      <c r="G49" s="124" t="s">
        <v>2926</v>
      </c>
      <c r="H49" s="579"/>
      <c r="I49" s="34"/>
      <c r="J49" s="74"/>
      <c r="K49" s="74"/>
      <c r="R49" s="67"/>
    </row>
    <row r="50">
      <c r="A50" s="12" t="s">
        <v>90</v>
      </c>
      <c r="B50" s="229" t="s">
        <v>758</v>
      </c>
      <c r="C50" s="74" t="str">
        <f t="shared" si="5"/>
        <v>Sexta-Feira</v>
      </c>
      <c r="D50" s="512" t="str">
        <f>IF(C50&lt;&gt;"Quarta-Feira","16:20","11:20")</f>
        <v>16:20</v>
      </c>
      <c r="E50" s="578"/>
      <c r="F50" s="442"/>
      <c r="G50" s="124" t="s">
        <v>2926</v>
      </c>
      <c r="H50" s="582"/>
      <c r="I50" s="34"/>
      <c r="J50" s="74"/>
      <c r="K50" s="74"/>
      <c r="R50" s="67"/>
    </row>
    <row r="51">
      <c r="A51" s="12" t="s">
        <v>93</v>
      </c>
      <c r="B51" s="229" t="s">
        <v>758</v>
      </c>
      <c r="C51" s="74" t="str">
        <f t="shared" si="5"/>
        <v>Sexta-Feira</v>
      </c>
      <c r="D51" s="512" t="str">
        <f>IF(C51&lt;&gt;"Quarta-Feira","16:40","11:40")</f>
        <v>16:40</v>
      </c>
      <c r="E51" s="578"/>
      <c r="F51" s="442"/>
      <c r="G51" s="124" t="s">
        <v>2926</v>
      </c>
      <c r="H51" s="579"/>
      <c r="I51" s="34"/>
      <c r="J51" s="74"/>
      <c r="K51" s="74"/>
      <c r="R51" s="67"/>
    </row>
    <row r="52">
      <c r="B52" s="182"/>
      <c r="E52" s="523"/>
      <c r="G52" s="182"/>
      <c r="J52" s="67"/>
      <c r="K52" s="67"/>
      <c r="R52" s="67"/>
    </row>
    <row r="53">
      <c r="B53" s="182"/>
      <c r="E53" s="261"/>
      <c r="G53" s="182"/>
      <c r="J53" s="67"/>
      <c r="K53" s="67"/>
      <c r="R53" s="67"/>
    </row>
    <row r="54">
      <c r="B54" s="182"/>
      <c r="E54" s="261"/>
      <c r="G54" s="182"/>
      <c r="J54" s="67"/>
      <c r="K54" s="67"/>
      <c r="R54" s="67"/>
    </row>
    <row r="55">
      <c r="A55" s="23" t="s">
        <v>378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TEXT(DATE(VALUE(MID(A2,7,4)),VALUE(MID(A2,4,2)),VALUE(LEFT(A2,2)))+7,"dd/mm/yyyy")&amp;" 13h às 17h"</f>
        <v>08/06/2026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489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8.75" customHeight="1">
      <c r="A58" s="12" t="s">
        <v>10</v>
      </c>
      <c r="B58" s="229" t="s">
        <v>1358</v>
      </c>
      <c r="C58" s="74" t="str">
        <f>PROPER(TEXT(DATE(MID($A$56,7,4),MID($A$56,4,2),LEFT($A$56,2)),"dddd"))</f>
        <v>Segunda-Feira</v>
      </c>
      <c r="D58" s="512" t="str">
        <f>IF(C58&lt;&gt;"Quarta-Feira","13:00","08:00")</f>
        <v>13:00</v>
      </c>
      <c r="E58" s="287" t="s">
        <v>3570</v>
      </c>
      <c r="F58" s="74">
        <v>7.04506338772012E14</v>
      </c>
      <c r="G58" s="167" t="s">
        <v>3571</v>
      </c>
      <c r="H58" s="524">
        <v>20202.0</v>
      </c>
      <c r="I58" s="34" t="s">
        <v>183</v>
      </c>
      <c r="J58" s="74"/>
      <c r="K58" s="74"/>
      <c r="N58" s="268" t="s">
        <v>387</v>
      </c>
      <c r="O58" s="100"/>
      <c r="P58" s="100"/>
      <c r="Q58" s="100"/>
      <c r="R58" s="100"/>
    </row>
    <row r="59">
      <c r="A59" s="12" t="s">
        <v>11</v>
      </c>
      <c r="B59" s="229" t="s">
        <v>1359</v>
      </c>
      <c r="C59" s="74" t="s">
        <v>1295</v>
      </c>
      <c r="D59" s="512" t="str">
        <f>IF(C59&lt;&gt;"Quarta-Feira","13:20","08:20")</f>
        <v>13:20</v>
      </c>
      <c r="E59" s="287" t="s">
        <v>3572</v>
      </c>
      <c r="F59" s="74">
        <v>7.02309181081713E14</v>
      </c>
      <c r="G59" s="167" t="s">
        <v>1299</v>
      </c>
      <c r="H59" s="211">
        <v>23744.0</v>
      </c>
      <c r="I59" s="34" t="s">
        <v>1823</v>
      </c>
      <c r="J59" s="74"/>
      <c r="K59" s="74"/>
      <c r="N59" s="270" t="s">
        <v>1824</v>
      </c>
      <c r="O59" s="2"/>
      <c r="P59" s="2"/>
      <c r="Q59" s="2"/>
      <c r="R59" s="2"/>
    </row>
    <row r="60">
      <c r="A60" s="12" t="s">
        <v>12</v>
      </c>
      <c r="B60" s="229" t="s">
        <v>1361</v>
      </c>
      <c r="C60" s="74" t="s">
        <v>1295</v>
      </c>
      <c r="D60" s="512" t="str">
        <f>IF(C60&lt;&gt;"Quarta-Feira","13:40","08:40")</f>
        <v>13:40</v>
      </c>
      <c r="E60" s="287" t="s">
        <v>3543</v>
      </c>
      <c r="F60" s="74">
        <v>7.08505305299379E14</v>
      </c>
      <c r="G60" s="167" t="s">
        <v>158</v>
      </c>
      <c r="H60" s="211">
        <v>18621.0</v>
      </c>
      <c r="I60" s="34" t="s">
        <v>183</v>
      </c>
      <c r="J60" s="74"/>
      <c r="K60" s="74"/>
      <c r="N60" s="271" t="s">
        <v>183</v>
      </c>
      <c r="O60" s="272" t="s">
        <v>195</v>
      </c>
      <c r="P60" s="272" t="s">
        <v>181</v>
      </c>
      <c r="Q60" s="273" t="s">
        <v>173</v>
      </c>
      <c r="R60" s="286" t="s">
        <v>1823</v>
      </c>
    </row>
    <row r="61">
      <c r="A61" s="12" t="s">
        <v>13</v>
      </c>
      <c r="B61" s="229" t="s">
        <v>1363</v>
      </c>
      <c r="C61" s="74" t="s">
        <v>1295</v>
      </c>
      <c r="D61" s="512" t="str">
        <f>IF(C61&lt;&gt;"Quarta-Feira","14:00","09:00")</f>
        <v>14:00</v>
      </c>
      <c r="E61" s="287" t="s">
        <v>3573</v>
      </c>
      <c r="F61" s="74">
        <v>7.00003633264501E14</v>
      </c>
      <c r="G61" s="167" t="s">
        <v>3574</v>
      </c>
      <c r="H61" s="211">
        <v>21657.0</v>
      </c>
      <c r="I61" s="34" t="s">
        <v>183</v>
      </c>
      <c r="J61" s="74"/>
      <c r="K61" s="74"/>
      <c r="N61" s="275">
        <f t="shared" ref="N61:R61" si="7">COUNTIFS($I$58:$I$69,N60)</f>
        <v>9</v>
      </c>
      <c r="O61" s="275">
        <f t="shared" si="7"/>
        <v>0</v>
      </c>
      <c r="P61" s="275">
        <f t="shared" si="7"/>
        <v>0</v>
      </c>
      <c r="Q61" s="275">
        <f t="shared" si="7"/>
        <v>0</v>
      </c>
      <c r="R61" s="275">
        <f t="shared" si="7"/>
        <v>3</v>
      </c>
    </row>
    <row r="62">
      <c r="A62" s="12" t="s">
        <v>14</v>
      </c>
      <c r="B62" s="229" t="s">
        <v>1358</v>
      </c>
      <c r="C62" s="74" t="s">
        <v>1295</v>
      </c>
      <c r="D62" s="512" t="str">
        <f>IF(C62&lt;&gt;"Quarta-Feira","14:20","09:20")</f>
        <v>14:20</v>
      </c>
      <c r="E62" s="287" t="s">
        <v>3575</v>
      </c>
      <c r="F62" s="74">
        <v>7.04603690946222E14</v>
      </c>
      <c r="G62" s="167" t="s">
        <v>3576</v>
      </c>
      <c r="H62" s="211">
        <v>24171.0</v>
      </c>
      <c r="I62" s="34" t="s">
        <v>183</v>
      </c>
      <c r="J62" s="74"/>
      <c r="K62" s="74"/>
      <c r="R62" s="67"/>
    </row>
    <row r="63">
      <c r="A63" s="12" t="s">
        <v>15</v>
      </c>
      <c r="B63" s="229" t="s">
        <v>1363</v>
      </c>
      <c r="C63" s="74" t="s">
        <v>1295</v>
      </c>
      <c r="D63" s="512" t="str">
        <f>IF(C63&lt;&gt;"Quarta-Feira","14:40","09:40")</f>
        <v>14:40</v>
      </c>
      <c r="E63" s="287" t="s">
        <v>3577</v>
      </c>
      <c r="F63" s="74">
        <v>2.06880195650004E14</v>
      </c>
      <c r="G63" s="167" t="s">
        <v>3578</v>
      </c>
      <c r="H63" s="211">
        <v>16925.0</v>
      </c>
      <c r="I63" s="34" t="s">
        <v>183</v>
      </c>
      <c r="J63" s="74"/>
      <c r="K63" s="74"/>
      <c r="R63" s="67"/>
    </row>
    <row r="64">
      <c r="A64" s="12" t="s">
        <v>16</v>
      </c>
      <c r="B64" s="229" t="s">
        <v>1359</v>
      </c>
      <c r="C64" s="74" t="s">
        <v>1295</v>
      </c>
      <c r="D64" s="512" t="str">
        <f>IF(C64&lt;&gt;"Quarta-Feira","15:00","10:00")</f>
        <v>15:00</v>
      </c>
      <c r="E64" s="287" t="s">
        <v>3579</v>
      </c>
      <c r="F64" s="74">
        <v>7.0840227937406E14</v>
      </c>
      <c r="G64" s="167" t="s">
        <v>3580</v>
      </c>
      <c r="H64" s="211">
        <v>29723.0</v>
      </c>
      <c r="I64" s="34" t="s">
        <v>1823</v>
      </c>
      <c r="J64" s="74"/>
      <c r="K64" s="74"/>
      <c r="R64" s="67"/>
    </row>
    <row r="65">
      <c r="A65" s="12" t="s">
        <v>17</v>
      </c>
      <c r="B65" s="229" t="s">
        <v>1361</v>
      </c>
      <c r="C65" s="74" t="s">
        <v>1295</v>
      </c>
      <c r="D65" s="512" t="str">
        <f>IF(C65&lt;&gt;"Quarta-Feira","15:20","10:20")</f>
        <v>15:20</v>
      </c>
      <c r="E65" s="287" t="s">
        <v>3581</v>
      </c>
      <c r="F65" s="74">
        <v>7.01004843540393E14</v>
      </c>
      <c r="G65" s="167" t="s">
        <v>3582</v>
      </c>
      <c r="H65" s="211">
        <v>22040.0</v>
      </c>
      <c r="I65" s="34" t="s">
        <v>183</v>
      </c>
      <c r="J65" s="74"/>
      <c r="K65" s="74"/>
      <c r="L65" s="67"/>
      <c r="M65" s="67"/>
      <c r="N65" s="67"/>
      <c r="O65" s="286"/>
      <c r="P65" s="67"/>
      <c r="Q65" s="67"/>
      <c r="R65" s="67"/>
      <c r="S65" s="67"/>
      <c r="T65" s="67"/>
      <c r="U65" s="67"/>
      <c r="V65" s="67"/>
      <c r="W65" s="67"/>
      <c r="X65" s="67"/>
    </row>
    <row r="66">
      <c r="A66" s="12" t="s">
        <v>85</v>
      </c>
      <c r="B66" s="229" t="s">
        <v>1358</v>
      </c>
      <c r="C66" s="74" t="s">
        <v>1295</v>
      </c>
      <c r="D66" s="512" t="str">
        <f>IF(C66&lt;&gt;"Quarta-Feira","15:40","10:40")</f>
        <v>15:40</v>
      </c>
      <c r="E66" s="287" t="s">
        <v>3583</v>
      </c>
      <c r="F66" s="74">
        <v>7.02300158846417E14</v>
      </c>
      <c r="G66" s="167" t="s">
        <v>3584</v>
      </c>
      <c r="H66" s="211">
        <v>20409.0</v>
      </c>
      <c r="I66" s="34" t="s">
        <v>183</v>
      </c>
      <c r="J66" s="74"/>
      <c r="K66" s="74"/>
      <c r="R66" s="67"/>
    </row>
    <row r="67">
      <c r="A67" s="12" t="s">
        <v>87</v>
      </c>
      <c r="B67" s="229" t="s">
        <v>1359</v>
      </c>
      <c r="C67" s="74" t="s">
        <v>1295</v>
      </c>
      <c r="D67" s="512" t="str">
        <f>IF(C67&lt;&gt;"Quarta-Feira","16:00","11:00")</f>
        <v>16:00</v>
      </c>
      <c r="E67" s="287" t="s">
        <v>3585</v>
      </c>
      <c r="F67" s="74">
        <v>7.01208030217316E14</v>
      </c>
      <c r="G67" s="167" t="s">
        <v>3586</v>
      </c>
      <c r="H67" s="211">
        <v>24590.0</v>
      </c>
      <c r="I67" s="34" t="s">
        <v>183</v>
      </c>
      <c r="J67" s="74"/>
      <c r="K67" s="74"/>
      <c r="R67" s="67"/>
    </row>
    <row r="68">
      <c r="A68" s="12" t="s">
        <v>90</v>
      </c>
      <c r="B68" s="229" t="s">
        <v>1361</v>
      </c>
      <c r="C68" s="74" t="s">
        <v>1295</v>
      </c>
      <c r="D68" s="512" t="str">
        <f>IF(C68&lt;&gt;"Quarta-Feira","16:20","11:20")</f>
        <v>16:20</v>
      </c>
      <c r="E68" s="287" t="s">
        <v>3587</v>
      </c>
      <c r="F68" s="74">
        <v>8.98001901195173E14</v>
      </c>
      <c r="G68" s="167" t="s">
        <v>3588</v>
      </c>
      <c r="H68" s="211">
        <v>19054.0</v>
      </c>
      <c r="I68" s="34" t="s">
        <v>183</v>
      </c>
      <c r="J68" s="74"/>
      <c r="K68" s="74"/>
      <c r="R68" s="67"/>
    </row>
    <row r="69">
      <c r="A69" s="12" t="s">
        <v>93</v>
      </c>
      <c r="B69" s="229" t="s">
        <v>1363</v>
      </c>
      <c r="C69" s="74" t="s">
        <v>1295</v>
      </c>
      <c r="D69" s="512" t="str">
        <f>IF(C69&lt;&gt;"Quarta-Feira","16:40","11:40")</f>
        <v>16:40</v>
      </c>
      <c r="E69" s="287" t="s">
        <v>3589</v>
      </c>
      <c r="F69" s="74">
        <v>7.04208719251586E14</v>
      </c>
      <c r="G69" s="167" t="s">
        <v>3590</v>
      </c>
      <c r="H69" s="211">
        <v>37019.0</v>
      </c>
      <c r="I69" s="34" t="s">
        <v>1823</v>
      </c>
      <c r="J69" s="74"/>
      <c r="K69" s="74"/>
      <c r="R69" s="67"/>
    </row>
    <row r="70">
      <c r="B70" s="182"/>
      <c r="E70" s="261"/>
      <c r="G70" s="182"/>
      <c r="J70" s="67"/>
      <c r="K70" s="67"/>
      <c r="R70" s="67"/>
    </row>
    <row r="71">
      <c r="B71" s="182"/>
      <c r="E71" s="261"/>
      <c r="G71" s="182"/>
      <c r="J71" s="67"/>
      <c r="K71" s="67"/>
      <c r="R71" s="67"/>
    </row>
    <row r="72" ht="15.0" customHeight="1">
      <c r="B72" s="182"/>
      <c r="E72" s="261"/>
      <c r="G72" s="182"/>
      <c r="J72" s="67"/>
      <c r="K72" s="67"/>
      <c r="R72" s="67"/>
    </row>
    <row r="73">
      <c r="A73" s="23" t="s">
        <v>378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TEXT(DATE(VALUE(MID(A56,7,4)),VALUE(MID(A56,4,2)),VALUE(LEFT(A56,2)))+2,"dd/mm/yyyy")&amp;" 08h às 13h"</f>
        <v>10/06/2026 08h às 13h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25"/>
      <c r="B75" s="489" t="s">
        <v>3</v>
      </c>
      <c r="C75" s="27" t="s">
        <v>2</v>
      </c>
      <c r="D75" s="28" t="s">
        <v>5</v>
      </c>
      <c r="E75" s="29" t="s">
        <v>19</v>
      </c>
      <c r="F75" s="28" t="s">
        <v>6</v>
      </c>
      <c r="G75" s="264" t="s">
        <v>7</v>
      </c>
      <c r="H75" s="30" t="s">
        <v>8</v>
      </c>
      <c r="I75" s="31" t="s">
        <v>20</v>
      </c>
      <c r="J75" s="32" t="s">
        <v>21</v>
      </c>
      <c r="K75" s="32" t="s">
        <v>22</v>
      </c>
      <c r="R75" s="67"/>
    </row>
    <row r="76">
      <c r="A76" s="12" t="s">
        <v>10</v>
      </c>
      <c r="B76" s="229" t="s">
        <v>65</v>
      </c>
      <c r="C76" s="74" t="str">
        <f t="shared" ref="C76:C87" si="8">PROPER(TEXT(DATE(MID($A$74,7,4),MID($A$74,4,2),LEFT($A$74,2)),"dddd"))</f>
        <v>Quarta-Feira</v>
      </c>
      <c r="D76" s="512" t="str">
        <f>IF(C76&lt;&gt;"Quarta-Feira","13:00","08:00")</f>
        <v>08:00</v>
      </c>
      <c r="E76" s="287"/>
      <c r="F76" s="74">
        <v>7.00501733710752E14</v>
      </c>
      <c r="G76" s="167" t="s">
        <v>3591</v>
      </c>
      <c r="H76" s="211">
        <v>28428.0</v>
      </c>
      <c r="I76" s="34" t="s">
        <v>1823</v>
      </c>
      <c r="J76" s="74"/>
      <c r="K76" s="74"/>
      <c r="L76" s="216" t="s">
        <v>521</v>
      </c>
      <c r="N76" s="268" t="s">
        <v>387</v>
      </c>
      <c r="O76" s="100"/>
      <c r="P76" s="100"/>
      <c r="Q76" s="100"/>
      <c r="R76" s="100"/>
    </row>
    <row r="77">
      <c r="A77" s="12" t="s">
        <v>11</v>
      </c>
      <c r="B77" s="229" t="s">
        <v>202</v>
      </c>
      <c r="C77" s="74" t="str">
        <f t="shared" si="8"/>
        <v>Quarta-Feira</v>
      </c>
      <c r="D77" s="512" t="str">
        <f>IF(C77&lt;&gt;"Quarta-Feira","13:20","08:20")</f>
        <v>08:20</v>
      </c>
      <c r="E77" s="287" t="s">
        <v>3592</v>
      </c>
      <c r="F77" s="74">
        <v>7.05800462867232E14</v>
      </c>
      <c r="G77" s="167" t="s">
        <v>3593</v>
      </c>
      <c r="H77" s="77">
        <v>17778.0</v>
      </c>
      <c r="I77" s="34" t="s">
        <v>183</v>
      </c>
      <c r="J77" s="74"/>
      <c r="K77" s="74"/>
      <c r="N77" s="270" t="s">
        <v>1824</v>
      </c>
      <c r="O77" s="2"/>
      <c r="P77" s="2"/>
      <c r="Q77" s="2"/>
      <c r="R77" s="2"/>
    </row>
    <row r="78">
      <c r="A78" s="12" t="s">
        <v>12</v>
      </c>
      <c r="B78" s="229" t="s">
        <v>1448</v>
      </c>
      <c r="C78" s="74" t="str">
        <f t="shared" si="8"/>
        <v>Quarta-Feira</v>
      </c>
      <c r="D78" s="512" t="str">
        <f>IF(C78&lt;&gt;"Quarta-Feira","13:40","08:40")</f>
        <v>08:40</v>
      </c>
      <c r="E78" s="287" t="s">
        <v>3594</v>
      </c>
      <c r="F78" s="74">
        <v>7.05203424060473E14</v>
      </c>
      <c r="G78" s="167" t="s">
        <v>3595</v>
      </c>
      <c r="H78" s="83">
        <v>20614.0</v>
      </c>
      <c r="I78" s="34" t="s">
        <v>183</v>
      </c>
      <c r="J78" s="74"/>
      <c r="K78" s="74"/>
      <c r="L78" s="216" t="s">
        <v>521</v>
      </c>
      <c r="N78" s="271" t="s">
        <v>183</v>
      </c>
      <c r="O78" s="272" t="s">
        <v>195</v>
      </c>
      <c r="P78" s="272" t="s">
        <v>181</v>
      </c>
      <c r="Q78" s="273" t="s">
        <v>173</v>
      </c>
      <c r="R78" s="286" t="s">
        <v>1823</v>
      </c>
    </row>
    <row r="79">
      <c r="A79" s="12" t="s">
        <v>13</v>
      </c>
      <c r="B79" s="229" t="s">
        <v>822</v>
      </c>
      <c r="C79" s="74" t="str">
        <f t="shared" si="8"/>
        <v>Quarta-Feira</v>
      </c>
      <c r="D79" s="512" t="str">
        <f>IF(C79&lt;&gt;"Quarta-Feira","14:00","09:00")</f>
        <v>09:00</v>
      </c>
      <c r="E79" s="287" t="s">
        <v>3596</v>
      </c>
      <c r="F79" s="74">
        <v>7.0860150204758E14</v>
      </c>
      <c r="G79" s="496" t="s">
        <v>3597</v>
      </c>
      <c r="H79" s="83">
        <v>14869.0</v>
      </c>
      <c r="I79" s="34" t="s">
        <v>183</v>
      </c>
      <c r="J79" s="74"/>
      <c r="K79" s="74"/>
      <c r="L79" s="216" t="s">
        <v>521</v>
      </c>
      <c r="N79" s="275">
        <f t="shared" ref="N79:R79" si="9">COUNTIFS($I$76:$I$87,N78)</f>
        <v>10</v>
      </c>
      <c r="O79" s="275">
        <f t="shared" si="9"/>
        <v>0</v>
      </c>
      <c r="P79" s="275">
        <f t="shared" si="9"/>
        <v>0</v>
      </c>
      <c r="Q79" s="275">
        <f t="shared" si="9"/>
        <v>0</v>
      </c>
      <c r="R79" s="275">
        <f t="shared" si="9"/>
        <v>2</v>
      </c>
    </row>
    <row r="80" ht="18.0" customHeight="1">
      <c r="A80" s="12" t="s">
        <v>14</v>
      </c>
      <c r="B80" s="229" t="s">
        <v>202</v>
      </c>
      <c r="C80" s="74" t="str">
        <f t="shared" si="8"/>
        <v>Quarta-Feira</v>
      </c>
      <c r="D80" s="512" t="str">
        <f>IF(C80&lt;&gt;"Quarta-Feira","14:20","09:20")</f>
        <v>09:20</v>
      </c>
      <c r="E80" s="287" t="s">
        <v>3598</v>
      </c>
      <c r="F80" s="74">
        <v>7.04109142545575E14</v>
      </c>
      <c r="G80" s="167" t="s">
        <v>3599</v>
      </c>
      <c r="H80" s="83">
        <v>28148.0</v>
      </c>
      <c r="I80" s="34" t="s">
        <v>1823</v>
      </c>
      <c r="J80" s="74"/>
      <c r="K80" s="74"/>
      <c r="L80" s="216" t="s">
        <v>521</v>
      </c>
      <c r="R80" s="67"/>
    </row>
    <row r="81">
      <c r="A81" s="12" t="s">
        <v>15</v>
      </c>
      <c r="B81" s="229" t="s">
        <v>1448</v>
      </c>
      <c r="C81" s="74" t="str">
        <f t="shared" si="8"/>
        <v>Quarta-Feira</v>
      </c>
      <c r="D81" s="512" t="str">
        <f>IF(C81&lt;&gt;"Quarta-Feira","14:40","09:40")</f>
        <v>09:40</v>
      </c>
      <c r="E81" s="287" t="s">
        <v>3600</v>
      </c>
      <c r="F81" s="74">
        <v>7.02809624332464E14</v>
      </c>
      <c r="G81" s="167" t="s">
        <v>3601</v>
      </c>
      <c r="H81" s="83">
        <v>15948.0</v>
      </c>
      <c r="I81" s="34" t="s">
        <v>183</v>
      </c>
      <c r="J81" s="74"/>
      <c r="K81" s="74"/>
      <c r="L81" s="216" t="s">
        <v>521</v>
      </c>
      <c r="R81" s="67"/>
    </row>
    <row r="82">
      <c r="A82" s="12" t="s">
        <v>16</v>
      </c>
      <c r="B82" s="229" t="s">
        <v>65</v>
      </c>
      <c r="C82" s="74" t="str">
        <f t="shared" si="8"/>
        <v>Quarta-Feira</v>
      </c>
      <c r="D82" s="512" t="str">
        <f>IF(C82&lt;&gt;"Quarta-Feira","15:00","10:00")</f>
        <v>10:00</v>
      </c>
      <c r="E82" s="287" t="s">
        <v>2481</v>
      </c>
      <c r="F82" s="74">
        <v>7.01009816295795E14</v>
      </c>
      <c r="G82" s="167" t="s">
        <v>2482</v>
      </c>
      <c r="H82" s="83">
        <v>22773.0</v>
      </c>
      <c r="I82" s="34" t="s">
        <v>183</v>
      </c>
      <c r="J82" s="74"/>
      <c r="K82" s="74"/>
      <c r="L82" s="216" t="s">
        <v>521</v>
      </c>
      <c r="R82" s="67"/>
    </row>
    <row r="83">
      <c r="A83" s="12" t="s">
        <v>179</v>
      </c>
      <c r="B83" s="229" t="s">
        <v>202</v>
      </c>
      <c r="C83" s="74" t="str">
        <f t="shared" si="8"/>
        <v>Quarta-Feira</v>
      </c>
      <c r="D83" s="512" t="str">
        <f>IF(C83&lt;&gt;"Quarta-Feira","15:20","10:20")</f>
        <v>10:20</v>
      </c>
      <c r="E83" s="287" t="s">
        <v>3602</v>
      </c>
      <c r="F83" s="74">
        <v>2.01156129250002E14</v>
      </c>
      <c r="G83" s="167" t="s">
        <v>3603</v>
      </c>
      <c r="H83" s="77">
        <v>15455.0</v>
      </c>
      <c r="I83" s="34" t="s">
        <v>183</v>
      </c>
      <c r="J83" s="74"/>
      <c r="K83" s="74"/>
      <c r="L83" s="216" t="s">
        <v>521</v>
      </c>
      <c r="R83" s="67"/>
    </row>
    <row r="84">
      <c r="A84" s="12" t="s">
        <v>85</v>
      </c>
      <c r="B84" s="229" t="s">
        <v>822</v>
      </c>
      <c r="C84" s="74" t="str">
        <f t="shared" si="8"/>
        <v>Quarta-Feira</v>
      </c>
      <c r="D84" s="512" t="str">
        <f>IF(C84&lt;&gt;"Quarta-Feira","15:40","10:40")</f>
        <v>10:40</v>
      </c>
      <c r="E84" s="287" t="s">
        <v>3604</v>
      </c>
      <c r="F84" s="74">
        <v>7.0040499487784E14</v>
      </c>
      <c r="G84" s="167" t="s">
        <v>3605</v>
      </c>
      <c r="H84" s="83">
        <v>28948.0</v>
      </c>
      <c r="I84" s="34" t="s">
        <v>183</v>
      </c>
      <c r="J84" s="74"/>
      <c r="K84" s="74"/>
      <c r="L84" s="216" t="s">
        <v>521</v>
      </c>
      <c r="R84" s="67"/>
    </row>
    <row r="85">
      <c r="A85" s="12" t="s">
        <v>87</v>
      </c>
      <c r="B85" s="229" t="s">
        <v>1448</v>
      </c>
      <c r="C85" s="74" t="str">
        <f t="shared" si="8"/>
        <v>Quarta-Feira</v>
      </c>
      <c r="D85" s="512" t="str">
        <f>IF(C85&lt;&gt;"Quarta-Feira","16:00","11:00")</f>
        <v>11:00</v>
      </c>
      <c r="E85" s="287" t="s">
        <v>3606</v>
      </c>
      <c r="F85" s="74">
        <v>7.04606183070329E14</v>
      </c>
      <c r="G85" s="167" t="s">
        <v>3607</v>
      </c>
      <c r="H85" s="166">
        <v>19247.0</v>
      </c>
      <c r="I85" s="34" t="s">
        <v>183</v>
      </c>
      <c r="J85" s="74"/>
      <c r="K85" s="74"/>
      <c r="L85" s="216" t="s">
        <v>521</v>
      </c>
      <c r="R85" s="67"/>
    </row>
    <row r="86">
      <c r="A86" s="12" t="s">
        <v>90</v>
      </c>
      <c r="B86" s="229" t="s">
        <v>822</v>
      </c>
      <c r="C86" s="74" t="str">
        <f t="shared" si="8"/>
        <v>Quarta-Feira</v>
      </c>
      <c r="D86" s="512" t="str">
        <f>IF(C86&lt;&gt;"Quarta-Feira","16:20","11:20")</f>
        <v>11:20</v>
      </c>
      <c r="E86" s="287" t="s">
        <v>3608</v>
      </c>
      <c r="F86" s="74">
        <v>7.04302566245899E14</v>
      </c>
      <c r="G86" s="167" t="s">
        <v>3609</v>
      </c>
      <c r="H86" s="166">
        <v>16006.0</v>
      </c>
      <c r="I86" s="34" t="s">
        <v>183</v>
      </c>
      <c r="J86" s="74"/>
      <c r="K86" s="74"/>
      <c r="L86" s="216" t="s">
        <v>521</v>
      </c>
      <c r="R86" s="67"/>
    </row>
    <row r="87">
      <c r="A87" s="12" t="s">
        <v>93</v>
      </c>
      <c r="B87" s="229" t="s">
        <v>65</v>
      </c>
      <c r="C87" s="74" t="str">
        <f t="shared" si="8"/>
        <v>Quarta-Feira</v>
      </c>
      <c r="D87" s="512" t="str">
        <f>IF(C87&lt;&gt;"Quarta-Feira","16:40","11:40")</f>
        <v>11:40</v>
      </c>
      <c r="E87" s="287" t="s">
        <v>3610</v>
      </c>
      <c r="F87" s="74">
        <v>7.00006386948801E14</v>
      </c>
      <c r="G87" s="167" t="s">
        <v>3611</v>
      </c>
      <c r="H87" s="166">
        <v>11400.0</v>
      </c>
      <c r="I87" s="34" t="s">
        <v>183</v>
      </c>
      <c r="J87" s="74"/>
      <c r="K87" s="74"/>
      <c r="R87" s="67"/>
    </row>
    <row r="88">
      <c r="B88" s="182"/>
      <c r="E88" s="261"/>
      <c r="G88" s="182"/>
      <c r="J88" s="67"/>
      <c r="K88" s="67"/>
      <c r="R88" s="67"/>
    </row>
    <row r="89">
      <c r="B89" s="182"/>
      <c r="E89" s="261"/>
      <c r="G89" s="182"/>
      <c r="J89" s="67"/>
      <c r="K89" s="67"/>
      <c r="R89" s="67"/>
    </row>
    <row r="90">
      <c r="B90" s="182"/>
      <c r="E90" s="261"/>
      <c r="G90" s="182"/>
      <c r="J90" s="67"/>
      <c r="K90" s="67"/>
      <c r="R90" s="67"/>
    </row>
    <row r="91">
      <c r="A91" s="23" t="s">
        <v>378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08h às 13h"</f>
        <v>12/06/2026 08h às 13h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489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64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2381</v>
      </c>
      <c r="C94" s="74" t="str">
        <f t="shared" ref="C94:C105" si="10">PROPER(TEXT(DATE(MID($A$92,7,4),MID($A$92,4,2),LEFT($A$92,2)),"dddd"))</f>
        <v>Sexta-Feira</v>
      </c>
      <c r="D94" s="512" t="str">
        <f>IF(C94&lt;&gt;"Quarta-Feira","13:00","08:00")</f>
        <v>13:00</v>
      </c>
      <c r="E94" s="287" t="s">
        <v>3612</v>
      </c>
      <c r="F94" s="74">
        <v>7.00005862219409E14</v>
      </c>
      <c r="G94" s="167" t="s">
        <v>3613</v>
      </c>
      <c r="H94" s="211">
        <v>16996.0</v>
      </c>
      <c r="I94" s="34" t="s">
        <v>183</v>
      </c>
      <c r="J94" s="74"/>
      <c r="K94" s="74"/>
      <c r="L94" s="216" t="s">
        <v>521</v>
      </c>
      <c r="N94" s="268" t="s">
        <v>387</v>
      </c>
      <c r="O94" s="100"/>
      <c r="P94" s="100"/>
      <c r="Q94" s="100"/>
      <c r="R94" s="100"/>
    </row>
    <row r="95">
      <c r="A95" s="12" t="s">
        <v>11</v>
      </c>
      <c r="B95" s="227" t="s">
        <v>2384</v>
      </c>
      <c r="C95" s="74" t="str">
        <f t="shared" si="10"/>
        <v>Sexta-Feira</v>
      </c>
      <c r="D95" s="512" t="str">
        <f>IF(C95&lt;&gt;"Quarta-Feira","13:20","08:20")</f>
        <v>13:20</v>
      </c>
      <c r="E95" s="287" t="s">
        <v>3614</v>
      </c>
      <c r="F95" s="74">
        <v>7.08109519987834E14</v>
      </c>
      <c r="G95" s="167" t="s">
        <v>3615</v>
      </c>
      <c r="H95" s="77">
        <v>23140.0</v>
      </c>
      <c r="I95" s="34" t="s">
        <v>1823</v>
      </c>
      <c r="J95" s="74"/>
      <c r="K95" s="74"/>
      <c r="N95" s="270" t="s">
        <v>1824</v>
      </c>
      <c r="O95" s="2"/>
      <c r="P95" s="2"/>
      <c r="Q95" s="2"/>
      <c r="R95" s="2"/>
    </row>
    <row r="96">
      <c r="A96" s="12" t="s">
        <v>12</v>
      </c>
      <c r="B96" s="227" t="s">
        <v>2387</v>
      </c>
      <c r="C96" s="74" t="str">
        <f t="shared" si="10"/>
        <v>Sexta-Feira</v>
      </c>
      <c r="D96" s="512" t="str">
        <f>IF(C96&lt;&gt;"Quarta-Feira","13:40","08:40")</f>
        <v>13:40</v>
      </c>
      <c r="E96" s="287" t="s">
        <v>3616</v>
      </c>
      <c r="F96" s="74">
        <v>7.02809181444269E14</v>
      </c>
      <c r="G96" s="167" t="s">
        <v>3617</v>
      </c>
      <c r="H96" s="83">
        <v>21159.0</v>
      </c>
      <c r="I96" s="34" t="s">
        <v>183</v>
      </c>
      <c r="J96" s="74"/>
      <c r="K96" s="74"/>
      <c r="L96" s="216" t="s">
        <v>521</v>
      </c>
      <c r="N96" s="271" t="s">
        <v>183</v>
      </c>
      <c r="O96" s="272" t="s">
        <v>195</v>
      </c>
      <c r="P96" s="272" t="s">
        <v>181</v>
      </c>
      <c r="Q96" s="273" t="s">
        <v>173</v>
      </c>
      <c r="R96" s="286" t="s">
        <v>1823</v>
      </c>
    </row>
    <row r="97">
      <c r="A97" s="12" t="s">
        <v>13</v>
      </c>
      <c r="B97" s="227" t="s">
        <v>2390</v>
      </c>
      <c r="C97" s="74" t="str">
        <f t="shared" si="10"/>
        <v>Sexta-Feira</v>
      </c>
      <c r="D97" s="512" t="str">
        <f>IF(C97&lt;&gt;"Quarta-Feira","14:00","09:00")</f>
        <v>14:00</v>
      </c>
      <c r="E97" s="287" t="s">
        <v>3618</v>
      </c>
      <c r="F97" s="74">
        <v>7.08408798169668E14</v>
      </c>
      <c r="G97" s="167" t="s">
        <v>3619</v>
      </c>
      <c r="H97" s="83">
        <v>19864.0</v>
      </c>
      <c r="I97" s="34" t="s">
        <v>183</v>
      </c>
      <c r="J97" s="74"/>
      <c r="K97" s="74"/>
      <c r="L97" s="216" t="s">
        <v>521</v>
      </c>
      <c r="N97" s="275">
        <f t="shared" ref="N97:Q97" si="11">COUNTIFS($I$94:$I$105,N96)</f>
        <v>8</v>
      </c>
      <c r="O97" s="275">
        <f t="shared" si="11"/>
        <v>0</v>
      </c>
      <c r="P97" s="275">
        <f t="shared" si="11"/>
        <v>0</v>
      </c>
      <c r="Q97" s="275">
        <f t="shared" si="11"/>
        <v>0</v>
      </c>
      <c r="R97" s="67">
        <f>COUNTIFS(I94:I105,R96)</f>
        <v>4</v>
      </c>
    </row>
    <row r="98">
      <c r="A98" s="12" t="s">
        <v>14</v>
      </c>
      <c r="B98" s="227" t="s">
        <v>2381</v>
      </c>
      <c r="C98" s="74" t="str">
        <f t="shared" si="10"/>
        <v>Sexta-Feira</v>
      </c>
      <c r="D98" s="512" t="str">
        <f>IF(C98&lt;&gt;"Quarta-Feira","14:20","09:20")</f>
        <v>14:20</v>
      </c>
      <c r="E98" s="287" t="s">
        <v>3620</v>
      </c>
      <c r="F98" s="74">
        <v>7.09804062019699E14</v>
      </c>
      <c r="G98" s="167" t="s">
        <v>3621</v>
      </c>
      <c r="H98" s="83">
        <v>15118.0</v>
      </c>
      <c r="I98" s="34" t="s">
        <v>183</v>
      </c>
      <c r="J98" s="74"/>
      <c r="K98" s="74"/>
      <c r="L98" s="216" t="s">
        <v>521</v>
      </c>
      <c r="R98" s="67"/>
    </row>
    <row r="99">
      <c r="A99" s="12" t="s">
        <v>15</v>
      </c>
      <c r="B99" s="227" t="s">
        <v>2384</v>
      </c>
      <c r="C99" s="74" t="str">
        <f t="shared" si="10"/>
        <v>Sexta-Feira</v>
      </c>
      <c r="D99" s="512" t="str">
        <f>IF(C99&lt;&gt;"Quarta-Feira","14:40","09:40")</f>
        <v>14:40</v>
      </c>
      <c r="E99" s="287" t="s">
        <v>3622</v>
      </c>
      <c r="F99" s="74">
        <v>2.03923603860003E14</v>
      </c>
      <c r="G99" s="167" t="s">
        <v>3623</v>
      </c>
      <c r="H99" s="83">
        <v>27173.0</v>
      </c>
      <c r="I99" s="34" t="s">
        <v>1823</v>
      </c>
      <c r="J99" s="74"/>
      <c r="K99" s="74"/>
      <c r="L99" s="216" t="s">
        <v>521</v>
      </c>
      <c r="R99" s="67"/>
    </row>
    <row r="100">
      <c r="A100" s="12" t="s">
        <v>16</v>
      </c>
      <c r="B100" s="227" t="s">
        <v>2387</v>
      </c>
      <c r="C100" s="74" t="str">
        <f t="shared" si="10"/>
        <v>Sexta-Feira</v>
      </c>
      <c r="D100" s="512" t="str">
        <f>IF(C100&lt;&gt;"Quarta-Feira","15:00","10:00")</f>
        <v>15:00</v>
      </c>
      <c r="E100" s="287" t="s">
        <v>3320</v>
      </c>
      <c r="F100" s="74">
        <v>7.00004650024905E14</v>
      </c>
      <c r="G100" s="167" t="s">
        <v>3321</v>
      </c>
      <c r="H100" s="83">
        <v>21403.0</v>
      </c>
      <c r="I100" s="34" t="s">
        <v>183</v>
      </c>
      <c r="J100" s="74"/>
      <c r="K100" s="74"/>
      <c r="R100" s="67"/>
    </row>
    <row r="101">
      <c r="A101" s="12" t="s">
        <v>17</v>
      </c>
      <c r="B101" s="227" t="s">
        <v>2390</v>
      </c>
      <c r="C101" s="74" t="str">
        <f t="shared" si="10"/>
        <v>Sexta-Feira</v>
      </c>
      <c r="D101" s="512" t="str">
        <f>IF(C101&lt;&gt;"Quarta-Feira","15:20","10:20")</f>
        <v>15:20</v>
      </c>
      <c r="E101" s="287" t="s">
        <v>3624</v>
      </c>
      <c r="F101" s="74">
        <v>8.98001407085257E14</v>
      </c>
      <c r="G101" s="167" t="s">
        <v>3625</v>
      </c>
      <c r="H101" s="77">
        <v>22712.0</v>
      </c>
      <c r="I101" s="34" t="s">
        <v>183</v>
      </c>
      <c r="J101" s="74"/>
      <c r="K101" s="74"/>
      <c r="R101" s="67"/>
    </row>
    <row r="102">
      <c r="A102" s="12" t="s">
        <v>85</v>
      </c>
      <c r="B102" s="227" t="s">
        <v>2384</v>
      </c>
      <c r="C102" s="74" t="str">
        <f t="shared" si="10"/>
        <v>Sexta-Feira</v>
      </c>
      <c r="D102" s="512" t="str">
        <f>IF(C102&lt;&gt;"Quarta-Feira","15:40","10:40")</f>
        <v>15:40</v>
      </c>
      <c r="E102" s="287" t="s">
        <v>3626</v>
      </c>
      <c r="F102" s="74">
        <v>8.98001488632946E14</v>
      </c>
      <c r="G102" s="167" t="s">
        <v>3627</v>
      </c>
      <c r="H102" s="83">
        <v>28164.0</v>
      </c>
      <c r="I102" s="34" t="s">
        <v>183</v>
      </c>
      <c r="J102" s="74"/>
      <c r="K102" s="74"/>
      <c r="L102" s="216" t="s">
        <v>577</v>
      </c>
      <c r="R102" s="67"/>
    </row>
    <row r="103">
      <c r="A103" s="12" t="s">
        <v>87</v>
      </c>
      <c r="B103" s="227" t="s">
        <v>2381</v>
      </c>
      <c r="C103" s="74" t="str">
        <f t="shared" si="10"/>
        <v>Sexta-Feira</v>
      </c>
      <c r="D103" s="512" t="str">
        <f>IF(C103&lt;&gt;"Quarta-Feira","16:00","11:00")</f>
        <v>16:00</v>
      </c>
      <c r="E103" s="287" t="s">
        <v>3628</v>
      </c>
      <c r="F103" s="74">
        <v>2.01153218230004E14</v>
      </c>
      <c r="G103" s="167" t="s">
        <v>3629</v>
      </c>
      <c r="H103" s="166">
        <v>20267.0</v>
      </c>
      <c r="I103" s="34" t="s">
        <v>1823</v>
      </c>
      <c r="J103" s="74"/>
      <c r="K103" s="74"/>
      <c r="R103" s="67"/>
    </row>
    <row r="104">
      <c r="A104" s="12" t="s">
        <v>90</v>
      </c>
      <c r="B104" s="227" t="s">
        <v>2381</v>
      </c>
      <c r="C104" s="74" t="str">
        <f t="shared" si="10"/>
        <v>Sexta-Feira</v>
      </c>
      <c r="D104" s="512" t="str">
        <f>IF(C104&lt;&gt;"Quarta-Feira","16:20","11:20")</f>
        <v>16:20</v>
      </c>
      <c r="E104" s="287" t="s">
        <v>3630</v>
      </c>
      <c r="F104" s="74">
        <v>7.04303568975496E14</v>
      </c>
      <c r="G104" s="167" t="s">
        <v>3631</v>
      </c>
      <c r="H104" s="166">
        <v>25822.0</v>
      </c>
      <c r="I104" s="34" t="s">
        <v>1823</v>
      </c>
      <c r="J104" s="74"/>
      <c r="K104" s="74"/>
      <c r="R104" s="67"/>
    </row>
    <row r="105">
      <c r="A105" s="12" t="s">
        <v>93</v>
      </c>
      <c r="B105" s="227" t="s">
        <v>2381</v>
      </c>
      <c r="C105" s="74" t="str">
        <f t="shared" si="10"/>
        <v>Sexta-Feira</v>
      </c>
      <c r="D105" s="512" t="str">
        <f>IF(C105&lt;&gt;"Quarta-Feira","16:40","11:40")</f>
        <v>16:40</v>
      </c>
      <c r="E105" s="287" t="s">
        <v>3632</v>
      </c>
      <c r="F105" s="74">
        <v>7.06809722943428E14</v>
      </c>
      <c r="G105" s="167" t="s">
        <v>3633</v>
      </c>
      <c r="H105" s="166">
        <v>22098.0</v>
      </c>
      <c r="I105" s="34" t="s">
        <v>183</v>
      </c>
      <c r="J105" s="74"/>
      <c r="K105" s="74"/>
      <c r="R105" s="67"/>
    </row>
    <row r="106">
      <c r="B106" s="182"/>
      <c r="E106" s="261"/>
      <c r="G106" s="182"/>
      <c r="J106" s="67"/>
      <c r="K106" s="67"/>
      <c r="R106" s="67"/>
    </row>
    <row r="107">
      <c r="B107" s="182"/>
      <c r="E107" s="261"/>
      <c r="G107" s="182"/>
      <c r="J107" s="67"/>
      <c r="K107" s="67"/>
      <c r="R107" s="67"/>
    </row>
    <row r="108">
      <c r="B108" s="182"/>
      <c r="E108" s="261"/>
      <c r="G108" s="182"/>
      <c r="J108" s="67"/>
      <c r="K108" s="67"/>
      <c r="R108" s="67"/>
    </row>
    <row r="109">
      <c r="A109" s="23" t="s">
        <v>378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TEXT(DATE(VALUE(MID(A56,7,4)),VALUE(MID(A56,4,2)),VALUE(LEFT(A56,2)))+7,"dd/mm/yyyy")&amp;" 13h às 17h"</f>
        <v>15/06/2026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489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1981</v>
      </c>
      <c r="C112" s="74" t="str">
        <f t="shared" ref="C112:C123" si="12">PROPER(TEXT(DATE(MID($A$110,7,4),MID($A$110,4,2),LEFT($A$110,2)),"dddd"))</f>
        <v>Segunda-Feira</v>
      </c>
      <c r="D112" s="512" t="str">
        <f>IF(C112&lt;&gt;"Quarta-Feira","13:00","08:00")</f>
        <v>13:00</v>
      </c>
      <c r="E112" s="287" t="s">
        <v>3634</v>
      </c>
      <c r="F112" s="74">
        <v>7.02609219340149E14</v>
      </c>
      <c r="G112" s="167" t="s">
        <v>3635</v>
      </c>
      <c r="H112" s="522">
        <v>17942.0</v>
      </c>
      <c r="I112" s="34" t="s">
        <v>183</v>
      </c>
      <c r="J112" s="74"/>
      <c r="K112" s="74"/>
      <c r="N112" s="268" t="s">
        <v>387</v>
      </c>
      <c r="O112" s="100"/>
      <c r="P112" s="100"/>
      <c r="Q112" s="100"/>
      <c r="R112" s="100"/>
    </row>
    <row r="113">
      <c r="A113" s="12" t="s">
        <v>11</v>
      </c>
      <c r="B113" s="227" t="s">
        <v>1985</v>
      </c>
      <c r="C113" s="74" t="str">
        <f t="shared" si="12"/>
        <v>Segunda-Feira</v>
      </c>
      <c r="D113" s="512" t="str">
        <f>IF(C113&lt;&gt;"Quarta-Feira","13:20","08:20")</f>
        <v>13:20</v>
      </c>
      <c r="E113" s="287" t="s">
        <v>3636</v>
      </c>
      <c r="F113" s="74">
        <v>8.98001454099323E14</v>
      </c>
      <c r="G113" s="167" t="s">
        <v>3637</v>
      </c>
      <c r="H113" s="77">
        <v>25464.0</v>
      </c>
      <c r="I113" s="34" t="s">
        <v>183</v>
      </c>
      <c r="J113" s="74"/>
      <c r="K113" s="74"/>
      <c r="N113" s="270" t="s">
        <v>1824</v>
      </c>
      <c r="O113" s="2"/>
      <c r="P113" s="2"/>
      <c r="Q113" s="2"/>
      <c r="R113" s="2"/>
    </row>
    <row r="114">
      <c r="A114" s="12" t="s">
        <v>12</v>
      </c>
      <c r="B114" s="227" t="s">
        <v>1989</v>
      </c>
      <c r="C114" s="74" t="str">
        <f t="shared" si="12"/>
        <v>Segunda-Feira</v>
      </c>
      <c r="D114" s="512" t="str">
        <f>IF(C114&lt;&gt;"Quarta-Feira","13:40","08:40")</f>
        <v>13:40</v>
      </c>
      <c r="E114" s="287" t="s">
        <v>2464</v>
      </c>
      <c r="F114" s="74">
        <v>7.0690711387063E14</v>
      </c>
      <c r="G114" s="167" t="s">
        <v>2465</v>
      </c>
      <c r="H114" s="83">
        <v>20183.0</v>
      </c>
      <c r="I114" s="34" t="s">
        <v>183</v>
      </c>
      <c r="J114" s="74"/>
      <c r="K114" s="74"/>
      <c r="N114" s="271" t="s">
        <v>183</v>
      </c>
      <c r="O114" s="272" t="s">
        <v>195</v>
      </c>
      <c r="P114" s="272" t="s">
        <v>181</v>
      </c>
      <c r="Q114" s="273" t="s">
        <v>173</v>
      </c>
      <c r="R114" s="286" t="s">
        <v>1823</v>
      </c>
    </row>
    <row r="115">
      <c r="A115" s="12" t="s">
        <v>13</v>
      </c>
      <c r="B115" s="227" t="s">
        <v>1992</v>
      </c>
      <c r="C115" s="74" t="str">
        <f t="shared" si="12"/>
        <v>Segunda-Feira</v>
      </c>
      <c r="D115" s="512" t="str">
        <f>IF(C115&lt;&gt;"Quarta-Feira","14:00","09:00")</f>
        <v>14:00</v>
      </c>
      <c r="E115" s="287" t="s">
        <v>3638</v>
      </c>
      <c r="F115" s="74">
        <v>7.0810888566961E14</v>
      </c>
      <c r="G115" s="167" t="s">
        <v>3639</v>
      </c>
      <c r="H115" s="83">
        <v>24104.0</v>
      </c>
      <c r="I115" s="34" t="s">
        <v>183</v>
      </c>
      <c r="J115" s="74"/>
      <c r="K115" s="74"/>
      <c r="N115" s="275">
        <f t="shared" ref="N115:R115" si="13">COUNTIFS($I$112:$I$123,N114)</f>
        <v>12</v>
      </c>
      <c r="O115" s="275">
        <f t="shared" si="13"/>
        <v>0</v>
      </c>
      <c r="P115" s="275">
        <f t="shared" si="13"/>
        <v>0</v>
      </c>
      <c r="Q115" s="275">
        <f t="shared" si="13"/>
        <v>0</v>
      </c>
      <c r="R115" s="275">
        <f t="shared" si="13"/>
        <v>0</v>
      </c>
    </row>
    <row r="116">
      <c r="A116" s="12" t="s">
        <v>14</v>
      </c>
      <c r="B116" s="227" t="s">
        <v>1981</v>
      </c>
      <c r="C116" s="74" t="str">
        <f t="shared" si="12"/>
        <v>Segunda-Feira</v>
      </c>
      <c r="D116" s="512" t="str">
        <f>IF(C116&lt;&gt;"Quarta-Feira","14:20","09:20")</f>
        <v>14:20</v>
      </c>
      <c r="E116" s="287" t="s">
        <v>3640</v>
      </c>
      <c r="F116" s="74">
        <v>7.00708992222279E14</v>
      </c>
      <c r="G116" s="167" t="s">
        <v>3641</v>
      </c>
      <c r="H116" s="83">
        <v>24339.0</v>
      </c>
      <c r="I116" s="34" t="s">
        <v>183</v>
      </c>
      <c r="J116" s="74"/>
      <c r="K116" s="74"/>
      <c r="R116" s="67"/>
    </row>
    <row r="117">
      <c r="A117" s="12" t="s">
        <v>15</v>
      </c>
      <c r="B117" s="227" t="s">
        <v>1985</v>
      </c>
      <c r="C117" s="74" t="str">
        <f t="shared" si="12"/>
        <v>Segunda-Feira</v>
      </c>
      <c r="D117" s="512" t="str">
        <f>IF(C117&lt;&gt;"Quarta-Feira","14:40","09:40")</f>
        <v>14:40</v>
      </c>
      <c r="E117" s="287" t="s">
        <v>3642</v>
      </c>
      <c r="F117" s="74">
        <v>8.98001468644663E14</v>
      </c>
      <c r="G117" s="167" t="s">
        <v>3643</v>
      </c>
      <c r="H117" s="83">
        <v>41346.0</v>
      </c>
      <c r="I117" s="34" t="s">
        <v>183</v>
      </c>
      <c r="J117" s="74"/>
      <c r="K117" s="74"/>
      <c r="R117" s="67"/>
    </row>
    <row r="118">
      <c r="A118" s="12" t="s">
        <v>16</v>
      </c>
      <c r="B118" s="227" t="s">
        <v>1989</v>
      </c>
      <c r="C118" s="74" t="str">
        <f t="shared" si="12"/>
        <v>Segunda-Feira</v>
      </c>
      <c r="D118" s="512" t="str">
        <f>IF(C118&lt;&gt;"Quarta-Feira","15:00","10:00")</f>
        <v>15:00</v>
      </c>
      <c r="E118" s="287" t="s">
        <v>3644</v>
      </c>
      <c r="F118" s="74">
        <v>7.00001377188005E14</v>
      </c>
      <c r="G118" s="167" t="s">
        <v>3645</v>
      </c>
      <c r="H118" s="83">
        <v>18740.0</v>
      </c>
      <c r="I118" s="34" t="s">
        <v>183</v>
      </c>
      <c r="J118" s="74"/>
      <c r="K118" s="74"/>
      <c r="R118" s="67"/>
    </row>
    <row r="119">
      <c r="A119" s="12" t="s">
        <v>17</v>
      </c>
      <c r="B119" s="227" t="s">
        <v>1992</v>
      </c>
      <c r="C119" s="74" t="str">
        <f t="shared" si="12"/>
        <v>Segunda-Feira</v>
      </c>
      <c r="D119" s="512" t="str">
        <f>IF(C119&lt;&gt;"Quarta-Feira","15:20","10:20")</f>
        <v>15:20</v>
      </c>
      <c r="E119" s="287" t="s">
        <v>3646</v>
      </c>
      <c r="F119" s="74">
        <v>8.01440484073597E14</v>
      </c>
      <c r="G119" s="167" t="s">
        <v>3647</v>
      </c>
      <c r="H119" s="77">
        <v>20497.0</v>
      </c>
      <c r="I119" s="34" t="s">
        <v>183</v>
      </c>
      <c r="J119" s="74"/>
      <c r="K119" s="74"/>
      <c r="R119" s="67"/>
    </row>
    <row r="120">
      <c r="A120" s="12" t="s">
        <v>85</v>
      </c>
      <c r="B120" s="227" t="s">
        <v>1981</v>
      </c>
      <c r="C120" s="74" t="str">
        <f t="shared" si="12"/>
        <v>Segunda-Feira</v>
      </c>
      <c r="D120" s="512" t="str">
        <f>IF(C120&lt;&gt;"Quarta-Feira","15:40","10:40")</f>
        <v>15:40</v>
      </c>
      <c r="E120" s="287" t="s">
        <v>3648</v>
      </c>
      <c r="F120" s="74">
        <v>7.01805298936275E14</v>
      </c>
      <c r="G120" s="167" t="s">
        <v>3649</v>
      </c>
      <c r="H120" s="83">
        <v>25745.0</v>
      </c>
      <c r="I120" s="34" t="s">
        <v>183</v>
      </c>
      <c r="J120" s="74"/>
      <c r="K120" s="74"/>
      <c r="R120" s="67"/>
      <c r="V120" s="336"/>
    </row>
    <row r="121">
      <c r="A121" s="12" t="s">
        <v>87</v>
      </c>
      <c r="B121" s="227" t="s">
        <v>1985</v>
      </c>
      <c r="C121" s="74" t="str">
        <f t="shared" si="12"/>
        <v>Segunda-Feira</v>
      </c>
      <c r="D121" s="512" t="str">
        <f>IF(C121&lt;&gt;"Quarta-Feira","16:00","11:00")</f>
        <v>16:00</v>
      </c>
      <c r="E121" s="287" t="s">
        <v>3650</v>
      </c>
      <c r="F121" s="74">
        <v>7.07605206147997E14</v>
      </c>
      <c r="G121" s="167" t="s">
        <v>3651</v>
      </c>
      <c r="H121" s="166">
        <v>25377.0</v>
      </c>
      <c r="I121" s="34" t="s">
        <v>183</v>
      </c>
      <c r="J121" s="74"/>
      <c r="K121" s="74"/>
      <c r="R121" s="67"/>
    </row>
    <row r="122">
      <c r="A122" s="12" t="s">
        <v>90</v>
      </c>
      <c r="B122" s="227" t="s">
        <v>1989</v>
      </c>
      <c r="C122" s="74" t="str">
        <f t="shared" si="12"/>
        <v>Segunda-Feira</v>
      </c>
      <c r="D122" s="512" t="str">
        <f>IF(C122&lt;&gt;"Quarta-Feira","16:20","11:20")</f>
        <v>16:20</v>
      </c>
      <c r="E122" s="287" t="s">
        <v>3652</v>
      </c>
      <c r="F122" s="74">
        <v>7.08606086826182E14</v>
      </c>
      <c r="G122" s="167" t="s">
        <v>3653</v>
      </c>
      <c r="H122" s="166">
        <v>21887.0</v>
      </c>
      <c r="I122" s="34" t="s">
        <v>183</v>
      </c>
      <c r="J122" s="74"/>
      <c r="K122" s="74"/>
      <c r="R122" s="67"/>
    </row>
    <row r="123">
      <c r="A123" s="12" t="s">
        <v>93</v>
      </c>
      <c r="B123" s="227" t="s">
        <v>1992</v>
      </c>
      <c r="C123" s="74" t="str">
        <f t="shared" si="12"/>
        <v>Segunda-Feira</v>
      </c>
      <c r="D123" s="512" t="str">
        <f>IF(C123&lt;&gt;"Quarta-Feira","16:40","11:40")</f>
        <v>16:40</v>
      </c>
      <c r="E123" s="287" t="s">
        <v>3654</v>
      </c>
      <c r="F123" s="74">
        <v>7.0400235746686E14</v>
      </c>
      <c r="G123" s="167" t="s">
        <v>3655</v>
      </c>
      <c r="H123" s="166">
        <v>26090.0</v>
      </c>
      <c r="I123" s="34" t="s">
        <v>183</v>
      </c>
      <c r="J123" s="74"/>
      <c r="K123" s="74"/>
      <c r="R123" s="67"/>
    </row>
    <row r="124">
      <c r="B124" s="182"/>
      <c r="E124" s="261"/>
      <c r="G124" s="182"/>
      <c r="J124" s="67"/>
      <c r="K124" s="67"/>
      <c r="R124" s="67"/>
    </row>
    <row r="125">
      <c r="B125" s="182"/>
      <c r="E125" s="261"/>
      <c r="G125" s="182"/>
      <c r="J125" s="67"/>
      <c r="K125" s="67"/>
      <c r="R125" s="67"/>
    </row>
    <row r="126">
      <c r="B126" s="182"/>
      <c r="E126" s="261"/>
      <c r="G126" s="182"/>
      <c r="J126" s="67"/>
      <c r="K126" s="67"/>
      <c r="R126" s="67"/>
    </row>
    <row r="127">
      <c r="A127" s="23" t="s">
        <v>378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08h às 13h"</f>
        <v>17/06/2026 08h às 13h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489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64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2014</v>
      </c>
      <c r="C130" s="74" t="str">
        <f t="shared" ref="C130:C141" si="14">PROPER(TEXT(DATE(MID($A$128,7,4),MID($A$128,4,2),LEFT($A$128,2)),"dddd"))</f>
        <v>Quarta-Feira</v>
      </c>
      <c r="D130" s="512" t="str">
        <f>IF(C130&lt;&gt;"Quarta-Feira","13:00","08:00")</f>
        <v>08:00</v>
      </c>
      <c r="E130" s="287" t="s">
        <v>3656</v>
      </c>
      <c r="F130" s="74">
        <v>7.00004639675105E14</v>
      </c>
      <c r="G130" s="167" t="s">
        <v>3657</v>
      </c>
      <c r="H130" s="211">
        <v>19035.0</v>
      </c>
      <c r="I130" s="34" t="s">
        <v>183</v>
      </c>
      <c r="J130" s="74"/>
      <c r="K130" s="74"/>
      <c r="N130" s="268" t="s">
        <v>387</v>
      </c>
      <c r="O130" s="100"/>
      <c r="P130" s="100"/>
      <c r="Q130" s="100"/>
      <c r="R130" s="100"/>
    </row>
    <row r="131">
      <c r="A131" s="12" t="s">
        <v>11</v>
      </c>
      <c r="B131" s="227" t="s">
        <v>2019</v>
      </c>
      <c r="C131" s="74" t="str">
        <f t="shared" si="14"/>
        <v>Quarta-Feira</v>
      </c>
      <c r="D131" s="512" t="str">
        <f>IF(C131&lt;&gt;"Quarta-Feira","13:20","08:20")</f>
        <v>08:20</v>
      </c>
      <c r="E131" s="287" t="s">
        <v>3658</v>
      </c>
      <c r="F131" s="74">
        <v>7.00509511048252E14</v>
      </c>
      <c r="G131" s="167" t="s">
        <v>3659</v>
      </c>
      <c r="H131" s="583">
        <v>22572.0</v>
      </c>
      <c r="I131" s="34" t="s">
        <v>1823</v>
      </c>
      <c r="J131" s="74"/>
      <c r="K131" s="74"/>
      <c r="N131" s="270" t="s">
        <v>1824</v>
      </c>
      <c r="O131" s="2"/>
      <c r="P131" s="2"/>
      <c r="Q131" s="2"/>
      <c r="R131" s="2"/>
    </row>
    <row r="132">
      <c r="A132" s="12" t="s">
        <v>12</v>
      </c>
      <c r="B132" s="227" t="s">
        <v>2021</v>
      </c>
      <c r="C132" s="74" t="str">
        <f t="shared" si="14"/>
        <v>Quarta-Feira</v>
      </c>
      <c r="D132" s="512" t="str">
        <f>IF(C132&lt;&gt;"Quarta-Feira","13:40","08:40")</f>
        <v>08:40</v>
      </c>
      <c r="E132" s="287" t="s">
        <v>3660</v>
      </c>
      <c r="F132" s="74">
        <v>8.98002116543993E14</v>
      </c>
      <c r="G132" s="167" t="s">
        <v>3661</v>
      </c>
      <c r="H132" s="77">
        <v>18846.0</v>
      </c>
      <c r="I132" s="34" t="s">
        <v>183</v>
      </c>
      <c r="J132" s="74"/>
      <c r="K132" s="74"/>
      <c r="L132" s="68"/>
      <c r="M132" s="68"/>
      <c r="N132" s="271" t="s">
        <v>183</v>
      </c>
      <c r="O132" s="272" t="s">
        <v>195</v>
      </c>
      <c r="P132" s="272" t="s">
        <v>181</v>
      </c>
      <c r="Q132" s="273" t="s">
        <v>173</v>
      </c>
      <c r="R132" s="415" t="s">
        <v>1823</v>
      </c>
      <c r="S132" s="68"/>
      <c r="T132" s="68"/>
      <c r="U132" s="68"/>
      <c r="V132" s="68"/>
      <c r="W132" s="68"/>
      <c r="X132" s="68"/>
    </row>
    <row r="133">
      <c r="A133" s="12" t="s">
        <v>13</v>
      </c>
      <c r="B133" s="227" t="s">
        <v>2024</v>
      </c>
      <c r="C133" s="74" t="str">
        <f t="shared" si="14"/>
        <v>Quarta-Feira</v>
      </c>
      <c r="D133" s="512" t="str">
        <f>IF(C133&lt;&gt;"Quarta-Feira","14:00","09:00")</f>
        <v>09:00</v>
      </c>
      <c r="E133" s="287" t="s">
        <v>3662</v>
      </c>
      <c r="F133" s="74">
        <v>7.0780768791731E14</v>
      </c>
      <c r="G133" s="167" t="s">
        <v>3663</v>
      </c>
      <c r="H133" s="83">
        <v>26508.0</v>
      </c>
      <c r="I133" s="34" t="s">
        <v>183</v>
      </c>
      <c r="J133" s="74"/>
      <c r="K133" s="74"/>
      <c r="N133" s="275">
        <f t="shared" ref="N133:R133" si="15">COUNTIFS($I$130:$I$141,N132)</f>
        <v>8</v>
      </c>
      <c r="O133" s="275">
        <f t="shared" si="15"/>
        <v>0</v>
      </c>
      <c r="P133" s="275">
        <f t="shared" si="15"/>
        <v>0</v>
      </c>
      <c r="Q133" s="275">
        <f t="shared" si="15"/>
        <v>0</v>
      </c>
      <c r="R133" s="275">
        <f t="shared" si="15"/>
        <v>4</v>
      </c>
    </row>
    <row r="134">
      <c r="A134" s="12" t="s">
        <v>14</v>
      </c>
      <c r="B134" s="227" t="s">
        <v>2019</v>
      </c>
      <c r="C134" s="74" t="str">
        <f t="shared" si="14"/>
        <v>Quarta-Feira</v>
      </c>
      <c r="D134" s="512" t="str">
        <f>IF(C134&lt;&gt;"Quarta-Feira","14:20","09:20")</f>
        <v>09:20</v>
      </c>
      <c r="E134" s="287" t="s">
        <v>3664</v>
      </c>
      <c r="F134" s="74">
        <v>7.05801416767531E14</v>
      </c>
      <c r="G134" s="167" t="s">
        <v>3665</v>
      </c>
      <c r="H134" s="83">
        <v>22193.0</v>
      </c>
      <c r="I134" s="34" t="s">
        <v>1823</v>
      </c>
      <c r="J134" s="74"/>
      <c r="K134" s="74"/>
      <c r="R134" s="67"/>
    </row>
    <row r="135">
      <c r="A135" s="12" t="s">
        <v>15</v>
      </c>
      <c r="B135" s="227" t="s">
        <v>2021</v>
      </c>
      <c r="C135" s="74" t="str">
        <f t="shared" si="14"/>
        <v>Quarta-Feira</v>
      </c>
      <c r="D135" s="512" t="str">
        <f>IF(C135&lt;&gt;"Quarta-Feira","14:40","09:40")</f>
        <v>09:40</v>
      </c>
      <c r="E135" s="287" t="s">
        <v>3666</v>
      </c>
      <c r="F135" s="74">
        <v>2.0115539608E14</v>
      </c>
      <c r="G135" s="167" t="s">
        <v>3667</v>
      </c>
      <c r="H135" s="83">
        <v>19374.0</v>
      </c>
      <c r="I135" s="34" t="s">
        <v>1823</v>
      </c>
      <c r="J135" s="74"/>
      <c r="K135" s="74"/>
      <c r="R135" s="67"/>
    </row>
    <row r="136">
      <c r="A136" s="12" t="s">
        <v>16</v>
      </c>
      <c r="B136" s="227" t="s">
        <v>2014</v>
      </c>
      <c r="C136" s="74" t="str">
        <f t="shared" si="14"/>
        <v>Quarta-Feira</v>
      </c>
      <c r="D136" s="512" t="str">
        <f>IF(C136&lt;&gt;"Quarta-Feira","15:00","10:00")</f>
        <v>10:00</v>
      </c>
      <c r="E136" s="287" t="s">
        <v>3668</v>
      </c>
      <c r="F136" s="74">
        <v>7.02400526742426E14</v>
      </c>
      <c r="G136" s="167" t="s">
        <v>1244</v>
      </c>
      <c r="H136" s="163">
        <v>21303.0</v>
      </c>
      <c r="I136" s="34" t="s">
        <v>183</v>
      </c>
      <c r="J136" s="74"/>
      <c r="K136" s="74"/>
      <c r="L136" s="68"/>
      <c r="M136" s="68"/>
      <c r="N136" s="68"/>
      <c r="O136" s="68"/>
      <c r="P136" s="68"/>
      <c r="Q136" s="68"/>
      <c r="R136" s="389"/>
      <c r="S136" s="68"/>
      <c r="T136" s="68"/>
      <c r="U136" s="68"/>
      <c r="V136" s="68"/>
      <c r="W136" s="68"/>
      <c r="X136" s="68"/>
    </row>
    <row r="137">
      <c r="A137" s="12" t="s">
        <v>17</v>
      </c>
      <c r="B137" s="227" t="s">
        <v>2019</v>
      </c>
      <c r="C137" s="74" t="str">
        <f t="shared" si="14"/>
        <v>Quarta-Feira</v>
      </c>
      <c r="D137" s="512" t="str">
        <f>IF(C137&lt;&gt;"Quarta-Feira","15:20","10:20")</f>
        <v>10:20</v>
      </c>
      <c r="E137" s="287" t="s">
        <v>3669</v>
      </c>
      <c r="F137" s="74">
        <v>8.98001413699954E14</v>
      </c>
      <c r="G137" s="167" t="s">
        <v>3670</v>
      </c>
      <c r="H137" s="77">
        <v>21935.0</v>
      </c>
      <c r="I137" s="34" t="s">
        <v>1823</v>
      </c>
      <c r="J137" s="74"/>
      <c r="K137" s="74"/>
      <c r="R137" s="67"/>
    </row>
    <row r="138">
      <c r="A138" s="12" t="s">
        <v>85</v>
      </c>
      <c r="B138" s="227" t="s">
        <v>2024</v>
      </c>
      <c r="C138" s="74" t="str">
        <f t="shared" si="14"/>
        <v>Quarta-Feira</v>
      </c>
      <c r="D138" s="512" t="str">
        <f>IF(C138&lt;&gt;"Quarta-Feira","15:40","10:40")</f>
        <v>10:40</v>
      </c>
      <c r="E138" s="287" t="s">
        <v>3671</v>
      </c>
      <c r="F138" s="287" t="s">
        <v>3672</v>
      </c>
      <c r="G138" s="167" t="s">
        <v>3673</v>
      </c>
      <c r="H138" s="83">
        <v>12830.0</v>
      </c>
      <c r="I138" s="34" t="s">
        <v>183</v>
      </c>
      <c r="J138" s="74"/>
      <c r="K138" s="74"/>
      <c r="R138" s="67"/>
    </row>
    <row r="139">
      <c r="A139" s="12" t="s">
        <v>87</v>
      </c>
      <c r="B139" s="227" t="s">
        <v>2021</v>
      </c>
      <c r="C139" s="74" t="str">
        <f t="shared" si="14"/>
        <v>Quarta-Feira</v>
      </c>
      <c r="D139" s="512" t="str">
        <f>IF(C139&lt;&gt;"Quarta-Feira","16:00","11:00")</f>
        <v>11:00</v>
      </c>
      <c r="E139" s="287" t="s">
        <v>3674</v>
      </c>
      <c r="F139" s="74">
        <v>8.01440468849713E14</v>
      </c>
      <c r="G139" s="167" t="s">
        <v>3675</v>
      </c>
      <c r="H139" s="166">
        <v>30660.0</v>
      </c>
      <c r="I139" s="34" t="s">
        <v>183</v>
      </c>
      <c r="J139" s="74"/>
      <c r="K139" s="74"/>
      <c r="R139" s="67"/>
    </row>
    <row r="140">
      <c r="A140" s="12" t="s">
        <v>90</v>
      </c>
      <c r="B140" s="227" t="s">
        <v>2024</v>
      </c>
      <c r="C140" s="74" t="str">
        <f t="shared" si="14"/>
        <v>Quarta-Feira</v>
      </c>
      <c r="D140" s="512" t="str">
        <f>IF(C140&lt;&gt;"Quarta-Feira","16:20","11:20")</f>
        <v>11:20</v>
      </c>
      <c r="E140" s="287" t="s">
        <v>3676</v>
      </c>
      <c r="F140" s="74">
        <v>7.00005435973206E14</v>
      </c>
      <c r="G140" s="167" t="s">
        <v>3677</v>
      </c>
      <c r="H140" s="83">
        <v>17459.0</v>
      </c>
      <c r="I140" s="34" t="s">
        <v>183</v>
      </c>
      <c r="J140" s="74"/>
      <c r="K140" s="74"/>
      <c r="R140" s="67"/>
    </row>
    <row r="141">
      <c r="A141" s="12" t="s">
        <v>93</v>
      </c>
      <c r="B141" s="227" t="s">
        <v>2014</v>
      </c>
      <c r="C141" s="74" t="str">
        <f t="shared" si="14"/>
        <v>Quarta-Feira</v>
      </c>
      <c r="D141" s="512" t="str">
        <f>IF(C141&lt;&gt;"Quarta-Feira","16:40","11:40")</f>
        <v>11:40</v>
      </c>
      <c r="E141" s="287" t="s">
        <v>3678</v>
      </c>
      <c r="F141" s="74">
        <v>7.0960865308537E14</v>
      </c>
      <c r="G141" s="167" t="s">
        <v>3679</v>
      </c>
      <c r="H141" s="166">
        <v>20862.0</v>
      </c>
      <c r="I141" s="34" t="s">
        <v>183</v>
      </c>
      <c r="J141" s="74"/>
      <c r="K141" s="74"/>
      <c r="R141" s="67"/>
    </row>
    <row r="142">
      <c r="B142" s="182"/>
      <c r="E142" s="261"/>
      <c r="G142" s="182"/>
      <c r="J142" s="67"/>
      <c r="K142" s="67"/>
      <c r="R142" s="67"/>
    </row>
    <row r="143">
      <c r="B143" s="182"/>
      <c r="E143" s="261"/>
      <c r="G143" s="182"/>
      <c r="J143" s="67"/>
      <c r="K143" s="67"/>
      <c r="R143" s="67"/>
    </row>
    <row r="144">
      <c r="B144" s="182"/>
      <c r="E144" s="261"/>
      <c r="G144" s="182"/>
      <c r="J144" s="67"/>
      <c r="K144" s="67"/>
      <c r="R144" s="67"/>
    </row>
    <row r="145">
      <c r="A145" s="23" t="s">
        <v>378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TEXT(DATE(VALUE(MID(A128,7,4)),VALUE(MID(A128,4,2)),VALUE(LEFT(A128,2)))+2,"dd/mm/yyyy")&amp;" 08h às 13h"</f>
        <v>19/06/2026 08h às 13h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489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64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2381</v>
      </c>
      <c r="C148" s="74" t="str">
        <f t="shared" ref="C148:C159" si="16">PROPER(TEXT(DATE(MID($A$146,7,4),MID($A$146,4,2),LEFT($A$146,2)),"dddd"))</f>
        <v>Sexta-Feira</v>
      </c>
      <c r="D148" s="512" t="str">
        <f>IF(C148&lt;&gt;"Quarta-Feira","13:00","08:00")</f>
        <v>13:00</v>
      </c>
      <c r="E148" s="287" t="s">
        <v>3680</v>
      </c>
      <c r="F148" s="459">
        <v>2.03922978110006E14</v>
      </c>
      <c r="G148" s="167" t="s">
        <v>3681</v>
      </c>
      <c r="H148" s="83">
        <v>18469.0</v>
      </c>
      <c r="I148" s="34" t="s">
        <v>183</v>
      </c>
      <c r="J148" s="74"/>
      <c r="K148" s="74"/>
      <c r="L148" s="216" t="s">
        <v>521</v>
      </c>
      <c r="N148" s="268" t="s">
        <v>387</v>
      </c>
      <c r="O148" s="100"/>
      <c r="P148" s="100"/>
      <c r="Q148" s="100"/>
      <c r="R148" s="100"/>
    </row>
    <row r="149">
      <c r="A149" s="12" t="s">
        <v>11</v>
      </c>
      <c r="B149" s="227" t="s">
        <v>2384</v>
      </c>
      <c r="C149" s="74" t="str">
        <f t="shared" si="16"/>
        <v>Sexta-Feira</v>
      </c>
      <c r="D149" s="512" t="str">
        <f>IF(C149&lt;&gt;"Quarta-Feira","13:20","08:20")</f>
        <v>13:20</v>
      </c>
      <c r="E149" s="287" t="s">
        <v>3682</v>
      </c>
      <c r="F149" s="74">
        <v>7.06407150833985E14</v>
      </c>
      <c r="G149" s="167" t="s">
        <v>3683</v>
      </c>
      <c r="H149" s="83">
        <v>23572.0</v>
      </c>
      <c r="I149" s="34" t="s">
        <v>183</v>
      </c>
      <c r="J149" s="74"/>
      <c r="K149" s="74"/>
      <c r="N149" s="270" t="s">
        <v>1824</v>
      </c>
      <c r="O149" s="2"/>
      <c r="P149" s="2"/>
      <c r="Q149" s="2"/>
      <c r="R149" s="2"/>
    </row>
    <row r="150">
      <c r="A150" s="12" t="s">
        <v>12</v>
      </c>
      <c r="B150" s="227" t="s">
        <v>2387</v>
      </c>
      <c r="C150" s="74" t="str">
        <f t="shared" si="16"/>
        <v>Sexta-Feira</v>
      </c>
      <c r="D150" s="512" t="str">
        <f>IF(C150&lt;&gt;"Quarta-Feira","13:40","08:40")</f>
        <v>13:40</v>
      </c>
      <c r="E150" s="287" t="s">
        <v>3684</v>
      </c>
      <c r="F150" s="74">
        <v>7.06200017795461E14</v>
      </c>
      <c r="G150" s="167" t="s">
        <v>3685</v>
      </c>
      <c r="H150" s="83">
        <v>28996.0</v>
      </c>
      <c r="I150" s="34" t="s">
        <v>183</v>
      </c>
      <c r="J150" s="74"/>
      <c r="K150" s="74"/>
      <c r="N150" s="271" t="s">
        <v>183</v>
      </c>
      <c r="O150" s="272" t="s">
        <v>195</v>
      </c>
      <c r="P150" s="272" t="s">
        <v>181</v>
      </c>
      <c r="Q150" s="273" t="s">
        <v>173</v>
      </c>
      <c r="R150" s="286" t="s">
        <v>1823</v>
      </c>
    </row>
    <row r="151">
      <c r="A151" s="12" t="s">
        <v>13</v>
      </c>
      <c r="B151" s="227" t="s">
        <v>2390</v>
      </c>
      <c r="C151" s="74" t="str">
        <f t="shared" si="16"/>
        <v>Sexta-Feira</v>
      </c>
      <c r="D151" s="512" t="str">
        <f>IF(C151&lt;&gt;"Quarta-Feira","14:00","09:00")</f>
        <v>14:00</v>
      </c>
      <c r="E151" s="287" t="s">
        <v>3686</v>
      </c>
      <c r="F151" s="74">
        <v>7.0040231650275E14</v>
      </c>
      <c r="G151" s="167" t="s">
        <v>3687</v>
      </c>
      <c r="H151" s="83">
        <v>16801.0</v>
      </c>
      <c r="I151" s="34" t="s">
        <v>183</v>
      </c>
      <c r="J151" s="74"/>
      <c r="K151" s="74"/>
      <c r="N151" s="275">
        <f t="shared" ref="N151:R151" si="17">COUNTIFS($I$148:$I$159,N150)</f>
        <v>10</v>
      </c>
      <c r="O151" s="275">
        <f t="shared" si="17"/>
        <v>0</v>
      </c>
      <c r="P151" s="275">
        <f t="shared" si="17"/>
        <v>0</v>
      </c>
      <c r="Q151" s="275">
        <f t="shared" si="17"/>
        <v>0</v>
      </c>
      <c r="R151" s="275">
        <f t="shared" si="17"/>
        <v>2</v>
      </c>
    </row>
    <row r="152">
      <c r="A152" s="12" t="s">
        <v>14</v>
      </c>
      <c r="B152" s="227" t="s">
        <v>2381</v>
      </c>
      <c r="C152" s="74" t="str">
        <f t="shared" si="16"/>
        <v>Sexta-Feira</v>
      </c>
      <c r="D152" s="512" t="str">
        <f>IF(C152&lt;&gt;"Quarta-Feira","14:20","09:20")</f>
        <v>14:20</v>
      </c>
      <c r="E152" s="287" t="s">
        <v>3688</v>
      </c>
      <c r="F152" s="74">
        <v>7.00002726620404E14</v>
      </c>
      <c r="G152" s="167" t="s">
        <v>3689</v>
      </c>
      <c r="H152" s="83">
        <v>20565.0</v>
      </c>
      <c r="I152" s="34" t="s">
        <v>183</v>
      </c>
      <c r="J152" s="74"/>
      <c r="K152" s="74"/>
      <c r="R152" s="67"/>
    </row>
    <row r="153">
      <c r="A153" s="12" t="s">
        <v>15</v>
      </c>
      <c r="B153" s="227" t="s">
        <v>2384</v>
      </c>
      <c r="C153" s="74" t="str">
        <f t="shared" si="16"/>
        <v>Sexta-Feira</v>
      </c>
      <c r="D153" s="512" t="str">
        <f>IF(C153&lt;&gt;"Quarta-Feira","14:40","09:40")</f>
        <v>14:40</v>
      </c>
      <c r="E153" s="287" t="s">
        <v>3690</v>
      </c>
      <c r="F153" s="74">
        <v>7.00304912939236E14</v>
      </c>
      <c r="G153" s="167" t="s">
        <v>3233</v>
      </c>
      <c r="H153" s="83">
        <v>28200.0</v>
      </c>
      <c r="I153" s="34" t="s">
        <v>183</v>
      </c>
      <c r="J153" s="74"/>
      <c r="K153" s="74"/>
      <c r="R153" s="67"/>
    </row>
    <row r="154">
      <c r="A154" s="12" t="s">
        <v>16</v>
      </c>
      <c r="B154" s="227" t="s">
        <v>2387</v>
      </c>
      <c r="C154" s="74" t="str">
        <f t="shared" si="16"/>
        <v>Sexta-Feira</v>
      </c>
      <c r="D154" s="512" t="str">
        <f>IF(C154&lt;&gt;"Quarta-Feira","15:00","10:00")</f>
        <v>15:00</v>
      </c>
      <c r="E154" s="287" t="s">
        <v>3691</v>
      </c>
      <c r="F154" s="459">
        <v>7.01001832948997E14</v>
      </c>
      <c r="G154" s="167" t="s">
        <v>3692</v>
      </c>
      <c r="H154" s="83">
        <v>23070.0</v>
      </c>
      <c r="I154" s="34" t="s">
        <v>1823</v>
      </c>
      <c r="J154" s="74"/>
      <c r="K154" s="74"/>
      <c r="R154" s="67"/>
    </row>
    <row r="155">
      <c r="A155" s="12" t="s">
        <v>17</v>
      </c>
      <c r="B155" s="227" t="s">
        <v>2390</v>
      </c>
      <c r="C155" s="74" t="str">
        <f t="shared" si="16"/>
        <v>Sexta-Feira</v>
      </c>
      <c r="D155" s="512" t="str">
        <f>IF(C155&lt;&gt;"Quarta-Feira","15:20","10:20")</f>
        <v>15:20</v>
      </c>
      <c r="E155" s="287" t="s">
        <v>3693</v>
      </c>
      <c r="F155" s="74">
        <v>7.02109719594292E14</v>
      </c>
      <c r="G155" s="167" t="s">
        <v>3694</v>
      </c>
      <c r="H155" s="83">
        <v>15487.0</v>
      </c>
      <c r="I155" s="34" t="s">
        <v>1823</v>
      </c>
      <c r="J155" s="74"/>
      <c r="K155" s="74"/>
      <c r="R155" s="67"/>
    </row>
    <row r="156">
      <c r="A156" s="12" t="s">
        <v>85</v>
      </c>
      <c r="B156" s="227" t="s">
        <v>2384</v>
      </c>
      <c r="C156" s="74" t="str">
        <f t="shared" si="16"/>
        <v>Sexta-Feira</v>
      </c>
      <c r="D156" s="512" t="str">
        <f>IF(C156&lt;&gt;"Quarta-Feira","15:40","10:40")</f>
        <v>15:40</v>
      </c>
      <c r="E156" s="287" t="s">
        <v>3695</v>
      </c>
      <c r="F156" s="74">
        <v>7.04009861735965E14</v>
      </c>
      <c r="G156" s="167" t="s">
        <v>3696</v>
      </c>
      <c r="H156" s="83">
        <v>18370.0</v>
      </c>
      <c r="I156" s="34" t="s">
        <v>183</v>
      </c>
      <c r="J156" s="74"/>
      <c r="K156" s="74"/>
      <c r="L156" s="216" t="s">
        <v>577</v>
      </c>
      <c r="R156" s="67"/>
    </row>
    <row r="157">
      <c r="A157" s="12" t="s">
        <v>87</v>
      </c>
      <c r="B157" s="227" t="s">
        <v>2381</v>
      </c>
      <c r="C157" s="74" t="str">
        <f t="shared" si="16"/>
        <v>Sexta-Feira</v>
      </c>
      <c r="D157" s="512" t="str">
        <f>IF(C157&lt;&gt;"Quarta-Feira","16:00","11:00")</f>
        <v>16:00</v>
      </c>
      <c r="E157" s="287" t="s">
        <v>3697</v>
      </c>
      <c r="F157" s="74">
        <v>7.02507383427838E14</v>
      </c>
      <c r="G157" s="167" t="s">
        <v>3698</v>
      </c>
      <c r="H157" s="166">
        <v>22645.0</v>
      </c>
      <c r="I157" s="34" t="s">
        <v>183</v>
      </c>
      <c r="J157" s="74"/>
      <c r="K157" s="74"/>
      <c r="R157" s="67"/>
    </row>
    <row r="158">
      <c r="A158" s="12" t="s">
        <v>90</v>
      </c>
      <c r="B158" s="227" t="s">
        <v>2381</v>
      </c>
      <c r="C158" s="74" t="str">
        <f t="shared" si="16"/>
        <v>Sexta-Feira</v>
      </c>
      <c r="D158" s="512" t="str">
        <f>IF(C158&lt;&gt;"Quarta-Feira","16:20","11:20")</f>
        <v>16:20</v>
      </c>
      <c r="E158" s="287" t="s">
        <v>3699</v>
      </c>
      <c r="F158" s="74">
        <v>7.06003375326142E14</v>
      </c>
      <c r="G158" s="167" t="s">
        <v>3700</v>
      </c>
      <c r="H158" s="166">
        <v>32538.0</v>
      </c>
      <c r="I158" s="34" t="s">
        <v>183</v>
      </c>
      <c r="J158" s="74"/>
      <c r="K158" s="74"/>
      <c r="R158" s="67"/>
    </row>
    <row r="159">
      <c r="A159" s="12" t="s">
        <v>93</v>
      </c>
      <c r="B159" s="227" t="s">
        <v>2381</v>
      </c>
      <c r="C159" s="74" t="str">
        <f t="shared" si="16"/>
        <v>Sexta-Feira</v>
      </c>
      <c r="D159" s="512" t="str">
        <f>IF(C159&lt;&gt;"Quarta-Feira","16:40","11:40")</f>
        <v>16:40</v>
      </c>
      <c r="E159" s="287" t="s">
        <v>3701</v>
      </c>
      <c r="F159" s="74">
        <v>7.07401042073579E14</v>
      </c>
      <c r="G159" s="167" t="s">
        <v>3702</v>
      </c>
      <c r="H159" s="166">
        <v>25378.0</v>
      </c>
      <c r="I159" s="34" t="s">
        <v>183</v>
      </c>
      <c r="J159" s="74"/>
      <c r="K159" s="74"/>
      <c r="R159" s="67"/>
    </row>
    <row r="160">
      <c r="B160" s="182"/>
      <c r="E160" s="261"/>
      <c r="G160" s="182"/>
      <c r="J160" s="67"/>
      <c r="K160" s="67"/>
      <c r="R160" s="67"/>
    </row>
    <row r="161">
      <c r="B161" s="182"/>
      <c r="E161" s="261"/>
      <c r="G161" s="182"/>
      <c r="J161" s="67"/>
      <c r="K161" s="67"/>
      <c r="R161" s="67"/>
    </row>
    <row r="162">
      <c r="B162" s="182"/>
      <c r="E162" s="261"/>
      <c r="G162" s="182"/>
      <c r="J162" s="67"/>
      <c r="K162" s="67"/>
      <c r="R162" s="67"/>
    </row>
    <row r="163">
      <c r="A163" s="23" t="s">
        <v>378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TEXT(DATE(VALUE(MID(A110,7,4)),VALUE(MID(A110,4,2)),VALUE(LEFT(A110,2)))+7,"dd/mm/yyyy")&amp;" 13h às 17h"</f>
        <v>22/06/2026 13h às 17h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489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64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12" t="s">
        <v>10</v>
      </c>
      <c r="B166" s="227" t="s">
        <v>1981</v>
      </c>
      <c r="C166" s="74" t="str">
        <f t="shared" ref="C166:C177" si="18">PROPER(TEXT(DATE(MID($A$164,7,4),MID($A$164,4,2),LEFT($A$164,2)),"dddd"))</f>
        <v>Segunda-Feira</v>
      </c>
      <c r="D166" s="512" t="str">
        <f>IF(C166&lt;&gt;"Quarta-Feira","13:00","08:00")</f>
        <v>13:00</v>
      </c>
      <c r="E166" s="287" t="s">
        <v>3703</v>
      </c>
      <c r="F166" s="74">
        <v>2.03910674210009E14</v>
      </c>
      <c r="G166" s="167" t="s">
        <v>3704</v>
      </c>
      <c r="H166" s="211">
        <v>17715.0</v>
      </c>
      <c r="I166" s="34" t="s">
        <v>183</v>
      </c>
      <c r="J166" s="74"/>
      <c r="K166" s="74"/>
      <c r="N166" s="268" t="s">
        <v>387</v>
      </c>
      <c r="O166" s="100"/>
      <c r="P166" s="100"/>
      <c r="Q166" s="100"/>
      <c r="R166" s="100"/>
    </row>
    <row r="167">
      <c r="A167" s="12" t="s">
        <v>11</v>
      </c>
      <c r="B167" s="227" t="s">
        <v>1985</v>
      </c>
      <c r="C167" s="74" t="str">
        <f t="shared" si="18"/>
        <v>Segunda-Feira</v>
      </c>
      <c r="D167" s="512" t="str">
        <f>IF(C167&lt;&gt;"Quarta-Feira","13:20","08:20")</f>
        <v>13:20</v>
      </c>
      <c r="E167" s="287" t="s">
        <v>3572</v>
      </c>
      <c r="F167" s="74">
        <v>7.02309181081713E14</v>
      </c>
      <c r="G167" s="167" t="s">
        <v>1299</v>
      </c>
      <c r="H167" s="211">
        <v>23744.0</v>
      </c>
      <c r="I167" s="34" t="s">
        <v>183</v>
      </c>
      <c r="J167" s="74"/>
      <c r="K167" s="74"/>
      <c r="N167" s="270" t="s">
        <v>1824</v>
      </c>
      <c r="O167" s="2"/>
      <c r="P167" s="2"/>
      <c r="Q167" s="2"/>
      <c r="R167" s="2"/>
    </row>
    <row r="168">
      <c r="A168" s="12" t="s">
        <v>12</v>
      </c>
      <c r="B168" s="227" t="s">
        <v>1989</v>
      </c>
      <c r="C168" s="74" t="str">
        <f t="shared" si="18"/>
        <v>Segunda-Feira</v>
      </c>
      <c r="D168" s="512" t="str">
        <f>IF(C168&lt;&gt;"Quarta-Feira","13:40","08:40")</f>
        <v>13:40</v>
      </c>
      <c r="E168" s="287" t="s">
        <v>3705</v>
      </c>
      <c r="F168" s="74">
        <v>7.00604427095967E14</v>
      </c>
      <c r="G168" s="216" t="s">
        <v>3706</v>
      </c>
      <c r="H168" s="211">
        <v>21231.0</v>
      </c>
      <c r="I168" s="34" t="s">
        <v>1823</v>
      </c>
      <c r="J168" s="74"/>
      <c r="K168" s="74"/>
      <c r="N168" s="271" t="s">
        <v>183</v>
      </c>
      <c r="O168" s="272" t="s">
        <v>195</v>
      </c>
      <c r="P168" s="272" t="s">
        <v>181</v>
      </c>
      <c r="Q168" s="273" t="s">
        <v>173</v>
      </c>
      <c r="R168" s="286" t="s">
        <v>1823</v>
      </c>
    </row>
    <row r="169">
      <c r="A169" s="12" t="s">
        <v>13</v>
      </c>
      <c r="B169" s="227" t="s">
        <v>1992</v>
      </c>
      <c r="C169" s="74" t="str">
        <f t="shared" si="18"/>
        <v>Segunda-Feira</v>
      </c>
      <c r="D169" s="512" t="str">
        <f>IF(C169&lt;&gt;"Quarta-Feira","14:00","09:00")</f>
        <v>14:00</v>
      </c>
      <c r="E169" s="287" t="s">
        <v>3707</v>
      </c>
      <c r="F169" s="74">
        <v>7.06409103480585E14</v>
      </c>
      <c r="G169" s="167" t="s">
        <v>3708</v>
      </c>
      <c r="H169" s="211">
        <v>28900.0</v>
      </c>
      <c r="I169" s="34" t="s">
        <v>1823</v>
      </c>
      <c r="J169" s="74"/>
      <c r="K169" s="74"/>
      <c r="N169" s="275">
        <f t="shared" ref="N169:R169" si="19">COUNTIFS($I$166:$I$177,$N$168)</f>
        <v>10</v>
      </c>
      <c r="O169" s="275">
        <f t="shared" si="19"/>
        <v>10</v>
      </c>
      <c r="P169" s="275">
        <f t="shared" si="19"/>
        <v>10</v>
      </c>
      <c r="Q169" s="275">
        <f t="shared" si="19"/>
        <v>10</v>
      </c>
      <c r="R169" s="275">
        <f t="shared" si="19"/>
        <v>10</v>
      </c>
    </row>
    <row r="170">
      <c r="A170" s="12" t="s">
        <v>14</v>
      </c>
      <c r="B170" s="227" t="s">
        <v>1981</v>
      </c>
      <c r="C170" s="74" t="str">
        <f t="shared" si="18"/>
        <v>Segunda-Feira</v>
      </c>
      <c r="D170" s="512" t="str">
        <f>IF(C170&lt;&gt;"Quarta-Feira","14:20","09:20")</f>
        <v>14:20</v>
      </c>
      <c r="E170" s="287" t="s">
        <v>3709</v>
      </c>
      <c r="F170" s="74">
        <v>7.05003815612255E14</v>
      </c>
      <c r="G170" s="167" t="s">
        <v>3710</v>
      </c>
      <c r="H170" s="211">
        <v>32985.0</v>
      </c>
      <c r="I170" s="34" t="s">
        <v>183</v>
      </c>
      <c r="J170" s="74"/>
      <c r="K170" s="74"/>
      <c r="R170" s="67"/>
    </row>
    <row r="171">
      <c r="A171" s="12" t="s">
        <v>15</v>
      </c>
      <c r="B171" s="227" t="s">
        <v>1985</v>
      </c>
      <c r="C171" s="74" t="str">
        <f t="shared" si="18"/>
        <v>Segunda-Feira</v>
      </c>
      <c r="D171" s="512" t="str">
        <f>IF(C171&lt;&gt;"Quarta-Feira","14:40","09:40")</f>
        <v>14:40</v>
      </c>
      <c r="E171" s="287" t="s">
        <v>3711</v>
      </c>
      <c r="F171" s="74">
        <v>7.04204705756881E14</v>
      </c>
      <c r="G171" s="167" t="s">
        <v>3712</v>
      </c>
      <c r="H171" s="211">
        <v>23722.0</v>
      </c>
      <c r="I171" s="34" t="s">
        <v>183</v>
      </c>
      <c r="J171" s="74"/>
      <c r="K171" s="74"/>
      <c r="R171" s="67"/>
    </row>
    <row r="172">
      <c r="A172" s="12" t="s">
        <v>16</v>
      </c>
      <c r="B172" s="227" t="s">
        <v>1989</v>
      </c>
      <c r="C172" s="74" t="str">
        <f t="shared" si="18"/>
        <v>Segunda-Feira</v>
      </c>
      <c r="D172" s="512" t="str">
        <f>IF(C172&lt;&gt;"Quarta-Feira","15:00","10:00")</f>
        <v>15:00</v>
      </c>
      <c r="E172" s="287" t="s">
        <v>3713</v>
      </c>
      <c r="F172" s="74">
        <v>8.98002117279122E14</v>
      </c>
      <c r="G172" s="167" t="s">
        <v>3714</v>
      </c>
      <c r="H172" s="211">
        <v>19320.0</v>
      </c>
      <c r="I172" s="34" t="s">
        <v>183</v>
      </c>
      <c r="J172" s="74"/>
      <c r="K172" s="74"/>
      <c r="R172" s="67"/>
    </row>
    <row r="173">
      <c r="A173" s="12" t="s">
        <v>17</v>
      </c>
      <c r="B173" s="227" t="s">
        <v>1992</v>
      </c>
      <c r="C173" s="74" t="str">
        <f t="shared" si="18"/>
        <v>Segunda-Feira</v>
      </c>
      <c r="D173" s="512" t="str">
        <f>IF(C173&lt;&gt;"Quarta-Feira","15:20","10:20")</f>
        <v>15:20</v>
      </c>
      <c r="E173" s="287" t="s">
        <v>3715</v>
      </c>
      <c r="F173" s="74">
        <v>7.07809639686616E14</v>
      </c>
      <c r="G173" s="167" t="s">
        <v>3716</v>
      </c>
      <c r="H173" s="211">
        <v>18997.0</v>
      </c>
      <c r="I173" s="34" t="s">
        <v>183</v>
      </c>
      <c r="J173" s="74"/>
      <c r="K173" s="74"/>
      <c r="R173" s="67"/>
    </row>
    <row r="174">
      <c r="A174" s="12" t="s">
        <v>85</v>
      </c>
      <c r="B174" s="227" t="s">
        <v>1981</v>
      </c>
      <c r="C174" s="74" t="str">
        <f t="shared" si="18"/>
        <v>Segunda-Feira</v>
      </c>
      <c r="D174" s="512" t="str">
        <f>IF(C174&lt;&gt;"Quarta-Feira","15:40","10:40")</f>
        <v>15:40</v>
      </c>
      <c r="E174" s="287" t="s">
        <v>3717</v>
      </c>
      <c r="F174" s="74">
        <v>8.01440484597472E14</v>
      </c>
      <c r="G174" s="167" t="s">
        <v>3718</v>
      </c>
      <c r="H174" s="211">
        <v>23167.0</v>
      </c>
      <c r="I174" s="34" t="s">
        <v>183</v>
      </c>
      <c r="J174" s="74"/>
      <c r="K174" s="74"/>
      <c r="R174" s="67"/>
    </row>
    <row r="175">
      <c r="A175" s="12" t="s">
        <v>87</v>
      </c>
      <c r="B175" s="227" t="s">
        <v>1985</v>
      </c>
      <c r="C175" s="74" t="str">
        <f t="shared" si="18"/>
        <v>Segunda-Feira</v>
      </c>
      <c r="D175" s="512" t="str">
        <f>IF(C175&lt;&gt;"Quarta-Feira","16:00","11:00")</f>
        <v>16:00</v>
      </c>
      <c r="E175" s="287" t="s">
        <v>3719</v>
      </c>
      <c r="F175" s="74">
        <v>7.02106735895398E14</v>
      </c>
      <c r="G175" s="167" t="s">
        <v>3720</v>
      </c>
      <c r="H175" s="211">
        <v>21156.0</v>
      </c>
      <c r="I175" s="34" t="s">
        <v>183</v>
      </c>
      <c r="J175" s="74"/>
      <c r="K175" s="74"/>
      <c r="R175" s="67"/>
    </row>
    <row r="176">
      <c r="A176" s="12" t="s">
        <v>90</v>
      </c>
      <c r="B176" s="227" t="s">
        <v>1989</v>
      </c>
      <c r="C176" s="74" t="str">
        <f t="shared" si="18"/>
        <v>Segunda-Feira</v>
      </c>
      <c r="D176" s="512" t="str">
        <f>IF(C176&lt;&gt;"Quarta-Feira","16:20","11:20")</f>
        <v>16:20</v>
      </c>
      <c r="E176" s="287" t="s">
        <v>3721</v>
      </c>
      <c r="F176" s="74">
        <v>8.01440411764484E14</v>
      </c>
      <c r="G176" s="167" t="s">
        <v>3722</v>
      </c>
      <c r="H176" s="211">
        <v>37496.0</v>
      </c>
      <c r="I176" s="34" t="s">
        <v>183</v>
      </c>
      <c r="J176" s="74"/>
      <c r="K176" s="74"/>
      <c r="R176" s="67"/>
    </row>
    <row r="177">
      <c r="A177" s="12" t="s">
        <v>93</v>
      </c>
      <c r="B177" s="227" t="s">
        <v>1992</v>
      </c>
      <c r="C177" s="74" t="str">
        <f t="shared" si="18"/>
        <v>Segunda-Feira</v>
      </c>
      <c r="D177" s="512" t="str">
        <f>IF(C177&lt;&gt;"Quarta-Feira","16:40","11:40")</f>
        <v>16:40</v>
      </c>
      <c r="E177" s="287" t="s">
        <v>3723</v>
      </c>
      <c r="F177" s="74">
        <v>7.02909582904278E14</v>
      </c>
      <c r="G177" s="167" t="s">
        <v>3724</v>
      </c>
      <c r="H177" s="211">
        <v>22849.0</v>
      </c>
      <c r="I177" s="34" t="s">
        <v>183</v>
      </c>
      <c r="J177" s="74"/>
      <c r="K177" s="74"/>
      <c r="R177" s="67"/>
    </row>
    <row r="178">
      <c r="B178" s="182"/>
      <c r="E178" s="261"/>
      <c r="G178" s="182"/>
      <c r="J178" s="67"/>
      <c r="K178" s="67"/>
      <c r="R178" s="67"/>
    </row>
    <row r="179">
      <c r="B179" s="182"/>
      <c r="E179" s="261"/>
      <c r="G179" s="182"/>
      <c r="J179" s="67"/>
      <c r="K179" s="67"/>
      <c r="R179" s="67"/>
    </row>
    <row r="180">
      <c r="B180" s="182"/>
      <c r="E180" s="261"/>
      <c r="G180" s="182"/>
      <c r="J180" s="67"/>
      <c r="K180" s="67"/>
      <c r="R180" s="67"/>
    </row>
    <row r="181">
      <c r="A181" s="23" t="s">
        <v>378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  <c r="R181" s="67"/>
    </row>
    <row r="182">
      <c r="A182" s="24" t="str">
        <f>TEXT(DATE(VALUE(MID(A164,7,4)),VALUE(MID(A164,4,2)),VALUE(LEFT(A164,2)))+2,"dd/mm/yyyy")&amp;" 08h às 13h"</f>
        <v>24/06/2026 08h às 13h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>
      <c r="A183" s="25"/>
      <c r="B183" s="489" t="s">
        <v>3</v>
      </c>
      <c r="C183" s="27" t="s">
        <v>2</v>
      </c>
      <c r="D183" s="28" t="s">
        <v>5</v>
      </c>
      <c r="E183" s="29" t="s">
        <v>19</v>
      </c>
      <c r="F183" s="28" t="s">
        <v>6</v>
      </c>
      <c r="G183" s="264" t="s">
        <v>7</v>
      </c>
      <c r="H183" s="30" t="s">
        <v>8</v>
      </c>
      <c r="I183" s="31" t="s">
        <v>20</v>
      </c>
      <c r="J183" s="32" t="s">
        <v>21</v>
      </c>
      <c r="K183" s="32" t="s">
        <v>22</v>
      </c>
    </row>
    <row r="184">
      <c r="A184" s="12" t="s">
        <v>10</v>
      </c>
      <c r="B184" s="227" t="s">
        <v>2014</v>
      </c>
      <c r="C184" s="74" t="str">
        <f t="shared" ref="C184:C195" si="20">PROPER(TEXT(DATE(MID($A$128,7,4),MID($A$128,4,2),LEFT($A$128,2)),"dddd"))</f>
        <v>Quarta-Feira</v>
      </c>
      <c r="D184" s="512" t="str">
        <f>IF(C184&lt;&gt;"Quarta-Feira","13:00","08:00")</f>
        <v>08:00</v>
      </c>
      <c r="E184" s="287" t="s">
        <v>3725</v>
      </c>
      <c r="F184" s="74">
        <v>2.01151750370018E14</v>
      </c>
      <c r="G184" s="167" t="s">
        <v>3726</v>
      </c>
      <c r="H184" s="211">
        <v>16834.0</v>
      </c>
      <c r="I184" s="34" t="s">
        <v>1823</v>
      </c>
      <c r="J184" s="74"/>
      <c r="K184" s="74"/>
      <c r="N184" s="268" t="s">
        <v>387</v>
      </c>
      <c r="O184" s="100"/>
      <c r="P184" s="100"/>
      <c r="Q184" s="100"/>
      <c r="R184" s="100"/>
    </row>
    <row r="185">
      <c r="A185" s="12" t="s">
        <v>11</v>
      </c>
      <c r="B185" s="227" t="s">
        <v>2019</v>
      </c>
      <c r="C185" s="74" t="str">
        <f t="shared" si="20"/>
        <v>Quarta-Feira</v>
      </c>
      <c r="D185" s="512" t="str">
        <f>IF(C185&lt;&gt;"Quarta-Feira","13:20","08:20")</f>
        <v>08:20</v>
      </c>
      <c r="E185" s="287" t="s">
        <v>3727</v>
      </c>
      <c r="F185" s="74">
        <v>7.00001381212209E14</v>
      </c>
      <c r="G185" s="167" t="s">
        <v>3728</v>
      </c>
      <c r="H185" s="77">
        <v>22261.0</v>
      </c>
      <c r="I185" s="34" t="s">
        <v>1823</v>
      </c>
      <c r="J185" s="74"/>
      <c r="K185" s="74"/>
      <c r="N185" s="270" t="s">
        <v>1824</v>
      </c>
      <c r="O185" s="2"/>
      <c r="P185" s="2"/>
      <c r="Q185" s="2"/>
      <c r="R185" s="2"/>
    </row>
    <row r="186">
      <c r="A186" s="12" t="s">
        <v>12</v>
      </c>
      <c r="B186" s="227" t="s">
        <v>2021</v>
      </c>
      <c r="C186" s="74" t="str">
        <f t="shared" si="20"/>
        <v>Quarta-Feira</v>
      </c>
      <c r="D186" s="512" t="str">
        <f>IF(C186&lt;&gt;"Quarta-Feira","13:40","08:40")</f>
        <v>08:40</v>
      </c>
      <c r="E186" s="287" t="s">
        <v>3729</v>
      </c>
      <c r="F186" s="74">
        <v>8.0144049336283E14</v>
      </c>
      <c r="G186" s="167" t="s">
        <v>3730</v>
      </c>
      <c r="H186" s="83">
        <v>15627.0</v>
      </c>
      <c r="I186" s="34" t="s">
        <v>183</v>
      </c>
      <c r="J186" s="74"/>
      <c r="K186" s="74"/>
      <c r="N186" s="271" t="s">
        <v>183</v>
      </c>
      <c r="O186" s="272" t="s">
        <v>195</v>
      </c>
      <c r="P186" s="272" t="s">
        <v>181</v>
      </c>
      <c r="Q186" s="273" t="s">
        <v>173</v>
      </c>
      <c r="R186" s="286" t="s">
        <v>1823</v>
      </c>
    </row>
    <row r="187">
      <c r="A187" s="12" t="s">
        <v>13</v>
      </c>
      <c r="B187" s="227" t="s">
        <v>2024</v>
      </c>
      <c r="C187" s="74" t="str">
        <f t="shared" si="20"/>
        <v>Quarta-Feira</v>
      </c>
      <c r="D187" s="512" t="str">
        <f>IF(C187&lt;&gt;"Quarta-Feira","14:00","09:00")</f>
        <v>09:00</v>
      </c>
      <c r="E187" s="287" t="s">
        <v>3731</v>
      </c>
      <c r="F187" s="74">
        <v>7.00803448597586E14</v>
      </c>
      <c r="G187" s="167" t="s">
        <v>3732</v>
      </c>
      <c r="H187" s="83">
        <v>28297.0</v>
      </c>
      <c r="I187" s="34" t="s">
        <v>1823</v>
      </c>
      <c r="J187" s="74"/>
      <c r="K187" s="74"/>
      <c r="N187" s="275">
        <f t="shared" ref="N187:R187" si="21">COUNTIFS($I$184:$I$195,$N$168)</f>
        <v>6</v>
      </c>
      <c r="O187" s="275">
        <f t="shared" si="21"/>
        <v>6</v>
      </c>
      <c r="P187" s="275">
        <f t="shared" si="21"/>
        <v>6</v>
      </c>
      <c r="Q187" s="275">
        <f t="shared" si="21"/>
        <v>6</v>
      </c>
      <c r="R187" s="275">
        <f t="shared" si="21"/>
        <v>6</v>
      </c>
    </row>
    <row r="188">
      <c r="A188" s="12" t="s">
        <v>14</v>
      </c>
      <c r="B188" s="227" t="s">
        <v>2019</v>
      </c>
      <c r="C188" s="74" t="str">
        <f t="shared" si="20"/>
        <v>Quarta-Feira</v>
      </c>
      <c r="D188" s="512" t="str">
        <f>IF(C188&lt;&gt;"Quarta-Feira","14:20","09:20")</f>
        <v>09:20</v>
      </c>
      <c r="E188" s="287" t="s">
        <v>2935</v>
      </c>
      <c r="F188" s="74">
        <v>7.00406974314249E14</v>
      </c>
      <c r="G188" s="167" t="s">
        <v>2936</v>
      </c>
      <c r="H188" s="77">
        <v>14957.0</v>
      </c>
      <c r="I188" s="34" t="s">
        <v>1823</v>
      </c>
      <c r="J188" s="74"/>
      <c r="K188" s="74"/>
      <c r="R188" s="67"/>
    </row>
    <row r="189">
      <c r="A189" s="12" t="s">
        <v>15</v>
      </c>
      <c r="B189" s="227" t="s">
        <v>2021</v>
      </c>
      <c r="C189" s="74" t="str">
        <f t="shared" si="20"/>
        <v>Quarta-Feira</v>
      </c>
      <c r="D189" s="512" t="str">
        <f>IF(C189&lt;&gt;"Quarta-Feira","14:40","09:40")</f>
        <v>09:40</v>
      </c>
      <c r="E189" s="287" t="s">
        <v>3733</v>
      </c>
      <c r="F189" s="74">
        <v>7.04501322435718E14</v>
      </c>
      <c r="G189" s="167" t="s">
        <v>3734</v>
      </c>
      <c r="H189" s="83">
        <v>27695.0</v>
      </c>
      <c r="I189" s="34" t="s">
        <v>183</v>
      </c>
      <c r="J189" s="74"/>
      <c r="K189" s="74"/>
      <c r="R189" s="67"/>
    </row>
    <row r="190">
      <c r="A190" s="12" t="s">
        <v>16</v>
      </c>
      <c r="B190" s="227" t="s">
        <v>2014</v>
      </c>
      <c r="C190" s="74" t="str">
        <f t="shared" si="20"/>
        <v>Quarta-Feira</v>
      </c>
      <c r="D190" s="512" t="str">
        <f>IF(C190&lt;&gt;"Quarta-Feira","15:00","10:00")</f>
        <v>10:00</v>
      </c>
      <c r="E190" s="287" t="s">
        <v>3735</v>
      </c>
      <c r="F190" s="74">
        <v>7.08108543149133E14</v>
      </c>
      <c r="G190" s="167" t="s">
        <v>3736</v>
      </c>
      <c r="H190" s="83">
        <v>29070.0</v>
      </c>
      <c r="I190" s="34" t="s">
        <v>183</v>
      </c>
      <c r="J190" s="74"/>
      <c r="K190" s="74"/>
      <c r="R190" s="67"/>
    </row>
    <row r="191">
      <c r="A191" s="12" t="s">
        <v>17</v>
      </c>
      <c r="B191" s="227" t="s">
        <v>2019</v>
      </c>
      <c r="C191" s="74" t="str">
        <f t="shared" si="20"/>
        <v>Quarta-Feira</v>
      </c>
      <c r="D191" s="512" t="str">
        <f>IF(C191&lt;&gt;"Quarta-Feira","15:20","10:20")</f>
        <v>10:20</v>
      </c>
      <c r="E191" s="287" t="s">
        <v>3737</v>
      </c>
      <c r="F191" s="74">
        <v>8.01440409478275E14</v>
      </c>
      <c r="G191" s="167" t="s">
        <v>3738</v>
      </c>
      <c r="H191" s="77">
        <v>37487.0</v>
      </c>
      <c r="I191" s="34" t="s">
        <v>1823</v>
      </c>
      <c r="J191" s="74"/>
      <c r="K191" s="74"/>
      <c r="R191" s="67"/>
    </row>
    <row r="192">
      <c r="A192" s="12" t="s">
        <v>85</v>
      </c>
      <c r="B192" s="227" t="s">
        <v>2024</v>
      </c>
      <c r="C192" s="74" t="str">
        <f t="shared" si="20"/>
        <v>Quarta-Feira</v>
      </c>
      <c r="D192" s="512" t="str">
        <f>IF(C192&lt;&gt;"Quarta-Feira","15:40","10:40")</f>
        <v>10:40</v>
      </c>
      <c r="E192" s="287" t="s">
        <v>3739</v>
      </c>
      <c r="F192" s="74">
        <v>7.04603687749926E14</v>
      </c>
      <c r="G192" s="167" t="s">
        <v>3740</v>
      </c>
      <c r="H192" s="83">
        <v>27924.0</v>
      </c>
      <c r="I192" s="34" t="s">
        <v>183</v>
      </c>
      <c r="J192" s="74"/>
      <c r="K192" s="74"/>
      <c r="R192" s="67"/>
    </row>
    <row r="193">
      <c r="A193" s="12" t="s">
        <v>87</v>
      </c>
      <c r="B193" s="227" t="s">
        <v>2021</v>
      </c>
      <c r="C193" s="74" t="str">
        <f t="shared" si="20"/>
        <v>Quarta-Feira</v>
      </c>
      <c r="D193" s="512" t="str">
        <f>IF(C193&lt;&gt;"Quarta-Feira","16:00","11:00")</f>
        <v>11:00</v>
      </c>
      <c r="E193" s="287" t="s">
        <v>3741</v>
      </c>
      <c r="F193" s="74">
        <v>1.25639597740008E14</v>
      </c>
      <c r="G193" s="167" t="s">
        <v>3742</v>
      </c>
      <c r="H193" s="166">
        <v>27616.0</v>
      </c>
      <c r="I193" s="34" t="s">
        <v>183</v>
      </c>
      <c r="J193" s="74"/>
      <c r="K193" s="74"/>
      <c r="R193" s="67"/>
    </row>
    <row r="194">
      <c r="A194" s="12" t="s">
        <v>90</v>
      </c>
      <c r="B194" s="227" t="s">
        <v>2024</v>
      </c>
      <c r="C194" s="74" t="str">
        <f t="shared" si="20"/>
        <v>Quarta-Feira</v>
      </c>
      <c r="D194" s="512" t="str">
        <f>IF(C194&lt;&gt;"Quarta-Feira","16:20","11:20")</f>
        <v>11:20</v>
      </c>
      <c r="E194" s="287" t="s">
        <v>3743</v>
      </c>
      <c r="F194" s="74">
        <v>7.04602656496928E14</v>
      </c>
      <c r="G194" s="167" t="s">
        <v>1862</v>
      </c>
      <c r="H194" s="166">
        <v>26935.0</v>
      </c>
      <c r="I194" s="34" t="s">
        <v>1823</v>
      </c>
      <c r="J194" s="74"/>
      <c r="K194" s="74"/>
      <c r="R194" s="67"/>
    </row>
    <row r="195">
      <c r="A195" s="12" t="s">
        <v>93</v>
      </c>
      <c r="B195" s="227" t="s">
        <v>2014</v>
      </c>
      <c r="C195" s="74" t="str">
        <f t="shared" si="20"/>
        <v>Quarta-Feira</v>
      </c>
      <c r="D195" s="512" t="str">
        <f>IF(C195&lt;&gt;"Quarta-Feira","16:40","11:40")</f>
        <v>11:40</v>
      </c>
      <c r="E195" s="287" t="s">
        <v>3744</v>
      </c>
      <c r="F195" s="74">
        <v>1.7093354831E10</v>
      </c>
      <c r="G195" s="167" t="s">
        <v>3745</v>
      </c>
      <c r="H195" s="166">
        <v>18069.0</v>
      </c>
      <c r="I195" s="34" t="s">
        <v>183</v>
      </c>
      <c r="J195" s="74"/>
      <c r="K195" s="74"/>
      <c r="R195" s="67"/>
    </row>
    <row r="196">
      <c r="B196" s="182"/>
      <c r="E196" s="261"/>
      <c r="G196" s="182"/>
      <c r="J196" s="67"/>
      <c r="K196" s="67"/>
      <c r="R196" s="67"/>
    </row>
    <row r="197">
      <c r="B197" s="182"/>
      <c r="E197" s="261"/>
      <c r="G197" s="182"/>
      <c r="J197" s="67"/>
      <c r="K197" s="67"/>
      <c r="R197" s="67"/>
    </row>
    <row r="198">
      <c r="B198" s="182"/>
      <c r="E198" s="261"/>
      <c r="G198" s="182"/>
      <c r="J198" s="67"/>
      <c r="K198" s="67"/>
      <c r="R198" s="67"/>
    </row>
    <row r="199">
      <c r="A199" s="23" t="s">
        <v>378</v>
      </c>
      <c r="B199" s="2"/>
      <c r="C199" s="2"/>
      <c r="D199" s="2"/>
      <c r="E199" s="2"/>
      <c r="F199" s="2"/>
      <c r="G199" s="2"/>
      <c r="H199" s="2"/>
      <c r="I199" s="2"/>
      <c r="J199" s="2"/>
      <c r="K199" s="3"/>
      <c r="R199" s="67"/>
    </row>
    <row r="200">
      <c r="A200" s="24" t="str">
        <f>TEXT(DATE(VALUE(MID(A182,7,4)),VALUE(MID(A182,4,2)),VALUE(LEFT(A182,2)))+2,"dd/mm/yyyy")&amp;" 13h às 17h"</f>
        <v>26/06/2026 13h às 17h</v>
      </c>
      <c r="B200" s="2"/>
      <c r="C200" s="2"/>
      <c r="D200" s="2"/>
      <c r="E200" s="2"/>
      <c r="F200" s="2"/>
      <c r="G200" s="2"/>
      <c r="H200" s="2"/>
      <c r="I200" s="2"/>
      <c r="J200" s="2"/>
      <c r="K200" s="3"/>
      <c r="R200" s="67"/>
    </row>
    <row r="201">
      <c r="A201" s="25"/>
      <c r="B201" s="489" t="s">
        <v>3</v>
      </c>
      <c r="C201" s="27" t="s">
        <v>2</v>
      </c>
      <c r="D201" s="28" t="s">
        <v>5</v>
      </c>
      <c r="E201" s="29" t="s">
        <v>19</v>
      </c>
      <c r="F201" s="28" t="s">
        <v>6</v>
      </c>
      <c r="G201" s="264" t="s">
        <v>7</v>
      </c>
      <c r="H201" s="30" t="s">
        <v>8</v>
      </c>
      <c r="I201" s="31" t="s">
        <v>20</v>
      </c>
      <c r="J201" s="32" t="s">
        <v>21</v>
      </c>
      <c r="K201" s="32" t="s">
        <v>22</v>
      </c>
      <c r="R201" s="67"/>
    </row>
    <row r="202">
      <c r="A202" s="12" t="s">
        <v>10</v>
      </c>
      <c r="B202" s="227" t="s">
        <v>2381</v>
      </c>
      <c r="C202" s="74" t="str">
        <f t="shared" ref="C202:C213" si="22">PROPER(TEXT(DATE(MID($A$146,7,4),MID($A$146,4,2),LEFT($A$146,2)),"dddd"))</f>
        <v>Sexta-Feira</v>
      </c>
      <c r="D202" s="512" t="str">
        <f>IF(C202&lt;&gt;"Quarta-Feira","13:00","08:00")</f>
        <v>13:00</v>
      </c>
      <c r="E202" s="287" t="s">
        <v>3746</v>
      </c>
      <c r="F202" s="459">
        <v>7.0110789639208E14</v>
      </c>
      <c r="G202" s="167" t="s">
        <v>3747</v>
      </c>
      <c r="H202" s="83">
        <v>20492.0</v>
      </c>
      <c r="I202" s="34" t="s">
        <v>183</v>
      </c>
      <c r="J202" s="74"/>
      <c r="K202" s="74"/>
      <c r="N202" s="268" t="s">
        <v>387</v>
      </c>
      <c r="O202" s="100"/>
      <c r="P202" s="100"/>
      <c r="Q202" s="100"/>
      <c r="R202" s="100"/>
    </row>
    <row r="203">
      <c r="A203" s="12" t="s">
        <v>11</v>
      </c>
      <c r="B203" s="227" t="s">
        <v>2384</v>
      </c>
      <c r="C203" s="74" t="str">
        <f t="shared" si="22"/>
        <v>Sexta-Feira</v>
      </c>
      <c r="D203" s="512" t="str">
        <f>IF(C203&lt;&gt;"Quarta-Feira","13:20","08:20")</f>
        <v>13:20</v>
      </c>
      <c r="E203" s="287" t="s">
        <v>3748</v>
      </c>
      <c r="F203" s="74">
        <v>7.0290352162807E14</v>
      </c>
      <c r="G203" s="167" t="s">
        <v>3749</v>
      </c>
      <c r="H203" s="83">
        <v>20701.0</v>
      </c>
      <c r="I203" s="34" t="s">
        <v>1823</v>
      </c>
      <c r="J203" s="74"/>
      <c r="K203" s="74"/>
      <c r="N203" s="270" t="s">
        <v>1824</v>
      </c>
      <c r="O203" s="2"/>
      <c r="P203" s="2"/>
      <c r="Q203" s="2"/>
      <c r="R203" s="2"/>
    </row>
    <row r="204">
      <c r="A204" s="12" t="s">
        <v>12</v>
      </c>
      <c r="B204" s="227" t="s">
        <v>2387</v>
      </c>
      <c r="C204" s="74" t="str">
        <f t="shared" si="22"/>
        <v>Sexta-Feira</v>
      </c>
      <c r="D204" s="512" t="str">
        <f>IF(C204&lt;&gt;"Quarta-Feira","13:40","08:40")</f>
        <v>13:40</v>
      </c>
      <c r="E204" s="287" t="s">
        <v>3750</v>
      </c>
      <c r="F204" s="74">
        <v>7.00409923236847E14</v>
      </c>
      <c r="G204" s="167" t="s">
        <v>3751</v>
      </c>
      <c r="H204" s="83">
        <v>17536.0</v>
      </c>
      <c r="I204" s="34" t="s">
        <v>183</v>
      </c>
      <c r="J204" s="74"/>
      <c r="K204" s="74"/>
      <c r="N204" s="271" t="s">
        <v>183</v>
      </c>
      <c r="O204" s="272" t="s">
        <v>195</v>
      </c>
      <c r="P204" s="272" t="s">
        <v>181</v>
      </c>
      <c r="Q204" s="273" t="s">
        <v>173</v>
      </c>
      <c r="R204" s="286" t="s">
        <v>1823</v>
      </c>
    </row>
    <row r="205">
      <c r="A205" s="12" t="s">
        <v>13</v>
      </c>
      <c r="B205" s="227" t="s">
        <v>2390</v>
      </c>
      <c r="C205" s="74" t="str">
        <f t="shared" si="22"/>
        <v>Sexta-Feira</v>
      </c>
      <c r="D205" s="512" t="str">
        <f>IF(C205&lt;&gt;"Quarta-Feira","14:00","09:00")</f>
        <v>14:00</v>
      </c>
      <c r="E205" s="287" t="s">
        <v>3752</v>
      </c>
      <c r="F205" s="74">
        <v>7.02107784637098E14</v>
      </c>
      <c r="G205" s="167" t="s">
        <v>3753</v>
      </c>
      <c r="H205" s="83">
        <v>25160.0</v>
      </c>
      <c r="I205" s="34" t="s">
        <v>183</v>
      </c>
      <c r="J205" s="74"/>
      <c r="K205" s="74"/>
      <c r="N205" s="275">
        <f t="shared" ref="N205:R205" si="23">COUNTIFS($I$202:$I$213,$N$168)</f>
        <v>7</v>
      </c>
      <c r="O205" s="275">
        <f t="shared" si="23"/>
        <v>7</v>
      </c>
      <c r="P205" s="275">
        <f t="shared" si="23"/>
        <v>7</v>
      </c>
      <c r="Q205" s="275">
        <f t="shared" si="23"/>
        <v>7</v>
      </c>
      <c r="R205" s="275">
        <f t="shared" si="23"/>
        <v>7</v>
      </c>
    </row>
    <row r="206">
      <c r="A206" s="12" t="s">
        <v>14</v>
      </c>
      <c r="B206" s="227" t="s">
        <v>2381</v>
      </c>
      <c r="C206" s="74" t="str">
        <f t="shared" si="22"/>
        <v>Sexta-Feira</v>
      </c>
      <c r="D206" s="512" t="str">
        <f>IF(C206&lt;&gt;"Quarta-Feira","14:20","09:20")</f>
        <v>14:20</v>
      </c>
      <c r="E206" s="287" t="s">
        <v>3754</v>
      </c>
      <c r="F206" s="228">
        <v>7.04006350501265E14</v>
      </c>
      <c r="G206" s="227" t="s">
        <v>3755</v>
      </c>
      <c r="H206" s="82">
        <v>16533.0</v>
      </c>
      <c r="I206" s="34" t="s">
        <v>183</v>
      </c>
      <c r="J206" s="74"/>
      <c r="K206" s="74"/>
      <c r="R206" s="67"/>
    </row>
    <row r="207">
      <c r="A207" s="12" t="s">
        <v>15</v>
      </c>
      <c r="B207" s="227" t="s">
        <v>2384</v>
      </c>
      <c r="C207" s="74" t="str">
        <f t="shared" si="22"/>
        <v>Sexta-Feira</v>
      </c>
      <c r="D207" s="512" t="str">
        <f>IF(C207&lt;&gt;"Quarta-Feira","14:40","09:40")</f>
        <v>14:40</v>
      </c>
      <c r="E207" s="287"/>
      <c r="F207" s="228"/>
      <c r="G207" s="227"/>
      <c r="H207" s="82"/>
      <c r="I207" s="34" t="s">
        <v>2348</v>
      </c>
      <c r="J207" s="74"/>
      <c r="K207" s="74"/>
      <c r="R207" s="67"/>
    </row>
    <row r="208">
      <c r="A208" s="12" t="s">
        <v>16</v>
      </c>
      <c r="B208" s="227" t="s">
        <v>2387</v>
      </c>
      <c r="C208" s="74" t="str">
        <f t="shared" si="22"/>
        <v>Sexta-Feira</v>
      </c>
      <c r="D208" s="512" t="str">
        <f>IF(C208&lt;&gt;"Quarta-Feira","15:00","10:00")</f>
        <v>15:00</v>
      </c>
      <c r="E208" s="287" t="s">
        <v>3756</v>
      </c>
      <c r="F208" s="459">
        <v>7.07809641188113E14</v>
      </c>
      <c r="G208" s="167" t="s">
        <v>3757</v>
      </c>
      <c r="H208" s="83">
        <v>27689.0</v>
      </c>
      <c r="I208" s="34" t="s">
        <v>183</v>
      </c>
      <c r="J208" s="74"/>
      <c r="K208" s="74"/>
      <c r="R208" s="67"/>
    </row>
    <row r="209">
      <c r="A209" s="12" t="s">
        <v>17</v>
      </c>
      <c r="B209" s="227" t="s">
        <v>2390</v>
      </c>
      <c r="C209" s="74" t="str">
        <f t="shared" si="22"/>
        <v>Sexta-Feira</v>
      </c>
      <c r="D209" s="512" t="str">
        <f>IF(C209&lt;&gt;"Quarta-Feira","15:20","10:20")</f>
        <v>15:20</v>
      </c>
      <c r="E209" s="287" t="s">
        <v>3758</v>
      </c>
      <c r="F209" s="74">
        <v>2.06882580980002E14</v>
      </c>
      <c r="G209" s="167" t="s">
        <v>3759</v>
      </c>
      <c r="H209" s="83">
        <v>22196.0</v>
      </c>
      <c r="I209" s="34" t="s">
        <v>1823</v>
      </c>
      <c r="J209" s="74"/>
      <c r="K209" s="74"/>
      <c r="R209" s="67"/>
    </row>
    <row r="210">
      <c r="A210" s="12" t="s">
        <v>85</v>
      </c>
      <c r="B210" s="227" t="s">
        <v>2384</v>
      </c>
      <c r="C210" s="74" t="str">
        <f t="shared" si="22"/>
        <v>Sexta-Feira</v>
      </c>
      <c r="D210" s="512" t="str">
        <f>IF(C210&lt;&gt;"Quarta-Feira","15:40","10:40")</f>
        <v>15:40</v>
      </c>
      <c r="E210" s="287" t="s">
        <v>3760</v>
      </c>
      <c r="F210" s="74">
        <v>7.00009663413802E14</v>
      </c>
      <c r="G210" s="167" t="s">
        <v>3761</v>
      </c>
      <c r="H210" s="83">
        <v>15084.0</v>
      </c>
      <c r="I210" s="34" t="s">
        <v>1823</v>
      </c>
      <c r="J210" s="74"/>
      <c r="K210" s="74"/>
      <c r="R210" s="67"/>
    </row>
    <row r="211">
      <c r="A211" s="12" t="s">
        <v>87</v>
      </c>
      <c r="B211" s="227" t="s">
        <v>2381</v>
      </c>
      <c r="C211" s="74" t="str">
        <f t="shared" si="22"/>
        <v>Sexta-Feira</v>
      </c>
      <c r="D211" s="512" t="str">
        <f>IF(C211&lt;&gt;"Quarta-Feira","16:00","11:00")</f>
        <v>16:00</v>
      </c>
      <c r="E211" s="287" t="s">
        <v>3762</v>
      </c>
      <c r="F211" s="74">
        <v>7.05009034050853E14</v>
      </c>
      <c r="G211" s="167" t="s">
        <v>3763</v>
      </c>
      <c r="H211" s="166">
        <v>26645.0</v>
      </c>
      <c r="I211" s="34" t="s">
        <v>183</v>
      </c>
      <c r="J211" s="74"/>
      <c r="K211" s="74"/>
      <c r="R211" s="67"/>
    </row>
    <row r="212">
      <c r="A212" s="12" t="s">
        <v>90</v>
      </c>
      <c r="B212" s="227" t="s">
        <v>2381</v>
      </c>
      <c r="C212" s="74" t="str">
        <f t="shared" si="22"/>
        <v>Sexta-Feira</v>
      </c>
      <c r="D212" s="512" t="str">
        <f>IF(C212&lt;&gt;"Quarta-Feira","16:20","11:20")</f>
        <v>16:20</v>
      </c>
      <c r="E212" s="287" t="s">
        <v>3764</v>
      </c>
      <c r="F212" s="74">
        <v>7.04001878986462E14</v>
      </c>
      <c r="G212" s="167" t="s">
        <v>3765</v>
      </c>
      <c r="H212" s="166">
        <v>25828.0</v>
      </c>
      <c r="I212" s="34" t="s">
        <v>1823</v>
      </c>
      <c r="J212" s="74"/>
      <c r="K212" s="74"/>
      <c r="R212" s="67"/>
    </row>
    <row r="213">
      <c r="A213" s="12" t="s">
        <v>93</v>
      </c>
      <c r="B213" s="227" t="s">
        <v>2381</v>
      </c>
      <c r="C213" s="74" t="str">
        <f t="shared" si="22"/>
        <v>Sexta-Feira</v>
      </c>
      <c r="D213" s="512" t="str">
        <f>IF(C213&lt;&gt;"Quarta-Feira","16:40","11:40")</f>
        <v>16:40</v>
      </c>
      <c r="E213" s="287" t="s">
        <v>3766</v>
      </c>
      <c r="F213" s="74">
        <v>7.00003289872607E14</v>
      </c>
      <c r="G213" s="167" t="s">
        <v>3767</v>
      </c>
      <c r="H213" s="166">
        <v>17929.0</v>
      </c>
      <c r="I213" s="34" t="s">
        <v>183</v>
      </c>
      <c r="J213" s="74"/>
      <c r="K213" s="74"/>
      <c r="R213" s="67"/>
    </row>
    <row r="214">
      <c r="B214" s="182"/>
      <c r="E214" s="261"/>
      <c r="G214" s="182"/>
      <c r="J214" s="67"/>
      <c r="K214" s="67"/>
      <c r="R214" s="67"/>
    </row>
    <row r="215">
      <c r="B215" s="182"/>
      <c r="E215" s="261"/>
      <c r="G215" s="182"/>
      <c r="J215" s="67"/>
      <c r="K215" s="67"/>
      <c r="R215" s="67"/>
    </row>
    <row r="216">
      <c r="B216" s="182"/>
      <c r="E216" s="261"/>
      <c r="G216" s="182"/>
      <c r="J216" s="67"/>
      <c r="K216" s="67"/>
      <c r="R216" s="67"/>
    </row>
    <row r="217">
      <c r="A217" s="23" t="s">
        <v>378</v>
      </c>
      <c r="B217" s="2"/>
      <c r="C217" s="2"/>
      <c r="D217" s="2"/>
      <c r="E217" s="2"/>
      <c r="F217" s="2"/>
      <c r="G217" s="2"/>
      <c r="H217" s="2"/>
      <c r="I217" s="2"/>
      <c r="J217" s="2"/>
      <c r="K217" s="3"/>
      <c r="R217" s="67"/>
    </row>
    <row r="218">
      <c r="A218" s="24" t="str">
        <f>TEXT(DATE(VALUE(MID(A164,7,4)),VALUE(MID(A164,4,2)),VALUE(LEFT(A164,2)))+7,"dd/mm/yyyy")&amp;" 13h às 17h"</f>
        <v>29/06/2026 13h às 17h</v>
      </c>
      <c r="B218" s="2"/>
      <c r="C218" s="2"/>
      <c r="D218" s="2"/>
      <c r="E218" s="2"/>
      <c r="F218" s="2"/>
      <c r="G218" s="2"/>
      <c r="H218" s="2"/>
      <c r="I218" s="2"/>
      <c r="J218" s="2"/>
      <c r="K218" s="3"/>
      <c r="R218" s="67"/>
    </row>
    <row r="219">
      <c r="A219" s="25"/>
      <c r="B219" s="489" t="s">
        <v>3</v>
      </c>
      <c r="C219" s="27" t="s">
        <v>2</v>
      </c>
      <c r="D219" s="28" t="s">
        <v>5</v>
      </c>
      <c r="E219" s="29" t="s">
        <v>19</v>
      </c>
      <c r="F219" s="28" t="s">
        <v>6</v>
      </c>
      <c r="G219" s="264" t="s">
        <v>7</v>
      </c>
      <c r="H219" s="30" t="s">
        <v>8</v>
      </c>
      <c r="I219" s="31" t="s">
        <v>20</v>
      </c>
      <c r="J219" s="32" t="s">
        <v>21</v>
      </c>
      <c r="K219" s="32" t="s">
        <v>22</v>
      </c>
      <c r="R219" s="67"/>
    </row>
    <row r="220">
      <c r="A220" s="12" t="s">
        <v>10</v>
      </c>
      <c r="B220" s="227" t="s">
        <v>1981</v>
      </c>
      <c r="C220" s="74" t="str">
        <f t="shared" ref="C220:C231" si="24">PROPER(TEXT(DATE(MID($A$164,7,4),MID($A$164,4,2),LEFT($A$164,2)),"dddd"))</f>
        <v>Segunda-Feira</v>
      </c>
      <c r="D220" s="512" t="str">
        <f>IF(C220&lt;&gt;"Quarta-Feira","13:00","08:00")</f>
        <v>13:00</v>
      </c>
      <c r="E220" s="578"/>
      <c r="F220" s="442"/>
      <c r="G220" s="124"/>
      <c r="H220" s="579"/>
      <c r="I220" s="34"/>
      <c r="J220" s="358" t="s">
        <v>3768</v>
      </c>
      <c r="K220" s="74"/>
      <c r="N220" s="268" t="s">
        <v>387</v>
      </c>
      <c r="O220" s="100"/>
      <c r="P220" s="100"/>
      <c r="Q220" s="100"/>
      <c r="R220" s="100"/>
    </row>
    <row r="221">
      <c r="A221" s="12" t="s">
        <v>11</v>
      </c>
      <c r="B221" s="227" t="s">
        <v>1985</v>
      </c>
      <c r="C221" s="74" t="str">
        <f t="shared" si="24"/>
        <v>Segunda-Feira</v>
      </c>
      <c r="D221" s="512" t="str">
        <f>IF(C221&lt;&gt;"Quarta-Feira","13:20","08:20")</f>
        <v>13:20</v>
      </c>
      <c r="E221" s="578" t="s">
        <v>3769</v>
      </c>
      <c r="F221" s="442">
        <v>7.02800117960261E14</v>
      </c>
      <c r="G221" s="124" t="s">
        <v>3770</v>
      </c>
      <c r="H221" s="579">
        <v>22471.0</v>
      </c>
      <c r="I221" s="34"/>
      <c r="J221" s="358" t="s">
        <v>3768</v>
      </c>
      <c r="K221" s="74"/>
      <c r="N221" s="270" t="s">
        <v>1824</v>
      </c>
      <c r="O221" s="2"/>
      <c r="P221" s="2"/>
      <c r="Q221" s="2"/>
      <c r="R221" s="2"/>
    </row>
    <row r="222">
      <c r="A222" s="12" t="s">
        <v>12</v>
      </c>
      <c r="B222" s="227" t="s">
        <v>1989</v>
      </c>
      <c r="C222" s="74" t="str">
        <f t="shared" si="24"/>
        <v>Segunda-Feira</v>
      </c>
      <c r="D222" s="512" t="str">
        <f>IF(C222&lt;&gt;"Quarta-Feira","13:40","08:40")</f>
        <v>13:40</v>
      </c>
      <c r="E222" s="578" t="s">
        <v>3771</v>
      </c>
      <c r="F222" s="442">
        <v>7.00808494856682E14</v>
      </c>
      <c r="G222" s="124" t="s">
        <v>3772</v>
      </c>
      <c r="H222" s="579">
        <v>16613.0</v>
      </c>
      <c r="I222" s="34"/>
      <c r="J222" s="358" t="s">
        <v>3768</v>
      </c>
      <c r="K222" s="74"/>
      <c r="N222" s="271" t="s">
        <v>183</v>
      </c>
      <c r="O222" s="272" t="s">
        <v>195</v>
      </c>
      <c r="P222" s="272" t="s">
        <v>181</v>
      </c>
      <c r="Q222" s="273" t="s">
        <v>173</v>
      </c>
      <c r="R222" s="286" t="s">
        <v>1823</v>
      </c>
    </row>
    <row r="223">
      <c r="A223" s="12" t="s">
        <v>13</v>
      </c>
      <c r="B223" s="227" t="s">
        <v>1992</v>
      </c>
      <c r="C223" s="74" t="str">
        <f t="shared" si="24"/>
        <v>Segunda-Feira</v>
      </c>
      <c r="D223" s="512" t="str">
        <f>IF(C223&lt;&gt;"Quarta-Feira","14:00","09:00")</f>
        <v>14:00</v>
      </c>
      <c r="E223" s="578" t="s">
        <v>3281</v>
      </c>
      <c r="F223" s="442">
        <v>7.0500063703415E14</v>
      </c>
      <c r="G223" s="124" t="s">
        <v>3282</v>
      </c>
      <c r="H223" s="579">
        <v>38871.0</v>
      </c>
      <c r="I223" s="34"/>
      <c r="J223" s="358" t="s">
        <v>3768</v>
      </c>
      <c r="K223" s="74"/>
      <c r="N223" s="275">
        <f t="shared" ref="N223:R223" si="25">COUNTIFS($I$166:$I$177,$N$168)</f>
        <v>10</v>
      </c>
      <c r="O223" s="275">
        <f t="shared" si="25"/>
        <v>10</v>
      </c>
      <c r="P223" s="275">
        <f t="shared" si="25"/>
        <v>10</v>
      </c>
      <c r="Q223" s="275">
        <f t="shared" si="25"/>
        <v>10</v>
      </c>
      <c r="R223" s="275">
        <f t="shared" si="25"/>
        <v>10</v>
      </c>
    </row>
    <row r="224">
      <c r="A224" s="12" t="s">
        <v>14</v>
      </c>
      <c r="B224" s="227" t="s">
        <v>1981</v>
      </c>
      <c r="C224" s="74" t="str">
        <f t="shared" si="24"/>
        <v>Segunda-Feira</v>
      </c>
      <c r="D224" s="512" t="str">
        <f>IF(C224&lt;&gt;"Quarta-Feira","14:20","09:20")</f>
        <v>14:20</v>
      </c>
      <c r="E224" s="578"/>
      <c r="F224" s="442"/>
      <c r="G224" s="124"/>
      <c r="H224" s="579"/>
      <c r="I224" s="34"/>
      <c r="J224" s="358" t="s">
        <v>3768</v>
      </c>
      <c r="K224" s="74"/>
      <c r="R224" s="67"/>
    </row>
    <row r="225">
      <c r="A225" s="12" t="s">
        <v>15</v>
      </c>
      <c r="B225" s="227" t="s">
        <v>1985</v>
      </c>
      <c r="C225" s="74" t="str">
        <f t="shared" si="24"/>
        <v>Segunda-Feira</v>
      </c>
      <c r="D225" s="512" t="str">
        <f>IF(C225&lt;&gt;"Quarta-Feira","14:40","09:40")</f>
        <v>14:40</v>
      </c>
      <c r="E225" s="578" t="s">
        <v>3773</v>
      </c>
      <c r="F225" s="442">
        <v>7.00009757003802E14</v>
      </c>
      <c r="G225" s="124" t="s">
        <v>3774</v>
      </c>
      <c r="H225" s="579">
        <v>23694.0</v>
      </c>
      <c r="I225" s="34"/>
      <c r="J225" s="358" t="s">
        <v>3768</v>
      </c>
      <c r="K225" s="74"/>
      <c r="R225" s="67"/>
    </row>
    <row r="226">
      <c r="A226" s="12" t="s">
        <v>16</v>
      </c>
      <c r="B226" s="227" t="s">
        <v>1989</v>
      </c>
      <c r="C226" s="74" t="str">
        <f t="shared" si="24"/>
        <v>Segunda-Feira</v>
      </c>
      <c r="D226" s="512" t="str">
        <f>IF(C226&lt;&gt;"Quarta-Feira","15:00","10:00")</f>
        <v>15:00</v>
      </c>
      <c r="E226" s="578" t="s">
        <v>3775</v>
      </c>
      <c r="F226" s="442">
        <v>7.0250224856844E14</v>
      </c>
      <c r="G226" s="124" t="s">
        <v>3776</v>
      </c>
      <c r="H226" s="579">
        <v>21073.0</v>
      </c>
      <c r="I226" s="34"/>
      <c r="J226" s="358" t="s">
        <v>3768</v>
      </c>
      <c r="K226" s="74"/>
      <c r="R226" s="67"/>
    </row>
    <row r="227">
      <c r="A227" s="12" t="s">
        <v>17</v>
      </c>
      <c r="B227" s="227" t="s">
        <v>1992</v>
      </c>
      <c r="C227" s="74" t="str">
        <f t="shared" si="24"/>
        <v>Segunda-Feira</v>
      </c>
      <c r="D227" s="512" t="str">
        <f>IF(C227&lt;&gt;"Quarta-Feira","15:20","10:20")</f>
        <v>15:20</v>
      </c>
      <c r="E227" s="578"/>
      <c r="F227" s="442"/>
      <c r="G227" s="124"/>
      <c r="H227" s="579"/>
      <c r="I227" s="34"/>
      <c r="J227" s="358" t="s">
        <v>3768</v>
      </c>
      <c r="K227" s="74"/>
      <c r="R227" s="67"/>
    </row>
    <row r="228">
      <c r="A228" s="12" t="s">
        <v>85</v>
      </c>
      <c r="B228" s="227" t="s">
        <v>1981</v>
      </c>
      <c r="C228" s="74" t="str">
        <f t="shared" si="24"/>
        <v>Segunda-Feira</v>
      </c>
      <c r="D228" s="512" t="str">
        <f>IF(C228&lt;&gt;"Quarta-Feira","15:40","10:40")</f>
        <v>15:40</v>
      </c>
      <c r="E228" s="578"/>
      <c r="F228" s="442"/>
      <c r="G228" s="124"/>
      <c r="H228" s="579"/>
      <c r="I228" s="34"/>
      <c r="J228" s="358" t="s">
        <v>3768</v>
      </c>
      <c r="K228" s="74"/>
      <c r="R228" s="67"/>
    </row>
    <row r="229">
      <c r="A229" s="12" t="s">
        <v>87</v>
      </c>
      <c r="B229" s="227" t="s">
        <v>1985</v>
      </c>
      <c r="C229" s="74" t="str">
        <f t="shared" si="24"/>
        <v>Segunda-Feira</v>
      </c>
      <c r="D229" s="512" t="str">
        <f>IF(C229&lt;&gt;"Quarta-Feira","16:00","11:00")</f>
        <v>16:00</v>
      </c>
      <c r="E229" s="578" t="s">
        <v>3777</v>
      </c>
      <c r="F229" s="442">
        <v>7.06501321033892E14</v>
      </c>
      <c r="G229" s="124" t="s">
        <v>3778</v>
      </c>
      <c r="H229" s="584">
        <v>25299.0</v>
      </c>
      <c r="I229" s="34"/>
      <c r="J229" s="358" t="s">
        <v>3768</v>
      </c>
      <c r="K229" s="74"/>
      <c r="R229" s="67"/>
    </row>
    <row r="230">
      <c r="A230" s="12" t="s">
        <v>90</v>
      </c>
      <c r="B230" s="227" t="s">
        <v>1989</v>
      </c>
      <c r="C230" s="74" t="str">
        <f t="shared" si="24"/>
        <v>Segunda-Feira</v>
      </c>
      <c r="D230" s="512" t="str">
        <f>IF(C230&lt;&gt;"Quarta-Feira","16:20","11:20")</f>
        <v>16:20</v>
      </c>
      <c r="E230" s="578" t="s">
        <v>3779</v>
      </c>
      <c r="F230" s="442">
        <v>7.01802201338871E14</v>
      </c>
      <c r="G230" s="124" t="s">
        <v>3780</v>
      </c>
      <c r="H230" s="579">
        <v>29719.0</v>
      </c>
      <c r="I230" s="34"/>
      <c r="J230" s="358" t="s">
        <v>3768</v>
      </c>
      <c r="K230" s="74"/>
      <c r="R230" s="67"/>
    </row>
    <row r="231">
      <c r="A231" s="12" t="s">
        <v>93</v>
      </c>
      <c r="B231" s="227" t="s">
        <v>1992</v>
      </c>
      <c r="C231" s="74" t="str">
        <f t="shared" si="24"/>
        <v>Segunda-Feira</v>
      </c>
      <c r="D231" s="512" t="str">
        <f>IF(C231&lt;&gt;"Quarta-Feira","16:40","11:40")</f>
        <v>16:40</v>
      </c>
      <c r="E231" s="578" t="s">
        <v>3781</v>
      </c>
      <c r="F231" s="442">
        <v>7.0050997378126E14</v>
      </c>
      <c r="G231" s="124" t="s">
        <v>3782</v>
      </c>
      <c r="H231" s="579">
        <v>21274.0</v>
      </c>
      <c r="I231" s="34"/>
      <c r="J231" s="358" t="s">
        <v>3768</v>
      </c>
      <c r="K231" s="74"/>
      <c r="R231" s="67"/>
    </row>
    <row r="232">
      <c r="B232" s="182"/>
      <c r="E232" s="261"/>
      <c r="G232" s="182"/>
      <c r="H232" s="67"/>
      <c r="J232" s="67"/>
      <c r="K232" s="67"/>
      <c r="R232" s="67"/>
    </row>
    <row r="233">
      <c r="B233" s="182"/>
      <c r="E233" s="261"/>
      <c r="G233" s="182"/>
      <c r="H233" s="67"/>
      <c r="J233" s="67"/>
      <c r="K233" s="67"/>
      <c r="R233" s="67"/>
    </row>
    <row r="234">
      <c r="B234" s="182"/>
      <c r="E234" s="261"/>
      <c r="G234" s="182"/>
      <c r="J234" s="67"/>
      <c r="K234" s="67"/>
      <c r="R234" s="67"/>
    </row>
    <row r="235" hidden="1">
      <c r="A235" s="23" t="s">
        <v>378</v>
      </c>
      <c r="B235" s="2"/>
      <c r="C235" s="2"/>
      <c r="D235" s="2"/>
      <c r="E235" s="2"/>
      <c r="F235" s="2"/>
      <c r="G235" s="2"/>
      <c r="H235" s="2"/>
      <c r="I235" s="2"/>
      <c r="J235" s="2"/>
      <c r="K235" s="3"/>
      <c r="R235" s="67"/>
    </row>
    <row r="236" hidden="1">
      <c r="A236" s="24" t="str">
        <f>TEXT(DATE(VALUE(MID(A218,7,4)),VALUE(MID(A218,4,2)),VALUE(LEFT(A218,2)))+2,"dd/mm/yyyy")&amp;" 08h às 13h"</f>
        <v>01/07/2026 08h às 13h</v>
      </c>
      <c r="B236" s="2"/>
      <c r="C236" s="2"/>
      <c r="D236" s="2"/>
      <c r="E236" s="2"/>
      <c r="F236" s="2"/>
      <c r="G236" s="2"/>
      <c r="H236" s="2"/>
      <c r="I236" s="2"/>
      <c r="J236" s="2"/>
      <c r="K236" s="3"/>
    </row>
    <row r="237" hidden="1">
      <c r="A237" s="25"/>
      <c r="B237" s="489" t="s">
        <v>3</v>
      </c>
      <c r="C237" s="27" t="s">
        <v>2</v>
      </c>
      <c r="D237" s="28" t="s">
        <v>5</v>
      </c>
      <c r="E237" s="29" t="s">
        <v>19</v>
      </c>
      <c r="F237" s="28" t="s">
        <v>6</v>
      </c>
      <c r="G237" s="264" t="s">
        <v>7</v>
      </c>
      <c r="H237" s="30" t="s">
        <v>8</v>
      </c>
      <c r="I237" s="31" t="s">
        <v>20</v>
      </c>
      <c r="J237" s="32" t="s">
        <v>21</v>
      </c>
      <c r="K237" s="32" t="s">
        <v>22</v>
      </c>
    </row>
    <row r="238" hidden="1">
      <c r="A238" s="12" t="s">
        <v>10</v>
      </c>
      <c r="B238" s="227" t="s">
        <v>2014</v>
      </c>
      <c r="C238" s="74" t="str">
        <f t="shared" ref="C238:C249" si="26">PROPER(TEXT(DATE(MID($A$128,7,4),MID($A$128,4,2),LEFT($A$128,2)),"dddd"))</f>
        <v>Quarta-Feira</v>
      </c>
      <c r="D238" s="512" t="str">
        <f>IF(C238&lt;&gt;"Quarta-Feira","13:00","08:00")</f>
        <v>08:00</v>
      </c>
      <c r="E238" s="287"/>
      <c r="F238" s="74"/>
      <c r="G238" s="167"/>
      <c r="H238" s="211"/>
      <c r="I238" s="34"/>
      <c r="J238" s="74"/>
      <c r="K238" s="74"/>
      <c r="N238" s="268" t="s">
        <v>387</v>
      </c>
      <c r="O238" s="100"/>
      <c r="P238" s="100"/>
      <c r="Q238" s="100"/>
      <c r="R238" s="100"/>
    </row>
    <row r="239" hidden="1">
      <c r="A239" s="12" t="s">
        <v>11</v>
      </c>
      <c r="B239" s="227" t="s">
        <v>2019</v>
      </c>
      <c r="C239" s="74" t="str">
        <f t="shared" si="26"/>
        <v>Quarta-Feira</v>
      </c>
      <c r="D239" s="512" t="str">
        <f>IF(C239&lt;&gt;"Quarta-Feira","13:20","08:20")</f>
        <v>08:20</v>
      </c>
      <c r="E239" s="287"/>
      <c r="F239" s="74"/>
      <c r="G239" s="167"/>
      <c r="H239" s="77"/>
      <c r="I239" s="34"/>
      <c r="J239" s="74"/>
      <c r="K239" s="74"/>
      <c r="N239" s="270" t="s">
        <v>1824</v>
      </c>
      <c r="O239" s="2"/>
      <c r="P239" s="2"/>
      <c r="Q239" s="2"/>
      <c r="R239" s="2"/>
    </row>
    <row r="240" hidden="1">
      <c r="A240" s="12" t="s">
        <v>12</v>
      </c>
      <c r="B240" s="227" t="s">
        <v>2021</v>
      </c>
      <c r="C240" s="74" t="str">
        <f t="shared" si="26"/>
        <v>Quarta-Feira</v>
      </c>
      <c r="D240" s="512" t="str">
        <f>IF(C240&lt;&gt;"Quarta-Feira","13:40","08:40")</f>
        <v>08:40</v>
      </c>
      <c r="E240" s="287"/>
      <c r="F240" s="74"/>
      <c r="G240" s="167"/>
      <c r="H240" s="83"/>
      <c r="I240" s="34"/>
      <c r="J240" s="74"/>
      <c r="K240" s="74"/>
      <c r="N240" s="271" t="s">
        <v>183</v>
      </c>
      <c r="O240" s="272" t="s">
        <v>195</v>
      </c>
      <c r="P240" s="272" t="s">
        <v>181</v>
      </c>
      <c r="Q240" s="273" t="s">
        <v>173</v>
      </c>
      <c r="R240" s="286" t="s">
        <v>1823</v>
      </c>
    </row>
    <row r="241" hidden="1">
      <c r="A241" s="12" t="s">
        <v>13</v>
      </c>
      <c r="B241" s="227" t="s">
        <v>2024</v>
      </c>
      <c r="C241" s="74" t="str">
        <f t="shared" si="26"/>
        <v>Quarta-Feira</v>
      </c>
      <c r="D241" s="512" t="str">
        <f>IF(C241&lt;&gt;"Quarta-Feira","14:00","09:00")</f>
        <v>09:00</v>
      </c>
      <c r="E241" s="287"/>
      <c r="F241" s="74"/>
      <c r="G241" s="167"/>
      <c r="H241" s="83"/>
      <c r="I241" s="34"/>
      <c r="J241" s="74"/>
      <c r="K241" s="74"/>
      <c r="N241" s="275">
        <f t="shared" ref="N241:R241" si="27">COUNTIFS($I$184:$I$195,$N$168)</f>
        <v>6</v>
      </c>
      <c r="O241" s="275">
        <f t="shared" si="27"/>
        <v>6</v>
      </c>
      <c r="P241" s="275">
        <f t="shared" si="27"/>
        <v>6</v>
      </c>
      <c r="Q241" s="275">
        <f t="shared" si="27"/>
        <v>6</v>
      </c>
      <c r="R241" s="275">
        <f t="shared" si="27"/>
        <v>6</v>
      </c>
    </row>
    <row r="242" hidden="1">
      <c r="A242" s="12" t="s">
        <v>14</v>
      </c>
      <c r="B242" s="227" t="s">
        <v>2019</v>
      </c>
      <c r="C242" s="74" t="str">
        <f t="shared" si="26"/>
        <v>Quarta-Feira</v>
      </c>
      <c r="D242" s="512" t="str">
        <f>IF(C242&lt;&gt;"Quarta-Feira","14:20","09:20")</f>
        <v>09:20</v>
      </c>
      <c r="E242" s="287"/>
      <c r="F242" s="74"/>
      <c r="G242" s="167"/>
      <c r="H242" s="83"/>
      <c r="I242" s="34"/>
      <c r="J242" s="74"/>
      <c r="K242" s="74"/>
      <c r="R242" s="67"/>
    </row>
    <row r="243" hidden="1">
      <c r="A243" s="12" t="s">
        <v>15</v>
      </c>
      <c r="B243" s="227" t="s">
        <v>2021</v>
      </c>
      <c r="C243" s="74" t="str">
        <f t="shared" si="26"/>
        <v>Quarta-Feira</v>
      </c>
      <c r="D243" s="512" t="str">
        <f>IF(C243&lt;&gt;"Quarta-Feira","14:40","09:40")</f>
        <v>09:40</v>
      </c>
      <c r="E243" s="287"/>
      <c r="F243" s="74"/>
      <c r="G243" s="167"/>
      <c r="H243" s="83"/>
      <c r="I243" s="34"/>
      <c r="J243" s="74"/>
      <c r="K243" s="74"/>
      <c r="R243" s="67"/>
    </row>
    <row r="244" hidden="1">
      <c r="A244" s="12" t="s">
        <v>16</v>
      </c>
      <c r="B244" s="227" t="s">
        <v>2014</v>
      </c>
      <c r="C244" s="74" t="str">
        <f t="shared" si="26"/>
        <v>Quarta-Feira</v>
      </c>
      <c r="D244" s="512" t="str">
        <f>IF(C244&lt;&gt;"Quarta-Feira","15:00","10:00")</f>
        <v>10:00</v>
      </c>
      <c r="E244" s="287"/>
      <c r="F244" s="74"/>
      <c r="G244" s="167"/>
      <c r="H244" s="83"/>
      <c r="I244" s="34"/>
      <c r="J244" s="74"/>
      <c r="K244" s="74"/>
      <c r="R244" s="67"/>
    </row>
    <row r="245" hidden="1">
      <c r="A245" s="12" t="s">
        <v>17</v>
      </c>
      <c r="B245" s="227" t="s">
        <v>2019</v>
      </c>
      <c r="C245" s="74" t="str">
        <f t="shared" si="26"/>
        <v>Quarta-Feira</v>
      </c>
      <c r="D245" s="512" t="str">
        <f>IF(C245&lt;&gt;"Quarta-Feira","15:20","10:20")</f>
        <v>10:20</v>
      </c>
      <c r="E245" s="287"/>
      <c r="F245" s="74"/>
      <c r="G245" s="167"/>
      <c r="H245" s="77"/>
      <c r="I245" s="34"/>
      <c r="J245" s="74"/>
      <c r="K245" s="74"/>
      <c r="R245" s="67"/>
    </row>
    <row r="246" hidden="1">
      <c r="A246" s="12" t="s">
        <v>85</v>
      </c>
      <c r="B246" s="227" t="s">
        <v>2024</v>
      </c>
      <c r="C246" s="74" t="str">
        <f t="shared" si="26"/>
        <v>Quarta-Feira</v>
      </c>
      <c r="D246" s="512" t="str">
        <f>IF(C246&lt;&gt;"Quarta-Feira","15:40","10:40")</f>
        <v>10:40</v>
      </c>
      <c r="E246" s="287"/>
      <c r="F246" s="74"/>
      <c r="G246" s="167"/>
      <c r="H246" s="83"/>
      <c r="I246" s="34"/>
      <c r="J246" s="74"/>
      <c r="K246" s="74"/>
      <c r="R246" s="67"/>
    </row>
    <row r="247" hidden="1">
      <c r="A247" s="12" t="s">
        <v>87</v>
      </c>
      <c r="B247" s="227" t="s">
        <v>2021</v>
      </c>
      <c r="C247" s="74" t="str">
        <f t="shared" si="26"/>
        <v>Quarta-Feira</v>
      </c>
      <c r="D247" s="512" t="str">
        <f>IF(C247&lt;&gt;"Quarta-Feira","16:00","11:00")</f>
        <v>11:00</v>
      </c>
      <c r="E247" s="287"/>
      <c r="F247" s="74"/>
      <c r="G247" s="167"/>
      <c r="H247" s="166"/>
      <c r="I247" s="34"/>
      <c r="J247" s="74"/>
      <c r="K247" s="74"/>
      <c r="R247" s="67"/>
    </row>
    <row r="248" hidden="1">
      <c r="A248" s="12" t="s">
        <v>90</v>
      </c>
      <c r="B248" s="227" t="s">
        <v>2024</v>
      </c>
      <c r="C248" s="74" t="str">
        <f t="shared" si="26"/>
        <v>Quarta-Feira</v>
      </c>
      <c r="D248" s="512" t="str">
        <f>IF(C248&lt;&gt;"Quarta-Feira","16:20","11:20")</f>
        <v>11:20</v>
      </c>
      <c r="E248" s="287"/>
      <c r="F248" s="74"/>
      <c r="G248" s="167"/>
      <c r="H248" s="166"/>
      <c r="I248" s="34"/>
      <c r="J248" s="74"/>
      <c r="K248" s="74"/>
      <c r="R248" s="67"/>
    </row>
    <row r="249" hidden="1">
      <c r="A249" s="12" t="s">
        <v>93</v>
      </c>
      <c r="B249" s="227" t="s">
        <v>2014</v>
      </c>
      <c r="C249" s="74" t="str">
        <f t="shared" si="26"/>
        <v>Quarta-Feira</v>
      </c>
      <c r="D249" s="512" t="str">
        <f>IF(C249&lt;&gt;"Quarta-Feira","16:40","11:40")</f>
        <v>11:40</v>
      </c>
      <c r="E249" s="287"/>
      <c r="F249" s="74"/>
      <c r="G249" s="167"/>
      <c r="H249" s="166"/>
      <c r="I249" s="34"/>
      <c r="J249" s="74"/>
      <c r="K249" s="74"/>
      <c r="R249" s="67"/>
    </row>
    <row r="250">
      <c r="B250" s="182"/>
      <c r="E250" s="261"/>
      <c r="G250" s="182"/>
      <c r="J250" s="67"/>
      <c r="K250" s="67"/>
      <c r="R250" s="67"/>
    </row>
    <row r="251">
      <c r="B251" s="182"/>
      <c r="E251" s="261"/>
      <c r="G251" s="182"/>
      <c r="J251" s="67"/>
      <c r="K251" s="67"/>
      <c r="R251" s="67"/>
    </row>
    <row r="252">
      <c r="B252" s="182"/>
      <c r="E252" s="261"/>
      <c r="G252" s="182"/>
      <c r="J252" s="67"/>
      <c r="K252" s="67"/>
      <c r="R252" s="67"/>
    </row>
    <row r="253">
      <c r="B253" s="182"/>
      <c r="E253" s="261"/>
      <c r="G253" s="182"/>
      <c r="J253" s="67"/>
      <c r="K253" s="67"/>
      <c r="R253" s="67"/>
    </row>
    <row r="254">
      <c r="B254" s="182"/>
      <c r="E254" s="261"/>
      <c r="G254" s="182"/>
      <c r="J254" s="67"/>
      <c r="K254" s="67"/>
      <c r="R254" s="67"/>
    </row>
    <row r="255">
      <c r="B255" s="182"/>
      <c r="E255" s="261"/>
      <c r="G255" s="182"/>
      <c r="J255" s="67"/>
      <c r="K255" s="67"/>
      <c r="R255" s="67"/>
    </row>
    <row r="256">
      <c r="B256" s="182"/>
      <c r="E256" s="261"/>
      <c r="G256" s="182"/>
      <c r="J256" s="67"/>
      <c r="K256" s="67"/>
      <c r="R256" s="67"/>
    </row>
    <row r="257">
      <c r="B257" s="182"/>
      <c r="E257" s="261"/>
      <c r="G257" s="182"/>
      <c r="J257" s="67"/>
      <c r="K257" s="67"/>
      <c r="R257" s="67"/>
    </row>
    <row r="258">
      <c r="B258" s="182"/>
      <c r="E258" s="261"/>
      <c r="G258" s="182"/>
      <c r="J258" s="67"/>
      <c r="K258" s="67"/>
      <c r="R258" s="67"/>
    </row>
    <row r="259">
      <c r="B259" s="182"/>
      <c r="E259" s="261"/>
      <c r="G259" s="182"/>
      <c r="J259" s="67"/>
      <c r="K259" s="67"/>
      <c r="R259" s="67"/>
    </row>
    <row r="260">
      <c r="B260" s="182"/>
      <c r="E260" s="261"/>
      <c r="G260" s="182"/>
      <c r="J260" s="67"/>
      <c r="K260" s="67"/>
      <c r="N260" s="268" t="s">
        <v>2080</v>
      </c>
      <c r="O260" s="100"/>
      <c r="P260" s="100"/>
      <c r="Q260" s="100"/>
      <c r="R260" s="100"/>
    </row>
    <row r="261">
      <c r="B261" s="182"/>
      <c r="E261" s="261"/>
      <c r="G261" s="182"/>
      <c r="J261" s="67"/>
      <c r="K261" s="67"/>
      <c r="N261" s="271" t="s">
        <v>183</v>
      </c>
      <c r="O261" s="272" t="s">
        <v>195</v>
      </c>
      <c r="P261" s="272" t="s">
        <v>181</v>
      </c>
      <c r="Q261" s="273" t="s">
        <v>173</v>
      </c>
      <c r="R261" s="286" t="s">
        <v>1823</v>
      </c>
    </row>
    <row r="262">
      <c r="B262" s="182"/>
      <c r="E262" s="261"/>
      <c r="G262" s="182"/>
      <c r="J262" s="67"/>
      <c r="K262" s="67"/>
      <c r="N262" s="458">
        <f t="shared" ref="N262:R262" si="28">SUM(N59:N256)</f>
        <v>96</v>
      </c>
      <c r="O262" s="458">
        <f t="shared" si="28"/>
        <v>39</v>
      </c>
      <c r="P262" s="458">
        <f t="shared" si="28"/>
        <v>39</v>
      </c>
      <c r="Q262" s="458">
        <f t="shared" si="28"/>
        <v>39</v>
      </c>
      <c r="R262" s="458">
        <f t="shared" si="28"/>
        <v>54</v>
      </c>
    </row>
    <row r="263">
      <c r="B263" s="182"/>
      <c r="E263" s="261"/>
      <c r="G263" s="182"/>
      <c r="J263" s="67"/>
      <c r="K263" s="67"/>
      <c r="R263" s="67"/>
    </row>
    <row r="264">
      <c r="B264" s="182"/>
      <c r="E264" s="261"/>
      <c r="G264" s="182"/>
      <c r="J264" s="67"/>
      <c r="K264" s="67"/>
      <c r="R264" s="67"/>
    </row>
    <row r="265">
      <c r="B265" s="182"/>
      <c r="E265" s="261"/>
      <c r="G265" s="182"/>
      <c r="J265" s="67"/>
      <c r="K265" s="67"/>
      <c r="R265" s="67"/>
    </row>
    <row r="266">
      <c r="B266" s="182"/>
      <c r="E266" s="261"/>
      <c r="G266" s="182"/>
      <c r="J266" s="67"/>
      <c r="K266" s="67"/>
      <c r="R266" s="67"/>
    </row>
    <row r="267">
      <c r="B267" s="182"/>
      <c r="E267" s="261"/>
      <c r="G267" s="182"/>
      <c r="J267" s="67"/>
      <c r="K267" s="67"/>
      <c r="R267" s="67"/>
    </row>
    <row r="268">
      <c r="B268" s="182"/>
      <c r="E268" s="261"/>
      <c r="G268" s="182"/>
      <c r="J268" s="67"/>
      <c r="K268" s="67"/>
      <c r="R268" s="67"/>
    </row>
    <row r="269">
      <c r="B269" s="182"/>
      <c r="E269" s="261"/>
      <c r="G269" s="182"/>
      <c r="J269" s="67"/>
      <c r="K269" s="67"/>
      <c r="R269" s="67"/>
    </row>
    <row r="270">
      <c r="B270" s="182"/>
      <c r="E270" s="261"/>
      <c r="G270" s="182"/>
      <c r="J270" s="67"/>
      <c r="K270" s="67"/>
      <c r="R270" s="67"/>
    </row>
    <row r="271">
      <c r="B271" s="182"/>
      <c r="E271" s="261"/>
      <c r="G271" s="182"/>
      <c r="J271" s="67"/>
      <c r="K271" s="67"/>
      <c r="R271" s="67"/>
    </row>
    <row r="272">
      <c r="B272" s="182"/>
      <c r="E272" s="261"/>
      <c r="G272" s="182"/>
      <c r="J272" s="67"/>
      <c r="K272" s="67"/>
      <c r="R272" s="67"/>
    </row>
    <row r="273">
      <c r="B273" s="182"/>
      <c r="E273" s="261"/>
      <c r="G273" s="182"/>
      <c r="J273" s="67"/>
      <c r="K273" s="67"/>
      <c r="R273" s="67"/>
    </row>
    <row r="274">
      <c r="B274" s="182"/>
      <c r="E274" s="261"/>
      <c r="G274" s="182"/>
      <c r="J274" s="67"/>
      <c r="K274" s="67"/>
      <c r="R274" s="67"/>
    </row>
    <row r="275">
      <c r="B275" s="182"/>
      <c r="E275" s="261"/>
      <c r="G275" s="182"/>
      <c r="J275" s="67"/>
      <c r="K275" s="67"/>
      <c r="R275" s="67"/>
    </row>
    <row r="276">
      <c r="B276" s="182"/>
      <c r="E276" s="261"/>
      <c r="G276" s="182"/>
      <c r="J276" s="67"/>
      <c r="K276" s="67"/>
      <c r="R276" s="67"/>
    </row>
    <row r="277">
      <c r="B277" s="182"/>
      <c r="E277" s="261"/>
      <c r="G277" s="182"/>
      <c r="J277" s="67"/>
      <c r="K277" s="67"/>
      <c r="R277" s="67"/>
    </row>
    <row r="278">
      <c r="B278" s="182"/>
      <c r="E278" s="261"/>
      <c r="G278" s="182"/>
      <c r="J278" s="67"/>
      <c r="K278" s="67"/>
      <c r="R278" s="67"/>
    </row>
    <row r="279">
      <c r="B279" s="182"/>
      <c r="E279" s="261"/>
      <c r="G279" s="182"/>
      <c r="J279" s="67"/>
      <c r="K279" s="67"/>
      <c r="R279" s="67"/>
    </row>
    <row r="280">
      <c r="B280" s="182"/>
      <c r="E280" s="261"/>
      <c r="G280" s="182"/>
      <c r="J280" s="67"/>
      <c r="K280" s="67"/>
      <c r="R280" s="67"/>
    </row>
    <row r="281">
      <c r="B281" s="182"/>
      <c r="E281" s="261"/>
      <c r="G281" s="182"/>
      <c r="J281" s="67"/>
      <c r="K281" s="67"/>
      <c r="R281" s="67"/>
    </row>
    <row r="282">
      <c r="B282" s="182"/>
      <c r="E282" s="261"/>
      <c r="G282" s="182"/>
      <c r="J282" s="67"/>
      <c r="K282" s="67"/>
      <c r="R282" s="67"/>
    </row>
    <row r="283">
      <c r="B283" s="182"/>
      <c r="E283" s="261"/>
      <c r="G283" s="182"/>
      <c r="J283" s="67"/>
      <c r="K283" s="67"/>
      <c r="R283" s="67"/>
    </row>
    <row r="284">
      <c r="B284" s="182"/>
      <c r="E284" s="261"/>
      <c r="G284" s="182"/>
      <c r="J284" s="67"/>
      <c r="K284" s="67"/>
      <c r="R284" s="67"/>
    </row>
    <row r="285">
      <c r="B285" s="182"/>
      <c r="E285" s="261"/>
      <c r="G285" s="182"/>
      <c r="J285" s="67"/>
      <c r="K285" s="67"/>
      <c r="R285" s="67"/>
    </row>
    <row r="286">
      <c r="B286" s="182"/>
      <c r="E286" s="261"/>
      <c r="G286" s="182"/>
      <c r="J286" s="67"/>
      <c r="K286" s="67"/>
      <c r="R286" s="67"/>
    </row>
    <row r="287">
      <c r="B287" s="182"/>
      <c r="E287" s="261"/>
      <c r="G287" s="182"/>
      <c r="J287" s="67"/>
      <c r="K287" s="67"/>
      <c r="R287" s="67"/>
    </row>
    <row r="288">
      <c r="B288" s="182"/>
      <c r="E288" s="261"/>
      <c r="G288" s="182"/>
      <c r="J288" s="67"/>
      <c r="K288" s="67"/>
      <c r="R288" s="67"/>
    </row>
    <row r="289">
      <c r="B289" s="182"/>
      <c r="E289" s="261"/>
      <c r="G289" s="182"/>
      <c r="J289" s="67"/>
      <c r="K289" s="67"/>
      <c r="R289" s="67"/>
    </row>
    <row r="290">
      <c r="B290" s="182"/>
      <c r="E290" s="261"/>
      <c r="G290" s="182"/>
      <c r="J290" s="67"/>
      <c r="K290" s="67"/>
      <c r="R290" s="67"/>
    </row>
    <row r="291">
      <c r="B291" s="182"/>
      <c r="E291" s="261"/>
      <c r="G291" s="182"/>
      <c r="J291" s="67"/>
      <c r="K291" s="67"/>
      <c r="R291" s="67"/>
    </row>
    <row r="292">
      <c r="B292" s="182"/>
      <c r="E292" s="261"/>
      <c r="G292" s="182"/>
      <c r="J292" s="67"/>
      <c r="K292" s="67"/>
      <c r="R292" s="67"/>
    </row>
    <row r="293">
      <c r="B293" s="182"/>
      <c r="E293" s="261"/>
      <c r="G293" s="182"/>
      <c r="J293" s="67"/>
      <c r="K293" s="67"/>
      <c r="R293" s="67"/>
    </row>
    <row r="294">
      <c r="B294" s="182"/>
      <c r="E294" s="261"/>
      <c r="G294" s="182"/>
      <c r="J294" s="67"/>
      <c r="K294" s="67"/>
      <c r="R294" s="67"/>
    </row>
    <row r="295">
      <c r="B295" s="182"/>
      <c r="E295" s="261"/>
      <c r="G295" s="182"/>
      <c r="J295" s="67"/>
      <c r="K295" s="67"/>
      <c r="R295" s="67"/>
    </row>
    <row r="296">
      <c r="B296" s="182"/>
      <c r="E296" s="261"/>
      <c r="G296" s="182"/>
      <c r="J296" s="67"/>
      <c r="K296" s="67"/>
      <c r="R296" s="67"/>
    </row>
    <row r="297">
      <c r="B297" s="182"/>
      <c r="E297" s="261"/>
      <c r="G297" s="182"/>
      <c r="J297" s="67"/>
      <c r="K297" s="67"/>
      <c r="R297" s="67"/>
    </row>
    <row r="298">
      <c r="B298" s="182"/>
      <c r="E298" s="261"/>
      <c r="G298" s="182"/>
      <c r="J298" s="67"/>
      <c r="K298" s="67"/>
      <c r="R298" s="67"/>
    </row>
    <row r="299">
      <c r="B299" s="182"/>
      <c r="E299" s="261"/>
      <c r="G299" s="182"/>
      <c r="J299" s="67"/>
      <c r="K299" s="67"/>
      <c r="R299" s="67"/>
    </row>
    <row r="300">
      <c r="B300" s="182"/>
      <c r="E300" s="261"/>
      <c r="G300" s="182"/>
      <c r="J300" s="67"/>
      <c r="K300" s="67"/>
      <c r="R300" s="67"/>
    </row>
    <row r="301">
      <c r="B301" s="182"/>
      <c r="E301" s="261"/>
      <c r="G301" s="182"/>
      <c r="J301" s="67"/>
      <c r="K301" s="67"/>
      <c r="R301" s="67"/>
    </row>
    <row r="302">
      <c r="B302" s="182"/>
      <c r="E302" s="261"/>
      <c r="G302" s="182"/>
      <c r="J302" s="67"/>
      <c r="K302" s="67"/>
      <c r="R302" s="67"/>
    </row>
    <row r="303">
      <c r="B303" s="182"/>
      <c r="E303" s="261"/>
      <c r="G303" s="182"/>
      <c r="J303" s="67"/>
      <c r="K303" s="67"/>
      <c r="R303" s="67"/>
    </row>
    <row r="304">
      <c r="B304" s="182"/>
      <c r="E304" s="261"/>
      <c r="G304" s="182"/>
      <c r="J304" s="67"/>
      <c r="K304" s="67"/>
      <c r="R304" s="67"/>
    </row>
    <row r="305">
      <c r="B305" s="182"/>
      <c r="E305" s="261"/>
      <c r="G305" s="182"/>
      <c r="J305" s="67"/>
      <c r="K305" s="67"/>
      <c r="R305" s="67"/>
    </row>
    <row r="306">
      <c r="B306" s="182"/>
      <c r="E306" s="261"/>
      <c r="G306" s="182"/>
      <c r="J306" s="67"/>
      <c r="K306" s="67"/>
      <c r="R306" s="67"/>
    </row>
    <row r="307">
      <c r="B307" s="182"/>
      <c r="E307" s="261"/>
      <c r="G307" s="182"/>
      <c r="J307" s="67"/>
      <c r="K307" s="67"/>
      <c r="R307" s="67"/>
    </row>
    <row r="308">
      <c r="B308" s="182"/>
      <c r="E308" s="261"/>
      <c r="G308" s="182"/>
      <c r="J308" s="67"/>
      <c r="K308" s="67"/>
      <c r="R308" s="67"/>
    </row>
    <row r="309">
      <c r="B309" s="182"/>
      <c r="E309" s="261"/>
      <c r="G309" s="182"/>
      <c r="J309" s="67"/>
      <c r="K309" s="67"/>
      <c r="R309" s="67"/>
    </row>
    <row r="310">
      <c r="B310" s="182"/>
      <c r="E310" s="261"/>
      <c r="G310" s="182"/>
      <c r="J310" s="67"/>
      <c r="K310" s="67"/>
      <c r="R310" s="67"/>
    </row>
    <row r="311">
      <c r="B311" s="182"/>
      <c r="E311" s="261"/>
      <c r="G311" s="182"/>
      <c r="J311" s="67"/>
      <c r="K311" s="67"/>
      <c r="R311" s="67"/>
    </row>
    <row r="312">
      <c r="B312" s="182"/>
      <c r="E312" s="261"/>
      <c r="G312" s="182"/>
      <c r="J312" s="67"/>
      <c r="K312" s="67"/>
      <c r="R312" s="67"/>
    </row>
    <row r="313">
      <c r="B313" s="182"/>
      <c r="E313" s="261"/>
      <c r="G313" s="182"/>
      <c r="J313" s="67"/>
      <c r="K313" s="67"/>
      <c r="R313" s="67"/>
    </row>
    <row r="314">
      <c r="B314" s="182"/>
      <c r="E314" s="261"/>
      <c r="G314" s="182"/>
      <c r="J314" s="67"/>
      <c r="K314" s="67"/>
      <c r="R314" s="67"/>
    </row>
    <row r="315">
      <c r="B315" s="182"/>
      <c r="E315" s="261"/>
      <c r="G315" s="182"/>
      <c r="J315" s="67"/>
      <c r="K315" s="67"/>
      <c r="R315" s="67"/>
    </row>
    <row r="316">
      <c r="B316" s="182"/>
      <c r="E316" s="261"/>
      <c r="G316" s="182"/>
      <c r="J316" s="67"/>
      <c r="K316" s="67"/>
      <c r="R316" s="67"/>
    </row>
    <row r="317">
      <c r="B317" s="182"/>
      <c r="E317" s="261"/>
      <c r="G317" s="182"/>
      <c r="J317" s="67"/>
      <c r="K317" s="67"/>
      <c r="R317" s="67"/>
    </row>
    <row r="318">
      <c r="B318" s="182"/>
      <c r="E318" s="261"/>
      <c r="G318" s="182"/>
      <c r="J318" s="67"/>
      <c r="K318" s="67"/>
      <c r="R318" s="67"/>
    </row>
    <row r="319">
      <c r="B319" s="182"/>
      <c r="E319" s="261"/>
      <c r="G319" s="182"/>
      <c r="J319" s="67"/>
      <c r="K319" s="67"/>
      <c r="R319" s="67"/>
    </row>
    <row r="320">
      <c r="B320" s="182"/>
      <c r="E320" s="261"/>
      <c r="G320" s="182"/>
      <c r="J320" s="67"/>
      <c r="K320" s="67"/>
      <c r="R320" s="67"/>
    </row>
    <row r="321">
      <c r="B321" s="182"/>
      <c r="E321" s="261"/>
      <c r="G321" s="182"/>
      <c r="J321" s="67"/>
      <c r="K321" s="67"/>
      <c r="R321" s="67"/>
    </row>
    <row r="322">
      <c r="B322" s="182"/>
      <c r="E322" s="261"/>
      <c r="G322" s="182"/>
      <c r="J322" s="67"/>
      <c r="K322" s="67"/>
      <c r="R322" s="67"/>
    </row>
    <row r="323">
      <c r="B323" s="182"/>
      <c r="E323" s="261"/>
      <c r="G323" s="182"/>
      <c r="J323" s="67"/>
      <c r="K323" s="67"/>
      <c r="R323" s="67"/>
    </row>
    <row r="324">
      <c r="B324" s="182"/>
      <c r="E324" s="261"/>
      <c r="G324" s="182"/>
      <c r="J324" s="67"/>
      <c r="K324" s="67"/>
      <c r="R324" s="67"/>
    </row>
    <row r="325">
      <c r="B325" s="182"/>
      <c r="E325" s="261"/>
      <c r="G325" s="182"/>
      <c r="J325" s="67"/>
      <c r="K325" s="67"/>
      <c r="R325" s="67"/>
    </row>
    <row r="326">
      <c r="B326" s="182"/>
      <c r="E326" s="261"/>
      <c r="G326" s="182"/>
      <c r="J326" s="67"/>
      <c r="K326" s="67"/>
      <c r="R326" s="67"/>
    </row>
    <row r="327">
      <c r="B327" s="182"/>
      <c r="E327" s="261"/>
      <c r="G327" s="182"/>
      <c r="J327" s="67"/>
      <c r="K327" s="67"/>
      <c r="R327" s="67"/>
    </row>
    <row r="328">
      <c r="B328" s="182"/>
      <c r="E328" s="261"/>
      <c r="G328" s="182"/>
      <c r="J328" s="67"/>
      <c r="K328" s="67"/>
      <c r="R328" s="67"/>
    </row>
    <row r="329">
      <c r="B329" s="182"/>
      <c r="E329" s="261"/>
      <c r="G329" s="182"/>
      <c r="J329" s="67"/>
      <c r="K329" s="67"/>
      <c r="R329" s="67"/>
    </row>
    <row r="330">
      <c r="B330" s="182"/>
      <c r="E330" s="261"/>
      <c r="G330" s="182"/>
      <c r="J330" s="67"/>
      <c r="K330" s="67"/>
      <c r="R330" s="67"/>
    </row>
    <row r="331">
      <c r="B331" s="182"/>
      <c r="E331" s="261"/>
      <c r="G331" s="182"/>
      <c r="J331" s="67"/>
      <c r="K331" s="67"/>
      <c r="R331" s="67"/>
    </row>
    <row r="332">
      <c r="B332" s="182"/>
      <c r="E332" s="261"/>
      <c r="G332" s="182"/>
      <c r="J332" s="67"/>
      <c r="K332" s="67"/>
      <c r="R332" s="67"/>
    </row>
    <row r="333">
      <c r="B333" s="182"/>
      <c r="E333" s="261"/>
      <c r="G333" s="182"/>
      <c r="J333" s="67"/>
      <c r="K333" s="67"/>
      <c r="R333" s="67"/>
    </row>
    <row r="334">
      <c r="B334" s="182"/>
      <c r="E334" s="261"/>
      <c r="G334" s="182"/>
      <c r="J334" s="67"/>
      <c r="K334" s="67"/>
      <c r="R334" s="67"/>
    </row>
    <row r="335">
      <c r="B335" s="182"/>
      <c r="E335" s="261"/>
      <c r="G335" s="182"/>
      <c r="J335" s="67"/>
      <c r="K335" s="67"/>
      <c r="R335" s="67"/>
    </row>
    <row r="336">
      <c r="B336" s="182"/>
      <c r="E336" s="261"/>
      <c r="G336" s="182"/>
      <c r="J336" s="67"/>
      <c r="K336" s="67"/>
      <c r="R336" s="67"/>
    </row>
    <row r="337">
      <c r="B337" s="182"/>
      <c r="E337" s="261"/>
      <c r="G337" s="182"/>
      <c r="J337" s="67"/>
      <c r="K337" s="67"/>
      <c r="R337" s="67"/>
    </row>
    <row r="338">
      <c r="B338" s="182"/>
      <c r="E338" s="261"/>
      <c r="G338" s="182"/>
      <c r="J338" s="67"/>
      <c r="K338" s="67"/>
      <c r="R338" s="67"/>
    </row>
    <row r="339">
      <c r="B339" s="182"/>
      <c r="E339" s="261"/>
      <c r="G339" s="182"/>
      <c r="J339" s="67"/>
      <c r="K339" s="67"/>
      <c r="R339" s="67"/>
    </row>
    <row r="340">
      <c r="B340" s="182"/>
      <c r="E340" s="261"/>
      <c r="G340" s="182"/>
      <c r="J340" s="67"/>
      <c r="K340" s="67"/>
      <c r="R340" s="67"/>
    </row>
    <row r="341">
      <c r="B341" s="182"/>
      <c r="E341" s="261"/>
      <c r="G341" s="182"/>
      <c r="J341" s="67"/>
      <c r="K341" s="67"/>
      <c r="R341" s="67"/>
    </row>
    <row r="342">
      <c r="B342" s="182"/>
      <c r="E342" s="261"/>
      <c r="G342" s="182"/>
      <c r="J342" s="67"/>
      <c r="K342" s="67"/>
      <c r="R342" s="67"/>
    </row>
    <row r="343">
      <c r="B343" s="182"/>
      <c r="E343" s="261"/>
      <c r="G343" s="182"/>
      <c r="J343" s="67"/>
      <c r="K343" s="67"/>
      <c r="R343" s="67"/>
    </row>
    <row r="344">
      <c r="B344" s="182"/>
      <c r="E344" s="261"/>
      <c r="G344" s="182"/>
      <c r="J344" s="67"/>
      <c r="K344" s="67"/>
      <c r="R344" s="67"/>
    </row>
    <row r="345">
      <c r="B345" s="182"/>
      <c r="E345" s="261"/>
      <c r="G345" s="182"/>
      <c r="J345" s="67"/>
      <c r="K345" s="67"/>
      <c r="R345" s="67"/>
    </row>
    <row r="346">
      <c r="B346" s="182"/>
      <c r="E346" s="261"/>
      <c r="G346" s="182"/>
      <c r="J346" s="67"/>
      <c r="K346" s="67"/>
      <c r="R346" s="67"/>
    </row>
    <row r="347">
      <c r="B347" s="182"/>
      <c r="E347" s="261"/>
      <c r="G347" s="182"/>
      <c r="J347" s="67"/>
      <c r="K347" s="67"/>
      <c r="R347" s="67"/>
    </row>
    <row r="348">
      <c r="B348" s="182"/>
      <c r="E348" s="261"/>
      <c r="G348" s="182"/>
      <c r="J348" s="67"/>
      <c r="K348" s="67"/>
      <c r="R348" s="67"/>
    </row>
    <row r="349">
      <c r="B349" s="182"/>
      <c r="E349" s="261"/>
      <c r="G349" s="182"/>
      <c r="J349" s="67"/>
      <c r="K349" s="67"/>
      <c r="R349" s="67"/>
    </row>
    <row r="350">
      <c r="B350" s="182"/>
      <c r="E350" s="261"/>
      <c r="G350" s="182"/>
      <c r="J350" s="67"/>
      <c r="K350" s="67"/>
      <c r="R350" s="67"/>
    </row>
    <row r="351">
      <c r="B351" s="182"/>
      <c r="E351" s="261"/>
      <c r="G351" s="182"/>
      <c r="J351" s="67"/>
      <c r="K351" s="67"/>
      <c r="R351" s="67"/>
    </row>
    <row r="352">
      <c r="B352" s="182"/>
      <c r="E352" s="261"/>
      <c r="G352" s="182"/>
      <c r="J352" s="67"/>
      <c r="K352" s="67"/>
      <c r="R352" s="67"/>
    </row>
    <row r="353">
      <c r="B353" s="182"/>
      <c r="E353" s="261"/>
      <c r="G353" s="182"/>
      <c r="J353" s="67"/>
      <c r="K353" s="67"/>
      <c r="R353" s="67"/>
    </row>
    <row r="354">
      <c r="B354" s="182"/>
      <c r="E354" s="261"/>
      <c r="G354" s="182"/>
      <c r="J354" s="67"/>
      <c r="K354" s="67"/>
      <c r="R354" s="67"/>
    </row>
    <row r="355">
      <c r="B355" s="182"/>
      <c r="E355" s="261"/>
      <c r="G355" s="182"/>
      <c r="J355" s="67"/>
      <c r="K355" s="67"/>
      <c r="R355" s="67"/>
    </row>
    <row r="356">
      <c r="B356" s="182"/>
      <c r="E356" s="261"/>
      <c r="G356" s="182"/>
      <c r="J356" s="67"/>
      <c r="K356" s="67"/>
      <c r="R356" s="67"/>
    </row>
    <row r="357">
      <c r="B357" s="182"/>
      <c r="E357" s="261"/>
      <c r="G357" s="182"/>
      <c r="J357" s="67"/>
      <c r="K357" s="67"/>
      <c r="R357" s="67"/>
    </row>
    <row r="358">
      <c r="B358" s="182"/>
      <c r="E358" s="261"/>
      <c r="G358" s="182"/>
      <c r="J358" s="67"/>
      <c r="K358" s="67"/>
      <c r="R358" s="67"/>
    </row>
    <row r="359">
      <c r="B359" s="182"/>
      <c r="E359" s="261"/>
      <c r="G359" s="182"/>
      <c r="J359" s="67"/>
      <c r="K359" s="67"/>
      <c r="R359" s="67"/>
    </row>
    <row r="360">
      <c r="B360" s="182"/>
      <c r="E360" s="261"/>
      <c r="G360" s="182"/>
      <c r="J360" s="67"/>
      <c r="K360" s="67"/>
      <c r="R360" s="67"/>
    </row>
    <row r="361">
      <c r="B361" s="182"/>
      <c r="E361" s="261"/>
      <c r="G361" s="182"/>
      <c r="J361" s="67"/>
      <c r="K361" s="67"/>
      <c r="R361" s="67"/>
    </row>
    <row r="362">
      <c r="B362" s="182"/>
      <c r="E362" s="261"/>
      <c r="G362" s="182"/>
      <c r="J362" s="67"/>
      <c r="K362" s="67"/>
      <c r="R362" s="67"/>
    </row>
    <row r="363">
      <c r="B363" s="182"/>
      <c r="E363" s="261"/>
      <c r="G363" s="182"/>
      <c r="J363" s="67"/>
      <c r="K363" s="67"/>
      <c r="R363" s="67"/>
    </row>
    <row r="364">
      <c r="B364" s="182"/>
      <c r="E364" s="261"/>
      <c r="G364" s="182"/>
      <c r="J364" s="67"/>
      <c r="K364" s="67"/>
      <c r="R364" s="67"/>
    </row>
    <row r="365">
      <c r="B365" s="182"/>
      <c r="E365" s="261"/>
      <c r="G365" s="182"/>
      <c r="J365" s="67"/>
      <c r="K365" s="67"/>
      <c r="R365" s="67"/>
    </row>
    <row r="366">
      <c r="B366" s="182"/>
      <c r="E366" s="261"/>
      <c r="G366" s="182"/>
      <c r="J366" s="67"/>
      <c r="K366" s="67"/>
      <c r="R366" s="67"/>
    </row>
    <row r="367">
      <c r="B367" s="182"/>
      <c r="E367" s="261"/>
      <c r="G367" s="182"/>
      <c r="J367" s="67"/>
      <c r="K367" s="67"/>
      <c r="R367" s="67"/>
    </row>
    <row r="368">
      <c r="B368" s="182"/>
      <c r="E368" s="261"/>
      <c r="G368" s="182"/>
      <c r="J368" s="67"/>
      <c r="K368" s="67"/>
      <c r="R368" s="67"/>
    </row>
    <row r="369">
      <c r="B369" s="182"/>
      <c r="E369" s="261"/>
      <c r="G369" s="182"/>
      <c r="J369" s="67"/>
      <c r="K369" s="67"/>
      <c r="R369" s="67"/>
    </row>
    <row r="370">
      <c r="B370" s="182"/>
      <c r="E370" s="261"/>
      <c r="G370" s="182"/>
      <c r="J370" s="67"/>
      <c r="K370" s="67"/>
      <c r="R370" s="67"/>
    </row>
    <row r="371">
      <c r="B371" s="182"/>
      <c r="E371" s="261"/>
      <c r="G371" s="182"/>
      <c r="J371" s="67"/>
      <c r="K371" s="67"/>
      <c r="R371" s="67"/>
    </row>
    <row r="372">
      <c r="B372" s="182"/>
      <c r="E372" s="261"/>
      <c r="G372" s="182"/>
      <c r="J372" s="67"/>
      <c r="K372" s="67"/>
      <c r="R372" s="67"/>
    </row>
    <row r="373">
      <c r="B373" s="182"/>
      <c r="E373" s="261"/>
      <c r="G373" s="182"/>
      <c r="J373" s="67"/>
      <c r="K373" s="67"/>
      <c r="R373" s="67"/>
    </row>
    <row r="374">
      <c r="B374" s="182"/>
      <c r="E374" s="261"/>
      <c r="G374" s="182"/>
      <c r="J374" s="67"/>
      <c r="K374" s="67"/>
      <c r="R374" s="67"/>
    </row>
    <row r="375">
      <c r="B375" s="182"/>
      <c r="E375" s="261"/>
      <c r="G375" s="182"/>
      <c r="J375" s="67"/>
      <c r="K375" s="67"/>
      <c r="R375" s="67"/>
    </row>
    <row r="376">
      <c r="B376" s="182"/>
      <c r="E376" s="261"/>
      <c r="G376" s="182"/>
      <c r="J376" s="67"/>
      <c r="K376" s="67"/>
      <c r="R376" s="67"/>
    </row>
    <row r="377">
      <c r="B377" s="182"/>
      <c r="E377" s="261"/>
      <c r="G377" s="182"/>
      <c r="J377" s="67"/>
      <c r="K377" s="67"/>
      <c r="R377" s="67"/>
    </row>
    <row r="378">
      <c r="B378" s="182"/>
      <c r="E378" s="261"/>
      <c r="G378" s="182"/>
      <c r="J378" s="67"/>
      <c r="K378" s="67"/>
      <c r="R378" s="67"/>
    </row>
    <row r="379">
      <c r="B379" s="182"/>
      <c r="E379" s="261"/>
      <c r="G379" s="182"/>
      <c r="J379" s="67"/>
      <c r="K379" s="67"/>
      <c r="R379" s="67"/>
    </row>
    <row r="380">
      <c r="B380" s="182"/>
      <c r="E380" s="261"/>
      <c r="G380" s="182"/>
      <c r="J380" s="67"/>
      <c r="K380" s="67"/>
      <c r="R380" s="67"/>
    </row>
    <row r="381">
      <c r="B381" s="182"/>
      <c r="E381" s="261"/>
      <c r="G381" s="182"/>
      <c r="J381" s="67"/>
      <c r="K381" s="67"/>
      <c r="R381" s="67"/>
    </row>
    <row r="382">
      <c r="B382" s="182"/>
      <c r="E382" s="261"/>
      <c r="G382" s="182"/>
      <c r="J382" s="67"/>
      <c r="K382" s="67"/>
      <c r="R382" s="67"/>
    </row>
    <row r="383">
      <c r="B383" s="182"/>
      <c r="E383" s="261"/>
      <c r="G383" s="182"/>
      <c r="J383" s="67"/>
      <c r="K383" s="67"/>
      <c r="R383" s="67"/>
    </row>
    <row r="384">
      <c r="B384" s="182"/>
      <c r="E384" s="261"/>
      <c r="G384" s="182"/>
      <c r="J384" s="67"/>
      <c r="K384" s="67"/>
      <c r="R384" s="67"/>
    </row>
    <row r="385">
      <c r="B385" s="182"/>
      <c r="E385" s="261"/>
      <c r="G385" s="182"/>
      <c r="J385" s="67"/>
      <c r="K385" s="67"/>
      <c r="R385" s="67"/>
    </row>
    <row r="386">
      <c r="B386" s="182"/>
      <c r="E386" s="261"/>
      <c r="G386" s="182"/>
      <c r="J386" s="67"/>
      <c r="K386" s="67"/>
      <c r="R386" s="67"/>
    </row>
    <row r="387">
      <c r="B387" s="182"/>
      <c r="E387" s="261"/>
      <c r="G387" s="182"/>
      <c r="J387" s="67"/>
      <c r="K387" s="67"/>
      <c r="R387" s="67"/>
    </row>
    <row r="388">
      <c r="B388" s="182"/>
      <c r="E388" s="261"/>
      <c r="G388" s="182"/>
      <c r="J388" s="67"/>
      <c r="K388" s="67"/>
      <c r="R388" s="67"/>
    </row>
    <row r="389">
      <c r="B389" s="182"/>
      <c r="E389" s="261"/>
      <c r="G389" s="182"/>
      <c r="J389" s="67"/>
      <c r="K389" s="67"/>
      <c r="R389" s="67"/>
    </row>
    <row r="390">
      <c r="B390" s="182"/>
      <c r="E390" s="261"/>
      <c r="G390" s="182"/>
      <c r="J390" s="67"/>
      <c r="K390" s="67"/>
      <c r="R390" s="67"/>
    </row>
    <row r="391">
      <c r="B391" s="182"/>
      <c r="E391" s="261"/>
      <c r="G391" s="182"/>
      <c r="J391" s="67"/>
      <c r="K391" s="67"/>
      <c r="R391" s="67"/>
    </row>
    <row r="392">
      <c r="B392" s="182"/>
      <c r="E392" s="261"/>
      <c r="G392" s="182"/>
      <c r="J392" s="67"/>
      <c r="K392" s="67"/>
      <c r="R392" s="67"/>
    </row>
    <row r="393">
      <c r="B393" s="182"/>
      <c r="E393" s="261"/>
      <c r="G393" s="182"/>
      <c r="J393" s="67"/>
      <c r="K393" s="67"/>
      <c r="R393" s="67"/>
    </row>
    <row r="394">
      <c r="B394" s="182"/>
      <c r="E394" s="261"/>
      <c r="G394" s="182"/>
      <c r="J394" s="67"/>
      <c r="K394" s="67"/>
      <c r="R394" s="67"/>
    </row>
    <row r="395">
      <c r="B395" s="182"/>
      <c r="E395" s="261"/>
      <c r="G395" s="182"/>
      <c r="J395" s="67"/>
      <c r="K395" s="67"/>
      <c r="R395" s="67"/>
    </row>
    <row r="396">
      <c r="B396" s="182"/>
      <c r="E396" s="261"/>
      <c r="G396" s="182"/>
      <c r="J396" s="67"/>
      <c r="K396" s="67"/>
      <c r="R396" s="67"/>
    </row>
    <row r="397">
      <c r="B397" s="182"/>
      <c r="E397" s="261"/>
      <c r="G397" s="182"/>
      <c r="J397" s="67"/>
      <c r="K397" s="67"/>
      <c r="R397" s="67"/>
    </row>
    <row r="398">
      <c r="B398" s="182"/>
      <c r="E398" s="261"/>
      <c r="G398" s="182"/>
      <c r="J398" s="67"/>
      <c r="K398" s="67"/>
      <c r="R398" s="67"/>
    </row>
    <row r="399">
      <c r="B399" s="182"/>
      <c r="E399" s="261"/>
      <c r="G399" s="182"/>
      <c r="J399" s="67"/>
      <c r="K399" s="67"/>
      <c r="R399" s="67"/>
    </row>
    <row r="400">
      <c r="B400" s="182"/>
      <c r="E400" s="261"/>
      <c r="G400" s="182"/>
      <c r="J400" s="67"/>
      <c r="K400" s="67"/>
      <c r="R400" s="67"/>
    </row>
    <row r="401">
      <c r="B401" s="182"/>
      <c r="E401" s="261"/>
      <c r="G401" s="182"/>
      <c r="J401" s="67"/>
      <c r="K401" s="67"/>
      <c r="R401" s="67"/>
    </row>
    <row r="402">
      <c r="B402" s="182"/>
      <c r="E402" s="261"/>
      <c r="G402" s="182"/>
      <c r="J402" s="67"/>
      <c r="K402" s="67"/>
      <c r="R402" s="67"/>
    </row>
    <row r="403">
      <c r="B403" s="182"/>
      <c r="E403" s="261"/>
      <c r="G403" s="182"/>
      <c r="J403" s="67"/>
      <c r="K403" s="67"/>
      <c r="R403" s="67"/>
    </row>
    <row r="404">
      <c r="B404" s="182"/>
      <c r="E404" s="261"/>
      <c r="G404" s="182"/>
      <c r="J404" s="67"/>
      <c r="K404" s="67"/>
      <c r="R404" s="67"/>
    </row>
    <row r="405">
      <c r="B405" s="182"/>
      <c r="E405" s="261"/>
      <c r="G405" s="182"/>
      <c r="J405" s="67"/>
      <c r="K405" s="67"/>
      <c r="R405" s="67"/>
    </row>
    <row r="406">
      <c r="B406" s="182"/>
      <c r="E406" s="261"/>
      <c r="G406" s="182"/>
      <c r="J406" s="67"/>
      <c r="K406" s="67"/>
      <c r="R406" s="67"/>
    </row>
    <row r="407">
      <c r="B407" s="182"/>
      <c r="E407" s="261"/>
      <c r="G407" s="182"/>
      <c r="J407" s="67"/>
      <c r="K407" s="67"/>
      <c r="R407" s="67"/>
    </row>
    <row r="408">
      <c r="B408" s="182"/>
      <c r="E408" s="261"/>
      <c r="G408" s="182"/>
      <c r="J408" s="67"/>
      <c r="K408" s="67"/>
      <c r="R408" s="67"/>
    </row>
    <row r="409">
      <c r="B409" s="182"/>
      <c r="E409" s="261"/>
      <c r="G409" s="182"/>
      <c r="J409" s="67"/>
      <c r="K409" s="67"/>
      <c r="R409" s="67"/>
    </row>
    <row r="410">
      <c r="B410" s="182"/>
      <c r="E410" s="261"/>
      <c r="G410" s="182"/>
      <c r="J410" s="67"/>
      <c r="K410" s="67"/>
      <c r="R410" s="67"/>
    </row>
    <row r="411">
      <c r="B411" s="182"/>
      <c r="E411" s="261"/>
      <c r="G411" s="182"/>
      <c r="J411" s="67"/>
      <c r="K411" s="67"/>
      <c r="R411" s="67"/>
    </row>
    <row r="412">
      <c r="B412" s="182"/>
      <c r="E412" s="261"/>
      <c r="G412" s="182"/>
      <c r="J412" s="67"/>
      <c r="K412" s="67"/>
      <c r="R412" s="67"/>
    </row>
    <row r="413">
      <c r="B413" s="182"/>
      <c r="E413" s="261"/>
      <c r="G413" s="182"/>
      <c r="J413" s="67"/>
      <c r="K413" s="67"/>
      <c r="R413" s="67"/>
    </row>
    <row r="414">
      <c r="B414" s="182"/>
      <c r="E414" s="261"/>
      <c r="G414" s="182"/>
      <c r="J414" s="67"/>
      <c r="K414" s="67"/>
      <c r="R414" s="67"/>
    </row>
    <row r="415">
      <c r="B415" s="182"/>
      <c r="E415" s="261"/>
      <c r="G415" s="182"/>
      <c r="J415" s="67"/>
      <c r="K415" s="67"/>
      <c r="R415" s="67"/>
    </row>
    <row r="416">
      <c r="B416" s="182"/>
      <c r="E416" s="261"/>
      <c r="G416" s="182"/>
      <c r="J416" s="67"/>
      <c r="K416" s="67"/>
      <c r="R416" s="67"/>
    </row>
    <row r="417">
      <c r="B417" s="182"/>
      <c r="E417" s="261"/>
      <c r="G417" s="182"/>
      <c r="J417" s="67"/>
      <c r="K417" s="67"/>
      <c r="R417" s="67"/>
    </row>
    <row r="418">
      <c r="B418" s="182"/>
      <c r="E418" s="261"/>
      <c r="G418" s="182"/>
      <c r="J418" s="67"/>
      <c r="K418" s="67"/>
      <c r="R418" s="67"/>
    </row>
    <row r="419">
      <c r="B419" s="182"/>
      <c r="E419" s="261"/>
      <c r="G419" s="182"/>
      <c r="J419" s="67"/>
      <c r="K419" s="67"/>
      <c r="R419" s="67"/>
    </row>
    <row r="420">
      <c r="B420" s="182"/>
      <c r="E420" s="261"/>
      <c r="G420" s="182"/>
      <c r="J420" s="67"/>
      <c r="K420" s="67"/>
      <c r="R420" s="67"/>
    </row>
    <row r="421">
      <c r="B421" s="182"/>
      <c r="E421" s="261"/>
      <c r="G421" s="182"/>
      <c r="J421" s="67"/>
      <c r="K421" s="67"/>
      <c r="R421" s="67"/>
    </row>
    <row r="422">
      <c r="B422" s="182"/>
      <c r="E422" s="261"/>
      <c r="G422" s="182"/>
      <c r="J422" s="67"/>
      <c r="K422" s="67"/>
      <c r="R422" s="67"/>
    </row>
    <row r="423">
      <c r="B423" s="182"/>
      <c r="E423" s="261"/>
      <c r="G423" s="182"/>
      <c r="J423" s="67"/>
      <c r="K423" s="67"/>
      <c r="R423" s="67"/>
    </row>
    <row r="424">
      <c r="B424" s="182"/>
      <c r="E424" s="261"/>
      <c r="G424" s="182"/>
      <c r="J424" s="67"/>
      <c r="K424" s="67"/>
      <c r="R424" s="67"/>
    </row>
    <row r="425">
      <c r="B425" s="182"/>
      <c r="E425" s="261"/>
      <c r="G425" s="182"/>
      <c r="J425" s="67"/>
      <c r="K425" s="67"/>
      <c r="R425" s="67"/>
    </row>
    <row r="426">
      <c r="B426" s="182"/>
      <c r="E426" s="261"/>
      <c r="G426" s="182"/>
      <c r="J426" s="67"/>
      <c r="K426" s="67"/>
      <c r="R426" s="67"/>
    </row>
    <row r="427">
      <c r="B427" s="182"/>
      <c r="E427" s="261"/>
      <c r="G427" s="182"/>
      <c r="J427" s="67"/>
      <c r="K427" s="67"/>
      <c r="R427" s="67"/>
    </row>
    <row r="428">
      <c r="B428" s="182"/>
      <c r="E428" s="261"/>
      <c r="G428" s="182"/>
      <c r="J428" s="67"/>
      <c r="K428" s="67"/>
      <c r="R428" s="67"/>
    </row>
    <row r="429">
      <c r="B429" s="182"/>
      <c r="E429" s="261"/>
      <c r="G429" s="182"/>
      <c r="J429" s="67"/>
      <c r="K429" s="67"/>
      <c r="R429" s="67"/>
    </row>
    <row r="430">
      <c r="B430" s="182"/>
      <c r="E430" s="261"/>
      <c r="G430" s="182"/>
      <c r="J430" s="67"/>
      <c r="K430" s="67"/>
      <c r="R430" s="67"/>
    </row>
    <row r="431">
      <c r="B431" s="182"/>
      <c r="E431" s="261"/>
      <c r="G431" s="182"/>
      <c r="J431" s="67"/>
      <c r="K431" s="67"/>
      <c r="R431" s="67"/>
    </row>
    <row r="432">
      <c r="B432" s="182"/>
      <c r="E432" s="261"/>
      <c r="G432" s="182"/>
      <c r="J432" s="67"/>
      <c r="K432" s="67"/>
      <c r="R432" s="67"/>
    </row>
    <row r="433">
      <c r="B433" s="182"/>
      <c r="E433" s="261"/>
      <c r="G433" s="182"/>
      <c r="J433" s="67"/>
      <c r="K433" s="67"/>
      <c r="R433" s="67"/>
    </row>
    <row r="434">
      <c r="B434" s="182"/>
      <c r="E434" s="261"/>
      <c r="G434" s="182"/>
      <c r="J434" s="67"/>
      <c r="K434" s="67"/>
      <c r="R434" s="67"/>
    </row>
    <row r="435">
      <c r="B435" s="182"/>
      <c r="E435" s="261"/>
      <c r="G435" s="182"/>
      <c r="J435" s="67"/>
      <c r="K435" s="67"/>
      <c r="R435" s="67"/>
    </row>
    <row r="436">
      <c r="B436" s="182"/>
      <c r="E436" s="261"/>
      <c r="G436" s="182"/>
      <c r="J436" s="67"/>
      <c r="K436" s="67"/>
      <c r="R436" s="67"/>
    </row>
    <row r="437">
      <c r="B437" s="182"/>
      <c r="E437" s="261"/>
      <c r="G437" s="182"/>
      <c r="J437" s="67"/>
      <c r="K437" s="67"/>
      <c r="R437" s="67"/>
    </row>
    <row r="438">
      <c r="B438" s="182"/>
      <c r="E438" s="261"/>
      <c r="G438" s="182"/>
      <c r="J438" s="67"/>
      <c r="K438" s="67"/>
      <c r="R438" s="67"/>
    </row>
    <row r="439">
      <c r="B439" s="182"/>
      <c r="E439" s="261"/>
      <c r="G439" s="182"/>
      <c r="J439" s="67"/>
      <c r="K439" s="67"/>
      <c r="R439" s="67"/>
    </row>
    <row r="440">
      <c r="B440" s="182"/>
      <c r="E440" s="261"/>
      <c r="G440" s="182"/>
      <c r="J440" s="67"/>
      <c r="K440" s="67"/>
      <c r="R440" s="67"/>
    </row>
    <row r="441">
      <c r="B441" s="182"/>
      <c r="E441" s="261"/>
      <c r="G441" s="182"/>
      <c r="J441" s="67"/>
      <c r="K441" s="67"/>
      <c r="R441" s="67"/>
    </row>
    <row r="442">
      <c r="B442" s="182"/>
      <c r="E442" s="261"/>
      <c r="G442" s="182"/>
      <c r="J442" s="67"/>
      <c r="K442" s="67"/>
      <c r="R442" s="67"/>
    </row>
    <row r="443">
      <c r="B443" s="182"/>
      <c r="E443" s="261"/>
      <c r="G443" s="182"/>
      <c r="J443" s="67"/>
      <c r="K443" s="67"/>
      <c r="R443" s="67"/>
    </row>
    <row r="444">
      <c r="B444" s="182"/>
      <c r="E444" s="261"/>
      <c r="G444" s="182"/>
      <c r="J444" s="67"/>
      <c r="K444" s="67"/>
      <c r="R444" s="67"/>
    </row>
    <row r="445">
      <c r="B445" s="182"/>
      <c r="E445" s="261"/>
      <c r="G445" s="182"/>
      <c r="J445" s="67"/>
      <c r="K445" s="67"/>
      <c r="R445" s="67"/>
    </row>
    <row r="446">
      <c r="B446" s="182"/>
      <c r="E446" s="261"/>
      <c r="G446" s="182"/>
      <c r="J446" s="67"/>
      <c r="K446" s="67"/>
      <c r="R446" s="67"/>
    </row>
    <row r="447">
      <c r="B447" s="182"/>
      <c r="E447" s="261"/>
      <c r="G447" s="182"/>
      <c r="J447" s="67"/>
      <c r="K447" s="67"/>
      <c r="R447" s="67"/>
    </row>
    <row r="448">
      <c r="B448" s="182"/>
      <c r="E448" s="261"/>
      <c r="G448" s="182"/>
      <c r="J448" s="67"/>
      <c r="K448" s="67"/>
      <c r="R448" s="67"/>
    </row>
    <row r="449">
      <c r="B449" s="182"/>
      <c r="E449" s="261"/>
      <c r="G449" s="182"/>
      <c r="J449" s="67"/>
      <c r="K449" s="67"/>
      <c r="R449" s="67"/>
    </row>
    <row r="450">
      <c r="B450" s="182"/>
      <c r="E450" s="261"/>
      <c r="G450" s="182"/>
      <c r="J450" s="67"/>
      <c r="K450" s="67"/>
      <c r="R450" s="67"/>
    </row>
    <row r="451">
      <c r="B451" s="182"/>
      <c r="E451" s="261"/>
      <c r="G451" s="182"/>
      <c r="J451" s="67"/>
      <c r="K451" s="67"/>
      <c r="R451" s="67"/>
    </row>
    <row r="452">
      <c r="B452" s="182"/>
      <c r="E452" s="261"/>
      <c r="G452" s="182"/>
      <c r="J452" s="67"/>
      <c r="K452" s="67"/>
      <c r="R452" s="67"/>
    </row>
    <row r="453">
      <c r="B453" s="182"/>
      <c r="E453" s="261"/>
      <c r="G453" s="182"/>
      <c r="J453" s="67"/>
      <c r="K453" s="67"/>
      <c r="R453" s="67"/>
    </row>
    <row r="454">
      <c r="B454" s="182"/>
      <c r="E454" s="261"/>
      <c r="G454" s="182"/>
      <c r="J454" s="67"/>
      <c r="K454" s="67"/>
      <c r="R454" s="67"/>
    </row>
    <row r="455">
      <c r="B455" s="182"/>
      <c r="E455" s="261"/>
      <c r="G455" s="182"/>
      <c r="J455" s="67"/>
      <c r="K455" s="67"/>
      <c r="R455" s="67"/>
    </row>
    <row r="456">
      <c r="B456" s="182"/>
      <c r="E456" s="261"/>
      <c r="G456" s="182"/>
      <c r="J456" s="67"/>
      <c r="K456" s="67"/>
      <c r="R456" s="67"/>
    </row>
    <row r="457">
      <c r="B457" s="182"/>
      <c r="E457" s="261"/>
      <c r="G457" s="182"/>
      <c r="J457" s="67"/>
      <c r="K457" s="67"/>
      <c r="R457" s="67"/>
    </row>
    <row r="458">
      <c r="B458" s="182"/>
      <c r="E458" s="261"/>
      <c r="G458" s="182"/>
      <c r="J458" s="67"/>
      <c r="K458" s="67"/>
      <c r="R458" s="67"/>
    </row>
    <row r="459">
      <c r="B459" s="182"/>
      <c r="E459" s="261"/>
      <c r="G459" s="182"/>
      <c r="J459" s="67"/>
      <c r="K459" s="67"/>
      <c r="R459" s="67"/>
    </row>
    <row r="460">
      <c r="B460" s="182"/>
      <c r="E460" s="261"/>
      <c r="G460" s="182"/>
      <c r="J460" s="67"/>
      <c r="K460" s="67"/>
      <c r="R460" s="67"/>
    </row>
    <row r="461">
      <c r="B461" s="182"/>
      <c r="E461" s="261"/>
      <c r="G461" s="182"/>
      <c r="J461" s="67"/>
      <c r="K461" s="67"/>
      <c r="R461" s="67"/>
    </row>
    <row r="462">
      <c r="B462" s="182"/>
      <c r="E462" s="261"/>
      <c r="G462" s="182"/>
      <c r="J462" s="67"/>
      <c r="K462" s="67"/>
      <c r="R462" s="67"/>
    </row>
    <row r="463">
      <c r="B463" s="182"/>
      <c r="E463" s="261"/>
      <c r="G463" s="182"/>
      <c r="J463" s="67"/>
      <c r="K463" s="67"/>
      <c r="R463" s="67"/>
    </row>
    <row r="464">
      <c r="B464" s="182"/>
      <c r="E464" s="261"/>
      <c r="G464" s="182"/>
      <c r="J464" s="67"/>
      <c r="K464" s="67"/>
      <c r="R464" s="67"/>
    </row>
    <row r="465">
      <c r="B465" s="182"/>
      <c r="E465" s="261"/>
      <c r="G465" s="182"/>
      <c r="J465" s="67"/>
      <c r="K465" s="67"/>
      <c r="R465" s="67"/>
    </row>
    <row r="466">
      <c r="B466" s="182"/>
      <c r="E466" s="261"/>
      <c r="G466" s="182"/>
      <c r="J466" s="67"/>
      <c r="K466" s="67"/>
      <c r="R466" s="67"/>
    </row>
    <row r="467">
      <c r="B467" s="182"/>
      <c r="E467" s="261"/>
      <c r="G467" s="182"/>
      <c r="J467" s="67"/>
      <c r="K467" s="67"/>
      <c r="R467" s="67"/>
    </row>
    <row r="468">
      <c r="B468" s="182"/>
      <c r="E468" s="261"/>
      <c r="G468" s="182"/>
      <c r="J468" s="67"/>
      <c r="K468" s="67"/>
      <c r="R468" s="67"/>
    </row>
    <row r="469">
      <c r="B469" s="182"/>
      <c r="E469" s="261"/>
      <c r="G469" s="182"/>
      <c r="J469" s="67"/>
      <c r="K469" s="67"/>
      <c r="R469" s="67"/>
    </row>
    <row r="470">
      <c r="B470" s="182"/>
      <c r="E470" s="261"/>
      <c r="G470" s="182"/>
      <c r="J470" s="67"/>
      <c r="K470" s="67"/>
      <c r="R470" s="67"/>
    </row>
    <row r="471">
      <c r="B471" s="182"/>
      <c r="E471" s="261"/>
      <c r="G471" s="182"/>
      <c r="J471" s="67"/>
      <c r="K471" s="67"/>
      <c r="R471" s="67"/>
    </row>
    <row r="472">
      <c r="B472" s="182"/>
      <c r="E472" s="261"/>
      <c r="G472" s="182"/>
      <c r="J472" s="67"/>
      <c r="K472" s="67"/>
      <c r="R472" s="67"/>
    </row>
    <row r="473">
      <c r="B473" s="182"/>
      <c r="E473" s="261"/>
      <c r="G473" s="182"/>
      <c r="J473" s="67"/>
      <c r="K473" s="67"/>
      <c r="R473" s="67"/>
    </row>
    <row r="474">
      <c r="B474" s="182"/>
      <c r="E474" s="261"/>
      <c r="G474" s="182"/>
      <c r="J474" s="67"/>
      <c r="K474" s="67"/>
      <c r="R474" s="67"/>
    </row>
    <row r="475">
      <c r="B475" s="182"/>
      <c r="E475" s="261"/>
      <c r="G475" s="182"/>
      <c r="J475" s="67"/>
      <c r="K475" s="67"/>
      <c r="R475" s="67"/>
    </row>
    <row r="476">
      <c r="B476" s="182"/>
      <c r="E476" s="261"/>
      <c r="G476" s="182"/>
      <c r="J476" s="67"/>
      <c r="K476" s="67"/>
      <c r="R476" s="67"/>
    </row>
    <row r="477">
      <c r="B477" s="182"/>
      <c r="E477" s="261"/>
      <c r="G477" s="182"/>
      <c r="J477" s="67"/>
      <c r="K477" s="67"/>
      <c r="R477" s="67"/>
    </row>
    <row r="478">
      <c r="B478" s="182"/>
      <c r="E478" s="261"/>
      <c r="G478" s="182"/>
      <c r="J478" s="67"/>
      <c r="K478" s="67"/>
      <c r="R478" s="67"/>
    </row>
    <row r="479">
      <c r="B479" s="182"/>
      <c r="E479" s="261"/>
      <c r="G479" s="182"/>
      <c r="J479" s="67"/>
      <c r="K479" s="67"/>
      <c r="R479" s="67"/>
    </row>
    <row r="480">
      <c r="B480" s="182"/>
      <c r="E480" s="261"/>
      <c r="G480" s="182"/>
      <c r="J480" s="67"/>
      <c r="K480" s="67"/>
      <c r="R480" s="67"/>
    </row>
    <row r="481">
      <c r="B481" s="182"/>
      <c r="E481" s="261"/>
      <c r="G481" s="182"/>
      <c r="J481" s="67"/>
      <c r="K481" s="67"/>
      <c r="R481" s="67"/>
    </row>
    <row r="482">
      <c r="B482" s="182"/>
      <c r="E482" s="261"/>
      <c r="G482" s="182"/>
      <c r="J482" s="67"/>
      <c r="K482" s="67"/>
      <c r="R482" s="67"/>
    </row>
    <row r="483">
      <c r="B483" s="182"/>
      <c r="E483" s="261"/>
      <c r="G483" s="182"/>
      <c r="J483" s="67"/>
      <c r="K483" s="67"/>
      <c r="R483" s="67"/>
    </row>
    <row r="484">
      <c r="B484" s="182"/>
      <c r="E484" s="261"/>
      <c r="G484" s="182"/>
      <c r="J484" s="67"/>
      <c r="K484" s="67"/>
      <c r="R484" s="67"/>
    </row>
    <row r="485">
      <c r="B485" s="182"/>
      <c r="E485" s="261"/>
      <c r="G485" s="182"/>
      <c r="J485" s="67"/>
      <c r="K485" s="67"/>
      <c r="R485" s="67"/>
    </row>
    <row r="486">
      <c r="B486" s="182"/>
      <c r="E486" s="261"/>
      <c r="G486" s="182"/>
      <c r="J486" s="67"/>
      <c r="K486" s="67"/>
      <c r="R486" s="67"/>
    </row>
    <row r="487">
      <c r="B487" s="182"/>
      <c r="E487" s="261"/>
      <c r="G487" s="182"/>
      <c r="J487" s="67"/>
      <c r="K487" s="67"/>
      <c r="R487" s="67"/>
    </row>
    <row r="488">
      <c r="B488" s="182"/>
      <c r="E488" s="261"/>
      <c r="G488" s="182"/>
      <c r="J488" s="67"/>
      <c r="K488" s="67"/>
      <c r="R488" s="67"/>
    </row>
    <row r="489">
      <c r="B489" s="182"/>
      <c r="E489" s="261"/>
      <c r="G489" s="182"/>
      <c r="J489" s="67"/>
      <c r="K489" s="67"/>
      <c r="R489" s="67"/>
    </row>
    <row r="490">
      <c r="B490" s="182"/>
      <c r="E490" s="261"/>
      <c r="G490" s="182"/>
      <c r="J490" s="67"/>
      <c r="K490" s="67"/>
      <c r="R490" s="67"/>
    </row>
    <row r="491">
      <c r="B491" s="182"/>
      <c r="E491" s="261"/>
      <c r="G491" s="182"/>
      <c r="J491" s="67"/>
      <c r="K491" s="67"/>
      <c r="R491" s="67"/>
    </row>
    <row r="492">
      <c r="B492" s="182"/>
      <c r="E492" s="261"/>
      <c r="G492" s="182"/>
      <c r="J492" s="67"/>
      <c r="K492" s="67"/>
      <c r="R492" s="67"/>
    </row>
    <row r="493">
      <c r="B493" s="182"/>
      <c r="E493" s="261"/>
      <c r="G493" s="182"/>
      <c r="J493" s="67"/>
      <c r="K493" s="67"/>
      <c r="R493" s="67"/>
    </row>
    <row r="494">
      <c r="B494" s="182"/>
      <c r="E494" s="261"/>
      <c r="G494" s="182"/>
      <c r="J494" s="67"/>
      <c r="K494" s="67"/>
      <c r="R494" s="67"/>
    </row>
    <row r="495">
      <c r="B495" s="182"/>
      <c r="E495" s="261"/>
      <c r="G495" s="182"/>
      <c r="J495" s="67"/>
      <c r="K495" s="67"/>
      <c r="R495" s="67"/>
    </row>
    <row r="496">
      <c r="B496" s="182"/>
      <c r="E496" s="261"/>
      <c r="G496" s="182"/>
      <c r="J496" s="67"/>
      <c r="K496" s="67"/>
      <c r="R496" s="67"/>
    </row>
    <row r="497">
      <c r="B497" s="182"/>
      <c r="E497" s="261"/>
      <c r="G497" s="182"/>
      <c r="J497" s="67"/>
      <c r="K497" s="67"/>
      <c r="R497" s="67"/>
    </row>
    <row r="498">
      <c r="B498" s="182"/>
      <c r="E498" s="261"/>
      <c r="G498" s="182"/>
      <c r="J498" s="67"/>
      <c r="K498" s="67"/>
      <c r="R498" s="67"/>
    </row>
    <row r="499">
      <c r="B499" s="182"/>
      <c r="E499" s="261"/>
      <c r="G499" s="182"/>
      <c r="J499" s="67"/>
      <c r="K499" s="67"/>
      <c r="R499" s="67"/>
    </row>
    <row r="500">
      <c r="B500" s="182"/>
      <c r="E500" s="261"/>
      <c r="G500" s="182"/>
      <c r="J500" s="67"/>
      <c r="K500" s="67"/>
      <c r="R500" s="67"/>
    </row>
    <row r="501">
      <c r="B501" s="182"/>
      <c r="E501" s="261"/>
      <c r="G501" s="182"/>
      <c r="J501" s="67"/>
      <c r="K501" s="67"/>
      <c r="R501" s="67"/>
    </row>
    <row r="502">
      <c r="B502" s="182"/>
      <c r="E502" s="261"/>
      <c r="G502" s="182"/>
      <c r="J502" s="67"/>
      <c r="K502" s="67"/>
      <c r="R502" s="67"/>
    </row>
    <row r="503">
      <c r="B503" s="182"/>
      <c r="E503" s="261"/>
      <c r="G503" s="182"/>
      <c r="J503" s="67"/>
      <c r="K503" s="67"/>
      <c r="R503" s="67"/>
    </row>
    <row r="504">
      <c r="B504" s="182"/>
      <c r="E504" s="261"/>
      <c r="G504" s="182"/>
      <c r="J504" s="67"/>
      <c r="K504" s="67"/>
      <c r="R504" s="67"/>
    </row>
    <row r="505">
      <c r="B505" s="182"/>
      <c r="E505" s="261"/>
      <c r="G505" s="182"/>
      <c r="J505" s="67"/>
      <c r="K505" s="67"/>
      <c r="R505" s="67"/>
    </row>
    <row r="506">
      <c r="B506" s="182"/>
      <c r="E506" s="261"/>
      <c r="G506" s="182"/>
      <c r="J506" s="67"/>
      <c r="K506" s="67"/>
      <c r="R506" s="67"/>
    </row>
    <row r="507">
      <c r="B507" s="182"/>
      <c r="E507" s="261"/>
      <c r="G507" s="182"/>
      <c r="J507" s="67"/>
      <c r="K507" s="67"/>
      <c r="R507" s="67"/>
    </row>
    <row r="508">
      <c r="B508" s="182"/>
      <c r="E508" s="261"/>
      <c r="G508" s="182"/>
      <c r="J508" s="67"/>
      <c r="K508" s="67"/>
      <c r="R508" s="67"/>
    </row>
    <row r="509">
      <c r="B509" s="182"/>
      <c r="E509" s="261"/>
      <c r="G509" s="182"/>
      <c r="J509" s="67"/>
      <c r="K509" s="67"/>
      <c r="R509" s="67"/>
    </row>
    <row r="510">
      <c r="B510" s="182"/>
      <c r="E510" s="261"/>
      <c r="G510" s="182"/>
      <c r="J510" s="67"/>
      <c r="K510" s="67"/>
      <c r="R510" s="67"/>
    </row>
    <row r="511">
      <c r="B511" s="182"/>
      <c r="E511" s="261"/>
      <c r="G511" s="182"/>
      <c r="J511" s="67"/>
      <c r="K511" s="67"/>
      <c r="R511" s="67"/>
    </row>
    <row r="512">
      <c r="B512" s="182"/>
      <c r="E512" s="261"/>
      <c r="G512" s="182"/>
      <c r="J512" s="67"/>
      <c r="K512" s="67"/>
      <c r="R512" s="67"/>
    </row>
    <row r="513">
      <c r="B513" s="182"/>
      <c r="E513" s="261"/>
      <c r="G513" s="182"/>
      <c r="J513" s="67"/>
      <c r="K513" s="67"/>
      <c r="R513" s="67"/>
    </row>
    <row r="514">
      <c r="B514" s="182"/>
      <c r="E514" s="261"/>
      <c r="G514" s="182"/>
      <c r="J514" s="67"/>
      <c r="K514" s="67"/>
      <c r="R514" s="67"/>
    </row>
    <row r="515">
      <c r="B515" s="182"/>
      <c r="E515" s="261"/>
      <c r="G515" s="182"/>
      <c r="J515" s="67"/>
      <c r="K515" s="67"/>
      <c r="R515" s="67"/>
    </row>
    <row r="516">
      <c r="B516" s="182"/>
      <c r="E516" s="261"/>
      <c r="G516" s="182"/>
      <c r="J516" s="67"/>
      <c r="K516" s="67"/>
      <c r="R516" s="67"/>
    </row>
    <row r="517">
      <c r="B517" s="182"/>
      <c r="E517" s="261"/>
      <c r="G517" s="182"/>
      <c r="J517" s="67"/>
      <c r="K517" s="67"/>
      <c r="R517" s="67"/>
    </row>
    <row r="518">
      <c r="B518" s="182"/>
      <c r="E518" s="261"/>
      <c r="G518" s="182"/>
      <c r="J518" s="67"/>
      <c r="K518" s="67"/>
      <c r="R518" s="67"/>
    </row>
    <row r="519">
      <c r="B519" s="182"/>
      <c r="E519" s="261"/>
      <c r="G519" s="182"/>
      <c r="J519" s="67"/>
      <c r="K519" s="67"/>
      <c r="R519" s="67"/>
    </row>
    <row r="520">
      <c r="B520" s="182"/>
      <c r="E520" s="261"/>
      <c r="G520" s="182"/>
      <c r="J520" s="67"/>
      <c r="K520" s="67"/>
      <c r="R520" s="67"/>
    </row>
    <row r="521">
      <c r="B521" s="182"/>
      <c r="E521" s="261"/>
      <c r="G521" s="182"/>
      <c r="J521" s="67"/>
      <c r="K521" s="67"/>
      <c r="R521" s="67"/>
    </row>
    <row r="522">
      <c r="B522" s="182"/>
      <c r="E522" s="261"/>
      <c r="G522" s="182"/>
      <c r="J522" s="67"/>
      <c r="K522" s="67"/>
      <c r="R522" s="67"/>
    </row>
    <row r="523">
      <c r="B523" s="182"/>
      <c r="E523" s="261"/>
      <c r="G523" s="182"/>
      <c r="J523" s="67"/>
      <c r="K523" s="67"/>
      <c r="R523" s="67"/>
    </row>
    <row r="524">
      <c r="B524" s="182"/>
      <c r="E524" s="261"/>
      <c r="G524" s="182"/>
      <c r="J524" s="67"/>
      <c r="K524" s="67"/>
      <c r="R524" s="67"/>
    </row>
    <row r="525">
      <c r="B525" s="182"/>
      <c r="E525" s="261"/>
      <c r="G525" s="182"/>
      <c r="J525" s="67"/>
      <c r="K525" s="67"/>
      <c r="R525" s="67"/>
    </row>
    <row r="526">
      <c r="B526" s="182"/>
      <c r="E526" s="261"/>
      <c r="G526" s="182"/>
      <c r="J526" s="67"/>
      <c r="K526" s="67"/>
      <c r="R526" s="67"/>
    </row>
    <row r="527">
      <c r="B527" s="182"/>
      <c r="E527" s="261"/>
      <c r="G527" s="182"/>
      <c r="J527" s="67"/>
      <c r="K527" s="67"/>
      <c r="R527" s="67"/>
    </row>
    <row r="528">
      <c r="B528" s="182"/>
      <c r="E528" s="261"/>
      <c r="G528" s="182"/>
      <c r="J528" s="67"/>
      <c r="K528" s="67"/>
      <c r="R528" s="67"/>
    </row>
    <row r="529">
      <c r="B529" s="182"/>
      <c r="E529" s="261"/>
      <c r="G529" s="182"/>
      <c r="J529" s="67"/>
      <c r="K529" s="67"/>
      <c r="R529" s="67"/>
    </row>
    <row r="530">
      <c r="B530" s="182"/>
      <c r="E530" s="261"/>
      <c r="G530" s="182"/>
      <c r="J530" s="67"/>
      <c r="K530" s="67"/>
      <c r="R530" s="67"/>
    </row>
    <row r="531">
      <c r="B531" s="182"/>
      <c r="E531" s="261"/>
      <c r="G531" s="182"/>
      <c r="J531" s="67"/>
      <c r="K531" s="67"/>
      <c r="R531" s="67"/>
    </row>
    <row r="532">
      <c r="B532" s="182"/>
      <c r="E532" s="261"/>
      <c r="G532" s="182"/>
      <c r="J532" s="67"/>
      <c r="K532" s="67"/>
      <c r="R532" s="67"/>
    </row>
    <row r="533">
      <c r="B533" s="182"/>
      <c r="E533" s="261"/>
      <c r="G533" s="182"/>
      <c r="J533" s="67"/>
      <c r="K533" s="67"/>
      <c r="R533" s="67"/>
    </row>
    <row r="534">
      <c r="B534" s="182"/>
      <c r="E534" s="261"/>
      <c r="G534" s="182"/>
      <c r="J534" s="67"/>
      <c r="K534" s="67"/>
      <c r="R534" s="67"/>
    </row>
    <row r="535">
      <c r="B535" s="182"/>
      <c r="E535" s="261"/>
      <c r="G535" s="182"/>
      <c r="J535" s="67"/>
      <c r="K535" s="67"/>
      <c r="R535" s="67"/>
    </row>
    <row r="536">
      <c r="B536" s="182"/>
      <c r="E536" s="261"/>
      <c r="G536" s="182"/>
      <c r="J536" s="67"/>
      <c r="K536" s="67"/>
      <c r="R536" s="67"/>
    </row>
    <row r="537">
      <c r="B537" s="182"/>
      <c r="E537" s="261"/>
      <c r="G537" s="182"/>
      <c r="J537" s="67"/>
      <c r="K537" s="67"/>
      <c r="R537" s="67"/>
    </row>
    <row r="538">
      <c r="B538" s="182"/>
      <c r="E538" s="261"/>
      <c r="G538" s="182"/>
      <c r="J538" s="67"/>
      <c r="K538" s="67"/>
      <c r="R538" s="67"/>
    </row>
    <row r="539">
      <c r="B539" s="182"/>
      <c r="E539" s="261"/>
      <c r="G539" s="182"/>
      <c r="J539" s="67"/>
      <c r="K539" s="67"/>
      <c r="R539" s="67"/>
    </row>
    <row r="540">
      <c r="B540" s="182"/>
      <c r="E540" s="261"/>
      <c r="G540" s="182"/>
      <c r="J540" s="67"/>
      <c r="K540" s="67"/>
      <c r="R540" s="67"/>
    </row>
    <row r="541">
      <c r="B541" s="182"/>
      <c r="E541" s="261"/>
      <c r="G541" s="182"/>
      <c r="J541" s="67"/>
      <c r="K541" s="67"/>
      <c r="R541" s="67"/>
    </row>
    <row r="542">
      <c r="B542" s="182"/>
      <c r="E542" s="261"/>
      <c r="G542" s="182"/>
      <c r="J542" s="67"/>
      <c r="K542" s="67"/>
      <c r="R542" s="67"/>
    </row>
    <row r="543">
      <c r="B543" s="182"/>
      <c r="E543" s="261"/>
      <c r="G543" s="182"/>
      <c r="J543" s="67"/>
      <c r="K543" s="67"/>
      <c r="R543" s="67"/>
    </row>
    <row r="544">
      <c r="B544" s="182"/>
      <c r="E544" s="261"/>
      <c r="G544" s="182"/>
      <c r="J544" s="67"/>
      <c r="K544" s="67"/>
      <c r="R544" s="67"/>
    </row>
    <row r="545">
      <c r="B545" s="182"/>
      <c r="E545" s="261"/>
      <c r="G545" s="182"/>
      <c r="J545" s="67"/>
      <c r="K545" s="67"/>
      <c r="R545" s="67"/>
    </row>
    <row r="546">
      <c r="B546" s="182"/>
      <c r="E546" s="261"/>
      <c r="G546" s="182"/>
      <c r="J546" s="67"/>
      <c r="K546" s="67"/>
      <c r="R546" s="67"/>
    </row>
    <row r="547">
      <c r="B547" s="182"/>
      <c r="E547" s="261"/>
      <c r="G547" s="182"/>
      <c r="J547" s="67"/>
      <c r="K547" s="67"/>
      <c r="R547" s="67"/>
    </row>
    <row r="548">
      <c r="B548" s="182"/>
      <c r="E548" s="261"/>
      <c r="G548" s="182"/>
      <c r="J548" s="67"/>
      <c r="K548" s="67"/>
      <c r="R548" s="67"/>
    </row>
    <row r="549">
      <c r="B549" s="182"/>
      <c r="E549" s="261"/>
      <c r="G549" s="182"/>
      <c r="J549" s="67"/>
      <c r="K549" s="67"/>
      <c r="R549" s="67"/>
    </row>
    <row r="550">
      <c r="B550" s="182"/>
      <c r="E550" s="261"/>
      <c r="G550" s="182"/>
      <c r="J550" s="67"/>
      <c r="K550" s="67"/>
      <c r="R550" s="67"/>
    </row>
    <row r="551">
      <c r="B551" s="182"/>
      <c r="E551" s="261"/>
      <c r="G551" s="182"/>
      <c r="J551" s="67"/>
      <c r="K551" s="67"/>
      <c r="R551" s="67"/>
    </row>
    <row r="552">
      <c r="B552" s="182"/>
      <c r="E552" s="261"/>
      <c r="G552" s="182"/>
      <c r="J552" s="67"/>
      <c r="K552" s="67"/>
      <c r="R552" s="67"/>
    </row>
    <row r="553">
      <c r="B553" s="182"/>
      <c r="E553" s="261"/>
      <c r="G553" s="182"/>
      <c r="J553" s="67"/>
      <c r="K553" s="67"/>
      <c r="R553" s="67"/>
    </row>
    <row r="554">
      <c r="B554" s="182"/>
      <c r="E554" s="261"/>
      <c r="G554" s="182"/>
      <c r="J554" s="67"/>
      <c r="K554" s="67"/>
      <c r="R554" s="67"/>
    </row>
    <row r="555">
      <c r="B555" s="182"/>
      <c r="E555" s="261"/>
      <c r="G555" s="182"/>
      <c r="J555" s="67"/>
      <c r="K555" s="67"/>
      <c r="R555" s="67"/>
    </row>
    <row r="556">
      <c r="B556" s="182"/>
      <c r="E556" s="261"/>
      <c r="G556" s="182"/>
      <c r="J556" s="67"/>
      <c r="K556" s="67"/>
      <c r="R556" s="67"/>
    </row>
    <row r="557">
      <c r="B557" s="182"/>
      <c r="E557" s="261"/>
      <c r="G557" s="182"/>
      <c r="J557" s="67"/>
      <c r="K557" s="67"/>
      <c r="R557" s="67"/>
    </row>
    <row r="558">
      <c r="B558" s="182"/>
      <c r="E558" s="261"/>
      <c r="G558" s="182"/>
      <c r="J558" s="67"/>
      <c r="K558" s="67"/>
      <c r="R558" s="67"/>
    </row>
    <row r="559">
      <c r="B559" s="182"/>
      <c r="E559" s="261"/>
      <c r="G559" s="182"/>
      <c r="J559" s="67"/>
      <c r="K559" s="67"/>
      <c r="R559" s="67"/>
    </row>
    <row r="560">
      <c r="B560" s="182"/>
      <c r="E560" s="261"/>
      <c r="G560" s="182"/>
      <c r="J560" s="67"/>
      <c r="K560" s="67"/>
      <c r="R560" s="67"/>
    </row>
    <row r="561">
      <c r="B561" s="182"/>
      <c r="E561" s="261"/>
      <c r="G561" s="182"/>
      <c r="J561" s="67"/>
      <c r="K561" s="67"/>
      <c r="R561" s="67"/>
    </row>
    <row r="562">
      <c r="B562" s="182"/>
      <c r="E562" s="261"/>
      <c r="G562" s="182"/>
      <c r="J562" s="67"/>
      <c r="K562" s="67"/>
      <c r="R562" s="67"/>
    </row>
    <row r="563">
      <c r="B563" s="182"/>
      <c r="E563" s="261"/>
      <c r="G563" s="182"/>
      <c r="J563" s="67"/>
      <c r="K563" s="67"/>
      <c r="R563" s="67"/>
    </row>
    <row r="564">
      <c r="B564" s="182"/>
      <c r="E564" s="261"/>
      <c r="G564" s="182"/>
      <c r="J564" s="67"/>
      <c r="K564" s="67"/>
      <c r="R564" s="67"/>
    </row>
    <row r="565">
      <c r="B565" s="182"/>
      <c r="E565" s="261"/>
      <c r="G565" s="182"/>
      <c r="J565" s="67"/>
      <c r="K565" s="67"/>
      <c r="R565" s="67"/>
    </row>
    <row r="566">
      <c r="B566" s="182"/>
      <c r="E566" s="261"/>
      <c r="G566" s="182"/>
      <c r="J566" s="67"/>
      <c r="K566" s="67"/>
      <c r="R566" s="67"/>
    </row>
    <row r="567">
      <c r="B567" s="182"/>
      <c r="E567" s="261"/>
      <c r="G567" s="182"/>
      <c r="J567" s="67"/>
      <c r="K567" s="67"/>
      <c r="R567" s="67"/>
    </row>
    <row r="568">
      <c r="B568" s="182"/>
      <c r="E568" s="261"/>
      <c r="G568" s="182"/>
      <c r="J568" s="67"/>
      <c r="K568" s="67"/>
      <c r="R568" s="67"/>
    </row>
    <row r="569">
      <c r="B569" s="182"/>
      <c r="E569" s="261"/>
      <c r="G569" s="182"/>
      <c r="J569" s="67"/>
      <c r="K569" s="67"/>
      <c r="R569" s="67"/>
    </row>
    <row r="570">
      <c r="B570" s="182"/>
      <c r="E570" s="261"/>
      <c r="G570" s="182"/>
      <c r="J570" s="67"/>
      <c r="K570" s="67"/>
      <c r="R570" s="67"/>
    </row>
    <row r="571">
      <c r="B571" s="182"/>
      <c r="E571" s="261"/>
      <c r="G571" s="182"/>
      <c r="J571" s="67"/>
      <c r="K571" s="67"/>
      <c r="R571" s="67"/>
    </row>
    <row r="572">
      <c r="B572" s="182"/>
      <c r="E572" s="261"/>
      <c r="G572" s="182"/>
      <c r="J572" s="67"/>
      <c r="K572" s="67"/>
      <c r="R572" s="67"/>
    </row>
    <row r="573">
      <c r="B573" s="182"/>
      <c r="E573" s="261"/>
      <c r="G573" s="182"/>
      <c r="J573" s="67"/>
      <c r="K573" s="67"/>
      <c r="R573" s="67"/>
    </row>
    <row r="574">
      <c r="B574" s="182"/>
      <c r="E574" s="261"/>
      <c r="G574" s="182"/>
      <c r="J574" s="67"/>
      <c r="K574" s="67"/>
      <c r="R574" s="67"/>
    </row>
    <row r="575">
      <c r="B575" s="182"/>
      <c r="E575" s="261"/>
      <c r="G575" s="182"/>
      <c r="J575" s="67"/>
      <c r="K575" s="67"/>
      <c r="R575" s="67"/>
    </row>
    <row r="576">
      <c r="B576" s="182"/>
      <c r="E576" s="261"/>
      <c r="G576" s="182"/>
      <c r="J576" s="67"/>
      <c r="K576" s="67"/>
      <c r="R576" s="67"/>
    </row>
    <row r="577">
      <c r="B577" s="182"/>
      <c r="E577" s="261"/>
      <c r="G577" s="182"/>
      <c r="J577" s="67"/>
      <c r="K577" s="67"/>
      <c r="R577" s="67"/>
    </row>
    <row r="578">
      <c r="B578" s="182"/>
      <c r="E578" s="261"/>
      <c r="G578" s="182"/>
      <c r="J578" s="67"/>
      <c r="K578" s="67"/>
      <c r="R578" s="67"/>
    </row>
    <row r="579">
      <c r="B579" s="182"/>
      <c r="E579" s="261"/>
      <c r="G579" s="182"/>
      <c r="J579" s="67"/>
      <c r="K579" s="67"/>
      <c r="R579" s="67"/>
    </row>
    <row r="580">
      <c r="B580" s="182"/>
      <c r="E580" s="261"/>
      <c r="G580" s="182"/>
      <c r="J580" s="67"/>
      <c r="K580" s="67"/>
      <c r="R580" s="67"/>
    </row>
    <row r="581">
      <c r="B581" s="182"/>
      <c r="E581" s="261"/>
      <c r="G581" s="182"/>
      <c r="J581" s="67"/>
      <c r="K581" s="67"/>
      <c r="R581" s="67"/>
    </row>
    <row r="582">
      <c r="B582" s="182"/>
      <c r="E582" s="261"/>
      <c r="G582" s="182"/>
      <c r="J582" s="67"/>
      <c r="K582" s="67"/>
      <c r="R582" s="67"/>
    </row>
    <row r="583">
      <c r="B583" s="182"/>
      <c r="E583" s="261"/>
      <c r="G583" s="182"/>
      <c r="J583" s="67"/>
      <c r="K583" s="67"/>
      <c r="R583" s="67"/>
    </row>
    <row r="584">
      <c r="B584" s="182"/>
      <c r="E584" s="261"/>
      <c r="G584" s="182"/>
      <c r="J584" s="67"/>
      <c r="K584" s="67"/>
      <c r="R584" s="67"/>
    </row>
    <row r="585">
      <c r="B585" s="182"/>
      <c r="E585" s="261"/>
      <c r="G585" s="182"/>
      <c r="J585" s="67"/>
      <c r="K585" s="67"/>
      <c r="R585" s="67"/>
    </row>
    <row r="586">
      <c r="B586" s="182"/>
      <c r="E586" s="261"/>
      <c r="G586" s="182"/>
      <c r="J586" s="67"/>
      <c r="K586" s="67"/>
      <c r="R586" s="67"/>
    </row>
    <row r="587">
      <c r="B587" s="182"/>
      <c r="E587" s="261"/>
      <c r="G587" s="182"/>
      <c r="J587" s="67"/>
      <c r="K587" s="67"/>
      <c r="R587" s="67"/>
    </row>
    <row r="588">
      <c r="B588" s="182"/>
      <c r="E588" s="261"/>
      <c r="G588" s="182"/>
      <c r="J588" s="67"/>
      <c r="K588" s="67"/>
      <c r="R588" s="67"/>
    </row>
    <row r="589">
      <c r="B589" s="182"/>
      <c r="E589" s="261"/>
      <c r="G589" s="182"/>
      <c r="J589" s="67"/>
      <c r="K589" s="67"/>
      <c r="R589" s="67"/>
    </row>
    <row r="590">
      <c r="B590" s="182"/>
      <c r="E590" s="261"/>
      <c r="G590" s="182"/>
      <c r="J590" s="67"/>
      <c r="K590" s="67"/>
      <c r="R590" s="67"/>
    </row>
    <row r="591">
      <c r="B591" s="182"/>
      <c r="E591" s="261"/>
      <c r="G591" s="182"/>
      <c r="J591" s="67"/>
      <c r="K591" s="67"/>
      <c r="R591" s="67"/>
    </row>
    <row r="592">
      <c r="B592" s="182"/>
      <c r="E592" s="261"/>
      <c r="G592" s="182"/>
      <c r="J592" s="67"/>
      <c r="K592" s="67"/>
      <c r="R592" s="67"/>
    </row>
    <row r="593">
      <c r="B593" s="182"/>
      <c r="E593" s="261"/>
      <c r="G593" s="182"/>
      <c r="J593" s="67"/>
      <c r="K593" s="67"/>
      <c r="R593" s="67"/>
    </row>
    <row r="594">
      <c r="B594" s="182"/>
      <c r="E594" s="261"/>
      <c r="G594" s="182"/>
      <c r="J594" s="67"/>
      <c r="K594" s="67"/>
      <c r="R594" s="67"/>
    </row>
    <row r="595">
      <c r="B595" s="182"/>
      <c r="E595" s="261"/>
      <c r="G595" s="182"/>
      <c r="J595" s="67"/>
      <c r="K595" s="67"/>
      <c r="R595" s="67"/>
    </row>
    <row r="596">
      <c r="B596" s="182"/>
      <c r="E596" s="261"/>
      <c r="G596" s="182"/>
      <c r="J596" s="67"/>
      <c r="K596" s="67"/>
      <c r="R596" s="67"/>
    </row>
    <row r="597">
      <c r="B597" s="182"/>
      <c r="E597" s="261"/>
      <c r="G597" s="182"/>
      <c r="J597" s="67"/>
      <c r="K597" s="67"/>
      <c r="R597" s="67"/>
    </row>
    <row r="598">
      <c r="B598" s="182"/>
      <c r="E598" s="261"/>
      <c r="G598" s="182"/>
      <c r="J598" s="67"/>
      <c r="K598" s="67"/>
      <c r="R598" s="67"/>
    </row>
    <row r="599">
      <c r="B599" s="182"/>
      <c r="E599" s="261"/>
      <c r="G599" s="182"/>
      <c r="J599" s="67"/>
      <c r="K599" s="67"/>
      <c r="R599" s="67"/>
    </row>
    <row r="600">
      <c r="B600" s="182"/>
      <c r="E600" s="261"/>
      <c r="G600" s="182"/>
      <c r="J600" s="67"/>
      <c r="K600" s="67"/>
      <c r="R600" s="67"/>
    </row>
    <row r="601">
      <c r="B601" s="182"/>
      <c r="E601" s="261"/>
      <c r="G601" s="182"/>
      <c r="J601" s="67"/>
      <c r="K601" s="67"/>
      <c r="R601" s="67"/>
    </row>
    <row r="602">
      <c r="B602" s="182"/>
      <c r="E602" s="261"/>
      <c r="G602" s="182"/>
      <c r="J602" s="67"/>
      <c r="K602" s="67"/>
      <c r="R602" s="67"/>
    </row>
    <row r="603">
      <c r="B603" s="182"/>
      <c r="E603" s="261"/>
      <c r="G603" s="182"/>
      <c r="J603" s="67"/>
      <c r="K603" s="67"/>
      <c r="R603" s="67"/>
    </row>
    <row r="604">
      <c r="B604" s="182"/>
      <c r="E604" s="261"/>
      <c r="G604" s="182"/>
      <c r="J604" s="67"/>
      <c r="K604" s="67"/>
      <c r="R604" s="67"/>
    </row>
    <row r="605">
      <c r="B605" s="182"/>
      <c r="E605" s="261"/>
      <c r="G605" s="182"/>
      <c r="J605" s="67"/>
      <c r="K605" s="67"/>
      <c r="R605" s="67"/>
    </row>
    <row r="606">
      <c r="B606" s="182"/>
      <c r="E606" s="261"/>
      <c r="G606" s="182"/>
      <c r="J606" s="67"/>
      <c r="K606" s="67"/>
      <c r="R606" s="67"/>
    </row>
    <row r="607">
      <c r="B607" s="182"/>
      <c r="E607" s="261"/>
      <c r="G607" s="182"/>
      <c r="J607" s="67"/>
      <c r="K607" s="67"/>
      <c r="R607" s="67"/>
    </row>
    <row r="608">
      <c r="B608" s="182"/>
      <c r="E608" s="261"/>
      <c r="G608" s="182"/>
      <c r="J608" s="67"/>
      <c r="K608" s="67"/>
      <c r="R608" s="67"/>
    </row>
    <row r="609">
      <c r="B609" s="182"/>
      <c r="E609" s="261"/>
      <c r="G609" s="182"/>
      <c r="J609" s="67"/>
      <c r="K609" s="67"/>
      <c r="R609" s="67"/>
    </row>
    <row r="610">
      <c r="B610" s="182"/>
      <c r="E610" s="261"/>
      <c r="G610" s="182"/>
      <c r="J610" s="67"/>
      <c r="K610" s="67"/>
      <c r="R610" s="67"/>
    </row>
    <row r="611">
      <c r="B611" s="182"/>
      <c r="E611" s="261"/>
      <c r="G611" s="182"/>
      <c r="J611" s="67"/>
      <c r="K611" s="67"/>
      <c r="R611" s="67"/>
    </row>
    <row r="612">
      <c r="B612" s="182"/>
      <c r="E612" s="261"/>
      <c r="G612" s="182"/>
      <c r="J612" s="67"/>
      <c r="K612" s="67"/>
      <c r="R612" s="67"/>
    </row>
    <row r="613">
      <c r="B613" s="182"/>
      <c r="E613" s="261"/>
      <c r="G613" s="182"/>
      <c r="J613" s="67"/>
      <c r="K613" s="67"/>
      <c r="R613" s="67"/>
    </row>
    <row r="614">
      <c r="B614" s="182"/>
      <c r="E614" s="261"/>
      <c r="G614" s="182"/>
      <c r="J614" s="67"/>
      <c r="K614" s="67"/>
      <c r="R614" s="67"/>
    </row>
    <row r="615">
      <c r="B615" s="182"/>
      <c r="E615" s="261"/>
      <c r="G615" s="182"/>
      <c r="J615" s="67"/>
      <c r="K615" s="67"/>
      <c r="R615" s="67"/>
    </row>
    <row r="616">
      <c r="B616" s="182"/>
      <c r="E616" s="261"/>
      <c r="G616" s="182"/>
      <c r="J616" s="67"/>
      <c r="K616" s="67"/>
      <c r="R616" s="67"/>
    </row>
    <row r="617">
      <c r="B617" s="182"/>
      <c r="E617" s="261"/>
      <c r="G617" s="182"/>
      <c r="J617" s="67"/>
      <c r="K617" s="67"/>
      <c r="R617" s="67"/>
    </row>
    <row r="618">
      <c r="B618" s="182"/>
      <c r="E618" s="261"/>
      <c r="G618" s="182"/>
      <c r="J618" s="67"/>
      <c r="K618" s="67"/>
      <c r="R618" s="67"/>
    </row>
    <row r="619">
      <c r="B619" s="182"/>
      <c r="E619" s="261"/>
      <c r="G619" s="182"/>
      <c r="J619" s="67"/>
      <c r="K619" s="67"/>
      <c r="R619" s="67"/>
    </row>
    <row r="620">
      <c r="B620" s="182"/>
      <c r="E620" s="261"/>
      <c r="G620" s="182"/>
      <c r="J620" s="67"/>
      <c r="K620" s="67"/>
      <c r="R620" s="67"/>
    </row>
    <row r="621">
      <c r="B621" s="182"/>
      <c r="E621" s="261"/>
      <c r="G621" s="182"/>
      <c r="J621" s="67"/>
      <c r="K621" s="67"/>
      <c r="R621" s="67"/>
    </row>
    <row r="622">
      <c r="B622" s="182"/>
      <c r="E622" s="261"/>
      <c r="G622" s="182"/>
      <c r="J622" s="67"/>
      <c r="K622" s="67"/>
      <c r="R622" s="67"/>
    </row>
    <row r="623">
      <c r="B623" s="182"/>
      <c r="E623" s="261"/>
      <c r="G623" s="182"/>
      <c r="J623" s="67"/>
      <c r="K623" s="67"/>
      <c r="R623" s="67"/>
    </row>
    <row r="624">
      <c r="B624" s="182"/>
      <c r="E624" s="261"/>
      <c r="G624" s="182"/>
      <c r="J624" s="67"/>
      <c r="K624" s="67"/>
      <c r="R624" s="67"/>
    </row>
    <row r="625">
      <c r="B625" s="182"/>
      <c r="E625" s="261"/>
      <c r="G625" s="182"/>
      <c r="J625" s="67"/>
      <c r="K625" s="67"/>
      <c r="R625" s="67"/>
    </row>
    <row r="626">
      <c r="B626" s="182"/>
      <c r="E626" s="261"/>
      <c r="G626" s="182"/>
      <c r="J626" s="67"/>
      <c r="K626" s="67"/>
      <c r="R626" s="67"/>
    </row>
    <row r="627">
      <c r="B627" s="182"/>
      <c r="E627" s="261"/>
      <c r="G627" s="182"/>
      <c r="J627" s="67"/>
      <c r="K627" s="67"/>
      <c r="R627" s="67"/>
    </row>
    <row r="628">
      <c r="B628" s="182"/>
      <c r="E628" s="261"/>
      <c r="G628" s="182"/>
      <c r="J628" s="67"/>
      <c r="K628" s="67"/>
      <c r="R628" s="67"/>
    </row>
    <row r="629">
      <c r="B629" s="182"/>
      <c r="E629" s="261"/>
      <c r="G629" s="182"/>
      <c r="J629" s="67"/>
      <c r="K629" s="67"/>
      <c r="R629" s="67"/>
    </row>
    <row r="630">
      <c r="B630" s="182"/>
      <c r="E630" s="261"/>
      <c r="G630" s="182"/>
      <c r="J630" s="67"/>
      <c r="K630" s="67"/>
      <c r="R630" s="67"/>
    </row>
    <row r="631">
      <c r="B631" s="182"/>
      <c r="E631" s="261"/>
      <c r="G631" s="182"/>
      <c r="J631" s="67"/>
      <c r="K631" s="67"/>
      <c r="R631" s="67"/>
    </row>
    <row r="632">
      <c r="B632" s="182"/>
      <c r="E632" s="261"/>
      <c r="G632" s="182"/>
      <c r="J632" s="67"/>
      <c r="K632" s="67"/>
      <c r="R632" s="67"/>
    </row>
    <row r="633">
      <c r="B633" s="182"/>
      <c r="E633" s="261"/>
      <c r="G633" s="182"/>
      <c r="J633" s="67"/>
      <c r="K633" s="67"/>
      <c r="R633" s="67"/>
    </row>
    <row r="634">
      <c r="B634" s="182"/>
      <c r="E634" s="261"/>
      <c r="G634" s="182"/>
      <c r="J634" s="67"/>
      <c r="K634" s="67"/>
      <c r="R634" s="67"/>
    </row>
    <row r="635">
      <c r="B635" s="182"/>
      <c r="E635" s="261"/>
      <c r="G635" s="182"/>
      <c r="J635" s="67"/>
      <c r="K635" s="67"/>
      <c r="R635" s="67"/>
    </row>
    <row r="636">
      <c r="B636" s="182"/>
      <c r="E636" s="261"/>
      <c r="G636" s="182"/>
      <c r="J636" s="67"/>
      <c r="K636" s="67"/>
      <c r="R636" s="67"/>
    </row>
    <row r="637">
      <c r="B637" s="182"/>
      <c r="E637" s="261"/>
      <c r="G637" s="182"/>
      <c r="J637" s="67"/>
      <c r="K637" s="67"/>
      <c r="R637" s="67"/>
    </row>
    <row r="638">
      <c r="B638" s="182"/>
      <c r="E638" s="261"/>
      <c r="G638" s="182"/>
      <c r="J638" s="67"/>
      <c r="K638" s="67"/>
      <c r="R638" s="67"/>
    </row>
    <row r="639">
      <c r="B639" s="182"/>
      <c r="E639" s="261"/>
      <c r="G639" s="182"/>
      <c r="J639" s="67"/>
      <c r="K639" s="67"/>
      <c r="R639" s="67"/>
    </row>
    <row r="640">
      <c r="B640" s="182"/>
      <c r="E640" s="261"/>
      <c r="G640" s="182"/>
      <c r="J640" s="67"/>
      <c r="K640" s="67"/>
      <c r="R640" s="67"/>
    </row>
    <row r="641">
      <c r="B641" s="182"/>
      <c r="E641" s="261"/>
      <c r="G641" s="182"/>
      <c r="J641" s="67"/>
      <c r="K641" s="67"/>
      <c r="R641" s="67"/>
    </row>
    <row r="642">
      <c r="B642" s="182"/>
      <c r="E642" s="261"/>
      <c r="G642" s="182"/>
      <c r="J642" s="67"/>
      <c r="K642" s="67"/>
      <c r="R642" s="67"/>
    </row>
    <row r="643">
      <c r="B643" s="182"/>
      <c r="E643" s="261"/>
      <c r="G643" s="182"/>
      <c r="J643" s="67"/>
      <c r="K643" s="67"/>
      <c r="R643" s="67"/>
    </row>
    <row r="644">
      <c r="B644" s="182"/>
      <c r="E644" s="261"/>
      <c r="G644" s="182"/>
      <c r="J644" s="67"/>
      <c r="K644" s="67"/>
      <c r="R644" s="67"/>
    </row>
    <row r="645">
      <c r="B645" s="182"/>
      <c r="E645" s="261"/>
      <c r="G645" s="182"/>
      <c r="J645" s="67"/>
      <c r="K645" s="67"/>
      <c r="R645" s="67"/>
    </row>
    <row r="646">
      <c r="B646" s="182"/>
      <c r="E646" s="261"/>
      <c r="G646" s="182"/>
      <c r="J646" s="67"/>
      <c r="K646" s="67"/>
      <c r="R646" s="67"/>
    </row>
    <row r="647">
      <c r="B647" s="182"/>
      <c r="E647" s="261"/>
      <c r="G647" s="182"/>
      <c r="J647" s="67"/>
      <c r="K647" s="67"/>
      <c r="R647" s="67"/>
    </row>
    <row r="648">
      <c r="B648" s="182"/>
      <c r="E648" s="261"/>
      <c r="G648" s="182"/>
      <c r="J648" s="67"/>
      <c r="K648" s="67"/>
      <c r="R648" s="67"/>
    </row>
    <row r="649">
      <c r="B649" s="182"/>
      <c r="E649" s="261"/>
      <c r="G649" s="182"/>
      <c r="J649" s="67"/>
      <c r="K649" s="67"/>
      <c r="R649" s="67"/>
    </row>
    <row r="650">
      <c r="B650" s="182"/>
      <c r="E650" s="261"/>
      <c r="G650" s="182"/>
      <c r="J650" s="67"/>
      <c r="K650" s="67"/>
      <c r="R650" s="67"/>
    </row>
    <row r="651">
      <c r="B651" s="182"/>
      <c r="E651" s="261"/>
      <c r="G651" s="182"/>
      <c r="J651" s="67"/>
      <c r="K651" s="67"/>
      <c r="R651" s="67"/>
    </row>
    <row r="652">
      <c r="B652" s="182"/>
      <c r="E652" s="261"/>
      <c r="G652" s="182"/>
      <c r="J652" s="67"/>
      <c r="K652" s="67"/>
      <c r="R652" s="67"/>
    </row>
    <row r="653">
      <c r="B653" s="182"/>
      <c r="E653" s="261"/>
      <c r="G653" s="182"/>
      <c r="J653" s="67"/>
      <c r="K653" s="67"/>
      <c r="R653" s="67"/>
    </row>
    <row r="654">
      <c r="B654" s="182"/>
      <c r="E654" s="261"/>
      <c r="G654" s="182"/>
      <c r="J654" s="67"/>
      <c r="K654" s="67"/>
      <c r="R654" s="67"/>
    </row>
    <row r="655">
      <c r="B655" s="182"/>
      <c r="E655" s="261"/>
      <c r="G655" s="182"/>
      <c r="J655" s="67"/>
      <c r="K655" s="67"/>
      <c r="R655" s="67"/>
    </row>
    <row r="656">
      <c r="B656" s="182"/>
      <c r="E656" s="261"/>
      <c r="G656" s="182"/>
      <c r="J656" s="67"/>
      <c r="K656" s="67"/>
      <c r="R656" s="67"/>
    </row>
    <row r="657">
      <c r="B657" s="182"/>
      <c r="E657" s="261"/>
      <c r="G657" s="182"/>
      <c r="J657" s="67"/>
      <c r="K657" s="67"/>
      <c r="R657" s="67"/>
    </row>
    <row r="658">
      <c r="B658" s="182"/>
      <c r="E658" s="261"/>
      <c r="G658" s="182"/>
      <c r="J658" s="67"/>
      <c r="K658" s="67"/>
      <c r="R658" s="67"/>
    </row>
    <row r="659">
      <c r="B659" s="182"/>
      <c r="E659" s="261"/>
      <c r="G659" s="182"/>
      <c r="J659" s="67"/>
      <c r="K659" s="67"/>
      <c r="R659" s="67"/>
    </row>
    <row r="660">
      <c r="B660" s="182"/>
      <c r="E660" s="261"/>
      <c r="G660" s="182"/>
      <c r="J660" s="67"/>
      <c r="K660" s="67"/>
      <c r="R660" s="67"/>
    </row>
    <row r="661">
      <c r="B661" s="182"/>
      <c r="E661" s="261"/>
      <c r="G661" s="182"/>
      <c r="J661" s="67"/>
      <c r="K661" s="67"/>
      <c r="R661" s="67"/>
    </row>
    <row r="662">
      <c r="B662" s="182"/>
      <c r="E662" s="261"/>
      <c r="G662" s="182"/>
      <c r="J662" s="67"/>
      <c r="K662" s="67"/>
      <c r="R662" s="67"/>
    </row>
    <row r="663">
      <c r="B663" s="182"/>
      <c r="E663" s="261"/>
      <c r="G663" s="182"/>
      <c r="J663" s="67"/>
      <c r="K663" s="67"/>
      <c r="R663" s="67"/>
    </row>
    <row r="664">
      <c r="B664" s="182"/>
      <c r="E664" s="261"/>
      <c r="G664" s="182"/>
      <c r="J664" s="67"/>
      <c r="K664" s="67"/>
      <c r="R664" s="67"/>
    </row>
    <row r="665">
      <c r="B665" s="182"/>
      <c r="E665" s="261"/>
      <c r="G665" s="182"/>
      <c r="J665" s="67"/>
      <c r="K665" s="67"/>
      <c r="R665" s="67"/>
    </row>
    <row r="666">
      <c r="B666" s="182"/>
      <c r="E666" s="261"/>
      <c r="G666" s="182"/>
      <c r="J666" s="67"/>
      <c r="K666" s="67"/>
      <c r="R666" s="67"/>
    </row>
    <row r="667">
      <c r="B667" s="182"/>
      <c r="E667" s="261"/>
      <c r="G667" s="182"/>
      <c r="J667" s="67"/>
      <c r="K667" s="67"/>
      <c r="R667" s="67"/>
    </row>
    <row r="668">
      <c r="B668" s="182"/>
      <c r="E668" s="261"/>
      <c r="G668" s="182"/>
      <c r="J668" s="67"/>
      <c r="K668" s="67"/>
      <c r="R668" s="67"/>
    </row>
    <row r="669">
      <c r="B669" s="182"/>
      <c r="E669" s="261"/>
      <c r="G669" s="182"/>
      <c r="J669" s="67"/>
      <c r="K669" s="67"/>
      <c r="R669" s="67"/>
    </row>
    <row r="670">
      <c r="B670" s="182"/>
      <c r="E670" s="261"/>
      <c r="G670" s="182"/>
      <c r="J670" s="67"/>
      <c r="K670" s="67"/>
      <c r="R670" s="67"/>
    </row>
    <row r="671">
      <c r="B671" s="182"/>
      <c r="E671" s="261"/>
      <c r="G671" s="182"/>
      <c r="J671" s="67"/>
      <c r="K671" s="67"/>
      <c r="R671" s="67"/>
    </row>
    <row r="672">
      <c r="B672" s="182"/>
      <c r="E672" s="261"/>
      <c r="G672" s="182"/>
      <c r="J672" s="67"/>
      <c r="K672" s="67"/>
      <c r="R672" s="67"/>
    </row>
    <row r="673">
      <c r="B673" s="182"/>
      <c r="E673" s="261"/>
      <c r="G673" s="182"/>
      <c r="J673" s="67"/>
      <c r="K673" s="67"/>
      <c r="R673" s="67"/>
    </row>
    <row r="674">
      <c r="B674" s="182"/>
      <c r="E674" s="261"/>
      <c r="G674" s="182"/>
      <c r="J674" s="67"/>
      <c r="K674" s="67"/>
      <c r="R674" s="67"/>
    </row>
    <row r="675">
      <c r="B675" s="182"/>
      <c r="E675" s="261"/>
      <c r="G675" s="182"/>
      <c r="J675" s="67"/>
      <c r="K675" s="67"/>
      <c r="R675" s="67"/>
    </row>
    <row r="676">
      <c r="B676" s="182"/>
      <c r="E676" s="261"/>
      <c r="G676" s="182"/>
      <c r="J676" s="67"/>
      <c r="K676" s="67"/>
      <c r="R676" s="67"/>
    </row>
    <row r="677">
      <c r="B677" s="182"/>
      <c r="E677" s="261"/>
      <c r="G677" s="182"/>
      <c r="J677" s="67"/>
      <c r="K677" s="67"/>
      <c r="R677" s="67"/>
    </row>
    <row r="678">
      <c r="B678" s="182"/>
      <c r="E678" s="261"/>
      <c r="G678" s="182"/>
      <c r="J678" s="67"/>
      <c r="K678" s="67"/>
      <c r="R678" s="67"/>
    </row>
    <row r="679">
      <c r="B679" s="182"/>
      <c r="E679" s="261"/>
      <c r="G679" s="182"/>
      <c r="J679" s="67"/>
      <c r="K679" s="67"/>
      <c r="R679" s="67"/>
    </row>
    <row r="680">
      <c r="B680" s="182"/>
      <c r="E680" s="261"/>
      <c r="G680" s="182"/>
      <c r="J680" s="67"/>
      <c r="K680" s="67"/>
      <c r="R680" s="67"/>
    </row>
    <row r="681">
      <c r="B681" s="182"/>
      <c r="E681" s="261"/>
      <c r="G681" s="182"/>
      <c r="J681" s="67"/>
      <c r="K681" s="67"/>
      <c r="R681" s="67"/>
    </row>
    <row r="682">
      <c r="B682" s="182"/>
      <c r="E682" s="261"/>
      <c r="G682" s="182"/>
      <c r="J682" s="67"/>
      <c r="K682" s="67"/>
      <c r="R682" s="67"/>
    </row>
    <row r="683">
      <c r="B683" s="182"/>
      <c r="E683" s="261"/>
      <c r="G683" s="182"/>
      <c r="J683" s="67"/>
      <c r="K683" s="67"/>
      <c r="R683" s="67"/>
    </row>
    <row r="684">
      <c r="B684" s="182"/>
      <c r="E684" s="261"/>
      <c r="G684" s="182"/>
      <c r="J684" s="67"/>
      <c r="K684" s="67"/>
      <c r="R684" s="67"/>
    </row>
    <row r="685">
      <c r="B685" s="182"/>
      <c r="E685" s="261"/>
      <c r="G685" s="182"/>
      <c r="J685" s="67"/>
      <c r="K685" s="67"/>
      <c r="R685" s="67"/>
    </row>
    <row r="686">
      <c r="B686" s="182"/>
      <c r="E686" s="261"/>
      <c r="G686" s="182"/>
      <c r="J686" s="67"/>
      <c r="K686" s="67"/>
      <c r="R686" s="67"/>
    </row>
    <row r="687">
      <c r="B687" s="182"/>
      <c r="E687" s="261"/>
      <c r="G687" s="182"/>
      <c r="J687" s="67"/>
      <c r="K687" s="67"/>
      <c r="R687" s="67"/>
    </row>
    <row r="688">
      <c r="B688" s="182"/>
      <c r="E688" s="261"/>
      <c r="G688" s="182"/>
      <c r="J688" s="67"/>
      <c r="K688" s="67"/>
      <c r="R688" s="67"/>
    </row>
    <row r="689">
      <c r="B689" s="182"/>
      <c r="E689" s="261"/>
      <c r="G689" s="182"/>
      <c r="J689" s="67"/>
      <c r="K689" s="67"/>
      <c r="R689" s="67"/>
    </row>
    <row r="690">
      <c r="B690" s="182"/>
      <c r="E690" s="261"/>
      <c r="G690" s="182"/>
      <c r="J690" s="67"/>
      <c r="K690" s="67"/>
      <c r="R690" s="67"/>
    </row>
    <row r="691">
      <c r="B691" s="182"/>
      <c r="E691" s="261"/>
      <c r="G691" s="182"/>
      <c r="J691" s="67"/>
      <c r="K691" s="67"/>
      <c r="R691" s="67"/>
    </row>
    <row r="692">
      <c r="B692" s="182"/>
      <c r="E692" s="261"/>
      <c r="G692" s="182"/>
      <c r="J692" s="67"/>
      <c r="K692" s="67"/>
      <c r="R692" s="67"/>
    </row>
    <row r="693">
      <c r="B693" s="182"/>
      <c r="E693" s="261"/>
      <c r="G693" s="182"/>
      <c r="J693" s="67"/>
      <c r="K693" s="67"/>
      <c r="R693" s="67"/>
    </row>
    <row r="694">
      <c r="B694" s="182"/>
      <c r="E694" s="261"/>
      <c r="G694" s="182"/>
      <c r="J694" s="67"/>
      <c r="K694" s="67"/>
      <c r="R694" s="67"/>
    </row>
    <row r="695">
      <c r="B695" s="182"/>
      <c r="E695" s="261"/>
      <c r="G695" s="182"/>
      <c r="J695" s="67"/>
      <c r="K695" s="67"/>
      <c r="R695" s="67"/>
    </row>
    <row r="696">
      <c r="B696" s="182"/>
      <c r="E696" s="261"/>
      <c r="G696" s="182"/>
      <c r="J696" s="67"/>
      <c r="K696" s="67"/>
      <c r="R696" s="67"/>
    </row>
    <row r="697">
      <c r="B697" s="182"/>
      <c r="E697" s="261"/>
      <c r="G697" s="182"/>
      <c r="J697" s="67"/>
      <c r="K697" s="67"/>
      <c r="R697" s="67"/>
    </row>
    <row r="698">
      <c r="B698" s="182"/>
      <c r="E698" s="261"/>
      <c r="G698" s="182"/>
      <c r="J698" s="67"/>
      <c r="K698" s="67"/>
      <c r="R698" s="67"/>
    </row>
    <row r="699">
      <c r="B699" s="182"/>
      <c r="E699" s="261"/>
      <c r="G699" s="182"/>
      <c r="J699" s="67"/>
      <c r="K699" s="67"/>
      <c r="R699" s="67"/>
    </row>
    <row r="700">
      <c r="B700" s="182"/>
      <c r="E700" s="261"/>
      <c r="G700" s="182"/>
      <c r="J700" s="67"/>
      <c r="K700" s="67"/>
      <c r="R700" s="67"/>
    </row>
    <row r="701">
      <c r="B701" s="182"/>
      <c r="E701" s="261"/>
      <c r="G701" s="182"/>
      <c r="J701" s="67"/>
      <c r="K701" s="67"/>
      <c r="R701" s="67"/>
    </row>
    <row r="702">
      <c r="B702" s="182"/>
      <c r="E702" s="261"/>
      <c r="G702" s="182"/>
      <c r="J702" s="67"/>
      <c r="K702" s="67"/>
      <c r="R702" s="67"/>
    </row>
    <row r="703">
      <c r="B703" s="182"/>
      <c r="E703" s="261"/>
      <c r="G703" s="182"/>
      <c r="J703" s="67"/>
      <c r="K703" s="67"/>
      <c r="R703" s="67"/>
    </row>
    <row r="704">
      <c r="B704" s="182"/>
      <c r="E704" s="261"/>
      <c r="G704" s="182"/>
      <c r="J704" s="67"/>
      <c r="K704" s="67"/>
      <c r="R704" s="67"/>
    </row>
    <row r="705">
      <c r="B705" s="182"/>
      <c r="E705" s="261"/>
      <c r="G705" s="182"/>
      <c r="J705" s="67"/>
      <c r="K705" s="67"/>
      <c r="R705" s="67"/>
    </row>
    <row r="706">
      <c r="B706" s="182"/>
      <c r="E706" s="261"/>
      <c r="G706" s="182"/>
      <c r="J706" s="67"/>
      <c r="K706" s="67"/>
      <c r="R706" s="67"/>
    </row>
    <row r="707">
      <c r="B707" s="182"/>
      <c r="E707" s="261"/>
      <c r="G707" s="182"/>
      <c r="J707" s="67"/>
      <c r="K707" s="67"/>
      <c r="R707" s="67"/>
    </row>
    <row r="708">
      <c r="B708" s="182"/>
      <c r="E708" s="261"/>
      <c r="G708" s="182"/>
      <c r="J708" s="67"/>
      <c r="K708" s="67"/>
      <c r="R708" s="67"/>
    </row>
    <row r="709">
      <c r="B709" s="182"/>
      <c r="E709" s="261"/>
      <c r="G709" s="182"/>
      <c r="J709" s="67"/>
      <c r="K709" s="67"/>
      <c r="R709" s="67"/>
    </row>
    <row r="710">
      <c r="B710" s="182"/>
      <c r="E710" s="261"/>
      <c r="G710" s="182"/>
      <c r="J710" s="67"/>
      <c r="K710" s="67"/>
      <c r="R710" s="67"/>
    </row>
    <row r="711">
      <c r="B711" s="182"/>
      <c r="E711" s="261"/>
      <c r="G711" s="182"/>
      <c r="J711" s="67"/>
      <c r="K711" s="67"/>
      <c r="R711" s="67"/>
    </row>
    <row r="712">
      <c r="B712" s="182"/>
      <c r="E712" s="261"/>
      <c r="G712" s="182"/>
      <c r="J712" s="67"/>
      <c r="K712" s="67"/>
      <c r="R712" s="67"/>
    </row>
    <row r="713">
      <c r="B713" s="182"/>
      <c r="E713" s="261"/>
      <c r="G713" s="182"/>
      <c r="J713" s="67"/>
      <c r="K713" s="67"/>
      <c r="R713" s="67"/>
    </row>
    <row r="714">
      <c r="B714" s="182"/>
      <c r="E714" s="261"/>
      <c r="G714" s="182"/>
      <c r="J714" s="67"/>
      <c r="K714" s="67"/>
      <c r="R714" s="67"/>
    </row>
    <row r="715">
      <c r="B715" s="182"/>
      <c r="E715" s="261"/>
      <c r="G715" s="182"/>
      <c r="J715" s="67"/>
      <c r="K715" s="67"/>
      <c r="R715" s="67"/>
    </row>
    <row r="716">
      <c r="B716" s="182"/>
      <c r="E716" s="261"/>
      <c r="G716" s="182"/>
      <c r="J716" s="67"/>
      <c r="K716" s="67"/>
      <c r="R716" s="67"/>
    </row>
    <row r="717">
      <c r="B717" s="182"/>
      <c r="E717" s="261"/>
      <c r="G717" s="182"/>
      <c r="J717" s="67"/>
      <c r="K717" s="67"/>
      <c r="R717" s="67"/>
    </row>
    <row r="718">
      <c r="B718" s="182"/>
      <c r="E718" s="261"/>
      <c r="G718" s="182"/>
      <c r="J718" s="67"/>
      <c r="K718" s="67"/>
      <c r="R718" s="67"/>
    </row>
    <row r="719">
      <c r="B719" s="182"/>
      <c r="E719" s="261"/>
      <c r="G719" s="182"/>
      <c r="J719" s="67"/>
      <c r="K719" s="67"/>
      <c r="R719" s="67"/>
    </row>
    <row r="720">
      <c r="B720" s="182"/>
      <c r="E720" s="261"/>
      <c r="G720" s="182"/>
      <c r="J720" s="67"/>
      <c r="K720" s="67"/>
      <c r="R720" s="67"/>
    </row>
    <row r="721">
      <c r="B721" s="182"/>
      <c r="E721" s="261"/>
      <c r="G721" s="182"/>
      <c r="J721" s="67"/>
      <c r="K721" s="67"/>
      <c r="R721" s="67"/>
    </row>
    <row r="722">
      <c r="B722" s="182"/>
      <c r="E722" s="261"/>
      <c r="G722" s="182"/>
      <c r="J722" s="67"/>
      <c r="K722" s="67"/>
      <c r="R722" s="67"/>
    </row>
    <row r="723">
      <c r="B723" s="182"/>
      <c r="E723" s="261"/>
      <c r="G723" s="182"/>
      <c r="J723" s="67"/>
      <c r="K723" s="67"/>
      <c r="R723" s="67"/>
    </row>
    <row r="724">
      <c r="B724" s="182"/>
      <c r="E724" s="261"/>
      <c r="G724" s="182"/>
      <c r="J724" s="67"/>
      <c r="K724" s="67"/>
      <c r="R724" s="67"/>
    </row>
    <row r="725">
      <c r="B725" s="182"/>
      <c r="E725" s="261"/>
      <c r="G725" s="182"/>
      <c r="J725" s="67"/>
      <c r="K725" s="67"/>
      <c r="R725" s="67"/>
    </row>
    <row r="726">
      <c r="B726" s="182"/>
      <c r="E726" s="261"/>
      <c r="G726" s="182"/>
      <c r="J726" s="67"/>
      <c r="K726" s="67"/>
      <c r="R726" s="67"/>
    </row>
    <row r="727">
      <c r="B727" s="182"/>
      <c r="E727" s="261"/>
      <c r="G727" s="182"/>
      <c r="J727" s="67"/>
      <c r="K727" s="67"/>
      <c r="R727" s="67"/>
    </row>
    <row r="728">
      <c r="B728" s="182"/>
      <c r="E728" s="261"/>
      <c r="G728" s="182"/>
      <c r="J728" s="67"/>
      <c r="K728" s="67"/>
      <c r="R728" s="67"/>
    </row>
    <row r="729">
      <c r="B729" s="182"/>
      <c r="E729" s="261"/>
      <c r="G729" s="182"/>
      <c r="J729" s="67"/>
      <c r="K729" s="67"/>
      <c r="R729" s="67"/>
    </row>
    <row r="730">
      <c r="B730" s="182"/>
      <c r="E730" s="261"/>
      <c r="G730" s="182"/>
      <c r="J730" s="67"/>
      <c r="K730" s="67"/>
      <c r="R730" s="67"/>
    </row>
    <row r="731">
      <c r="B731" s="182"/>
      <c r="E731" s="261"/>
      <c r="G731" s="182"/>
      <c r="J731" s="67"/>
      <c r="K731" s="67"/>
      <c r="R731" s="67"/>
    </row>
    <row r="732">
      <c r="B732" s="182"/>
      <c r="E732" s="261"/>
      <c r="G732" s="182"/>
      <c r="J732" s="67"/>
      <c r="K732" s="67"/>
      <c r="R732" s="67"/>
    </row>
    <row r="733">
      <c r="B733" s="182"/>
      <c r="E733" s="261"/>
      <c r="G733" s="182"/>
      <c r="J733" s="67"/>
      <c r="K733" s="67"/>
      <c r="R733" s="67"/>
    </row>
    <row r="734">
      <c r="B734" s="182"/>
      <c r="E734" s="261"/>
      <c r="G734" s="182"/>
      <c r="J734" s="67"/>
      <c r="K734" s="67"/>
      <c r="R734" s="67"/>
    </row>
    <row r="735">
      <c r="B735" s="182"/>
      <c r="E735" s="261"/>
      <c r="G735" s="182"/>
      <c r="J735" s="67"/>
      <c r="K735" s="67"/>
      <c r="R735" s="67"/>
    </row>
    <row r="736">
      <c r="B736" s="182"/>
      <c r="E736" s="261"/>
      <c r="G736" s="182"/>
      <c r="J736" s="67"/>
      <c r="K736" s="67"/>
      <c r="R736" s="67"/>
    </row>
    <row r="737">
      <c r="B737" s="182"/>
      <c r="E737" s="261"/>
      <c r="G737" s="182"/>
      <c r="J737" s="67"/>
      <c r="K737" s="67"/>
      <c r="R737" s="67"/>
    </row>
    <row r="738">
      <c r="B738" s="182"/>
      <c r="E738" s="261"/>
      <c r="G738" s="182"/>
      <c r="J738" s="67"/>
      <c r="K738" s="67"/>
      <c r="R738" s="67"/>
    </row>
    <row r="739">
      <c r="B739" s="182"/>
      <c r="E739" s="261"/>
      <c r="G739" s="182"/>
      <c r="J739" s="67"/>
      <c r="K739" s="67"/>
      <c r="R739" s="67"/>
    </row>
    <row r="740">
      <c r="B740" s="182"/>
      <c r="E740" s="261"/>
      <c r="G740" s="182"/>
      <c r="J740" s="67"/>
      <c r="K740" s="67"/>
      <c r="R740" s="67"/>
    </row>
    <row r="741">
      <c r="B741" s="182"/>
      <c r="E741" s="261"/>
      <c r="G741" s="182"/>
      <c r="J741" s="67"/>
      <c r="K741" s="67"/>
      <c r="R741" s="67"/>
    </row>
    <row r="742">
      <c r="B742" s="182"/>
      <c r="E742" s="261"/>
      <c r="G742" s="182"/>
      <c r="J742" s="67"/>
      <c r="K742" s="67"/>
      <c r="R742" s="67"/>
    </row>
    <row r="743">
      <c r="B743" s="182"/>
      <c r="E743" s="261"/>
      <c r="G743" s="182"/>
      <c r="J743" s="67"/>
      <c r="K743" s="67"/>
      <c r="R743" s="67"/>
    </row>
    <row r="744">
      <c r="B744" s="182"/>
      <c r="E744" s="261"/>
      <c r="G744" s="182"/>
      <c r="J744" s="67"/>
      <c r="K744" s="67"/>
      <c r="R744" s="67"/>
    </row>
    <row r="745">
      <c r="B745" s="182"/>
      <c r="E745" s="261"/>
      <c r="G745" s="182"/>
      <c r="J745" s="67"/>
      <c r="K745" s="67"/>
      <c r="R745" s="67"/>
    </row>
    <row r="746">
      <c r="B746" s="182"/>
      <c r="E746" s="261"/>
      <c r="G746" s="182"/>
      <c r="J746" s="67"/>
      <c r="K746" s="67"/>
      <c r="R746" s="67"/>
    </row>
    <row r="747">
      <c r="B747" s="182"/>
      <c r="E747" s="261"/>
      <c r="G747" s="182"/>
      <c r="J747" s="67"/>
      <c r="K747" s="67"/>
      <c r="R747" s="67"/>
    </row>
    <row r="748">
      <c r="B748" s="182"/>
      <c r="E748" s="261"/>
      <c r="G748" s="182"/>
      <c r="J748" s="67"/>
      <c r="K748" s="67"/>
      <c r="R748" s="67"/>
    </row>
    <row r="749">
      <c r="B749" s="182"/>
      <c r="E749" s="261"/>
      <c r="G749" s="182"/>
      <c r="J749" s="67"/>
      <c r="K749" s="67"/>
      <c r="R749" s="67"/>
    </row>
    <row r="750">
      <c r="B750" s="182"/>
      <c r="E750" s="261"/>
      <c r="G750" s="182"/>
      <c r="J750" s="67"/>
      <c r="K750" s="67"/>
      <c r="R750" s="67"/>
    </row>
    <row r="751">
      <c r="B751" s="182"/>
      <c r="E751" s="261"/>
      <c r="G751" s="182"/>
      <c r="J751" s="67"/>
      <c r="K751" s="67"/>
      <c r="R751" s="67"/>
    </row>
    <row r="752">
      <c r="B752" s="182"/>
      <c r="E752" s="261"/>
      <c r="G752" s="182"/>
      <c r="J752" s="67"/>
      <c r="K752" s="67"/>
      <c r="R752" s="67"/>
    </row>
    <row r="753">
      <c r="B753" s="182"/>
      <c r="E753" s="261"/>
      <c r="G753" s="182"/>
      <c r="J753" s="67"/>
      <c r="K753" s="67"/>
      <c r="R753" s="67"/>
    </row>
    <row r="754">
      <c r="B754" s="182"/>
      <c r="E754" s="261"/>
      <c r="G754" s="182"/>
      <c r="J754" s="67"/>
      <c r="K754" s="67"/>
      <c r="R754" s="67"/>
    </row>
    <row r="755">
      <c r="B755" s="182"/>
      <c r="E755" s="261"/>
      <c r="G755" s="182"/>
      <c r="J755" s="67"/>
      <c r="K755" s="67"/>
      <c r="R755" s="67"/>
    </row>
    <row r="756">
      <c r="B756" s="182"/>
      <c r="E756" s="261"/>
      <c r="G756" s="182"/>
      <c r="J756" s="67"/>
      <c r="K756" s="67"/>
      <c r="R756" s="67"/>
    </row>
    <row r="757">
      <c r="B757" s="182"/>
      <c r="E757" s="261"/>
      <c r="G757" s="182"/>
      <c r="J757" s="67"/>
      <c r="K757" s="67"/>
      <c r="R757" s="67"/>
    </row>
    <row r="758">
      <c r="B758" s="182"/>
      <c r="E758" s="261"/>
      <c r="G758" s="182"/>
      <c r="J758" s="67"/>
      <c r="K758" s="67"/>
      <c r="R758" s="67"/>
    </row>
    <row r="759">
      <c r="B759" s="182"/>
      <c r="E759" s="261"/>
      <c r="G759" s="182"/>
      <c r="J759" s="67"/>
      <c r="K759" s="67"/>
      <c r="R759" s="67"/>
    </row>
    <row r="760">
      <c r="B760" s="182"/>
      <c r="E760" s="261"/>
      <c r="G760" s="182"/>
      <c r="J760" s="67"/>
      <c r="K760" s="67"/>
      <c r="R760" s="67"/>
    </row>
    <row r="761">
      <c r="B761" s="182"/>
      <c r="E761" s="261"/>
      <c r="G761" s="182"/>
      <c r="J761" s="67"/>
      <c r="K761" s="67"/>
      <c r="R761" s="67"/>
    </row>
    <row r="762">
      <c r="B762" s="182"/>
      <c r="E762" s="261"/>
      <c r="G762" s="182"/>
      <c r="J762" s="67"/>
      <c r="K762" s="67"/>
      <c r="R762" s="67"/>
    </row>
    <row r="763">
      <c r="B763" s="182"/>
      <c r="E763" s="261"/>
      <c r="G763" s="182"/>
      <c r="J763" s="67"/>
      <c r="K763" s="67"/>
      <c r="R763" s="67"/>
    </row>
    <row r="764">
      <c r="B764" s="182"/>
      <c r="E764" s="261"/>
      <c r="G764" s="182"/>
      <c r="J764" s="67"/>
      <c r="K764" s="67"/>
      <c r="R764" s="67"/>
    </row>
    <row r="765">
      <c r="B765" s="182"/>
      <c r="E765" s="261"/>
      <c r="G765" s="182"/>
      <c r="J765" s="67"/>
      <c r="K765" s="67"/>
      <c r="R765" s="67"/>
    </row>
    <row r="766">
      <c r="B766" s="182"/>
      <c r="E766" s="261"/>
      <c r="G766" s="182"/>
      <c r="J766" s="67"/>
      <c r="K766" s="67"/>
      <c r="R766" s="67"/>
    </row>
    <row r="767">
      <c r="B767" s="182"/>
      <c r="E767" s="261"/>
      <c r="G767" s="182"/>
      <c r="J767" s="67"/>
      <c r="K767" s="67"/>
      <c r="R767" s="67"/>
    </row>
    <row r="768">
      <c r="B768" s="182"/>
      <c r="E768" s="261"/>
      <c r="G768" s="182"/>
      <c r="J768" s="67"/>
      <c r="K768" s="67"/>
      <c r="R768" s="67"/>
    </row>
    <row r="769">
      <c r="B769" s="182"/>
      <c r="E769" s="261"/>
      <c r="G769" s="182"/>
      <c r="J769" s="67"/>
      <c r="K769" s="67"/>
      <c r="R769" s="67"/>
    </row>
    <row r="770">
      <c r="B770" s="182"/>
      <c r="E770" s="261"/>
      <c r="G770" s="182"/>
      <c r="J770" s="67"/>
      <c r="K770" s="67"/>
      <c r="R770" s="67"/>
    </row>
    <row r="771">
      <c r="B771" s="182"/>
      <c r="E771" s="261"/>
      <c r="G771" s="182"/>
      <c r="J771" s="67"/>
      <c r="K771" s="67"/>
      <c r="R771" s="67"/>
    </row>
    <row r="772">
      <c r="B772" s="182"/>
      <c r="E772" s="261"/>
      <c r="G772" s="182"/>
      <c r="J772" s="67"/>
      <c r="K772" s="67"/>
      <c r="R772" s="67"/>
    </row>
    <row r="773">
      <c r="B773" s="182"/>
      <c r="E773" s="261"/>
      <c r="G773" s="182"/>
      <c r="J773" s="67"/>
      <c r="K773" s="67"/>
      <c r="R773" s="67"/>
    </row>
    <row r="774">
      <c r="B774" s="182"/>
      <c r="E774" s="261"/>
      <c r="G774" s="182"/>
      <c r="J774" s="67"/>
      <c r="K774" s="67"/>
      <c r="R774" s="67"/>
    </row>
    <row r="775">
      <c r="B775" s="182"/>
      <c r="E775" s="261"/>
      <c r="G775" s="182"/>
      <c r="J775" s="67"/>
      <c r="K775" s="67"/>
      <c r="R775" s="67"/>
    </row>
    <row r="776">
      <c r="B776" s="182"/>
      <c r="E776" s="261"/>
      <c r="G776" s="182"/>
      <c r="J776" s="67"/>
      <c r="K776" s="67"/>
      <c r="R776" s="67"/>
    </row>
    <row r="777">
      <c r="B777" s="182"/>
      <c r="E777" s="261"/>
      <c r="G777" s="182"/>
      <c r="J777" s="67"/>
      <c r="K777" s="67"/>
      <c r="R777" s="67"/>
    </row>
    <row r="778">
      <c r="B778" s="182"/>
      <c r="E778" s="261"/>
      <c r="G778" s="182"/>
      <c r="J778" s="67"/>
      <c r="K778" s="67"/>
      <c r="R778" s="67"/>
    </row>
    <row r="779">
      <c r="B779" s="182"/>
      <c r="E779" s="261"/>
      <c r="G779" s="182"/>
      <c r="J779" s="67"/>
      <c r="K779" s="67"/>
      <c r="R779" s="67"/>
    </row>
    <row r="780">
      <c r="B780" s="182"/>
      <c r="E780" s="261"/>
      <c r="G780" s="182"/>
      <c r="J780" s="67"/>
      <c r="K780" s="67"/>
      <c r="R780" s="67"/>
    </row>
    <row r="781">
      <c r="B781" s="182"/>
      <c r="E781" s="261"/>
      <c r="G781" s="182"/>
      <c r="J781" s="67"/>
      <c r="K781" s="67"/>
      <c r="R781" s="67"/>
    </row>
    <row r="782">
      <c r="B782" s="182"/>
      <c r="E782" s="261"/>
      <c r="G782" s="182"/>
      <c r="J782" s="67"/>
      <c r="K782" s="67"/>
      <c r="R782" s="67"/>
    </row>
    <row r="783">
      <c r="B783" s="182"/>
      <c r="E783" s="261"/>
      <c r="G783" s="182"/>
      <c r="J783" s="67"/>
      <c r="K783" s="67"/>
      <c r="R783" s="67"/>
    </row>
    <row r="784">
      <c r="B784" s="182"/>
      <c r="E784" s="261"/>
      <c r="G784" s="182"/>
      <c r="J784" s="67"/>
      <c r="K784" s="67"/>
      <c r="R784" s="67"/>
    </row>
    <row r="785">
      <c r="B785" s="182"/>
      <c r="E785" s="261"/>
      <c r="G785" s="182"/>
      <c r="J785" s="67"/>
      <c r="K785" s="67"/>
      <c r="R785" s="67"/>
    </row>
    <row r="786">
      <c r="B786" s="182"/>
      <c r="E786" s="261"/>
      <c r="G786" s="182"/>
      <c r="J786" s="67"/>
      <c r="K786" s="67"/>
      <c r="R786" s="67"/>
    </row>
    <row r="787">
      <c r="B787" s="182"/>
      <c r="E787" s="261"/>
      <c r="G787" s="182"/>
      <c r="J787" s="67"/>
      <c r="K787" s="67"/>
      <c r="R787" s="67"/>
    </row>
    <row r="788">
      <c r="B788" s="182"/>
      <c r="E788" s="261"/>
      <c r="G788" s="182"/>
      <c r="J788" s="67"/>
      <c r="K788" s="67"/>
      <c r="R788" s="67"/>
    </row>
    <row r="789">
      <c r="B789" s="182"/>
      <c r="E789" s="261"/>
      <c r="G789" s="182"/>
      <c r="J789" s="67"/>
      <c r="K789" s="67"/>
      <c r="R789" s="67"/>
    </row>
    <row r="790">
      <c r="B790" s="182"/>
      <c r="E790" s="261"/>
      <c r="G790" s="182"/>
      <c r="J790" s="67"/>
      <c r="K790" s="67"/>
      <c r="R790" s="67"/>
    </row>
    <row r="791">
      <c r="B791" s="182"/>
      <c r="E791" s="261"/>
      <c r="G791" s="182"/>
      <c r="J791" s="67"/>
      <c r="K791" s="67"/>
      <c r="R791" s="67"/>
    </row>
    <row r="792">
      <c r="B792" s="182"/>
      <c r="E792" s="261"/>
      <c r="G792" s="182"/>
      <c r="J792" s="67"/>
      <c r="K792" s="67"/>
      <c r="R792" s="67"/>
    </row>
    <row r="793">
      <c r="B793" s="182"/>
      <c r="E793" s="261"/>
      <c r="G793" s="182"/>
      <c r="J793" s="67"/>
      <c r="K793" s="67"/>
      <c r="R793" s="67"/>
    </row>
    <row r="794">
      <c r="B794" s="182"/>
      <c r="E794" s="261"/>
      <c r="G794" s="182"/>
      <c r="J794" s="67"/>
      <c r="K794" s="67"/>
      <c r="R794" s="67"/>
    </row>
    <row r="795">
      <c r="B795" s="182"/>
      <c r="E795" s="261"/>
      <c r="G795" s="182"/>
      <c r="J795" s="67"/>
      <c r="K795" s="67"/>
      <c r="R795" s="67"/>
    </row>
    <row r="796">
      <c r="B796" s="182"/>
      <c r="E796" s="261"/>
      <c r="G796" s="182"/>
      <c r="J796" s="67"/>
      <c r="K796" s="67"/>
      <c r="R796" s="67"/>
    </row>
    <row r="797">
      <c r="B797" s="182"/>
      <c r="E797" s="261"/>
      <c r="G797" s="182"/>
      <c r="J797" s="67"/>
      <c r="K797" s="67"/>
      <c r="R797" s="67"/>
    </row>
    <row r="798">
      <c r="B798" s="182"/>
      <c r="E798" s="261"/>
      <c r="G798" s="182"/>
      <c r="J798" s="67"/>
      <c r="K798" s="67"/>
      <c r="R798" s="67"/>
    </row>
    <row r="799">
      <c r="B799" s="182"/>
      <c r="E799" s="261"/>
      <c r="G799" s="182"/>
      <c r="J799" s="67"/>
      <c r="K799" s="67"/>
      <c r="R799" s="67"/>
    </row>
    <row r="800">
      <c r="B800" s="182"/>
      <c r="E800" s="261"/>
      <c r="G800" s="182"/>
      <c r="J800" s="67"/>
      <c r="K800" s="67"/>
      <c r="R800" s="67"/>
    </row>
    <row r="801">
      <c r="B801" s="182"/>
      <c r="E801" s="261"/>
      <c r="G801" s="182"/>
      <c r="J801" s="67"/>
      <c r="K801" s="67"/>
      <c r="R801" s="67"/>
    </row>
    <row r="802">
      <c r="B802" s="182"/>
      <c r="E802" s="261"/>
      <c r="G802" s="182"/>
      <c r="J802" s="67"/>
      <c r="K802" s="67"/>
      <c r="R802" s="67"/>
    </row>
    <row r="803">
      <c r="B803" s="182"/>
      <c r="E803" s="261"/>
      <c r="G803" s="182"/>
      <c r="J803" s="67"/>
      <c r="K803" s="67"/>
      <c r="R803" s="67"/>
    </row>
    <row r="804">
      <c r="B804" s="182"/>
      <c r="E804" s="261"/>
      <c r="G804" s="182"/>
      <c r="J804" s="67"/>
      <c r="K804" s="67"/>
      <c r="R804" s="67"/>
    </row>
    <row r="805">
      <c r="B805" s="182"/>
      <c r="E805" s="261"/>
      <c r="G805" s="182"/>
      <c r="J805" s="67"/>
      <c r="K805" s="67"/>
      <c r="R805" s="67"/>
    </row>
    <row r="806">
      <c r="B806" s="182"/>
      <c r="E806" s="261"/>
      <c r="G806" s="182"/>
      <c r="J806" s="67"/>
      <c r="K806" s="67"/>
      <c r="R806" s="67"/>
    </row>
    <row r="807">
      <c r="B807" s="182"/>
      <c r="E807" s="261"/>
      <c r="G807" s="182"/>
      <c r="J807" s="67"/>
      <c r="K807" s="67"/>
      <c r="R807" s="67"/>
    </row>
    <row r="808">
      <c r="B808" s="182"/>
      <c r="E808" s="261"/>
      <c r="G808" s="182"/>
      <c r="J808" s="67"/>
      <c r="K808" s="67"/>
      <c r="R808" s="67"/>
    </row>
    <row r="809">
      <c r="B809" s="182"/>
      <c r="E809" s="261"/>
      <c r="G809" s="182"/>
      <c r="J809" s="67"/>
      <c r="K809" s="67"/>
      <c r="R809" s="67"/>
    </row>
    <row r="810">
      <c r="B810" s="182"/>
      <c r="E810" s="261"/>
      <c r="G810" s="182"/>
      <c r="J810" s="67"/>
      <c r="K810" s="67"/>
      <c r="R810" s="67"/>
    </row>
    <row r="811">
      <c r="B811" s="182"/>
      <c r="E811" s="261"/>
      <c r="G811" s="182"/>
      <c r="J811" s="67"/>
      <c r="K811" s="67"/>
      <c r="R811" s="67"/>
    </row>
    <row r="812">
      <c r="B812" s="182"/>
      <c r="E812" s="261"/>
      <c r="G812" s="182"/>
      <c r="J812" s="67"/>
      <c r="K812" s="67"/>
      <c r="R812" s="67"/>
    </row>
    <row r="813">
      <c r="B813" s="182"/>
      <c r="E813" s="261"/>
      <c r="G813" s="182"/>
      <c r="J813" s="67"/>
      <c r="K813" s="67"/>
      <c r="R813" s="67"/>
    </row>
    <row r="814">
      <c r="B814" s="182"/>
      <c r="E814" s="261"/>
      <c r="G814" s="182"/>
      <c r="J814" s="67"/>
      <c r="K814" s="67"/>
      <c r="R814" s="67"/>
    </row>
    <row r="815">
      <c r="B815" s="182"/>
      <c r="E815" s="261"/>
      <c r="G815" s="182"/>
      <c r="J815" s="67"/>
      <c r="K815" s="67"/>
      <c r="R815" s="67"/>
    </row>
    <row r="816">
      <c r="B816" s="182"/>
      <c r="E816" s="261"/>
      <c r="G816" s="182"/>
      <c r="J816" s="67"/>
      <c r="K816" s="67"/>
      <c r="R816" s="67"/>
    </row>
    <row r="817">
      <c r="B817" s="182"/>
      <c r="E817" s="261"/>
      <c r="G817" s="182"/>
      <c r="J817" s="67"/>
      <c r="K817" s="67"/>
      <c r="R817" s="67"/>
    </row>
    <row r="818">
      <c r="B818" s="182"/>
      <c r="E818" s="261"/>
      <c r="G818" s="182"/>
      <c r="J818" s="67"/>
      <c r="K818" s="67"/>
      <c r="R818" s="67"/>
    </row>
    <row r="819">
      <c r="B819" s="182"/>
      <c r="E819" s="261"/>
      <c r="G819" s="182"/>
      <c r="J819" s="67"/>
      <c r="K819" s="67"/>
      <c r="R819" s="67"/>
    </row>
    <row r="820">
      <c r="B820" s="182"/>
      <c r="E820" s="261"/>
      <c r="G820" s="182"/>
      <c r="J820" s="67"/>
      <c r="K820" s="67"/>
      <c r="R820" s="67"/>
    </row>
    <row r="821">
      <c r="B821" s="182"/>
      <c r="E821" s="261"/>
      <c r="G821" s="182"/>
      <c r="J821" s="67"/>
      <c r="K821" s="67"/>
      <c r="R821" s="67"/>
    </row>
    <row r="822">
      <c r="B822" s="182"/>
      <c r="E822" s="261"/>
      <c r="G822" s="182"/>
      <c r="J822" s="67"/>
      <c r="K822" s="67"/>
      <c r="R822" s="67"/>
    </row>
    <row r="823">
      <c r="B823" s="182"/>
      <c r="E823" s="261"/>
      <c r="G823" s="182"/>
      <c r="J823" s="67"/>
      <c r="K823" s="67"/>
      <c r="R823" s="67"/>
    </row>
    <row r="824">
      <c r="B824" s="182"/>
      <c r="E824" s="261"/>
      <c r="G824" s="182"/>
      <c r="J824" s="67"/>
      <c r="K824" s="67"/>
      <c r="R824" s="67"/>
    </row>
    <row r="825">
      <c r="B825" s="182"/>
      <c r="E825" s="261"/>
      <c r="G825" s="182"/>
      <c r="J825" s="67"/>
      <c r="K825" s="67"/>
      <c r="R825" s="67"/>
    </row>
    <row r="826">
      <c r="B826" s="182"/>
      <c r="E826" s="261"/>
      <c r="G826" s="182"/>
      <c r="J826" s="67"/>
      <c r="K826" s="67"/>
      <c r="R826" s="67"/>
    </row>
    <row r="827">
      <c r="B827" s="182"/>
      <c r="E827" s="261"/>
      <c r="G827" s="182"/>
      <c r="J827" s="67"/>
      <c r="K827" s="67"/>
      <c r="R827" s="67"/>
    </row>
    <row r="828">
      <c r="B828" s="182"/>
      <c r="E828" s="261"/>
      <c r="G828" s="182"/>
      <c r="J828" s="67"/>
      <c r="K828" s="67"/>
      <c r="R828" s="67"/>
    </row>
    <row r="829">
      <c r="B829" s="182"/>
      <c r="E829" s="261"/>
      <c r="G829" s="182"/>
      <c r="J829" s="67"/>
      <c r="K829" s="67"/>
      <c r="R829" s="67"/>
    </row>
    <row r="830">
      <c r="B830" s="182"/>
      <c r="E830" s="261"/>
      <c r="G830" s="182"/>
      <c r="J830" s="67"/>
      <c r="K830" s="67"/>
      <c r="R830" s="67"/>
    </row>
    <row r="831">
      <c r="B831" s="182"/>
      <c r="E831" s="261"/>
      <c r="G831" s="182"/>
      <c r="J831" s="67"/>
      <c r="K831" s="67"/>
      <c r="R831" s="67"/>
    </row>
    <row r="832">
      <c r="B832" s="182"/>
      <c r="E832" s="261"/>
      <c r="G832" s="182"/>
      <c r="J832" s="67"/>
      <c r="K832" s="67"/>
      <c r="R832" s="67"/>
    </row>
    <row r="833">
      <c r="B833" s="182"/>
      <c r="E833" s="261"/>
      <c r="G833" s="182"/>
      <c r="J833" s="67"/>
      <c r="K833" s="67"/>
      <c r="R833" s="67"/>
    </row>
    <row r="834">
      <c r="B834" s="182"/>
      <c r="E834" s="261"/>
      <c r="G834" s="182"/>
      <c r="J834" s="67"/>
      <c r="K834" s="67"/>
      <c r="R834" s="67"/>
    </row>
    <row r="835">
      <c r="B835" s="182"/>
      <c r="E835" s="261"/>
      <c r="G835" s="182"/>
      <c r="J835" s="67"/>
      <c r="K835" s="67"/>
      <c r="R835" s="67"/>
    </row>
    <row r="836">
      <c r="B836" s="182"/>
      <c r="E836" s="261"/>
      <c r="G836" s="182"/>
      <c r="J836" s="67"/>
      <c r="K836" s="67"/>
      <c r="R836" s="67"/>
    </row>
    <row r="837">
      <c r="B837" s="182"/>
      <c r="E837" s="261"/>
      <c r="G837" s="182"/>
      <c r="J837" s="67"/>
      <c r="K837" s="67"/>
      <c r="R837" s="67"/>
    </row>
    <row r="838">
      <c r="B838" s="182"/>
      <c r="E838" s="261"/>
      <c r="G838" s="182"/>
      <c r="J838" s="67"/>
      <c r="K838" s="67"/>
      <c r="R838" s="67"/>
    </row>
    <row r="839">
      <c r="B839" s="182"/>
      <c r="E839" s="261"/>
      <c r="G839" s="182"/>
      <c r="J839" s="67"/>
      <c r="K839" s="67"/>
      <c r="R839" s="67"/>
    </row>
    <row r="840">
      <c r="B840" s="182"/>
      <c r="E840" s="261"/>
      <c r="G840" s="182"/>
      <c r="J840" s="67"/>
      <c r="K840" s="67"/>
      <c r="R840" s="67"/>
    </row>
    <row r="841">
      <c r="B841" s="182"/>
      <c r="E841" s="261"/>
      <c r="G841" s="182"/>
      <c r="J841" s="67"/>
      <c r="K841" s="67"/>
      <c r="R841" s="67"/>
    </row>
    <row r="842">
      <c r="B842" s="182"/>
      <c r="E842" s="261"/>
      <c r="G842" s="182"/>
      <c r="J842" s="67"/>
      <c r="K842" s="67"/>
      <c r="R842" s="67"/>
    </row>
    <row r="843">
      <c r="B843" s="182"/>
      <c r="E843" s="261"/>
      <c r="G843" s="182"/>
      <c r="J843" s="67"/>
      <c r="K843" s="67"/>
      <c r="R843" s="67"/>
    </row>
    <row r="844">
      <c r="B844" s="182"/>
      <c r="E844" s="261"/>
      <c r="G844" s="182"/>
      <c r="J844" s="67"/>
      <c r="K844" s="67"/>
      <c r="R844" s="67"/>
    </row>
    <row r="845">
      <c r="B845" s="182"/>
      <c r="E845" s="261"/>
      <c r="G845" s="182"/>
      <c r="J845" s="67"/>
      <c r="K845" s="67"/>
      <c r="R845" s="67"/>
    </row>
    <row r="846">
      <c r="B846" s="182"/>
      <c r="E846" s="261"/>
      <c r="G846" s="182"/>
      <c r="J846" s="67"/>
      <c r="K846" s="67"/>
      <c r="R846" s="67"/>
    </row>
    <row r="847">
      <c r="B847" s="182"/>
      <c r="E847" s="261"/>
      <c r="G847" s="182"/>
      <c r="J847" s="67"/>
      <c r="K847" s="67"/>
      <c r="R847" s="67"/>
    </row>
    <row r="848">
      <c r="B848" s="182"/>
      <c r="E848" s="261"/>
      <c r="G848" s="182"/>
      <c r="J848" s="67"/>
      <c r="K848" s="67"/>
      <c r="R848" s="67"/>
    </row>
    <row r="849">
      <c r="B849" s="182"/>
      <c r="E849" s="261"/>
      <c r="G849" s="182"/>
      <c r="J849" s="67"/>
      <c r="K849" s="67"/>
      <c r="R849" s="67"/>
    </row>
    <row r="850">
      <c r="B850" s="182"/>
      <c r="E850" s="261"/>
      <c r="G850" s="182"/>
      <c r="J850" s="67"/>
      <c r="K850" s="67"/>
      <c r="R850" s="67"/>
    </row>
    <row r="851">
      <c r="B851" s="182"/>
      <c r="E851" s="261"/>
      <c r="G851" s="182"/>
      <c r="J851" s="67"/>
      <c r="K851" s="67"/>
      <c r="R851" s="67"/>
    </row>
    <row r="852">
      <c r="B852" s="182"/>
      <c r="E852" s="261"/>
      <c r="G852" s="182"/>
      <c r="J852" s="67"/>
      <c r="K852" s="67"/>
      <c r="R852" s="67"/>
    </row>
    <row r="853">
      <c r="B853" s="182"/>
      <c r="E853" s="261"/>
      <c r="G853" s="182"/>
      <c r="J853" s="67"/>
      <c r="K853" s="67"/>
      <c r="R853" s="67"/>
    </row>
    <row r="854">
      <c r="B854" s="182"/>
      <c r="E854" s="261"/>
      <c r="G854" s="182"/>
      <c r="J854" s="67"/>
      <c r="K854" s="67"/>
      <c r="R854" s="67"/>
    </row>
    <row r="855">
      <c r="B855" s="182"/>
      <c r="E855" s="261"/>
      <c r="G855" s="182"/>
      <c r="J855" s="67"/>
      <c r="K855" s="67"/>
      <c r="R855" s="67"/>
    </row>
    <row r="856">
      <c r="B856" s="182"/>
      <c r="E856" s="261"/>
      <c r="G856" s="182"/>
      <c r="J856" s="67"/>
      <c r="K856" s="67"/>
      <c r="R856" s="67"/>
    </row>
    <row r="857">
      <c r="B857" s="182"/>
      <c r="E857" s="261"/>
      <c r="G857" s="182"/>
      <c r="J857" s="67"/>
      <c r="K857" s="67"/>
      <c r="R857" s="67"/>
    </row>
    <row r="858">
      <c r="B858" s="182"/>
      <c r="E858" s="261"/>
      <c r="G858" s="182"/>
      <c r="J858" s="67"/>
      <c r="K858" s="67"/>
      <c r="R858" s="67"/>
    </row>
    <row r="859">
      <c r="B859" s="182"/>
      <c r="E859" s="261"/>
      <c r="G859" s="182"/>
      <c r="J859" s="67"/>
      <c r="K859" s="67"/>
      <c r="R859" s="67"/>
    </row>
    <row r="860">
      <c r="B860" s="182"/>
      <c r="E860" s="261"/>
      <c r="G860" s="182"/>
      <c r="J860" s="67"/>
      <c r="K860" s="67"/>
      <c r="R860" s="67"/>
    </row>
    <row r="861">
      <c r="B861" s="182"/>
      <c r="E861" s="261"/>
      <c r="G861" s="182"/>
      <c r="J861" s="67"/>
      <c r="K861" s="67"/>
      <c r="R861" s="67"/>
    </row>
    <row r="862">
      <c r="B862" s="182"/>
      <c r="E862" s="261"/>
      <c r="G862" s="182"/>
      <c r="J862" s="67"/>
      <c r="K862" s="67"/>
      <c r="R862" s="67"/>
    </row>
    <row r="863">
      <c r="B863" s="182"/>
      <c r="E863" s="261"/>
      <c r="G863" s="182"/>
      <c r="J863" s="67"/>
      <c r="K863" s="67"/>
      <c r="R863" s="67"/>
    </row>
    <row r="864">
      <c r="B864" s="182"/>
      <c r="E864" s="261"/>
      <c r="G864" s="182"/>
      <c r="J864" s="67"/>
      <c r="K864" s="67"/>
      <c r="R864" s="67"/>
    </row>
    <row r="865">
      <c r="B865" s="182"/>
      <c r="E865" s="261"/>
      <c r="G865" s="182"/>
      <c r="J865" s="67"/>
      <c r="K865" s="67"/>
      <c r="R865" s="67"/>
    </row>
    <row r="866">
      <c r="B866" s="182"/>
      <c r="E866" s="261"/>
      <c r="G866" s="182"/>
      <c r="J866" s="67"/>
      <c r="K866" s="67"/>
      <c r="R866" s="67"/>
    </row>
    <row r="867">
      <c r="B867" s="182"/>
      <c r="E867" s="261"/>
      <c r="G867" s="182"/>
      <c r="J867" s="67"/>
      <c r="K867" s="67"/>
      <c r="R867" s="67"/>
    </row>
    <row r="868">
      <c r="B868" s="182"/>
      <c r="E868" s="261"/>
      <c r="G868" s="182"/>
      <c r="J868" s="67"/>
      <c r="K868" s="67"/>
      <c r="R868" s="67"/>
    </row>
    <row r="869">
      <c r="B869" s="182"/>
      <c r="E869" s="261"/>
      <c r="G869" s="182"/>
      <c r="J869" s="67"/>
      <c r="K869" s="67"/>
      <c r="R869" s="67"/>
    </row>
    <row r="870">
      <c r="B870" s="182"/>
      <c r="E870" s="261"/>
      <c r="G870" s="182"/>
      <c r="J870" s="67"/>
      <c r="K870" s="67"/>
      <c r="R870" s="67"/>
    </row>
    <row r="871">
      <c r="B871" s="182"/>
      <c r="E871" s="261"/>
      <c r="G871" s="182"/>
      <c r="J871" s="67"/>
      <c r="K871" s="67"/>
      <c r="R871" s="67"/>
    </row>
    <row r="872">
      <c r="B872" s="182"/>
      <c r="E872" s="261"/>
      <c r="G872" s="182"/>
      <c r="J872" s="67"/>
      <c r="K872" s="67"/>
      <c r="R872" s="67"/>
    </row>
    <row r="873">
      <c r="B873" s="182"/>
      <c r="E873" s="261"/>
      <c r="G873" s="182"/>
      <c r="J873" s="67"/>
      <c r="K873" s="67"/>
      <c r="R873" s="67"/>
    </row>
    <row r="874">
      <c r="B874" s="182"/>
      <c r="E874" s="261"/>
      <c r="G874" s="182"/>
      <c r="J874" s="67"/>
      <c r="K874" s="67"/>
      <c r="R874" s="67"/>
    </row>
    <row r="875">
      <c r="B875" s="182"/>
      <c r="E875" s="261"/>
      <c r="G875" s="182"/>
      <c r="J875" s="67"/>
      <c r="K875" s="67"/>
      <c r="R875" s="67"/>
    </row>
    <row r="876">
      <c r="B876" s="182"/>
      <c r="E876" s="261"/>
      <c r="G876" s="182"/>
      <c r="J876" s="67"/>
      <c r="K876" s="67"/>
      <c r="R876" s="67"/>
    </row>
    <row r="877">
      <c r="B877" s="182"/>
      <c r="E877" s="261"/>
      <c r="G877" s="182"/>
      <c r="J877" s="67"/>
      <c r="K877" s="67"/>
      <c r="R877" s="67"/>
    </row>
    <row r="878">
      <c r="B878" s="182"/>
      <c r="E878" s="261"/>
      <c r="G878" s="182"/>
      <c r="J878" s="67"/>
      <c r="K878" s="67"/>
      <c r="R878" s="67"/>
    </row>
    <row r="879">
      <c r="B879" s="182"/>
      <c r="E879" s="261"/>
      <c r="G879" s="182"/>
      <c r="J879" s="67"/>
      <c r="K879" s="67"/>
      <c r="R879" s="67"/>
    </row>
    <row r="880">
      <c r="B880" s="182"/>
      <c r="E880" s="261"/>
      <c r="G880" s="182"/>
      <c r="J880" s="67"/>
      <c r="K880" s="67"/>
      <c r="R880" s="67"/>
    </row>
    <row r="881">
      <c r="B881" s="182"/>
      <c r="E881" s="261"/>
      <c r="G881" s="182"/>
      <c r="J881" s="67"/>
      <c r="K881" s="67"/>
      <c r="R881" s="67"/>
    </row>
    <row r="882">
      <c r="B882" s="182"/>
      <c r="E882" s="261"/>
      <c r="G882" s="182"/>
      <c r="J882" s="67"/>
      <c r="K882" s="67"/>
      <c r="R882" s="67"/>
    </row>
    <row r="883">
      <c r="B883" s="182"/>
      <c r="E883" s="261"/>
      <c r="G883" s="182"/>
      <c r="J883" s="67"/>
      <c r="K883" s="67"/>
      <c r="R883" s="67"/>
    </row>
    <row r="884">
      <c r="B884" s="182"/>
      <c r="E884" s="261"/>
      <c r="G884" s="182"/>
      <c r="J884" s="67"/>
      <c r="K884" s="67"/>
      <c r="R884" s="67"/>
    </row>
    <row r="885">
      <c r="B885" s="182"/>
      <c r="E885" s="261"/>
      <c r="G885" s="182"/>
      <c r="J885" s="67"/>
      <c r="K885" s="67"/>
      <c r="R885" s="67"/>
    </row>
    <row r="886">
      <c r="B886" s="182"/>
      <c r="E886" s="261"/>
      <c r="G886" s="182"/>
      <c r="J886" s="67"/>
      <c r="K886" s="67"/>
      <c r="R886" s="67"/>
    </row>
    <row r="887">
      <c r="B887" s="182"/>
      <c r="E887" s="261"/>
      <c r="G887" s="182"/>
      <c r="J887" s="67"/>
      <c r="K887" s="67"/>
      <c r="R887" s="67"/>
    </row>
    <row r="888">
      <c r="B888" s="182"/>
      <c r="E888" s="261"/>
      <c r="G888" s="182"/>
      <c r="J888" s="67"/>
      <c r="K888" s="67"/>
      <c r="R888" s="67"/>
    </row>
    <row r="889">
      <c r="B889" s="182"/>
      <c r="E889" s="261"/>
      <c r="G889" s="182"/>
      <c r="J889" s="67"/>
      <c r="K889" s="67"/>
      <c r="R889" s="67"/>
    </row>
    <row r="890">
      <c r="B890" s="182"/>
      <c r="E890" s="261"/>
      <c r="G890" s="182"/>
      <c r="J890" s="67"/>
      <c r="K890" s="67"/>
      <c r="R890" s="67"/>
    </row>
    <row r="891">
      <c r="B891" s="182"/>
      <c r="E891" s="261"/>
      <c r="G891" s="182"/>
      <c r="J891" s="67"/>
      <c r="K891" s="67"/>
      <c r="R891" s="67"/>
    </row>
    <row r="892">
      <c r="B892" s="182"/>
      <c r="E892" s="261"/>
      <c r="G892" s="182"/>
      <c r="J892" s="67"/>
      <c r="K892" s="67"/>
      <c r="R892" s="67"/>
    </row>
    <row r="893">
      <c r="B893" s="182"/>
      <c r="E893" s="261"/>
      <c r="G893" s="182"/>
      <c r="J893" s="67"/>
      <c r="K893" s="67"/>
      <c r="R893" s="67"/>
    </row>
    <row r="894">
      <c r="B894" s="182"/>
      <c r="E894" s="261"/>
      <c r="G894" s="182"/>
      <c r="J894" s="67"/>
      <c r="K894" s="67"/>
      <c r="R894" s="67"/>
    </row>
    <row r="895">
      <c r="B895" s="182"/>
      <c r="E895" s="261"/>
      <c r="G895" s="182"/>
      <c r="J895" s="67"/>
      <c r="K895" s="67"/>
      <c r="R895" s="67"/>
    </row>
    <row r="896">
      <c r="B896" s="182"/>
      <c r="E896" s="261"/>
      <c r="G896" s="182"/>
      <c r="J896" s="67"/>
      <c r="K896" s="67"/>
      <c r="R896" s="67"/>
    </row>
    <row r="897">
      <c r="B897" s="182"/>
      <c r="E897" s="261"/>
      <c r="G897" s="182"/>
      <c r="J897" s="67"/>
      <c r="K897" s="67"/>
      <c r="R897" s="67"/>
    </row>
    <row r="898">
      <c r="B898" s="182"/>
      <c r="E898" s="261"/>
      <c r="G898" s="182"/>
      <c r="J898" s="67"/>
      <c r="K898" s="67"/>
      <c r="R898" s="67"/>
    </row>
    <row r="899">
      <c r="B899" s="182"/>
      <c r="E899" s="261"/>
      <c r="G899" s="182"/>
      <c r="J899" s="67"/>
      <c r="K899" s="67"/>
      <c r="R899" s="67"/>
    </row>
    <row r="900">
      <c r="B900" s="182"/>
      <c r="E900" s="261"/>
      <c r="G900" s="182"/>
      <c r="J900" s="67"/>
      <c r="K900" s="67"/>
      <c r="R900" s="67"/>
    </row>
    <row r="901">
      <c r="B901" s="182"/>
      <c r="E901" s="261"/>
      <c r="G901" s="182"/>
      <c r="J901" s="67"/>
      <c r="K901" s="67"/>
      <c r="R901" s="67"/>
    </row>
    <row r="902">
      <c r="B902" s="182"/>
      <c r="E902" s="261"/>
      <c r="G902" s="182"/>
      <c r="J902" s="67"/>
      <c r="K902" s="67"/>
      <c r="R902" s="67"/>
    </row>
    <row r="903">
      <c r="B903" s="182"/>
      <c r="E903" s="261"/>
      <c r="G903" s="182"/>
      <c r="J903" s="67"/>
      <c r="K903" s="67"/>
      <c r="R903" s="67"/>
    </row>
    <row r="904">
      <c r="B904" s="182"/>
      <c r="E904" s="261"/>
      <c r="G904" s="182"/>
      <c r="J904" s="67"/>
      <c r="K904" s="67"/>
      <c r="R904" s="67"/>
    </row>
    <row r="905">
      <c r="B905" s="182"/>
      <c r="E905" s="261"/>
      <c r="G905" s="182"/>
      <c r="J905" s="67"/>
      <c r="K905" s="67"/>
      <c r="R905" s="67"/>
    </row>
    <row r="906">
      <c r="B906" s="182"/>
      <c r="E906" s="261"/>
      <c r="G906" s="182"/>
      <c r="J906" s="67"/>
      <c r="K906" s="67"/>
      <c r="R906" s="67"/>
    </row>
    <row r="907">
      <c r="B907" s="182"/>
      <c r="E907" s="261"/>
      <c r="G907" s="182"/>
      <c r="J907" s="67"/>
      <c r="K907" s="67"/>
      <c r="R907" s="67"/>
    </row>
    <row r="908">
      <c r="B908" s="182"/>
      <c r="E908" s="261"/>
      <c r="G908" s="182"/>
      <c r="J908" s="67"/>
      <c r="K908" s="67"/>
      <c r="R908" s="67"/>
    </row>
    <row r="909">
      <c r="B909" s="182"/>
      <c r="E909" s="261"/>
      <c r="G909" s="182"/>
      <c r="J909" s="67"/>
      <c r="K909" s="67"/>
      <c r="R909" s="67"/>
    </row>
    <row r="910">
      <c r="B910" s="182"/>
      <c r="E910" s="261"/>
      <c r="G910" s="182"/>
      <c r="J910" s="67"/>
      <c r="K910" s="67"/>
      <c r="R910" s="67"/>
    </row>
    <row r="911">
      <c r="B911" s="182"/>
      <c r="E911" s="261"/>
      <c r="G911" s="182"/>
      <c r="J911" s="67"/>
      <c r="K911" s="67"/>
      <c r="R911" s="67"/>
    </row>
    <row r="912">
      <c r="B912" s="182"/>
      <c r="E912" s="261"/>
      <c r="G912" s="182"/>
      <c r="J912" s="67"/>
      <c r="K912" s="67"/>
      <c r="R912" s="67"/>
    </row>
    <row r="913">
      <c r="B913" s="182"/>
      <c r="E913" s="261"/>
      <c r="G913" s="182"/>
      <c r="J913" s="67"/>
      <c r="K913" s="67"/>
      <c r="R913" s="67"/>
    </row>
    <row r="914">
      <c r="B914" s="182"/>
      <c r="E914" s="261"/>
      <c r="G914" s="182"/>
      <c r="J914" s="67"/>
      <c r="K914" s="67"/>
      <c r="R914" s="67"/>
    </row>
    <row r="915">
      <c r="B915" s="182"/>
      <c r="E915" s="261"/>
      <c r="G915" s="182"/>
      <c r="J915" s="67"/>
      <c r="K915" s="67"/>
      <c r="R915" s="67"/>
    </row>
    <row r="916">
      <c r="B916" s="182"/>
      <c r="E916" s="261"/>
      <c r="G916" s="182"/>
      <c r="J916" s="67"/>
      <c r="K916" s="67"/>
      <c r="R916" s="67"/>
    </row>
    <row r="917">
      <c r="B917" s="182"/>
      <c r="E917" s="261"/>
      <c r="G917" s="182"/>
      <c r="J917" s="67"/>
      <c r="K917" s="67"/>
      <c r="R917" s="67"/>
    </row>
    <row r="918">
      <c r="B918" s="182"/>
      <c r="E918" s="261"/>
      <c r="G918" s="182"/>
      <c r="J918" s="67"/>
      <c r="K918" s="67"/>
      <c r="R918" s="67"/>
    </row>
    <row r="919">
      <c r="B919" s="182"/>
      <c r="E919" s="261"/>
      <c r="G919" s="182"/>
      <c r="J919" s="67"/>
      <c r="K919" s="67"/>
      <c r="R919" s="67"/>
    </row>
    <row r="920">
      <c r="B920" s="182"/>
      <c r="E920" s="261"/>
      <c r="G920" s="182"/>
      <c r="J920" s="67"/>
      <c r="K920" s="67"/>
      <c r="R920" s="67"/>
    </row>
    <row r="921">
      <c r="B921" s="182"/>
      <c r="E921" s="261"/>
      <c r="G921" s="182"/>
      <c r="J921" s="67"/>
      <c r="K921" s="67"/>
      <c r="R921" s="67"/>
    </row>
    <row r="922">
      <c r="B922" s="182"/>
      <c r="E922" s="261"/>
      <c r="G922" s="182"/>
      <c r="J922" s="67"/>
      <c r="K922" s="67"/>
      <c r="R922" s="67"/>
    </row>
    <row r="923">
      <c r="B923" s="182"/>
      <c r="E923" s="261"/>
      <c r="G923" s="182"/>
      <c r="J923" s="67"/>
      <c r="K923" s="67"/>
      <c r="R923" s="67"/>
    </row>
    <row r="924">
      <c r="B924" s="182"/>
      <c r="E924" s="261"/>
      <c r="G924" s="182"/>
      <c r="J924" s="67"/>
      <c r="K924" s="67"/>
      <c r="R924" s="67"/>
    </row>
    <row r="925">
      <c r="B925" s="182"/>
      <c r="E925" s="261"/>
      <c r="G925" s="182"/>
      <c r="J925" s="67"/>
      <c r="K925" s="67"/>
      <c r="R925" s="67"/>
    </row>
    <row r="926">
      <c r="B926" s="182"/>
      <c r="E926" s="261"/>
      <c r="G926" s="182"/>
      <c r="J926" s="67"/>
      <c r="K926" s="67"/>
      <c r="R926" s="67"/>
    </row>
    <row r="927">
      <c r="B927" s="182"/>
      <c r="E927" s="261"/>
      <c r="G927" s="182"/>
      <c r="J927" s="67"/>
      <c r="K927" s="67"/>
      <c r="R927" s="67"/>
    </row>
    <row r="928">
      <c r="B928" s="182"/>
      <c r="E928" s="261"/>
      <c r="G928" s="182"/>
      <c r="J928" s="67"/>
      <c r="K928" s="67"/>
      <c r="R928" s="67"/>
    </row>
    <row r="929">
      <c r="B929" s="182"/>
      <c r="E929" s="261"/>
      <c r="G929" s="182"/>
      <c r="J929" s="67"/>
      <c r="K929" s="67"/>
      <c r="R929" s="67"/>
    </row>
    <row r="930">
      <c r="B930" s="182"/>
      <c r="E930" s="261"/>
      <c r="G930" s="182"/>
      <c r="J930" s="67"/>
      <c r="K930" s="67"/>
      <c r="R930" s="67"/>
    </row>
    <row r="931">
      <c r="B931" s="182"/>
      <c r="E931" s="261"/>
      <c r="G931" s="182"/>
      <c r="J931" s="67"/>
      <c r="K931" s="67"/>
      <c r="R931" s="67"/>
    </row>
    <row r="932">
      <c r="B932" s="182"/>
      <c r="E932" s="261"/>
      <c r="G932" s="182"/>
      <c r="J932" s="67"/>
      <c r="K932" s="67"/>
      <c r="R932" s="67"/>
    </row>
    <row r="933">
      <c r="B933" s="182"/>
      <c r="E933" s="261"/>
      <c r="G933" s="182"/>
      <c r="J933" s="67"/>
      <c r="K933" s="67"/>
      <c r="R933" s="67"/>
    </row>
    <row r="934">
      <c r="B934" s="182"/>
      <c r="E934" s="261"/>
      <c r="G934" s="182"/>
      <c r="J934" s="67"/>
      <c r="K934" s="67"/>
      <c r="R934" s="67"/>
    </row>
    <row r="935">
      <c r="B935" s="182"/>
      <c r="E935" s="261"/>
      <c r="G935" s="182"/>
      <c r="J935" s="67"/>
      <c r="K935" s="67"/>
      <c r="R935" s="67"/>
    </row>
    <row r="936">
      <c r="B936" s="182"/>
      <c r="E936" s="261"/>
      <c r="G936" s="182"/>
      <c r="J936" s="67"/>
      <c r="K936" s="67"/>
      <c r="R936" s="67"/>
    </row>
    <row r="937">
      <c r="B937" s="182"/>
      <c r="E937" s="261"/>
      <c r="G937" s="182"/>
      <c r="J937" s="67"/>
      <c r="K937" s="67"/>
      <c r="R937" s="67"/>
    </row>
    <row r="938">
      <c r="B938" s="182"/>
      <c r="E938" s="261"/>
      <c r="G938" s="182"/>
      <c r="J938" s="67"/>
      <c r="K938" s="67"/>
      <c r="R938" s="67"/>
    </row>
    <row r="939">
      <c r="B939" s="182"/>
      <c r="E939" s="261"/>
      <c r="G939" s="182"/>
      <c r="J939" s="67"/>
      <c r="K939" s="67"/>
      <c r="R939" s="67"/>
    </row>
    <row r="940">
      <c r="B940" s="182"/>
      <c r="E940" s="261"/>
      <c r="G940" s="182"/>
      <c r="J940" s="67"/>
      <c r="K940" s="67"/>
      <c r="R940" s="67"/>
    </row>
    <row r="941">
      <c r="B941" s="182"/>
      <c r="E941" s="261"/>
      <c r="G941" s="182"/>
      <c r="J941" s="67"/>
      <c r="K941" s="67"/>
      <c r="R941" s="67"/>
    </row>
    <row r="942">
      <c r="B942" s="182"/>
      <c r="E942" s="261"/>
      <c r="G942" s="182"/>
      <c r="J942" s="67"/>
      <c r="K942" s="67"/>
      <c r="R942" s="67"/>
    </row>
    <row r="943">
      <c r="B943" s="182"/>
      <c r="E943" s="261"/>
      <c r="G943" s="182"/>
      <c r="J943" s="67"/>
      <c r="K943" s="67"/>
      <c r="R943" s="67"/>
    </row>
    <row r="944">
      <c r="B944" s="182"/>
      <c r="E944" s="261"/>
      <c r="G944" s="182"/>
      <c r="J944" s="67"/>
      <c r="K944" s="67"/>
      <c r="R944" s="67"/>
    </row>
    <row r="945">
      <c r="B945" s="182"/>
      <c r="E945" s="261"/>
      <c r="G945" s="182"/>
      <c r="J945" s="67"/>
      <c r="K945" s="67"/>
      <c r="R945" s="67"/>
    </row>
    <row r="946">
      <c r="B946" s="182"/>
      <c r="E946" s="261"/>
      <c r="G946" s="182"/>
      <c r="J946" s="67"/>
      <c r="K946" s="67"/>
      <c r="R946" s="67"/>
    </row>
    <row r="947">
      <c r="B947" s="182"/>
      <c r="E947" s="261"/>
      <c r="G947" s="182"/>
      <c r="J947" s="67"/>
      <c r="K947" s="67"/>
      <c r="R947" s="67"/>
    </row>
    <row r="948">
      <c r="B948" s="182"/>
      <c r="E948" s="261"/>
      <c r="G948" s="182"/>
      <c r="J948" s="67"/>
      <c r="K948" s="67"/>
      <c r="R948" s="67"/>
    </row>
    <row r="949">
      <c r="B949" s="182"/>
      <c r="E949" s="261"/>
      <c r="G949" s="182"/>
      <c r="J949" s="67"/>
      <c r="K949" s="67"/>
      <c r="R949" s="67"/>
    </row>
    <row r="950">
      <c r="B950" s="182"/>
      <c r="E950" s="261"/>
      <c r="G950" s="182"/>
      <c r="J950" s="67"/>
      <c r="K950" s="67"/>
      <c r="R950" s="67"/>
    </row>
    <row r="951">
      <c r="B951" s="182"/>
      <c r="E951" s="261"/>
      <c r="G951" s="182"/>
      <c r="J951" s="67"/>
      <c r="K951" s="67"/>
      <c r="R951" s="67"/>
    </row>
    <row r="952">
      <c r="B952" s="182"/>
      <c r="E952" s="261"/>
      <c r="G952" s="182"/>
      <c r="J952" s="67"/>
      <c r="K952" s="67"/>
      <c r="R952" s="67"/>
    </row>
    <row r="953">
      <c r="B953" s="182"/>
      <c r="E953" s="261"/>
      <c r="G953" s="182"/>
      <c r="J953" s="67"/>
      <c r="K953" s="67"/>
      <c r="R953" s="67"/>
    </row>
    <row r="954">
      <c r="B954" s="182"/>
      <c r="E954" s="261"/>
      <c r="G954" s="182"/>
      <c r="J954" s="67"/>
      <c r="K954" s="67"/>
      <c r="R954" s="67"/>
    </row>
    <row r="955">
      <c r="B955" s="182"/>
      <c r="E955" s="261"/>
      <c r="G955" s="182"/>
      <c r="J955" s="67"/>
      <c r="K955" s="67"/>
      <c r="R955" s="67"/>
    </row>
    <row r="956">
      <c r="B956" s="182"/>
      <c r="E956" s="261"/>
      <c r="G956" s="182"/>
      <c r="J956" s="67"/>
      <c r="K956" s="67"/>
      <c r="R956" s="67"/>
    </row>
    <row r="957">
      <c r="B957" s="182"/>
      <c r="E957" s="261"/>
      <c r="G957" s="182"/>
      <c r="J957" s="67"/>
      <c r="K957" s="67"/>
      <c r="R957" s="67"/>
    </row>
    <row r="958">
      <c r="B958" s="182"/>
      <c r="E958" s="261"/>
      <c r="G958" s="182"/>
      <c r="J958" s="67"/>
      <c r="K958" s="67"/>
      <c r="R958" s="67"/>
    </row>
    <row r="959">
      <c r="B959" s="182"/>
      <c r="E959" s="261"/>
      <c r="G959" s="182"/>
      <c r="J959" s="67"/>
      <c r="K959" s="67"/>
      <c r="R959" s="67"/>
    </row>
    <row r="960">
      <c r="B960" s="182"/>
      <c r="E960" s="261"/>
      <c r="G960" s="182"/>
      <c r="J960" s="67"/>
      <c r="K960" s="67"/>
      <c r="R960" s="67"/>
    </row>
    <row r="961">
      <c r="B961" s="182"/>
      <c r="E961" s="261"/>
      <c r="G961" s="182"/>
      <c r="J961" s="67"/>
      <c r="K961" s="67"/>
      <c r="R961" s="67"/>
    </row>
    <row r="962">
      <c r="B962" s="182"/>
      <c r="E962" s="261"/>
      <c r="G962" s="182"/>
      <c r="J962" s="67"/>
      <c r="K962" s="67"/>
      <c r="R962" s="67"/>
    </row>
    <row r="963">
      <c r="B963" s="182"/>
      <c r="E963" s="261"/>
      <c r="G963" s="182"/>
      <c r="J963" s="67"/>
      <c r="K963" s="67"/>
      <c r="R963" s="67"/>
    </row>
    <row r="964">
      <c r="B964" s="182"/>
      <c r="E964" s="261"/>
      <c r="G964" s="182"/>
      <c r="J964" s="67"/>
      <c r="K964" s="67"/>
      <c r="R964" s="67"/>
    </row>
    <row r="965">
      <c r="B965" s="182"/>
      <c r="E965" s="261"/>
      <c r="G965" s="182"/>
      <c r="J965" s="67"/>
      <c r="K965" s="67"/>
      <c r="R965" s="67"/>
    </row>
    <row r="966">
      <c r="B966" s="182"/>
      <c r="E966" s="261"/>
      <c r="G966" s="182"/>
      <c r="J966" s="67"/>
      <c r="K966" s="67"/>
      <c r="R966" s="67"/>
    </row>
    <row r="967">
      <c r="B967" s="182"/>
      <c r="E967" s="261"/>
      <c r="G967" s="182"/>
      <c r="J967" s="67"/>
      <c r="K967" s="67"/>
      <c r="R967" s="67"/>
    </row>
    <row r="968">
      <c r="B968" s="182"/>
      <c r="E968" s="261"/>
      <c r="G968" s="182"/>
      <c r="J968" s="67"/>
      <c r="K968" s="67"/>
      <c r="R968" s="67"/>
    </row>
    <row r="969">
      <c r="B969" s="182"/>
      <c r="E969" s="261"/>
      <c r="G969" s="182"/>
      <c r="J969" s="67"/>
      <c r="K969" s="67"/>
      <c r="R969" s="67"/>
    </row>
    <row r="970">
      <c r="B970" s="182"/>
      <c r="E970" s="261"/>
      <c r="G970" s="182"/>
      <c r="J970" s="67"/>
      <c r="K970" s="67"/>
      <c r="R970" s="67"/>
    </row>
    <row r="971">
      <c r="B971" s="182"/>
      <c r="E971" s="261"/>
      <c r="G971" s="182"/>
      <c r="J971" s="67"/>
      <c r="K971" s="67"/>
      <c r="R971" s="67"/>
    </row>
    <row r="972">
      <c r="B972" s="182"/>
      <c r="E972" s="261"/>
      <c r="G972" s="182"/>
      <c r="J972" s="67"/>
      <c r="K972" s="67"/>
      <c r="R972" s="67"/>
    </row>
    <row r="973">
      <c r="B973" s="182"/>
      <c r="E973" s="261"/>
      <c r="G973" s="182"/>
      <c r="J973" s="67"/>
      <c r="K973" s="67"/>
      <c r="R973" s="67"/>
    </row>
    <row r="974">
      <c r="B974" s="182"/>
      <c r="E974" s="261"/>
      <c r="G974" s="182"/>
      <c r="J974" s="67"/>
      <c r="K974" s="67"/>
      <c r="R974" s="67"/>
    </row>
    <row r="975">
      <c r="B975" s="182"/>
      <c r="E975" s="261"/>
      <c r="G975" s="182"/>
      <c r="J975" s="67"/>
      <c r="K975" s="67"/>
      <c r="R975" s="67"/>
    </row>
    <row r="976">
      <c r="B976" s="182"/>
      <c r="E976" s="261"/>
      <c r="G976" s="182"/>
      <c r="J976" s="67"/>
      <c r="K976" s="67"/>
      <c r="R976" s="67"/>
    </row>
    <row r="977">
      <c r="B977" s="182"/>
      <c r="E977" s="261"/>
      <c r="G977" s="182"/>
      <c r="J977" s="67"/>
      <c r="K977" s="67"/>
      <c r="R977" s="67"/>
    </row>
    <row r="978">
      <c r="B978" s="182"/>
      <c r="E978" s="261"/>
      <c r="G978" s="182"/>
      <c r="J978" s="67"/>
      <c r="K978" s="67"/>
      <c r="R978" s="67"/>
    </row>
    <row r="979">
      <c r="B979" s="182"/>
      <c r="E979" s="261"/>
      <c r="G979" s="182"/>
      <c r="J979" s="67"/>
      <c r="K979" s="67"/>
      <c r="R979" s="67"/>
    </row>
    <row r="980">
      <c r="B980" s="182"/>
      <c r="E980" s="261"/>
      <c r="G980" s="182"/>
      <c r="J980" s="67"/>
      <c r="K980" s="67"/>
      <c r="R980" s="67"/>
    </row>
    <row r="981">
      <c r="B981" s="182"/>
      <c r="E981" s="261"/>
      <c r="G981" s="182"/>
      <c r="J981" s="67"/>
      <c r="K981" s="67"/>
      <c r="R981" s="67"/>
    </row>
    <row r="982">
      <c r="B982" s="182"/>
      <c r="E982" s="261"/>
      <c r="G982" s="182"/>
      <c r="J982" s="67"/>
      <c r="K982" s="67"/>
      <c r="R982" s="67"/>
    </row>
    <row r="983">
      <c r="B983" s="182"/>
      <c r="E983" s="261"/>
      <c r="G983" s="182"/>
      <c r="J983" s="67"/>
      <c r="K983" s="67"/>
      <c r="R983" s="67"/>
    </row>
    <row r="984">
      <c r="B984" s="182"/>
      <c r="E984" s="261"/>
      <c r="G984" s="182"/>
      <c r="J984" s="67"/>
      <c r="K984" s="67"/>
      <c r="R984" s="67"/>
    </row>
    <row r="985">
      <c r="B985" s="182"/>
      <c r="E985" s="261"/>
      <c r="G985" s="182"/>
      <c r="J985" s="67"/>
      <c r="K985" s="67"/>
      <c r="R985" s="67"/>
    </row>
    <row r="986">
      <c r="B986" s="182"/>
      <c r="E986" s="261"/>
      <c r="G986" s="182"/>
      <c r="J986" s="67"/>
      <c r="K986" s="67"/>
      <c r="R986" s="67"/>
    </row>
    <row r="987">
      <c r="B987" s="182"/>
      <c r="E987" s="261"/>
      <c r="G987" s="182"/>
      <c r="J987" s="67"/>
      <c r="K987" s="67"/>
      <c r="R987" s="67"/>
    </row>
    <row r="988">
      <c r="B988" s="182"/>
      <c r="E988" s="261"/>
      <c r="G988" s="182"/>
      <c r="J988" s="67"/>
      <c r="K988" s="67"/>
      <c r="R988" s="67"/>
    </row>
    <row r="989">
      <c r="B989" s="182"/>
      <c r="E989" s="261"/>
      <c r="G989" s="182"/>
      <c r="J989" s="67"/>
      <c r="K989" s="67"/>
      <c r="R989" s="67"/>
    </row>
    <row r="990">
      <c r="B990" s="182"/>
      <c r="E990" s="261"/>
      <c r="G990" s="182"/>
      <c r="J990" s="67"/>
      <c r="K990" s="67"/>
      <c r="R990" s="67"/>
    </row>
    <row r="991">
      <c r="B991" s="182"/>
      <c r="E991" s="261"/>
      <c r="G991" s="182"/>
      <c r="J991" s="67"/>
      <c r="K991" s="67"/>
      <c r="R991" s="67"/>
    </row>
    <row r="992">
      <c r="B992" s="182"/>
      <c r="E992" s="261"/>
      <c r="G992" s="182"/>
      <c r="J992" s="67"/>
      <c r="K992" s="67"/>
      <c r="R992" s="67"/>
    </row>
    <row r="993">
      <c r="B993" s="182"/>
      <c r="E993" s="261"/>
      <c r="G993" s="182"/>
      <c r="J993" s="67"/>
      <c r="K993" s="67"/>
      <c r="R993" s="67"/>
    </row>
    <row r="994">
      <c r="B994" s="182"/>
      <c r="E994" s="261"/>
      <c r="G994" s="182"/>
      <c r="J994" s="67"/>
      <c r="K994" s="67"/>
      <c r="R994" s="67"/>
    </row>
    <row r="995">
      <c r="B995" s="182"/>
      <c r="E995" s="261"/>
      <c r="G995" s="182"/>
      <c r="J995" s="67"/>
      <c r="K995" s="67"/>
      <c r="R995" s="67"/>
    </row>
    <row r="996">
      <c r="B996" s="182"/>
      <c r="E996" s="261"/>
      <c r="G996" s="182"/>
      <c r="J996" s="67"/>
      <c r="K996" s="67"/>
      <c r="R996" s="67"/>
    </row>
    <row r="997">
      <c r="B997" s="182"/>
      <c r="E997" s="261"/>
      <c r="G997" s="182"/>
      <c r="J997" s="67"/>
      <c r="K997" s="67"/>
      <c r="R997" s="67"/>
    </row>
    <row r="998">
      <c r="B998" s="182"/>
      <c r="E998" s="261"/>
      <c r="G998" s="182"/>
      <c r="J998" s="67"/>
      <c r="K998" s="67"/>
      <c r="R998" s="67"/>
    </row>
    <row r="999">
      <c r="B999" s="182"/>
      <c r="E999" s="261"/>
      <c r="G999" s="182"/>
      <c r="J999" s="67"/>
      <c r="K999" s="67"/>
      <c r="R999" s="67"/>
    </row>
    <row r="1000">
      <c r="B1000" s="182"/>
      <c r="E1000" s="261"/>
      <c r="G1000" s="182"/>
      <c r="J1000" s="67"/>
      <c r="K1000" s="67"/>
      <c r="R1000" s="67"/>
    </row>
    <row r="1001">
      <c r="B1001" s="182"/>
      <c r="E1001" s="261"/>
      <c r="G1001" s="182"/>
      <c r="J1001" s="67"/>
      <c r="K1001" s="67"/>
      <c r="R1001" s="67"/>
    </row>
    <row r="1002">
      <c r="B1002" s="182"/>
      <c r="E1002" s="261"/>
      <c r="G1002" s="182"/>
      <c r="J1002" s="67"/>
      <c r="K1002" s="67"/>
      <c r="R1002" s="67"/>
    </row>
    <row r="1003">
      <c r="B1003" s="182"/>
      <c r="E1003" s="261"/>
      <c r="G1003" s="182"/>
      <c r="J1003" s="67"/>
      <c r="K1003" s="67"/>
      <c r="R1003" s="67"/>
    </row>
    <row r="1004">
      <c r="B1004" s="182"/>
      <c r="E1004" s="261"/>
      <c r="G1004" s="182"/>
      <c r="J1004" s="67"/>
      <c r="K1004" s="67"/>
      <c r="R1004" s="67"/>
    </row>
    <row r="1005">
      <c r="B1005" s="182"/>
      <c r="E1005" s="261"/>
      <c r="G1005" s="182"/>
      <c r="J1005" s="67"/>
      <c r="K1005" s="67"/>
      <c r="R1005" s="67"/>
    </row>
    <row r="1006">
      <c r="B1006" s="182"/>
      <c r="E1006" s="261"/>
      <c r="G1006" s="182"/>
      <c r="J1006" s="67"/>
      <c r="K1006" s="67"/>
      <c r="R1006" s="67"/>
    </row>
    <row r="1007">
      <c r="B1007" s="182"/>
      <c r="E1007" s="261"/>
      <c r="G1007" s="182"/>
      <c r="J1007" s="67"/>
      <c r="K1007" s="67"/>
      <c r="R1007" s="67"/>
    </row>
    <row r="1008">
      <c r="B1008" s="182"/>
      <c r="E1008" s="261"/>
      <c r="G1008" s="182"/>
      <c r="J1008" s="67"/>
      <c r="K1008" s="67"/>
      <c r="R1008" s="67"/>
    </row>
    <row r="1009">
      <c r="B1009" s="182"/>
      <c r="E1009" s="261"/>
      <c r="G1009" s="182"/>
      <c r="J1009" s="67"/>
      <c r="K1009" s="67"/>
      <c r="R1009" s="67"/>
    </row>
    <row r="1010">
      <c r="B1010" s="182"/>
      <c r="E1010" s="261"/>
      <c r="G1010" s="182"/>
      <c r="J1010" s="67"/>
      <c r="K1010" s="67"/>
      <c r="R1010" s="67"/>
    </row>
    <row r="1011">
      <c r="B1011" s="182"/>
      <c r="E1011" s="261"/>
      <c r="G1011" s="182"/>
      <c r="J1011" s="67"/>
      <c r="K1011" s="67"/>
      <c r="R1011" s="67"/>
    </row>
    <row r="1012">
      <c r="B1012" s="182"/>
      <c r="E1012" s="261"/>
      <c r="G1012" s="182"/>
      <c r="J1012" s="67"/>
      <c r="K1012" s="67"/>
      <c r="R1012" s="67"/>
    </row>
    <row r="1013">
      <c r="B1013" s="182"/>
      <c r="E1013" s="261"/>
      <c r="G1013" s="182"/>
      <c r="J1013" s="67"/>
      <c r="K1013" s="67"/>
      <c r="R1013" s="67"/>
    </row>
    <row r="1014">
      <c r="B1014" s="182"/>
      <c r="E1014" s="261"/>
      <c r="G1014" s="182"/>
      <c r="J1014" s="67"/>
      <c r="K1014" s="67"/>
      <c r="R1014" s="67"/>
    </row>
    <row r="1015">
      <c r="B1015" s="182"/>
      <c r="E1015" s="261"/>
      <c r="G1015" s="182"/>
      <c r="J1015" s="67"/>
      <c r="K1015" s="67"/>
      <c r="R1015" s="67"/>
    </row>
    <row r="1016">
      <c r="B1016" s="182"/>
      <c r="E1016" s="261"/>
      <c r="G1016" s="182"/>
      <c r="J1016" s="67"/>
      <c r="K1016" s="67"/>
      <c r="R1016" s="67"/>
    </row>
    <row r="1017">
      <c r="B1017" s="182"/>
      <c r="E1017" s="261"/>
      <c r="G1017" s="182"/>
      <c r="J1017" s="67"/>
      <c r="K1017" s="67"/>
      <c r="R1017" s="67"/>
    </row>
    <row r="1018">
      <c r="B1018" s="182"/>
      <c r="E1018" s="261"/>
      <c r="G1018" s="182"/>
      <c r="J1018" s="67"/>
      <c r="K1018" s="67"/>
      <c r="R1018" s="67"/>
    </row>
    <row r="1019">
      <c r="B1019" s="182"/>
      <c r="E1019" s="261"/>
      <c r="G1019" s="182"/>
      <c r="J1019" s="67"/>
      <c r="K1019" s="67"/>
      <c r="R1019" s="67"/>
    </row>
    <row r="1020">
      <c r="B1020" s="182"/>
      <c r="E1020" s="261"/>
      <c r="G1020" s="182"/>
      <c r="J1020" s="67"/>
      <c r="K1020" s="67"/>
      <c r="R1020" s="67"/>
    </row>
    <row r="1021">
      <c r="B1021" s="182"/>
      <c r="E1021" s="261"/>
      <c r="G1021" s="182"/>
      <c r="J1021" s="67"/>
      <c r="K1021" s="67"/>
      <c r="R1021" s="67"/>
    </row>
    <row r="1022">
      <c r="B1022" s="182"/>
      <c r="E1022" s="261"/>
      <c r="G1022" s="182"/>
      <c r="J1022" s="67"/>
      <c r="K1022" s="67"/>
      <c r="R1022" s="67"/>
    </row>
    <row r="1023">
      <c r="B1023" s="182"/>
      <c r="E1023" s="261"/>
      <c r="G1023" s="182"/>
      <c r="J1023" s="67"/>
      <c r="K1023" s="67"/>
      <c r="R1023" s="67"/>
    </row>
    <row r="1024">
      <c r="B1024" s="182"/>
      <c r="E1024" s="261"/>
      <c r="G1024" s="182"/>
      <c r="J1024" s="67"/>
      <c r="K1024" s="67"/>
      <c r="R1024" s="67"/>
    </row>
    <row r="1025">
      <c r="B1025" s="182"/>
      <c r="E1025" s="261"/>
      <c r="G1025" s="182"/>
      <c r="J1025" s="67"/>
      <c r="K1025" s="67"/>
      <c r="R1025" s="67"/>
    </row>
    <row r="1026">
      <c r="B1026" s="182"/>
      <c r="E1026" s="261"/>
      <c r="G1026" s="182"/>
      <c r="J1026" s="67"/>
      <c r="K1026" s="67"/>
      <c r="R1026" s="67"/>
    </row>
    <row r="1027">
      <c r="B1027" s="182"/>
      <c r="E1027" s="261"/>
      <c r="G1027" s="182"/>
      <c r="J1027" s="67"/>
      <c r="K1027" s="67"/>
      <c r="R1027" s="67"/>
    </row>
    <row r="1028">
      <c r="B1028" s="182"/>
      <c r="E1028" s="261"/>
      <c r="G1028" s="182"/>
      <c r="J1028" s="67"/>
      <c r="K1028" s="67"/>
      <c r="R1028" s="67"/>
    </row>
    <row r="1029">
      <c r="B1029" s="182"/>
      <c r="E1029" s="261"/>
      <c r="G1029" s="182"/>
      <c r="J1029" s="67"/>
      <c r="K1029" s="67"/>
      <c r="R1029" s="67"/>
    </row>
    <row r="1030">
      <c r="B1030" s="182"/>
      <c r="E1030" s="261"/>
      <c r="G1030" s="182"/>
      <c r="J1030" s="67"/>
      <c r="K1030" s="67"/>
      <c r="R1030" s="67"/>
    </row>
    <row r="1031">
      <c r="B1031" s="182"/>
      <c r="E1031" s="261"/>
      <c r="G1031" s="182"/>
      <c r="J1031" s="67"/>
      <c r="K1031" s="67"/>
      <c r="R1031" s="67"/>
    </row>
    <row r="1032">
      <c r="B1032" s="182"/>
      <c r="E1032" s="261"/>
      <c r="G1032" s="182"/>
      <c r="J1032" s="67"/>
      <c r="K1032" s="67"/>
      <c r="R1032" s="67"/>
    </row>
    <row r="1033">
      <c r="B1033" s="182"/>
      <c r="E1033" s="261"/>
      <c r="G1033" s="182"/>
      <c r="J1033" s="67"/>
      <c r="K1033" s="67"/>
      <c r="R1033" s="67"/>
    </row>
    <row r="1034">
      <c r="B1034" s="182"/>
      <c r="E1034" s="261"/>
      <c r="G1034" s="182"/>
      <c r="J1034" s="67"/>
      <c r="K1034" s="67"/>
      <c r="R1034" s="67"/>
    </row>
    <row r="1035">
      <c r="B1035" s="182"/>
      <c r="E1035" s="261"/>
      <c r="G1035" s="182"/>
      <c r="J1035" s="67"/>
      <c r="K1035" s="67"/>
      <c r="R1035" s="67"/>
    </row>
    <row r="1036">
      <c r="B1036" s="182"/>
      <c r="E1036" s="261"/>
      <c r="G1036" s="182"/>
      <c r="J1036" s="67"/>
      <c r="K1036" s="67"/>
      <c r="R1036" s="67"/>
    </row>
    <row r="1037">
      <c r="B1037" s="182"/>
      <c r="E1037" s="261"/>
      <c r="G1037" s="182"/>
      <c r="J1037" s="67"/>
      <c r="K1037" s="67"/>
      <c r="R1037" s="67"/>
    </row>
    <row r="1038">
      <c r="B1038" s="182"/>
      <c r="E1038" s="261"/>
      <c r="G1038" s="182"/>
      <c r="J1038" s="67"/>
      <c r="K1038" s="67"/>
      <c r="R1038" s="67"/>
    </row>
    <row r="1039">
      <c r="B1039" s="182"/>
      <c r="E1039" s="261"/>
      <c r="G1039" s="182"/>
      <c r="J1039" s="67"/>
      <c r="K1039" s="67"/>
      <c r="R1039" s="67"/>
    </row>
    <row r="1040">
      <c r="B1040" s="182"/>
      <c r="E1040" s="261"/>
      <c r="G1040" s="182"/>
      <c r="J1040" s="67"/>
      <c r="K1040" s="67"/>
      <c r="R1040" s="67"/>
    </row>
    <row r="1041">
      <c r="B1041" s="182"/>
      <c r="E1041" s="261"/>
      <c r="G1041" s="182"/>
      <c r="J1041" s="67"/>
      <c r="K1041" s="67"/>
      <c r="R1041" s="67"/>
    </row>
    <row r="1042">
      <c r="B1042" s="182"/>
      <c r="E1042" s="261"/>
      <c r="G1042" s="182"/>
      <c r="J1042" s="67"/>
      <c r="K1042" s="67"/>
      <c r="R1042" s="67"/>
    </row>
    <row r="1043">
      <c r="B1043" s="182"/>
      <c r="E1043" s="261"/>
      <c r="G1043" s="182"/>
      <c r="J1043" s="67"/>
      <c r="K1043" s="67"/>
      <c r="R1043" s="67"/>
    </row>
    <row r="1044">
      <c r="B1044" s="182"/>
      <c r="E1044" s="261"/>
      <c r="G1044" s="182"/>
      <c r="J1044" s="67"/>
      <c r="K1044" s="67"/>
      <c r="R1044" s="67"/>
    </row>
    <row r="1045">
      <c r="B1045" s="182"/>
      <c r="E1045" s="261"/>
      <c r="G1045" s="182"/>
      <c r="J1045" s="67"/>
      <c r="K1045" s="67"/>
      <c r="R1045" s="67"/>
    </row>
    <row r="1046">
      <c r="B1046" s="182"/>
      <c r="E1046" s="261"/>
      <c r="G1046" s="182"/>
      <c r="J1046" s="67"/>
      <c r="K1046" s="67"/>
      <c r="R1046" s="67"/>
    </row>
    <row r="1047">
      <c r="B1047" s="182"/>
      <c r="E1047" s="261"/>
      <c r="G1047" s="182"/>
      <c r="J1047" s="67"/>
      <c r="K1047" s="67"/>
      <c r="R1047" s="67"/>
    </row>
    <row r="1048">
      <c r="B1048" s="182"/>
      <c r="E1048" s="261"/>
      <c r="G1048" s="182"/>
      <c r="J1048" s="67"/>
      <c r="K1048" s="67"/>
      <c r="R1048" s="67"/>
    </row>
    <row r="1049">
      <c r="B1049" s="182"/>
      <c r="E1049" s="261"/>
      <c r="G1049" s="182"/>
      <c r="J1049" s="67"/>
      <c r="K1049" s="67"/>
      <c r="R1049" s="67"/>
    </row>
    <row r="1050">
      <c r="B1050" s="182"/>
      <c r="E1050" s="261"/>
      <c r="G1050" s="182"/>
      <c r="J1050" s="67"/>
      <c r="K1050" s="67"/>
      <c r="R1050" s="67"/>
    </row>
    <row r="1051">
      <c r="B1051" s="182"/>
      <c r="E1051" s="261"/>
      <c r="G1051" s="182"/>
      <c r="J1051" s="67"/>
      <c r="K1051" s="67"/>
      <c r="R1051" s="67"/>
    </row>
    <row r="1052">
      <c r="B1052" s="182"/>
      <c r="E1052" s="261"/>
      <c r="G1052" s="182"/>
      <c r="J1052" s="67"/>
      <c r="K1052" s="67"/>
      <c r="R1052" s="67"/>
    </row>
    <row r="1053">
      <c r="B1053" s="182"/>
      <c r="E1053" s="261"/>
      <c r="G1053" s="182"/>
      <c r="J1053" s="67"/>
      <c r="K1053" s="67"/>
      <c r="R1053" s="67"/>
    </row>
    <row r="1054">
      <c r="B1054" s="182"/>
      <c r="E1054" s="261"/>
      <c r="G1054" s="182"/>
      <c r="J1054" s="67"/>
      <c r="K1054" s="67"/>
      <c r="R1054" s="67"/>
    </row>
    <row r="1055">
      <c r="B1055" s="182"/>
      <c r="E1055" s="261"/>
      <c r="G1055" s="182"/>
      <c r="J1055" s="67"/>
      <c r="K1055" s="67"/>
      <c r="R1055" s="67"/>
    </row>
    <row r="1056">
      <c r="B1056" s="182"/>
      <c r="E1056" s="261"/>
      <c r="G1056" s="182"/>
      <c r="J1056" s="67"/>
      <c r="K1056" s="67"/>
      <c r="R1056" s="67"/>
    </row>
    <row r="1057">
      <c r="B1057" s="182"/>
      <c r="E1057" s="261"/>
      <c r="G1057" s="182"/>
      <c r="J1057" s="67"/>
      <c r="K1057" s="67"/>
      <c r="R1057" s="67"/>
    </row>
    <row r="1058">
      <c r="B1058" s="182"/>
      <c r="E1058" s="261"/>
      <c r="G1058" s="182"/>
      <c r="J1058" s="67"/>
      <c r="K1058" s="67"/>
      <c r="R1058" s="67"/>
    </row>
    <row r="1059">
      <c r="B1059" s="182"/>
      <c r="E1059" s="261"/>
      <c r="G1059" s="182"/>
      <c r="J1059" s="67"/>
      <c r="K1059" s="67"/>
      <c r="R1059" s="67"/>
    </row>
    <row r="1060">
      <c r="B1060" s="182"/>
      <c r="E1060" s="261"/>
      <c r="G1060" s="182"/>
      <c r="J1060" s="67"/>
      <c r="K1060" s="67"/>
      <c r="R1060" s="67"/>
    </row>
    <row r="1061">
      <c r="B1061" s="182"/>
      <c r="E1061" s="261"/>
      <c r="G1061" s="182"/>
      <c r="J1061" s="67"/>
      <c r="K1061" s="67"/>
      <c r="R1061" s="67"/>
    </row>
    <row r="1062">
      <c r="B1062" s="182"/>
      <c r="E1062" s="261"/>
      <c r="G1062" s="182"/>
      <c r="J1062" s="67"/>
      <c r="K1062" s="67"/>
      <c r="R1062" s="67"/>
    </row>
    <row r="1063">
      <c r="B1063" s="182"/>
      <c r="E1063" s="261"/>
      <c r="G1063" s="182"/>
      <c r="J1063" s="67"/>
      <c r="K1063" s="67"/>
      <c r="R1063" s="67"/>
    </row>
    <row r="1064">
      <c r="B1064" s="182"/>
      <c r="E1064" s="261"/>
      <c r="G1064" s="182"/>
      <c r="J1064" s="67"/>
      <c r="K1064" s="67"/>
      <c r="R1064" s="67"/>
    </row>
    <row r="1065">
      <c r="B1065" s="182"/>
      <c r="E1065" s="261"/>
      <c r="G1065" s="182"/>
      <c r="J1065" s="67"/>
      <c r="K1065" s="67"/>
      <c r="R1065" s="67"/>
    </row>
    <row r="1066">
      <c r="B1066" s="182"/>
      <c r="E1066" s="261"/>
      <c r="G1066" s="182"/>
      <c r="J1066" s="67"/>
      <c r="K1066" s="67"/>
      <c r="R1066" s="67"/>
    </row>
    <row r="1067">
      <c r="B1067" s="182"/>
      <c r="E1067" s="261"/>
      <c r="G1067" s="182"/>
      <c r="J1067" s="67"/>
      <c r="K1067" s="67"/>
      <c r="R1067" s="67"/>
    </row>
    <row r="1068">
      <c r="B1068" s="182"/>
      <c r="E1068" s="261"/>
      <c r="G1068" s="182"/>
      <c r="J1068" s="67"/>
      <c r="K1068" s="67"/>
      <c r="R1068" s="67"/>
    </row>
    <row r="1069">
      <c r="B1069" s="182"/>
      <c r="E1069" s="261"/>
      <c r="G1069" s="182"/>
      <c r="J1069" s="67"/>
      <c r="K1069" s="67"/>
      <c r="R1069" s="67"/>
    </row>
    <row r="1070">
      <c r="B1070" s="182"/>
      <c r="E1070" s="261"/>
      <c r="G1070" s="182"/>
      <c r="J1070" s="67"/>
      <c r="K1070" s="67"/>
      <c r="R1070" s="67"/>
    </row>
    <row r="1071">
      <c r="B1071" s="182"/>
      <c r="E1071" s="261"/>
      <c r="G1071" s="182"/>
      <c r="J1071" s="67"/>
      <c r="K1071" s="67"/>
      <c r="R1071" s="67"/>
    </row>
    <row r="1072">
      <c r="B1072" s="182"/>
      <c r="E1072" s="261"/>
      <c r="G1072" s="182"/>
      <c r="J1072" s="67"/>
      <c r="K1072" s="67"/>
      <c r="R1072" s="67"/>
    </row>
    <row r="1073">
      <c r="B1073" s="182"/>
      <c r="E1073" s="261"/>
      <c r="G1073" s="182"/>
      <c r="J1073" s="67"/>
      <c r="K1073" s="67"/>
      <c r="R1073" s="67"/>
    </row>
    <row r="1074">
      <c r="B1074" s="182"/>
      <c r="E1074" s="261"/>
      <c r="G1074" s="182"/>
      <c r="J1074" s="67"/>
      <c r="K1074" s="67"/>
      <c r="R1074" s="67"/>
    </row>
    <row r="1075">
      <c r="B1075" s="182"/>
      <c r="E1075" s="261"/>
      <c r="G1075" s="182"/>
      <c r="J1075" s="67"/>
      <c r="K1075" s="67"/>
      <c r="R1075" s="67"/>
    </row>
    <row r="1076">
      <c r="B1076" s="182"/>
      <c r="E1076" s="261"/>
      <c r="G1076" s="182"/>
      <c r="J1076" s="67"/>
      <c r="K1076" s="67"/>
      <c r="R1076" s="67"/>
    </row>
    <row r="1077">
      <c r="B1077" s="182"/>
      <c r="E1077" s="261"/>
      <c r="G1077" s="182"/>
      <c r="J1077" s="67"/>
      <c r="K1077" s="67"/>
      <c r="R1077" s="67"/>
    </row>
    <row r="1078">
      <c r="B1078" s="182"/>
      <c r="E1078" s="261"/>
      <c r="G1078" s="182"/>
      <c r="J1078" s="67"/>
      <c r="K1078" s="67"/>
      <c r="R1078" s="67"/>
    </row>
    <row r="1079">
      <c r="B1079" s="182"/>
      <c r="E1079" s="261"/>
      <c r="G1079" s="182"/>
      <c r="J1079" s="67"/>
      <c r="K1079" s="67"/>
      <c r="R1079" s="67"/>
    </row>
    <row r="1080">
      <c r="B1080" s="182"/>
      <c r="E1080" s="261"/>
      <c r="G1080" s="182"/>
      <c r="J1080" s="67"/>
      <c r="K1080" s="67"/>
      <c r="R1080" s="67"/>
    </row>
    <row r="1081">
      <c r="B1081" s="182"/>
      <c r="E1081" s="261"/>
      <c r="G1081" s="182"/>
      <c r="J1081" s="67"/>
      <c r="K1081" s="67"/>
      <c r="R1081" s="67"/>
    </row>
    <row r="1082">
      <c r="B1082" s="182"/>
      <c r="E1082" s="261"/>
      <c r="G1082" s="182"/>
      <c r="J1082" s="67"/>
      <c r="K1082" s="67"/>
      <c r="R1082" s="67"/>
    </row>
    <row r="1083">
      <c r="B1083" s="182"/>
      <c r="E1083" s="261"/>
      <c r="G1083" s="182"/>
      <c r="J1083" s="67"/>
      <c r="K1083" s="67"/>
      <c r="R1083" s="67"/>
    </row>
    <row r="1084">
      <c r="B1084" s="182"/>
      <c r="E1084" s="261"/>
      <c r="G1084" s="182"/>
      <c r="J1084" s="67"/>
      <c r="K1084" s="67"/>
      <c r="R1084" s="67"/>
    </row>
    <row r="1085">
      <c r="B1085" s="182"/>
      <c r="E1085" s="261"/>
      <c r="G1085" s="182"/>
      <c r="J1085" s="67"/>
      <c r="K1085" s="67"/>
      <c r="R1085" s="67"/>
    </row>
    <row r="1086">
      <c r="B1086" s="182"/>
      <c r="E1086" s="261"/>
      <c r="G1086" s="182"/>
      <c r="J1086" s="67"/>
      <c r="K1086" s="67"/>
      <c r="R1086" s="67"/>
    </row>
    <row r="1087">
      <c r="B1087" s="182"/>
      <c r="E1087" s="261"/>
      <c r="G1087" s="182"/>
      <c r="J1087" s="67"/>
      <c r="K1087" s="67"/>
      <c r="R1087" s="67"/>
    </row>
    <row r="1088">
      <c r="B1088" s="182"/>
      <c r="E1088" s="261"/>
      <c r="G1088" s="182"/>
      <c r="J1088" s="67"/>
      <c r="K1088" s="67"/>
      <c r="R1088" s="67"/>
    </row>
    <row r="1089">
      <c r="B1089" s="182"/>
      <c r="E1089" s="261"/>
      <c r="G1089" s="182"/>
      <c r="J1089" s="67"/>
      <c r="K1089" s="67"/>
      <c r="R1089" s="67"/>
    </row>
    <row r="1090">
      <c r="B1090" s="182"/>
      <c r="E1090" s="261"/>
      <c r="G1090" s="182"/>
      <c r="J1090" s="67"/>
      <c r="K1090" s="67"/>
      <c r="R1090" s="67"/>
    </row>
    <row r="1091">
      <c r="B1091" s="182"/>
      <c r="E1091" s="261"/>
      <c r="G1091" s="182"/>
      <c r="J1091" s="67"/>
      <c r="K1091" s="67"/>
      <c r="R1091" s="67"/>
    </row>
    <row r="1092">
      <c r="B1092" s="182"/>
      <c r="E1092" s="261"/>
      <c r="G1092" s="182"/>
      <c r="J1092" s="67"/>
      <c r="K1092" s="67"/>
      <c r="R1092" s="67"/>
    </row>
    <row r="1093">
      <c r="B1093" s="182"/>
      <c r="E1093" s="261"/>
      <c r="G1093" s="182"/>
      <c r="J1093" s="67"/>
      <c r="K1093" s="67"/>
      <c r="R1093" s="67"/>
    </row>
    <row r="1094">
      <c r="B1094" s="182"/>
      <c r="E1094" s="261"/>
      <c r="G1094" s="182"/>
      <c r="J1094" s="67"/>
      <c r="K1094" s="67"/>
      <c r="R1094" s="67"/>
    </row>
    <row r="1095">
      <c r="B1095" s="182"/>
      <c r="E1095" s="261"/>
      <c r="G1095" s="182"/>
      <c r="J1095" s="67"/>
      <c r="K1095" s="67"/>
      <c r="R1095" s="67"/>
    </row>
    <row r="1096">
      <c r="B1096" s="182"/>
      <c r="E1096" s="261"/>
      <c r="G1096" s="182"/>
      <c r="J1096" s="67"/>
      <c r="K1096" s="67"/>
      <c r="R1096" s="67"/>
    </row>
    <row r="1097">
      <c r="B1097" s="182"/>
      <c r="E1097" s="261"/>
      <c r="G1097" s="182"/>
      <c r="J1097" s="67"/>
      <c r="K1097" s="67"/>
      <c r="R1097" s="67"/>
    </row>
    <row r="1098">
      <c r="B1098" s="182"/>
      <c r="E1098" s="261"/>
      <c r="G1098" s="182"/>
      <c r="J1098" s="67"/>
      <c r="K1098" s="67"/>
      <c r="R1098" s="67"/>
    </row>
    <row r="1099">
      <c r="B1099" s="182"/>
      <c r="E1099" s="261"/>
      <c r="G1099" s="182"/>
      <c r="J1099" s="67"/>
      <c r="K1099" s="67"/>
      <c r="R1099" s="67"/>
    </row>
    <row r="1100">
      <c r="B1100" s="182"/>
      <c r="E1100" s="261"/>
      <c r="G1100" s="182"/>
      <c r="J1100" s="67"/>
      <c r="K1100" s="67"/>
      <c r="R1100" s="67"/>
    </row>
    <row r="1101">
      <c r="B1101" s="182"/>
      <c r="E1101" s="261"/>
      <c r="G1101" s="182"/>
      <c r="J1101" s="67"/>
      <c r="K1101" s="67"/>
      <c r="R1101" s="67"/>
    </row>
    <row r="1102">
      <c r="B1102" s="182"/>
      <c r="E1102" s="261"/>
      <c r="G1102" s="182"/>
      <c r="J1102" s="67"/>
      <c r="K1102" s="67"/>
      <c r="R1102" s="67"/>
    </row>
    <row r="1103">
      <c r="B1103" s="182"/>
      <c r="E1103" s="261"/>
      <c r="G1103" s="182"/>
      <c r="J1103" s="67"/>
      <c r="K1103" s="67"/>
      <c r="R1103" s="67"/>
    </row>
    <row r="1104">
      <c r="B1104" s="182"/>
      <c r="E1104" s="261"/>
      <c r="G1104" s="182"/>
      <c r="J1104" s="67"/>
      <c r="K1104" s="67"/>
      <c r="R1104" s="67"/>
    </row>
    <row r="1105">
      <c r="B1105" s="182"/>
      <c r="E1105" s="261"/>
      <c r="G1105" s="182"/>
      <c r="J1105" s="67"/>
      <c r="K1105" s="67"/>
      <c r="R1105" s="67"/>
    </row>
    <row r="1106">
      <c r="B1106" s="182"/>
      <c r="E1106" s="261"/>
      <c r="G1106" s="182"/>
      <c r="J1106" s="67"/>
      <c r="K1106" s="67"/>
      <c r="R1106" s="67"/>
    </row>
    <row r="1107">
      <c r="B1107" s="182"/>
      <c r="E1107" s="261"/>
      <c r="G1107" s="182"/>
      <c r="J1107" s="67"/>
      <c r="K1107" s="67"/>
      <c r="R1107" s="67"/>
    </row>
    <row r="1108">
      <c r="B1108" s="182"/>
      <c r="E1108" s="261"/>
      <c r="G1108" s="182"/>
      <c r="J1108" s="67"/>
      <c r="K1108" s="67"/>
      <c r="R1108" s="67"/>
    </row>
    <row r="1109">
      <c r="B1109" s="182"/>
      <c r="E1109" s="261"/>
      <c r="G1109" s="182"/>
      <c r="J1109" s="67"/>
      <c r="K1109" s="67"/>
      <c r="R1109" s="67"/>
    </row>
    <row r="1110">
      <c r="B1110" s="182"/>
      <c r="E1110" s="261"/>
      <c r="G1110" s="182"/>
      <c r="J1110" s="67"/>
      <c r="K1110" s="67"/>
      <c r="R1110" s="67"/>
    </row>
    <row r="1111">
      <c r="B1111" s="182"/>
      <c r="E1111" s="261"/>
      <c r="G1111" s="182"/>
      <c r="J1111" s="67"/>
      <c r="K1111" s="67"/>
      <c r="R1111" s="67"/>
    </row>
    <row r="1112">
      <c r="B1112" s="182"/>
      <c r="E1112" s="261"/>
      <c r="G1112" s="182"/>
      <c r="J1112" s="67"/>
      <c r="K1112" s="67"/>
      <c r="R1112" s="67"/>
    </row>
    <row r="1113">
      <c r="B1113" s="182"/>
      <c r="E1113" s="261"/>
      <c r="G1113" s="182"/>
      <c r="J1113" s="67"/>
      <c r="K1113" s="67"/>
      <c r="R1113" s="67"/>
    </row>
    <row r="1114">
      <c r="B1114" s="182"/>
      <c r="E1114" s="261"/>
      <c r="G1114" s="182"/>
      <c r="J1114" s="67"/>
      <c r="K1114" s="67"/>
      <c r="R1114" s="67"/>
    </row>
    <row r="1115">
      <c r="B1115" s="182"/>
      <c r="E1115" s="261"/>
      <c r="G1115" s="182"/>
      <c r="J1115" s="67"/>
      <c r="K1115" s="67"/>
      <c r="R1115" s="67"/>
    </row>
    <row r="1116">
      <c r="B1116" s="182"/>
      <c r="E1116" s="261"/>
      <c r="G1116" s="182"/>
      <c r="J1116" s="67"/>
      <c r="K1116" s="67"/>
      <c r="R1116" s="67"/>
    </row>
    <row r="1117">
      <c r="B1117" s="182"/>
      <c r="E1117" s="261"/>
      <c r="G1117" s="182"/>
      <c r="J1117" s="67"/>
      <c r="K1117" s="67"/>
      <c r="R1117" s="67"/>
    </row>
    <row r="1118">
      <c r="B1118" s="182"/>
      <c r="E1118" s="261"/>
      <c r="G1118" s="182"/>
      <c r="J1118" s="67"/>
      <c r="K1118" s="67"/>
      <c r="R1118" s="67"/>
    </row>
    <row r="1119">
      <c r="B1119" s="182"/>
      <c r="E1119" s="261"/>
      <c r="G1119" s="182"/>
      <c r="J1119" s="67"/>
      <c r="K1119" s="67"/>
      <c r="R1119" s="67"/>
    </row>
    <row r="1120">
      <c r="B1120" s="182"/>
      <c r="E1120" s="261"/>
      <c r="G1120" s="182"/>
      <c r="J1120" s="67"/>
      <c r="K1120" s="67"/>
      <c r="R1120" s="67"/>
    </row>
    <row r="1121">
      <c r="B1121" s="182"/>
      <c r="E1121" s="261"/>
      <c r="G1121" s="182"/>
      <c r="J1121" s="67"/>
      <c r="K1121" s="67"/>
      <c r="R1121" s="67"/>
    </row>
    <row r="1122">
      <c r="B1122" s="182"/>
      <c r="E1122" s="261"/>
      <c r="G1122" s="182"/>
      <c r="J1122" s="67"/>
      <c r="K1122" s="67"/>
      <c r="R1122" s="67"/>
    </row>
    <row r="1123">
      <c r="B1123" s="182"/>
      <c r="E1123" s="261"/>
      <c r="G1123" s="182"/>
      <c r="J1123" s="67"/>
      <c r="K1123" s="67"/>
      <c r="R1123" s="67"/>
    </row>
    <row r="1124">
      <c r="B1124" s="182"/>
      <c r="E1124" s="261"/>
      <c r="G1124" s="182"/>
      <c r="J1124" s="67"/>
      <c r="K1124" s="67"/>
      <c r="R1124" s="67"/>
    </row>
    <row r="1125">
      <c r="B1125" s="182"/>
      <c r="E1125" s="261"/>
      <c r="G1125" s="182"/>
      <c r="J1125" s="67"/>
      <c r="K1125" s="67"/>
      <c r="R1125" s="67"/>
    </row>
    <row r="1126">
      <c r="B1126" s="182"/>
      <c r="E1126" s="261"/>
      <c r="G1126" s="182"/>
      <c r="J1126" s="67"/>
      <c r="K1126" s="67"/>
      <c r="R1126" s="67"/>
    </row>
    <row r="1127">
      <c r="B1127" s="182"/>
      <c r="E1127" s="261"/>
      <c r="G1127" s="182"/>
      <c r="J1127" s="67"/>
      <c r="K1127" s="67"/>
      <c r="R1127" s="67"/>
    </row>
    <row r="1128">
      <c r="B1128" s="182"/>
      <c r="E1128" s="261"/>
      <c r="G1128" s="182"/>
      <c r="J1128" s="67"/>
      <c r="K1128" s="67"/>
      <c r="R1128" s="67"/>
    </row>
    <row r="1129">
      <c r="B1129" s="182"/>
      <c r="E1129" s="261"/>
      <c r="G1129" s="182"/>
      <c r="J1129" s="67"/>
      <c r="K1129" s="67"/>
      <c r="R1129" s="67"/>
    </row>
    <row r="1130">
      <c r="B1130" s="182"/>
      <c r="E1130" s="261"/>
      <c r="G1130" s="182"/>
      <c r="J1130" s="67"/>
      <c r="K1130" s="67"/>
      <c r="R1130" s="67"/>
    </row>
    <row r="1131">
      <c r="B1131" s="182"/>
      <c r="E1131" s="261"/>
      <c r="G1131" s="182"/>
      <c r="J1131" s="67"/>
      <c r="K1131" s="67"/>
      <c r="R1131" s="67"/>
    </row>
  </sheetData>
  <mergeCells count="57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A235:K235"/>
    <mergeCell ref="A236:K236"/>
    <mergeCell ref="N238:R238"/>
    <mergeCell ref="N239:R239"/>
    <mergeCell ref="N260:R260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 I238:I249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3783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2082</v>
      </c>
      <c r="C4" s="74" t="str">
        <f t="shared" ref="C4:C15" si="1">PROPER(TEXT(DATE(MID($A$2,7,4),MID($A$2,4,2),LEFT($A$2,2)),"dddd"))</f>
        <v>Terça-Feira</v>
      </c>
      <c r="D4" s="512" t="str">
        <f>IF(C4&lt;&gt;"Quarta-Feira","13:00","08:00")</f>
        <v>13:00</v>
      </c>
      <c r="E4" s="246" t="s">
        <v>3784</v>
      </c>
      <c r="F4" s="210">
        <v>7.07408029490478E14</v>
      </c>
      <c r="G4" s="59" t="s">
        <v>3785</v>
      </c>
      <c r="H4" s="211">
        <v>17023.0</v>
      </c>
      <c r="I4" s="41" t="s">
        <v>41</v>
      </c>
      <c r="J4" s="102"/>
      <c r="K4" s="102"/>
      <c r="N4" s="268" t="s">
        <v>387</v>
      </c>
      <c r="O4" s="100"/>
      <c r="P4" s="100"/>
      <c r="Q4" s="100"/>
      <c r="R4" s="67"/>
    </row>
    <row r="5">
      <c r="A5" s="12" t="s">
        <v>11</v>
      </c>
      <c r="B5" s="227" t="s">
        <v>2084</v>
      </c>
      <c r="C5" s="74" t="str">
        <f t="shared" si="1"/>
        <v>Terça-Feira</v>
      </c>
      <c r="D5" s="512" t="str">
        <f>IF(C5&lt;&gt;"Quarta-Feira","13:20","08:20")</f>
        <v>13:20</v>
      </c>
      <c r="E5" s="287" t="s">
        <v>3786</v>
      </c>
      <c r="F5" s="301">
        <v>7.03609065158735E14</v>
      </c>
      <c r="G5" s="131" t="s">
        <v>3787</v>
      </c>
      <c r="H5" s="166">
        <v>19996.0</v>
      </c>
      <c r="I5" s="41" t="s">
        <v>41</v>
      </c>
      <c r="J5" s="42"/>
      <c r="K5" s="42"/>
      <c r="N5" s="270" t="s">
        <v>2086</v>
      </c>
      <c r="O5" s="2"/>
      <c r="P5" s="2"/>
      <c r="Q5" s="2"/>
      <c r="R5" s="67"/>
    </row>
    <row r="6" ht="20.25" customHeight="1">
      <c r="A6" s="12" t="s">
        <v>12</v>
      </c>
      <c r="B6" s="227" t="s">
        <v>2087</v>
      </c>
      <c r="C6" s="74" t="str">
        <f t="shared" si="1"/>
        <v>Terça-Feira</v>
      </c>
      <c r="D6" s="512" t="str">
        <f>IF(C6&lt;&gt;"Quarta-Feira","13:40","08:40")</f>
        <v>13:40</v>
      </c>
      <c r="E6" s="287" t="s">
        <v>1674</v>
      </c>
      <c r="F6" s="301">
        <v>1.20759346320006E14</v>
      </c>
      <c r="G6" s="131" t="s">
        <v>1675</v>
      </c>
      <c r="H6" s="166">
        <v>22477.0</v>
      </c>
      <c r="I6" s="41" t="s">
        <v>2567</v>
      </c>
      <c r="J6" s="42"/>
      <c r="K6" s="102"/>
      <c r="N6" s="271" t="s">
        <v>41</v>
      </c>
      <c r="O6" s="272" t="s">
        <v>195</v>
      </c>
      <c r="P6" s="272" t="s">
        <v>181</v>
      </c>
      <c r="Q6" s="273" t="s">
        <v>2088</v>
      </c>
      <c r="R6" s="67"/>
    </row>
    <row r="7">
      <c r="A7" s="12" t="s">
        <v>13</v>
      </c>
      <c r="B7" s="227" t="s">
        <v>2089</v>
      </c>
      <c r="C7" s="74" t="str">
        <f t="shared" si="1"/>
        <v>Terça-Feira</v>
      </c>
      <c r="D7" s="512" t="str">
        <f>IF(C7&lt;&gt;"Quarta-Feira","14:00","09:00")</f>
        <v>14:00</v>
      </c>
      <c r="E7" s="241" t="s">
        <v>3788</v>
      </c>
      <c r="F7" s="84">
        <v>7.02100741052792E14</v>
      </c>
      <c r="G7" s="79" t="s">
        <v>3789</v>
      </c>
      <c r="H7" s="83">
        <v>20360.0</v>
      </c>
      <c r="I7" s="41" t="s">
        <v>41</v>
      </c>
      <c r="J7" s="305"/>
      <c r="K7" s="305"/>
      <c r="N7" s="275">
        <f t="shared" ref="N7:P7" si="2">COUNTIFS($I$4:$I$15,N6)</f>
        <v>7</v>
      </c>
      <c r="O7" s="275">
        <f t="shared" si="2"/>
        <v>0</v>
      </c>
      <c r="P7" s="275">
        <f t="shared" si="2"/>
        <v>3</v>
      </c>
      <c r="Q7" s="275">
        <f>COUNTIF(I4:I15,Q6)</f>
        <v>1</v>
      </c>
      <c r="R7" s="67"/>
    </row>
    <row r="8">
      <c r="A8" s="12" t="s">
        <v>14</v>
      </c>
      <c r="B8" s="227" t="s">
        <v>2082</v>
      </c>
      <c r="C8" s="74" t="str">
        <f t="shared" si="1"/>
        <v>Terça-Feira</v>
      </c>
      <c r="D8" s="512" t="str">
        <f>IF(C8&lt;&gt;"Quarta-Feira","14:20","09:20")</f>
        <v>14:20</v>
      </c>
      <c r="E8" s="306" t="s">
        <v>3790</v>
      </c>
      <c r="F8" s="526">
        <v>7.0860352235238E14</v>
      </c>
      <c r="G8" s="307" t="s">
        <v>3791</v>
      </c>
      <c r="H8" s="308">
        <v>22121.0</v>
      </c>
      <c r="I8" s="41" t="s">
        <v>2088</v>
      </c>
      <c r="J8" s="138"/>
      <c r="K8" s="138"/>
      <c r="R8" s="67"/>
    </row>
    <row r="9">
      <c r="A9" s="12" t="s">
        <v>15</v>
      </c>
      <c r="B9" s="227" t="s">
        <v>2089</v>
      </c>
      <c r="C9" s="74" t="str">
        <f t="shared" si="1"/>
        <v>Terça-Feira</v>
      </c>
      <c r="D9" s="512" t="str">
        <f>IF(C9&lt;&gt;"Quarta-Feira","14:40","09:40")</f>
        <v>14:40</v>
      </c>
      <c r="E9" s="242" t="s">
        <v>3792</v>
      </c>
      <c r="F9" s="185">
        <v>7.08403243547365E14</v>
      </c>
      <c r="G9" s="203" t="s">
        <v>3793</v>
      </c>
      <c r="H9" s="77">
        <v>23816.0</v>
      </c>
      <c r="I9" s="41" t="s">
        <v>41</v>
      </c>
      <c r="J9" s="42"/>
      <c r="K9" s="42"/>
      <c r="R9" s="67"/>
    </row>
    <row r="10">
      <c r="A10" s="12" t="s">
        <v>16</v>
      </c>
      <c r="B10" s="227" t="s">
        <v>2093</v>
      </c>
      <c r="C10" s="74" t="str">
        <f t="shared" si="1"/>
        <v>Terça-Feira</v>
      </c>
      <c r="D10" s="512" t="str">
        <f>IF(C10&lt;&gt;"Quarta-Feira","15:00","10:00")</f>
        <v>15:00</v>
      </c>
      <c r="E10" s="241"/>
      <c r="F10" s="84"/>
      <c r="G10" s="79"/>
      <c r="H10" s="83"/>
      <c r="I10" s="41" t="s">
        <v>181</v>
      </c>
      <c r="J10" s="305"/>
      <c r="K10" s="305"/>
      <c r="R10" s="67"/>
    </row>
    <row r="11">
      <c r="A11" s="12" t="s">
        <v>17</v>
      </c>
      <c r="B11" s="227" t="s">
        <v>2094</v>
      </c>
      <c r="C11" s="74" t="str">
        <f t="shared" si="1"/>
        <v>Terça-Feira</v>
      </c>
      <c r="D11" s="512" t="str">
        <f>IF(C11&lt;&gt;"Quarta-Feira","15:20","10:20")</f>
        <v>15:20</v>
      </c>
      <c r="E11" s="241" t="s">
        <v>3794</v>
      </c>
      <c r="F11" s="84">
        <v>8.01440408244203E14</v>
      </c>
      <c r="G11" s="79" t="s">
        <v>3795</v>
      </c>
      <c r="H11" s="83">
        <v>21942.0</v>
      </c>
      <c r="I11" s="41" t="s">
        <v>41</v>
      </c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227" t="s">
        <v>2095</v>
      </c>
      <c r="C12" s="74" t="str">
        <f t="shared" si="1"/>
        <v>Terça-Feira</v>
      </c>
      <c r="D12" s="512" t="str">
        <f>IF(C12&lt;&gt;"Quarta-Feira","15:40","10:40")</f>
        <v>15:40</v>
      </c>
      <c r="E12" s="278" t="s">
        <v>3073</v>
      </c>
      <c r="F12" s="156">
        <v>7.04203780018689E14</v>
      </c>
      <c r="G12" s="79" t="s">
        <v>3074</v>
      </c>
      <c r="H12" s="91">
        <v>17849.0</v>
      </c>
      <c r="I12" s="41" t="s">
        <v>41</v>
      </c>
      <c r="J12" s="42"/>
      <c r="K12" s="42"/>
      <c r="R12" s="67"/>
    </row>
    <row r="13">
      <c r="A13" s="12" t="s">
        <v>87</v>
      </c>
      <c r="B13" s="227" t="s">
        <v>2096</v>
      </c>
      <c r="C13" s="74" t="str">
        <f t="shared" si="1"/>
        <v>Terça-Feira</v>
      </c>
      <c r="D13" s="512" t="str">
        <f>IF(C13&lt;&gt;"Quarta-Feira","16:00","11:00")</f>
        <v>16:00</v>
      </c>
      <c r="E13" s="245"/>
      <c r="F13" s="156"/>
      <c r="G13" s="79"/>
      <c r="H13" s="91"/>
      <c r="I13" s="41" t="s">
        <v>181</v>
      </c>
      <c r="J13" s="42"/>
      <c r="K13" s="42"/>
      <c r="R13" s="67"/>
    </row>
    <row r="14">
      <c r="A14" s="12" t="s">
        <v>90</v>
      </c>
      <c r="B14" s="227" t="s">
        <v>2098</v>
      </c>
      <c r="C14" s="74" t="str">
        <f t="shared" si="1"/>
        <v>Terça-Feira</v>
      </c>
      <c r="D14" s="512" t="str">
        <f>IF(C14&lt;&gt;"Quarta-Feira","16:20","11:20")</f>
        <v>16:20</v>
      </c>
      <c r="E14" s="295" t="s">
        <v>3796</v>
      </c>
      <c r="F14" s="133">
        <v>7.00402930709945E14</v>
      </c>
      <c r="G14" s="79" t="s">
        <v>3797</v>
      </c>
      <c r="H14" s="166">
        <v>23822.0</v>
      </c>
      <c r="I14" s="41" t="s">
        <v>41</v>
      </c>
      <c r="J14" s="42"/>
      <c r="K14" s="42"/>
      <c r="R14" s="67"/>
    </row>
    <row r="15">
      <c r="A15" s="12" t="s">
        <v>93</v>
      </c>
      <c r="B15" s="227" t="s">
        <v>2096</v>
      </c>
      <c r="C15" s="74" t="str">
        <f t="shared" si="1"/>
        <v>Terça-Feira</v>
      </c>
      <c r="D15" s="512" t="str">
        <f>IF(C15&lt;&gt;"Quarta-Feira","16:40","11:40")</f>
        <v>16:40</v>
      </c>
      <c r="E15" s="295"/>
      <c r="F15" s="133"/>
      <c r="G15" s="79"/>
      <c r="H15" s="166"/>
      <c r="I15" s="41" t="s">
        <v>181</v>
      </c>
      <c r="J15" s="42"/>
      <c r="K15" s="42"/>
      <c r="R15" s="67"/>
    </row>
    <row r="16">
      <c r="E16" s="261"/>
      <c r="J16" s="67"/>
      <c r="K16" s="67"/>
      <c r="R16" s="67"/>
    </row>
    <row r="17">
      <c r="E17" s="261"/>
      <c r="J17" s="67"/>
      <c r="K17" s="67"/>
      <c r="R17" s="67"/>
    </row>
    <row r="18" ht="15.0" customHeight="1">
      <c r="E18" s="261"/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tr">
        <f>TEXT(DATE(VALUE(MID(A2,7,4)),VALUE(MID(A2,4,2)),VALUE(LEFT(A2,2)))+2,"dd/mm/yyyy")&amp;" 13h às 17h"</f>
        <v>04/06/2026 13h às 17h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1790</v>
      </c>
      <c r="C22" s="74" t="str">
        <f t="shared" ref="C22:C33" si="3">PROPER(TEXT(DATE(MID($A$20,7,4),MID($A$20,4,2),LEFT($A$20,2)),"dddd"))</f>
        <v>Quinta-Feira</v>
      </c>
      <c r="D22" s="512" t="str">
        <f>IF(C22&lt;&gt;"Quarta-Feira","13:00","08:00")</f>
        <v>13:00</v>
      </c>
      <c r="E22" s="578"/>
      <c r="F22" s="119"/>
      <c r="G22" s="110" t="s">
        <v>2799</v>
      </c>
      <c r="H22" s="111"/>
      <c r="I22" s="41"/>
      <c r="J22" s="133"/>
      <c r="K22" s="133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1714</v>
      </c>
      <c r="C23" s="74" t="str">
        <f t="shared" si="3"/>
        <v>Quinta-Feira</v>
      </c>
      <c r="D23" s="512" t="str">
        <f>IF(C23&lt;&gt;"Quarta-Feira","13:20","08:20")</f>
        <v>13:20</v>
      </c>
      <c r="E23" s="585"/>
      <c r="F23" s="119"/>
      <c r="G23" s="110" t="s">
        <v>2799</v>
      </c>
      <c r="H23" s="111"/>
      <c r="I23" s="41"/>
      <c r="J23" s="133"/>
      <c r="K23" s="133"/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1781</v>
      </c>
      <c r="C24" s="74" t="str">
        <f t="shared" si="3"/>
        <v>Quinta-Feira</v>
      </c>
      <c r="D24" s="512" t="str">
        <f>IF(C24&lt;&gt;"Quarta-Feira","13:40","08:40")</f>
        <v>13:40</v>
      </c>
      <c r="E24" s="585"/>
      <c r="F24" s="119"/>
      <c r="G24" s="110" t="s">
        <v>2799</v>
      </c>
      <c r="H24" s="111"/>
      <c r="I24" s="41"/>
      <c r="J24" s="133"/>
      <c r="K24" s="133"/>
      <c r="L24" s="216" t="s">
        <v>521</v>
      </c>
      <c r="N24" s="271" t="s">
        <v>41</v>
      </c>
      <c r="O24" s="272" t="s">
        <v>195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1721</v>
      </c>
      <c r="C25" s="74" t="str">
        <f t="shared" si="3"/>
        <v>Quinta-Feira</v>
      </c>
      <c r="D25" s="512" t="str">
        <f>IF(C25&lt;&gt;"Quarta-Feira","14:00","09:00")</f>
        <v>14:00</v>
      </c>
      <c r="E25" s="443"/>
      <c r="F25" s="119"/>
      <c r="G25" s="110" t="s">
        <v>2799</v>
      </c>
      <c r="H25" s="111"/>
      <c r="I25" s="41"/>
      <c r="J25" s="133"/>
      <c r="K25" s="133"/>
      <c r="L25" s="216" t="s">
        <v>521</v>
      </c>
      <c r="N25" s="275">
        <f t="shared" ref="N25:Q25" si="4">COUNTIFS($I$22:$I$33,N24)</f>
        <v>0</v>
      </c>
      <c r="O25" s="275">
        <f t="shared" si="4"/>
        <v>0</v>
      </c>
      <c r="P25" s="275">
        <f t="shared" si="4"/>
        <v>0</v>
      </c>
      <c r="Q25" s="275">
        <f t="shared" si="4"/>
        <v>0</v>
      </c>
      <c r="R25" s="67"/>
    </row>
    <row r="26" ht="18.0" customHeight="1">
      <c r="A26" s="12" t="s">
        <v>14</v>
      </c>
      <c r="B26" s="227" t="s">
        <v>1796</v>
      </c>
      <c r="C26" s="74" t="str">
        <f t="shared" si="3"/>
        <v>Quinta-Feira</v>
      </c>
      <c r="D26" s="512" t="str">
        <f>IF(C26&lt;&gt;"Quarta-Feira","14:20","09:20")</f>
        <v>14:20</v>
      </c>
      <c r="E26" s="586"/>
      <c r="F26" s="119"/>
      <c r="G26" s="110" t="s">
        <v>2799</v>
      </c>
      <c r="H26" s="111"/>
      <c r="I26" s="41"/>
      <c r="J26" s="133"/>
      <c r="K26" s="133"/>
      <c r="L26" s="216" t="s">
        <v>521</v>
      </c>
      <c r="R26" s="67"/>
    </row>
    <row r="27">
      <c r="A27" s="12" t="s">
        <v>15</v>
      </c>
      <c r="B27" s="227" t="s">
        <v>1790</v>
      </c>
      <c r="C27" s="74" t="str">
        <f t="shared" si="3"/>
        <v>Quinta-Feira</v>
      </c>
      <c r="D27" s="512" t="str">
        <f>IF(C27&lt;&gt;"Quarta-Feira","14:40","09:40")</f>
        <v>14:40</v>
      </c>
      <c r="E27" s="586"/>
      <c r="F27" s="119"/>
      <c r="G27" s="110" t="s">
        <v>2799</v>
      </c>
      <c r="H27" s="111"/>
      <c r="I27" s="41"/>
      <c r="J27" s="133"/>
      <c r="K27" s="133"/>
      <c r="L27" s="216" t="s">
        <v>521</v>
      </c>
      <c r="R27" s="67"/>
    </row>
    <row r="28">
      <c r="A28" s="12" t="s">
        <v>16</v>
      </c>
      <c r="B28" s="227" t="s">
        <v>2653</v>
      </c>
      <c r="C28" s="74" t="str">
        <f t="shared" si="3"/>
        <v>Quinta-Feira</v>
      </c>
      <c r="D28" s="512" t="str">
        <f>IF(C28&lt;&gt;"Quarta-Feira","15:00","10:00")</f>
        <v>15:00</v>
      </c>
      <c r="E28" s="443"/>
      <c r="F28" s="109"/>
      <c r="G28" s="110" t="s">
        <v>2799</v>
      </c>
      <c r="H28" s="444"/>
      <c r="I28" s="41"/>
      <c r="J28" s="305"/>
      <c r="K28" s="133"/>
      <c r="L28" s="216" t="s">
        <v>521</v>
      </c>
      <c r="R28" s="67"/>
    </row>
    <row r="29">
      <c r="A29" s="12" t="s">
        <v>17</v>
      </c>
      <c r="B29" s="227" t="s">
        <v>2656</v>
      </c>
      <c r="C29" s="74" t="str">
        <f t="shared" si="3"/>
        <v>Quinta-Feira</v>
      </c>
      <c r="D29" s="512" t="str">
        <f>IF(C29&lt;&gt;"Quarta-Feira","15:20","10:20")</f>
        <v>15:20</v>
      </c>
      <c r="E29" s="585"/>
      <c r="F29" s="119"/>
      <c r="G29" s="110" t="s">
        <v>2799</v>
      </c>
      <c r="H29" s="111"/>
      <c r="I29" s="41"/>
      <c r="J29" s="133"/>
      <c r="K29" s="133"/>
      <c r="L29" s="216" t="s">
        <v>521</v>
      </c>
      <c r="R29" s="67"/>
    </row>
    <row r="30">
      <c r="A30" s="12" t="s">
        <v>85</v>
      </c>
      <c r="B30" s="227" t="s">
        <v>2659</v>
      </c>
      <c r="C30" s="74" t="str">
        <f t="shared" si="3"/>
        <v>Quinta-Feira</v>
      </c>
      <c r="D30" s="512" t="str">
        <f>IF(C30&lt;&gt;"Quarta-Feira","15:40","10:40")</f>
        <v>15:40</v>
      </c>
      <c r="E30" s="448"/>
      <c r="F30" s="119"/>
      <c r="G30" s="110" t="s">
        <v>2799</v>
      </c>
      <c r="H30" s="111"/>
      <c r="I30" s="41"/>
      <c r="J30" s="133"/>
      <c r="K30" s="133"/>
      <c r="L30" s="216" t="s">
        <v>521</v>
      </c>
      <c r="R30" s="67"/>
    </row>
    <row r="31">
      <c r="A31" s="12" t="s">
        <v>87</v>
      </c>
      <c r="B31" s="227" t="s">
        <v>1735</v>
      </c>
      <c r="C31" s="74" t="str">
        <f t="shared" si="3"/>
        <v>Quinta-Feira</v>
      </c>
      <c r="D31" s="512" t="str">
        <f>IF(C31&lt;&gt;"Quarta-Feira","16:00","11:00")</f>
        <v>16:00</v>
      </c>
      <c r="E31" s="443"/>
      <c r="F31" s="119"/>
      <c r="G31" s="110" t="s">
        <v>2799</v>
      </c>
      <c r="H31" s="111"/>
      <c r="I31" s="41"/>
      <c r="J31" s="133"/>
      <c r="K31" s="133"/>
      <c r="L31" s="216" t="s">
        <v>521</v>
      </c>
      <c r="R31" s="67"/>
    </row>
    <row r="32">
      <c r="A32" s="12" t="s">
        <v>90</v>
      </c>
      <c r="B32" s="227" t="s">
        <v>2659</v>
      </c>
      <c r="C32" s="74" t="str">
        <f t="shared" si="3"/>
        <v>Quinta-Feira</v>
      </c>
      <c r="D32" s="512" t="str">
        <f>IF(C32&lt;&gt;"Quarta-Feira","16:20","11:20")</f>
        <v>16:20</v>
      </c>
      <c r="E32" s="448"/>
      <c r="F32" s="119"/>
      <c r="G32" s="110" t="s">
        <v>2799</v>
      </c>
      <c r="H32" s="111"/>
      <c r="I32" s="41"/>
      <c r="J32" s="133"/>
      <c r="K32" s="133"/>
      <c r="L32" s="216" t="s">
        <v>521</v>
      </c>
      <c r="R32" s="67"/>
    </row>
    <row r="33">
      <c r="A33" s="12" t="s">
        <v>93</v>
      </c>
      <c r="B33" s="227" t="s">
        <v>1735</v>
      </c>
      <c r="C33" s="74" t="str">
        <f t="shared" si="3"/>
        <v>Quinta-Feira</v>
      </c>
      <c r="D33" s="512" t="str">
        <f>IF(C33&lt;&gt;"Quarta-Feira","16:40","11:40")</f>
        <v>16:40</v>
      </c>
      <c r="E33" s="448"/>
      <c r="F33" s="119"/>
      <c r="G33" s="110" t="s">
        <v>2799</v>
      </c>
      <c r="H33" s="111"/>
      <c r="I33" s="41"/>
      <c r="J33" s="133"/>
      <c r="K33" s="133"/>
      <c r="R33" s="67"/>
    </row>
    <row r="34">
      <c r="E34" s="261"/>
      <c r="J34" s="67"/>
      <c r="K34" s="67"/>
      <c r="R34" s="67"/>
    </row>
    <row r="35">
      <c r="E35" s="261"/>
      <c r="J35" s="67"/>
      <c r="K35" s="67"/>
      <c r="R35" s="67"/>
    </row>
    <row r="36">
      <c r="E36" s="261"/>
      <c r="J36" s="67"/>
      <c r="K36" s="67"/>
      <c r="R36" s="67"/>
    </row>
    <row r="37">
      <c r="A37" s="23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4.75" customHeight="1">
      <c r="A38" s="24" t="str">
        <f>TEXT(DATE(VALUE(MID(A2,7,4)),VALUE(MID(A2,4,2)),VALUE(LEFT(A2,2)))+7,"dd/mm/yyyy")&amp;" 13h às 17h"</f>
        <v>09/06/2026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26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7" t="s">
        <v>2082</v>
      </c>
      <c r="C40" s="74" t="str">
        <f t="shared" ref="C40:C51" si="5">PROPER(TEXT(DATE(MID($A$38,7,4),MID($A$38,4,2),LEFT($A$38,2)),"dddd"))</f>
        <v>Terça-Feira</v>
      </c>
      <c r="D40" s="512" t="str">
        <f>IF(C40&lt;&gt;"Quarta-Feira","13:00","08:00")</f>
        <v>13:00</v>
      </c>
      <c r="E40" s="241" t="s">
        <v>3798</v>
      </c>
      <c r="F40" s="84">
        <v>7.02003335750188E14</v>
      </c>
      <c r="G40" s="79" t="s">
        <v>3799</v>
      </c>
      <c r="H40" s="77">
        <v>16695.0</v>
      </c>
      <c r="I40" s="34" t="s">
        <v>41</v>
      </c>
      <c r="J40" s="314"/>
      <c r="K40" s="314"/>
      <c r="L40" s="216" t="s">
        <v>521</v>
      </c>
      <c r="N40" s="268" t="s">
        <v>387</v>
      </c>
      <c r="O40" s="100"/>
      <c r="P40" s="100"/>
      <c r="Q40" s="100"/>
      <c r="R40" s="67"/>
    </row>
    <row r="41">
      <c r="A41" s="12" t="s">
        <v>11</v>
      </c>
      <c r="B41" s="227" t="s">
        <v>2084</v>
      </c>
      <c r="C41" s="74" t="str">
        <f t="shared" si="5"/>
        <v>Terça-Feira</v>
      </c>
      <c r="D41" s="512" t="str">
        <f>IF(C41&lt;&gt;"Quarta-Feira","13:20","08:20")</f>
        <v>13:20</v>
      </c>
      <c r="E41" s="241" t="s">
        <v>3433</v>
      </c>
      <c r="F41" s="84">
        <v>1.6366335487E14</v>
      </c>
      <c r="G41" s="79" t="s">
        <v>3434</v>
      </c>
      <c r="H41" s="77">
        <v>15790.0</v>
      </c>
      <c r="I41" s="34" t="s">
        <v>41</v>
      </c>
      <c r="J41" s="314"/>
      <c r="K41" s="314"/>
      <c r="N41" s="270" t="s">
        <v>2086</v>
      </c>
      <c r="O41" s="2"/>
      <c r="P41" s="2"/>
      <c r="Q41" s="2"/>
      <c r="R41" s="67"/>
    </row>
    <row r="42">
      <c r="A42" s="12" t="s">
        <v>12</v>
      </c>
      <c r="B42" s="227" t="s">
        <v>2087</v>
      </c>
      <c r="C42" s="74" t="str">
        <f t="shared" si="5"/>
        <v>Terça-Feira</v>
      </c>
      <c r="D42" s="512" t="str">
        <f>IF(C42&lt;&gt;"Quarta-Feira","13:40","08:40")</f>
        <v>13:40</v>
      </c>
      <c r="E42" s="241" t="s">
        <v>1674</v>
      </c>
      <c r="F42" s="84">
        <v>1.20759346320006E14</v>
      </c>
      <c r="G42" s="79" t="s">
        <v>1675</v>
      </c>
      <c r="H42" s="77">
        <v>22477.0</v>
      </c>
      <c r="I42" s="34" t="s">
        <v>41</v>
      </c>
      <c r="J42" s="382"/>
      <c r="K42" s="382"/>
      <c r="L42" s="216" t="s">
        <v>521</v>
      </c>
      <c r="N42" s="271" t="s">
        <v>183</v>
      </c>
      <c r="O42" s="272" t="s">
        <v>195</v>
      </c>
      <c r="P42" s="272" t="s">
        <v>181</v>
      </c>
      <c r="Q42" s="273" t="s">
        <v>2088</v>
      </c>
      <c r="R42" s="286" t="s">
        <v>439</v>
      </c>
    </row>
    <row r="43">
      <c r="A43" s="12" t="s">
        <v>13</v>
      </c>
      <c r="B43" s="227" t="s">
        <v>2089</v>
      </c>
      <c r="C43" s="74" t="str">
        <f t="shared" si="5"/>
        <v>Terça-Feira</v>
      </c>
      <c r="D43" s="512" t="str">
        <f>IF(C43&lt;&gt;"Quarta-Feira","14:00","09:00")</f>
        <v>14:00</v>
      </c>
      <c r="E43" s="241" t="s">
        <v>3800</v>
      </c>
      <c r="F43" s="84">
        <v>7.06206506337763E14</v>
      </c>
      <c r="G43" s="79" t="s">
        <v>3801</v>
      </c>
      <c r="H43" s="77">
        <v>21351.0</v>
      </c>
      <c r="I43" s="34" t="s">
        <v>41</v>
      </c>
      <c r="J43" s="314"/>
      <c r="K43" s="314"/>
      <c r="L43" s="216" t="s">
        <v>521</v>
      </c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0</v>
      </c>
    </row>
    <row r="44">
      <c r="A44" s="12" t="s">
        <v>14</v>
      </c>
      <c r="B44" s="227" t="s">
        <v>2082</v>
      </c>
      <c r="C44" s="74" t="str">
        <f t="shared" si="5"/>
        <v>Terça-Feira</v>
      </c>
      <c r="D44" s="512" t="str">
        <f>IF(C44&lt;&gt;"Quarta-Feira","14:20","09:20")</f>
        <v>14:20</v>
      </c>
      <c r="E44" s="241" t="s">
        <v>3802</v>
      </c>
      <c r="F44" s="84">
        <v>7.04101168999975E14</v>
      </c>
      <c r="G44" s="352" t="s">
        <v>3803</v>
      </c>
      <c r="H44" s="77">
        <v>21354.0</v>
      </c>
      <c r="I44" s="41" t="s">
        <v>41</v>
      </c>
      <c r="J44" s="314"/>
      <c r="K44" s="314"/>
      <c r="L44" s="216" t="s">
        <v>521</v>
      </c>
      <c r="R44" s="67"/>
    </row>
    <row r="45">
      <c r="A45" s="12" t="s">
        <v>15</v>
      </c>
      <c r="B45" s="227" t="s">
        <v>2089</v>
      </c>
      <c r="C45" s="74" t="str">
        <f t="shared" si="5"/>
        <v>Terça-Feira</v>
      </c>
      <c r="D45" s="512" t="str">
        <f>IF(C45&lt;&gt;"Quarta-Feira","14:40","09:40")</f>
        <v>14:40</v>
      </c>
      <c r="E45" s="241" t="s">
        <v>3804</v>
      </c>
      <c r="F45" s="84">
        <v>7.0500624736035E14</v>
      </c>
      <c r="G45" s="79" t="s">
        <v>3805</v>
      </c>
      <c r="H45" s="77">
        <v>24302.0</v>
      </c>
      <c r="I45" s="34" t="s">
        <v>41</v>
      </c>
      <c r="J45" s="314"/>
      <c r="K45" s="314"/>
      <c r="L45" s="216" t="s">
        <v>521</v>
      </c>
      <c r="R45" s="67"/>
    </row>
    <row r="46">
      <c r="A46" s="12" t="s">
        <v>16</v>
      </c>
      <c r="B46" s="227" t="s">
        <v>2093</v>
      </c>
      <c r="C46" s="74" t="str">
        <f t="shared" si="5"/>
        <v>Terça-Feira</v>
      </c>
      <c r="D46" s="512" t="str">
        <f>IF(C46&lt;&gt;"Quarta-Feira","15:00","10:00")</f>
        <v>15:00</v>
      </c>
      <c r="E46" s="241"/>
      <c r="F46" s="84"/>
      <c r="G46" s="352"/>
      <c r="H46" s="77"/>
      <c r="I46" s="41"/>
      <c r="J46" s="382"/>
      <c r="K46" s="314"/>
      <c r="R46" s="67"/>
    </row>
    <row r="47">
      <c r="A47" s="12" t="s">
        <v>17</v>
      </c>
      <c r="B47" s="227" t="s">
        <v>2094</v>
      </c>
      <c r="C47" s="74" t="str">
        <f t="shared" si="5"/>
        <v>Terça-Feira</v>
      </c>
      <c r="D47" s="512" t="str">
        <f>IF(C47&lt;&gt;"Quarta-Feira","15:20","10:20")</f>
        <v>15:20</v>
      </c>
      <c r="E47" s="241" t="s">
        <v>3806</v>
      </c>
      <c r="F47" s="84">
        <v>7.06001329644143E14</v>
      </c>
      <c r="G47" s="79" t="s">
        <v>3807</v>
      </c>
      <c r="H47" s="77">
        <v>31866.0</v>
      </c>
      <c r="I47" s="41" t="s">
        <v>41</v>
      </c>
      <c r="J47" s="382"/>
      <c r="K47" s="382"/>
      <c r="R47" s="67"/>
    </row>
    <row r="48">
      <c r="A48" s="12" t="s">
        <v>85</v>
      </c>
      <c r="B48" s="227" t="s">
        <v>2095</v>
      </c>
      <c r="C48" s="74" t="str">
        <f t="shared" si="5"/>
        <v>Terça-Feira</v>
      </c>
      <c r="D48" s="512" t="str">
        <f>IF(C48&lt;&gt;"Quarta-Feira","15:40","10:40")</f>
        <v>15:40</v>
      </c>
      <c r="E48" s="241" t="s">
        <v>2687</v>
      </c>
      <c r="F48" s="84">
        <v>1.03869192990006E14</v>
      </c>
      <c r="G48" s="79" t="s">
        <v>2688</v>
      </c>
      <c r="H48" s="77">
        <v>20718.0</v>
      </c>
      <c r="I48" s="34" t="s">
        <v>41</v>
      </c>
      <c r="J48" s="314"/>
      <c r="K48" s="314"/>
      <c r="L48" s="216" t="s">
        <v>577</v>
      </c>
      <c r="R48" s="67"/>
    </row>
    <row r="49">
      <c r="A49" s="12" t="s">
        <v>87</v>
      </c>
      <c r="B49" s="227" t="s">
        <v>2096</v>
      </c>
      <c r="C49" s="74" t="str">
        <f t="shared" si="5"/>
        <v>Terça-Feira</v>
      </c>
      <c r="D49" s="512" t="str">
        <f>IF(C49&lt;&gt;"Quarta-Feira","16:00","11:00")</f>
        <v>16:00</v>
      </c>
      <c r="E49" s="241"/>
      <c r="F49" s="84"/>
      <c r="G49" s="79"/>
      <c r="H49" s="77"/>
      <c r="I49" s="41"/>
      <c r="J49" s="382"/>
      <c r="K49" s="314"/>
      <c r="R49" s="67"/>
    </row>
    <row r="50">
      <c r="A50" s="12" t="s">
        <v>90</v>
      </c>
      <c r="B50" s="227" t="s">
        <v>2098</v>
      </c>
      <c r="C50" s="74" t="str">
        <f t="shared" si="5"/>
        <v>Terça-Feira</v>
      </c>
      <c r="D50" s="512" t="str">
        <f>IF(C50&lt;&gt;"Quarta-Feira","16:20","11:20")</f>
        <v>16:20</v>
      </c>
      <c r="E50" s="241" t="s">
        <v>3808</v>
      </c>
      <c r="F50" s="84">
        <v>7.00708903593675E14</v>
      </c>
      <c r="G50" s="79" t="s">
        <v>3809</v>
      </c>
      <c r="H50" s="314">
        <v>23549.0</v>
      </c>
      <c r="I50" s="41" t="s">
        <v>41</v>
      </c>
      <c r="J50" s="314"/>
      <c r="K50" s="314"/>
      <c r="R50" s="67"/>
    </row>
    <row r="51">
      <c r="A51" s="12" t="s">
        <v>93</v>
      </c>
      <c r="B51" s="227" t="s">
        <v>2096</v>
      </c>
      <c r="C51" s="74" t="str">
        <f t="shared" si="5"/>
        <v>Terça-Feira</v>
      </c>
      <c r="D51" s="512" t="str">
        <f>IF(C51&lt;&gt;"Quarta-Feira","16:40","11:40")</f>
        <v>16:40</v>
      </c>
      <c r="E51" s="241"/>
      <c r="F51" s="84"/>
      <c r="G51" s="79"/>
      <c r="H51" s="314"/>
      <c r="I51" s="41"/>
      <c r="J51" s="382"/>
      <c r="K51" s="314"/>
      <c r="R51" s="67"/>
    </row>
    <row r="52">
      <c r="E52" s="261"/>
      <c r="J52" s="67"/>
      <c r="K52" s="67"/>
      <c r="R52" s="67"/>
    </row>
    <row r="53">
      <c r="E53" s="261"/>
      <c r="J53" s="67"/>
      <c r="K53" s="67"/>
      <c r="R53" s="67"/>
    </row>
    <row r="54">
      <c r="E54" s="261"/>
      <c r="J54" s="67"/>
      <c r="K54" s="67"/>
      <c r="R54" s="67"/>
    </row>
    <row r="55">
      <c r="A55" s="23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11/06/2026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26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5.75" customHeight="1">
      <c r="A58" s="12" t="s">
        <v>10</v>
      </c>
      <c r="B58" s="227" t="s">
        <v>1790</v>
      </c>
      <c r="C58" s="74" t="str">
        <f t="shared" ref="C58:C69" si="7">PROPER(TEXT(DATE(MID($A$56,7,4),MID($A$56,4,2),LEFT($A$56,2)),"dddd"))</f>
        <v>Quinta-Feira</v>
      </c>
      <c r="D58" s="512" t="str">
        <f>IF(C58&lt;&gt;"Quarta-Feira","13:00","08:00")</f>
        <v>13:00</v>
      </c>
      <c r="E58" s="241" t="s">
        <v>3810</v>
      </c>
      <c r="F58" s="301">
        <v>8.98002117763997E14</v>
      </c>
      <c r="G58" s="161" t="s">
        <v>3811</v>
      </c>
      <c r="H58" s="163">
        <v>21161.0</v>
      </c>
      <c r="I58" s="41" t="s">
        <v>41</v>
      </c>
      <c r="J58" s="238"/>
      <c r="K58" s="238"/>
      <c r="L58" s="216" t="s">
        <v>521</v>
      </c>
      <c r="N58" s="268" t="s">
        <v>387</v>
      </c>
      <c r="O58" s="100"/>
      <c r="P58" s="100"/>
      <c r="Q58" s="100"/>
      <c r="R58" s="67"/>
    </row>
    <row r="59" ht="15.75" customHeight="1">
      <c r="A59" s="12" t="s">
        <v>11</v>
      </c>
      <c r="B59" s="227" t="s">
        <v>1714</v>
      </c>
      <c r="C59" s="74" t="str">
        <f t="shared" si="7"/>
        <v>Quinta-Feira</v>
      </c>
      <c r="D59" s="512" t="str">
        <f>IF(C59&lt;&gt;"Quarta-Feira","13:20","08:20")</f>
        <v>13:20</v>
      </c>
      <c r="E59" s="241"/>
      <c r="F59" s="440"/>
      <c r="G59" s="161"/>
      <c r="H59" s="163"/>
      <c r="I59" s="41"/>
      <c r="J59" s="238"/>
      <c r="K59" s="238"/>
      <c r="N59" s="270" t="s">
        <v>2086</v>
      </c>
      <c r="O59" s="2"/>
      <c r="P59" s="2"/>
      <c r="Q59" s="2"/>
      <c r="R59" s="67"/>
    </row>
    <row r="60" ht="15.75" customHeight="1">
      <c r="A60" s="12" t="s">
        <v>12</v>
      </c>
      <c r="B60" s="227" t="s">
        <v>1781</v>
      </c>
      <c r="C60" s="74" t="str">
        <f t="shared" si="7"/>
        <v>Quinta-Feira</v>
      </c>
      <c r="D60" s="512" t="str">
        <f>IF(C60&lt;&gt;"Quarta-Feira","13:40","08:40")</f>
        <v>13:40</v>
      </c>
      <c r="E60" s="241" t="s">
        <v>3812</v>
      </c>
      <c r="F60" s="301">
        <v>2.04302089060002E14</v>
      </c>
      <c r="G60" s="161" t="s">
        <v>3813</v>
      </c>
      <c r="H60" s="163">
        <v>29771.0</v>
      </c>
      <c r="I60" s="41" t="s">
        <v>2088</v>
      </c>
      <c r="J60" s="238"/>
      <c r="K60" s="238"/>
      <c r="L60" s="216" t="s">
        <v>521</v>
      </c>
      <c r="N60" s="271" t="s">
        <v>183</v>
      </c>
      <c r="O60" s="272" t="s">
        <v>195</v>
      </c>
      <c r="P60" s="272" t="s">
        <v>181</v>
      </c>
      <c r="Q60" s="272" t="s">
        <v>2088</v>
      </c>
      <c r="R60" s="67"/>
    </row>
    <row r="61" ht="15.75" customHeight="1">
      <c r="A61" s="12" t="s">
        <v>13</v>
      </c>
      <c r="B61" s="227" t="s">
        <v>1721</v>
      </c>
      <c r="C61" s="74" t="str">
        <f t="shared" si="7"/>
        <v>Quinta-Feira</v>
      </c>
      <c r="D61" s="512" t="str">
        <f>IF(C61&lt;&gt;"Quarta-Feira","14:00","09:00")</f>
        <v>14:00</v>
      </c>
      <c r="E61" s="241" t="s">
        <v>3814</v>
      </c>
      <c r="F61" s="301">
        <v>7.02400035362526E14</v>
      </c>
      <c r="G61" s="161" t="s">
        <v>3815</v>
      </c>
      <c r="H61" s="163">
        <v>33040.0</v>
      </c>
      <c r="I61" s="41" t="s">
        <v>41</v>
      </c>
      <c r="J61" s="238"/>
      <c r="K61" s="238"/>
      <c r="L61" s="216" t="s">
        <v>521</v>
      </c>
      <c r="N61" s="275">
        <f t="shared" ref="N61:Q61" si="8">COUNTIFS($I$58:$I$69,N60)</f>
        <v>0</v>
      </c>
      <c r="O61" s="275">
        <f t="shared" si="8"/>
        <v>0</v>
      </c>
      <c r="P61" s="275">
        <f t="shared" si="8"/>
        <v>0</v>
      </c>
      <c r="Q61" s="275">
        <f t="shared" si="8"/>
        <v>1</v>
      </c>
      <c r="R61" s="67"/>
    </row>
    <row r="62" ht="15.75" customHeight="1">
      <c r="A62" s="12" t="s">
        <v>14</v>
      </c>
      <c r="B62" s="227" t="s">
        <v>1796</v>
      </c>
      <c r="C62" s="74" t="str">
        <f t="shared" si="7"/>
        <v>Quinta-Feira</v>
      </c>
      <c r="D62" s="512" t="str">
        <f>IF(C62&lt;&gt;"Quarta-Feira","14:20","09:20")</f>
        <v>14:20</v>
      </c>
      <c r="E62" s="241" t="s">
        <v>2590</v>
      </c>
      <c r="F62" s="301">
        <v>8.01440456759102E14</v>
      </c>
      <c r="G62" s="161" t="s">
        <v>2591</v>
      </c>
      <c r="H62" s="163">
        <v>32493.0</v>
      </c>
      <c r="I62" s="41" t="s">
        <v>41</v>
      </c>
      <c r="J62" s="238"/>
      <c r="K62" s="238"/>
      <c r="R62" s="67"/>
    </row>
    <row r="63" ht="15.75" customHeight="1">
      <c r="A63" s="12" t="s">
        <v>15</v>
      </c>
      <c r="B63" s="227" t="s">
        <v>1790</v>
      </c>
      <c r="C63" s="74" t="str">
        <f t="shared" si="7"/>
        <v>Quinta-Feira</v>
      </c>
      <c r="D63" s="512" t="str">
        <f>IF(C63&lt;&gt;"Quarta-Feira","14:40","09:40")</f>
        <v>14:40</v>
      </c>
      <c r="E63" s="241" t="s">
        <v>3816</v>
      </c>
      <c r="F63" s="440">
        <v>7.06808703438623E14</v>
      </c>
      <c r="G63" s="161" t="s">
        <v>3817</v>
      </c>
      <c r="H63" s="163">
        <v>21205.0</v>
      </c>
      <c r="I63" s="41" t="s">
        <v>41</v>
      </c>
      <c r="J63" s="238"/>
      <c r="K63" s="238"/>
      <c r="L63" s="216" t="s">
        <v>521</v>
      </c>
      <c r="R63" s="67"/>
    </row>
    <row r="64" ht="15.75" customHeight="1">
      <c r="A64" s="12" t="s">
        <v>16</v>
      </c>
      <c r="B64" s="227" t="s">
        <v>2653</v>
      </c>
      <c r="C64" s="74" t="str">
        <f t="shared" si="7"/>
        <v>Quinta-Feira</v>
      </c>
      <c r="D64" s="512" t="str">
        <f>IF(C64&lt;&gt;"Quarta-Feira","15:00","10:00")</f>
        <v>15:00</v>
      </c>
      <c r="E64" s="241" t="s">
        <v>3818</v>
      </c>
      <c r="F64" s="301">
        <v>7.0230215229121E14</v>
      </c>
      <c r="G64" s="161" t="s">
        <v>3819</v>
      </c>
      <c r="H64" s="163">
        <v>25153.0</v>
      </c>
      <c r="I64" s="41" t="s">
        <v>41</v>
      </c>
      <c r="J64" s="238"/>
      <c r="K64" s="238"/>
      <c r="L64" s="216" t="s">
        <v>521</v>
      </c>
      <c r="R64" s="67"/>
    </row>
    <row r="65" ht="15.75" customHeight="1">
      <c r="A65" s="12" t="s">
        <v>17</v>
      </c>
      <c r="B65" s="227" t="s">
        <v>2656</v>
      </c>
      <c r="C65" s="74" t="str">
        <f t="shared" si="7"/>
        <v>Quinta-Feira</v>
      </c>
      <c r="D65" s="512" t="str">
        <f>IF(C65&lt;&gt;"Quarta-Feira","15:20","10:20")</f>
        <v>15:20</v>
      </c>
      <c r="E65" s="241" t="s">
        <v>3820</v>
      </c>
      <c r="F65" s="301">
        <v>7.0640268319618E14</v>
      </c>
      <c r="G65" s="161" t="s">
        <v>3821</v>
      </c>
      <c r="H65" s="163">
        <v>22351.0</v>
      </c>
      <c r="I65" s="41" t="s">
        <v>41</v>
      </c>
      <c r="J65" s="238"/>
      <c r="K65" s="238"/>
      <c r="L65" s="216" t="s">
        <v>521</v>
      </c>
      <c r="R65" s="67"/>
    </row>
    <row r="66" ht="15.75" customHeight="1">
      <c r="A66" s="12" t="s">
        <v>85</v>
      </c>
      <c r="B66" s="227" t="s">
        <v>2659</v>
      </c>
      <c r="C66" s="74" t="str">
        <f t="shared" si="7"/>
        <v>Quinta-Feira</v>
      </c>
      <c r="D66" s="512" t="str">
        <f>IF(C66&lt;&gt;"Quarta-Feira","15:40","10:40")</f>
        <v>15:40</v>
      </c>
      <c r="E66" s="241" t="s">
        <v>3822</v>
      </c>
      <c r="F66" s="301">
        <v>1.06258440300003E14</v>
      </c>
      <c r="G66" s="161" t="s">
        <v>3823</v>
      </c>
      <c r="H66" s="163">
        <v>19139.0</v>
      </c>
      <c r="I66" s="41" t="s">
        <v>41</v>
      </c>
      <c r="J66" s="238"/>
      <c r="K66" s="238"/>
      <c r="R66" s="67"/>
    </row>
    <row r="67" ht="15.75" customHeight="1">
      <c r="A67" s="12" t="s">
        <v>87</v>
      </c>
      <c r="B67" s="227" t="s">
        <v>1735</v>
      </c>
      <c r="C67" s="74" t="str">
        <f t="shared" si="7"/>
        <v>Quinta-Feira</v>
      </c>
      <c r="D67" s="512" t="str">
        <f>IF(C67&lt;&gt;"Quarta-Feira","16:00","11:00")</f>
        <v>16:00</v>
      </c>
      <c r="E67" s="241" t="s">
        <v>3824</v>
      </c>
      <c r="F67" s="301">
        <v>2.01535449660002E14</v>
      </c>
      <c r="G67" s="161" t="s">
        <v>3825</v>
      </c>
      <c r="H67" s="163">
        <v>31345.0</v>
      </c>
      <c r="I67" s="41" t="s">
        <v>41</v>
      </c>
      <c r="J67" s="238"/>
      <c r="K67" s="238"/>
      <c r="L67" s="216" t="s">
        <v>521</v>
      </c>
      <c r="R67" s="67"/>
    </row>
    <row r="68" ht="15.75" customHeight="1">
      <c r="A68" s="12" t="s">
        <v>90</v>
      </c>
      <c r="B68" s="227" t="s">
        <v>2659</v>
      </c>
      <c r="C68" s="74" t="str">
        <f t="shared" si="7"/>
        <v>Quinta-Feira</v>
      </c>
      <c r="D68" s="512" t="str">
        <f>IF(C68&lt;&gt;"Quarta-Feira","16:20","11:20")</f>
        <v>16:20</v>
      </c>
      <c r="E68" s="241" t="s">
        <v>3826</v>
      </c>
      <c r="F68" s="301">
        <v>7.08402742284369E14</v>
      </c>
      <c r="G68" s="161" t="s">
        <v>3827</v>
      </c>
      <c r="H68" s="163">
        <v>24749.0</v>
      </c>
      <c r="I68" s="41"/>
      <c r="J68" s="238"/>
      <c r="K68" s="238"/>
      <c r="R68" s="67"/>
    </row>
    <row r="69" ht="15.75" customHeight="1">
      <c r="A69" s="12" t="s">
        <v>93</v>
      </c>
      <c r="B69" s="227" t="s">
        <v>1735</v>
      </c>
      <c r="C69" s="74" t="str">
        <f t="shared" si="7"/>
        <v>Quinta-Feira</v>
      </c>
      <c r="D69" s="512" t="str">
        <f>IF(C69&lt;&gt;"Quarta-Feira","16:40","11:40")</f>
        <v>16:40</v>
      </c>
      <c r="E69" s="241" t="s">
        <v>3828</v>
      </c>
      <c r="F69" s="301">
        <v>7.02806609295364E14</v>
      </c>
      <c r="G69" s="161" t="s">
        <v>3829</v>
      </c>
      <c r="H69" s="163">
        <v>28247.0</v>
      </c>
      <c r="I69" s="41" t="s">
        <v>41</v>
      </c>
      <c r="J69" s="238"/>
      <c r="K69" s="238"/>
      <c r="R69" s="67"/>
    </row>
    <row r="70">
      <c r="E70" s="261"/>
      <c r="G70" s="216"/>
      <c r="J70" s="67"/>
      <c r="K70" s="67"/>
      <c r="R70" s="67"/>
    </row>
    <row r="71">
      <c r="E71" s="261"/>
      <c r="J71" s="67"/>
      <c r="K71" s="67"/>
      <c r="R71" s="67"/>
    </row>
    <row r="72">
      <c r="E72" s="261"/>
      <c r="J72" s="67"/>
      <c r="K72" s="67"/>
      <c r="R72" s="67"/>
    </row>
    <row r="73">
      <c r="A73" s="398" t="s">
        <v>18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TEXT(DATE(VALUE(MID(A38,7,4)),VALUE(MID(A38,4,2)),VALUE(LEFT(A38,2)))+7,"dd/mm/yyyy")&amp;" 13h às 17h"</f>
        <v>16/06/2026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469"/>
      <c r="B75" s="470" t="s">
        <v>3</v>
      </c>
      <c r="C75" s="471" t="s">
        <v>2</v>
      </c>
      <c r="D75" s="472" t="s">
        <v>5</v>
      </c>
      <c r="E75" s="530" t="s">
        <v>19</v>
      </c>
      <c r="F75" s="472" t="s">
        <v>6</v>
      </c>
      <c r="G75" s="473" t="s">
        <v>7</v>
      </c>
      <c r="H75" s="474" t="s">
        <v>8</v>
      </c>
      <c r="I75" s="475" t="s">
        <v>20</v>
      </c>
      <c r="J75" s="472" t="s">
        <v>21</v>
      </c>
      <c r="K75" s="472" t="s">
        <v>22</v>
      </c>
      <c r="R75" s="67"/>
    </row>
    <row r="76">
      <c r="A76" s="476" t="s">
        <v>10</v>
      </c>
      <c r="B76" s="227" t="s">
        <v>2082</v>
      </c>
      <c r="C76" s="447" t="str">
        <f t="shared" ref="C76:C87" si="9">PROPER(TEXT(DATE(MID($A$74,7,4),MID($A$74,4,2),LEFT($A$74,2)),"dddd"))</f>
        <v>Terça-Feira</v>
      </c>
      <c r="D76" s="512" t="str">
        <f>IF(C76&lt;&gt;"Quarta-Feira","13:00","08:00")</f>
        <v>13:00</v>
      </c>
      <c r="E76" s="477" t="s">
        <v>3830</v>
      </c>
      <c r="F76" s="133">
        <v>8.98001427494586E14</v>
      </c>
      <c r="G76" s="203" t="s">
        <v>3831</v>
      </c>
      <c r="H76" s="166">
        <v>27628.0</v>
      </c>
      <c r="I76" s="478" t="s">
        <v>41</v>
      </c>
      <c r="J76" s="391"/>
      <c r="K76" s="391"/>
      <c r="N76" s="268" t="s">
        <v>387</v>
      </c>
      <c r="O76" s="100"/>
      <c r="P76" s="100"/>
      <c r="Q76" s="100"/>
      <c r="R76" s="67"/>
    </row>
    <row r="77">
      <c r="A77" s="476" t="s">
        <v>11</v>
      </c>
      <c r="B77" s="227" t="s">
        <v>2084</v>
      </c>
      <c r="C77" s="447" t="str">
        <f t="shared" si="9"/>
        <v>Terça-Feira</v>
      </c>
      <c r="D77" s="512" t="str">
        <f>IF(C77&lt;&gt;"Quarta-Feira","13:20","08:20")</f>
        <v>13:20</v>
      </c>
      <c r="E77" s="479" t="s">
        <v>3832</v>
      </c>
      <c r="F77" s="133">
        <v>8.01440471927681E14</v>
      </c>
      <c r="G77" s="203" t="s">
        <v>3833</v>
      </c>
      <c r="H77" s="166">
        <v>26071.0</v>
      </c>
      <c r="I77" s="478" t="s">
        <v>41</v>
      </c>
      <c r="J77" s="391"/>
      <c r="K77" s="391"/>
      <c r="N77" s="270" t="s">
        <v>2086</v>
      </c>
      <c r="O77" s="2"/>
      <c r="P77" s="2"/>
      <c r="Q77" s="2"/>
      <c r="R77" s="67"/>
    </row>
    <row r="78">
      <c r="A78" s="476" t="s">
        <v>12</v>
      </c>
      <c r="B78" s="227" t="s">
        <v>2087</v>
      </c>
      <c r="C78" s="447" t="str">
        <f t="shared" si="9"/>
        <v>Terça-Feira</v>
      </c>
      <c r="D78" s="512" t="str">
        <f>IF(C78&lt;&gt;"Quarta-Feira","13:40","08:40")</f>
        <v>13:40</v>
      </c>
      <c r="E78" s="477"/>
      <c r="F78" s="133"/>
      <c r="G78" s="203"/>
      <c r="H78" s="166"/>
      <c r="I78" s="478"/>
      <c r="J78" s="391"/>
      <c r="K78" s="391"/>
      <c r="N78" s="271" t="s">
        <v>183</v>
      </c>
      <c r="O78" s="272" t="s">
        <v>195</v>
      </c>
      <c r="P78" s="272" t="s">
        <v>181</v>
      </c>
      <c r="Q78" s="273" t="s">
        <v>2088</v>
      </c>
      <c r="R78" s="67"/>
    </row>
    <row r="79">
      <c r="A79" s="476" t="s">
        <v>13</v>
      </c>
      <c r="B79" s="227" t="s">
        <v>2089</v>
      </c>
      <c r="C79" s="447" t="str">
        <f t="shared" si="9"/>
        <v>Terça-Feira</v>
      </c>
      <c r="D79" s="512" t="str">
        <f>IF(C79&lt;&gt;"Quarta-Feira","14:00","09:00")</f>
        <v>14:00</v>
      </c>
      <c r="E79" s="477" t="s">
        <v>3834</v>
      </c>
      <c r="F79" s="133">
        <v>7.01000828571492E14</v>
      </c>
      <c r="G79" s="203" t="s">
        <v>3835</v>
      </c>
      <c r="H79" s="166">
        <v>20772.0</v>
      </c>
      <c r="I79" s="478" t="s">
        <v>41</v>
      </c>
      <c r="J79" s="391"/>
      <c r="K79" s="391"/>
      <c r="N79" s="275">
        <f t="shared" ref="N79:Q79" si="10">COUNTIFS($I$76:$I$87,N78)</f>
        <v>0</v>
      </c>
      <c r="O79" s="275">
        <f t="shared" si="10"/>
        <v>0</v>
      </c>
      <c r="P79" s="275">
        <f t="shared" si="10"/>
        <v>0</v>
      </c>
      <c r="Q79" s="275">
        <f t="shared" si="10"/>
        <v>0</v>
      </c>
      <c r="R79" s="67"/>
    </row>
    <row r="80">
      <c r="A80" s="476" t="s">
        <v>14</v>
      </c>
      <c r="B80" s="227" t="s">
        <v>2082</v>
      </c>
      <c r="C80" s="447" t="str">
        <f t="shared" si="9"/>
        <v>Terça-Feira</v>
      </c>
      <c r="D80" s="512" t="str">
        <f>IF(C80&lt;&gt;"Quarta-Feira","14:20","09:20")</f>
        <v>14:20</v>
      </c>
      <c r="E80" s="480" t="s">
        <v>3836</v>
      </c>
      <c r="F80" s="133">
        <v>7.0840832225867E14</v>
      </c>
      <c r="G80" s="203" t="s">
        <v>3837</v>
      </c>
      <c r="H80" s="169">
        <v>17156.0</v>
      </c>
      <c r="I80" s="478" t="s">
        <v>41</v>
      </c>
      <c r="J80" s="74"/>
      <c r="K80" s="391"/>
      <c r="R80" s="67"/>
    </row>
    <row r="81">
      <c r="A81" s="476" t="s">
        <v>15</v>
      </c>
      <c r="B81" s="227" t="s">
        <v>2089</v>
      </c>
      <c r="C81" s="447" t="str">
        <f t="shared" si="9"/>
        <v>Terça-Feira</v>
      </c>
      <c r="D81" s="512" t="str">
        <f>IF(C81&lt;&gt;"Quarta-Feira","14:40","09:40")</f>
        <v>14:40</v>
      </c>
      <c r="E81" s="480" t="s">
        <v>3838</v>
      </c>
      <c r="F81" s="133">
        <v>7.04506387322017E14</v>
      </c>
      <c r="G81" s="203" t="s">
        <v>3839</v>
      </c>
      <c r="H81" s="166">
        <v>31569.0</v>
      </c>
      <c r="I81" s="478" t="s">
        <v>41</v>
      </c>
      <c r="J81" s="391"/>
      <c r="K81" s="391"/>
      <c r="R81" s="67"/>
    </row>
    <row r="82">
      <c r="A82" s="476" t="s">
        <v>16</v>
      </c>
      <c r="B82" s="227" t="s">
        <v>2093</v>
      </c>
      <c r="C82" s="447" t="str">
        <f t="shared" si="9"/>
        <v>Terça-Feira</v>
      </c>
      <c r="D82" s="512" t="str">
        <f>IF(C82&lt;&gt;"Quarta-Feira","15:00","10:00")</f>
        <v>15:00</v>
      </c>
      <c r="E82" s="480"/>
      <c r="F82" s="133"/>
      <c r="G82" s="203"/>
      <c r="H82" s="166"/>
      <c r="I82" s="478"/>
      <c r="J82" s="391"/>
      <c r="K82" s="391"/>
      <c r="R82" s="67"/>
    </row>
    <row r="83">
      <c r="A83" s="476" t="s">
        <v>17</v>
      </c>
      <c r="B83" s="227" t="s">
        <v>2094</v>
      </c>
      <c r="C83" s="447" t="str">
        <f t="shared" si="9"/>
        <v>Terça-Feira</v>
      </c>
      <c r="D83" s="512" t="str">
        <f>IF(C83&lt;&gt;"Quarta-Feira","15:20","10:20")</f>
        <v>15:20</v>
      </c>
      <c r="E83" s="480" t="s">
        <v>3840</v>
      </c>
      <c r="F83" s="133">
        <v>7.0410608928845E14</v>
      </c>
      <c r="G83" s="203" t="s">
        <v>3841</v>
      </c>
      <c r="H83" s="166">
        <v>13441.0</v>
      </c>
      <c r="I83" s="478" t="s">
        <v>41</v>
      </c>
      <c r="J83" s="391"/>
      <c r="K83" s="391"/>
      <c r="R83" s="67"/>
    </row>
    <row r="84" ht="16.5" customHeight="1">
      <c r="A84" s="476" t="s">
        <v>85</v>
      </c>
      <c r="B84" s="227" t="s">
        <v>2095</v>
      </c>
      <c r="C84" s="447" t="str">
        <f t="shared" si="9"/>
        <v>Terça-Feira</v>
      </c>
      <c r="D84" s="512" t="str">
        <f>IF(C84&lt;&gt;"Quarta-Feira","15:40","10:40")</f>
        <v>15:40</v>
      </c>
      <c r="E84" s="480" t="s">
        <v>3842</v>
      </c>
      <c r="F84" s="133">
        <v>7.00404410915348E14</v>
      </c>
      <c r="G84" s="203" t="s">
        <v>3843</v>
      </c>
      <c r="H84" s="166">
        <v>31361.0</v>
      </c>
      <c r="I84" s="478" t="s">
        <v>41</v>
      </c>
      <c r="J84" s="391"/>
      <c r="K84" s="391"/>
      <c r="R84" s="67"/>
    </row>
    <row r="85">
      <c r="A85" s="476" t="s">
        <v>87</v>
      </c>
      <c r="B85" s="227" t="s">
        <v>2096</v>
      </c>
      <c r="C85" s="447" t="str">
        <f t="shared" si="9"/>
        <v>Terça-Feira</v>
      </c>
      <c r="D85" s="512" t="str">
        <f>IF(C85&lt;&gt;"Quarta-Feira","16:00","11:00")</f>
        <v>16:00</v>
      </c>
      <c r="E85" s="477"/>
      <c r="F85" s="133"/>
      <c r="G85" s="203"/>
      <c r="H85" s="166"/>
      <c r="I85" s="478"/>
      <c r="J85" s="391"/>
      <c r="K85" s="484"/>
      <c r="R85" s="67"/>
    </row>
    <row r="86">
      <c r="A86" s="476" t="s">
        <v>90</v>
      </c>
      <c r="B86" s="227" t="s">
        <v>2098</v>
      </c>
      <c r="C86" s="447" t="str">
        <f t="shared" si="9"/>
        <v>Terça-Feira</v>
      </c>
      <c r="D86" s="512" t="str">
        <f>IF(C86&lt;&gt;"Quarta-Feira","16:20","11:20")</f>
        <v>16:20</v>
      </c>
      <c r="E86" s="480" t="s">
        <v>3844</v>
      </c>
      <c r="F86" s="500">
        <v>7.03008886047974E14</v>
      </c>
      <c r="G86" s="203" t="s">
        <v>2099</v>
      </c>
      <c r="H86" s="531">
        <v>22833.0</v>
      </c>
      <c r="I86" s="478" t="s">
        <v>41</v>
      </c>
      <c r="J86" s="484"/>
      <c r="K86" s="484"/>
      <c r="R86" s="67"/>
    </row>
    <row r="87">
      <c r="A87" s="476" t="s">
        <v>93</v>
      </c>
      <c r="B87" s="227" t="s">
        <v>2096</v>
      </c>
      <c r="C87" s="447" t="str">
        <f t="shared" si="9"/>
        <v>Terça-Feira</v>
      </c>
      <c r="D87" s="512" t="str">
        <f>IF(C87&lt;&gt;"Quarta-Feira","16:40","11:40")</f>
        <v>16:40</v>
      </c>
      <c r="E87" s="477"/>
      <c r="F87" s="500"/>
      <c r="G87" s="501"/>
      <c r="H87" s="166"/>
      <c r="I87" s="478"/>
      <c r="J87" s="500"/>
      <c r="K87" s="485"/>
      <c r="R87" s="67"/>
    </row>
    <row r="88">
      <c r="E88" s="261"/>
      <c r="J88" s="67"/>
      <c r="K88" s="67"/>
      <c r="R88" s="67"/>
    </row>
    <row r="89">
      <c r="E89" s="261"/>
      <c r="J89" s="67"/>
      <c r="K89" s="67"/>
      <c r="R89" s="67"/>
    </row>
    <row r="90">
      <c r="E90" s="261"/>
      <c r="J90" s="67"/>
      <c r="K90" s="67"/>
      <c r="R90" s="67"/>
    </row>
    <row r="91">
      <c r="A91" s="23" t="s">
        <v>18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13h às 17h"</f>
        <v>18/06/2026 13h às 17h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26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8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1790</v>
      </c>
      <c r="C94" s="74" t="str">
        <f t="shared" ref="C94:C105" si="11">PROPER(TEXT(DATE(MID($A$92,7,4),MID($A$92,4,2),LEFT($A$92,2)),"dddd"))</f>
        <v>Quinta-Feira</v>
      </c>
      <c r="D94" s="512" t="str">
        <f>IF(C94&lt;&gt;"Quarta-Feira","13:00","08:00")</f>
        <v>13:00</v>
      </c>
      <c r="E94" s="245" t="s">
        <v>3845</v>
      </c>
      <c r="F94" s="162">
        <v>7.00503908654459E14</v>
      </c>
      <c r="G94" s="161" t="s">
        <v>3846</v>
      </c>
      <c r="H94" s="390">
        <v>18123.0</v>
      </c>
      <c r="I94" s="41" t="s">
        <v>41</v>
      </c>
      <c r="J94" s="238"/>
      <c r="K94" s="238"/>
      <c r="N94" s="268" t="s">
        <v>387</v>
      </c>
      <c r="O94" s="100"/>
      <c r="P94" s="100"/>
      <c r="Q94" s="100"/>
      <c r="R94" s="67"/>
    </row>
    <row r="95" ht="21.0" customHeight="1">
      <c r="A95" s="12" t="s">
        <v>11</v>
      </c>
      <c r="B95" s="227" t="s">
        <v>1714</v>
      </c>
      <c r="C95" s="74" t="str">
        <f t="shared" si="11"/>
        <v>Quinta-Feira</v>
      </c>
      <c r="D95" s="512" t="str">
        <f>IF(C95&lt;&gt;"Quarta-Feira","13:20","08:20")</f>
        <v>13:20</v>
      </c>
      <c r="E95" s="245"/>
      <c r="F95" s="487"/>
      <c r="G95" s="161"/>
      <c r="H95" s="502"/>
      <c r="I95" s="41"/>
      <c r="J95" s="238"/>
      <c r="K95" s="238"/>
      <c r="N95" s="270" t="s">
        <v>2086</v>
      </c>
      <c r="O95" s="2"/>
      <c r="P95" s="2"/>
      <c r="Q95" s="2"/>
      <c r="R95" s="67"/>
    </row>
    <row r="96">
      <c r="A96" s="12" t="s">
        <v>12</v>
      </c>
      <c r="B96" s="227" t="s">
        <v>1781</v>
      </c>
      <c r="C96" s="74" t="str">
        <f t="shared" si="11"/>
        <v>Quinta-Feira</v>
      </c>
      <c r="D96" s="512" t="str">
        <f>IF(C96&lt;&gt;"Quarta-Feira","13:40","08:40")</f>
        <v>13:40</v>
      </c>
      <c r="E96" s="245" t="s">
        <v>3847</v>
      </c>
      <c r="F96" s="162">
        <v>9.80016277103526E14</v>
      </c>
      <c r="G96" s="161" t="s">
        <v>3848</v>
      </c>
      <c r="H96" s="390">
        <v>31638.0</v>
      </c>
      <c r="I96" s="41" t="s">
        <v>41</v>
      </c>
      <c r="J96" s="238"/>
      <c r="K96" s="238"/>
      <c r="N96" s="271" t="s">
        <v>183</v>
      </c>
      <c r="O96" s="272" t="s">
        <v>195</v>
      </c>
      <c r="P96" s="272" t="s">
        <v>181</v>
      </c>
      <c r="Q96" s="273" t="s">
        <v>2088</v>
      </c>
      <c r="R96" s="67"/>
    </row>
    <row r="97">
      <c r="A97" s="12" t="s">
        <v>13</v>
      </c>
      <c r="B97" s="227" t="s">
        <v>1721</v>
      </c>
      <c r="C97" s="74" t="str">
        <f t="shared" si="11"/>
        <v>Quinta-Feira</v>
      </c>
      <c r="D97" s="512" t="str">
        <f>IF(C97&lt;&gt;"Quarta-Feira","14:00","09:00")</f>
        <v>14:00</v>
      </c>
      <c r="E97" s="245" t="s">
        <v>3849</v>
      </c>
      <c r="F97" s="301">
        <v>8.01440417309118E14</v>
      </c>
      <c r="G97" s="233" t="s">
        <v>3850</v>
      </c>
      <c r="H97" s="521">
        <v>23084.0</v>
      </c>
      <c r="I97" s="41" t="s">
        <v>41</v>
      </c>
      <c r="J97" s="238"/>
      <c r="K97" s="238"/>
      <c r="N97" s="275">
        <f t="shared" ref="N97:Q97" si="12">COUNTIFS($I$94:$I$105,N96)</f>
        <v>0</v>
      </c>
      <c r="O97" s="275">
        <f t="shared" si="12"/>
        <v>0</v>
      </c>
      <c r="P97" s="275">
        <f t="shared" si="12"/>
        <v>0</v>
      </c>
      <c r="Q97" s="275">
        <f t="shared" si="12"/>
        <v>1</v>
      </c>
      <c r="R97" s="67"/>
    </row>
    <row r="98">
      <c r="A98" s="12" t="s">
        <v>14</v>
      </c>
      <c r="B98" s="227" t="s">
        <v>1796</v>
      </c>
      <c r="C98" s="74" t="str">
        <f t="shared" si="11"/>
        <v>Quinta-Feira</v>
      </c>
      <c r="D98" s="512" t="str">
        <f>IF(C98&lt;&gt;"Quarta-Feira","14:20","09:20")</f>
        <v>14:20</v>
      </c>
      <c r="E98" s="245" t="s">
        <v>3851</v>
      </c>
      <c r="F98" s="162">
        <v>7.05209498383573E14</v>
      </c>
      <c r="G98" s="161" t="s">
        <v>3852</v>
      </c>
      <c r="H98" s="390">
        <v>27707.0</v>
      </c>
      <c r="I98" s="41" t="s">
        <v>41</v>
      </c>
      <c r="J98" s="238"/>
      <c r="K98" s="238"/>
      <c r="R98" s="67"/>
    </row>
    <row r="99">
      <c r="A99" s="12" t="s">
        <v>15</v>
      </c>
      <c r="B99" s="227" t="s">
        <v>1790</v>
      </c>
      <c r="C99" s="74" t="str">
        <f t="shared" si="11"/>
        <v>Quinta-Feira</v>
      </c>
      <c r="D99" s="512" t="str">
        <f>IF(C99&lt;&gt;"Quarta-Feira","14:40","09:40")</f>
        <v>14:40</v>
      </c>
      <c r="E99" s="245" t="s">
        <v>3853</v>
      </c>
      <c r="F99" s="162">
        <v>8.98002117733656E14</v>
      </c>
      <c r="G99" s="161" t="s">
        <v>3854</v>
      </c>
      <c r="H99" s="390">
        <v>12309.0</v>
      </c>
      <c r="I99" s="41" t="s">
        <v>41</v>
      </c>
      <c r="J99" s="238"/>
      <c r="K99" s="238"/>
      <c r="R99" s="67"/>
    </row>
    <row r="100">
      <c r="A100" s="12" t="s">
        <v>16</v>
      </c>
      <c r="B100" s="227" t="s">
        <v>2653</v>
      </c>
      <c r="C100" s="74" t="str">
        <f t="shared" si="11"/>
        <v>Quinta-Feira</v>
      </c>
      <c r="D100" s="512" t="str">
        <f>IF(C100&lt;&gt;"Quarta-Feira","15:00","10:00")</f>
        <v>15:00</v>
      </c>
      <c r="E100" s="245"/>
      <c r="F100" s="162"/>
      <c r="G100" s="161" t="s">
        <v>3855</v>
      </c>
      <c r="H100" s="390"/>
      <c r="I100" s="41" t="s">
        <v>41</v>
      </c>
      <c r="J100" s="238"/>
      <c r="K100" s="238"/>
      <c r="R100" s="67"/>
    </row>
    <row r="101">
      <c r="A101" s="12" t="s">
        <v>17</v>
      </c>
      <c r="B101" s="227" t="s">
        <v>2656</v>
      </c>
      <c r="C101" s="74" t="str">
        <f t="shared" si="11"/>
        <v>Quinta-Feira</v>
      </c>
      <c r="D101" s="512" t="str">
        <f>IF(C101&lt;&gt;"Quarta-Feira","15:20","10:20")</f>
        <v>15:20</v>
      </c>
      <c r="E101" s="245" t="s">
        <v>179</v>
      </c>
      <c r="F101" s="162" t="s">
        <v>179</v>
      </c>
      <c r="G101" s="161" t="s">
        <v>3856</v>
      </c>
      <c r="H101" s="390">
        <v>27610.0</v>
      </c>
      <c r="I101" s="41" t="s">
        <v>41</v>
      </c>
      <c r="J101" s="238"/>
      <c r="K101" s="238"/>
      <c r="R101" s="67"/>
    </row>
    <row r="102">
      <c r="A102" s="12" t="s">
        <v>85</v>
      </c>
      <c r="B102" s="227" t="s">
        <v>2659</v>
      </c>
      <c r="C102" s="74" t="str">
        <f t="shared" si="11"/>
        <v>Quinta-Feira</v>
      </c>
      <c r="D102" s="512" t="str">
        <f>IF(C102&lt;&gt;"Quarta-Feira","15:40","10:40")</f>
        <v>15:40</v>
      </c>
      <c r="E102" s="245" t="s">
        <v>3857</v>
      </c>
      <c r="F102" s="162">
        <v>7.06300746713976E14</v>
      </c>
      <c r="G102" s="161" t="s">
        <v>3858</v>
      </c>
      <c r="H102" s="390">
        <v>19164.0</v>
      </c>
      <c r="I102" s="41" t="s">
        <v>41</v>
      </c>
      <c r="J102" s="238"/>
      <c r="K102" s="238"/>
      <c r="R102" s="67"/>
      <c r="V102" s="336"/>
    </row>
    <row r="103">
      <c r="A103" s="12" t="s">
        <v>87</v>
      </c>
      <c r="B103" s="227" t="s">
        <v>1735</v>
      </c>
      <c r="C103" s="74" t="str">
        <f t="shared" si="11"/>
        <v>Quinta-Feira</v>
      </c>
      <c r="D103" s="512" t="str">
        <f>IF(C103&lt;&gt;"Quarta-Feira","16:00","11:00")</f>
        <v>16:00</v>
      </c>
      <c r="E103" s="245" t="s">
        <v>3056</v>
      </c>
      <c r="F103" s="162">
        <v>7.04506377619912E14</v>
      </c>
      <c r="G103" s="161" t="s">
        <v>3057</v>
      </c>
      <c r="H103" s="390">
        <v>33760.0</v>
      </c>
      <c r="I103" s="41" t="s">
        <v>41</v>
      </c>
      <c r="J103" s="238"/>
      <c r="K103" s="238"/>
      <c r="R103" s="67"/>
    </row>
    <row r="104">
      <c r="A104" s="12" t="s">
        <v>90</v>
      </c>
      <c r="B104" s="227" t="s">
        <v>2659</v>
      </c>
      <c r="C104" s="74" t="str">
        <f t="shared" si="11"/>
        <v>Quinta-Feira</v>
      </c>
      <c r="D104" s="512" t="str">
        <f>IF(C104&lt;&gt;"Quarta-Feira","16:20","11:20")</f>
        <v>16:20</v>
      </c>
      <c r="E104" s="245" t="s">
        <v>3859</v>
      </c>
      <c r="F104" s="162">
        <v>7.08603506581389E14</v>
      </c>
      <c r="G104" s="161" t="s">
        <v>3860</v>
      </c>
      <c r="H104" s="390">
        <v>19581.0</v>
      </c>
      <c r="I104" s="41" t="s">
        <v>2088</v>
      </c>
      <c r="J104" s="238"/>
      <c r="K104" s="238"/>
      <c r="R104" s="67"/>
    </row>
    <row r="105">
      <c r="A105" s="12" t="s">
        <v>93</v>
      </c>
      <c r="B105" s="227" t="s">
        <v>1735</v>
      </c>
      <c r="C105" s="74" t="str">
        <f t="shared" si="11"/>
        <v>Quinta-Feira</v>
      </c>
      <c r="D105" s="512" t="str">
        <f>IF(C105&lt;&gt;"Quarta-Feira","16:40","11:40")</f>
        <v>16:40</v>
      </c>
      <c r="E105" s="245"/>
      <c r="F105" s="162"/>
      <c r="G105" s="161"/>
      <c r="H105" s="390"/>
      <c r="I105" s="41"/>
      <c r="J105" s="238"/>
      <c r="K105" s="238"/>
      <c r="R105" s="67"/>
    </row>
    <row r="106">
      <c r="E106" s="261"/>
      <c r="J106" s="67"/>
      <c r="K106" s="67"/>
      <c r="R106" s="67"/>
    </row>
    <row r="107">
      <c r="E107" s="261"/>
      <c r="J107" s="67"/>
      <c r="K107" s="67"/>
      <c r="R107" s="67"/>
    </row>
    <row r="108">
      <c r="E108" s="261"/>
      <c r="J108" s="67"/>
      <c r="K108" s="67"/>
      <c r="R108" s="67"/>
    </row>
    <row r="109">
      <c r="A109" s="23" t="s">
        <v>18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TEXT(DATE(VALUE(MID(A74,7,4)),VALUE(MID(A74,4,2)),VALUE(LEFT(A74,2)))+7,"dd/mm/yyyy")&amp;" 13h às 17h"</f>
        <v>23/06/2026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26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2082</v>
      </c>
      <c r="C112" s="74" t="str">
        <f t="shared" ref="C112:C123" si="13">PROPER(TEXT(DATE(MID($A$110,7,4),MID($A$110,4,2),LEFT($A$110,2)),"dddd"))</f>
        <v>Terça-Feira</v>
      </c>
      <c r="D112" s="512" t="str">
        <f>IF(C112&lt;&gt;"Quarta-Feira","13:00","08:00")</f>
        <v>13:00</v>
      </c>
      <c r="E112" s="287" t="s">
        <v>3836</v>
      </c>
      <c r="F112" s="74">
        <v>7.0840832225867E14</v>
      </c>
      <c r="G112" s="167" t="s">
        <v>3837</v>
      </c>
      <c r="H112" s="211">
        <v>17156.0</v>
      </c>
      <c r="I112" s="41" t="s">
        <v>2088</v>
      </c>
      <c r="J112" s="102"/>
      <c r="K112" s="102"/>
      <c r="N112" s="268" t="s">
        <v>387</v>
      </c>
      <c r="O112" s="100"/>
      <c r="P112" s="100"/>
      <c r="Q112" s="100"/>
      <c r="R112" s="67"/>
    </row>
    <row r="113">
      <c r="A113" s="12" t="s">
        <v>11</v>
      </c>
      <c r="B113" s="227" t="s">
        <v>2084</v>
      </c>
      <c r="C113" s="74" t="str">
        <f t="shared" si="13"/>
        <v>Terça-Feira</v>
      </c>
      <c r="D113" s="512" t="str">
        <f>IF(C113&lt;&gt;"Quarta-Feira","13:20","08:20")</f>
        <v>13:20</v>
      </c>
      <c r="E113" s="287" t="s">
        <v>3861</v>
      </c>
      <c r="F113" s="74">
        <v>7.00608492235267E14</v>
      </c>
      <c r="G113" s="167" t="s">
        <v>3862</v>
      </c>
      <c r="H113" s="211">
        <v>19544.0</v>
      </c>
      <c r="I113" s="41" t="s">
        <v>41</v>
      </c>
      <c r="J113" s="102"/>
      <c r="K113" s="102"/>
      <c r="N113" s="270" t="s">
        <v>2086</v>
      </c>
      <c r="O113" s="2"/>
      <c r="P113" s="2"/>
      <c r="Q113" s="2"/>
      <c r="R113" s="67"/>
    </row>
    <row r="114">
      <c r="A114" s="12" t="s">
        <v>12</v>
      </c>
      <c r="B114" s="227" t="s">
        <v>2087</v>
      </c>
      <c r="C114" s="74" t="str">
        <f t="shared" si="13"/>
        <v>Terça-Feira</v>
      </c>
      <c r="D114" s="512" t="str">
        <f>IF(C114&lt;&gt;"Quarta-Feira","13:40","08:40")</f>
        <v>13:40</v>
      </c>
      <c r="E114" s="287"/>
      <c r="F114" s="74"/>
      <c r="G114" s="167"/>
      <c r="H114" s="211"/>
      <c r="I114" s="41" t="s">
        <v>181</v>
      </c>
      <c r="J114" s="102"/>
      <c r="K114" s="102"/>
      <c r="N114" s="271" t="s">
        <v>183</v>
      </c>
      <c r="O114" s="272" t="s">
        <v>195</v>
      </c>
      <c r="P114" s="272" t="s">
        <v>181</v>
      </c>
      <c r="Q114" s="273" t="s">
        <v>2088</v>
      </c>
      <c r="R114" s="67"/>
    </row>
    <row r="115">
      <c r="A115" s="12" t="s">
        <v>13</v>
      </c>
      <c r="B115" s="227" t="s">
        <v>2089</v>
      </c>
      <c r="C115" s="74" t="str">
        <f t="shared" si="13"/>
        <v>Terça-Feira</v>
      </c>
      <c r="D115" s="512" t="str">
        <f>IF(C115&lt;&gt;"Quarta-Feira","14:00","09:00")</f>
        <v>14:00</v>
      </c>
      <c r="E115" s="287" t="s">
        <v>3863</v>
      </c>
      <c r="F115" s="74">
        <v>2.07257336610003E14</v>
      </c>
      <c r="G115" s="167" t="s">
        <v>3864</v>
      </c>
      <c r="H115" s="211">
        <v>23688.0</v>
      </c>
      <c r="I115" s="41" t="s">
        <v>41</v>
      </c>
      <c r="J115" s="102"/>
      <c r="K115" s="102"/>
      <c r="N115" s="275">
        <f t="shared" ref="N115:Q115" si="14">COUNTIFS($I$112:$I$123,N114)</f>
        <v>0</v>
      </c>
      <c r="O115" s="275">
        <f t="shared" si="14"/>
        <v>0</v>
      </c>
      <c r="P115" s="275">
        <f t="shared" si="14"/>
        <v>1</v>
      </c>
      <c r="Q115" s="275">
        <f t="shared" si="14"/>
        <v>1</v>
      </c>
      <c r="R115" s="67"/>
    </row>
    <row r="116">
      <c r="A116" s="12" t="s">
        <v>14</v>
      </c>
      <c r="B116" s="227" t="s">
        <v>2082</v>
      </c>
      <c r="C116" s="74" t="str">
        <f t="shared" si="13"/>
        <v>Terça-Feira</v>
      </c>
      <c r="D116" s="512" t="str">
        <f>IF(C116&lt;&gt;"Quarta-Feira","14:20","09:20")</f>
        <v>14:20</v>
      </c>
      <c r="E116" s="287" t="s">
        <v>3865</v>
      </c>
      <c r="F116" s="74">
        <v>8.98000283767199E14</v>
      </c>
      <c r="G116" s="167" t="s">
        <v>3866</v>
      </c>
      <c r="H116" s="211">
        <v>24935.0</v>
      </c>
      <c r="I116" s="41" t="s">
        <v>2567</v>
      </c>
      <c r="J116" s="102"/>
      <c r="K116" s="102"/>
      <c r="R116" s="67"/>
    </row>
    <row r="117">
      <c r="A117" s="12" t="s">
        <v>15</v>
      </c>
      <c r="B117" s="227" t="s">
        <v>2089</v>
      </c>
      <c r="C117" s="74" t="str">
        <f t="shared" si="13"/>
        <v>Terça-Feira</v>
      </c>
      <c r="D117" s="512" t="str">
        <f>IF(C117&lt;&gt;"Quarta-Feira","14:40","09:40")</f>
        <v>14:40</v>
      </c>
      <c r="E117" s="287" t="s">
        <v>3867</v>
      </c>
      <c r="F117" s="74">
        <v>7.0010549506992E14</v>
      </c>
      <c r="G117" s="167" t="s">
        <v>3868</v>
      </c>
      <c r="H117" s="211">
        <v>23445.0</v>
      </c>
      <c r="I117" s="41" t="s">
        <v>41</v>
      </c>
      <c r="J117" s="102"/>
      <c r="K117" s="102"/>
      <c r="R117" s="67"/>
    </row>
    <row r="118">
      <c r="A118" s="12" t="s">
        <v>16</v>
      </c>
      <c r="B118" s="227" t="s">
        <v>2093</v>
      </c>
      <c r="C118" s="74" t="str">
        <f t="shared" si="13"/>
        <v>Terça-Feira</v>
      </c>
      <c r="D118" s="512" t="str">
        <f>IF(C118&lt;&gt;"Quarta-Feira","15:00","10:00")</f>
        <v>15:00</v>
      </c>
      <c r="E118" s="287"/>
      <c r="F118" s="74"/>
      <c r="G118" s="167"/>
      <c r="H118" s="211"/>
      <c r="I118" s="41"/>
      <c r="J118" s="102"/>
      <c r="K118" s="102"/>
      <c r="R118" s="67"/>
    </row>
    <row r="119">
      <c r="A119" s="12" t="s">
        <v>17</v>
      </c>
      <c r="B119" s="227" t="s">
        <v>2094</v>
      </c>
      <c r="C119" s="74" t="str">
        <f t="shared" si="13"/>
        <v>Terça-Feira</v>
      </c>
      <c r="D119" s="512" t="str">
        <f>IF(C119&lt;&gt;"Quarta-Feira","15:20","10:20")</f>
        <v>15:20</v>
      </c>
      <c r="E119" s="287" t="s">
        <v>3869</v>
      </c>
      <c r="F119" s="74">
        <v>7.09808035521897E14</v>
      </c>
      <c r="G119" s="167" t="s">
        <v>3870</v>
      </c>
      <c r="H119" s="211">
        <v>17135.0</v>
      </c>
      <c r="I119" s="41" t="s">
        <v>41</v>
      </c>
      <c r="J119" s="102"/>
      <c r="K119" s="102"/>
      <c r="R119" s="67"/>
    </row>
    <row r="120">
      <c r="A120" s="12" t="s">
        <v>85</v>
      </c>
      <c r="B120" s="227" t="s">
        <v>2095</v>
      </c>
      <c r="C120" s="74" t="str">
        <f t="shared" si="13"/>
        <v>Terça-Feira</v>
      </c>
      <c r="D120" s="512" t="str">
        <f>IF(C120&lt;&gt;"Quarta-Feira","15:40","10:40")</f>
        <v>15:40</v>
      </c>
      <c r="E120" s="287" t="s">
        <v>3871</v>
      </c>
      <c r="F120" s="74">
        <v>8.01440480834747E14</v>
      </c>
      <c r="G120" s="167" t="s">
        <v>3872</v>
      </c>
      <c r="H120" s="211">
        <v>24428.0</v>
      </c>
      <c r="I120" s="41" t="s">
        <v>2567</v>
      </c>
      <c r="J120" s="102"/>
      <c r="K120" s="102"/>
      <c r="R120" s="67"/>
    </row>
    <row r="121">
      <c r="A121" s="12" t="s">
        <v>87</v>
      </c>
      <c r="B121" s="227" t="s">
        <v>2096</v>
      </c>
      <c r="C121" s="74" t="str">
        <f t="shared" si="13"/>
        <v>Terça-Feira</v>
      </c>
      <c r="D121" s="512" t="str">
        <f>IF(C121&lt;&gt;"Quarta-Feira","16:00","11:00")</f>
        <v>16:00</v>
      </c>
      <c r="E121" s="287"/>
      <c r="F121" s="74"/>
      <c r="G121" s="167"/>
      <c r="H121" s="211"/>
      <c r="I121" s="41"/>
      <c r="J121" s="102"/>
      <c r="K121" s="102"/>
      <c r="R121" s="67"/>
    </row>
    <row r="122">
      <c r="A122" s="12" t="s">
        <v>90</v>
      </c>
      <c r="B122" s="227" t="s">
        <v>2098</v>
      </c>
      <c r="C122" s="74" t="str">
        <f t="shared" si="13"/>
        <v>Terça-Feira</v>
      </c>
      <c r="D122" s="512" t="str">
        <f>IF(C122&lt;&gt;"Quarta-Feira","16:20","11:20")</f>
        <v>16:20</v>
      </c>
      <c r="E122" s="287" t="s">
        <v>3873</v>
      </c>
      <c r="F122" s="74">
        <v>7.01802284922371E14</v>
      </c>
      <c r="G122" s="167" t="s">
        <v>3874</v>
      </c>
      <c r="H122" s="211">
        <v>17818.0</v>
      </c>
      <c r="I122" s="41" t="s">
        <v>41</v>
      </c>
      <c r="J122" s="102"/>
      <c r="K122" s="102"/>
      <c r="R122" s="67"/>
    </row>
    <row r="123">
      <c r="A123" s="12" t="s">
        <v>93</v>
      </c>
      <c r="B123" s="227" t="s">
        <v>2096</v>
      </c>
      <c r="C123" s="74" t="str">
        <f t="shared" si="13"/>
        <v>Terça-Feira</v>
      </c>
      <c r="D123" s="512" t="str">
        <f>IF(C123&lt;&gt;"Quarta-Feira","16:40","11:40")</f>
        <v>16:40</v>
      </c>
      <c r="E123" s="287"/>
      <c r="F123" s="74"/>
      <c r="G123" s="167"/>
      <c r="H123" s="211"/>
      <c r="I123" s="41"/>
      <c r="J123" s="102"/>
      <c r="K123" s="102"/>
      <c r="R123" s="67"/>
    </row>
    <row r="124">
      <c r="A124" s="503"/>
      <c r="B124" s="493"/>
      <c r="C124" s="315"/>
      <c r="D124" s="504"/>
      <c r="E124" s="505"/>
      <c r="F124" s="506"/>
      <c r="G124" s="507"/>
      <c r="H124" s="508"/>
      <c r="I124" s="509"/>
      <c r="J124" s="510"/>
      <c r="K124" s="510"/>
      <c r="R124" s="67"/>
    </row>
    <row r="125">
      <c r="A125" s="503"/>
      <c r="B125" s="493"/>
      <c r="C125" s="315"/>
      <c r="D125" s="504"/>
      <c r="E125" s="505"/>
      <c r="F125" s="506"/>
      <c r="G125" s="507"/>
      <c r="H125" s="508"/>
      <c r="I125" s="509"/>
      <c r="J125" s="510"/>
      <c r="K125" s="510"/>
      <c r="R125" s="67"/>
    </row>
    <row r="126">
      <c r="A126" s="503"/>
      <c r="B126" s="493"/>
      <c r="C126" s="315"/>
      <c r="D126" s="504"/>
      <c r="E126" s="505"/>
      <c r="F126" s="506"/>
      <c r="G126" s="507"/>
      <c r="H126" s="508"/>
      <c r="I126" s="509"/>
      <c r="J126" s="510"/>
      <c r="K126" s="510"/>
      <c r="R126" s="67"/>
    </row>
    <row r="127">
      <c r="A127" s="23" t="s">
        <v>18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13h às 17h"</f>
        <v>25/06/2026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26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8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1790</v>
      </c>
      <c r="C130" s="74" t="str">
        <f t="shared" ref="C130:C141" si="15">PROPER(TEXT(DATE(MID($A$92,7,4),MID($A$92,4,2),LEFT($A$92,2)),"dddd"))</f>
        <v>Quinta-Feira</v>
      </c>
      <c r="D130" s="512" t="str">
        <f>IF(C130&lt;&gt;"Quarta-Feira","13:00","08:00")</f>
        <v>13:00</v>
      </c>
      <c r="E130" s="245" t="s">
        <v>3875</v>
      </c>
      <c r="F130" s="162">
        <v>7.04504397100414E14</v>
      </c>
      <c r="G130" s="161" t="s">
        <v>3876</v>
      </c>
      <c r="H130" s="390">
        <v>18283.0</v>
      </c>
      <c r="I130" s="41" t="s">
        <v>41</v>
      </c>
      <c r="J130" s="238"/>
      <c r="K130" s="238"/>
      <c r="N130" s="268" t="s">
        <v>387</v>
      </c>
      <c r="O130" s="100"/>
      <c r="P130" s="100"/>
      <c r="Q130" s="100"/>
      <c r="R130" s="67"/>
    </row>
    <row r="131">
      <c r="A131" s="12" t="s">
        <v>11</v>
      </c>
      <c r="B131" s="227" t="s">
        <v>1714</v>
      </c>
      <c r="C131" s="74" t="str">
        <f t="shared" si="15"/>
        <v>Quinta-Feira</v>
      </c>
      <c r="D131" s="512" t="str">
        <f>IF(C131&lt;&gt;"Quarta-Feira","13:20","08:20")</f>
        <v>13:20</v>
      </c>
      <c r="E131" s="245"/>
      <c r="F131" s="487"/>
      <c r="G131" s="161"/>
      <c r="H131" s="502"/>
      <c r="I131" s="41" t="s">
        <v>181</v>
      </c>
      <c r="J131" s="238"/>
      <c r="K131" s="238"/>
      <c r="N131" s="270" t="s">
        <v>2086</v>
      </c>
      <c r="O131" s="2"/>
      <c r="P131" s="2"/>
      <c r="Q131" s="2"/>
      <c r="R131" s="67"/>
    </row>
    <row r="132">
      <c r="A132" s="12" t="s">
        <v>12</v>
      </c>
      <c r="B132" s="227" t="s">
        <v>1781</v>
      </c>
      <c r="C132" s="74" t="str">
        <f t="shared" si="15"/>
        <v>Quinta-Feira</v>
      </c>
      <c r="D132" s="512" t="str">
        <f>IF(C132&lt;&gt;"Quarta-Feira","13:40","08:40")</f>
        <v>13:40</v>
      </c>
      <c r="E132" s="245" t="s">
        <v>3877</v>
      </c>
      <c r="F132" s="162">
        <v>7.02908560540477E14</v>
      </c>
      <c r="G132" s="161" t="s">
        <v>3878</v>
      </c>
      <c r="H132" s="390">
        <v>34147.0</v>
      </c>
      <c r="I132" s="41" t="s">
        <v>41</v>
      </c>
      <c r="J132" s="238"/>
      <c r="K132" s="238"/>
      <c r="N132" s="271" t="s">
        <v>183</v>
      </c>
      <c r="O132" s="272" t="s">
        <v>195</v>
      </c>
      <c r="P132" s="272" t="s">
        <v>181</v>
      </c>
      <c r="Q132" s="273" t="s">
        <v>2088</v>
      </c>
      <c r="R132" s="67"/>
    </row>
    <row r="133">
      <c r="A133" s="12" t="s">
        <v>13</v>
      </c>
      <c r="B133" s="227" t="s">
        <v>1721</v>
      </c>
      <c r="C133" s="74" t="str">
        <f t="shared" si="15"/>
        <v>Quinta-Feira</v>
      </c>
      <c r="D133" s="512" t="str">
        <f>IF(C133&lt;&gt;"Quarta-Feira","14:00","09:00")</f>
        <v>14:00</v>
      </c>
      <c r="E133" s="245" t="s">
        <v>3879</v>
      </c>
      <c r="F133" s="301">
        <v>7.02006874924185E14</v>
      </c>
      <c r="G133" s="233" t="s">
        <v>3880</v>
      </c>
      <c r="H133" s="521">
        <v>25869.0</v>
      </c>
      <c r="I133" s="41" t="s">
        <v>2088</v>
      </c>
      <c r="J133" s="238"/>
      <c r="K133" s="238"/>
      <c r="N133" s="275">
        <f t="shared" ref="N133:Q133" si="16">COUNTIFS($I$130:$I$141,N132)</f>
        <v>0</v>
      </c>
      <c r="O133" s="275">
        <f t="shared" si="16"/>
        <v>0</v>
      </c>
      <c r="P133" s="275">
        <f t="shared" si="16"/>
        <v>1</v>
      </c>
      <c r="Q133" s="275">
        <f t="shared" si="16"/>
        <v>2</v>
      </c>
      <c r="R133" s="67"/>
    </row>
    <row r="134">
      <c r="A134" s="12" t="s">
        <v>14</v>
      </c>
      <c r="B134" s="227" t="s">
        <v>1796</v>
      </c>
      <c r="C134" s="74" t="str">
        <f t="shared" si="15"/>
        <v>Quinta-Feira</v>
      </c>
      <c r="D134" s="512" t="str">
        <f>IF(C134&lt;&gt;"Quarta-Feira","14:20","09:20")</f>
        <v>14:20</v>
      </c>
      <c r="E134" s="245"/>
      <c r="F134" s="162"/>
      <c r="G134" s="161"/>
      <c r="H134" s="390"/>
      <c r="I134" s="41"/>
      <c r="J134" s="238"/>
      <c r="K134" s="238"/>
      <c r="R134" s="67"/>
    </row>
    <row r="135">
      <c r="A135" s="12" t="s">
        <v>15</v>
      </c>
      <c r="B135" s="227" t="s">
        <v>1790</v>
      </c>
      <c r="C135" s="74" t="str">
        <f t="shared" si="15"/>
        <v>Quinta-Feira</v>
      </c>
      <c r="D135" s="512" t="str">
        <f>IF(C135&lt;&gt;"Quarta-Feira","14:40","09:40")</f>
        <v>14:40</v>
      </c>
      <c r="E135" s="245" t="s">
        <v>2706</v>
      </c>
      <c r="F135" s="162">
        <v>2.10147475130001E14</v>
      </c>
      <c r="G135" s="161" t="s">
        <v>2707</v>
      </c>
      <c r="H135" s="390">
        <v>22473.0</v>
      </c>
      <c r="I135" s="41" t="s">
        <v>41</v>
      </c>
      <c r="J135" s="238"/>
      <c r="K135" s="238"/>
      <c r="R135" s="67"/>
    </row>
    <row r="136">
      <c r="A136" s="12" t="s">
        <v>16</v>
      </c>
      <c r="B136" s="227" t="s">
        <v>2653</v>
      </c>
      <c r="C136" s="74" t="str">
        <f t="shared" si="15"/>
        <v>Quinta-Feira</v>
      </c>
      <c r="D136" s="512" t="str">
        <f>IF(C136&lt;&gt;"Quarta-Feira","15:00","10:00")</f>
        <v>15:00</v>
      </c>
      <c r="E136" s="245" t="s">
        <v>3881</v>
      </c>
      <c r="F136" s="162">
        <v>7.06701537600319E14</v>
      </c>
      <c r="G136" s="161" t="s">
        <v>3882</v>
      </c>
      <c r="H136" s="390">
        <v>27809.0</v>
      </c>
      <c r="I136" s="41" t="s">
        <v>2088</v>
      </c>
      <c r="J136" s="238"/>
      <c r="K136" s="238"/>
      <c r="R136" s="67"/>
    </row>
    <row r="137">
      <c r="A137" s="12" t="s">
        <v>17</v>
      </c>
      <c r="B137" s="227" t="s">
        <v>2656</v>
      </c>
      <c r="C137" s="74" t="str">
        <f t="shared" si="15"/>
        <v>Quinta-Feira</v>
      </c>
      <c r="D137" s="512" t="str">
        <f>IF(C137&lt;&gt;"Quarta-Feira","15:20","10:20")</f>
        <v>15:20</v>
      </c>
      <c r="E137" s="245" t="s">
        <v>3883</v>
      </c>
      <c r="F137" s="162">
        <v>7.00509731834052E14</v>
      </c>
      <c r="G137" s="161" t="s">
        <v>3884</v>
      </c>
      <c r="H137" s="390">
        <v>18575.0</v>
      </c>
      <c r="I137" s="41" t="s">
        <v>41</v>
      </c>
      <c r="J137" s="238"/>
      <c r="K137" s="238"/>
      <c r="R137" s="67"/>
    </row>
    <row r="138">
      <c r="A138" s="12" t="s">
        <v>85</v>
      </c>
      <c r="B138" s="227" t="s">
        <v>2659</v>
      </c>
      <c r="C138" s="74" t="str">
        <f t="shared" si="15"/>
        <v>Quinta-Feira</v>
      </c>
      <c r="D138" s="512" t="str">
        <f>IF(C138&lt;&gt;"Quarta-Feira","15:40","10:40")</f>
        <v>15:40</v>
      </c>
      <c r="E138" s="245" t="s">
        <v>3859</v>
      </c>
      <c r="F138" s="162">
        <v>7.08603506581389E14</v>
      </c>
      <c r="G138" s="161" t="s">
        <v>3860</v>
      </c>
      <c r="H138" s="390">
        <v>19581.0</v>
      </c>
      <c r="I138" s="41" t="s">
        <v>41</v>
      </c>
      <c r="J138" s="238"/>
      <c r="K138" s="238"/>
      <c r="R138" s="67"/>
    </row>
    <row r="139">
      <c r="A139" s="12" t="s">
        <v>87</v>
      </c>
      <c r="B139" s="227" t="s">
        <v>1735</v>
      </c>
      <c r="C139" s="74" t="str">
        <f t="shared" si="15"/>
        <v>Quinta-Feira</v>
      </c>
      <c r="D139" s="512" t="str">
        <f>IF(C139&lt;&gt;"Quarta-Feira","16:00","11:00")</f>
        <v>16:00</v>
      </c>
      <c r="E139" s="245"/>
      <c r="F139" s="162"/>
      <c r="G139" s="161" t="s">
        <v>3885</v>
      </c>
      <c r="H139" s="390"/>
      <c r="I139" s="41" t="s">
        <v>41</v>
      </c>
      <c r="J139" s="238"/>
      <c r="K139" s="238"/>
      <c r="R139" s="67"/>
    </row>
    <row r="140">
      <c r="A140" s="12" t="s">
        <v>90</v>
      </c>
      <c r="B140" s="227" t="s">
        <v>2659</v>
      </c>
      <c r="C140" s="74" t="str">
        <f t="shared" si="15"/>
        <v>Quinta-Feira</v>
      </c>
      <c r="D140" s="512" t="str">
        <f>IF(C140&lt;&gt;"Quarta-Feira","16:20","11:20")</f>
        <v>16:20</v>
      </c>
      <c r="E140" s="245" t="s">
        <v>3886</v>
      </c>
      <c r="F140" s="162">
        <v>7.06403175366783E14</v>
      </c>
      <c r="G140" s="161" t="s">
        <v>3887</v>
      </c>
      <c r="H140" s="390">
        <v>23060.0</v>
      </c>
      <c r="I140" s="41" t="s">
        <v>41</v>
      </c>
      <c r="J140" s="238"/>
      <c r="K140" s="238"/>
      <c r="R140" s="67"/>
    </row>
    <row r="141">
      <c r="A141" s="12" t="s">
        <v>93</v>
      </c>
      <c r="B141" s="227" t="s">
        <v>1735</v>
      </c>
      <c r="C141" s="74" t="str">
        <f t="shared" si="15"/>
        <v>Quinta-Feira</v>
      </c>
      <c r="D141" s="512" t="str">
        <f>IF(C141&lt;&gt;"Quarta-Feira","16:40","11:40")</f>
        <v>16:40</v>
      </c>
      <c r="E141" s="245"/>
      <c r="F141" s="162"/>
      <c r="G141" s="161"/>
      <c r="H141" s="390"/>
      <c r="I141" s="41" t="s">
        <v>41</v>
      </c>
      <c r="J141" s="238"/>
      <c r="K141" s="238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503"/>
      <c r="B144" s="493"/>
      <c r="C144" s="315"/>
      <c r="D144" s="504"/>
      <c r="E144" s="505"/>
      <c r="F144" s="506"/>
      <c r="G144" s="507"/>
      <c r="H144" s="508"/>
      <c r="I144" s="509"/>
      <c r="J144" s="510"/>
      <c r="K144" s="510"/>
      <c r="R144" s="67"/>
    </row>
    <row r="145">
      <c r="A145" s="23" t="s">
        <v>18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TEXT(DATE(VALUE(MID(A110,7,4)),VALUE(MID(A110,4,2)),VALUE(LEFT(A110,2)))+7,"dd/mm/yyyy")&amp;" 13h às 17h"</f>
        <v>30/06/2026 13h às 17h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26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8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2082</v>
      </c>
      <c r="C148" s="74" t="str">
        <f t="shared" ref="C148:C159" si="17">PROPER(TEXT(DATE(MID($A$110,7,4),MID($A$110,4,2),LEFT($A$110,2)),"dddd"))</f>
        <v>Terça-Feira</v>
      </c>
      <c r="D148" s="512" t="str">
        <f>IF(C148&lt;&gt;"Quarta-Feira","13:00","08:00")</f>
        <v>13:00</v>
      </c>
      <c r="E148" s="287" t="s">
        <v>3888</v>
      </c>
      <c r="F148" s="74">
        <v>7.07005899135338E14</v>
      </c>
      <c r="G148" s="167" t="s">
        <v>3889</v>
      </c>
      <c r="H148" s="211">
        <v>23911.0</v>
      </c>
      <c r="I148" s="41" t="s">
        <v>41</v>
      </c>
      <c r="J148" s="102"/>
      <c r="K148" s="102"/>
      <c r="N148" s="268" t="s">
        <v>387</v>
      </c>
      <c r="O148" s="100"/>
      <c r="P148" s="100"/>
      <c r="Q148" s="100"/>
      <c r="R148" s="67"/>
    </row>
    <row r="149">
      <c r="A149" s="12" t="s">
        <v>11</v>
      </c>
      <c r="B149" s="227" t="s">
        <v>2084</v>
      </c>
      <c r="C149" s="74" t="str">
        <f t="shared" si="17"/>
        <v>Terça-Feira</v>
      </c>
      <c r="D149" s="512" t="str">
        <f>IF(C149&lt;&gt;"Quarta-Feira","13:20","08:20")</f>
        <v>13:20</v>
      </c>
      <c r="E149" s="287" t="s">
        <v>3890</v>
      </c>
      <c r="F149" s="74">
        <v>7.08402753428863E14</v>
      </c>
      <c r="G149" s="167" t="s">
        <v>3891</v>
      </c>
      <c r="H149" s="211">
        <v>17969.0</v>
      </c>
      <c r="I149" s="41" t="s">
        <v>41</v>
      </c>
      <c r="J149" s="102"/>
      <c r="K149" s="102"/>
      <c r="N149" s="270" t="s">
        <v>2086</v>
      </c>
      <c r="O149" s="2"/>
      <c r="P149" s="2"/>
      <c r="Q149" s="2"/>
      <c r="R149" s="67"/>
    </row>
    <row r="150">
      <c r="A150" s="12" t="s">
        <v>12</v>
      </c>
      <c r="B150" s="227" t="s">
        <v>2087</v>
      </c>
      <c r="C150" s="74" t="str">
        <f t="shared" si="17"/>
        <v>Terça-Feira</v>
      </c>
      <c r="D150" s="512" t="str">
        <f>IF(C150&lt;&gt;"Quarta-Feira","13:40","08:40")</f>
        <v>13:40</v>
      </c>
      <c r="E150" s="287"/>
      <c r="F150" s="74"/>
      <c r="G150" s="167"/>
      <c r="H150" s="211"/>
      <c r="I150" s="41" t="s">
        <v>181</v>
      </c>
      <c r="J150" s="102"/>
      <c r="K150" s="102"/>
      <c r="N150" s="271" t="s">
        <v>183</v>
      </c>
      <c r="O150" s="272" t="s">
        <v>195</v>
      </c>
      <c r="P150" s="272" t="s">
        <v>181</v>
      </c>
      <c r="Q150" s="273" t="s">
        <v>2088</v>
      </c>
      <c r="R150" s="67"/>
    </row>
    <row r="151">
      <c r="A151" s="12" t="s">
        <v>13</v>
      </c>
      <c r="B151" s="227" t="s">
        <v>2089</v>
      </c>
      <c r="C151" s="74" t="str">
        <f t="shared" si="17"/>
        <v>Terça-Feira</v>
      </c>
      <c r="D151" s="512" t="str">
        <f>IF(C151&lt;&gt;"Quarta-Feira","14:00","09:00")</f>
        <v>14:00</v>
      </c>
      <c r="E151" s="287" t="s">
        <v>3892</v>
      </c>
      <c r="F151" s="74">
        <v>7.05408437394696E14</v>
      </c>
      <c r="G151" s="167" t="s">
        <v>3893</v>
      </c>
      <c r="H151" s="211">
        <v>22109.0</v>
      </c>
      <c r="I151" s="41" t="s">
        <v>41</v>
      </c>
      <c r="J151" s="102"/>
      <c r="K151" s="102"/>
      <c r="N151" s="275">
        <f t="shared" ref="N151:Q151" si="18">COUNTIFS($I$112:$I$123,N150)</f>
        <v>0</v>
      </c>
      <c r="O151" s="275">
        <f t="shared" si="18"/>
        <v>0</v>
      </c>
      <c r="P151" s="275">
        <f t="shared" si="18"/>
        <v>1</v>
      </c>
      <c r="Q151" s="275">
        <f t="shared" si="18"/>
        <v>1</v>
      </c>
      <c r="R151" s="67"/>
    </row>
    <row r="152">
      <c r="A152" s="12" t="s">
        <v>14</v>
      </c>
      <c r="B152" s="227" t="s">
        <v>2082</v>
      </c>
      <c r="C152" s="74" t="str">
        <f t="shared" si="17"/>
        <v>Terça-Feira</v>
      </c>
      <c r="D152" s="512" t="str">
        <f>IF(C152&lt;&gt;"Quarta-Feira","14:20","09:20")</f>
        <v>14:20</v>
      </c>
      <c r="E152" s="287" t="s">
        <v>3894</v>
      </c>
      <c r="F152" s="74">
        <v>8.0144040625393E14</v>
      </c>
      <c r="G152" s="167" t="s">
        <v>3895</v>
      </c>
      <c r="H152" s="211">
        <v>17520.0</v>
      </c>
      <c r="I152" s="41" t="s">
        <v>41</v>
      </c>
      <c r="J152" s="102"/>
      <c r="K152" s="102"/>
      <c r="R152" s="67"/>
    </row>
    <row r="153">
      <c r="A153" s="12" t="s">
        <v>15</v>
      </c>
      <c r="B153" s="227" t="s">
        <v>2089</v>
      </c>
      <c r="C153" s="74" t="str">
        <f t="shared" si="17"/>
        <v>Terça-Feira</v>
      </c>
      <c r="D153" s="512" t="str">
        <f>IF(C153&lt;&gt;"Quarta-Feira","14:40","09:40")</f>
        <v>14:40</v>
      </c>
      <c r="E153" s="287" t="s">
        <v>3896</v>
      </c>
      <c r="F153" s="74">
        <v>7.00909901566599E14</v>
      </c>
      <c r="G153" s="167" t="s">
        <v>3897</v>
      </c>
      <c r="H153" s="133" t="s">
        <v>179</v>
      </c>
      <c r="I153" s="41" t="s">
        <v>41</v>
      </c>
      <c r="J153" s="102"/>
      <c r="K153" s="102"/>
      <c r="R153" s="67"/>
    </row>
    <row r="154">
      <c r="A154" s="12" t="s">
        <v>16</v>
      </c>
      <c r="B154" s="227" t="s">
        <v>2093</v>
      </c>
      <c r="C154" s="74" t="str">
        <f t="shared" si="17"/>
        <v>Terça-Feira</v>
      </c>
      <c r="D154" s="512" t="str">
        <f>IF(C154&lt;&gt;"Quarta-Feira","15:00","10:00")</f>
        <v>15:00</v>
      </c>
      <c r="E154" s="287"/>
      <c r="F154" s="74"/>
      <c r="G154" s="167"/>
      <c r="H154" s="211"/>
      <c r="I154" s="41" t="s">
        <v>181</v>
      </c>
      <c r="J154" s="102"/>
      <c r="K154" s="102"/>
      <c r="R154" s="67"/>
    </row>
    <row r="155">
      <c r="A155" s="12" t="s">
        <v>17</v>
      </c>
      <c r="B155" s="227" t="s">
        <v>2094</v>
      </c>
      <c r="C155" s="74" t="str">
        <f t="shared" si="17"/>
        <v>Terça-Feira</v>
      </c>
      <c r="D155" s="512" t="str">
        <f>IF(C155&lt;&gt;"Quarta-Feira","15:20","10:20")</f>
        <v>15:20</v>
      </c>
      <c r="E155" s="287" t="s">
        <v>3898</v>
      </c>
      <c r="F155" s="74">
        <v>7.07404056461374E14</v>
      </c>
      <c r="G155" s="167" t="s">
        <v>3899</v>
      </c>
      <c r="H155" s="211">
        <v>27047.0</v>
      </c>
      <c r="I155" s="41" t="s">
        <v>41</v>
      </c>
      <c r="J155" s="102"/>
      <c r="K155" s="102"/>
      <c r="R155" s="67"/>
    </row>
    <row r="156">
      <c r="A156" s="12" t="s">
        <v>85</v>
      </c>
      <c r="B156" s="227" t="s">
        <v>2095</v>
      </c>
      <c r="C156" s="74" t="str">
        <f t="shared" si="17"/>
        <v>Terça-Feira</v>
      </c>
      <c r="D156" s="512" t="str">
        <f>IF(C156&lt;&gt;"Quarta-Feira","15:40","10:40")</f>
        <v>15:40</v>
      </c>
      <c r="E156" s="287" t="s">
        <v>3900</v>
      </c>
      <c r="F156" s="286">
        <v>8.01440408485308E14</v>
      </c>
      <c r="G156" s="167" t="s">
        <v>3901</v>
      </c>
      <c r="H156" s="211">
        <v>26157.0</v>
      </c>
      <c r="I156" s="41" t="s">
        <v>41</v>
      </c>
      <c r="J156" s="102"/>
      <c r="K156" s="102"/>
      <c r="R156" s="67"/>
    </row>
    <row r="157">
      <c r="A157" s="12" t="s">
        <v>87</v>
      </c>
      <c r="B157" s="227" t="s">
        <v>2096</v>
      </c>
      <c r="C157" s="74" t="str">
        <f t="shared" si="17"/>
        <v>Terça-Feira</v>
      </c>
      <c r="D157" s="512" t="str">
        <f>IF(C157&lt;&gt;"Quarta-Feira","16:00","11:00")</f>
        <v>16:00</v>
      </c>
      <c r="E157" s="287"/>
      <c r="F157" s="74"/>
      <c r="G157" s="167"/>
      <c r="H157" s="211"/>
      <c r="I157" s="41" t="s">
        <v>181</v>
      </c>
      <c r="J157" s="102"/>
      <c r="K157" s="102"/>
      <c r="R157" s="67"/>
    </row>
    <row r="158">
      <c r="A158" s="12" t="s">
        <v>90</v>
      </c>
      <c r="B158" s="227" t="s">
        <v>2098</v>
      </c>
      <c r="C158" s="74" t="str">
        <f t="shared" si="17"/>
        <v>Terça-Feira</v>
      </c>
      <c r="D158" s="512" t="str">
        <f>IF(C158&lt;&gt;"Quarta-Feira","16:20","11:20")</f>
        <v>16:20</v>
      </c>
      <c r="E158" s="287"/>
      <c r="F158" s="74"/>
      <c r="G158" s="167"/>
      <c r="H158" s="211"/>
      <c r="I158" s="41" t="s">
        <v>181</v>
      </c>
      <c r="J158" s="102"/>
      <c r="K158" s="102"/>
      <c r="R158" s="67"/>
    </row>
    <row r="159">
      <c r="A159" s="12" t="s">
        <v>93</v>
      </c>
      <c r="B159" s="227" t="s">
        <v>2096</v>
      </c>
      <c r="C159" s="74" t="str">
        <f t="shared" si="17"/>
        <v>Terça-Feira</v>
      </c>
      <c r="D159" s="512" t="str">
        <f>IF(C159&lt;&gt;"Quarta-Feira","16:40","11:40")</f>
        <v>16:40</v>
      </c>
      <c r="E159" s="287"/>
      <c r="F159" s="74"/>
      <c r="G159" s="167"/>
      <c r="H159" s="211"/>
      <c r="I159" s="41" t="s">
        <v>181</v>
      </c>
      <c r="J159" s="102"/>
      <c r="K159" s="102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503"/>
      <c r="B162" s="493"/>
      <c r="C162" s="315"/>
      <c r="D162" s="504"/>
      <c r="E162" s="505"/>
      <c r="F162" s="506"/>
      <c r="G162" s="507"/>
      <c r="H162" s="508"/>
      <c r="I162" s="509"/>
      <c r="J162" s="510"/>
      <c r="K162" s="510"/>
      <c r="R162" s="67"/>
    </row>
    <row r="163">
      <c r="A163" s="503"/>
      <c r="B163" s="493"/>
      <c r="C163" s="315"/>
      <c r="D163" s="504"/>
      <c r="E163" s="505"/>
      <c r="F163" s="506"/>
      <c r="G163" s="507"/>
      <c r="H163" s="508"/>
      <c r="I163" s="509"/>
      <c r="J163" s="510"/>
      <c r="K163" s="510"/>
      <c r="R163" s="67"/>
    </row>
    <row r="164">
      <c r="A164" s="503"/>
      <c r="B164" s="493"/>
      <c r="C164" s="315"/>
      <c r="D164" s="504"/>
      <c r="E164" s="505"/>
      <c r="F164" s="506"/>
      <c r="G164" s="507"/>
      <c r="H164" s="508"/>
      <c r="I164" s="509"/>
      <c r="J164" s="510"/>
      <c r="K164" s="510"/>
      <c r="N164" s="268" t="s">
        <v>2080</v>
      </c>
      <c r="O164" s="100"/>
      <c r="P164" s="100"/>
      <c r="Q164" s="100"/>
      <c r="R164" s="67"/>
    </row>
    <row r="165">
      <c r="A165" s="503"/>
      <c r="B165" s="493"/>
      <c r="C165" s="315"/>
      <c r="D165" s="504"/>
      <c r="E165" s="505"/>
      <c r="F165" s="506"/>
      <c r="G165" s="507"/>
      <c r="H165" s="508"/>
      <c r="I165" s="509"/>
      <c r="J165" s="510"/>
      <c r="K165" s="510"/>
      <c r="N165" s="271" t="s">
        <v>183</v>
      </c>
      <c r="O165" s="272" t="s">
        <v>195</v>
      </c>
      <c r="P165" s="272" t="s">
        <v>181</v>
      </c>
      <c r="Q165" s="273" t="s">
        <v>173</v>
      </c>
      <c r="R165" s="67"/>
    </row>
    <row r="166">
      <c r="A166" s="503"/>
      <c r="B166" s="493"/>
      <c r="C166" s="315"/>
      <c r="D166" s="504"/>
      <c r="E166" s="505"/>
      <c r="F166" s="506"/>
      <c r="G166" s="507"/>
      <c r="H166" s="508"/>
      <c r="I166" s="509"/>
      <c r="J166" s="510"/>
      <c r="K166" s="510"/>
      <c r="N166" s="67">
        <f t="shared" ref="N166:Q166" si="19">SUM(N4:N162)</f>
        <v>7</v>
      </c>
      <c r="O166" s="67">
        <f t="shared" si="19"/>
        <v>0</v>
      </c>
      <c r="P166" s="67">
        <f t="shared" si="19"/>
        <v>6</v>
      </c>
      <c r="Q166" s="67">
        <f t="shared" si="19"/>
        <v>7</v>
      </c>
      <c r="R166" s="67"/>
    </row>
    <row r="167">
      <c r="A167" s="503"/>
      <c r="B167" s="493"/>
      <c r="C167" s="315"/>
      <c r="D167" s="504"/>
      <c r="E167" s="505"/>
      <c r="F167" s="506"/>
      <c r="G167" s="507"/>
      <c r="H167" s="508"/>
      <c r="I167" s="509"/>
      <c r="J167" s="510"/>
      <c r="K167" s="510"/>
      <c r="N167" s="67"/>
      <c r="O167" s="67"/>
      <c r="P167" s="67"/>
      <c r="Q167" s="67"/>
      <c r="R167" s="67"/>
    </row>
    <row r="168">
      <c r="A168" s="503"/>
      <c r="B168" s="493"/>
      <c r="C168" s="315"/>
      <c r="D168" s="504"/>
      <c r="E168" s="505"/>
      <c r="F168" s="506"/>
      <c r="G168" s="507"/>
      <c r="H168" s="508"/>
      <c r="I168" s="509"/>
      <c r="J168" s="510"/>
      <c r="K168" s="510"/>
      <c r="R168" s="67"/>
    </row>
    <row r="169">
      <c r="A169" s="503"/>
      <c r="B169" s="493"/>
      <c r="C169" s="315"/>
      <c r="D169" s="504"/>
      <c r="E169" s="505"/>
      <c r="F169" s="506"/>
      <c r="G169" s="507"/>
      <c r="H169" s="508"/>
      <c r="I169" s="509"/>
      <c r="J169" s="510"/>
      <c r="K169" s="510"/>
      <c r="R169" s="67"/>
    </row>
    <row r="170">
      <c r="A170" s="503"/>
      <c r="B170" s="493"/>
      <c r="C170" s="315"/>
      <c r="D170" s="504"/>
      <c r="E170" s="505"/>
      <c r="F170" s="506"/>
      <c r="G170" s="507"/>
      <c r="H170" s="508"/>
      <c r="I170" s="509"/>
      <c r="J170" s="510"/>
      <c r="K170" s="510"/>
      <c r="R170" s="67"/>
    </row>
    <row r="171">
      <c r="A171" s="503"/>
      <c r="B171" s="493"/>
      <c r="C171" s="315"/>
      <c r="D171" s="504"/>
      <c r="E171" s="505"/>
      <c r="F171" s="506"/>
      <c r="G171" s="507"/>
      <c r="H171" s="508"/>
      <c r="I171" s="509"/>
      <c r="J171" s="510"/>
      <c r="K171" s="510"/>
      <c r="R171" s="67"/>
    </row>
    <row r="172">
      <c r="A172" s="503"/>
      <c r="B172" s="493"/>
      <c r="C172" s="315"/>
      <c r="D172" s="504"/>
      <c r="E172" s="505"/>
      <c r="F172" s="506"/>
      <c r="G172" s="507"/>
      <c r="H172" s="508"/>
      <c r="I172" s="509"/>
      <c r="J172" s="510"/>
      <c r="K172" s="510"/>
      <c r="R172" s="67"/>
    </row>
    <row r="173">
      <c r="A173" s="503"/>
      <c r="B173" s="493"/>
      <c r="C173" s="315"/>
      <c r="D173" s="504"/>
      <c r="E173" s="505"/>
      <c r="F173" s="506"/>
      <c r="G173" s="507"/>
      <c r="H173" s="508"/>
      <c r="I173" s="509"/>
      <c r="J173" s="510"/>
      <c r="K173" s="510"/>
      <c r="R173" s="67"/>
    </row>
    <row r="174">
      <c r="A174" s="503"/>
      <c r="B174" s="493"/>
      <c r="C174" s="315"/>
      <c r="D174" s="504"/>
      <c r="E174" s="505"/>
      <c r="F174" s="506"/>
      <c r="G174" s="507"/>
      <c r="H174" s="508"/>
      <c r="I174" s="509"/>
      <c r="J174" s="510"/>
      <c r="K174" s="510"/>
      <c r="R174" s="67"/>
    </row>
    <row r="175">
      <c r="A175" s="503"/>
      <c r="B175" s="493"/>
      <c r="C175" s="315"/>
      <c r="D175" s="504"/>
      <c r="E175" s="505"/>
      <c r="F175" s="506"/>
      <c r="G175" s="507"/>
      <c r="H175" s="508"/>
      <c r="I175" s="509"/>
      <c r="J175" s="510"/>
      <c r="K175" s="510"/>
      <c r="R175" s="67"/>
    </row>
    <row r="176">
      <c r="A176" s="503"/>
      <c r="B176" s="493"/>
      <c r="C176" s="315"/>
      <c r="D176" s="504"/>
      <c r="E176" s="505"/>
      <c r="F176" s="506"/>
      <c r="G176" s="507"/>
      <c r="H176" s="508"/>
      <c r="I176" s="509"/>
      <c r="J176" s="510"/>
      <c r="K176" s="510"/>
      <c r="R176" s="67"/>
    </row>
    <row r="177">
      <c r="A177" s="503"/>
      <c r="B177" s="493"/>
      <c r="C177" s="315"/>
      <c r="D177" s="504"/>
      <c r="E177" s="505"/>
      <c r="F177" s="506"/>
      <c r="G177" s="507"/>
      <c r="H177" s="508"/>
      <c r="I177" s="509"/>
      <c r="J177" s="510"/>
      <c r="K177" s="510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493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  <row r="1123">
      <c r="A1123" s="503"/>
      <c r="B1123" s="493"/>
      <c r="C1123" s="315"/>
      <c r="D1123" s="504"/>
      <c r="E1123" s="505"/>
      <c r="F1123" s="506"/>
      <c r="G1123" s="507"/>
      <c r="H1123" s="508"/>
      <c r="I1123" s="509"/>
      <c r="J1123" s="510"/>
      <c r="K1123" s="510"/>
      <c r="R1123" s="67"/>
    </row>
    <row r="1124">
      <c r="A1124" s="503"/>
      <c r="B1124" s="493"/>
      <c r="C1124" s="315"/>
      <c r="D1124" s="504"/>
      <c r="E1124" s="505"/>
      <c r="F1124" s="506"/>
      <c r="G1124" s="507"/>
      <c r="H1124" s="508"/>
      <c r="I1124" s="509"/>
      <c r="J1124" s="510"/>
      <c r="K1124" s="510"/>
      <c r="R1124" s="67"/>
    </row>
    <row r="1125">
      <c r="A1125" s="503"/>
      <c r="B1125" s="493"/>
      <c r="C1125" s="315"/>
      <c r="D1125" s="504"/>
      <c r="E1125" s="505"/>
      <c r="F1125" s="506"/>
      <c r="G1125" s="507"/>
      <c r="H1125" s="508"/>
      <c r="I1125" s="509"/>
      <c r="J1125" s="510"/>
      <c r="K1125" s="510"/>
      <c r="R1125" s="67"/>
    </row>
    <row r="1126">
      <c r="A1126" s="503"/>
      <c r="B1126" s="493"/>
      <c r="C1126" s="315"/>
      <c r="D1126" s="504"/>
      <c r="E1126" s="505"/>
      <c r="F1126" s="506"/>
      <c r="G1126" s="507"/>
      <c r="H1126" s="508"/>
      <c r="I1126" s="509"/>
      <c r="J1126" s="510"/>
      <c r="K1126" s="510"/>
      <c r="R1126" s="67"/>
    </row>
    <row r="1127">
      <c r="A1127" s="503"/>
      <c r="B1127" s="493"/>
      <c r="C1127" s="315"/>
      <c r="D1127" s="504"/>
      <c r="E1127" s="505"/>
      <c r="F1127" s="506"/>
      <c r="G1127" s="507"/>
      <c r="H1127" s="508"/>
      <c r="I1127" s="509"/>
      <c r="J1127" s="510"/>
      <c r="K1127" s="510"/>
      <c r="R1127" s="67"/>
    </row>
    <row r="1128">
      <c r="A1128" s="503"/>
      <c r="B1128" s="493"/>
      <c r="C1128" s="315"/>
      <c r="D1128" s="504"/>
      <c r="E1128" s="505"/>
      <c r="F1128" s="506"/>
      <c r="G1128" s="507"/>
      <c r="H1128" s="508"/>
      <c r="I1128" s="509"/>
      <c r="J1128" s="510"/>
      <c r="K1128" s="510"/>
      <c r="R1128" s="67"/>
    </row>
    <row r="1129">
      <c r="A1129" s="503"/>
      <c r="B1129" s="493"/>
      <c r="C1129" s="315"/>
      <c r="D1129" s="504"/>
      <c r="E1129" s="505"/>
      <c r="F1129" s="506"/>
      <c r="G1129" s="507"/>
      <c r="H1129" s="508"/>
      <c r="I1129" s="509"/>
      <c r="J1129" s="510"/>
      <c r="K1129" s="510"/>
      <c r="R1129" s="67"/>
    </row>
    <row r="1130">
      <c r="A1130" s="503"/>
      <c r="B1130" s="493"/>
      <c r="C1130" s="315"/>
      <c r="D1130" s="504"/>
      <c r="E1130" s="505"/>
      <c r="F1130" s="506"/>
      <c r="G1130" s="507"/>
      <c r="H1130" s="508"/>
      <c r="I1130" s="509"/>
      <c r="J1130" s="510"/>
      <c r="K1130" s="510"/>
      <c r="R1130" s="67"/>
    </row>
    <row r="1131">
      <c r="A1131" s="503"/>
      <c r="B1131" s="493"/>
      <c r="C1131" s="315"/>
      <c r="D1131" s="504"/>
      <c r="E1131" s="505"/>
      <c r="F1131" s="506"/>
      <c r="G1131" s="507"/>
      <c r="H1131" s="508"/>
      <c r="I1131" s="509"/>
      <c r="J1131" s="510"/>
      <c r="K1131" s="510"/>
      <c r="R1131" s="67"/>
    </row>
    <row r="1132">
      <c r="A1132" s="503"/>
      <c r="B1132" s="493"/>
      <c r="C1132" s="315"/>
      <c r="D1132" s="504"/>
      <c r="E1132" s="505"/>
      <c r="F1132" s="506"/>
      <c r="G1132" s="507"/>
      <c r="H1132" s="508"/>
      <c r="I1132" s="509"/>
      <c r="J1132" s="510"/>
      <c r="K1132" s="510"/>
      <c r="R1132" s="67"/>
    </row>
    <row r="1133">
      <c r="A1133" s="503"/>
      <c r="B1133" s="493"/>
      <c r="C1133" s="315"/>
      <c r="D1133" s="504"/>
      <c r="E1133" s="505"/>
      <c r="F1133" s="506"/>
      <c r="G1133" s="507"/>
      <c r="H1133" s="508"/>
      <c r="I1133" s="509"/>
      <c r="J1133" s="510"/>
      <c r="K1133" s="510"/>
      <c r="R1133" s="67"/>
    </row>
    <row r="1134">
      <c r="A1134" s="503"/>
      <c r="B1134" s="493"/>
      <c r="C1134" s="315"/>
      <c r="D1134" s="504"/>
      <c r="E1134" s="505"/>
      <c r="F1134" s="506"/>
      <c r="G1134" s="507"/>
      <c r="H1134" s="508"/>
      <c r="I1134" s="509"/>
      <c r="J1134" s="510"/>
      <c r="K1134" s="510"/>
      <c r="R1134" s="67"/>
    </row>
    <row r="1135">
      <c r="A1135" s="503"/>
      <c r="B1135" s="493"/>
      <c r="C1135" s="315"/>
      <c r="D1135" s="504"/>
      <c r="E1135" s="505"/>
      <c r="F1135" s="506"/>
      <c r="G1135" s="507"/>
      <c r="H1135" s="508"/>
      <c r="I1135" s="509"/>
      <c r="J1135" s="510"/>
      <c r="K1135" s="510"/>
      <c r="R1135" s="67"/>
    </row>
    <row r="1136">
      <c r="A1136" s="503"/>
      <c r="B1136" s="493"/>
      <c r="C1136" s="315"/>
      <c r="D1136" s="504"/>
      <c r="E1136" s="505"/>
      <c r="F1136" s="506"/>
      <c r="G1136" s="507"/>
      <c r="H1136" s="508"/>
      <c r="I1136" s="509"/>
      <c r="J1136" s="510"/>
      <c r="K1136" s="510"/>
      <c r="R1136" s="67"/>
    </row>
    <row r="1137">
      <c r="A1137" s="503"/>
      <c r="B1137" s="493"/>
      <c r="C1137" s="315"/>
      <c r="D1137" s="504"/>
      <c r="E1137" s="505"/>
      <c r="F1137" s="506"/>
      <c r="G1137" s="507"/>
      <c r="H1137" s="508"/>
      <c r="I1137" s="509"/>
      <c r="J1137" s="510"/>
      <c r="K1137" s="510"/>
      <c r="R1137" s="67"/>
    </row>
    <row r="1138">
      <c r="A1138" s="503"/>
      <c r="B1138" s="493"/>
      <c r="C1138" s="315"/>
      <c r="D1138" s="504"/>
      <c r="E1138" s="505"/>
      <c r="F1138" s="506"/>
      <c r="G1138" s="507"/>
      <c r="H1138" s="508"/>
      <c r="I1138" s="509"/>
      <c r="J1138" s="510"/>
      <c r="K1138" s="510"/>
      <c r="R1138" s="67"/>
    </row>
    <row r="1139">
      <c r="A1139" s="503"/>
      <c r="B1139" s="493"/>
      <c r="C1139" s="315"/>
      <c r="D1139" s="504"/>
      <c r="E1139" s="505"/>
      <c r="F1139" s="506"/>
      <c r="G1139" s="507"/>
      <c r="H1139" s="508"/>
      <c r="I1139" s="509"/>
      <c r="J1139" s="510"/>
      <c r="K1139" s="510"/>
      <c r="R1139" s="67"/>
    </row>
    <row r="1140">
      <c r="A1140" s="503"/>
      <c r="B1140" s="493"/>
      <c r="C1140" s="315"/>
      <c r="D1140" s="504"/>
      <c r="E1140" s="505"/>
      <c r="F1140" s="506"/>
      <c r="G1140" s="507"/>
      <c r="H1140" s="508"/>
      <c r="I1140" s="509"/>
      <c r="J1140" s="510"/>
      <c r="K1140" s="510"/>
      <c r="R1140" s="67"/>
    </row>
    <row r="1141">
      <c r="A1141" s="503"/>
      <c r="B1141" s="493"/>
      <c r="C1141" s="315"/>
      <c r="D1141" s="504"/>
      <c r="E1141" s="505"/>
      <c r="F1141" s="506"/>
      <c r="G1141" s="507"/>
      <c r="H1141" s="508"/>
      <c r="I1141" s="509"/>
      <c r="J1141" s="510"/>
      <c r="K1141" s="510"/>
      <c r="R1141" s="67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 hidden="1">
      <c r="A2" s="24" t="s">
        <v>3533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 hidden="1">
      <c r="A3" s="25"/>
      <c r="B3" s="489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 hidden="1">
      <c r="A4" s="12" t="s">
        <v>10</v>
      </c>
      <c r="B4" s="227" t="s">
        <v>1981</v>
      </c>
      <c r="C4" s="74" t="str">
        <f t="shared" ref="C4:C15" si="1">PROPER(TEXT(DATE(MID($A$2,7,4),MID($A$2,4,2),LEFT($A$2,2)),"dddd"))</f>
        <v>Segunda-Feira</v>
      </c>
      <c r="D4" s="512" t="str">
        <f>IF(C4&lt;&gt;"Quarta-Feira","13:00","08:00")</f>
        <v>13:00</v>
      </c>
      <c r="E4" s="287"/>
      <c r="F4" s="301"/>
      <c r="G4" s="131"/>
      <c r="H4" s="132"/>
      <c r="I4" s="34"/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100"/>
    </row>
    <row r="5" hidden="1">
      <c r="A5" s="12" t="s">
        <v>11</v>
      </c>
      <c r="B5" s="227" t="s">
        <v>1985</v>
      </c>
      <c r="C5" s="74" t="str">
        <f t="shared" si="1"/>
        <v>Segunda-Feira</v>
      </c>
      <c r="D5" s="512" t="str">
        <f>IF(C5&lt;&gt;"Quarta-Feira","13:20","08:20")</f>
        <v>13:20</v>
      </c>
      <c r="E5" s="287"/>
      <c r="F5" s="301"/>
      <c r="G5" s="514"/>
      <c r="H5" s="515"/>
      <c r="I5" s="34"/>
      <c r="J5" s="74"/>
      <c r="K5" s="74"/>
      <c r="M5" s="267"/>
      <c r="N5" s="270" t="s">
        <v>1824</v>
      </c>
      <c r="O5" s="2"/>
      <c r="P5" s="2"/>
      <c r="Q5" s="2"/>
      <c r="R5" s="2"/>
    </row>
    <row r="6" hidden="1">
      <c r="A6" s="12" t="s">
        <v>12</v>
      </c>
      <c r="B6" s="227" t="s">
        <v>1989</v>
      </c>
      <c r="C6" s="74" t="str">
        <f t="shared" si="1"/>
        <v>Segunda-Feira</v>
      </c>
      <c r="D6" s="512" t="str">
        <f>IF(C6&lt;&gt;"Quarta-Feira","13:40","08:40")</f>
        <v>13:40</v>
      </c>
      <c r="E6" s="287"/>
      <c r="F6" s="301"/>
      <c r="G6" s="131"/>
      <c r="H6" s="132"/>
      <c r="I6" s="34"/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 hidden="1">
      <c r="A7" s="12" t="s">
        <v>13</v>
      </c>
      <c r="B7" s="227" t="s">
        <v>1992</v>
      </c>
      <c r="C7" s="74" t="str">
        <f t="shared" si="1"/>
        <v>Segunda-Feira</v>
      </c>
      <c r="D7" s="512" t="str">
        <f>IF(C7&lt;&gt;"Quarta-Feira","14:00","09:00")</f>
        <v>14:00</v>
      </c>
      <c r="E7" s="287"/>
      <c r="F7" s="74"/>
      <c r="G7" s="131"/>
      <c r="H7" s="516"/>
      <c r="I7" s="34"/>
      <c r="J7" s="74"/>
      <c r="K7" s="74"/>
      <c r="M7" s="67"/>
      <c r="N7" s="275">
        <f t="shared" ref="N7:R7" si="2">COUNTIFS(I$4:I$15,N6)</f>
        <v>0</v>
      </c>
      <c r="O7" s="275">
        <f t="shared" si="2"/>
        <v>0</v>
      </c>
      <c r="P7" s="275">
        <f t="shared" si="2"/>
        <v>0</v>
      </c>
      <c r="Q7" s="275">
        <f t="shared" si="2"/>
        <v>0</v>
      </c>
      <c r="R7" s="517">
        <f t="shared" si="2"/>
        <v>0</v>
      </c>
      <c r="S7" s="389"/>
      <c r="T7" s="389"/>
      <c r="U7" s="389"/>
      <c r="V7" s="389"/>
      <c r="W7" s="389"/>
      <c r="X7" s="518"/>
    </row>
    <row r="8" hidden="1">
      <c r="A8" s="12" t="s">
        <v>14</v>
      </c>
      <c r="B8" s="227" t="s">
        <v>1981</v>
      </c>
      <c r="C8" s="74" t="str">
        <f t="shared" si="1"/>
        <v>Segunda-Feira</v>
      </c>
      <c r="D8" s="512" t="str">
        <f>IF(C8&lt;&gt;"Quarta-Feira","14:20","09:20")</f>
        <v>14:20</v>
      </c>
      <c r="E8" s="287"/>
      <c r="F8" s="301"/>
      <c r="G8" s="304"/>
      <c r="H8" s="519"/>
      <c r="I8" s="34"/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 hidden="1">
      <c r="A9" s="12" t="s">
        <v>15</v>
      </c>
      <c r="B9" s="227" t="s">
        <v>1985</v>
      </c>
      <c r="C9" s="74" t="str">
        <f t="shared" si="1"/>
        <v>Segunda-Feira</v>
      </c>
      <c r="D9" s="512" t="str">
        <f>IF(C9&lt;&gt;"Quarta-Feira","14:40","09:40")</f>
        <v>14:40</v>
      </c>
      <c r="E9" s="287"/>
      <c r="F9" s="520"/>
      <c r="G9" s="514"/>
      <c r="H9" s="515"/>
      <c r="I9" s="34"/>
      <c r="J9" s="74"/>
      <c r="K9" s="74"/>
      <c r="L9" s="216" t="s">
        <v>394</v>
      </c>
      <c r="R9" s="67"/>
    </row>
    <row r="10" hidden="1">
      <c r="A10" s="12" t="s">
        <v>16</v>
      </c>
      <c r="B10" s="227" t="s">
        <v>1989</v>
      </c>
      <c r="C10" s="74" t="str">
        <f t="shared" si="1"/>
        <v>Segunda-Feira</v>
      </c>
      <c r="D10" s="512" t="str">
        <f>IF(C10&lt;&gt;"Quarta-Feira","15:00","10:00")</f>
        <v>15:00</v>
      </c>
      <c r="E10" s="287"/>
      <c r="F10" s="301"/>
      <c r="G10" s="131"/>
      <c r="H10" s="132"/>
      <c r="I10" s="34"/>
      <c r="J10" s="74"/>
      <c r="K10" s="74"/>
      <c r="L10" s="216" t="s">
        <v>394</v>
      </c>
      <c r="R10" s="67"/>
    </row>
    <row r="11" hidden="1">
      <c r="A11" s="12" t="s">
        <v>17</v>
      </c>
      <c r="B11" s="227" t="s">
        <v>1992</v>
      </c>
      <c r="C11" s="74" t="str">
        <f t="shared" si="1"/>
        <v>Segunda-Feira</v>
      </c>
      <c r="D11" s="512" t="str">
        <f>IF(C11&lt;&gt;"Quarta-Feira","15:20","10:20")</f>
        <v>15:20</v>
      </c>
      <c r="E11" s="287"/>
      <c r="F11" s="301"/>
      <c r="G11" s="131"/>
      <c r="H11" s="521"/>
      <c r="I11" s="34"/>
      <c r="J11" s="74"/>
      <c r="K11" s="74"/>
      <c r="L11" s="216" t="s">
        <v>394</v>
      </c>
      <c r="R11" s="67"/>
    </row>
    <row r="12" hidden="1">
      <c r="A12" s="12" t="s">
        <v>85</v>
      </c>
      <c r="B12" s="227" t="s">
        <v>1981</v>
      </c>
      <c r="C12" s="74" t="str">
        <f t="shared" si="1"/>
        <v>Segunda-Feira</v>
      </c>
      <c r="D12" s="512" t="str">
        <f>IF(C12&lt;&gt;"Quarta-Feira","15:40","10:40")</f>
        <v>15:40</v>
      </c>
      <c r="E12" s="287"/>
      <c r="F12" s="74"/>
      <c r="G12" s="167"/>
      <c r="H12" s="83"/>
      <c r="I12" s="34"/>
      <c r="J12" s="74"/>
      <c r="K12" s="74"/>
      <c r="L12" s="216" t="s">
        <v>394</v>
      </c>
      <c r="R12" s="67"/>
    </row>
    <row r="13" hidden="1">
      <c r="A13" s="12" t="s">
        <v>87</v>
      </c>
      <c r="B13" s="227" t="s">
        <v>1985</v>
      </c>
      <c r="C13" s="74" t="str">
        <f t="shared" si="1"/>
        <v>Segunda-Feira</v>
      </c>
      <c r="D13" s="512" t="str">
        <f>IF(C13&lt;&gt;"Quarta-Feira","16:00","11:00")</f>
        <v>16:00</v>
      </c>
      <c r="E13" s="287"/>
      <c r="F13" s="74"/>
      <c r="G13" s="167"/>
      <c r="H13" s="166"/>
      <c r="I13" s="34"/>
      <c r="J13" s="74"/>
      <c r="K13" s="74"/>
      <c r="L13" s="216" t="s">
        <v>394</v>
      </c>
      <c r="R13" s="67"/>
    </row>
    <row r="14" hidden="1">
      <c r="A14" s="12" t="s">
        <v>90</v>
      </c>
      <c r="B14" s="227" t="s">
        <v>1989</v>
      </c>
      <c r="C14" s="74" t="str">
        <f t="shared" si="1"/>
        <v>Segunda-Feira</v>
      </c>
      <c r="D14" s="512" t="str">
        <f>IF(C14&lt;&gt;"Quarta-Feira","16:20","11:20")</f>
        <v>16:20</v>
      </c>
      <c r="E14" s="287"/>
      <c r="F14" s="74"/>
      <c r="G14" s="167"/>
      <c r="H14" s="166"/>
      <c r="I14" s="34"/>
      <c r="J14" s="74"/>
      <c r="K14" s="74"/>
      <c r="L14" s="216" t="s">
        <v>394</v>
      </c>
      <c r="R14" s="67"/>
    </row>
    <row r="15" hidden="1">
      <c r="A15" s="12" t="s">
        <v>93</v>
      </c>
      <c r="B15" s="227" t="s">
        <v>1992</v>
      </c>
      <c r="C15" s="74" t="str">
        <f t="shared" si="1"/>
        <v>Segunda-Feira</v>
      </c>
      <c r="D15" s="512" t="str">
        <f>IF(C15&lt;&gt;"Quarta-Feira","16:40","11:40")</f>
        <v>16:40</v>
      </c>
      <c r="E15" s="287"/>
      <c r="F15" s="74"/>
      <c r="G15" s="167"/>
      <c r="H15" s="166"/>
      <c r="I15" s="34"/>
      <c r="J15" s="74"/>
      <c r="K15" s="74"/>
      <c r="L15" s="216" t="s">
        <v>394</v>
      </c>
      <c r="R15" s="67"/>
    </row>
    <row r="16" hidden="1">
      <c r="B16" s="182"/>
      <c r="E16" s="261"/>
      <c r="G16" s="182"/>
      <c r="J16" s="67"/>
      <c r="K16" s="67"/>
      <c r="R16" s="67"/>
    </row>
    <row r="17" hidden="1">
      <c r="B17" s="182"/>
      <c r="E17" s="261"/>
      <c r="G17" s="182"/>
      <c r="J17" s="67"/>
      <c r="K17" s="67"/>
      <c r="R17" s="67"/>
    </row>
    <row r="18">
      <c r="B18" s="182"/>
      <c r="E18" s="261"/>
      <c r="G18" s="182"/>
      <c r="J18" s="67"/>
      <c r="K18" s="67"/>
      <c r="R18" s="67"/>
    </row>
    <row r="19">
      <c r="A19" s="23" t="s">
        <v>378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 ht="22.5" customHeight="1">
      <c r="A20" s="24" t="s">
        <v>3902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 ht="17.25" customHeight="1">
      <c r="A21" s="25"/>
      <c r="B21" s="489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9" t="s">
        <v>65</v>
      </c>
      <c r="C22" s="74" t="str">
        <f t="shared" ref="C22:C33" si="3">PROPER(TEXT(DATE(MID($A$20,7,4),MID($A$20,4,2),LEFT($A$20,2)),"dddd"))</f>
        <v>Segunda-Feira</v>
      </c>
      <c r="D22" s="512" t="str">
        <f>IF(C22&lt;&gt;"Quarta-Feira","13:00","08:00")</f>
        <v>13:00</v>
      </c>
      <c r="E22" s="287"/>
      <c r="F22" s="74"/>
      <c r="G22" s="167"/>
      <c r="H22" s="169"/>
      <c r="I22" s="74"/>
      <c r="J22" s="74"/>
      <c r="K22" s="74"/>
      <c r="N22" s="268" t="s">
        <v>387</v>
      </c>
      <c r="O22" s="100"/>
      <c r="P22" s="100"/>
      <c r="Q22" s="100"/>
      <c r="R22" s="100"/>
    </row>
    <row r="23">
      <c r="A23" s="12" t="s">
        <v>11</v>
      </c>
      <c r="B23" s="229" t="s">
        <v>202</v>
      </c>
      <c r="C23" s="74" t="str">
        <f t="shared" si="3"/>
        <v>Segunda-Feira</v>
      </c>
      <c r="D23" s="512" t="str">
        <f>IF(C23&lt;&gt;"Quarta-Feira","13:20","08:20")</f>
        <v>13:20</v>
      </c>
      <c r="E23" s="287"/>
      <c r="F23" s="74"/>
      <c r="G23" s="167"/>
      <c r="H23" s="166"/>
      <c r="I23" s="74"/>
      <c r="J23" s="74"/>
      <c r="K23" s="74"/>
      <c r="N23" s="270" t="s">
        <v>1824</v>
      </c>
      <c r="O23" s="2"/>
      <c r="P23" s="2"/>
      <c r="Q23" s="2"/>
      <c r="R23" s="2"/>
    </row>
    <row r="24">
      <c r="A24" s="12" t="s">
        <v>12</v>
      </c>
      <c r="B24" s="229" t="s">
        <v>1448</v>
      </c>
      <c r="C24" s="74" t="str">
        <f t="shared" si="3"/>
        <v>Segunda-Feira</v>
      </c>
      <c r="D24" s="512" t="str">
        <f>IF(C24&lt;&gt;"Quarta-Feira","13:40","08:40")</f>
        <v>13:40</v>
      </c>
      <c r="E24" s="287"/>
      <c r="F24" s="74"/>
      <c r="G24" s="167"/>
      <c r="H24" s="166"/>
      <c r="I24" s="74"/>
      <c r="J24" s="74"/>
      <c r="K24" s="74"/>
      <c r="N24" s="271" t="s">
        <v>183</v>
      </c>
      <c r="O24" s="272" t="s">
        <v>195</v>
      </c>
      <c r="P24" s="272" t="s">
        <v>181</v>
      </c>
      <c r="Q24" s="273" t="s">
        <v>173</v>
      </c>
      <c r="R24" s="273" t="s">
        <v>1823</v>
      </c>
    </row>
    <row r="25">
      <c r="A25" s="12" t="s">
        <v>13</v>
      </c>
      <c r="B25" s="229" t="s">
        <v>822</v>
      </c>
      <c r="C25" s="74" t="str">
        <f t="shared" si="3"/>
        <v>Segunda-Feira</v>
      </c>
      <c r="D25" s="512" t="str">
        <f>IF(C25&lt;&gt;"Quarta-Feira","14:00","09:00")</f>
        <v>14:00</v>
      </c>
      <c r="E25" s="287"/>
      <c r="F25" s="74"/>
      <c r="G25" s="167"/>
      <c r="H25" s="166"/>
      <c r="I25" s="74"/>
      <c r="J25" s="74"/>
      <c r="K25" s="74"/>
      <c r="L25" s="216" t="s">
        <v>442</v>
      </c>
      <c r="N25" s="275">
        <f>COUNTIFS(I$22:I$33,N24)</f>
        <v>0</v>
      </c>
      <c r="O25" s="275">
        <f t="shared" ref="O25:R25" si="4">COUNTIFS($I$22:$I$33,O24)</f>
        <v>0</v>
      </c>
      <c r="P25" s="275">
        <f t="shared" si="4"/>
        <v>0</v>
      </c>
      <c r="Q25" s="275">
        <f t="shared" si="4"/>
        <v>0</v>
      </c>
      <c r="R25" s="67">
        <f t="shared" si="4"/>
        <v>0</v>
      </c>
    </row>
    <row r="26">
      <c r="A26" s="12" t="s">
        <v>14</v>
      </c>
      <c r="B26" s="229" t="s">
        <v>202</v>
      </c>
      <c r="C26" s="74" t="str">
        <f t="shared" si="3"/>
        <v>Segunda-Feira</v>
      </c>
      <c r="D26" s="512" t="str">
        <f>IF(C26&lt;&gt;"Quarta-Feira","14:20","09:20")</f>
        <v>14:20</v>
      </c>
      <c r="E26" s="287"/>
      <c r="F26" s="74"/>
      <c r="G26" s="167"/>
      <c r="H26" s="166"/>
      <c r="I26" s="74"/>
      <c r="J26" s="74"/>
      <c r="K26" s="74"/>
      <c r="L26" s="216" t="s">
        <v>442</v>
      </c>
      <c r="R26" s="67"/>
    </row>
    <row r="27">
      <c r="A27" s="12" t="s">
        <v>15</v>
      </c>
      <c r="B27" s="229" t="s">
        <v>1448</v>
      </c>
      <c r="C27" s="74" t="str">
        <f t="shared" si="3"/>
        <v>Segunda-Feira</v>
      </c>
      <c r="D27" s="512" t="str">
        <f>IF(C27&lt;&gt;"Quarta-Feira","14:40","09:40")</f>
        <v>14:40</v>
      </c>
      <c r="E27" s="287"/>
      <c r="F27" s="74"/>
      <c r="G27" s="167"/>
      <c r="H27" s="166"/>
      <c r="I27" s="74"/>
      <c r="J27" s="74"/>
      <c r="K27" s="74"/>
      <c r="L27" s="216" t="s">
        <v>442</v>
      </c>
      <c r="R27" s="67"/>
    </row>
    <row r="28">
      <c r="A28" s="12" t="s">
        <v>16</v>
      </c>
      <c r="B28" s="229" t="s">
        <v>65</v>
      </c>
      <c r="C28" s="74" t="str">
        <f t="shared" si="3"/>
        <v>Segunda-Feira</v>
      </c>
      <c r="D28" s="512" t="str">
        <f>IF(C28&lt;&gt;"Quarta-Feira","15:00","10:00")</f>
        <v>15:00</v>
      </c>
      <c r="E28" s="287"/>
      <c r="F28" s="74"/>
      <c r="G28" s="167"/>
      <c r="H28" s="166"/>
      <c r="I28" s="74"/>
      <c r="J28" s="74"/>
      <c r="K28" s="74"/>
      <c r="L28" s="216" t="s">
        <v>442</v>
      </c>
      <c r="R28" s="67"/>
    </row>
    <row r="29">
      <c r="A29" s="12" t="s">
        <v>17</v>
      </c>
      <c r="B29" s="229" t="s">
        <v>202</v>
      </c>
      <c r="C29" s="74" t="str">
        <f t="shared" si="3"/>
        <v>Segunda-Feira</v>
      </c>
      <c r="D29" s="512" t="str">
        <f>IF(C29&lt;&gt;"Quarta-Feira","15:20","10:20")</f>
        <v>15:20</v>
      </c>
      <c r="E29" s="287"/>
      <c r="F29" s="74"/>
      <c r="G29" s="167"/>
      <c r="H29" s="166"/>
      <c r="I29" s="74"/>
      <c r="J29" s="74"/>
      <c r="K29" s="74"/>
      <c r="L29" s="216" t="s">
        <v>442</v>
      </c>
      <c r="R29" s="67"/>
    </row>
    <row r="30">
      <c r="A30" s="12" t="s">
        <v>85</v>
      </c>
      <c r="B30" s="229" t="s">
        <v>822</v>
      </c>
      <c r="C30" s="74" t="str">
        <f t="shared" si="3"/>
        <v>Segunda-Feira</v>
      </c>
      <c r="D30" s="512" t="str">
        <f>IF(C30&lt;&gt;"Quarta-Feira","15:40","10:40")</f>
        <v>15:40</v>
      </c>
      <c r="E30" s="287"/>
      <c r="F30" s="74"/>
      <c r="G30" s="167"/>
      <c r="H30" s="166"/>
      <c r="I30" s="74"/>
      <c r="J30" s="74"/>
      <c r="K30" s="74"/>
      <c r="R30" s="67"/>
    </row>
    <row r="31">
      <c r="A31" s="12" t="s">
        <v>87</v>
      </c>
      <c r="B31" s="229" t="s">
        <v>1448</v>
      </c>
      <c r="C31" s="74" t="str">
        <f t="shared" si="3"/>
        <v>Segunda-Feira</v>
      </c>
      <c r="D31" s="512" t="str">
        <f>IF(C31&lt;&gt;"Quarta-Feira","16:00","11:00")</f>
        <v>16:00</v>
      </c>
      <c r="E31" s="287"/>
      <c r="F31" s="74"/>
      <c r="G31" s="167"/>
      <c r="H31" s="166"/>
      <c r="I31" s="74"/>
      <c r="J31" s="74"/>
      <c r="K31" s="74"/>
      <c r="L31" s="216" t="s">
        <v>455</v>
      </c>
      <c r="R31" s="67"/>
    </row>
    <row r="32">
      <c r="A32" s="12" t="s">
        <v>90</v>
      </c>
      <c r="B32" s="229" t="s">
        <v>822</v>
      </c>
      <c r="C32" s="74" t="str">
        <f t="shared" si="3"/>
        <v>Segunda-Feira</v>
      </c>
      <c r="D32" s="512" t="str">
        <f>IF(C32&lt;&gt;"Quarta-Feira","16:20","11:20")</f>
        <v>16:20</v>
      </c>
      <c r="E32" s="287"/>
      <c r="F32" s="74"/>
      <c r="G32" s="167"/>
      <c r="H32" s="166"/>
      <c r="I32" s="74"/>
      <c r="J32" s="74"/>
      <c r="K32" s="74"/>
      <c r="R32" s="67"/>
    </row>
    <row r="33">
      <c r="A33" s="12" t="s">
        <v>93</v>
      </c>
      <c r="B33" s="229" t="s">
        <v>65</v>
      </c>
      <c r="C33" s="74" t="str">
        <f t="shared" si="3"/>
        <v>Segunda-Feira</v>
      </c>
      <c r="D33" s="512" t="str">
        <f>IF(C33&lt;&gt;"Quarta-Feira","16:40","11:40")</f>
        <v>16:40</v>
      </c>
      <c r="E33" s="287"/>
      <c r="F33" s="74"/>
      <c r="G33" s="167"/>
      <c r="H33" s="166"/>
      <c r="I33" s="74"/>
      <c r="J33" s="74"/>
      <c r="K33" s="74"/>
      <c r="R33" s="67"/>
    </row>
    <row r="34">
      <c r="B34" s="182"/>
      <c r="E34" s="261"/>
      <c r="G34" s="182"/>
      <c r="J34" s="67"/>
      <c r="K34" s="67"/>
      <c r="R34" s="67"/>
    </row>
    <row r="35">
      <c r="B35" s="182"/>
      <c r="E35" s="261"/>
      <c r="G35" s="182"/>
      <c r="J35" s="67"/>
      <c r="K35" s="67"/>
      <c r="R35" s="67"/>
    </row>
    <row r="36">
      <c r="B36" s="182"/>
      <c r="E36" s="261"/>
      <c r="G36" s="182"/>
      <c r="J36" s="67"/>
      <c r="K36" s="67"/>
      <c r="R36" s="67"/>
    </row>
    <row r="37">
      <c r="A37" s="23" t="s">
        <v>378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4" t="str">
        <f>TEXT(DATE(VALUE(MID(A20,7,4)),VALUE(MID(A20,4,2)),VALUE(LEFT(A20,2)))+2,"dd/mm/yyyy")&amp;" 08h às 13h"</f>
        <v>05/08/2026 08h às 13h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489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9" t="s">
        <v>758</v>
      </c>
      <c r="C40" s="74" t="str">
        <f t="shared" ref="C40:C51" si="5">PROPER(TEXT(DATE(MID($A$38,7,4),MID($A$38,4,2),LEFT($A$38,2)),"dddd"))</f>
        <v>Quarta-Feira</v>
      </c>
      <c r="D40" s="512" t="str">
        <f>IF(C40&lt;&gt;"Quarta-Feira","13:00","08:00")</f>
        <v>08:00</v>
      </c>
      <c r="E40" s="287"/>
      <c r="F40" s="74"/>
      <c r="G40" s="167"/>
      <c r="H40" s="211"/>
      <c r="I40" s="34"/>
      <c r="J40" s="74"/>
      <c r="K40" s="74"/>
      <c r="N40" s="268" t="s">
        <v>387</v>
      </c>
      <c r="O40" s="100"/>
      <c r="P40" s="100"/>
      <c r="Q40" s="100"/>
      <c r="R40" s="100"/>
    </row>
    <row r="41">
      <c r="A41" s="12" t="s">
        <v>15</v>
      </c>
      <c r="B41" s="229" t="s">
        <v>1468</v>
      </c>
      <c r="C41" s="74" t="str">
        <f t="shared" si="5"/>
        <v>Quarta-Feira</v>
      </c>
      <c r="D41" s="512" t="str">
        <f>IF(C41&lt;&gt;"Quarta-Feira","13:20","08:20")</f>
        <v>08:20</v>
      </c>
      <c r="E41" s="287"/>
      <c r="F41" s="74"/>
      <c r="G41" s="167"/>
      <c r="H41" s="211"/>
      <c r="I41" s="34"/>
      <c r="J41" s="74"/>
      <c r="K41" s="74"/>
      <c r="R41" s="67"/>
    </row>
    <row r="42">
      <c r="A42" s="12" t="s">
        <v>12</v>
      </c>
      <c r="B42" s="229" t="s">
        <v>217</v>
      </c>
      <c r="C42" s="74" t="str">
        <f t="shared" si="5"/>
        <v>Quarta-Feira</v>
      </c>
      <c r="D42" s="512" t="str">
        <f>IF(C42&lt;&gt;"Quarta-Feira","13:40","08:40")</f>
        <v>08:40</v>
      </c>
      <c r="E42" s="287"/>
      <c r="F42" s="74"/>
      <c r="G42" s="167"/>
      <c r="H42" s="211"/>
      <c r="I42" s="34"/>
      <c r="J42" s="74"/>
      <c r="K42" s="74"/>
      <c r="N42" s="271" t="s">
        <v>183</v>
      </c>
      <c r="O42" s="272" t="s">
        <v>195</v>
      </c>
      <c r="P42" s="272" t="s">
        <v>181</v>
      </c>
      <c r="Q42" s="273" t="s">
        <v>173</v>
      </c>
      <c r="R42" s="286" t="s">
        <v>1823</v>
      </c>
    </row>
    <row r="43">
      <c r="A43" s="12" t="s">
        <v>13</v>
      </c>
      <c r="B43" s="229" t="s">
        <v>198</v>
      </c>
      <c r="C43" s="74" t="str">
        <f t="shared" si="5"/>
        <v>Quarta-Feira</v>
      </c>
      <c r="D43" s="512" t="str">
        <f>IF(C43&lt;&gt;"Quarta-Feira","14:00","09:00")</f>
        <v>09:00</v>
      </c>
      <c r="E43" s="287"/>
      <c r="F43" s="74"/>
      <c r="G43" s="167"/>
      <c r="H43" s="211"/>
      <c r="I43" s="34"/>
      <c r="J43" s="74"/>
      <c r="K43" s="74"/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0</v>
      </c>
    </row>
    <row r="44">
      <c r="A44" s="12" t="s">
        <v>14</v>
      </c>
      <c r="B44" s="229" t="s">
        <v>758</v>
      </c>
      <c r="C44" s="74" t="str">
        <f t="shared" si="5"/>
        <v>Quarta-Feira</v>
      </c>
      <c r="D44" s="512" t="str">
        <f>IF(C44&lt;&gt;"Quarta-Feira","14:20","09:20")</f>
        <v>09:20</v>
      </c>
      <c r="E44" s="287"/>
      <c r="F44" s="74"/>
      <c r="G44" s="167"/>
      <c r="H44" s="211"/>
      <c r="I44" s="34"/>
      <c r="J44" s="74"/>
      <c r="K44" s="74"/>
      <c r="R44" s="67"/>
    </row>
    <row r="45">
      <c r="A45" s="12" t="s">
        <v>11</v>
      </c>
      <c r="B45" s="229" t="s">
        <v>1468</v>
      </c>
      <c r="C45" s="74" t="str">
        <f t="shared" si="5"/>
        <v>Quarta-Feira</v>
      </c>
      <c r="D45" s="512" t="str">
        <f>IF(C45&lt;&gt;"Quarta-Feira","14:40","09:40")</f>
        <v>09:40</v>
      </c>
      <c r="E45" s="287"/>
      <c r="F45" s="74"/>
      <c r="G45" s="167"/>
      <c r="H45" s="169"/>
      <c r="I45" s="34"/>
      <c r="J45" s="74"/>
      <c r="K45" s="74"/>
      <c r="N45" s="270" t="s">
        <v>1824</v>
      </c>
      <c r="O45" s="2"/>
      <c r="P45" s="2"/>
      <c r="Q45" s="2"/>
      <c r="R45" s="2"/>
    </row>
    <row r="46">
      <c r="A46" s="12" t="s">
        <v>16</v>
      </c>
      <c r="B46" s="229" t="s">
        <v>217</v>
      </c>
      <c r="C46" s="74" t="str">
        <f t="shared" si="5"/>
        <v>Quarta-Feira</v>
      </c>
      <c r="D46" s="512" t="str">
        <f>IF(C46&lt;&gt;"Quarta-Feira","15:00","10:00")</f>
        <v>10:00</v>
      </c>
      <c r="E46" s="287"/>
      <c r="F46" s="74"/>
      <c r="G46" s="167"/>
      <c r="H46" s="211"/>
      <c r="I46" s="34"/>
      <c r="J46" s="74"/>
      <c r="K46" s="74"/>
      <c r="R46" s="67"/>
    </row>
    <row r="47">
      <c r="A47" s="12" t="s">
        <v>17</v>
      </c>
      <c r="B47" s="229" t="s">
        <v>198</v>
      </c>
      <c r="C47" s="74" t="str">
        <f t="shared" si="5"/>
        <v>Quarta-Feira</v>
      </c>
      <c r="D47" s="512" t="str">
        <f>IF(C47&lt;&gt;"Quarta-Feira","15:20","10:20")</f>
        <v>10:20</v>
      </c>
      <c r="E47" s="287"/>
      <c r="F47" s="74"/>
      <c r="G47" s="167"/>
      <c r="H47" s="211"/>
      <c r="I47" s="34"/>
      <c r="J47" s="74"/>
      <c r="K47" s="74"/>
      <c r="R47" s="67"/>
    </row>
    <row r="48">
      <c r="A48" s="12" t="s">
        <v>85</v>
      </c>
      <c r="B48" s="229" t="s">
        <v>1468</v>
      </c>
      <c r="C48" s="74" t="str">
        <f t="shared" si="5"/>
        <v>Quarta-Feira</v>
      </c>
      <c r="D48" s="512" t="str">
        <f>IF(C48&lt;&gt;"Quarta-Feira","15:40","10:40")</f>
        <v>10:40</v>
      </c>
      <c r="E48" s="287"/>
      <c r="F48" s="74"/>
      <c r="G48" s="167"/>
      <c r="H48" s="211"/>
      <c r="I48" s="34"/>
      <c r="J48" s="74"/>
      <c r="K48" s="74"/>
      <c r="R48" s="67"/>
    </row>
    <row r="49">
      <c r="A49" s="12" t="s">
        <v>87</v>
      </c>
      <c r="B49" s="229" t="s">
        <v>758</v>
      </c>
      <c r="C49" s="74" t="str">
        <f t="shared" si="5"/>
        <v>Quarta-Feira</v>
      </c>
      <c r="D49" s="512" t="str">
        <f>IF(C49&lt;&gt;"Quarta-Feira","16:00","11:00")</f>
        <v>11:00</v>
      </c>
      <c r="E49" s="287"/>
      <c r="F49" s="459"/>
      <c r="G49" s="167"/>
      <c r="H49" s="211"/>
      <c r="I49" s="34"/>
      <c r="J49" s="74"/>
      <c r="K49" s="74"/>
      <c r="R49" s="67"/>
    </row>
    <row r="50">
      <c r="A50" s="12" t="s">
        <v>90</v>
      </c>
      <c r="B50" s="229" t="s">
        <v>758</v>
      </c>
      <c r="C50" s="74" t="str">
        <f t="shared" si="5"/>
        <v>Quarta-Feira</v>
      </c>
      <c r="D50" s="512" t="str">
        <f>IF(C50&lt;&gt;"Quarta-Feira","16:20","11:20")</f>
        <v>11:20</v>
      </c>
      <c r="E50" s="287"/>
      <c r="F50" s="74"/>
      <c r="G50" s="167"/>
      <c r="H50" s="522"/>
      <c r="I50" s="34"/>
      <c r="J50" s="74"/>
      <c r="K50" s="74"/>
      <c r="R50" s="67"/>
    </row>
    <row r="51">
      <c r="A51" s="12" t="s">
        <v>93</v>
      </c>
      <c r="B51" s="229" t="s">
        <v>758</v>
      </c>
      <c r="C51" s="74" t="str">
        <f t="shared" si="5"/>
        <v>Quarta-Feira</v>
      </c>
      <c r="D51" s="512" t="str">
        <f>IF(C51&lt;&gt;"Quarta-Feira","16:40","11:40")</f>
        <v>11:40</v>
      </c>
      <c r="E51" s="287"/>
      <c r="F51" s="74"/>
      <c r="G51" s="167"/>
      <c r="H51" s="211"/>
      <c r="I51" s="34"/>
      <c r="J51" s="74"/>
      <c r="K51" s="74"/>
      <c r="R51" s="67"/>
    </row>
    <row r="52">
      <c r="B52" s="182"/>
      <c r="E52" s="523"/>
      <c r="G52" s="182"/>
      <c r="J52" s="67"/>
      <c r="K52" s="67"/>
      <c r="R52" s="67"/>
    </row>
    <row r="53">
      <c r="B53" s="182"/>
      <c r="E53" s="261"/>
      <c r="G53" s="182"/>
      <c r="J53" s="67"/>
      <c r="K53" s="67"/>
      <c r="R53" s="67"/>
    </row>
    <row r="54">
      <c r="B54" s="182"/>
      <c r="E54" s="261"/>
      <c r="G54" s="182"/>
      <c r="J54" s="67"/>
      <c r="K54" s="67"/>
      <c r="R54" s="67"/>
    </row>
    <row r="55">
      <c r="A55" s="23" t="s">
        <v>378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07/08/2026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489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8.75" customHeight="1">
      <c r="A58" s="12" t="s">
        <v>10</v>
      </c>
      <c r="B58" s="229" t="s">
        <v>1358</v>
      </c>
      <c r="C58" s="74" t="str">
        <f t="shared" ref="C58:C69" si="7">PROPER(TEXT(DATE(MID($A$56,7,4),MID($A$56,4,2),LEFT($A$56,2)),"dddd"))</f>
        <v>Sexta-Feira</v>
      </c>
      <c r="D58" s="512" t="str">
        <f>IF(C58&lt;&gt;"Quarta-Feira","13:00","08:00")</f>
        <v>13:00</v>
      </c>
      <c r="E58" s="287"/>
      <c r="F58" s="74"/>
      <c r="G58" s="167"/>
      <c r="H58" s="524"/>
      <c r="I58" s="34"/>
      <c r="J58" s="74"/>
      <c r="K58" s="74"/>
      <c r="N58" s="268" t="s">
        <v>387</v>
      </c>
      <c r="O58" s="100"/>
      <c r="P58" s="100"/>
      <c r="Q58" s="100"/>
      <c r="R58" s="100"/>
    </row>
    <row r="59">
      <c r="A59" s="12" t="s">
        <v>11</v>
      </c>
      <c r="B59" s="229" t="s">
        <v>1359</v>
      </c>
      <c r="C59" s="74" t="str">
        <f t="shared" si="7"/>
        <v>Sexta-Feira</v>
      </c>
      <c r="D59" s="512" t="str">
        <f>IF(C59&lt;&gt;"Quarta-Feira","13:20","08:20")</f>
        <v>13:20</v>
      </c>
      <c r="E59" s="287"/>
      <c r="F59" s="74"/>
      <c r="G59" s="167"/>
      <c r="H59" s="211"/>
      <c r="I59" s="34"/>
      <c r="J59" s="74"/>
      <c r="K59" s="74"/>
      <c r="N59" s="270" t="s">
        <v>1824</v>
      </c>
      <c r="O59" s="2"/>
      <c r="P59" s="2"/>
      <c r="Q59" s="2"/>
      <c r="R59" s="2"/>
    </row>
    <row r="60">
      <c r="A60" s="12" t="s">
        <v>12</v>
      </c>
      <c r="B60" s="229" t="s">
        <v>1361</v>
      </c>
      <c r="C60" s="74" t="str">
        <f t="shared" si="7"/>
        <v>Sexta-Feira</v>
      </c>
      <c r="D60" s="512" t="str">
        <f>IF(C60&lt;&gt;"Quarta-Feira","13:40","08:40")</f>
        <v>13:40</v>
      </c>
      <c r="E60" s="287"/>
      <c r="F60" s="74"/>
      <c r="G60" s="167"/>
      <c r="H60" s="211"/>
      <c r="I60" s="34"/>
      <c r="J60" s="74"/>
      <c r="K60" s="74"/>
      <c r="N60" s="271" t="s">
        <v>183</v>
      </c>
      <c r="O60" s="272" t="s">
        <v>195</v>
      </c>
      <c r="P60" s="272" t="s">
        <v>181</v>
      </c>
      <c r="Q60" s="273" t="s">
        <v>173</v>
      </c>
      <c r="R60" s="286" t="s">
        <v>1823</v>
      </c>
    </row>
    <row r="61">
      <c r="A61" s="12" t="s">
        <v>13</v>
      </c>
      <c r="B61" s="229" t="s">
        <v>1363</v>
      </c>
      <c r="C61" s="74" t="str">
        <f t="shared" si="7"/>
        <v>Sexta-Feira</v>
      </c>
      <c r="D61" s="512" t="str">
        <f>IF(C61&lt;&gt;"Quarta-Feira","14:00","09:00")</f>
        <v>14:00</v>
      </c>
      <c r="E61" s="287"/>
      <c r="F61" s="74"/>
      <c r="G61" s="167"/>
      <c r="H61" s="211"/>
      <c r="I61" s="34"/>
      <c r="J61" s="74"/>
      <c r="K61" s="74"/>
      <c r="N61" s="275">
        <f t="shared" ref="N61:R61" si="8">COUNTIFS($I$58:$I$69,N60)</f>
        <v>0</v>
      </c>
      <c r="O61" s="275">
        <f t="shared" si="8"/>
        <v>0</v>
      </c>
      <c r="P61" s="275">
        <f t="shared" si="8"/>
        <v>0</v>
      </c>
      <c r="Q61" s="275">
        <f t="shared" si="8"/>
        <v>0</v>
      </c>
      <c r="R61" s="275">
        <f t="shared" si="8"/>
        <v>0</v>
      </c>
    </row>
    <row r="62">
      <c r="A62" s="12" t="s">
        <v>14</v>
      </c>
      <c r="B62" s="229" t="s">
        <v>1358</v>
      </c>
      <c r="C62" s="74" t="str">
        <f t="shared" si="7"/>
        <v>Sexta-Feira</v>
      </c>
      <c r="D62" s="512" t="str">
        <f>IF(C62&lt;&gt;"Quarta-Feira","14:20","09:20")</f>
        <v>14:20</v>
      </c>
      <c r="E62" s="287"/>
      <c r="F62" s="74"/>
      <c r="G62" s="167"/>
      <c r="H62" s="211"/>
      <c r="I62" s="34"/>
      <c r="J62" s="74"/>
      <c r="K62" s="74"/>
      <c r="R62" s="67"/>
    </row>
    <row r="63">
      <c r="A63" s="12" t="s">
        <v>15</v>
      </c>
      <c r="B63" s="229" t="s">
        <v>1363</v>
      </c>
      <c r="C63" s="74" t="str">
        <f t="shared" si="7"/>
        <v>Sexta-Feira</v>
      </c>
      <c r="D63" s="512" t="str">
        <f>IF(C63&lt;&gt;"Quarta-Feira","14:40","09:40")</f>
        <v>14:40</v>
      </c>
      <c r="E63" s="287"/>
      <c r="F63" s="74"/>
      <c r="G63" s="167"/>
      <c r="H63" s="211"/>
      <c r="I63" s="34"/>
      <c r="J63" s="74"/>
      <c r="K63" s="74"/>
      <c r="R63" s="67"/>
    </row>
    <row r="64">
      <c r="A64" s="12" t="s">
        <v>16</v>
      </c>
      <c r="B64" s="229" t="s">
        <v>1359</v>
      </c>
      <c r="C64" s="74" t="str">
        <f t="shared" si="7"/>
        <v>Sexta-Feira</v>
      </c>
      <c r="D64" s="512" t="str">
        <f>IF(C64&lt;&gt;"Quarta-Feira","15:00","10:00")</f>
        <v>15:00</v>
      </c>
      <c r="E64" s="287"/>
      <c r="F64" s="74"/>
      <c r="G64" s="167"/>
      <c r="H64" s="211"/>
      <c r="I64" s="34"/>
      <c r="J64" s="74"/>
      <c r="K64" s="74"/>
      <c r="R64" s="67"/>
    </row>
    <row r="65">
      <c r="A65" s="12" t="s">
        <v>17</v>
      </c>
      <c r="B65" s="229" t="s">
        <v>1361</v>
      </c>
      <c r="C65" s="74" t="str">
        <f t="shared" si="7"/>
        <v>Sexta-Feira</v>
      </c>
      <c r="D65" s="512" t="str">
        <f>IF(C65&lt;&gt;"Quarta-Feira","15:20","10:20")</f>
        <v>15:20</v>
      </c>
      <c r="E65" s="287"/>
      <c r="F65" s="74"/>
      <c r="G65" s="167"/>
      <c r="H65" s="211"/>
      <c r="I65" s="34"/>
      <c r="J65" s="74"/>
      <c r="K65" s="74"/>
      <c r="L65" s="67"/>
      <c r="M65" s="67"/>
      <c r="N65" s="67"/>
      <c r="O65" s="286"/>
      <c r="P65" s="67"/>
      <c r="Q65" s="67"/>
      <c r="R65" s="67"/>
      <c r="S65" s="67"/>
      <c r="T65" s="67"/>
      <c r="U65" s="67"/>
      <c r="V65" s="67"/>
      <c r="W65" s="67"/>
      <c r="X65" s="67"/>
    </row>
    <row r="66">
      <c r="A66" s="12" t="s">
        <v>85</v>
      </c>
      <c r="B66" s="229" t="s">
        <v>1358</v>
      </c>
      <c r="C66" s="74" t="str">
        <f t="shared" si="7"/>
        <v>Sexta-Feira</v>
      </c>
      <c r="D66" s="512" t="str">
        <f>IF(C66&lt;&gt;"Quarta-Feira","15:40","10:40")</f>
        <v>15:40</v>
      </c>
      <c r="E66" s="287"/>
      <c r="F66" s="74"/>
      <c r="G66" s="167"/>
      <c r="H66" s="211"/>
      <c r="I66" s="34"/>
      <c r="J66" s="74"/>
      <c r="K66" s="74"/>
      <c r="R66" s="67"/>
    </row>
    <row r="67">
      <c r="A67" s="12" t="s">
        <v>87</v>
      </c>
      <c r="B67" s="229" t="s">
        <v>1359</v>
      </c>
      <c r="C67" s="74" t="str">
        <f t="shared" si="7"/>
        <v>Sexta-Feira</v>
      </c>
      <c r="D67" s="512" t="str">
        <f>IF(C67&lt;&gt;"Quarta-Feira","16:00","11:00")</f>
        <v>16:00</v>
      </c>
      <c r="E67" s="287"/>
      <c r="F67" s="74"/>
      <c r="G67" s="167"/>
      <c r="H67" s="211"/>
      <c r="I67" s="34"/>
      <c r="J67" s="74"/>
      <c r="K67" s="74"/>
      <c r="R67" s="67"/>
    </row>
    <row r="68">
      <c r="A68" s="12" t="s">
        <v>90</v>
      </c>
      <c r="B68" s="229" t="s">
        <v>1361</v>
      </c>
      <c r="C68" s="74" t="str">
        <f t="shared" si="7"/>
        <v>Sexta-Feira</v>
      </c>
      <c r="D68" s="512" t="str">
        <f>IF(C68&lt;&gt;"Quarta-Feira","16:20","11:20")</f>
        <v>16:20</v>
      </c>
      <c r="E68" s="287"/>
      <c r="F68" s="74"/>
      <c r="G68" s="167"/>
      <c r="H68" s="211"/>
      <c r="I68" s="34"/>
      <c r="J68" s="74"/>
      <c r="K68" s="74"/>
      <c r="R68" s="67"/>
    </row>
    <row r="69">
      <c r="A69" s="12" t="s">
        <v>93</v>
      </c>
      <c r="B69" s="229" t="s">
        <v>1363</v>
      </c>
      <c r="C69" s="74" t="str">
        <f t="shared" si="7"/>
        <v>Sexta-Feira</v>
      </c>
      <c r="D69" s="512" t="str">
        <f>IF(C69&lt;&gt;"Quarta-Feira","16:40","11:40")</f>
        <v>16:40</v>
      </c>
      <c r="E69" s="287"/>
      <c r="F69" s="74"/>
      <c r="G69" s="167"/>
      <c r="H69" s="211"/>
      <c r="I69" s="34"/>
      <c r="J69" s="74"/>
      <c r="K69" s="74"/>
      <c r="R69" s="67"/>
    </row>
    <row r="70">
      <c r="B70" s="182"/>
      <c r="E70" s="261"/>
      <c r="G70" s="182"/>
      <c r="J70" s="67"/>
      <c r="K70" s="67"/>
      <c r="R70" s="67"/>
    </row>
    <row r="71">
      <c r="B71" s="182"/>
      <c r="E71" s="261"/>
      <c r="G71" s="182"/>
      <c r="J71" s="67"/>
      <c r="K71" s="67"/>
      <c r="R71" s="67"/>
    </row>
    <row r="72" ht="15.0" customHeight="1">
      <c r="B72" s="182"/>
      <c r="E72" s="261"/>
      <c r="G72" s="182"/>
      <c r="J72" s="67"/>
      <c r="K72" s="67"/>
      <c r="R72" s="67"/>
    </row>
    <row r="73">
      <c r="A73" s="23" t="s">
        <v>378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TEXT(DATE(VALUE(MID(A56,7,4)),VALUE(MID(A56,4,2)),VALUE(LEFT(A56,2)))+3,"dd/mm/yyyy")&amp;" 13h às 17h"</f>
        <v>10/08/2026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25"/>
      <c r="B75" s="489" t="s">
        <v>3</v>
      </c>
      <c r="C75" s="27" t="s">
        <v>2</v>
      </c>
      <c r="D75" s="28" t="s">
        <v>5</v>
      </c>
      <c r="E75" s="29" t="s">
        <v>19</v>
      </c>
      <c r="F75" s="28" t="s">
        <v>6</v>
      </c>
      <c r="G75" s="264" t="s">
        <v>7</v>
      </c>
      <c r="H75" s="30" t="s">
        <v>8</v>
      </c>
      <c r="I75" s="31" t="s">
        <v>20</v>
      </c>
      <c r="J75" s="32" t="s">
        <v>21</v>
      </c>
      <c r="K75" s="32" t="s">
        <v>22</v>
      </c>
      <c r="R75" s="67"/>
    </row>
    <row r="76">
      <c r="A76" s="12" t="s">
        <v>10</v>
      </c>
      <c r="B76" s="229" t="s">
        <v>65</v>
      </c>
      <c r="C76" s="74" t="str">
        <f t="shared" ref="C76:C87" si="9">PROPER(TEXT(DATE(MID($A$74,7,4),MID($A$74,4,2),LEFT($A$74,2)),"dddd"))</f>
        <v>Segunda-Feira</v>
      </c>
      <c r="D76" s="512" t="str">
        <f>IF(C76&lt;&gt;"Quarta-Feira","13:00","08:00")</f>
        <v>13:00</v>
      </c>
      <c r="E76" s="287"/>
      <c r="F76" s="74"/>
      <c r="G76" s="167"/>
      <c r="H76" s="211"/>
      <c r="I76" s="34"/>
      <c r="J76" s="74"/>
      <c r="K76" s="74"/>
      <c r="L76" s="216" t="s">
        <v>521</v>
      </c>
      <c r="N76" s="268" t="s">
        <v>387</v>
      </c>
      <c r="O76" s="100"/>
      <c r="P76" s="100"/>
      <c r="Q76" s="100"/>
      <c r="R76" s="100"/>
    </row>
    <row r="77">
      <c r="A77" s="12" t="s">
        <v>11</v>
      </c>
      <c r="B77" s="229" t="s">
        <v>202</v>
      </c>
      <c r="C77" s="74" t="str">
        <f t="shared" si="9"/>
        <v>Segunda-Feira</v>
      </c>
      <c r="D77" s="512" t="str">
        <f>IF(C77&lt;&gt;"Quarta-Feira","13:20","08:20")</f>
        <v>13:20</v>
      </c>
      <c r="E77" s="287"/>
      <c r="F77" s="74"/>
      <c r="G77" s="167"/>
      <c r="H77" s="77"/>
      <c r="I77" s="34"/>
      <c r="J77" s="74"/>
      <c r="K77" s="74"/>
      <c r="N77" s="270" t="s">
        <v>1824</v>
      </c>
      <c r="O77" s="2"/>
      <c r="P77" s="2"/>
      <c r="Q77" s="2"/>
      <c r="R77" s="2"/>
    </row>
    <row r="78">
      <c r="A78" s="12" t="s">
        <v>12</v>
      </c>
      <c r="B78" s="229" t="s">
        <v>1448</v>
      </c>
      <c r="C78" s="74" t="str">
        <f t="shared" si="9"/>
        <v>Segunda-Feira</v>
      </c>
      <c r="D78" s="512" t="str">
        <f>IF(C78&lt;&gt;"Quarta-Feira","13:40","08:40")</f>
        <v>13:40</v>
      </c>
      <c r="E78" s="287"/>
      <c r="F78" s="74"/>
      <c r="G78" s="167"/>
      <c r="H78" s="83"/>
      <c r="I78" s="34"/>
      <c r="J78" s="74"/>
      <c r="K78" s="74"/>
      <c r="L78" s="216" t="s">
        <v>521</v>
      </c>
      <c r="N78" s="271" t="s">
        <v>183</v>
      </c>
      <c r="O78" s="272" t="s">
        <v>195</v>
      </c>
      <c r="P78" s="272" t="s">
        <v>181</v>
      </c>
      <c r="Q78" s="273" t="s">
        <v>173</v>
      </c>
      <c r="R78" s="286" t="s">
        <v>1823</v>
      </c>
    </row>
    <row r="79">
      <c r="A79" s="12" t="s">
        <v>13</v>
      </c>
      <c r="B79" s="229" t="s">
        <v>822</v>
      </c>
      <c r="C79" s="74" t="str">
        <f t="shared" si="9"/>
        <v>Segunda-Feira</v>
      </c>
      <c r="D79" s="512" t="str">
        <f>IF(C79&lt;&gt;"Quarta-Feira","14:00","09:00")</f>
        <v>14:00</v>
      </c>
      <c r="E79" s="287"/>
      <c r="F79" s="74"/>
      <c r="G79" s="496"/>
      <c r="H79" s="83"/>
      <c r="I79" s="34"/>
      <c r="J79" s="74"/>
      <c r="K79" s="74"/>
      <c r="L79" s="216" t="s">
        <v>521</v>
      </c>
      <c r="N79" s="275">
        <f t="shared" ref="N79:R79" si="10">COUNTIFS($I$76:$I$87,N78)</f>
        <v>0</v>
      </c>
      <c r="O79" s="275">
        <f t="shared" si="10"/>
        <v>0</v>
      </c>
      <c r="P79" s="275">
        <f t="shared" si="10"/>
        <v>0</v>
      </c>
      <c r="Q79" s="275">
        <f t="shared" si="10"/>
        <v>0</v>
      </c>
      <c r="R79" s="275">
        <f t="shared" si="10"/>
        <v>0</v>
      </c>
    </row>
    <row r="80" ht="18.0" customHeight="1">
      <c r="A80" s="12" t="s">
        <v>14</v>
      </c>
      <c r="B80" s="229" t="s">
        <v>202</v>
      </c>
      <c r="C80" s="74" t="str">
        <f t="shared" si="9"/>
        <v>Segunda-Feira</v>
      </c>
      <c r="D80" s="512" t="str">
        <f>IF(C80&lt;&gt;"Quarta-Feira","14:20","09:20")</f>
        <v>14:20</v>
      </c>
      <c r="E80" s="287"/>
      <c r="F80" s="74"/>
      <c r="G80" s="167"/>
      <c r="H80" s="83"/>
      <c r="I80" s="34"/>
      <c r="J80" s="74"/>
      <c r="K80" s="74"/>
      <c r="L80" s="216" t="s">
        <v>521</v>
      </c>
      <c r="R80" s="67"/>
    </row>
    <row r="81">
      <c r="A81" s="12" t="s">
        <v>15</v>
      </c>
      <c r="B81" s="229" t="s">
        <v>1448</v>
      </c>
      <c r="C81" s="74" t="str">
        <f t="shared" si="9"/>
        <v>Segunda-Feira</v>
      </c>
      <c r="D81" s="512" t="str">
        <f>IF(C81&lt;&gt;"Quarta-Feira","14:40","09:40")</f>
        <v>14:40</v>
      </c>
      <c r="E81" s="287"/>
      <c r="F81" s="74"/>
      <c r="G81" s="167"/>
      <c r="H81" s="83"/>
      <c r="I81" s="34"/>
      <c r="J81" s="74"/>
      <c r="K81" s="74"/>
      <c r="L81" s="216" t="s">
        <v>521</v>
      </c>
      <c r="R81" s="67"/>
    </row>
    <row r="82">
      <c r="A82" s="12" t="s">
        <v>16</v>
      </c>
      <c r="B82" s="229" t="s">
        <v>65</v>
      </c>
      <c r="C82" s="74" t="str">
        <f t="shared" si="9"/>
        <v>Segunda-Feira</v>
      </c>
      <c r="D82" s="512" t="str">
        <f>IF(C82&lt;&gt;"Quarta-Feira","15:00","10:00")</f>
        <v>15:00</v>
      </c>
      <c r="E82" s="287"/>
      <c r="F82" s="74"/>
      <c r="G82" s="167"/>
      <c r="H82" s="83"/>
      <c r="I82" s="34"/>
      <c r="J82" s="74"/>
      <c r="K82" s="74"/>
      <c r="L82" s="216" t="s">
        <v>521</v>
      </c>
      <c r="R82" s="67"/>
    </row>
    <row r="83">
      <c r="A83" s="12" t="s">
        <v>179</v>
      </c>
      <c r="B83" s="229" t="s">
        <v>202</v>
      </c>
      <c r="C83" s="74" t="str">
        <f t="shared" si="9"/>
        <v>Segunda-Feira</v>
      </c>
      <c r="D83" s="512" t="str">
        <f>IF(C83&lt;&gt;"Quarta-Feira","15:20","10:20")</f>
        <v>15:20</v>
      </c>
      <c r="E83" s="287"/>
      <c r="F83" s="74"/>
      <c r="G83" s="167"/>
      <c r="H83" s="77"/>
      <c r="I83" s="34"/>
      <c r="J83" s="74"/>
      <c r="K83" s="74"/>
      <c r="L83" s="216" t="s">
        <v>521</v>
      </c>
      <c r="R83" s="67"/>
    </row>
    <row r="84">
      <c r="A84" s="12" t="s">
        <v>85</v>
      </c>
      <c r="B84" s="229" t="s">
        <v>822</v>
      </c>
      <c r="C84" s="74" t="str">
        <f t="shared" si="9"/>
        <v>Segunda-Feira</v>
      </c>
      <c r="D84" s="512" t="str">
        <f>IF(C84&lt;&gt;"Quarta-Feira","15:40","10:40")</f>
        <v>15:40</v>
      </c>
      <c r="E84" s="287"/>
      <c r="F84" s="74"/>
      <c r="G84" s="167"/>
      <c r="H84" s="83"/>
      <c r="I84" s="34"/>
      <c r="J84" s="74"/>
      <c r="K84" s="74"/>
      <c r="L84" s="216" t="s">
        <v>521</v>
      </c>
      <c r="R84" s="67"/>
    </row>
    <row r="85">
      <c r="A85" s="12" t="s">
        <v>87</v>
      </c>
      <c r="B85" s="229" t="s">
        <v>1448</v>
      </c>
      <c r="C85" s="74" t="str">
        <f t="shared" si="9"/>
        <v>Segunda-Feira</v>
      </c>
      <c r="D85" s="512" t="str">
        <f>IF(C85&lt;&gt;"Quarta-Feira","16:00","11:00")</f>
        <v>16:00</v>
      </c>
      <c r="E85" s="287"/>
      <c r="F85" s="74"/>
      <c r="G85" s="167"/>
      <c r="H85" s="166"/>
      <c r="I85" s="34"/>
      <c r="J85" s="74"/>
      <c r="K85" s="74"/>
      <c r="L85" s="216" t="s">
        <v>521</v>
      </c>
      <c r="R85" s="67"/>
    </row>
    <row r="86">
      <c r="A86" s="12" t="s">
        <v>90</v>
      </c>
      <c r="B86" s="229" t="s">
        <v>822</v>
      </c>
      <c r="C86" s="74" t="str">
        <f t="shared" si="9"/>
        <v>Segunda-Feira</v>
      </c>
      <c r="D86" s="512" t="str">
        <f>IF(C86&lt;&gt;"Quarta-Feira","16:20","11:20")</f>
        <v>16:20</v>
      </c>
      <c r="E86" s="287"/>
      <c r="F86" s="74"/>
      <c r="G86" s="167"/>
      <c r="H86" s="166"/>
      <c r="I86" s="34"/>
      <c r="J86" s="74"/>
      <c r="K86" s="74"/>
      <c r="L86" s="216" t="s">
        <v>521</v>
      </c>
      <c r="R86" s="67"/>
    </row>
    <row r="87">
      <c r="A87" s="12" t="s">
        <v>93</v>
      </c>
      <c r="B87" s="229" t="s">
        <v>65</v>
      </c>
      <c r="C87" s="74" t="str">
        <f t="shared" si="9"/>
        <v>Segunda-Feira</v>
      </c>
      <c r="D87" s="512" t="str">
        <f>IF(C87&lt;&gt;"Quarta-Feira","16:40","11:40")</f>
        <v>16:40</v>
      </c>
      <c r="E87" s="287"/>
      <c r="F87" s="74"/>
      <c r="G87" s="167"/>
      <c r="H87" s="166"/>
      <c r="I87" s="34"/>
      <c r="J87" s="74"/>
      <c r="K87" s="74"/>
      <c r="R87" s="67"/>
    </row>
    <row r="88">
      <c r="B88" s="182"/>
      <c r="E88" s="261"/>
      <c r="G88" s="182"/>
      <c r="J88" s="67"/>
      <c r="K88" s="67"/>
      <c r="R88" s="67"/>
    </row>
    <row r="89">
      <c r="B89" s="182"/>
      <c r="E89" s="261"/>
      <c r="G89" s="182"/>
      <c r="J89" s="67"/>
      <c r="K89" s="67"/>
      <c r="R89" s="67"/>
    </row>
    <row r="90">
      <c r="B90" s="182"/>
      <c r="E90" s="261"/>
      <c r="G90" s="182"/>
      <c r="J90" s="67"/>
      <c r="K90" s="67"/>
      <c r="R90" s="67"/>
    </row>
    <row r="91">
      <c r="A91" s="23" t="s">
        <v>378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08h às 13h"</f>
        <v>12/08/2026 08h às 13h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489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64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2381</v>
      </c>
      <c r="C94" s="74" t="str">
        <f t="shared" ref="C94:C105" si="11">PROPER(TEXT(DATE(MID($A$92,7,4),MID($A$92,4,2),LEFT($A$92,2)),"dddd"))</f>
        <v>Quarta-Feira</v>
      </c>
      <c r="D94" s="512" t="str">
        <f>IF(C94&lt;&gt;"Quarta-Feira","13:00","08:00")</f>
        <v>08:00</v>
      </c>
      <c r="E94" s="287"/>
      <c r="F94" s="74"/>
      <c r="G94" s="167"/>
      <c r="H94" s="211"/>
      <c r="I94" s="34"/>
      <c r="J94" s="74"/>
      <c r="K94" s="74"/>
      <c r="L94" s="216" t="s">
        <v>521</v>
      </c>
      <c r="N94" s="268" t="s">
        <v>387</v>
      </c>
      <c r="O94" s="100"/>
      <c r="P94" s="100"/>
      <c r="Q94" s="100"/>
      <c r="R94" s="100"/>
    </row>
    <row r="95">
      <c r="A95" s="12" t="s">
        <v>11</v>
      </c>
      <c r="B95" s="227" t="s">
        <v>2384</v>
      </c>
      <c r="C95" s="74" t="str">
        <f t="shared" si="11"/>
        <v>Quarta-Feira</v>
      </c>
      <c r="D95" s="512" t="str">
        <f>IF(C95&lt;&gt;"Quarta-Feira","13:20","08:20")</f>
        <v>08:20</v>
      </c>
      <c r="E95" s="287"/>
      <c r="F95" s="74"/>
      <c r="G95" s="167"/>
      <c r="H95" s="77"/>
      <c r="I95" s="34"/>
      <c r="J95" s="74"/>
      <c r="K95" s="74"/>
      <c r="N95" s="270" t="s">
        <v>1824</v>
      </c>
      <c r="O95" s="2"/>
      <c r="P95" s="2"/>
      <c r="Q95" s="2"/>
      <c r="R95" s="2"/>
    </row>
    <row r="96">
      <c r="A96" s="12" t="s">
        <v>12</v>
      </c>
      <c r="B96" s="227" t="s">
        <v>2387</v>
      </c>
      <c r="C96" s="74" t="str">
        <f t="shared" si="11"/>
        <v>Quarta-Feira</v>
      </c>
      <c r="D96" s="512" t="str">
        <f>IF(C96&lt;&gt;"Quarta-Feira","13:40","08:40")</f>
        <v>08:40</v>
      </c>
      <c r="E96" s="287"/>
      <c r="F96" s="74"/>
      <c r="G96" s="167"/>
      <c r="H96" s="83"/>
      <c r="I96" s="34"/>
      <c r="J96" s="74"/>
      <c r="K96" s="74"/>
      <c r="L96" s="216" t="s">
        <v>521</v>
      </c>
      <c r="N96" s="271" t="s">
        <v>183</v>
      </c>
      <c r="O96" s="272" t="s">
        <v>195</v>
      </c>
      <c r="P96" s="272" t="s">
        <v>181</v>
      </c>
      <c r="Q96" s="273" t="s">
        <v>173</v>
      </c>
      <c r="R96" s="286" t="s">
        <v>1823</v>
      </c>
    </row>
    <row r="97">
      <c r="A97" s="12" t="s">
        <v>13</v>
      </c>
      <c r="B97" s="227" t="s">
        <v>2390</v>
      </c>
      <c r="C97" s="74" t="str">
        <f t="shared" si="11"/>
        <v>Quarta-Feira</v>
      </c>
      <c r="D97" s="512" t="str">
        <f>IF(C97&lt;&gt;"Quarta-Feira","14:00","09:00")</f>
        <v>09:00</v>
      </c>
      <c r="E97" s="287"/>
      <c r="F97" s="74"/>
      <c r="G97" s="167"/>
      <c r="H97" s="83"/>
      <c r="I97" s="34"/>
      <c r="J97" s="74"/>
      <c r="K97" s="74"/>
      <c r="L97" s="216" t="s">
        <v>521</v>
      </c>
      <c r="N97" s="275">
        <f t="shared" ref="N97:Q97" si="12">COUNTIFS($I$94:$I$105,N96)</f>
        <v>0</v>
      </c>
      <c r="O97" s="275">
        <f t="shared" si="12"/>
        <v>0</v>
      </c>
      <c r="P97" s="275">
        <f t="shared" si="12"/>
        <v>0</v>
      </c>
      <c r="Q97" s="275">
        <f t="shared" si="12"/>
        <v>0</v>
      </c>
      <c r="R97" s="67">
        <f>COUNTIFS(I94:I105,R96)</f>
        <v>0</v>
      </c>
    </row>
    <row r="98">
      <c r="A98" s="12" t="s">
        <v>14</v>
      </c>
      <c r="B98" s="227" t="s">
        <v>2381</v>
      </c>
      <c r="C98" s="74" t="str">
        <f t="shared" si="11"/>
        <v>Quarta-Feira</v>
      </c>
      <c r="D98" s="512" t="str">
        <f>IF(C98&lt;&gt;"Quarta-Feira","14:20","09:20")</f>
        <v>09:20</v>
      </c>
      <c r="E98" s="287"/>
      <c r="F98" s="74"/>
      <c r="G98" s="167"/>
      <c r="H98" s="83"/>
      <c r="I98" s="34"/>
      <c r="J98" s="74"/>
      <c r="K98" s="74"/>
      <c r="L98" s="216" t="s">
        <v>521</v>
      </c>
      <c r="R98" s="67"/>
    </row>
    <row r="99">
      <c r="A99" s="12" t="s">
        <v>15</v>
      </c>
      <c r="B99" s="227" t="s">
        <v>2384</v>
      </c>
      <c r="C99" s="74" t="str">
        <f t="shared" si="11"/>
        <v>Quarta-Feira</v>
      </c>
      <c r="D99" s="512" t="str">
        <f>IF(C99&lt;&gt;"Quarta-Feira","14:40","09:40")</f>
        <v>09:40</v>
      </c>
      <c r="E99" s="287"/>
      <c r="F99" s="74"/>
      <c r="G99" s="167"/>
      <c r="H99" s="83"/>
      <c r="I99" s="34"/>
      <c r="J99" s="74"/>
      <c r="K99" s="74"/>
      <c r="L99" s="216" t="s">
        <v>521</v>
      </c>
      <c r="R99" s="67"/>
    </row>
    <row r="100">
      <c r="A100" s="12" t="s">
        <v>16</v>
      </c>
      <c r="B100" s="227" t="s">
        <v>2387</v>
      </c>
      <c r="C100" s="74" t="str">
        <f t="shared" si="11"/>
        <v>Quarta-Feira</v>
      </c>
      <c r="D100" s="512" t="str">
        <f>IF(C100&lt;&gt;"Quarta-Feira","15:00","10:00")</f>
        <v>10:00</v>
      </c>
      <c r="E100" s="287"/>
      <c r="F100" s="74"/>
      <c r="G100" s="167"/>
      <c r="H100" s="83"/>
      <c r="I100" s="34"/>
      <c r="J100" s="74"/>
      <c r="K100" s="74"/>
      <c r="R100" s="67"/>
    </row>
    <row r="101">
      <c r="A101" s="12" t="s">
        <v>17</v>
      </c>
      <c r="B101" s="227" t="s">
        <v>2390</v>
      </c>
      <c r="C101" s="74" t="str">
        <f t="shared" si="11"/>
        <v>Quarta-Feira</v>
      </c>
      <c r="D101" s="512" t="str">
        <f>IF(C101&lt;&gt;"Quarta-Feira","15:20","10:20")</f>
        <v>10:20</v>
      </c>
      <c r="E101" s="287"/>
      <c r="F101" s="74"/>
      <c r="G101" s="167"/>
      <c r="H101" s="77"/>
      <c r="I101" s="34"/>
      <c r="J101" s="74"/>
      <c r="K101" s="74"/>
      <c r="R101" s="67"/>
    </row>
    <row r="102">
      <c r="A102" s="12" t="s">
        <v>85</v>
      </c>
      <c r="B102" s="227" t="s">
        <v>2384</v>
      </c>
      <c r="C102" s="74" t="str">
        <f t="shared" si="11"/>
        <v>Quarta-Feira</v>
      </c>
      <c r="D102" s="512" t="str">
        <f>IF(C102&lt;&gt;"Quarta-Feira","15:40","10:40")</f>
        <v>10:40</v>
      </c>
      <c r="E102" s="287"/>
      <c r="F102" s="74"/>
      <c r="G102" s="167"/>
      <c r="H102" s="83"/>
      <c r="I102" s="34"/>
      <c r="J102" s="74"/>
      <c r="K102" s="74"/>
      <c r="L102" s="216" t="s">
        <v>577</v>
      </c>
      <c r="R102" s="67"/>
    </row>
    <row r="103">
      <c r="A103" s="12" t="s">
        <v>87</v>
      </c>
      <c r="B103" s="227" t="s">
        <v>2381</v>
      </c>
      <c r="C103" s="74" t="str">
        <f t="shared" si="11"/>
        <v>Quarta-Feira</v>
      </c>
      <c r="D103" s="512" t="str">
        <f>IF(C103&lt;&gt;"Quarta-Feira","16:00","11:00")</f>
        <v>11:00</v>
      </c>
      <c r="E103" s="287"/>
      <c r="F103" s="74"/>
      <c r="G103" s="167"/>
      <c r="H103" s="166"/>
      <c r="I103" s="34"/>
      <c r="J103" s="74"/>
      <c r="K103" s="74"/>
      <c r="R103" s="67"/>
    </row>
    <row r="104">
      <c r="A104" s="12" t="s">
        <v>90</v>
      </c>
      <c r="B104" s="227" t="s">
        <v>2381</v>
      </c>
      <c r="C104" s="74" t="str">
        <f t="shared" si="11"/>
        <v>Quarta-Feira</v>
      </c>
      <c r="D104" s="512" t="str">
        <f>IF(C104&lt;&gt;"Quarta-Feira","16:20","11:20")</f>
        <v>11:20</v>
      </c>
      <c r="E104" s="287"/>
      <c r="F104" s="74"/>
      <c r="G104" s="167"/>
      <c r="H104" s="166"/>
      <c r="I104" s="34"/>
      <c r="J104" s="74"/>
      <c r="K104" s="74"/>
      <c r="R104" s="67"/>
    </row>
    <row r="105">
      <c r="A105" s="12" t="s">
        <v>93</v>
      </c>
      <c r="B105" s="227" t="s">
        <v>2381</v>
      </c>
      <c r="C105" s="74" t="str">
        <f t="shared" si="11"/>
        <v>Quarta-Feira</v>
      </c>
      <c r="D105" s="512" t="str">
        <f>IF(C105&lt;&gt;"Quarta-Feira","16:40","11:40")</f>
        <v>11:40</v>
      </c>
      <c r="E105" s="287"/>
      <c r="F105" s="74"/>
      <c r="G105" s="167"/>
      <c r="H105" s="166"/>
      <c r="I105" s="34"/>
      <c r="J105" s="74"/>
      <c r="K105" s="74"/>
      <c r="R105" s="67"/>
    </row>
    <row r="106">
      <c r="B106" s="182"/>
      <c r="E106" s="261"/>
      <c r="G106" s="182"/>
      <c r="J106" s="67"/>
      <c r="K106" s="67"/>
      <c r="R106" s="67"/>
    </row>
    <row r="107">
      <c r="B107" s="182"/>
      <c r="E107" s="261"/>
      <c r="G107" s="182"/>
      <c r="J107" s="67"/>
      <c r="K107" s="67"/>
      <c r="R107" s="67"/>
    </row>
    <row r="108">
      <c r="B108" s="182"/>
      <c r="E108" s="261"/>
      <c r="G108" s="182"/>
      <c r="J108" s="67"/>
      <c r="K108" s="67"/>
      <c r="R108" s="67"/>
    </row>
    <row r="109">
      <c r="A109" s="23" t="s">
        <v>378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TEXT(DATE(VALUE(MID(A56,7,4)),VALUE(MID(A56,4,2)),VALUE(LEFT(A56,2)))+7,"dd/mm/yyyy")&amp;" 13h às 17h"</f>
        <v>14/08/2026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489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1981</v>
      </c>
      <c r="C112" s="74" t="str">
        <f t="shared" ref="C112:C123" si="13">PROPER(TEXT(DATE(MID($A$110,7,4),MID($A$110,4,2),LEFT($A$110,2)),"dddd"))</f>
        <v>Sexta-Feira</v>
      </c>
      <c r="D112" s="512" t="str">
        <f>IF(C112&lt;&gt;"Quarta-Feira","13:00","08:00")</f>
        <v>13:00</v>
      </c>
      <c r="E112" s="287"/>
      <c r="F112" s="74"/>
      <c r="G112" s="167"/>
      <c r="H112" s="522"/>
      <c r="I112" s="34"/>
      <c r="J112" s="74"/>
      <c r="K112" s="74"/>
      <c r="N112" s="268" t="s">
        <v>387</v>
      </c>
      <c r="O112" s="100"/>
      <c r="P112" s="100"/>
      <c r="Q112" s="100"/>
      <c r="R112" s="100"/>
    </row>
    <row r="113">
      <c r="A113" s="12" t="s">
        <v>11</v>
      </c>
      <c r="B113" s="227" t="s">
        <v>1985</v>
      </c>
      <c r="C113" s="74" t="str">
        <f t="shared" si="13"/>
        <v>Sexta-Feira</v>
      </c>
      <c r="D113" s="512" t="str">
        <f>IF(C113&lt;&gt;"Quarta-Feira","13:20","08:20")</f>
        <v>13:20</v>
      </c>
      <c r="E113" s="287"/>
      <c r="F113" s="74"/>
      <c r="G113" s="167"/>
      <c r="H113" s="77"/>
      <c r="I113" s="34"/>
      <c r="J113" s="74"/>
      <c r="K113" s="74"/>
      <c r="N113" s="270" t="s">
        <v>1824</v>
      </c>
      <c r="O113" s="2"/>
      <c r="P113" s="2"/>
      <c r="Q113" s="2"/>
      <c r="R113" s="2"/>
    </row>
    <row r="114">
      <c r="A114" s="12" t="s">
        <v>12</v>
      </c>
      <c r="B114" s="227" t="s">
        <v>1989</v>
      </c>
      <c r="C114" s="74" t="str">
        <f t="shared" si="13"/>
        <v>Sexta-Feira</v>
      </c>
      <c r="D114" s="512" t="str">
        <f>IF(C114&lt;&gt;"Quarta-Feira","13:40","08:40")</f>
        <v>13:40</v>
      </c>
      <c r="E114" s="287"/>
      <c r="F114" s="74"/>
      <c r="G114" s="167"/>
      <c r="H114" s="83"/>
      <c r="I114" s="34"/>
      <c r="J114" s="74"/>
      <c r="K114" s="74"/>
      <c r="N114" s="271" t="s">
        <v>183</v>
      </c>
      <c r="O114" s="272" t="s">
        <v>195</v>
      </c>
      <c r="P114" s="272" t="s">
        <v>181</v>
      </c>
      <c r="Q114" s="273" t="s">
        <v>173</v>
      </c>
      <c r="R114" s="286" t="s">
        <v>1823</v>
      </c>
    </row>
    <row r="115">
      <c r="A115" s="12" t="s">
        <v>13</v>
      </c>
      <c r="B115" s="227" t="s">
        <v>1992</v>
      </c>
      <c r="C115" s="74" t="str">
        <f t="shared" si="13"/>
        <v>Sexta-Feira</v>
      </c>
      <c r="D115" s="512" t="str">
        <f>IF(C115&lt;&gt;"Quarta-Feira","14:00","09:00")</f>
        <v>14:00</v>
      </c>
      <c r="E115" s="287"/>
      <c r="F115" s="74"/>
      <c r="G115" s="167"/>
      <c r="H115" s="83"/>
      <c r="I115" s="34"/>
      <c r="J115" s="74"/>
      <c r="K115" s="74"/>
      <c r="N115" s="275">
        <f t="shared" ref="N115:R115" si="14">COUNTIFS($I$112:$I$123,N114)</f>
        <v>0</v>
      </c>
      <c r="O115" s="275">
        <f t="shared" si="14"/>
        <v>0</v>
      </c>
      <c r="P115" s="275">
        <f t="shared" si="14"/>
        <v>0</v>
      </c>
      <c r="Q115" s="275">
        <f t="shared" si="14"/>
        <v>0</v>
      </c>
      <c r="R115" s="275">
        <f t="shared" si="14"/>
        <v>0</v>
      </c>
    </row>
    <row r="116">
      <c r="A116" s="12" t="s">
        <v>14</v>
      </c>
      <c r="B116" s="227" t="s">
        <v>1981</v>
      </c>
      <c r="C116" s="74" t="str">
        <f t="shared" si="13"/>
        <v>Sexta-Feira</v>
      </c>
      <c r="D116" s="512" t="str">
        <f>IF(C116&lt;&gt;"Quarta-Feira","14:20","09:20")</f>
        <v>14:20</v>
      </c>
      <c r="E116" s="287"/>
      <c r="F116" s="74"/>
      <c r="G116" s="167"/>
      <c r="H116" s="83"/>
      <c r="I116" s="34"/>
      <c r="J116" s="74"/>
      <c r="K116" s="74"/>
      <c r="R116" s="67"/>
    </row>
    <row r="117">
      <c r="A117" s="12" t="s">
        <v>15</v>
      </c>
      <c r="B117" s="227" t="s">
        <v>1985</v>
      </c>
      <c r="C117" s="74" t="str">
        <f t="shared" si="13"/>
        <v>Sexta-Feira</v>
      </c>
      <c r="D117" s="512" t="str">
        <f>IF(C117&lt;&gt;"Quarta-Feira","14:40","09:40")</f>
        <v>14:40</v>
      </c>
      <c r="E117" s="287"/>
      <c r="F117" s="74"/>
      <c r="G117" s="167"/>
      <c r="H117" s="83"/>
      <c r="I117" s="34"/>
      <c r="J117" s="74"/>
      <c r="K117" s="74"/>
      <c r="R117" s="67"/>
    </row>
    <row r="118">
      <c r="A118" s="12" t="s">
        <v>16</v>
      </c>
      <c r="B118" s="227" t="s">
        <v>1989</v>
      </c>
      <c r="C118" s="74" t="str">
        <f t="shared" si="13"/>
        <v>Sexta-Feira</v>
      </c>
      <c r="D118" s="512" t="str">
        <f>IF(C118&lt;&gt;"Quarta-Feira","15:00","10:00")</f>
        <v>15:00</v>
      </c>
      <c r="E118" s="287"/>
      <c r="F118" s="74"/>
      <c r="G118" s="167"/>
      <c r="H118" s="83"/>
      <c r="I118" s="34"/>
      <c r="J118" s="74"/>
      <c r="K118" s="74"/>
      <c r="R118" s="67"/>
    </row>
    <row r="119">
      <c r="A119" s="12" t="s">
        <v>17</v>
      </c>
      <c r="B119" s="227" t="s">
        <v>1992</v>
      </c>
      <c r="C119" s="74" t="str">
        <f t="shared" si="13"/>
        <v>Sexta-Feira</v>
      </c>
      <c r="D119" s="512" t="str">
        <f>IF(C119&lt;&gt;"Quarta-Feira","15:20","10:20")</f>
        <v>15:20</v>
      </c>
      <c r="E119" s="287"/>
      <c r="F119" s="74"/>
      <c r="G119" s="167"/>
      <c r="H119" s="77"/>
      <c r="I119" s="34"/>
      <c r="J119" s="74"/>
      <c r="K119" s="74"/>
      <c r="R119" s="67"/>
    </row>
    <row r="120">
      <c r="A120" s="12" t="s">
        <v>85</v>
      </c>
      <c r="B120" s="227" t="s">
        <v>1981</v>
      </c>
      <c r="C120" s="74" t="str">
        <f t="shared" si="13"/>
        <v>Sexta-Feira</v>
      </c>
      <c r="D120" s="512" t="str">
        <f>IF(C120&lt;&gt;"Quarta-Feira","15:40","10:40")</f>
        <v>15:40</v>
      </c>
      <c r="E120" s="287"/>
      <c r="F120" s="74"/>
      <c r="G120" s="167"/>
      <c r="H120" s="83"/>
      <c r="I120" s="34"/>
      <c r="J120" s="74"/>
      <c r="K120" s="74"/>
      <c r="R120" s="67"/>
      <c r="V120" s="336"/>
    </row>
    <row r="121">
      <c r="A121" s="12" t="s">
        <v>87</v>
      </c>
      <c r="B121" s="227" t="s">
        <v>1985</v>
      </c>
      <c r="C121" s="74" t="str">
        <f t="shared" si="13"/>
        <v>Sexta-Feira</v>
      </c>
      <c r="D121" s="512" t="str">
        <f>IF(C121&lt;&gt;"Quarta-Feira","16:00","11:00")</f>
        <v>16:00</v>
      </c>
      <c r="E121" s="287"/>
      <c r="F121" s="74"/>
      <c r="G121" s="167"/>
      <c r="H121" s="166"/>
      <c r="I121" s="34"/>
      <c r="J121" s="74"/>
      <c r="K121" s="74"/>
      <c r="R121" s="67"/>
    </row>
    <row r="122">
      <c r="A122" s="12" t="s">
        <v>90</v>
      </c>
      <c r="B122" s="227" t="s">
        <v>1989</v>
      </c>
      <c r="C122" s="74" t="str">
        <f t="shared" si="13"/>
        <v>Sexta-Feira</v>
      </c>
      <c r="D122" s="512" t="str">
        <f>IF(C122&lt;&gt;"Quarta-Feira","16:20","11:20")</f>
        <v>16:20</v>
      </c>
      <c r="E122" s="287"/>
      <c r="F122" s="74"/>
      <c r="G122" s="167"/>
      <c r="H122" s="166"/>
      <c r="I122" s="34"/>
      <c r="J122" s="74"/>
      <c r="K122" s="74"/>
      <c r="R122" s="67"/>
    </row>
    <row r="123">
      <c r="A123" s="12" t="s">
        <v>93</v>
      </c>
      <c r="B123" s="227" t="s">
        <v>1992</v>
      </c>
      <c r="C123" s="74" t="str">
        <f t="shared" si="13"/>
        <v>Sexta-Feira</v>
      </c>
      <c r="D123" s="512" t="str">
        <f>IF(C123&lt;&gt;"Quarta-Feira","16:40","11:40")</f>
        <v>16:40</v>
      </c>
      <c r="E123" s="287"/>
      <c r="F123" s="74"/>
      <c r="G123" s="167"/>
      <c r="H123" s="166"/>
      <c r="I123" s="34"/>
      <c r="J123" s="74"/>
      <c r="K123" s="74"/>
      <c r="R123" s="67"/>
    </row>
    <row r="124">
      <c r="B124" s="182"/>
      <c r="E124" s="261"/>
      <c r="G124" s="182"/>
      <c r="J124" s="67"/>
      <c r="K124" s="67"/>
      <c r="R124" s="67"/>
    </row>
    <row r="125">
      <c r="B125" s="182"/>
      <c r="E125" s="261"/>
      <c r="G125" s="182"/>
      <c r="J125" s="67"/>
      <c r="K125" s="67"/>
      <c r="R125" s="67"/>
    </row>
    <row r="126">
      <c r="B126" s="182"/>
      <c r="E126" s="261"/>
      <c r="G126" s="182"/>
      <c r="J126" s="67"/>
      <c r="K126" s="67"/>
      <c r="R126" s="67"/>
    </row>
    <row r="127">
      <c r="A127" s="23" t="s">
        <v>378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TEXT(DATE(VALUE(MID(A110,7,4)),VALUE(MID(A110,4,2)),VALUE(LEFT(A110,2)))+3,"dd/mm/yyyy")&amp;" 13h às 17h"</f>
        <v>17/08/2026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489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64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2014</v>
      </c>
      <c r="C130" s="74" t="str">
        <f t="shared" ref="C130:C141" si="15">PROPER(TEXT(DATE(MID($A$128,7,4),MID($A$128,4,2),LEFT($A$128,2)),"dddd"))</f>
        <v>Segunda-Feira</v>
      </c>
      <c r="D130" s="512" t="str">
        <f>IF(C130&lt;&gt;"Quarta-Feira","13:00","08:00")</f>
        <v>13:00</v>
      </c>
      <c r="E130" s="287"/>
      <c r="F130" s="74"/>
      <c r="G130" s="167"/>
      <c r="H130" s="211"/>
      <c r="I130" s="34"/>
      <c r="J130" s="74"/>
      <c r="K130" s="74"/>
      <c r="N130" s="268" t="s">
        <v>387</v>
      </c>
      <c r="O130" s="100"/>
      <c r="P130" s="100"/>
      <c r="Q130" s="100"/>
      <c r="R130" s="100"/>
    </row>
    <row r="131">
      <c r="A131" s="12" t="s">
        <v>11</v>
      </c>
      <c r="B131" s="227" t="s">
        <v>2019</v>
      </c>
      <c r="C131" s="74" t="str">
        <f t="shared" si="15"/>
        <v>Segunda-Feira</v>
      </c>
      <c r="D131" s="512" t="str">
        <f>IF(C131&lt;&gt;"Quarta-Feira","13:20","08:20")</f>
        <v>13:20</v>
      </c>
      <c r="E131" s="287"/>
      <c r="F131" s="74"/>
      <c r="G131" s="167"/>
      <c r="H131" s="77"/>
      <c r="I131" s="34"/>
      <c r="J131" s="74"/>
      <c r="K131" s="74"/>
      <c r="N131" s="270" t="s">
        <v>1824</v>
      </c>
      <c r="O131" s="2"/>
      <c r="P131" s="2"/>
      <c r="Q131" s="2"/>
      <c r="R131" s="2"/>
    </row>
    <row r="132">
      <c r="A132" s="12" t="s">
        <v>12</v>
      </c>
      <c r="B132" s="227" t="s">
        <v>2021</v>
      </c>
      <c r="C132" s="74" t="str">
        <f t="shared" si="15"/>
        <v>Segunda-Feira</v>
      </c>
      <c r="D132" s="512" t="str">
        <f>IF(C132&lt;&gt;"Quarta-Feira","13:40","08:40")</f>
        <v>13:40</v>
      </c>
      <c r="E132" s="287"/>
      <c r="F132" s="74"/>
      <c r="G132" s="167"/>
      <c r="H132" s="77"/>
      <c r="I132" s="34"/>
      <c r="J132" s="74"/>
      <c r="K132" s="74"/>
      <c r="L132" s="68"/>
      <c r="M132" s="68"/>
      <c r="N132" s="271" t="s">
        <v>183</v>
      </c>
      <c r="O132" s="272" t="s">
        <v>195</v>
      </c>
      <c r="P132" s="272" t="s">
        <v>181</v>
      </c>
      <c r="Q132" s="273" t="s">
        <v>173</v>
      </c>
      <c r="R132" s="415" t="s">
        <v>1823</v>
      </c>
      <c r="S132" s="68"/>
      <c r="T132" s="68"/>
      <c r="U132" s="68"/>
      <c r="V132" s="68"/>
      <c r="W132" s="68"/>
      <c r="X132" s="68"/>
    </row>
    <row r="133">
      <c r="A133" s="12" t="s">
        <v>13</v>
      </c>
      <c r="B133" s="227" t="s">
        <v>2024</v>
      </c>
      <c r="C133" s="74" t="str">
        <f t="shared" si="15"/>
        <v>Segunda-Feira</v>
      </c>
      <c r="D133" s="512" t="str">
        <f>IF(C133&lt;&gt;"Quarta-Feira","14:00","09:00")</f>
        <v>14:00</v>
      </c>
      <c r="E133" s="287"/>
      <c r="F133" s="74"/>
      <c r="G133" s="167"/>
      <c r="H133" s="83"/>
      <c r="I133" s="34"/>
      <c r="J133" s="74"/>
      <c r="K133" s="74"/>
      <c r="N133" s="275">
        <f t="shared" ref="N133:R133" si="16">COUNTIFS($I$130:$I$141,N132)</f>
        <v>0</v>
      </c>
      <c r="O133" s="275">
        <f t="shared" si="16"/>
        <v>0</v>
      </c>
      <c r="P133" s="275">
        <f t="shared" si="16"/>
        <v>0</v>
      </c>
      <c r="Q133" s="275">
        <f t="shared" si="16"/>
        <v>0</v>
      </c>
      <c r="R133" s="275">
        <f t="shared" si="16"/>
        <v>0</v>
      </c>
    </row>
    <row r="134">
      <c r="A134" s="12" t="s">
        <v>14</v>
      </c>
      <c r="B134" s="227" t="s">
        <v>2019</v>
      </c>
      <c r="C134" s="74" t="str">
        <f t="shared" si="15"/>
        <v>Segunda-Feira</v>
      </c>
      <c r="D134" s="512" t="str">
        <f>IF(C134&lt;&gt;"Quarta-Feira","14:20","09:20")</f>
        <v>14:20</v>
      </c>
      <c r="E134" s="287"/>
      <c r="F134" s="74"/>
      <c r="G134" s="167"/>
      <c r="H134" s="83"/>
      <c r="I134" s="34"/>
      <c r="J134" s="74"/>
      <c r="K134" s="74"/>
      <c r="R134" s="67"/>
    </row>
    <row r="135">
      <c r="A135" s="12" t="s">
        <v>15</v>
      </c>
      <c r="B135" s="227" t="s">
        <v>2021</v>
      </c>
      <c r="C135" s="74" t="str">
        <f t="shared" si="15"/>
        <v>Segunda-Feira</v>
      </c>
      <c r="D135" s="512" t="str">
        <f>IF(C135&lt;&gt;"Quarta-Feira","14:40","09:40")</f>
        <v>14:40</v>
      </c>
      <c r="E135" s="287"/>
      <c r="F135" s="74"/>
      <c r="G135" s="167"/>
      <c r="H135" s="83"/>
      <c r="I135" s="34"/>
      <c r="J135" s="74"/>
      <c r="K135" s="74"/>
      <c r="R135" s="67"/>
    </row>
    <row r="136">
      <c r="A136" s="12" t="s">
        <v>16</v>
      </c>
      <c r="B136" s="227" t="s">
        <v>2014</v>
      </c>
      <c r="C136" s="74" t="str">
        <f t="shared" si="15"/>
        <v>Segunda-Feira</v>
      </c>
      <c r="D136" s="512" t="str">
        <f>IF(C136&lt;&gt;"Quarta-Feira","15:00","10:00")</f>
        <v>15:00</v>
      </c>
      <c r="E136" s="287"/>
      <c r="F136" s="74"/>
      <c r="G136" s="167"/>
      <c r="H136" s="163"/>
      <c r="I136" s="34"/>
      <c r="J136" s="74"/>
      <c r="K136" s="74"/>
      <c r="L136" s="68"/>
      <c r="M136" s="68"/>
      <c r="N136" s="68"/>
      <c r="O136" s="68"/>
      <c r="P136" s="68"/>
      <c r="Q136" s="68"/>
      <c r="R136" s="389"/>
      <c r="S136" s="68"/>
      <c r="T136" s="68"/>
      <c r="U136" s="68"/>
      <c r="V136" s="68"/>
      <c r="W136" s="68"/>
      <c r="X136" s="68"/>
    </row>
    <row r="137">
      <c r="A137" s="12" t="s">
        <v>17</v>
      </c>
      <c r="B137" s="227" t="s">
        <v>2019</v>
      </c>
      <c r="C137" s="74" t="str">
        <f t="shared" si="15"/>
        <v>Segunda-Feira</v>
      </c>
      <c r="D137" s="512" t="str">
        <f>IF(C137&lt;&gt;"Quarta-Feira","15:20","10:20")</f>
        <v>15:20</v>
      </c>
      <c r="E137" s="287"/>
      <c r="F137" s="74"/>
      <c r="G137" s="167"/>
      <c r="H137" s="77"/>
      <c r="I137" s="34"/>
      <c r="J137" s="74"/>
      <c r="K137" s="74"/>
      <c r="R137" s="67"/>
    </row>
    <row r="138">
      <c r="A138" s="12" t="s">
        <v>85</v>
      </c>
      <c r="B138" s="227" t="s">
        <v>2024</v>
      </c>
      <c r="C138" s="74" t="str">
        <f t="shared" si="15"/>
        <v>Segunda-Feira</v>
      </c>
      <c r="D138" s="512" t="str">
        <f>IF(C138&lt;&gt;"Quarta-Feira","15:40","10:40")</f>
        <v>15:40</v>
      </c>
      <c r="E138" s="287"/>
      <c r="F138" s="287"/>
      <c r="G138" s="167"/>
      <c r="H138" s="83"/>
      <c r="I138" s="34"/>
      <c r="J138" s="74"/>
      <c r="K138" s="74"/>
      <c r="R138" s="67"/>
    </row>
    <row r="139">
      <c r="A139" s="12" t="s">
        <v>87</v>
      </c>
      <c r="B139" s="227" t="s">
        <v>2021</v>
      </c>
      <c r="C139" s="74" t="str">
        <f t="shared" si="15"/>
        <v>Segunda-Feira</v>
      </c>
      <c r="D139" s="512" t="str">
        <f>IF(C139&lt;&gt;"Quarta-Feira","16:00","11:00")</f>
        <v>16:00</v>
      </c>
      <c r="E139" s="287"/>
      <c r="F139" s="74"/>
      <c r="G139" s="167"/>
      <c r="H139" s="166"/>
      <c r="I139" s="34"/>
      <c r="J139" s="74"/>
      <c r="K139" s="74"/>
      <c r="R139" s="67"/>
    </row>
    <row r="140">
      <c r="A140" s="12" t="s">
        <v>90</v>
      </c>
      <c r="B140" s="227" t="s">
        <v>2024</v>
      </c>
      <c r="C140" s="74" t="str">
        <f t="shared" si="15"/>
        <v>Segunda-Feira</v>
      </c>
      <c r="D140" s="512" t="str">
        <f>IF(C140&lt;&gt;"Quarta-Feira","16:20","11:20")</f>
        <v>16:20</v>
      </c>
      <c r="E140" s="287"/>
      <c r="F140" s="74"/>
      <c r="G140" s="167"/>
      <c r="H140" s="83"/>
      <c r="I140" s="34"/>
      <c r="J140" s="74"/>
      <c r="K140" s="74"/>
      <c r="R140" s="67"/>
    </row>
    <row r="141">
      <c r="A141" s="12" t="s">
        <v>93</v>
      </c>
      <c r="B141" s="227" t="s">
        <v>2014</v>
      </c>
      <c r="C141" s="74" t="str">
        <f t="shared" si="15"/>
        <v>Segunda-Feira</v>
      </c>
      <c r="D141" s="512" t="str">
        <f>IF(C141&lt;&gt;"Quarta-Feira","16:40","11:40")</f>
        <v>16:40</v>
      </c>
      <c r="E141" s="287"/>
      <c r="F141" s="74"/>
      <c r="G141" s="167"/>
      <c r="H141" s="166"/>
      <c r="I141" s="34"/>
      <c r="J141" s="74"/>
      <c r="K141" s="74"/>
      <c r="R141" s="67"/>
    </row>
    <row r="142">
      <c r="B142" s="182"/>
      <c r="E142" s="261"/>
      <c r="G142" s="182"/>
      <c r="J142" s="67"/>
      <c r="K142" s="67"/>
      <c r="R142" s="67"/>
    </row>
    <row r="143">
      <c r="B143" s="182"/>
      <c r="E143" s="261"/>
      <c r="G143" s="182"/>
      <c r="J143" s="67"/>
      <c r="K143" s="67"/>
      <c r="R143" s="67"/>
    </row>
    <row r="144">
      <c r="B144" s="182"/>
      <c r="E144" s="261"/>
      <c r="G144" s="182"/>
      <c r="J144" s="67"/>
      <c r="K144" s="67"/>
      <c r="R144" s="67"/>
    </row>
    <row r="145">
      <c r="A145" s="23" t="s">
        <v>378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TEXT(DATE(VALUE(MID(A128,7,4)),VALUE(MID(A128,4,2)),VALUE(LEFT(A128,2)))+2,"dd/mm/yyyy")&amp;" 08h às 13h"</f>
        <v>19/08/2026 08h às 13h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489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64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2381</v>
      </c>
      <c r="C148" s="74" t="str">
        <f t="shared" ref="C148:C159" si="17">PROPER(TEXT(DATE(MID($A$146,7,4),MID($A$146,4,2),LEFT($A$146,2)),"dddd"))</f>
        <v>Quarta-Feira</v>
      </c>
      <c r="D148" s="512" t="str">
        <f>IF(C148&lt;&gt;"Quarta-Feira","13:00","08:00")</f>
        <v>08:00</v>
      </c>
      <c r="E148" s="287"/>
      <c r="F148" s="459"/>
      <c r="G148" s="167"/>
      <c r="H148" s="83"/>
      <c r="I148" s="34"/>
      <c r="J148" s="74"/>
      <c r="K148" s="74"/>
      <c r="L148" s="216" t="s">
        <v>521</v>
      </c>
      <c r="N148" s="268" t="s">
        <v>387</v>
      </c>
      <c r="O148" s="100"/>
      <c r="P148" s="100"/>
      <c r="Q148" s="100"/>
      <c r="R148" s="100"/>
    </row>
    <row r="149">
      <c r="A149" s="12" t="s">
        <v>11</v>
      </c>
      <c r="B149" s="227" t="s">
        <v>2384</v>
      </c>
      <c r="C149" s="74" t="str">
        <f t="shared" si="17"/>
        <v>Quarta-Feira</v>
      </c>
      <c r="D149" s="512" t="str">
        <f>IF(C149&lt;&gt;"Quarta-Feira","13:20","08:20")</f>
        <v>08:20</v>
      </c>
      <c r="E149" s="287"/>
      <c r="F149" s="74"/>
      <c r="G149" s="167"/>
      <c r="H149" s="83"/>
      <c r="I149" s="34"/>
      <c r="J149" s="74"/>
      <c r="K149" s="74"/>
      <c r="N149" s="270" t="s">
        <v>1824</v>
      </c>
      <c r="O149" s="2"/>
      <c r="P149" s="2"/>
      <c r="Q149" s="2"/>
      <c r="R149" s="2"/>
    </row>
    <row r="150">
      <c r="A150" s="12" t="s">
        <v>12</v>
      </c>
      <c r="B150" s="227" t="s">
        <v>2387</v>
      </c>
      <c r="C150" s="74" t="str">
        <f t="shared" si="17"/>
        <v>Quarta-Feira</v>
      </c>
      <c r="D150" s="512" t="str">
        <f>IF(C150&lt;&gt;"Quarta-Feira","13:40","08:40")</f>
        <v>08:40</v>
      </c>
      <c r="E150" s="287"/>
      <c r="F150" s="74"/>
      <c r="G150" s="167"/>
      <c r="H150" s="83"/>
      <c r="I150" s="34"/>
      <c r="J150" s="74"/>
      <c r="K150" s="74"/>
      <c r="N150" s="271" t="s">
        <v>183</v>
      </c>
      <c r="O150" s="272" t="s">
        <v>195</v>
      </c>
      <c r="P150" s="272" t="s">
        <v>181</v>
      </c>
      <c r="Q150" s="273" t="s">
        <v>173</v>
      </c>
      <c r="R150" s="286" t="s">
        <v>1823</v>
      </c>
    </row>
    <row r="151">
      <c r="A151" s="12" t="s">
        <v>13</v>
      </c>
      <c r="B151" s="227" t="s">
        <v>2390</v>
      </c>
      <c r="C151" s="74" t="str">
        <f t="shared" si="17"/>
        <v>Quarta-Feira</v>
      </c>
      <c r="D151" s="512" t="str">
        <f>IF(C151&lt;&gt;"Quarta-Feira","14:00","09:00")</f>
        <v>09:00</v>
      </c>
      <c r="E151" s="287"/>
      <c r="F151" s="74"/>
      <c r="G151" s="167"/>
      <c r="H151" s="83"/>
      <c r="I151" s="34"/>
      <c r="J151" s="74"/>
      <c r="K151" s="74"/>
      <c r="N151" s="275">
        <f t="shared" ref="N151:R151" si="18">COUNTIFS($I$148:$I$159,N150)</f>
        <v>0</v>
      </c>
      <c r="O151" s="275">
        <f t="shared" si="18"/>
        <v>0</v>
      </c>
      <c r="P151" s="275">
        <f t="shared" si="18"/>
        <v>0</v>
      </c>
      <c r="Q151" s="275">
        <f t="shared" si="18"/>
        <v>0</v>
      </c>
      <c r="R151" s="275">
        <f t="shared" si="18"/>
        <v>0</v>
      </c>
    </row>
    <row r="152">
      <c r="A152" s="12" t="s">
        <v>14</v>
      </c>
      <c r="B152" s="227" t="s">
        <v>2381</v>
      </c>
      <c r="C152" s="74" t="str">
        <f t="shared" si="17"/>
        <v>Quarta-Feira</v>
      </c>
      <c r="D152" s="512" t="str">
        <f>IF(C152&lt;&gt;"Quarta-Feira","14:20","09:20")</f>
        <v>09:20</v>
      </c>
      <c r="E152" s="287"/>
      <c r="F152" s="74"/>
      <c r="G152" s="167"/>
      <c r="H152" s="83"/>
      <c r="I152" s="34"/>
      <c r="J152" s="74"/>
      <c r="K152" s="74"/>
      <c r="R152" s="67"/>
    </row>
    <row r="153">
      <c r="A153" s="12" t="s">
        <v>15</v>
      </c>
      <c r="B153" s="227" t="s">
        <v>2384</v>
      </c>
      <c r="C153" s="74" t="str">
        <f t="shared" si="17"/>
        <v>Quarta-Feira</v>
      </c>
      <c r="D153" s="512" t="str">
        <f>IF(C153&lt;&gt;"Quarta-Feira","14:40","09:40")</f>
        <v>09:40</v>
      </c>
      <c r="E153" s="287"/>
      <c r="F153" s="74"/>
      <c r="G153" s="167"/>
      <c r="H153" s="83"/>
      <c r="I153" s="34"/>
      <c r="J153" s="74"/>
      <c r="K153" s="74"/>
      <c r="R153" s="67"/>
    </row>
    <row r="154">
      <c r="A154" s="12" t="s">
        <v>16</v>
      </c>
      <c r="B154" s="227" t="s">
        <v>2387</v>
      </c>
      <c r="C154" s="74" t="str">
        <f t="shared" si="17"/>
        <v>Quarta-Feira</v>
      </c>
      <c r="D154" s="512" t="str">
        <f>IF(C154&lt;&gt;"Quarta-Feira","15:00","10:00")</f>
        <v>10:00</v>
      </c>
      <c r="E154" s="287"/>
      <c r="F154" s="459"/>
      <c r="G154" s="167"/>
      <c r="H154" s="83"/>
      <c r="I154" s="34"/>
      <c r="J154" s="74"/>
      <c r="K154" s="74"/>
      <c r="R154" s="67"/>
    </row>
    <row r="155">
      <c r="A155" s="12" t="s">
        <v>17</v>
      </c>
      <c r="B155" s="227" t="s">
        <v>2390</v>
      </c>
      <c r="C155" s="74" t="str">
        <f t="shared" si="17"/>
        <v>Quarta-Feira</v>
      </c>
      <c r="D155" s="512" t="str">
        <f>IF(C155&lt;&gt;"Quarta-Feira","15:20","10:20")</f>
        <v>10:20</v>
      </c>
      <c r="E155" s="287"/>
      <c r="F155" s="74"/>
      <c r="G155" s="167"/>
      <c r="H155" s="83"/>
      <c r="I155" s="34"/>
      <c r="J155" s="74"/>
      <c r="K155" s="74"/>
      <c r="R155" s="67"/>
    </row>
    <row r="156">
      <c r="A156" s="12" t="s">
        <v>85</v>
      </c>
      <c r="B156" s="227" t="s">
        <v>2384</v>
      </c>
      <c r="C156" s="74" t="str">
        <f t="shared" si="17"/>
        <v>Quarta-Feira</v>
      </c>
      <c r="D156" s="512" t="str">
        <f>IF(C156&lt;&gt;"Quarta-Feira","15:40","10:40")</f>
        <v>10:40</v>
      </c>
      <c r="E156" s="287"/>
      <c r="F156" s="74"/>
      <c r="G156" s="167"/>
      <c r="H156" s="83"/>
      <c r="I156" s="34"/>
      <c r="J156" s="74"/>
      <c r="K156" s="74"/>
      <c r="L156" s="216" t="s">
        <v>577</v>
      </c>
      <c r="R156" s="67"/>
    </row>
    <row r="157">
      <c r="A157" s="12" t="s">
        <v>87</v>
      </c>
      <c r="B157" s="227" t="s">
        <v>2381</v>
      </c>
      <c r="C157" s="74" t="str">
        <f t="shared" si="17"/>
        <v>Quarta-Feira</v>
      </c>
      <c r="D157" s="512" t="str">
        <f>IF(C157&lt;&gt;"Quarta-Feira","16:00","11:00")</f>
        <v>11:00</v>
      </c>
      <c r="E157" s="287"/>
      <c r="F157" s="74"/>
      <c r="G157" s="167"/>
      <c r="H157" s="166"/>
      <c r="I157" s="34"/>
      <c r="J157" s="74"/>
      <c r="K157" s="74"/>
      <c r="R157" s="67"/>
    </row>
    <row r="158">
      <c r="A158" s="12" t="s">
        <v>90</v>
      </c>
      <c r="B158" s="227" t="s">
        <v>2381</v>
      </c>
      <c r="C158" s="74" t="str">
        <f t="shared" si="17"/>
        <v>Quarta-Feira</v>
      </c>
      <c r="D158" s="512" t="str">
        <f>IF(C158&lt;&gt;"Quarta-Feira","16:20","11:20")</f>
        <v>11:20</v>
      </c>
      <c r="E158" s="287"/>
      <c r="F158" s="74"/>
      <c r="G158" s="167"/>
      <c r="H158" s="166"/>
      <c r="I158" s="34"/>
      <c r="J158" s="74"/>
      <c r="K158" s="74"/>
      <c r="R158" s="67"/>
    </row>
    <row r="159">
      <c r="A159" s="12" t="s">
        <v>93</v>
      </c>
      <c r="B159" s="227" t="s">
        <v>2381</v>
      </c>
      <c r="C159" s="74" t="str">
        <f t="shared" si="17"/>
        <v>Quarta-Feira</v>
      </c>
      <c r="D159" s="512" t="str">
        <f>IF(C159&lt;&gt;"Quarta-Feira","16:40","11:40")</f>
        <v>11:40</v>
      </c>
      <c r="E159" s="287"/>
      <c r="F159" s="74"/>
      <c r="G159" s="167"/>
      <c r="H159" s="166"/>
      <c r="I159" s="34"/>
      <c r="J159" s="74"/>
      <c r="K159" s="74"/>
      <c r="R159" s="67"/>
    </row>
    <row r="160">
      <c r="B160" s="182"/>
      <c r="E160" s="261"/>
      <c r="G160" s="182"/>
      <c r="J160" s="67"/>
      <c r="K160" s="67"/>
      <c r="R160" s="67"/>
    </row>
    <row r="161">
      <c r="B161" s="182"/>
      <c r="E161" s="261"/>
      <c r="G161" s="182"/>
      <c r="J161" s="67"/>
      <c r="K161" s="67"/>
      <c r="R161" s="67"/>
    </row>
    <row r="162">
      <c r="B162" s="182"/>
      <c r="E162" s="261"/>
      <c r="G162" s="182"/>
      <c r="J162" s="67"/>
      <c r="K162" s="67"/>
      <c r="R162" s="67"/>
    </row>
    <row r="163">
      <c r="A163" s="23" t="s">
        <v>378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TEXT(DATE(VALUE(MID(A110,7,4)),VALUE(MID(A110,4,2)),VALUE(LEFT(A110,2)))+7,"dd/mm/yyyy")&amp;" 13h às 17h"</f>
        <v>21/08/2026 13h às 17h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489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64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12" t="s">
        <v>10</v>
      </c>
      <c r="B166" s="227" t="s">
        <v>1981</v>
      </c>
      <c r="C166" s="74" t="str">
        <f t="shared" ref="C166:C177" si="19">PROPER(TEXT(DATE(MID($A$164,7,4),MID($A$164,4,2),LEFT($A$164,2)),"dddd"))</f>
        <v>Sexta-Feira</v>
      </c>
      <c r="D166" s="512" t="str">
        <f>IF(C166&lt;&gt;"Quarta-Feira","13:00","08:00")</f>
        <v>13:00</v>
      </c>
      <c r="E166" s="287"/>
      <c r="F166" s="74"/>
      <c r="G166" s="167"/>
      <c r="H166" s="211"/>
      <c r="I166" s="34"/>
      <c r="J166" s="74"/>
      <c r="K166" s="74"/>
      <c r="N166" s="268" t="s">
        <v>387</v>
      </c>
      <c r="O166" s="100"/>
      <c r="P166" s="100"/>
      <c r="Q166" s="100"/>
      <c r="R166" s="100"/>
    </row>
    <row r="167">
      <c r="A167" s="12" t="s">
        <v>11</v>
      </c>
      <c r="B167" s="227" t="s">
        <v>1985</v>
      </c>
      <c r="C167" s="74" t="str">
        <f t="shared" si="19"/>
        <v>Sexta-Feira</v>
      </c>
      <c r="D167" s="512" t="str">
        <f>IF(C167&lt;&gt;"Quarta-Feira","13:20","08:20")</f>
        <v>13:20</v>
      </c>
      <c r="E167" s="287"/>
      <c r="F167" s="74"/>
      <c r="G167" s="167"/>
      <c r="H167" s="211"/>
      <c r="I167" s="34"/>
      <c r="J167" s="74"/>
      <c r="K167" s="74"/>
      <c r="N167" s="270" t="s">
        <v>1824</v>
      </c>
      <c r="O167" s="2"/>
      <c r="P167" s="2"/>
      <c r="Q167" s="2"/>
      <c r="R167" s="2"/>
    </row>
    <row r="168">
      <c r="A168" s="12" t="s">
        <v>12</v>
      </c>
      <c r="B168" s="227" t="s">
        <v>1989</v>
      </c>
      <c r="C168" s="74" t="str">
        <f t="shared" si="19"/>
        <v>Sexta-Feira</v>
      </c>
      <c r="D168" s="512" t="str">
        <f>IF(C168&lt;&gt;"Quarta-Feira","13:40","08:40")</f>
        <v>13:40</v>
      </c>
      <c r="E168" s="287"/>
      <c r="F168" s="74"/>
      <c r="G168" s="167"/>
      <c r="H168" s="211"/>
      <c r="I168" s="34"/>
      <c r="J168" s="74"/>
      <c r="K168" s="74"/>
      <c r="N168" s="271" t="s">
        <v>183</v>
      </c>
      <c r="O168" s="272" t="s">
        <v>195</v>
      </c>
      <c r="P168" s="272" t="s">
        <v>181</v>
      </c>
      <c r="Q168" s="273" t="s">
        <v>173</v>
      </c>
      <c r="R168" s="286" t="s">
        <v>1823</v>
      </c>
    </row>
    <row r="169">
      <c r="A169" s="12" t="s">
        <v>13</v>
      </c>
      <c r="B169" s="227" t="s">
        <v>1992</v>
      </c>
      <c r="C169" s="74" t="str">
        <f t="shared" si="19"/>
        <v>Sexta-Feira</v>
      </c>
      <c r="D169" s="512" t="str">
        <f>IF(C169&lt;&gt;"Quarta-Feira","14:00","09:00")</f>
        <v>14:00</v>
      </c>
      <c r="E169" s="287"/>
      <c r="F169" s="74"/>
      <c r="G169" s="167"/>
      <c r="H169" s="211"/>
      <c r="I169" s="34"/>
      <c r="J169" s="74"/>
      <c r="K169" s="74"/>
      <c r="N169" s="275">
        <f t="shared" ref="N169:R169" si="20">COUNTIFS($I$166:$I$177,$N$168)</f>
        <v>0</v>
      </c>
      <c r="O169" s="275">
        <f t="shared" si="20"/>
        <v>0</v>
      </c>
      <c r="P169" s="275">
        <f t="shared" si="20"/>
        <v>0</v>
      </c>
      <c r="Q169" s="275">
        <f t="shared" si="20"/>
        <v>0</v>
      </c>
      <c r="R169" s="275">
        <f t="shared" si="20"/>
        <v>0</v>
      </c>
    </row>
    <row r="170">
      <c r="A170" s="12" t="s">
        <v>14</v>
      </c>
      <c r="B170" s="227" t="s">
        <v>1981</v>
      </c>
      <c r="C170" s="74" t="str">
        <f t="shared" si="19"/>
        <v>Sexta-Feira</v>
      </c>
      <c r="D170" s="512" t="str">
        <f>IF(C170&lt;&gt;"Quarta-Feira","14:20","09:20")</f>
        <v>14:20</v>
      </c>
      <c r="E170" s="287"/>
      <c r="F170" s="74"/>
      <c r="G170" s="167"/>
      <c r="H170" s="211"/>
      <c r="I170" s="34"/>
      <c r="J170" s="74"/>
      <c r="K170" s="74"/>
      <c r="R170" s="67"/>
    </row>
    <row r="171">
      <c r="A171" s="12" t="s">
        <v>15</v>
      </c>
      <c r="B171" s="227" t="s">
        <v>1985</v>
      </c>
      <c r="C171" s="74" t="str">
        <f t="shared" si="19"/>
        <v>Sexta-Feira</v>
      </c>
      <c r="D171" s="512" t="str">
        <f>IF(C171&lt;&gt;"Quarta-Feira","14:40","09:40")</f>
        <v>14:40</v>
      </c>
      <c r="E171" s="287"/>
      <c r="F171" s="74"/>
      <c r="G171" s="167"/>
      <c r="H171" s="211"/>
      <c r="I171" s="34"/>
      <c r="J171" s="74"/>
      <c r="K171" s="74"/>
      <c r="R171" s="67"/>
    </row>
    <row r="172">
      <c r="A172" s="12" t="s">
        <v>16</v>
      </c>
      <c r="B172" s="227" t="s">
        <v>1989</v>
      </c>
      <c r="C172" s="74" t="str">
        <f t="shared" si="19"/>
        <v>Sexta-Feira</v>
      </c>
      <c r="D172" s="512" t="str">
        <f>IF(C172&lt;&gt;"Quarta-Feira","15:00","10:00")</f>
        <v>15:00</v>
      </c>
      <c r="E172" s="287"/>
      <c r="F172" s="74"/>
      <c r="G172" s="167"/>
      <c r="H172" s="211"/>
      <c r="I172" s="34"/>
      <c r="J172" s="74"/>
      <c r="K172" s="74"/>
      <c r="R172" s="67"/>
    </row>
    <row r="173">
      <c r="A173" s="12" t="s">
        <v>17</v>
      </c>
      <c r="B173" s="227" t="s">
        <v>1992</v>
      </c>
      <c r="C173" s="74" t="str">
        <f t="shared" si="19"/>
        <v>Sexta-Feira</v>
      </c>
      <c r="D173" s="512" t="str">
        <f>IF(C173&lt;&gt;"Quarta-Feira","15:20","10:20")</f>
        <v>15:20</v>
      </c>
      <c r="E173" s="287"/>
      <c r="F173" s="74"/>
      <c r="G173" s="167"/>
      <c r="H173" s="211"/>
      <c r="I173" s="34"/>
      <c r="J173" s="74"/>
      <c r="K173" s="74"/>
      <c r="R173" s="67"/>
    </row>
    <row r="174">
      <c r="A174" s="12" t="s">
        <v>85</v>
      </c>
      <c r="B174" s="227" t="s">
        <v>1981</v>
      </c>
      <c r="C174" s="74" t="str">
        <f t="shared" si="19"/>
        <v>Sexta-Feira</v>
      </c>
      <c r="D174" s="512" t="str">
        <f>IF(C174&lt;&gt;"Quarta-Feira","15:40","10:40")</f>
        <v>15:40</v>
      </c>
      <c r="E174" s="287"/>
      <c r="F174" s="74"/>
      <c r="G174" s="167"/>
      <c r="H174" s="211"/>
      <c r="I174" s="34"/>
      <c r="J174" s="74"/>
      <c r="K174" s="74"/>
      <c r="R174" s="67"/>
    </row>
    <row r="175">
      <c r="A175" s="12" t="s">
        <v>87</v>
      </c>
      <c r="B175" s="227" t="s">
        <v>1985</v>
      </c>
      <c r="C175" s="74" t="str">
        <f t="shared" si="19"/>
        <v>Sexta-Feira</v>
      </c>
      <c r="D175" s="512" t="str">
        <f>IF(C175&lt;&gt;"Quarta-Feira","16:00","11:00")</f>
        <v>16:00</v>
      </c>
      <c r="E175" s="287"/>
      <c r="F175" s="74"/>
      <c r="G175" s="167"/>
      <c r="H175" s="211"/>
      <c r="I175" s="34"/>
      <c r="J175" s="74"/>
      <c r="K175" s="74"/>
      <c r="R175" s="67"/>
    </row>
    <row r="176">
      <c r="A176" s="12" t="s">
        <v>90</v>
      </c>
      <c r="B176" s="227" t="s">
        <v>1989</v>
      </c>
      <c r="C176" s="74" t="str">
        <f t="shared" si="19"/>
        <v>Sexta-Feira</v>
      </c>
      <c r="D176" s="512" t="str">
        <f>IF(C176&lt;&gt;"Quarta-Feira","16:20","11:20")</f>
        <v>16:20</v>
      </c>
      <c r="E176" s="287"/>
      <c r="F176" s="74"/>
      <c r="G176" s="167"/>
      <c r="H176" s="211"/>
      <c r="I176" s="34"/>
      <c r="J176" s="74"/>
      <c r="K176" s="74"/>
      <c r="R176" s="67"/>
    </row>
    <row r="177">
      <c r="A177" s="12" t="s">
        <v>93</v>
      </c>
      <c r="B177" s="227" t="s">
        <v>1992</v>
      </c>
      <c r="C177" s="74" t="str">
        <f t="shared" si="19"/>
        <v>Sexta-Feira</v>
      </c>
      <c r="D177" s="512" t="str">
        <f>IF(C177&lt;&gt;"Quarta-Feira","16:40","11:40")</f>
        <v>16:40</v>
      </c>
      <c r="E177" s="287"/>
      <c r="F177" s="74"/>
      <c r="G177" s="167"/>
      <c r="H177" s="211"/>
      <c r="I177" s="34"/>
      <c r="J177" s="74"/>
      <c r="K177" s="74"/>
      <c r="R177" s="67"/>
    </row>
    <row r="178">
      <c r="B178" s="182"/>
      <c r="E178" s="261"/>
      <c r="G178" s="182"/>
      <c r="J178" s="67"/>
      <c r="K178" s="67"/>
      <c r="R178" s="67"/>
    </row>
    <row r="179">
      <c r="B179" s="182"/>
      <c r="E179" s="261"/>
      <c r="G179" s="182"/>
      <c r="J179" s="67"/>
      <c r="K179" s="67"/>
      <c r="R179" s="67"/>
    </row>
    <row r="180">
      <c r="B180" s="182"/>
      <c r="E180" s="261"/>
      <c r="G180" s="182"/>
      <c r="J180" s="67"/>
      <c r="K180" s="67"/>
      <c r="R180" s="67"/>
    </row>
    <row r="181">
      <c r="A181" s="23" t="s">
        <v>378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  <c r="R181" s="67"/>
    </row>
    <row r="182">
      <c r="A182" s="24" t="str">
        <f>TEXT(DATE(VALUE(MID(A164,7,4)),VALUE(MID(A164,4,2)),VALUE(LEFT(A164,2)))+3,"dd/mm/yyyy")&amp;" 13h às 17h"</f>
        <v>24/08/2026 13h às 17h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>
      <c r="A183" s="25"/>
      <c r="B183" s="489" t="s">
        <v>3</v>
      </c>
      <c r="C183" s="27" t="s">
        <v>2</v>
      </c>
      <c r="D183" s="28" t="s">
        <v>5</v>
      </c>
      <c r="E183" s="29" t="s">
        <v>19</v>
      </c>
      <c r="F183" s="28" t="s">
        <v>6</v>
      </c>
      <c r="G183" s="264" t="s">
        <v>7</v>
      </c>
      <c r="H183" s="30" t="s">
        <v>8</v>
      </c>
      <c r="I183" s="31" t="s">
        <v>20</v>
      </c>
      <c r="J183" s="32" t="s">
        <v>21</v>
      </c>
      <c r="K183" s="32" t="s">
        <v>22</v>
      </c>
    </row>
    <row r="184">
      <c r="A184" s="12" t="s">
        <v>10</v>
      </c>
      <c r="B184" s="227" t="s">
        <v>2014</v>
      </c>
      <c r="C184" s="74" t="str">
        <f t="shared" ref="C184:C195" si="21">PROPER(TEXT(DATE(MID($A$182,7,4),MID($A$182,4,2),LEFT($A$182,2)),"dddd"))</f>
        <v>Segunda-Feira</v>
      </c>
      <c r="D184" s="512" t="str">
        <f>IF(C184&lt;&gt;"Quarta-Feira","13:00","08:00")</f>
        <v>13:00</v>
      </c>
      <c r="E184" s="287"/>
      <c r="F184" s="74"/>
      <c r="G184" s="167"/>
      <c r="H184" s="211"/>
      <c r="I184" s="34"/>
      <c r="J184" s="74"/>
      <c r="K184" s="74"/>
      <c r="N184" s="268" t="s">
        <v>387</v>
      </c>
      <c r="O184" s="100"/>
      <c r="P184" s="100"/>
      <c r="Q184" s="100"/>
      <c r="R184" s="100"/>
    </row>
    <row r="185">
      <c r="A185" s="12" t="s">
        <v>11</v>
      </c>
      <c r="B185" s="227" t="s">
        <v>2019</v>
      </c>
      <c r="C185" s="74" t="str">
        <f t="shared" si="21"/>
        <v>Segunda-Feira</v>
      </c>
      <c r="D185" s="512" t="str">
        <f>IF(C185&lt;&gt;"Quarta-Feira","13:20","08:20")</f>
        <v>13:20</v>
      </c>
      <c r="E185" s="287"/>
      <c r="F185" s="74"/>
      <c r="G185" s="167"/>
      <c r="H185" s="77"/>
      <c r="I185" s="34"/>
      <c r="J185" s="74"/>
      <c r="K185" s="74"/>
      <c r="N185" s="270" t="s">
        <v>1824</v>
      </c>
      <c r="O185" s="2"/>
      <c r="P185" s="2"/>
      <c r="Q185" s="2"/>
      <c r="R185" s="2"/>
    </row>
    <row r="186">
      <c r="A186" s="12" t="s">
        <v>12</v>
      </c>
      <c r="B186" s="227" t="s">
        <v>2021</v>
      </c>
      <c r="C186" s="74" t="str">
        <f t="shared" si="21"/>
        <v>Segunda-Feira</v>
      </c>
      <c r="D186" s="512" t="str">
        <f>IF(C186&lt;&gt;"Quarta-Feira","13:40","08:40")</f>
        <v>13:40</v>
      </c>
      <c r="E186" s="287"/>
      <c r="F186" s="74"/>
      <c r="G186" s="167"/>
      <c r="H186" s="83"/>
      <c r="I186" s="34"/>
      <c r="J186" s="74"/>
      <c r="K186" s="74"/>
      <c r="N186" s="271" t="s">
        <v>183</v>
      </c>
      <c r="O186" s="272" t="s">
        <v>195</v>
      </c>
      <c r="P186" s="272" t="s">
        <v>181</v>
      </c>
      <c r="Q186" s="273" t="s">
        <v>173</v>
      </c>
      <c r="R186" s="286" t="s">
        <v>1823</v>
      </c>
    </row>
    <row r="187">
      <c r="A187" s="12" t="s">
        <v>13</v>
      </c>
      <c r="B187" s="227" t="s">
        <v>2024</v>
      </c>
      <c r="C187" s="74" t="str">
        <f t="shared" si="21"/>
        <v>Segunda-Feira</v>
      </c>
      <c r="D187" s="512" t="str">
        <f>IF(C187&lt;&gt;"Quarta-Feira","14:00","09:00")</f>
        <v>14:00</v>
      </c>
      <c r="E187" s="287"/>
      <c r="F187" s="74"/>
      <c r="G187" s="167"/>
      <c r="H187" s="83"/>
      <c r="I187" s="34"/>
      <c r="J187" s="74"/>
      <c r="K187" s="74"/>
      <c r="N187" s="275">
        <f t="shared" ref="N187:R187" si="22">COUNTIFS($I$184:$I$195,$N$168)</f>
        <v>0</v>
      </c>
      <c r="O187" s="275">
        <f t="shared" si="22"/>
        <v>0</v>
      </c>
      <c r="P187" s="275">
        <f t="shared" si="22"/>
        <v>0</v>
      </c>
      <c r="Q187" s="275">
        <f t="shared" si="22"/>
        <v>0</v>
      </c>
      <c r="R187" s="275">
        <f t="shared" si="22"/>
        <v>0</v>
      </c>
    </row>
    <row r="188">
      <c r="A188" s="12" t="s">
        <v>14</v>
      </c>
      <c r="B188" s="227" t="s">
        <v>2019</v>
      </c>
      <c r="C188" s="74" t="str">
        <f t="shared" si="21"/>
        <v>Segunda-Feira</v>
      </c>
      <c r="D188" s="512" t="str">
        <f>IF(C188&lt;&gt;"Quarta-Feira","14:20","09:20")</f>
        <v>14:20</v>
      </c>
      <c r="E188" s="287"/>
      <c r="F188" s="74"/>
      <c r="G188" s="167"/>
      <c r="H188" s="83"/>
      <c r="I188" s="34"/>
      <c r="J188" s="74"/>
      <c r="K188" s="74"/>
      <c r="R188" s="67"/>
    </row>
    <row r="189">
      <c r="A189" s="12" t="s">
        <v>15</v>
      </c>
      <c r="B189" s="227" t="s">
        <v>2021</v>
      </c>
      <c r="C189" s="74" t="str">
        <f t="shared" si="21"/>
        <v>Segunda-Feira</v>
      </c>
      <c r="D189" s="512" t="str">
        <f>IF(C189&lt;&gt;"Quarta-Feira","14:40","09:40")</f>
        <v>14:40</v>
      </c>
      <c r="E189" s="287"/>
      <c r="F189" s="74"/>
      <c r="G189" s="167"/>
      <c r="H189" s="83"/>
      <c r="I189" s="34"/>
      <c r="J189" s="74"/>
      <c r="K189" s="74"/>
      <c r="R189" s="67"/>
    </row>
    <row r="190">
      <c r="A190" s="12" t="s">
        <v>16</v>
      </c>
      <c r="B190" s="227" t="s">
        <v>2014</v>
      </c>
      <c r="C190" s="74" t="str">
        <f t="shared" si="21"/>
        <v>Segunda-Feira</v>
      </c>
      <c r="D190" s="512" t="str">
        <f>IF(C190&lt;&gt;"Quarta-Feira","15:00","10:00")</f>
        <v>15:00</v>
      </c>
      <c r="E190" s="287"/>
      <c r="F190" s="74"/>
      <c r="G190" s="167"/>
      <c r="H190" s="83"/>
      <c r="I190" s="34"/>
      <c r="J190" s="74"/>
      <c r="K190" s="74"/>
      <c r="R190" s="67"/>
    </row>
    <row r="191">
      <c r="A191" s="12" t="s">
        <v>17</v>
      </c>
      <c r="B191" s="227" t="s">
        <v>2019</v>
      </c>
      <c r="C191" s="74" t="str">
        <f t="shared" si="21"/>
        <v>Segunda-Feira</v>
      </c>
      <c r="D191" s="512" t="str">
        <f>IF(C191&lt;&gt;"Quarta-Feira","15:20","10:20")</f>
        <v>15:20</v>
      </c>
      <c r="E191" s="287"/>
      <c r="F191" s="74"/>
      <c r="G191" s="167"/>
      <c r="H191" s="77"/>
      <c r="I191" s="34"/>
      <c r="J191" s="74"/>
      <c r="K191" s="74"/>
      <c r="R191" s="67"/>
    </row>
    <row r="192">
      <c r="A192" s="12" t="s">
        <v>85</v>
      </c>
      <c r="B192" s="227" t="s">
        <v>2024</v>
      </c>
      <c r="C192" s="74" t="str">
        <f t="shared" si="21"/>
        <v>Segunda-Feira</v>
      </c>
      <c r="D192" s="512" t="str">
        <f>IF(C192&lt;&gt;"Quarta-Feira","15:40","10:40")</f>
        <v>15:40</v>
      </c>
      <c r="E192" s="287"/>
      <c r="F192" s="74"/>
      <c r="G192" s="167"/>
      <c r="H192" s="83"/>
      <c r="I192" s="34"/>
      <c r="J192" s="74"/>
      <c r="K192" s="74"/>
      <c r="R192" s="67"/>
    </row>
    <row r="193">
      <c r="A193" s="12" t="s">
        <v>87</v>
      </c>
      <c r="B193" s="227" t="s">
        <v>2021</v>
      </c>
      <c r="C193" s="74" t="str">
        <f t="shared" si="21"/>
        <v>Segunda-Feira</v>
      </c>
      <c r="D193" s="512" t="str">
        <f>IF(C193&lt;&gt;"Quarta-Feira","16:00","11:00")</f>
        <v>16:00</v>
      </c>
      <c r="E193" s="287"/>
      <c r="F193" s="74"/>
      <c r="G193" s="167"/>
      <c r="H193" s="166"/>
      <c r="I193" s="34"/>
      <c r="J193" s="74"/>
      <c r="K193" s="74"/>
      <c r="R193" s="67"/>
    </row>
    <row r="194">
      <c r="A194" s="12" t="s">
        <v>90</v>
      </c>
      <c r="B194" s="227" t="s">
        <v>2024</v>
      </c>
      <c r="C194" s="74" t="str">
        <f t="shared" si="21"/>
        <v>Segunda-Feira</v>
      </c>
      <c r="D194" s="512" t="str">
        <f>IF(C194&lt;&gt;"Quarta-Feira","16:20","11:20")</f>
        <v>16:20</v>
      </c>
      <c r="E194" s="287"/>
      <c r="F194" s="74"/>
      <c r="G194" s="167"/>
      <c r="H194" s="166"/>
      <c r="I194" s="34"/>
      <c r="J194" s="74"/>
      <c r="K194" s="74"/>
      <c r="R194" s="67"/>
    </row>
    <row r="195">
      <c r="A195" s="12" t="s">
        <v>93</v>
      </c>
      <c r="B195" s="227" t="s">
        <v>2014</v>
      </c>
      <c r="C195" s="74" t="str">
        <f t="shared" si="21"/>
        <v>Segunda-Feira</v>
      </c>
      <c r="D195" s="512" t="str">
        <f>IF(C195&lt;&gt;"Quarta-Feira","16:40","11:40")</f>
        <v>16:40</v>
      </c>
      <c r="E195" s="287"/>
      <c r="F195" s="74"/>
      <c r="G195" s="167"/>
      <c r="H195" s="166"/>
      <c r="I195" s="34"/>
      <c r="J195" s="74"/>
      <c r="K195" s="74"/>
      <c r="R195" s="67"/>
    </row>
    <row r="196">
      <c r="B196" s="182"/>
      <c r="E196" s="261"/>
      <c r="G196" s="182"/>
      <c r="J196" s="67"/>
      <c r="K196" s="67"/>
      <c r="R196" s="67"/>
    </row>
    <row r="197">
      <c r="B197" s="182"/>
      <c r="E197" s="261"/>
      <c r="G197" s="182"/>
      <c r="J197" s="67"/>
      <c r="K197" s="67"/>
      <c r="R197" s="67"/>
    </row>
    <row r="198">
      <c r="B198" s="182"/>
      <c r="E198" s="261"/>
      <c r="G198" s="182"/>
      <c r="J198" s="67"/>
      <c r="K198" s="67"/>
      <c r="R198" s="67"/>
    </row>
    <row r="199">
      <c r="A199" s="23" t="s">
        <v>378</v>
      </c>
      <c r="B199" s="2"/>
      <c r="C199" s="2"/>
      <c r="D199" s="2"/>
      <c r="E199" s="2"/>
      <c r="F199" s="2"/>
      <c r="G199" s="2"/>
      <c r="H199" s="2"/>
      <c r="I199" s="2"/>
      <c r="J199" s="2"/>
      <c r="K199" s="3"/>
      <c r="R199" s="67"/>
    </row>
    <row r="200">
      <c r="A200" s="24" t="str">
        <f>TEXT(DATE(VALUE(MID(A182,7,4)),VALUE(MID(A182,4,2)),VALUE(LEFT(A182,2)))+2,"dd/mm/yyyy")&amp;" 08h às 13h"</f>
        <v>26/08/2026 08h às 13h</v>
      </c>
      <c r="B200" s="2"/>
      <c r="C200" s="2"/>
      <c r="D200" s="2"/>
      <c r="E200" s="2"/>
      <c r="F200" s="2"/>
      <c r="G200" s="2"/>
      <c r="H200" s="2"/>
      <c r="I200" s="2"/>
      <c r="J200" s="2"/>
      <c r="K200" s="3"/>
      <c r="R200" s="67"/>
    </row>
    <row r="201">
      <c r="A201" s="25"/>
      <c r="B201" s="489" t="s">
        <v>3</v>
      </c>
      <c r="C201" s="27" t="s">
        <v>2</v>
      </c>
      <c r="D201" s="28" t="s">
        <v>5</v>
      </c>
      <c r="E201" s="29" t="s">
        <v>19</v>
      </c>
      <c r="F201" s="28" t="s">
        <v>6</v>
      </c>
      <c r="G201" s="264" t="s">
        <v>7</v>
      </c>
      <c r="H201" s="30" t="s">
        <v>8</v>
      </c>
      <c r="I201" s="31" t="s">
        <v>20</v>
      </c>
      <c r="J201" s="32" t="s">
        <v>21</v>
      </c>
      <c r="K201" s="32" t="s">
        <v>22</v>
      </c>
      <c r="R201" s="67"/>
    </row>
    <row r="202">
      <c r="A202" s="12" t="s">
        <v>10</v>
      </c>
      <c r="B202" s="227" t="s">
        <v>2381</v>
      </c>
      <c r="C202" s="74" t="str">
        <f t="shared" ref="C202:C213" si="23">PROPER(TEXT(DATE(MID($A$200,7,4),MID($A$200,4,2),LEFT($A$200,2)),"dddd"))</f>
        <v>Quarta-Feira</v>
      </c>
      <c r="D202" s="512" t="str">
        <f>IF(C202&lt;&gt;"Quarta-Feira","13:00","08:00")</f>
        <v>08:00</v>
      </c>
      <c r="E202" s="287"/>
      <c r="F202" s="459"/>
      <c r="G202" s="167"/>
      <c r="H202" s="83"/>
      <c r="I202" s="34"/>
      <c r="J202" s="74"/>
      <c r="K202" s="74"/>
      <c r="N202" s="268" t="s">
        <v>387</v>
      </c>
      <c r="O202" s="100"/>
      <c r="P202" s="100"/>
      <c r="Q202" s="100"/>
      <c r="R202" s="100"/>
    </row>
    <row r="203">
      <c r="A203" s="12" t="s">
        <v>11</v>
      </c>
      <c r="B203" s="227" t="s">
        <v>2384</v>
      </c>
      <c r="C203" s="74" t="str">
        <f t="shared" si="23"/>
        <v>Quarta-Feira</v>
      </c>
      <c r="D203" s="512" t="str">
        <f>IF(C203&lt;&gt;"Quarta-Feira","13:20","08:20")</f>
        <v>08:20</v>
      </c>
      <c r="E203" s="287"/>
      <c r="F203" s="74"/>
      <c r="G203" s="167"/>
      <c r="H203" s="83"/>
      <c r="I203" s="34"/>
      <c r="J203" s="74"/>
      <c r="K203" s="74"/>
      <c r="N203" s="270" t="s">
        <v>1824</v>
      </c>
      <c r="O203" s="2"/>
      <c r="P203" s="2"/>
      <c r="Q203" s="2"/>
      <c r="R203" s="2"/>
    </row>
    <row r="204">
      <c r="A204" s="12" t="s">
        <v>12</v>
      </c>
      <c r="B204" s="227" t="s">
        <v>2387</v>
      </c>
      <c r="C204" s="74" t="str">
        <f t="shared" si="23"/>
        <v>Quarta-Feira</v>
      </c>
      <c r="D204" s="512" t="str">
        <f>IF(C204&lt;&gt;"Quarta-Feira","13:40","08:40")</f>
        <v>08:40</v>
      </c>
      <c r="E204" s="287"/>
      <c r="F204" s="74"/>
      <c r="G204" s="167"/>
      <c r="H204" s="83"/>
      <c r="I204" s="34"/>
      <c r="J204" s="74"/>
      <c r="K204" s="74"/>
      <c r="N204" s="271" t="s">
        <v>183</v>
      </c>
      <c r="O204" s="272" t="s">
        <v>195</v>
      </c>
      <c r="P204" s="272" t="s">
        <v>181</v>
      </c>
      <c r="Q204" s="273" t="s">
        <v>173</v>
      </c>
      <c r="R204" s="286" t="s">
        <v>1823</v>
      </c>
    </row>
    <row r="205">
      <c r="A205" s="12" t="s">
        <v>13</v>
      </c>
      <c r="B205" s="227" t="s">
        <v>2390</v>
      </c>
      <c r="C205" s="74" t="str">
        <f t="shared" si="23"/>
        <v>Quarta-Feira</v>
      </c>
      <c r="D205" s="512" t="str">
        <f>IF(C205&lt;&gt;"Quarta-Feira","14:00","09:00")</f>
        <v>09:00</v>
      </c>
      <c r="E205" s="287"/>
      <c r="F205" s="74"/>
      <c r="G205" s="167"/>
      <c r="H205" s="83"/>
      <c r="I205" s="34"/>
      <c r="J205" s="74"/>
      <c r="K205" s="74"/>
      <c r="N205" s="275">
        <f t="shared" ref="N205:R205" si="24">COUNTIFS($I$202:$I$213,$N$168)</f>
        <v>0</v>
      </c>
      <c r="O205" s="275">
        <f t="shared" si="24"/>
        <v>0</v>
      </c>
      <c r="P205" s="275">
        <f t="shared" si="24"/>
        <v>0</v>
      </c>
      <c r="Q205" s="275">
        <f t="shared" si="24"/>
        <v>0</v>
      </c>
      <c r="R205" s="275">
        <f t="shared" si="24"/>
        <v>0</v>
      </c>
    </row>
    <row r="206">
      <c r="A206" s="12" t="s">
        <v>14</v>
      </c>
      <c r="B206" s="227" t="s">
        <v>2381</v>
      </c>
      <c r="C206" s="74" t="str">
        <f t="shared" si="23"/>
        <v>Quarta-Feira</v>
      </c>
      <c r="D206" s="512" t="str">
        <f>IF(C206&lt;&gt;"Quarta-Feira","14:20","09:20")</f>
        <v>09:20</v>
      </c>
      <c r="E206" s="287"/>
      <c r="F206" s="74"/>
      <c r="G206" s="167"/>
      <c r="H206" s="83"/>
      <c r="I206" s="34"/>
      <c r="J206" s="74"/>
      <c r="K206" s="74"/>
      <c r="R206" s="67"/>
    </row>
    <row r="207">
      <c r="A207" s="12" t="s">
        <v>15</v>
      </c>
      <c r="B207" s="227" t="s">
        <v>2384</v>
      </c>
      <c r="C207" s="74" t="str">
        <f t="shared" si="23"/>
        <v>Quarta-Feira</v>
      </c>
      <c r="D207" s="512" t="str">
        <f>IF(C207&lt;&gt;"Quarta-Feira","14:40","09:40")</f>
        <v>09:40</v>
      </c>
      <c r="E207" s="287"/>
      <c r="F207" s="74"/>
      <c r="G207" s="167"/>
      <c r="H207" s="83"/>
      <c r="I207" s="34"/>
      <c r="J207" s="74"/>
      <c r="K207" s="74"/>
      <c r="R207" s="67"/>
    </row>
    <row r="208">
      <c r="A208" s="12" t="s">
        <v>16</v>
      </c>
      <c r="B208" s="227" t="s">
        <v>2387</v>
      </c>
      <c r="C208" s="74" t="str">
        <f t="shared" si="23"/>
        <v>Quarta-Feira</v>
      </c>
      <c r="D208" s="512" t="str">
        <f>IF(C208&lt;&gt;"Quarta-Feira","15:00","10:00")</f>
        <v>10:00</v>
      </c>
      <c r="E208" s="287"/>
      <c r="F208" s="459"/>
      <c r="G208" s="167"/>
      <c r="H208" s="83"/>
      <c r="I208" s="34"/>
      <c r="J208" s="74"/>
      <c r="K208" s="74"/>
      <c r="R208" s="67"/>
    </row>
    <row r="209">
      <c r="A209" s="12" t="s">
        <v>17</v>
      </c>
      <c r="B209" s="227" t="s">
        <v>2390</v>
      </c>
      <c r="C209" s="74" t="str">
        <f t="shared" si="23"/>
        <v>Quarta-Feira</v>
      </c>
      <c r="D209" s="512" t="str">
        <f>IF(C209&lt;&gt;"Quarta-Feira","15:20","10:20")</f>
        <v>10:20</v>
      </c>
      <c r="E209" s="287"/>
      <c r="F209" s="74"/>
      <c r="G209" s="167"/>
      <c r="H209" s="83"/>
      <c r="I209" s="34"/>
      <c r="J209" s="74"/>
      <c r="K209" s="74"/>
      <c r="R209" s="67"/>
    </row>
    <row r="210">
      <c r="A210" s="12" t="s">
        <v>85</v>
      </c>
      <c r="B210" s="227" t="s">
        <v>2384</v>
      </c>
      <c r="C210" s="74" t="str">
        <f t="shared" si="23"/>
        <v>Quarta-Feira</v>
      </c>
      <c r="D210" s="512" t="str">
        <f>IF(C210&lt;&gt;"Quarta-Feira","15:40","10:40")</f>
        <v>10:40</v>
      </c>
      <c r="E210" s="287"/>
      <c r="F210" s="74"/>
      <c r="G210" s="167"/>
      <c r="H210" s="83"/>
      <c r="I210" s="34"/>
      <c r="J210" s="74"/>
      <c r="K210" s="74"/>
      <c r="R210" s="67"/>
    </row>
    <row r="211">
      <c r="A211" s="12" t="s">
        <v>87</v>
      </c>
      <c r="B211" s="227" t="s">
        <v>2381</v>
      </c>
      <c r="C211" s="74" t="str">
        <f t="shared" si="23"/>
        <v>Quarta-Feira</v>
      </c>
      <c r="D211" s="512" t="str">
        <f>IF(C211&lt;&gt;"Quarta-Feira","16:00","11:00")</f>
        <v>11:00</v>
      </c>
      <c r="E211" s="287"/>
      <c r="F211" s="74"/>
      <c r="G211" s="167"/>
      <c r="H211" s="166"/>
      <c r="I211" s="34"/>
      <c r="J211" s="74"/>
      <c r="K211" s="74"/>
      <c r="R211" s="67"/>
    </row>
    <row r="212">
      <c r="A212" s="12" t="s">
        <v>90</v>
      </c>
      <c r="B212" s="227" t="s">
        <v>2381</v>
      </c>
      <c r="C212" s="74" t="str">
        <f t="shared" si="23"/>
        <v>Quarta-Feira</v>
      </c>
      <c r="D212" s="512" t="str">
        <f>IF(C212&lt;&gt;"Quarta-Feira","16:20","11:20")</f>
        <v>11:20</v>
      </c>
      <c r="E212" s="287"/>
      <c r="F212" s="74"/>
      <c r="G212" s="167"/>
      <c r="H212" s="166"/>
      <c r="I212" s="34"/>
      <c r="J212" s="74"/>
      <c r="K212" s="74"/>
      <c r="R212" s="67"/>
    </row>
    <row r="213">
      <c r="A213" s="12" t="s">
        <v>93</v>
      </c>
      <c r="B213" s="227" t="s">
        <v>2381</v>
      </c>
      <c r="C213" s="74" t="str">
        <f t="shared" si="23"/>
        <v>Quarta-Feira</v>
      </c>
      <c r="D213" s="512" t="str">
        <f>IF(C213&lt;&gt;"Quarta-Feira","16:40","11:40")</f>
        <v>11:40</v>
      </c>
      <c r="E213" s="287"/>
      <c r="F213" s="74"/>
      <c r="G213" s="167"/>
      <c r="H213" s="166"/>
      <c r="I213" s="34"/>
      <c r="J213" s="74"/>
      <c r="K213" s="74"/>
      <c r="R213" s="67"/>
    </row>
    <row r="214">
      <c r="B214" s="182"/>
      <c r="E214" s="261"/>
      <c r="G214" s="182"/>
      <c r="J214" s="67"/>
      <c r="K214" s="67"/>
      <c r="R214" s="67"/>
    </row>
    <row r="215">
      <c r="B215" s="182"/>
      <c r="E215" s="261"/>
      <c r="G215" s="182"/>
      <c r="J215" s="67"/>
      <c r="K215" s="67"/>
      <c r="R215" s="67"/>
    </row>
    <row r="216">
      <c r="B216" s="182"/>
      <c r="E216" s="261"/>
      <c r="G216" s="182"/>
      <c r="J216" s="67"/>
      <c r="K216" s="67"/>
      <c r="R216" s="67"/>
    </row>
    <row r="217">
      <c r="A217" s="23" t="s">
        <v>378</v>
      </c>
      <c r="B217" s="2"/>
      <c r="C217" s="2"/>
      <c r="D217" s="2"/>
      <c r="E217" s="2"/>
      <c r="F217" s="2"/>
      <c r="G217" s="2"/>
      <c r="H217" s="2"/>
      <c r="I217" s="2"/>
      <c r="J217" s="2"/>
      <c r="K217" s="3"/>
      <c r="R217" s="67"/>
    </row>
    <row r="218">
      <c r="A218" s="24" t="str">
        <f>TEXT(DATE(VALUE(MID(A164,7,4)),VALUE(MID(A164,4,2)),VALUE(LEFT(A164,2)))+7,"dd/mm/yyyy")&amp;" 13h às 17h"</f>
        <v>28/08/2026 13h às 17h</v>
      </c>
      <c r="B218" s="2"/>
      <c r="C218" s="2"/>
      <c r="D218" s="2"/>
      <c r="E218" s="2"/>
      <c r="F218" s="2"/>
      <c r="G218" s="2"/>
      <c r="H218" s="2"/>
      <c r="I218" s="2"/>
      <c r="J218" s="2"/>
      <c r="K218" s="3"/>
      <c r="R218" s="67"/>
    </row>
    <row r="219">
      <c r="A219" s="25"/>
      <c r="B219" s="489" t="s">
        <v>3</v>
      </c>
      <c r="C219" s="27" t="s">
        <v>2</v>
      </c>
      <c r="D219" s="28" t="s">
        <v>5</v>
      </c>
      <c r="E219" s="29" t="s">
        <v>19</v>
      </c>
      <c r="F219" s="28" t="s">
        <v>6</v>
      </c>
      <c r="G219" s="264" t="s">
        <v>7</v>
      </c>
      <c r="H219" s="30" t="s">
        <v>8</v>
      </c>
      <c r="I219" s="31" t="s">
        <v>20</v>
      </c>
      <c r="J219" s="32" t="s">
        <v>21</v>
      </c>
      <c r="K219" s="32" t="s">
        <v>22</v>
      </c>
      <c r="R219" s="67"/>
    </row>
    <row r="220">
      <c r="A220" s="12" t="s">
        <v>10</v>
      </c>
      <c r="B220" s="227" t="s">
        <v>1981</v>
      </c>
      <c r="C220" s="74" t="str">
        <f t="shared" ref="C220:C231" si="25">PROPER(TEXT(DATE(MID($A$218,7,4),MID($A$218,4,2),LEFT($A$218,2)),"dddd"))</f>
        <v>Sexta-Feira</v>
      </c>
      <c r="D220" s="512" t="str">
        <f>IF(C220&lt;&gt;"Quarta-Feira","13:00","08:00")</f>
        <v>13:00</v>
      </c>
      <c r="E220" s="287"/>
      <c r="F220" s="74"/>
      <c r="G220" s="167"/>
      <c r="H220" s="211"/>
      <c r="I220" s="34"/>
      <c r="J220" s="74"/>
      <c r="K220" s="74"/>
      <c r="N220" s="268" t="s">
        <v>387</v>
      </c>
      <c r="O220" s="100"/>
      <c r="P220" s="100"/>
      <c r="Q220" s="100"/>
      <c r="R220" s="100"/>
    </row>
    <row r="221">
      <c r="A221" s="12" t="s">
        <v>11</v>
      </c>
      <c r="B221" s="227" t="s">
        <v>1985</v>
      </c>
      <c r="C221" s="74" t="str">
        <f t="shared" si="25"/>
        <v>Sexta-Feira</v>
      </c>
      <c r="D221" s="512" t="str">
        <f>IF(C221&lt;&gt;"Quarta-Feira","13:20","08:20")</f>
        <v>13:20</v>
      </c>
      <c r="E221" s="287"/>
      <c r="F221" s="74"/>
      <c r="G221" s="167"/>
      <c r="H221" s="211"/>
      <c r="I221" s="34"/>
      <c r="J221" s="74"/>
      <c r="K221" s="74"/>
      <c r="N221" s="270" t="s">
        <v>1824</v>
      </c>
      <c r="O221" s="2"/>
      <c r="P221" s="2"/>
      <c r="Q221" s="2"/>
      <c r="R221" s="2"/>
    </row>
    <row r="222">
      <c r="A222" s="12" t="s">
        <v>12</v>
      </c>
      <c r="B222" s="227" t="s">
        <v>1989</v>
      </c>
      <c r="C222" s="74" t="str">
        <f t="shared" si="25"/>
        <v>Sexta-Feira</v>
      </c>
      <c r="D222" s="512" t="str">
        <f>IF(C222&lt;&gt;"Quarta-Feira","13:40","08:40")</f>
        <v>13:40</v>
      </c>
      <c r="E222" s="287"/>
      <c r="F222" s="74"/>
      <c r="G222" s="167"/>
      <c r="H222" s="211"/>
      <c r="I222" s="34"/>
      <c r="J222" s="74"/>
      <c r="K222" s="74"/>
      <c r="N222" s="271" t="s">
        <v>183</v>
      </c>
      <c r="O222" s="272" t="s">
        <v>195</v>
      </c>
      <c r="P222" s="272" t="s">
        <v>181</v>
      </c>
      <c r="Q222" s="273" t="s">
        <v>173</v>
      </c>
      <c r="R222" s="286" t="s">
        <v>1823</v>
      </c>
    </row>
    <row r="223">
      <c r="A223" s="12" t="s">
        <v>13</v>
      </c>
      <c r="B223" s="227" t="s">
        <v>1992</v>
      </c>
      <c r="C223" s="74" t="str">
        <f t="shared" si="25"/>
        <v>Sexta-Feira</v>
      </c>
      <c r="D223" s="512" t="str">
        <f>IF(C223&lt;&gt;"Quarta-Feira","14:00","09:00")</f>
        <v>14:00</v>
      </c>
      <c r="E223" s="287"/>
      <c r="F223" s="74"/>
      <c r="G223" s="167"/>
      <c r="H223" s="211"/>
      <c r="I223" s="34"/>
      <c r="J223" s="74"/>
      <c r="K223" s="74"/>
      <c r="N223" s="275">
        <f t="shared" ref="N223:R223" si="26">COUNTIFS($I$166:$I$177,$N$168)</f>
        <v>0</v>
      </c>
      <c r="O223" s="275">
        <f t="shared" si="26"/>
        <v>0</v>
      </c>
      <c r="P223" s="275">
        <f t="shared" si="26"/>
        <v>0</v>
      </c>
      <c r="Q223" s="275">
        <f t="shared" si="26"/>
        <v>0</v>
      </c>
      <c r="R223" s="275">
        <f t="shared" si="26"/>
        <v>0</v>
      </c>
    </row>
    <row r="224">
      <c r="A224" s="12" t="s">
        <v>14</v>
      </c>
      <c r="B224" s="227" t="s">
        <v>1981</v>
      </c>
      <c r="C224" s="74" t="str">
        <f t="shared" si="25"/>
        <v>Sexta-Feira</v>
      </c>
      <c r="D224" s="512" t="str">
        <f>IF(C224&lt;&gt;"Quarta-Feira","14:20","09:20")</f>
        <v>14:20</v>
      </c>
      <c r="E224" s="287"/>
      <c r="F224" s="74"/>
      <c r="G224" s="167"/>
      <c r="H224" s="211"/>
      <c r="I224" s="34"/>
      <c r="J224" s="74"/>
      <c r="K224" s="74"/>
      <c r="R224" s="67"/>
    </row>
    <row r="225">
      <c r="A225" s="12" t="s">
        <v>15</v>
      </c>
      <c r="B225" s="227" t="s">
        <v>1985</v>
      </c>
      <c r="C225" s="74" t="str">
        <f t="shared" si="25"/>
        <v>Sexta-Feira</v>
      </c>
      <c r="D225" s="512" t="str">
        <f>IF(C225&lt;&gt;"Quarta-Feira","14:40","09:40")</f>
        <v>14:40</v>
      </c>
      <c r="E225" s="287"/>
      <c r="F225" s="74"/>
      <c r="G225" s="167"/>
      <c r="H225" s="211"/>
      <c r="I225" s="34"/>
      <c r="J225" s="74"/>
      <c r="K225" s="74"/>
      <c r="R225" s="67"/>
    </row>
    <row r="226">
      <c r="A226" s="12" t="s">
        <v>16</v>
      </c>
      <c r="B226" s="227" t="s">
        <v>1989</v>
      </c>
      <c r="C226" s="74" t="str">
        <f t="shared" si="25"/>
        <v>Sexta-Feira</v>
      </c>
      <c r="D226" s="512" t="str">
        <f>IF(C226&lt;&gt;"Quarta-Feira","15:00","10:00")</f>
        <v>15:00</v>
      </c>
      <c r="E226" s="287"/>
      <c r="F226" s="74"/>
      <c r="G226" s="167"/>
      <c r="H226" s="211"/>
      <c r="I226" s="34"/>
      <c r="J226" s="74"/>
      <c r="K226" s="74"/>
      <c r="R226" s="67"/>
    </row>
    <row r="227">
      <c r="A227" s="12" t="s">
        <v>17</v>
      </c>
      <c r="B227" s="227" t="s">
        <v>1992</v>
      </c>
      <c r="C227" s="74" t="str">
        <f t="shared" si="25"/>
        <v>Sexta-Feira</v>
      </c>
      <c r="D227" s="512" t="str">
        <f>IF(C227&lt;&gt;"Quarta-Feira","15:20","10:20")</f>
        <v>15:20</v>
      </c>
      <c r="E227" s="287"/>
      <c r="F227" s="74"/>
      <c r="G227" s="167"/>
      <c r="H227" s="211"/>
      <c r="I227" s="34"/>
      <c r="J227" s="74"/>
      <c r="K227" s="74"/>
      <c r="R227" s="67"/>
    </row>
    <row r="228">
      <c r="A228" s="12" t="s">
        <v>85</v>
      </c>
      <c r="B228" s="227" t="s">
        <v>1981</v>
      </c>
      <c r="C228" s="74" t="str">
        <f t="shared" si="25"/>
        <v>Sexta-Feira</v>
      </c>
      <c r="D228" s="512" t="str">
        <f>IF(C228&lt;&gt;"Quarta-Feira","15:40","10:40")</f>
        <v>15:40</v>
      </c>
      <c r="E228" s="287"/>
      <c r="F228" s="74"/>
      <c r="G228" s="167"/>
      <c r="H228" s="211"/>
      <c r="I228" s="34"/>
      <c r="J228" s="74"/>
      <c r="K228" s="74"/>
      <c r="R228" s="67"/>
    </row>
    <row r="229">
      <c r="A229" s="12" t="s">
        <v>87</v>
      </c>
      <c r="B229" s="227" t="s">
        <v>1985</v>
      </c>
      <c r="C229" s="74" t="str">
        <f t="shared" si="25"/>
        <v>Sexta-Feira</v>
      </c>
      <c r="D229" s="512" t="str">
        <f>IF(C229&lt;&gt;"Quarta-Feira","16:00","11:00")</f>
        <v>16:00</v>
      </c>
      <c r="E229" s="287"/>
      <c r="F229" s="74"/>
      <c r="G229" s="167"/>
      <c r="H229" s="211"/>
      <c r="I229" s="34"/>
      <c r="J229" s="74"/>
      <c r="K229" s="74"/>
      <c r="R229" s="67"/>
    </row>
    <row r="230">
      <c r="A230" s="12" t="s">
        <v>90</v>
      </c>
      <c r="B230" s="227" t="s">
        <v>1989</v>
      </c>
      <c r="C230" s="74" t="str">
        <f t="shared" si="25"/>
        <v>Sexta-Feira</v>
      </c>
      <c r="D230" s="512" t="str">
        <f>IF(C230&lt;&gt;"Quarta-Feira","16:20","11:20")</f>
        <v>16:20</v>
      </c>
      <c r="E230" s="287"/>
      <c r="F230" s="74"/>
      <c r="G230" s="167"/>
      <c r="H230" s="211"/>
      <c r="I230" s="34"/>
      <c r="J230" s="74"/>
      <c r="K230" s="74"/>
      <c r="R230" s="67"/>
    </row>
    <row r="231">
      <c r="A231" s="12" t="s">
        <v>93</v>
      </c>
      <c r="B231" s="227" t="s">
        <v>1992</v>
      </c>
      <c r="C231" s="74" t="str">
        <f t="shared" si="25"/>
        <v>Sexta-Feira</v>
      </c>
      <c r="D231" s="512" t="str">
        <f>IF(C231&lt;&gt;"Quarta-Feira","16:40","11:40")</f>
        <v>16:40</v>
      </c>
      <c r="E231" s="287"/>
      <c r="F231" s="74"/>
      <c r="G231" s="167"/>
      <c r="H231" s="211"/>
      <c r="I231" s="34"/>
      <c r="J231" s="74"/>
      <c r="K231" s="74"/>
      <c r="R231" s="67"/>
    </row>
    <row r="232">
      <c r="B232" s="182"/>
      <c r="E232" s="261"/>
      <c r="G232" s="182"/>
      <c r="J232" s="67"/>
      <c r="K232" s="67"/>
      <c r="R232" s="67"/>
    </row>
    <row r="233">
      <c r="B233" s="182"/>
      <c r="E233" s="261"/>
      <c r="G233" s="182"/>
      <c r="J233" s="67"/>
      <c r="K233" s="67"/>
      <c r="R233" s="67"/>
    </row>
    <row r="234">
      <c r="B234" s="182"/>
      <c r="E234" s="261"/>
      <c r="G234" s="182"/>
      <c r="J234" s="67"/>
      <c r="K234" s="67"/>
      <c r="R234" s="67"/>
    </row>
    <row r="235">
      <c r="A235" s="23" t="s">
        <v>378</v>
      </c>
      <c r="B235" s="2"/>
      <c r="C235" s="2"/>
      <c r="D235" s="2"/>
      <c r="E235" s="2"/>
      <c r="F235" s="2"/>
      <c r="G235" s="2"/>
      <c r="H235" s="2"/>
      <c r="I235" s="2"/>
      <c r="J235" s="2"/>
      <c r="K235" s="3"/>
      <c r="R235" s="67"/>
    </row>
    <row r="236">
      <c r="A236" s="24" t="str">
        <f>TEXT(DATE(VALUE(MID(A218,7,4)),VALUE(MID(A218,4,2)),VALUE(LEFT(A218,2)))+3,"dd/mm/yyyy")&amp;" 13h às 17h"</f>
        <v>31/08/2026 13h às 17h</v>
      </c>
      <c r="B236" s="2"/>
      <c r="C236" s="2"/>
      <c r="D236" s="2"/>
      <c r="E236" s="2"/>
      <c r="F236" s="2"/>
      <c r="G236" s="2"/>
      <c r="H236" s="2"/>
      <c r="I236" s="2"/>
      <c r="J236" s="2"/>
      <c r="K236" s="3"/>
    </row>
    <row r="237">
      <c r="A237" s="25"/>
      <c r="B237" s="489" t="s">
        <v>3</v>
      </c>
      <c r="C237" s="27" t="s">
        <v>2</v>
      </c>
      <c r="D237" s="28" t="s">
        <v>5</v>
      </c>
      <c r="E237" s="29" t="s">
        <v>19</v>
      </c>
      <c r="F237" s="28" t="s">
        <v>6</v>
      </c>
      <c r="G237" s="264" t="s">
        <v>7</v>
      </c>
      <c r="H237" s="30" t="s">
        <v>8</v>
      </c>
      <c r="I237" s="31" t="s">
        <v>20</v>
      </c>
      <c r="J237" s="32" t="s">
        <v>21</v>
      </c>
      <c r="K237" s="32" t="s">
        <v>22</v>
      </c>
    </row>
    <row r="238">
      <c r="A238" s="12" t="s">
        <v>10</v>
      </c>
      <c r="B238" s="227" t="s">
        <v>2014</v>
      </c>
      <c r="C238" s="74" t="str">
        <f t="shared" ref="C238:C249" si="27">PROPER(TEXT(DATE(MID($A$236,7,4),MID($A$236,4,2),LEFT($A$236,2)),"dddd"))</f>
        <v>Segunda-Feira</v>
      </c>
      <c r="D238" s="512" t="str">
        <f>IF(C238&lt;&gt;"Quarta-Feira","13:00","08:00")</f>
        <v>13:00</v>
      </c>
      <c r="E238" s="287"/>
      <c r="F238" s="74"/>
      <c r="G238" s="167"/>
      <c r="H238" s="211"/>
      <c r="I238" s="34"/>
      <c r="J238" s="74"/>
      <c r="K238" s="74"/>
      <c r="N238" s="268" t="s">
        <v>387</v>
      </c>
      <c r="O238" s="100"/>
      <c r="P238" s="100"/>
      <c r="Q238" s="100"/>
      <c r="R238" s="100"/>
    </row>
    <row r="239">
      <c r="A239" s="12" t="s">
        <v>11</v>
      </c>
      <c r="B239" s="227" t="s">
        <v>2019</v>
      </c>
      <c r="C239" s="74" t="str">
        <f t="shared" si="27"/>
        <v>Segunda-Feira</v>
      </c>
      <c r="D239" s="512" t="str">
        <f>IF(C239&lt;&gt;"Quarta-Feira","13:20","08:20")</f>
        <v>13:20</v>
      </c>
      <c r="E239" s="287"/>
      <c r="F239" s="74"/>
      <c r="G239" s="167"/>
      <c r="H239" s="77"/>
      <c r="I239" s="34"/>
      <c r="J239" s="74"/>
      <c r="K239" s="74"/>
      <c r="N239" s="270" t="s">
        <v>1824</v>
      </c>
      <c r="O239" s="2"/>
      <c r="P239" s="2"/>
      <c r="Q239" s="2"/>
      <c r="R239" s="2"/>
    </row>
    <row r="240">
      <c r="A240" s="12" t="s">
        <v>12</v>
      </c>
      <c r="B240" s="227" t="s">
        <v>2021</v>
      </c>
      <c r="C240" s="74" t="str">
        <f t="shared" si="27"/>
        <v>Segunda-Feira</v>
      </c>
      <c r="D240" s="512" t="str">
        <f>IF(C240&lt;&gt;"Quarta-Feira","13:40","08:40")</f>
        <v>13:40</v>
      </c>
      <c r="E240" s="287"/>
      <c r="F240" s="74"/>
      <c r="G240" s="167"/>
      <c r="H240" s="83"/>
      <c r="I240" s="34"/>
      <c r="J240" s="74"/>
      <c r="K240" s="74"/>
      <c r="N240" s="271" t="s">
        <v>183</v>
      </c>
      <c r="O240" s="272" t="s">
        <v>195</v>
      </c>
      <c r="P240" s="272" t="s">
        <v>181</v>
      </c>
      <c r="Q240" s="273" t="s">
        <v>173</v>
      </c>
      <c r="R240" s="286" t="s">
        <v>1823</v>
      </c>
    </row>
    <row r="241">
      <c r="A241" s="12" t="s">
        <v>13</v>
      </c>
      <c r="B241" s="227" t="s">
        <v>2024</v>
      </c>
      <c r="C241" s="74" t="str">
        <f t="shared" si="27"/>
        <v>Segunda-Feira</v>
      </c>
      <c r="D241" s="512" t="str">
        <f>IF(C241&lt;&gt;"Quarta-Feira","14:00","09:00")</f>
        <v>14:00</v>
      </c>
      <c r="E241" s="287"/>
      <c r="F241" s="74"/>
      <c r="G241" s="167"/>
      <c r="H241" s="83"/>
      <c r="I241" s="34"/>
      <c r="J241" s="74"/>
      <c r="K241" s="74"/>
      <c r="N241" s="275">
        <f t="shared" ref="N241:R241" si="28">COUNTIFS($I$184:$I$195,$N$168)</f>
        <v>0</v>
      </c>
      <c r="O241" s="275">
        <f t="shared" si="28"/>
        <v>0</v>
      </c>
      <c r="P241" s="275">
        <f t="shared" si="28"/>
        <v>0</v>
      </c>
      <c r="Q241" s="275">
        <f t="shared" si="28"/>
        <v>0</v>
      </c>
      <c r="R241" s="275">
        <f t="shared" si="28"/>
        <v>0</v>
      </c>
    </row>
    <row r="242">
      <c r="A242" s="12" t="s">
        <v>14</v>
      </c>
      <c r="B242" s="227" t="s">
        <v>2019</v>
      </c>
      <c r="C242" s="74" t="str">
        <f t="shared" si="27"/>
        <v>Segunda-Feira</v>
      </c>
      <c r="D242" s="512" t="str">
        <f>IF(C242&lt;&gt;"Quarta-Feira","14:20","09:20")</f>
        <v>14:20</v>
      </c>
      <c r="E242" s="287"/>
      <c r="F242" s="74"/>
      <c r="G242" s="167"/>
      <c r="H242" s="83"/>
      <c r="I242" s="34"/>
      <c r="J242" s="74"/>
      <c r="K242" s="74"/>
      <c r="R242" s="67"/>
    </row>
    <row r="243">
      <c r="A243" s="12" t="s">
        <v>15</v>
      </c>
      <c r="B243" s="227" t="s">
        <v>2021</v>
      </c>
      <c r="C243" s="74" t="str">
        <f t="shared" si="27"/>
        <v>Segunda-Feira</v>
      </c>
      <c r="D243" s="512" t="str">
        <f>IF(C243&lt;&gt;"Quarta-Feira","14:40","09:40")</f>
        <v>14:40</v>
      </c>
      <c r="E243" s="287"/>
      <c r="F243" s="74"/>
      <c r="G243" s="167"/>
      <c r="H243" s="83"/>
      <c r="I243" s="34"/>
      <c r="J243" s="74"/>
      <c r="K243" s="74"/>
      <c r="R243" s="67"/>
    </row>
    <row r="244">
      <c r="A244" s="12" t="s">
        <v>16</v>
      </c>
      <c r="B244" s="227" t="s">
        <v>2014</v>
      </c>
      <c r="C244" s="74" t="str">
        <f t="shared" si="27"/>
        <v>Segunda-Feira</v>
      </c>
      <c r="D244" s="512" t="str">
        <f>IF(C244&lt;&gt;"Quarta-Feira","15:00","10:00")</f>
        <v>15:00</v>
      </c>
      <c r="E244" s="287"/>
      <c r="F244" s="74"/>
      <c r="G244" s="167"/>
      <c r="H244" s="83"/>
      <c r="I244" s="34"/>
      <c r="J244" s="74"/>
      <c r="K244" s="74"/>
      <c r="R244" s="67"/>
    </row>
    <row r="245">
      <c r="A245" s="12" t="s">
        <v>17</v>
      </c>
      <c r="B245" s="227" t="s">
        <v>2019</v>
      </c>
      <c r="C245" s="74" t="str">
        <f t="shared" si="27"/>
        <v>Segunda-Feira</v>
      </c>
      <c r="D245" s="512" t="str">
        <f>IF(C245&lt;&gt;"Quarta-Feira","15:20","10:20")</f>
        <v>15:20</v>
      </c>
      <c r="E245" s="287"/>
      <c r="F245" s="74"/>
      <c r="G245" s="167"/>
      <c r="H245" s="77"/>
      <c r="I245" s="34"/>
      <c r="J245" s="74"/>
      <c r="K245" s="74"/>
      <c r="R245" s="67"/>
    </row>
    <row r="246">
      <c r="A246" s="12" t="s">
        <v>85</v>
      </c>
      <c r="B246" s="227" t="s">
        <v>2024</v>
      </c>
      <c r="C246" s="74" t="str">
        <f t="shared" si="27"/>
        <v>Segunda-Feira</v>
      </c>
      <c r="D246" s="512" t="str">
        <f>IF(C246&lt;&gt;"Quarta-Feira","15:40","10:40")</f>
        <v>15:40</v>
      </c>
      <c r="E246" s="287"/>
      <c r="F246" s="74"/>
      <c r="G246" s="167"/>
      <c r="H246" s="83"/>
      <c r="I246" s="34"/>
      <c r="J246" s="74"/>
      <c r="K246" s="74"/>
      <c r="R246" s="67"/>
    </row>
    <row r="247">
      <c r="A247" s="12" t="s">
        <v>87</v>
      </c>
      <c r="B247" s="227" t="s">
        <v>2021</v>
      </c>
      <c r="C247" s="74" t="str">
        <f t="shared" si="27"/>
        <v>Segunda-Feira</v>
      </c>
      <c r="D247" s="512" t="str">
        <f>IF(C247&lt;&gt;"Quarta-Feira","16:00","11:00")</f>
        <v>16:00</v>
      </c>
      <c r="E247" s="287"/>
      <c r="F247" s="74"/>
      <c r="G247" s="167"/>
      <c r="H247" s="166"/>
      <c r="I247" s="34"/>
      <c r="J247" s="74"/>
      <c r="K247" s="74"/>
      <c r="R247" s="67"/>
    </row>
    <row r="248">
      <c r="A248" s="12" t="s">
        <v>90</v>
      </c>
      <c r="B248" s="227" t="s">
        <v>2024</v>
      </c>
      <c r="C248" s="74" t="str">
        <f t="shared" si="27"/>
        <v>Segunda-Feira</v>
      </c>
      <c r="D248" s="512" t="str">
        <f>IF(C248&lt;&gt;"Quarta-Feira","16:20","11:20")</f>
        <v>16:20</v>
      </c>
      <c r="E248" s="287"/>
      <c r="F248" s="74"/>
      <c r="G248" s="167"/>
      <c r="H248" s="166"/>
      <c r="I248" s="34"/>
      <c r="J248" s="74"/>
      <c r="K248" s="74"/>
      <c r="R248" s="67"/>
    </row>
    <row r="249">
      <c r="A249" s="12" t="s">
        <v>93</v>
      </c>
      <c r="B249" s="227" t="s">
        <v>2014</v>
      </c>
      <c r="C249" s="74" t="str">
        <f t="shared" si="27"/>
        <v>Segunda-Feira</v>
      </c>
      <c r="D249" s="512" t="str">
        <f>IF(C249&lt;&gt;"Quarta-Feira","16:40","11:40")</f>
        <v>16:40</v>
      </c>
      <c r="E249" s="287"/>
      <c r="F249" s="74"/>
      <c r="G249" s="167"/>
      <c r="H249" s="166"/>
      <c r="I249" s="34"/>
      <c r="J249" s="74"/>
      <c r="K249" s="74"/>
      <c r="R249" s="67"/>
    </row>
    <row r="250">
      <c r="B250" s="182"/>
      <c r="E250" s="261"/>
      <c r="G250" s="182"/>
      <c r="J250" s="67"/>
      <c r="K250" s="67"/>
      <c r="R250" s="67"/>
    </row>
    <row r="251">
      <c r="B251" s="182"/>
      <c r="E251" s="261"/>
      <c r="G251" s="182"/>
      <c r="J251" s="67"/>
      <c r="K251" s="67"/>
      <c r="R251" s="67"/>
    </row>
    <row r="252">
      <c r="B252" s="182"/>
      <c r="E252" s="261"/>
      <c r="G252" s="182"/>
      <c r="J252" s="67"/>
      <c r="K252" s="67"/>
      <c r="R252" s="67"/>
    </row>
    <row r="253" hidden="1">
      <c r="A253" s="23" t="s">
        <v>378</v>
      </c>
      <c r="B253" s="2"/>
      <c r="C253" s="2"/>
      <c r="D253" s="2"/>
      <c r="E253" s="2"/>
      <c r="F253" s="2"/>
      <c r="G253" s="2"/>
      <c r="H253" s="2"/>
      <c r="I253" s="2"/>
      <c r="J253" s="2"/>
      <c r="K253" s="3"/>
      <c r="R253" s="67"/>
    </row>
    <row r="254" hidden="1">
      <c r="A254" s="24" t="str">
        <f>TEXT(DATE(VALUE(MID(A236,7,4)),VALUE(MID(A236,4,2)),VALUE(LEFT(A236,2)))+2,"dd/mm/yyyy")&amp;" 08h às 13h"</f>
        <v>02/09/2026 08h às 13h</v>
      </c>
      <c r="B254" s="2"/>
      <c r="C254" s="2"/>
      <c r="D254" s="2"/>
      <c r="E254" s="2"/>
      <c r="F254" s="2"/>
      <c r="G254" s="2"/>
      <c r="H254" s="2"/>
      <c r="I254" s="2"/>
      <c r="J254" s="2"/>
      <c r="K254" s="3"/>
      <c r="R254" s="67"/>
    </row>
    <row r="255" hidden="1">
      <c r="A255" s="25"/>
      <c r="B255" s="489" t="s">
        <v>3</v>
      </c>
      <c r="C255" s="27" t="s">
        <v>2</v>
      </c>
      <c r="D255" s="28" t="s">
        <v>5</v>
      </c>
      <c r="E255" s="29" t="s">
        <v>19</v>
      </c>
      <c r="F255" s="28" t="s">
        <v>6</v>
      </c>
      <c r="G255" s="264" t="s">
        <v>7</v>
      </c>
      <c r="H255" s="30" t="s">
        <v>8</v>
      </c>
      <c r="I255" s="31" t="s">
        <v>20</v>
      </c>
      <c r="J255" s="32" t="s">
        <v>21</v>
      </c>
      <c r="K255" s="32" t="s">
        <v>22</v>
      </c>
      <c r="R255" s="67"/>
    </row>
    <row r="256" hidden="1">
      <c r="A256" s="12" t="s">
        <v>10</v>
      </c>
      <c r="B256" s="227" t="s">
        <v>2381</v>
      </c>
      <c r="C256" s="74" t="str">
        <f t="shared" ref="C256:C267" si="29">PROPER(TEXT(DATE(MID($A$146,7,4),MID($A$146,4,2),LEFT($A$146,2)),"dddd"))</f>
        <v>Quarta-Feira</v>
      </c>
      <c r="D256" s="512" t="str">
        <f>IF(C256&lt;&gt;"Quarta-Feira","13:00","08:00")</f>
        <v>08:00</v>
      </c>
      <c r="E256" s="287"/>
      <c r="F256" s="459"/>
      <c r="G256" s="167"/>
      <c r="H256" s="83"/>
      <c r="I256" s="34"/>
      <c r="J256" s="74"/>
      <c r="K256" s="74"/>
      <c r="N256" s="268" t="s">
        <v>387</v>
      </c>
      <c r="O256" s="100"/>
      <c r="P256" s="100"/>
      <c r="Q256" s="100"/>
      <c r="R256" s="100"/>
    </row>
    <row r="257" hidden="1">
      <c r="A257" s="12" t="s">
        <v>11</v>
      </c>
      <c r="B257" s="227" t="s">
        <v>2384</v>
      </c>
      <c r="C257" s="74" t="str">
        <f t="shared" si="29"/>
        <v>Quarta-Feira</v>
      </c>
      <c r="D257" s="512" t="str">
        <f>IF(C257&lt;&gt;"Quarta-Feira","13:20","08:20")</f>
        <v>08:20</v>
      </c>
      <c r="E257" s="287"/>
      <c r="F257" s="74"/>
      <c r="G257" s="167"/>
      <c r="H257" s="83"/>
      <c r="I257" s="34"/>
      <c r="J257" s="74"/>
      <c r="K257" s="74"/>
      <c r="N257" s="270" t="s">
        <v>1824</v>
      </c>
      <c r="O257" s="2"/>
      <c r="P257" s="2"/>
      <c r="Q257" s="2"/>
      <c r="R257" s="2"/>
    </row>
    <row r="258" hidden="1">
      <c r="A258" s="12" t="s">
        <v>12</v>
      </c>
      <c r="B258" s="227" t="s">
        <v>2387</v>
      </c>
      <c r="C258" s="74" t="str">
        <f t="shared" si="29"/>
        <v>Quarta-Feira</v>
      </c>
      <c r="D258" s="512" t="str">
        <f>IF(C258&lt;&gt;"Quarta-Feira","13:40","08:40")</f>
        <v>08:40</v>
      </c>
      <c r="E258" s="287"/>
      <c r="F258" s="74"/>
      <c r="G258" s="167"/>
      <c r="H258" s="83"/>
      <c r="I258" s="34"/>
      <c r="J258" s="74"/>
      <c r="K258" s="74"/>
      <c r="N258" s="271" t="s">
        <v>183</v>
      </c>
      <c r="O258" s="272" t="s">
        <v>195</v>
      </c>
      <c r="P258" s="272" t="s">
        <v>181</v>
      </c>
      <c r="Q258" s="273" t="s">
        <v>173</v>
      </c>
      <c r="R258" s="286" t="s">
        <v>1823</v>
      </c>
    </row>
    <row r="259" hidden="1">
      <c r="A259" s="12" t="s">
        <v>13</v>
      </c>
      <c r="B259" s="227" t="s">
        <v>2390</v>
      </c>
      <c r="C259" s="74" t="str">
        <f t="shared" si="29"/>
        <v>Quarta-Feira</v>
      </c>
      <c r="D259" s="512" t="str">
        <f>IF(C259&lt;&gt;"Quarta-Feira","14:00","09:00")</f>
        <v>09:00</v>
      </c>
      <c r="E259" s="287"/>
      <c r="F259" s="74"/>
      <c r="G259" s="167"/>
      <c r="H259" s="83"/>
      <c r="I259" s="34"/>
      <c r="J259" s="74"/>
      <c r="K259" s="74"/>
      <c r="N259" s="275">
        <f t="shared" ref="N259:R259" si="30">COUNTIFS($I$202:$I$213,$N$168)</f>
        <v>0</v>
      </c>
      <c r="O259" s="275">
        <f t="shared" si="30"/>
        <v>0</v>
      </c>
      <c r="P259" s="275">
        <f t="shared" si="30"/>
        <v>0</v>
      </c>
      <c r="Q259" s="275">
        <f t="shared" si="30"/>
        <v>0</v>
      </c>
      <c r="R259" s="275">
        <f t="shared" si="30"/>
        <v>0</v>
      </c>
    </row>
    <row r="260" hidden="1">
      <c r="A260" s="12" t="s">
        <v>14</v>
      </c>
      <c r="B260" s="227" t="s">
        <v>2381</v>
      </c>
      <c r="C260" s="74" t="str">
        <f t="shared" si="29"/>
        <v>Quarta-Feira</v>
      </c>
      <c r="D260" s="512" t="str">
        <f>IF(C260&lt;&gt;"Quarta-Feira","14:20","09:20")</f>
        <v>09:20</v>
      </c>
      <c r="E260" s="287"/>
      <c r="F260" s="74"/>
      <c r="G260" s="167"/>
      <c r="H260" s="83"/>
      <c r="I260" s="34"/>
      <c r="J260" s="74"/>
      <c r="K260" s="74"/>
      <c r="R260" s="67"/>
    </row>
    <row r="261" hidden="1">
      <c r="A261" s="12" t="s">
        <v>15</v>
      </c>
      <c r="B261" s="227" t="s">
        <v>2384</v>
      </c>
      <c r="C261" s="74" t="str">
        <f t="shared" si="29"/>
        <v>Quarta-Feira</v>
      </c>
      <c r="D261" s="512" t="str">
        <f>IF(C261&lt;&gt;"Quarta-Feira","14:40","09:40")</f>
        <v>09:40</v>
      </c>
      <c r="E261" s="287"/>
      <c r="F261" s="74"/>
      <c r="G261" s="167"/>
      <c r="H261" s="83"/>
      <c r="I261" s="34"/>
      <c r="J261" s="74"/>
      <c r="K261" s="74"/>
      <c r="R261" s="67"/>
    </row>
    <row r="262" hidden="1">
      <c r="A262" s="12" t="s">
        <v>16</v>
      </c>
      <c r="B262" s="227" t="s">
        <v>2387</v>
      </c>
      <c r="C262" s="74" t="str">
        <f t="shared" si="29"/>
        <v>Quarta-Feira</v>
      </c>
      <c r="D262" s="512" t="str">
        <f>IF(C262&lt;&gt;"Quarta-Feira","15:00","10:00")</f>
        <v>10:00</v>
      </c>
      <c r="E262" s="287"/>
      <c r="F262" s="459"/>
      <c r="G262" s="167"/>
      <c r="H262" s="83"/>
      <c r="I262" s="34"/>
      <c r="J262" s="74"/>
      <c r="K262" s="74"/>
      <c r="R262" s="67"/>
    </row>
    <row r="263" hidden="1">
      <c r="A263" s="12" t="s">
        <v>17</v>
      </c>
      <c r="B263" s="227" t="s">
        <v>2390</v>
      </c>
      <c r="C263" s="74" t="str">
        <f t="shared" si="29"/>
        <v>Quarta-Feira</v>
      </c>
      <c r="D263" s="512" t="str">
        <f>IF(C263&lt;&gt;"Quarta-Feira","15:20","10:20")</f>
        <v>10:20</v>
      </c>
      <c r="E263" s="287"/>
      <c r="F263" s="74"/>
      <c r="G263" s="167"/>
      <c r="H263" s="83"/>
      <c r="I263" s="34"/>
      <c r="J263" s="74"/>
      <c r="K263" s="74"/>
      <c r="R263" s="67"/>
    </row>
    <row r="264" hidden="1">
      <c r="A264" s="12" t="s">
        <v>85</v>
      </c>
      <c r="B264" s="227" t="s">
        <v>2384</v>
      </c>
      <c r="C264" s="74" t="str">
        <f t="shared" si="29"/>
        <v>Quarta-Feira</v>
      </c>
      <c r="D264" s="512" t="str">
        <f>IF(C264&lt;&gt;"Quarta-Feira","15:40","10:40")</f>
        <v>10:40</v>
      </c>
      <c r="E264" s="287"/>
      <c r="F264" s="74"/>
      <c r="G264" s="167"/>
      <c r="H264" s="83"/>
      <c r="I264" s="34"/>
      <c r="J264" s="74"/>
      <c r="K264" s="74"/>
      <c r="R264" s="67"/>
    </row>
    <row r="265" hidden="1">
      <c r="A265" s="12" t="s">
        <v>87</v>
      </c>
      <c r="B265" s="227" t="s">
        <v>2381</v>
      </c>
      <c r="C265" s="74" t="str">
        <f t="shared" si="29"/>
        <v>Quarta-Feira</v>
      </c>
      <c r="D265" s="512" t="str">
        <f>IF(C265&lt;&gt;"Quarta-Feira","16:00","11:00")</f>
        <v>11:00</v>
      </c>
      <c r="E265" s="287"/>
      <c r="F265" s="74"/>
      <c r="G265" s="167"/>
      <c r="H265" s="166"/>
      <c r="I265" s="34"/>
      <c r="J265" s="74"/>
      <c r="K265" s="74"/>
      <c r="R265" s="67"/>
    </row>
    <row r="266" hidden="1">
      <c r="A266" s="12" t="s">
        <v>90</v>
      </c>
      <c r="B266" s="227" t="s">
        <v>2381</v>
      </c>
      <c r="C266" s="74" t="str">
        <f t="shared" si="29"/>
        <v>Quarta-Feira</v>
      </c>
      <c r="D266" s="512" t="str">
        <f>IF(C266&lt;&gt;"Quarta-Feira","16:20","11:20")</f>
        <v>11:20</v>
      </c>
      <c r="E266" s="287"/>
      <c r="F266" s="74"/>
      <c r="G266" s="167"/>
      <c r="H266" s="166"/>
      <c r="I266" s="34"/>
      <c r="J266" s="74"/>
      <c r="K266" s="74"/>
      <c r="R266" s="67"/>
    </row>
    <row r="267" hidden="1">
      <c r="A267" s="12" t="s">
        <v>93</v>
      </c>
      <c r="B267" s="227" t="s">
        <v>2381</v>
      </c>
      <c r="C267" s="74" t="str">
        <f t="shared" si="29"/>
        <v>Quarta-Feira</v>
      </c>
      <c r="D267" s="512" t="str">
        <f>IF(C267&lt;&gt;"Quarta-Feira","16:40","11:40")</f>
        <v>11:40</v>
      </c>
      <c r="E267" s="287"/>
      <c r="F267" s="74"/>
      <c r="G267" s="167"/>
      <c r="H267" s="166"/>
      <c r="I267" s="34"/>
      <c r="J267" s="74"/>
      <c r="K267" s="74"/>
      <c r="R267" s="67"/>
    </row>
    <row r="268">
      <c r="B268" s="182"/>
      <c r="E268" s="261"/>
      <c r="G268" s="182"/>
      <c r="J268" s="67"/>
      <c r="K268" s="67"/>
      <c r="R268" s="67"/>
    </row>
    <row r="269">
      <c r="B269" s="182"/>
      <c r="E269" s="261"/>
      <c r="G269" s="182"/>
      <c r="J269" s="67"/>
      <c r="K269" s="67"/>
      <c r="R269" s="67"/>
    </row>
    <row r="270">
      <c r="B270" s="182"/>
      <c r="E270" s="261"/>
      <c r="G270" s="182"/>
      <c r="J270" s="67"/>
      <c r="K270" s="67"/>
      <c r="R270" s="67"/>
    </row>
    <row r="271">
      <c r="B271" s="182"/>
      <c r="E271" s="261"/>
      <c r="G271" s="182"/>
      <c r="J271" s="67"/>
      <c r="K271" s="67"/>
      <c r="R271" s="67"/>
    </row>
    <row r="272">
      <c r="B272" s="182"/>
      <c r="E272" s="261"/>
      <c r="G272" s="182"/>
      <c r="J272" s="67"/>
      <c r="K272" s="67"/>
      <c r="R272" s="67"/>
    </row>
    <row r="273">
      <c r="B273" s="182"/>
      <c r="E273" s="261"/>
      <c r="G273" s="182"/>
      <c r="J273" s="67"/>
      <c r="K273" s="67"/>
      <c r="R273" s="67"/>
    </row>
    <row r="274">
      <c r="B274" s="182"/>
      <c r="E274" s="261"/>
      <c r="G274" s="182"/>
      <c r="J274" s="67"/>
      <c r="K274" s="67"/>
      <c r="R274" s="67"/>
    </row>
    <row r="275">
      <c r="B275" s="182"/>
      <c r="E275" s="261"/>
      <c r="G275" s="182"/>
      <c r="J275" s="67"/>
      <c r="K275" s="67"/>
      <c r="R275" s="67"/>
    </row>
    <row r="276">
      <c r="B276" s="182"/>
      <c r="E276" s="261"/>
      <c r="G276" s="182"/>
      <c r="J276" s="67"/>
      <c r="K276" s="67"/>
      <c r="N276" s="268" t="s">
        <v>2080</v>
      </c>
      <c r="O276" s="100"/>
      <c r="P276" s="100"/>
      <c r="Q276" s="100"/>
      <c r="R276" s="100"/>
    </row>
    <row r="277">
      <c r="B277" s="182"/>
      <c r="E277" s="261"/>
      <c r="G277" s="182"/>
      <c r="J277" s="67"/>
      <c r="K277" s="67"/>
      <c r="N277" s="271" t="s">
        <v>183</v>
      </c>
      <c r="O277" s="272" t="s">
        <v>195</v>
      </c>
      <c r="P277" s="272" t="s">
        <v>181</v>
      </c>
      <c r="Q277" s="273" t="s">
        <v>173</v>
      </c>
      <c r="R277" s="286" t="s">
        <v>1823</v>
      </c>
    </row>
    <row r="278">
      <c r="B278" s="182"/>
      <c r="E278" s="261"/>
      <c r="G278" s="182"/>
      <c r="J278" s="67"/>
      <c r="K278" s="67"/>
      <c r="N278" s="458">
        <f t="shared" ref="N278:R278" si="31">SUM(N59:N272)</f>
        <v>0</v>
      </c>
      <c r="O278" s="458">
        <f t="shared" si="31"/>
        <v>0</v>
      </c>
      <c r="P278" s="458">
        <f t="shared" si="31"/>
        <v>0</v>
      </c>
      <c r="Q278" s="458">
        <f t="shared" si="31"/>
        <v>0</v>
      </c>
      <c r="R278" s="458">
        <f t="shared" si="31"/>
        <v>0</v>
      </c>
    </row>
    <row r="279">
      <c r="B279" s="182"/>
      <c r="E279" s="261"/>
      <c r="G279" s="182"/>
      <c r="J279" s="67"/>
      <c r="K279" s="67"/>
      <c r="R279" s="67"/>
    </row>
    <row r="280">
      <c r="B280" s="182"/>
      <c r="E280" s="261"/>
      <c r="G280" s="182"/>
      <c r="J280" s="67"/>
      <c r="K280" s="67"/>
      <c r="R280" s="67"/>
    </row>
    <row r="281">
      <c r="B281" s="182"/>
      <c r="E281" s="261"/>
      <c r="G281" s="182"/>
      <c r="J281" s="67"/>
      <c r="K281" s="67"/>
      <c r="R281" s="67"/>
    </row>
    <row r="282">
      <c r="B282" s="182"/>
      <c r="E282" s="261"/>
      <c r="G282" s="182"/>
      <c r="J282" s="67"/>
      <c r="K282" s="67"/>
      <c r="R282" s="67"/>
    </row>
    <row r="283">
      <c r="B283" s="182"/>
      <c r="E283" s="261"/>
      <c r="G283" s="182"/>
      <c r="J283" s="67"/>
      <c r="K283" s="67"/>
      <c r="R283" s="67"/>
    </row>
    <row r="284">
      <c r="B284" s="182"/>
      <c r="E284" s="261"/>
      <c r="G284" s="182"/>
      <c r="J284" s="67"/>
      <c r="K284" s="67"/>
      <c r="R284" s="67"/>
    </row>
    <row r="285">
      <c r="B285" s="182"/>
      <c r="E285" s="261"/>
      <c r="G285" s="182"/>
      <c r="J285" s="67"/>
      <c r="K285" s="67"/>
      <c r="R285" s="67"/>
    </row>
    <row r="286">
      <c r="B286" s="182"/>
      <c r="E286" s="261"/>
      <c r="G286" s="182"/>
      <c r="J286" s="67"/>
      <c r="K286" s="67"/>
      <c r="R286" s="67"/>
    </row>
    <row r="287">
      <c r="B287" s="182"/>
      <c r="E287" s="261"/>
      <c r="G287" s="182"/>
      <c r="J287" s="67"/>
      <c r="K287" s="67"/>
      <c r="R287" s="67"/>
    </row>
    <row r="288">
      <c r="B288" s="182"/>
      <c r="E288" s="261"/>
      <c r="G288" s="182"/>
      <c r="J288" s="67"/>
      <c r="K288" s="67"/>
      <c r="R288" s="67"/>
    </row>
    <row r="289">
      <c r="B289" s="182"/>
      <c r="E289" s="261"/>
      <c r="G289" s="182"/>
      <c r="J289" s="67"/>
      <c r="K289" s="67"/>
      <c r="R289" s="67"/>
    </row>
    <row r="290">
      <c r="B290" s="182"/>
      <c r="E290" s="261"/>
      <c r="G290" s="182"/>
      <c r="J290" s="67"/>
      <c r="K290" s="67"/>
      <c r="R290" s="67"/>
    </row>
    <row r="291">
      <c r="B291" s="182"/>
      <c r="E291" s="261"/>
      <c r="G291" s="182"/>
      <c r="J291" s="67"/>
      <c r="K291" s="67"/>
      <c r="R291" s="67"/>
    </row>
    <row r="292">
      <c r="B292" s="182"/>
      <c r="E292" s="261"/>
      <c r="G292" s="182"/>
      <c r="J292" s="67"/>
      <c r="K292" s="67"/>
      <c r="R292" s="67"/>
    </row>
    <row r="293">
      <c r="B293" s="182"/>
      <c r="E293" s="261"/>
      <c r="G293" s="182"/>
      <c r="J293" s="67"/>
      <c r="K293" s="67"/>
      <c r="R293" s="67"/>
    </row>
    <row r="294">
      <c r="B294" s="182"/>
      <c r="E294" s="261"/>
      <c r="G294" s="182"/>
      <c r="J294" s="67"/>
      <c r="K294" s="67"/>
      <c r="R294" s="67"/>
    </row>
    <row r="295">
      <c r="B295" s="182"/>
      <c r="E295" s="261"/>
      <c r="G295" s="182"/>
      <c r="J295" s="67"/>
      <c r="K295" s="67"/>
      <c r="R295" s="67"/>
    </row>
    <row r="296">
      <c r="B296" s="182"/>
      <c r="E296" s="261"/>
      <c r="G296" s="182"/>
      <c r="J296" s="67"/>
      <c r="K296" s="67"/>
      <c r="R296" s="67"/>
    </row>
    <row r="297">
      <c r="B297" s="182"/>
      <c r="E297" s="261"/>
      <c r="G297" s="182"/>
      <c r="J297" s="67"/>
      <c r="K297" s="67"/>
      <c r="R297" s="67"/>
    </row>
    <row r="298">
      <c r="B298" s="182"/>
      <c r="E298" s="261"/>
      <c r="G298" s="182"/>
      <c r="J298" s="67"/>
      <c r="K298" s="67"/>
      <c r="R298" s="67"/>
    </row>
    <row r="299">
      <c r="B299" s="182"/>
      <c r="E299" s="261"/>
      <c r="G299" s="182"/>
      <c r="J299" s="67"/>
      <c r="K299" s="67"/>
      <c r="R299" s="67"/>
    </row>
    <row r="300">
      <c r="B300" s="182"/>
      <c r="E300" s="261"/>
      <c r="G300" s="182"/>
      <c r="J300" s="67"/>
      <c r="K300" s="67"/>
      <c r="R300" s="67"/>
    </row>
    <row r="301">
      <c r="B301" s="182"/>
      <c r="E301" s="261"/>
      <c r="G301" s="182"/>
      <c r="J301" s="67"/>
      <c r="K301" s="67"/>
      <c r="R301" s="67"/>
    </row>
    <row r="302">
      <c r="B302" s="182"/>
      <c r="E302" s="261"/>
      <c r="G302" s="182"/>
      <c r="J302" s="67"/>
      <c r="K302" s="67"/>
      <c r="R302" s="67"/>
    </row>
    <row r="303">
      <c r="B303" s="182"/>
      <c r="E303" s="261"/>
      <c r="G303" s="182"/>
      <c r="J303" s="67"/>
      <c r="K303" s="67"/>
      <c r="R303" s="67"/>
    </row>
    <row r="304">
      <c r="B304" s="182"/>
      <c r="E304" s="261"/>
      <c r="G304" s="182"/>
      <c r="J304" s="67"/>
      <c r="K304" s="67"/>
      <c r="R304" s="67"/>
    </row>
    <row r="305">
      <c r="B305" s="182"/>
      <c r="E305" s="261"/>
      <c r="G305" s="182"/>
      <c r="J305" s="67"/>
      <c r="K305" s="67"/>
      <c r="R305" s="67"/>
    </row>
    <row r="306">
      <c r="B306" s="182"/>
      <c r="E306" s="261"/>
      <c r="G306" s="182"/>
      <c r="J306" s="67"/>
      <c r="K306" s="67"/>
      <c r="R306" s="67"/>
    </row>
    <row r="307">
      <c r="B307" s="182"/>
      <c r="E307" s="261"/>
      <c r="G307" s="182"/>
      <c r="J307" s="67"/>
      <c r="K307" s="67"/>
      <c r="R307" s="67"/>
    </row>
    <row r="308">
      <c r="B308" s="182"/>
      <c r="E308" s="261"/>
      <c r="G308" s="182"/>
      <c r="J308" s="67"/>
      <c r="K308" s="67"/>
      <c r="R308" s="67"/>
    </row>
    <row r="309">
      <c r="B309" s="182"/>
      <c r="E309" s="261"/>
      <c r="G309" s="182"/>
      <c r="J309" s="67"/>
      <c r="K309" s="67"/>
      <c r="R309" s="67"/>
    </row>
    <row r="310">
      <c r="B310" s="182"/>
      <c r="E310" s="261"/>
      <c r="G310" s="182"/>
      <c r="J310" s="67"/>
      <c r="K310" s="67"/>
      <c r="R310" s="67"/>
    </row>
    <row r="311">
      <c r="B311" s="182"/>
      <c r="E311" s="261"/>
      <c r="G311" s="182"/>
      <c r="J311" s="67"/>
      <c r="K311" s="67"/>
      <c r="R311" s="67"/>
    </row>
    <row r="312">
      <c r="B312" s="182"/>
      <c r="E312" s="261"/>
      <c r="G312" s="182"/>
      <c r="J312" s="67"/>
      <c r="K312" s="67"/>
      <c r="R312" s="67"/>
    </row>
    <row r="313">
      <c r="B313" s="182"/>
      <c r="E313" s="261"/>
      <c r="G313" s="182"/>
      <c r="J313" s="67"/>
      <c r="K313" s="67"/>
      <c r="R313" s="67"/>
    </row>
    <row r="314">
      <c r="B314" s="182"/>
      <c r="E314" s="261"/>
      <c r="G314" s="182"/>
      <c r="J314" s="67"/>
      <c r="K314" s="67"/>
      <c r="R314" s="67"/>
    </row>
    <row r="315">
      <c r="B315" s="182"/>
      <c r="E315" s="261"/>
      <c r="G315" s="182"/>
      <c r="J315" s="67"/>
      <c r="K315" s="67"/>
      <c r="R315" s="67"/>
    </row>
    <row r="316">
      <c r="B316" s="182"/>
      <c r="E316" s="261"/>
      <c r="G316" s="182"/>
      <c r="J316" s="67"/>
      <c r="K316" s="67"/>
      <c r="R316" s="67"/>
    </row>
    <row r="317">
      <c r="B317" s="182"/>
      <c r="E317" s="261"/>
      <c r="G317" s="182"/>
      <c r="J317" s="67"/>
      <c r="K317" s="67"/>
      <c r="R317" s="67"/>
    </row>
    <row r="318">
      <c r="B318" s="182"/>
      <c r="E318" s="261"/>
      <c r="G318" s="182"/>
      <c r="J318" s="67"/>
      <c r="K318" s="67"/>
      <c r="R318" s="67"/>
    </row>
    <row r="319">
      <c r="B319" s="182"/>
      <c r="E319" s="261"/>
      <c r="G319" s="182"/>
      <c r="J319" s="67"/>
      <c r="K319" s="67"/>
      <c r="R319" s="67"/>
    </row>
    <row r="320">
      <c r="B320" s="182"/>
      <c r="E320" s="261"/>
      <c r="G320" s="182"/>
      <c r="J320" s="67"/>
      <c r="K320" s="67"/>
      <c r="R320" s="67"/>
    </row>
    <row r="321">
      <c r="B321" s="182"/>
      <c r="E321" s="261"/>
      <c r="G321" s="182"/>
      <c r="J321" s="67"/>
      <c r="K321" s="67"/>
      <c r="R321" s="67"/>
    </row>
    <row r="322">
      <c r="B322" s="182"/>
      <c r="E322" s="261"/>
      <c r="G322" s="182"/>
      <c r="J322" s="67"/>
      <c r="K322" s="67"/>
      <c r="R322" s="67"/>
    </row>
    <row r="323">
      <c r="B323" s="182"/>
      <c r="E323" s="261"/>
      <c r="G323" s="182"/>
      <c r="J323" s="67"/>
      <c r="K323" s="67"/>
      <c r="R323" s="67"/>
    </row>
    <row r="324">
      <c r="B324" s="182"/>
      <c r="E324" s="261"/>
      <c r="G324" s="182"/>
      <c r="J324" s="67"/>
      <c r="K324" s="67"/>
      <c r="R324" s="67"/>
    </row>
    <row r="325">
      <c r="B325" s="182"/>
      <c r="E325" s="261"/>
      <c r="G325" s="182"/>
      <c r="J325" s="67"/>
      <c r="K325" s="67"/>
      <c r="R325" s="67"/>
    </row>
    <row r="326">
      <c r="B326" s="182"/>
      <c r="E326" s="261"/>
      <c r="G326" s="182"/>
      <c r="J326" s="67"/>
      <c r="K326" s="67"/>
      <c r="R326" s="67"/>
    </row>
    <row r="327">
      <c r="B327" s="182"/>
      <c r="E327" s="261"/>
      <c r="G327" s="182"/>
      <c r="J327" s="67"/>
      <c r="K327" s="67"/>
      <c r="R327" s="67"/>
    </row>
    <row r="328">
      <c r="B328" s="182"/>
      <c r="E328" s="261"/>
      <c r="G328" s="182"/>
      <c r="J328" s="67"/>
      <c r="K328" s="67"/>
      <c r="R328" s="67"/>
    </row>
    <row r="329">
      <c r="B329" s="182"/>
      <c r="E329" s="261"/>
      <c r="G329" s="182"/>
      <c r="J329" s="67"/>
      <c r="K329" s="67"/>
      <c r="R329" s="67"/>
    </row>
    <row r="330">
      <c r="B330" s="182"/>
      <c r="E330" s="261"/>
      <c r="G330" s="182"/>
      <c r="J330" s="67"/>
      <c r="K330" s="67"/>
      <c r="R330" s="67"/>
    </row>
    <row r="331">
      <c r="B331" s="182"/>
      <c r="E331" s="261"/>
      <c r="G331" s="182"/>
      <c r="J331" s="67"/>
      <c r="K331" s="67"/>
      <c r="R331" s="67"/>
    </row>
    <row r="332">
      <c r="B332" s="182"/>
      <c r="E332" s="261"/>
      <c r="G332" s="182"/>
      <c r="J332" s="67"/>
      <c r="K332" s="67"/>
      <c r="R332" s="67"/>
    </row>
    <row r="333">
      <c r="B333" s="182"/>
      <c r="E333" s="261"/>
      <c r="G333" s="182"/>
      <c r="J333" s="67"/>
      <c r="K333" s="67"/>
      <c r="R333" s="67"/>
    </row>
    <row r="334">
      <c r="B334" s="182"/>
      <c r="E334" s="261"/>
      <c r="G334" s="182"/>
      <c r="J334" s="67"/>
      <c r="K334" s="67"/>
      <c r="R334" s="67"/>
    </row>
    <row r="335">
      <c r="B335" s="182"/>
      <c r="E335" s="261"/>
      <c r="G335" s="182"/>
      <c r="J335" s="67"/>
      <c r="K335" s="67"/>
      <c r="R335" s="67"/>
    </row>
    <row r="336">
      <c r="B336" s="182"/>
      <c r="E336" s="261"/>
      <c r="G336" s="182"/>
      <c r="J336" s="67"/>
      <c r="K336" s="67"/>
      <c r="R336" s="67"/>
    </row>
    <row r="337">
      <c r="B337" s="182"/>
      <c r="E337" s="261"/>
      <c r="G337" s="182"/>
      <c r="J337" s="67"/>
      <c r="K337" s="67"/>
      <c r="R337" s="67"/>
    </row>
    <row r="338">
      <c r="B338" s="182"/>
      <c r="E338" s="261"/>
      <c r="G338" s="182"/>
      <c r="J338" s="67"/>
      <c r="K338" s="67"/>
      <c r="R338" s="67"/>
    </row>
    <row r="339">
      <c r="B339" s="182"/>
      <c r="E339" s="261"/>
      <c r="G339" s="182"/>
      <c r="J339" s="67"/>
      <c r="K339" s="67"/>
      <c r="R339" s="67"/>
    </row>
    <row r="340">
      <c r="B340" s="182"/>
      <c r="E340" s="261"/>
      <c r="G340" s="182"/>
      <c r="J340" s="67"/>
      <c r="K340" s="67"/>
      <c r="R340" s="67"/>
    </row>
    <row r="341">
      <c r="B341" s="182"/>
      <c r="E341" s="261"/>
      <c r="G341" s="182"/>
      <c r="J341" s="67"/>
      <c r="K341" s="67"/>
      <c r="R341" s="67"/>
    </row>
    <row r="342">
      <c r="B342" s="182"/>
      <c r="E342" s="261"/>
      <c r="G342" s="182"/>
      <c r="J342" s="67"/>
      <c r="K342" s="67"/>
      <c r="R342" s="67"/>
    </row>
    <row r="343">
      <c r="B343" s="182"/>
      <c r="E343" s="261"/>
      <c r="G343" s="182"/>
      <c r="J343" s="67"/>
      <c r="K343" s="67"/>
      <c r="R343" s="67"/>
    </row>
    <row r="344">
      <c r="B344" s="182"/>
      <c r="E344" s="261"/>
      <c r="G344" s="182"/>
      <c r="J344" s="67"/>
      <c r="K344" s="67"/>
      <c r="R344" s="67"/>
    </row>
    <row r="345">
      <c r="B345" s="182"/>
      <c r="E345" s="261"/>
      <c r="G345" s="182"/>
      <c r="J345" s="67"/>
      <c r="K345" s="67"/>
      <c r="R345" s="67"/>
    </row>
    <row r="346">
      <c r="B346" s="182"/>
      <c r="E346" s="261"/>
      <c r="G346" s="182"/>
      <c r="J346" s="67"/>
      <c r="K346" s="67"/>
      <c r="R346" s="67"/>
    </row>
    <row r="347">
      <c r="B347" s="182"/>
      <c r="E347" s="261"/>
      <c r="G347" s="182"/>
      <c r="J347" s="67"/>
      <c r="K347" s="67"/>
      <c r="R347" s="67"/>
    </row>
    <row r="348">
      <c r="B348" s="182"/>
      <c r="E348" s="261"/>
      <c r="G348" s="182"/>
      <c r="J348" s="67"/>
      <c r="K348" s="67"/>
      <c r="R348" s="67"/>
    </row>
    <row r="349">
      <c r="B349" s="182"/>
      <c r="E349" s="261"/>
      <c r="G349" s="182"/>
      <c r="J349" s="67"/>
      <c r="K349" s="67"/>
      <c r="R349" s="67"/>
    </row>
    <row r="350">
      <c r="B350" s="182"/>
      <c r="E350" s="261"/>
      <c r="G350" s="182"/>
      <c r="J350" s="67"/>
      <c r="K350" s="67"/>
      <c r="R350" s="67"/>
    </row>
    <row r="351">
      <c r="B351" s="182"/>
      <c r="E351" s="261"/>
      <c r="G351" s="182"/>
      <c r="J351" s="67"/>
      <c r="K351" s="67"/>
      <c r="R351" s="67"/>
    </row>
    <row r="352">
      <c r="B352" s="182"/>
      <c r="E352" s="261"/>
      <c r="G352" s="182"/>
      <c r="J352" s="67"/>
      <c r="K352" s="67"/>
      <c r="R352" s="67"/>
    </row>
    <row r="353">
      <c r="B353" s="182"/>
      <c r="E353" s="261"/>
      <c r="G353" s="182"/>
      <c r="J353" s="67"/>
      <c r="K353" s="67"/>
      <c r="R353" s="67"/>
    </row>
    <row r="354">
      <c r="B354" s="182"/>
      <c r="E354" s="261"/>
      <c r="G354" s="182"/>
      <c r="J354" s="67"/>
      <c r="K354" s="67"/>
      <c r="R354" s="67"/>
    </row>
    <row r="355">
      <c r="B355" s="182"/>
      <c r="E355" s="261"/>
      <c r="G355" s="182"/>
      <c r="J355" s="67"/>
      <c r="K355" s="67"/>
      <c r="R355" s="67"/>
    </row>
    <row r="356">
      <c r="B356" s="182"/>
      <c r="E356" s="261"/>
      <c r="G356" s="182"/>
      <c r="J356" s="67"/>
      <c r="K356" s="67"/>
      <c r="R356" s="67"/>
    </row>
    <row r="357">
      <c r="B357" s="182"/>
      <c r="E357" s="261"/>
      <c r="G357" s="182"/>
      <c r="J357" s="67"/>
      <c r="K357" s="67"/>
      <c r="R357" s="67"/>
    </row>
    <row r="358">
      <c r="B358" s="182"/>
      <c r="E358" s="261"/>
      <c r="G358" s="182"/>
      <c r="J358" s="67"/>
      <c r="K358" s="67"/>
      <c r="R358" s="67"/>
    </row>
    <row r="359">
      <c r="B359" s="182"/>
      <c r="E359" s="261"/>
      <c r="G359" s="182"/>
      <c r="J359" s="67"/>
      <c r="K359" s="67"/>
      <c r="R359" s="67"/>
    </row>
    <row r="360">
      <c r="B360" s="182"/>
      <c r="E360" s="261"/>
      <c r="G360" s="182"/>
      <c r="J360" s="67"/>
      <c r="K360" s="67"/>
      <c r="R360" s="67"/>
    </row>
    <row r="361">
      <c r="B361" s="182"/>
      <c r="E361" s="261"/>
      <c r="G361" s="182"/>
      <c r="J361" s="67"/>
      <c r="K361" s="67"/>
      <c r="R361" s="67"/>
    </row>
    <row r="362">
      <c r="B362" s="182"/>
      <c r="E362" s="261"/>
      <c r="G362" s="182"/>
      <c r="J362" s="67"/>
      <c r="K362" s="67"/>
      <c r="R362" s="67"/>
    </row>
    <row r="363">
      <c r="B363" s="182"/>
      <c r="E363" s="261"/>
      <c r="G363" s="182"/>
      <c r="J363" s="67"/>
      <c r="K363" s="67"/>
      <c r="R363" s="67"/>
    </row>
    <row r="364">
      <c r="B364" s="182"/>
      <c r="E364" s="261"/>
      <c r="G364" s="182"/>
      <c r="J364" s="67"/>
      <c r="K364" s="67"/>
      <c r="R364" s="67"/>
    </row>
    <row r="365">
      <c r="B365" s="182"/>
      <c r="E365" s="261"/>
      <c r="G365" s="182"/>
      <c r="J365" s="67"/>
      <c r="K365" s="67"/>
      <c r="R365" s="67"/>
    </row>
    <row r="366">
      <c r="B366" s="182"/>
      <c r="E366" s="261"/>
      <c r="G366" s="182"/>
      <c r="J366" s="67"/>
      <c r="K366" s="67"/>
      <c r="R366" s="67"/>
    </row>
    <row r="367">
      <c r="B367" s="182"/>
      <c r="E367" s="261"/>
      <c r="G367" s="182"/>
      <c r="J367" s="67"/>
      <c r="K367" s="67"/>
      <c r="R367" s="67"/>
    </row>
    <row r="368">
      <c r="B368" s="182"/>
      <c r="E368" s="261"/>
      <c r="G368" s="182"/>
      <c r="J368" s="67"/>
      <c r="K368" s="67"/>
      <c r="R368" s="67"/>
    </row>
    <row r="369">
      <c r="B369" s="182"/>
      <c r="E369" s="261"/>
      <c r="G369" s="182"/>
      <c r="J369" s="67"/>
      <c r="K369" s="67"/>
      <c r="R369" s="67"/>
    </row>
    <row r="370">
      <c r="B370" s="182"/>
      <c r="E370" s="261"/>
      <c r="G370" s="182"/>
      <c r="J370" s="67"/>
      <c r="K370" s="67"/>
      <c r="R370" s="67"/>
    </row>
    <row r="371">
      <c r="B371" s="182"/>
      <c r="E371" s="261"/>
      <c r="G371" s="182"/>
      <c r="J371" s="67"/>
      <c r="K371" s="67"/>
      <c r="R371" s="67"/>
    </row>
    <row r="372">
      <c r="B372" s="182"/>
      <c r="E372" s="261"/>
      <c r="G372" s="182"/>
      <c r="J372" s="67"/>
      <c r="K372" s="67"/>
      <c r="R372" s="67"/>
    </row>
    <row r="373">
      <c r="B373" s="182"/>
      <c r="E373" s="261"/>
      <c r="G373" s="182"/>
      <c r="J373" s="67"/>
      <c r="K373" s="67"/>
      <c r="R373" s="67"/>
    </row>
    <row r="374">
      <c r="B374" s="182"/>
      <c r="E374" s="261"/>
      <c r="G374" s="182"/>
      <c r="J374" s="67"/>
      <c r="K374" s="67"/>
      <c r="R374" s="67"/>
    </row>
    <row r="375">
      <c r="B375" s="182"/>
      <c r="E375" s="261"/>
      <c r="G375" s="182"/>
      <c r="J375" s="67"/>
      <c r="K375" s="67"/>
      <c r="R375" s="67"/>
    </row>
    <row r="376">
      <c r="B376" s="182"/>
      <c r="E376" s="261"/>
      <c r="G376" s="182"/>
      <c r="J376" s="67"/>
      <c r="K376" s="67"/>
      <c r="R376" s="67"/>
    </row>
    <row r="377">
      <c r="B377" s="182"/>
      <c r="E377" s="261"/>
      <c r="G377" s="182"/>
      <c r="J377" s="67"/>
      <c r="K377" s="67"/>
      <c r="R377" s="67"/>
    </row>
    <row r="378">
      <c r="B378" s="182"/>
      <c r="E378" s="261"/>
      <c r="G378" s="182"/>
      <c r="J378" s="67"/>
      <c r="K378" s="67"/>
      <c r="R378" s="67"/>
    </row>
    <row r="379">
      <c r="B379" s="182"/>
      <c r="E379" s="261"/>
      <c r="G379" s="182"/>
      <c r="J379" s="67"/>
      <c r="K379" s="67"/>
      <c r="R379" s="67"/>
    </row>
    <row r="380">
      <c r="B380" s="182"/>
      <c r="E380" s="261"/>
      <c r="G380" s="182"/>
      <c r="J380" s="67"/>
      <c r="K380" s="67"/>
      <c r="R380" s="67"/>
    </row>
    <row r="381">
      <c r="B381" s="182"/>
      <c r="E381" s="261"/>
      <c r="G381" s="182"/>
      <c r="J381" s="67"/>
      <c r="K381" s="67"/>
      <c r="R381" s="67"/>
    </row>
    <row r="382">
      <c r="B382" s="182"/>
      <c r="E382" s="261"/>
      <c r="G382" s="182"/>
      <c r="J382" s="67"/>
      <c r="K382" s="67"/>
      <c r="R382" s="67"/>
    </row>
    <row r="383">
      <c r="B383" s="182"/>
      <c r="E383" s="261"/>
      <c r="G383" s="182"/>
      <c r="J383" s="67"/>
      <c r="K383" s="67"/>
      <c r="R383" s="67"/>
    </row>
    <row r="384">
      <c r="B384" s="182"/>
      <c r="E384" s="261"/>
      <c r="G384" s="182"/>
      <c r="J384" s="67"/>
      <c r="K384" s="67"/>
      <c r="R384" s="67"/>
    </row>
    <row r="385">
      <c r="B385" s="182"/>
      <c r="E385" s="261"/>
      <c r="G385" s="182"/>
      <c r="J385" s="67"/>
      <c r="K385" s="67"/>
      <c r="R385" s="67"/>
    </row>
    <row r="386">
      <c r="B386" s="182"/>
      <c r="E386" s="261"/>
      <c r="G386" s="182"/>
      <c r="J386" s="67"/>
      <c r="K386" s="67"/>
      <c r="R386" s="67"/>
    </row>
    <row r="387">
      <c r="B387" s="182"/>
      <c r="E387" s="261"/>
      <c r="G387" s="182"/>
      <c r="J387" s="67"/>
      <c r="K387" s="67"/>
      <c r="R387" s="67"/>
    </row>
    <row r="388">
      <c r="B388" s="182"/>
      <c r="E388" s="261"/>
      <c r="G388" s="182"/>
      <c r="J388" s="67"/>
      <c r="K388" s="67"/>
      <c r="R388" s="67"/>
    </row>
    <row r="389">
      <c r="B389" s="182"/>
      <c r="E389" s="261"/>
      <c r="G389" s="182"/>
      <c r="J389" s="67"/>
      <c r="K389" s="67"/>
      <c r="R389" s="67"/>
    </row>
    <row r="390">
      <c r="B390" s="182"/>
      <c r="E390" s="261"/>
      <c r="G390" s="182"/>
      <c r="J390" s="67"/>
      <c r="K390" s="67"/>
      <c r="R390" s="67"/>
    </row>
    <row r="391">
      <c r="B391" s="182"/>
      <c r="E391" s="261"/>
      <c r="G391" s="182"/>
      <c r="J391" s="67"/>
      <c r="K391" s="67"/>
      <c r="R391" s="67"/>
    </row>
    <row r="392">
      <c r="B392" s="182"/>
      <c r="E392" s="261"/>
      <c r="G392" s="182"/>
      <c r="J392" s="67"/>
      <c r="K392" s="67"/>
      <c r="R392" s="67"/>
    </row>
    <row r="393">
      <c r="B393" s="182"/>
      <c r="E393" s="261"/>
      <c r="G393" s="182"/>
      <c r="J393" s="67"/>
      <c r="K393" s="67"/>
      <c r="R393" s="67"/>
    </row>
    <row r="394">
      <c r="B394" s="182"/>
      <c r="E394" s="261"/>
      <c r="G394" s="182"/>
      <c r="J394" s="67"/>
      <c r="K394" s="67"/>
      <c r="R394" s="67"/>
    </row>
    <row r="395">
      <c r="B395" s="182"/>
      <c r="E395" s="261"/>
      <c r="G395" s="182"/>
      <c r="J395" s="67"/>
      <c r="K395" s="67"/>
      <c r="R395" s="67"/>
    </row>
    <row r="396">
      <c r="B396" s="182"/>
      <c r="E396" s="261"/>
      <c r="G396" s="182"/>
      <c r="J396" s="67"/>
      <c r="K396" s="67"/>
      <c r="R396" s="67"/>
    </row>
    <row r="397">
      <c r="B397" s="182"/>
      <c r="E397" s="261"/>
      <c r="G397" s="182"/>
      <c r="J397" s="67"/>
      <c r="K397" s="67"/>
      <c r="R397" s="67"/>
    </row>
    <row r="398">
      <c r="B398" s="182"/>
      <c r="E398" s="261"/>
      <c r="G398" s="182"/>
      <c r="J398" s="67"/>
      <c r="K398" s="67"/>
      <c r="R398" s="67"/>
    </row>
    <row r="399">
      <c r="B399" s="182"/>
      <c r="E399" s="261"/>
      <c r="G399" s="182"/>
      <c r="J399" s="67"/>
      <c r="K399" s="67"/>
      <c r="R399" s="67"/>
    </row>
    <row r="400">
      <c r="B400" s="182"/>
      <c r="E400" s="261"/>
      <c r="G400" s="182"/>
      <c r="J400" s="67"/>
      <c r="K400" s="67"/>
      <c r="R400" s="67"/>
    </row>
    <row r="401">
      <c r="B401" s="182"/>
      <c r="E401" s="261"/>
      <c r="G401" s="182"/>
      <c r="J401" s="67"/>
      <c r="K401" s="67"/>
      <c r="R401" s="67"/>
    </row>
    <row r="402">
      <c r="B402" s="182"/>
      <c r="E402" s="261"/>
      <c r="G402" s="182"/>
      <c r="J402" s="67"/>
      <c r="K402" s="67"/>
      <c r="R402" s="67"/>
    </row>
    <row r="403">
      <c r="B403" s="182"/>
      <c r="E403" s="261"/>
      <c r="G403" s="182"/>
      <c r="J403" s="67"/>
      <c r="K403" s="67"/>
      <c r="R403" s="67"/>
    </row>
    <row r="404">
      <c r="B404" s="182"/>
      <c r="E404" s="261"/>
      <c r="G404" s="182"/>
      <c r="J404" s="67"/>
      <c r="K404" s="67"/>
      <c r="R404" s="67"/>
    </row>
    <row r="405">
      <c r="B405" s="182"/>
      <c r="E405" s="261"/>
      <c r="G405" s="182"/>
      <c r="J405" s="67"/>
      <c r="K405" s="67"/>
      <c r="R405" s="67"/>
    </row>
    <row r="406">
      <c r="B406" s="182"/>
      <c r="E406" s="261"/>
      <c r="G406" s="182"/>
      <c r="J406" s="67"/>
      <c r="K406" s="67"/>
      <c r="R406" s="67"/>
    </row>
    <row r="407">
      <c r="B407" s="182"/>
      <c r="E407" s="261"/>
      <c r="G407" s="182"/>
      <c r="J407" s="67"/>
      <c r="K407" s="67"/>
      <c r="R407" s="67"/>
    </row>
    <row r="408">
      <c r="B408" s="182"/>
      <c r="E408" s="261"/>
      <c r="G408" s="182"/>
      <c r="J408" s="67"/>
      <c r="K408" s="67"/>
      <c r="R408" s="67"/>
    </row>
    <row r="409">
      <c r="B409" s="182"/>
      <c r="E409" s="261"/>
      <c r="G409" s="182"/>
      <c r="J409" s="67"/>
      <c r="K409" s="67"/>
      <c r="R409" s="67"/>
    </row>
    <row r="410">
      <c r="B410" s="182"/>
      <c r="E410" s="261"/>
      <c r="G410" s="182"/>
      <c r="J410" s="67"/>
      <c r="K410" s="67"/>
      <c r="R410" s="67"/>
    </row>
    <row r="411">
      <c r="B411" s="182"/>
      <c r="E411" s="261"/>
      <c r="G411" s="182"/>
      <c r="J411" s="67"/>
      <c r="K411" s="67"/>
      <c r="R411" s="67"/>
    </row>
    <row r="412">
      <c r="B412" s="182"/>
      <c r="E412" s="261"/>
      <c r="G412" s="182"/>
      <c r="J412" s="67"/>
      <c r="K412" s="67"/>
      <c r="R412" s="67"/>
    </row>
    <row r="413">
      <c r="B413" s="182"/>
      <c r="E413" s="261"/>
      <c r="G413" s="182"/>
      <c r="J413" s="67"/>
      <c r="K413" s="67"/>
      <c r="R413" s="67"/>
    </row>
    <row r="414">
      <c r="B414" s="182"/>
      <c r="E414" s="261"/>
      <c r="G414" s="182"/>
      <c r="J414" s="67"/>
      <c r="K414" s="67"/>
      <c r="R414" s="67"/>
    </row>
    <row r="415">
      <c r="B415" s="182"/>
      <c r="E415" s="261"/>
      <c r="G415" s="182"/>
      <c r="J415" s="67"/>
      <c r="K415" s="67"/>
      <c r="R415" s="67"/>
    </row>
    <row r="416">
      <c r="B416" s="182"/>
      <c r="E416" s="261"/>
      <c r="G416" s="182"/>
      <c r="J416" s="67"/>
      <c r="K416" s="67"/>
      <c r="R416" s="67"/>
    </row>
    <row r="417">
      <c r="B417" s="182"/>
      <c r="E417" s="261"/>
      <c r="G417" s="182"/>
      <c r="J417" s="67"/>
      <c r="K417" s="67"/>
      <c r="R417" s="67"/>
    </row>
    <row r="418">
      <c r="B418" s="182"/>
      <c r="E418" s="261"/>
      <c r="G418" s="182"/>
      <c r="J418" s="67"/>
      <c r="K418" s="67"/>
      <c r="R418" s="67"/>
    </row>
    <row r="419">
      <c r="B419" s="182"/>
      <c r="E419" s="261"/>
      <c r="G419" s="182"/>
      <c r="J419" s="67"/>
      <c r="K419" s="67"/>
      <c r="R419" s="67"/>
    </row>
    <row r="420">
      <c r="B420" s="182"/>
      <c r="E420" s="261"/>
      <c r="G420" s="182"/>
      <c r="J420" s="67"/>
      <c r="K420" s="67"/>
      <c r="R420" s="67"/>
    </row>
    <row r="421">
      <c r="B421" s="182"/>
      <c r="E421" s="261"/>
      <c r="G421" s="182"/>
      <c r="J421" s="67"/>
      <c r="K421" s="67"/>
      <c r="R421" s="67"/>
    </row>
    <row r="422">
      <c r="B422" s="182"/>
      <c r="E422" s="261"/>
      <c r="G422" s="182"/>
      <c r="J422" s="67"/>
      <c r="K422" s="67"/>
      <c r="R422" s="67"/>
    </row>
    <row r="423">
      <c r="B423" s="182"/>
      <c r="E423" s="261"/>
      <c r="G423" s="182"/>
      <c r="J423" s="67"/>
      <c r="K423" s="67"/>
      <c r="R423" s="67"/>
    </row>
    <row r="424">
      <c r="B424" s="182"/>
      <c r="E424" s="261"/>
      <c r="G424" s="182"/>
      <c r="J424" s="67"/>
      <c r="K424" s="67"/>
      <c r="R424" s="67"/>
    </row>
    <row r="425">
      <c r="B425" s="182"/>
      <c r="E425" s="261"/>
      <c r="G425" s="182"/>
      <c r="J425" s="67"/>
      <c r="K425" s="67"/>
      <c r="R425" s="67"/>
    </row>
    <row r="426">
      <c r="B426" s="182"/>
      <c r="E426" s="261"/>
      <c r="G426" s="182"/>
      <c r="J426" s="67"/>
      <c r="K426" s="67"/>
      <c r="R426" s="67"/>
    </row>
    <row r="427">
      <c r="B427" s="182"/>
      <c r="E427" s="261"/>
      <c r="G427" s="182"/>
      <c r="J427" s="67"/>
      <c r="K427" s="67"/>
      <c r="R427" s="67"/>
    </row>
    <row r="428">
      <c r="B428" s="182"/>
      <c r="E428" s="261"/>
      <c r="G428" s="182"/>
      <c r="J428" s="67"/>
      <c r="K428" s="67"/>
      <c r="R428" s="67"/>
    </row>
    <row r="429">
      <c r="B429" s="182"/>
      <c r="E429" s="261"/>
      <c r="G429" s="182"/>
      <c r="J429" s="67"/>
      <c r="K429" s="67"/>
      <c r="R429" s="67"/>
    </row>
    <row r="430">
      <c r="B430" s="182"/>
      <c r="E430" s="261"/>
      <c r="G430" s="182"/>
      <c r="J430" s="67"/>
      <c r="K430" s="67"/>
      <c r="R430" s="67"/>
    </row>
    <row r="431">
      <c r="B431" s="182"/>
      <c r="E431" s="261"/>
      <c r="G431" s="182"/>
      <c r="J431" s="67"/>
      <c r="K431" s="67"/>
      <c r="R431" s="67"/>
    </row>
    <row r="432">
      <c r="B432" s="182"/>
      <c r="E432" s="261"/>
      <c r="G432" s="182"/>
      <c r="J432" s="67"/>
      <c r="K432" s="67"/>
      <c r="R432" s="67"/>
    </row>
    <row r="433">
      <c r="B433" s="182"/>
      <c r="E433" s="261"/>
      <c r="G433" s="182"/>
      <c r="J433" s="67"/>
      <c r="K433" s="67"/>
      <c r="R433" s="67"/>
    </row>
    <row r="434">
      <c r="B434" s="182"/>
      <c r="E434" s="261"/>
      <c r="G434" s="182"/>
      <c r="J434" s="67"/>
      <c r="K434" s="67"/>
      <c r="R434" s="67"/>
    </row>
    <row r="435">
      <c r="B435" s="182"/>
      <c r="E435" s="261"/>
      <c r="G435" s="182"/>
      <c r="J435" s="67"/>
      <c r="K435" s="67"/>
      <c r="R435" s="67"/>
    </row>
    <row r="436">
      <c r="B436" s="182"/>
      <c r="E436" s="261"/>
      <c r="G436" s="182"/>
      <c r="J436" s="67"/>
      <c r="K436" s="67"/>
      <c r="R436" s="67"/>
    </row>
    <row r="437">
      <c r="B437" s="182"/>
      <c r="E437" s="261"/>
      <c r="G437" s="182"/>
      <c r="J437" s="67"/>
      <c r="K437" s="67"/>
      <c r="R437" s="67"/>
    </row>
    <row r="438">
      <c r="B438" s="182"/>
      <c r="E438" s="261"/>
      <c r="G438" s="182"/>
      <c r="J438" s="67"/>
      <c r="K438" s="67"/>
      <c r="R438" s="67"/>
    </row>
    <row r="439">
      <c r="B439" s="182"/>
      <c r="E439" s="261"/>
      <c r="G439" s="182"/>
      <c r="J439" s="67"/>
      <c r="K439" s="67"/>
      <c r="R439" s="67"/>
    </row>
    <row r="440">
      <c r="B440" s="182"/>
      <c r="E440" s="261"/>
      <c r="G440" s="182"/>
      <c r="J440" s="67"/>
      <c r="K440" s="67"/>
      <c r="R440" s="67"/>
    </row>
    <row r="441">
      <c r="B441" s="182"/>
      <c r="E441" s="261"/>
      <c r="G441" s="182"/>
      <c r="J441" s="67"/>
      <c r="K441" s="67"/>
      <c r="R441" s="67"/>
    </row>
    <row r="442">
      <c r="B442" s="182"/>
      <c r="E442" s="261"/>
      <c r="G442" s="182"/>
      <c r="J442" s="67"/>
      <c r="K442" s="67"/>
      <c r="R442" s="67"/>
    </row>
    <row r="443">
      <c r="B443" s="182"/>
      <c r="E443" s="261"/>
      <c r="G443" s="182"/>
      <c r="J443" s="67"/>
      <c r="K443" s="67"/>
      <c r="R443" s="67"/>
    </row>
    <row r="444">
      <c r="B444" s="182"/>
      <c r="E444" s="261"/>
      <c r="G444" s="182"/>
      <c r="J444" s="67"/>
      <c r="K444" s="67"/>
      <c r="R444" s="67"/>
    </row>
    <row r="445">
      <c r="B445" s="182"/>
      <c r="E445" s="261"/>
      <c r="G445" s="182"/>
      <c r="J445" s="67"/>
      <c r="K445" s="67"/>
      <c r="R445" s="67"/>
    </row>
    <row r="446">
      <c r="B446" s="182"/>
      <c r="E446" s="261"/>
      <c r="G446" s="182"/>
      <c r="J446" s="67"/>
      <c r="K446" s="67"/>
      <c r="R446" s="67"/>
    </row>
    <row r="447">
      <c r="B447" s="182"/>
      <c r="E447" s="261"/>
      <c r="G447" s="182"/>
      <c r="J447" s="67"/>
      <c r="K447" s="67"/>
      <c r="R447" s="67"/>
    </row>
    <row r="448">
      <c r="B448" s="182"/>
      <c r="E448" s="261"/>
      <c r="G448" s="182"/>
      <c r="J448" s="67"/>
      <c r="K448" s="67"/>
      <c r="R448" s="67"/>
    </row>
    <row r="449">
      <c r="B449" s="182"/>
      <c r="E449" s="261"/>
      <c r="G449" s="182"/>
      <c r="J449" s="67"/>
      <c r="K449" s="67"/>
      <c r="R449" s="67"/>
    </row>
    <row r="450">
      <c r="B450" s="182"/>
      <c r="E450" s="261"/>
      <c r="G450" s="182"/>
      <c r="J450" s="67"/>
      <c r="K450" s="67"/>
      <c r="R450" s="67"/>
    </row>
    <row r="451">
      <c r="B451" s="182"/>
      <c r="E451" s="261"/>
      <c r="G451" s="182"/>
      <c r="J451" s="67"/>
      <c r="K451" s="67"/>
      <c r="R451" s="67"/>
    </row>
    <row r="452">
      <c r="B452" s="182"/>
      <c r="E452" s="261"/>
      <c r="G452" s="182"/>
      <c r="J452" s="67"/>
      <c r="K452" s="67"/>
      <c r="R452" s="67"/>
    </row>
    <row r="453">
      <c r="B453" s="182"/>
      <c r="E453" s="261"/>
      <c r="G453" s="182"/>
      <c r="J453" s="67"/>
      <c r="K453" s="67"/>
      <c r="R453" s="67"/>
    </row>
    <row r="454">
      <c r="B454" s="182"/>
      <c r="E454" s="261"/>
      <c r="G454" s="182"/>
      <c r="J454" s="67"/>
      <c r="K454" s="67"/>
      <c r="R454" s="67"/>
    </row>
    <row r="455">
      <c r="B455" s="182"/>
      <c r="E455" s="261"/>
      <c r="G455" s="182"/>
      <c r="J455" s="67"/>
      <c r="K455" s="67"/>
      <c r="R455" s="67"/>
    </row>
    <row r="456">
      <c r="B456" s="182"/>
      <c r="E456" s="261"/>
      <c r="G456" s="182"/>
      <c r="J456" s="67"/>
      <c r="K456" s="67"/>
      <c r="R456" s="67"/>
    </row>
    <row r="457">
      <c r="B457" s="182"/>
      <c r="E457" s="261"/>
      <c r="G457" s="182"/>
      <c r="J457" s="67"/>
      <c r="K457" s="67"/>
      <c r="R457" s="67"/>
    </row>
    <row r="458">
      <c r="B458" s="182"/>
      <c r="E458" s="261"/>
      <c r="G458" s="182"/>
      <c r="J458" s="67"/>
      <c r="K458" s="67"/>
      <c r="R458" s="67"/>
    </row>
    <row r="459">
      <c r="B459" s="182"/>
      <c r="E459" s="261"/>
      <c r="G459" s="182"/>
      <c r="J459" s="67"/>
      <c r="K459" s="67"/>
      <c r="R459" s="67"/>
    </row>
    <row r="460">
      <c r="B460" s="182"/>
      <c r="E460" s="261"/>
      <c r="G460" s="182"/>
      <c r="J460" s="67"/>
      <c r="K460" s="67"/>
      <c r="R460" s="67"/>
    </row>
    <row r="461">
      <c r="B461" s="182"/>
      <c r="E461" s="261"/>
      <c r="G461" s="182"/>
      <c r="J461" s="67"/>
      <c r="K461" s="67"/>
      <c r="R461" s="67"/>
    </row>
    <row r="462">
      <c r="B462" s="182"/>
      <c r="E462" s="261"/>
      <c r="G462" s="182"/>
      <c r="J462" s="67"/>
      <c r="K462" s="67"/>
      <c r="R462" s="67"/>
    </row>
    <row r="463">
      <c r="B463" s="182"/>
      <c r="E463" s="261"/>
      <c r="G463" s="182"/>
      <c r="J463" s="67"/>
      <c r="K463" s="67"/>
      <c r="R463" s="67"/>
    </row>
    <row r="464">
      <c r="B464" s="182"/>
      <c r="E464" s="261"/>
      <c r="G464" s="182"/>
      <c r="J464" s="67"/>
      <c r="K464" s="67"/>
      <c r="R464" s="67"/>
    </row>
    <row r="465">
      <c r="B465" s="182"/>
      <c r="E465" s="261"/>
      <c r="G465" s="182"/>
      <c r="J465" s="67"/>
      <c r="K465" s="67"/>
      <c r="R465" s="67"/>
    </row>
    <row r="466">
      <c r="B466" s="182"/>
      <c r="E466" s="261"/>
      <c r="G466" s="182"/>
      <c r="J466" s="67"/>
      <c r="K466" s="67"/>
      <c r="R466" s="67"/>
    </row>
    <row r="467">
      <c r="B467" s="182"/>
      <c r="E467" s="261"/>
      <c r="G467" s="182"/>
      <c r="J467" s="67"/>
      <c r="K467" s="67"/>
      <c r="R467" s="67"/>
    </row>
    <row r="468">
      <c r="B468" s="182"/>
      <c r="E468" s="261"/>
      <c r="G468" s="182"/>
      <c r="J468" s="67"/>
      <c r="K468" s="67"/>
      <c r="R468" s="67"/>
    </row>
    <row r="469">
      <c r="B469" s="182"/>
      <c r="E469" s="261"/>
      <c r="G469" s="182"/>
      <c r="J469" s="67"/>
      <c r="K469" s="67"/>
      <c r="R469" s="67"/>
    </row>
    <row r="470">
      <c r="B470" s="182"/>
      <c r="E470" s="261"/>
      <c r="G470" s="182"/>
      <c r="J470" s="67"/>
      <c r="K470" s="67"/>
      <c r="R470" s="67"/>
    </row>
    <row r="471">
      <c r="B471" s="182"/>
      <c r="E471" s="261"/>
      <c r="G471" s="182"/>
      <c r="J471" s="67"/>
      <c r="K471" s="67"/>
      <c r="R471" s="67"/>
    </row>
    <row r="472">
      <c r="B472" s="182"/>
      <c r="E472" s="261"/>
      <c r="G472" s="182"/>
      <c r="J472" s="67"/>
      <c r="K472" s="67"/>
      <c r="R472" s="67"/>
    </row>
    <row r="473">
      <c r="B473" s="182"/>
      <c r="E473" s="261"/>
      <c r="G473" s="182"/>
      <c r="J473" s="67"/>
      <c r="K473" s="67"/>
      <c r="R473" s="67"/>
    </row>
    <row r="474">
      <c r="B474" s="182"/>
      <c r="E474" s="261"/>
      <c r="G474" s="182"/>
      <c r="J474" s="67"/>
      <c r="K474" s="67"/>
      <c r="R474" s="67"/>
    </row>
    <row r="475">
      <c r="B475" s="182"/>
      <c r="E475" s="261"/>
      <c r="G475" s="182"/>
      <c r="J475" s="67"/>
      <c r="K475" s="67"/>
      <c r="R475" s="67"/>
    </row>
    <row r="476">
      <c r="B476" s="182"/>
      <c r="E476" s="261"/>
      <c r="G476" s="182"/>
      <c r="J476" s="67"/>
      <c r="K476" s="67"/>
      <c r="R476" s="67"/>
    </row>
    <row r="477">
      <c r="B477" s="182"/>
      <c r="E477" s="261"/>
      <c r="G477" s="182"/>
      <c r="J477" s="67"/>
      <c r="K477" s="67"/>
      <c r="R477" s="67"/>
    </row>
    <row r="478">
      <c r="B478" s="182"/>
      <c r="E478" s="261"/>
      <c r="G478" s="182"/>
      <c r="J478" s="67"/>
      <c r="K478" s="67"/>
      <c r="R478" s="67"/>
    </row>
    <row r="479">
      <c r="B479" s="182"/>
      <c r="E479" s="261"/>
      <c r="G479" s="182"/>
      <c r="J479" s="67"/>
      <c r="K479" s="67"/>
      <c r="R479" s="67"/>
    </row>
    <row r="480">
      <c r="B480" s="182"/>
      <c r="E480" s="261"/>
      <c r="G480" s="182"/>
      <c r="J480" s="67"/>
      <c r="K480" s="67"/>
      <c r="R480" s="67"/>
    </row>
    <row r="481">
      <c r="B481" s="182"/>
      <c r="E481" s="261"/>
      <c r="G481" s="182"/>
      <c r="J481" s="67"/>
      <c r="K481" s="67"/>
      <c r="R481" s="67"/>
    </row>
    <row r="482">
      <c r="B482" s="182"/>
      <c r="E482" s="261"/>
      <c r="G482" s="182"/>
      <c r="J482" s="67"/>
      <c r="K482" s="67"/>
      <c r="R482" s="67"/>
    </row>
    <row r="483">
      <c r="B483" s="182"/>
      <c r="E483" s="261"/>
      <c r="G483" s="182"/>
      <c r="J483" s="67"/>
      <c r="K483" s="67"/>
      <c r="R483" s="67"/>
    </row>
    <row r="484">
      <c r="B484" s="182"/>
      <c r="E484" s="261"/>
      <c r="G484" s="182"/>
      <c r="J484" s="67"/>
      <c r="K484" s="67"/>
      <c r="R484" s="67"/>
    </row>
    <row r="485">
      <c r="B485" s="182"/>
      <c r="E485" s="261"/>
      <c r="G485" s="182"/>
      <c r="J485" s="67"/>
      <c r="K485" s="67"/>
      <c r="R485" s="67"/>
    </row>
    <row r="486">
      <c r="B486" s="182"/>
      <c r="E486" s="261"/>
      <c r="G486" s="182"/>
      <c r="J486" s="67"/>
      <c r="K486" s="67"/>
      <c r="R486" s="67"/>
    </row>
    <row r="487">
      <c r="B487" s="182"/>
      <c r="E487" s="261"/>
      <c r="G487" s="182"/>
      <c r="J487" s="67"/>
      <c r="K487" s="67"/>
      <c r="R487" s="67"/>
    </row>
    <row r="488">
      <c r="B488" s="182"/>
      <c r="E488" s="261"/>
      <c r="G488" s="182"/>
      <c r="J488" s="67"/>
      <c r="K488" s="67"/>
      <c r="R488" s="67"/>
    </row>
    <row r="489">
      <c r="B489" s="182"/>
      <c r="E489" s="261"/>
      <c r="G489" s="182"/>
      <c r="J489" s="67"/>
      <c r="K489" s="67"/>
      <c r="R489" s="67"/>
    </row>
    <row r="490">
      <c r="B490" s="182"/>
      <c r="E490" s="261"/>
      <c r="G490" s="182"/>
      <c r="J490" s="67"/>
      <c r="K490" s="67"/>
      <c r="R490" s="67"/>
    </row>
    <row r="491">
      <c r="B491" s="182"/>
      <c r="E491" s="261"/>
      <c r="G491" s="182"/>
      <c r="J491" s="67"/>
      <c r="K491" s="67"/>
      <c r="R491" s="67"/>
    </row>
    <row r="492">
      <c r="B492" s="182"/>
      <c r="E492" s="261"/>
      <c r="G492" s="182"/>
      <c r="J492" s="67"/>
      <c r="K492" s="67"/>
      <c r="R492" s="67"/>
    </row>
    <row r="493">
      <c r="B493" s="182"/>
      <c r="E493" s="261"/>
      <c r="G493" s="182"/>
      <c r="J493" s="67"/>
      <c r="K493" s="67"/>
      <c r="R493" s="67"/>
    </row>
    <row r="494">
      <c r="B494" s="182"/>
      <c r="E494" s="261"/>
      <c r="G494" s="182"/>
      <c r="J494" s="67"/>
      <c r="K494" s="67"/>
      <c r="R494" s="67"/>
    </row>
    <row r="495">
      <c r="B495" s="182"/>
      <c r="E495" s="261"/>
      <c r="G495" s="182"/>
      <c r="J495" s="67"/>
      <c r="K495" s="67"/>
      <c r="R495" s="67"/>
    </row>
    <row r="496">
      <c r="B496" s="182"/>
      <c r="E496" s="261"/>
      <c r="G496" s="182"/>
      <c r="J496" s="67"/>
      <c r="K496" s="67"/>
      <c r="R496" s="67"/>
    </row>
    <row r="497">
      <c r="B497" s="182"/>
      <c r="E497" s="261"/>
      <c r="G497" s="182"/>
      <c r="J497" s="67"/>
      <c r="K497" s="67"/>
      <c r="R497" s="67"/>
    </row>
    <row r="498">
      <c r="B498" s="182"/>
      <c r="E498" s="261"/>
      <c r="G498" s="182"/>
      <c r="J498" s="67"/>
      <c r="K498" s="67"/>
      <c r="R498" s="67"/>
    </row>
    <row r="499">
      <c r="B499" s="182"/>
      <c r="E499" s="261"/>
      <c r="G499" s="182"/>
      <c r="J499" s="67"/>
      <c r="K499" s="67"/>
      <c r="R499" s="67"/>
    </row>
    <row r="500">
      <c r="B500" s="182"/>
      <c r="E500" s="261"/>
      <c r="G500" s="182"/>
      <c r="J500" s="67"/>
      <c r="K500" s="67"/>
      <c r="R500" s="67"/>
    </row>
    <row r="501">
      <c r="B501" s="182"/>
      <c r="E501" s="261"/>
      <c r="G501" s="182"/>
      <c r="J501" s="67"/>
      <c r="K501" s="67"/>
      <c r="R501" s="67"/>
    </row>
    <row r="502">
      <c r="B502" s="182"/>
      <c r="E502" s="261"/>
      <c r="G502" s="182"/>
      <c r="J502" s="67"/>
      <c r="K502" s="67"/>
      <c r="R502" s="67"/>
    </row>
    <row r="503">
      <c r="B503" s="182"/>
      <c r="E503" s="261"/>
      <c r="G503" s="182"/>
      <c r="J503" s="67"/>
      <c r="K503" s="67"/>
      <c r="R503" s="67"/>
    </row>
    <row r="504">
      <c r="B504" s="182"/>
      <c r="E504" s="261"/>
      <c r="G504" s="182"/>
      <c r="J504" s="67"/>
      <c r="K504" s="67"/>
      <c r="R504" s="67"/>
    </row>
    <row r="505">
      <c r="B505" s="182"/>
      <c r="E505" s="261"/>
      <c r="G505" s="182"/>
      <c r="J505" s="67"/>
      <c r="K505" s="67"/>
      <c r="R505" s="67"/>
    </row>
    <row r="506">
      <c r="B506" s="182"/>
      <c r="E506" s="261"/>
      <c r="G506" s="182"/>
      <c r="J506" s="67"/>
      <c r="K506" s="67"/>
      <c r="R506" s="67"/>
    </row>
    <row r="507">
      <c r="B507" s="182"/>
      <c r="E507" s="261"/>
      <c r="G507" s="182"/>
      <c r="J507" s="67"/>
      <c r="K507" s="67"/>
      <c r="R507" s="67"/>
    </row>
    <row r="508">
      <c r="B508" s="182"/>
      <c r="E508" s="261"/>
      <c r="G508" s="182"/>
      <c r="J508" s="67"/>
      <c r="K508" s="67"/>
      <c r="R508" s="67"/>
    </row>
    <row r="509">
      <c r="B509" s="182"/>
      <c r="E509" s="261"/>
      <c r="G509" s="182"/>
      <c r="J509" s="67"/>
      <c r="K509" s="67"/>
      <c r="R509" s="67"/>
    </row>
    <row r="510">
      <c r="B510" s="182"/>
      <c r="E510" s="261"/>
      <c r="G510" s="182"/>
      <c r="J510" s="67"/>
      <c r="K510" s="67"/>
      <c r="R510" s="67"/>
    </row>
    <row r="511">
      <c r="B511" s="182"/>
      <c r="E511" s="261"/>
      <c r="G511" s="182"/>
      <c r="J511" s="67"/>
      <c r="K511" s="67"/>
      <c r="R511" s="67"/>
    </row>
    <row r="512">
      <c r="B512" s="182"/>
      <c r="E512" s="261"/>
      <c r="G512" s="182"/>
      <c r="J512" s="67"/>
      <c r="K512" s="67"/>
      <c r="R512" s="67"/>
    </row>
    <row r="513">
      <c r="B513" s="182"/>
      <c r="E513" s="261"/>
      <c r="G513" s="182"/>
      <c r="J513" s="67"/>
      <c r="K513" s="67"/>
      <c r="R513" s="67"/>
    </row>
    <row r="514">
      <c r="B514" s="182"/>
      <c r="E514" s="261"/>
      <c r="G514" s="182"/>
      <c r="J514" s="67"/>
      <c r="K514" s="67"/>
      <c r="R514" s="67"/>
    </row>
    <row r="515">
      <c r="B515" s="182"/>
      <c r="E515" s="261"/>
      <c r="G515" s="182"/>
      <c r="J515" s="67"/>
      <c r="K515" s="67"/>
      <c r="R515" s="67"/>
    </row>
    <row r="516">
      <c r="B516" s="182"/>
      <c r="E516" s="261"/>
      <c r="G516" s="182"/>
      <c r="J516" s="67"/>
      <c r="K516" s="67"/>
      <c r="R516" s="67"/>
    </row>
    <row r="517">
      <c r="B517" s="182"/>
      <c r="E517" s="261"/>
      <c r="G517" s="182"/>
      <c r="J517" s="67"/>
      <c r="K517" s="67"/>
      <c r="R517" s="67"/>
    </row>
    <row r="518">
      <c r="B518" s="182"/>
      <c r="E518" s="261"/>
      <c r="G518" s="182"/>
      <c r="J518" s="67"/>
      <c r="K518" s="67"/>
      <c r="R518" s="67"/>
    </row>
    <row r="519">
      <c r="B519" s="182"/>
      <c r="E519" s="261"/>
      <c r="G519" s="182"/>
      <c r="J519" s="67"/>
      <c r="K519" s="67"/>
      <c r="R519" s="67"/>
    </row>
    <row r="520">
      <c r="B520" s="182"/>
      <c r="E520" s="261"/>
      <c r="G520" s="182"/>
      <c r="J520" s="67"/>
      <c r="K520" s="67"/>
      <c r="R520" s="67"/>
    </row>
    <row r="521">
      <c r="B521" s="182"/>
      <c r="E521" s="261"/>
      <c r="G521" s="182"/>
      <c r="J521" s="67"/>
      <c r="K521" s="67"/>
      <c r="R521" s="67"/>
    </row>
    <row r="522">
      <c r="B522" s="182"/>
      <c r="E522" s="261"/>
      <c r="G522" s="182"/>
      <c r="J522" s="67"/>
      <c r="K522" s="67"/>
      <c r="R522" s="67"/>
    </row>
    <row r="523">
      <c r="B523" s="182"/>
      <c r="E523" s="261"/>
      <c r="G523" s="182"/>
      <c r="J523" s="67"/>
      <c r="K523" s="67"/>
      <c r="R523" s="67"/>
    </row>
    <row r="524">
      <c r="B524" s="182"/>
      <c r="E524" s="261"/>
      <c r="G524" s="182"/>
      <c r="J524" s="67"/>
      <c r="K524" s="67"/>
      <c r="R524" s="67"/>
    </row>
    <row r="525">
      <c r="B525" s="182"/>
      <c r="E525" s="261"/>
      <c r="G525" s="182"/>
      <c r="J525" s="67"/>
      <c r="K525" s="67"/>
      <c r="R525" s="67"/>
    </row>
    <row r="526">
      <c r="B526" s="182"/>
      <c r="E526" s="261"/>
      <c r="G526" s="182"/>
      <c r="J526" s="67"/>
      <c r="K526" s="67"/>
      <c r="R526" s="67"/>
    </row>
    <row r="527">
      <c r="B527" s="182"/>
      <c r="E527" s="261"/>
      <c r="G527" s="182"/>
      <c r="J527" s="67"/>
      <c r="K527" s="67"/>
      <c r="R527" s="67"/>
    </row>
    <row r="528">
      <c r="B528" s="182"/>
      <c r="E528" s="261"/>
      <c r="G528" s="182"/>
      <c r="J528" s="67"/>
      <c r="K528" s="67"/>
      <c r="R528" s="67"/>
    </row>
    <row r="529">
      <c r="B529" s="182"/>
      <c r="E529" s="261"/>
      <c r="G529" s="182"/>
      <c r="J529" s="67"/>
      <c r="K529" s="67"/>
      <c r="R529" s="67"/>
    </row>
    <row r="530">
      <c r="B530" s="182"/>
      <c r="E530" s="261"/>
      <c r="G530" s="182"/>
      <c r="J530" s="67"/>
      <c r="K530" s="67"/>
      <c r="R530" s="67"/>
    </row>
    <row r="531">
      <c r="B531" s="182"/>
      <c r="E531" s="261"/>
      <c r="G531" s="182"/>
      <c r="J531" s="67"/>
      <c r="K531" s="67"/>
      <c r="R531" s="67"/>
    </row>
    <row r="532">
      <c r="B532" s="182"/>
      <c r="E532" s="261"/>
      <c r="G532" s="182"/>
      <c r="J532" s="67"/>
      <c r="K532" s="67"/>
      <c r="R532" s="67"/>
    </row>
    <row r="533">
      <c r="B533" s="182"/>
      <c r="E533" s="261"/>
      <c r="G533" s="182"/>
      <c r="J533" s="67"/>
      <c r="K533" s="67"/>
      <c r="R533" s="67"/>
    </row>
    <row r="534">
      <c r="B534" s="182"/>
      <c r="E534" s="261"/>
      <c r="G534" s="182"/>
      <c r="J534" s="67"/>
      <c r="K534" s="67"/>
      <c r="R534" s="67"/>
    </row>
    <row r="535">
      <c r="B535" s="182"/>
      <c r="E535" s="261"/>
      <c r="G535" s="182"/>
      <c r="J535" s="67"/>
      <c r="K535" s="67"/>
      <c r="R535" s="67"/>
    </row>
    <row r="536">
      <c r="B536" s="182"/>
      <c r="E536" s="261"/>
      <c r="G536" s="182"/>
      <c r="J536" s="67"/>
      <c r="K536" s="67"/>
      <c r="R536" s="67"/>
    </row>
    <row r="537">
      <c r="B537" s="182"/>
      <c r="E537" s="261"/>
      <c r="G537" s="182"/>
      <c r="J537" s="67"/>
      <c r="K537" s="67"/>
      <c r="R537" s="67"/>
    </row>
    <row r="538">
      <c r="B538" s="182"/>
      <c r="E538" s="261"/>
      <c r="G538" s="182"/>
      <c r="J538" s="67"/>
      <c r="K538" s="67"/>
      <c r="R538" s="67"/>
    </row>
    <row r="539">
      <c r="B539" s="182"/>
      <c r="E539" s="261"/>
      <c r="G539" s="182"/>
      <c r="J539" s="67"/>
      <c r="K539" s="67"/>
      <c r="R539" s="67"/>
    </row>
    <row r="540">
      <c r="B540" s="182"/>
      <c r="E540" s="261"/>
      <c r="G540" s="182"/>
      <c r="J540" s="67"/>
      <c r="K540" s="67"/>
      <c r="R540" s="67"/>
    </row>
    <row r="541">
      <c r="B541" s="182"/>
      <c r="E541" s="261"/>
      <c r="G541" s="182"/>
      <c r="J541" s="67"/>
      <c r="K541" s="67"/>
      <c r="R541" s="67"/>
    </row>
    <row r="542">
      <c r="B542" s="182"/>
      <c r="E542" s="261"/>
      <c r="G542" s="182"/>
      <c r="J542" s="67"/>
      <c r="K542" s="67"/>
      <c r="R542" s="67"/>
    </row>
    <row r="543">
      <c r="B543" s="182"/>
      <c r="E543" s="261"/>
      <c r="G543" s="182"/>
      <c r="J543" s="67"/>
      <c r="K543" s="67"/>
      <c r="R543" s="67"/>
    </row>
    <row r="544">
      <c r="B544" s="182"/>
      <c r="E544" s="261"/>
      <c r="G544" s="182"/>
      <c r="J544" s="67"/>
      <c r="K544" s="67"/>
      <c r="R544" s="67"/>
    </row>
    <row r="545">
      <c r="B545" s="182"/>
      <c r="E545" s="261"/>
      <c r="G545" s="182"/>
      <c r="J545" s="67"/>
      <c r="K545" s="67"/>
      <c r="R545" s="67"/>
    </row>
    <row r="546">
      <c r="B546" s="182"/>
      <c r="E546" s="261"/>
      <c r="G546" s="182"/>
      <c r="J546" s="67"/>
      <c r="K546" s="67"/>
      <c r="R546" s="67"/>
    </row>
    <row r="547">
      <c r="B547" s="182"/>
      <c r="E547" s="261"/>
      <c r="G547" s="182"/>
      <c r="J547" s="67"/>
      <c r="K547" s="67"/>
      <c r="R547" s="67"/>
    </row>
    <row r="548">
      <c r="B548" s="182"/>
      <c r="E548" s="261"/>
      <c r="G548" s="182"/>
      <c r="J548" s="67"/>
      <c r="K548" s="67"/>
      <c r="R548" s="67"/>
    </row>
    <row r="549">
      <c r="B549" s="182"/>
      <c r="E549" s="261"/>
      <c r="G549" s="182"/>
      <c r="J549" s="67"/>
      <c r="K549" s="67"/>
      <c r="R549" s="67"/>
    </row>
    <row r="550">
      <c r="B550" s="182"/>
      <c r="E550" s="261"/>
      <c r="G550" s="182"/>
      <c r="J550" s="67"/>
      <c r="K550" s="67"/>
      <c r="R550" s="67"/>
    </row>
    <row r="551">
      <c r="B551" s="182"/>
      <c r="E551" s="261"/>
      <c r="G551" s="182"/>
      <c r="J551" s="67"/>
      <c r="K551" s="67"/>
      <c r="R551" s="67"/>
    </row>
    <row r="552">
      <c r="B552" s="182"/>
      <c r="E552" s="261"/>
      <c r="G552" s="182"/>
      <c r="J552" s="67"/>
      <c r="K552" s="67"/>
      <c r="R552" s="67"/>
    </row>
    <row r="553">
      <c r="B553" s="182"/>
      <c r="E553" s="261"/>
      <c r="G553" s="182"/>
      <c r="J553" s="67"/>
      <c r="K553" s="67"/>
      <c r="R553" s="67"/>
    </row>
    <row r="554">
      <c r="B554" s="182"/>
      <c r="E554" s="261"/>
      <c r="G554" s="182"/>
      <c r="J554" s="67"/>
      <c r="K554" s="67"/>
      <c r="R554" s="67"/>
    </row>
    <row r="555">
      <c r="B555" s="182"/>
      <c r="E555" s="261"/>
      <c r="G555" s="182"/>
      <c r="J555" s="67"/>
      <c r="K555" s="67"/>
      <c r="R555" s="67"/>
    </row>
    <row r="556">
      <c r="B556" s="182"/>
      <c r="E556" s="261"/>
      <c r="G556" s="182"/>
      <c r="J556" s="67"/>
      <c r="K556" s="67"/>
      <c r="R556" s="67"/>
    </row>
    <row r="557">
      <c r="B557" s="182"/>
      <c r="E557" s="261"/>
      <c r="G557" s="182"/>
      <c r="J557" s="67"/>
      <c r="K557" s="67"/>
      <c r="R557" s="67"/>
    </row>
    <row r="558">
      <c r="B558" s="182"/>
      <c r="E558" s="261"/>
      <c r="G558" s="182"/>
      <c r="J558" s="67"/>
      <c r="K558" s="67"/>
      <c r="R558" s="67"/>
    </row>
    <row r="559">
      <c r="B559" s="182"/>
      <c r="E559" s="261"/>
      <c r="G559" s="182"/>
      <c r="J559" s="67"/>
      <c r="K559" s="67"/>
      <c r="R559" s="67"/>
    </row>
    <row r="560">
      <c r="B560" s="182"/>
      <c r="E560" s="261"/>
      <c r="G560" s="182"/>
      <c r="J560" s="67"/>
      <c r="K560" s="67"/>
      <c r="R560" s="67"/>
    </row>
    <row r="561">
      <c r="B561" s="182"/>
      <c r="E561" s="261"/>
      <c r="G561" s="182"/>
      <c r="J561" s="67"/>
      <c r="K561" s="67"/>
      <c r="R561" s="67"/>
    </row>
    <row r="562">
      <c r="B562" s="182"/>
      <c r="E562" s="261"/>
      <c r="G562" s="182"/>
      <c r="J562" s="67"/>
      <c r="K562" s="67"/>
      <c r="R562" s="67"/>
    </row>
    <row r="563">
      <c r="B563" s="182"/>
      <c r="E563" s="261"/>
      <c r="G563" s="182"/>
      <c r="J563" s="67"/>
      <c r="K563" s="67"/>
      <c r="R563" s="67"/>
    </row>
    <row r="564">
      <c r="B564" s="182"/>
      <c r="E564" s="261"/>
      <c r="G564" s="182"/>
      <c r="J564" s="67"/>
      <c r="K564" s="67"/>
      <c r="R564" s="67"/>
    </row>
    <row r="565">
      <c r="B565" s="182"/>
      <c r="E565" s="261"/>
      <c r="G565" s="182"/>
      <c r="J565" s="67"/>
      <c r="K565" s="67"/>
      <c r="R565" s="67"/>
    </row>
    <row r="566">
      <c r="B566" s="182"/>
      <c r="E566" s="261"/>
      <c r="G566" s="182"/>
      <c r="J566" s="67"/>
      <c r="K566" s="67"/>
      <c r="R566" s="67"/>
    </row>
    <row r="567">
      <c r="B567" s="182"/>
      <c r="E567" s="261"/>
      <c r="G567" s="182"/>
      <c r="J567" s="67"/>
      <c r="K567" s="67"/>
      <c r="R567" s="67"/>
    </row>
    <row r="568">
      <c r="B568" s="182"/>
      <c r="E568" s="261"/>
      <c r="G568" s="182"/>
      <c r="J568" s="67"/>
      <c r="K568" s="67"/>
      <c r="R568" s="67"/>
    </row>
    <row r="569">
      <c r="B569" s="182"/>
      <c r="E569" s="261"/>
      <c r="G569" s="182"/>
      <c r="J569" s="67"/>
      <c r="K569" s="67"/>
      <c r="R569" s="67"/>
    </row>
    <row r="570">
      <c r="B570" s="182"/>
      <c r="E570" s="261"/>
      <c r="G570" s="182"/>
      <c r="J570" s="67"/>
      <c r="K570" s="67"/>
      <c r="R570" s="67"/>
    </row>
    <row r="571">
      <c r="B571" s="182"/>
      <c r="E571" s="261"/>
      <c r="G571" s="182"/>
      <c r="J571" s="67"/>
      <c r="K571" s="67"/>
      <c r="R571" s="67"/>
    </row>
    <row r="572">
      <c r="B572" s="182"/>
      <c r="E572" s="261"/>
      <c r="G572" s="182"/>
      <c r="J572" s="67"/>
      <c r="K572" s="67"/>
      <c r="R572" s="67"/>
    </row>
    <row r="573">
      <c r="B573" s="182"/>
      <c r="E573" s="261"/>
      <c r="G573" s="182"/>
      <c r="J573" s="67"/>
      <c r="K573" s="67"/>
      <c r="R573" s="67"/>
    </row>
    <row r="574">
      <c r="B574" s="182"/>
      <c r="E574" s="261"/>
      <c r="G574" s="182"/>
      <c r="J574" s="67"/>
      <c r="K574" s="67"/>
      <c r="R574" s="67"/>
    </row>
    <row r="575">
      <c r="B575" s="182"/>
      <c r="E575" s="261"/>
      <c r="G575" s="182"/>
      <c r="J575" s="67"/>
      <c r="K575" s="67"/>
      <c r="R575" s="67"/>
    </row>
    <row r="576">
      <c r="B576" s="182"/>
      <c r="E576" s="261"/>
      <c r="G576" s="182"/>
      <c r="J576" s="67"/>
      <c r="K576" s="67"/>
      <c r="R576" s="67"/>
    </row>
    <row r="577">
      <c r="B577" s="182"/>
      <c r="E577" s="261"/>
      <c r="G577" s="182"/>
      <c r="J577" s="67"/>
      <c r="K577" s="67"/>
      <c r="R577" s="67"/>
    </row>
    <row r="578">
      <c r="B578" s="182"/>
      <c r="E578" s="261"/>
      <c r="G578" s="182"/>
      <c r="J578" s="67"/>
      <c r="K578" s="67"/>
      <c r="R578" s="67"/>
    </row>
    <row r="579">
      <c r="B579" s="182"/>
      <c r="E579" s="261"/>
      <c r="G579" s="182"/>
      <c r="J579" s="67"/>
      <c r="K579" s="67"/>
      <c r="R579" s="67"/>
    </row>
    <row r="580">
      <c r="B580" s="182"/>
      <c r="E580" s="261"/>
      <c r="G580" s="182"/>
      <c r="J580" s="67"/>
      <c r="K580" s="67"/>
      <c r="R580" s="67"/>
    </row>
    <row r="581">
      <c r="B581" s="182"/>
      <c r="E581" s="261"/>
      <c r="G581" s="182"/>
      <c r="J581" s="67"/>
      <c r="K581" s="67"/>
      <c r="R581" s="67"/>
    </row>
    <row r="582">
      <c r="B582" s="182"/>
      <c r="E582" s="261"/>
      <c r="G582" s="182"/>
      <c r="J582" s="67"/>
      <c r="K582" s="67"/>
      <c r="R582" s="67"/>
    </row>
    <row r="583">
      <c r="B583" s="182"/>
      <c r="E583" s="261"/>
      <c r="G583" s="182"/>
      <c r="J583" s="67"/>
      <c r="K583" s="67"/>
      <c r="R583" s="67"/>
    </row>
    <row r="584">
      <c r="B584" s="182"/>
      <c r="E584" s="261"/>
      <c r="G584" s="182"/>
      <c r="J584" s="67"/>
      <c r="K584" s="67"/>
      <c r="R584" s="67"/>
    </row>
    <row r="585">
      <c r="B585" s="182"/>
      <c r="E585" s="261"/>
      <c r="G585" s="182"/>
      <c r="J585" s="67"/>
      <c r="K585" s="67"/>
      <c r="R585" s="67"/>
    </row>
    <row r="586">
      <c r="B586" s="182"/>
      <c r="E586" s="261"/>
      <c r="G586" s="182"/>
      <c r="J586" s="67"/>
      <c r="K586" s="67"/>
      <c r="R586" s="67"/>
    </row>
    <row r="587">
      <c r="B587" s="182"/>
      <c r="E587" s="261"/>
      <c r="G587" s="182"/>
      <c r="J587" s="67"/>
      <c r="K587" s="67"/>
      <c r="R587" s="67"/>
    </row>
    <row r="588">
      <c r="B588" s="182"/>
      <c r="E588" s="261"/>
      <c r="G588" s="182"/>
      <c r="J588" s="67"/>
      <c r="K588" s="67"/>
      <c r="R588" s="67"/>
    </row>
    <row r="589">
      <c r="B589" s="182"/>
      <c r="E589" s="261"/>
      <c r="G589" s="182"/>
      <c r="J589" s="67"/>
      <c r="K589" s="67"/>
      <c r="R589" s="67"/>
    </row>
    <row r="590">
      <c r="B590" s="182"/>
      <c r="E590" s="261"/>
      <c r="G590" s="182"/>
      <c r="J590" s="67"/>
      <c r="K590" s="67"/>
      <c r="R590" s="67"/>
    </row>
    <row r="591">
      <c r="B591" s="182"/>
      <c r="E591" s="261"/>
      <c r="G591" s="182"/>
      <c r="J591" s="67"/>
      <c r="K591" s="67"/>
      <c r="R591" s="67"/>
    </row>
    <row r="592">
      <c r="B592" s="182"/>
      <c r="E592" s="261"/>
      <c r="G592" s="182"/>
      <c r="J592" s="67"/>
      <c r="K592" s="67"/>
      <c r="R592" s="67"/>
    </row>
    <row r="593">
      <c r="B593" s="182"/>
      <c r="E593" s="261"/>
      <c r="G593" s="182"/>
      <c r="J593" s="67"/>
      <c r="K593" s="67"/>
      <c r="R593" s="67"/>
    </row>
    <row r="594">
      <c r="B594" s="182"/>
      <c r="E594" s="261"/>
      <c r="G594" s="182"/>
      <c r="J594" s="67"/>
      <c r="K594" s="67"/>
      <c r="R594" s="67"/>
    </row>
    <row r="595">
      <c r="B595" s="182"/>
      <c r="E595" s="261"/>
      <c r="G595" s="182"/>
      <c r="J595" s="67"/>
      <c r="K595" s="67"/>
      <c r="R595" s="67"/>
    </row>
    <row r="596">
      <c r="B596" s="182"/>
      <c r="E596" s="261"/>
      <c r="G596" s="182"/>
      <c r="J596" s="67"/>
      <c r="K596" s="67"/>
      <c r="R596" s="67"/>
    </row>
    <row r="597">
      <c r="B597" s="182"/>
      <c r="E597" s="261"/>
      <c r="G597" s="182"/>
      <c r="J597" s="67"/>
      <c r="K597" s="67"/>
      <c r="R597" s="67"/>
    </row>
    <row r="598">
      <c r="B598" s="182"/>
      <c r="E598" s="261"/>
      <c r="G598" s="182"/>
      <c r="J598" s="67"/>
      <c r="K598" s="67"/>
      <c r="R598" s="67"/>
    </row>
    <row r="599">
      <c r="B599" s="182"/>
      <c r="E599" s="261"/>
      <c r="G599" s="182"/>
      <c r="J599" s="67"/>
      <c r="K599" s="67"/>
      <c r="R599" s="67"/>
    </row>
    <row r="600">
      <c r="B600" s="182"/>
      <c r="E600" s="261"/>
      <c r="G600" s="182"/>
      <c r="J600" s="67"/>
      <c r="K600" s="67"/>
      <c r="R600" s="67"/>
    </row>
    <row r="601">
      <c r="B601" s="182"/>
      <c r="E601" s="261"/>
      <c r="G601" s="182"/>
      <c r="J601" s="67"/>
      <c r="K601" s="67"/>
      <c r="R601" s="67"/>
    </row>
    <row r="602">
      <c r="B602" s="182"/>
      <c r="E602" s="261"/>
      <c r="G602" s="182"/>
      <c r="J602" s="67"/>
      <c r="K602" s="67"/>
      <c r="R602" s="67"/>
    </row>
    <row r="603">
      <c r="B603" s="182"/>
      <c r="E603" s="261"/>
      <c r="G603" s="182"/>
      <c r="J603" s="67"/>
      <c r="K603" s="67"/>
      <c r="R603" s="67"/>
    </row>
    <row r="604">
      <c r="B604" s="182"/>
      <c r="E604" s="261"/>
      <c r="G604" s="182"/>
      <c r="J604" s="67"/>
      <c r="K604" s="67"/>
      <c r="R604" s="67"/>
    </row>
    <row r="605">
      <c r="B605" s="182"/>
      <c r="E605" s="261"/>
      <c r="G605" s="182"/>
      <c r="J605" s="67"/>
      <c r="K605" s="67"/>
      <c r="R605" s="67"/>
    </row>
    <row r="606">
      <c r="B606" s="182"/>
      <c r="E606" s="261"/>
      <c r="G606" s="182"/>
      <c r="J606" s="67"/>
      <c r="K606" s="67"/>
      <c r="R606" s="67"/>
    </row>
    <row r="607">
      <c r="B607" s="182"/>
      <c r="E607" s="261"/>
      <c r="G607" s="182"/>
      <c r="J607" s="67"/>
      <c r="K607" s="67"/>
      <c r="R607" s="67"/>
    </row>
    <row r="608">
      <c r="B608" s="182"/>
      <c r="E608" s="261"/>
      <c r="G608" s="182"/>
      <c r="J608" s="67"/>
      <c r="K608" s="67"/>
      <c r="R608" s="67"/>
    </row>
    <row r="609">
      <c r="B609" s="182"/>
      <c r="E609" s="261"/>
      <c r="G609" s="182"/>
      <c r="J609" s="67"/>
      <c r="K609" s="67"/>
      <c r="R609" s="67"/>
    </row>
    <row r="610">
      <c r="B610" s="182"/>
      <c r="E610" s="261"/>
      <c r="G610" s="182"/>
      <c r="J610" s="67"/>
      <c r="K610" s="67"/>
      <c r="R610" s="67"/>
    </row>
    <row r="611">
      <c r="B611" s="182"/>
      <c r="E611" s="261"/>
      <c r="G611" s="182"/>
      <c r="J611" s="67"/>
      <c r="K611" s="67"/>
      <c r="R611" s="67"/>
    </row>
    <row r="612">
      <c r="B612" s="182"/>
      <c r="E612" s="261"/>
      <c r="G612" s="182"/>
      <c r="J612" s="67"/>
      <c r="K612" s="67"/>
      <c r="R612" s="67"/>
    </row>
    <row r="613">
      <c r="B613" s="182"/>
      <c r="E613" s="261"/>
      <c r="G613" s="182"/>
      <c r="J613" s="67"/>
      <c r="K613" s="67"/>
      <c r="R613" s="67"/>
    </row>
    <row r="614">
      <c r="B614" s="182"/>
      <c r="E614" s="261"/>
      <c r="G614" s="182"/>
      <c r="J614" s="67"/>
      <c r="K614" s="67"/>
      <c r="R614" s="67"/>
    </row>
    <row r="615">
      <c r="B615" s="182"/>
      <c r="E615" s="261"/>
      <c r="G615" s="182"/>
      <c r="J615" s="67"/>
      <c r="K615" s="67"/>
      <c r="R615" s="67"/>
    </row>
    <row r="616">
      <c r="B616" s="182"/>
      <c r="E616" s="261"/>
      <c r="G616" s="182"/>
      <c r="J616" s="67"/>
      <c r="K616" s="67"/>
      <c r="R616" s="67"/>
    </row>
    <row r="617">
      <c r="B617" s="182"/>
      <c r="E617" s="261"/>
      <c r="G617" s="182"/>
      <c r="J617" s="67"/>
      <c r="K617" s="67"/>
      <c r="R617" s="67"/>
    </row>
    <row r="618">
      <c r="B618" s="182"/>
      <c r="E618" s="261"/>
      <c r="G618" s="182"/>
      <c r="J618" s="67"/>
      <c r="K618" s="67"/>
      <c r="R618" s="67"/>
    </row>
    <row r="619">
      <c r="B619" s="182"/>
      <c r="E619" s="261"/>
      <c r="G619" s="182"/>
      <c r="J619" s="67"/>
      <c r="K619" s="67"/>
      <c r="R619" s="67"/>
    </row>
    <row r="620">
      <c r="B620" s="182"/>
      <c r="E620" s="261"/>
      <c r="G620" s="182"/>
      <c r="J620" s="67"/>
      <c r="K620" s="67"/>
      <c r="R620" s="67"/>
    </row>
    <row r="621">
      <c r="B621" s="182"/>
      <c r="E621" s="261"/>
      <c r="G621" s="182"/>
      <c r="J621" s="67"/>
      <c r="K621" s="67"/>
      <c r="R621" s="67"/>
    </row>
    <row r="622">
      <c r="B622" s="182"/>
      <c r="E622" s="261"/>
      <c r="G622" s="182"/>
      <c r="J622" s="67"/>
      <c r="K622" s="67"/>
      <c r="R622" s="67"/>
    </row>
    <row r="623">
      <c r="B623" s="182"/>
      <c r="E623" s="261"/>
      <c r="G623" s="182"/>
      <c r="J623" s="67"/>
      <c r="K623" s="67"/>
      <c r="R623" s="67"/>
    </row>
    <row r="624">
      <c r="B624" s="182"/>
      <c r="E624" s="261"/>
      <c r="G624" s="182"/>
      <c r="J624" s="67"/>
      <c r="K624" s="67"/>
      <c r="R624" s="67"/>
    </row>
    <row r="625">
      <c r="B625" s="182"/>
      <c r="E625" s="261"/>
      <c r="G625" s="182"/>
      <c r="J625" s="67"/>
      <c r="K625" s="67"/>
      <c r="R625" s="67"/>
    </row>
    <row r="626">
      <c r="B626" s="182"/>
      <c r="E626" s="261"/>
      <c r="G626" s="182"/>
      <c r="J626" s="67"/>
      <c r="K626" s="67"/>
      <c r="R626" s="67"/>
    </row>
    <row r="627">
      <c r="B627" s="182"/>
      <c r="E627" s="261"/>
      <c r="G627" s="182"/>
      <c r="J627" s="67"/>
      <c r="K627" s="67"/>
      <c r="R627" s="67"/>
    </row>
    <row r="628">
      <c r="B628" s="182"/>
      <c r="E628" s="261"/>
      <c r="G628" s="182"/>
      <c r="J628" s="67"/>
      <c r="K628" s="67"/>
      <c r="R628" s="67"/>
    </row>
    <row r="629">
      <c r="B629" s="182"/>
      <c r="E629" s="261"/>
      <c r="G629" s="182"/>
      <c r="J629" s="67"/>
      <c r="K629" s="67"/>
      <c r="R629" s="67"/>
    </row>
    <row r="630">
      <c r="B630" s="182"/>
      <c r="E630" s="261"/>
      <c r="G630" s="182"/>
      <c r="J630" s="67"/>
      <c r="K630" s="67"/>
      <c r="R630" s="67"/>
    </row>
    <row r="631">
      <c r="B631" s="182"/>
      <c r="E631" s="261"/>
      <c r="G631" s="182"/>
      <c r="J631" s="67"/>
      <c r="K631" s="67"/>
      <c r="R631" s="67"/>
    </row>
    <row r="632">
      <c r="B632" s="182"/>
      <c r="E632" s="261"/>
      <c r="G632" s="182"/>
      <c r="J632" s="67"/>
      <c r="K632" s="67"/>
      <c r="R632" s="67"/>
    </row>
    <row r="633">
      <c r="B633" s="182"/>
      <c r="E633" s="261"/>
      <c r="G633" s="182"/>
      <c r="J633" s="67"/>
      <c r="K633" s="67"/>
      <c r="R633" s="67"/>
    </row>
    <row r="634">
      <c r="B634" s="182"/>
      <c r="E634" s="261"/>
      <c r="G634" s="182"/>
      <c r="J634" s="67"/>
      <c r="K634" s="67"/>
      <c r="R634" s="67"/>
    </row>
    <row r="635">
      <c r="B635" s="182"/>
      <c r="E635" s="261"/>
      <c r="G635" s="182"/>
      <c r="J635" s="67"/>
      <c r="K635" s="67"/>
      <c r="R635" s="67"/>
    </row>
    <row r="636">
      <c r="B636" s="182"/>
      <c r="E636" s="261"/>
      <c r="G636" s="182"/>
      <c r="J636" s="67"/>
      <c r="K636" s="67"/>
      <c r="R636" s="67"/>
    </row>
    <row r="637">
      <c r="B637" s="182"/>
      <c r="E637" s="261"/>
      <c r="G637" s="182"/>
      <c r="J637" s="67"/>
      <c r="K637" s="67"/>
      <c r="R637" s="67"/>
    </row>
    <row r="638">
      <c r="B638" s="182"/>
      <c r="E638" s="261"/>
      <c r="G638" s="182"/>
      <c r="J638" s="67"/>
      <c r="K638" s="67"/>
      <c r="R638" s="67"/>
    </row>
    <row r="639">
      <c r="B639" s="182"/>
      <c r="E639" s="261"/>
      <c r="G639" s="182"/>
      <c r="J639" s="67"/>
      <c r="K639" s="67"/>
      <c r="R639" s="67"/>
    </row>
    <row r="640">
      <c r="B640" s="182"/>
      <c r="E640" s="261"/>
      <c r="G640" s="182"/>
      <c r="J640" s="67"/>
      <c r="K640" s="67"/>
      <c r="R640" s="67"/>
    </row>
    <row r="641">
      <c r="B641" s="182"/>
      <c r="E641" s="261"/>
      <c r="G641" s="182"/>
      <c r="J641" s="67"/>
      <c r="K641" s="67"/>
      <c r="R641" s="67"/>
    </row>
    <row r="642">
      <c r="B642" s="182"/>
      <c r="E642" s="261"/>
      <c r="G642" s="182"/>
      <c r="J642" s="67"/>
      <c r="K642" s="67"/>
      <c r="R642" s="67"/>
    </row>
    <row r="643">
      <c r="B643" s="182"/>
      <c r="E643" s="261"/>
      <c r="G643" s="182"/>
      <c r="J643" s="67"/>
      <c r="K643" s="67"/>
      <c r="R643" s="67"/>
    </row>
    <row r="644">
      <c r="B644" s="182"/>
      <c r="E644" s="261"/>
      <c r="G644" s="182"/>
      <c r="J644" s="67"/>
      <c r="K644" s="67"/>
      <c r="R644" s="67"/>
    </row>
    <row r="645">
      <c r="B645" s="182"/>
      <c r="E645" s="261"/>
      <c r="G645" s="182"/>
      <c r="J645" s="67"/>
      <c r="K645" s="67"/>
      <c r="R645" s="67"/>
    </row>
    <row r="646">
      <c r="B646" s="182"/>
      <c r="E646" s="261"/>
      <c r="G646" s="182"/>
      <c r="J646" s="67"/>
      <c r="K646" s="67"/>
      <c r="R646" s="67"/>
    </row>
    <row r="647">
      <c r="B647" s="182"/>
      <c r="E647" s="261"/>
      <c r="G647" s="182"/>
      <c r="J647" s="67"/>
      <c r="K647" s="67"/>
      <c r="R647" s="67"/>
    </row>
    <row r="648">
      <c r="B648" s="182"/>
      <c r="E648" s="261"/>
      <c r="G648" s="182"/>
      <c r="J648" s="67"/>
      <c r="K648" s="67"/>
      <c r="R648" s="67"/>
    </row>
    <row r="649">
      <c r="B649" s="182"/>
      <c r="E649" s="261"/>
      <c r="G649" s="182"/>
      <c r="J649" s="67"/>
      <c r="K649" s="67"/>
      <c r="R649" s="67"/>
    </row>
    <row r="650">
      <c r="B650" s="182"/>
      <c r="E650" s="261"/>
      <c r="G650" s="182"/>
      <c r="J650" s="67"/>
      <c r="K650" s="67"/>
      <c r="R650" s="67"/>
    </row>
    <row r="651">
      <c r="B651" s="182"/>
      <c r="E651" s="261"/>
      <c r="G651" s="182"/>
      <c r="J651" s="67"/>
      <c r="K651" s="67"/>
      <c r="R651" s="67"/>
    </row>
    <row r="652">
      <c r="B652" s="182"/>
      <c r="E652" s="261"/>
      <c r="G652" s="182"/>
      <c r="J652" s="67"/>
      <c r="K652" s="67"/>
      <c r="R652" s="67"/>
    </row>
    <row r="653">
      <c r="B653" s="182"/>
      <c r="E653" s="261"/>
      <c r="G653" s="182"/>
      <c r="J653" s="67"/>
      <c r="K653" s="67"/>
      <c r="R653" s="67"/>
    </row>
    <row r="654">
      <c r="B654" s="182"/>
      <c r="E654" s="261"/>
      <c r="G654" s="182"/>
      <c r="J654" s="67"/>
      <c r="K654" s="67"/>
      <c r="R654" s="67"/>
    </row>
    <row r="655">
      <c r="B655" s="182"/>
      <c r="E655" s="261"/>
      <c r="G655" s="182"/>
      <c r="J655" s="67"/>
      <c r="K655" s="67"/>
      <c r="R655" s="67"/>
    </row>
    <row r="656">
      <c r="B656" s="182"/>
      <c r="E656" s="261"/>
      <c r="G656" s="182"/>
      <c r="J656" s="67"/>
      <c r="K656" s="67"/>
      <c r="R656" s="67"/>
    </row>
    <row r="657">
      <c r="B657" s="182"/>
      <c r="E657" s="261"/>
      <c r="G657" s="182"/>
      <c r="J657" s="67"/>
      <c r="K657" s="67"/>
      <c r="R657" s="67"/>
    </row>
    <row r="658">
      <c r="B658" s="182"/>
      <c r="E658" s="261"/>
      <c r="G658" s="182"/>
      <c r="J658" s="67"/>
      <c r="K658" s="67"/>
      <c r="R658" s="67"/>
    </row>
    <row r="659">
      <c r="B659" s="182"/>
      <c r="E659" s="261"/>
      <c r="G659" s="182"/>
      <c r="J659" s="67"/>
      <c r="K659" s="67"/>
      <c r="R659" s="67"/>
    </row>
    <row r="660">
      <c r="B660" s="182"/>
      <c r="E660" s="261"/>
      <c r="G660" s="182"/>
      <c r="J660" s="67"/>
      <c r="K660" s="67"/>
      <c r="R660" s="67"/>
    </row>
    <row r="661">
      <c r="B661" s="182"/>
      <c r="E661" s="261"/>
      <c r="G661" s="182"/>
      <c r="J661" s="67"/>
      <c r="K661" s="67"/>
      <c r="R661" s="67"/>
    </row>
    <row r="662">
      <c r="B662" s="182"/>
      <c r="E662" s="261"/>
      <c r="G662" s="182"/>
      <c r="J662" s="67"/>
      <c r="K662" s="67"/>
      <c r="R662" s="67"/>
    </row>
    <row r="663">
      <c r="B663" s="182"/>
      <c r="E663" s="261"/>
      <c r="G663" s="182"/>
      <c r="J663" s="67"/>
      <c r="K663" s="67"/>
      <c r="R663" s="67"/>
    </row>
    <row r="664">
      <c r="B664" s="182"/>
      <c r="E664" s="261"/>
      <c r="G664" s="182"/>
      <c r="J664" s="67"/>
      <c r="K664" s="67"/>
      <c r="R664" s="67"/>
    </row>
    <row r="665">
      <c r="B665" s="182"/>
      <c r="E665" s="261"/>
      <c r="G665" s="182"/>
      <c r="J665" s="67"/>
      <c r="K665" s="67"/>
      <c r="R665" s="67"/>
    </row>
    <row r="666">
      <c r="B666" s="182"/>
      <c r="E666" s="261"/>
      <c r="G666" s="182"/>
      <c r="J666" s="67"/>
      <c r="K666" s="67"/>
      <c r="R666" s="67"/>
    </row>
    <row r="667">
      <c r="B667" s="182"/>
      <c r="E667" s="261"/>
      <c r="G667" s="182"/>
      <c r="J667" s="67"/>
      <c r="K667" s="67"/>
      <c r="R667" s="67"/>
    </row>
    <row r="668">
      <c r="B668" s="182"/>
      <c r="E668" s="261"/>
      <c r="G668" s="182"/>
      <c r="J668" s="67"/>
      <c r="K668" s="67"/>
      <c r="R668" s="67"/>
    </row>
    <row r="669">
      <c r="B669" s="182"/>
      <c r="E669" s="261"/>
      <c r="G669" s="182"/>
      <c r="J669" s="67"/>
      <c r="K669" s="67"/>
      <c r="R669" s="67"/>
    </row>
    <row r="670">
      <c r="B670" s="182"/>
      <c r="E670" s="261"/>
      <c r="G670" s="182"/>
      <c r="J670" s="67"/>
      <c r="K670" s="67"/>
      <c r="R670" s="67"/>
    </row>
    <row r="671">
      <c r="B671" s="182"/>
      <c r="E671" s="261"/>
      <c r="G671" s="182"/>
      <c r="J671" s="67"/>
      <c r="K671" s="67"/>
      <c r="R671" s="67"/>
    </row>
    <row r="672">
      <c r="B672" s="182"/>
      <c r="E672" s="261"/>
      <c r="G672" s="182"/>
      <c r="J672" s="67"/>
      <c r="K672" s="67"/>
      <c r="R672" s="67"/>
    </row>
    <row r="673">
      <c r="B673" s="182"/>
      <c r="E673" s="261"/>
      <c r="G673" s="182"/>
      <c r="J673" s="67"/>
      <c r="K673" s="67"/>
      <c r="R673" s="67"/>
    </row>
    <row r="674">
      <c r="B674" s="182"/>
      <c r="E674" s="261"/>
      <c r="G674" s="182"/>
      <c r="J674" s="67"/>
      <c r="K674" s="67"/>
      <c r="R674" s="67"/>
    </row>
    <row r="675">
      <c r="B675" s="182"/>
      <c r="E675" s="261"/>
      <c r="G675" s="182"/>
      <c r="J675" s="67"/>
      <c r="K675" s="67"/>
      <c r="R675" s="67"/>
    </row>
    <row r="676">
      <c r="B676" s="182"/>
      <c r="E676" s="261"/>
      <c r="G676" s="182"/>
      <c r="J676" s="67"/>
      <c r="K676" s="67"/>
      <c r="R676" s="67"/>
    </row>
    <row r="677">
      <c r="B677" s="182"/>
      <c r="E677" s="261"/>
      <c r="G677" s="182"/>
      <c r="J677" s="67"/>
      <c r="K677" s="67"/>
      <c r="R677" s="67"/>
    </row>
    <row r="678">
      <c r="B678" s="182"/>
      <c r="E678" s="261"/>
      <c r="G678" s="182"/>
      <c r="J678" s="67"/>
      <c r="K678" s="67"/>
      <c r="R678" s="67"/>
    </row>
    <row r="679">
      <c r="B679" s="182"/>
      <c r="E679" s="261"/>
      <c r="G679" s="182"/>
      <c r="J679" s="67"/>
      <c r="K679" s="67"/>
      <c r="R679" s="67"/>
    </row>
    <row r="680">
      <c r="B680" s="182"/>
      <c r="E680" s="261"/>
      <c r="G680" s="182"/>
      <c r="J680" s="67"/>
      <c r="K680" s="67"/>
      <c r="R680" s="67"/>
    </row>
    <row r="681">
      <c r="B681" s="182"/>
      <c r="E681" s="261"/>
      <c r="G681" s="182"/>
      <c r="J681" s="67"/>
      <c r="K681" s="67"/>
      <c r="R681" s="67"/>
    </row>
    <row r="682">
      <c r="B682" s="182"/>
      <c r="E682" s="261"/>
      <c r="G682" s="182"/>
      <c r="J682" s="67"/>
      <c r="K682" s="67"/>
      <c r="R682" s="67"/>
    </row>
    <row r="683">
      <c r="B683" s="182"/>
      <c r="E683" s="261"/>
      <c r="G683" s="182"/>
      <c r="J683" s="67"/>
      <c r="K683" s="67"/>
      <c r="R683" s="67"/>
    </row>
    <row r="684">
      <c r="B684" s="182"/>
      <c r="E684" s="261"/>
      <c r="G684" s="182"/>
      <c r="J684" s="67"/>
      <c r="K684" s="67"/>
      <c r="R684" s="67"/>
    </row>
    <row r="685">
      <c r="B685" s="182"/>
      <c r="E685" s="261"/>
      <c r="G685" s="182"/>
      <c r="J685" s="67"/>
      <c r="K685" s="67"/>
      <c r="R685" s="67"/>
    </row>
    <row r="686">
      <c r="B686" s="182"/>
      <c r="E686" s="261"/>
      <c r="G686" s="182"/>
      <c r="J686" s="67"/>
      <c r="K686" s="67"/>
      <c r="R686" s="67"/>
    </row>
    <row r="687">
      <c r="B687" s="182"/>
      <c r="E687" s="261"/>
      <c r="G687" s="182"/>
      <c r="J687" s="67"/>
      <c r="K687" s="67"/>
      <c r="R687" s="67"/>
    </row>
    <row r="688">
      <c r="B688" s="182"/>
      <c r="E688" s="261"/>
      <c r="G688" s="182"/>
      <c r="J688" s="67"/>
      <c r="K688" s="67"/>
      <c r="R688" s="67"/>
    </row>
    <row r="689">
      <c r="B689" s="182"/>
      <c r="E689" s="261"/>
      <c r="G689" s="182"/>
      <c r="J689" s="67"/>
      <c r="K689" s="67"/>
      <c r="R689" s="67"/>
    </row>
    <row r="690">
      <c r="B690" s="182"/>
      <c r="E690" s="261"/>
      <c r="G690" s="182"/>
      <c r="J690" s="67"/>
      <c r="K690" s="67"/>
      <c r="R690" s="67"/>
    </row>
    <row r="691">
      <c r="B691" s="182"/>
      <c r="E691" s="261"/>
      <c r="G691" s="182"/>
      <c r="J691" s="67"/>
      <c r="K691" s="67"/>
      <c r="R691" s="67"/>
    </row>
    <row r="692">
      <c r="B692" s="182"/>
      <c r="E692" s="261"/>
      <c r="G692" s="182"/>
      <c r="J692" s="67"/>
      <c r="K692" s="67"/>
      <c r="R692" s="67"/>
    </row>
    <row r="693">
      <c r="B693" s="182"/>
      <c r="E693" s="261"/>
      <c r="G693" s="182"/>
      <c r="J693" s="67"/>
      <c r="K693" s="67"/>
      <c r="R693" s="67"/>
    </row>
    <row r="694">
      <c r="B694" s="182"/>
      <c r="E694" s="261"/>
      <c r="G694" s="182"/>
      <c r="J694" s="67"/>
      <c r="K694" s="67"/>
      <c r="R694" s="67"/>
    </row>
    <row r="695">
      <c r="B695" s="182"/>
      <c r="E695" s="261"/>
      <c r="G695" s="182"/>
      <c r="J695" s="67"/>
      <c r="K695" s="67"/>
      <c r="R695" s="67"/>
    </row>
    <row r="696">
      <c r="B696" s="182"/>
      <c r="E696" s="261"/>
      <c r="G696" s="182"/>
      <c r="J696" s="67"/>
      <c r="K696" s="67"/>
      <c r="R696" s="67"/>
    </row>
    <row r="697">
      <c r="B697" s="182"/>
      <c r="E697" s="261"/>
      <c r="G697" s="182"/>
      <c r="J697" s="67"/>
      <c r="K697" s="67"/>
      <c r="R697" s="67"/>
    </row>
    <row r="698">
      <c r="B698" s="182"/>
      <c r="E698" s="261"/>
      <c r="G698" s="182"/>
      <c r="J698" s="67"/>
      <c r="K698" s="67"/>
      <c r="R698" s="67"/>
    </row>
    <row r="699">
      <c r="B699" s="182"/>
      <c r="E699" s="261"/>
      <c r="G699" s="182"/>
      <c r="J699" s="67"/>
      <c r="K699" s="67"/>
      <c r="R699" s="67"/>
    </row>
    <row r="700">
      <c r="B700" s="182"/>
      <c r="E700" s="261"/>
      <c r="G700" s="182"/>
      <c r="J700" s="67"/>
      <c r="K700" s="67"/>
      <c r="R700" s="67"/>
    </row>
    <row r="701">
      <c r="B701" s="182"/>
      <c r="E701" s="261"/>
      <c r="G701" s="182"/>
      <c r="J701" s="67"/>
      <c r="K701" s="67"/>
      <c r="R701" s="67"/>
    </row>
    <row r="702">
      <c r="B702" s="182"/>
      <c r="E702" s="261"/>
      <c r="G702" s="182"/>
      <c r="J702" s="67"/>
      <c r="K702" s="67"/>
      <c r="R702" s="67"/>
    </row>
    <row r="703">
      <c r="B703" s="182"/>
      <c r="E703" s="261"/>
      <c r="G703" s="182"/>
      <c r="J703" s="67"/>
      <c r="K703" s="67"/>
      <c r="R703" s="67"/>
    </row>
    <row r="704">
      <c r="B704" s="182"/>
      <c r="E704" s="261"/>
      <c r="G704" s="182"/>
      <c r="J704" s="67"/>
      <c r="K704" s="67"/>
      <c r="R704" s="67"/>
    </row>
    <row r="705">
      <c r="B705" s="182"/>
      <c r="E705" s="261"/>
      <c r="G705" s="182"/>
      <c r="J705" s="67"/>
      <c r="K705" s="67"/>
      <c r="R705" s="67"/>
    </row>
    <row r="706">
      <c r="B706" s="182"/>
      <c r="E706" s="261"/>
      <c r="G706" s="182"/>
      <c r="J706" s="67"/>
      <c r="K706" s="67"/>
      <c r="R706" s="67"/>
    </row>
    <row r="707">
      <c r="B707" s="182"/>
      <c r="E707" s="261"/>
      <c r="G707" s="182"/>
      <c r="J707" s="67"/>
      <c r="K707" s="67"/>
      <c r="R707" s="67"/>
    </row>
    <row r="708">
      <c r="B708" s="182"/>
      <c r="E708" s="261"/>
      <c r="G708" s="182"/>
      <c r="J708" s="67"/>
      <c r="K708" s="67"/>
      <c r="R708" s="67"/>
    </row>
    <row r="709">
      <c r="B709" s="182"/>
      <c r="E709" s="261"/>
      <c r="G709" s="182"/>
      <c r="J709" s="67"/>
      <c r="K709" s="67"/>
      <c r="R709" s="67"/>
    </row>
    <row r="710">
      <c r="B710" s="182"/>
      <c r="E710" s="261"/>
      <c r="G710" s="182"/>
      <c r="J710" s="67"/>
      <c r="K710" s="67"/>
      <c r="R710" s="67"/>
    </row>
    <row r="711">
      <c r="B711" s="182"/>
      <c r="E711" s="261"/>
      <c r="G711" s="182"/>
      <c r="J711" s="67"/>
      <c r="K711" s="67"/>
      <c r="R711" s="67"/>
    </row>
    <row r="712">
      <c r="B712" s="182"/>
      <c r="E712" s="261"/>
      <c r="G712" s="182"/>
      <c r="J712" s="67"/>
      <c r="K712" s="67"/>
      <c r="R712" s="67"/>
    </row>
    <row r="713">
      <c r="B713" s="182"/>
      <c r="E713" s="261"/>
      <c r="G713" s="182"/>
      <c r="J713" s="67"/>
      <c r="K713" s="67"/>
      <c r="R713" s="67"/>
    </row>
    <row r="714">
      <c r="B714" s="182"/>
      <c r="E714" s="261"/>
      <c r="G714" s="182"/>
      <c r="J714" s="67"/>
      <c r="K714" s="67"/>
      <c r="R714" s="67"/>
    </row>
    <row r="715">
      <c r="B715" s="182"/>
      <c r="E715" s="261"/>
      <c r="G715" s="182"/>
      <c r="J715" s="67"/>
      <c r="K715" s="67"/>
      <c r="R715" s="67"/>
    </row>
    <row r="716">
      <c r="B716" s="182"/>
      <c r="E716" s="261"/>
      <c r="G716" s="182"/>
      <c r="J716" s="67"/>
      <c r="K716" s="67"/>
      <c r="R716" s="67"/>
    </row>
    <row r="717">
      <c r="B717" s="182"/>
      <c r="E717" s="261"/>
      <c r="G717" s="182"/>
      <c r="J717" s="67"/>
      <c r="K717" s="67"/>
      <c r="R717" s="67"/>
    </row>
    <row r="718">
      <c r="B718" s="182"/>
      <c r="E718" s="261"/>
      <c r="G718" s="182"/>
      <c r="J718" s="67"/>
      <c r="K718" s="67"/>
      <c r="R718" s="67"/>
    </row>
    <row r="719">
      <c r="B719" s="182"/>
      <c r="E719" s="261"/>
      <c r="G719" s="182"/>
      <c r="J719" s="67"/>
      <c r="K719" s="67"/>
      <c r="R719" s="67"/>
    </row>
    <row r="720">
      <c r="B720" s="182"/>
      <c r="E720" s="261"/>
      <c r="G720" s="182"/>
      <c r="J720" s="67"/>
      <c r="K720" s="67"/>
      <c r="R720" s="67"/>
    </row>
    <row r="721">
      <c r="B721" s="182"/>
      <c r="E721" s="261"/>
      <c r="G721" s="182"/>
      <c r="J721" s="67"/>
      <c r="K721" s="67"/>
      <c r="R721" s="67"/>
    </row>
    <row r="722">
      <c r="B722" s="182"/>
      <c r="E722" s="261"/>
      <c r="G722" s="182"/>
      <c r="J722" s="67"/>
      <c r="K722" s="67"/>
      <c r="R722" s="67"/>
    </row>
    <row r="723">
      <c r="B723" s="182"/>
      <c r="E723" s="261"/>
      <c r="G723" s="182"/>
      <c r="J723" s="67"/>
      <c r="K723" s="67"/>
      <c r="R723" s="67"/>
    </row>
    <row r="724">
      <c r="B724" s="182"/>
      <c r="E724" s="261"/>
      <c r="G724" s="182"/>
      <c r="J724" s="67"/>
      <c r="K724" s="67"/>
      <c r="R724" s="67"/>
    </row>
    <row r="725">
      <c r="B725" s="182"/>
      <c r="E725" s="261"/>
      <c r="G725" s="182"/>
      <c r="J725" s="67"/>
      <c r="K725" s="67"/>
      <c r="R725" s="67"/>
    </row>
    <row r="726">
      <c r="B726" s="182"/>
      <c r="E726" s="261"/>
      <c r="G726" s="182"/>
      <c r="J726" s="67"/>
      <c r="K726" s="67"/>
      <c r="R726" s="67"/>
    </row>
    <row r="727">
      <c r="B727" s="182"/>
      <c r="E727" s="261"/>
      <c r="G727" s="182"/>
      <c r="J727" s="67"/>
      <c r="K727" s="67"/>
      <c r="R727" s="67"/>
    </row>
    <row r="728">
      <c r="B728" s="182"/>
      <c r="E728" s="261"/>
      <c r="G728" s="182"/>
      <c r="J728" s="67"/>
      <c r="K728" s="67"/>
      <c r="R728" s="67"/>
    </row>
    <row r="729">
      <c r="B729" s="182"/>
      <c r="E729" s="261"/>
      <c r="G729" s="182"/>
      <c r="J729" s="67"/>
      <c r="K729" s="67"/>
      <c r="R729" s="67"/>
    </row>
    <row r="730">
      <c r="B730" s="182"/>
      <c r="E730" s="261"/>
      <c r="G730" s="182"/>
      <c r="J730" s="67"/>
      <c r="K730" s="67"/>
      <c r="R730" s="67"/>
    </row>
    <row r="731">
      <c r="B731" s="182"/>
      <c r="E731" s="261"/>
      <c r="G731" s="182"/>
      <c r="J731" s="67"/>
      <c r="K731" s="67"/>
      <c r="R731" s="67"/>
    </row>
    <row r="732">
      <c r="B732" s="182"/>
      <c r="E732" s="261"/>
      <c r="G732" s="182"/>
      <c r="J732" s="67"/>
      <c r="K732" s="67"/>
      <c r="R732" s="67"/>
    </row>
    <row r="733">
      <c r="B733" s="182"/>
      <c r="E733" s="261"/>
      <c r="G733" s="182"/>
      <c r="J733" s="67"/>
      <c r="K733" s="67"/>
      <c r="R733" s="67"/>
    </row>
    <row r="734">
      <c r="B734" s="182"/>
      <c r="E734" s="261"/>
      <c r="G734" s="182"/>
      <c r="J734" s="67"/>
      <c r="K734" s="67"/>
      <c r="R734" s="67"/>
    </row>
    <row r="735">
      <c r="B735" s="182"/>
      <c r="E735" s="261"/>
      <c r="G735" s="182"/>
      <c r="J735" s="67"/>
      <c r="K735" s="67"/>
      <c r="R735" s="67"/>
    </row>
    <row r="736">
      <c r="B736" s="182"/>
      <c r="E736" s="261"/>
      <c r="G736" s="182"/>
      <c r="J736" s="67"/>
      <c r="K736" s="67"/>
      <c r="R736" s="67"/>
    </row>
    <row r="737">
      <c r="B737" s="182"/>
      <c r="E737" s="261"/>
      <c r="G737" s="182"/>
      <c r="J737" s="67"/>
      <c r="K737" s="67"/>
      <c r="R737" s="67"/>
    </row>
    <row r="738">
      <c r="B738" s="182"/>
      <c r="E738" s="261"/>
      <c r="G738" s="182"/>
      <c r="J738" s="67"/>
      <c r="K738" s="67"/>
      <c r="R738" s="67"/>
    </row>
    <row r="739">
      <c r="B739" s="182"/>
      <c r="E739" s="261"/>
      <c r="G739" s="182"/>
      <c r="J739" s="67"/>
      <c r="K739" s="67"/>
      <c r="R739" s="67"/>
    </row>
    <row r="740">
      <c r="B740" s="182"/>
      <c r="E740" s="261"/>
      <c r="G740" s="182"/>
      <c r="J740" s="67"/>
      <c r="K740" s="67"/>
      <c r="R740" s="67"/>
    </row>
    <row r="741">
      <c r="B741" s="182"/>
      <c r="E741" s="261"/>
      <c r="G741" s="182"/>
      <c r="J741" s="67"/>
      <c r="K741" s="67"/>
      <c r="R741" s="67"/>
    </row>
    <row r="742">
      <c r="B742" s="182"/>
      <c r="E742" s="261"/>
      <c r="G742" s="182"/>
      <c r="J742" s="67"/>
      <c r="K742" s="67"/>
      <c r="R742" s="67"/>
    </row>
    <row r="743">
      <c r="B743" s="182"/>
      <c r="E743" s="261"/>
      <c r="G743" s="182"/>
      <c r="J743" s="67"/>
      <c r="K743" s="67"/>
      <c r="R743" s="67"/>
    </row>
    <row r="744">
      <c r="B744" s="182"/>
      <c r="E744" s="261"/>
      <c r="G744" s="182"/>
      <c r="J744" s="67"/>
      <c r="K744" s="67"/>
      <c r="R744" s="67"/>
    </row>
    <row r="745">
      <c r="B745" s="182"/>
      <c r="E745" s="261"/>
      <c r="G745" s="182"/>
      <c r="J745" s="67"/>
      <c r="K745" s="67"/>
      <c r="R745" s="67"/>
    </row>
    <row r="746">
      <c r="B746" s="182"/>
      <c r="E746" s="261"/>
      <c r="G746" s="182"/>
      <c r="J746" s="67"/>
      <c r="K746" s="67"/>
      <c r="R746" s="67"/>
    </row>
    <row r="747">
      <c r="B747" s="182"/>
      <c r="E747" s="261"/>
      <c r="G747" s="182"/>
      <c r="J747" s="67"/>
      <c r="K747" s="67"/>
      <c r="R747" s="67"/>
    </row>
    <row r="748">
      <c r="B748" s="182"/>
      <c r="E748" s="261"/>
      <c r="G748" s="182"/>
      <c r="J748" s="67"/>
      <c r="K748" s="67"/>
      <c r="R748" s="67"/>
    </row>
    <row r="749">
      <c r="B749" s="182"/>
      <c r="E749" s="261"/>
      <c r="G749" s="182"/>
      <c r="J749" s="67"/>
      <c r="K749" s="67"/>
      <c r="R749" s="67"/>
    </row>
    <row r="750">
      <c r="B750" s="182"/>
      <c r="E750" s="261"/>
      <c r="G750" s="182"/>
      <c r="J750" s="67"/>
      <c r="K750" s="67"/>
      <c r="R750" s="67"/>
    </row>
    <row r="751">
      <c r="B751" s="182"/>
      <c r="E751" s="261"/>
      <c r="G751" s="182"/>
      <c r="J751" s="67"/>
      <c r="K751" s="67"/>
      <c r="R751" s="67"/>
    </row>
    <row r="752">
      <c r="B752" s="182"/>
      <c r="E752" s="261"/>
      <c r="G752" s="182"/>
      <c r="J752" s="67"/>
      <c r="K752" s="67"/>
      <c r="R752" s="67"/>
    </row>
    <row r="753">
      <c r="B753" s="182"/>
      <c r="E753" s="261"/>
      <c r="G753" s="182"/>
      <c r="J753" s="67"/>
      <c r="K753" s="67"/>
      <c r="R753" s="67"/>
    </row>
    <row r="754">
      <c r="B754" s="182"/>
      <c r="E754" s="261"/>
      <c r="G754" s="182"/>
      <c r="J754" s="67"/>
      <c r="K754" s="67"/>
      <c r="R754" s="67"/>
    </row>
    <row r="755">
      <c r="B755" s="182"/>
      <c r="E755" s="261"/>
      <c r="G755" s="182"/>
      <c r="J755" s="67"/>
      <c r="K755" s="67"/>
      <c r="R755" s="67"/>
    </row>
    <row r="756">
      <c r="B756" s="182"/>
      <c r="E756" s="261"/>
      <c r="G756" s="182"/>
      <c r="J756" s="67"/>
      <c r="K756" s="67"/>
      <c r="R756" s="67"/>
    </row>
    <row r="757">
      <c r="B757" s="182"/>
      <c r="E757" s="261"/>
      <c r="G757" s="182"/>
      <c r="J757" s="67"/>
      <c r="K757" s="67"/>
      <c r="R757" s="67"/>
    </row>
    <row r="758">
      <c r="B758" s="182"/>
      <c r="E758" s="261"/>
      <c r="G758" s="182"/>
      <c r="J758" s="67"/>
      <c r="K758" s="67"/>
      <c r="R758" s="67"/>
    </row>
    <row r="759">
      <c r="B759" s="182"/>
      <c r="E759" s="261"/>
      <c r="G759" s="182"/>
      <c r="J759" s="67"/>
      <c r="K759" s="67"/>
      <c r="R759" s="67"/>
    </row>
    <row r="760">
      <c r="B760" s="182"/>
      <c r="E760" s="261"/>
      <c r="G760" s="182"/>
      <c r="J760" s="67"/>
      <c r="K760" s="67"/>
      <c r="R760" s="67"/>
    </row>
    <row r="761">
      <c r="B761" s="182"/>
      <c r="E761" s="261"/>
      <c r="G761" s="182"/>
      <c r="J761" s="67"/>
      <c r="K761" s="67"/>
      <c r="R761" s="67"/>
    </row>
    <row r="762">
      <c r="B762" s="182"/>
      <c r="E762" s="261"/>
      <c r="G762" s="182"/>
      <c r="J762" s="67"/>
      <c r="K762" s="67"/>
      <c r="R762" s="67"/>
    </row>
    <row r="763">
      <c r="B763" s="182"/>
      <c r="E763" s="261"/>
      <c r="G763" s="182"/>
      <c r="J763" s="67"/>
      <c r="K763" s="67"/>
      <c r="R763" s="67"/>
    </row>
    <row r="764">
      <c r="B764" s="182"/>
      <c r="E764" s="261"/>
      <c r="G764" s="182"/>
      <c r="J764" s="67"/>
      <c r="K764" s="67"/>
      <c r="R764" s="67"/>
    </row>
    <row r="765">
      <c r="B765" s="182"/>
      <c r="E765" s="261"/>
      <c r="G765" s="182"/>
      <c r="J765" s="67"/>
      <c r="K765" s="67"/>
      <c r="R765" s="67"/>
    </row>
    <row r="766">
      <c r="B766" s="182"/>
      <c r="E766" s="261"/>
      <c r="G766" s="182"/>
      <c r="J766" s="67"/>
      <c r="K766" s="67"/>
      <c r="R766" s="67"/>
    </row>
    <row r="767">
      <c r="B767" s="182"/>
      <c r="E767" s="261"/>
      <c r="G767" s="182"/>
      <c r="J767" s="67"/>
      <c r="K767" s="67"/>
      <c r="R767" s="67"/>
    </row>
    <row r="768">
      <c r="B768" s="182"/>
      <c r="E768" s="261"/>
      <c r="G768" s="182"/>
      <c r="J768" s="67"/>
      <c r="K768" s="67"/>
      <c r="R768" s="67"/>
    </row>
    <row r="769">
      <c r="B769" s="182"/>
      <c r="E769" s="261"/>
      <c r="G769" s="182"/>
      <c r="J769" s="67"/>
      <c r="K769" s="67"/>
      <c r="R769" s="67"/>
    </row>
    <row r="770">
      <c r="B770" s="182"/>
      <c r="E770" s="261"/>
      <c r="G770" s="182"/>
      <c r="J770" s="67"/>
      <c r="K770" s="67"/>
      <c r="R770" s="67"/>
    </row>
    <row r="771">
      <c r="B771" s="182"/>
      <c r="E771" s="261"/>
      <c r="G771" s="182"/>
      <c r="J771" s="67"/>
      <c r="K771" s="67"/>
      <c r="R771" s="67"/>
    </row>
    <row r="772">
      <c r="B772" s="182"/>
      <c r="E772" s="261"/>
      <c r="G772" s="182"/>
      <c r="J772" s="67"/>
      <c r="K772" s="67"/>
      <c r="R772" s="67"/>
    </row>
    <row r="773">
      <c r="B773" s="182"/>
      <c r="E773" s="261"/>
      <c r="G773" s="182"/>
      <c r="J773" s="67"/>
      <c r="K773" s="67"/>
      <c r="R773" s="67"/>
    </row>
    <row r="774">
      <c r="B774" s="182"/>
      <c r="E774" s="261"/>
      <c r="G774" s="182"/>
      <c r="J774" s="67"/>
      <c r="K774" s="67"/>
      <c r="R774" s="67"/>
    </row>
    <row r="775">
      <c r="B775" s="182"/>
      <c r="E775" s="261"/>
      <c r="G775" s="182"/>
      <c r="J775" s="67"/>
      <c r="K775" s="67"/>
      <c r="R775" s="67"/>
    </row>
    <row r="776">
      <c r="B776" s="182"/>
      <c r="E776" s="261"/>
      <c r="G776" s="182"/>
      <c r="J776" s="67"/>
      <c r="K776" s="67"/>
      <c r="R776" s="67"/>
    </row>
    <row r="777">
      <c r="B777" s="182"/>
      <c r="E777" s="261"/>
      <c r="G777" s="182"/>
      <c r="J777" s="67"/>
      <c r="K777" s="67"/>
      <c r="R777" s="67"/>
    </row>
    <row r="778">
      <c r="B778" s="182"/>
      <c r="E778" s="261"/>
      <c r="G778" s="182"/>
      <c r="J778" s="67"/>
      <c r="K778" s="67"/>
      <c r="R778" s="67"/>
    </row>
    <row r="779">
      <c r="B779" s="182"/>
      <c r="E779" s="261"/>
      <c r="G779" s="182"/>
      <c r="J779" s="67"/>
      <c r="K779" s="67"/>
      <c r="R779" s="67"/>
    </row>
    <row r="780">
      <c r="B780" s="182"/>
      <c r="E780" s="261"/>
      <c r="G780" s="182"/>
      <c r="J780" s="67"/>
      <c r="K780" s="67"/>
      <c r="R780" s="67"/>
    </row>
    <row r="781">
      <c r="B781" s="182"/>
      <c r="E781" s="261"/>
      <c r="G781" s="182"/>
      <c r="J781" s="67"/>
      <c r="K781" s="67"/>
      <c r="R781" s="67"/>
    </row>
    <row r="782">
      <c r="B782" s="182"/>
      <c r="E782" s="261"/>
      <c r="G782" s="182"/>
      <c r="J782" s="67"/>
      <c r="K782" s="67"/>
      <c r="R782" s="67"/>
    </row>
    <row r="783">
      <c r="B783" s="182"/>
      <c r="E783" s="261"/>
      <c r="G783" s="182"/>
      <c r="J783" s="67"/>
      <c r="K783" s="67"/>
      <c r="R783" s="67"/>
    </row>
    <row r="784">
      <c r="B784" s="182"/>
      <c r="E784" s="261"/>
      <c r="G784" s="182"/>
      <c r="J784" s="67"/>
      <c r="K784" s="67"/>
      <c r="R784" s="67"/>
    </row>
    <row r="785">
      <c r="B785" s="182"/>
      <c r="E785" s="261"/>
      <c r="G785" s="182"/>
      <c r="J785" s="67"/>
      <c r="K785" s="67"/>
      <c r="R785" s="67"/>
    </row>
    <row r="786">
      <c r="B786" s="182"/>
      <c r="E786" s="261"/>
      <c r="G786" s="182"/>
      <c r="J786" s="67"/>
      <c r="K786" s="67"/>
      <c r="R786" s="67"/>
    </row>
    <row r="787">
      <c r="B787" s="182"/>
      <c r="E787" s="261"/>
      <c r="G787" s="182"/>
      <c r="J787" s="67"/>
      <c r="K787" s="67"/>
      <c r="R787" s="67"/>
    </row>
    <row r="788">
      <c r="B788" s="182"/>
      <c r="E788" s="261"/>
      <c r="G788" s="182"/>
      <c r="J788" s="67"/>
      <c r="K788" s="67"/>
      <c r="R788" s="67"/>
    </row>
    <row r="789">
      <c r="B789" s="182"/>
      <c r="E789" s="261"/>
      <c r="G789" s="182"/>
      <c r="J789" s="67"/>
      <c r="K789" s="67"/>
      <c r="R789" s="67"/>
    </row>
    <row r="790">
      <c r="B790" s="182"/>
      <c r="E790" s="261"/>
      <c r="G790" s="182"/>
      <c r="J790" s="67"/>
      <c r="K790" s="67"/>
      <c r="R790" s="67"/>
    </row>
    <row r="791">
      <c r="B791" s="182"/>
      <c r="E791" s="261"/>
      <c r="G791" s="182"/>
      <c r="J791" s="67"/>
      <c r="K791" s="67"/>
      <c r="R791" s="67"/>
    </row>
    <row r="792">
      <c r="B792" s="182"/>
      <c r="E792" s="261"/>
      <c r="G792" s="182"/>
      <c r="J792" s="67"/>
      <c r="K792" s="67"/>
      <c r="R792" s="67"/>
    </row>
    <row r="793">
      <c r="B793" s="182"/>
      <c r="E793" s="261"/>
      <c r="G793" s="182"/>
      <c r="J793" s="67"/>
      <c r="K793" s="67"/>
      <c r="R793" s="67"/>
    </row>
    <row r="794">
      <c r="B794" s="182"/>
      <c r="E794" s="261"/>
      <c r="G794" s="182"/>
      <c r="J794" s="67"/>
      <c r="K794" s="67"/>
      <c r="R794" s="67"/>
    </row>
    <row r="795">
      <c r="B795" s="182"/>
      <c r="E795" s="261"/>
      <c r="G795" s="182"/>
      <c r="J795" s="67"/>
      <c r="K795" s="67"/>
      <c r="R795" s="67"/>
    </row>
    <row r="796">
      <c r="B796" s="182"/>
      <c r="E796" s="261"/>
      <c r="G796" s="182"/>
      <c r="J796" s="67"/>
      <c r="K796" s="67"/>
      <c r="R796" s="67"/>
    </row>
    <row r="797">
      <c r="B797" s="182"/>
      <c r="E797" s="261"/>
      <c r="G797" s="182"/>
      <c r="J797" s="67"/>
      <c r="K797" s="67"/>
      <c r="R797" s="67"/>
    </row>
    <row r="798">
      <c r="B798" s="182"/>
      <c r="E798" s="261"/>
      <c r="G798" s="182"/>
      <c r="J798" s="67"/>
      <c r="K798" s="67"/>
      <c r="R798" s="67"/>
    </row>
    <row r="799">
      <c r="B799" s="182"/>
      <c r="E799" s="261"/>
      <c r="G799" s="182"/>
      <c r="J799" s="67"/>
      <c r="K799" s="67"/>
      <c r="R799" s="67"/>
    </row>
    <row r="800">
      <c r="B800" s="182"/>
      <c r="E800" s="261"/>
      <c r="G800" s="182"/>
      <c r="J800" s="67"/>
      <c r="K800" s="67"/>
      <c r="R800" s="67"/>
    </row>
    <row r="801">
      <c r="B801" s="182"/>
      <c r="E801" s="261"/>
      <c r="G801" s="182"/>
      <c r="J801" s="67"/>
      <c r="K801" s="67"/>
      <c r="R801" s="67"/>
    </row>
    <row r="802">
      <c r="B802" s="182"/>
      <c r="E802" s="261"/>
      <c r="G802" s="182"/>
      <c r="J802" s="67"/>
      <c r="K802" s="67"/>
      <c r="R802" s="67"/>
    </row>
    <row r="803">
      <c r="B803" s="182"/>
      <c r="E803" s="261"/>
      <c r="G803" s="182"/>
      <c r="J803" s="67"/>
      <c r="K803" s="67"/>
      <c r="R803" s="67"/>
    </row>
    <row r="804">
      <c r="B804" s="182"/>
      <c r="E804" s="261"/>
      <c r="G804" s="182"/>
      <c r="J804" s="67"/>
      <c r="K804" s="67"/>
      <c r="R804" s="67"/>
    </row>
    <row r="805">
      <c r="B805" s="182"/>
      <c r="E805" s="261"/>
      <c r="G805" s="182"/>
      <c r="J805" s="67"/>
      <c r="K805" s="67"/>
      <c r="R805" s="67"/>
    </row>
    <row r="806">
      <c r="B806" s="182"/>
      <c r="E806" s="261"/>
      <c r="G806" s="182"/>
      <c r="J806" s="67"/>
      <c r="K806" s="67"/>
      <c r="R806" s="67"/>
    </row>
    <row r="807">
      <c r="B807" s="182"/>
      <c r="E807" s="261"/>
      <c r="G807" s="182"/>
      <c r="J807" s="67"/>
      <c r="K807" s="67"/>
      <c r="R807" s="67"/>
    </row>
    <row r="808">
      <c r="B808" s="182"/>
      <c r="E808" s="261"/>
      <c r="G808" s="182"/>
      <c r="J808" s="67"/>
      <c r="K808" s="67"/>
      <c r="R808" s="67"/>
    </row>
    <row r="809">
      <c r="B809" s="182"/>
      <c r="E809" s="261"/>
      <c r="G809" s="182"/>
      <c r="J809" s="67"/>
      <c r="K809" s="67"/>
      <c r="R809" s="67"/>
    </row>
    <row r="810">
      <c r="B810" s="182"/>
      <c r="E810" s="261"/>
      <c r="G810" s="182"/>
      <c r="J810" s="67"/>
      <c r="K810" s="67"/>
      <c r="R810" s="67"/>
    </row>
    <row r="811">
      <c r="B811" s="182"/>
      <c r="E811" s="261"/>
      <c r="G811" s="182"/>
      <c r="J811" s="67"/>
      <c r="K811" s="67"/>
      <c r="R811" s="67"/>
    </row>
    <row r="812">
      <c r="B812" s="182"/>
      <c r="E812" s="261"/>
      <c r="G812" s="182"/>
      <c r="J812" s="67"/>
      <c r="K812" s="67"/>
      <c r="R812" s="67"/>
    </row>
    <row r="813">
      <c r="B813" s="182"/>
      <c r="E813" s="261"/>
      <c r="G813" s="182"/>
      <c r="J813" s="67"/>
      <c r="K813" s="67"/>
      <c r="R813" s="67"/>
    </row>
    <row r="814">
      <c r="B814" s="182"/>
      <c r="E814" s="261"/>
      <c r="G814" s="182"/>
      <c r="J814" s="67"/>
      <c r="K814" s="67"/>
      <c r="R814" s="67"/>
    </row>
    <row r="815">
      <c r="B815" s="182"/>
      <c r="E815" s="261"/>
      <c r="G815" s="182"/>
      <c r="J815" s="67"/>
      <c r="K815" s="67"/>
      <c r="R815" s="67"/>
    </row>
    <row r="816">
      <c r="B816" s="182"/>
      <c r="E816" s="261"/>
      <c r="G816" s="182"/>
      <c r="J816" s="67"/>
      <c r="K816" s="67"/>
      <c r="R816" s="67"/>
    </row>
    <row r="817">
      <c r="B817" s="182"/>
      <c r="E817" s="261"/>
      <c r="G817" s="182"/>
      <c r="J817" s="67"/>
      <c r="K817" s="67"/>
      <c r="R817" s="67"/>
    </row>
    <row r="818">
      <c r="B818" s="182"/>
      <c r="E818" s="261"/>
      <c r="G818" s="182"/>
      <c r="J818" s="67"/>
      <c r="K818" s="67"/>
      <c r="R818" s="67"/>
    </row>
    <row r="819">
      <c r="B819" s="182"/>
      <c r="E819" s="261"/>
      <c r="G819" s="182"/>
      <c r="J819" s="67"/>
      <c r="K819" s="67"/>
      <c r="R819" s="67"/>
    </row>
    <row r="820">
      <c r="B820" s="182"/>
      <c r="E820" s="261"/>
      <c r="G820" s="182"/>
      <c r="J820" s="67"/>
      <c r="K820" s="67"/>
      <c r="R820" s="67"/>
    </row>
    <row r="821">
      <c r="B821" s="182"/>
      <c r="E821" s="261"/>
      <c r="G821" s="182"/>
      <c r="J821" s="67"/>
      <c r="K821" s="67"/>
      <c r="R821" s="67"/>
    </row>
    <row r="822">
      <c r="B822" s="182"/>
      <c r="E822" s="261"/>
      <c r="G822" s="182"/>
      <c r="J822" s="67"/>
      <c r="K822" s="67"/>
      <c r="R822" s="67"/>
    </row>
    <row r="823">
      <c r="B823" s="182"/>
      <c r="E823" s="261"/>
      <c r="G823" s="182"/>
      <c r="J823" s="67"/>
      <c r="K823" s="67"/>
      <c r="R823" s="67"/>
    </row>
    <row r="824">
      <c r="B824" s="182"/>
      <c r="E824" s="261"/>
      <c r="G824" s="182"/>
      <c r="J824" s="67"/>
      <c r="K824" s="67"/>
      <c r="R824" s="67"/>
    </row>
    <row r="825">
      <c r="B825" s="182"/>
      <c r="E825" s="261"/>
      <c r="G825" s="182"/>
      <c r="J825" s="67"/>
      <c r="K825" s="67"/>
      <c r="R825" s="67"/>
    </row>
    <row r="826">
      <c r="B826" s="182"/>
      <c r="E826" s="261"/>
      <c r="G826" s="182"/>
      <c r="J826" s="67"/>
      <c r="K826" s="67"/>
      <c r="R826" s="67"/>
    </row>
    <row r="827">
      <c r="B827" s="182"/>
      <c r="E827" s="261"/>
      <c r="G827" s="182"/>
      <c r="J827" s="67"/>
      <c r="K827" s="67"/>
      <c r="R827" s="67"/>
    </row>
    <row r="828">
      <c r="B828" s="182"/>
      <c r="E828" s="261"/>
      <c r="G828" s="182"/>
      <c r="J828" s="67"/>
      <c r="K828" s="67"/>
      <c r="R828" s="67"/>
    </row>
    <row r="829">
      <c r="B829" s="182"/>
      <c r="E829" s="261"/>
      <c r="G829" s="182"/>
      <c r="J829" s="67"/>
      <c r="K829" s="67"/>
      <c r="R829" s="67"/>
    </row>
    <row r="830">
      <c r="B830" s="182"/>
      <c r="E830" s="261"/>
      <c r="G830" s="182"/>
      <c r="J830" s="67"/>
      <c r="K830" s="67"/>
      <c r="R830" s="67"/>
    </row>
    <row r="831">
      <c r="B831" s="182"/>
      <c r="E831" s="261"/>
      <c r="G831" s="182"/>
      <c r="J831" s="67"/>
      <c r="K831" s="67"/>
      <c r="R831" s="67"/>
    </row>
    <row r="832">
      <c r="B832" s="182"/>
      <c r="E832" s="261"/>
      <c r="G832" s="182"/>
      <c r="J832" s="67"/>
      <c r="K832" s="67"/>
      <c r="R832" s="67"/>
    </row>
    <row r="833">
      <c r="B833" s="182"/>
      <c r="E833" s="261"/>
      <c r="G833" s="182"/>
      <c r="J833" s="67"/>
      <c r="K833" s="67"/>
      <c r="R833" s="67"/>
    </row>
    <row r="834">
      <c r="B834" s="182"/>
      <c r="E834" s="261"/>
      <c r="G834" s="182"/>
      <c r="J834" s="67"/>
      <c r="K834" s="67"/>
      <c r="R834" s="67"/>
    </row>
    <row r="835">
      <c r="B835" s="182"/>
      <c r="E835" s="261"/>
      <c r="G835" s="182"/>
      <c r="J835" s="67"/>
      <c r="K835" s="67"/>
      <c r="R835" s="67"/>
    </row>
    <row r="836">
      <c r="B836" s="182"/>
      <c r="E836" s="261"/>
      <c r="G836" s="182"/>
      <c r="J836" s="67"/>
      <c r="K836" s="67"/>
      <c r="R836" s="67"/>
    </row>
    <row r="837">
      <c r="B837" s="182"/>
      <c r="E837" s="261"/>
      <c r="G837" s="182"/>
      <c r="J837" s="67"/>
      <c r="K837" s="67"/>
      <c r="R837" s="67"/>
    </row>
    <row r="838">
      <c r="B838" s="182"/>
      <c r="E838" s="261"/>
      <c r="G838" s="182"/>
      <c r="J838" s="67"/>
      <c r="K838" s="67"/>
      <c r="R838" s="67"/>
    </row>
    <row r="839">
      <c r="B839" s="182"/>
      <c r="E839" s="261"/>
      <c r="G839" s="182"/>
      <c r="J839" s="67"/>
      <c r="K839" s="67"/>
      <c r="R839" s="67"/>
    </row>
    <row r="840">
      <c r="B840" s="182"/>
      <c r="E840" s="261"/>
      <c r="G840" s="182"/>
      <c r="J840" s="67"/>
      <c r="K840" s="67"/>
      <c r="R840" s="67"/>
    </row>
    <row r="841">
      <c r="B841" s="182"/>
      <c r="E841" s="261"/>
      <c r="G841" s="182"/>
      <c r="J841" s="67"/>
      <c r="K841" s="67"/>
      <c r="R841" s="67"/>
    </row>
    <row r="842">
      <c r="B842" s="182"/>
      <c r="E842" s="261"/>
      <c r="G842" s="182"/>
      <c r="J842" s="67"/>
      <c r="K842" s="67"/>
      <c r="R842" s="67"/>
    </row>
    <row r="843">
      <c r="B843" s="182"/>
      <c r="E843" s="261"/>
      <c r="G843" s="182"/>
      <c r="J843" s="67"/>
      <c r="K843" s="67"/>
      <c r="R843" s="67"/>
    </row>
    <row r="844">
      <c r="B844" s="182"/>
      <c r="E844" s="261"/>
      <c r="G844" s="182"/>
      <c r="J844" s="67"/>
      <c r="K844" s="67"/>
      <c r="R844" s="67"/>
    </row>
    <row r="845">
      <c r="B845" s="182"/>
      <c r="E845" s="261"/>
      <c r="G845" s="182"/>
      <c r="J845" s="67"/>
      <c r="K845" s="67"/>
      <c r="R845" s="67"/>
    </row>
    <row r="846">
      <c r="B846" s="182"/>
      <c r="E846" s="261"/>
      <c r="G846" s="182"/>
      <c r="J846" s="67"/>
      <c r="K846" s="67"/>
      <c r="R846" s="67"/>
    </row>
    <row r="847">
      <c r="B847" s="182"/>
      <c r="E847" s="261"/>
      <c r="G847" s="182"/>
      <c r="J847" s="67"/>
      <c r="K847" s="67"/>
      <c r="R847" s="67"/>
    </row>
    <row r="848">
      <c r="B848" s="182"/>
      <c r="E848" s="261"/>
      <c r="G848" s="182"/>
      <c r="J848" s="67"/>
      <c r="K848" s="67"/>
      <c r="R848" s="67"/>
    </row>
    <row r="849">
      <c r="B849" s="182"/>
      <c r="E849" s="261"/>
      <c r="G849" s="182"/>
      <c r="J849" s="67"/>
      <c r="K849" s="67"/>
      <c r="R849" s="67"/>
    </row>
    <row r="850">
      <c r="B850" s="182"/>
      <c r="E850" s="261"/>
      <c r="G850" s="182"/>
      <c r="J850" s="67"/>
      <c r="K850" s="67"/>
      <c r="R850" s="67"/>
    </row>
    <row r="851">
      <c r="B851" s="182"/>
      <c r="E851" s="261"/>
      <c r="G851" s="182"/>
      <c r="J851" s="67"/>
      <c r="K851" s="67"/>
      <c r="R851" s="67"/>
    </row>
    <row r="852">
      <c r="B852" s="182"/>
      <c r="E852" s="261"/>
      <c r="G852" s="182"/>
      <c r="J852" s="67"/>
      <c r="K852" s="67"/>
      <c r="R852" s="67"/>
    </row>
    <row r="853">
      <c r="B853" s="182"/>
      <c r="E853" s="261"/>
      <c r="G853" s="182"/>
      <c r="J853" s="67"/>
      <c r="K853" s="67"/>
      <c r="R853" s="67"/>
    </row>
    <row r="854">
      <c r="B854" s="182"/>
      <c r="E854" s="261"/>
      <c r="G854" s="182"/>
      <c r="J854" s="67"/>
      <c r="K854" s="67"/>
      <c r="R854" s="67"/>
    </row>
    <row r="855">
      <c r="B855" s="182"/>
      <c r="E855" s="261"/>
      <c r="G855" s="182"/>
      <c r="J855" s="67"/>
      <c r="K855" s="67"/>
      <c r="R855" s="67"/>
    </row>
    <row r="856">
      <c r="B856" s="182"/>
      <c r="E856" s="261"/>
      <c r="G856" s="182"/>
      <c r="J856" s="67"/>
      <c r="K856" s="67"/>
      <c r="R856" s="67"/>
    </row>
    <row r="857">
      <c r="B857" s="182"/>
      <c r="E857" s="261"/>
      <c r="G857" s="182"/>
      <c r="J857" s="67"/>
      <c r="K857" s="67"/>
      <c r="R857" s="67"/>
    </row>
    <row r="858">
      <c r="B858" s="182"/>
      <c r="E858" s="261"/>
      <c r="G858" s="182"/>
      <c r="J858" s="67"/>
      <c r="K858" s="67"/>
      <c r="R858" s="67"/>
    </row>
    <row r="859">
      <c r="B859" s="182"/>
      <c r="E859" s="261"/>
      <c r="G859" s="182"/>
      <c r="J859" s="67"/>
      <c r="K859" s="67"/>
      <c r="R859" s="67"/>
    </row>
    <row r="860">
      <c r="B860" s="182"/>
      <c r="E860" s="261"/>
      <c r="G860" s="182"/>
      <c r="J860" s="67"/>
      <c r="K860" s="67"/>
      <c r="R860" s="67"/>
    </row>
    <row r="861">
      <c r="B861" s="182"/>
      <c r="E861" s="261"/>
      <c r="G861" s="182"/>
      <c r="J861" s="67"/>
      <c r="K861" s="67"/>
      <c r="R861" s="67"/>
    </row>
    <row r="862">
      <c r="B862" s="182"/>
      <c r="E862" s="261"/>
      <c r="G862" s="182"/>
      <c r="J862" s="67"/>
      <c r="K862" s="67"/>
      <c r="R862" s="67"/>
    </row>
    <row r="863">
      <c r="B863" s="182"/>
      <c r="E863" s="261"/>
      <c r="G863" s="182"/>
      <c r="J863" s="67"/>
      <c r="K863" s="67"/>
      <c r="R863" s="67"/>
    </row>
    <row r="864">
      <c r="B864" s="182"/>
      <c r="E864" s="261"/>
      <c r="G864" s="182"/>
      <c r="J864" s="67"/>
      <c r="K864" s="67"/>
      <c r="R864" s="67"/>
    </row>
    <row r="865">
      <c r="B865" s="182"/>
      <c r="E865" s="261"/>
      <c r="G865" s="182"/>
      <c r="J865" s="67"/>
      <c r="K865" s="67"/>
      <c r="R865" s="67"/>
    </row>
    <row r="866">
      <c r="B866" s="182"/>
      <c r="E866" s="261"/>
      <c r="G866" s="182"/>
      <c r="J866" s="67"/>
      <c r="K866" s="67"/>
      <c r="R866" s="67"/>
    </row>
    <row r="867">
      <c r="B867" s="182"/>
      <c r="E867" s="261"/>
      <c r="G867" s="182"/>
      <c r="J867" s="67"/>
      <c r="K867" s="67"/>
      <c r="R867" s="67"/>
    </row>
    <row r="868">
      <c r="B868" s="182"/>
      <c r="E868" s="261"/>
      <c r="G868" s="182"/>
      <c r="J868" s="67"/>
      <c r="K868" s="67"/>
      <c r="R868" s="67"/>
    </row>
    <row r="869">
      <c r="B869" s="182"/>
      <c r="E869" s="261"/>
      <c r="G869" s="182"/>
      <c r="J869" s="67"/>
      <c r="K869" s="67"/>
      <c r="R869" s="67"/>
    </row>
    <row r="870">
      <c r="B870" s="182"/>
      <c r="E870" s="261"/>
      <c r="G870" s="182"/>
      <c r="J870" s="67"/>
      <c r="K870" s="67"/>
      <c r="R870" s="67"/>
    </row>
    <row r="871">
      <c r="B871" s="182"/>
      <c r="E871" s="261"/>
      <c r="G871" s="182"/>
      <c r="J871" s="67"/>
      <c r="K871" s="67"/>
      <c r="R871" s="67"/>
    </row>
    <row r="872">
      <c r="B872" s="182"/>
      <c r="E872" s="261"/>
      <c r="G872" s="182"/>
      <c r="J872" s="67"/>
      <c r="K872" s="67"/>
      <c r="R872" s="67"/>
    </row>
    <row r="873">
      <c r="B873" s="182"/>
      <c r="E873" s="261"/>
      <c r="G873" s="182"/>
      <c r="J873" s="67"/>
      <c r="K873" s="67"/>
      <c r="R873" s="67"/>
    </row>
    <row r="874">
      <c r="B874" s="182"/>
      <c r="E874" s="261"/>
      <c r="G874" s="182"/>
      <c r="J874" s="67"/>
      <c r="K874" s="67"/>
      <c r="R874" s="67"/>
    </row>
    <row r="875">
      <c r="B875" s="182"/>
      <c r="E875" s="261"/>
      <c r="G875" s="182"/>
      <c r="J875" s="67"/>
      <c r="K875" s="67"/>
      <c r="R875" s="67"/>
    </row>
    <row r="876">
      <c r="B876" s="182"/>
      <c r="E876" s="261"/>
      <c r="G876" s="182"/>
      <c r="J876" s="67"/>
      <c r="K876" s="67"/>
      <c r="R876" s="67"/>
    </row>
    <row r="877">
      <c r="B877" s="182"/>
      <c r="E877" s="261"/>
      <c r="G877" s="182"/>
      <c r="J877" s="67"/>
      <c r="K877" s="67"/>
      <c r="R877" s="67"/>
    </row>
    <row r="878">
      <c r="B878" s="182"/>
      <c r="E878" s="261"/>
      <c r="G878" s="182"/>
      <c r="J878" s="67"/>
      <c r="K878" s="67"/>
      <c r="R878" s="67"/>
    </row>
    <row r="879">
      <c r="B879" s="182"/>
      <c r="E879" s="261"/>
      <c r="G879" s="182"/>
      <c r="J879" s="67"/>
      <c r="K879" s="67"/>
      <c r="R879" s="67"/>
    </row>
    <row r="880">
      <c r="B880" s="182"/>
      <c r="E880" s="261"/>
      <c r="G880" s="182"/>
      <c r="J880" s="67"/>
      <c r="K880" s="67"/>
      <c r="R880" s="67"/>
    </row>
    <row r="881">
      <c r="B881" s="182"/>
      <c r="E881" s="261"/>
      <c r="G881" s="182"/>
      <c r="J881" s="67"/>
      <c r="K881" s="67"/>
      <c r="R881" s="67"/>
    </row>
    <row r="882">
      <c r="B882" s="182"/>
      <c r="E882" s="261"/>
      <c r="G882" s="182"/>
      <c r="J882" s="67"/>
      <c r="K882" s="67"/>
      <c r="R882" s="67"/>
    </row>
    <row r="883">
      <c r="B883" s="182"/>
      <c r="E883" s="261"/>
      <c r="G883" s="182"/>
      <c r="J883" s="67"/>
      <c r="K883" s="67"/>
      <c r="R883" s="67"/>
    </row>
    <row r="884">
      <c r="B884" s="182"/>
      <c r="E884" s="261"/>
      <c r="G884" s="182"/>
      <c r="J884" s="67"/>
      <c r="K884" s="67"/>
      <c r="R884" s="67"/>
    </row>
    <row r="885">
      <c r="B885" s="182"/>
      <c r="E885" s="261"/>
      <c r="G885" s="182"/>
      <c r="J885" s="67"/>
      <c r="K885" s="67"/>
      <c r="R885" s="67"/>
    </row>
    <row r="886">
      <c r="B886" s="182"/>
      <c r="E886" s="261"/>
      <c r="G886" s="182"/>
      <c r="J886" s="67"/>
      <c r="K886" s="67"/>
      <c r="R886" s="67"/>
    </row>
    <row r="887">
      <c r="B887" s="182"/>
      <c r="E887" s="261"/>
      <c r="G887" s="182"/>
      <c r="J887" s="67"/>
      <c r="K887" s="67"/>
      <c r="R887" s="67"/>
    </row>
    <row r="888">
      <c r="B888" s="182"/>
      <c r="E888" s="261"/>
      <c r="G888" s="182"/>
      <c r="J888" s="67"/>
      <c r="K888" s="67"/>
      <c r="R888" s="67"/>
    </row>
    <row r="889">
      <c r="B889" s="182"/>
      <c r="E889" s="261"/>
      <c r="G889" s="182"/>
      <c r="J889" s="67"/>
      <c r="K889" s="67"/>
      <c r="R889" s="67"/>
    </row>
    <row r="890">
      <c r="B890" s="182"/>
      <c r="E890" s="261"/>
      <c r="G890" s="182"/>
      <c r="J890" s="67"/>
      <c r="K890" s="67"/>
      <c r="R890" s="67"/>
    </row>
    <row r="891">
      <c r="B891" s="182"/>
      <c r="E891" s="261"/>
      <c r="G891" s="182"/>
      <c r="J891" s="67"/>
      <c r="K891" s="67"/>
      <c r="R891" s="67"/>
    </row>
    <row r="892">
      <c r="B892" s="182"/>
      <c r="E892" s="261"/>
      <c r="G892" s="182"/>
      <c r="J892" s="67"/>
      <c r="K892" s="67"/>
      <c r="R892" s="67"/>
    </row>
    <row r="893">
      <c r="B893" s="182"/>
      <c r="E893" s="261"/>
      <c r="G893" s="182"/>
      <c r="J893" s="67"/>
      <c r="K893" s="67"/>
      <c r="R893" s="67"/>
    </row>
    <row r="894">
      <c r="B894" s="182"/>
      <c r="E894" s="261"/>
      <c r="G894" s="182"/>
      <c r="J894" s="67"/>
      <c r="K894" s="67"/>
      <c r="R894" s="67"/>
    </row>
    <row r="895">
      <c r="B895" s="182"/>
      <c r="E895" s="261"/>
      <c r="G895" s="182"/>
      <c r="J895" s="67"/>
      <c r="K895" s="67"/>
      <c r="R895" s="67"/>
    </row>
    <row r="896">
      <c r="B896" s="182"/>
      <c r="E896" s="261"/>
      <c r="G896" s="182"/>
      <c r="J896" s="67"/>
      <c r="K896" s="67"/>
      <c r="R896" s="67"/>
    </row>
    <row r="897">
      <c r="B897" s="182"/>
      <c r="E897" s="261"/>
      <c r="G897" s="182"/>
      <c r="J897" s="67"/>
      <c r="K897" s="67"/>
      <c r="R897" s="67"/>
    </row>
    <row r="898">
      <c r="B898" s="182"/>
      <c r="E898" s="261"/>
      <c r="G898" s="182"/>
      <c r="J898" s="67"/>
      <c r="K898" s="67"/>
      <c r="R898" s="67"/>
    </row>
    <row r="899">
      <c r="B899" s="182"/>
      <c r="E899" s="261"/>
      <c r="G899" s="182"/>
      <c r="J899" s="67"/>
      <c r="K899" s="67"/>
      <c r="R899" s="67"/>
    </row>
    <row r="900">
      <c r="B900" s="182"/>
      <c r="E900" s="261"/>
      <c r="G900" s="182"/>
      <c r="J900" s="67"/>
      <c r="K900" s="67"/>
      <c r="R900" s="67"/>
    </row>
    <row r="901">
      <c r="B901" s="182"/>
      <c r="E901" s="261"/>
      <c r="G901" s="182"/>
      <c r="J901" s="67"/>
      <c r="K901" s="67"/>
      <c r="R901" s="67"/>
    </row>
    <row r="902">
      <c r="B902" s="182"/>
      <c r="E902" s="261"/>
      <c r="G902" s="182"/>
      <c r="J902" s="67"/>
      <c r="K902" s="67"/>
      <c r="R902" s="67"/>
    </row>
    <row r="903">
      <c r="B903" s="182"/>
      <c r="E903" s="261"/>
      <c r="G903" s="182"/>
      <c r="J903" s="67"/>
      <c r="K903" s="67"/>
      <c r="R903" s="67"/>
    </row>
    <row r="904">
      <c r="B904" s="182"/>
      <c r="E904" s="261"/>
      <c r="G904" s="182"/>
      <c r="J904" s="67"/>
      <c r="K904" s="67"/>
      <c r="R904" s="67"/>
    </row>
    <row r="905">
      <c r="B905" s="182"/>
      <c r="E905" s="261"/>
      <c r="G905" s="182"/>
      <c r="J905" s="67"/>
      <c r="K905" s="67"/>
      <c r="R905" s="67"/>
    </row>
    <row r="906">
      <c r="B906" s="182"/>
      <c r="E906" s="261"/>
      <c r="G906" s="182"/>
      <c r="J906" s="67"/>
      <c r="K906" s="67"/>
      <c r="R906" s="67"/>
    </row>
    <row r="907">
      <c r="B907" s="182"/>
      <c r="E907" s="261"/>
      <c r="G907" s="182"/>
      <c r="J907" s="67"/>
      <c r="K907" s="67"/>
      <c r="R907" s="67"/>
    </row>
    <row r="908">
      <c r="B908" s="182"/>
      <c r="E908" s="261"/>
      <c r="G908" s="182"/>
      <c r="J908" s="67"/>
      <c r="K908" s="67"/>
      <c r="R908" s="67"/>
    </row>
    <row r="909">
      <c r="B909" s="182"/>
      <c r="E909" s="261"/>
      <c r="G909" s="182"/>
      <c r="J909" s="67"/>
      <c r="K909" s="67"/>
      <c r="R909" s="67"/>
    </row>
    <row r="910">
      <c r="B910" s="182"/>
      <c r="E910" s="261"/>
      <c r="G910" s="182"/>
      <c r="J910" s="67"/>
      <c r="K910" s="67"/>
      <c r="R910" s="67"/>
    </row>
    <row r="911">
      <c r="B911" s="182"/>
      <c r="E911" s="261"/>
      <c r="G911" s="182"/>
      <c r="J911" s="67"/>
      <c r="K911" s="67"/>
      <c r="R911" s="67"/>
    </row>
    <row r="912">
      <c r="B912" s="182"/>
      <c r="E912" s="261"/>
      <c r="G912" s="182"/>
      <c r="J912" s="67"/>
      <c r="K912" s="67"/>
      <c r="R912" s="67"/>
    </row>
    <row r="913">
      <c r="B913" s="182"/>
      <c r="E913" s="261"/>
      <c r="G913" s="182"/>
      <c r="J913" s="67"/>
      <c r="K913" s="67"/>
      <c r="R913" s="67"/>
    </row>
    <row r="914">
      <c r="B914" s="182"/>
      <c r="E914" s="261"/>
      <c r="G914" s="182"/>
      <c r="J914" s="67"/>
      <c r="K914" s="67"/>
      <c r="R914" s="67"/>
    </row>
    <row r="915">
      <c r="B915" s="182"/>
      <c r="E915" s="261"/>
      <c r="G915" s="182"/>
      <c r="J915" s="67"/>
      <c r="K915" s="67"/>
      <c r="R915" s="67"/>
    </row>
    <row r="916">
      <c r="B916" s="182"/>
      <c r="E916" s="261"/>
      <c r="G916" s="182"/>
      <c r="J916" s="67"/>
      <c r="K916" s="67"/>
      <c r="R916" s="67"/>
    </row>
    <row r="917">
      <c r="B917" s="182"/>
      <c r="E917" s="261"/>
      <c r="G917" s="182"/>
      <c r="J917" s="67"/>
      <c r="K917" s="67"/>
      <c r="R917" s="67"/>
    </row>
    <row r="918">
      <c r="B918" s="182"/>
      <c r="E918" s="261"/>
      <c r="G918" s="182"/>
      <c r="J918" s="67"/>
      <c r="K918" s="67"/>
      <c r="R918" s="67"/>
    </row>
    <row r="919">
      <c r="B919" s="182"/>
      <c r="E919" s="261"/>
      <c r="G919" s="182"/>
      <c r="J919" s="67"/>
      <c r="K919" s="67"/>
      <c r="R919" s="67"/>
    </row>
    <row r="920">
      <c r="B920" s="182"/>
      <c r="E920" s="261"/>
      <c r="G920" s="182"/>
      <c r="J920" s="67"/>
      <c r="K920" s="67"/>
      <c r="R920" s="67"/>
    </row>
    <row r="921">
      <c r="B921" s="182"/>
      <c r="E921" s="261"/>
      <c r="G921" s="182"/>
      <c r="J921" s="67"/>
      <c r="K921" s="67"/>
      <c r="R921" s="67"/>
    </row>
    <row r="922">
      <c r="B922" s="182"/>
      <c r="E922" s="261"/>
      <c r="G922" s="182"/>
      <c r="J922" s="67"/>
      <c r="K922" s="67"/>
      <c r="R922" s="67"/>
    </row>
    <row r="923">
      <c r="B923" s="182"/>
      <c r="E923" s="261"/>
      <c r="G923" s="182"/>
      <c r="J923" s="67"/>
      <c r="K923" s="67"/>
      <c r="R923" s="67"/>
    </row>
    <row r="924">
      <c r="B924" s="182"/>
      <c r="E924" s="261"/>
      <c r="G924" s="182"/>
      <c r="J924" s="67"/>
      <c r="K924" s="67"/>
      <c r="R924" s="67"/>
    </row>
    <row r="925">
      <c r="B925" s="182"/>
      <c r="E925" s="261"/>
      <c r="G925" s="182"/>
      <c r="J925" s="67"/>
      <c r="K925" s="67"/>
      <c r="R925" s="67"/>
    </row>
    <row r="926">
      <c r="B926" s="182"/>
      <c r="E926" s="261"/>
      <c r="G926" s="182"/>
      <c r="J926" s="67"/>
      <c r="K926" s="67"/>
      <c r="R926" s="67"/>
    </row>
    <row r="927">
      <c r="B927" s="182"/>
      <c r="E927" s="261"/>
      <c r="G927" s="182"/>
      <c r="J927" s="67"/>
      <c r="K927" s="67"/>
      <c r="R927" s="67"/>
    </row>
    <row r="928">
      <c r="B928" s="182"/>
      <c r="E928" s="261"/>
      <c r="G928" s="182"/>
      <c r="J928" s="67"/>
      <c r="K928" s="67"/>
      <c r="R928" s="67"/>
    </row>
    <row r="929">
      <c r="B929" s="182"/>
      <c r="E929" s="261"/>
      <c r="G929" s="182"/>
      <c r="J929" s="67"/>
      <c r="K929" s="67"/>
      <c r="R929" s="67"/>
    </row>
    <row r="930">
      <c r="B930" s="182"/>
      <c r="E930" s="261"/>
      <c r="G930" s="182"/>
      <c r="J930" s="67"/>
      <c r="K930" s="67"/>
      <c r="R930" s="67"/>
    </row>
    <row r="931">
      <c r="B931" s="182"/>
      <c r="E931" s="261"/>
      <c r="G931" s="182"/>
      <c r="J931" s="67"/>
      <c r="K931" s="67"/>
      <c r="R931" s="67"/>
    </row>
    <row r="932">
      <c r="B932" s="182"/>
      <c r="E932" s="261"/>
      <c r="G932" s="182"/>
      <c r="J932" s="67"/>
      <c r="K932" s="67"/>
      <c r="R932" s="67"/>
    </row>
    <row r="933">
      <c r="B933" s="182"/>
      <c r="E933" s="261"/>
      <c r="G933" s="182"/>
      <c r="J933" s="67"/>
      <c r="K933" s="67"/>
      <c r="R933" s="67"/>
    </row>
    <row r="934">
      <c r="B934" s="182"/>
      <c r="E934" s="261"/>
      <c r="G934" s="182"/>
      <c r="J934" s="67"/>
      <c r="K934" s="67"/>
      <c r="R934" s="67"/>
    </row>
    <row r="935">
      <c r="B935" s="182"/>
      <c r="E935" s="261"/>
      <c r="G935" s="182"/>
      <c r="J935" s="67"/>
      <c r="K935" s="67"/>
      <c r="R935" s="67"/>
    </row>
    <row r="936">
      <c r="B936" s="182"/>
      <c r="E936" s="261"/>
      <c r="G936" s="182"/>
      <c r="J936" s="67"/>
      <c r="K936" s="67"/>
      <c r="R936" s="67"/>
    </row>
    <row r="937">
      <c r="B937" s="182"/>
      <c r="E937" s="261"/>
      <c r="G937" s="182"/>
      <c r="J937" s="67"/>
      <c r="K937" s="67"/>
      <c r="R937" s="67"/>
    </row>
    <row r="938">
      <c r="B938" s="182"/>
      <c r="E938" s="261"/>
      <c r="G938" s="182"/>
      <c r="J938" s="67"/>
      <c r="K938" s="67"/>
      <c r="R938" s="67"/>
    </row>
    <row r="939">
      <c r="B939" s="182"/>
      <c r="E939" s="261"/>
      <c r="G939" s="182"/>
      <c r="J939" s="67"/>
      <c r="K939" s="67"/>
      <c r="R939" s="67"/>
    </row>
    <row r="940">
      <c r="B940" s="182"/>
      <c r="E940" s="261"/>
      <c r="G940" s="182"/>
      <c r="J940" s="67"/>
      <c r="K940" s="67"/>
      <c r="R940" s="67"/>
    </row>
    <row r="941">
      <c r="B941" s="182"/>
      <c r="E941" s="261"/>
      <c r="G941" s="182"/>
      <c r="J941" s="67"/>
      <c r="K941" s="67"/>
      <c r="R941" s="67"/>
    </row>
    <row r="942">
      <c r="B942" s="182"/>
      <c r="E942" s="261"/>
      <c r="G942" s="182"/>
      <c r="J942" s="67"/>
      <c r="K942" s="67"/>
      <c r="R942" s="67"/>
    </row>
    <row r="943">
      <c r="B943" s="182"/>
      <c r="E943" s="261"/>
      <c r="G943" s="182"/>
      <c r="J943" s="67"/>
      <c r="K943" s="67"/>
      <c r="R943" s="67"/>
    </row>
    <row r="944">
      <c r="B944" s="182"/>
      <c r="E944" s="261"/>
      <c r="G944" s="182"/>
      <c r="J944" s="67"/>
      <c r="K944" s="67"/>
      <c r="R944" s="67"/>
    </row>
    <row r="945">
      <c r="B945" s="182"/>
      <c r="E945" s="261"/>
      <c r="G945" s="182"/>
      <c r="J945" s="67"/>
      <c r="K945" s="67"/>
      <c r="R945" s="67"/>
    </row>
    <row r="946">
      <c r="B946" s="182"/>
      <c r="E946" s="261"/>
      <c r="G946" s="182"/>
      <c r="J946" s="67"/>
      <c r="K946" s="67"/>
      <c r="R946" s="67"/>
    </row>
    <row r="947">
      <c r="B947" s="182"/>
      <c r="E947" s="261"/>
      <c r="G947" s="182"/>
      <c r="J947" s="67"/>
      <c r="K947" s="67"/>
      <c r="R947" s="67"/>
    </row>
    <row r="948">
      <c r="B948" s="182"/>
      <c r="E948" s="261"/>
      <c r="G948" s="182"/>
      <c r="J948" s="67"/>
      <c r="K948" s="67"/>
      <c r="R948" s="67"/>
    </row>
    <row r="949">
      <c r="B949" s="182"/>
      <c r="E949" s="261"/>
      <c r="G949" s="182"/>
      <c r="J949" s="67"/>
      <c r="K949" s="67"/>
      <c r="R949" s="67"/>
    </row>
    <row r="950">
      <c r="B950" s="182"/>
      <c r="E950" s="261"/>
      <c r="G950" s="182"/>
      <c r="J950" s="67"/>
      <c r="K950" s="67"/>
      <c r="R950" s="67"/>
    </row>
    <row r="951">
      <c r="B951" s="182"/>
      <c r="E951" s="261"/>
      <c r="G951" s="182"/>
      <c r="J951" s="67"/>
      <c r="K951" s="67"/>
      <c r="R951" s="67"/>
    </row>
    <row r="952">
      <c r="B952" s="182"/>
      <c r="E952" s="261"/>
      <c r="G952" s="182"/>
      <c r="J952" s="67"/>
      <c r="K952" s="67"/>
      <c r="R952" s="67"/>
    </row>
    <row r="953">
      <c r="B953" s="182"/>
      <c r="E953" s="261"/>
      <c r="G953" s="182"/>
      <c r="J953" s="67"/>
      <c r="K953" s="67"/>
      <c r="R953" s="67"/>
    </row>
    <row r="954">
      <c r="B954" s="182"/>
      <c r="E954" s="261"/>
      <c r="G954" s="182"/>
      <c r="J954" s="67"/>
      <c r="K954" s="67"/>
      <c r="R954" s="67"/>
    </row>
    <row r="955">
      <c r="B955" s="182"/>
      <c r="E955" s="261"/>
      <c r="G955" s="182"/>
      <c r="J955" s="67"/>
      <c r="K955" s="67"/>
      <c r="R955" s="67"/>
    </row>
    <row r="956">
      <c r="B956" s="182"/>
      <c r="E956" s="261"/>
      <c r="G956" s="182"/>
      <c r="J956" s="67"/>
      <c r="K956" s="67"/>
      <c r="R956" s="67"/>
    </row>
    <row r="957">
      <c r="B957" s="182"/>
      <c r="E957" s="261"/>
      <c r="G957" s="182"/>
      <c r="J957" s="67"/>
      <c r="K957" s="67"/>
      <c r="R957" s="67"/>
    </row>
    <row r="958">
      <c r="B958" s="182"/>
      <c r="E958" s="261"/>
      <c r="G958" s="182"/>
      <c r="J958" s="67"/>
      <c r="K958" s="67"/>
      <c r="R958" s="67"/>
    </row>
    <row r="959">
      <c r="B959" s="182"/>
      <c r="E959" s="261"/>
      <c r="G959" s="182"/>
      <c r="J959" s="67"/>
      <c r="K959" s="67"/>
      <c r="R959" s="67"/>
    </row>
    <row r="960">
      <c r="B960" s="182"/>
      <c r="E960" s="261"/>
      <c r="G960" s="182"/>
      <c r="J960" s="67"/>
      <c r="K960" s="67"/>
      <c r="R960" s="67"/>
    </row>
    <row r="961">
      <c r="B961" s="182"/>
      <c r="E961" s="261"/>
      <c r="G961" s="182"/>
      <c r="J961" s="67"/>
      <c r="K961" s="67"/>
      <c r="R961" s="67"/>
    </row>
    <row r="962">
      <c r="B962" s="182"/>
      <c r="E962" s="261"/>
      <c r="G962" s="182"/>
      <c r="J962" s="67"/>
      <c r="K962" s="67"/>
      <c r="R962" s="67"/>
    </row>
    <row r="963">
      <c r="B963" s="182"/>
      <c r="E963" s="261"/>
      <c r="G963" s="182"/>
      <c r="J963" s="67"/>
      <c r="K963" s="67"/>
      <c r="R963" s="67"/>
    </row>
    <row r="964">
      <c r="B964" s="182"/>
      <c r="E964" s="261"/>
      <c r="G964" s="182"/>
      <c r="J964" s="67"/>
      <c r="K964" s="67"/>
      <c r="R964" s="67"/>
    </row>
    <row r="965">
      <c r="B965" s="182"/>
      <c r="E965" s="261"/>
      <c r="G965" s="182"/>
      <c r="J965" s="67"/>
      <c r="K965" s="67"/>
      <c r="R965" s="67"/>
    </row>
    <row r="966">
      <c r="B966" s="182"/>
      <c r="E966" s="261"/>
      <c r="G966" s="182"/>
      <c r="J966" s="67"/>
      <c r="K966" s="67"/>
      <c r="R966" s="67"/>
    </row>
    <row r="967">
      <c r="B967" s="182"/>
      <c r="E967" s="261"/>
      <c r="G967" s="182"/>
      <c r="J967" s="67"/>
      <c r="K967" s="67"/>
      <c r="R967" s="67"/>
    </row>
    <row r="968">
      <c r="B968" s="182"/>
      <c r="E968" s="261"/>
      <c r="G968" s="182"/>
      <c r="J968" s="67"/>
      <c r="K968" s="67"/>
      <c r="R968" s="67"/>
    </row>
    <row r="969">
      <c r="B969" s="182"/>
      <c r="E969" s="261"/>
      <c r="G969" s="182"/>
      <c r="J969" s="67"/>
      <c r="K969" s="67"/>
      <c r="R969" s="67"/>
    </row>
    <row r="970">
      <c r="B970" s="182"/>
      <c r="E970" s="261"/>
      <c r="G970" s="182"/>
      <c r="J970" s="67"/>
      <c r="K970" s="67"/>
      <c r="R970" s="67"/>
    </row>
    <row r="971">
      <c r="B971" s="182"/>
      <c r="E971" s="261"/>
      <c r="G971" s="182"/>
      <c r="J971" s="67"/>
      <c r="K971" s="67"/>
      <c r="R971" s="67"/>
    </row>
    <row r="972">
      <c r="B972" s="182"/>
      <c r="E972" s="261"/>
      <c r="G972" s="182"/>
      <c r="J972" s="67"/>
      <c r="K972" s="67"/>
      <c r="R972" s="67"/>
    </row>
    <row r="973">
      <c r="B973" s="182"/>
      <c r="E973" s="261"/>
      <c r="G973" s="182"/>
      <c r="J973" s="67"/>
      <c r="K973" s="67"/>
      <c r="R973" s="67"/>
    </row>
    <row r="974">
      <c r="B974" s="182"/>
      <c r="E974" s="261"/>
      <c r="G974" s="182"/>
      <c r="J974" s="67"/>
      <c r="K974" s="67"/>
      <c r="R974" s="67"/>
    </row>
    <row r="975">
      <c r="B975" s="182"/>
      <c r="E975" s="261"/>
      <c r="G975" s="182"/>
      <c r="J975" s="67"/>
      <c r="K975" s="67"/>
      <c r="R975" s="67"/>
    </row>
    <row r="976">
      <c r="B976" s="182"/>
      <c r="E976" s="261"/>
      <c r="G976" s="182"/>
      <c r="J976" s="67"/>
      <c r="K976" s="67"/>
      <c r="R976" s="67"/>
    </row>
    <row r="977">
      <c r="B977" s="182"/>
      <c r="E977" s="261"/>
      <c r="G977" s="182"/>
      <c r="J977" s="67"/>
      <c r="K977" s="67"/>
      <c r="R977" s="67"/>
    </row>
    <row r="978">
      <c r="B978" s="182"/>
      <c r="E978" s="261"/>
      <c r="G978" s="182"/>
      <c r="J978" s="67"/>
      <c r="K978" s="67"/>
      <c r="R978" s="67"/>
    </row>
    <row r="979">
      <c r="B979" s="182"/>
      <c r="E979" s="261"/>
      <c r="G979" s="182"/>
      <c r="J979" s="67"/>
      <c r="K979" s="67"/>
      <c r="R979" s="67"/>
    </row>
    <row r="980">
      <c r="B980" s="182"/>
      <c r="E980" s="261"/>
      <c r="G980" s="182"/>
      <c r="J980" s="67"/>
      <c r="K980" s="67"/>
      <c r="R980" s="67"/>
    </row>
    <row r="981">
      <c r="B981" s="182"/>
      <c r="E981" s="261"/>
      <c r="G981" s="182"/>
      <c r="J981" s="67"/>
      <c r="K981" s="67"/>
      <c r="R981" s="67"/>
    </row>
    <row r="982">
      <c r="B982" s="182"/>
      <c r="E982" s="261"/>
      <c r="G982" s="182"/>
      <c r="J982" s="67"/>
      <c r="K982" s="67"/>
      <c r="R982" s="67"/>
    </row>
    <row r="983">
      <c r="B983" s="182"/>
      <c r="E983" s="261"/>
      <c r="G983" s="182"/>
      <c r="J983" s="67"/>
      <c r="K983" s="67"/>
      <c r="R983" s="67"/>
    </row>
    <row r="984">
      <c r="B984" s="182"/>
      <c r="E984" s="261"/>
      <c r="G984" s="182"/>
      <c r="J984" s="67"/>
      <c r="K984" s="67"/>
      <c r="R984" s="67"/>
    </row>
    <row r="985">
      <c r="B985" s="182"/>
      <c r="E985" s="261"/>
      <c r="G985" s="182"/>
      <c r="J985" s="67"/>
      <c r="K985" s="67"/>
      <c r="R985" s="67"/>
    </row>
    <row r="986">
      <c r="B986" s="182"/>
      <c r="E986" s="261"/>
      <c r="G986" s="182"/>
      <c r="J986" s="67"/>
      <c r="K986" s="67"/>
      <c r="R986" s="67"/>
    </row>
    <row r="987">
      <c r="B987" s="182"/>
      <c r="E987" s="261"/>
      <c r="G987" s="182"/>
      <c r="J987" s="67"/>
      <c r="K987" s="67"/>
      <c r="R987" s="67"/>
    </row>
    <row r="988">
      <c r="B988" s="182"/>
      <c r="E988" s="261"/>
      <c r="G988" s="182"/>
      <c r="J988" s="67"/>
      <c r="K988" s="67"/>
      <c r="R988" s="67"/>
    </row>
    <row r="989">
      <c r="B989" s="182"/>
      <c r="E989" s="261"/>
      <c r="G989" s="182"/>
      <c r="J989" s="67"/>
      <c r="K989" s="67"/>
      <c r="R989" s="67"/>
    </row>
    <row r="990">
      <c r="B990" s="182"/>
      <c r="E990" s="261"/>
      <c r="G990" s="182"/>
      <c r="J990" s="67"/>
      <c r="K990" s="67"/>
      <c r="R990" s="67"/>
    </row>
    <row r="991">
      <c r="B991" s="182"/>
      <c r="E991" s="261"/>
      <c r="G991" s="182"/>
      <c r="J991" s="67"/>
      <c r="K991" s="67"/>
      <c r="R991" s="67"/>
    </row>
    <row r="992">
      <c r="B992" s="182"/>
      <c r="E992" s="261"/>
      <c r="G992" s="182"/>
      <c r="J992" s="67"/>
      <c r="K992" s="67"/>
      <c r="R992" s="67"/>
    </row>
    <row r="993">
      <c r="B993" s="182"/>
      <c r="E993" s="261"/>
      <c r="G993" s="182"/>
      <c r="J993" s="67"/>
      <c r="K993" s="67"/>
      <c r="R993" s="67"/>
    </row>
    <row r="994">
      <c r="B994" s="182"/>
      <c r="E994" s="261"/>
      <c r="G994" s="182"/>
      <c r="J994" s="67"/>
      <c r="K994" s="67"/>
      <c r="R994" s="67"/>
    </row>
    <row r="995">
      <c r="B995" s="182"/>
      <c r="E995" s="261"/>
      <c r="G995" s="182"/>
      <c r="J995" s="67"/>
      <c r="K995" s="67"/>
      <c r="R995" s="67"/>
    </row>
    <row r="996">
      <c r="B996" s="182"/>
      <c r="E996" s="261"/>
      <c r="G996" s="182"/>
      <c r="J996" s="67"/>
      <c r="K996" s="67"/>
      <c r="R996" s="67"/>
    </row>
    <row r="997">
      <c r="B997" s="182"/>
      <c r="E997" s="261"/>
      <c r="G997" s="182"/>
      <c r="J997" s="67"/>
      <c r="K997" s="67"/>
      <c r="R997" s="67"/>
    </row>
    <row r="998">
      <c r="B998" s="182"/>
      <c r="E998" s="261"/>
      <c r="G998" s="182"/>
      <c r="J998" s="67"/>
      <c r="K998" s="67"/>
      <c r="R998" s="67"/>
    </row>
    <row r="999">
      <c r="B999" s="182"/>
      <c r="E999" s="261"/>
      <c r="G999" s="182"/>
      <c r="J999" s="67"/>
      <c r="K999" s="67"/>
      <c r="R999" s="67"/>
    </row>
    <row r="1000">
      <c r="B1000" s="182"/>
      <c r="E1000" s="261"/>
      <c r="G1000" s="182"/>
      <c r="J1000" s="67"/>
      <c r="K1000" s="67"/>
      <c r="R1000" s="67"/>
    </row>
    <row r="1001">
      <c r="B1001" s="182"/>
      <c r="E1001" s="261"/>
      <c r="G1001" s="182"/>
      <c r="J1001" s="67"/>
      <c r="K1001" s="67"/>
      <c r="R1001" s="67"/>
    </row>
    <row r="1002">
      <c r="B1002" s="182"/>
      <c r="E1002" s="261"/>
      <c r="G1002" s="182"/>
      <c r="J1002" s="67"/>
      <c r="K1002" s="67"/>
      <c r="R1002" s="67"/>
    </row>
    <row r="1003">
      <c r="B1003" s="182"/>
      <c r="E1003" s="261"/>
      <c r="G1003" s="182"/>
      <c r="J1003" s="67"/>
      <c r="K1003" s="67"/>
      <c r="R1003" s="67"/>
    </row>
    <row r="1004">
      <c r="B1004" s="182"/>
      <c r="E1004" s="261"/>
      <c r="G1004" s="182"/>
      <c r="J1004" s="67"/>
      <c r="K1004" s="67"/>
      <c r="R1004" s="67"/>
    </row>
    <row r="1005">
      <c r="B1005" s="182"/>
      <c r="E1005" s="261"/>
      <c r="G1005" s="182"/>
      <c r="J1005" s="67"/>
      <c r="K1005" s="67"/>
      <c r="R1005" s="67"/>
    </row>
    <row r="1006">
      <c r="B1006" s="182"/>
      <c r="E1006" s="261"/>
      <c r="G1006" s="182"/>
      <c r="J1006" s="67"/>
      <c r="K1006" s="67"/>
      <c r="R1006" s="67"/>
    </row>
    <row r="1007">
      <c r="B1007" s="182"/>
      <c r="E1007" s="261"/>
      <c r="G1007" s="182"/>
      <c r="J1007" s="67"/>
      <c r="K1007" s="67"/>
      <c r="R1007" s="67"/>
    </row>
    <row r="1008">
      <c r="B1008" s="182"/>
      <c r="E1008" s="261"/>
      <c r="G1008" s="182"/>
      <c r="J1008" s="67"/>
      <c r="K1008" s="67"/>
      <c r="R1008" s="67"/>
    </row>
    <row r="1009">
      <c r="B1009" s="182"/>
      <c r="E1009" s="261"/>
      <c r="G1009" s="182"/>
      <c r="J1009" s="67"/>
      <c r="K1009" s="67"/>
      <c r="R1009" s="67"/>
    </row>
    <row r="1010">
      <c r="B1010" s="182"/>
      <c r="E1010" s="261"/>
      <c r="G1010" s="182"/>
      <c r="J1010" s="67"/>
      <c r="K1010" s="67"/>
      <c r="R1010" s="67"/>
    </row>
    <row r="1011">
      <c r="B1011" s="182"/>
      <c r="E1011" s="261"/>
      <c r="G1011" s="182"/>
      <c r="J1011" s="67"/>
      <c r="K1011" s="67"/>
      <c r="R1011" s="67"/>
    </row>
    <row r="1012">
      <c r="B1012" s="182"/>
      <c r="E1012" s="261"/>
      <c r="G1012" s="182"/>
      <c r="J1012" s="67"/>
      <c r="K1012" s="67"/>
      <c r="R1012" s="67"/>
    </row>
    <row r="1013">
      <c r="B1013" s="182"/>
      <c r="E1013" s="261"/>
      <c r="G1013" s="182"/>
      <c r="J1013" s="67"/>
      <c r="K1013" s="67"/>
      <c r="R1013" s="67"/>
    </row>
    <row r="1014">
      <c r="B1014" s="182"/>
      <c r="E1014" s="261"/>
      <c r="G1014" s="182"/>
      <c r="J1014" s="67"/>
      <c r="K1014" s="67"/>
      <c r="R1014" s="67"/>
    </row>
    <row r="1015">
      <c r="B1015" s="182"/>
      <c r="E1015" s="261"/>
      <c r="G1015" s="182"/>
      <c r="J1015" s="67"/>
      <c r="K1015" s="67"/>
      <c r="R1015" s="67"/>
    </row>
    <row r="1016">
      <c r="B1016" s="182"/>
      <c r="E1016" s="261"/>
      <c r="G1016" s="182"/>
      <c r="J1016" s="67"/>
      <c r="K1016" s="67"/>
      <c r="R1016" s="67"/>
    </row>
    <row r="1017">
      <c r="B1017" s="182"/>
      <c r="E1017" s="261"/>
      <c r="G1017" s="182"/>
      <c r="J1017" s="67"/>
      <c r="K1017" s="67"/>
      <c r="R1017" s="67"/>
    </row>
    <row r="1018">
      <c r="B1018" s="182"/>
      <c r="E1018" s="261"/>
      <c r="G1018" s="182"/>
      <c r="J1018" s="67"/>
      <c r="K1018" s="67"/>
      <c r="R1018" s="67"/>
    </row>
    <row r="1019">
      <c r="B1019" s="182"/>
      <c r="E1019" s="261"/>
      <c r="G1019" s="182"/>
      <c r="J1019" s="67"/>
      <c r="K1019" s="67"/>
      <c r="R1019" s="67"/>
    </row>
    <row r="1020">
      <c r="B1020" s="182"/>
      <c r="E1020" s="261"/>
      <c r="G1020" s="182"/>
      <c r="J1020" s="67"/>
      <c r="K1020" s="67"/>
      <c r="R1020" s="67"/>
    </row>
    <row r="1021">
      <c r="B1021" s="182"/>
      <c r="E1021" s="261"/>
      <c r="G1021" s="182"/>
      <c r="J1021" s="67"/>
      <c r="K1021" s="67"/>
      <c r="R1021" s="67"/>
    </row>
    <row r="1022">
      <c r="B1022" s="182"/>
      <c r="E1022" s="261"/>
      <c r="G1022" s="182"/>
      <c r="J1022" s="67"/>
      <c r="K1022" s="67"/>
      <c r="R1022" s="67"/>
    </row>
    <row r="1023">
      <c r="B1023" s="182"/>
      <c r="E1023" s="261"/>
      <c r="G1023" s="182"/>
      <c r="J1023" s="67"/>
      <c r="K1023" s="67"/>
      <c r="R1023" s="67"/>
    </row>
    <row r="1024">
      <c r="B1024" s="182"/>
      <c r="E1024" s="261"/>
      <c r="G1024" s="182"/>
      <c r="J1024" s="67"/>
      <c r="K1024" s="67"/>
      <c r="R1024" s="67"/>
    </row>
    <row r="1025">
      <c r="B1025" s="182"/>
      <c r="E1025" s="261"/>
      <c r="G1025" s="182"/>
      <c r="J1025" s="67"/>
      <c r="K1025" s="67"/>
      <c r="R1025" s="67"/>
    </row>
    <row r="1026">
      <c r="B1026" s="182"/>
      <c r="E1026" s="261"/>
      <c r="G1026" s="182"/>
      <c r="J1026" s="67"/>
      <c r="K1026" s="67"/>
      <c r="R1026" s="67"/>
    </row>
    <row r="1027">
      <c r="B1027" s="182"/>
      <c r="E1027" s="261"/>
      <c r="G1027" s="182"/>
      <c r="J1027" s="67"/>
      <c r="K1027" s="67"/>
      <c r="R1027" s="67"/>
    </row>
    <row r="1028">
      <c r="B1028" s="182"/>
      <c r="E1028" s="261"/>
      <c r="G1028" s="182"/>
      <c r="J1028" s="67"/>
      <c r="K1028" s="67"/>
      <c r="R1028" s="67"/>
    </row>
    <row r="1029">
      <c r="B1029" s="182"/>
      <c r="E1029" s="261"/>
      <c r="G1029" s="182"/>
      <c r="J1029" s="67"/>
      <c r="K1029" s="67"/>
      <c r="R1029" s="67"/>
    </row>
    <row r="1030">
      <c r="B1030" s="182"/>
      <c r="E1030" s="261"/>
      <c r="G1030" s="182"/>
      <c r="J1030" s="67"/>
      <c r="K1030" s="67"/>
      <c r="R1030" s="67"/>
    </row>
    <row r="1031">
      <c r="B1031" s="182"/>
      <c r="E1031" s="261"/>
      <c r="G1031" s="182"/>
      <c r="J1031" s="67"/>
      <c r="K1031" s="67"/>
      <c r="R1031" s="67"/>
    </row>
    <row r="1032">
      <c r="B1032" s="182"/>
      <c r="E1032" s="261"/>
      <c r="G1032" s="182"/>
      <c r="J1032" s="67"/>
      <c r="K1032" s="67"/>
      <c r="R1032" s="67"/>
    </row>
    <row r="1033">
      <c r="B1033" s="182"/>
      <c r="E1033" s="261"/>
      <c r="G1033" s="182"/>
      <c r="J1033" s="67"/>
      <c r="K1033" s="67"/>
      <c r="R1033" s="67"/>
    </row>
    <row r="1034">
      <c r="B1034" s="182"/>
      <c r="E1034" s="261"/>
      <c r="G1034" s="182"/>
      <c r="J1034" s="67"/>
      <c r="K1034" s="67"/>
      <c r="R1034" s="67"/>
    </row>
    <row r="1035">
      <c r="B1035" s="182"/>
      <c r="E1035" s="261"/>
      <c r="G1035" s="182"/>
      <c r="J1035" s="67"/>
      <c r="K1035" s="67"/>
      <c r="R1035" s="67"/>
    </row>
    <row r="1036">
      <c r="B1036" s="182"/>
      <c r="E1036" s="261"/>
      <c r="G1036" s="182"/>
      <c r="J1036" s="67"/>
      <c r="K1036" s="67"/>
      <c r="R1036" s="67"/>
    </row>
    <row r="1037">
      <c r="B1037" s="182"/>
      <c r="E1037" s="261"/>
      <c r="G1037" s="182"/>
      <c r="J1037" s="67"/>
      <c r="K1037" s="67"/>
      <c r="R1037" s="67"/>
    </row>
    <row r="1038">
      <c r="B1038" s="182"/>
      <c r="E1038" s="261"/>
      <c r="G1038" s="182"/>
      <c r="J1038" s="67"/>
      <c r="K1038" s="67"/>
      <c r="R1038" s="67"/>
    </row>
    <row r="1039">
      <c r="B1039" s="182"/>
      <c r="E1039" s="261"/>
      <c r="G1039" s="182"/>
      <c r="J1039" s="67"/>
      <c r="K1039" s="67"/>
      <c r="R1039" s="67"/>
    </row>
    <row r="1040">
      <c r="B1040" s="182"/>
      <c r="E1040" s="261"/>
      <c r="G1040" s="182"/>
      <c r="J1040" s="67"/>
      <c r="K1040" s="67"/>
      <c r="R1040" s="67"/>
    </row>
    <row r="1041">
      <c r="B1041" s="182"/>
      <c r="E1041" s="261"/>
      <c r="G1041" s="182"/>
      <c r="J1041" s="67"/>
      <c r="K1041" s="67"/>
      <c r="R1041" s="67"/>
    </row>
    <row r="1042">
      <c r="B1042" s="182"/>
      <c r="E1042" s="261"/>
      <c r="G1042" s="182"/>
      <c r="J1042" s="67"/>
      <c r="K1042" s="67"/>
      <c r="R1042" s="67"/>
    </row>
    <row r="1043">
      <c r="B1043" s="182"/>
      <c r="E1043" s="261"/>
      <c r="G1043" s="182"/>
      <c r="J1043" s="67"/>
      <c r="K1043" s="67"/>
      <c r="R1043" s="67"/>
    </row>
    <row r="1044">
      <c r="B1044" s="182"/>
      <c r="E1044" s="261"/>
      <c r="G1044" s="182"/>
      <c r="J1044" s="67"/>
      <c r="K1044" s="67"/>
      <c r="R1044" s="67"/>
    </row>
    <row r="1045">
      <c r="B1045" s="182"/>
      <c r="E1045" s="261"/>
      <c r="G1045" s="182"/>
      <c r="J1045" s="67"/>
      <c r="K1045" s="67"/>
      <c r="R1045" s="67"/>
    </row>
    <row r="1046">
      <c r="B1046" s="182"/>
      <c r="E1046" s="261"/>
      <c r="G1046" s="182"/>
      <c r="J1046" s="67"/>
      <c r="K1046" s="67"/>
      <c r="R1046" s="67"/>
    </row>
    <row r="1047">
      <c r="B1047" s="182"/>
      <c r="E1047" s="261"/>
      <c r="G1047" s="182"/>
      <c r="J1047" s="67"/>
      <c r="K1047" s="67"/>
      <c r="R1047" s="67"/>
    </row>
    <row r="1048">
      <c r="B1048" s="182"/>
      <c r="E1048" s="261"/>
      <c r="G1048" s="182"/>
      <c r="J1048" s="67"/>
      <c r="K1048" s="67"/>
      <c r="R1048" s="67"/>
    </row>
    <row r="1049">
      <c r="B1049" s="182"/>
      <c r="E1049" s="261"/>
      <c r="G1049" s="182"/>
      <c r="J1049" s="67"/>
      <c r="K1049" s="67"/>
      <c r="R1049" s="67"/>
    </row>
    <row r="1050">
      <c r="B1050" s="182"/>
      <c r="E1050" s="261"/>
      <c r="G1050" s="182"/>
      <c r="J1050" s="67"/>
      <c r="K1050" s="67"/>
      <c r="R1050" s="67"/>
    </row>
    <row r="1051">
      <c r="B1051" s="182"/>
      <c r="E1051" s="261"/>
      <c r="G1051" s="182"/>
      <c r="J1051" s="67"/>
      <c r="K1051" s="67"/>
      <c r="R1051" s="67"/>
    </row>
    <row r="1052">
      <c r="B1052" s="182"/>
      <c r="E1052" s="261"/>
      <c r="G1052" s="182"/>
      <c r="J1052" s="67"/>
      <c r="K1052" s="67"/>
      <c r="R1052" s="67"/>
    </row>
    <row r="1053">
      <c r="B1053" s="182"/>
      <c r="E1053" s="261"/>
      <c r="G1053" s="182"/>
      <c r="J1053" s="67"/>
      <c r="K1053" s="67"/>
      <c r="R1053" s="67"/>
    </row>
    <row r="1054">
      <c r="B1054" s="182"/>
      <c r="E1054" s="261"/>
      <c r="G1054" s="182"/>
      <c r="J1054" s="67"/>
      <c r="K1054" s="67"/>
      <c r="R1054" s="67"/>
    </row>
    <row r="1055">
      <c r="B1055" s="182"/>
      <c r="E1055" s="261"/>
      <c r="G1055" s="182"/>
      <c r="J1055" s="67"/>
      <c r="K1055" s="67"/>
      <c r="R1055" s="67"/>
    </row>
    <row r="1056">
      <c r="B1056" s="182"/>
      <c r="E1056" s="261"/>
      <c r="G1056" s="182"/>
      <c r="J1056" s="67"/>
      <c r="K1056" s="67"/>
      <c r="R1056" s="67"/>
    </row>
    <row r="1057">
      <c r="B1057" s="182"/>
      <c r="E1057" s="261"/>
      <c r="G1057" s="182"/>
      <c r="J1057" s="67"/>
      <c r="K1057" s="67"/>
      <c r="R1057" s="67"/>
    </row>
    <row r="1058">
      <c r="B1058" s="182"/>
      <c r="E1058" s="261"/>
      <c r="G1058" s="182"/>
      <c r="J1058" s="67"/>
      <c r="K1058" s="67"/>
      <c r="R1058" s="67"/>
    </row>
    <row r="1059">
      <c r="B1059" s="182"/>
      <c r="E1059" s="261"/>
      <c r="G1059" s="182"/>
      <c r="J1059" s="67"/>
      <c r="K1059" s="67"/>
      <c r="R1059" s="67"/>
    </row>
    <row r="1060">
      <c r="B1060" s="182"/>
      <c r="E1060" s="261"/>
      <c r="G1060" s="182"/>
      <c r="J1060" s="67"/>
      <c r="K1060" s="67"/>
      <c r="R1060" s="67"/>
    </row>
    <row r="1061">
      <c r="B1061" s="182"/>
      <c r="E1061" s="261"/>
      <c r="G1061" s="182"/>
      <c r="J1061" s="67"/>
      <c r="K1061" s="67"/>
      <c r="R1061" s="67"/>
    </row>
    <row r="1062">
      <c r="B1062" s="182"/>
      <c r="E1062" s="261"/>
      <c r="G1062" s="182"/>
      <c r="J1062" s="67"/>
      <c r="K1062" s="67"/>
      <c r="R1062" s="67"/>
    </row>
    <row r="1063">
      <c r="B1063" s="182"/>
      <c r="E1063" s="261"/>
      <c r="G1063" s="182"/>
      <c r="J1063" s="67"/>
      <c r="K1063" s="67"/>
      <c r="R1063" s="67"/>
    </row>
    <row r="1064">
      <c r="B1064" s="182"/>
      <c r="E1064" s="261"/>
      <c r="G1064" s="182"/>
      <c r="J1064" s="67"/>
      <c r="K1064" s="67"/>
      <c r="R1064" s="67"/>
    </row>
    <row r="1065">
      <c r="B1065" s="182"/>
      <c r="E1065" s="261"/>
      <c r="G1065" s="182"/>
      <c r="J1065" s="67"/>
      <c r="K1065" s="67"/>
      <c r="R1065" s="67"/>
    </row>
    <row r="1066">
      <c r="B1066" s="182"/>
      <c r="E1066" s="261"/>
      <c r="G1066" s="182"/>
      <c r="J1066" s="67"/>
      <c r="K1066" s="67"/>
      <c r="R1066" s="67"/>
    </row>
    <row r="1067">
      <c r="B1067" s="182"/>
      <c r="E1067" s="261"/>
      <c r="G1067" s="182"/>
      <c r="J1067" s="67"/>
      <c r="K1067" s="67"/>
      <c r="R1067" s="67"/>
    </row>
    <row r="1068">
      <c r="B1068" s="182"/>
      <c r="E1068" s="261"/>
      <c r="G1068" s="182"/>
      <c r="J1068" s="67"/>
      <c r="K1068" s="67"/>
      <c r="R1068" s="67"/>
    </row>
    <row r="1069">
      <c r="B1069" s="182"/>
      <c r="E1069" s="261"/>
      <c r="G1069" s="182"/>
      <c r="J1069" s="67"/>
      <c r="K1069" s="67"/>
      <c r="R1069" s="67"/>
    </row>
    <row r="1070">
      <c r="B1070" s="182"/>
      <c r="E1070" s="261"/>
      <c r="G1070" s="182"/>
      <c r="J1070" s="67"/>
      <c r="K1070" s="67"/>
      <c r="R1070" s="67"/>
    </row>
    <row r="1071">
      <c r="B1071" s="182"/>
      <c r="E1071" s="261"/>
      <c r="G1071" s="182"/>
      <c r="J1071" s="67"/>
      <c r="K1071" s="67"/>
      <c r="R1071" s="67"/>
    </row>
    <row r="1072">
      <c r="B1072" s="182"/>
      <c r="E1072" s="261"/>
      <c r="G1072" s="182"/>
      <c r="J1072" s="67"/>
      <c r="K1072" s="67"/>
      <c r="R1072" s="67"/>
    </row>
    <row r="1073">
      <c r="B1073" s="182"/>
      <c r="E1073" s="261"/>
      <c r="G1073" s="182"/>
      <c r="J1073" s="67"/>
      <c r="K1073" s="67"/>
      <c r="R1073" s="67"/>
    </row>
    <row r="1074">
      <c r="B1074" s="182"/>
      <c r="E1074" s="261"/>
      <c r="G1074" s="182"/>
      <c r="J1074" s="67"/>
      <c r="K1074" s="67"/>
      <c r="R1074" s="67"/>
    </row>
    <row r="1075">
      <c r="B1075" s="182"/>
      <c r="E1075" s="261"/>
      <c r="G1075" s="182"/>
      <c r="J1075" s="67"/>
      <c r="K1075" s="67"/>
      <c r="R1075" s="67"/>
    </row>
    <row r="1076">
      <c r="B1076" s="182"/>
      <c r="E1076" s="261"/>
      <c r="G1076" s="182"/>
      <c r="J1076" s="67"/>
      <c r="K1076" s="67"/>
      <c r="R1076" s="67"/>
    </row>
    <row r="1077">
      <c r="B1077" s="182"/>
      <c r="E1077" s="261"/>
      <c r="G1077" s="182"/>
      <c r="J1077" s="67"/>
      <c r="K1077" s="67"/>
      <c r="R1077" s="67"/>
    </row>
    <row r="1078">
      <c r="B1078" s="182"/>
      <c r="E1078" s="261"/>
      <c r="G1078" s="182"/>
      <c r="J1078" s="67"/>
      <c r="K1078" s="67"/>
      <c r="R1078" s="67"/>
    </row>
    <row r="1079">
      <c r="B1079" s="182"/>
      <c r="E1079" s="261"/>
      <c r="G1079" s="182"/>
      <c r="J1079" s="67"/>
      <c r="K1079" s="67"/>
      <c r="R1079" s="67"/>
    </row>
    <row r="1080">
      <c r="B1080" s="182"/>
      <c r="E1080" s="261"/>
      <c r="G1080" s="182"/>
      <c r="J1080" s="67"/>
      <c r="K1080" s="67"/>
      <c r="R1080" s="67"/>
    </row>
    <row r="1081">
      <c r="B1081" s="182"/>
      <c r="E1081" s="261"/>
      <c r="G1081" s="182"/>
      <c r="J1081" s="67"/>
      <c r="K1081" s="67"/>
      <c r="R1081" s="67"/>
    </row>
    <row r="1082">
      <c r="B1082" s="182"/>
      <c r="E1082" s="261"/>
      <c r="G1082" s="182"/>
      <c r="J1082" s="67"/>
      <c r="K1082" s="67"/>
      <c r="R1082" s="67"/>
    </row>
    <row r="1083">
      <c r="B1083" s="182"/>
      <c r="E1083" s="261"/>
      <c r="G1083" s="182"/>
      <c r="J1083" s="67"/>
      <c r="K1083" s="67"/>
      <c r="R1083" s="67"/>
    </row>
    <row r="1084">
      <c r="B1084" s="182"/>
      <c r="E1084" s="261"/>
      <c r="G1084" s="182"/>
      <c r="J1084" s="67"/>
      <c r="K1084" s="67"/>
      <c r="R1084" s="67"/>
    </row>
    <row r="1085">
      <c r="B1085" s="182"/>
      <c r="E1085" s="261"/>
      <c r="G1085" s="182"/>
      <c r="J1085" s="67"/>
      <c r="K1085" s="67"/>
      <c r="R1085" s="67"/>
    </row>
    <row r="1086">
      <c r="B1086" s="182"/>
      <c r="E1086" s="261"/>
      <c r="G1086" s="182"/>
      <c r="J1086" s="67"/>
      <c r="K1086" s="67"/>
      <c r="R1086" s="67"/>
    </row>
    <row r="1087">
      <c r="B1087" s="182"/>
      <c r="E1087" s="261"/>
      <c r="G1087" s="182"/>
      <c r="J1087" s="67"/>
      <c r="K1087" s="67"/>
      <c r="R1087" s="67"/>
    </row>
    <row r="1088">
      <c r="B1088" s="182"/>
      <c r="E1088" s="261"/>
      <c r="G1088" s="182"/>
      <c r="J1088" s="67"/>
      <c r="K1088" s="67"/>
      <c r="R1088" s="67"/>
    </row>
    <row r="1089">
      <c r="B1089" s="182"/>
      <c r="E1089" s="261"/>
      <c r="G1089" s="182"/>
      <c r="J1089" s="67"/>
      <c r="K1089" s="67"/>
      <c r="R1089" s="67"/>
    </row>
    <row r="1090">
      <c r="B1090" s="182"/>
      <c r="E1090" s="261"/>
      <c r="G1090" s="182"/>
      <c r="J1090" s="67"/>
      <c r="K1090" s="67"/>
      <c r="R1090" s="67"/>
    </row>
    <row r="1091">
      <c r="B1091" s="182"/>
      <c r="E1091" s="261"/>
      <c r="G1091" s="182"/>
      <c r="J1091" s="67"/>
      <c r="K1091" s="67"/>
      <c r="R1091" s="67"/>
    </row>
    <row r="1092">
      <c r="B1092" s="182"/>
      <c r="E1092" s="261"/>
      <c r="G1092" s="182"/>
      <c r="J1092" s="67"/>
      <c r="K1092" s="67"/>
      <c r="R1092" s="67"/>
    </row>
    <row r="1093">
      <c r="B1093" s="182"/>
      <c r="E1093" s="261"/>
      <c r="G1093" s="182"/>
      <c r="J1093" s="67"/>
      <c r="K1093" s="67"/>
      <c r="R1093" s="67"/>
    </row>
    <row r="1094">
      <c r="B1094" s="182"/>
      <c r="E1094" s="261"/>
      <c r="G1094" s="182"/>
      <c r="J1094" s="67"/>
      <c r="K1094" s="67"/>
      <c r="R1094" s="67"/>
    </row>
    <row r="1095">
      <c r="B1095" s="182"/>
      <c r="E1095" s="261"/>
      <c r="G1095" s="182"/>
      <c r="J1095" s="67"/>
      <c r="K1095" s="67"/>
      <c r="R1095" s="67"/>
    </row>
    <row r="1096">
      <c r="B1096" s="182"/>
      <c r="E1096" s="261"/>
      <c r="G1096" s="182"/>
      <c r="J1096" s="67"/>
      <c r="K1096" s="67"/>
      <c r="R1096" s="67"/>
    </row>
    <row r="1097">
      <c r="B1097" s="182"/>
      <c r="E1097" s="261"/>
      <c r="G1097" s="182"/>
      <c r="J1097" s="67"/>
      <c r="K1097" s="67"/>
      <c r="R1097" s="67"/>
    </row>
    <row r="1098">
      <c r="B1098" s="182"/>
      <c r="E1098" s="261"/>
      <c r="G1098" s="182"/>
      <c r="J1098" s="67"/>
      <c r="K1098" s="67"/>
      <c r="R1098" s="67"/>
    </row>
    <row r="1099">
      <c r="B1099" s="182"/>
      <c r="E1099" s="261"/>
      <c r="G1099" s="182"/>
      <c r="J1099" s="67"/>
      <c r="K1099" s="67"/>
      <c r="R1099" s="67"/>
    </row>
    <row r="1100">
      <c r="B1100" s="182"/>
      <c r="E1100" s="261"/>
      <c r="G1100" s="182"/>
      <c r="J1100" s="67"/>
      <c r="K1100" s="67"/>
      <c r="R1100" s="67"/>
    </row>
    <row r="1101">
      <c r="B1101" s="182"/>
      <c r="E1101" s="261"/>
      <c r="G1101" s="182"/>
      <c r="J1101" s="67"/>
      <c r="K1101" s="67"/>
      <c r="R1101" s="67"/>
    </row>
    <row r="1102">
      <c r="B1102" s="182"/>
      <c r="E1102" s="261"/>
      <c r="G1102" s="182"/>
      <c r="J1102" s="67"/>
      <c r="K1102" s="67"/>
      <c r="R1102" s="67"/>
    </row>
    <row r="1103">
      <c r="B1103" s="182"/>
      <c r="E1103" s="261"/>
      <c r="G1103" s="182"/>
      <c r="J1103" s="67"/>
      <c r="K1103" s="67"/>
      <c r="R1103" s="67"/>
    </row>
    <row r="1104">
      <c r="B1104" s="182"/>
      <c r="E1104" s="261"/>
      <c r="G1104" s="182"/>
      <c r="J1104" s="67"/>
      <c r="K1104" s="67"/>
      <c r="R1104" s="67"/>
    </row>
    <row r="1105">
      <c r="B1105" s="182"/>
      <c r="E1105" s="261"/>
      <c r="G1105" s="182"/>
      <c r="J1105" s="67"/>
      <c r="K1105" s="67"/>
      <c r="R1105" s="67"/>
    </row>
    <row r="1106">
      <c r="B1106" s="182"/>
      <c r="E1106" s="261"/>
      <c r="G1106" s="182"/>
      <c r="J1106" s="67"/>
      <c r="K1106" s="67"/>
      <c r="R1106" s="67"/>
    </row>
    <row r="1107">
      <c r="B1107" s="182"/>
      <c r="E1107" s="261"/>
      <c r="G1107" s="182"/>
      <c r="J1107" s="67"/>
      <c r="K1107" s="67"/>
      <c r="R1107" s="67"/>
    </row>
    <row r="1108">
      <c r="B1108" s="182"/>
      <c r="E1108" s="261"/>
      <c r="G1108" s="182"/>
      <c r="J1108" s="67"/>
      <c r="K1108" s="67"/>
      <c r="R1108" s="67"/>
    </row>
    <row r="1109">
      <c r="B1109" s="182"/>
      <c r="E1109" s="261"/>
      <c r="G1109" s="182"/>
      <c r="J1109" s="67"/>
      <c r="K1109" s="67"/>
      <c r="R1109" s="67"/>
    </row>
    <row r="1110">
      <c r="B1110" s="182"/>
      <c r="E1110" s="261"/>
      <c r="G1110" s="182"/>
      <c r="J1110" s="67"/>
      <c r="K1110" s="67"/>
      <c r="R1110" s="67"/>
    </row>
    <row r="1111">
      <c r="B1111" s="182"/>
      <c r="E1111" s="261"/>
      <c r="G1111" s="182"/>
      <c r="J1111" s="67"/>
      <c r="K1111" s="67"/>
      <c r="R1111" s="67"/>
    </row>
    <row r="1112">
      <c r="B1112" s="182"/>
      <c r="E1112" s="261"/>
      <c r="G1112" s="182"/>
      <c r="J1112" s="67"/>
      <c r="K1112" s="67"/>
      <c r="R1112" s="67"/>
    </row>
    <row r="1113">
      <c r="B1113" s="182"/>
      <c r="E1113" s="261"/>
      <c r="G1113" s="182"/>
      <c r="J1113" s="67"/>
      <c r="K1113" s="67"/>
      <c r="R1113" s="67"/>
    </row>
    <row r="1114">
      <c r="B1114" s="182"/>
      <c r="E1114" s="261"/>
      <c r="G1114" s="182"/>
      <c r="J1114" s="67"/>
      <c r="K1114" s="67"/>
      <c r="R1114" s="67"/>
    </row>
    <row r="1115">
      <c r="B1115" s="182"/>
      <c r="E1115" s="261"/>
      <c r="G1115" s="182"/>
      <c r="J1115" s="67"/>
      <c r="K1115" s="67"/>
      <c r="R1115" s="67"/>
    </row>
    <row r="1116">
      <c r="B1116" s="182"/>
      <c r="E1116" s="261"/>
      <c r="G1116" s="182"/>
      <c r="J1116" s="67"/>
      <c r="K1116" s="67"/>
      <c r="R1116" s="67"/>
    </row>
    <row r="1117">
      <c r="B1117" s="182"/>
      <c r="E1117" s="261"/>
      <c r="G1117" s="182"/>
      <c r="J1117" s="67"/>
      <c r="K1117" s="67"/>
      <c r="R1117" s="67"/>
    </row>
    <row r="1118">
      <c r="B1118" s="182"/>
      <c r="E1118" s="261"/>
      <c r="G1118" s="182"/>
      <c r="J1118" s="67"/>
      <c r="K1118" s="67"/>
      <c r="R1118" s="67"/>
    </row>
    <row r="1119">
      <c r="B1119" s="182"/>
      <c r="E1119" s="261"/>
      <c r="G1119" s="182"/>
      <c r="J1119" s="67"/>
      <c r="K1119" s="67"/>
      <c r="R1119" s="67"/>
    </row>
    <row r="1120">
      <c r="B1120" s="182"/>
      <c r="E1120" s="261"/>
      <c r="G1120" s="182"/>
      <c r="J1120" s="67"/>
      <c r="K1120" s="67"/>
      <c r="R1120" s="67"/>
    </row>
    <row r="1121">
      <c r="B1121" s="182"/>
      <c r="E1121" s="261"/>
      <c r="G1121" s="182"/>
      <c r="J1121" s="67"/>
      <c r="K1121" s="67"/>
      <c r="R1121" s="67"/>
    </row>
    <row r="1122">
      <c r="B1122" s="182"/>
      <c r="E1122" s="261"/>
      <c r="G1122" s="182"/>
      <c r="J1122" s="67"/>
      <c r="K1122" s="67"/>
      <c r="R1122" s="67"/>
    </row>
    <row r="1123">
      <c r="B1123" s="182"/>
      <c r="E1123" s="261"/>
      <c r="G1123" s="182"/>
      <c r="J1123" s="67"/>
      <c r="K1123" s="67"/>
      <c r="R1123" s="67"/>
    </row>
    <row r="1124">
      <c r="B1124" s="182"/>
      <c r="E1124" s="261"/>
      <c r="G1124" s="182"/>
      <c r="J1124" s="67"/>
      <c r="K1124" s="67"/>
      <c r="R1124" s="67"/>
    </row>
    <row r="1125">
      <c r="B1125" s="182"/>
      <c r="E1125" s="261"/>
      <c r="G1125" s="182"/>
      <c r="J1125" s="67"/>
      <c r="K1125" s="67"/>
      <c r="R1125" s="67"/>
    </row>
    <row r="1126">
      <c r="B1126" s="182"/>
      <c r="E1126" s="261"/>
      <c r="G1126" s="182"/>
      <c r="J1126" s="67"/>
      <c r="K1126" s="67"/>
      <c r="R1126" s="67"/>
    </row>
    <row r="1127">
      <c r="B1127" s="182"/>
      <c r="E1127" s="261"/>
      <c r="G1127" s="182"/>
      <c r="J1127" s="67"/>
      <c r="K1127" s="67"/>
      <c r="R1127" s="67"/>
    </row>
    <row r="1128">
      <c r="B1128" s="182"/>
      <c r="E1128" s="261"/>
      <c r="G1128" s="182"/>
      <c r="J1128" s="67"/>
      <c r="K1128" s="67"/>
      <c r="R1128" s="67"/>
    </row>
    <row r="1129">
      <c r="B1129" s="182"/>
      <c r="E1129" s="261"/>
      <c r="G1129" s="182"/>
      <c r="J1129" s="67"/>
      <c r="K1129" s="67"/>
      <c r="R1129" s="67"/>
    </row>
    <row r="1130">
      <c r="B1130" s="182"/>
      <c r="E1130" s="261"/>
      <c r="G1130" s="182"/>
      <c r="J1130" s="67"/>
      <c r="K1130" s="67"/>
      <c r="R1130" s="67"/>
    </row>
    <row r="1131">
      <c r="B1131" s="182"/>
      <c r="E1131" s="261"/>
      <c r="G1131" s="182"/>
      <c r="J1131" s="67"/>
      <c r="K1131" s="67"/>
      <c r="R1131" s="67"/>
    </row>
    <row r="1132">
      <c r="B1132" s="182"/>
      <c r="E1132" s="261"/>
      <c r="G1132" s="182"/>
      <c r="J1132" s="67"/>
      <c r="K1132" s="67"/>
      <c r="R1132" s="67"/>
    </row>
    <row r="1133">
      <c r="B1133" s="182"/>
      <c r="E1133" s="261"/>
      <c r="G1133" s="182"/>
      <c r="J1133" s="67"/>
      <c r="K1133" s="67"/>
      <c r="R1133" s="67"/>
    </row>
    <row r="1134">
      <c r="B1134" s="182"/>
      <c r="E1134" s="261"/>
      <c r="G1134" s="182"/>
      <c r="J1134" s="67"/>
      <c r="K1134" s="67"/>
      <c r="R1134" s="67"/>
    </row>
    <row r="1135">
      <c r="B1135" s="182"/>
      <c r="E1135" s="261"/>
      <c r="G1135" s="182"/>
      <c r="J1135" s="67"/>
      <c r="K1135" s="67"/>
      <c r="R1135" s="67"/>
    </row>
    <row r="1136">
      <c r="B1136" s="182"/>
      <c r="E1136" s="261"/>
      <c r="G1136" s="182"/>
      <c r="J1136" s="67"/>
      <c r="K1136" s="67"/>
      <c r="R1136" s="67"/>
    </row>
    <row r="1137">
      <c r="B1137" s="182"/>
      <c r="E1137" s="261"/>
      <c r="G1137" s="182"/>
      <c r="J1137" s="67"/>
      <c r="K1137" s="67"/>
      <c r="R1137" s="67"/>
    </row>
    <row r="1138">
      <c r="B1138" s="182"/>
      <c r="E1138" s="261"/>
      <c r="G1138" s="182"/>
      <c r="J1138" s="67"/>
      <c r="K1138" s="67"/>
      <c r="R1138" s="67"/>
    </row>
    <row r="1139">
      <c r="B1139" s="182"/>
      <c r="E1139" s="261"/>
      <c r="G1139" s="182"/>
      <c r="J1139" s="67"/>
      <c r="K1139" s="67"/>
      <c r="R1139" s="67"/>
    </row>
    <row r="1140">
      <c r="B1140" s="182"/>
      <c r="E1140" s="261"/>
      <c r="G1140" s="182"/>
      <c r="J1140" s="67"/>
      <c r="K1140" s="67"/>
      <c r="R1140" s="67"/>
    </row>
    <row r="1141">
      <c r="B1141" s="182"/>
      <c r="E1141" s="261"/>
      <c r="G1141" s="182"/>
      <c r="J1141" s="67"/>
      <c r="K1141" s="67"/>
      <c r="R1141" s="67"/>
    </row>
    <row r="1142">
      <c r="B1142" s="182"/>
      <c r="E1142" s="261"/>
      <c r="G1142" s="182"/>
      <c r="J1142" s="67"/>
      <c r="K1142" s="67"/>
      <c r="R1142" s="67"/>
    </row>
    <row r="1143">
      <c r="B1143" s="182"/>
      <c r="E1143" s="261"/>
      <c r="G1143" s="182"/>
      <c r="J1143" s="67"/>
      <c r="K1143" s="67"/>
      <c r="R1143" s="67"/>
    </row>
    <row r="1144">
      <c r="B1144" s="182"/>
      <c r="E1144" s="261"/>
      <c r="G1144" s="182"/>
      <c r="J1144" s="67"/>
      <c r="K1144" s="67"/>
      <c r="R1144" s="67"/>
    </row>
    <row r="1145">
      <c r="B1145" s="182"/>
      <c r="E1145" s="261"/>
      <c r="G1145" s="182"/>
      <c r="J1145" s="67"/>
      <c r="K1145" s="67"/>
      <c r="R1145" s="67"/>
    </row>
    <row r="1146">
      <c r="B1146" s="182"/>
      <c r="E1146" s="261"/>
      <c r="G1146" s="182"/>
      <c r="J1146" s="67"/>
      <c r="K1146" s="67"/>
      <c r="R1146" s="67"/>
    </row>
    <row r="1147">
      <c r="B1147" s="182"/>
      <c r="E1147" s="261"/>
      <c r="G1147" s="182"/>
      <c r="J1147" s="67"/>
      <c r="K1147" s="67"/>
      <c r="R1147" s="67"/>
    </row>
  </sheetData>
  <mergeCells count="61">
    <mergeCell ref="N184:R184"/>
    <mergeCell ref="N185:R185"/>
    <mergeCell ref="A199:K199"/>
    <mergeCell ref="A200:K200"/>
    <mergeCell ref="N202:R202"/>
    <mergeCell ref="N203:R203"/>
    <mergeCell ref="A217:K217"/>
    <mergeCell ref="A218:K218"/>
    <mergeCell ref="N220:R220"/>
    <mergeCell ref="N221:R221"/>
    <mergeCell ref="A235:K235"/>
    <mergeCell ref="A236:K236"/>
    <mergeCell ref="N238:R238"/>
    <mergeCell ref="N239:R239"/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53:K253"/>
    <mergeCell ref="A254:K254"/>
    <mergeCell ref="N256:R256"/>
    <mergeCell ref="N257:R257"/>
    <mergeCell ref="N276:R276"/>
  </mergeCells>
  <dataValidations>
    <dataValidation type="list" allowBlank="1" showErrorMessage="1" sqref="I4:I15 I22:I33 I40:I51 I58:I69 I76:I87 I94:I105 I112:I123 I130:I141 I148:I159 I166:I177 I184:I195 I202:I213 I220:I231 I238:I249 I256:I267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23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 hidden="1">
      <c r="A2" s="24" t="s">
        <v>3533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 hidden="1">
      <c r="A3" s="25"/>
      <c r="B3" s="489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 hidden="1">
      <c r="A4" s="12" t="s">
        <v>10</v>
      </c>
      <c r="B4" s="227" t="s">
        <v>1981</v>
      </c>
      <c r="C4" s="74" t="str">
        <f t="shared" ref="C4:C15" si="1">PROPER(TEXT(DATE(MID($A$2,7,4),MID($A$2,4,2),LEFT($A$2,2)),"dddd"))</f>
        <v>Segunda-Feira</v>
      </c>
      <c r="D4" s="512" t="str">
        <f>IF(C4&lt;&gt;"Quarta-Feira","13:00","08:00")</f>
        <v>13:00</v>
      </c>
      <c r="E4" s="287"/>
      <c r="F4" s="301"/>
      <c r="G4" s="131"/>
      <c r="H4" s="132"/>
      <c r="I4" s="34"/>
      <c r="J4" s="74"/>
      <c r="K4" s="74"/>
      <c r="L4" s="266" t="s">
        <v>386</v>
      </c>
      <c r="M4" s="267"/>
      <c r="N4" s="268" t="s">
        <v>387</v>
      </c>
      <c r="O4" s="100"/>
      <c r="P4" s="100"/>
      <c r="Q4" s="100"/>
      <c r="R4" s="100"/>
    </row>
    <row r="5" hidden="1">
      <c r="A5" s="12" t="s">
        <v>11</v>
      </c>
      <c r="B5" s="227" t="s">
        <v>1985</v>
      </c>
      <c r="C5" s="74" t="str">
        <f t="shared" si="1"/>
        <v>Segunda-Feira</v>
      </c>
      <c r="D5" s="512" t="str">
        <f>IF(C5&lt;&gt;"Quarta-Feira","13:20","08:20")</f>
        <v>13:20</v>
      </c>
      <c r="E5" s="287"/>
      <c r="F5" s="301"/>
      <c r="G5" s="514"/>
      <c r="H5" s="515"/>
      <c r="I5" s="34"/>
      <c r="J5" s="74"/>
      <c r="K5" s="74"/>
      <c r="M5" s="267"/>
      <c r="N5" s="270" t="s">
        <v>1824</v>
      </c>
      <c r="O5" s="2"/>
      <c r="P5" s="2"/>
      <c r="Q5" s="2"/>
      <c r="R5" s="2"/>
    </row>
    <row r="6" hidden="1">
      <c r="A6" s="12" t="s">
        <v>12</v>
      </c>
      <c r="B6" s="227" t="s">
        <v>1989</v>
      </c>
      <c r="C6" s="74" t="str">
        <f t="shared" si="1"/>
        <v>Segunda-Feira</v>
      </c>
      <c r="D6" s="512" t="str">
        <f>IF(C6&lt;&gt;"Quarta-Feira","13:40","08:40")</f>
        <v>13:40</v>
      </c>
      <c r="E6" s="287"/>
      <c r="F6" s="301"/>
      <c r="G6" s="131"/>
      <c r="H6" s="132"/>
      <c r="I6" s="34"/>
      <c r="J6" s="74"/>
      <c r="K6" s="74"/>
      <c r="L6" s="216" t="s">
        <v>394</v>
      </c>
      <c r="M6" s="267"/>
      <c r="N6" s="271" t="s">
        <v>183</v>
      </c>
      <c r="O6" s="272" t="s">
        <v>195</v>
      </c>
      <c r="P6" s="272" t="s">
        <v>181</v>
      </c>
      <c r="Q6" s="273" t="s">
        <v>173</v>
      </c>
      <c r="R6" s="286" t="s">
        <v>1823</v>
      </c>
    </row>
    <row r="7" hidden="1">
      <c r="A7" s="12" t="s">
        <v>13</v>
      </c>
      <c r="B7" s="227" t="s">
        <v>1992</v>
      </c>
      <c r="C7" s="74" t="str">
        <f t="shared" si="1"/>
        <v>Segunda-Feira</v>
      </c>
      <c r="D7" s="512" t="str">
        <f>IF(C7&lt;&gt;"Quarta-Feira","14:00","09:00")</f>
        <v>14:00</v>
      </c>
      <c r="E7" s="287"/>
      <c r="F7" s="74"/>
      <c r="G7" s="131"/>
      <c r="H7" s="516"/>
      <c r="I7" s="34"/>
      <c r="J7" s="74"/>
      <c r="K7" s="74"/>
      <c r="M7" s="67"/>
      <c r="N7" s="275">
        <f t="shared" ref="N7:R7" si="2">COUNTIFS(I$4:I$15,N6)</f>
        <v>0</v>
      </c>
      <c r="O7" s="275">
        <f t="shared" si="2"/>
        <v>0</v>
      </c>
      <c r="P7" s="275">
        <f t="shared" si="2"/>
        <v>0</v>
      </c>
      <c r="Q7" s="275">
        <f t="shared" si="2"/>
        <v>0</v>
      </c>
      <c r="R7" s="517">
        <f t="shared" si="2"/>
        <v>0</v>
      </c>
      <c r="S7" s="389"/>
      <c r="T7" s="389"/>
      <c r="U7" s="389"/>
      <c r="V7" s="389"/>
      <c r="W7" s="389"/>
      <c r="X7" s="518"/>
    </row>
    <row r="8" hidden="1">
      <c r="A8" s="12" t="s">
        <v>14</v>
      </c>
      <c r="B8" s="227" t="s">
        <v>1981</v>
      </c>
      <c r="C8" s="74" t="str">
        <f t="shared" si="1"/>
        <v>Segunda-Feira</v>
      </c>
      <c r="D8" s="512" t="str">
        <f>IF(C8&lt;&gt;"Quarta-Feira","14:20","09:20")</f>
        <v>14:20</v>
      </c>
      <c r="E8" s="287"/>
      <c r="F8" s="301"/>
      <c r="G8" s="304"/>
      <c r="H8" s="519"/>
      <c r="I8" s="34"/>
      <c r="J8" s="74"/>
      <c r="K8" s="74"/>
      <c r="L8" s="216" t="s">
        <v>403</v>
      </c>
      <c r="M8" s="67"/>
      <c r="N8" s="67"/>
      <c r="O8" s="67"/>
      <c r="P8" s="67"/>
      <c r="Q8" s="67"/>
      <c r="R8" s="67"/>
    </row>
    <row r="9" hidden="1">
      <c r="A9" s="12" t="s">
        <v>15</v>
      </c>
      <c r="B9" s="227" t="s">
        <v>1985</v>
      </c>
      <c r="C9" s="74" t="str">
        <f t="shared" si="1"/>
        <v>Segunda-Feira</v>
      </c>
      <c r="D9" s="512" t="str">
        <f>IF(C9&lt;&gt;"Quarta-Feira","14:40","09:40")</f>
        <v>14:40</v>
      </c>
      <c r="E9" s="287"/>
      <c r="F9" s="520"/>
      <c r="G9" s="514"/>
      <c r="H9" s="515"/>
      <c r="I9" s="34"/>
      <c r="J9" s="74"/>
      <c r="K9" s="74"/>
      <c r="L9" s="216" t="s">
        <v>394</v>
      </c>
      <c r="R9" s="67"/>
    </row>
    <row r="10" hidden="1">
      <c r="A10" s="12" t="s">
        <v>16</v>
      </c>
      <c r="B10" s="227" t="s">
        <v>1989</v>
      </c>
      <c r="C10" s="74" t="str">
        <f t="shared" si="1"/>
        <v>Segunda-Feira</v>
      </c>
      <c r="D10" s="512" t="str">
        <f>IF(C10&lt;&gt;"Quarta-Feira","15:00","10:00")</f>
        <v>15:00</v>
      </c>
      <c r="E10" s="287"/>
      <c r="F10" s="301"/>
      <c r="G10" s="131"/>
      <c r="H10" s="132"/>
      <c r="I10" s="34"/>
      <c r="J10" s="74"/>
      <c r="K10" s="74"/>
      <c r="L10" s="216" t="s">
        <v>394</v>
      </c>
      <c r="R10" s="67"/>
    </row>
    <row r="11" hidden="1">
      <c r="A11" s="12" t="s">
        <v>17</v>
      </c>
      <c r="B11" s="227" t="s">
        <v>1992</v>
      </c>
      <c r="C11" s="74" t="str">
        <f t="shared" si="1"/>
        <v>Segunda-Feira</v>
      </c>
      <c r="D11" s="512" t="str">
        <f>IF(C11&lt;&gt;"Quarta-Feira","15:20","10:20")</f>
        <v>15:20</v>
      </c>
      <c r="E11" s="287"/>
      <c r="F11" s="301"/>
      <c r="G11" s="131"/>
      <c r="H11" s="521"/>
      <c r="I11" s="34"/>
      <c r="J11" s="74"/>
      <c r="K11" s="74"/>
      <c r="L11" s="216" t="s">
        <v>394</v>
      </c>
      <c r="R11" s="67"/>
    </row>
    <row r="12" hidden="1">
      <c r="A12" s="12" t="s">
        <v>85</v>
      </c>
      <c r="B12" s="227" t="s">
        <v>1981</v>
      </c>
      <c r="C12" s="74" t="str">
        <f t="shared" si="1"/>
        <v>Segunda-Feira</v>
      </c>
      <c r="D12" s="512" t="str">
        <f>IF(C12&lt;&gt;"Quarta-Feira","15:40","10:40")</f>
        <v>15:40</v>
      </c>
      <c r="E12" s="287"/>
      <c r="F12" s="74"/>
      <c r="G12" s="167"/>
      <c r="H12" s="83"/>
      <c r="I12" s="34"/>
      <c r="J12" s="74"/>
      <c r="K12" s="74"/>
      <c r="L12" s="216" t="s">
        <v>394</v>
      </c>
      <c r="R12" s="67"/>
    </row>
    <row r="13" hidden="1">
      <c r="A13" s="12" t="s">
        <v>87</v>
      </c>
      <c r="B13" s="227" t="s">
        <v>1985</v>
      </c>
      <c r="C13" s="74" t="str">
        <f t="shared" si="1"/>
        <v>Segunda-Feira</v>
      </c>
      <c r="D13" s="512" t="str">
        <f>IF(C13&lt;&gt;"Quarta-Feira","16:00","11:00")</f>
        <v>16:00</v>
      </c>
      <c r="E13" s="287"/>
      <c r="F13" s="74"/>
      <c r="G13" s="167"/>
      <c r="H13" s="166"/>
      <c r="I13" s="34"/>
      <c r="J13" s="74"/>
      <c r="K13" s="74"/>
      <c r="L13" s="216" t="s">
        <v>394</v>
      </c>
      <c r="R13" s="67"/>
    </row>
    <row r="14" hidden="1">
      <c r="A14" s="12" t="s">
        <v>90</v>
      </c>
      <c r="B14" s="227" t="s">
        <v>1989</v>
      </c>
      <c r="C14" s="74" t="str">
        <f t="shared" si="1"/>
        <v>Segunda-Feira</v>
      </c>
      <c r="D14" s="512" t="str">
        <f>IF(C14&lt;&gt;"Quarta-Feira","16:20","11:20")</f>
        <v>16:20</v>
      </c>
      <c r="E14" s="287"/>
      <c r="F14" s="74"/>
      <c r="G14" s="167"/>
      <c r="H14" s="166"/>
      <c r="I14" s="34"/>
      <c r="J14" s="74"/>
      <c r="K14" s="74"/>
      <c r="L14" s="216" t="s">
        <v>394</v>
      </c>
      <c r="R14" s="67"/>
    </row>
    <row r="15" hidden="1">
      <c r="A15" s="12" t="s">
        <v>93</v>
      </c>
      <c r="B15" s="227" t="s">
        <v>1992</v>
      </c>
      <c r="C15" s="74" t="str">
        <f t="shared" si="1"/>
        <v>Segunda-Feira</v>
      </c>
      <c r="D15" s="512" t="str">
        <f>IF(C15&lt;&gt;"Quarta-Feira","16:40","11:40")</f>
        <v>16:40</v>
      </c>
      <c r="E15" s="287"/>
      <c r="F15" s="74"/>
      <c r="G15" s="167"/>
      <c r="H15" s="166"/>
      <c r="I15" s="34"/>
      <c r="J15" s="74"/>
      <c r="K15" s="74"/>
      <c r="L15" s="216" t="s">
        <v>394</v>
      </c>
      <c r="R15" s="67"/>
    </row>
    <row r="16" hidden="1">
      <c r="B16" s="182"/>
      <c r="E16" s="261"/>
      <c r="G16" s="182"/>
      <c r="J16" s="67"/>
      <c r="K16" s="67"/>
      <c r="R16" s="67"/>
    </row>
    <row r="17" hidden="1">
      <c r="B17" s="182"/>
      <c r="E17" s="261"/>
      <c r="G17" s="182"/>
      <c r="J17" s="67"/>
      <c r="K17" s="67"/>
      <c r="R17" s="67"/>
    </row>
    <row r="18" hidden="1">
      <c r="B18" s="182"/>
      <c r="E18" s="261"/>
      <c r="G18" s="182"/>
      <c r="J18" s="67"/>
      <c r="K18" s="67"/>
      <c r="R18" s="67"/>
    </row>
    <row r="19">
      <c r="A19" s="23" t="s">
        <v>378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 ht="22.5" customHeight="1">
      <c r="A20" s="24" t="s">
        <v>3903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 ht="17.25" customHeight="1">
      <c r="A21" s="25"/>
      <c r="B21" s="489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9" t="s">
        <v>65</v>
      </c>
      <c r="C22" s="74" t="str">
        <f t="shared" ref="C22:C33" si="3">PROPER(TEXT(DATE(MID($A$20,7,4),MID($A$20,4,2),LEFT($A$20,2)),"dddd"))</f>
        <v>Quarta-Feira</v>
      </c>
      <c r="D22" s="512" t="str">
        <f>IF(C22&lt;&gt;"Quarta-Feira","13:00","08:00")</f>
        <v>08:00</v>
      </c>
      <c r="E22" s="287" t="s">
        <v>3904</v>
      </c>
      <c r="F22" s="74">
        <v>7.02903545560271E14</v>
      </c>
      <c r="G22" s="167" t="s">
        <v>3905</v>
      </c>
      <c r="H22" s="169">
        <v>25761.0</v>
      </c>
      <c r="I22" s="74" t="s">
        <v>183</v>
      </c>
      <c r="J22" s="74"/>
      <c r="K22" s="74"/>
      <c r="N22" s="268" t="s">
        <v>387</v>
      </c>
      <c r="O22" s="100"/>
      <c r="P22" s="100"/>
      <c r="Q22" s="100"/>
      <c r="R22" s="100"/>
    </row>
    <row r="23">
      <c r="A23" s="12" t="s">
        <v>11</v>
      </c>
      <c r="B23" s="229" t="s">
        <v>202</v>
      </c>
      <c r="C23" s="74" t="str">
        <f t="shared" si="3"/>
        <v>Quarta-Feira</v>
      </c>
      <c r="D23" s="512" t="str">
        <f>IF(C23&lt;&gt;"Quarta-Feira","13:20","08:20")</f>
        <v>08:20</v>
      </c>
      <c r="E23" s="287" t="s">
        <v>3906</v>
      </c>
      <c r="F23" s="287" t="s">
        <v>3907</v>
      </c>
      <c r="G23" s="167" t="s">
        <v>3908</v>
      </c>
      <c r="H23" s="166">
        <v>20810.0</v>
      </c>
      <c r="I23" s="74" t="s">
        <v>1823</v>
      </c>
      <c r="J23" s="74"/>
      <c r="K23" s="74"/>
      <c r="N23" s="270" t="s">
        <v>1824</v>
      </c>
      <c r="O23" s="2"/>
      <c r="P23" s="2"/>
      <c r="Q23" s="2"/>
      <c r="R23" s="2"/>
    </row>
    <row r="24">
      <c r="A24" s="12" t="s">
        <v>12</v>
      </c>
      <c r="B24" s="229" t="s">
        <v>1448</v>
      </c>
      <c r="C24" s="74" t="str">
        <f t="shared" si="3"/>
        <v>Quarta-Feira</v>
      </c>
      <c r="D24" s="512" t="str">
        <f>IF(C24&lt;&gt;"Quarta-Feira","13:40","08:40")</f>
        <v>08:40</v>
      </c>
      <c r="E24" s="287" t="s">
        <v>3909</v>
      </c>
      <c r="F24" s="74">
        <v>1.04009158600018E14</v>
      </c>
      <c r="G24" s="167" t="s">
        <v>3910</v>
      </c>
      <c r="H24" s="166">
        <v>18322.0</v>
      </c>
      <c r="I24" s="74" t="s">
        <v>183</v>
      </c>
      <c r="J24" s="74"/>
      <c r="K24" s="74"/>
      <c r="N24" s="271" t="s">
        <v>183</v>
      </c>
      <c r="O24" s="272" t="s">
        <v>195</v>
      </c>
      <c r="P24" s="272" t="s">
        <v>181</v>
      </c>
      <c r="Q24" s="273" t="s">
        <v>173</v>
      </c>
      <c r="R24" s="273" t="s">
        <v>1823</v>
      </c>
    </row>
    <row r="25">
      <c r="A25" s="12" t="s">
        <v>13</v>
      </c>
      <c r="B25" s="229" t="s">
        <v>822</v>
      </c>
      <c r="C25" s="74" t="str">
        <f t="shared" si="3"/>
        <v>Quarta-Feira</v>
      </c>
      <c r="D25" s="512" t="str">
        <f>IF(C25&lt;&gt;"Quarta-Feira","14:00","09:00")</f>
        <v>09:00</v>
      </c>
      <c r="E25" s="287" t="s">
        <v>3911</v>
      </c>
      <c r="F25" s="74">
        <v>7.01005896010195E14</v>
      </c>
      <c r="G25" s="167" t="s">
        <v>3912</v>
      </c>
      <c r="H25" s="166">
        <v>21967.0</v>
      </c>
      <c r="I25" s="74" t="s">
        <v>183</v>
      </c>
      <c r="J25" s="74"/>
      <c r="K25" s="74"/>
      <c r="L25" s="216" t="s">
        <v>442</v>
      </c>
      <c r="N25" s="275">
        <f>COUNTIFS(I$22:I$33,N24)</f>
        <v>10</v>
      </c>
      <c r="O25" s="275">
        <f t="shared" ref="O25:R25" si="4">COUNTIFS($I$22:$I$33,O24)</f>
        <v>0</v>
      </c>
      <c r="P25" s="275">
        <f t="shared" si="4"/>
        <v>0</v>
      </c>
      <c r="Q25" s="275">
        <f t="shared" si="4"/>
        <v>0</v>
      </c>
      <c r="R25" s="67">
        <f t="shared" si="4"/>
        <v>2</v>
      </c>
    </row>
    <row r="26">
      <c r="A26" s="12" t="s">
        <v>14</v>
      </c>
      <c r="B26" s="229" t="s">
        <v>202</v>
      </c>
      <c r="C26" s="74" t="str">
        <f t="shared" si="3"/>
        <v>Quarta-Feira</v>
      </c>
      <c r="D26" s="512" t="str">
        <f>IF(C26&lt;&gt;"Quarta-Feira","14:20","09:20")</f>
        <v>09:20</v>
      </c>
      <c r="E26" s="287" t="s">
        <v>3913</v>
      </c>
      <c r="F26" s="74">
        <v>8.01440409797249E14</v>
      </c>
      <c r="G26" s="167" t="s">
        <v>3914</v>
      </c>
      <c r="H26" s="166">
        <v>17464.0</v>
      </c>
      <c r="I26" s="74" t="s">
        <v>1823</v>
      </c>
      <c r="J26" s="74"/>
      <c r="K26" s="74"/>
      <c r="L26" s="216" t="s">
        <v>442</v>
      </c>
      <c r="R26" s="67"/>
    </row>
    <row r="27">
      <c r="A27" s="12" t="s">
        <v>15</v>
      </c>
      <c r="B27" s="229" t="s">
        <v>1448</v>
      </c>
      <c r="C27" s="74" t="str">
        <f t="shared" si="3"/>
        <v>Quarta-Feira</v>
      </c>
      <c r="D27" s="512" t="str">
        <f>IF(C27&lt;&gt;"Quarta-Feira","14:40","09:40")</f>
        <v>09:40</v>
      </c>
      <c r="E27" s="287" t="s">
        <v>3178</v>
      </c>
      <c r="F27" s="74">
        <v>7.02906536748177E14</v>
      </c>
      <c r="G27" s="167" t="s">
        <v>3179</v>
      </c>
      <c r="H27" s="166">
        <v>27620.0</v>
      </c>
      <c r="I27" s="74" t="s">
        <v>183</v>
      </c>
      <c r="J27" s="74"/>
      <c r="K27" s="74"/>
      <c r="L27" s="216" t="s">
        <v>442</v>
      </c>
      <c r="R27" s="67"/>
    </row>
    <row r="28">
      <c r="A28" s="12" t="s">
        <v>16</v>
      </c>
      <c r="B28" s="229" t="s">
        <v>65</v>
      </c>
      <c r="C28" s="74" t="str">
        <f t="shared" si="3"/>
        <v>Quarta-Feira</v>
      </c>
      <c r="D28" s="512" t="str">
        <f>IF(C28&lt;&gt;"Quarta-Feira","15:00","10:00")</f>
        <v>10:00</v>
      </c>
      <c r="E28" s="287" t="s">
        <v>3915</v>
      </c>
      <c r="F28" s="74">
        <v>8.98000189528798E14</v>
      </c>
      <c r="G28" s="167" t="s">
        <v>3916</v>
      </c>
      <c r="H28" s="166">
        <v>17801.0</v>
      </c>
      <c r="I28" s="74" t="s">
        <v>183</v>
      </c>
      <c r="J28" s="74"/>
      <c r="K28" s="74"/>
      <c r="L28" s="216" t="s">
        <v>442</v>
      </c>
      <c r="R28" s="67"/>
    </row>
    <row r="29">
      <c r="A29" s="12" t="s">
        <v>17</v>
      </c>
      <c r="B29" s="229" t="s">
        <v>202</v>
      </c>
      <c r="C29" s="74" t="str">
        <f t="shared" si="3"/>
        <v>Quarta-Feira</v>
      </c>
      <c r="D29" s="512" t="str">
        <f>IF(C29&lt;&gt;"Quarta-Feira","15:20","10:20")</f>
        <v>10:20</v>
      </c>
      <c r="E29" s="287" t="s">
        <v>3917</v>
      </c>
      <c r="F29" s="74">
        <v>7.0680715498343E14</v>
      </c>
      <c r="G29" s="167" t="s">
        <v>3918</v>
      </c>
      <c r="H29" s="166">
        <v>18848.0</v>
      </c>
      <c r="I29" s="74" t="s">
        <v>183</v>
      </c>
      <c r="J29" s="74"/>
      <c r="K29" s="74"/>
      <c r="L29" s="216" t="s">
        <v>442</v>
      </c>
      <c r="R29" s="67"/>
    </row>
    <row r="30">
      <c r="A30" s="12" t="s">
        <v>85</v>
      </c>
      <c r="B30" s="229" t="s">
        <v>822</v>
      </c>
      <c r="C30" s="74" t="str">
        <f t="shared" si="3"/>
        <v>Quarta-Feira</v>
      </c>
      <c r="D30" s="512" t="str">
        <f>IF(C30&lt;&gt;"Quarta-Feira","15:40","10:40")</f>
        <v>10:40</v>
      </c>
      <c r="E30" s="287" t="s">
        <v>3919</v>
      </c>
      <c r="F30" s="74">
        <v>7.04007330059363E14</v>
      </c>
      <c r="G30" s="167" t="s">
        <v>3920</v>
      </c>
      <c r="H30" s="166">
        <v>25373.0</v>
      </c>
      <c r="I30" s="74" t="s">
        <v>183</v>
      </c>
      <c r="J30" s="74"/>
      <c r="K30" s="74"/>
      <c r="R30" s="67"/>
    </row>
    <row r="31">
      <c r="A31" s="12" t="s">
        <v>87</v>
      </c>
      <c r="B31" s="229" t="s">
        <v>1448</v>
      </c>
      <c r="C31" s="74" t="str">
        <f t="shared" si="3"/>
        <v>Quarta-Feira</v>
      </c>
      <c r="D31" s="512" t="str">
        <f>IF(C31&lt;&gt;"Quarta-Feira","16:00","11:00")</f>
        <v>11:00</v>
      </c>
      <c r="E31" s="287" t="s">
        <v>3921</v>
      </c>
      <c r="F31" s="74">
        <v>7.0040192700084E14</v>
      </c>
      <c r="G31" s="167" t="s">
        <v>3922</v>
      </c>
      <c r="H31" s="166">
        <v>19470.0</v>
      </c>
      <c r="I31" s="74" t="s">
        <v>183</v>
      </c>
      <c r="J31" s="74"/>
      <c r="K31" s="74"/>
      <c r="L31" s="216" t="s">
        <v>455</v>
      </c>
      <c r="R31" s="67"/>
    </row>
    <row r="32">
      <c r="A32" s="12" t="s">
        <v>90</v>
      </c>
      <c r="B32" s="229" t="s">
        <v>822</v>
      </c>
      <c r="C32" s="74" t="str">
        <f t="shared" si="3"/>
        <v>Quarta-Feira</v>
      </c>
      <c r="D32" s="512" t="str">
        <f>IF(C32&lt;&gt;"Quarta-Feira","16:20","11:20")</f>
        <v>11:20</v>
      </c>
      <c r="E32" s="287" t="s">
        <v>3923</v>
      </c>
      <c r="F32" s="74">
        <v>7.01401603810233E14</v>
      </c>
      <c r="G32" s="167" t="s">
        <v>3924</v>
      </c>
      <c r="H32" s="166">
        <v>13408.0</v>
      </c>
      <c r="I32" s="74" t="s">
        <v>183</v>
      </c>
      <c r="J32" s="74"/>
      <c r="K32" s="74"/>
      <c r="R32" s="67"/>
    </row>
    <row r="33">
      <c r="A33" s="12" t="s">
        <v>93</v>
      </c>
      <c r="B33" s="229" t="s">
        <v>65</v>
      </c>
      <c r="C33" s="74" t="str">
        <f t="shared" si="3"/>
        <v>Quarta-Feira</v>
      </c>
      <c r="D33" s="512" t="str">
        <f>IF(C33&lt;&gt;"Quarta-Feira","16:40","11:40")</f>
        <v>11:40</v>
      </c>
      <c r="E33" s="287" t="s">
        <v>1010</v>
      </c>
      <c r="F33" s="74">
        <v>7.09603688348772E14</v>
      </c>
      <c r="G33" s="167" t="s">
        <v>1011</v>
      </c>
      <c r="H33" s="166">
        <v>28469.0</v>
      </c>
      <c r="I33" s="74" t="s">
        <v>183</v>
      </c>
      <c r="J33" s="74"/>
      <c r="K33" s="74"/>
      <c r="R33" s="67"/>
    </row>
    <row r="34">
      <c r="B34" s="182"/>
      <c r="E34" s="261"/>
      <c r="G34" s="182"/>
      <c r="J34" s="67"/>
      <c r="K34" s="67"/>
      <c r="R34" s="67"/>
    </row>
    <row r="35">
      <c r="B35" s="182"/>
      <c r="E35" s="261"/>
      <c r="G35" s="182"/>
      <c r="J35" s="67"/>
      <c r="K35" s="67"/>
      <c r="R35" s="67"/>
    </row>
    <row r="36">
      <c r="B36" s="182"/>
      <c r="E36" s="261"/>
      <c r="G36" s="182"/>
      <c r="J36" s="67"/>
      <c r="K36" s="67"/>
      <c r="R36" s="67"/>
    </row>
    <row r="37">
      <c r="A37" s="23" t="s">
        <v>378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>
      <c r="A38" s="24" t="str">
        <f>TEXT(DATE(VALUE(MID(A20,7,4)),VALUE(MID(A20,4,2)),VALUE(LEFT(A20,2)))+2,"dd/mm/yyyy")&amp;" 13h às 17h"</f>
        <v>03/07/2026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489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9" t="s">
        <v>758</v>
      </c>
      <c r="C40" s="74" t="str">
        <f t="shared" ref="C40:C51" si="5">PROPER(TEXT(DATE(MID($A$38,7,4),MID($A$38,4,2),LEFT($A$38,2)),"dddd"))</f>
        <v>Sexta-Feira</v>
      </c>
      <c r="D40" s="512" t="str">
        <f>IF(C40&lt;&gt;"Quarta-Feira","13:00","08:00")</f>
        <v>13:00</v>
      </c>
      <c r="E40" s="287" t="s">
        <v>3925</v>
      </c>
      <c r="F40" s="74">
        <v>7.06205573913761E14</v>
      </c>
      <c r="G40" s="167" t="s">
        <v>3926</v>
      </c>
      <c r="H40" s="211">
        <v>18233.0</v>
      </c>
      <c r="I40" s="34" t="s">
        <v>183</v>
      </c>
      <c r="J40" s="74"/>
      <c r="K40" s="74"/>
      <c r="N40" s="268" t="s">
        <v>387</v>
      </c>
      <c r="O40" s="100"/>
      <c r="P40" s="100"/>
      <c r="Q40" s="100"/>
      <c r="R40" s="100"/>
    </row>
    <row r="41">
      <c r="A41" s="12" t="s">
        <v>15</v>
      </c>
      <c r="B41" s="229" t="s">
        <v>1468</v>
      </c>
      <c r="C41" s="74" t="str">
        <f t="shared" si="5"/>
        <v>Sexta-Feira</v>
      </c>
      <c r="D41" s="512" t="str">
        <f>IF(C41&lt;&gt;"Quarta-Feira","13:20","08:20")</f>
        <v>13:20</v>
      </c>
      <c r="E41" s="287" t="s">
        <v>3927</v>
      </c>
      <c r="F41" s="74">
        <v>2.09795318660002E14</v>
      </c>
      <c r="G41" s="167" t="s">
        <v>3928</v>
      </c>
      <c r="H41" s="211">
        <v>21109.0</v>
      </c>
      <c r="I41" s="34" t="s">
        <v>183</v>
      </c>
      <c r="J41" s="74"/>
      <c r="K41" s="74"/>
      <c r="R41" s="67"/>
    </row>
    <row r="42">
      <c r="A42" s="12" t="s">
        <v>12</v>
      </c>
      <c r="B42" s="229" t="s">
        <v>217</v>
      </c>
      <c r="C42" s="74" t="str">
        <f t="shared" si="5"/>
        <v>Sexta-Feira</v>
      </c>
      <c r="D42" s="512" t="str">
        <f>IF(C42&lt;&gt;"Quarta-Feira","13:40","08:40")</f>
        <v>13:40</v>
      </c>
      <c r="E42" s="287" t="s">
        <v>3929</v>
      </c>
      <c r="F42" s="74">
        <v>7.04604614376322E14</v>
      </c>
      <c r="G42" s="167" t="s">
        <v>3930</v>
      </c>
      <c r="H42" s="211">
        <v>16206.0</v>
      </c>
      <c r="I42" s="34" t="s">
        <v>1823</v>
      </c>
      <c r="J42" s="74"/>
      <c r="K42" s="74"/>
      <c r="N42" s="271" t="s">
        <v>183</v>
      </c>
      <c r="O42" s="272" t="s">
        <v>195</v>
      </c>
      <c r="P42" s="272" t="s">
        <v>181</v>
      </c>
      <c r="Q42" s="273" t="s">
        <v>173</v>
      </c>
      <c r="R42" s="286" t="s">
        <v>1823</v>
      </c>
    </row>
    <row r="43">
      <c r="A43" s="12" t="s">
        <v>13</v>
      </c>
      <c r="B43" s="229" t="s">
        <v>198</v>
      </c>
      <c r="C43" s="74" t="str">
        <f t="shared" si="5"/>
        <v>Sexta-Feira</v>
      </c>
      <c r="D43" s="512" t="str">
        <f>IF(C43&lt;&gt;"Quarta-Feira","14:00","09:00")</f>
        <v>14:00</v>
      </c>
      <c r="E43" s="287" t="s">
        <v>3931</v>
      </c>
      <c r="F43" s="74">
        <v>7.0810267156014E14</v>
      </c>
      <c r="G43" s="167" t="s">
        <v>3932</v>
      </c>
      <c r="H43" s="211">
        <v>27167.0</v>
      </c>
      <c r="I43" s="34" t="s">
        <v>183</v>
      </c>
      <c r="J43" s="74"/>
      <c r="K43" s="74"/>
      <c r="N43" s="275">
        <f t="shared" ref="N43:Q43" si="6">COUNTIFS($I$40:$I$51,N42)</f>
        <v>10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2</v>
      </c>
    </row>
    <row r="44">
      <c r="A44" s="12" t="s">
        <v>14</v>
      </c>
      <c r="B44" s="229" t="s">
        <v>758</v>
      </c>
      <c r="C44" s="74" t="str">
        <f t="shared" si="5"/>
        <v>Sexta-Feira</v>
      </c>
      <c r="D44" s="512" t="str">
        <f>IF(C44&lt;&gt;"Quarta-Feira","14:20","09:20")</f>
        <v>14:20</v>
      </c>
      <c r="E44" s="287" t="s">
        <v>3628</v>
      </c>
      <c r="F44" s="74">
        <v>2.01153218230004E14</v>
      </c>
      <c r="G44" s="167" t="s">
        <v>3629</v>
      </c>
      <c r="H44" s="211">
        <v>20267.0</v>
      </c>
      <c r="I44" s="34" t="s">
        <v>183</v>
      </c>
      <c r="J44" s="74"/>
      <c r="K44" s="74"/>
      <c r="R44" s="67"/>
    </row>
    <row r="45">
      <c r="A45" s="12" t="s">
        <v>11</v>
      </c>
      <c r="B45" s="229" t="s">
        <v>1468</v>
      </c>
      <c r="C45" s="74" t="str">
        <f t="shared" si="5"/>
        <v>Sexta-Feira</v>
      </c>
      <c r="D45" s="512" t="str">
        <f>IF(C45&lt;&gt;"Quarta-Feira","14:40","09:40")</f>
        <v>14:40</v>
      </c>
      <c r="E45" s="287" t="s">
        <v>3933</v>
      </c>
      <c r="F45" s="74">
        <v>7.08407223577963E14</v>
      </c>
      <c r="G45" s="167" t="s">
        <v>3934</v>
      </c>
      <c r="H45" s="169">
        <v>24283.0</v>
      </c>
      <c r="I45" s="34" t="s">
        <v>183</v>
      </c>
      <c r="J45" s="74"/>
      <c r="K45" s="74"/>
      <c r="N45" s="270" t="s">
        <v>1824</v>
      </c>
      <c r="O45" s="2"/>
      <c r="P45" s="2"/>
      <c r="Q45" s="2"/>
      <c r="R45" s="2"/>
    </row>
    <row r="46">
      <c r="A46" s="12" t="s">
        <v>16</v>
      </c>
      <c r="B46" s="229" t="s">
        <v>217</v>
      </c>
      <c r="C46" s="74" t="str">
        <f t="shared" si="5"/>
        <v>Sexta-Feira</v>
      </c>
      <c r="D46" s="512" t="str">
        <f>IF(C46&lt;&gt;"Quarta-Feira","15:00","10:00")</f>
        <v>15:00</v>
      </c>
      <c r="E46" s="287" t="s">
        <v>3935</v>
      </c>
      <c r="F46" s="74">
        <v>2.01153539540008E14</v>
      </c>
      <c r="G46" s="167" t="s">
        <v>3936</v>
      </c>
      <c r="H46" s="211">
        <v>15467.0</v>
      </c>
      <c r="I46" s="34" t="s">
        <v>183</v>
      </c>
      <c r="J46" s="74"/>
      <c r="K46" s="74"/>
      <c r="R46" s="67"/>
    </row>
    <row r="47">
      <c r="A47" s="12" t="s">
        <v>17</v>
      </c>
      <c r="B47" s="229" t="s">
        <v>198</v>
      </c>
      <c r="C47" s="74" t="str">
        <f t="shared" si="5"/>
        <v>Sexta-Feira</v>
      </c>
      <c r="D47" s="512" t="str">
        <f>IF(C47&lt;&gt;"Quarta-Feira","15:20","10:20")</f>
        <v>15:20</v>
      </c>
      <c r="E47" s="287" t="s">
        <v>3937</v>
      </c>
      <c r="F47" s="74">
        <v>7.00900902927198E14</v>
      </c>
      <c r="G47" s="167" t="s">
        <v>3938</v>
      </c>
      <c r="H47" s="211">
        <v>18305.0</v>
      </c>
      <c r="I47" s="34" t="s">
        <v>183</v>
      </c>
      <c r="J47" s="74"/>
      <c r="K47" s="74"/>
      <c r="R47" s="67"/>
    </row>
    <row r="48">
      <c r="A48" s="12" t="s">
        <v>85</v>
      </c>
      <c r="B48" s="229" t="s">
        <v>1468</v>
      </c>
      <c r="C48" s="74" t="str">
        <f t="shared" si="5"/>
        <v>Sexta-Feira</v>
      </c>
      <c r="D48" s="512" t="str">
        <f>IF(C48&lt;&gt;"Quarta-Feira","15:40","10:40")</f>
        <v>15:40</v>
      </c>
      <c r="E48" s="287" t="s">
        <v>3939</v>
      </c>
      <c r="F48" s="74">
        <v>7.04800008769249E14</v>
      </c>
      <c r="G48" s="167" t="s">
        <v>1974</v>
      </c>
      <c r="H48" s="211">
        <v>22052.0</v>
      </c>
      <c r="I48" s="34" t="s">
        <v>183</v>
      </c>
      <c r="J48" s="74"/>
      <c r="K48" s="74"/>
      <c r="R48" s="67"/>
    </row>
    <row r="49">
      <c r="A49" s="12" t="s">
        <v>87</v>
      </c>
      <c r="B49" s="229" t="s">
        <v>758</v>
      </c>
      <c r="C49" s="74" t="str">
        <f t="shared" si="5"/>
        <v>Sexta-Feira</v>
      </c>
      <c r="D49" s="512" t="str">
        <f>IF(C49&lt;&gt;"Quarta-Feira","16:00","11:00")</f>
        <v>16:00</v>
      </c>
      <c r="E49" s="287" t="s">
        <v>3940</v>
      </c>
      <c r="F49" s="459">
        <v>8.98000599873045E14</v>
      </c>
      <c r="G49" s="167" t="s">
        <v>3941</v>
      </c>
      <c r="H49" s="211">
        <v>19973.0</v>
      </c>
      <c r="I49" s="34" t="s">
        <v>183</v>
      </c>
      <c r="J49" s="74"/>
      <c r="K49" s="74"/>
      <c r="R49" s="67"/>
    </row>
    <row r="50">
      <c r="A50" s="12" t="s">
        <v>90</v>
      </c>
      <c r="B50" s="229" t="s">
        <v>758</v>
      </c>
      <c r="C50" s="74" t="str">
        <f t="shared" si="5"/>
        <v>Sexta-Feira</v>
      </c>
      <c r="D50" s="512" t="str">
        <f>IF(C50&lt;&gt;"Quarta-Feira","16:20","11:20")</f>
        <v>16:20</v>
      </c>
      <c r="E50" s="287" t="s">
        <v>3942</v>
      </c>
      <c r="F50" s="74">
        <v>7.08901769093615E14</v>
      </c>
      <c r="G50" s="167" t="s">
        <v>3943</v>
      </c>
      <c r="H50" s="522">
        <v>27297.0</v>
      </c>
      <c r="I50" s="34" t="s">
        <v>1823</v>
      </c>
      <c r="J50" s="74"/>
      <c r="K50" s="74"/>
      <c r="R50" s="67"/>
    </row>
    <row r="51">
      <c r="A51" s="12" t="s">
        <v>93</v>
      </c>
      <c r="B51" s="229" t="s">
        <v>758</v>
      </c>
      <c r="C51" s="74" t="str">
        <f t="shared" si="5"/>
        <v>Sexta-Feira</v>
      </c>
      <c r="D51" s="512" t="str">
        <f>IF(C51&lt;&gt;"Quarta-Feira","16:40","11:40")</f>
        <v>16:40</v>
      </c>
      <c r="E51" s="287" t="s">
        <v>3944</v>
      </c>
      <c r="F51" s="74">
        <v>7.08603570709986E14</v>
      </c>
      <c r="G51" s="167" t="s">
        <v>3945</v>
      </c>
      <c r="H51" s="211">
        <v>17176.0</v>
      </c>
      <c r="I51" s="34" t="s">
        <v>183</v>
      </c>
      <c r="J51" s="74"/>
      <c r="K51" s="74"/>
      <c r="R51" s="67"/>
    </row>
    <row r="52">
      <c r="B52" s="182"/>
      <c r="E52" s="523"/>
      <c r="G52" s="182"/>
      <c r="J52" s="67"/>
      <c r="K52" s="67"/>
      <c r="R52" s="67"/>
    </row>
    <row r="53">
      <c r="B53" s="182"/>
      <c r="E53" s="261"/>
      <c r="G53" s="182"/>
      <c r="J53" s="67"/>
      <c r="K53" s="67"/>
      <c r="R53" s="67"/>
    </row>
    <row r="54">
      <c r="B54" s="182"/>
      <c r="E54" s="261"/>
      <c r="G54" s="182"/>
      <c r="J54" s="67"/>
      <c r="K54" s="67"/>
      <c r="R54" s="67"/>
    </row>
    <row r="55">
      <c r="A55" s="23" t="s">
        <v>378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TEXT(DATE(VALUE(MID(A38,7,4)),VALUE(MID(A38,4,2)),VALUE(LEFT(A38,2)))+3,"dd/mm/yyyy")&amp;" 13h às 17h"</f>
        <v>06/07/2026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489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8.75" customHeight="1">
      <c r="A58" s="12" t="s">
        <v>10</v>
      </c>
      <c r="B58" s="229" t="s">
        <v>1358</v>
      </c>
      <c r="C58" s="74" t="str">
        <f>PROPER(TEXT(DATE(MID($A$56,7,4),MID($A$56,4,2),LEFT($A$56,2)),"dddd"))</f>
        <v>Segunda-Feira</v>
      </c>
      <c r="D58" s="512" t="str">
        <f>IF(C58&lt;&gt;"Quarta-Feira","13:00","08:00")</f>
        <v>13:00</v>
      </c>
      <c r="E58" s="287" t="s">
        <v>3946</v>
      </c>
      <c r="F58" s="74">
        <v>7.00701940534273E14</v>
      </c>
      <c r="G58" s="167" t="s">
        <v>3947</v>
      </c>
      <c r="H58" s="524">
        <v>14808.0</v>
      </c>
      <c r="I58" s="34" t="s">
        <v>183</v>
      </c>
      <c r="J58" s="74"/>
      <c r="K58" s="74"/>
      <c r="N58" s="268" t="s">
        <v>387</v>
      </c>
      <c r="O58" s="100"/>
      <c r="P58" s="100"/>
      <c r="Q58" s="100"/>
      <c r="R58" s="100"/>
    </row>
    <row r="59">
      <c r="A59" s="12" t="s">
        <v>11</v>
      </c>
      <c r="B59" s="229" t="s">
        <v>1359</v>
      </c>
      <c r="C59" s="74" t="s">
        <v>1295</v>
      </c>
      <c r="D59" s="512" t="str">
        <f>IF(C59&lt;&gt;"Quarta-Feira","13:20","08:20")</f>
        <v>13:20</v>
      </c>
      <c r="E59" s="287" t="s">
        <v>3769</v>
      </c>
      <c r="F59" s="74">
        <v>7.02800117960261E14</v>
      </c>
      <c r="G59" s="167" t="s">
        <v>3770</v>
      </c>
      <c r="H59" s="211">
        <v>22471.0</v>
      </c>
      <c r="I59" s="34" t="s">
        <v>183</v>
      </c>
      <c r="J59" s="74"/>
      <c r="K59" s="74"/>
      <c r="N59" s="270" t="s">
        <v>1824</v>
      </c>
      <c r="O59" s="2"/>
      <c r="P59" s="2"/>
      <c r="Q59" s="2"/>
      <c r="R59" s="2"/>
    </row>
    <row r="60">
      <c r="A60" s="12" t="s">
        <v>12</v>
      </c>
      <c r="B60" s="229" t="s">
        <v>1361</v>
      </c>
      <c r="C60" s="74" t="s">
        <v>1295</v>
      </c>
      <c r="D60" s="512" t="str">
        <f>IF(C60&lt;&gt;"Quarta-Feira","13:40","08:40")</f>
        <v>13:40</v>
      </c>
      <c r="E60" s="287" t="s">
        <v>3771</v>
      </c>
      <c r="F60" s="74">
        <v>7.00808494856682E14</v>
      </c>
      <c r="G60" s="167" t="s">
        <v>3772</v>
      </c>
      <c r="H60" s="211">
        <v>16613.0</v>
      </c>
      <c r="I60" s="34" t="s">
        <v>183</v>
      </c>
      <c r="J60" s="74"/>
      <c r="K60" s="74"/>
      <c r="N60" s="271" t="s">
        <v>183</v>
      </c>
      <c r="O60" s="272" t="s">
        <v>195</v>
      </c>
      <c r="P60" s="272" t="s">
        <v>181</v>
      </c>
      <c r="Q60" s="273" t="s">
        <v>173</v>
      </c>
      <c r="R60" s="286" t="s">
        <v>1823</v>
      </c>
    </row>
    <row r="61">
      <c r="A61" s="12" t="s">
        <v>13</v>
      </c>
      <c r="B61" s="229" t="s">
        <v>1363</v>
      </c>
      <c r="C61" s="74" t="s">
        <v>1295</v>
      </c>
      <c r="D61" s="512" t="str">
        <f>IF(C61&lt;&gt;"Quarta-Feira","14:00","09:00")</f>
        <v>14:00</v>
      </c>
      <c r="E61" s="287" t="s">
        <v>3948</v>
      </c>
      <c r="F61" s="74">
        <v>8.01440402529451E14</v>
      </c>
      <c r="G61" s="167" t="s">
        <v>3949</v>
      </c>
      <c r="H61" s="211">
        <v>19703.0</v>
      </c>
      <c r="I61" s="34" t="s">
        <v>183</v>
      </c>
      <c r="J61" s="74"/>
      <c r="K61" s="74"/>
      <c r="N61" s="275">
        <f t="shared" ref="N61:R61" si="7">COUNTIFS($I$58:$I$69,N60)</f>
        <v>11</v>
      </c>
      <c r="O61" s="275">
        <f t="shared" si="7"/>
        <v>0</v>
      </c>
      <c r="P61" s="275">
        <f t="shared" si="7"/>
        <v>0</v>
      </c>
      <c r="Q61" s="275">
        <f t="shared" si="7"/>
        <v>0</v>
      </c>
      <c r="R61" s="275">
        <f t="shared" si="7"/>
        <v>1</v>
      </c>
    </row>
    <row r="62">
      <c r="A62" s="12" t="s">
        <v>14</v>
      </c>
      <c r="B62" s="229" t="s">
        <v>1358</v>
      </c>
      <c r="C62" s="74" t="s">
        <v>1295</v>
      </c>
      <c r="D62" s="512" t="str">
        <f>IF(C62&lt;&gt;"Quarta-Feira","14:20","09:20")</f>
        <v>14:20</v>
      </c>
      <c r="E62" s="287" t="s">
        <v>3950</v>
      </c>
      <c r="F62" s="74">
        <v>7.05201448586074E14</v>
      </c>
      <c r="G62" s="167" t="s">
        <v>3951</v>
      </c>
      <c r="H62" s="211">
        <v>15620.0</v>
      </c>
      <c r="I62" s="34" t="s">
        <v>183</v>
      </c>
      <c r="J62" s="74"/>
      <c r="K62" s="74"/>
      <c r="R62" s="67"/>
    </row>
    <row r="63">
      <c r="A63" s="12" t="s">
        <v>15</v>
      </c>
      <c r="B63" s="229" t="s">
        <v>1363</v>
      </c>
      <c r="C63" s="74" t="s">
        <v>1295</v>
      </c>
      <c r="D63" s="512" t="str">
        <f>IF(C63&lt;&gt;"Quarta-Feira","14:40","09:40")</f>
        <v>14:40</v>
      </c>
      <c r="E63" s="287" t="s">
        <v>3952</v>
      </c>
      <c r="F63" s="74">
        <v>7.0170027775047E14</v>
      </c>
      <c r="G63" s="167" t="s">
        <v>3953</v>
      </c>
      <c r="H63" s="211">
        <v>37552.0</v>
      </c>
      <c r="I63" s="34" t="s">
        <v>183</v>
      </c>
      <c r="J63" s="74"/>
      <c r="K63" s="74"/>
      <c r="R63" s="67"/>
    </row>
    <row r="64">
      <c r="A64" s="12" t="s">
        <v>16</v>
      </c>
      <c r="B64" s="229" t="s">
        <v>1359</v>
      </c>
      <c r="C64" s="74" t="s">
        <v>1295</v>
      </c>
      <c r="D64" s="512" t="str">
        <f>IF(C64&lt;&gt;"Quarta-Feira","15:00","10:00")</f>
        <v>15:00</v>
      </c>
      <c r="E64" s="287" t="s">
        <v>3954</v>
      </c>
      <c r="F64" s="74">
        <v>7.0420626537278E14</v>
      </c>
      <c r="G64" s="167" t="s">
        <v>3955</v>
      </c>
      <c r="H64" s="211">
        <v>16420.0</v>
      </c>
      <c r="I64" s="34" t="s">
        <v>183</v>
      </c>
      <c r="J64" s="74"/>
      <c r="K64" s="74"/>
      <c r="R64" s="67"/>
    </row>
    <row r="65">
      <c r="A65" s="12" t="s">
        <v>17</v>
      </c>
      <c r="B65" s="229" t="s">
        <v>1361</v>
      </c>
      <c r="C65" s="74" t="s">
        <v>1295</v>
      </c>
      <c r="D65" s="512" t="str">
        <f>IF(C65&lt;&gt;"Quarta-Feira","15:20","10:20")</f>
        <v>15:20</v>
      </c>
      <c r="E65" s="287" t="s">
        <v>3956</v>
      </c>
      <c r="F65" s="74">
        <v>1.23324039910004E14</v>
      </c>
      <c r="G65" s="167" t="s">
        <v>3957</v>
      </c>
      <c r="H65" s="211">
        <v>19813.0</v>
      </c>
      <c r="I65" s="34" t="s">
        <v>183</v>
      </c>
      <c r="J65" s="74"/>
      <c r="K65" s="74"/>
      <c r="L65" s="67"/>
      <c r="M65" s="67"/>
      <c r="N65" s="67"/>
      <c r="O65" s="286"/>
      <c r="P65" s="67"/>
      <c r="Q65" s="67"/>
      <c r="R65" s="67"/>
      <c r="S65" s="67"/>
      <c r="T65" s="67"/>
      <c r="U65" s="67"/>
      <c r="V65" s="67"/>
      <c r="W65" s="67"/>
      <c r="X65" s="67"/>
    </row>
    <row r="66">
      <c r="A66" s="12" t="s">
        <v>85</v>
      </c>
      <c r="B66" s="229" t="s">
        <v>1358</v>
      </c>
      <c r="C66" s="74" t="s">
        <v>1295</v>
      </c>
      <c r="D66" s="512" t="str">
        <f>IF(C66&lt;&gt;"Quarta-Feira","15:40","10:40")</f>
        <v>15:40</v>
      </c>
      <c r="E66" s="287" t="s">
        <v>3958</v>
      </c>
      <c r="F66" s="74">
        <v>7.08701150530999E14</v>
      </c>
      <c r="G66" s="167" t="s">
        <v>3959</v>
      </c>
      <c r="H66" s="211">
        <v>19115.0</v>
      </c>
      <c r="I66" s="34" t="s">
        <v>183</v>
      </c>
      <c r="J66" s="74"/>
      <c r="K66" s="74"/>
      <c r="R66" s="67"/>
    </row>
    <row r="67">
      <c r="A67" s="12" t="s">
        <v>87</v>
      </c>
      <c r="B67" s="229" t="s">
        <v>1359</v>
      </c>
      <c r="C67" s="74" t="s">
        <v>1295</v>
      </c>
      <c r="D67" s="512" t="str">
        <f>IF(C67&lt;&gt;"Quarta-Feira","16:00","11:00")</f>
        <v>16:00</v>
      </c>
      <c r="E67" s="287" t="s">
        <v>3777</v>
      </c>
      <c r="F67" s="74">
        <v>7.06501321033892E14</v>
      </c>
      <c r="G67" s="167" t="s">
        <v>3778</v>
      </c>
      <c r="H67" s="211">
        <v>25299.0</v>
      </c>
      <c r="I67" s="34" t="s">
        <v>1823</v>
      </c>
      <c r="J67" s="74"/>
      <c r="K67" s="74"/>
      <c r="R67" s="67"/>
    </row>
    <row r="68">
      <c r="A68" s="12" t="s">
        <v>90</v>
      </c>
      <c r="B68" s="229" t="s">
        <v>1361</v>
      </c>
      <c r="C68" s="74" t="s">
        <v>1295</v>
      </c>
      <c r="D68" s="512" t="str">
        <f>IF(C68&lt;&gt;"Quarta-Feira","16:20","11:20")</f>
        <v>16:20</v>
      </c>
      <c r="E68" s="287" t="s">
        <v>3960</v>
      </c>
      <c r="F68" s="74">
        <v>7.000099484679E14</v>
      </c>
      <c r="G68" s="167" t="s">
        <v>3961</v>
      </c>
      <c r="H68" s="211">
        <v>36119.0</v>
      </c>
      <c r="I68" s="34" t="s">
        <v>183</v>
      </c>
      <c r="J68" s="74"/>
      <c r="K68" s="74"/>
      <c r="R68" s="67"/>
    </row>
    <row r="69">
      <c r="A69" s="12" t="s">
        <v>93</v>
      </c>
      <c r="B69" s="229" t="s">
        <v>1363</v>
      </c>
      <c r="C69" s="74" t="s">
        <v>1295</v>
      </c>
      <c r="D69" s="512" t="str">
        <f>IF(C69&lt;&gt;"Quarta-Feira","16:40","11:40")</f>
        <v>16:40</v>
      </c>
      <c r="E69" s="287" t="s">
        <v>3962</v>
      </c>
      <c r="F69" s="74">
        <v>7.06300750365677E14</v>
      </c>
      <c r="G69" s="167" t="s">
        <v>3963</v>
      </c>
      <c r="H69" s="211">
        <v>22230.0</v>
      </c>
      <c r="I69" s="34" t="s">
        <v>183</v>
      </c>
      <c r="J69" s="74"/>
      <c r="K69" s="74"/>
      <c r="R69" s="67"/>
    </row>
    <row r="70">
      <c r="B70" s="182"/>
      <c r="E70" s="261"/>
      <c r="G70" s="182"/>
      <c r="J70" s="67"/>
      <c r="K70" s="67"/>
      <c r="R70" s="67"/>
    </row>
    <row r="71">
      <c r="B71" s="182"/>
      <c r="E71" s="261"/>
      <c r="G71" s="182"/>
      <c r="J71" s="67"/>
      <c r="K71" s="67"/>
      <c r="R71" s="67"/>
    </row>
    <row r="72" ht="15.0" customHeight="1">
      <c r="B72" s="182"/>
      <c r="E72" s="261"/>
      <c r="G72" s="182"/>
      <c r="J72" s="67"/>
      <c r="K72" s="67"/>
      <c r="R72" s="67"/>
    </row>
    <row r="73">
      <c r="A73" s="23" t="s">
        <v>378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TEXT(DATE(VALUE(MID(A56,7,4)),VALUE(MID(A56,4,2)),VALUE(LEFT(A56,2)))+2,"dd/mm/yyyy")&amp;" 08h às 13h"</f>
        <v>08/07/2026 08h às 13h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25"/>
      <c r="B75" s="489" t="s">
        <v>3</v>
      </c>
      <c r="C75" s="27" t="s">
        <v>2</v>
      </c>
      <c r="D75" s="28" t="s">
        <v>5</v>
      </c>
      <c r="E75" s="29" t="s">
        <v>19</v>
      </c>
      <c r="F75" s="28" t="s">
        <v>6</v>
      </c>
      <c r="G75" s="264" t="s">
        <v>7</v>
      </c>
      <c r="H75" s="30" t="s">
        <v>8</v>
      </c>
      <c r="I75" s="31" t="s">
        <v>20</v>
      </c>
      <c r="J75" s="32" t="s">
        <v>21</v>
      </c>
      <c r="K75" s="32" t="s">
        <v>22</v>
      </c>
      <c r="R75" s="67"/>
    </row>
    <row r="76">
      <c r="A76" s="12" t="s">
        <v>10</v>
      </c>
      <c r="B76" s="229" t="s">
        <v>65</v>
      </c>
      <c r="C76" s="74" t="str">
        <f t="shared" ref="C76:C87" si="8">PROPER(TEXT(DATE(MID($A$74,7,4),MID($A$74,4,2),LEFT($A$74,2)),"dddd"))</f>
        <v>Quarta-Feira</v>
      </c>
      <c r="D76" s="512" t="str">
        <f>IF(C76&lt;&gt;"Quarta-Feira","13:00","08:00")</f>
        <v>08:00</v>
      </c>
      <c r="E76" s="287" t="s">
        <v>3964</v>
      </c>
      <c r="F76" s="84">
        <v>7.00404465775645E14</v>
      </c>
      <c r="G76" s="79" t="s">
        <v>3965</v>
      </c>
      <c r="H76" s="77">
        <v>33697.0</v>
      </c>
      <c r="I76" s="34" t="s">
        <v>183</v>
      </c>
      <c r="J76" s="74"/>
      <c r="K76" s="74"/>
      <c r="L76" s="216" t="s">
        <v>521</v>
      </c>
      <c r="N76" s="268" t="s">
        <v>387</v>
      </c>
      <c r="O76" s="100"/>
      <c r="P76" s="100"/>
      <c r="Q76" s="100"/>
      <c r="R76" s="100"/>
    </row>
    <row r="77">
      <c r="A77" s="12" t="s">
        <v>11</v>
      </c>
      <c r="B77" s="229" t="s">
        <v>202</v>
      </c>
      <c r="C77" s="74" t="str">
        <f t="shared" si="8"/>
        <v>Quarta-Feira</v>
      </c>
      <c r="D77" s="512" t="str">
        <f>IF(C77&lt;&gt;"Quarta-Feira","13:20","08:20")</f>
        <v>08:20</v>
      </c>
      <c r="E77" s="287" t="s">
        <v>3966</v>
      </c>
      <c r="F77" s="84">
        <v>8.01440478375854E14</v>
      </c>
      <c r="G77" s="79" t="s">
        <v>3967</v>
      </c>
      <c r="H77" s="77">
        <v>22327.0</v>
      </c>
      <c r="I77" s="34" t="s">
        <v>1823</v>
      </c>
      <c r="J77" s="74"/>
      <c r="K77" s="74"/>
      <c r="N77" s="270" t="s">
        <v>1824</v>
      </c>
      <c r="O77" s="2"/>
      <c r="P77" s="2"/>
      <c r="Q77" s="2"/>
      <c r="R77" s="2"/>
    </row>
    <row r="78">
      <c r="A78" s="12" t="s">
        <v>12</v>
      </c>
      <c r="B78" s="229" t="s">
        <v>1448</v>
      </c>
      <c r="C78" s="74" t="str">
        <f t="shared" si="8"/>
        <v>Quarta-Feira</v>
      </c>
      <c r="D78" s="512" t="str">
        <f>IF(C78&lt;&gt;"Quarta-Feira","13:40","08:40")</f>
        <v>08:40</v>
      </c>
      <c r="E78" s="287" t="s">
        <v>3968</v>
      </c>
      <c r="F78" s="84">
        <v>7.02308144658815E14</v>
      </c>
      <c r="G78" s="79" t="s">
        <v>3969</v>
      </c>
      <c r="H78" s="77">
        <v>16563.0</v>
      </c>
      <c r="I78" s="34" t="s">
        <v>183</v>
      </c>
      <c r="J78" s="74"/>
      <c r="K78" s="74"/>
      <c r="L78" s="216" t="s">
        <v>521</v>
      </c>
      <c r="N78" s="271" t="s">
        <v>183</v>
      </c>
      <c r="O78" s="272" t="s">
        <v>195</v>
      </c>
      <c r="P78" s="272" t="s">
        <v>181</v>
      </c>
      <c r="Q78" s="273" t="s">
        <v>173</v>
      </c>
      <c r="R78" s="286" t="s">
        <v>1823</v>
      </c>
    </row>
    <row r="79">
      <c r="A79" s="12" t="s">
        <v>13</v>
      </c>
      <c r="B79" s="229" t="s">
        <v>822</v>
      </c>
      <c r="C79" s="74" t="str">
        <f t="shared" si="8"/>
        <v>Quarta-Feira</v>
      </c>
      <c r="D79" s="512" t="str">
        <f>IF(C79&lt;&gt;"Quarta-Feira","14:00","09:00")</f>
        <v>09:00</v>
      </c>
      <c r="E79" s="287" t="s">
        <v>3970</v>
      </c>
      <c r="F79" s="84">
        <v>7.0180425128377E14</v>
      </c>
      <c r="G79" s="79" t="s">
        <v>3971</v>
      </c>
      <c r="H79" s="77">
        <v>29713.0</v>
      </c>
      <c r="I79" s="34" t="s">
        <v>1823</v>
      </c>
      <c r="J79" s="74"/>
      <c r="K79" s="74"/>
      <c r="L79" s="216" t="s">
        <v>521</v>
      </c>
      <c r="N79" s="275">
        <f t="shared" ref="N79:R79" si="9">COUNTIFS($I$76:$I$87,N78)</f>
        <v>6</v>
      </c>
      <c r="O79" s="275">
        <f t="shared" si="9"/>
        <v>0</v>
      </c>
      <c r="P79" s="275">
        <f t="shared" si="9"/>
        <v>0</v>
      </c>
      <c r="Q79" s="275">
        <f t="shared" si="9"/>
        <v>0</v>
      </c>
      <c r="R79" s="275">
        <f t="shared" si="9"/>
        <v>4</v>
      </c>
    </row>
    <row r="80" ht="18.0" customHeight="1">
      <c r="A80" s="12" t="s">
        <v>14</v>
      </c>
      <c r="B80" s="229" t="s">
        <v>202</v>
      </c>
      <c r="C80" s="74" t="str">
        <f t="shared" si="8"/>
        <v>Quarta-Feira</v>
      </c>
      <c r="D80" s="512" t="str">
        <f>IF(C80&lt;&gt;"Quarta-Feira","14:20","09:20")</f>
        <v>09:20</v>
      </c>
      <c r="E80" s="287" t="s">
        <v>3972</v>
      </c>
      <c r="F80" s="84">
        <v>7.05400418834298E14</v>
      </c>
      <c r="G80" s="352" t="s">
        <v>2035</v>
      </c>
      <c r="H80" s="77">
        <v>21388.0</v>
      </c>
      <c r="I80" s="34" t="s">
        <v>183</v>
      </c>
      <c r="J80" s="74"/>
      <c r="K80" s="74"/>
      <c r="L80" s="216" t="s">
        <v>521</v>
      </c>
      <c r="R80" s="67"/>
    </row>
    <row r="81">
      <c r="A81" s="12" t="s">
        <v>15</v>
      </c>
      <c r="B81" s="229" t="s">
        <v>1448</v>
      </c>
      <c r="C81" s="74" t="str">
        <f t="shared" si="8"/>
        <v>Quarta-Feira</v>
      </c>
      <c r="D81" s="512" t="str">
        <f>IF(C81&lt;&gt;"Quarta-Feira","14:40","09:40")</f>
        <v>09:40</v>
      </c>
      <c r="E81" s="287" t="s">
        <v>3973</v>
      </c>
      <c r="F81" s="84">
        <v>7.0420320943098E14</v>
      </c>
      <c r="G81" s="79" t="s">
        <v>3974</v>
      </c>
      <c r="H81" s="77">
        <v>20634.0</v>
      </c>
      <c r="I81" s="34" t="s">
        <v>183</v>
      </c>
      <c r="J81" s="74"/>
      <c r="K81" s="74"/>
      <c r="L81" s="216" t="s">
        <v>521</v>
      </c>
      <c r="R81" s="67"/>
    </row>
    <row r="82">
      <c r="A82" s="12" t="s">
        <v>16</v>
      </c>
      <c r="B82" s="229" t="s">
        <v>65</v>
      </c>
      <c r="C82" s="74" t="str">
        <f t="shared" si="8"/>
        <v>Quarta-Feira</v>
      </c>
      <c r="D82" s="512" t="str">
        <f>IF(C82&lt;&gt;"Quarta-Feira","15:00","10:00")</f>
        <v>10:00</v>
      </c>
      <c r="E82" s="287"/>
      <c r="F82" s="84"/>
      <c r="G82" s="352"/>
      <c r="H82" s="77"/>
      <c r="I82" s="34" t="s">
        <v>2348</v>
      </c>
      <c r="J82" s="74"/>
      <c r="K82" s="74"/>
      <c r="L82" s="216" t="s">
        <v>521</v>
      </c>
      <c r="R82" s="67"/>
    </row>
    <row r="83">
      <c r="A83" s="12" t="s">
        <v>179</v>
      </c>
      <c r="B83" s="229" t="s">
        <v>202</v>
      </c>
      <c r="C83" s="74" t="str">
        <f t="shared" si="8"/>
        <v>Quarta-Feira</v>
      </c>
      <c r="D83" s="512" t="str">
        <f>IF(C83&lt;&gt;"Quarta-Feira","15:20","10:20")</f>
        <v>10:20</v>
      </c>
      <c r="E83" s="287" t="s">
        <v>3727</v>
      </c>
      <c r="F83" s="84">
        <v>7.00001381212209E14</v>
      </c>
      <c r="G83" s="79" t="s">
        <v>3728</v>
      </c>
      <c r="H83" s="77">
        <v>22261.0</v>
      </c>
      <c r="I83" s="34" t="s">
        <v>1823</v>
      </c>
      <c r="J83" s="74"/>
      <c r="K83" s="74"/>
      <c r="L83" s="216" t="s">
        <v>521</v>
      </c>
      <c r="R83" s="67"/>
    </row>
    <row r="84">
      <c r="A84" s="12" t="s">
        <v>85</v>
      </c>
      <c r="B84" s="229" t="s">
        <v>822</v>
      </c>
      <c r="C84" s="74" t="str">
        <f t="shared" si="8"/>
        <v>Quarta-Feira</v>
      </c>
      <c r="D84" s="512" t="str">
        <f>IF(C84&lt;&gt;"Quarta-Feira","15:40","10:40")</f>
        <v>10:40</v>
      </c>
      <c r="E84" s="287" t="s">
        <v>3975</v>
      </c>
      <c r="F84" s="84">
        <v>8.01440497988564E14</v>
      </c>
      <c r="G84" s="79" t="s">
        <v>3976</v>
      </c>
      <c r="H84" s="77">
        <v>22950.0</v>
      </c>
      <c r="I84" s="34" t="s">
        <v>183</v>
      </c>
      <c r="J84" s="74"/>
      <c r="K84" s="74"/>
      <c r="L84" s="216" t="s">
        <v>521</v>
      </c>
      <c r="R84" s="67"/>
    </row>
    <row r="85">
      <c r="A85" s="12" t="s">
        <v>87</v>
      </c>
      <c r="B85" s="229" t="s">
        <v>1448</v>
      </c>
      <c r="C85" s="74" t="str">
        <f t="shared" si="8"/>
        <v>Quarta-Feira</v>
      </c>
      <c r="D85" s="512" t="str">
        <f>IF(C85&lt;&gt;"Quarta-Feira","16:00","11:00")</f>
        <v>11:00</v>
      </c>
      <c r="E85" s="287" t="s">
        <v>2840</v>
      </c>
      <c r="F85" s="216">
        <v>7.00809476125982E14</v>
      </c>
      <c r="G85" s="79" t="s">
        <v>2841</v>
      </c>
      <c r="H85" s="77">
        <v>24802.0</v>
      </c>
      <c r="I85" s="34" t="s">
        <v>183</v>
      </c>
      <c r="J85" s="74"/>
      <c r="K85" s="74"/>
      <c r="L85" s="216" t="s">
        <v>521</v>
      </c>
      <c r="R85" s="67"/>
    </row>
    <row r="86">
      <c r="A86" s="12" t="s">
        <v>90</v>
      </c>
      <c r="B86" s="229" t="s">
        <v>822</v>
      </c>
      <c r="C86" s="74" t="str">
        <f t="shared" si="8"/>
        <v>Quarta-Feira</v>
      </c>
      <c r="D86" s="512" t="str">
        <f>IF(C86&lt;&gt;"Quarta-Feira","16:20","11:20")</f>
        <v>11:20</v>
      </c>
      <c r="E86" s="287" t="s">
        <v>3977</v>
      </c>
      <c r="F86" s="84">
        <v>8.01440406379772E14</v>
      </c>
      <c r="G86" s="79" t="s">
        <v>3978</v>
      </c>
      <c r="H86" s="314">
        <v>15794.0</v>
      </c>
      <c r="I86" s="34" t="s">
        <v>1823</v>
      </c>
      <c r="J86" s="74"/>
      <c r="K86" s="74"/>
      <c r="L86" s="216" t="s">
        <v>521</v>
      </c>
      <c r="R86" s="67"/>
    </row>
    <row r="87">
      <c r="A87" s="12" t="s">
        <v>93</v>
      </c>
      <c r="B87" s="229" t="s">
        <v>65</v>
      </c>
      <c r="C87" s="74" t="str">
        <f t="shared" si="8"/>
        <v>Quarta-Feira</v>
      </c>
      <c r="D87" s="512" t="str">
        <f>IF(C87&lt;&gt;"Quarta-Feira","16:40","11:40")</f>
        <v>11:40</v>
      </c>
      <c r="E87" s="287"/>
      <c r="F87" s="84"/>
      <c r="G87" s="79"/>
      <c r="H87" s="314"/>
      <c r="I87" s="34" t="s">
        <v>2348</v>
      </c>
      <c r="J87" s="74"/>
      <c r="K87" s="74"/>
      <c r="R87" s="67"/>
    </row>
    <row r="88">
      <c r="B88" s="182"/>
      <c r="E88" s="261"/>
      <c r="G88" s="182"/>
      <c r="J88" s="67"/>
      <c r="K88" s="67"/>
      <c r="R88" s="67"/>
    </row>
    <row r="89">
      <c r="B89" s="182"/>
      <c r="E89" s="261"/>
      <c r="G89" s="182"/>
      <c r="J89" s="67"/>
      <c r="K89" s="67"/>
      <c r="R89" s="67"/>
    </row>
    <row r="90">
      <c r="B90" s="182"/>
      <c r="E90" s="261"/>
      <c r="G90" s="182"/>
      <c r="J90" s="67"/>
      <c r="K90" s="67"/>
      <c r="R90" s="67"/>
    </row>
    <row r="91">
      <c r="A91" s="23" t="s">
        <v>378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08h às 13h"</f>
        <v>10/07/2026 08h às 13h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489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64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2381</v>
      </c>
      <c r="C94" s="74" t="str">
        <f t="shared" ref="C94:C105" si="10">PROPER(TEXT(DATE(MID($A$92,7,4),MID($A$92,4,2),LEFT($A$92,2)),"dddd"))</f>
        <v>Sexta-Feira</v>
      </c>
      <c r="D94" s="512" t="str">
        <f>IF(C94&lt;&gt;"Quarta-Feira","13:00","08:00")</f>
        <v>13:00</v>
      </c>
      <c r="E94" s="287"/>
      <c r="F94" s="74"/>
      <c r="G94" s="167" t="s">
        <v>2926</v>
      </c>
      <c r="H94" s="211"/>
      <c r="I94" s="34"/>
      <c r="J94" s="74"/>
      <c r="K94" s="74"/>
      <c r="L94" s="216" t="s">
        <v>521</v>
      </c>
      <c r="N94" s="268" t="s">
        <v>387</v>
      </c>
      <c r="O94" s="100"/>
      <c r="P94" s="100"/>
      <c r="Q94" s="100"/>
      <c r="R94" s="100"/>
    </row>
    <row r="95">
      <c r="A95" s="12" t="s">
        <v>11</v>
      </c>
      <c r="B95" s="227" t="s">
        <v>2384</v>
      </c>
      <c r="C95" s="74" t="str">
        <f t="shared" si="10"/>
        <v>Sexta-Feira</v>
      </c>
      <c r="D95" s="512" t="str">
        <f>IF(C95&lt;&gt;"Quarta-Feira","13:20","08:20")</f>
        <v>13:20</v>
      </c>
      <c r="E95" s="287"/>
      <c r="F95" s="74"/>
      <c r="G95" s="167" t="s">
        <v>2926</v>
      </c>
      <c r="H95" s="77"/>
      <c r="I95" s="34"/>
      <c r="J95" s="74"/>
      <c r="K95" s="74"/>
      <c r="N95" s="270" t="s">
        <v>1824</v>
      </c>
      <c r="O95" s="2"/>
      <c r="P95" s="2"/>
      <c r="Q95" s="2"/>
      <c r="R95" s="2"/>
    </row>
    <row r="96">
      <c r="A96" s="12" t="s">
        <v>12</v>
      </c>
      <c r="B96" s="227" t="s">
        <v>2387</v>
      </c>
      <c r="C96" s="74" t="str">
        <f t="shared" si="10"/>
        <v>Sexta-Feira</v>
      </c>
      <c r="D96" s="512" t="str">
        <f>IF(C96&lt;&gt;"Quarta-Feira","13:40","08:40")</f>
        <v>13:40</v>
      </c>
      <c r="E96" s="287"/>
      <c r="F96" s="74"/>
      <c r="G96" s="167" t="s">
        <v>2926</v>
      </c>
      <c r="H96" s="83"/>
      <c r="I96" s="34"/>
      <c r="J96" s="74"/>
      <c r="K96" s="74"/>
      <c r="L96" s="216" t="s">
        <v>521</v>
      </c>
      <c r="N96" s="271" t="s">
        <v>183</v>
      </c>
      <c r="O96" s="272" t="s">
        <v>195</v>
      </c>
      <c r="P96" s="272" t="s">
        <v>181</v>
      </c>
      <c r="Q96" s="273" t="s">
        <v>173</v>
      </c>
      <c r="R96" s="286" t="s">
        <v>1823</v>
      </c>
    </row>
    <row r="97">
      <c r="A97" s="12" t="s">
        <v>13</v>
      </c>
      <c r="B97" s="227" t="s">
        <v>2390</v>
      </c>
      <c r="C97" s="74" t="str">
        <f t="shared" si="10"/>
        <v>Sexta-Feira</v>
      </c>
      <c r="D97" s="512" t="str">
        <f>IF(C97&lt;&gt;"Quarta-Feira","14:00","09:00")</f>
        <v>14:00</v>
      </c>
      <c r="E97" s="287"/>
      <c r="F97" s="74"/>
      <c r="G97" s="167" t="s">
        <v>2926</v>
      </c>
      <c r="H97" s="83"/>
      <c r="I97" s="34"/>
      <c r="J97" s="74"/>
      <c r="K97" s="74"/>
      <c r="L97" s="216" t="s">
        <v>521</v>
      </c>
      <c r="N97" s="275">
        <f t="shared" ref="N97:Q97" si="11">COUNTIFS($I$94:$I$105,N96)</f>
        <v>0</v>
      </c>
      <c r="O97" s="275">
        <f t="shared" si="11"/>
        <v>0</v>
      </c>
      <c r="P97" s="275">
        <f t="shared" si="11"/>
        <v>0</v>
      </c>
      <c r="Q97" s="275">
        <f t="shared" si="11"/>
        <v>0</v>
      </c>
      <c r="R97" s="67">
        <f>COUNTIFS(I94:I105,R96)</f>
        <v>0</v>
      </c>
    </row>
    <row r="98">
      <c r="A98" s="12" t="s">
        <v>14</v>
      </c>
      <c r="B98" s="227" t="s">
        <v>2381</v>
      </c>
      <c r="C98" s="74" t="str">
        <f t="shared" si="10"/>
        <v>Sexta-Feira</v>
      </c>
      <c r="D98" s="512" t="str">
        <f>IF(C98&lt;&gt;"Quarta-Feira","14:20","09:20")</f>
        <v>14:20</v>
      </c>
      <c r="E98" s="287"/>
      <c r="F98" s="74"/>
      <c r="G98" s="167" t="s">
        <v>2926</v>
      </c>
      <c r="H98" s="83"/>
      <c r="I98" s="34"/>
      <c r="J98" s="74"/>
      <c r="K98" s="74"/>
      <c r="L98" s="216" t="s">
        <v>521</v>
      </c>
      <c r="R98" s="67"/>
    </row>
    <row r="99">
      <c r="A99" s="12" t="s">
        <v>15</v>
      </c>
      <c r="B99" s="227" t="s">
        <v>2384</v>
      </c>
      <c r="C99" s="74" t="str">
        <f t="shared" si="10"/>
        <v>Sexta-Feira</v>
      </c>
      <c r="D99" s="512" t="str">
        <f>IF(C99&lt;&gt;"Quarta-Feira","14:40","09:40")</f>
        <v>14:40</v>
      </c>
      <c r="E99" s="287"/>
      <c r="F99" s="74"/>
      <c r="G99" s="167" t="s">
        <v>2926</v>
      </c>
      <c r="H99" s="83"/>
      <c r="I99" s="34"/>
      <c r="J99" s="74"/>
      <c r="K99" s="74"/>
      <c r="L99" s="216" t="s">
        <v>521</v>
      </c>
      <c r="R99" s="67"/>
    </row>
    <row r="100">
      <c r="A100" s="12" t="s">
        <v>16</v>
      </c>
      <c r="B100" s="227" t="s">
        <v>2387</v>
      </c>
      <c r="C100" s="74" t="str">
        <f t="shared" si="10"/>
        <v>Sexta-Feira</v>
      </c>
      <c r="D100" s="512" t="str">
        <f>IF(C100&lt;&gt;"Quarta-Feira","15:00","10:00")</f>
        <v>15:00</v>
      </c>
      <c r="E100" s="287"/>
      <c r="F100" s="74"/>
      <c r="G100" s="167" t="s">
        <v>2926</v>
      </c>
      <c r="H100" s="83"/>
      <c r="I100" s="34"/>
      <c r="J100" s="74"/>
      <c r="K100" s="74"/>
      <c r="R100" s="67"/>
    </row>
    <row r="101">
      <c r="A101" s="12" t="s">
        <v>17</v>
      </c>
      <c r="B101" s="227" t="s">
        <v>2390</v>
      </c>
      <c r="C101" s="74" t="str">
        <f t="shared" si="10"/>
        <v>Sexta-Feira</v>
      </c>
      <c r="D101" s="512" t="str">
        <f>IF(C101&lt;&gt;"Quarta-Feira","15:20","10:20")</f>
        <v>15:20</v>
      </c>
      <c r="E101" s="287"/>
      <c r="F101" s="74"/>
      <c r="G101" s="167" t="s">
        <v>2926</v>
      </c>
      <c r="H101" s="77"/>
      <c r="I101" s="34"/>
      <c r="J101" s="74"/>
      <c r="K101" s="74"/>
      <c r="R101" s="67"/>
    </row>
    <row r="102">
      <c r="A102" s="12" t="s">
        <v>85</v>
      </c>
      <c r="B102" s="227" t="s">
        <v>2384</v>
      </c>
      <c r="C102" s="74" t="str">
        <f t="shared" si="10"/>
        <v>Sexta-Feira</v>
      </c>
      <c r="D102" s="512" t="str">
        <f>IF(C102&lt;&gt;"Quarta-Feira","15:40","10:40")</f>
        <v>15:40</v>
      </c>
      <c r="E102" s="287"/>
      <c r="F102" s="74"/>
      <c r="G102" s="167" t="s">
        <v>2926</v>
      </c>
      <c r="H102" s="83"/>
      <c r="I102" s="34"/>
      <c r="J102" s="74"/>
      <c r="K102" s="74"/>
      <c r="L102" s="216" t="s">
        <v>577</v>
      </c>
      <c r="R102" s="67"/>
    </row>
    <row r="103">
      <c r="A103" s="12" t="s">
        <v>87</v>
      </c>
      <c r="B103" s="227" t="s">
        <v>2381</v>
      </c>
      <c r="C103" s="74" t="str">
        <f t="shared" si="10"/>
        <v>Sexta-Feira</v>
      </c>
      <c r="D103" s="512" t="str">
        <f>IF(C103&lt;&gt;"Quarta-Feira","16:00","11:00")</f>
        <v>16:00</v>
      </c>
      <c r="E103" s="287"/>
      <c r="F103" s="74"/>
      <c r="G103" s="167" t="s">
        <v>2926</v>
      </c>
      <c r="H103" s="166"/>
      <c r="I103" s="34"/>
      <c r="J103" s="74"/>
      <c r="K103" s="74"/>
      <c r="R103" s="67"/>
    </row>
    <row r="104">
      <c r="A104" s="12" t="s">
        <v>90</v>
      </c>
      <c r="B104" s="227" t="s">
        <v>2381</v>
      </c>
      <c r="C104" s="74" t="str">
        <f t="shared" si="10"/>
        <v>Sexta-Feira</v>
      </c>
      <c r="D104" s="512" t="str">
        <f>IF(C104&lt;&gt;"Quarta-Feira","16:20","11:20")</f>
        <v>16:20</v>
      </c>
      <c r="E104" s="287"/>
      <c r="F104" s="74"/>
      <c r="G104" s="167" t="s">
        <v>2926</v>
      </c>
      <c r="H104" s="166"/>
      <c r="I104" s="34"/>
      <c r="J104" s="74"/>
      <c r="K104" s="74"/>
      <c r="R104" s="67"/>
    </row>
    <row r="105">
      <c r="A105" s="12" t="s">
        <v>93</v>
      </c>
      <c r="B105" s="227" t="s">
        <v>2381</v>
      </c>
      <c r="C105" s="74" t="str">
        <f t="shared" si="10"/>
        <v>Sexta-Feira</v>
      </c>
      <c r="D105" s="512" t="str">
        <f>IF(C105&lt;&gt;"Quarta-Feira","16:40","11:40")</f>
        <v>16:40</v>
      </c>
      <c r="E105" s="287"/>
      <c r="F105" s="74"/>
      <c r="G105" s="167" t="s">
        <v>2926</v>
      </c>
      <c r="H105" s="166"/>
      <c r="I105" s="34"/>
      <c r="J105" s="74"/>
      <c r="K105" s="74"/>
      <c r="R105" s="67"/>
    </row>
    <row r="106">
      <c r="B106" s="182"/>
      <c r="E106" s="261"/>
      <c r="G106" s="182"/>
      <c r="J106" s="67"/>
      <c r="K106" s="67"/>
      <c r="R106" s="67"/>
    </row>
    <row r="107">
      <c r="B107" s="182"/>
      <c r="E107" s="261"/>
      <c r="G107" s="182"/>
      <c r="J107" s="67"/>
      <c r="K107" s="67"/>
      <c r="R107" s="67"/>
    </row>
    <row r="108">
      <c r="B108" s="182"/>
      <c r="E108" s="261"/>
      <c r="G108" s="182"/>
      <c r="J108" s="67"/>
      <c r="K108" s="67"/>
      <c r="R108" s="67"/>
    </row>
    <row r="109">
      <c r="A109" s="23" t="s">
        <v>378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TEXT(DATE(VALUE(MID(A56,7,4)),VALUE(MID(A56,4,2)),VALUE(LEFT(A56,2)))+7,"dd/mm/yyyy")&amp;" 13h às 17h"</f>
        <v>13/07/2026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489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1981</v>
      </c>
      <c r="C112" s="74" t="str">
        <f t="shared" ref="C112:C123" si="12">PROPER(TEXT(DATE(MID($A$110,7,4),MID($A$110,4,2),LEFT($A$110,2)),"dddd"))</f>
        <v>Segunda-Feira</v>
      </c>
      <c r="D112" s="512" t="str">
        <f>IF(C112&lt;&gt;"Quarta-Feira","13:00","08:00")</f>
        <v>13:00</v>
      </c>
      <c r="E112" s="287" t="s">
        <v>3979</v>
      </c>
      <c r="F112" s="74">
        <v>7.00005625622307E14</v>
      </c>
      <c r="G112" s="167" t="s">
        <v>3980</v>
      </c>
      <c r="H112" s="522">
        <v>20853.0</v>
      </c>
      <c r="I112" s="34" t="s">
        <v>183</v>
      </c>
      <c r="J112" s="74"/>
      <c r="K112" s="74"/>
      <c r="N112" s="268" t="s">
        <v>387</v>
      </c>
      <c r="O112" s="100"/>
      <c r="P112" s="100"/>
      <c r="Q112" s="100"/>
      <c r="R112" s="100"/>
    </row>
    <row r="113">
      <c r="A113" s="12" t="s">
        <v>11</v>
      </c>
      <c r="B113" s="227" t="s">
        <v>1985</v>
      </c>
      <c r="C113" s="74" t="str">
        <f t="shared" si="12"/>
        <v>Segunda-Feira</v>
      </c>
      <c r="D113" s="512" t="str">
        <f>IF(C113&lt;&gt;"Quarta-Feira","13:20","08:20")</f>
        <v>13:20</v>
      </c>
      <c r="E113" s="287" t="s">
        <v>3981</v>
      </c>
      <c r="F113" s="74">
        <v>8.98000742260994E14</v>
      </c>
      <c r="G113" s="167" t="s">
        <v>3982</v>
      </c>
      <c r="H113" s="77">
        <v>21880.0</v>
      </c>
      <c r="I113" s="34" t="s">
        <v>183</v>
      </c>
      <c r="J113" s="74"/>
      <c r="K113" s="74"/>
      <c r="N113" s="270" t="s">
        <v>1824</v>
      </c>
      <c r="O113" s="2"/>
      <c r="P113" s="2"/>
      <c r="Q113" s="2"/>
      <c r="R113" s="2"/>
    </row>
    <row r="114">
      <c r="A114" s="12" t="s">
        <v>12</v>
      </c>
      <c r="B114" s="227" t="s">
        <v>1989</v>
      </c>
      <c r="C114" s="74" t="str">
        <f t="shared" si="12"/>
        <v>Segunda-Feira</v>
      </c>
      <c r="D114" s="512" t="str">
        <f>IF(C114&lt;&gt;"Quarta-Feira","13:40","08:40")</f>
        <v>13:40</v>
      </c>
      <c r="E114" s="287" t="s">
        <v>2811</v>
      </c>
      <c r="F114" s="74">
        <v>7.02409591169725E14</v>
      </c>
      <c r="G114" s="167" t="s">
        <v>2812</v>
      </c>
      <c r="H114" s="83">
        <v>17697.0</v>
      </c>
      <c r="I114" s="34" t="s">
        <v>183</v>
      </c>
      <c r="J114" s="74"/>
      <c r="K114" s="74"/>
      <c r="N114" s="271" t="s">
        <v>183</v>
      </c>
      <c r="O114" s="272" t="s">
        <v>195</v>
      </c>
      <c r="P114" s="272" t="s">
        <v>181</v>
      </c>
      <c r="Q114" s="273" t="s">
        <v>173</v>
      </c>
      <c r="R114" s="286" t="s">
        <v>1823</v>
      </c>
    </row>
    <row r="115">
      <c r="A115" s="12" t="s">
        <v>13</v>
      </c>
      <c r="B115" s="227" t="s">
        <v>1992</v>
      </c>
      <c r="C115" s="74" t="str">
        <f t="shared" si="12"/>
        <v>Segunda-Feira</v>
      </c>
      <c r="D115" s="512" t="str">
        <f>IF(C115&lt;&gt;"Quarta-Feira","14:00","09:00")</f>
        <v>14:00</v>
      </c>
      <c r="E115" s="287" t="s">
        <v>3346</v>
      </c>
      <c r="F115" s="74">
        <v>7.00207412547626E14</v>
      </c>
      <c r="G115" s="167" t="s">
        <v>3347</v>
      </c>
      <c r="H115" s="83">
        <v>19711.0</v>
      </c>
      <c r="I115" s="34" t="s">
        <v>183</v>
      </c>
      <c r="J115" s="74"/>
      <c r="K115" s="74"/>
      <c r="N115" s="275">
        <f t="shared" ref="N115:R115" si="13">COUNTIFS($I$112:$I$123,N114)</f>
        <v>12</v>
      </c>
      <c r="O115" s="275">
        <f t="shared" si="13"/>
        <v>0</v>
      </c>
      <c r="P115" s="275">
        <f t="shared" si="13"/>
        <v>0</v>
      </c>
      <c r="Q115" s="275">
        <f t="shared" si="13"/>
        <v>0</v>
      </c>
      <c r="R115" s="275">
        <f t="shared" si="13"/>
        <v>0</v>
      </c>
    </row>
    <row r="116">
      <c r="A116" s="12" t="s">
        <v>14</v>
      </c>
      <c r="B116" s="227" t="s">
        <v>1981</v>
      </c>
      <c r="C116" s="74" t="str">
        <f t="shared" si="12"/>
        <v>Segunda-Feira</v>
      </c>
      <c r="D116" s="512" t="str">
        <f>IF(C116&lt;&gt;"Quarta-Feira","14:20","09:20")</f>
        <v>14:20</v>
      </c>
      <c r="E116" s="287" t="s">
        <v>3983</v>
      </c>
      <c r="F116" s="74">
        <v>7.03403224962912E14</v>
      </c>
      <c r="G116" s="167" t="s">
        <v>3984</v>
      </c>
      <c r="H116" s="83">
        <v>28618.0</v>
      </c>
      <c r="I116" s="34" t="s">
        <v>183</v>
      </c>
      <c r="J116" s="74"/>
      <c r="K116" s="74"/>
      <c r="R116" s="67"/>
    </row>
    <row r="117">
      <c r="A117" s="12" t="s">
        <v>15</v>
      </c>
      <c r="B117" s="227" t="s">
        <v>1985</v>
      </c>
      <c r="C117" s="74" t="str">
        <f t="shared" si="12"/>
        <v>Segunda-Feira</v>
      </c>
      <c r="D117" s="512" t="str">
        <f>IF(C117&lt;&gt;"Quarta-Feira","14:40","09:40")</f>
        <v>14:40</v>
      </c>
      <c r="E117" s="287" t="s">
        <v>3773</v>
      </c>
      <c r="F117" s="74">
        <v>7.00009757003802E14</v>
      </c>
      <c r="G117" s="167" t="s">
        <v>3774</v>
      </c>
      <c r="H117" s="83">
        <v>23694.0</v>
      </c>
      <c r="I117" s="34" t="s">
        <v>183</v>
      </c>
      <c r="J117" s="74"/>
      <c r="K117" s="74"/>
      <c r="R117" s="67"/>
    </row>
    <row r="118">
      <c r="A118" s="12" t="s">
        <v>16</v>
      </c>
      <c r="B118" s="227" t="s">
        <v>1989</v>
      </c>
      <c r="C118" s="74" t="str">
        <f t="shared" si="12"/>
        <v>Segunda-Feira</v>
      </c>
      <c r="D118" s="512" t="str">
        <f>IF(C118&lt;&gt;"Quarta-Feira","15:00","10:00")</f>
        <v>15:00</v>
      </c>
      <c r="E118" s="287" t="s">
        <v>3985</v>
      </c>
      <c r="F118" s="74">
        <v>7.05000877541456E14</v>
      </c>
      <c r="G118" s="167" t="s">
        <v>3986</v>
      </c>
      <c r="H118" s="83">
        <v>33993.0</v>
      </c>
      <c r="I118" s="34" t="s">
        <v>183</v>
      </c>
      <c r="J118" s="74"/>
      <c r="K118" s="74"/>
      <c r="R118" s="67"/>
    </row>
    <row r="119">
      <c r="A119" s="12" t="s">
        <v>17</v>
      </c>
      <c r="B119" s="227" t="s">
        <v>1992</v>
      </c>
      <c r="C119" s="74" t="str">
        <f t="shared" si="12"/>
        <v>Segunda-Feira</v>
      </c>
      <c r="D119" s="512" t="str">
        <f>IF(C119&lt;&gt;"Quarta-Feira","15:20","10:20")</f>
        <v>15:20</v>
      </c>
      <c r="E119" s="287" t="s">
        <v>3551</v>
      </c>
      <c r="F119" s="74"/>
      <c r="G119" s="167"/>
      <c r="H119" s="77"/>
      <c r="I119" s="34" t="s">
        <v>183</v>
      </c>
      <c r="J119" s="74"/>
      <c r="K119" s="74"/>
      <c r="R119" s="67"/>
    </row>
    <row r="120">
      <c r="A120" s="12" t="s">
        <v>85</v>
      </c>
      <c r="B120" s="227" t="s">
        <v>1981</v>
      </c>
      <c r="C120" s="74" t="str">
        <f t="shared" si="12"/>
        <v>Segunda-Feira</v>
      </c>
      <c r="D120" s="512" t="str">
        <f>IF(C120&lt;&gt;"Quarta-Feira","15:40","10:40")</f>
        <v>15:40</v>
      </c>
      <c r="E120" s="287" t="s">
        <v>3987</v>
      </c>
      <c r="F120" s="74">
        <v>2.01153663040003E14</v>
      </c>
      <c r="G120" s="167" t="s">
        <v>3988</v>
      </c>
      <c r="H120" s="83">
        <v>22292.0</v>
      </c>
      <c r="I120" s="34" t="s">
        <v>183</v>
      </c>
      <c r="J120" s="74"/>
      <c r="K120" s="74"/>
      <c r="R120" s="67"/>
      <c r="V120" s="336"/>
    </row>
    <row r="121">
      <c r="A121" s="12" t="s">
        <v>87</v>
      </c>
      <c r="B121" s="227" t="s">
        <v>1985</v>
      </c>
      <c r="C121" s="74" t="str">
        <f t="shared" si="12"/>
        <v>Segunda-Feira</v>
      </c>
      <c r="D121" s="512" t="str">
        <f>IF(C121&lt;&gt;"Quarta-Feira","16:00","11:00")</f>
        <v>16:00</v>
      </c>
      <c r="E121" s="287" t="s">
        <v>3989</v>
      </c>
      <c r="F121" s="74">
        <v>8.98001484276584E14</v>
      </c>
      <c r="G121" s="167" t="s">
        <v>3990</v>
      </c>
      <c r="H121" s="166">
        <v>19018.0</v>
      </c>
      <c r="I121" s="34" t="s">
        <v>183</v>
      </c>
      <c r="J121" s="74"/>
      <c r="K121" s="74"/>
      <c r="R121" s="67"/>
    </row>
    <row r="122">
      <c r="A122" s="12" t="s">
        <v>90</v>
      </c>
      <c r="B122" s="227" t="s">
        <v>1989</v>
      </c>
      <c r="C122" s="74" t="str">
        <f t="shared" si="12"/>
        <v>Segunda-Feira</v>
      </c>
      <c r="D122" s="512" t="str">
        <f>IF(C122&lt;&gt;"Quarta-Feira","16:20","11:20")</f>
        <v>16:20</v>
      </c>
      <c r="E122" s="287" t="s">
        <v>3779</v>
      </c>
      <c r="F122" s="74">
        <v>7.01802201338871E14</v>
      </c>
      <c r="G122" s="167" t="s">
        <v>3780</v>
      </c>
      <c r="H122" s="166">
        <v>29719.0</v>
      </c>
      <c r="I122" s="34" t="s">
        <v>183</v>
      </c>
      <c r="J122" s="74"/>
      <c r="K122" s="74"/>
      <c r="R122" s="67"/>
    </row>
    <row r="123">
      <c r="A123" s="12" t="s">
        <v>93</v>
      </c>
      <c r="B123" s="227" t="s">
        <v>1992</v>
      </c>
      <c r="C123" s="74" t="str">
        <f t="shared" si="12"/>
        <v>Segunda-Feira</v>
      </c>
      <c r="D123" s="512" t="str">
        <f>IF(C123&lt;&gt;"Quarta-Feira","16:40","11:40")</f>
        <v>16:40</v>
      </c>
      <c r="E123" s="287" t="s">
        <v>3991</v>
      </c>
      <c r="F123" s="74">
        <v>7.00009014451908E14</v>
      </c>
      <c r="G123" s="167" t="s">
        <v>3992</v>
      </c>
      <c r="H123" s="166">
        <v>25577.0</v>
      </c>
      <c r="I123" s="34" t="s">
        <v>183</v>
      </c>
      <c r="J123" s="74"/>
      <c r="K123" s="74"/>
      <c r="R123" s="67"/>
    </row>
    <row r="124">
      <c r="B124" s="182"/>
      <c r="E124" s="261"/>
      <c r="G124" s="182"/>
      <c r="J124" s="67"/>
      <c r="K124" s="67"/>
      <c r="R124" s="67"/>
    </row>
    <row r="125">
      <c r="B125" s="182"/>
      <c r="E125" s="261"/>
      <c r="G125" s="182"/>
      <c r="J125" s="67"/>
      <c r="K125" s="67"/>
      <c r="R125" s="67"/>
    </row>
    <row r="126">
      <c r="B126" s="182"/>
      <c r="E126" s="261"/>
      <c r="G126" s="182"/>
      <c r="J126" s="67"/>
      <c r="K126" s="67"/>
      <c r="R126" s="67"/>
    </row>
    <row r="127">
      <c r="A127" s="23" t="s">
        <v>378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08h às 13h"</f>
        <v>15/07/2026 08h às 13h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489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64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2014</v>
      </c>
      <c r="C130" s="74" t="str">
        <f t="shared" ref="C130:C141" si="14">PROPER(TEXT(DATE(MID($A$128,7,4),MID($A$128,4,2),LEFT($A$128,2)),"dddd"))</f>
        <v>Quarta-Feira</v>
      </c>
      <c r="D130" s="512" t="str">
        <f>IF(C130&lt;&gt;"Quarta-Feira","13:00","08:00")</f>
        <v>08:00</v>
      </c>
      <c r="E130" s="287" t="s">
        <v>3993</v>
      </c>
      <c r="F130" s="74">
        <v>7.04604124581825E14</v>
      </c>
      <c r="G130" s="167" t="s">
        <v>3994</v>
      </c>
      <c r="H130" s="211">
        <v>26650.0</v>
      </c>
      <c r="I130" s="34" t="s">
        <v>183</v>
      </c>
      <c r="J130" s="74"/>
      <c r="K130" s="74"/>
      <c r="N130" s="268" t="s">
        <v>387</v>
      </c>
      <c r="O130" s="100"/>
      <c r="P130" s="100"/>
      <c r="Q130" s="100"/>
      <c r="R130" s="100"/>
    </row>
    <row r="131">
      <c r="A131" s="12" t="s">
        <v>11</v>
      </c>
      <c r="B131" s="227" t="s">
        <v>2019</v>
      </c>
      <c r="C131" s="74" t="str">
        <f t="shared" si="14"/>
        <v>Quarta-Feira</v>
      </c>
      <c r="D131" s="512" t="str">
        <f>IF(C131&lt;&gt;"Quarta-Feira","13:20","08:20")</f>
        <v>08:20</v>
      </c>
      <c r="E131" s="287" t="s">
        <v>3906</v>
      </c>
      <c r="F131" s="74">
        <v>7.06201007218764E14</v>
      </c>
      <c r="G131" s="167" t="s">
        <v>3908</v>
      </c>
      <c r="H131" s="77">
        <v>20810.0</v>
      </c>
      <c r="I131" s="34" t="s">
        <v>183</v>
      </c>
      <c r="J131" s="74"/>
      <c r="K131" s="74"/>
      <c r="N131" s="270" t="s">
        <v>1824</v>
      </c>
      <c r="O131" s="2"/>
      <c r="P131" s="2"/>
      <c r="Q131" s="2"/>
      <c r="R131" s="2"/>
    </row>
    <row r="132">
      <c r="A132" s="12" t="s">
        <v>12</v>
      </c>
      <c r="B132" s="227" t="s">
        <v>2021</v>
      </c>
      <c r="C132" s="74" t="str">
        <f t="shared" si="14"/>
        <v>Quarta-Feira</v>
      </c>
      <c r="D132" s="512" t="str">
        <f>IF(C132&lt;&gt;"Quarta-Feira","13:40","08:40")</f>
        <v>08:40</v>
      </c>
      <c r="E132" s="287" t="s">
        <v>3995</v>
      </c>
      <c r="F132" s="74">
        <v>7.03408569333E14</v>
      </c>
      <c r="G132" s="167" t="s">
        <v>3996</v>
      </c>
      <c r="H132" s="77">
        <v>23541.0</v>
      </c>
      <c r="I132" s="34" t="s">
        <v>183</v>
      </c>
      <c r="J132" s="74"/>
      <c r="K132" s="74"/>
      <c r="L132" s="68"/>
      <c r="M132" s="68"/>
      <c r="N132" s="271" t="s">
        <v>183</v>
      </c>
      <c r="O132" s="272" t="s">
        <v>195</v>
      </c>
      <c r="P132" s="272" t="s">
        <v>181</v>
      </c>
      <c r="Q132" s="273" t="s">
        <v>173</v>
      </c>
      <c r="R132" s="415" t="s">
        <v>1823</v>
      </c>
      <c r="S132" s="68"/>
      <c r="T132" s="68"/>
      <c r="U132" s="68"/>
      <c r="V132" s="68"/>
      <c r="W132" s="68"/>
      <c r="X132" s="68"/>
    </row>
    <row r="133">
      <c r="A133" s="12" t="s">
        <v>13</v>
      </c>
      <c r="B133" s="227" t="s">
        <v>2024</v>
      </c>
      <c r="C133" s="74" t="str">
        <f t="shared" si="14"/>
        <v>Quarta-Feira</v>
      </c>
      <c r="D133" s="512" t="str">
        <f>IF(C133&lt;&gt;"Quarta-Feira","14:00","09:00")</f>
        <v>09:00</v>
      </c>
      <c r="E133" s="287" t="s">
        <v>3997</v>
      </c>
      <c r="F133" s="74">
        <v>7.00104910556315E14</v>
      </c>
      <c r="G133" s="167" t="s">
        <v>3998</v>
      </c>
      <c r="H133" s="83">
        <v>25720.0</v>
      </c>
      <c r="I133" s="34" t="s">
        <v>1823</v>
      </c>
      <c r="J133" s="74"/>
      <c r="K133" s="74"/>
      <c r="N133" s="275">
        <f t="shared" ref="N133:R133" si="15">COUNTIFS($I$130:$I$141,N132)</f>
        <v>8</v>
      </c>
      <c r="O133" s="275">
        <f t="shared" si="15"/>
        <v>0</v>
      </c>
      <c r="P133" s="275">
        <f t="shared" si="15"/>
        <v>0</v>
      </c>
      <c r="Q133" s="275">
        <f t="shared" si="15"/>
        <v>0</v>
      </c>
      <c r="R133" s="275">
        <f t="shared" si="15"/>
        <v>4</v>
      </c>
    </row>
    <row r="134">
      <c r="A134" s="12" t="s">
        <v>14</v>
      </c>
      <c r="B134" s="227" t="s">
        <v>2019</v>
      </c>
      <c r="C134" s="74" t="str">
        <f t="shared" si="14"/>
        <v>Quarta-Feira</v>
      </c>
      <c r="D134" s="512" t="str">
        <f>IF(C134&lt;&gt;"Quarta-Feira","14:20","09:20")</f>
        <v>09:20</v>
      </c>
      <c r="E134" s="287" t="s">
        <v>3737</v>
      </c>
      <c r="F134" s="74">
        <v>7.09004885004819E14</v>
      </c>
      <c r="G134" s="167" t="s">
        <v>3999</v>
      </c>
      <c r="H134" s="83">
        <v>37487.0</v>
      </c>
      <c r="I134" s="34" t="s">
        <v>1823</v>
      </c>
      <c r="J134" s="74"/>
      <c r="K134" s="74"/>
      <c r="R134" s="67"/>
    </row>
    <row r="135">
      <c r="A135" s="12" t="s">
        <v>15</v>
      </c>
      <c r="B135" s="227" t="s">
        <v>2021</v>
      </c>
      <c r="C135" s="74" t="str">
        <f t="shared" si="14"/>
        <v>Quarta-Feira</v>
      </c>
      <c r="D135" s="512" t="str">
        <f>IF(C135&lt;&gt;"Quarta-Feira","14:40","09:40")</f>
        <v>09:40</v>
      </c>
      <c r="E135" s="287" t="s">
        <v>4000</v>
      </c>
      <c r="F135" s="74">
        <v>7.05409492527792E14</v>
      </c>
      <c r="G135" s="167" t="s">
        <v>4001</v>
      </c>
      <c r="H135" s="83">
        <v>26656.0</v>
      </c>
      <c r="I135" s="34" t="s">
        <v>1823</v>
      </c>
      <c r="J135" s="74"/>
      <c r="K135" s="74"/>
      <c r="R135" s="67"/>
    </row>
    <row r="136">
      <c r="A136" s="12" t="s">
        <v>16</v>
      </c>
      <c r="B136" s="227" t="s">
        <v>2014</v>
      </c>
      <c r="C136" s="74" t="str">
        <f t="shared" si="14"/>
        <v>Quarta-Feira</v>
      </c>
      <c r="D136" s="512" t="str">
        <f>IF(C136&lt;&gt;"Quarta-Feira","15:00","10:00")</f>
        <v>10:00</v>
      </c>
      <c r="E136" s="287" t="s">
        <v>4002</v>
      </c>
      <c r="F136" s="74">
        <v>7.00506597936655E14</v>
      </c>
      <c r="G136" s="167" t="s">
        <v>4003</v>
      </c>
      <c r="H136" s="163">
        <v>31507.0</v>
      </c>
      <c r="I136" s="34" t="s">
        <v>183</v>
      </c>
      <c r="J136" s="74"/>
      <c r="K136" s="74"/>
      <c r="L136" s="68"/>
      <c r="M136" s="68"/>
      <c r="N136" s="68"/>
      <c r="O136" s="68"/>
      <c r="P136" s="68"/>
      <c r="Q136" s="68"/>
      <c r="R136" s="389"/>
      <c r="S136" s="68"/>
      <c r="T136" s="68"/>
      <c r="U136" s="68"/>
      <c r="V136" s="68"/>
      <c r="W136" s="68"/>
      <c r="X136" s="68"/>
    </row>
    <row r="137">
      <c r="A137" s="12" t="s">
        <v>17</v>
      </c>
      <c r="B137" s="227" t="s">
        <v>2019</v>
      </c>
      <c r="C137" s="74" t="str">
        <f t="shared" si="14"/>
        <v>Quarta-Feira</v>
      </c>
      <c r="D137" s="512" t="str">
        <f>IF(C137&lt;&gt;"Quarta-Feira","15:20","10:20")</f>
        <v>10:20</v>
      </c>
      <c r="E137" s="287" t="s">
        <v>2935</v>
      </c>
      <c r="F137" s="74">
        <v>7.00406974314249E14</v>
      </c>
      <c r="G137" s="167" t="s">
        <v>2936</v>
      </c>
      <c r="H137" s="77">
        <v>14957.0</v>
      </c>
      <c r="I137" s="34" t="s">
        <v>1823</v>
      </c>
      <c r="J137" s="74"/>
      <c r="K137" s="74"/>
      <c r="R137" s="67"/>
    </row>
    <row r="138">
      <c r="A138" s="12" t="s">
        <v>85</v>
      </c>
      <c r="B138" s="227" t="s">
        <v>2024</v>
      </c>
      <c r="C138" s="74" t="str">
        <f t="shared" si="14"/>
        <v>Quarta-Feira</v>
      </c>
      <c r="D138" s="512" t="str">
        <f>IF(C138&lt;&gt;"Quarta-Feira","15:40","10:40")</f>
        <v>10:40</v>
      </c>
      <c r="E138" s="287" t="s">
        <v>4004</v>
      </c>
      <c r="F138" s="287" t="s">
        <v>4005</v>
      </c>
      <c r="G138" s="167" t="s">
        <v>4006</v>
      </c>
      <c r="H138" s="83">
        <v>19042.0</v>
      </c>
      <c r="I138" s="34" t="s">
        <v>183</v>
      </c>
      <c r="J138" s="74"/>
      <c r="K138" s="74"/>
      <c r="R138" s="67"/>
    </row>
    <row r="139">
      <c r="A139" s="12" t="s">
        <v>87</v>
      </c>
      <c r="B139" s="227" t="s">
        <v>2021</v>
      </c>
      <c r="C139" s="74" t="str">
        <f t="shared" si="14"/>
        <v>Quarta-Feira</v>
      </c>
      <c r="D139" s="512" t="str">
        <f>IF(C139&lt;&gt;"Quarta-Feira","16:00","11:00")</f>
        <v>11:00</v>
      </c>
      <c r="E139" s="287" t="s">
        <v>2931</v>
      </c>
      <c r="F139" s="74">
        <v>7.04602162510423E14</v>
      </c>
      <c r="G139" s="167" t="s">
        <v>2932</v>
      </c>
      <c r="H139" s="166">
        <v>20905.0</v>
      </c>
      <c r="I139" s="34" t="s">
        <v>183</v>
      </c>
      <c r="J139" s="74"/>
      <c r="K139" s="74"/>
      <c r="R139" s="67"/>
    </row>
    <row r="140">
      <c r="A140" s="12" t="s">
        <v>90</v>
      </c>
      <c r="B140" s="227" t="s">
        <v>2024</v>
      </c>
      <c r="C140" s="74" t="str">
        <f t="shared" si="14"/>
        <v>Quarta-Feira</v>
      </c>
      <c r="D140" s="512" t="str">
        <f>IF(C140&lt;&gt;"Quarta-Feira","16:20","11:20")</f>
        <v>11:20</v>
      </c>
      <c r="E140" s="287" t="s">
        <v>4007</v>
      </c>
      <c r="F140" s="74">
        <v>7.02809645715761E14</v>
      </c>
      <c r="G140" s="167" t="s">
        <v>4008</v>
      </c>
      <c r="H140" s="83">
        <v>14508.0</v>
      </c>
      <c r="I140" s="34" t="s">
        <v>183</v>
      </c>
      <c r="J140" s="74"/>
      <c r="K140" s="74"/>
      <c r="R140" s="67"/>
    </row>
    <row r="141">
      <c r="A141" s="12" t="s">
        <v>93</v>
      </c>
      <c r="B141" s="227" t="s">
        <v>2014</v>
      </c>
      <c r="C141" s="74" t="str">
        <f t="shared" si="14"/>
        <v>Quarta-Feira</v>
      </c>
      <c r="D141" s="512" t="str">
        <f>IF(C141&lt;&gt;"Quarta-Feira","16:40","11:40")</f>
        <v>11:40</v>
      </c>
      <c r="E141" s="287" t="s">
        <v>4009</v>
      </c>
      <c r="F141" s="74">
        <v>7.02301155547312E14</v>
      </c>
      <c r="G141" s="167" t="s">
        <v>4010</v>
      </c>
      <c r="H141" s="166">
        <v>19197.0</v>
      </c>
      <c r="I141" s="34" t="s">
        <v>183</v>
      </c>
      <c r="J141" s="74"/>
      <c r="K141" s="74"/>
      <c r="R141" s="67"/>
    </row>
    <row r="142">
      <c r="B142" s="182"/>
      <c r="E142" s="261"/>
      <c r="G142" s="182"/>
      <c r="J142" s="67"/>
      <c r="K142" s="67"/>
      <c r="R142" s="67"/>
    </row>
    <row r="143">
      <c r="B143" s="182"/>
      <c r="E143" s="261"/>
      <c r="G143" s="182"/>
      <c r="J143" s="67"/>
      <c r="K143" s="67"/>
      <c r="R143" s="67"/>
    </row>
    <row r="144">
      <c r="B144" s="182"/>
      <c r="E144" s="261"/>
      <c r="G144" s="182"/>
      <c r="J144" s="67"/>
      <c r="K144" s="67"/>
      <c r="R144" s="67"/>
    </row>
    <row r="145">
      <c r="A145" s="23" t="s">
        <v>378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4" t="str">
        <f>TEXT(DATE(VALUE(MID(A128,7,4)),VALUE(MID(A128,4,2)),VALUE(LEFT(A128,2)))+2,"dd/mm/yyyy")&amp;" 08h às 13h"</f>
        <v>17/07/2026 08h às 13h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>
      <c r="A147" s="25"/>
      <c r="B147" s="489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64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>
      <c r="A148" s="12" t="s">
        <v>10</v>
      </c>
      <c r="B148" s="227" t="s">
        <v>2381</v>
      </c>
      <c r="C148" s="74" t="str">
        <f t="shared" ref="C148:C159" si="16">PROPER(TEXT(DATE(MID($A$146,7,4),MID($A$146,4,2),LEFT($A$146,2)),"dddd"))</f>
        <v>Sexta-Feira</v>
      </c>
      <c r="D148" s="512" t="str">
        <f>IF(C148&lt;&gt;"Quarta-Feira","13:00","08:00")</f>
        <v>13:00</v>
      </c>
      <c r="E148" s="287" t="s">
        <v>4011</v>
      </c>
      <c r="F148" s="459">
        <v>7.06006357246542E14</v>
      </c>
      <c r="G148" s="167" t="s">
        <v>4012</v>
      </c>
      <c r="H148" s="83">
        <v>19170.0</v>
      </c>
      <c r="I148" s="34" t="s">
        <v>1823</v>
      </c>
      <c r="J148" s="74"/>
      <c r="K148" s="74"/>
      <c r="L148" s="216" t="s">
        <v>521</v>
      </c>
      <c r="N148" s="268" t="s">
        <v>387</v>
      </c>
      <c r="O148" s="100"/>
      <c r="P148" s="100"/>
      <c r="Q148" s="100"/>
      <c r="R148" s="100"/>
    </row>
    <row r="149">
      <c r="A149" s="12" t="s">
        <v>11</v>
      </c>
      <c r="B149" s="227" t="s">
        <v>2384</v>
      </c>
      <c r="C149" s="74" t="str">
        <f t="shared" si="16"/>
        <v>Sexta-Feira</v>
      </c>
      <c r="D149" s="512" t="str">
        <f>IF(C149&lt;&gt;"Quarta-Feira","13:20","08:20")</f>
        <v>13:20</v>
      </c>
      <c r="E149" s="287" t="s">
        <v>4013</v>
      </c>
      <c r="F149" s="74">
        <v>8.9800142438715E14</v>
      </c>
      <c r="G149" s="167" t="s">
        <v>4014</v>
      </c>
      <c r="H149" s="83">
        <v>23015.0</v>
      </c>
      <c r="I149" s="34" t="s">
        <v>183</v>
      </c>
      <c r="J149" s="74"/>
      <c r="K149" s="74"/>
      <c r="N149" s="270" t="s">
        <v>1824</v>
      </c>
      <c r="O149" s="2"/>
      <c r="P149" s="2"/>
      <c r="Q149" s="2"/>
      <c r="R149" s="2"/>
    </row>
    <row r="150">
      <c r="A150" s="12" t="s">
        <v>12</v>
      </c>
      <c r="B150" s="227" t="s">
        <v>2387</v>
      </c>
      <c r="C150" s="74" t="str">
        <f t="shared" si="16"/>
        <v>Sexta-Feira</v>
      </c>
      <c r="D150" s="512" t="str">
        <f>IF(C150&lt;&gt;"Quarta-Feira","13:40","08:40")</f>
        <v>13:40</v>
      </c>
      <c r="E150" s="287" t="s">
        <v>3929</v>
      </c>
      <c r="F150" s="74">
        <v>7.04604614376322E14</v>
      </c>
      <c r="G150" s="167" t="s">
        <v>3930</v>
      </c>
      <c r="H150" s="83">
        <v>16206.0</v>
      </c>
      <c r="I150" s="34" t="s">
        <v>183</v>
      </c>
      <c r="J150" s="74"/>
      <c r="K150" s="74"/>
      <c r="N150" s="271" t="s">
        <v>183</v>
      </c>
      <c r="O150" s="272" t="s">
        <v>195</v>
      </c>
      <c r="P150" s="272" t="s">
        <v>181</v>
      </c>
      <c r="Q150" s="273" t="s">
        <v>173</v>
      </c>
      <c r="R150" s="286" t="s">
        <v>1823</v>
      </c>
    </row>
    <row r="151">
      <c r="A151" s="12" t="s">
        <v>13</v>
      </c>
      <c r="B151" s="227" t="s">
        <v>2390</v>
      </c>
      <c r="C151" s="74" t="str">
        <f t="shared" si="16"/>
        <v>Sexta-Feira</v>
      </c>
      <c r="D151" s="512" t="str">
        <f>IF(C151&lt;&gt;"Quarta-Feira","14:00","09:00")</f>
        <v>14:00</v>
      </c>
      <c r="E151" s="287" t="s">
        <v>4015</v>
      </c>
      <c r="F151" s="74">
        <v>7.08705132047193E14</v>
      </c>
      <c r="G151" s="167" t="s">
        <v>4016</v>
      </c>
      <c r="H151" s="83">
        <v>16866.0</v>
      </c>
      <c r="I151" s="34" t="s">
        <v>183</v>
      </c>
      <c r="J151" s="74"/>
      <c r="K151" s="74"/>
      <c r="N151" s="275">
        <f t="shared" ref="N151:R151" si="17">COUNTIFS($I$148:$I$159,N150)</f>
        <v>10</v>
      </c>
      <c r="O151" s="275">
        <f t="shared" si="17"/>
        <v>0</v>
      </c>
      <c r="P151" s="275">
        <f t="shared" si="17"/>
        <v>0</v>
      </c>
      <c r="Q151" s="275">
        <f t="shared" si="17"/>
        <v>0</v>
      </c>
      <c r="R151" s="275">
        <f t="shared" si="17"/>
        <v>2</v>
      </c>
    </row>
    <row r="152">
      <c r="A152" s="12" t="s">
        <v>14</v>
      </c>
      <c r="B152" s="227" t="s">
        <v>2381</v>
      </c>
      <c r="C152" s="74" t="str">
        <f t="shared" si="16"/>
        <v>Sexta-Feira</v>
      </c>
      <c r="D152" s="512" t="str">
        <f>IF(C152&lt;&gt;"Quarta-Feira","14:20","09:20")</f>
        <v>14:20</v>
      </c>
      <c r="E152" s="287" t="s">
        <v>4017</v>
      </c>
      <c r="F152" s="74">
        <v>7.02000835267688E14</v>
      </c>
      <c r="G152" s="167" t="s">
        <v>4018</v>
      </c>
      <c r="H152" s="83">
        <v>17836.0</v>
      </c>
      <c r="I152" s="34" t="s">
        <v>183</v>
      </c>
      <c r="J152" s="74"/>
      <c r="K152" s="74"/>
      <c r="R152" s="67"/>
    </row>
    <row r="153">
      <c r="A153" s="12" t="s">
        <v>15</v>
      </c>
      <c r="B153" s="227" t="s">
        <v>2384</v>
      </c>
      <c r="C153" s="74" t="str">
        <f t="shared" si="16"/>
        <v>Sexta-Feira</v>
      </c>
      <c r="D153" s="512" t="str">
        <f>IF(C153&lt;&gt;"Quarta-Feira","14:40","09:40")</f>
        <v>14:40</v>
      </c>
      <c r="E153" s="287" t="s">
        <v>4019</v>
      </c>
      <c r="F153" s="74">
        <v>7.00608418189168E14</v>
      </c>
      <c r="G153" s="216" t="s">
        <v>4020</v>
      </c>
      <c r="H153" s="83">
        <v>20465.0</v>
      </c>
      <c r="I153" s="34" t="s">
        <v>183</v>
      </c>
      <c r="J153" s="74"/>
      <c r="K153" s="74"/>
      <c r="R153" s="67"/>
    </row>
    <row r="154">
      <c r="A154" s="12" t="s">
        <v>16</v>
      </c>
      <c r="B154" s="227" t="s">
        <v>2387</v>
      </c>
      <c r="C154" s="74" t="str">
        <f t="shared" si="16"/>
        <v>Sexta-Feira</v>
      </c>
      <c r="D154" s="512" t="str">
        <f>IF(C154&lt;&gt;"Quarta-Feira","15:00","10:00")</f>
        <v>15:00</v>
      </c>
      <c r="E154" s="287" t="s">
        <v>4021</v>
      </c>
      <c r="F154" s="459">
        <v>7.02005304779089E14</v>
      </c>
      <c r="G154" s="167" t="s">
        <v>4022</v>
      </c>
      <c r="H154" s="83">
        <v>28450.0</v>
      </c>
      <c r="I154" s="34" t="s">
        <v>183</v>
      </c>
      <c r="J154" s="74"/>
      <c r="K154" s="74"/>
      <c r="R154" s="67"/>
    </row>
    <row r="155">
      <c r="A155" s="12" t="s">
        <v>17</v>
      </c>
      <c r="B155" s="227" t="s">
        <v>2390</v>
      </c>
      <c r="C155" s="74" t="str">
        <f t="shared" si="16"/>
        <v>Sexta-Feira</v>
      </c>
      <c r="D155" s="512" t="str">
        <f>IF(C155&lt;&gt;"Quarta-Feira","15:20","10:20")</f>
        <v>15:20</v>
      </c>
      <c r="E155" s="287" t="s">
        <v>2852</v>
      </c>
      <c r="F155" s="74">
        <v>7.08602001233382E14</v>
      </c>
      <c r="G155" s="167" t="s">
        <v>2853</v>
      </c>
      <c r="H155" s="83">
        <v>22970.0</v>
      </c>
      <c r="I155" s="34" t="s">
        <v>183</v>
      </c>
      <c r="J155" s="74"/>
      <c r="K155" s="74"/>
      <c r="R155" s="67"/>
    </row>
    <row r="156">
      <c r="A156" s="12" t="s">
        <v>85</v>
      </c>
      <c r="B156" s="227" t="s">
        <v>2384</v>
      </c>
      <c r="C156" s="74" t="str">
        <f t="shared" si="16"/>
        <v>Sexta-Feira</v>
      </c>
      <c r="D156" s="512" t="str">
        <f>IF(C156&lt;&gt;"Quarta-Feira","15:40","10:40")</f>
        <v>15:40</v>
      </c>
      <c r="E156" s="287" t="s">
        <v>4023</v>
      </c>
      <c r="F156" s="74">
        <v>7.08403795109961E14</v>
      </c>
      <c r="G156" s="167" t="s">
        <v>4024</v>
      </c>
      <c r="H156" s="83">
        <v>23988.0</v>
      </c>
      <c r="I156" s="34" t="s">
        <v>1823</v>
      </c>
      <c r="J156" s="74"/>
      <c r="K156" s="74"/>
      <c r="L156" s="216" t="s">
        <v>577</v>
      </c>
      <c r="R156" s="67"/>
    </row>
    <row r="157">
      <c r="A157" s="12" t="s">
        <v>87</v>
      </c>
      <c r="B157" s="227" t="s">
        <v>2381</v>
      </c>
      <c r="C157" s="74" t="str">
        <f t="shared" si="16"/>
        <v>Sexta-Feira</v>
      </c>
      <c r="D157" s="512" t="str">
        <f>IF(C157&lt;&gt;"Quarta-Feira","16:00","11:00")</f>
        <v>16:00</v>
      </c>
      <c r="E157" s="287" t="s">
        <v>4025</v>
      </c>
      <c r="F157" s="74">
        <v>7.0130269633103E14</v>
      </c>
      <c r="G157" s="167" t="s">
        <v>4026</v>
      </c>
      <c r="H157" s="166">
        <v>23664.0</v>
      </c>
      <c r="I157" s="34" t="s">
        <v>183</v>
      </c>
      <c r="J157" s="74"/>
      <c r="K157" s="74"/>
      <c r="R157" s="67"/>
    </row>
    <row r="158">
      <c r="A158" s="12" t="s">
        <v>90</v>
      </c>
      <c r="B158" s="227" t="s">
        <v>2381</v>
      </c>
      <c r="C158" s="74" t="str">
        <f t="shared" si="16"/>
        <v>Sexta-Feira</v>
      </c>
      <c r="D158" s="512" t="str">
        <f>IF(C158&lt;&gt;"Quarta-Feira","16:20","11:20")</f>
        <v>16:20</v>
      </c>
      <c r="E158" s="287" t="s">
        <v>4027</v>
      </c>
      <c r="F158" s="74">
        <v>8.01440495146566E14</v>
      </c>
      <c r="G158" s="167" t="s">
        <v>4028</v>
      </c>
      <c r="H158" s="166">
        <v>18540.0</v>
      </c>
      <c r="I158" s="34" t="s">
        <v>183</v>
      </c>
      <c r="J158" s="74"/>
      <c r="K158" s="74"/>
      <c r="R158" s="67"/>
    </row>
    <row r="159">
      <c r="A159" s="12" t="s">
        <v>93</v>
      </c>
      <c r="B159" s="227" t="s">
        <v>2381</v>
      </c>
      <c r="C159" s="74" t="str">
        <f t="shared" si="16"/>
        <v>Sexta-Feira</v>
      </c>
      <c r="D159" s="512" t="str">
        <f>IF(C159&lt;&gt;"Quarta-Feira","16:40","11:40")</f>
        <v>16:40</v>
      </c>
      <c r="E159" s="287" t="s">
        <v>4029</v>
      </c>
      <c r="F159" s="74">
        <v>7.05007246318157E14</v>
      </c>
      <c r="G159" s="167" t="s">
        <v>4030</v>
      </c>
      <c r="H159" s="166">
        <v>20947.0</v>
      </c>
      <c r="I159" s="34" t="s">
        <v>183</v>
      </c>
      <c r="J159" s="74"/>
      <c r="K159" s="74"/>
      <c r="R159" s="67"/>
    </row>
    <row r="160">
      <c r="B160" s="182"/>
      <c r="E160" s="261"/>
      <c r="G160" s="182"/>
      <c r="J160" s="67"/>
      <c r="K160" s="67"/>
      <c r="R160" s="67"/>
    </row>
    <row r="161">
      <c r="B161" s="182"/>
      <c r="E161" s="261"/>
      <c r="G161" s="182"/>
      <c r="J161" s="67"/>
      <c r="K161" s="67"/>
      <c r="R161" s="67"/>
    </row>
    <row r="162">
      <c r="B162" s="182"/>
      <c r="E162" s="261"/>
      <c r="G162" s="182"/>
      <c r="J162" s="67"/>
      <c r="K162" s="67"/>
      <c r="R162" s="67"/>
    </row>
    <row r="163">
      <c r="A163" s="23" t="s">
        <v>378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4" t="str">
        <f>TEXT(DATE(VALUE(MID(A110,7,4)),VALUE(MID(A110,4,2)),VALUE(LEFT(A110,2)))+7,"dd/mm/yyyy")&amp;" 13h às 17h"</f>
        <v>20/07/2026 13h às 17h</v>
      </c>
      <c r="B164" s="2"/>
      <c r="C164" s="2"/>
      <c r="D164" s="2"/>
      <c r="E164" s="2"/>
      <c r="F164" s="2"/>
      <c r="G164" s="2"/>
      <c r="H164" s="2"/>
      <c r="I164" s="2"/>
      <c r="J164" s="2"/>
      <c r="K164" s="3"/>
      <c r="R164" s="67"/>
    </row>
    <row r="165">
      <c r="A165" s="25"/>
      <c r="B165" s="489" t="s">
        <v>3</v>
      </c>
      <c r="C165" s="27" t="s">
        <v>2</v>
      </c>
      <c r="D165" s="28" t="s">
        <v>5</v>
      </c>
      <c r="E165" s="29" t="s">
        <v>19</v>
      </c>
      <c r="F165" s="28" t="s">
        <v>6</v>
      </c>
      <c r="G165" s="264" t="s">
        <v>7</v>
      </c>
      <c r="H165" s="30" t="s">
        <v>8</v>
      </c>
      <c r="I165" s="31" t="s">
        <v>20</v>
      </c>
      <c r="J165" s="32" t="s">
        <v>21</v>
      </c>
      <c r="K165" s="32" t="s">
        <v>22</v>
      </c>
      <c r="R165" s="67"/>
    </row>
    <row r="166">
      <c r="A166" s="12" t="s">
        <v>10</v>
      </c>
      <c r="B166" s="227" t="s">
        <v>1981</v>
      </c>
      <c r="C166" s="74" t="str">
        <f t="shared" ref="C166:C177" si="18">PROPER(TEXT(DATE(MID($A$164,7,4),MID($A$164,4,2),LEFT($A$164,2)),"dddd"))</f>
        <v>Segunda-Feira</v>
      </c>
      <c r="D166" s="512" t="str">
        <f>IF(C166&lt;&gt;"Quarta-Feira","13:00","08:00")</f>
        <v>13:00</v>
      </c>
      <c r="E166" s="287" t="s">
        <v>4031</v>
      </c>
      <c r="F166" s="74">
        <v>8.98002116519421E14</v>
      </c>
      <c r="G166" s="167" t="s">
        <v>4032</v>
      </c>
      <c r="H166" s="211">
        <v>23903.0</v>
      </c>
      <c r="I166" s="34" t="s">
        <v>183</v>
      </c>
      <c r="J166" s="74"/>
      <c r="K166" s="74"/>
      <c r="N166" s="268" t="s">
        <v>387</v>
      </c>
      <c r="O166" s="100"/>
      <c r="P166" s="100"/>
      <c r="Q166" s="100"/>
      <c r="R166" s="100"/>
    </row>
    <row r="167">
      <c r="A167" s="12" t="s">
        <v>11</v>
      </c>
      <c r="B167" s="227" t="s">
        <v>1985</v>
      </c>
      <c r="C167" s="74" t="str">
        <f t="shared" si="18"/>
        <v>Segunda-Feira</v>
      </c>
      <c r="D167" s="512" t="str">
        <f>IF(C167&lt;&gt;"Quarta-Feira","13:20","08:20")</f>
        <v>13:20</v>
      </c>
      <c r="E167" s="287" t="s">
        <v>4033</v>
      </c>
      <c r="F167" s="74">
        <v>7.06502371239096E14</v>
      </c>
      <c r="G167" s="167" t="s">
        <v>4034</v>
      </c>
      <c r="H167" s="211">
        <v>28887.0</v>
      </c>
      <c r="I167" s="34" t="s">
        <v>183</v>
      </c>
      <c r="J167" s="74"/>
      <c r="K167" s="74"/>
      <c r="N167" s="270" t="s">
        <v>1824</v>
      </c>
      <c r="O167" s="2"/>
      <c r="P167" s="2"/>
      <c r="Q167" s="2"/>
      <c r="R167" s="2"/>
    </row>
    <row r="168">
      <c r="A168" s="12" t="s">
        <v>12</v>
      </c>
      <c r="B168" s="227" t="s">
        <v>1989</v>
      </c>
      <c r="C168" s="74" t="str">
        <f t="shared" si="18"/>
        <v>Segunda-Feira</v>
      </c>
      <c r="D168" s="512" t="str">
        <f>IF(C168&lt;&gt;"Quarta-Feira","13:40","08:40")</f>
        <v>13:40</v>
      </c>
      <c r="E168" s="287" t="s">
        <v>1439</v>
      </c>
      <c r="F168" s="74">
        <v>8.98001432999062E14</v>
      </c>
      <c r="G168" s="167" t="s">
        <v>1440</v>
      </c>
      <c r="H168" s="211">
        <v>40077.0</v>
      </c>
      <c r="I168" s="34" t="s">
        <v>183</v>
      </c>
      <c r="J168" s="74"/>
      <c r="K168" s="74"/>
      <c r="N168" s="271" t="s">
        <v>183</v>
      </c>
      <c r="O168" s="272" t="s">
        <v>195</v>
      </c>
      <c r="P168" s="272" t="s">
        <v>181</v>
      </c>
      <c r="Q168" s="273" t="s">
        <v>173</v>
      </c>
      <c r="R168" s="286" t="s">
        <v>1823</v>
      </c>
    </row>
    <row r="169">
      <c r="A169" s="12" t="s">
        <v>13</v>
      </c>
      <c r="B169" s="227" t="s">
        <v>1992</v>
      </c>
      <c r="C169" s="74" t="str">
        <f t="shared" si="18"/>
        <v>Segunda-Feira</v>
      </c>
      <c r="D169" s="512" t="str">
        <f>IF(C169&lt;&gt;"Quarta-Feira","14:00","09:00")</f>
        <v>14:00</v>
      </c>
      <c r="E169" s="287" t="s">
        <v>4035</v>
      </c>
      <c r="F169" s="74">
        <v>1.0771379304E14</v>
      </c>
      <c r="G169" s="167" t="s">
        <v>4036</v>
      </c>
      <c r="H169" s="211">
        <v>21203.0</v>
      </c>
      <c r="I169" s="34" t="s">
        <v>183</v>
      </c>
      <c r="J169" s="74"/>
      <c r="K169" s="74"/>
      <c r="N169" s="275">
        <f t="shared" ref="N169:R169" si="19">COUNTIFS($I$166:$I$177,$N$168)</f>
        <v>12</v>
      </c>
      <c r="O169" s="275">
        <f t="shared" si="19"/>
        <v>12</v>
      </c>
      <c r="P169" s="275">
        <f t="shared" si="19"/>
        <v>12</v>
      </c>
      <c r="Q169" s="275">
        <f t="shared" si="19"/>
        <v>12</v>
      </c>
      <c r="R169" s="275">
        <f t="shared" si="19"/>
        <v>12</v>
      </c>
    </row>
    <row r="170">
      <c r="A170" s="12" t="s">
        <v>14</v>
      </c>
      <c r="B170" s="227" t="s">
        <v>1981</v>
      </c>
      <c r="C170" s="74" t="str">
        <f t="shared" si="18"/>
        <v>Segunda-Feira</v>
      </c>
      <c r="D170" s="512" t="str">
        <f>IF(C170&lt;&gt;"Quarta-Feira","14:20","09:20")</f>
        <v>14:20</v>
      </c>
      <c r="E170" s="287" t="s">
        <v>4037</v>
      </c>
      <c r="F170" s="74">
        <v>7.02101772256994E14</v>
      </c>
      <c r="G170" s="167" t="s">
        <v>4038</v>
      </c>
      <c r="H170" s="211">
        <v>26668.0</v>
      </c>
      <c r="I170" s="34" t="s">
        <v>183</v>
      </c>
      <c r="J170" s="74"/>
      <c r="K170" s="74"/>
      <c r="R170" s="67"/>
    </row>
    <row r="171">
      <c r="A171" s="12" t="s">
        <v>15</v>
      </c>
      <c r="B171" s="227" t="s">
        <v>1985</v>
      </c>
      <c r="C171" s="74" t="str">
        <f t="shared" si="18"/>
        <v>Segunda-Feira</v>
      </c>
      <c r="D171" s="512" t="str">
        <f>IF(C171&lt;&gt;"Quarta-Feira","14:40","09:40")</f>
        <v>14:40</v>
      </c>
      <c r="E171" s="287" t="s">
        <v>4039</v>
      </c>
      <c r="F171" s="74">
        <v>8.98004829306876E14</v>
      </c>
      <c r="G171" s="167" t="s">
        <v>2350</v>
      </c>
      <c r="H171" s="211">
        <v>21459.0</v>
      </c>
      <c r="I171" s="34" t="s">
        <v>183</v>
      </c>
      <c r="J171" s="74"/>
      <c r="K171" s="74"/>
      <c r="R171" s="67"/>
    </row>
    <row r="172">
      <c r="A172" s="12" t="s">
        <v>16</v>
      </c>
      <c r="B172" s="227" t="s">
        <v>1989</v>
      </c>
      <c r="C172" s="74" t="str">
        <f t="shared" si="18"/>
        <v>Segunda-Feira</v>
      </c>
      <c r="D172" s="512" t="str">
        <f>IF(C172&lt;&gt;"Quarta-Feira","15:00","10:00")</f>
        <v>15:00</v>
      </c>
      <c r="E172" s="287" t="s">
        <v>4040</v>
      </c>
      <c r="F172" s="74">
        <v>7.00107977162214E14</v>
      </c>
      <c r="G172" s="167" t="s">
        <v>4041</v>
      </c>
      <c r="H172" s="211">
        <v>24952.0</v>
      </c>
      <c r="I172" s="34" t="s">
        <v>183</v>
      </c>
      <c r="J172" s="74"/>
      <c r="K172" s="74"/>
      <c r="R172" s="67"/>
    </row>
    <row r="173">
      <c r="A173" s="12" t="s">
        <v>17</v>
      </c>
      <c r="B173" s="227" t="s">
        <v>1992</v>
      </c>
      <c r="C173" s="74" t="str">
        <f t="shared" si="18"/>
        <v>Segunda-Feira</v>
      </c>
      <c r="D173" s="512" t="str">
        <f>IF(C173&lt;&gt;"Quarta-Feira","15:20","10:20")</f>
        <v>15:20</v>
      </c>
      <c r="E173" s="287" t="s">
        <v>4042</v>
      </c>
      <c r="F173" s="74">
        <v>7.02002850029085E14</v>
      </c>
      <c r="G173" s="167" t="s">
        <v>4043</v>
      </c>
      <c r="H173" s="133">
        <v>7.50260823E8</v>
      </c>
      <c r="I173" s="34" t="s">
        <v>183</v>
      </c>
      <c r="J173" s="74"/>
      <c r="K173" s="74"/>
      <c r="R173" s="67"/>
    </row>
    <row r="174">
      <c r="A174" s="12" t="s">
        <v>85</v>
      </c>
      <c r="B174" s="227" t="s">
        <v>1981</v>
      </c>
      <c r="C174" s="74" t="str">
        <f t="shared" si="18"/>
        <v>Segunda-Feira</v>
      </c>
      <c r="D174" s="512" t="str">
        <f>IF(C174&lt;&gt;"Quarta-Feira","15:40","10:40")</f>
        <v>15:40</v>
      </c>
      <c r="E174" s="287" t="s">
        <v>4044</v>
      </c>
      <c r="F174" s="74">
        <v>7.05806483809237E14</v>
      </c>
      <c r="G174" s="167" t="s">
        <v>4045</v>
      </c>
      <c r="H174" s="211">
        <v>23474.0</v>
      </c>
      <c r="I174" s="34" t="s">
        <v>183</v>
      </c>
      <c r="J174" s="74"/>
      <c r="K174" s="74"/>
      <c r="R174" s="67"/>
    </row>
    <row r="175">
      <c r="A175" s="12" t="s">
        <v>87</v>
      </c>
      <c r="B175" s="227" t="s">
        <v>1985</v>
      </c>
      <c r="C175" s="74" t="str">
        <f t="shared" si="18"/>
        <v>Segunda-Feira</v>
      </c>
      <c r="D175" s="512" t="str">
        <f>IF(C175&lt;&gt;"Quarta-Feira","16:00","11:00")</f>
        <v>16:00</v>
      </c>
      <c r="E175" s="287" t="s">
        <v>4046</v>
      </c>
      <c r="F175" s="74">
        <v>7.0170929429227E14</v>
      </c>
      <c r="G175" s="167" t="s">
        <v>4047</v>
      </c>
      <c r="H175" s="211">
        <v>18140.0</v>
      </c>
      <c r="I175" s="34" t="s">
        <v>183</v>
      </c>
      <c r="J175" s="74"/>
      <c r="K175" s="74"/>
      <c r="R175" s="67"/>
    </row>
    <row r="176">
      <c r="A176" s="12" t="s">
        <v>90</v>
      </c>
      <c r="B176" s="227" t="s">
        <v>1989</v>
      </c>
      <c r="C176" s="74" t="str">
        <f t="shared" si="18"/>
        <v>Segunda-Feira</v>
      </c>
      <c r="D176" s="512" t="str">
        <f>IF(C176&lt;&gt;"Quarta-Feira","16:20","11:20")</f>
        <v>16:20</v>
      </c>
      <c r="E176" s="287" t="s">
        <v>4048</v>
      </c>
      <c r="F176" s="74">
        <v>8.01440489057131E14</v>
      </c>
      <c r="G176" s="167" t="s">
        <v>4049</v>
      </c>
      <c r="H176" s="211">
        <v>21928.0</v>
      </c>
      <c r="I176" s="34" t="s">
        <v>183</v>
      </c>
      <c r="J176" s="74"/>
      <c r="K176" s="74"/>
      <c r="R176" s="67"/>
    </row>
    <row r="177">
      <c r="A177" s="12" t="s">
        <v>93</v>
      </c>
      <c r="B177" s="227" t="s">
        <v>1992</v>
      </c>
      <c r="C177" s="74" t="str">
        <f t="shared" si="18"/>
        <v>Segunda-Feira</v>
      </c>
      <c r="D177" s="512" t="str">
        <f>IF(C177&lt;&gt;"Quarta-Feira","16:40","11:40")</f>
        <v>16:40</v>
      </c>
      <c r="E177" s="287" t="s">
        <v>4050</v>
      </c>
      <c r="F177" s="74">
        <v>7.09600665950171E14</v>
      </c>
      <c r="G177" s="167" t="s">
        <v>4051</v>
      </c>
      <c r="H177" s="211">
        <v>23803.0</v>
      </c>
      <c r="I177" s="34" t="s">
        <v>183</v>
      </c>
      <c r="J177" s="74"/>
      <c r="K177" s="74"/>
      <c r="R177" s="67"/>
    </row>
    <row r="178">
      <c r="B178" s="182"/>
      <c r="E178" s="261"/>
      <c r="G178" s="182"/>
      <c r="J178" s="67"/>
      <c r="K178" s="67"/>
      <c r="R178" s="67"/>
    </row>
    <row r="179">
      <c r="B179" s="182"/>
      <c r="E179" s="261"/>
      <c r="G179" s="182"/>
      <c r="J179" s="67"/>
      <c r="K179" s="67"/>
      <c r="R179" s="67"/>
    </row>
    <row r="180">
      <c r="B180" s="182"/>
      <c r="E180" s="261"/>
      <c r="G180" s="182"/>
      <c r="J180" s="67"/>
      <c r="K180" s="67"/>
      <c r="R180" s="67"/>
    </row>
    <row r="181">
      <c r="A181" s="23" t="s">
        <v>378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  <c r="R181" s="67"/>
    </row>
    <row r="182">
      <c r="A182" s="24" t="str">
        <f>TEXT(DATE(VALUE(MID(A164,7,4)),VALUE(MID(A164,4,2)),VALUE(LEFT(A164,2)))+2,"dd/mm/yyyy")&amp;" 08h às 13h"</f>
        <v>22/07/2026 08h às 13h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>
      <c r="A183" s="25"/>
      <c r="B183" s="489" t="s">
        <v>3</v>
      </c>
      <c r="C183" s="27" t="s">
        <v>2</v>
      </c>
      <c r="D183" s="28" t="s">
        <v>5</v>
      </c>
      <c r="E183" s="29" t="s">
        <v>19</v>
      </c>
      <c r="F183" s="28" t="s">
        <v>6</v>
      </c>
      <c r="G183" s="264" t="s">
        <v>7</v>
      </c>
      <c r="H183" s="30" t="s">
        <v>8</v>
      </c>
      <c r="I183" s="31" t="s">
        <v>20</v>
      </c>
      <c r="J183" s="32" t="s">
        <v>21</v>
      </c>
      <c r="K183" s="32" t="s">
        <v>22</v>
      </c>
    </row>
    <row r="184">
      <c r="A184" s="12" t="s">
        <v>10</v>
      </c>
      <c r="B184" s="227" t="s">
        <v>2014</v>
      </c>
      <c r="C184" s="74" t="str">
        <f t="shared" ref="C184:C195" si="20">PROPER(TEXT(DATE(MID($A$128,7,4),MID($A$128,4,2),LEFT($A$128,2)),"dddd"))</f>
        <v>Quarta-Feira</v>
      </c>
      <c r="D184" s="512" t="str">
        <f>IF(C184&lt;&gt;"Quarta-Feira","13:00","08:00")</f>
        <v>08:00</v>
      </c>
      <c r="E184" s="287"/>
      <c r="F184" s="74">
        <v>1.24330498160018E14</v>
      </c>
      <c r="G184" s="167" t="s">
        <v>4052</v>
      </c>
      <c r="H184" s="211">
        <v>18994.0</v>
      </c>
      <c r="I184" s="34" t="s">
        <v>183</v>
      </c>
      <c r="J184" s="74"/>
      <c r="K184" s="74"/>
      <c r="N184" s="268" t="s">
        <v>387</v>
      </c>
      <c r="O184" s="100"/>
      <c r="P184" s="100"/>
      <c r="Q184" s="100"/>
      <c r="R184" s="100"/>
    </row>
    <row r="185">
      <c r="A185" s="12" t="s">
        <v>11</v>
      </c>
      <c r="B185" s="227" t="s">
        <v>2019</v>
      </c>
      <c r="C185" s="74" t="str">
        <f t="shared" si="20"/>
        <v>Quarta-Feira</v>
      </c>
      <c r="D185" s="512" t="str">
        <f>IF(C185&lt;&gt;"Quarta-Feira","13:20","08:20")</f>
        <v>08:20</v>
      </c>
      <c r="E185" s="287"/>
      <c r="F185" s="74">
        <v>7.00704905272279E14</v>
      </c>
      <c r="G185" s="167" t="s">
        <v>4053</v>
      </c>
      <c r="H185" s="77"/>
      <c r="I185" s="34" t="s">
        <v>183</v>
      </c>
      <c r="J185" s="74"/>
      <c r="K185" s="74"/>
      <c r="N185" s="270" t="s">
        <v>1824</v>
      </c>
      <c r="O185" s="2"/>
      <c r="P185" s="2"/>
      <c r="Q185" s="2"/>
      <c r="R185" s="2"/>
    </row>
    <row r="186">
      <c r="A186" s="12" t="s">
        <v>12</v>
      </c>
      <c r="B186" s="227" t="s">
        <v>2021</v>
      </c>
      <c r="C186" s="74" t="str">
        <f t="shared" si="20"/>
        <v>Quarta-Feira</v>
      </c>
      <c r="D186" s="512" t="str">
        <f>IF(C186&lt;&gt;"Quarta-Feira","13:40","08:40")</f>
        <v>08:40</v>
      </c>
      <c r="E186" s="287"/>
      <c r="F186" s="74">
        <v>7.00100955216617E14</v>
      </c>
      <c r="G186" s="167" t="s">
        <v>4054</v>
      </c>
      <c r="H186" s="83">
        <v>15132.0</v>
      </c>
      <c r="I186" s="34" t="s">
        <v>183</v>
      </c>
      <c r="J186" s="74"/>
      <c r="K186" s="74"/>
      <c r="N186" s="271" t="s">
        <v>183</v>
      </c>
      <c r="O186" s="272" t="s">
        <v>195</v>
      </c>
      <c r="P186" s="272" t="s">
        <v>181</v>
      </c>
      <c r="Q186" s="273" t="s">
        <v>173</v>
      </c>
      <c r="R186" s="286" t="s">
        <v>1823</v>
      </c>
    </row>
    <row r="187">
      <c r="A187" s="12" t="s">
        <v>13</v>
      </c>
      <c r="B187" s="227" t="s">
        <v>2024</v>
      </c>
      <c r="C187" s="74" t="str">
        <f t="shared" si="20"/>
        <v>Quarta-Feira</v>
      </c>
      <c r="D187" s="512" t="str">
        <f>IF(C187&lt;&gt;"Quarta-Feira","14:00","09:00")</f>
        <v>09:00</v>
      </c>
      <c r="E187" s="287"/>
      <c r="F187" s="74">
        <v>8.01440420833981E14</v>
      </c>
      <c r="G187" s="167" t="s">
        <v>4055</v>
      </c>
      <c r="H187" s="83">
        <v>17700.0</v>
      </c>
      <c r="I187" s="34" t="s">
        <v>183</v>
      </c>
      <c r="J187" s="74"/>
      <c r="K187" s="74"/>
      <c r="N187" s="275">
        <f t="shared" ref="N187:R187" si="21">COUNTIFS($I$184:$I$195,$N$168)</f>
        <v>6</v>
      </c>
      <c r="O187" s="275">
        <f t="shared" si="21"/>
        <v>6</v>
      </c>
      <c r="P187" s="275">
        <f t="shared" si="21"/>
        <v>6</v>
      </c>
      <c r="Q187" s="275">
        <f t="shared" si="21"/>
        <v>6</v>
      </c>
      <c r="R187" s="275">
        <f t="shared" si="21"/>
        <v>6</v>
      </c>
    </row>
    <row r="188">
      <c r="A188" s="12" t="s">
        <v>14</v>
      </c>
      <c r="B188" s="227" t="s">
        <v>2019</v>
      </c>
      <c r="C188" s="74" t="str">
        <f t="shared" si="20"/>
        <v>Quarta-Feira</v>
      </c>
      <c r="D188" s="512" t="str">
        <f>IF(C188&lt;&gt;"Quarta-Feira","14:20","09:20")</f>
        <v>09:20</v>
      </c>
      <c r="E188" s="287"/>
      <c r="F188" s="74">
        <v>7.05406483444399E14</v>
      </c>
      <c r="G188" s="167" t="s">
        <v>4056</v>
      </c>
      <c r="H188" s="83">
        <v>20722.0</v>
      </c>
      <c r="I188" s="34" t="s">
        <v>1823</v>
      </c>
      <c r="J188" s="74"/>
      <c r="K188" s="74"/>
      <c r="R188" s="67"/>
    </row>
    <row r="189">
      <c r="A189" s="12" t="s">
        <v>15</v>
      </c>
      <c r="B189" s="227" t="s">
        <v>2021</v>
      </c>
      <c r="C189" s="74" t="str">
        <f t="shared" si="20"/>
        <v>Quarta-Feira</v>
      </c>
      <c r="D189" s="512" t="str">
        <f>IF(C189&lt;&gt;"Quarta-Feira","14:40","09:40")</f>
        <v>09:40</v>
      </c>
      <c r="E189" s="287"/>
      <c r="F189" s="74">
        <v>7.03004804887279E14</v>
      </c>
      <c r="G189" s="167" t="s">
        <v>4057</v>
      </c>
      <c r="H189" s="83">
        <v>22411.0</v>
      </c>
      <c r="I189" s="34" t="s">
        <v>183</v>
      </c>
      <c r="J189" s="74"/>
      <c r="K189" s="74"/>
      <c r="R189" s="67"/>
    </row>
    <row r="190">
      <c r="A190" s="12" t="s">
        <v>16</v>
      </c>
      <c r="B190" s="227" t="s">
        <v>2014</v>
      </c>
      <c r="C190" s="74" t="str">
        <f t="shared" si="20"/>
        <v>Quarta-Feira</v>
      </c>
      <c r="D190" s="512" t="str">
        <f>IF(C190&lt;&gt;"Quarta-Feira","15:00","10:00")</f>
        <v>10:00</v>
      </c>
      <c r="E190" s="287"/>
      <c r="F190" s="74">
        <v>8.0144040863485E14</v>
      </c>
      <c r="G190" s="167" t="s">
        <v>4058</v>
      </c>
      <c r="H190" s="83">
        <v>19401.0</v>
      </c>
      <c r="I190" s="34" t="s">
        <v>183</v>
      </c>
      <c r="J190" s="74"/>
      <c r="K190" s="74"/>
      <c r="R190" s="67"/>
    </row>
    <row r="191">
      <c r="A191" s="12" t="s">
        <v>17</v>
      </c>
      <c r="B191" s="227" t="s">
        <v>2019</v>
      </c>
      <c r="C191" s="74" t="str">
        <f t="shared" si="20"/>
        <v>Quarta-Feira</v>
      </c>
      <c r="D191" s="512" t="str">
        <f>IF(C191&lt;&gt;"Quarta-Feira","15:20","10:20")</f>
        <v>10:20</v>
      </c>
      <c r="E191" s="287"/>
      <c r="F191" s="74">
        <v>7.02604241287447E14</v>
      </c>
      <c r="G191" s="167" t="s">
        <v>4059</v>
      </c>
      <c r="H191" s="77"/>
      <c r="I191" s="34"/>
      <c r="J191" s="74"/>
      <c r="K191" s="74"/>
      <c r="R191" s="67"/>
    </row>
    <row r="192">
      <c r="A192" s="12" t="s">
        <v>85</v>
      </c>
      <c r="B192" s="227" t="s">
        <v>2024</v>
      </c>
      <c r="C192" s="74" t="str">
        <f t="shared" si="20"/>
        <v>Quarta-Feira</v>
      </c>
      <c r="D192" s="512" t="str">
        <f>IF(C192&lt;&gt;"Quarta-Feira","15:40","10:40")</f>
        <v>10:40</v>
      </c>
      <c r="E192" s="287"/>
      <c r="F192" s="74">
        <v>7.06903168999739E14</v>
      </c>
      <c r="G192" s="167" t="s">
        <v>4060</v>
      </c>
      <c r="H192" s="83">
        <v>19185.0</v>
      </c>
      <c r="I192" s="34"/>
      <c r="J192" s="74"/>
      <c r="K192" s="74"/>
      <c r="R192" s="67"/>
    </row>
    <row r="193">
      <c r="A193" s="12" t="s">
        <v>87</v>
      </c>
      <c r="B193" s="227" t="s">
        <v>2021</v>
      </c>
      <c r="C193" s="74" t="str">
        <f t="shared" si="20"/>
        <v>Quarta-Feira</v>
      </c>
      <c r="D193" s="512" t="str">
        <f>IF(C193&lt;&gt;"Quarta-Feira","16:00","11:00")</f>
        <v>11:00</v>
      </c>
      <c r="E193" s="287"/>
      <c r="F193" s="74">
        <v>7.00509349115654E14</v>
      </c>
      <c r="G193" s="167" t="s">
        <v>4061</v>
      </c>
      <c r="H193" s="166">
        <v>25047.0</v>
      </c>
      <c r="I193" s="34"/>
      <c r="J193" s="74"/>
      <c r="K193" s="74"/>
      <c r="R193" s="67"/>
    </row>
    <row r="194">
      <c r="A194" s="12" t="s">
        <v>90</v>
      </c>
      <c r="B194" s="227" t="s">
        <v>2024</v>
      </c>
      <c r="C194" s="74" t="str">
        <f t="shared" si="20"/>
        <v>Quarta-Feira</v>
      </c>
      <c r="D194" s="512" t="str">
        <f>IF(C194&lt;&gt;"Quarta-Feira","16:20","11:20")</f>
        <v>11:20</v>
      </c>
      <c r="E194" s="287"/>
      <c r="F194" s="74">
        <v>2.06881815830004E14</v>
      </c>
      <c r="G194" s="167" t="s">
        <v>4062</v>
      </c>
      <c r="H194" s="166">
        <v>27890.0</v>
      </c>
      <c r="I194" s="34"/>
      <c r="J194" s="74"/>
      <c r="K194" s="74"/>
      <c r="R194" s="67"/>
    </row>
    <row r="195">
      <c r="A195" s="12" t="s">
        <v>93</v>
      </c>
      <c r="B195" s="227" t="s">
        <v>2014</v>
      </c>
      <c r="C195" s="74" t="str">
        <f t="shared" si="20"/>
        <v>Quarta-Feira</v>
      </c>
      <c r="D195" s="512" t="str">
        <f>IF(C195&lt;&gt;"Quarta-Feira","16:40","11:40")</f>
        <v>11:40</v>
      </c>
      <c r="E195" s="287"/>
      <c r="F195" s="74">
        <v>7.06802210583027E14</v>
      </c>
      <c r="G195" s="167" t="s">
        <v>4063</v>
      </c>
      <c r="H195" s="166">
        <v>16089.0</v>
      </c>
      <c r="I195" s="34"/>
      <c r="J195" s="74"/>
      <c r="K195" s="74"/>
      <c r="R195" s="67"/>
    </row>
    <row r="196">
      <c r="B196" s="182"/>
      <c r="E196" s="261"/>
      <c r="G196" s="182"/>
      <c r="J196" s="67"/>
      <c r="K196" s="67"/>
      <c r="R196" s="67"/>
    </row>
    <row r="197">
      <c r="B197" s="182"/>
      <c r="E197" s="261"/>
      <c r="G197" s="182"/>
      <c r="J197" s="67"/>
      <c r="K197" s="67"/>
      <c r="R197" s="67"/>
    </row>
    <row r="198">
      <c r="B198" s="182"/>
      <c r="E198" s="261"/>
      <c r="G198" s="182"/>
      <c r="J198" s="67"/>
      <c r="K198" s="67"/>
      <c r="R198" s="67"/>
    </row>
    <row r="199">
      <c r="A199" s="23" t="s">
        <v>378</v>
      </c>
      <c r="B199" s="2"/>
      <c r="C199" s="2"/>
      <c r="D199" s="2"/>
      <c r="E199" s="2"/>
      <c r="F199" s="2"/>
      <c r="G199" s="2"/>
      <c r="H199" s="2"/>
      <c r="I199" s="2"/>
      <c r="J199" s="2"/>
      <c r="K199" s="3"/>
      <c r="R199" s="67"/>
    </row>
    <row r="200">
      <c r="A200" s="24" t="str">
        <f>TEXT(DATE(VALUE(MID(A182,7,4)),VALUE(MID(A182,4,2)),VALUE(LEFT(A182,2)))+2,"dd/mm/yyyy")&amp;" 08h às 13h"</f>
        <v>24/07/2026 08h às 13h</v>
      </c>
      <c r="B200" s="2"/>
      <c r="C200" s="2"/>
      <c r="D200" s="2"/>
      <c r="E200" s="2"/>
      <c r="F200" s="2"/>
      <c r="G200" s="2"/>
      <c r="H200" s="2"/>
      <c r="I200" s="2"/>
      <c r="J200" s="2"/>
      <c r="K200" s="3"/>
      <c r="R200" s="67"/>
    </row>
    <row r="201">
      <c r="A201" s="25"/>
      <c r="B201" s="489" t="s">
        <v>3</v>
      </c>
      <c r="C201" s="27" t="s">
        <v>2</v>
      </c>
      <c r="D201" s="28" t="s">
        <v>5</v>
      </c>
      <c r="E201" s="29" t="s">
        <v>19</v>
      </c>
      <c r="F201" s="28" t="s">
        <v>6</v>
      </c>
      <c r="G201" s="264" t="s">
        <v>7</v>
      </c>
      <c r="H201" s="30" t="s">
        <v>8</v>
      </c>
      <c r="I201" s="31" t="s">
        <v>20</v>
      </c>
      <c r="J201" s="32" t="s">
        <v>21</v>
      </c>
      <c r="K201" s="32" t="s">
        <v>22</v>
      </c>
      <c r="R201" s="67"/>
    </row>
    <row r="202">
      <c r="A202" s="12" t="s">
        <v>10</v>
      </c>
      <c r="B202" s="227" t="s">
        <v>2381</v>
      </c>
      <c r="C202" s="74" t="str">
        <f t="shared" ref="C202:C213" si="22">PROPER(TEXT(DATE(MID($A$146,7,4),MID($A$146,4,2),LEFT($A$146,2)),"dddd"))</f>
        <v>Sexta-Feira</v>
      </c>
      <c r="D202" s="512" t="str">
        <f>IF(C202&lt;&gt;"Quarta-Feira","13:00","08:00")</f>
        <v>13:00</v>
      </c>
      <c r="E202" s="287"/>
      <c r="F202" s="459">
        <v>7.08204679815246E14</v>
      </c>
      <c r="G202" s="167" t="s">
        <v>4064</v>
      </c>
      <c r="H202" s="83">
        <v>17265.0</v>
      </c>
      <c r="I202" s="34"/>
      <c r="J202" s="74"/>
      <c r="K202" s="74"/>
      <c r="N202" s="268" t="s">
        <v>387</v>
      </c>
      <c r="O202" s="100"/>
      <c r="P202" s="100"/>
      <c r="Q202" s="100"/>
      <c r="R202" s="100"/>
    </row>
    <row r="203">
      <c r="A203" s="12" t="s">
        <v>11</v>
      </c>
      <c r="B203" s="227" t="s">
        <v>2384</v>
      </c>
      <c r="C203" s="74" t="str">
        <f t="shared" si="22"/>
        <v>Sexta-Feira</v>
      </c>
      <c r="D203" s="512" t="str">
        <f>IF(C203&lt;&gt;"Quarta-Feira","13:20","08:20")</f>
        <v>13:20</v>
      </c>
      <c r="E203" s="287"/>
      <c r="F203" s="74">
        <v>7.0320566474729E14</v>
      </c>
      <c r="G203" s="167" t="s">
        <v>4065</v>
      </c>
      <c r="H203" s="83">
        <v>18351.0</v>
      </c>
      <c r="I203" s="34"/>
      <c r="J203" s="74"/>
      <c r="K203" s="74"/>
      <c r="N203" s="270" t="s">
        <v>1824</v>
      </c>
      <c r="O203" s="2"/>
      <c r="P203" s="2"/>
      <c r="Q203" s="2"/>
      <c r="R203" s="2"/>
    </row>
    <row r="204">
      <c r="A204" s="12" t="s">
        <v>12</v>
      </c>
      <c r="B204" s="227" t="s">
        <v>2387</v>
      </c>
      <c r="C204" s="74" t="str">
        <f t="shared" si="22"/>
        <v>Sexta-Feira</v>
      </c>
      <c r="D204" s="512" t="str">
        <f>IF(C204&lt;&gt;"Quarta-Feira","13:40","08:40")</f>
        <v>13:40</v>
      </c>
      <c r="E204" s="287"/>
      <c r="F204" s="74"/>
      <c r="G204" s="167"/>
      <c r="H204" s="83"/>
      <c r="I204" s="34"/>
      <c r="J204" s="74"/>
      <c r="K204" s="74"/>
      <c r="N204" s="271" t="s">
        <v>183</v>
      </c>
      <c r="O204" s="272" t="s">
        <v>195</v>
      </c>
      <c r="P204" s="272" t="s">
        <v>181</v>
      </c>
      <c r="Q204" s="273" t="s">
        <v>173</v>
      </c>
      <c r="R204" s="286" t="s">
        <v>1823</v>
      </c>
    </row>
    <row r="205">
      <c r="A205" s="12" t="s">
        <v>13</v>
      </c>
      <c r="B205" s="227" t="s">
        <v>2390</v>
      </c>
      <c r="C205" s="74" t="str">
        <f t="shared" si="22"/>
        <v>Sexta-Feira</v>
      </c>
      <c r="D205" s="512" t="str">
        <f>IF(C205&lt;&gt;"Quarta-Feira","14:00","09:00")</f>
        <v>14:00</v>
      </c>
      <c r="E205" s="287"/>
      <c r="F205" s="74"/>
      <c r="G205" s="167"/>
      <c r="H205" s="83"/>
      <c r="I205" s="34"/>
      <c r="J205" s="74"/>
      <c r="K205" s="74"/>
      <c r="N205" s="275">
        <f t="shared" ref="N205:R205" si="23">COUNTIFS($I$202:$I$213,$N$168)</f>
        <v>0</v>
      </c>
      <c r="O205" s="275">
        <f t="shared" si="23"/>
        <v>0</v>
      </c>
      <c r="P205" s="275">
        <f t="shared" si="23"/>
        <v>0</v>
      </c>
      <c r="Q205" s="275">
        <f t="shared" si="23"/>
        <v>0</v>
      </c>
      <c r="R205" s="275">
        <f t="shared" si="23"/>
        <v>0</v>
      </c>
    </row>
    <row r="206">
      <c r="A206" s="12" t="s">
        <v>14</v>
      </c>
      <c r="B206" s="227" t="s">
        <v>2381</v>
      </c>
      <c r="C206" s="74" t="str">
        <f t="shared" si="22"/>
        <v>Sexta-Feira</v>
      </c>
      <c r="D206" s="512" t="str">
        <f>IF(C206&lt;&gt;"Quarta-Feira","14:20","09:20")</f>
        <v>14:20</v>
      </c>
      <c r="E206" s="287"/>
      <c r="F206" s="74">
        <v>7.06201513186169E14</v>
      </c>
      <c r="G206" s="167" t="s">
        <v>1233</v>
      </c>
      <c r="H206" s="83">
        <v>15995.0</v>
      </c>
      <c r="I206" s="34"/>
      <c r="J206" s="74"/>
      <c r="K206" s="74"/>
      <c r="R206" s="67"/>
    </row>
    <row r="207">
      <c r="A207" s="12" t="s">
        <v>15</v>
      </c>
      <c r="B207" s="227" t="s">
        <v>2384</v>
      </c>
      <c r="C207" s="74" t="str">
        <f t="shared" si="22"/>
        <v>Sexta-Feira</v>
      </c>
      <c r="D207" s="512" t="str">
        <f>IF(C207&lt;&gt;"Quarta-Feira","14:40","09:40")</f>
        <v>14:40</v>
      </c>
      <c r="E207" s="287"/>
      <c r="F207" s="74">
        <v>7.03209603595591E14</v>
      </c>
      <c r="G207" s="167" t="s">
        <v>4066</v>
      </c>
      <c r="H207" s="83">
        <v>34740.0</v>
      </c>
      <c r="I207" s="34"/>
      <c r="J207" s="74"/>
      <c r="K207" s="74"/>
      <c r="R207" s="67"/>
    </row>
    <row r="208">
      <c r="A208" s="12" t="s">
        <v>16</v>
      </c>
      <c r="B208" s="227" t="s">
        <v>2387</v>
      </c>
      <c r="C208" s="74" t="str">
        <f t="shared" si="22"/>
        <v>Sexta-Feira</v>
      </c>
      <c r="D208" s="512" t="str">
        <f>IF(C208&lt;&gt;"Quarta-Feira","15:00","10:00")</f>
        <v>15:00</v>
      </c>
      <c r="E208" s="287"/>
      <c r="F208" s="459"/>
      <c r="G208" s="167"/>
      <c r="H208" s="83"/>
      <c r="I208" s="34"/>
      <c r="J208" s="74"/>
      <c r="K208" s="74"/>
      <c r="R208" s="67"/>
    </row>
    <row r="209">
      <c r="A209" s="12" t="s">
        <v>17</v>
      </c>
      <c r="B209" s="227" t="s">
        <v>2390</v>
      </c>
      <c r="C209" s="74" t="str">
        <f t="shared" si="22"/>
        <v>Sexta-Feira</v>
      </c>
      <c r="D209" s="512" t="str">
        <f>IF(C209&lt;&gt;"Quarta-Feira","15:20","10:20")</f>
        <v>15:20</v>
      </c>
      <c r="E209" s="287"/>
      <c r="F209" s="74"/>
      <c r="G209" s="167"/>
      <c r="H209" s="83"/>
      <c r="I209" s="34"/>
      <c r="J209" s="74"/>
      <c r="K209" s="74"/>
      <c r="R209" s="67"/>
    </row>
    <row r="210">
      <c r="A210" s="12" t="s">
        <v>85</v>
      </c>
      <c r="B210" s="227" t="s">
        <v>2384</v>
      </c>
      <c r="C210" s="74" t="str">
        <f t="shared" si="22"/>
        <v>Sexta-Feira</v>
      </c>
      <c r="D210" s="512" t="str">
        <f>IF(C210&lt;&gt;"Quarta-Feira","15:40","10:40")</f>
        <v>15:40</v>
      </c>
      <c r="E210" s="287"/>
      <c r="F210" s="74">
        <v>7.00504177461954E14</v>
      </c>
      <c r="G210" s="167" t="s">
        <v>4067</v>
      </c>
      <c r="H210" s="83">
        <v>34023.0</v>
      </c>
      <c r="I210" s="34"/>
      <c r="J210" s="74"/>
      <c r="K210" s="74"/>
      <c r="R210" s="67"/>
    </row>
    <row r="211">
      <c r="A211" s="12" t="s">
        <v>87</v>
      </c>
      <c r="B211" s="227" t="s">
        <v>2381</v>
      </c>
      <c r="C211" s="74" t="str">
        <f t="shared" si="22"/>
        <v>Sexta-Feira</v>
      </c>
      <c r="D211" s="512" t="str">
        <f>IF(C211&lt;&gt;"Quarta-Feira","16:00","11:00")</f>
        <v>16:00</v>
      </c>
      <c r="E211" s="287"/>
      <c r="F211" s="74">
        <v>2.06880850880003E14</v>
      </c>
      <c r="G211" s="167" t="s">
        <v>4068</v>
      </c>
      <c r="H211" s="166">
        <v>24917.0</v>
      </c>
      <c r="I211" s="34"/>
      <c r="J211" s="74"/>
      <c r="K211" s="74"/>
      <c r="R211" s="67"/>
    </row>
    <row r="212">
      <c r="A212" s="12" t="s">
        <v>90</v>
      </c>
      <c r="B212" s="227" t="s">
        <v>2381</v>
      </c>
      <c r="C212" s="74" t="str">
        <f t="shared" si="22"/>
        <v>Sexta-Feira</v>
      </c>
      <c r="D212" s="512" t="str">
        <f>IF(C212&lt;&gt;"Quarta-Feira","16:20","11:20")</f>
        <v>16:20</v>
      </c>
      <c r="E212" s="287"/>
      <c r="F212" s="74"/>
      <c r="G212" s="167"/>
      <c r="H212" s="166"/>
      <c r="I212" s="34"/>
      <c r="J212" s="74"/>
      <c r="K212" s="74"/>
      <c r="R212" s="67"/>
    </row>
    <row r="213">
      <c r="A213" s="12" t="s">
        <v>93</v>
      </c>
      <c r="B213" s="227" t="s">
        <v>2381</v>
      </c>
      <c r="C213" s="74" t="str">
        <f t="shared" si="22"/>
        <v>Sexta-Feira</v>
      </c>
      <c r="D213" s="512" t="str">
        <f>IF(C213&lt;&gt;"Quarta-Feira","16:40","11:40")</f>
        <v>16:40</v>
      </c>
      <c r="E213" s="287"/>
      <c r="F213" s="74"/>
      <c r="G213" s="167"/>
      <c r="H213" s="166"/>
      <c r="I213" s="34"/>
      <c r="J213" s="74"/>
      <c r="K213" s="74"/>
      <c r="R213" s="67"/>
    </row>
    <row r="214">
      <c r="B214" s="182"/>
      <c r="E214" s="261"/>
      <c r="G214" s="182"/>
      <c r="J214" s="67"/>
      <c r="K214" s="67"/>
      <c r="R214" s="67"/>
    </row>
    <row r="215">
      <c r="B215" s="182"/>
      <c r="E215" s="261"/>
      <c r="G215" s="182"/>
      <c r="J215" s="67"/>
      <c r="K215" s="67"/>
      <c r="R215" s="67"/>
    </row>
    <row r="216">
      <c r="B216" s="182"/>
      <c r="E216" s="261"/>
      <c r="G216" s="182"/>
      <c r="J216" s="67"/>
      <c r="K216" s="67"/>
      <c r="R216" s="67"/>
    </row>
    <row r="217">
      <c r="A217" s="23" t="s">
        <v>378</v>
      </c>
      <c r="B217" s="2"/>
      <c r="C217" s="2"/>
      <c r="D217" s="2"/>
      <c r="E217" s="2"/>
      <c r="F217" s="2"/>
      <c r="G217" s="2"/>
      <c r="H217" s="2"/>
      <c r="I217" s="2"/>
      <c r="J217" s="2"/>
      <c r="K217" s="3"/>
      <c r="R217" s="67"/>
    </row>
    <row r="218">
      <c r="A218" s="24" t="str">
        <f>TEXT(DATE(VALUE(MID(A164,7,4)),VALUE(MID(A164,4,2)),VALUE(LEFT(A164,2)))+7,"dd/mm/yyyy")&amp;" 13h às 17h"</f>
        <v>27/07/2026 13h às 17h</v>
      </c>
      <c r="B218" s="2"/>
      <c r="C218" s="2"/>
      <c r="D218" s="2"/>
      <c r="E218" s="2"/>
      <c r="F218" s="2"/>
      <c r="G218" s="2"/>
      <c r="H218" s="2"/>
      <c r="I218" s="2"/>
      <c r="J218" s="2"/>
      <c r="K218" s="3"/>
      <c r="R218" s="67"/>
    </row>
    <row r="219">
      <c r="A219" s="25"/>
      <c r="B219" s="489" t="s">
        <v>3</v>
      </c>
      <c r="C219" s="27" t="s">
        <v>2</v>
      </c>
      <c r="D219" s="28" t="s">
        <v>5</v>
      </c>
      <c r="E219" s="29" t="s">
        <v>19</v>
      </c>
      <c r="F219" s="28" t="s">
        <v>6</v>
      </c>
      <c r="G219" s="264" t="s">
        <v>7</v>
      </c>
      <c r="H219" s="30" t="s">
        <v>8</v>
      </c>
      <c r="I219" s="31" t="s">
        <v>20</v>
      </c>
      <c r="J219" s="32" t="s">
        <v>21</v>
      </c>
      <c r="K219" s="32" t="s">
        <v>22</v>
      </c>
      <c r="R219" s="67"/>
    </row>
    <row r="220">
      <c r="A220" s="12" t="s">
        <v>10</v>
      </c>
      <c r="B220" s="227" t="s">
        <v>1981</v>
      </c>
      <c r="C220" s="74" t="str">
        <f t="shared" ref="C220:C231" si="24">PROPER(TEXT(DATE(MID($A$164,7,4),MID($A$164,4,2),LEFT($A$164,2)),"dddd"))</f>
        <v>Segunda-Feira</v>
      </c>
      <c r="D220" s="512" t="str">
        <f>IF(C220&lt;&gt;"Quarta-Feira","13:00","08:00")</f>
        <v>13:00</v>
      </c>
      <c r="E220" s="287"/>
      <c r="F220" s="74"/>
      <c r="G220" s="167"/>
      <c r="H220" s="211"/>
      <c r="I220" s="34"/>
      <c r="J220" s="74"/>
      <c r="K220" s="74"/>
      <c r="N220" s="268" t="s">
        <v>387</v>
      </c>
      <c r="O220" s="100"/>
      <c r="P220" s="100"/>
      <c r="Q220" s="100"/>
      <c r="R220" s="100"/>
    </row>
    <row r="221">
      <c r="A221" s="12" t="s">
        <v>11</v>
      </c>
      <c r="B221" s="227" t="s">
        <v>1985</v>
      </c>
      <c r="C221" s="74" t="str">
        <f t="shared" si="24"/>
        <v>Segunda-Feira</v>
      </c>
      <c r="D221" s="512" t="str">
        <f>IF(C221&lt;&gt;"Quarta-Feira","13:20","08:20")</f>
        <v>13:20</v>
      </c>
      <c r="E221" s="287"/>
      <c r="F221" s="74">
        <v>7.06501321033892E14</v>
      </c>
      <c r="G221" s="167" t="s">
        <v>3778</v>
      </c>
      <c r="H221" s="211">
        <v>25299.0</v>
      </c>
      <c r="I221" s="34"/>
      <c r="J221" s="74"/>
      <c r="K221" s="74"/>
      <c r="N221" s="270" t="s">
        <v>1824</v>
      </c>
      <c r="O221" s="2"/>
      <c r="P221" s="2"/>
      <c r="Q221" s="2"/>
      <c r="R221" s="2"/>
    </row>
    <row r="222">
      <c r="A222" s="12" t="s">
        <v>12</v>
      </c>
      <c r="B222" s="227" t="s">
        <v>1989</v>
      </c>
      <c r="C222" s="74" t="str">
        <f t="shared" si="24"/>
        <v>Segunda-Feira</v>
      </c>
      <c r="D222" s="512" t="str">
        <f>IF(C222&lt;&gt;"Quarta-Feira","13:40","08:40")</f>
        <v>13:40</v>
      </c>
      <c r="E222" s="287"/>
      <c r="F222" s="74"/>
      <c r="G222" s="167"/>
      <c r="H222" s="211"/>
      <c r="I222" s="34"/>
      <c r="J222" s="74"/>
      <c r="K222" s="74"/>
      <c r="N222" s="271" t="s">
        <v>183</v>
      </c>
      <c r="O222" s="272" t="s">
        <v>195</v>
      </c>
      <c r="P222" s="272" t="s">
        <v>181</v>
      </c>
      <c r="Q222" s="273" t="s">
        <v>173</v>
      </c>
      <c r="R222" s="286" t="s">
        <v>1823</v>
      </c>
    </row>
    <row r="223">
      <c r="A223" s="12" t="s">
        <v>13</v>
      </c>
      <c r="B223" s="227" t="s">
        <v>1992</v>
      </c>
      <c r="C223" s="74" t="str">
        <f t="shared" si="24"/>
        <v>Segunda-Feira</v>
      </c>
      <c r="D223" s="512" t="str">
        <f>IF(C223&lt;&gt;"Quarta-Feira","14:00","09:00")</f>
        <v>14:00</v>
      </c>
      <c r="E223" s="287"/>
      <c r="F223" s="74">
        <v>7.02002850029085E14</v>
      </c>
      <c r="G223" s="167" t="s">
        <v>4043</v>
      </c>
      <c r="H223" s="211">
        <v>18990.0</v>
      </c>
      <c r="I223" s="34"/>
      <c r="J223" s="74"/>
      <c r="K223" s="74"/>
      <c r="N223" s="275">
        <f t="shared" ref="N223:R223" si="25">COUNTIFS($I$166:$I$177,$N$168)</f>
        <v>12</v>
      </c>
      <c r="O223" s="275">
        <f t="shared" si="25"/>
        <v>12</v>
      </c>
      <c r="P223" s="275">
        <f t="shared" si="25"/>
        <v>12</v>
      </c>
      <c r="Q223" s="275">
        <f t="shared" si="25"/>
        <v>12</v>
      </c>
      <c r="R223" s="275">
        <f t="shared" si="25"/>
        <v>12</v>
      </c>
    </row>
    <row r="224">
      <c r="A224" s="12" t="s">
        <v>14</v>
      </c>
      <c r="B224" s="227" t="s">
        <v>1981</v>
      </c>
      <c r="C224" s="74" t="str">
        <f t="shared" si="24"/>
        <v>Segunda-Feira</v>
      </c>
      <c r="D224" s="512" t="str">
        <f>IF(C224&lt;&gt;"Quarta-Feira","14:20","09:20")</f>
        <v>14:20</v>
      </c>
      <c r="E224" s="287"/>
      <c r="F224" s="74"/>
      <c r="G224" s="167"/>
      <c r="H224" s="211"/>
      <c r="I224" s="34"/>
      <c r="J224" s="74"/>
      <c r="K224" s="74"/>
      <c r="R224" s="67"/>
    </row>
    <row r="225">
      <c r="A225" s="12" t="s">
        <v>15</v>
      </c>
      <c r="B225" s="227" t="s">
        <v>1985</v>
      </c>
      <c r="C225" s="74" t="str">
        <f t="shared" si="24"/>
        <v>Segunda-Feira</v>
      </c>
      <c r="D225" s="512" t="str">
        <f>IF(C225&lt;&gt;"Quarta-Feira","14:40","09:40")</f>
        <v>14:40</v>
      </c>
      <c r="E225" s="287"/>
      <c r="F225" s="74">
        <v>7.07002831242438E14</v>
      </c>
      <c r="G225" s="167" t="s">
        <v>4069</v>
      </c>
      <c r="H225" s="211">
        <v>27291.0</v>
      </c>
      <c r="I225" s="34"/>
      <c r="J225" s="74"/>
      <c r="K225" s="74"/>
      <c r="R225" s="67"/>
    </row>
    <row r="226">
      <c r="A226" s="12" t="s">
        <v>16</v>
      </c>
      <c r="B226" s="227" t="s">
        <v>1989</v>
      </c>
      <c r="C226" s="74" t="str">
        <f t="shared" si="24"/>
        <v>Segunda-Feira</v>
      </c>
      <c r="D226" s="512" t="str">
        <f>IF(C226&lt;&gt;"Quarta-Feira","15:00","10:00")</f>
        <v>15:00</v>
      </c>
      <c r="E226" s="287"/>
      <c r="F226" s="74"/>
      <c r="G226" s="167"/>
      <c r="H226" s="211"/>
      <c r="I226" s="34"/>
      <c r="J226" s="74"/>
      <c r="K226" s="74"/>
      <c r="R226" s="67"/>
    </row>
    <row r="227">
      <c r="A227" s="12" t="s">
        <v>17</v>
      </c>
      <c r="B227" s="227" t="s">
        <v>1992</v>
      </c>
      <c r="C227" s="74" t="str">
        <f t="shared" si="24"/>
        <v>Segunda-Feira</v>
      </c>
      <c r="D227" s="512" t="str">
        <f>IF(C227&lt;&gt;"Quarta-Feira","15:20","10:20")</f>
        <v>15:20</v>
      </c>
      <c r="E227" s="287"/>
      <c r="F227" s="74">
        <v>7.02008811078386E14</v>
      </c>
      <c r="G227" s="167" t="s">
        <v>4070</v>
      </c>
      <c r="H227" s="211">
        <v>22420.0</v>
      </c>
      <c r="I227" s="34"/>
      <c r="J227" s="74"/>
      <c r="K227" s="74"/>
      <c r="R227" s="67"/>
    </row>
    <row r="228">
      <c r="A228" s="12" t="s">
        <v>85</v>
      </c>
      <c r="B228" s="227" t="s">
        <v>1981</v>
      </c>
      <c r="C228" s="74" t="str">
        <f t="shared" si="24"/>
        <v>Segunda-Feira</v>
      </c>
      <c r="D228" s="512" t="str">
        <f>IF(C228&lt;&gt;"Quarta-Feira","15:40","10:40")</f>
        <v>15:40</v>
      </c>
      <c r="E228" s="287"/>
      <c r="F228" s="74"/>
      <c r="G228" s="167"/>
      <c r="H228" s="211"/>
      <c r="I228" s="34"/>
      <c r="J228" s="74"/>
      <c r="K228" s="74"/>
      <c r="R228" s="67"/>
    </row>
    <row r="229">
      <c r="A229" s="12" t="s">
        <v>87</v>
      </c>
      <c r="B229" s="227" t="s">
        <v>1985</v>
      </c>
      <c r="C229" s="74" t="str">
        <f t="shared" si="24"/>
        <v>Segunda-Feira</v>
      </c>
      <c r="D229" s="512" t="str">
        <f>IF(C229&lt;&gt;"Quarta-Feira","16:00","11:00")</f>
        <v>16:00</v>
      </c>
      <c r="E229" s="287"/>
      <c r="F229" s="74">
        <v>7.01001850166091E14</v>
      </c>
      <c r="G229" s="167" t="s">
        <v>4071</v>
      </c>
      <c r="H229" s="211">
        <v>24171.0</v>
      </c>
      <c r="I229" s="34"/>
      <c r="J229" s="74"/>
      <c r="K229" s="74"/>
      <c r="R229" s="67"/>
    </row>
    <row r="230">
      <c r="A230" s="12" t="s">
        <v>90</v>
      </c>
      <c r="B230" s="227" t="s">
        <v>1989</v>
      </c>
      <c r="C230" s="74" t="str">
        <f t="shared" si="24"/>
        <v>Segunda-Feira</v>
      </c>
      <c r="D230" s="512" t="str">
        <f>IF(C230&lt;&gt;"Quarta-Feira","16:20","11:20")</f>
        <v>16:20</v>
      </c>
      <c r="E230" s="287"/>
      <c r="F230" s="74"/>
      <c r="G230" s="167"/>
      <c r="H230" s="211"/>
      <c r="I230" s="34"/>
      <c r="J230" s="74"/>
      <c r="K230" s="74"/>
      <c r="R230" s="67"/>
    </row>
    <row r="231">
      <c r="A231" s="12" t="s">
        <v>93</v>
      </c>
      <c r="B231" s="227" t="s">
        <v>1992</v>
      </c>
      <c r="C231" s="74" t="str">
        <f t="shared" si="24"/>
        <v>Segunda-Feira</v>
      </c>
      <c r="D231" s="512" t="str">
        <f>IF(C231&lt;&gt;"Quarta-Feira","16:40","11:40")</f>
        <v>16:40</v>
      </c>
      <c r="E231" s="287"/>
      <c r="F231" s="74"/>
      <c r="G231" s="167"/>
      <c r="H231" s="211"/>
      <c r="I231" s="34"/>
      <c r="J231" s="74"/>
      <c r="K231" s="74"/>
      <c r="R231" s="67"/>
    </row>
    <row r="232">
      <c r="B232" s="182"/>
      <c r="E232" s="261"/>
      <c r="G232" s="182"/>
      <c r="J232" s="67"/>
      <c r="K232" s="67"/>
      <c r="R232" s="67"/>
    </row>
    <row r="233">
      <c r="B233" s="182"/>
      <c r="E233" s="261"/>
      <c r="G233" s="182"/>
      <c r="J233" s="67"/>
      <c r="K233" s="67"/>
      <c r="R233" s="67"/>
    </row>
    <row r="234">
      <c r="B234" s="182"/>
      <c r="E234" s="261"/>
      <c r="G234" s="182"/>
      <c r="J234" s="67"/>
      <c r="K234" s="67"/>
      <c r="R234" s="67"/>
    </row>
    <row r="235">
      <c r="A235" s="23" t="s">
        <v>378</v>
      </c>
      <c r="B235" s="2"/>
      <c r="C235" s="2"/>
      <c r="D235" s="2"/>
      <c r="E235" s="2"/>
      <c r="F235" s="2"/>
      <c r="G235" s="2"/>
      <c r="H235" s="2"/>
      <c r="I235" s="2"/>
      <c r="J235" s="2"/>
      <c r="K235" s="3"/>
      <c r="R235" s="67"/>
    </row>
    <row r="236">
      <c r="A236" s="24" t="str">
        <f>TEXT(DATE(VALUE(MID(A218,7,4)),VALUE(MID(A218,4,2)),VALUE(LEFT(A218,2)))+2,"dd/mm/yyyy")&amp;" 08h às 13h"</f>
        <v>29/07/2026 08h às 13h</v>
      </c>
      <c r="B236" s="2"/>
      <c r="C236" s="2"/>
      <c r="D236" s="2"/>
      <c r="E236" s="2"/>
      <c r="F236" s="2"/>
      <c r="G236" s="2"/>
      <c r="H236" s="2"/>
      <c r="I236" s="2"/>
      <c r="J236" s="2"/>
      <c r="K236" s="3"/>
    </row>
    <row r="237">
      <c r="A237" s="25"/>
      <c r="B237" s="489" t="s">
        <v>3</v>
      </c>
      <c r="C237" s="27" t="s">
        <v>2</v>
      </c>
      <c r="D237" s="28" t="s">
        <v>5</v>
      </c>
      <c r="E237" s="29" t="s">
        <v>19</v>
      </c>
      <c r="F237" s="28" t="s">
        <v>6</v>
      </c>
      <c r="G237" s="264" t="s">
        <v>7</v>
      </c>
      <c r="H237" s="30" t="s">
        <v>8</v>
      </c>
      <c r="I237" s="31" t="s">
        <v>20</v>
      </c>
      <c r="J237" s="32" t="s">
        <v>21</v>
      </c>
      <c r="K237" s="32" t="s">
        <v>22</v>
      </c>
    </row>
    <row r="238">
      <c r="A238" s="12" t="s">
        <v>10</v>
      </c>
      <c r="B238" s="227" t="s">
        <v>2014</v>
      </c>
      <c r="C238" s="74" t="str">
        <f t="shared" ref="C238:C249" si="26">PROPER(TEXT(DATE(MID($A$128,7,4),MID($A$128,4,2),LEFT($A$128,2)),"dddd"))</f>
        <v>Quarta-Feira</v>
      </c>
      <c r="D238" s="512" t="str">
        <f>IF(C238&lt;&gt;"Quarta-Feira","13:00","08:00")</f>
        <v>08:00</v>
      </c>
      <c r="E238" s="287"/>
      <c r="F238" s="74"/>
      <c r="G238" s="167"/>
      <c r="H238" s="211"/>
      <c r="I238" s="34"/>
      <c r="J238" s="74"/>
      <c r="K238" s="74"/>
      <c r="N238" s="268" t="s">
        <v>387</v>
      </c>
      <c r="O238" s="100"/>
      <c r="P238" s="100"/>
      <c r="Q238" s="100"/>
      <c r="R238" s="100"/>
    </row>
    <row r="239">
      <c r="A239" s="12" t="s">
        <v>11</v>
      </c>
      <c r="B239" s="227" t="s">
        <v>2019</v>
      </c>
      <c r="C239" s="74" t="str">
        <f t="shared" si="26"/>
        <v>Quarta-Feira</v>
      </c>
      <c r="D239" s="512" t="str">
        <f>IF(C239&lt;&gt;"Quarta-Feira","13:20","08:20")</f>
        <v>08:20</v>
      </c>
      <c r="E239" s="287"/>
      <c r="F239" s="74"/>
      <c r="G239" s="167"/>
      <c r="H239" s="77"/>
      <c r="I239" s="34"/>
      <c r="J239" s="74"/>
      <c r="K239" s="74"/>
      <c r="N239" s="270" t="s">
        <v>1824</v>
      </c>
      <c r="O239" s="2"/>
      <c r="P239" s="2"/>
      <c r="Q239" s="2"/>
      <c r="R239" s="2"/>
    </row>
    <row r="240">
      <c r="A240" s="12" t="s">
        <v>12</v>
      </c>
      <c r="B240" s="227" t="s">
        <v>2021</v>
      </c>
      <c r="C240" s="74" t="str">
        <f t="shared" si="26"/>
        <v>Quarta-Feira</v>
      </c>
      <c r="D240" s="512" t="str">
        <f>IF(C240&lt;&gt;"Quarta-Feira","13:40","08:40")</f>
        <v>08:40</v>
      </c>
      <c r="E240" s="287"/>
      <c r="F240" s="74">
        <v>7.00603438967668E14</v>
      </c>
      <c r="G240" s="167" t="s">
        <v>4072</v>
      </c>
      <c r="H240" s="83">
        <v>28410.0</v>
      </c>
      <c r="I240" s="34"/>
      <c r="J240" s="74"/>
      <c r="K240" s="74"/>
      <c r="N240" s="271" t="s">
        <v>183</v>
      </c>
      <c r="O240" s="272" t="s">
        <v>195</v>
      </c>
      <c r="P240" s="272" t="s">
        <v>181</v>
      </c>
      <c r="Q240" s="273" t="s">
        <v>173</v>
      </c>
      <c r="R240" s="286" t="s">
        <v>1823</v>
      </c>
    </row>
    <row r="241">
      <c r="A241" s="12" t="s">
        <v>13</v>
      </c>
      <c r="B241" s="227" t="s">
        <v>2024</v>
      </c>
      <c r="C241" s="74" t="str">
        <f t="shared" si="26"/>
        <v>Quarta-Feira</v>
      </c>
      <c r="D241" s="512" t="str">
        <f>IF(C241&lt;&gt;"Quarta-Feira","14:00","09:00")</f>
        <v>09:00</v>
      </c>
      <c r="E241" s="287"/>
      <c r="F241" s="74">
        <v>8.0144043273172E14</v>
      </c>
      <c r="G241" s="167" t="s">
        <v>4073</v>
      </c>
      <c r="H241" s="83">
        <v>23494.0</v>
      </c>
      <c r="I241" s="34"/>
      <c r="J241" s="74"/>
      <c r="K241" s="74"/>
      <c r="N241" s="275">
        <f t="shared" ref="N241:R241" si="27">COUNTIFS($I$184:$I$195,$N$168)</f>
        <v>6</v>
      </c>
      <c r="O241" s="275">
        <f t="shared" si="27"/>
        <v>6</v>
      </c>
      <c r="P241" s="275">
        <f t="shared" si="27"/>
        <v>6</v>
      </c>
      <c r="Q241" s="275">
        <f t="shared" si="27"/>
        <v>6</v>
      </c>
      <c r="R241" s="275">
        <f t="shared" si="27"/>
        <v>6</v>
      </c>
    </row>
    <row r="242">
      <c r="A242" s="12" t="s">
        <v>14</v>
      </c>
      <c r="B242" s="227" t="s">
        <v>2019</v>
      </c>
      <c r="C242" s="74" t="str">
        <f t="shared" si="26"/>
        <v>Quarta-Feira</v>
      </c>
      <c r="D242" s="512" t="str">
        <f>IF(C242&lt;&gt;"Quarta-Feira","14:20","09:20")</f>
        <v>09:20</v>
      </c>
      <c r="E242" s="287"/>
      <c r="F242" s="74"/>
      <c r="G242" s="167"/>
      <c r="H242" s="83"/>
      <c r="I242" s="34"/>
      <c r="J242" s="74"/>
      <c r="K242" s="74"/>
      <c r="R242" s="67"/>
    </row>
    <row r="243">
      <c r="A243" s="12" t="s">
        <v>15</v>
      </c>
      <c r="B243" s="227" t="s">
        <v>2021</v>
      </c>
      <c r="C243" s="74" t="str">
        <f t="shared" si="26"/>
        <v>Quarta-Feira</v>
      </c>
      <c r="D243" s="512" t="str">
        <f>IF(C243&lt;&gt;"Quarta-Feira","14:40","09:40")</f>
        <v>09:40</v>
      </c>
      <c r="E243" s="287"/>
      <c r="F243" s="74"/>
      <c r="G243" s="167"/>
      <c r="H243" s="83"/>
      <c r="I243" s="34"/>
      <c r="J243" s="74"/>
      <c r="K243" s="74"/>
      <c r="R243" s="67"/>
    </row>
    <row r="244">
      <c r="A244" s="12" t="s">
        <v>16</v>
      </c>
      <c r="B244" s="227" t="s">
        <v>2014</v>
      </c>
      <c r="C244" s="74" t="str">
        <f t="shared" si="26"/>
        <v>Quarta-Feira</v>
      </c>
      <c r="D244" s="512" t="str">
        <f>IF(C244&lt;&gt;"Quarta-Feira","15:00","10:00")</f>
        <v>10:00</v>
      </c>
      <c r="E244" s="287"/>
      <c r="F244" s="74">
        <v>7.00700999333176E14</v>
      </c>
      <c r="G244" s="167" t="s">
        <v>4074</v>
      </c>
      <c r="H244" s="83">
        <v>19298.0</v>
      </c>
      <c r="I244" s="34"/>
      <c r="J244" s="74"/>
      <c r="K244" s="74"/>
      <c r="R244" s="67"/>
    </row>
    <row r="245">
      <c r="A245" s="12" t="s">
        <v>17</v>
      </c>
      <c r="B245" s="227" t="s">
        <v>2019</v>
      </c>
      <c r="C245" s="74" t="str">
        <f t="shared" si="26"/>
        <v>Quarta-Feira</v>
      </c>
      <c r="D245" s="512" t="str">
        <f>IF(C245&lt;&gt;"Quarta-Feira","15:20","10:20")</f>
        <v>10:20</v>
      </c>
      <c r="E245" s="287"/>
      <c r="F245" s="74"/>
      <c r="G245" s="167"/>
      <c r="H245" s="77"/>
      <c r="I245" s="34"/>
      <c r="J245" s="74"/>
      <c r="K245" s="74"/>
      <c r="R245" s="67"/>
    </row>
    <row r="246">
      <c r="A246" s="12" t="s">
        <v>85</v>
      </c>
      <c r="B246" s="227" t="s">
        <v>2024</v>
      </c>
      <c r="C246" s="74" t="str">
        <f t="shared" si="26"/>
        <v>Quarta-Feira</v>
      </c>
      <c r="D246" s="512" t="str">
        <f>IF(C246&lt;&gt;"Quarta-Feira","15:40","10:40")</f>
        <v>10:40</v>
      </c>
      <c r="E246" s="287"/>
      <c r="F246" s="74">
        <v>8.01440490534754E14</v>
      </c>
      <c r="G246" s="167" t="s">
        <v>2370</v>
      </c>
      <c r="H246" s="83">
        <v>19429.0</v>
      </c>
      <c r="I246" s="34"/>
      <c r="J246" s="74"/>
      <c r="K246" s="74"/>
      <c r="R246" s="67"/>
    </row>
    <row r="247">
      <c r="A247" s="12" t="s">
        <v>87</v>
      </c>
      <c r="B247" s="227" t="s">
        <v>2021</v>
      </c>
      <c r="C247" s="74" t="str">
        <f t="shared" si="26"/>
        <v>Quarta-Feira</v>
      </c>
      <c r="D247" s="512" t="str">
        <f>IF(C247&lt;&gt;"Quarta-Feira","16:00","11:00")</f>
        <v>11:00</v>
      </c>
      <c r="E247" s="287"/>
      <c r="F247" s="74"/>
      <c r="G247" s="167"/>
      <c r="H247" s="166"/>
      <c r="I247" s="34"/>
      <c r="J247" s="74"/>
      <c r="K247" s="74"/>
      <c r="R247" s="67"/>
    </row>
    <row r="248">
      <c r="A248" s="12" t="s">
        <v>90</v>
      </c>
      <c r="B248" s="227" t="s">
        <v>2024</v>
      </c>
      <c r="C248" s="74" t="str">
        <f t="shared" si="26"/>
        <v>Quarta-Feira</v>
      </c>
      <c r="D248" s="512" t="str">
        <f>IF(C248&lt;&gt;"Quarta-Feira","16:20","11:20")</f>
        <v>11:20</v>
      </c>
      <c r="E248" s="287"/>
      <c r="F248" s="74">
        <v>7.00805978961082E14</v>
      </c>
      <c r="G248" s="167" t="s">
        <v>2377</v>
      </c>
      <c r="H248" s="166">
        <v>23636.0</v>
      </c>
      <c r="I248" s="34"/>
      <c r="J248" s="74"/>
      <c r="K248" s="74"/>
      <c r="R248" s="67"/>
    </row>
    <row r="249">
      <c r="A249" s="12" t="s">
        <v>93</v>
      </c>
      <c r="B249" s="227" t="s">
        <v>2014</v>
      </c>
      <c r="C249" s="74" t="str">
        <f t="shared" si="26"/>
        <v>Quarta-Feira</v>
      </c>
      <c r="D249" s="512" t="str">
        <f>IF(C249&lt;&gt;"Quarta-Feira","16:40","11:40")</f>
        <v>11:40</v>
      </c>
      <c r="E249" s="287"/>
      <c r="F249" s="74"/>
      <c r="G249" s="167"/>
      <c r="H249" s="166"/>
      <c r="I249" s="34"/>
      <c r="J249" s="74"/>
      <c r="K249" s="74"/>
      <c r="R249" s="67"/>
    </row>
    <row r="250">
      <c r="B250" s="182"/>
      <c r="E250" s="261"/>
      <c r="G250" s="182"/>
      <c r="J250" s="67"/>
      <c r="K250" s="67"/>
      <c r="R250" s="67"/>
    </row>
    <row r="251">
      <c r="B251" s="182"/>
      <c r="E251" s="261"/>
      <c r="G251" s="182"/>
      <c r="J251" s="67"/>
      <c r="K251" s="67"/>
      <c r="R251" s="67"/>
    </row>
    <row r="252">
      <c r="B252" s="182"/>
      <c r="E252" s="261"/>
      <c r="G252" s="182"/>
      <c r="J252" s="67"/>
      <c r="K252" s="67"/>
      <c r="R252" s="67"/>
    </row>
    <row r="253">
      <c r="A253" s="23" t="s">
        <v>378</v>
      </c>
      <c r="B253" s="2"/>
      <c r="C253" s="2"/>
      <c r="D253" s="2"/>
      <c r="E253" s="2"/>
      <c r="F253" s="2"/>
      <c r="G253" s="2"/>
      <c r="H253" s="2"/>
      <c r="I253" s="2"/>
      <c r="J253" s="2"/>
      <c r="K253" s="3"/>
      <c r="R253" s="67"/>
    </row>
    <row r="254">
      <c r="A254" s="24" t="str">
        <f>TEXT(DATE(VALUE(MID(A236,7,4)),VALUE(MID(A236,4,2)),VALUE(LEFT(A236,2)))+2,"dd/mm/yyyy")&amp;" 08h às 13h"</f>
        <v>31/07/2026 08h às 13h</v>
      </c>
      <c r="B254" s="2"/>
      <c r="C254" s="2"/>
      <c r="D254" s="2"/>
      <c r="E254" s="2"/>
      <c r="F254" s="2"/>
      <c r="G254" s="2"/>
      <c r="H254" s="2"/>
      <c r="I254" s="2"/>
      <c r="J254" s="2"/>
      <c r="K254" s="3"/>
      <c r="R254" s="67"/>
    </row>
    <row r="255">
      <c r="A255" s="25"/>
      <c r="B255" s="489" t="s">
        <v>3</v>
      </c>
      <c r="C255" s="27" t="s">
        <v>2</v>
      </c>
      <c r="D255" s="28" t="s">
        <v>5</v>
      </c>
      <c r="E255" s="29" t="s">
        <v>19</v>
      </c>
      <c r="F255" s="28" t="s">
        <v>6</v>
      </c>
      <c r="G255" s="264" t="s">
        <v>7</v>
      </c>
      <c r="H255" s="30" t="s">
        <v>8</v>
      </c>
      <c r="I255" s="31" t="s">
        <v>20</v>
      </c>
      <c r="J255" s="32" t="s">
        <v>21</v>
      </c>
      <c r="K255" s="32" t="s">
        <v>22</v>
      </c>
      <c r="R255" s="67"/>
    </row>
    <row r="256">
      <c r="A256" s="12" t="s">
        <v>10</v>
      </c>
      <c r="B256" s="227" t="s">
        <v>2381</v>
      </c>
      <c r="C256" s="74" t="str">
        <f t="shared" ref="C256:C267" si="28">PROPER(TEXT(DATE(MID($A$146,7,4),MID($A$146,4,2),LEFT($A$146,2)),"dddd"))</f>
        <v>Sexta-Feira</v>
      </c>
      <c r="D256" s="512" t="str">
        <f>IF(C256&lt;&gt;"Quarta-Feira","13:00","08:00")</f>
        <v>13:00</v>
      </c>
      <c r="E256" s="287"/>
      <c r="F256" s="459"/>
      <c r="G256" s="167"/>
      <c r="H256" s="83"/>
      <c r="I256" s="34"/>
      <c r="J256" s="74"/>
      <c r="K256" s="74"/>
      <c r="N256" s="268" t="s">
        <v>387</v>
      </c>
      <c r="O256" s="100"/>
      <c r="P256" s="100"/>
      <c r="Q256" s="100"/>
      <c r="R256" s="100"/>
    </row>
    <row r="257">
      <c r="A257" s="12" t="s">
        <v>11</v>
      </c>
      <c r="B257" s="227" t="s">
        <v>2384</v>
      </c>
      <c r="C257" s="74" t="str">
        <f t="shared" si="28"/>
        <v>Sexta-Feira</v>
      </c>
      <c r="D257" s="512" t="str">
        <f>IF(C257&lt;&gt;"Quarta-Feira","13:20","08:20")</f>
        <v>13:20</v>
      </c>
      <c r="E257" s="287"/>
      <c r="F257" s="74"/>
      <c r="G257" s="167"/>
      <c r="H257" s="83"/>
      <c r="I257" s="34"/>
      <c r="J257" s="74"/>
      <c r="K257" s="74"/>
      <c r="N257" s="270" t="s">
        <v>1824</v>
      </c>
      <c r="O257" s="2"/>
      <c r="P257" s="2"/>
      <c r="Q257" s="2"/>
      <c r="R257" s="2"/>
    </row>
    <row r="258">
      <c r="A258" s="12" t="s">
        <v>12</v>
      </c>
      <c r="B258" s="227" t="s">
        <v>2387</v>
      </c>
      <c r="C258" s="74" t="str">
        <f t="shared" si="28"/>
        <v>Sexta-Feira</v>
      </c>
      <c r="D258" s="512" t="str">
        <f>IF(C258&lt;&gt;"Quarta-Feira","13:40","08:40")</f>
        <v>13:40</v>
      </c>
      <c r="E258" s="287"/>
      <c r="F258" s="74"/>
      <c r="G258" s="167"/>
      <c r="H258" s="83"/>
      <c r="I258" s="34"/>
      <c r="J258" s="74"/>
      <c r="K258" s="74"/>
      <c r="N258" s="271" t="s">
        <v>183</v>
      </c>
      <c r="O258" s="272" t="s">
        <v>195</v>
      </c>
      <c r="P258" s="272" t="s">
        <v>181</v>
      </c>
      <c r="Q258" s="273" t="s">
        <v>173</v>
      </c>
      <c r="R258" s="286" t="s">
        <v>1823</v>
      </c>
    </row>
    <row r="259">
      <c r="A259" s="12" t="s">
        <v>13</v>
      </c>
      <c r="B259" s="227" t="s">
        <v>2390</v>
      </c>
      <c r="C259" s="74" t="str">
        <f t="shared" si="28"/>
        <v>Sexta-Feira</v>
      </c>
      <c r="D259" s="512" t="str">
        <f>IF(C259&lt;&gt;"Quarta-Feira","14:00","09:00")</f>
        <v>14:00</v>
      </c>
      <c r="E259" s="287"/>
      <c r="F259" s="74"/>
      <c r="G259" s="167"/>
      <c r="H259" s="83"/>
      <c r="I259" s="34"/>
      <c r="J259" s="74"/>
      <c r="K259" s="74"/>
      <c r="N259" s="275">
        <f t="shared" ref="N259:R259" si="29">COUNTIFS($I$202:$I$213,$N$168)</f>
        <v>0</v>
      </c>
      <c r="O259" s="275">
        <f t="shared" si="29"/>
        <v>0</v>
      </c>
      <c r="P259" s="275">
        <f t="shared" si="29"/>
        <v>0</v>
      </c>
      <c r="Q259" s="275">
        <f t="shared" si="29"/>
        <v>0</v>
      </c>
      <c r="R259" s="275">
        <f t="shared" si="29"/>
        <v>0</v>
      </c>
    </row>
    <row r="260">
      <c r="A260" s="12" t="s">
        <v>14</v>
      </c>
      <c r="B260" s="227" t="s">
        <v>2381</v>
      </c>
      <c r="C260" s="74" t="str">
        <f t="shared" si="28"/>
        <v>Sexta-Feira</v>
      </c>
      <c r="D260" s="512" t="str">
        <f>IF(C260&lt;&gt;"Quarta-Feira","14:20","09:20")</f>
        <v>14:20</v>
      </c>
      <c r="E260" s="287"/>
      <c r="F260" s="74"/>
      <c r="G260" s="167"/>
      <c r="H260" s="83"/>
      <c r="I260" s="34"/>
      <c r="J260" s="74"/>
      <c r="K260" s="74"/>
      <c r="R260" s="67"/>
    </row>
    <row r="261">
      <c r="A261" s="12" t="s">
        <v>15</v>
      </c>
      <c r="B261" s="227" t="s">
        <v>2384</v>
      </c>
      <c r="C261" s="74" t="str">
        <f t="shared" si="28"/>
        <v>Sexta-Feira</v>
      </c>
      <c r="D261" s="512" t="str">
        <f>IF(C261&lt;&gt;"Quarta-Feira","14:40","09:40")</f>
        <v>14:40</v>
      </c>
      <c r="E261" s="287"/>
      <c r="F261" s="74"/>
      <c r="G261" s="167"/>
      <c r="H261" s="83"/>
      <c r="I261" s="34"/>
      <c r="J261" s="74"/>
      <c r="K261" s="74"/>
      <c r="R261" s="67"/>
    </row>
    <row r="262">
      <c r="A262" s="12" t="s">
        <v>16</v>
      </c>
      <c r="B262" s="227" t="s">
        <v>2387</v>
      </c>
      <c r="C262" s="74" t="str">
        <f t="shared" si="28"/>
        <v>Sexta-Feira</v>
      </c>
      <c r="D262" s="512" t="str">
        <f>IF(C262&lt;&gt;"Quarta-Feira","15:00","10:00")</f>
        <v>15:00</v>
      </c>
      <c r="E262" s="287"/>
      <c r="F262" s="459"/>
      <c r="G262" s="167"/>
      <c r="H262" s="83"/>
      <c r="I262" s="34"/>
      <c r="J262" s="74"/>
      <c r="K262" s="74"/>
      <c r="R262" s="67"/>
    </row>
    <row r="263">
      <c r="A263" s="12" t="s">
        <v>17</v>
      </c>
      <c r="B263" s="227" t="s">
        <v>2390</v>
      </c>
      <c r="C263" s="74" t="str">
        <f t="shared" si="28"/>
        <v>Sexta-Feira</v>
      </c>
      <c r="D263" s="512" t="str">
        <f>IF(C263&lt;&gt;"Quarta-Feira","15:20","10:20")</f>
        <v>15:20</v>
      </c>
      <c r="E263" s="287"/>
      <c r="F263" s="74"/>
      <c r="G263" s="167"/>
      <c r="H263" s="83"/>
      <c r="I263" s="34"/>
      <c r="J263" s="74"/>
      <c r="K263" s="74"/>
      <c r="R263" s="67"/>
    </row>
    <row r="264">
      <c r="A264" s="12" t="s">
        <v>85</v>
      </c>
      <c r="B264" s="227" t="s">
        <v>2384</v>
      </c>
      <c r="C264" s="74" t="str">
        <f t="shared" si="28"/>
        <v>Sexta-Feira</v>
      </c>
      <c r="D264" s="512" t="str">
        <f>IF(C264&lt;&gt;"Quarta-Feira","15:40","10:40")</f>
        <v>15:40</v>
      </c>
      <c r="E264" s="287"/>
      <c r="F264" s="74"/>
      <c r="G264" s="167"/>
      <c r="H264" s="83"/>
      <c r="I264" s="34"/>
      <c r="J264" s="74"/>
      <c r="K264" s="74"/>
      <c r="R264" s="67"/>
    </row>
    <row r="265">
      <c r="A265" s="12" t="s">
        <v>87</v>
      </c>
      <c r="B265" s="227" t="s">
        <v>2381</v>
      </c>
      <c r="C265" s="74" t="str">
        <f t="shared" si="28"/>
        <v>Sexta-Feira</v>
      </c>
      <c r="D265" s="512" t="str">
        <f>IF(C265&lt;&gt;"Quarta-Feira","16:00","11:00")</f>
        <v>16:00</v>
      </c>
      <c r="E265" s="287"/>
      <c r="F265" s="74"/>
      <c r="G265" s="167"/>
      <c r="H265" s="166"/>
      <c r="I265" s="34"/>
      <c r="J265" s="74"/>
      <c r="K265" s="74"/>
      <c r="R265" s="67"/>
    </row>
    <row r="266">
      <c r="A266" s="12" t="s">
        <v>90</v>
      </c>
      <c r="B266" s="227" t="s">
        <v>2381</v>
      </c>
      <c r="C266" s="74" t="str">
        <f t="shared" si="28"/>
        <v>Sexta-Feira</v>
      </c>
      <c r="D266" s="512" t="str">
        <f>IF(C266&lt;&gt;"Quarta-Feira","16:20","11:20")</f>
        <v>16:20</v>
      </c>
      <c r="E266" s="287"/>
      <c r="F266" s="74"/>
      <c r="G266" s="167"/>
      <c r="H266" s="166"/>
      <c r="I266" s="34"/>
      <c r="J266" s="74"/>
      <c r="K266" s="74"/>
      <c r="R266" s="67"/>
    </row>
    <row r="267">
      <c r="A267" s="12" t="s">
        <v>93</v>
      </c>
      <c r="B267" s="227" t="s">
        <v>2381</v>
      </c>
      <c r="C267" s="74" t="str">
        <f t="shared" si="28"/>
        <v>Sexta-Feira</v>
      </c>
      <c r="D267" s="512" t="str">
        <f>IF(C267&lt;&gt;"Quarta-Feira","16:40","11:40")</f>
        <v>16:40</v>
      </c>
      <c r="E267" s="287"/>
      <c r="F267" s="74"/>
      <c r="G267" s="167"/>
      <c r="H267" s="166"/>
      <c r="I267" s="34"/>
      <c r="J267" s="74"/>
      <c r="K267" s="74"/>
      <c r="R267" s="67"/>
    </row>
    <row r="268">
      <c r="B268" s="182"/>
      <c r="E268" s="261"/>
      <c r="G268" s="182"/>
      <c r="J268" s="67"/>
      <c r="K268" s="67"/>
      <c r="R268" s="67"/>
    </row>
    <row r="269">
      <c r="B269" s="182"/>
      <c r="E269" s="261"/>
      <c r="G269" s="182"/>
      <c r="J269" s="67"/>
      <c r="K269" s="67"/>
      <c r="R269" s="67"/>
    </row>
    <row r="270">
      <c r="B270" s="182"/>
      <c r="E270" s="261"/>
      <c r="G270" s="182"/>
      <c r="J270" s="67"/>
      <c r="K270" s="67"/>
      <c r="R270" s="67"/>
    </row>
    <row r="271">
      <c r="B271" s="182"/>
      <c r="E271" s="261"/>
      <c r="G271" s="182"/>
      <c r="J271" s="67"/>
      <c r="K271" s="67"/>
      <c r="R271" s="67"/>
    </row>
    <row r="272">
      <c r="B272" s="182"/>
      <c r="E272" s="261"/>
      <c r="G272" s="182"/>
      <c r="J272" s="67"/>
      <c r="K272" s="67"/>
      <c r="R272" s="67"/>
    </row>
    <row r="273">
      <c r="B273" s="182"/>
      <c r="E273" s="261"/>
      <c r="G273" s="182"/>
      <c r="J273" s="67"/>
      <c r="K273" s="67"/>
      <c r="R273" s="67"/>
    </row>
    <row r="274">
      <c r="B274" s="182"/>
      <c r="E274" s="261"/>
      <c r="G274" s="182"/>
      <c r="J274" s="67"/>
      <c r="K274" s="67"/>
      <c r="R274" s="67"/>
    </row>
    <row r="275">
      <c r="B275" s="182"/>
      <c r="E275" s="261"/>
      <c r="G275" s="182"/>
      <c r="J275" s="67"/>
      <c r="K275" s="67"/>
      <c r="R275" s="67"/>
    </row>
    <row r="276">
      <c r="B276" s="182"/>
      <c r="E276" s="261"/>
      <c r="G276" s="182"/>
      <c r="J276" s="67"/>
      <c r="K276" s="67"/>
      <c r="N276" s="268" t="s">
        <v>2080</v>
      </c>
      <c r="O276" s="100"/>
      <c r="P276" s="100"/>
      <c r="Q276" s="100"/>
      <c r="R276" s="100"/>
    </row>
    <row r="277">
      <c r="B277" s="182"/>
      <c r="E277" s="261"/>
      <c r="G277" s="182"/>
      <c r="J277" s="67"/>
      <c r="K277" s="67"/>
      <c r="N277" s="271" t="s">
        <v>183</v>
      </c>
      <c r="O277" s="272" t="s">
        <v>195</v>
      </c>
      <c r="P277" s="272" t="s">
        <v>181</v>
      </c>
      <c r="Q277" s="273" t="s">
        <v>173</v>
      </c>
      <c r="R277" s="286" t="s">
        <v>1823</v>
      </c>
    </row>
    <row r="278">
      <c r="B278" s="182"/>
      <c r="E278" s="261"/>
      <c r="G278" s="182"/>
      <c r="J278" s="67"/>
      <c r="K278" s="67"/>
      <c r="N278" s="458">
        <f t="shared" ref="N278:R278" si="30">SUM(N59:N272)</f>
        <v>83</v>
      </c>
      <c r="O278" s="458">
        <f t="shared" si="30"/>
        <v>36</v>
      </c>
      <c r="P278" s="458">
        <f t="shared" si="30"/>
        <v>36</v>
      </c>
      <c r="Q278" s="458">
        <f t="shared" si="30"/>
        <v>36</v>
      </c>
      <c r="R278" s="458">
        <f t="shared" si="30"/>
        <v>47</v>
      </c>
    </row>
    <row r="279">
      <c r="B279" s="182"/>
      <c r="E279" s="261"/>
      <c r="G279" s="182"/>
      <c r="J279" s="67"/>
      <c r="K279" s="67"/>
      <c r="R279" s="67"/>
    </row>
    <row r="280">
      <c r="B280" s="182"/>
      <c r="E280" s="261"/>
      <c r="G280" s="182"/>
      <c r="J280" s="67"/>
      <c r="K280" s="67"/>
      <c r="R280" s="67"/>
    </row>
    <row r="281">
      <c r="B281" s="182"/>
      <c r="E281" s="261"/>
      <c r="G281" s="182"/>
      <c r="J281" s="67"/>
      <c r="K281" s="67"/>
      <c r="R281" s="67"/>
    </row>
    <row r="282">
      <c r="B282" s="182"/>
      <c r="E282" s="261"/>
      <c r="G282" s="182"/>
      <c r="J282" s="67"/>
      <c r="K282" s="67"/>
      <c r="R282" s="67"/>
    </row>
    <row r="283">
      <c r="B283" s="182"/>
      <c r="E283" s="261"/>
      <c r="G283" s="182"/>
      <c r="J283" s="67"/>
      <c r="K283" s="67"/>
      <c r="R283" s="67"/>
    </row>
    <row r="284">
      <c r="B284" s="182"/>
      <c r="E284" s="261"/>
      <c r="G284" s="182"/>
      <c r="J284" s="67"/>
      <c r="K284" s="67"/>
      <c r="R284" s="67"/>
    </row>
    <row r="285">
      <c r="B285" s="182"/>
      <c r="E285" s="261"/>
      <c r="G285" s="182"/>
      <c r="J285" s="67"/>
      <c r="K285" s="67"/>
      <c r="R285" s="67"/>
    </row>
    <row r="286">
      <c r="B286" s="182"/>
      <c r="E286" s="261"/>
      <c r="G286" s="182"/>
      <c r="J286" s="67"/>
      <c r="K286" s="67"/>
      <c r="R286" s="67"/>
    </row>
    <row r="287">
      <c r="B287" s="182"/>
      <c r="E287" s="261"/>
      <c r="G287" s="182"/>
      <c r="J287" s="67"/>
      <c r="K287" s="67"/>
      <c r="R287" s="67"/>
    </row>
    <row r="288">
      <c r="B288" s="182"/>
      <c r="E288" s="261"/>
      <c r="G288" s="182"/>
      <c r="J288" s="67"/>
      <c r="K288" s="67"/>
      <c r="R288" s="67"/>
    </row>
    <row r="289">
      <c r="B289" s="182"/>
      <c r="E289" s="261"/>
      <c r="G289" s="182"/>
      <c r="J289" s="67"/>
      <c r="K289" s="67"/>
      <c r="R289" s="67"/>
    </row>
    <row r="290">
      <c r="B290" s="182"/>
      <c r="E290" s="261"/>
      <c r="G290" s="182"/>
      <c r="J290" s="67"/>
      <c r="K290" s="67"/>
      <c r="R290" s="67"/>
    </row>
    <row r="291">
      <c r="B291" s="182"/>
      <c r="E291" s="261"/>
      <c r="G291" s="182"/>
      <c r="J291" s="67"/>
      <c r="K291" s="67"/>
      <c r="R291" s="67"/>
    </row>
    <row r="292">
      <c r="B292" s="182"/>
      <c r="E292" s="261"/>
      <c r="G292" s="182"/>
      <c r="J292" s="67"/>
      <c r="K292" s="67"/>
      <c r="R292" s="67"/>
    </row>
    <row r="293">
      <c r="B293" s="182"/>
      <c r="E293" s="261"/>
      <c r="G293" s="182"/>
      <c r="J293" s="67"/>
      <c r="K293" s="67"/>
      <c r="R293" s="67"/>
    </row>
    <row r="294">
      <c r="B294" s="182"/>
      <c r="E294" s="261"/>
      <c r="G294" s="182"/>
      <c r="J294" s="67"/>
      <c r="K294" s="67"/>
      <c r="R294" s="67"/>
    </row>
    <row r="295">
      <c r="B295" s="182"/>
      <c r="E295" s="261"/>
      <c r="G295" s="182"/>
      <c r="J295" s="67"/>
      <c r="K295" s="67"/>
      <c r="R295" s="67"/>
    </row>
    <row r="296">
      <c r="B296" s="182"/>
      <c r="E296" s="261"/>
      <c r="G296" s="182"/>
      <c r="J296" s="67"/>
      <c r="K296" s="67"/>
      <c r="R296" s="67"/>
    </row>
    <row r="297">
      <c r="B297" s="182"/>
      <c r="E297" s="261"/>
      <c r="G297" s="182"/>
      <c r="J297" s="67"/>
      <c r="K297" s="67"/>
      <c r="R297" s="67"/>
    </row>
    <row r="298">
      <c r="B298" s="182"/>
      <c r="E298" s="261"/>
      <c r="G298" s="182"/>
      <c r="J298" s="67"/>
      <c r="K298" s="67"/>
      <c r="R298" s="67"/>
    </row>
    <row r="299">
      <c r="B299" s="182"/>
      <c r="E299" s="261"/>
      <c r="G299" s="182"/>
      <c r="J299" s="67"/>
      <c r="K299" s="67"/>
      <c r="R299" s="67"/>
    </row>
    <row r="300">
      <c r="B300" s="182"/>
      <c r="E300" s="261"/>
      <c r="G300" s="182"/>
      <c r="J300" s="67"/>
      <c r="K300" s="67"/>
      <c r="R300" s="67"/>
    </row>
    <row r="301">
      <c r="B301" s="182"/>
      <c r="E301" s="261"/>
      <c r="G301" s="182"/>
      <c r="J301" s="67"/>
      <c r="K301" s="67"/>
      <c r="R301" s="67"/>
    </row>
    <row r="302">
      <c r="B302" s="182"/>
      <c r="E302" s="261"/>
      <c r="G302" s="182"/>
      <c r="J302" s="67"/>
      <c r="K302" s="67"/>
      <c r="R302" s="67"/>
    </row>
    <row r="303">
      <c r="B303" s="182"/>
      <c r="E303" s="261"/>
      <c r="G303" s="182"/>
      <c r="J303" s="67"/>
      <c r="K303" s="67"/>
      <c r="R303" s="67"/>
    </row>
    <row r="304">
      <c r="B304" s="182"/>
      <c r="E304" s="261"/>
      <c r="G304" s="182"/>
      <c r="J304" s="67"/>
      <c r="K304" s="67"/>
      <c r="R304" s="67"/>
    </row>
    <row r="305">
      <c r="B305" s="182"/>
      <c r="E305" s="261"/>
      <c r="G305" s="182"/>
      <c r="J305" s="67"/>
      <c r="K305" s="67"/>
      <c r="R305" s="67"/>
    </row>
    <row r="306">
      <c r="B306" s="182"/>
      <c r="E306" s="261"/>
      <c r="G306" s="182"/>
      <c r="J306" s="67"/>
      <c r="K306" s="67"/>
      <c r="R306" s="67"/>
    </row>
    <row r="307">
      <c r="B307" s="182"/>
      <c r="E307" s="261"/>
      <c r="G307" s="182"/>
      <c r="J307" s="67"/>
      <c r="K307" s="67"/>
      <c r="R307" s="67"/>
    </row>
    <row r="308">
      <c r="B308" s="182"/>
      <c r="E308" s="261"/>
      <c r="G308" s="182"/>
      <c r="J308" s="67"/>
      <c r="K308" s="67"/>
      <c r="R308" s="67"/>
    </row>
    <row r="309">
      <c r="B309" s="182"/>
      <c r="E309" s="261"/>
      <c r="G309" s="182"/>
      <c r="J309" s="67"/>
      <c r="K309" s="67"/>
      <c r="R309" s="67"/>
    </row>
    <row r="310">
      <c r="B310" s="182"/>
      <c r="E310" s="261"/>
      <c r="G310" s="182"/>
      <c r="J310" s="67"/>
      <c r="K310" s="67"/>
      <c r="R310" s="67"/>
    </row>
    <row r="311">
      <c r="B311" s="182"/>
      <c r="E311" s="261"/>
      <c r="G311" s="182"/>
      <c r="J311" s="67"/>
      <c r="K311" s="67"/>
      <c r="R311" s="67"/>
    </row>
    <row r="312">
      <c r="B312" s="182"/>
      <c r="E312" s="261"/>
      <c r="G312" s="182"/>
      <c r="J312" s="67"/>
      <c r="K312" s="67"/>
      <c r="R312" s="67"/>
    </row>
    <row r="313">
      <c r="B313" s="182"/>
      <c r="E313" s="261"/>
      <c r="G313" s="182"/>
      <c r="J313" s="67"/>
      <c r="K313" s="67"/>
      <c r="R313" s="67"/>
    </row>
    <row r="314">
      <c r="B314" s="182"/>
      <c r="E314" s="261"/>
      <c r="G314" s="182"/>
      <c r="J314" s="67"/>
      <c r="K314" s="67"/>
      <c r="R314" s="67"/>
    </row>
    <row r="315">
      <c r="B315" s="182"/>
      <c r="E315" s="261"/>
      <c r="G315" s="182"/>
      <c r="J315" s="67"/>
      <c r="K315" s="67"/>
      <c r="R315" s="67"/>
    </row>
    <row r="316">
      <c r="B316" s="182"/>
      <c r="E316" s="261"/>
      <c r="G316" s="182"/>
      <c r="J316" s="67"/>
      <c r="K316" s="67"/>
      <c r="R316" s="67"/>
    </row>
    <row r="317">
      <c r="B317" s="182"/>
      <c r="E317" s="261"/>
      <c r="G317" s="182"/>
      <c r="J317" s="67"/>
      <c r="K317" s="67"/>
      <c r="R317" s="67"/>
    </row>
    <row r="318">
      <c r="B318" s="182"/>
      <c r="E318" s="261"/>
      <c r="G318" s="182"/>
      <c r="J318" s="67"/>
      <c r="K318" s="67"/>
      <c r="R318" s="67"/>
    </row>
    <row r="319">
      <c r="B319" s="182"/>
      <c r="E319" s="261"/>
      <c r="G319" s="182"/>
      <c r="J319" s="67"/>
      <c r="K319" s="67"/>
      <c r="R319" s="67"/>
    </row>
    <row r="320">
      <c r="B320" s="182"/>
      <c r="E320" s="261"/>
      <c r="G320" s="182"/>
      <c r="J320" s="67"/>
      <c r="K320" s="67"/>
      <c r="R320" s="67"/>
    </row>
    <row r="321">
      <c r="B321" s="182"/>
      <c r="E321" s="261"/>
      <c r="G321" s="182"/>
      <c r="J321" s="67"/>
      <c r="K321" s="67"/>
      <c r="R321" s="67"/>
    </row>
    <row r="322">
      <c r="B322" s="182"/>
      <c r="E322" s="261"/>
      <c r="G322" s="182"/>
      <c r="J322" s="67"/>
      <c r="K322" s="67"/>
      <c r="R322" s="67"/>
    </row>
    <row r="323">
      <c r="B323" s="182"/>
      <c r="E323" s="261"/>
      <c r="G323" s="182"/>
      <c r="J323" s="67"/>
      <c r="K323" s="67"/>
      <c r="R323" s="67"/>
    </row>
    <row r="324">
      <c r="B324" s="182"/>
      <c r="E324" s="261"/>
      <c r="G324" s="182"/>
      <c r="J324" s="67"/>
      <c r="K324" s="67"/>
      <c r="R324" s="67"/>
    </row>
    <row r="325">
      <c r="B325" s="182"/>
      <c r="E325" s="261"/>
      <c r="G325" s="182"/>
      <c r="J325" s="67"/>
      <c r="K325" s="67"/>
      <c r="R325" s="67"/>
    </row>
    <row r="326">
      <c r="B326" s="182"/>
      <c r="E326" s="261"/>
      <c r="G326" s="182"/>
      <c r="J326" s="67"/>
      <c r="K326" s="67"/>
      <c r="R326" s="67"/>
    </row>
    <row r="327">
      <c r="B327" s="182"/>
      <c r="E327" s="261"/>
      <c r="G327" s="182"/>
      <c r="J327" s="67"/>
      <c r="K327" s="67"/>
      <c r="R327" s="67"/>
    </row>
    <row r="328">
      <c r="B328" s="182"/>
      <c r="E328" s="261"/>
      <c r="G328" s="182"/>
      <c r="J328" s="67"/>
      <c r="K328" s="67"/>
      <c r="R328" s="67"/>
    </row>
    <row r="329">
      <c r="B329" s="182"/>
      <c r="E329" s="261"/>
      <c r="G329" s="182"/>
      <c r="J329" s="67"/>
      <c r="K329" s="67"/>
      <c r="R329" s="67"/>
    </row>
    <row r="330">
      <c r="B330" s="182"/>
      <c r="E330" s="261"/>
      <c r="G330" s="182"/>
      <c r="J330" s="67"/>
      <c r="K330" s="67"/>
      <c r="R330" s="67"/>
    </row>
    <row r="331">
      <c r="B331" s="182"/>
      <c r="E331" s="261"/>
      <c r="G331" s="182"/>
      <c r="J331" s="67"/>
      <c r="K331" s="67"/>
      <c r="R331" s="67"/>
    </row>
    <row r="332">
      <c r="B332" s="182"/>
      <c r="E332" s="261"/>
      <c r="G332" s="182"/>
      <c r="J332" s="67"/>
      <c r="K332" s="67"/>
      <c r="R332" s="67"/>
    </row>
    <row r="333">
      <c r="B333" s="182"/>
      <c r="E333" s="261"/>
      <c r="G333" s="182"/>
      <c r="J333" s="67"/>
      <c r="K333" s="67"/>
      <c r="R333" s="67"/>
    </row>
    <row r="334">
      <c r="B334" s="182"/>
      <c r="E334" s="261"/>
      <c r="G334" s="182"/>
      <c r="J334" s="67"/>
      <c r="K334" s="67"/>
      <c r="R334" s="67"/>
    </row>
    <row r="335">
      <c r="B335" s="182"/>
      <c r="E335" s="261"/>
      <c r="G335" s="182"/>
      <c r="J335" s="67"/>
      <c r="K335" s="67"/>
      <c r="R335" s="67"/>
    </row>
    <row r="336">
      <c r="B336" s="182"/>
      <c r="E336" s="261"/>
      <c r="G336" s="182"/>
      <c r="J336" s="67"/>
      <c r="K336" s="67"/>
      <c r="R336" s="67"/>
    </row>
    <row r="337">
      <c r="B337" s="182"/>
      <c r="E337" s="261"/>
      <c r="G337" s="182"/>
      <c r="J337" s="67"/>
      <c r="K337" s="67"/>
      <c r="R337" s="67"/>
    </row>
    <row r="338">
      <c r="B338" s="182"/>
      <c r="E338" s="261"/>
      <c r="G338" s="182"/>
      <c r="J338" s="67"/>
      <c r="K338" s="67"/>
      <c r="R338" s="67"/>
    </row>
    <row r="339">
      <c r="B339" s="182"/>
      <c r="E339" s="261"/>
      <c r="G339" s="182"/>
      <c r="J339" s="67"/>
      <c r="K339" s="67"/>
      <c r="R339" s="67"/>
    </row>
    <row r="340">
      <c r="B340" s="182"/>
      <c r="E340" s="261"/>
      <c r="G340" s="182"/>
      <c r="J340" s="67"/>
      <c r="K340" s="67"/>
      <c r="R340" s="67"/>
    </row>
    <row r="341">
      <c r="B341" s="182"/>
      <c r="E341" s="261"/>
      <c r="G341" s="182"/>
      <c r="J341" s="67"/>
      <c r="K341" s="67"/>
      <c r="R341" s="67"/>
    </row>
    <row r="342">
      <c r="B342" s="182"/>
      <c r="E342" s="261"/>
      <c r="G342" s="182"/>
      <c r="J342" s="67"/>
      <c r="K342" s="67"/>
      <c r="R342" s="67"/>
    </row>
    <row r="343">
      <c r="B343" s="182"/>
      <c r="E343" s="261"/>
      <c r="G343" s="182"/>
      <c r="J343" s="67"/>
      <c r="K343" s="67"/>
      <c r="R343" s="67"/>
    </row>
    <row r="344">
      <c r="B344" s="182"/>
      <c r="E344" s="261"/>
      <c r="G344" s="182"/>
      <c r="J344" s="67"/>
      <c r="K344" s="67"/>
      <c r="R344" s="67"/>
    </row>
    <row r="345">
      <c r="B345" s="182"/>
      <c r="E345" s="261"/>
      <c r="G345" s="182"/>
      <c r="J345" s="67"/>
      <c r="K345" s="67"/>
      <c r="R345" s="67"/>
    </row>
    <row r="346">
      <c r="B346" s="182"/>
      <c r="E346" s="261"/>
      <c r="G346" s="182"/>
      <c r="J346" s="67"/>
      <c r="K346" s="67"/>
      <c r="R346" s="67"/>
    </row>
    <row r="347">
      <c r="B347" s="182"/>
      <c r="E347" s="261"/>
      <c r="G347" s="182"/>
      <c r="J347" s="67"/>
      <c r="K347" s="67"/>
      <c r="R347" s="67"/>
    </row>
    <row r="348">
      <c r="B348" s="182"/>
      <c r="E348" s="261"/>
      <c r="G348" s="182"/>
      <c r="J348" s="67"/>
      <c r="K348" s="67"/>
      <c r="R348" s="67"/>
    </row>
    <row r="349">
      <c r="B349" s="182"/>
      <c r="E349" s="261"/>
      <c r="G349" s="182"/>
      <c r="J349" s="67"/>
      <c r="K349" s="67"/>
      <c r="R349" s="67"/>
    </row>
    <row r="350">
      <c r="B350" s="182"/>
      <c r="E350" s="261"/>
      <c r="G350" s="182"/>
      <c r="J350" s="67"/>
      <c r="K350" s="67"/>
      <c r="R350" s="67"/>
    </row>
    <row r="351">
      <c r="B351" s="182"/>
      <c r="E351" s="261"/>
      <c r="G351" s="182"/>
      <c r="J351" s="67"/>
      <c r="K351" s="67"/>
      <c r="R351" s="67"/>
    </row>
    <row r="352">
      <c r="B352" s="182"/>
      <c r="E352" s="261"/>
      <c r="G352" s="182"/>
      <c r="J352" s="67"/>
      <c r="K352" s="67"/>
      <c r="R352" s="67"/>
    </row>
    <row r="353">
      <c r="B353" s="182"/>
      <c r="E353" s="261"/>
      <c r="G353" s="182"/>
      <c r="J353" s="67"/>
      <c r="K353" s="67"/>
      <c r="R353" s="67"/>
    </row>
    <row r="354">
      <c r="B354" s="182"/>
      <c r="E354" s="261"/>
      <c r="G354" s="182"/>
      <c r="J354" s="67"/>
      <c r="K354" s="67"/>
      <c r="R354" s="67"/>
    </row>
    <row r="355">
      <c r="B355" s="182"/>
      <c r="E355" s="261"/>
      <c r="G355" s="182"/>
      <c r="J355" s="67"/>
      <c r="K355" s="67"/>
      <c r="R355" s="67"/>
    </row>
    <row r="356">
      <c r="B356" s="182"/>
      <c r="E356" s="261"/>
      <c r="G356" s="182"/>
      <c r="J356" s="67"/>
      <c r="K356" s="67"/>
      <c r="R356" s="67"/>
    </row>
    <row r="357">
      <c r="B357" s="182"/>
      <c r="E357" s="261"/>
      <c r="G357" s="182"/>
      <c r="J357" s="67"/>
      <c r="K357" s="67"/>
      <c r="R357" s="67"/>
    </row>
    <row r="358">
      <c r="B358" s="182"/>
      <c r="E358" s="261"/>
      <c r="G358" s="182"/>
      <c r="J358" s="67"/>
      <c r="K358" s="67"/>
      <c r="R358" s="67"/>
    </row>
    <row r="359">
      <c r="B359" s="182"/>
      <c r="E359" s="261"/>
      <c r="G359" s="182"/>
      <c r="J359" s="67"/>
      <c r="K359" s="67"/>
      <c r="R359" s="67"/>
    </row>
    <row r="360">
      <c r="B360" s="182"/>
      <c r="E360" s="261"/>
      <c r="G360" s="182"/>
      <c r="J360" s="67"/>
      <c r="K360" s="67"/>
      <c r="R360" s="67"/>
    </row>
    <row r="361">
      <c r="B361" s="182"/>
      <c r="E361" s="261"/>
      <c r="G361" s="182"/>
      <c r="J361" s="67"/>
      <c r="K361" s="67"/>
      <c r="R361" s="67"/>
    </row>
    <row r="362">
      <c r="B362" s="182"/>
      <c r="E362" s="261"/>
      <c r="G362" s="182"/>
      <c r="J362" s="67"/>
      <c r="K362" s="67"/>
      <c r="R362" s="67"/>
    </row>
    <row r="363">
      <c r="B363" s="182"/>
      <c r="E363" s="261"/>
      <c r="G363" s="182"/>
      <c r="J363" s="67"/>
      <c r="K363" s="67"/>
      <c r="R363" s="67"/>
    </row>
    <row r="364">
      <c r="B364" s="182"/>
      <c r="E364" s="261"/>
      <c r="G364" s="182"/>
      <c r="J364" s="67"/>
      <c r="K364" s="67"/>
      <c r="R364" s="67"/>
    </row>
    <row r="365">
      <c r="B365" s="182"/>
      <c r="E365" s="261"/>
      <c r="G365" s="182"/>
      <c r="J365" s="67"/>
      <c r="K365" s="67"/>
      <c r="R365" s="67"/>
    </row>
    <row r="366">
      <c r="B366" s="182"/>
      <c r="E366" s="261"/>
      <c r="G366" s="182"/>
      <c r="J366" s="67"/>
      <c r="K366" s="67"/>
      <c r="R366" s="67"/>
    </row>
    <row r="367">
      <c r="B367" s="182"/>
      <c r="E367" s="261"/>
      <c r="G367" s="182"/>
      <c r="J367" s="67"/>
      <c r="K367" s="67"/>
      <c r="R367" s="67"/>
    </row>
    <row r="368">
      <c r="B368" s="182"/>
      <c r="E368" s="261"/>
      <c r="G368" s="182"/>
      <c r="J368" s="67"/>
      <c r="K368" s="67"/>
      <c r="R368" s="67"/>
    </row>
    <row r="369">
      <c r="B369" s="182"/>
      <c r="E369" s="261"/>
      <c r="G369" s="182"/>
      <c r="J369" s="67"/>
      <c r="K369" s="67"/>
      <c r="R369" s="67"/>
    </row>
    <row r="370">
      <c r="B370" s="182"/>
      <c r="E370" s="261"/>
      <c r="G370" s="182"/>
      <c r="J370" s="67"/>
      <c r="K370" s="67"/>
      <c r="R370" s="67"/>
    </row>
    <row r="371">
      <c r="B371" s="182"/>
      <c r="E371" s="261"/>
      <c r="G371" s="182"/>
      <c r="J371" s="67"/>
      <c r="K371" s="67"/>
      <c r="R371" s="67"/>
    </row>
    <row r="372">
      <c r="B372" s="182"/>
      <c r="E372" s="261"/>
      <c r="G372" s="182"/>
      <c r="J372" s="67"/>
      <c r="K372" s="67"/>
      <c r="R372" s="67"/>
    </row>
    <row r="373">
      <c r="B373" s="182"/>
      <c r="E373" s="261"/>
      <c r="G373" s="182"/>
      <c r="J373" s="67"/>
      <c r="K373" s="67"/>
      <c r="R373" s="67"/>
    </row>
    <row r="374">
      <c r="B374" s="182"/>
      <c r="E374" s="261"/>
      <c r="G374" s="182"/>
      <c r="J374" s="67"/>
      <c r="K374" s="67"/>
      <c r="R374" s="67"/>
    </row>
    <row r="375">
      <c r="B375" s="182"/>
      <c r="E375" s="261"/>
      <c r="G375" s="182"/>
      <c r="J375" s="67"/>
      <c r="K375" s="67"/>
      <c r="R375" s="67"/>
    </row>
    <row r="376">
      <c r="B376" s="182"/>
      <c r="E376" s="261"/>
      <c r="G376" s="182"/>
      <c r="J376" s="67"/>
      <c r="K376" s="67"/>
      <c r="R376" s="67"/>
    </row>
    <row r="377">
      <c r="B377" s="182"/>
      <c r="E377" s="261"/>
      <c r="G377" s="182"/>
      <c r="J377" s="67"/>
      <c r="K377" s="67"/>
      <c r="R377" s="67"/>
    </row>
    <row r="378">
      <c r="B378" s="182"/>
      <c r="E378" s="261"/>
      <c r="G378" s="182"/>
      <c r="J378" s="67"/>
      <c r="K378" s="67"/>
      <c r="R378" s="67"/>
    </row>
    <row r="379">
      <c r="B379" s="182"/>
      <c r="E379" s="261"/>
      <c r="G379" s="182"/>
      <c r="J379" s="67"/>
      <c r="K379" s="67"/>
      <c r="R379" s="67"/>
    </row>
    <row r="380">
      <c r="B380" s="182"/>
      <c r="E380" s="261"/>
      <c r="G380" s="182"/>
      <c r="J380" s="67"/>
      <c r="K380" s="67"/>
      <c r="R380" s="67"/>
    </row>
    <row r="381">
      <c r="B381" s="182"/>
      <c r="E381" s="261"/>
      <c r="G381" s="182"/>
      <c r="J381" s="67"/>
      <c r="K381" s="67"/>
      <c r="R381" s="67"/>
    </row>
    <row r="382">
      <c r="B382" s="182"/>
      <c r="E382" s="261"/>
      <c r="G382" s="182"/>
      <c r="J382" s="67"/>
      <c r="K382" s="67"/>
      <c r="R382" s="67"/>
    </row>
    <row r="383">
      <c r="B383" s="182"/>
      <c r="E383" s="261"/>
      <c r="G383" s="182"/>
      <c r="J383" s="67"/>
      <c r="K383" s="67"/>
      <c r="R383" s="67"/>
    </row>
    <row r="384">
      <c r="B384" s="182"/>
      <c r="E384" s="261"/>
      <c r="G384" s="182"/>
      <c r="J384" s="67"/>
      <c r="K384" s="67"/>
      <c r="R384" s="67"/>
    </row>
    <row r="385">
      <c r="B385" s="182"/>
      <c r="E385" s="261"/>
      <c r="G385" s="182"/>
      <c r="J385" s="67"/>
      <c r="K385" s="67"/>
      <c r="R385" s="67"/>
    </row>
    <row r="386">
      <c r="B386" s="182"/>
      <c r="E386" s="261"/>
      <c r="G386" s="182"/>
      <c r="J386" s="67"/>
      <c r="K386" s="67"/>
      <c r="R386" s="67"/>
    </row>
    <row r="387">
      <c r="B387" s="182"/>
      <c r="E387" s="261"/>
      <c r="G387" s="182"/>
      <c r="J387" s="67"/>
      <c r="K387" s="67"/>
      <c r="R387" s="67"/>
    </row>
    <row r="388">
      <c r="B388" s="182"/>
      <c r="E388" s="261"/>
      <c r="G388" s="182"/>
      <c r="J388" s="67"/>
      <c r="K388" s="67"/>
      <c r="R388" s="67"/>
    </row>
    <row r="389">
      <c r="B389" s="182"/>
      <c r="E389" s="261"/>
      <c r="G389" s="182"/>
      <c r="J389" s="67"/>
      <c r="K389" s="67"/>
      <c r="R389" s="67"/>
    </row>
    <row r="390">
      <c r="B390" s="182"/>
      <c r="E390" s="261"/>
      <c r="G390" s="182"/>
      <c r="J390" s="67"/>
      <c r="K390" s="67"/>
      <c r="R390" s="67"/>
    </row>
    <row r="391">
      <c r="B391" s="182"/>
      <c r="E391" s="261"/>
      <c r="G391" s="182"/>
      <c r="J391" s="67"/>
      <c r="K391" s="67"/>
      <c r="R391" s="67"/>
    </row>
    <row r="392">
      <c r="B392" s="182"/>
      <c r="E392" s="261"/>
      <c r="G392" s="182"/>
      <c r="J392" s="67"/>
      <c r="K392" s="67"/>
      <c r="R392" s="67"/>
    </row>
    <row r="393">
      <c r="B393" s="182"/>
      <c r="E393" s="261"/>
      <c r="G393" s="182"/>
      <c r="J393" s="67"/>
      <c r="K393" s="67"/>
      <c r="R393" s="67"/>
    </row>
    <row r="394">
      <c r="B394" s="182"/>
      <c r="E394" s="261"/>
      <c r="G394" s="182"/>
      <c r="J394" s="67"/>
      <c r="K394" s="67"/>
      <c r="R394" s="67"/>
    </row>
    <row r="395">
      <c r="B395" s="182"/>
      <c r="E395" s="261"/>
      <c r="G395" s="182"/>
      <c r="J395" s="67"/>
      <c r="K395" s="67"/>
      <c r="R395" s="67"/>
    </row>
    <row r="396">
      <c r="B396" s="182"/>
      <c r="E396" s="261"/>
      <c r="G396" s="182"/>
      <c r="J396" s="67"/>
      <c r="K396" s="67"/>
      <c r="R396" s="67"/>
    </row>
    <row r="397">
      <c r="B397" s="182"/>
      <c r="E397" s="261"/>
      <c r="G397" s="182"/>
      <c r="J397" s="67"/>
      <c r="K397" s="67"/>
      <c r="R397" s="67"/>
    </row>
    <row r="398">
      <c r="B398" s="182"/>
      <c r="E398" s="261"/>
      <c r="G398" s="182"/>
      <c r="J398" s="67"/>
      <c r="K398" s="67"/>
      <c r="R398" s="67"/>
    </row>
    <row r="399">
      <c r="B399" s="182"/>
      <c r="E399" s="261"/>
      <c r="G399" s="182"/>
      <c r="J399" s="67"/>
      <c r="K399" s="67"/>
      <c r="R399" s="67"/>
    </row>
    <row r="400">
      <c r="B400" s="182"/>
      <c r="E400" s="261"/>
      <c r="G400" s="182"/>
      <c r="J400" s="67"/>
      <c r="K400" s="67"/>
      <c r="R400" s="67"/>
    </row>
    <row r="401">
      <c r="B401" s="182"/>
      <c r="E401" s="261"/>
      <c r="G401" s="182"/>
      <c r="J401" s="67"/>
      <c r="K401" s="67"/>
      <c r="R401" s="67"/>
    </row>
    <row r="402">
      <c r="B402" s="182"/>
      <c r="E402" s="261"/>
      <c r="G402" s="182"/>
      <c r="J402" s="67"/>
      <c r="K402" s="67"/>
      <c r="R402" s="67"/>
    </row>
    <row r="403">
      <c r="B403" s="182"/>
      <c r="E403" s="261"/>
      <c r="G403" s="182"/>
      <c r="J403" s="67"/>
      <c r="K403" s="67"/>
      <c r="R403" s="67"/>
    </row>
    <row r="404">
      <c r="B404" s="182"/>
      <c r="E404" s="261"/>
      <c r="G404" s="182"/>
      <c r="J404" s="67"/>
      <c r="K404" s="67"/>
      <c r="R404" s="67"/>
    </row>
    <row r="405">
      <c r="B405" s="182"/>
      <c r="E405" s="261"/>
      <c r="G405" s="182"/>
      <c r="J405" s="67"/>
      <c r="K405" s="67"/>
      <c r="R405" s="67"/>
    </row>
    <row r="406">
      <c r="B406" s="182"/>
      <c r="E406" s="261"/>
      <c r="G406" s="182"/>
      <c r="J406" s="67"/>
      <c r="K406" s="67"/>
      <c r="R406" s="67"/>
    </row>
    <row r="407">
      <c r="B407" s="182"/>
      <c r="E407" s="261"/>
      <c r="G407" s="182"/>
      <c r="J407" s="67"/>
      <c r="K407" s="67"/>
      <c r="R407" s="67"/>
    </row>
    <row r="408">
      <c r="B408" s="182"/>
      <c r="E408" s="261"/>
      <c r="G408" s="182"/>
      <c r="J408" s="67"/>
      <c r="K408" s="67"/>
      <c r="R408" s="67"/>
    </row>
    <row r="409">
      <c r="B409" s="182"/>
      <c r="E409" s="261"/>
      <c r="G409" s="182"/>
      <c r="J409" s="67"/>
      <c r="K409" s="67"/>
      <c r="R409" s="67"/>
    </row>
    <row r="410">
      <c r="B410" s="182"/>
      <c r="E410" s="261"/>
      <c r="G410" s="182"/>
      <c r="J410" s="67"/>
      <c r="K410" s="67"/>
      <c r="R410" s="67"/>
    </row>
    <row r="411">
      <c r="B411" s="182"/>
      <c r="E411" s="261"/>
      <c r="G411" s="182"/>
      <c r="J411" s="67"/>
      <c r="K411" s="67"/>
      <c r="R411" s="67"/>
    </row>
    <row r="412">
      <c r="B412" s="182"/>
      <c r="E412" s="261"/>
      <c r="G412" s="182"/>
      <c r="J412" s="67"/>
      <c r="K412" s="67"/>
      <c r="R412" s="67"/>
    </row>
    <row r="413">
      <c r="B413" s="182"/>
      <c r="E413" s="261"/>
      <c r="G413" s="182"/>
      <c r="J413" s="67"/>
      <c r="K413" s="67"/>
      <c r="R413" s="67"/>
    </row>
    <row r="414">
      <c r="B414" s="182"/>
      <c r="E414" s="261"/>
      <c r="G414" s="182"/>
      <c r="J414" s="67"/>
      <c r="K414" s="67"/>
      <c r="R414" s="67"/>
    </row>
    <row r="415">
      <c r="B415" s="182"/>
      <c r="E415" s="261"/>
      <c r="G415" s="182"/>
      <c r="J415" s="67"/>
      <c r="K415" s="67"/>
      <c r="R415" s="67"/>
    </row>
    <row r="416">
      <c r="B416" s="182"/>
      <c r="E416" s="261"/>
      <c r="G416" s="182"/>
      <c r="J416" s="67"/>
      <c r="K416" s="67"/>
      <c r="R416" s="67"/>
    </row>
    <row r="417">
      <c r="B417" s="182"/>
      <c r="E417" s="261"/>
      <c r="G417" s="182"/>
      <c r="J417" s="67"/>
      <c r="K417" s="67"/>
      <c r="R417" s="67"/>
    </row>
    <row r="418">
      <c r="B418" s="182"/>
      <c r="E418" s="261"/>
      <c r="G418" s="182"/>
      <c r="J418" s="67"/>
      <c r="K418" s="67"/>
      <c r="R418" s="67"/>
    </row>
    <row r="419">
      <c r="B419" s="182"/>
      <c r="E419" s="261"/>
      <c r="G419" s="182"/>
      <c r="J419" s="67"/>
      <c r="K419" s="67"/>
      <c r="R419" s="67"/>
    </row>
    <row r="420">
      <c r="B420" s="182"/>
      <c r="E420" s="261"/>
      <c r="G420" s="182"/>
      <c r="J420" s="67"/>
      <c r="K420" s="67"/>
      <c r="R420" s="67"/>
    </row>
    <row r="421">
      <c r="B421" s="182"/>
      <c r="E421" s="261"/>
      <c r="G421" s="182"/>
      <c r="J421" s="67"/>
      <c r="K421" s="67"/>
      <c r="R421" s="67"/>
    </row>
    <row r="422">
      <c r="B422" s="182"/>
      <c r="E422" s="261"/>
      <c r="G422" s="182"/>
      <c r="J422" s="67"/>
      <c r="K422" s="67"/>
      <c r="R422" s="67"/>
    </row>
    <row r="423">
      <c r="B423" s="182"/>
      <c r="E423" s="261"/>
      <c r="G423" s="182"/>
      <c r="J423" s="67"/>
      <c r="K423" s="67"/>
      <c r="R423" s="67"/>
    </row>
    <row r="424">
      <c r="B424" s="182"/>
      <c r="E424" s="261"/>
      <c r="G424" s="182"/>
      <c r="J424" s="67"/>
      <c r="K424" s="67"/>
      <c r="R424" s="67"/>
    </row>
    <row r="425">
      <c r="B425" s="182"/>
      <c r="E425" s="261"/>
      <c r="G425" s="182"/>
      <c r="J425" s="67"/>
      <c r="K425" s="67"/>
      <c r="R425" s="67"/>
    </row>
    <row r="426">
      <c r="B426" s="182"/>
      <c r="E426" s="261"/>
      <c r="G426" s="182"/>
      <c r="J426" s="67"/>
      <c r="K426" s="67"/>
      <c r="R426" s="67"/>
    </row>
    <row r="427">
      <c r="B427" s="182"/>
      <c r="E427" s="261"/>
      <c r="G427" s="182"/>
      <c r="J427" s="67"/>
      <c r="K427" s="67"/>
      <c r="R427" s="67"/>
    </row>
    <row r="428">
      <c r="B428" s="182"/>
      <c r="E428" s="261"/>
      <c r="G428" s="182"/>
      <c r="J428" s="67"/>
      <c r="K428" s="67"/>
      <c r="R428" s="67"/>
    </row>
    <row r="429">
      <c r="B429" s="182"/>
      <c r="E429" s="261"/>
      <c r="G429" s="182"/>
      <c r="J429" s="67"/>
      <c r="K429" s="67"/>
      <c r="R429" s="67"/>
    </row>
    <row r="430">
      <c r="B430" s="182"/>
      <c r="E430" s="261"/>
      <c r="G430" s="182"/>
      <c r="J430" s="67"/>
      <c r="K430" s="67"/>
      <c r="R430" s="67"/>
    </row>
    <row r="431">
      <c r="B431" s="182"/>
      <c r="E431" s="261"/>
      <c r="G431" s="182"/>
      <c r="J431" s="67"/>
      <c r="K431" s="67"/>
      <c r="R431" s="67"/>
    </row>
    <row r="432">
      <c r="B432" s="182"/>
      <c r="E432" s="261"/>
      <c r="G432" s="182"/>
      <c r="J432" s="67"/>
      <c r="K432" s="67"/>
      <c r="R432" s="67"/>
    </row>
    <row r="433">
      <c r="B433" s="182"/>
      <c r="E433" s="261"/>
      <c r="G433" s="182"/>
      <c r="J433" s="67"/>
      <c r="K433" s="67"/>
      <c r="R433" s="67"/>
    </row>
    <row r="434">
      <c r="B434" s="182"/>
      <c r="E434" s="261"/>
      <c r="G434" s="182"/>
      <c r="J434" s="67"/>
      <c r="K434" s="67"/>
      <c r="R434" s="67"/>
    </row>
    <row r="435">
      <c r="B435" s="182"/>
      <c r="E435" s="261"/>
      <c r="G435" s="182"/>
      <c r="J435" s="67"/>
      <c r="K435" s="67"/>
      <c r="R435" s="67"/>
    </row>
    <row r="436">
      <c r="B436" s="182"/>
      <c r="E436" s="261"/>
      <c r="G436" s="182"/>
      <c r="J436" s="67"/>
      <c r="K436" s="67"/>
      <c r="R436" s="67"/>
    </row>
    <row r="437">
      <c r="B437" s="182"/>
      <c r="E437" s="261"/>
      <c r="G437" s="182"/>
      <c r="J437" s="67"/>
      <c r="K437" s="67"/>
      <c r="R437" s="67"/>
    </row>
    <row r="438">
      <c r="B438" s="182"/>
      <c r="E438" s="261"/>
      <c r="G438" s="182"/>
      <c r="J438" s="67"/>
      <c r="K438" s="67"/>
      <c r="R438" s="67"/>
    </row>
    <row r="439">
      <c r="B439" s="182"/>
      <c r="E439" s="261"/>
      <c r="G439" s="182"/>
      <c r="J439" s="67"/>
      <c r="K439" s="67"/>
      <c r="R439" s="67"/>
    </row>
    <row r="440">
      <c r="B440" s="182"/>
      <c r="E440" s="261"/>
      <c r="G440" s="182"/>
      <c r="J440" s="67"/>
      <c r="K440" s="67"/>
      <c r="R440" s="67"/>
    </row>
    <row r="441">
      <c r="B441" s="182"/>
      <c r="E441" s="261"/>
      <c r="G441" s="182"/>
      <c r="J441" s="67"/>
      <c r="K441" s="67"/>
      <c r="R441" s="67"/>
    </row>
    <row r="442">
      <c r="B442" s="182"/>
      <c r="E442" s="261"/>
      <c r="G442" s="182"/>
      <c r="J442" s="67"/>
      <c r="K442" s="67"/>
      <c r="R442" s="67"/>
    </row>
    <row r="443">
      <c r="B443" s="182"/>
      <c r="E443" s="261"/>
      <c r="G443" s="182"/>
      <c r="J443" s="67"/>
      <c r="K443" s="67"/>
      <c r="R443" s="67"/>
    </row>
    <row r="444">
      <c r="B444" s="182"/>
      <c r="E444" s="261"/>
      <c r="G444" s="182"/>
      <c r="J444" s="67"/>
      <c r="K444" s="67"/>
      <c r="R444" s="67"/>
    </row>
    <row r="445">
      <c r="B445" s="182"/>
      <c r="E445" s="261"/>
      <c r="G445" s="182"/>
      <c r="J445" s="67"/>
      <c r="K445" s="67"/>
      <c r="R445" s="67"/>
    </row>
    <row r="446">
      <c r="B446" s="182"/>
      <c r="E446" s="261"/>
      <c r="G446" s="182"/>
      <c r="J446" s="67"/>
      <c r="K446" s="67"/>
      <c r="R446" s="67"/>
    </row>
    <row r="447">
      <c r="B447" s="182"/>
      <c r="E447" s="261"/>
      <c r="G447" s="182"/>
      <c r="J447" s="67"/>
      <c r="K447" s="67"/>
      <c r="R447" s="67"/>
    </row>
    <row r="448">
      <c r="B448" s="182"/>
      <c r="E448" s="261"/>
      <c r="G448" s="182"/>
      <c r="J448" s="67"/>
      <c r="K448" s="67"/>
      <c r="R448" s="67"/>
    </row>
    <row r="449">
      <c r="B449" s="182"/>
      <c r="E449" s="261"/>
      <c r="G449" s="182"/>
      <c r="J449" s="67"/>
      <c r="K449" s="67"/>
      <c r="R449" s="67"/>
    </row>
    <row r="450">
      <c r="B450" s="182"/>
      <c r="E450" s="261"/>
      <c r="G450" s="182"/>
      <c r="J450" s="67"/>
      <c r="K450" s="67"/>
      <c r="R450" s="67"/>
    </row>
    <row r="451">
      <c r="B451" s="182"/>
      <c r="E451" s="261"/>
      <c r="G451" s="182"/>
      <c r="J451" s="67"/>
      <c r="K451" s="67"/>
      <c r="R451" s="67"/>
    </row>
    <row r="452">
      <c r="B452" s="182"/>
      <c r="E452" s="261"/>
      <c r="G452" s="182"/>
      <c r="J452" s="67"/>
      <c r="K452" s="67"/>
      <c r="R452" s="67"/>
    </row>
    <row r="453">
      <c r="B453" s="182"/>
      <c r="E453" s="261"/>
      <c r="G453" s="182"/>
      <c r="J453" s="67"/>
      <c r="K453" s="67"/>
      <c r="R453" s="67"/>
    </row>
    <row r="454">
      <c r="B454" s="182"/>
      <c r="E454" s="261"/>
      <c r="G454" s="182"/>
      <c r="J454" s="67"/>
      <c r="K454" s="67"/>
      <c r="R454" s="67"/>
    </row>
    <row r="455">
      <c r="B455" s="182"/>
      <c r="E455" s="261"/>
      <c r="G455" s="182"/>
      <c r="J455" s="67"/>
      <c r="K455" s="67"/>
      <c r="R455" s="67"/>
    </row>
    <row r="456">
      <c r="B456" s="182"/>
      <c r="E456" s="261"/>
      <c r="G456" s="182"/>
      <c r="J456" s="67"/>
      <c r="K456" s="67"/>
      <c r="R456" s="67"/>
    </row>
    <row r="457">
      <c r="B457" s="182"/>
      <c r="E457" s="261"/>
      <c r="G457" s="182"/>
      <c r="J457" s="67"/>
      <c r="K457" s="67"/>
      <c r="R457" s="67"/>
    </row>
    <row r="458">
      <c r="B458" s="182"/>
      <c r="E458" s="261"/>
      <c r="G458" s="182"/>
      <c r="J458" s="67"/>
      <c r="K458" s="67"/>
      <c r="R458" s="67"/>
    </row>
    <row r="459">
      <c r="B459" s="182"/>
      <c r="E459" s="261"/>
      <c r="G459" s="182"/>
      <c r="J459" s="67"/>
      <c r="K459" s="67"/>
      <c r="R459" s="67"/>
    </row>
    <row r="460">
      <c r="B460" s="182"/>
      <c r="E460" s="261"/>
      <c r="G460" s="182"/>
      <c r="J460" s="67"/>
      <c r="K460" s="67"/>
      <c r="R460" s="67"/>
    </row>
    <row r="461">
      <c r="B461" s="182"/>
      <c r="E461" s="261"/>
      <c r="G461" s="182"/>
      <c r="J461" s="67"/>
      <c r="K461" s="67"/>
      <c r="R461" s="67"/>
    </row>
    <row r="462">
      <c r="B462" s="182"/>
      <c r="E462" s="261"/>
      <c r="G462" s="182"/>
      <c r="J462" s="67"/>
      <c r="K462" s="67"/>
      <c r="R462" s="67"/>
    </row>
    <row r="463">
      <c r="B463" s="182"/>
      <c r="E463" s="261"/>
      <c r="G463" s="182"/>
      <c r="J463" s="67"/>
      <c r="K463" s="67"/>
      <c r="R463" s="67"/>
    </row>
    <row r="464">
      <c r="B464" s="182"/>
      <c r="E464" s="261"/>
      <c r="G464" s="182"/>
      <c r="J464" s="67"/>
      <c r="K464" s="67"/>
      <c r="R464" s="67"/>
    </row>
    <row r="465">
      <c r="B465" s="182"/>
      <c r="E465" s="261"/>
      <c r="G465" s="182"/>
      <c r="J465" s="67"/>
      <c r="K465" s="67"/>
      <c r="R465" s="67"/>
    </row>
    <row r="466">
      <c r="B466" s="182"/>
      <c r="E466" s="261"/>
      <c r="G466" s="182"/>
      <c r="J466" s="67"/>
      <c r="K466" s="67"/>
      <c r="R466" s="67"/>
    </row>
    <row r="467">
      <c r="B467" s="182"/>
      <c r="E467" s="261"/>
      <c r="G467" s="182"/>
      <c r="J467" s="67"/>
      <c r="K467" s="67"/>
      <c r="R467" s="67"/>
    </row>
    <row r="468">
      <c r="B468" s="182"/>
      <c r="E468" s="261"/>
      <c r="G468" s="182"/>
      <c r="J468" s="67"/>
      <c r="K468" s="67"/>
      <c r="R468" s="67"/>
    </row>
    <row r="469">
      <c r="B469" s="182"/>
      <c r="E469" s="261"/>
      <c r="G469" s="182"/>
      <c r="J469" s="67"/>
      <c r="K469" s="67"/>
      <c r="R469" s="67"/>
    </row>
    <row r="470">
      <c r="B470" s="182"/>
      <c r="E470" s="261"/>
      <c r="G470" s="182"/>
      <c r="J470" s="67"/>
      <c r="K470" s="67"/>
      <c r="R470" s="67"/>
    </row>
    <row r="471">
      <c r="B471" s="182"/>
      <c r="E471" s="261"/>
      <c r="G471" s="182"/>
      <c r="J471" s="67"/>
      <c r="K471" s="67"/>
      <c r="R471" s="67"/>
    </row>
    <row r="472">
      <c r="B472" s="182"/>
      <c r="E472" s="261"/>
      <c r="G472" s="182"/>
      <c r="J472" s="67"/>
      <c r="K472" s="67"/>
      <c r="R472" s="67"/>
    </row>
    <row r="473">
      <c r="B473" s="182"/>
      <c r="E473" s="261"/>
      <c r="G473" s="182"/>
      <c r="J473" s="67"/>
      <c r="K473" s="67"/>
      <c r="R473" s="67"/>
    </row>
    <row r="474">
      <c r="B474" s="182"/>
      <c r="E474" s="261"/>
      <c r="G474" s="182"/>
      <c r="J474" s="67"/>
      <c r="K474" s="67"/>
      <c r="R474" s="67"/>
    </row>
    <row r="475">
      <c r="B475" s="182"/>
      <c r="E475" s="261"/>
      <c r="G475" s="182"/>
      <c r="J475" s="67"/>
      <c r="K475" s="67"/>
      <c r="R475" s="67"/>
    </row>
    <row r="476">
      <c r="B476" s="182"/>
      <c r="E476" s="261"/>
      <c r="G476" s="182"/>
      <c r="J476" s="67"/>
      <c r="K476" s="67"/>
      <c r="R476" s="67"/>
    </row>
    <row r="477">
      <c r="B477" s="182"/>
      <c r="E477" s="261"/>
      <c r="G477" s="182"/>
      <c r="J477" s="67"/>
      <c r="K477" s="67"/>
      <c r="R477" s="67"/>
    </row>
    <row r="478">
      <c r="B478" s="182"/>
      <c r="E478" s="261"/>
      <c r="G478" s="182"/>
      <c r="J478" s="67"/>
      <c r="K478" s="67"/>
      <c r="R478" s="67"/>
    </row>
    <row r="479">
      <c r="B479" s="182"/>
      <c r="E479" s="261"/>
      <c r="G479" s="182"/>
      <c r="J479" s="67"/>
      <c r="K479" s="67"/>
      <c r="R479" s="67"/>
    </row>
    <row r="480">
      <c r="B480" s="182"/>
      <c r="E480" s="261"/>
      <c r="G480" s="182"/>
      <c r="J480" s="67"/>
      <c r="K480" s="67"/>
      <c r="R480" s="67"/>
    </row>
    <row r="481">
      <c r="B481" s="182"/>
      <c r="E481" s="261"/>
      <c r="G481" s="182"/>
      <c r="J481" s="67"/>
      <c r="K481" s="67"/>
      <c r="R481" s="67"/>
    </row>
    <row r="482">
      <c r="B482" s="182"/>
      <c r="E482" s="261"/>
      <c r="G482" s="182"/>
      <c r="J482" s="67"/>
      <c r="K482" s="67"/>
      <c r="R482" s="67"/>
    </row>
    <row r="483">
      <c r="B483" s="182"/>
      <c r="E483" s="261"/>
      <c r="G483" s="182"/>
      <c r="J483" s="67"/>
      <c r="K483" s="67"/>
      <c r="R483" s="67"/>
    </row>
    <row r="484">
      <c r="B484" s="182"/>
      <c r="E484" s="261"/>
      <c r="G484" s="182"/>
      <c r="J484" s="67"/>
      <c r="K484" s="67"/>
      <c r="R484" s="67"/>
    </row>
    <row r="485">
      <c r="B485" s="182"/>
      <c r="E485" s="261"/>
      <c r="G485" s="182"/>
      <c r="J485" s="67"/>
      <c r="K485" s="67"/>
      <c r="R485" s="67"/>
    </row>
    <row r="486">
      <c r="B486" s="182"/>
      <c r="E486" s="261"/>
      <c r="G486" s="182"/>
      <c r="J486" s="67"/>
      <c r="K486" s="67"/>
      <c r="R486" s="67"/>
    </row>
    <row r="487">
      <c r="B487" s="182"/>
      <c r="E487" s="261"/>
      <c r="G487" s="182"/>
      <c r="J487" s="67"/>
      <c r="K487" s="67"/>
      <c r="R487" s="67"/>
    </row>
    <row r="488">
      <c r="B488" s="182"/>
      <c r="E488" s="261"/>
      <c r="G488" s="182"/>
      <c r="J488" s="67"/>
      <c r="K488" s="67"/>
      <c r="R488" s="67"/>
    </row>
    <row r="489">
      <c r="B489" s="182"/>
      <c r="E489" s="261"/>
      <c r="G489" s="182"/>
      <c r="J489" s="67"/>
      <c r="K489" s="67"/>
      <c r="R489" s="67"/>
    </row>
    <row r="490">
      <c r="B490" s="182"/>
      <c r="E490" s="261"/>
      <c r="G490" s="182"/>
      <c r="J490" s="67"/>
      <c r="K490" s="67"/>
      <c r="R490" s="67"/>
    </row>
    <row r="491">
      <c r="B491" s="182"/>
      <c r="E491" s="261"/>
      <c r="G491" s="182"/>
      <c r="J491" s="67"/>
      <c r="K491" s="67"/>
      <c r="R491" s="67"/>
    </row>
    <row r="492">
      <c r="B492" s="182"/>
      <c r="E492" s="261"/>
      <c r="G492" s="182"/>
      <c r="J492" s="67"/>
      <c r="K492" s="67"/>
      <c r="R492" s="67"/>
    </row>
    <row r="493">
      <c r="B493" s="182"/>
      <c r="E493" s="261"/>
      <c r="G493" s="182"/>
      <c r="J493" s="67"/>
      <c r="K493" s="67"/>
      <c r="R493" s="67"/>
    </row>
    <row r="494">
      <c r="B494" s="182"/>
      <c r="E494" s="261"/>
      <c r="G494" s="182"/>
      <c r="J494" s="67"/>
      <c r="K494" s="67"/>
      <c r="R494" s="67"/>
    </row>
    <row r="495">
      <c r="B495" s="182"/>
      <c r="E495" s="261"/>
      <c r="G495" s="182"/>
      <c r="J495" s="67"/>
      <c r="K495" s="67"/>
      <c r="R495" s="67"/>
    </row>
    <row r="496">
      <c r="B496" s="182"/>
      <c r="E496" s="261"/>
      <c r="G496" s="182"/>
      <c r="J496" s="67"/>
      <c r="K496" s="67"/>
      <c r="R496" s="67"/>
    </row>
    <row r="497">
      <c r="B497" s="182"/>
      <c r="E497" s="261"/>
      <c r="G497" s="182"/>
      <c r="J497" s="67"/>
      <c r="K497" s="67"/>
      <c r="R497" s="67"/>
    </row>
    <row r="498">
      <c r="B498" s="182"/>
      <c r="E498" s="261"/>
      <c r="G498" s="182"/>
      <c r="J498" s="67"/>
      <c r="K498" s="67"/>
      <c r="R498" s="67"/>
    </row>
    <row r="499">
      <c r="B499" s="182"/>
      <c r="E499" s="261"/>
      <c r="G499" s="182"/>
      <c r="J499" s="67"/>
      <c r="K499" s="67"/>
      <c r="R499" s="67"/>
    </row>
    <row r="500">
      <c r="B500" s="182"/>
      <c r="E500" s="261"/>
      <c r="G500" s="182"/>
      <c r="J500" s="67"/>
      <c r="K500" s="67"/>
      <c r="R500" s="67"/>
    </row>
    <row r="501">
      <c r="B501" s="182"/>
      <c r="E501" s="261"/>
      <c r="G501" s="182"/>
      <c r="J501" s="67"/>
      <c r="K501" s="67"/>
      <c r="R501" s="67"/>
    </row>
    <row r="502">
      <c r="B502" s="182"/>
      <c r="E502" s="261"/>
      <c r="G502" s="182"/>
      <c r="J502" s="67"/>
      <c r="K502" s="67"/>
      <c r="R502" s="67"/>
    </row>
    <row r="503">
      <c r="B503" s="182"/>
      <c r="E503" s="261"/>
      <c r="G503" s="182"/>
      <c r="J503" s="67"/>
      <c r="K503" s="67"/>
      <c r="R503" s="67"/>
    </row>
    <row r="504">
      <c r="B504" s="182"/>
      <c r="E504" s="261"/>
      <c r="G504" s="182"/>
      <c r="J504" s="67"/>
      <c r="K504" s="67"/>
      <c r="R504" s="67"/>
    </row>
    <row r="505">
      <c r="B505" s="182"/>
      <c r="E505" s="261"/>
      <c r="G505" s="182"/>
      <c r="J505" s="67"/>
      <c r="K505" s="67"/>
      <c r="R505" s="67"/>
    </row>
    <row r="506">
      <c r="B506" s="182"/>
      <c r="E506" s="261"/>
      <c r="G506" s="182"/>
      <c r="J506" s="67"/>
      <c r="K506" s="67"/>
      <c r="R506" s="67"/>
    </row>
    <row r="507">
      <c r="B507" s="182"/>
      <c r="E507" s="261"/>
      <c r="G507" s="182"/>
      <c r="J507" s="67"/>
      <c r="K507" s="67"/>
      <c r="R507" s="67"/>
    </row>
    <row r="508">
      <c r="B508" s="182"/>
      <c r="E508" s="261"/>
      <c r="G508" s="182"/>
      <c r="J508" s="67"/>
      <c r="K508" s="67"/>
      <c r="R508" s="67"/>
    </row>
    <row r="509">
      <c r="B509" s="182"/>
      <c r="E509" s="261"/>
      <c r="G509" s="182"/>
      <c r="J509" s="67"/>
      <c r="K509" s="67"/>
      <c r="R509" s="67"/>
    </row>
    <row r="510">
      <c r="B510" s="182"/>
      <c r="E510" s="261"/>
      <c r="G510" s="182"/>
      <c r="J510" s="67"/>
      <c r="K510" s="67"/>
      <c r="R510" s="67"/>
    </row>
    <row r="511">
      <c r="B511" s="182"/>
      <c r="E511" s="261"/>
      <c r="G511" s="182"/>
      <c r="J511" s="67"/>
      <c r="K511" s="67"/>
      <c r="R511" s="67"/>
    </row>
    <row r="512">
      <c r="B512" s="182"/>
      <c r="E512" s="261"/>
      <c r="G512" s="182"/>
      <c r="J512" s="67"/>
      <c r="K512" s="67"/>
      <c r="R512" s="67"/>
    </row>
    <row r="513">
      <c r="B513" s="182"/>
      <c r="E513" s="261"/>
      <c r="G513" s="182"/>
      <c r="J513" s="67"/>
      <c r="K513" s="67"/>
      <c r="R513" s="67"/>
    </row>
    <row r="514">
      <c r="B514" s="182"/>
      <c r="E514" s="261"/>
      <c r="G514" s="182"/>
      <c r="J514" s="67"/>
      <c r="K514" s="67"/>
      <c r="R514" s="67"/>
    </row>
    <row r="515">
      <c r="B515" s="182"/>
      <c r="E515" s="261"/>
      <c r="G515" s="182"/>
      <c r="J515" s="67"/>
      <c r="K515" s="67"/>
      <c r="R515" s="67"/>
    </row>
    <row r="516">
      <c r="B516" s="182"/>
      <c r="E516" s="261"/>
      <c r="G516" s="182"/>
      <c r="J516" s="67"/>
      <c r="K516" s="67"/>
      <c r="R516" s="67"/>
    </row>
    <row r="517">
      <c r="B517" s="182"/>
      <c r="E517" s="261"/>
      <c r="G517" s="182"/>
      <c r="J517" s="67"/>
      <c r="K517" s="67"/>
      <c r="R517" s="67"/>
    </row>
    <row r="518">
      <c r="B518" s="182"/>
      <c r="E518" s="261"/>
      <c r="G518" s="182"/>
      <c r="J518" s="67"/>
      <c r="K518" s="67"/>
      <c r="R518" s="67"/>
    </row>
    <row r="519">
      <c r="B519" s="182"/>
      <c r="E519" s="261"/>
      <c r="G519" s="182"/>
      <c r="J519" s="67"/>
      <c r="K519" s="67"/>
      <c r="R519" s="67"/>
    </row>
    <row r="520">
      <c r="B520" s="182"/>
      <c r="E520" s="261"/>
      <c r="G520" s="182"/>
      <c r="J520" s="67"/>
      <c r="K520" s="67"/>
      <c r="R520" s="67"/>
    </row>
    <row r="521">
      <c r="B521" s="182"/>
      <c r="E521" s="261"/>
      <c r="G521" s="182"/>
      <c r="J521" s="67"/>
      <c r="K521" s="67"/>
      <c r="R521" s="67"/>
    </row>
    <row r="522">
      <c r="B522" s="182"/>
      <c r="E522" s="261"/>
      <c r="G522" s="182"/>
      <c r="J522" s="67"/>
      <c r="K522" s="67"/>
      <c r="R522" s="67"/>
    </row>
    <row r="523">
      <c r="B523" s="182"/>
      <c r="E523" s="261"/>
      <c r="G523" s="182"/>
      <c r="J523" s="67"/>
      <c r="K523" s="67"/>
      <c r="R523" s="67"/>
    </row>
    <row r="524">
      <c r="B524" s="182"/>
      <c r="E524" s="261"/>
      <c r="G524" s="182"/>
      <c r="J524" s="67"/>
      <c r="K524" s="67"/>
      <c r="R524" s="67"/>
    </row>
    <row r="525">
      <c r="B525" s="182"/>
      <c r="E525" s="261"/>
      <c r="G525" s="182"/>
      <c r="J525" s="67"/>
      <c r="K525" s="67"/>
      <c r="R525" s="67"/>
    </row>
    <row r="526">
      <c r="B526" s="182"/>
      <c r="E526" s="261"/>
      <c r="G526" s="182"/>
      <c r="J526" s="67"/>
      <c r="K526" s="67"/>
      <c r="R526" s="67"/>
    </row>
    <row r="527">
      <c r="B527" s="182"/>
      <c r="E527" s="261"/>
      <c r="G527" s="182"/>
      <c r="J527" s="67"/>
      <c r="K527" s="67"/>
      <c r="R527" s="67"/>
    </row>
    <row r="528">
      <c r="B528" s="182"/>
      <c r="E528" s="261"/>
      <c r="G528" s="182"/>
      <c r="J528" s="67"/>
      <c r="K528" s="67"/>
      <c r="R528" s="67"/>
    </row>
    <row r="529">
      <c r="B529" s="182"/>
      <c r="E529" s="261"/>
      <c r="G529" s="182"/>
      <c r="J529" s="67"/>
      <c r="K529" s="67"/>
      <c r="R529" s="67"/>
    </row>
    <row r="530">
      <c r="B530" s="182"/>
      <c r="E530" s="261"/>
      <c r="G530" s="182"/>
      <c r="J530" s="67"/>
      <c r="K530" s="67"/>
      <c r="R530" s="67"/>
    </row>
    <row r="531">
      <c r="B531" s="182"/>
      <c r="E531" s="261"/>
      <c r="G531" s="182"/>
      <c r="J531" s="67"/>
      <c r="K531" s="67"/>
      <c r="R531" s="67"/>
    </row>
    <row r="532">
      <c r="B532" s="182"/>
      <c r="E532" s="261"/>
      <c r="G532" s="182"/>
      <c r="J532" s="67"/>
      <c r="K532" s="67"/>
      <c r="R532" s="67"/>
    </row>
    <row r="533">
      <c r="B533" s="182"/>
      <c r="E533" s="261"/>
      <c r="G533" s="182"/>
      <c r="J533" s="67"/>
      <c r="K533" s="67"/>
      <c r="R533" s="67"/>
    </row>
    <row r="534">
      <c r="B534" s="182"/>
      <c r="E534" s="261"/>
      <c r="G534" s="182"/>
      <c r="J534" s="67"/>
      <c r="K534" s="67"/>
      <c r="R534" s="67"/>
    </row>
    <row r="535">
      <c r="B535" s="182"/>
      <c r="E535" s="261"/>
      <c r="G535" s="182"/>
      <c r="J535" s="67"/>
      <c r="K535" s="67"/>
      <c r="R535" s="67"/>
    </row>
    <row r="536">
      <c r="B536" s="182"/>
      <c r="E536" s="261"/>
      <c r="G536" s="182"/>
      <c r="J536" s="67"/>
      <c r="K536" s="67"/>
      <c r="R536" s="67"/>
    </row>
    <row r="537">
      <c r="B537" s="182"/>
      <c r="E537" s="261"/>
      <c r="G537" s="182"/>
      <c r="J537" s="67"/>
      <c r="K537" s="67"/>
      <c r="R537" s="67"/>
    </row>
    <row r="538">
      <c r="B538" s="182"/>
      <c r="E538" s="261"/>
      <c r="G538" s="182"/>
      <c r="J538" s="67"/>
      <c r="K538" s="67"/>
      <c r="R538" s="67"/>
    </row>
    <row r="539">
      <c r="B539" s="182"/>
      <c r="E539" s="261"/>
      <c r="G539" s="182"/>
      <c r="J539" s="67"/>
      <c r="K539" s="67"/>
      <c r="R539" s="67"/>
    </row>
    <row r="540">
      <c r="B540" s="182"/>
      <c r="E540" s="261"/>
      <c r="G540" s="182"/>
      <c r="J540" s="67"/>
      <c r="K540" s="67"/>
      <c r="R540" s="67"/>
    </row>
    <row r="541">
      <c r="B541" s="182"/>
      <c r="E541" s="261"/>
      <c r="G541" s="182"/>
      <c r="J541" s="67"/>
      <c r="K541" s="67"/>
      <c r="R541" s="67"/>
    </row>
    <row r="542">
      <c r="B542" s="182"/>
      <c r="E542" s="261"/>
      <c r="G542" s="182"/>
      <c r="J542" s="67"/>
      <c r="K542" s="67"/>
      <c r="R542" s="67"/>
    </row>
    <row r="543">
      <c r="B543" s="182"/>
      <c r="E543" s="261"/>
      <c r="G543" s="182"/>
      <c r="J543" s="67"/>
      <c r="K543" s="67"/>
      <c r="R543" s="67"/>
    </row>
    <row r="544">
      <c r="B544" s="182"/>
      <c r="E544" s="261"/>
      <c r="G544" s="182"/>
      <c r="J544" s="67"/>
      <c r="K544" s="67"/>
      <c r="R544" s="67"/>
    </row>
    <row r="545">
      <c r="B545" s="182"/>
      <c r="E545" s="261"/>
      <c r="G545" s="182"/>
      <c r="J545" s="67"/>
      <c r="K545" s="67"/>
      <c r="R545" s="67"/>
    </row>
    <row r="546">
      <c r="B546" s="182"/>
      <c r="E546" s="261"/>
      <c r="G546" s="182"/>
      <c r="J546" s="67"/>
      <c r="K546" s="67"/>
      <c r="R546" s="67"/>
    </row>
    <row r="547">
      <c r="B547" s="182"/>
      <c r="E547" s="261"/>
      <c r="G547" s="182"/>
      <c r="J547" s="67"/>
      <c r="K547" s="67"/>
      <c r="R547" s="67"/>
    </row>
    <row r="548">
      <c r="B548" s="182"/>
      <c r="E548" s="261"/>
      <c r="G548" s="182"/>
      <c r="J548" s="67"/>
      <c r="K548" s="67"/>
      <c r="R548" s="67"/>
    </row>
    <row r="549">
      <c r="B549" s="182"/>
      <c r="E549" s="261"/>
      <c r="G549" s="182"/>
      <c r="J549" s="67"/>
      <c r="K549" s="67"/>
      <c r="R549" s="67"/>
    </row>
    <row r="550">
      <c r="B550" s="182"/>
      <c r="E550" s="261"/>
      <c r="G550" s="182"/>
      <c r="J550" s="67"/>
      <c r="K550" s="67"/>
      <c r="R550" s="67"/>
    </row>
    <row r="551">
      <c r="B551" s="182"/>
      <c r="E551" s="261"/>
      <c r="G551" s="182"/>
      <c r="J551" s="67"/>
      <c r="K551" s="67"/>
      <c r="R551" s="67"/>
    </row>
    <row r="552">
      <c r="B552" s="182"/>
      <c r="E552" s="261"/>
      <c r="G552" s="182"/>
      <c r="J552" s="67"/>
      <c r="K552" s="67"/>
      <c r="R552" s="67"/>
    </row>
    <row r="553">
      <c r="B553" s="182"/>
      <c r="E553" s="261"/>
      <c r="G553" s="182"/>
      <c r="J553" s="67"/>
      <c r="K553" s="67"/>
      <c r="R553" s="67"/>
    </row>
    <row r="554">
      <c r="B554" s="182"/>
      <c r="E554" s="261"/>
      <c r="G554" s="182"/>
      <c r="J554" s="67"/>
      <c r="K554" s="67"/>
      <c r="R554" s="67"/>
    </row>
    <row r="555">
      <c r="B555" s="182"/>
      <c r="E555" s="261"/>
      <c r="G555" s="182"/>
      <c r="J555" s="67"/>
      <c r="K555" s="67"/>
      <c r="R555" s="67"/>
    </row>
    <row r="556">
      <c r="B556" s="182"/>
      <c r="E556" s="261"/>
      <c r="G556" s="182"/>
      <c r="J556" s="67"/>
      <c r="K556" s="67"/>
      <c r="R556" s="67"/>
    </row>
    <row r="557">
      <c r="B557" s="182"/>
      <c r="E557" s="261"/>
      <c r="G557" s="182"/>
      <c r="J557" s="67"/>
      <c r="K557" s="67"/>
      <c r="R557" s="67"/>
    </row>
    <row r="558">
      <c r="B558" s="182"/>
      <c r="E558" s="261"/>
      <c r="G558" s="182"/>
      <c r="J558" s="67"/>
      <c r="K558" s="67"/>
      <c r="R558" s="67"/>
    </row>
    <row r="559">
      <c r="B559" s="182"/>
      <c r="E559" s="261"/>
      <c r="G559" s="182"/>
      <c r="J559" s="67"/>
      <c r="K559" s="67"/>
      <c r="R559" s="67"/>
    </row>
    <row r="560">
      <c r="B560" s="182"/>
      <c r="E560" s="261"/>
      <c r="G560" s="182"/>
      <c r="J560" s="67"/>
      <c r="K560" s="67"/>
      <c r="R560" s="67"/>
    </row>
    <row r="561">
      <c r="B561" s="182"/>
      <c r="E561" s="261"/>
      <c r="G561" s="182"/>
      <c r="J561" s="67"/>
      <c r="K561" s="67"/>
      <c r="R561" s="67"/>
    </row>
    <row r="562">
      <c r="B562" s="182"/>
      <c r="E562" s="261"/>
      <c r="G562" s="182"/>
      <c r="J562" s="67"/>
      <c r="K562" s="67"/>
      <c r="R562" s="67"/>
    </row>
    <row r="563">
      <c r="B563" s="182"/>
      <c r="E563" s="261"/>
      <c r="G563" s="182"/>
      <c r="J563" s="67"/>
      <c r="K563" s="67"/>
      <c r="R563" s="67"/>
    </row>
    <row r="564">
      <c r="B564" s="182"/>
      <c r="E564" s="261"/>
      <c r="G564" s="182"/>
      <c r="J564" s="67"/>
      <c r="K564" s="67"/>
      <c r="R564" s="67"/>
    </row>
    <row r="565">
      <c r="B565" s="182"/>
      <c r="E565" s="261"/>
      <c r="G565" s="182"/>
      <c r="J565" s="67"/>
      <c r="K565" s="67"/>
      <c r="R565" s="67"/>
    </row>
    <row r="566">
      <c r="B566" s="182"/>
      <c r="E566" s="261"/>
      <c r="G566" s="182"/>
      <c r="J566" s="67"/>
      <c r="K566" s="67"/>
      <c r="R566" s="67"/>
    </row>
    <row r="567">
      <c r="B567" s="182"/>
      <c r="E567" s="261"/>
      <c r="G567" s="182"/>
      <c r="J567" s="67"/>
      <c r="K567" s="67"/>
      <c r="R567" s="67"/>
    </row>
    <row r="568">
      <c r="B568" s="182"/>
      <c r="E568" s="261"/>
      <c r="G568" s="182"/>
      <c r="J568" s="67"/>
      <c r="K568" s="67"/>
      <c r="R568" s="67"/>
    </row>
    <row r="569">
      <c r="B569" s="182"/>
      <c r="E569" s="261"/>
      <c r="G569" s="182"/>
      <c r="J569" s="67"/>
      <c r="K569" s="67"/>
      <c r="R569" s="67"/>
    </row>
    <row r="570">
      <c r="B570" s="182"/>
      <c r="E570" s="261"/>
      <c r="G570" s="182"/>
      <c r="J570" s="67"/>
      <c r="K570" s="67"/>
      <c r="R570" s="67"/>
    </row>
    <row r="571">
      <c r="B571" s="182"/>
      <c r="E571" s="261"/>
      <c r="G571" s="182"/>
      <c r="J571" s="67"/>
      <c r="K571" s="67"/>
      <c r="R571" s="67"/>
    </row>
    <row r="572">
      <c r="B572" s="182"/>
      <c r="E572" s="261"/>
      <c r="G572" s="182"/>
      <c r="J572" s="67"/>
      <c r="K572" s="67"/>
      <c r="R572" s="67"/>
    </row>
    <row r="573">
      <c r="B573" s="182"/>
      <c r="E573" s="261"/>
      <c r="G573" s="182"/>
      <c r="J573" s="67"/>
      <c r="K573" s="67"/>
      <c r="R573" s="67"/>
    </row>
    <row r="574">
      <c r="B574" s="182"/>
      <c r="E574" s="261"/>
      <c r="G574" s="182"/>
      <c r="J574" s="67"/>
      <c r="K574" s="67"/>
      <c r="R574" s="67"/>
    </row>
    <row r="575">
      <c r="B575" s="182"/>
      <c r="E575" s="261"/>
      <c r="G575" s="182"/>
      <c r="J575" s="67"/>
      <c r="K575" s="67"/>
      <c r="R575" s="67"/>
    </row>
    <row r="576">
      <c r="B576" s="182"/>
      <c r="E576" s="261"/>
      <c r="G576" s="182"/>
      <c r="J576" s="67"/>
      <c r="K576" s="67"/>
      <c r="R576" s="67"/>
    </row>
    <row r="577">
      <c r="B577" s="182"/>
      <c r="E577" s="261"/>
      <c r="G577" s="182"/>
      <c r="J577" s="67"/>
      <c r="K577" s="67"/>
      <c r="R577" s="67"/>
    </row>
    <row r="578">
      <c r="B578" s="182"/>
      <c r="E578" s="261"/>
      <c r="G578" s="182"/>
      <c r="J578" s="67"/>
      <c r="K578" s="67"/>
      <c r="R578" s="67"/>
    </row>
    <row r="579">
      <c r="B579" s="182"/>
      <c r="E579" s="261"/>
      <c r="G579" s="182"/>
      <c r="J579" s="67"/>
      <c r="K579" s="67"/>
      <c r="R579" s="67"/>
    </row>
    <row r="580">
      <c r="B580" s="182"/>
      <c r="E580" s="261"/>
      <c r="G580" s="182"/>
      <c r="J580" s="67"/>
      <c r="K580" s="67"/>
      <c r="R580" s="67"/>
    </row>
    <row r="581">
      <c r="B581" s="182"/>
      <c r="E581" s="261"/>
      <c r="G581" s="182"/>
      <c r="J581" s="67"/>
      <c r="K581" s="67"/>
      <c r="R581" s="67"/>
    </row>
    <row r="582">
      <c r="B582" s="182"/>
      <c r="E582" s="261"/>
      <c r="G582" s="182"/>
      <c r="J582" s="67"/>
      <c r="K582" s="67"/>
      <c r="R582" s="67"/>
    </row>
    <row r="583">
      <c r="B583" s="182"/>
      <c r="E583" s="261"/>
      <c r="G583" s="182"/>
      <c r="J583" s="67"/>
      <c r="K583" s="67"/>
      <c r="R583" s="67"/>
    </row>
    <row r="584">
      <c r="B584" s="182"/>
      <c r="E584" s="261"/>
      <c r="G584" s="182"/>
      <c r="J584" s="67"/>
      <c r="K584" s="67"/>
      <c r="R584" s="67"/>
    </row>
    <row r="585">
      <c r="B585" s="182"/>
      <c r="E585" s="261"/>
      <c r="G585" s="182"/>
      <c r="J585" s="67"/>
      <c r="K585" s="67"/>
      <c r="R585" s="67"/>
    </row>
    <row r="586">
      <c r="B586" s="182"/>
      <c r="E586" s="261"/>
      <c r="G586" s="182"/>
      <c r="J586" s="67"/>
      <c r="K586" s="67"/>
      <c r="R586" s="67"/>
    </row>
    <row r="587">
      <c r="B587" s="182"/>
      <c r="E587" s="261"/>
      <c r="G587" s="182"/>
      <c r="J587" s="67"/>
      <c r="K587" s="67"/>
      <c r="R587" s="67"/>
    </row>
    <row r="588">
      <c r="B588" s="182"/>
      <c r="E588" s="261"/>
      <c r="G588" s="182"/>
      <c r="J588" s="67"/>
      <c r="K588" s="67"/>
      <c r="R588" s="67"/>
    </row>
    <row r="589">
      <c r="B589" s="182"/>
      <c r="E589" s="261"/>
      <c r="G589" s="182"/>
      <c r="J589" s="67"/>
      <c r="K589" s="67"/>
      <c r="R589" s="67"/>
    </row>
    <row r="590">
      <c r="B590" s="182"/>
      <c r="E590" s="261"/>
      <c r="G590" s="182"/>
      <c r="J590" s="67"/>
      <c r="K590" s="67"/>
      <c r="R590" s="67"/>
    </row>
    <row r="591">
      <c r="B591" s="182"/>
      <c r="E591" s="261"/>
      <c r="G591" s="182"/>
      <c r="J591" s="67"/>
      <c r="K591" s="67"/>
      <c r="R591" s="67"/>
    </row>
    <row r="592">
      <c r="B592" s="182"/>
      <c r="E592" s="261"/>
      <c r="G592" s="182"/>
      <c r="J592" s="67"/>
      <c r="K592" s="67"/>
      <c r="R592" s="67"/>
    </row>
    <row r="593">
      <c r="B593" s="182"/>
      <c r="E593" s="261"/>
      <c r="G593" s="182"/>
      <c r="J593" s="67"/>
      <c r="K593" s="67"/>
      <c r="R593" s="67"/>
    </row>
    <row r="594">
      <c r="B594" s="182"/>
      <c r="E594" s="261"/>
      <c r="G594" s="182"/>
      <c r="J594" s="67"/>
      <c r="K594" s="67"/>
      <c r="R594" s="67"/>
    </row>
    <row r="595">
      <c r="B595" s="182"/>
      <c r="E595" s="261"/>
      <c r="G595" s="182"/>
      <c r="J595" s="67"/>
      <c r="K595" s="67"/>
      <c r="R595" s="67"/>
    </row>
    <row r="596">
      <c r="B596" s="182"/>
      <c r="E596" s="261"/>
      <c r="G596" s="182"/>
      <c r="J596" s="67"/>
      <c r="K596" s="67"/>
      <c r="R596" s="67"/>
    </row>
    <row r="597">
      <c r="B597" s="182"/>
      <c r="E597" s="261"/>
      <c r="G597" s="182"/>
      <c r="J597" s="67"/>
      <c r="K597" s="67"/>
      <c r="R597" s="67"/>
    </row>
    <row r="598">
      <c r="B598" s="182"/>
      <c r="E598" s="261"/>
      <c r="G598" s="182"/>
      <c r="J598" s="67"/>
      <c r="K598" s="67"/>
      <c r="R598" s="67"/>
    </row>
    <row r="599">
      <c r="B599" s="182"/>
      <c r="E599" s="261"/>
      <c r="G599" s="182"/>
      <c r="J599" s="67"/>
      <c r="K599" s="67"/>
      <c r="R599" s="67"/>
    </row>
    <row r="600">
      <c r="B600" s="182"/>
      <c r="E600" s="261"/>
      <c r="G600" s="182"/>
      <c r="J600" s="67"/>
      <c r="K600" s="67"/>
      <c r="R600" s="67"/>
    </row>
    <row r="601">
      <c r="B601" s="182"/>
      <c r="E601" s="261"/>
      <c r="G601" s="182"/>
      <c r="J601" s="67"/>
      <c r="K601" s="67"/>
      <c r="R601" s="67"/>
    </row>
    <row r="602">
      <c r="B602" s="182"/>
      <c r="E602" s="261"/>
      <c r="G602" s="182"/>
      <c r="J602" s="67"/>
      <c r="K602" s="67"/>
      <c r="R602" s="67"/>
    </row>
    <row r="603">
      <c r="B603" s="182"/>
      <c r="E603" s="261"/>
      <c r="G603" s="182"/>
      <c r="J603" s="67"/>
      <c r="K603" s="67"/>
      <c r="R603" s="67"/>
    </row>
    <row r="604">
      <c r="B604" s="182"/>
      <c r="E604" s="261"/>
      <c r="G604" s="182"/>
      <c r="J604" s="67"/>
      <c r="K604" s="67"/>
      <c r="R604" s="67"/>
    </row>
    <row r="605">
      <c r="B605" s="182"/>
      <c r="E605" s="261"/>
      <c r="G605" s="182"/>
      <c r="J605" s="67"/>
      <c r="K605" s="67"/>
      <c r="R605" s="67"/>
    </row>
    <row r="606">
      <c r="B606" s="182"/>
      <c r="E606" s="261"/>
      <c r="G606" s="182"/>
      <c r="J606" s="67"/>
      <c r="K606" s="67"/>
      <c r="R606" s="67"/>
    </row>
    <row r="607">
      <c r="B607" s="182"/>
      <c r="E607" s="261"/>
      <c r="G607" s="182"/>
      <c r="J607" s="67"/>
      <c r="K607" s="67"/>
      <c r="R607" s="67"/>
    </row>
    <row r="608">
      <c r="B608" s="182"/>
      <c r="E608" s="261"/>
      <c r="G608" s="182"/>
      <c r="J608" s="67"/>
      <c r="K608" s="67"/>
      <c r="R608" s="67"/>
    </row>
    <row r="609">
      <c r="B609" s="182"/>
      <c r="E609" s="261"/>
      <c r="G609" s="182"/>
      <c r="J609" s="67"/>
      <c r="K609" s="67"/>
      <c r="R609" s="67"/>
    </row>
    <row r="610">
      <c r="B610" s="182"/>
      <c r="E610" s="261"/>
      <c r="G610" s="182"/>
      <c r="J610" s="67"/>
      <c r="K610" s="67"/>
      <c r="R610" s="67"/>
    </row>
    <row r="611">
      <c r="B611" s="182"/>
      <c r="E611" s="261"/>
      <c r="G611" s="182"/>
      <c r="J611" s="67"/>
      <c r="K611" s="67"/>
      <c r="R611" s="67"/>
    </row>
    <row r="612">
      <c r="B612" s="182"/>
      <c r="E612" s="261"/>
      <c r="G612" s="182"/>
      <c r="J612" s="67"/>
      <c r="K612" s="67"/>
      <c r="R612" s="67"/>
    </row>
    <row r="613">
      <c r="B613" s="182"/>
      <c r="E613" s="261"/>
      <c r="G613" s="182"/>
      <c r="J613" s="67"/>
      <c r="K613" s="67"/>
      <c r="R613" s="67"/>
    </row>
    <row r="614">
      <c r="B614" s="182"/>
      <c r="E614" s="261"/>
      <c r="G614" s="182"/>
      <c r="J614" s="67"/>
      <c r="K614" s="67"/>
      <c r="R614" s="67"/>
    </row>
    <row r="615">
      <c r="B615" s="182"/>
      <c r="E615" s="261"/>
      <c r="G615" s="182"/>
      <c r="J615" s="67"/>
      <c r="K615" s="67"/>
      <c r="R615" s="67"/>
    </row>
    <row r="616">
      <c r="B616" s="182"/>
      <c r="E616" s="261"/>
      <c r="G616" s="182"/>
      <c r="J616" s="67"/>
      <c r="K616" s="67"/>
      <c r="R616" s="67"/>
    </row>
    <row r="617">
      <c r="B617" s="182"/>
      <c r="E617" s="261"/>
      <c r="G617" s="182"/>
      <c r="J617" s="67"/>
      <c r="K617" s="67"/>
      <c r="R617" s="67"/>
    </row>
    <row r="618">
      <c r="B618" s="182"/>
      <c r="E618" s="261"/>
      <c r="G618" s="182"/>
      <c r="J618" s="67"/>
      <c r="K618" s="67"/>
      <c r="R618" s="67"/>
    </row>
    <row r="619">
      <c r="B619" s="182"/>
      <c r="E619" s="261"/>
      <c r="G619" s="182"/>
      <c r="J619" s="67"/>
      <c r="K619" s="67"/>
      <c r="R619" s="67"/>
    </row>
    <row r="620">
      <c r="B620" s="182"/>
      <c r="E620" s="261"/>
      <c r="G620" s="182"/>
      <c r="J620" s="67"/>
      <c r="K620" s="67"/>
      <c r="R620" s="67"/>
    </row>
    <row r="621">
      <c r="B621" s="182"/>
      <c r="E621" s="261"/>
      <c r="G621" s="182"/>
      <c r="J621" s="67"/>
      <c r="K621" s="67"/>
      <c r="R621" s="67"/>
    </row>
    <row r="622">
      <c r="B622" s="182"/>
      <c r="E622" s="261"/>
      <c r="G622" s="182"/>
      <c r="J622" s="67"/>
      <c r="K622" s="67"/>
      <c r="R622" s="67"/>
    </row>
    <row r="623">
      <c r="B623" s="182"/>
      <c r="E623" s="261"/>
      <c r="G623" s="182"/>
      <c r="J623" s="67"/>
      <c r="K623" s="67"/>
      <c r="R623" s="67"/>
    </row>
    <row r="624">
      <c r="B624" s="182"/>
      <c r="E624" s="261"/>
      <c r="G624" s="182"/>
      <c r="J624" s="67"/>
      <c r="K624" s="67"/>
      <c r="R624" s="67"/>
    </row>
    <row r="625">
      <c r="B625" s="182"/>
      <c r="E625" s="261"/>
      <c r="G625" s="182"/>
      <c r="J625" s="67"/>
      <c r="K625" s="67"/>
      <c r="R625" s="67"/>
    </row>
    <row r="626">
      <c r="B626" s="182"/>
      <c r="E626" s="261"/>
      <c r="G626" s="182"/>
      <c r="J626" s="67"/>
      <c r="K626" s="67"/>
      <c r="R626" s="67"/>
    </row>
    <row r="627">
      <c r="B627" s="182"/>
      <c r="E627" s="261"/>
      <c r="G627" s="182"/>
      <c r="J627" s="67"/>
      <c r="K627" s="67"/>
      <c r="R627" s="67"/>
    </row>
    <row r="628">
      <c r="B628" s="182"/>
      <c r="E628" s="261"/>
      <c r="G628" s="182"/>
      <c r="J628" s="67"/>
      <c r="K628" s="67"/>
      <c r="R628" s="67"/>
    </row>
    <row r="629">
      <c r="B629" s="182"/>
      <c r="E629" s="261"/>
      <c r="G629" s="182"/>
      <c r="J629" s="67"/>
      <c r="K629" s="67"/>
      <c r="R629" s="67"/>
    </row>
    <row r="630">
      <c r="B630" s="182"/>
      <c r="E630" s="261"/>
      <c r="G630" s="182"/>
      <c r="J630" s="67"/>
      <c r="K630" s="67"/>
      <c r="R630" s="67"/>
    </row>
    <row r="631">
      <c r="B631" s="182"/>
      <c r="E631" s="261"/>
      <c r="G631" s="182"/>
      <c r="J631" s="67"/>
      <c r="K631" s="67"/>
      <c r="R631" s="67"/>
    </row>
    <row r="632">
      <c r="B632" s="182"/>
      <c r="E632" s="261"/>
      <c r="G632" s="182"/>
      <c r="J632" s="67"/>
      <c r="K632" s="67"/>
      <c r="R632" s="67"/>
    </row>
    <row r="633">
      <c r="B633" s="182"/>
      <c r="E633" s="261"/>
      <c r="G633" s="182"/>
      <c r="J633" s="67"/>
      <c r="K633" s="67"/>
      <c r="R633" s="67"/>
    </row>
    <row r="634">
      <c r="B634" s="182"/>
      <c r="E634" s="261"/>
      <c r="G634" s="182"/>
      <c r="J634" s="67"/>
      <c r="K634" s="67"/>
      <c r="R634" s="67"/>
    </row>
    <row r="635">
      <c r="B635" s="182"/>
      <c r="E635" s="261"/>
      <c r="G635" s="182"/>
      <c r="J635" s="67"/>
      <c r="K635" s="67"/>
      <c r="R635" s="67"/>
    </row>
    <row r="636">
      <c r="B636" s="182"/>
      <c r="E636" s="261"/>
      <c r="G636" s="182"/>
      <c r="J636" s="67"/>
      <c r="K636" s="67"/>
      <c r="R636" s="67"/>
    </row>
    <row r="637">
      <c r="B637" s="182"/>
      <c r="E637" s="261"/>
      <c r="G637" s="182"/>
      <c r="J637" s="67"/>
      <c r="K637" s="67"/>
      <c r="R637" s="67"/>
    </row>
    <row r="638">
      <c r="B638" s="182"/>
      <c r="E638" s="261"/>
      <c r="G638" s="182"/>
      <c r="J638" s="67"/>
      <c r="K638" s="67"/>
      <c r="R638" s="67"/>
    </row>
    <row r="639">
      <c r="B639" s="182"/>
      <c r="E639" s="261"/>
      <c r="G639" s="182"/>
      <c r="J639" s="67"/>
      <c r="K639" s="67"/>
      <c r="R639" s="67"/>
    </row>
    <row r="640">
      <c r="B640" s="182"/>
      <c r="E640" s="261"/>
      <c r="G640" s="182"/>
      <c r="J640" s="67"/>
      <c r="K640" s="67"/>
      <c r="R640" s="67"/>
    </row>
    <row r="641">
      <c r="B641" s="182"/>
      <c r="E641" s="261"/>
      <c r="G641" s="182"/>
      <c r="J641" s="67"/>
      <c r="K641" s="67"/>
      <c r="R641" s="67"/>
    </row>
    <row r="642">
      <c r="B642" s="182"/>
      <c r="E642" s="261"/>
      <c r="G642" s="182"/>
      <c r="J642" s="67"/>
      <c r="K642" s="67"/>
      <c r="R642" s="67"/>
    </row>
    <row r="643">
      <c r="B643" s="182"/>
      <c r="E643" s="261"/>
      <c r="G643" s="182"/>
      <c r="J643" s="67"/>
      <c r="K643" s="67"/>
      <c r="R643" s="67"/>
    </row>
    <row r="644">
      <c r="B644" s="182"/>
      <c r="E644" s="261"/>
      <c r="G644" s="182"/>
      <c r="J644" s="67"/>
      <c r="K644" s="67"/>
      <c r="R644" s="67"/>
    </row>
    <row r="645">
      <c r="B645" s="182"/>
      <c r="E645" s="261"/>
      <c r="G645" s="182"/>
      <c r="J645" s="67"/>
      <c r="K645" s="67"/>
      <c r="R645" s="67"/>
    </row>
    <row r="646">
      <c r="B646" s="182"/>
      <c r="E646" s="261"/>
      <c r="G646" s="182"/>
      <c r="J646" s="67"/>
      <c r="K646" s="67"/>
      <c r="R646" s="67"/>
    </row>
    <row r="647">
      <c r="B647" s="182"/>
      <c r="E647" s="261"/>
      <c r="G647" s="182"/>
      <c r="J647" s="67"/>
      <c r="K647" s="67"/>
      <c r="R647" s="67"/>
    </row>
    <row r="648">
      <c r="B648" s="182"/>
      <c r="E648" s="261"/>
      <c r="G648" s="182"/>
      <c r="J648" s="67"/>
      <c r="K648" s="67"/>
      <c r="R648" s="67"/>
    </row>
    <row r="649">
      <c r="B649" s="182"/>
      <c r="E649" s="261"/>
      <c r="G649" s="182"/>
      <c r="J649" s="67"/>
      <c r="K649" s="67"/>
      <c r="R649" s="67"/>
    </row>
    <row r="650">
      <c r="B650" s="182"/>
      <c r="E650" s="261"/>
      <c r="G650" s="182"/>
      <c r="J650" s="67"/>
      <c r="K650" s="67"/>
      <c r="R650" s="67"/>
    </row>
    <row r="651">
      <c r="B651" s="182"/>
      <c r="E651" s="261"/>
      <c r="G651" s="182"/>
      <c r="J651" s="67"/>
      <c r="K651" s="67"/>
      <c r="R651" s="67"/>
    </row>
    <row r="652">
      <c r="B652" s="182"/>
      <c r="E652" s="261"/>
      <c r="G652" s="182"/>
      <c r="J652" s="67"/>
      <c r="K652" s="67"/>
      <c r="R652" s="67"/>
    </row>
    <row r="653">
      <c r="B653" s="182"/>
      <c r="E653" s="261"/>
      <c r="G653" s="182"/>
      <c r="J653" s="67"/>
      <c r="K653" s="67"/>
      <c r="R653" s="67"/>
    </row>
    <row r="654">
      <c r="B654" s="182"/>
      <c r="E654" s="261"/>
      <c r="G654" s="182"/>
      <c r="J654" s="67"/>
      <c r="K654" s="67"/>
      <c r="R654" s="67"/>
    </row>
    <row r="655">
      <c r="B655" s="182"/>
      <c r="E655" s="261"/>
      <c r="G655" s="182"/>
      <c r="J655" s="67"/>
      <c r="K655" s="67"/>
      <c r="R655" s="67"/>
    </row>
    <row r="656">
      <c r="B656" s="182"/>
      <c r="E656" s="261"/>
      <c r="G656" s="182"/>
      <c r="J656" s="67"/>
      <c r="K656" s="67"/>
      <c r="R656" s="67"/>
    </row>
    <row r="657">
      <c r="B657" s="182"/>
      <c r="E657" s="261"/>
      <c r="G657" s="182"/>
      <c r="J657" s="67"/>
      <c r="K657" s="67"/>
      <c r="R657" s="67"/>
    </row>
    <row r="658">
      <c r="B658" s="182"/>
      <c r="E658" s="261"/>
      <c r="G658" s="182"/>
      <c r="J658" s="67"/>
      <c r="K658" s="67"/>
      <c r="R658" s="67"/>
    </row>
    <row r="659">
      <c r="B659" s="182"/>
      <c r="E659" s="261"/>
      <c r="G659" s="182"/>
      <c r="J659" s="67"/>
      <c r="K659" s="67"/>
      <c r="R659" s="67"/>
    </row>
    <row r="660">
      <c r="B660" s="182"/>
      <c r="E660" s="261"/>
      <c r="G660" s="182"/>
      <c r="J660" s="67"/>
      <c r="K660" s="67"/>
      <c r="R660" s="67"/>
    </row>
    <row r="661">
      <c r="B661" s="182"/>
      <c r="E661" s="261"/>
      <c r="G661" s="182"/>
      <c r="J661" s="67"/>
      <c r="K661" s="67"/>
      <c r="R661" s="67"/>
    </row>
    <row r="662">
      <c r="B662" s="182"/>
      <c r="E662" s="261"/>
      <c r="G662" s="182"/>
      <c r="J662" s="67"/>
      <c r="K662" s="67"/>
      <c r="R662" s="67"/>
    </row>
    <row r="663">
      <c r="B663" s="182"/>
      <c r="E663" s="261"/>
      <c r="G663" s="182"/>
      <c r="J663" s="67"/>
      <c r="K663" s="67"/>
      <c r="R663" s="67"/>
    </row>
    <row r="664">
      <c r="B664" s="182"/>
      <c r="E664" s="261"/>
      <c r="G664" s="182"/>
      <c r="J664" s="67"/>
      <c r="K664" s="67"/>
      <c r="R664" s="67"/>
    </row>
    <row r="665">
      <c r="B665" s="182"/>
      <c r="E665" s="261"/>
      <c r="G665" s="182"/>
      <c r="J665" s="67"/>
      <c r="K665" s="67"/>
      <c r="R665" s="67"/>
    </row>
    <row r="666">
      <c r="B666" s="182"/>
      <c r="E666" s="261"/>
      <c r="G666" s="182"/>
      <c r="J666" s="67"/>
      <c r="K666" s="67"/>
      <c r="R666" s="67"/>
    </row>
    <row r="667">
      <c r="B667" s="182"/>
      <c r="E667" s="261"/>
      <c r="G667" s="182"/>
      <c r="J667" s="67"/>
      <c r="K667" s="67"/>
      <c r="R667" s="67"/>
    </row>
    <row r="668">
      <c r="B668" s="182"/>
      <c r="E668" s="261"/>
      <c r="G668" s="182"/>
      <c r="J668" s="67"/>
      <c r="K668" s="67"/>
      <c r="R668" s="67"/>
    </row>
    <row r="669">
      <c r="B669" s="182"/>
      <c r="E669" s="261"/>
      <c r="G669" s="182"/>
      <c r="J669" s="67"/>
      <c r="K669" s="67"/>
      <c r="R669" s="67"/>
    </row>
    <row r="670">
      <c r="B670" s="182"/>
      <c r="E670" s="261"/>
      <c r="G670" s="182"/>
      <c r="J670" s="67"/>
      <c r="K670" s="67"/>
      <c r="R670" s="67"/>
    </row>
    <row r="671">
      <c r="B671" s="182"/>
      <c r="E671" s="261"/>
      <c r="G671" s="182"/>
      <c r="J671" s="67"/>
      <c r="K671" s="67"/>
      <c r="R671" s="67"/>
    </row>
    <row r="672">
      <c r="B672" s="182"/>
      <c r="E672" s="261"/>
      <c r="G672" s="182"/>
      <c r="J672" s="67"/>
      <c r="K672" s="67"/>
      <c r="R672" s="67"/>
    </row>
    <row r="673">
      <c r="B673" s="182"/>
      <c r="E673" s="261"/>
      <c r="G673" s="182"/>
      <c r="J673" s="67"/>
      <c r="K673" s="67"/>
      <c r="R673" s="67"/>
    </row>
    <row r="674">
      <c r="B674" s="182"/>
      <c r="E674" s="261"/>
      <c r="G674" s="182"/>
      <c r="J674" s="67"/>
      <c r="K674" s="67"/>
      <c r="R674" s="67"/>
    </row>
    <row r="675">
      <c r="B675" s="182"/>
      <c r="E675" s="261"/>
      <c r="G675" s="182"/>
      <c r="J675" s="67"/>
      <c r="K675" s="67"/>
      <c r="R675" s="67"/>
    </row>
    <row r="676">
      <c r="B676" s="182"/>
      <c r="E676" s="261"/>
      <c r="G676" s="182"/>
      <c r="J676" s="67"/>
      <c r="K676" s="67"/>
      <c r="R676" s="67"/>
    </row>
    <row r="677">
      <c r="B677" s="182"/>
      <c r="E677" s="261"/>
      <c r="G677" s="182"/>
      <c r="J677" s="67"/>
      <c r="K677" s="67"/>
      <c r="R677" s="67"/>
    </row>
    <row r="678">
      <c r="B678" s="182"/>
      <c r="E678" s="261"/>
      <c r="G678" s="182"/>
      <c r="J678" s="67"/>
      <c r="K678" s="67"/>
      <c r="R678" s="67"/>
    </row>
    <row r="679">
      <c r="B679" s="182"/>
      <c r="E679" s="261"/>
      <c r="G679" s="182"/>
      <c r="J679" s="67"/>
      <c r="K679" s="67"/>
      <c r="R679" s="67"/>
    </row>
    <row r="680">
      <c r="B680" s="182"/>
      <c r="E680" s="261"/>
      <c r="G680" s="182"/>
      <c r="J680" s="67"/>
      <c r="K680" s="67"/>
      <c r="R680" s="67"/>
    </row>
    <row r="681">
      <c r="B681" s="182"/>
      <c r="E681" s="261"/>
      <c r="G681" s="182"/>
      <c r="J681" s="67"/>
      <c r="K681" s="67"/>
      <c r="R681" s="67"/>
    </row>
    <row r="682">
      <c r="B682" s="182"/>
      <c r="E682" s="261"/>
      <c r="G682" s="182"/>
      <c r="J682" s="67"/>
      <c r="K682" s="67"/>
      <c r="R682" s="67"/>
    </row>
    <row r="683">
      <c r="B683" s="182"/>
      <c r="E683" s="261"/>
      <c r="G683" s="182"/>
      <c r="J683" s="67"/>
      <c r="K683" s="67"/>
      <c r="R683" s="67"/>
    </row>
    <row r="684">
      <c r="B684" s="182"/>
      <c r="E684" s="261"/>
      <c r="G684" s="182"/>
      <c r="J684" s="67"/>
      <c r="K684" s="67"/>
      <c r="R684" s="67"/>
    </row>
    <row r="685">
      <c r="B685" s="182"/>
      <c r="E685" s="261"/>
      <c r="G685" s="182"/>
      <c r="J685" s="67"/>
      <c r="K685" s="67"/>
      <c r="R685" s="67"/>
    </row>
    <row r="686">
      <c r="B686" s="182"/>
      <c r="E686" s="261"/>
      <c r="G686" s="182"/>
      <c r="J686" s="67"/>
      <c r="K686" s="67"/>
      <c r="R686" s="67"/>
    </row>
    <row r="687">
      <c r="B687" s="182"/>
      <c r="E687" s="261"/>
      <c r="G687" s="182"/>
      <c r="J687" s="67"/>
      <c r="K687" s="67"/>
      <c r="R687" s="67"/>
    </row>
    <row r="688">
      <c r="B688" s="182"/>
      <c r="E688" s="261"/>
      <c r="G688" s="182"/>
      <c r="J688" s="67"/>
      <c r="K688" s="67"/>
      <c r="R688" s="67"/>
    </row>
    <row r="689">
      <c r="B689" s="182"/>
      <c r="E689" s="261"/>
      <c r="G689" s="182"/>
      <c r="J689" s="67"/>
      <c r="K689" s="67"/>
      <c r="R689" s="67"/>
    </row>
    <row r="690">
      <c r="B690" s="182"/>
      <c r="E690" s="261"/>
      <c r="G690" s="182"/>
      <c r="J690" s="67"/>
      <c r="K690" s="67"/>
      <c r="R690" s="67"/>
    </row>
    <row r="691">
      <c r="B691" s="182"/>
      <c r="E691" s="261"/>
      <c r="G691" s="182"/>
      <c r="J691" s="67"/>
      <c r="K691" s="67"/>
      <c r="R691" s="67"/>
    </row>
    <row r="692">
      <c r="B692" s="182"/>
      <c r="E692" s="261"/>
      <c r="G692" s="182"/>
      <c r="J692" s="67"/>
      <c r="K692" s="67"/>
      <c r="R692" s="67"/>
    </row>
    <row r="693">
      <c r="B693" s="182"/>
      <c r="E693" s="261"/>
      <c r="G693" s="182"/>
      <c r="J693" s="67"/>
      <c r="K693" s="67"/>
      <c r="R693" s="67"/>
    </row>
    <row r="694">
      <c r="B694" s="182"/>
      <c r="E694" s="261"/>
      <c r="G694" s="182"/>
      <c r="J694" s="67"/>
      <c r="K694" s="67"/>
      <c r="R694" s="67"/>
    </row>
    <row r="695">
      <c r="B695" s="182"/>
      <c r="E695" s="261"/>
      <c r="G695" s="182"/>
      <c r="J695" s="67"/>
      <c r="K695" s="67"/>
      <c r="R695" s="67"/>
    </row>
    <row r="696">
      <c r="B696" s="182"/>
      <c r="E696" s="261"/>
      <c r="G696" s="182"/>
      <c r="J696" s="67"/>
      <c r="K696" s="67"/>
      <c r="R696" s="67"/>
    </row>
    <row r="697">
      <c r="B697" s="182"/>
      <c r="E697" s="261"/>
      <c r="G697" s="182"/>
      <c r="J697" s="67"/>
      <c r="K697" s="67"/>
      <c r="R697" s="67"/>
    </row>
    <row r="698">
      <c r="B698" s="182"/>
      <c r="E698" s="261"/>
      <c r="G698" s="182"/>
      <c r="J698" s="67"/>
      <c r="K698" s="67"/>
      <c r="R698" s="67"/>
    </row>
    <row r="699">
      <c r="B699" s="182"/>
      <c r="E699" s="261"/>
      <c r="G699" s="182"/>
      <c r="J699" s="67"/>
      <c r="K699" s="67"/>
      <c r="R699" s="67"/>
    </row>
    <row r="700">
      <c r="B700" s="182"/>
      <c r="E700" s="261"/>
      <c r="G700" s="182"/>
      <c r="J700" s="67"/>
      <c r="K700" s="67"/>
      <c r="R700" s="67"/>
    </row>
    <row r="701">
      <c r="B701" s="182"/>
      <c r="E701" s="261"/>
      <c r="G701" s="182"/>
      <c r="J701" s="67"/>
      <c r="K701" s="67"/>
      <c r="R701" s="67"/>
    </row>
    <row r="702">
      <c r="B702" s="182"/>
      <c r="E702" s="261"/>
      <c r="G702" s="182"/>
      <c r="J702" s="67"/>
      <c r="K702" s="67"/>
      <c r="R702" s="67"/>
    </row>
    <row r="703">
      <c r="B703" s="182"/>
      <c r="E703" s="261"/>
      <c r="G703" s="182"/>
      <c r="J703" s="67"/>
      <c r="K703" s="67"/>
      <c r="R703" s="67"/>
    </row>
    <row r="704">
      <c r="B704" s="182"/>
      <c r="E704" s="261"/>
      <c r="G704" s="182"/>
      <c r="J704" s="67"/>
      <c r="K704" s="67"/>
      <c r="R704" s="67"/>
    </row>
    <row r="705">
      <c r="B705" s="182"/>
      <c r="E705" s="261"/>
      <c r="G705" s="182"/>
      <c r="J705" s="67"/>
      <c r="K705" s="67"/>
      <c r="R705" s="67"/>
    </row>
    <row r="706">
      <c r="B706" s="182"/>
      <c r="E706" s="261"/>
      <c r="G706" s="182"/>
      <c r="J706" s="67"/>
      <c r="K706" s="67"/>
      <c r="R706" s="67"/>
    </row>
    <row r="707">
      <c r="B707" s="182"/>
      <c r="E707" s="261"/>
      <c r="G707" s="182"/>
      <c r="J707" s="67"/>
      <c r="K707" s="67"/>
      <c r="R707" s="67"/>
    </row>
    <row r="708">
      <c r="B708" s="182"/>
      <c r="E708" s="261"/>
      <c r="G708" s="182"/>
      <c r="J708" s="67"/>
      <c r="K708" s="67"/>
      <c r="R708" s="67"/>
    </row>
    <row r="709">
      <c r="B709" s="182"/>
      <c r="E709" s="261"/>
      <c r="G709" s="182"/>
      <c r="J709" s="67"/>
      <c r="K709" s="67"/>
      <c r="R709" s="67"/>
    </row>
    <row r="710">
      <c r="B710" s="182"/>
      <c r="E710" s="261"/>
      <c r="G710" s="182"/>
      <c r="J710" s="67"/>
      <c r="K710" s="67"/>
      <c r="R710" s="67"/>
    </row>
    <row r="711">
      <c r="B711" s="182"/>
      <c r="E711" s="261"/>
      <c r="G711" s="182"/>
      <c r="J711" s="67"/>
      <c r="K711" s="67"/>
      <c r="R711" s="67"/>
    </row>
    <row r="712">
      <c r="B712" s="182"/>
      <c r="E712" s="261"/>
      <c r="G712" s="182"/>
      <c r="J712" s="67"/>
      <c r="K712" s="67"/>
      <c r="R712" s="67"/>
    </row>
    <row r="713">
      <c r="B713" s="182"/>
      <c r="E713" s="261"/>
      <c r="G713" s="182"/>
      <c r="J713" s="67"/>
      <c r="K713" s="67"/>
      <c r="R713" s="67"/>
    </row>
    <row r="714">
      <c r="B714" s="182"/>
      <c r="E714" s="261"/>
      <c r="G714" s="182"/>
      <c r="J714" s="67"/>
      <c r="K714" s="67"/>
      <c r="R714" s="67"/>
    </row>
    <row r="715">
      <c r="B715" s="182"/>
      <c r="E715" s="261"/>
      <c r="G715" s="182"/>
      <c r="J715" s="67"/>
      <c r="K715" s="67"/>
      <c r="R715" s="67"/>
    </row>
    <row r="716">
      <c r="B716" s="182"/>
      <c r="E716" s="261"/>
      <c r="G716" s="182"/>
      <c r="J716" s="67"/>
      <c r="K716" s="67"/>
      <c r="R716" s="67"/>
    </row>
    <row r="717">
      <c r="B717" s="182"/>
      <c r="E717" s="261"/>
      <c r="G717" s="182"/>
      <c r="J717" s="67"/>
      <c r="K717" s="67"/>
      <c r="R717" s="67"/>
    </row>
    <row r="718">
      <c r="B718" s="182"/>
      <c r="E718" s="261"/>
      <c r="G718" s="182"/>
      <c r="J718" s="67"/>
      <c r="K718" s="67"/>
      <c r="R718" s="67"/>
    </row>
    <row r="719">
      <c r="B719" s="182"/>
      <c r="E719" s="261"/>
      <c r="G719" s="182"/>
      <c r="J719" s="67"/>
      <c r="K719" s="67"/>
      <c r="R719" s="67"/>
    </row>
    <row r="720">
      <c r="B720" s="182"/>
      <c r="E720" s="261"/>
      <c r="G720" s="182"/>
      <c r="J720" s="67"/>
      <c r="K720" s="67"/>
      <c r="R720" s="67"/>
    </row>
    <row r="721">
      <c r="B721" s="182"/>
      <c r="E721" s="261"/>
      <c r="G721" s="182"/>
      <c r="J721" s="67"/>
      <c r="K721" s="67"/>
      <c r="R721" s="67"/>
    </row>
    <row r="722">
      <c r="B722" s="182"/>
      <c r="E722" s="261"/>
      <c r="G722" s="182"/>
      <c r="J722" s="67"/>
      <c r="K722" s="67"/>
      <c r="R722" s="67"/>
    </row>
    <row r="723">
      <c r="B723" s="182"/>
      <c r="E723" s="261"/>
      <c r="G723" s="182"/>
      <c r="J723" s="67"/>
      <c r="K723" s="67"/>
      <c r="R723" s="67"/>
    </row>
    <row r="724">
      <c r="B724" s="182"/>
      <c r="E724" s="261"/>
      <c r="G724" s="182"/>
      <c r="J724" s="67"/>
      <c r="K724" s="67"/>
      <c r="R724" s="67"/>
    </row>
    <row r="725">
      <c r="B725" s="182"/>
      <c r="E725" s="261"/>
      <c r="G725" s="182"/>
      <c r="J725" s="67"/>
      <c r="K725" s="67"/>
      <c r="R725" s="67"/>
    </row>
    <row r="726">
      <c r="B726" s="182"/>
      <c r="E726" s="261"/>
      <c r="G726" s="182"/>
      <c r="J726" s="67"/>
      <c r="K726" s="67"/>
      <c r="R726" s="67"/>
    </row>
    <row r="727">
      <c r="B727" s="182"/>
      <c r="E727" s="261"/>
      <c r="G727" s="182"/>
      <c r="J727" s="67"/>
      <c r="K727" s="67"/>
      <c r="R727" s="67"/>
    </row>
    <row r="728">
      <c r="B728" s="182"/>
      <c r="E728" s="261"/>
      <c r="G728" s="182"/>
      <c r="J728" s="67"/>
      <c r="K728" s="67"/>
      <c r="R728" s="67"/>
    </row>
    <row r="729">
      <c r="B729" s="182"/>
      <c r="E729" s="261"/>
      <c r="G729" s="182"/>
      <c r="J729" s="67"/>
      <c r="K729" s="67"/>
      <c r="R729" s="67"/>
    </row>
    <row r="730">
      <c r="B730" s="182"/>
      <c r="E730" s="261"/>
      <c r="G730" s="182"/>
      <c r="J730" s="67"/>
      <c r="K730" s="67"/>
      <c r="R730" s="67"/>
    </row>
    <row r="731">
      <c r="B731" s="182"/>
      <c r="E731" s="261"/>
      <c r="G731" s="182"/>
      <c r="J731" s="67"/>
      <c r="K731" s="67"/>
      <c r="R731" s="67"/>
    </row>
    <row r="732">
      <c r="B732" s="182"/>
      <c r="E732" s="261"/>
      <c r="G732" s="182"/>
      <c r="J732" s="67"/>
      <c r="K732" s="67"/>
      <c r="R732" s="67"/>
    </row>
    <row r="733">
      <c r="B733" s="182"/>
      <c r="E733" s="261"/>
      <c r="G733" s="182"/>
      <c r="J733" s="67"/>
      <c r="K733" s="67"/>
      <c r="R733" s="67"/>
    </row>
    <row r="734">
      <c r="B734" s="182"/>
      <c r="E734" s="261"/>
      <c r="G734" s="182"/>
      <c r="J734" s="67"/>
      <c r="K734" s="67"/>
      <c r="R734" s="67"/>
    </row>
    <row r="735">
      <c r="B735" s="182"/>
      <c r="E735" s="261"/>
      <c r="G735" s="182"/>
      <c r="J735" s="67"/>
      <c r="K735" s="67"/>
      <c r="R735" s="67"/>
    </row>
    <row r="736">
      <c r="B736" s="182"/>
      <c r="E736" s="261"/>
      <c r="G736" s="182"/>
      <c r="J736" s="67"/>
      <c r="K736" s="67"/>
      <c r="R736" s="67"/>
    </row>
    <row r="737">
      <c r="B737" s="182"/>
      <c r="E737" s="261"/>
      <c r="G737" s="182"/>
      <c r="J737" s="67"/>
      <c r="K737" s="67"/>
      <c r="R737" s="67"/>
    </row>
    <row r="738">
      <c r="B738" s="182"/>
      <c r="E738" s="261"/>
      <c r="G738" s="182"/>
      <c r="J738" s="67"/>
      <c r="K738" s="67"/>
      <c r="R738" s="67"/>
    </row>
    <row r="739">
      <c r="B739" s="182"/>
      <c r="E739" s="261"/>
      <c r="G739" s="182"/>
      <c r="J739" s="67"/>
      <c r="K739" s="67"/>
      <c r="R739" s="67"/>
    </row>
    <row r="740">
      <c r="B740" s="182"/>
      <c r="E740" s="261"/>
      <c r="G740" s="182"/>
      <c r="J740" s="67"/>
      <c r="K740" s="67"/>
      <c r="R740" s="67"/>
    </row>
    <row r="741">
      <c r="B741" s="182"/>
      <c r="E741" s="261"/>
      <c r="G741" s="182"/>
      <c r="J741" s="67"/>
      <c r="K741" s="67"/>
      <c r="R741" s="67"/>
    </row>
    <row r="742">
      <c r="B742" s="182"/>
      <c r="E742" s="261"/>
      <c r="G742" s="182"/>
      <c r="J742" s="67"/>
      <c r="K742" s="67"/>
      <c r="R742" s="67"/>
    </row>
    <row r="743">
      <c r="B743" s="182"/>
      <c r="E743" s="261"/>
      <c r="G743" s="182"/>
      <c r="J743" s="67"/>
      <c r="K743" s="67"/>
      <c r="R743" s="67"/>
    </row>
    <row r="744">
      <c r="B744" s="182"/>
      <c r="E744" s="261"/>
      <c r="G744" s="182"/>
      <c r="J744" s="67"/>
      <c r="K744" s="67"/>
      <c r="R744" s="67"/>
    </row>
    <row r="745">
      <c r="B745" s="182"/>
      <c r="E745" s="261"/>
      <c r="G745" s="182"/>
      <c r="J745" s="67"/>
      <c r="K745" s="67"/>
      <c r="R745" s="67"/>
    </row>
    <row r="746">
      <c r="B746" s="182"/>
      <c r="E746" s="261"/>
      <c r="G746" s="182"/>
      <c r="J746" s="67"/>
      <c r="K746" s="67"/>
      <c r="R746" s="67"/>
    </row>
    <row r="747">
      <c r="B747" s="182"/>
      <c r="E747" s="261"/>
      <c r="G747" s="182"/>
      <c r="J747" s="67"/>
      <c r="K747" s="67"/>
      <c r="R747" s="67"/>
    </row>
    <row r="748">
      <c r="B748" s="182"/>
      <c r="E748" s="261"/>
      <c r="G748" s="182"/>
      <c r="J748" s="67"/>
      <c r="K748" s="67"/>
      <c r="R748" s="67"/>
    </row>
    <row r="749">
      <c r="B749" s="182"/>
      <c r="E749" s="261"/>
      <c r="G749" s="182"/>
      <c r="J749" s="67"/>
      <c r="K749" s="67"/>
      <c r="R749" s="67"/>
    </row>
    <row r="750">
      <c r="B750" s="182"/>
      <c r="E750" s="261"/>
      <c r="G750" s="182"/>
      <c r="J750" s="67"/>
      <c r="K750" s="67"/>
      <c r="R750" s="67"/>
    </row>
    <row r="751">
      <c r="B751" s="182"/>
      <c r="E751" s="261"/>
      <c r="G751" s="182"/>
      <c r="J751" s="67"/>
      <c r="K751" s="67"/>
      <c r="R751" s="67"/>
    </row>
    <row r="752">
      <c r="B752" s="182"/>
      <c r="E752" s="261"/>
      <c r="G752" s="182"/>
      <c r="J752" s="67"/>
      <c r="K752" s="67"/>
      <c r="R752" s="67"/>
    </row>
    <row r="753">
      <c r="B753" s="182"/>
      <c r="E753" s="261"/>
      <c r="G753" s="182"/>
      <c r="J753" s="67"/>
      <c r="K753" s="67"/>
      <c r="R753" s="67"/>
    </row>
    <row r="754">
      <c r="B754" s="182"/>
      <c r="E754" s="261"/>
      <c r="G754" s="182"/>
      <c r="J754" s="67"/>
      <c r="K754" s="67"/>
      <c r="R754" s="67"/>
    </row>
    <row r="755">
      <c r="B755" s="182"/>
      <c r="E755" s="261"/>
      <c r="G755" s="182"/>
      <c r="J755" s="67"/>
      <c r="K755" s="67"/>
      <c r="R755" s="67"/>
    </row>
    <row r="756">
      <c r="B756" s="182"/>
      <c r="E756" s="261"/>
      <c r="G756" s="182"/>
      <c r="J756" s="67"/>
      <c r="K756" s="67"/>
      <c r="R756" s="67"/>
    </row>
    <row r="757">
      <c r="B757" s="182"/>
      <c r="E757" s="261"/>
      <c r="G757" s="182"/>
      <c r="J757" s="67"/>
      <c r="K757" s="67"/>
      <c r="R757" s="67"/>
    </row>
    <row r="758">
      <c r="B758" s="182"/>
      <c r="E758" s="261"/>
      <c r="G758" s="182"/>
      <c r="J758" s="67"/>
      <c r="K758" s="67"/>
      <c r="R758" s="67"/>
    </row>
    <row r="759">
      <c r="B759" s="182"/>
      <c r="E759" s="261"/>
      <c r="G759" s="182"/>
      <c r="J759" s="67"/>
      <c r="K759" s="67"/>
      <c r="R759" s="67"/>
    </row>
    <row r="760">
      <c r="B760" s="182"/>
      <c r="E760" s="261"/>
      <c r="G760" s="182"/>
      <c r="J760" s="67"/>
      <c r="K760" s="67"/>
      <c r="R760" s="67"/>
    </row>
    <row r="761">
      <c r="B761" s="182"/>
      <c r="E761" s="261"/>
      <c r="G761" s="182"/>
      <c r="J761" s="67"/>
      <c r="K761" s="67"/>
      <c r="R761" s="67"/>
    </row>
    <row r="762">
      <c r="B762" s="182"/>
      <c r="E762" s="261"/>
      <c r="G762" s="182"/>
      <c r="J762" s="67"/>
      <c r="K762" s="67"/>
      <c r="R762" s="67"/>
    </row>
    <row r="763">
      <c r="B763" s="182"/>
      <c r="E763" s="261"/>
      <c r="G763" s="182"/>
      <c r="J763" s="67"/>
      <c r="K763" s="67"/>
      <c r="R763" s="67"/>
    </row>
    <row r="764">
      <c r="B764" s="182"/>
      <c r="E764" s="261"/>
      <c r="G764" s="182"/>
      <c r="J764" s="67"/>
      <c r="K764" s="67"/>
      <c r="R764" s="67"/>
    </row>
    <row r="765">
      <c r="B765" s="182"/>
      <c r="E765" s="261"/>
      <c r="G765" s="182"/>
      <c r="J765" s="67"/>
      <c r="K765" s="67"/>
      <c r="R765" s="67"/>
    </row>
    <row r="766">
      <c r="B766" s="182"/>
      <c r="E766" s="261"/>
      <c r="G766" s="182"/>
      <c r="J766" s="67"/>
      <c r="K766" s="67"/>
      <c r="R766" s="67"/>
    </row>
    <row r="767">
      <c r="B767" s="182"/>
      <c r="E767" s="261"/>
      <c r="G767" s="182"/>
      <c r="J767" s="67"/>
      <c r="K767" s="67"/>
      <c r="R767" s="67"/>
    </row>
    <row r="768">
      <c r="B768" s="182"/>
      <c r="E768" s="261"/>
      <c r="G768" s="182"/>
      <c r="J768" s="67"/>
      <c r="K768" s="67"/>
      <c r="R768" s="67"/>
    </row>
    <row r="769">
      <c r="B769" s="182"/>
      <c r="E769" s="261"/>
      <c r="G769" s="182"/>
      <c r="J769" s="67"/>
      <c r="K769" s="67"/>
      <c r="R769" s="67"/>
    </row>
    <row r="770">
      <c r="B770" s="182"/>
      <c r="E770" s="261"/>
      <c r="G770" s="182"/>
      <c r="J770" s="67"/>
      <c r="K770" s="67"/>
      <c r="R770" s="67"/>
    </row>
    <row r="771">
      <c r="B771" s="182"/>
      <c r="E771" s="261"/>
      <c r="G771" s="182"/>
      <c r="J771" s="67"/>
      <c r="K771" s="67"/>
      <c r="R771" s="67"/>
    </row>
    <row r="772">
      <c r="B772" s="182"/>
      <c r="E772" s="261"/>
      <c r="G772" s="182"/>
      <c r="J772" s="67"/>
      <c r="K772" s="67"/>
      <c r="R772" s="67"/>
    </row>
    <row r="773">
      <c r="B773" s="182"/>
      <c r="E773" s="261"/>
      <c r="G773" s="182"/>
      <c r="J773" s="67"/>
      <c r="K773" s="67"/>
      <c r="R773" s="67"/>
    </row>
    <row r="774">
      <c r="B774" s="182"/>
      <c r="E774" s="261"/>
      <c r="G774" s="182"/>
      <c r="J774" s="67"/>
      <c r="K774" s="67"/>
      <c r="R774" s="67"/>
    </row>
    <row r="775">
      <c r="B775" s="182"/>
      <c r="E775" s="261"/>
      <c r="G775" s="182"/>
      <c r="J775" s="67"/>
      <c r="K775" s="67"/>
      <c r="R775" s="67"/>
    </row>
    <row r="776">
      <c r="B776" s="182"/>
      <c r="E776" s="261"/>
      <c r="G776" s="182"/>
      <c r="J776" s="67"/>
      <c r="K776" s="67"/>
      <c r="R776" s="67"/>
    </row>
    <row r="777">
      <c r="B777" s="182"/>
      <c r="E777" s="261"/>
      <c r="G777" s="182"/>
      <c r="J777" s="67"/>
      <c r="K777" s="67"/>
      <c r="R777" s="67"/>
    </row>
    <row r="778">
      <c r="B778" s="182"/>
      <c r="E778" s="261"/>
      <c r="G778" s="182"/>
      <c r="J778" s="67"/>
      <c r="K778" s="67"/>
      <c r="R778" s="67"/>
    </row>
    <row r="779">
      <c r="B779" s="182"/>
      <c r="E779" s="261"/>
      <c r="G779" s="182"/>
      <c r="J779" s="67"/>
      <c r="K779" s="67"/>
      <c r="R779" s="67"/>
    </row>
    <row r="780">
      <c r="B780" s="182"/>
      <c r="E780" s="261"/>
      <c r="G780" s="182"/>
      <c r="J780" s="67"/>
      <c r="K780" s="67"/>
      <c r="R780" s="67"/>
    </row>
    <row r="781">
      <c r="B781" s="182"/>
      <c r="E781" s="261"/>
      <c r="G781" s="182"/>
      <c r="J781" s="67"/>
      <c r="K781" s="67"/>
      <c r="R781" s="67"/>
    </row>
    <row r="782">
      <c r="B782" s="182"/>
      <c r="E782" s="261"/>
      <c r="G782" s="182"/>
      <c r="J782" s="67"/>
      <c r="K782" s="67"/>
      <c r="R782" s="67"/>
    </row>
    <row r="783">
      <c r="B783" s="182"/>
      <c r="E783" s="261"/>
      <c r="G783" s="182"/>
      <c r="J783" s="67"/>
      <c r="K783" s="67"/>
      <c r="R783" s="67"/>
    </row>
    <row r="784">
      <c r="B784" s="182"/>
      <c r="E784" s="261"/>
      <c r="G784" s="182"/>
      <c r="J784" s="67"/>
      <c r="K784" s="67"/>
      <c r="R784" s="67"/>
    </row>
    <row r="785">
      <c r="B785" s="182"/>
      <c r="E785" s="261"/>
      <c r="G785" s="182"/>
      <c r="J785" s="67"/>
      <c r="K785" s="67"/>
      <c r="R785" s="67"/>
    </row>
    <row r="786">
      <c r="B786" s="182"/>
      <c r="E786" s="261"/>
      <c r="G786" s="182"/>
      <c r="J786" s="67"/>
      <c r="K786" s="67"/>
      <c r="R786" s="67"/>
    </row>
    <row r="787">
      <c r="B787" s="182"/>
      <c r="E787" s="261"/>
      <c r="G787" s="182"/>
      <c r="J787" s="67"/>
      <c r="K787" s="67"/>
      <c r="R787" s="67"/>
    </row>
    <row r="788">
      <c r="B788" s="182"/>
      <c r="E788" s="261"/>
      <c r="G788" s="182"/>
      <c r="J788" s="67"/>
      <c r="K788" s="67"/>
      <c r="R788" s="67"/>
    </row>
    <row r="789">
      <c r="B789" s="182"/>
      <c r="E789" s="261"/>
      <c r="G789" s="182"/>
      <c r="J789" s="67"/>
      <c r="K789" s="67"/>
      <c r="R789" s="67"/>
    </row>
    <row r="790">
      <c r="B790" s="182"/>
      <c r="E790" s="261"/>
      <c r="G790" s="182"/>
      <c r="J790" s="67"/>
      <c r="K790" s="67"/>
      <c r="R790" s="67"/>
    </row>
    <row r="791">
      <c r="B791" s="182"/>
      <c r="E791" s="261"/>
      <c r="G791" s="182"/>
      <c r="J791" s="67"/>
      <c r="K791" s="67"/>
      <c r="R791" s="67"/>
    </row>
    <row r="792">
      <c r="B792" s="182"/>
      <c r="E792" s="261"/>
      <c r="G792" s="182"/>
      <c r="J792" s="67"/>
      <c r="K792" s="67"/>
      <c r="R792" s="67"/>
    </row>
    <row r="793">
      <c r="B793" s="182"/>
      <c r="E793" s="261"/>
      <c r="G793" s="182"/>
      <c r="J793" s="67"/>
      <c r="K793" s="67"/>
      <c r="R793" s="67"/>
    </row>
    <row r="794">
      <c r="B794" s="182"/>
      <c r="E794" s="261"/>
      <c r="G794" s="182"/>
      <c r="J794" s="67"/>
      <c r="K794" s="67"/>
      <c r="R794" s="67"/>
    </row>
    <row r="795">
      <c r="B795" s="182"/>
      <c r="E795" s="261"/>
      <c r="G795" s="182"/>
      <c r="J795" s="67"/>
      <c r="K795" s="67"/>
      <c r="R795" s="67"/>
    </row>
    <row r="796">
      <c r="B796" s="182"/>
      <c r="E796" s="261"/>
      <c r="G796" s="182"/>
      <c r="J796" s="67"/>
      <c r="K796" s="67"/>
      <c r="R796" s="67"/>
    </row>
    <row r="797">
      <c r="B797" s="182"/>
      <c r="E797" s="261"/>
      <c r="G797" s="182"/>
      <c r="J797" s="67"/>
      <c r="K797" s="67"/>
      <c r="R797" s="67"/>
    </row>
    <row r="798">
      <c r="B798" s="182"/>
      <c r="E798" s="261"/>
      <c r="G798" s="182"/>
      <c r="J798" s="67"/>
      <c r="K798" s="67"/>
      <c r="R798" s="67"/>
    </row>
    <row r="799">
      <c r="B799" s="182"/>
      <c r="E799" s="261"/>
      <c r="G799" s="182"/>
      <c r="J799" s="67"/>
      <c r="K799" s="67"/>
      <c r="R799" s="67"/>
    </row>
    <row r="800">
      <c r="B800" s="182"/>
      <c r="E800" s="261"/>
      <c r="G800" s="182"/>
      <c r="J800" s="67"/>
      <c r="K800" s="67"/>
      <c r="R800" s="67"/>
    </row>
    <row r="801">
      <c r="B801" s="182"/>
      <c r="E801" s="261"/>
      <c r="G801" s="182"/>
      <c r="J801" s="67"/>
      <c r="K801" s="67"/>
      <c r="R801" s="67"/>
    </row>
    <row r="802">
      <c r="B802" s="182"/>
      <c r="E802" s="261"/>
      <c r="G802" s="182"/>
      <c r="J802" s="67"/>
      <c r="K802" s="67"/>
      <c r="R802" s="67"/>
    </row>
    <row r="803">
      <c r="B803" s="182"/>
      <c r="E803" s="261"/>
      <c r="G803" s="182"/>
      <c r="J803" s="67"/>
      <c r="K803" s="67"/>
      <c r="R803" s="67"/>
    </row>
    <row r="804">
      <c r="B804" s="182"/>
      <c r="E804" s="261"/>
      <c r="G804" s="182"/>
      <c r="J804" s="67"/>
      <c r="K804" s="67"/>
      <c r="R804" s="67"/>
    </row>
    <row r="805">
      <c r="B805" s="182"/>
      <c r="E805" s="261"/>
      <c r="G805" s="182"/>
      <c r="J805" s="67"/>
      <c r="K805" s="67"/>
      <c r="R805" s="67"/>
    </row>
    <row r="806">
      <c r="B806" s="182"/>
      <c r="E806" s="261"/>
      <c r="G806" s="182"/>
      <c r="J806" s="67"/>
      <c r="K806" s="67"/>
      <c r="R806" s="67"/>
    </row>
    <row r="807">
      <c r="B807" s="182"/>
      <c r="E807" s="261"/>
      <c r="G807" s="182"/>
      <c r="J807" s="67"/>
      <c r="K807" s="67"/>
      <c r="R807" s="67"/>
    </row>
    <row r="808">
      <c r="B808" s="182"/>
      <c r="E808" s="261"/>
      <c r="G808" s="182"/>
      <c r="J808" s="67"/>
      <c r="K808" s="67"/>
      <c r="R808" s="67"/>
    </row>
    <row r="809">
      <c r="B809" s="182"/>
      <c r="E809" s="261"/>
      <c r="G809" s="182"/>
      <c r="J809" s="67"/>
      <c r="K809" s="67"/>
      <c r="R809" s="67"/>
    </row>
    <row r="810">
      <c r="B810" s="182"/>
      <c r="E810" s="261"/>
      <c r="G810" s="182"/>
      <c r="J810" s="67"/>
      <c r="K810" s="67"/>
      <c r="R810" s="67"/>
    </row>
    <row r="811">
      <c r="B811" s="182"/>
      <c r="E811" s="261"/>
      <c r="G811" s="182"/>
      <c r="J811" s="67"/>
      <c r="K811" s="67"/>
      <c r="R811" s="67"/>
    </row>
    <row r="812">
      <c r="B812" s="182"/>
      <c r="E812" s="261"/>
      <c r="G812" s="182"/>
      <c r="J812" s="67"/>
      <c r="K812" s="67"/>
      <c r="R812" s="67"/>
    </row>
    <row r="813">
      <c r="B813" s="182"/>
      <c r="E813" s="261"/>
      <c r="G813" s="182"/>
      <c r="J813" s="67"/>
      <c r="K813" s="67"/>
      <c r="R813" s="67"/>
    </row>
    <row r="814">
      <c r="B814" s="182"/>
      <c r="E814" s="261"/>
      <c r="G814" s="182"/>
      <c r="J814" s="67"/>
      <c r="K814" s="67"/>
      <c r="R814" s="67"/>
    </row>
    <row r="815">
      <c r="B815" s="182"/>
      <c r="E815" s="261"/>
      <c r="G815" s="182"/>
      <c r="J815" s="67"/>
      <c r="K815" s="67"/>
      <c r="R815" s="67"/>
    </row>
    <row r="816">
      <c r="B816" s="182"/>
      <c r="E816" s="261"/>
      <c r="G816" s="182"/>
      <c r="J816" s="67"/>
      <c r="K816" s="67"/>
      <c r="R816" s="67"/>
    </row>
    <row r="817">
      <c r="B817" s="182"/>
      <c r="E817" s="261"/>
      <c r="G817" s="182"/>
      <c r="J817" s="67"/>
      <c r="K817" s="67"/>
      <c r="R817" s="67"/>
    </row>
    <row r="818">
      <c r="B818" s="182"/>
      <c r="E818" s="261"/>
      <c r="G818" s="182"/>
      <c r="J818" s="67"/>
      <c r="K818" s="67"/>
      <c r="R818" s="67"/>
    </row>
    <row r="819">
      <c r="B819" s="182"/>
      <c r="E819" s="261"/>
      <c r="G819" s="182"/>
      <c r="J819" s="67"/>
      <c r="K819" s="67"/>
      <c r="R819" s="67"/>
    </row>
    <row r="820">
      <c r="B820" s="182"/>
      <c r="E820" s="261"/>
      <c r="G820" s="182"/>
      <c r="J820" s="67"/>
      <c r="K820" s="67"/>
      <c r="R820" s="67"/>
    </row>
    <row r="821">
      <c r="B821" s="182"/>
      <c r="E821" s="261"/>
      <c r="G821" s="182"/>
      <c r="J821" s="67"/>
      <c r="K821" s="67"/>
      <c r="R821" s="67"/>
    </row>
    <row r="822">
      <c r="B822" s="182"/>
      <c r="E822" s="261"/>
      <c r="G822" s="182"/>
      <c r="J822" s="67"/>
      <c r="K822" s="67"/>
      <c r="R822" s="67"/>
    </row>
    <row r="823">
      <c r="B823" s="182"/>
      <c r="E823" s="261"/>
      <c r="G823" s="182"/>
      <c r="J823" s="67"/>
      <c r="K823" s="67"/>
      <c r="R823" s="67"/>
    </row>
    <row r="824">
      <c r="B824" s="182"/>
      <c r="E824" s="261"/>
      <c r="G824" s="182"/>
      <c r="J824" s="67"/>
      <c r="K824" s="67"/>
      <c r="R824" s="67"/>
    </row>
    <row r="825">
      <c r="B825" s="182"/>
      <c r="E825" s="261"/>
      <c r="G825" s="182"/>
      <c r="J825" s="67"/>
      <c r="K825" s="67"/>
      <c r="R825" s="67"/>
    </row>
    <row r="826">
      <c r="B826" s="182"/>
      <c r="E826" s="261"/>
      <c r="G826" s="182"/>
      <c r="J826" s="67"/>
      <c r="K826" s="67"/>
      <c r="R826" s="67"/>
    </row>
    <row r="827">
      <c r="B827" s="182"/>
      <c r="E827" s="261"/>
      <c r="G827" s="182"/>
      <c r="J827" s="67"/>
      <c r="K827" s="67"/>
      <c r="R827" s="67"/>
    </row>
    <row r="828">
      <c r="B828" s="182"/>
      <c r="E828" s="261"/>
      <c r="G828" s="182"/>
      <c r="J828" s="67"/>
      <c r="K828" s="67"/>
      <c r="R828" s="67"/>
    </row>
    <row r="829">
      <c r="B829" s="182"/>
      <c r="E829" s="261"/>
      <c r="G829" s="182"/>
      <c r="J829" s="67"/>
      <c r="K829" s="67"/>
      <c r="R829" s="67"/>
    </row>
    <row r="830">
      <c r="B830" s="182"/>
      <c r="E830" s="261"/>
      <c r="G830" s="182"/>
      <c r="J830" s="67"/>
      <c r="K830" s="67"/>
      <c r="R830" s="67"/>
    </row>
    <row r="831">
      <c r="B831" s="182"/>
      <c r="E831" s="261"/>
      <c r="G831" s="182"/>
      <c r="J831" s="67"/>
      <c r="K831" s="67"/>
      <c r="R831" s="67"/>
    </row>
    <row r="832">
      <c r="B832" s="182"/>
      <c r="E832" s="261"/>
      <c r="G832" s="182"/>
      <c r="J832" s="67"/>
      <c r="K832" s="67"/>
      <c r="R832" s="67"/>
    </row>
    <row r="833">
      <c r="B833" s="182"/>
      <c r="E833" s="261"/>
      <c r="G833" s="182"/>
      <c r="J833" s="67"/>
      <c r="K833" s="67"/>
      <c r="R833" s="67"/>
    </row>
    <row r="834">
      <c r="B834" s="182"/>
      <c r="E834" s="261"/>
      <c r="G834" s="182"/>
      <c r="J834" s="67"/>
      <c r="K834" s="67"/>
      <c r="R834" s="67"/>
    </row>
    <row r="835">
      <c r="B835" s="182"/>
      <c r="E835" s="261"/>
      <c r="G835" s="182"/>
      <c r="J835" s="67"/>
      <c r="K835" s="67"/>
      <c r="R835" s="67"/>
    </row>
    <row r="836">
      <c r="B836" s="182"/>
      <c r="E836" s="261"/>
      <c r="G836" s="182"/>
      <c r="J836" s="67"/>
      <c r="K836" s="67"/>
      <c r="R836" s="67"/>
    </row>
    <row r="837">
      <c r="B837" s="182"/>
      <c r="E837" s="261"/>
      <c r="G837" s="182"/>
      <c r="J837" s="67"/>
      <c r="K837" s="67"/>
      <c r="R837" s="67"/>
    </row>
    <row r="838">
      <c r="B838" s="182"/>
      <c r="E838" s="261"/>
      <c r="G838" s="182"/>
      <c r="J838" s="67"/>
      <c r="K838" s="67"/>
      <c r="R838" s="67"/>
    </row>
    <row r="839">
      <c r="B839" s="182"/>
      <c r="E839" s="261"/>
      <c r="G839" s="182"/>
      <c r="J839" s="67"/>
      <c r="K839" s="67"/>
      <c r="R839" s="67"/>
    </row>
    <row r="840">
      <c r="B840" s="182"/>
      <c r="E840" s="261"/>
      <c r="G840" s="182"/>
      <c r="J840" s="67"/>
      <c r="K840" s="67"/>
      <c r="R840" s="67"/>
    </row>
    <row r="841">
      <c r="B841" s="182"/>
      <c r="E841" s="261"/>
      <c r="G841" s="182"/>
      <c r="J841" s="67"/>
      <c r="K841" s="67"/>
      <c r="R841" s="67"/>
    </row>
    <row r="842">
      <c r="B842" s="182"/>
      <c r="E842" s="261"/>
      <c r="G842" s="182"/>
      <c r="J842" s="67"/>
      <c r="K842" s="67"/>
      <c r="R842" s="67"/>
    </row>
    <row r="843">
      <c r="B843" s="182"/>
      <c r="E843" s="261"/>
      <c r="G843" s="182"/>
      <c r="J843" s="67"/>
      <c r="K843" s="67"/>
      <c r="R843" s="67"/>
    </row>
    <row r="844">
      <c r="B844" s="182"/>
      <c r="E844" s="261"/>
      <c r="G844" s="182"/>
      <c r="J844" s="67"/>
      <c r="K844" s="67"/>
      <c r="R844" s="67"/>
    </row>
    <row r="845">
      <c r="B845" s="182"/>
      <c r="E845" s="261"/>
      <c r="G845" s="182"/>
      <c r="J845" s="67"/>
      <c r="K845" s="67"/>
      <c r="R845" s="67"/>
    </row>
    <row r="846">
      <c r="B846" s="182"/>
      <c r="E846" s="261"/>
      <c r="G846" s="182"/>
      <c r="J846" s="67"/>
      <c r="K846" s="67"/>
      <c r="R846" s="67"/>
    </row>
    <row r="847">
      <c r="B847" s="182"/>
      <c r="E847" s="261"/>
      <c r="G847" s="182"/>
      <c r="J847" s="67"/>
      <c r="K847" s="67"/>
      <c r="R847" s="67"/>
    </row>
    <row r="848">
      <c r="B848" s="182"/>
      <c r="E848" s="261"/>
      <c r="G848" s="182"/>
      <c r="J848" s="67"/>
      <c r="K848" s="67"/>
      <c r="R848" s="67"/>
    </row>
    <row r="849">
      <c r="B849" s="182"/>
      <c r="E849" s="261"/>
      <c r="G849" s="182"/>
      <c r="J849" s="67"/>
      <c r="K849" s="67"/>
      <c r="R849" s="67"/>
    </row>
    <row r="850">
      <c r="B850" s="182"/>
      <c r="E850" s="261"/>
      <c r="G850" s="182"/>
      <c r="J850" s="67"/>
      <c r="K850" s="67"/>
      <c r="R850" s="67"/>
    </row>
    <row r="851">
      <c r="B851" s="182"/>
      <c r="E851" s="261"/>
      <c r="G851" s="182"/>
      <c r="J851" s="67"/>
      <c r="K851" s="67"/>
      <c r="R851" s="67"/>
    </row>
    <row r="852">
      <c r="B852" s="182"/>
      <c r="E852" s="261"/>
      <c r="G852" s="182"/>
      <c r="J852" s="67"/>
      <c r="K852" s="67"/>
      <c r="R852" s="67"/>
    </row>
    <row r="853">
      <c r="B853" s="182"/>
      <c r="E853" s="261"/>
      <c r="G853" s="182"/>
      <c r="J853" s="67"/>
      <c r="K853" s="67"/>
      <c r="R853" s="67"/>
    </row>
    <row r="854">
      <c r="B854" s="182"/>
      <c r="E854" s="261"/>
      <c r="G854" s="182"/>
      <c r="J854" s="67"/>
      <c r="K854" s="67"/>
      <c r="R854" s="67"/>
    </row>
    <row r="855">
      <c r="B855" s="182"/>
      <c r="E855" s="261"/>
      <c r="G855" s="182"/>
      <c r="J855" s="67"/>
      <c r="K855" s="67"/>
      <c r="R855" s="67"/>
    </row>
    <row r="856">
      <c r="B856" s="182"/>
      <c r="E856" s="261"/>
      <c r="G856" s="182"/>
      <c r="J856" s="67"/>
      <c r="K856" s="67"/>
      <c r="R856" s="67"/>
    </row>
    <row r="857">
      <c r="B857" s="182"/>
      <c r="E857" s="261"/>
      <c r="G857" s="182"/>
      <c r="J857" s="67"/>
      <c r="K857" s="67"/>
      <c r="R857" s="67"/>
    </row>
    <row r="858">
      <c r="B858" s="182"/>
      <c r="E858" s="261"/>
      <c r="G858" s="182"/>
      <c r="J858" s="67"/>
      <c r="K858" s="67"/>
      <c r="R858" s="67"/>
    </row>
    <row r="859">
      <c r="B859" s="182"/>
      <c r="E859" s="261"/>
      <c r="G859" s="182"/>
      <c r="J859" s="67"/>
      <c r="K859" s="67"/>
      <c r="R859" s="67"/>
    </row>
    <row r="860">
      <c r="B860" s="182"/>
      <c r="E860" s="261"/>
      <c r="G860" s="182"/>
      <c r="J860" s="67"/>
      <c r="K860" s="67"/>
      <c r="R860" s="67"/>
    </row>
    <row r="861">
      <c r="B861" s="182"/>
      <c r="E861" s="261"/>
      <c r="G861" s="182"/>
      <c r="J861" s="67"/>
      <c r="K861" s="67"/>
      <c r="R861" s="67"/>
    </row>
    <row r="862">
      <c r="B862" s="182"/>
      <c r="E862" s="261"/>
      <c r="G862" s="182"/>
      <c r="J862" s="67"/>
      <c r="K862" s="67"/>
      <c r="R862" s="67"/>
    </row>
    <row r="863">
      <c r="B863" s="182"/>
      <c r="E863" s="261"/>
      <c r="G863" s="182"/>
      <c r="J863" s="67"/>
      <c r="K863" s="67"/>
      <c r="R863" s="67"/>
    </row>
    <row r="864">
      <c r="B864" s="182"/>
      <c r="E864" s="261"/>
      <c r="G864" s="182"/>
      <c r="J864" s="67"/>
      <c r="K864" s="67"/>
      <c r="R864" s="67"/>
    </row>
    <row r="865">
      <c r="B865" s="182"/>
      <c r="E865" s="261"/>
      <c r="G865" s="182"/>
      <c r="J865" s="67"/>
      <c r="K865" s="67"/>
      <c r="R865" s="67"/>
    </row>
    <row r="866">
      <c r="B866" s="182"/>
      <c r="E866" s="261"/>
      <c r="G866" s="182"/>
      <c r="J866" s="67"/>
      <c r="K866" s="67"/>
      <c r="R866" s="67"/>
    </row>
    <row r="867">
      <c r="B867" s="182"/>
      <c r="E867" s="261"/>
      <c r="G867" s="182"/>
      <c r="J867" s="67"/>
      <c r="K867" s="67"/>
      <c r="R867" s="67"/>
    </row>
    <row r="868">
      <c r="B868" s="182"/>
      <c r="E868" s="261"/>
      <c r="G868" s="182"/>
      <c r="J868" s="67"/>
      <c r="K868" s="67"/>
      <c r="R868" s="67"/>
    </row>
    <row r="869">
      <c r="B869" s="182"/>
      <c r="E869" s="261"/>
      <c r="G869" s="182"/>
      <c r="J869" s="67"/>
      <c r="K869" s="67"/>
      <c r="R869" s="67"/>
    </row>
    <row r="870">
      <c r="B870" s="182"/>
      <c r="E870" s="261"/>
      <c r="G870" s="182"/>
      <c r="J870" s="67"/>
      <c r="K870" s="67"/>
      <c r="R870" s="67"/>
    </row>
    <row r="871">
      <c r="B871" s="182"/>
      <c r="E871" s="261"/>
      <c r="G871" s="182"/>
      <c r="J871" s="67"/>
      <c r="K871" s="67"/>
      <c r="R871" s="67"/>
    </row>
    <row r="872">
      <c r="B872" s="182"/>
      <c r="E872" s="261"/>
      <c r="G872" s="182"/>
      <c r="J872" s="67"/>
      <c r="K872" s="67"/>
      <c r="R872" s="67"/>
    </row>
    <row r="873">
      <c r="B873" s="182"/>
      <c r="E873" s="261"/>
      <c r="G873" s="182"/>
      <c r="J873" s="67"/>
      <c r="K873" s="67"/>
      <c r="R873" s="67"/>
    </row>
    <row r="874">
      <c r="B874" s="182"/>
      <c r="E874" s="261"/>
      <c r="G874" s="182"/>
      <c r="J874" s="67"/>
      <c r="K874" s="67"/>
      <c r="R874" s="67"/>
    </row>
    <row r="875">
      <c r="B875" s="182"/>
      <c r="E875" s="261"/>
      <c r="G875" s="182"/>
      <c r="J875" s="67"/>
      <c r="K875" s="67"/>
      <c r="R875" s="67"/>
    </row>
    <row r="876">
      <c r="B876" s="182"/>
      <c r="E876" s="261"/>
      <c r="G876" s="182"/>
      <c r="J876" s="67"/>
      <c r="K876" s="67"/>
      <c r="R876" s="67"/>
    </row>
    <row r="877">
      <c r="B877" s="182"/>
      <c r="E877" s="261"/>
      <c r="G877" s="182"/>
      <c r="J877" s="67"/>
      <c r="K877" s="67"/>
      <c r="R877" s="67"/>
    </row>
    <row r="878">
      <c r="B878" s="182"/>
      <c r="E878" s="261"/>
      <c r="G878" s="182"/>
      <c r="J878" s="67"/>
      <c r="K878" s="67"/>
      <c r="R878" s="67"/>
    </row>
    <row r="879">
      <c r="B879" s="182"/>
      <c r="E879" s="261"/>
      <c r="G879" s="182"/>
      <c r="J879" s="67"/>
      <c r="K879" s="67"/>
      <c r="R879" s="67"/>
    </row>
    <row r="880">
      <c r="B880" s="182"/>
      <c r="E880" s="261"/>
      <c r="G880" s="182"/>
      <c r="J880" s="67"/>
      <c r="K880" s="67"/>
      <c r="R880" s="67"/>
    </row>
    <row r="881">
      <c r="B881" s="182"/>
      <c r="E881" s="261"/>
      <c r="G881" s="182"/>
      <c r="J881" s="67"/>
      <c r="K881" s="67"/>
      <c r="R881" s="67"/>
    </row>
    <row r="882">
      <c r="B882" s="182"/>
      <c r="E882" s="261"/>
      <c r="G882" s="182"/>
      <c r="J882" s="67"/>
      <c r="K882" s="67"/>
      <c r="R882" s="67"/>
    </row>
    <row r="883">
      <c r="B883" s="182"/>
      <c r="E883" s="261"/>
      <c r="G883" s="182"/>
      <c r="J883" s="67"/>
      <c r="K883" s="67"/>
      <c r="R883" s="67"/>
    </row>
    <row r="884">
      <c r="B884" s="182"/>
      <c r="E884" s="261"/>
      <c r="G884" s="182"/>
      <c r="J884" s="67"/>
      <c r="K884" s="67"/>
      <c r="R884" s="67"/>
    </row>
    <row r="885">
      <c r="B885" s="182"/>
      <c r="E885" s="261"/>
      <c r="G885" s="182"/>
      <c r="J885" s="67"/>
      <c r="K885" s="67"/>
      <c r="R885" s="67"/>
    </row>
    <row r="886">
      <c r="B886" s="182"/>
      <c r="E886" s="261"/>
      <c r="G886" s="182"/>
      <c r="J886" s="67"/>
      <c r="K886" s="67"/>
      <c r="R886" s="67"/>
    </row>
    <row r="887">
      <c r="B887" s="182"/>
      <c r="E887" s="261"/>
      <c r="G887" s="182"/>
      <c r="J887" s="67"/>
      <c r="K887" s="67"/>
      <c r="R887" s="67"/>
    </row>
    <row r="888">
      <c r="B888" s="182"/>
      <c r="E888" s="261"/>
      <c r="G888" s="182"/>
      <c r="J888" s="67"/>
      <c r="K888" s="67"/>
      <c r="R888" s="67"/>
    </row>
    <row r="889">
      <c r="B889" s="182"/>
      <c r="E889" s="261"/>
      <c r="G889" s="182"/>
      <c r="J889" s="67"/>
      <c r="K889" s="67"/>
      <c r="R889" s="67"/>
    </row>
    <row r="890">
      <c r="B890" s="182"/>
      <c r="E890" s="261"/>
      <c r="G890" s="182"/>
      <c r="J890" s="67"/>
      <c r="K890" s="67"/>
      <c r="R890" s="67"/>
    </row>
    <row r="891">
      <c r="B891" s="182"/>
      <c r="E891" s="261"/>
      <c r="G891" s="182"/>
      <c r="J891" s="67"/>
      <c r="K891" s="67"/>
      <c r="R891" s="67"/>
    </row>
    <row r="892">
      <c r="B892" s="182"/>
      <c r="E892" s="261"/>
      <c r="G892" s="182"/>
      <c r="J892" s="67"/>
      <c r="K892" s="67"/>
      <c r="R892" s="67"/>
    </row>
    <row r="893">
      <c r="B893" s="182"/>
      <c r="E893" s="261"/>
      <c r="G893" s="182"/>
      <c r="J893" s="67"/>
      <c r="K893" s="67"/>
      <c r="R893" s="67"/>
    </row>
    <row r="894">
      <c r="B894" s="182"/>
      <c r="E894" s="261"/>
      <c r="G894" s="182"/>
      <c r="J894" s="67"/>
      <c r="K894" s="67"/>
      <c r="R894" s="67"/>
    </row>
    <row r="895">
      <c r="B895" s="182"/>
      <c r="E895" s="261"/>
      <c r="G895" s="182"/>
      <c r="J895" s="67"/>
      <c r="K895" s="67"/>
      <c r="R895" s="67"/>
    </row>
    <row r="896">
      <c r="B896" s="182"/>
      <c r="E896" s="261"/>
      <c r="G896" s="182"/>
      <c r="J896" s="67"/>
      <c r="K896" s="67"/>
      <c r="R896" s="67"/>
    </row>
    <row r="897">
      <c r="B897" s="182"/>
      <c r="E897" s="261"/>
      <c r="G897" s="182"/>
      <c r="J897" s="67"/>
      <c r="K897" s="67"/>
      <c r="R897" s="67"/>
    </row>
    <row r="898">
      <c r="B898" s="182"/>
      <c r="E898" s="261"/>
      <c r="G898" s="182"/>
      <c r="J898" s="67"/>
      <c r="K898" s="67"/>
      <c r="R898" s="67"/>
    </row>
    <row r="899">
      <c r="B899" s="182"/>
      <c r="E899" s="261"/>
      <c r="G899" s="182"/>
      <c r="J899" s="67"/>
      <c r="K899" s="67"/>
      <c r="R899" s="67"/>
    </row>
    <row r="900">
      <c r="B900" s="182"/>
      <c r="E900" s="261"/>
      <c r="G900" s="182"/>
      <c r="J900" s="67"/>
      <c r="K900" s="67"/>
      <c r="R900" s="67"/>
    </row>
    <row r="901">
      <c r="B901" s="182"/>
      <c r="E901" s="261"/>
      <c r="G901" s="182"/>
      <c r="J901" s="67"/>
      <c r="K901" s="67"/>
      <c r="R901" s="67"/>
    </row>
    <row r="902">
      <c r="B902" s="182"/>
      <c r="E902" s="261"/>
      <c r="G902" s="182"/>
      <c r="J902" s="67"/>
      <c r="K902" s="67"/>
      <c r="R902" s="67"/>
    </row>
    <row r="903">
      <c r="B903" s="182"/>
      <c r="E903" s="261"/>
      <c r="G903" s="182"/>
      <c r="J903" s="67"/>
      <c r="K903" s="67"/>
      <c r="R903" s="67"/>
    </row>
    <row r="904">
      <c r="B904" s="182"/>
      <c r="E904" s="261"/>
      <c r="G904" s="182"/>
      <c r="J904" s="67"/>
      <c r="K904" s="67"/>
      <c r="R904" s="67"/>
    </row>
    <row r="905">
      <c r="B905" s="182"/>
      <c r="E905" s="261"/>
      <c r="G905" s="182"/>
      <c r="J905" s="67"/>
      <c r="K905" s="67"/>
      <c r="R905" s="67"/>
    </row>
    <row r="906">
      <c r="B906" s="182"/>
      <c r="E906" s="261"/>
      <c r="G906" s="182"/>
      <c r="J906" s="67"/>
      <c r="K906" s="67"/>
      <c r="R906" s="67"/>
    </row>
    <row r="907">
      <c r="B907" s="182"/>
      <c r="E907" s="261"/>
      <c r="G907" s="182"/>
      <c r="J907" s="67"/>
      <c r="K907" s="67"/>
      <c r="R907" s="67"/>
    </row>
    <row r="908">
      <c r="B908" s="182"/>
      <c r="E908" s="261"/>
      <c r="G908" s="182"/>
      <c r="J908" s="67"/>
      <c r="K908" s="67"/>
      <c r="R908" s="67"/>
    </row>
    <row r="909">
      <c r="B909" s="182"/>
      <c r="E909" s="261"/>
      <c r="G909" s="182"/>
      <c r="J909" s="67"/>
      <c r="K909" s="67"/>
      <c r="R909" s="67"/>
    </row>
    <row r="910">
      <c r="B910" s="182"/>
      <c r="E910" s="261"/>
      <c r="G910" s="182"/>
      <c r="J910" s="67"/>
      <c r="K910" s="67"/>
      <c r="R910" s="67"/>
    </row>
    <row r="911">
      <c r="B911" s="182"/>
      <c r="E911" s="261"/>
      <c r="G911" s="182"/>
      <c r="J911" s="67"/>
      <c r="K911" s="67"/>
      <c r="R911" s="67"/>
    </row>
    <row r="912">
      <c r="B912" s="182"/>
      <c r="E912" s="261"/>
      <c r="G912" s="182"/>
      <c r="J912" s="67"/>
      <c r="K912" s="67"/>
      <c r="R912" s="67"/>
    </row>
    <row r="913">
      <c r="B913" s="182"/>
      <c r="E913" s="261"/>
      <c r="G913" s="182"/>
      <c r="J913" s="67"/>
      <c r="K913" s="67"/>
      <c r="R913" s="67"/>
    </row>
    <row r="914">
      <c r="B914" s="182"/>
      <c r="E914" s="261"/>
      <c r="G914" s="182"/>
      <c r="J914" s="67"/>
      <c r="K914" s="67"/>
      <c r="R914" s="67"/>
    </row>
    <row r="915">
      <c r="B915" s="182"/>
      <c r="E915" s="261"/>
      <c r="G915" s="182"/>
      <c r="J915" s="67"/>
      <c r="K915" s="67"/>
      <c r="R915" s="67"/>
    </row>
    <row r="916">
      <c r="B916" s="182"/>
      <c r="E916" s="261"/>
      <c r="G916" s="182"/>
      <c r="J916" s="67"/>
      <c r="K916" s="67"/>
      <c r="R916" s="67"/>
    </row>
    <row r="917">
      <c r="B917" s="182"/>
      <c r="E917" s="261"/>
      <c r="G917" s="182"/>
      <c r="J917" s="67"/>
      <c r="K917" s="67"/>
      <c r="R917" s="67"/>
    </row>
    <row r="918">
      <c r="B918" s="182"/>
      <c r="E918" s="261"/>
      <c r="G918" s="182"/>
      <c r="J918" s="67"/>
      <c r="K918" s="67"/>
      <c r="R918" s="67"/>
    </row>
    <row r="919">
      <c r="B919" s="182"/>
      <c r="E919" s="261"/>
      <c r="G919" s="182"/>
      <c r="J919" s="67"/>
      <c r="K919" s="67"/>
      <c r="R919" s="67"/>
    </row>
    <row r="920">
      <c r="B920" s="182"/>
      <c r="E920" s="261"/>
      <c r="G920" s="182"/>
      <c r="J920" s="67"/>
      <c r="K920" s="67"/>
      <c r="R920" s="67"/>
    </row>
    <row r="921">
      <c r="B921" s="182"/>
      <c r="E921" s="261"/>
      <c r="G921" s="182"/>
      <c r="J921" s="67"/>
      <c r="K921" s="67"/>
      <c r="R921" s="67"/>
    </row>
    <row r="922">
      <c r="B922" s="182"/>
      <c r="E922" s="261"/>
      <c r="G922" s="182"/>
      <c r="J922" s="67"/>
      <c r="K922" s="67"/>
      <c r="R922" s="67"/>
    </row>
    <row r="923">
      <c r="B923" s="182"/>
      <c r="E923" s="261"/>
      <c r="G923" s="182"/>
      <c r="J923" s="67"/>
      <c r="K923" s="67"/>
      <c r="R923" s="67"/>
    </row>
    <row r="924">
      <c r="B924" s="182"/>
      <c r="E924" s="261"/>
      <c r="G924" s="182"/>
      <c r="J924" s="67"/>
      <c r="K924" s="67"/>
      <c r="R924" s="67"/>
    </row>
    <row r="925">
      <c r="B925" s="182"/>
      <c r="E925" s="261"/>
      <c r="G925" s="182"/>
      <c r="J925" s="67"/>
      <c r="K925" s="67"/>
      <c r="R925" s="67"/>
    </row>
    <row r="926">
      <c r="B926" s="182"/>
      <c r="E926" s="261"/>
      <c r="G926" s="182"/>
      <c r="J926" s="67"/>
      <c r="K926" s="67"/>
      <c r="R926" s="67"/>
    </row>
    <row r="927">
      <c r="B927" s="182"/>
      <c r="E927" s="261"/>
      <c r="G927" s="182"/>
      <c r="J927" s="67"/>
      <c r="K927" s="67"/>
      <c r="R927" s="67"/>
    </row>
    <row r="928">
      <c r="B928" s="182"/>
      <c r="E928" s="261"/>
      <c r="G928" s="182"/>
      <c r="J928" s="67"/>
      <c r="K928" s="67"/>
      <c r="R928" s="67"/>
    </row>
    <row r="929">
      <c r="B929" s="182"/>
      <c r="E929" s="261"/>
      <c r="G929" s="182"/>
      <c r="J929" s="67"/>
      <c r="K929" s="67"/>
      <c r="R929" s="67"/>
    </row>
    <row r="930">
      <c r="B930" s="182"/>
      <c r="E930" s="261"/>
      <c r="G930" s="182"/>
      <c r="J930" s="67"/>
      <c r="K930" s="67"/>
      <c r="R930" s="67"/>
    </row>
    <row r="931">
      <c r="B931" s="182"/>
      <c r="E931" s="261"/>
      <c r="G931" s="182"/>
      <c r="J931" s="67"/>
      <c r="K931" s="67"/>
      <c r="R931" s="67"/>
    </row>
    <row r="932">
      <c r="B932" s="182"/>
      <c r="E932" s="261"/>
      <c r="G932" s="182"/>
      <c r="J932" s="67"/>
      <c r="K932" s="67"/>
      <c r="R932" s="67"/>
    </row>
    <row r="933">
      <c r="B933" s="182"/>
      <c r="E933" s="261"/>
      <c r="G933" s="182"/>
      <c r="J933" s="67"/>
      <c r="K933" s="67"/>
      <c r="R933" s="67"/>
    </row>
    <row r="934">
      <c r="B934" s="182"/>
      <c r="E934" s="261"/>
      <c r="G934" s="182"/>
      <c r="J934" s="67"/>
      <c r="K934" s="67"/>
      <c r="R934" s="67"/>
    </row>
    <row r="935">
      <c r="B935" s="182"/>
      <c r="E935" s="261"/>
      <c r="G935" s="182"/>
      <c r="J935" s="67"/>
      <c r="K935" s="67"/>
      <c r="R935" s="67"/>
    </row>
    <row r="936">
      <c r="B936" s="182"/>
      <c r="E936" s="261"/>
      <c r="G936" s="182"/>
      <c r="J936" s="67"/>
      <c r="K936" s="67"/>
      <c r="R936" s="67"/>
    </row>
    <row r="937">
      <c r="B937" s="182"/>
      <c r="E937" s="261"/>
      <c r="G937" s="182"/>
      <c r="J937" s="67"/>
      <c r="K937" s="67"/>
      <c r="R937" s="67"/>
    </row>
    <row r="938">
      <c r="B938" s="182"/>
      <c r="E938" s="261"/>
      <c r="G938" s="182"/>
      <c r="J938" s="67"/>
      <c r="K938" s="67"/>
      <c r="R938" s="67"/>
    </row>
    <row r="939">
      <c r="B939" s="182"/>
      <c r="E939" s="261"/>
      <c r="G939" s="182"/>
      <c r="J939" s="67"/>
      <c r="K939" s="67"/>
      <c r="R939" s="67"/>
    </row>
    <row r="940">
      <c r="B940" s="182"/>
      <c r="E940" s="261"/>
      <c r="G940" s="182"/>
      <c r="J940" s="67"/>
      <c r="K940" s="67"/>
      <c r="R940" s="67"/>
    </row>
    <row r="941">
      <c r="B941" s="182"/>
      <c r="E941" s="261"/>
      <c r="G941" s="182"/>
      <c r="J941" s="67"/>
      <c r="K941" s="67"/>
      <c r="R941" s="67"/>
    </row>
    <row r="942">
      <c r="B942" s="182"/>
      <c r="E942" s="261"/>
      <c r="G942" s="182"/>
      <c r="J942" s="67"/>
      <c r="K942" s="67"/>
      <c r="R942" s="67"/>
    </row>
    <row r="943">
      <c r="B943" s="182"/>
      <c r="E943" s="261"/>
      <c r="G943" s="182"/>
      <c r="J943" s="67"/>
      <c r="K943" s="67"/>
      <c r="R943" s="67"/>
    </row>
    <row r="944">
      <c r="B944" s="182"/>
      <c r="E944" s="261"/>
      <c r="G944" s="182"/>
      <c r="J944" s="67"/>
      <c r="K944" s="67"/>
      <c r="R944" s="67"/>
    </row>
    <row r="945">
      <c r="B945" s="182"/>
      <c r="E945" s="261"/>
      <c r="G945" s="182"/>
      <c r="J945" s="67"/>
      <c r="K945" s="67"/>
      <c r="R945" s="67"/>
    </row>
    <row r="946">
      <c r="B946" s="182"/>
      <c r="E946" s="261"/>
      <c r="G946" s="182"/>
      <c r="J946" s="67"/>
      <c r="K946" s="67"/>
      <c r="R946" s="67"/>
    </row>
    <row r="947">
      <c r="B947" s="182"/>
      <c r="E947" s="261"/>
      <c r="G947" s="182"/>
      <c r="J947" s="67"/>
      <c r="K947" s="67"/>
      <c r="R947" s="67"/>
    </row>
    <row r="948">
      <c r="B948" s="182"/>
      <c r="E948" s="261"/>
      <c r="G948" s="182"/>
      <c r="J948" s="67"/>
      <c r="K948" s="67"/>
      <c r="R948" s="67"/>
    </row>
    <row r="949">
      <c r="B949" s="182"/>
      <c r="E949" s="261"/>
      <c r="G949" s="182"/>
      <c r="J949" s="67"/>
      <c r="K949" s="67"/>
      <c r="R949" s="67"/>
    </row>
    <row r="950">
      <c r="B950" s="182"/>
      <c r="E950" s="261"/>
      <c r="G950" s="182"/>
      <c r="J950" s="67"/>
      <c r="K950" s="67"/>
      <c r="R950" s="67"/>
    </row>
    <row r="951">
      <c r="B951" s="182"/>
      <c r="E951" s="261"/>
      <c r="G951" s="182"/>
      <c r="J951" s="67"/>
      <c r="K951" s="67"/>
      <c r="R951" s="67"/>
    </row>
    <row r="952">
      <c r="B952" s="182"/>
      <c r="E952" s="261"/>
      <c r="G952" s="182"/>
      <c r="J952" s="67"/>
      <c r="K952" s="67"/>
      <c r="R952" s="67"/>
    </row>
    <row r="953">
      <c r="B953" s="182"/>
      <c r="E953" s="261"/>
      <c r="G953" s="182"/>
      <c r="J953" s="67"/>
      <c r="K953" s="67"/>
      <c r="R953" s="67"/>
    </row>
    <row r="954">
      <c r="B954" s="182"/>
      <c r="E954" s="261"/>
      <c r="G954" s="182"/>
      <c r="J954" s="67"/>
      <c r="K954" s="67"/>
      <c r="R954" s="67"/>
    </row>
    <row r="955">
      <c r="B955" s="182"/>
      <c r="E955" s="261"/>
      <c r="G955" s="182"/>
      <c r="J955" s="67"/>
      <c r="K955" s="67"/>
      <c r="R955" s="67"/>
    </row>
    <row r="956">
      <c r="B956" s="182"/>
      <c r="E956" s="261"/>
      <c r="G956" s="182"/>
      <c r="J956" s="67"/>
      <c r="K956" s="67"/>
      <c r="R956" s="67"/>
    </row>
    <row r="957">
      <c r="B957" s="182"/>
      <c r="E957" s="261"/>
      <c r="G957" s="182"/>
      <c r="J957" s="67"/>
      <c r="K957" s="67"/>
      <c r="R957" s="67"/>
    </row>
    <row r="958">
      <c r="B958" s="182"/>
      <c r="E958" s="261"/>
      <c r="G958" s="182"/>
      <c r="J958" s="67"/>
      <c r="K958" s="67"/>
      <c r="R958" s="67"/>
    </row>
    <row r="959">
      <c r="B959" s="182"/>
      <c r="E959" s="261"/>
      <c r="G959" s="182"/>
      <c r="J959" s="67"/>
      <c r="K959" s="67"/>
      <c r="R959" s="67"/>
    </row>
    <row r="960">
      <c r="B960" s="182"/>
      <c r="E960" s="261"/>
      <c r="G960" s="182"/>
      <c r="J960" s="67"/>
      <c r="K960" s="67"/>
      <c r="R960" s="67"/>
    </row>
    <row r="961">
      <c r="B961" s="182"/>
      <c r="E961" s="261"/>
      <c r="G961" s="182"/>
      <c r="J961" s="67"/>
      <c r="K961" s="67"/>
      <c r="R961" s="67"/>
    </row>
    <row r="962">
      <c r="B962" s="182"/>
      <c r="E962" s="261"/>
      <c r="G962" s="182"/>
      <c r="J962" s="67"/>
      <c r="K962" s="67"/>
      <c r="R962" s="67"/>
    </row>
    <row r="963">
      <c r="B963" s="182"/>
      <c r="E963" s="261"/>
      <c r="G963" s="182"/>
      <c r="J963" s="67"/>
      <c r="K963" s="67"/>
      <c r="R963" s="67"/>
    </row>
    <row r="964">
      <c r="B964" s="182"/>
      <c r="E964" s="261"/>
      <c r="G964" s="182"/>
      <c r="J964" s="67"/>
      <c r="K964" s="67"/>
      <c r="R964" s="67"/>
    </row>
    <row r="965">
      <c r="B965" s="182"/>
      <c r="E965" s="261"/>
      <c r="G965" s="182"/>
      <c r="J965" s="67"/>
      <c r="K965" s="67"/>
      <c r="R965" s="67"/>
    </row>
    <row r="966">
      <c r="B966" s="182"/>
      <c r="E966" s="261"/>
      <c r="G966" s="182"/>
      <c r="J966" s="67"/>
      <c r="K966" s="67"/>
      <c r="R966" s="67"/>
    </row>
    <row r="967">
      <c r="B967" s="182"/>
      <c r="E967" s="261"/>
      <c r="G967" s="182"/>
      <c r="J967" s="67"/>
      <c r="K967" s="67"/>
      <c r="R967" s="67"/>
    </row>
    <row r="968">
      <c r="B968" s="182"/>
      <c r="E968" s="261"/>
      <c r="G968" s="182"/>
      <c r="J968" s="67"/>
      <c r="K968" s="67"/>
      <c r="R968" s="67"/>
    </row>
    <row r="969">
      <c r="B969" s="182"/>
      <c r="E969" s="261"/>
      <c r="G969" s="182"/>
      <c r="J969" s="67"/>
      <c r="K969" s="67"/>
      <c r="R969" s="67"/>
    </row>
    <row r="970">
      <c r="B970" s="182"/>
      <c r="E970" s="261"/>
      <c r="G970" s="182"/>
      <c r="J970" s="67"/>
      <c r="K970" s="67"/>
      <c r="R970" s="67"/>
    </row>
    <row r="971">
      <c r="B971" s="182"/>
      <c r="E971" s="261"/>
      <c r="G971" s="182"/>
      <c r="J971" s="67"/>
      <c r="K971" s="67"/>
      <c r="R971" s="67"/>
    </row>
    <row r="972">
      <c r="B972" s="182"/>
      <c r="E972" s="261"/>
      <c r="G972" s="182"/>
      <c r="J972" s="67"/>
      <c r="K972" s="67"/>
      <c r="R972" s="67"/>
    </row>
    <row r="973">
      <c r="B973" s="182"/>
      <c r="E973" s="261"/>
      <c r="G973" s="182"/>
      <c r="J973" s="67"/>
      <c r="K973" s="67"/>
      <c r="R973" s="67"/>
    </row>
    <row r="974">
      <c r="B974" s="182"/>
      <c r="E974" s="261"/>
      <c r="G974" s="182"/>
      <c r="J974" s="67"/>
      <c r="K974" s="67"/>
      <c r="R974" s="67"/>
    </row>
    <row r="975">
      <c r="B975" s="182"/>
      <c r="E975" s="261"/>
      <c r="G975" s="182"/>
      <c r="J975" s="67"/>
      <c r="K975" s="67"/>
      <c r="R975" s="67"/>
    </row>
    <row r="976">
      <c r="B976" s="182"/>
      <c r="E976" s="261"/>
      <c r="G976" s="182"/>
      <c r="J976" s="67"/>
      <c r="K976" s="67"/>
      <c r="R976" s="67"/>
    </row>
    <row r="977">
      <c r="B977" s="182"/>
      <c r="E977" s="261"/>
      <c r="G977" s="182"/>
      <c r="J977" s="67"/>
      <c r="K977" s="67"/>
      <c r="R977" s="67"/>
    </row>
    <row r="978">
      <c r="B978" s="182"/>
      <c r="E978" s="261"/>
      <c r="G978" s="182"/>
      <c r="J978" s="67"/>
      <c r="K978" s="67"/>
      <c r="R978" s="67"/>
    </row>
    <row r="979">
      <c r="B979" s="182"/>
      <c r="E979" s="261"/>
      <c r="G979" s="182"/>
      <c r="J979" s="67"/>
      <c r="K979" s="67"/>
      <c r="R979" s="67"/>
    </row>
    <row r="980">
      <c r="B980" s="182"/>
      <c r="E980" s="261"/>
      <c r="G980" s="182"/>
      <c r="J980" s="67"/>
      <c r="K980" s="67"/>
      <c r="R980" s="67"/>
    </row>
    <row r="981">
      <c r="B981" s="182"/>
      <c r="E981" s="261"/>
      <c r="G981" s="182"/>
      <c r="J981" s="67"/>
      <c r="K981" s="67"/>
      <c r="R981" s="67"/>
    </row>
    <row r="982">
      <c r="B982" s="182"/>
      <c r="E982" s="261"/>
      <c r="G982" s="182"/>
      <c r="J982" s="67"/>
      <c r="K982" s="67"/>
      <c r="R982" s="67"/>
    </row>
    <row r="983">
      <c r="B983" s="182"/>
      <c r="E983" s="261"/>
      <c r="G983" s="182"/>
      <c r="J983" s="67"/>
      <c r="K983" s="67"/>
      <c r="R983" s="67"/>
    </row>
    <row r="984">
      <c r="B984" s="182"/>
      <c r="E984" s="261"/>
      <c r="G984" s="182"/>
      <c r="J984" s="67"/>
      <c r="K984" s="67"/>
      <c r="R984" s="67"/>
    </row>
    <row r="985">
      <c r="B985" s="182"/>
      <c r="E985" s="261"/>
      <c r="G985" s="182"/>
      <c r="J985" s="67"/>
      <c r="K985" s="67"/>
      <c r="R985" s="67"/>
    </row>
    <row r="986">
      <c r="B986" s="182"/>
      <c r="E986" s="261"/>
      <c r="G986" s="182"/>
      <c r="J986" s="67"/>
      <c r="K986" s="67"/>
      <c r="R986" s="67"/>
    </row>
    <row r="987">
      <c r="B987" s="182"/>
      <c r="E987" s="261"/>
      <c r="G987" s="182"/>
      <c r="J987" s="67"/>
      <c r="K987" s="67"/>
      <c r="R987" s="67"/>
    </row>
    <row r="988">
      <c r="B988" s="182"/>
      <c r="E988" s="261"/>
      <c r="G988" s="182"/>
      <c r="J988" s="67"/>
      <c r="K988" s="67"/>
      <c r="R988" s="67"/>
    </row>
    <row r="989">
      <c r="B989" s="182"/>
      <c r="E989" s="261"/>
      <c r="G989" s="182"/>
      <c r="J989" s="67"/>
      <c r="K989" s="67"/>
      <c r="R989" s="67"/>
    </row>
    <row r="990">
      <c r="B990" s="182"/>
      <c r="E990" s="261"/>
      <c r="G990" s="182"/>
      <c r="J990" s="67"/>
      <c r="K990" s="67"/>
      <c r="R990" s="67"/>
    </row>
    <row r="991">
      <c r="B991" s="182"/>
      <c r="E991" s="261"/>
      <c r="G991" s="182"/>
      <c r="J991" s="67"/>
      <c r="K991" s="67"/>
      <c r="R991" s="67"/>
    </row>
    <row r="992">
      <c r="B992" s="182"/>
      <c r="E992" s="261"/>
      <c r="G992" s="182"/>
      <c r="J992" s="67"/>
      <c r="K992" s="67"/>
      <c r="R992" s="67"/>
    </row>
    <row r="993">
      <c r="B993" s="182"/>
      <c r="E993" s="261"/>
      <c r="G993" s="182"/>
      <c r="J993" s="67"/>
      <c r="K993" s="67"/>
      <c r="R993" s="67"/>
    </row>
    <row r="994">
      <c r="B994" s="182"/>
      <c r="E994" s="261"/>
      <c r="G994" s="182"/>
      <c r="J994" s="67"/>
      <c r="K994" s="67"/>
      <c r="R994" s="67"/>
    </row>
    <row r="995">
      <c r="B995" s="182"/>
      <c r="E995" s="261"/>
      <c r="G995" s="182"/>
      <c r="J995" s="67"/>
      <c r="K995" s="67"/>
      <c r="R995" s="67"/>
    </row>
    <row r="996">
      <c r="B996" s="182"/>
      <c r="E996" s="261"/>
      <c r="G996" s="182"/>
      <c r="J996" s="67"/>
      <c r="K996" s="67"/>
      <c r="R996" s="67"/>
    </row>
    <row r="997">
      <c r="B997" s="182"/>
      <c r="E997" s="261"/>
      <c r="G997" s="182"/>
      <c r="J997" s="67"/>
      <c r="K997" s="67"/>
      <c r="R997" s="67"/>
    </row>
    <row r="998">
      <c r="B998" s="182"/>
      <c r="E998" s="261"/>
      <c r="G998" s="182"/>
      <c r="J998" s="67"/>
      <c r="K998" s="67"/>
      <c r="R998" s="67"/>
    </row>
    <row r="999">
      <c r="B999" s="182"/>
      <c r="E999" s="261"/>
      <c r="G999" s="182"/>
      <c r="J999" s="67"/>
      <c r="K999" s="67"/>
      <c r="R999" s="67"/>
    </row>
    <row r="1000">
      <c r="B1000" s="182"/>
      <c r="E1000" s="261"/>
      <c r="G1000" s="182"/>
      <c r="J1000" s="67"/>
      <c r="K1000" s="67"/>
      <c r="R1000" s="67"/>
    </row>
    <row r="1001">
      <c r="B1001" s="182"/>
      <c r="E1001" s="261"/>
      <c r="G1001" s="182"/>
      <c r="J1001" s="67"/>
      <c r="K1001" s="67"/>
      <c r="R1001" s="67"/>
    </row>
    <row r="1002">
      <c r="B1002" s="182"/>
      <c r="E1002" s="261"/>
      <c r="G1002" s="182"/>
      <c r="J1002" s="67"/>
      <c r="K1002" s="67"/>
      <c r="R1002" s="67"/>
    </row>
    <row r="1003">
      <c r="B1003" s="182"/>
      <c r="E1003" s="261"/>
      <c r="G1003" s="182"/>
      <c r="J1003" s="67"/>
      <c r="K1003" s="67"/>
      <c r="R1003" s="67"/>
    </row>
    <row r="1004">
      <c r="B1004" s="182"/>
      <c r="E1004" s="261"/>
      <c r="G1004" s="182"/>
      <c r="J1004" s="67"/>
      <c r="K1004" s="67"/>
      <c r="R1004" s="67"/>
    </row>
    <row r="1005">
      <c r="B1005" s="182"/>
      <c r="E1005" s="261"/>
      <c r="G1005" s="182"/>
      <c r="J1005" s="67"/>
      <c r="K1005" s="67"/>
      <c r="R1005" s="67"/>
    </row>
    <row r="1006">
      <c r="B1006" s="182"/>
      <c r="E1006" s="261"/>
      <c r="G1006" s="182"/>
      <c r="J1006" s="67"/>
      <c r="K1006" s="67"/>
      <c r="R1006" s="67"/>
    </row>
    <row r="1007">
      <c r="B1007" s="182"/>
      <c r="E1007" s="261"/>
      <c r="G1007" s="182"/>
      <c r="J1007" s="67"/>
      <c r="K1007" s="67"/>
      <c r="R1007" s="67"/>
    </row>
    <row r="1008">
      <c r="B1008" s="182"/>
      <c r="E1008" s="261"/>
      <c r="G1008" s="182"/>
      <c r="J1008" s="67"/>
      <c r="K1008" s="67"/>
      <c r="R1008" s="67"/>
    </row>
    <row r="1009">
      <c r="B1009" s="182"/>
      <c r="E1009" s="261"/>
      <c r="G1009" s="182"/>
      <c r="J1009" s="67"/>
      <c r="K1009" s="67"/>
      <c r="R1009" s="67"/>
    </row>
    <row r="1010">
      <c r="B1010" s="182"/>
      <c r="E1010" s="261"/>
      <c r="G1010" s="182"/>
      <c r="J1010" s="67"/>
      <c r="K1010" s="67"/>
      <c r="R1010" s="67"/>
    </row>
    <row r="1011">
      <c r="B1011" s="182"/>
      <c r="E1011" s="261"/>
      <c r="G1011" s="182"/>
      <c r="J1011" s="67"/>
      <c r="K1011" s="67"/>
      <c r="R1011" s="67"/>
    </row>
    <row r="1012">
      <c r="B1012" s="182"/>
      <c r="E1012" s="261"/>
      <c r="G1012" s="182"/>
      <c r="J1012" s="67"/>
      <c r="K1012" s="67"/>
      <c r="R1012" s="67"/>
    </row>
    <row r="1013">
      <c r="B1013" s="182"/>
      <c r="E1013" s="261"/>
      <c r="G1013" s="182"/>
      <c r="J1013" s="67"/>
      <c r="K1013" s="67"/>
      <c r="R1013" s="67"/>
    </row>
    <row r="1014">
      <c r="B1014" s="182"/>
      <c r="E1014" s="261"/>
      <c r="G1014" s="182"/>
      <c r="J1014" s="67"/>
      <c r="K1014" s="67"/>
      <c r="R1014" s="67"/>
    </row>
    <row r="1015">
      <c r="B1015" s="182"/>
      <c r="E1015" s="261"/>
      <c r="G1015" s="182"/>
      <c r="J1015" s="67"/>
      <c r="K1015" s="67"/>
      <c r="R1015" s="67"/>
    </row>
    <row r="1016">
      <c r="B1016" s="182"/>
      <c r="E1016" s="261"/>
      <c r="G1016" s="182"/>
      <c r="J1016" s="67"/>
      <c r="K1016" s="67"/>
      <c r="R1016" s="67"/>
    </row>
    <row r="1017">
      <c r="B1017" s="182"/>
      <c r="E1017" s="261"/>
      <c r="G1017" s="182"/>
      <c r="J1017" s="67"/>
      <c r="K1017" s="67"/>
      <c r="R1017" s="67"/>
    </row>
    <row r="1018">
      <c r="B1018" s="182"/>
      <c r="E1018" s="261"/>
      <c r="G1018" s="182"/>
      <c r="J1018" s="67"/>
      <c r="K1018" s="67"/>
      <c r="R1018" s="67"/>
    </row>
    <row r="1019">
      <c r="B1019" s="182"/>
      <c r="E1019" s="261"/>
      <c r="G1019" s="182"/>
      <c r="J1019" s="67"/>
      <c r="K1019" s="67"/>
      <c r="R1019" s="67"/>
    </row>
    <row r="1020">
      <c r="B1020" s="182"/>
      <c r="E1020" s="261"/>
      <c r="G1020" s="182"/>
      <c r="J1020" s="67"/>
      <c r="K1020" s="67"/>
      <c r="R1020" s="67"/>
    </row>
    <row r="1021">
      <c r="B1021" s="182"/>
      <c r="E1021" s="261"/>
      <c r="G1021" s="182"/>
      <c r="J1021" s="67"/>
      <c r="K1021" s="67"/>
      <c r="R1021" s="67"/>
    </row>
    <row r="1022">
      <c r="B1022" s="182"/>
      <c r="E1022" s="261"/>
      <c r="G1022" s="182"/>
      <c r="J1022" s="67"/>
      <c r="K1022" s="67"/>
      <c r="R1022" s="67"/>
    </row>
    <row r="1023">
      <c r="B1023" s="182"/>
      <c r="E1023" s="261"/>
      <c r="G1023" s="182"/>
      <c r="J1023" s="67"/>
      <c r="K1023" s="67"/>
      <c r="R1023" s="67"/>
    </row>
    <row r="1024">
      <c r="B1024" s="182"/>
      <c r="E1024" s="261"/>
      <c r="G1024" s="182"/>
      <c r="J1024" s="67"/>
      <c r="K1024" s="67"/>
      <c r="R1024" s="67"/>
    </row>
    <row r="1025">
      <c r="B1025" s="182"/>
      <c r="E1025" s="261"/>
      <c r="G1025" s="182"/>
      <c r="J1025" s="67"/>
      <c r="K1025" s="67"/>
      <c r="R1025" s="67"/>
    </row>
    <row r="1026">
      <c r="B1026" s="182"/>
      <c r="E1026" s="261"/>
      <c r="G1026" s="182"/>
      <c r="J1026" s="67"/>
      <c r="K1026" s="67"/>
      <c r="R1026" s="67"/>
    </row>
    <row r="1027">
      <c r="B1027" s="182"/>
      <c r="E1027" s="261"/>
      <c r="G1027" s="182"/>
      <c r="J1027" s="67"/>
      <c r="K1027" s="67"/>
      <c r="R1027" s="67"/>
    </row>
    <row r="1028">
      <c r="B1028" s="182"/>
      <c r="E1028" s="261"/>
      <c r="G1028" s="182"/>
      <c r="J1028" s="67"/>
      <c r="K1028" s="67"/>
      <c r="R1028" s="67"/>
    </row>
    <row r="1029">
      <c r="B1029" s="182"/>
      <c r="E1029" s="261"/>
      <c r="G1029" s="182"/>
      <c r="J1029" s="67"/>
      <c r="K1029" s="67"/>
      <c r="R1029" s="67"/>
    </row>
    <row r="1030">
      <c r="B1030" s="182"/>
      <c r="E1030" s="261"/>
      <c r="G1030" s="182"/>
      <c r="J1030" s="67"/>
      <c r="K1030" s="67"/>
      <c r="R1030" s="67"/>
    </row>
    <row r="1031">
      <c r="B1031" s="182"/>
      <c r="E1031" s="261"/>
      <c r="G1031" s="182"/>
      <c r="J1031" s="67"/>
      <c r="K1031" s="67"/>
      <c r="R1031" s="67"/>
    </row>
    <row r="1032">
      <c r="B1032" s="182"/>
      <c r="E1032" s="261"/>
      <c r="G1032" s="182"/>
      <c r="J1032" s="67"/>
      <c r="K1032" s="67"/>
      <c r="R1032" s="67"/>
    </row>
    <row r="1033">
      <c r="B1033" s="182"/>
      <c r="E1033" s="261"/>
      <c r="G1033" s="182"/>
      <c r="J1033" s="67"/>
      <c r="K1033" s="67"/>
      <c r="R1033" s="67"/>
    </row>
    <row r="1034">
      <c r="B1034" s="182"/>
      <c r="E1034" s="261"/>
      <c r="G1034" s="182"/>
      <c r="J1034" s="67"/>
      <c r="K1034" s="67"/>
      <c r="R1034" s="67"/>
    </row>
    <row r="1035">
      <c r="B1035" s="182"/>
      <c r="E1035" s="261"/>
      <c r="G1035" s="182"/>
      <c r="J1035" s="67"/>
      <c r="K1035" s="67"/>
      <c r="R1035" s="67"/>
    </row>
    <row r="1036">
      <c r="B1036" s="182"/>
      <c r="E1036" s="261"/>
      <c r="G1036" s="182"/>
      <c r="J1036" s="67"/>
      <c r="K1036" s="67"/>
      <c r="R1036" s="67"/>
    </row>
    <row r="1037">
      <c r="B1037" s="182"/>
      <c r="E1037" s="261"/>
      <c r="G1037" s="182"/>
      <c r="J1037" s="67"/>
      <c r="K1037" s="67"/>
      <c r="R1037" s="67"/>
    </row>
    <row r="1038">
      <c r="B1038" s="182"/>
      <c r="E1038" s="261"/>
      <c r="G1038" s="182"/>
      <c r="J1038" s="67"/>
      <c r="K1038" s="67"/>
      <c r="R1038" s="67"/>
    </row>
    <row r="1039">
      <c r="B1039" s="182"/>
      <c r="E1039" s="261"/>
      <c r="G1039" s="182"/>
      <c r="J1039" s="67"/>
      <c r="K1039" s="67"/>
      <c r="R1039" s="67"/>
    </row>
    <row r="1040">
      <c r="B1040" s="182"/>
      <c r="E1040" s="261"/>
      <c r="G1040" s="182"/>
      <c r="J1040" s="67"/>
      <c r="K1040" s="67"/>
      <c r="R1040" s="67"/>
    </row>
    <row r="1041">
      <c r="B1041" s="182"/>
      <c r="E1041" s="261"/>
      <c r="G1041" s="182"/>
      <c r="J1041" s="67"/>
      <c r="K1041" s="67"/>
      <c r="R1041" s="67"/>
    </row>
    <row r="1042">
      <c r="B1042" s="182"/>
      <c r="E1042" s="261"/>
      <c r="G1042" s="182"/>
      <c r="J1042" s="67"/>
      <c r="K1042" s="67"/>
      <c r="R1042" s="67"/>
    </row>
    <row r="1043">
      <c r="B1043" s="182"/>
      <c r="E1043" s="261"/>
      <c r="G1043" s="182"/>
      <c r="J1043" s="67"/>
      <c r="K1043" s="67"/>
      <c r="R1043" s="67"/>
    </row>
    <row r="1044">
      <c r="B1044" s="182"/>
      <c r="E1044" s="261"/>
      <c r="G1044" s="182"/>
      <c r="J1044" s="67"/>
      <c r="K1044" s="67"/>
      <c r="R1044" s="67"/>
    </row>
    <row r="1045">
      <c r="B1045" s="182"/>
      <c r="E1045" s="261"/>
      <c r="G1045" s="182"/>
      <c r="J1045" s="67"/>
      <c r="K1045" s="67"/>
      <c r="R1045" s="67"/>
    </row>
    <row r="1046">
      <c r="B1046" s="182"/>
      <c r="E1046" s="261"/>
      <c r="G1046" s="182"/>
      <c r="J1046" s="67"/>
      <c r="K1046" s="67"/>
      <c r="R1046" s="67"/>
    </row>
    <row r="1047">
      <c r="B1047" s="182"/>
      <c r="E1047" s="261"/>
      <c r="G1047" s="182"/>
      <c r="J1047" s="67"/>
      <c r="K1047" s="67"/>
      <c r="R1047" s="67"/>
    </row>
    <row r="1048">
      <c r="B1048" s="182"/>
      <c r="E1048" s="261"/>
      <c r="G1048" s="182"/>
      <c r="J1048" s="67"/>
      <c r="K1048" s="67"/>
      <c r="R1048" s="67"/>
    </row>
    <row r="1049">
      <c r="B1049" s="182"/>
      <c r="E1049" s="261"/>
      <c r="G1049" s="182"/>
      <c r="J1049" s="67"/>
      <c r="K1049" s="67"/>
      <c r="R1049" s="67"/>
    </row>
    <row r="1050">
      <c r="B1050" s="182"/>
      <c r="E1050" s="261"/>
      <c r="G1050" s="182"/>
      <c r="J1050" s="67"/>
      <c r="K1050" s="67"/>
      <c r="R1050" s="67"/>
    </row>
    <row r="1051">
      <c r="B1051" s="182"/>
      <c r="E1051" s="261"/>
      <c r="G1051" s="182"/>
      <c r="J1051" s="67"/>
      <c r="K1051" s="67"/>
      <c r="R1051" s="67"/>
    </row>
    <row r="1052">
      <c r="B1052" s="182"/>
      <c r="E1052" s="261"/>
      <c r="G1052" s="182"/>
      <c r="J1052" s="67"/>
      <c r="K1052" s="67"/>
      <c r="R1052" s="67"/>
    </row>
    <row r="1053">
      <c r="B1053" s="182"/>
      <c r="E1053" s="261"/>
      <c r="G1053" s="182"/>
      <c r="J1053" s="67"/>
      <c r="K1053" s="67"/>
      <c r="R1053" s="67"/>
    </row>
    <row r="1054">
      <c r="B1054" s="182"/>
      <c r="E1054" s="261"/>
      <c r="G1054" s="182"/>
      <c r="J1054" s="67"/>
      <c r="K1054" s="67"/>
      <c r="R1054" s="67"/>
    </row>
    <row r="1055">
      <c r="B1055" s="182"/>
      <c r="E1055" s="261"/>
      <c r="G1055" s="182"/>
      <c r="J1055" s="67"/>
      <c r="K1055" s="67"/>
      <c r="R1055" s="67"/>
    </row>
    <row r="1056">
      <c r="B1056" s="182"/>
      <c r="E1056" s="261"/>
      <c r="G1056" s="182"/>
      <c r="J1056" s="67"/>
      <c r="K1056" s="67"/>
      <c r="R1056" s="67"/>
    </row>
    <row r="1057">
      <c r="B1057" s="182"/>
      <c r="E1057" s="261"/>
      <c r="G1057" s="182"/>
      <c r="J1057" s="67"/>
      <c r="K1057" s="67"/>
      <c r="R1057" s="67"/>
    </row>
    <row r="1058">
      <c r="B1058" s="182"/>
      <c r="E1058" s="261"/>
      <c r="G1058" s="182"/>
      <c r="J1058" s="67"/>
      <c r="K1058" s="67"/>
      <c r="R1058" s="67"/>
    </row>
    <row r="1059">
      <c r="B1059" s="182"/>
      <c r="E1059" s="261"/>
      <c r="G1059" s="182"/>
      <c r="J1059" s="67"/>
      <c r="K1059" s="67"/>
      <c r="R1059" s="67"/>
    </row>
    <row r="1060">
      <c r="B1060" s="182"/>
      <c r="E1060" s="261"/>
      <c r="G1060" s="182"/>
      <c r="J1060" s="67"/>
      <c r="K1060" s="67"/>
      <c r="R1060" s="67"/>
    </row>
    <row r="1061">
      <c r="B1061" s="182"/>
      <c r="E1061" s="261"/>
      <c r="G1061" s="182"/>
      <c r="J1061" s="67"/>
      <c r="K1061" s="67"/>
      <c r="R1061" s="67"/>
    </row>
    <row r="1062">
      <c r="B1062" s="182"/>
      <c r="E1062" s="261"/>
      <c r="G1062" s="182"/>
      <c r="J1062" s="67"/>
      <c r="K1062" s="67"/>
      <c r="R1062" s="67"/>
    </row>
    <row r="1063">
      <c r="B1063" s="182"/>
      <c r="E1063" s="261"/>
      <c r="G1063" s="182"/>
      <c r="J1063" s="67"/>
      <c r="K1063" s="67"/>
      <c r="R1063" s="67"/>
    </row>
    <row r="1064">
      <c r="B1064" s="182"/>
      <c r="E1064" s="261"/>
      <c r="G1064" s="182"/>
      <c r="J1064" s="67"/>
      <c r="K1064" s="67"/>
      <c r="R1064" s="67"/>
    </row>
    <row r="1065">
      <c r="B1065" s="182"/>
      <c r="E1065" s="261"/>
      <c r="G1065" s="182"/>
      <c r="J1065" s="67"/>
      <c r="K1065" s="67"/>
      <c r="R1065" s="67"/>
    </row>
    <row r="1066">
      <c r="B1066" s="182"/>
      <c r="E1066" s="261"/>
      <c r="G1066" s="182"/>
      <c r="J1066" s="67"/>
      <c r="K1066" s="67"/>
      <c r="R1066" s="67"/>
    </row>
    <row r="1067">
      <c r="B1067" s="182"/>
      <c r="E1067" s="261"/>
      <c r="G1067" s="182"/>
      <c r="J1067" s="67"/>
      <c r="K1067" s="67"/>
      <c r="R1067" s="67"/>
    </row>
    <row r="1068">
      <c r="B1068" s="182"/>
      <c r="E1068" s="261"/>
      <c r="G1068" s="182"/>
      <c r="J1068" s="67"/>
      <c r="K1068" s="67"/>
      <c r="R1068" s="67"/>
    </row>
    <row r="1069">
      <c r="B1069" s="182"/>
      <c r="E1069" s="261"/>
      <c r="G1069" s="182"/>
      <c r="J1069" s="67"/>
      <c r="K1069" s="67"/>
      <c r="R1069" s="67"/>
    </row>
    <row r="1070">
      <c r="B1070" s="182"/>
      <c r="E1070" s="261"/>
      <c r="G1070" s="182"/>
      <c r="J1070" s="67"/>
      <c r="K1070" s="67"/>
      <c r="R1070" s="67"/>
    </row>
    <row r="1071">
      <c r="B1071" s="182"/>
      <c r="E1071" s="261"/>
      <c r="G1071" s="182"/>
      <c r="J1071" s="67"/>
      <c r="K1071" s="67"/>
      <c r="R1071" s="67"/>
    </row>
    <row r="1072">
      <c r="B1072" s="182"/>
      <c r="E1072" s="261"/>
      <c r="G1072" s="182"/>
      <c r="J1072" s="67"/>
      <c r="K1072" s="67"/>
      <c r="R1072" s="67"/>
    </row>
    <row r="1073">
      <c r="B1073" s="182"/>
      <c r="E1073" s="261"/>
      <c r="G1073" s="182"/>
      <c r="J1073" s="67"/>
      <c r="K1073" s="67"/>
      <c r="R1073" s="67"/>
    </row>
    <row r="1074">
      <c r="B1074" s="182"/>
      <c r="E1074" s="261"/>
      <c r="G1074" s="182"/>
      <c r="J1074" s="67"/>
      <c r="K1074" s="67"/>
      <c r="R1074" s="67"/>
    </row>
    <row r="1075">
      <c r="B1075" s="182"/>
      <c r="E1075" s="261"/>
      <c r="G1075" s="182"/>
      <c r="J1075" s="67"/>
      <c r="K1075" s="67"/>
      <c r="R1075" s="67"/>
    </row>
    <row r="1076">
      <c r="B1076" s="182"/>
      <c r="E1076" s="261"/>
      <c r="G1076" s="182"/>
      <c r="J1076" s="67"/>
      <c r="K1076" s="67"/>
      <c r="R1076" s="67"/>
    </row>
    <row r="1077">
      <c r="B1077" s="182"/>
      <c r="E1077" s="261"/>
      <c r="G1077" s="182"/>
      <c r="J1077" s="67"/>
      <c r="K1077" s="67"/>
      <c r="R1077" s="67"/>
    </row>
    <row r="1078">
      <c r="B1078" s="182"/>
      <c r="E1078" s="261"/>
      <c r="G1078" s="182"/>
      <c r="J1078" s="67"/>
      <c r="K1078" s="67"/>
      <c r="R1078" s="67"/>
    </row>
    <row r="1079">
      <c r="B1079" s="182"/>
      <c r="E1079" s="261"/>
      <c r="G1079" s="182"/>
      <c r="J1079" s="67"/>
      <c r="K1079" s="67"/>
      <c r="R1079" s="67"/>
    </row>
    <row r="1080">
      <c r="B1080" s="182"/>
      <c r="E1080" s="261"/>
      <c r="G1080" s="182"/>
      <c r="J1080" s="67"/>
      <c r="K1080" s="67"/>
      <c r="R1080" s="67"/>
    </row>
    <row r="1081">
      <c r="B1081" s="182"/>
      <c r="E1081" s="261"/>
      <c r="G1081" s="182"/>
      <c r="J1081" s="67"/>
      <c r="K1081" s="67"/>
      <c r="R1081" s="67"/>
    </row>
    <row r="1082">
      <c r="B1082" s="182"/>
      <c r="E1082" s="261"/>
      <c r="G1082" s="182"/>
      <c r="J1082" s="67"/>
      <c r="K1082" s="67"/>
      <c r="R1082" s="67"/>
    </row>
    <row r="1083">
      <c r="B1083" s="182"/>
      <c r="E1083" s="261"/>
      <c r="G1083" s="182"/>
      <c r="J1083" s="67"/>
      <c r="K1083" s="67"/>
      <c r="R1083" s="67"/>
    </row>
    <row r="1084">
      <c r="B1084" s="182"/>
      <c r="E1084" s="261"/>
      <c r="G1084" s="182"/>
      <c r="J1084" s="67"/>
      <c r="K1084" s="67"/>
      <c r="R1084" s="67"/>
    </row>
    <row r="1085">
      <c r="B1085" s="182"/>
      <c r="E1085" s="261"/>
      <c r="G1085" s="182"/>
      <c r="J1085" s="67"/>
      <c r="K1085" s="67"/>
      <c r="R1085" s="67"/>
    </row>
    <row r="1086">
      <c r="B1086" s="182"/>
      <c r="E1086" s="261"/>
      <c r="G1086" s="182"/>
      <c r="J1086" s="67"/>
      <c r="K1086" s="67"/>
      <c r="R1086" s="67"/>
    </row>
    <row r="1087">
      <c r="B1087" s="182"/>
      <c r="E1087" s="261"/>
      <c r="G1087" s="182"/>
      <c r="J1087" s="67"/>
      <c r="K1087" s="67"/>
      <c r="R1087" s="67"/>
    </row>
    <row r="1088">
      <c r="B1088" s="182"/>
      <c r="E1088" s="261"/>
      <c r="G1088" s="182"/>
      <c r="J1088" s="67"/>
      <c r="K1088" s="67"/>
      <c r="R1088" s="67"/>
    </row>
    <row r="1089">
      <c r="B1089" s="182"/>
      <c r="E1089" s="261"/>
      <c r="G1089" s="182"/>
      <c r="J1089" s="67"/>
      <c r="K1089" s="67"/>
      <c r="R1089" s="67"/>
    </row>
    <row r="1090">
      <c r="B1090" s="182"/>
      <c r="E1090" s="261"/>
      <c r="G1090" s="182"/>
      <c r="J1090" s="67"/>
      <c r="K1090" s="67"/>
      <c r="R1090" s="67"/>
    </row>
    <row r="1091">
      <c r="B1091" s="182"/>
      <c r="E1091" s="261"/>
      <c r="G1091" s="182"/>
      <c r="J1091" s="67"/>
      <c r="K1091" s="67"/>
      <c r="R1091" s="67"/>
    </row>
    <row r="1092">
      <c r="B1092" s="182"/>
      <c r="E1092" s="261"/>
      <c r="G1092" s="182"/>
      <c r="J1092" s="67"/>
      <c r="K1092" s="67"/>
      <c r="R1092" s="67"/>
    </row>
    <row r="1093">
      <c r="B1093" s="182"/>
      <c r="E1093" s="261"/>
      <c r="G1093" s="182"/>
      <c r="J1093" s="67"/>
      <c r="K1093" s="67"/>
      <c r="R1093" s="67"/>
    </row>
    <row r="1094">
      <c r="B1094" s="182"/>
      <c r="E1094" s="261"/>
      <c r="G1094" s="182"/>
      <c r="J1094" s="67"/>
      <c r="K1094" s="67"/>
      <c r="R1094" s="67"/>
    </row>
    <row r="1095">
      <c r="B1095" s="182"/>
      <c r="E1095" s="261"/>
      <c r="G1095" s="182"/>
      <c r="J1095" s="67"/>
      <c r="K1095" s="67"/>
      <c r="R1095" s="67"/>
    </row>
    <row r="1096">
      <c r="B1096" s="182"/>
      <c r="E1096" s="261"/>
      <c r="G1096" s="182"/>
      <c r="J1096" s="67"/>
      <c r="K1096" s="67"/>
      <c r="R1096" s="67"/>
    </row>
    <row r="1097">
      <c r="B1097" s="182"/>
      <c r="E1097" s="261"/>
      <c r="G1097" s="182"/>
      <c r="J1097" s="67"/>
      <c r="K1097" s="67"/>
      <c r="R1097" s="67"/>
    </row>
    <row r="1098">
      <c r="B1098" s="182"/>
      <c r="E1098" s="261"/>
      <c r="G1098" s="182"/>
      <c r="J1098" s="67"/>
      <c r="K1098" s="67"/>
      <c r="R1098" s="67"/>
    </row>
    <row r="1099">
      <c r="B1099" s="182"/>
      <c r="E1099" s="261"/>
      <c r="G1099" s="182"/>
      <c r="J1099" s="67"/>
      <c r="K1099" s="67"/>
      <c r="R1099" s="67"/>
    </row>
    <row r="1100">
      <c r="B1100" s="182"/>
      <c r="E1100" s="261"/>
      <c r="G1100" s="182"/>
      <c r="J1100" s="67"/>
      <c r="K1100" s="67"/>
      <c r="R1100" s="67"/>
    </row>
    <row r="1101">
      <c r="B1101" s="182"/>
      <c r="E1101" s="261"/>
      <c r="G1101" s="182"/>
      <c r="J1101" s="67"/>
      <c r="K1101" s="67"/>
      <c r="R1101" s="67"/>
    </row>
    <row r="1102">
      <c r="B1102" s="182"/>
      <c r="E1102" s="261"/>
      <c r="G1102" s="182"/>
      <c r="J1102" s="67"/>
      <c r="K1102" s="67"/>
      <c r="R1102" s="67"/>
    </row>
    <row r="1103">
      <c r="B1103" s="182"/>
      <c r="E1103" s="261"/>
      <c r="G1103" s="182"/>
      <c r="J1103" s="67"/>
      <c r="K1103" s="67"/>
      <c r="R1103" s="67"/>
    </row>
    <row r="1104">
      <c r="B1104" s="182"/>
      <c r="E1104" s="261"/>
      <c r="G1104" s="182"/>
      <c r="J1104" s="67"/>
      <c r="K1104" s="67"/>
      <c r="R1104" s="67"/>
    </row>
    <row r="1105">
      <c r="B1105" s="182"/>
      <c r="E1105" s="261"/>
      <c r="G1105" s="182"/>
      <c r="J1105" s="67"/>
      <c r="K1105" s="67"/>
      <c r="R1105" s="67"/>
    </row>
    <row r="1106">
      <c r="B1106" s="182"/>
      <c r="E1106" s="261"/>
      <c r="G1106" s="182"/>
      <c r="J1106" s="67"/>
      <c r="K1106" s="67"/>
      <c r="R1106" s="67"/>
    </row>
    <row r="1107">
      <c r="B1107" s="182"/>
      <c r="E1107" s="261"/>
      <c r="G1107" s="182"/>
      <c r="J1107" s="67"/>
      <c r="K1107" s="67"/>
      <c r="R1107" s="67"/>
    </row>
    <row r="1108">
      <c r="B1108" s="182"/>
      <c r="E1108" s="261"/>
      <c r="G1108" s="182"/>
      <c r="J1108" s="67"/>
      <c r="K1108" s="67"/>
      <c r="R1108" s="67"/>
    </row>
    <row r="1109">
      <c r="B1109" s="182"/>
      <c r="E1109" s="261"/>
      <c r="G1109" s="182"/>
      <c r="J1109" s="67"/>
      <c r="K1109" s="67"/>
      <c r="R1109" s="67"/>
    </row>
    <row r="1110">
      <c r="B1110" s="182"/>
      <c r="E1110" s="261"/>
      <c r="G1110" s="182"/>
      <c r="J1110" s="67"/>
      <c r="K1110" s="67"/>
      <c r="R1110" s="67"/>
    </row>
    <row r="1111">
      <c r="B1111" s="182"/>
      <c r="E1111" s="261"/>
      <c r="G1111" s="182"/>
      <c r="J1111" s="67"/>
      <c r="K1111" s="67"/>
      <c r="R1111" s="67"/>
    </row>
    <row r="1112">
      <c r="B1112" s="182"/>
      <c r="E1112" s="261"/>
      <c r="G1112" s="182"/>
      <c r="J1112" s="67"/>
      <c r="K1112" s="67"/>
      <c r="R1112" s="67"/>
    </row>
    <row r="1113">
      <c r="B1113" s="182"/>
      <c r="E1113" s="261"/>
      <c r="G1113" s="182"/>
      <c r="J1113" s="67"/>
      <c r="K1113" s="67"/>
      <c r="R1113" s="67"/>
    </row>
    <row r="1114">
      <c r="B1114" s="182"/>
      <c r="E1114" s="261"/>
      <c r="G1114" s="182"/>
      <c r="J1114" s="67"/>
      <c r="K1114" s="67"/>
      <c r="R1114" s="67"/>
    </row>
    <row r="1115">
      <c r="B1115" s="182"/>
      <c r="E1115" s="261"/>
      <c r="G1115" s="182"/>
      <c r="J1115" s="67"/>
      <c r="K1115" s="67"/>
      <c r="R1115" s="67"/>
    </row>
    <row r="1116">
      <c r="B1116" s="182"/>
      <c r="E1116" s="261"/>
      <c r="G1116" s="182"/>
      <c r="J1116" s="67"/>
      <c r="K1116" s="67"/>
      <c r="R1116" s="67"/>
    </row>
    <row r="1117">
      <c r="B1117" s="182"/>
      <c r="E1117" s="261"/>
      <c r="G1117" s="182"/>
      <c r="J1117" s="67"/>
      <c r="K1117" s="67"/>
      <c r="R1117" s="67"/>
    </row>
    <row r="1118">
      <c r="B1118" s="182"/>
      <c r="E1118" s="261"/>
      <c r="G1118" s="182"/>
      <c r="J1118" s="67"/>
      <c r="K1118" s="67"/>
      <c r="R1118" s="67"/>
    </row>
    <row r="1119">
      <c r="B1119" s="182"/>
      <c r="E1119" s="261"/>
      <c r="G1119" s="182"/>
      <c r="J1119" s="67"/>
      <c r="K1119" s="67"/>
      <c r="R1119" s="67"/>
    </row>
    <row r="1120">
      <c r="B1120" s="182"/>
      <c r="E1120" s="261"/>
      <c r="G1120" s="182"/>
      <c r="J1120" s="67"/>
      <c r="K1120" s="67"/>
      <c r="R1120" s="67"/>
    </row>
    <row r="1121">
      <c r="B1121" s="182"/>
      <c r="E1121" s="261"/>
      <c r="G1121" s="182"/>
      <c r="J1121" s="67"/>
      <c r="K1121" s="67"/>
      <c r="R1121" s="67"/>
    </row>
    <row r="1122">
      <c r="B1122" s="182"/>
      <c r="E1122" s="261"/>
      <c r="G1122" s="182"/>
      <c r="J1122" s="67"/>
      <c r="K1122" s="67"/>
      <c r="R1122" s="67"/>
    </row>
    <row r="1123">
      <c r="B1123" s="182"/>
      <c r="E1123" s="261"/>
      <c r="G1123" s="182"/>
      <c r="J1123" s="67"/>
      <c r="K1123" s="67"/>
      <c r="R1123" s="67"/>
    </row>
    <row r="1124">
      <c r="B1124" s="182"/>
      <c r="E1124" s="261"/>
      <c r="G1124" s="182"/>
      <c r="J1124" s="67"/>
      <c r="K1124" s="67"/>
      <c r="R1124" s="67"/>
    </row>
    <row r="1125">
      <c r="B1125" s="182"/>
      <c r="E1125" s="261"/>
      <c r="G1125" s="182"/>
      <c r="J1125" s="67"/>
      <c r="K1125" s="67"/>
      <c r="R1125" s="67"/>
    </row>
    <row r="1126">
      <c r="B1126" s="182"/>
      <c r="E1126" s="261"/>
      <c r="G1126" s="182"/>
      <c r="J1126" s="67"/>
      <c r="K1126" s="67"/>
      <c r="R1126" s="67"/>
    </row>
    <row r="1127">
      <c r="B1127" s="182"/>
      <c r="E1127" s="261"/>
      <c r="G1127" s="182"/>
      <c r="J1127" s="67"/>
      <c r="K1127" s="67"/>
      <c r="R1127" s="67"/>
    </row>
    <row r="1128">
      <c r="B1128" s="182"/>
      <c r="E1128" s="261"/>
      <c r="G1128" s="182"/>
      <c r="J1128" s="67"/>
      <c r="K1128" s="67"/>
      <c r="R1128" s="67"/>
    </row>
    <row r="1129">
      <c r="B1129" s="182"/>
      <c r="E1129" s="261"/>
      <c r="G1129" s="182"/>
      <c r="J1129" s="67"/>
      <c r="K1129" s="67"/>
      <c r="R1129" s="67"/>
    </row>
    <row r="1130">
      <c r="B1130" s="182"/>
      <c r="E1130" s="261"/>
      <c r="G1130" s="182"/>
      <c r="J1130" s="67"/>
      <c r="K1130" s="67"/>
      <c r="R1130" s="67"/>
    </row>
    <row r="1131">
      <c r="B1131" s="182"/>
      <c r="E1131" s="261"/>
      <c r="G1131" s="182"/>
      <c r="J1131" s="67"/>
      <c r="K1131" s="67"/>
      <c r="R1131" s="67"/>
    </row>
    <row r="1132">
      <c r="B1132" s="182"/>
      <c r="E1132" s="261"/>
      <c r="G1132" s="182"/>
      <c r="J1132" s="67"/>
      <c r="K1132" s="67"/>
      <c r="R1132" s="67"/>
    </row>
    <row r="1133">
      <c r="B1133" s="182"/>
      <c r="E1133" s="261"/>
      <c r="G1133" s="182"/>
      <c r="J1133" s="67"/>
      <c r="K1133" s="67"/>
      <c r="R1133" s="67"/>
    </row>
    <row r="1134">
      <c r="B1134" s="182"/>
      <c r="E1134" s="261"/>
      <c r="G1134" s="182"/>
      <c r="J1134" s="67"/>
      <c r="K1134" s="67"/>
      <c r="R1134" s="67"/>
    </row>
    <row r="1135">
      <c r="B1135" s="182"/>
      <c r="E1135" s="261"/>
      <c r="G1135" s="182"/>
      <c r="J1135" s="67"/>
      <c r="K1135" s="67"/>
      <c r="R1135" s="67"/>
    </row>
    <row r="1136">
      <c r="B1136" s="182"/>
      <c r="E1136" s="261"/>
      <c r="G1136" s="182"/>
      <c r="J1136" s="67"/>
      <c r="K1136" s="67"/>
      <c r="R1136" s="67"/>
    </row>
    <row r="1137">
      <c r="B1137" s="182"/>
      <c r="E1137" s="261"/>
      <c r="G1137" s="182"/>
      <c r="J1137" s="67"/>
      <c r="K1137" s="67"/>
      <c r="R1137" s="67"/>
    </row>
    <row r="1138">
      <c r="B1138" s="182"/>
      <c r="E1138" s="261"/>
      <c r="G1138" s="182"/>
      <c r="J1138" s="67"/>
      <c r="K1138" s="67"/>
      <c r="R1138" s="67"/>
    </row>
    <row r="1139">
      <c r="B1139" s="182"/>
      <c r="E1139" s="261"/>
      <c r="G1139" s="182"/>
      <c r="J1139" s="67"/>
      <c r="K1139" s="67"/>
      <c r="R1139" s="67"/>
    </row>
    <row r="1140">
      <c r="B1140" s="182"/>
      <c r="E1140" s="261"/>
      <c r="G1140" s="182"/>
      <c r="J1140" s="67"/>
      <c r="K1140" s="67"/>
      <c r="R1140" s="67"/>
    </row>
    <row r="1141">
      <c r="B1141" s="182"/>
      <c r="E1141" s="261"/>
      <c r="G1141" s="182"/>
      <c r="J1141" s="67"/>
      <c r="K1141" s="67"/>
      <c r="R1141" s="67"/>
    </row>
    <row r="1142">
      <c r="B1142" s="182"/>
      <c r="E1142" s="261"/>
      <c r="G1142" s="182"/>
      <c r="J1142" s="67"/>
      <c r="K1142" s="67"/>
      <c r="R1142" s="67"/>
    </row>
    <row r="1143">
      <c r="B1143" s="182"/>
      <c r="E1143" s="261"/>
      <c r="G1143" s="182"/>
      <c r="J1143" s="67"/>
      <c r="K1143" s="67"/>
      <c r="R1143" s="67"/>
    </row>
    <row r="1144">
      <c r="B1144" s="182"/>
      <c r="E1144" s="261"/>
      <c r="G1144" s="182"/>
      <c r="J1144" s="67"/>
      <c r="K1144" s="67"/>
      <c r="R1144" s="67"/>
    </row>
    <row r="1145">
      <c r="B1145" s="182"/>
      <c r="E1145" s="261"/>
      <c r="G1145" s="182"/>
      <c r="J1145" s="67"/>
      <c r="K1145" s="67"/>
      <c r="R1145" s="67"/>
    </row>
    <row r="1146">
      <c r="B1146" s="182"/>
      <c r="E1146" s="261"/>
      <c r="G1146" s="182"/>
      <c r="J1146" s="67"/>
      <c r="K1146" s="67"/>
      <c r="R1146" s="67"/>
    </row>
    <row r="1147">
      <c r="B1147" s="182"/>
      <c r="E1147" s="261"/>
      <c r="G1147" s="182"/>
      <c r="J1147" s="67"/>
      <c r="K1147" s="67"/>
      <c r="R1147" s="67"/>
    </row>
  </sheetData>
  <mergeCells count="61">
    <mergeCell ref="N184:R184"/>
    <mergeCell ref="N185:R185"/>
    <mergeCell ref="A199:K199"/>
    <mergeCell ref="A200:K200"/>
    <mergeCell ref="N202:R202"/>
    <mergeCell ref="N203:R203"/>
    <mergeCell ref="A217:K217"/>
    <mergeCell ref="A218:K218"/>
    <mergeCell ref="N220:R220"/>
    <mergeCell ref="N221:R221"/>
    <mergeCell ref="A235:K235"/>
    <mergeCell ref="A236:K236"/>
    <mergeCell ref="N238:R238"/>
    <mergeCell ref="N239:R239"/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53:K253"/>
    <mergeCell ref="A254:K254"/>
    <mergeCell ref="N256:R256"/>
    <mergeCell ref="N257:R257"/>
    <mergeCell ref="N276:R276"/>
  </mergeCells>
  <dataValidations>
    <dataValidation type="list" allowBlank="1" showErrorMessage="1" sqref="I4:I15 I22:I33 I40:I51 I58:I69 I76:I87 I94:I105 I112:I123 I130:I141 I148:I159 I166:I177 I184:I195 I202:I213 I220:I231 I238:I249 I256:I267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4075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1790</v>
      </c>
      <c r="C4" s="74" t="str">
        <f t="shared" ref="C4:C15" si="1">PROPER(TEXT(DATE(MID($A$2,7,4),MID($A$2,4,2),LEFT($A$2,2)),"dddd"))</f>
        <v>Quinta-Feira</v>
      </c>
      <c r="D4" s="512" t="str">
        <f>IF(C4&lt;&gt;"Quarta-Feira","13:00","08:00")</f>
        <v>13:00</v>
      </c>
      <c r="E4" s="246"/>
      <c r="F4" s="210"/>
      <c r="G4" s="59" t="s">
        <v>4076</v>
      </c>
      <c r="H4" s="211"/>
      <c r="I4" s="41"/>
      <c r="J4" s="102"/>
      <c r="K4" s="102"/>
      <c r="N4" s="268" t="s">
        <v>387</v>
      </c>
      <c r="O4" s="100"/>
      <c r="P4" s="100"/>
      <c r="Q4" s="100"/>
      <c r="R4" s="67"/>
    </row>
    <row r="5">
      <c r="A5" s="12" t="s">
        <v>11</v>
      </c>
      <c r="B5" s="227" t="s">
        <v>1714</v>
      </c>
      <c r="C5" s="74" t="str">
        <f t="shared" si="1"/>
        <v>Quinta-Feira</v>
      </c>
      <c r="D5" s="512" t="str">
        <f>IF(C5&lt;&gt;"Quarta-Feira","13:20","08:20")</f>
        <v>13:20</v>
      </c>
      <c r="E5" s="287"/>
      <c r="F5" s="301"/>
      <c r="G5" s="59" t="s">
        <v>4077</v>
      </c>
      <c r="H5" s="166"/>
      <c r="I5" s="41"/>
      <c r="J5" s="42"/>
      <c r="K5" s="42"/>
      <c r="N5" s="270" t="s">
        <v>2086</v>
      </c>
      <c r="O5" s="2"/>
      <c r="P5" s="2"/>
      <c r="Q5" s="2"/>
      <c r="R5" s="67"/>
    </row>
    <row r="6" ht="20.25" customHeight="1">
      <c r="A6" s="12" t="s">
        <v>12</v>
      </c>
      <c r="B6" s="227" t="s">
        <v>1781</v>
      </c>
      <c r="C6" s="74" t="str">
        <f t="shared" si="1"/>
        <v>Quinta-Feira</v>
      </c>
      <c r="D6" s="512" t="str">
        <f>IF(C6&lt;&gt;"Quarta-Feira","13:40","08:40")</f>
        <v>13:40</v>
      </c>
      <c r="E6" s="287"/>
      <c r="F6" s="301"/>
      <c r="G6" s="59" t="s">
        <v>4078</v>
      </c>
      <c r="H6" s="166"/>
      <c r="I6" s="41"/>
      <c r="J6" s="42"/>
      <c r="K6" s="102"/>
      <c r="N6" s="271" t="s">
        <v>41</v>
      </c>
      <c r="O6" s="272" t="s">
        <v>195</v>
      </c>
      <c r="P6" s="272" t="s">
        <v>181</v>
      </c>
      <c r="Q6" s="273" t="s">
        <v>2088</v>
      </c>
      <c r="R6" s="67"/>
    </row>
    <row r="7">
      <c r="A7" s="12" t="s">
        <v>13</v>
      </c>
      <c r="B7" s="227" t="s">
        <v>1721</v>
      </c>
      <c r="C7" s="74" t="str">
        <f t="shared" si="1"/>
        <v>Quinta-Feira</v>
      </c>
      <c r="D7" s="512" t="str">
        <f>IF(C7&lt;&gt;"Quarta-Feira","14:00","09:00")</f>
        <v>14:00</v>
      </c>
      <c r="E7" s="241"/>
      <c r="F7" s="84"/>
      <c r="G7" s="59" t="s">
        <v>4079</v>
      </c>
      <c r="H7" s="83"/>
      <c r="I7" s="41"/>
      <c r="J7" s="305"/>
      <c r="K7" s="305"/>
      <c r="N7" s="275">
        <f t="shared" ref="N7:P7" si="2">COUNTIFS($I$4:$I$15,N6)</f>
        <v>0</v>
      </c>
      <c r="O7" s="275">
        <f t="shared" si="2"/>
        <v>0</v>
      </c>
      <c r="P7" s="275">
        <f t="shared" si="2"/>
        <v>0</v>
      </c>
      <c r="Q7" s="275">
        <f>COUNTIF(I4:I15,Q6)</f>
        <v>0</v>
      </c>
      <c r="R7" s="67"/>
    </row>
    <row r="8">
      <c r="A8" s="12" t="s">
        <v>14</v>
      </c>
      <c r="B8" s="227" t="s">
        <v>1796</v>
      </c>
      <c r="C8" s="74" t="str">
        <f t="shared" si="1"/>
        <v>Quinta-Feira</v>
      </c>
      <c r="D8" s="512" t="str">
        <f>IF(C8&lt;&gt;"Quarta-Feira","14:20","09:20")</f>
        <v>14:20</v>
      </c>
      <c r="E8" s="306"/>
      <c r="F8" s="526"/>
      <c r="G8" s="59" t="s">
        <v>4080</v>
      </c>
      <c r="H8" s="308"/>
      <c r="I8" s="41"/>
      <c r="J8" s="138"/>
      <c r="K8" s="138"/>
      <c r="R8" s="67"/>
    </row>
    <row r="9">
      <c r="A9" s="12" t="s">
        <v>15</v>
      </c>
      <c r="B9" s="227" t="s">
        <v>1790</v>
      </c>
      <c r="C9" s="74" t="str">
        <f t="shared" si="1"/>
        <v>Quinta-Feira</v>
      </c>
      <c r="D9" s="512" t="str">
        <f>IF(C9&lt;&gt;"Quarta-Feira","14:40","09:40")</f>
        <v>14:40</v>
      </c>
      <c r="E9" s="242"/>
      <c r="F9" s="185"/>
      <c r="G9" s="59" t="s">
        <v>4081</v>
      </c>
      <c r="H9" s="77"/>
      <c r="I9" s="41"/>
      <c r="J9" s="42"/>
      <c r="K9" s="42"/>
      <c r="R9" s="67"/>
    </row>
    <row r="10">
      <c r="A10" s="12" t="s">
        <v>16</v>
      </c>
      <c r="B10" s="227" t="s">
        <v>2653</v>
      </c>
      <c r="C10" s="74" t="str">
        <f t="shared" si="1"/>
        <v>Quinta-Feira</v>
      </c>
      <c r="D10" s="512" t="str">
        <f>IF(C10&lt;&gt;"Quarta-Feira","15:00","10:00")</f>
        <v>15:00</v>
      </c>
      <c r="E10" s="241"/>
      <c r="F10" s="84"/>
      <c r="G10" s="59" t="s">
        <v>4082</v>
      </c>
      <c r="H10" s="83"/>
      <c r="I10" s="41"/>
      <c r="J10" s="305"/>
      <c r="K10" s="305"/>
      <c r="R10" s="67"/>
    </row>
    <row r="11">
      <c r="A11" s="12" t="s">
        <v>17</v>
      </c>
      <c r="B11" s="227" t="s">
        <v>2656</v>
      </c>
      <c r="C11" s="74" t="str">
        <f t="shared" si="1"/>
        <v>Quinta-Feira</v>
      </c>
      <c r="D11" s="512" t="str">
        <f>IF(C11&lt;&gt;"Quarta-Feira","15:20","10:20")</f>
        <v>15:20</v>
      </c>
      <c r="E11" s="241"/>
      <c r="F11" s="84"/>
      <c r="G11" s="59" t="s">
        <v>4083</v>
      </c>
      <c r="H11" s="83"/>
      <c r="I11" s="41"/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227" t="s">
        <v>2659</v>
      </c>
      <c r="C12" s="74" t="str">
        <f t="shared" si="1"/>
        <v>Quinta-Feira</v>
      </c>
      <c r="D12" s="512" t="str">
        <f>IF(C12&lt;&gt;"Quarta-Feira","15:40","10:40")</f>
        <v>15:40</v>
      </c>
      <c r="E12" s="278"/>
      <c r="F12" s="156"/>
      <c r="G12" s="59" t="s">
        <v>4084</v>
      </c>
      <c r="H12" s="91"/>
      <c r="I12" s="41"/>
      <c r="J12" s="42"/>
      <c r="K12" s="42"/>
      <c r="R12" s="67"/>
    </row>
    <row r="13">
      <c r="A13" s="12" t="s">
        <v>87</v>
      </c>
      <c r="B13" s="227" t="s">
        <v>1735</v>
      </c>
      <c r="C13" s="74" t="str">
        <f t="shared" si="1"/>
        <v>Quinta-Feira</v>
      </c>
      <c r="D13" s="512" t="str">
        <f>IF(C13&lt;&gt;"Quarta-Feira","16:00","11:00")</f>
        <v>16:00</v>
      </c>
      <c r="E13" s="245"/>
      <c r="F13" s="156"/>
      <c r="G13" s="59" t="s">
        <v>4085</v>
      </c>
      <c r="H13" s="91"/>
      <c r="I13" s="41"/>
      <c r="J13" s="42"/>
      <c r="K13" s="42"/>
      <c r="R13" s="67"/>
    </row>
    <row r="14">
      <c r="A14" s="12" t="s">
        <v>90</v>
      </c>
      <c r="B14" s="227" t="s">
        <v>2659</v>
      </c>
      <c r="C14" s="74" t="str">
        <f t="shared" si="1"/>
        <v>Quinta-Feira</v>
      </c>
      <c r="D14" s="512" t="str">
        <f>IF(C14&lt;&gt;"Quarta-Feira","16:20","11:20")</f>
        <v>16:20</v>
      </c>
      <c r="E14" s="295"/>
      <c r="F14" s="133"/>
      <c r="G14" s="59" t="s">
        <v>4086</v>
      </c>
      <c r="H14" s="166"/>
      <c r="I14" s="41"/>
      <c r="J14" s="42"/>
      <c r="K14" s="42"/>
      <c r="R14" s="67"/>
    </row>
    <row r="15">
      <c r="A15" s="12" t="s">
        <v>93</v>
      </c>
      <c r="B15" s="227" t="s">
        <v>1735</v>
      </c>
      <c r="C15" s="74" t="str">
        <f t="shared" si="1"/>
        <v>Quinta-Feira</v>
      </c>
      <c r="D15" s="512" t="str">
        <f>IF(C15&lt;&gt;"Quarta-Feira","16:40","11:40")</f>
        <v>16:40</v>
      </c>
      <c r="E15" s="295"/>
      <c r="F15" s="133"/>
      <c r="G15" s="59" t="s">
        <v>4087</v>
      </c>
      <c r="H15" s="166"/>
      <c r="I15" s="41"/>
      <c r="J15" s="42"/>
      <c r="K15" s="42"/>
      <c r="R15" s="67"/>
    </row>
    <row r="16">
      <c r="E16" s="261"/>
      <c r="J16" s="67"/>
      <c r="K16" s="67"/>
      <c r="R16" s="67"/>
    </row>
    <row r="17">
      <c r="E17" s="261"/>
      <c r="J17" s="67"/>
      <c r="K17" s="67"/>
      <c r="R17" s="67"/>
    </row>
    <row r="18" ht="15.0" customHeight="1">
      <c r="E18" s="261"/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tr">
        <f>TEXT(DATE(VALUE(MID(A2,7,4)),VALUE(MID(A2,4,2)),VALUE(LEFT(A2,2)))+5,"dd/mm/yyyy")&amp;" 13h às 17h"</f>
        <v>07/07/2026 13h às 17h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2082</v>
      </c>
      <c r="C22" s="74" t="str">
        <f t="shared" ref="C22:C33" si="3">PROPER(TEXT(DATE(MID($A$20,7,4),MID($A$20,4,2),LEFT($A$20,2)),"dddd"))</f>
        <v>Terça-Feira</v>
      </c>
      <c r="D22" s="512" t="str">
        <f>IF(C22&lt;&gt;"Quarta-Feira","13:00","08:00")</f>
        <v>13:00</v>
      </c>
      <c r="E22" s="287" t="s">
        <v>3865</v>
      </c>
      <c r="F22" s="133">
        <v>8.98000283767199E14</v>
      </c>
      <c r="G22" s="161" t="s">
        <v>3866</v>
      </c>
      <c r="H22" s="166">
        <v>24935.0</v>
      </c>
      <c r="I22" s="41" t="s">
        <v>41</v>
      </c>
      <c r="J22" s="133"/>
      <c r="K22" s="133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2084</v>
      </c>
      <c r="C23" s="74" t="str">
        <f t="shared" si="3"/>
        <v>Terça-Feira</v>
      </c>
      <c r="D23" s="512" t="str">
        <f>IF(C23&lt;&gt;"Quarta-Feira","13:20","08:20")</f>
        <v>13:20</v>
      </c>
      <c r="E23" s="242"/>
      <c r="F23" s="133"/>
      <c r="G23" s="161" t="s">
        <v>4088</v>
      </c>
      <c r="H23" s="166"/>
      <c r="I23" s="41" t="s">
        <v>41</v>
      </c>
      <c r="J23" s="133"/>
      <c r="K23" s="133"/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2087</v>
      </c>
      <c r="C24" s="74" t="str">
        <f t="shared" si="3"/>
        <v>Terça-Feira</v>
      </c>
      <c r="D24" s="512" t="str">
        <f>IF(C24&lt;&gt;"Quarta-Feira","13:40","08:40")</f>
        <v>13:40</v>
      </c>
      <c r="E24" s="242" t="s">
        <v>582</v>
      </c>
      <c r="F24" s="133">
        <v>7.05206435773673E14</v>
      </c>
      <c r="G24" s="161" t="s">
        <v>4089</v>
      </c>
      <c r="H24" s="166">
        <v>17158.0</v>
      </c>
      <c r="I24" s="41" t="s">
        <v>2088</v>
      </c>
      <c r="J24" s="133"/>
      <c r="K24" s="133"/>
      <c r="L24" s="216" t="s">
        <v>521</v>
      </c>
      <c r="N24" s="271" t="s">
        <v>41</v>
      </c>
      <c r="O24" s="272" t="s">
        <v>195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2089</v>
      </c>
      <c r="C25" s="74" t="str">
        <f t="shared" si="3"/>
        <v>Terça-Feira</v>
      </c>
      <c r="D25" s="512" t="str">
        <f>IF(C25&lt;&gt;"Quarta-Feira","14:00","09:00")</f>
        <v>14:00</v>
      </c>
      <c r="E25" s="245" t="s">
        <v>4090</v>
      </c>
      <c r="F25" s="133">
        <v>2.03041899650005E14</v>
      </c>
      <c r="G25" s="161" t="s">
        <v>4091</v>
      </c>
      <c r="H25" s="166">
        <v>29165.0</v>
      </c>
      <c r="I25" s="41" t="s">
        <v>41</v>
      </c>
      <c r="J25" s="133"/>
      <c r="K25" s="133"/>
      <c r="L25" s="216" t="s">
        <v>521</v>
      </c>
      <c r="N25" s="275">
        <f t="shared" ref="N25:Q25" si="4">COUNTIFS($I$22:$I$33,N24)</f>
        <v>8</v>
      </c>
      <c r="O25" s="275">
        <f t="shared" si="4"/>
        <v>0</v>
      </c>
      <c r="P25" s="275">
        <f t="shared" si="4"/>
        <v>0</v>
      </c>
      <c r="Q25" s="275">
        <f t="shared" si="4"/>
        <v>2</v>
      </c>
      <c r="R25" s="67"/>
    </row>
    <row r="26" ht="18.0" customHeight="1">
      <c r="A26" s="12" t="s">
        <v>14</v>
      </c>
      <c r="B26" s="227" t="s">
        <v>2082</v>
      </c>
      <c r="C26" s="74" t="str">
        <f t="shared" si="3"/>
        <v>Terça-Feira</v>
      </c>
      <c r="D26" s="512" t="str">
        <f>IF(C26&lt;&gt;"Quarta-Feira","14:20","09:20")</f>
        <v>14:20</v>
      </c>
      <c r="E26" s="419" t="s">
        <v>3836</v>
      </c>
      <c r="F26" s="133">
        <v>7.0840832225867E14</v>
      </c>
      <c r="G26" s="161" t="s">
        <v>3837</v>
      </c>
      <c r="H26" s="166">
        <v>17156.0</v>
      </c>
      <c r="I26" s="41" t="s">
        <v>2088</v>
      </c>
      <c r="J26" s="133"/>
      <c r="K26" s="133"/>
      <c r="L26" s="216" t="s">
        <v>521</v>
      </c>
      <c r="R26" s="67"/>
    </row>
    <row r="27">
      <c r="A27" s="12" t="s">
        <v>15</v>
      </c>
      <c r="B27" s="227" t="s">
        <v>2089</v>
      </c>
      <c r="C27" s="74" t="str">
        <f t="shared" si="3"/>
        <v>Terça-Feira</v>
      </c>
      <c r="D27" s="512" t="str">
        <f>IF(C27&lt;&gt;"Quarta-Feira","14:40","09:40")</f>
        <v>14:40</v>
      </c>
      <c r="E27" s="419" t="s">
        <v>4092</v>
      </c>
      <c r="F27" s="133">
        <v>8.01440401783311E14</v>
      </c>
      <c r="G27" s="161" t="s">
        <v>4093</v>
      </c>
      <c r="H27" s="166">
        <v>18473.0</v>
      </c>
      <c r="I27" s="41" t="s">
        <v>41</v>
      </c>
      <c r="J27" s="133"/>
      <c r="K27" s="133"/>
      <c r="L27" s="216" t="s">
        <v>521</v>
      </c>
      <c r="R27" s="67"/>
    </row>
    <row r="28">
      <c r="A28" s="12" t="s">
        <v>16</v>
      </c>
      <c r="B28" s="227" t="s">
        <v>2093</v>
      </c>
      <c r="C28" s="74" t="str">
        <f t="shared" si="3"/>
        <v>Terça-Feira</v>
      </c>
      <c r="D28" s="512" t="str">
        <f>IF(C28&lt;&gt;"Quarta-Feira","15:00","10:00")</f>
        <v>15:00</v>
      </c>
      <c r="E28" s="245" t="s">
        <v>4094</v>
      </c>
      <c r="F28" s="162">
        <v>1.07795357200006E14</v>
      </c>
      <c r="G28" s="161" t="s">
        <v>4095</v>
      </c>
      <c r="H28" s="163">
        <v>21553.0</v>
      </c>
      <c r="I28" s="41" t="s">
        <v>41</v>
      </c>
      <c r="J28" s="305"/>
      <c r="K28" s="133"/>
      <c r="L28" s="216" t="s">
        <v>521</v>
      </c>
      <c r="R28" s="67"/>
    </row>
    <row r="29">
      <c r="A29" s="12" t="s">
        <v>17</v>
      </c>
      <c r="B29" s="227" t="s">
        <v>2094</v>
      </c>
      <c r="C29" s="74" t="str">
        <f t="shared" si="3"/>
        <v>Terça-Feira</v>
      </c>
      <c r="D29" s="512" t="str">
        <f>IF(C29&lt;&gt;"Quarta-Feira","15:20","10:20")</f>
        <v>15:20</v>
      </c>
      <c r="E29" s="242" t="s">
        <v>4096</v>
      </c>
      <c r="F29" s="133">
        <v>7.04607196290625E14</v>
      </c>
      <c r="G29" s="161" t="s">
        <v>4097</v>
      </c>
      <c r="H29" s="166">
        <v>21591.0</v>
      </c>
      <c r="I29" s="41" t="s">
        <v>41</v>
      </c>
      <c r="J29" s="133"/>
      <c r="K29" s="133"/>
      <c r="L29" s="216" t="s">
        <v>521</v>
      </c>
      <c r="R29" s="67"/>
    </row>
    <row r="30">
      <c r="A30" s="12" t="s">
        <v>85</v>
      </c>
      <c r="B30" s="227" t="s">
        <v>2095</v>
      </c>
      <c r="C30" s="74" t="str">
        <f t="shared" si="3"/>
        <v>Terça-Feira</v>
      </c>
      <c r="D30" s="512" t="str">
        <f>IF(C30&lt;&gt;"Quarta-Feira","15:40","10:40")</f>
        <v>15:40</v>
      </c>
      <c r="E30" s="295" t="s">
        <v>3871</v>
      </c>
      <c r="F30" s="133">
        <v>8.01440480834747E14</v>
      </c>
      <c r="G30" s="161" t="s">
        <v>3872</v>
      </c>
      <c r="H30" s="166">
        <v>24428.0</v>
      </c>
      <c r="I30" s="41" t="s">
        <v>41</v>
      </c>
      <c r="J30" s="133"/>
      <c r="K30" s="133"/>
      <c r="L30" s="216" t="s">
        <v>521</v>
      </c>
      <c r="R30" s="67"/>
    </row>
    <row r="31">
      <c r="A31" s="12" t="s">
        <v>87</v>
      </c>
      <c r="B31" s="227" t="s">
        <v>2096</v>
      </c>
      <c r="C31" s="74" t="str">
        <f t="shared" si="3"/>
        <v>Terça-Feira</v>
      </c>
      <c r="D31" s="512" t="str">
        <f>IF(C31&lt;&gt;"Quarta-Feira","16:00","11:00")</f>
        <v>16:00</v>
      </c>
      <c r="E31" s="245"/>
      <c r="F31" s="133"/>
      <c r="G31" s="161"/>
      <c r="H31" s="166"/>
      <c r="I31" s="41"/>
      <c r="J31" s="133"/>
      <c r="K31" s="133"/>
      <c r="L31" s="216" t="s">
        <v>521</v>
      </c>
      <c r="R31" s="67"/>
    </row>
    <row r="32">
      <c r="A32" s="12" t="s">
        <v>90</v>
      </c>
      <c r="B32" s="227" t="s">
        <v>2098</v>
      </c>
      <c r="C32" s="74" t="str">
        <f t="shared" si="3"/>
        <v>Terça-Feira</v>
      </c>
      <c r="D32" s="512" t="str">
        <f>IF(C32&lt;&gt;"Quarta-Feira","16:20","11:20")</f>
        <v>16:20</v>
      </c>
      <c r="E32" s="295" t="s">
        <v>4098</v>
      </c>
      <c r="F32" s="133">
        <v>8.98001442309808E14</v>
      </c>
      <c r="G32" s="161" t="s">
        <v>4099</v>
      </c>
      <c r="H32" s="166">
        <v>27886.0</v>
      </c>
      <c r="I32" s="41" t="s">
        <v>41</v>
      </c>
      <c r="J32" s="133"/>
      <c r="K32" s="133"/>
      <c r="L32" s="216" t="s">
        <v>521</v>
      </c>
      <c r="R32" s="67"/>
    </row>
    <row r="33">
      <c r="A33" s="12" t="s">
        <v>93</v>
      </c>
      <c r="B33" s="227" t="s">
        <v>2096</v>
      </c>
      <c r="C33" s="74" t="str">
        <f t="shared" si="3"/>
        <v>Terça-Feira</v>
      </c>
      <c r="D33" s="512" t="str">
        <f>IF(C33&lt;&gt;"Quarta-Feira","16:40","11:40")</f>
        <v>16:40</v>
      </c>
      <c r="E33" s="295"/>
      <c r="F33" s="133"/>
      <c r="G33" s="161"/>
      <c r="H33" s="166"/>
      <c r="I33" s="41"/>
      <c r="J33" s="133"/>
      <c r="K33" s="133"/>
      <c r="R33" s="67"/>
    </row>
    <row r="34">
      <c r="E34" s="261"/>
      <c r="J34" s="67"/>
      <c r="K34" s="67"/>
      <c r="R34" s="67"/>
    </row>
    <row r="35">
      <c r="E35" s="261"/>
      <c r="J35" s="67"/>
      <c r="K35" s="67"/>
      <c r="R35" s="67"/>
    </row>
    <row r="36">
      <c r="E36" s="261"/>
      <c r="J36" s="67"/>
      <c r="K36" s="67"/>
      <c r="R36" s="67"/>
    </row>
    <row r="37">
      <c r="A37" s="23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4.75" customHeight="1">
      <c r="A38" s="24" t="str">
        <f>TEXT(DATE(VALUE(MID(A2,7,4)),VALUE(MID(A2,4,2)),VALUE(LEFT(A2,2)))+7,"dd/mm/yyyy")&amp;" 13h às 17h"</f>
        <v>09/07/2026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26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7" t="s">
        <v>1790</v>
      </c>
      <c r="C40" s="74" t="str">
        <f t="shared" ref="C40:C51" si="5">PROPER(TEXT(DATE(MID($A$38,7,4),MID($A$38,4,2),LEFT($A$38,2)),"dddd"))</f>
        <v>Quinta-Feira</v>
      </c>
      <c r="D40" s="512" t="str">
        <f>IF(C40&lt;&gt;"Quarta-Feira","13:00","08:00")</f>
        <v>13:00</v>
      </c>
      <c r="E40" s="241"/>
      <c r="F40" s="84"/>
      <c r="G40" s="79" t="s">
        <v>2799</v>
      </c>
      <c r="H40" s="77"/>
      <c r="I40" s="34"/>
      <c r="J40" s="314"/>
      <c r="K40" s="314"/>
      <c r="L40" s="216" t="s">
        <v>521</v>
      </c>
      <c r="N40" s="268" t="s">
        <v>387</v>
      </c>
      <c r="O40" s="100"/>
      <c r="P40" s="100"/>
      <c r="Q40" s="100"/>
      <c r="R40" s="67"/>
    </row>
    <row r="41">
      <c r="A41" s="12" t="s">
        <v>11</v>
      </c>
      <c r="B41" s="227" t="s">
        <v>1714</v>
      </c>
      <c r="C41" s="74" t="str">
        <f t="shared" si="5"/>
        <v>Quinta-Feira</v>
      </c>
      <c r="D41" s="512" t="str">
        <f>IF(C41&lt;&gt;"Quarta-Feira","13:20","08:20")</f>
        <v>13:20</v>
      </c>
      <c r="E41" s="241"/>
      <c r="F41" s="84"/>
      <c r="G41" s="79" t="s">
        <v>2799</v>
      </c>
      <c r="H41" s="77"/>
      <c r="I41" s="34"/>
      <c r="J41" s="314"/>
      <c r="K41" s="314"/>
      <c r="N41" s="270" t="s">
        <v>2086</v>
      </c>
      <c r="O41" s="2"/>
      <c r="P41" s="2"/>
      <c r="Q41" s="2"/>
      <c r="R41" s="67"/>
    </row>
    <row r="42">
      <c r="A42" s="12" t="s">
        <v>12</v>
      </c>
      <c r="B42" s="227" t="s">
        <v>1781</v>
      </c>
      <c r="C42" s="74" t="str">
        <f t="shared" si="5"/>
        <v>Quinta-Feira</v>
      </c>
      <c r="D42" s="512" t="str">
        <f>IF(C42&lt;&gt;"Quarta-Feira","13:40","08:40")</f>
        <v>13:40</v>
      </c>
      <c r="E42" s="241"/>
      <c r="F42" s="84"/>
      <c r="G42" s="79" t="s">
        <v>2799</v>
      </c>
      <c r="H42" s="77"/>
      <c r="I42" s="34"/>
      <c r="J42" s="382"/>
      <c r="K42" s="382"/>
      <c r="L42" s="216" t="s">
        <v>521</v>
      </c>
      <c r="N42" s="271" t="s">
        <v>183</v>
      </c>
      <c r="O42" s="272" t="s">
        <v>195</v>
      </c>
      <c r="P42" s="272" t="s">
        <v>181</v>
      </c>
      <c r="Q42" s="273" t="s">
        <v>2088</v>
      </c>
      <c r="R42" s="286" t="s">
        <v>439</v>
      </c>
    </row>
    <row r="43">
      <c r="A43" s="12" t="s">
        <v>13</v>
      </c>
      <c r="B43" s="227" t="s">
        <v>1721</v>
      </c>
      <c r="C43" s="74" t="str">
        <f t="shared" si="5"/>
        <v>Quinta-Feira</v>
      </c>
      <c r="D43" s="512" t="str">
        <f>IF(C43&lt;&gt;"Quarta-Feira","14:00","09:00")</f>
        <v>14:00</v>
      </c>
      <c r="E43" s="241"/>
      <c r="F43" s="84"/>
      <c r="G43" s="79" t="s">
        <v>2799</v>
      </c>
      <c r="H43" s="77"/>
      <c r="I43" s="34"/>
      <c r="J43" s="314"/>
      <c r="K43" s="314"/>
      <c r="L43" s="216" t="s">
        <v>521</v>
      </c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0</v>
      </c>
    </row>
    <row r="44">
      <c r="A44" s="12" t="s">
        <v>14</v>
      </c>
      <c r="B44" s="227" t="s">
        <v>1796</v>
      </c>
      <c r="C44" s="74" t="str">
        <f t="shared" si="5"/>
        <v>Quinta-Feira</v>
      </c>
      <c r="D44" s="512" t="str">
        <f>IF(C44&lt;&gt;"Quarta-Feira","14:20","09:20")</f>
        <v>14:20</v>
      </c>
      <c r="E44" s="241"/>
      <c r="F44" s="84"/>
      <c r="G44" s="79" t="s">
        <v>2799</v>
      </c>
      <c r="H44" s="77"/>
      <c r="I44" s="41"/>
      <c r="J44" s="314"/>
      <c r="K44" s="314"/>
      <c r="L44" s="216" t="s">
        <v>521</v>
      </c>
      <c r="R44" s="67"/>
    </row>
    <row r="45">
      <c r="A45" s="12" t="s">
        <v>15</v>
      </c>
      <c r="B45" s="227" t="s">
        <v>1790</v>
      </c>
      <c r="C45" s="74" t="str">
        <f t="shared" si="5"/>
        <v>Quinta-Feira</v>
      </c>
      <c r="D45" s="512" t="str">
        <f>IF(C45&lt;&gt;"Quarta-Feira","14:40","09:40")</f>
        <v>14:40</v>
      </c>
      <c r="E45" s="241"/>
      <c r="F45" s="84"/>
      <c r="G45" s="79" t="s">
        <v>2799</v>
      </c>
      <c r="H45" s="77"/>
      <c r="I45" s="34"/>
      <c r="J45" s="314"/>
      <c r="K45" s="314"/>
      <c r="L45" s="216" t="s">
        <v>521</v>
      </c>
      <c r="R45" s="67"/>
    </row>
    <row r="46">
      <c r="A46" s="12" t="s">
        <v>16</v>
      </c>
      <c r="B46" s="227" t="s">
        <v>2653</v>
      </c>
      <c r="C46" s="74" t="str">
        <f t="shared" si="5"/>
        <v>Quinta-Feira</v>
      </c>
      <c r="D46" s="512" t="str">
        <f>IF(C46&lt;&gt;"Quarta-Feira","15:00","10:00")</f>
        <v>15:00</v>
      </c>
      <c r="E46" s="241"/>
      <c r="F46" s="84"/>
      <c r="G46" s="79" t="s">
        <v>2799</v>
      </c>
      <c r="H46" s="77"/>
      <c r="I46" s="41"/>
      <c r="J46" s="382"/>
      <c r="K46" s="314"/>
      <c r="R46" s="67"/>
    </row>
    <row r="47">
      <c r="A47" s="12" t="s">
        <v>17</v>
      </c>
      <c r="B47" s="227" t="s">
        <v>2656</v>
      </c>
      <c r="C47" s="74" t="str">
        <f t="shared" si="5"/>
        <v>Quinta-Feira</v>
      </c>
      <c r="D47" s="512" t="str">
        <f>IF(C47&lt;&gt;"Quarta-Feira","15:20","10:20")</f>
        <v>15:20</v>
      </c>
      <c r="E47" s="241"/>
      <c r="F47" s="84"/>
      <c r="G47" s="79" t="s">
        <v>2799</v>
      </c>
      <c r="H47" s="77"/>
      <c r="I47" s="41"/>
      <c r="J47" s="382"/>
      <c r="K47" s="382"/>
      <c r="R47" s="67"/>
    </row>
    <row r="48">
      <c r="A48" s="12" t="s">
        <v>85</v>
      </c>
      <c r="B48" s="227" t="s">
        <v>2659</v>
      </c>
      <c r="C48" s="74" t="str">
        <f t="shared" si="5"/>
        <v>Quinta-Feira</v>
      </c>
      <c r="D48" s="512" t="str">
        <f>IF(C48&lt;&gt;"Quarta-Feira","15:40","10:40")</f>
        <v>15:40</v>
      </c>
      <c r="E48" s="241"/>
      <c r="F48" s="84"/>
      <c r="G48" s="79" t="s">
        <v>2799</v>
      </c>
      <c r="H48" s="77"/>
      <c r="I48" s="34"/>
      <c r="J48" s="314"/>
      <c r="K48" s="314"/>
      <c r="L48" s="216" t="s">
        <v>577</v>
      </c>
      <c r="R48" s="67"/>
    </row>
    <row r="49">
      <c r="A49" s="12" t="s">
        <v>87</v>
      </c>
      <c r="B49" s="227" t="s">
        <v>1735</v>
      </c>
      <c r="C49" s="74" t="str">
        <f t="shared" si="5"/>
        <v>Quinta-Feira</v>
      </c>
      <c r="D49" s="512" t="str">
        <f>IF(C49&lt;&gt;"Quarta-Feira","16:00","11:00")</f>
        <v>16:00</v>
      </c>
      <c r="E49" s="241"/>
      <c r="G49" s="79" t="s">
        <v>2799</v>
      </c>
      <c r="H49" s="77"/>
      <c r="I49" s="41"/>
      <c r="J49" s="382"/>
      <c r="K49" s="314"/>
      <c r="R49" s="67"/>
    </row>
    <row r="50">
      <c r="A50" s="12" t="s">
        <v>90</v>
      </c>
      <c r="B50" s="227" t="s">
        <v>2659</v>
      </c>
      <c r="C50" s="74" t="str">
        <f t="shared" si="5"/>
        <v>Quinta-Feira</v>
      </c>
      <c r="D50" s="512" t="str">
        <f>IF(C50&lt;&gt;"Quarta-Feira","16:20","11:20")</f>
        <v>16:20</v>
      </c>
      <c r="E50" s="241"/>
      <c r="F50" s="84"/>
      <c r="G50" s="79" t="s">
        <v>2799</v>
      </c>
      <c r="H50" s="314"/>
      <c r="I50" s="41"/>
      <c r="J50" s="314"/>
      <c r="K50" s="314"/>
      <c r="R50" s="67"/>
    </row>
    <row r="51">
      <c r="A51" s="12" t="s">
        <v>93</v>
      </c>
      <c r="B51" s="227" t="s">
        <v>1735</v>
      </c>
      <c r="C51" s="74" t="str">
        <f t="shared" si="5"/>
        <v>Quinta-Feira</v>
      </c>
      <c r="D51" s="512" t="str">
        <f>IF(C51&lt;&gt;"Quarta-Feira","16:40","11:40")</f>
        <v>16:40</v>
      </c>
      <c r="E51" s="241"/>
      <c r="F51" s="84"/>
      <c r="G51" s="79" t="s">
        <v>2799</v>
      </c>
      <c r="H51" s="314"/>
      <c r="I51" s="41"/>
      <c r="J51" s="382"/>
      <c r="K51" s="314"/>
      <c r="R51" s="67"/>
    </row>
    <row r="52">
      <c r="E52" s="261"/>
      <c r="J52" s="67"/>
      <c r="K52" s="67"/>
      <c r="R52" s="67"/>
    </row>
    <row r="53">
      <c r="E53" s="261"/>
      <c r="J53" s="67"/>
      <c r="K53" s="67"/>
      <c r="R53" s="67"/>
    </row>
    <row r="54">
      <c r="E54" s="261"/>
      <c r="J54" s="67"/>
      <c r="K54" s="67"/>
      <c r="R54" s="67"/>
    </row>
    <row r="55">
      <c r="A55" s="23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TEXT(DATE(VALUE(MID(A38,7,4)),VALUE(MID(A38,4,2)),VALUE(LEFT(A38,2)))+5,"dd/mm/yyyy")&amp;" 13h às 17h"</f>
        <v>14/07/2026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26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5.75" customHeight="1">
      <c r="A58" s="12" t="s">
        <v>10</v>
      </c>
      <c r="B58" s="227" t="s">
        <v>2082</v>
      </c>
      <c r="C58" s="74" t="str">
        <f t="shared" ref="C58:C69" si="7">PROPER(TEXT(DATE(MID($A$56,7,4),MID($A$56,4,2),LEFT($A$56,2)),"dddd"))</f>
        <v>Terça-Feira</v>
      </c>
      <c r="D58" s="512" t="str">
        <f>IF(C58&lt;&gt;"Quarta-Feira","13:00","08:00")</f>
        <v>13:00</v>
      </c>
      <c r="E58" s="241" t="s">
        <v>4100</v>
      </c>
      <c r="F58" s="301">
        <v>7.04006895895768E14</v>
      </c>
      <c r="G58" s="161" t="s">
        <v>4101</v>
      </c>
      <c r="H58" s="163">
        <v>20251.0</v>
      </c>
      <c r="I58" s="41" t="s">
        <v>2088</v>
      </c>
      <c r="J58" s="238"/>
      <c r="K58" s="238"/>
      <c r="L58" s="216" t="s">
        <v>521</v>
      </c>
      <c r="N58" s="268" t="s">
        <v>387</v>
      </c>
      <c r="O58" s="100"/>
      <c r="P58" s="100"/>
      <c r="Q58" s="100"/>
      <c r="R58" s="67"/>
    </row>
    <row r="59" ht="15.75" customHeight="1">
      <c r="A59" s="12" t="s">
        <v>11</v>
      </c>
      <c r="B59" s="227" t="s">
        <v>2084</v>
      </c>
      <c r="C59" s="74" t="str">
        <f t="shared" si="7"/>
        <v>Terça-Feira</v>
      </c>
      <c r="D59" s="512" t="str">
        <f>IF(C59&lt;&gt;"Quarta-Feira","13:20","08:20")</f>
        <v>13:20</v>
      </c>
      <c r="E59" s="241" t="s">
        <v>4102</v>
      </c>
      <c r="F59" s="440">
        <v>7.00006043484107E14</v>
      </c>
      <c r="G59" s="161" t="s">
        <v>4103</v>
      </c>
      <c r="H59" s="163">
        <v>25044.0</v>
      </c>
      <c r="I59" s="41" t="s">
        <v>41</v>
      </c>
      <c r="J59" s="238"/>
      <c r="K59" s="238"/>
      <c r="N59" s="270" t="s">
        <v>2086</v>
      </c>
      <c r="O59" s="2"/>
      <c r="P59" s="2"/>
      <c r="Q59" s="2"/>
      <c r="R59" s="67"/>
    </row>
    <row r="60" ht="15.75" customHeight="1">
      <c r="A60" s="12" t="s">
        <v>12</v>
      </c>
      <c r="B60" s="227" t="s">
        <v>2087</v>
      </c>
      <c r="C60" s="74" t="str">
        <f t="shared" si="7"/>
        <v>Terça-Feira</v>
      </c>
      <c r="D60" s="512" t="str">
        <f>IF(C60&lt;&gt;"Quarta-Feira","13:40","08:40")</f>
        <v>13:40</v>
      </c>
      <c r="E60" s="241" t="s">
        <v>3467</v>
      </c>
      <c r="F60" s="301">
        <v>7.0500164931045E14</v>
      </c>
      <c r="G60" s="161" t="s">
        <v>3468</v>
      </c>
      <c r="H60" s="163">
        <v>15775.0</v>
      </c>
      <c r="I60" s="41" t="s">
        <v>41</v>
      </c>
      <c r="J60" s="238"/>
      <c r="K60" s="238"/>
      <c r="L60" s="216" t="s">
        <v>521</v>
      </c>
      <c r="N60" s="271" t="s">
        <v>183</v>
      </c>
      <c r="O60" s="272" t="s">
        <v>195</v>
      </c>
      <c r="P60" s="272" t="s">
        <v>181</v>
      </c>
      <c r="Q60" s="272" t="s">
        <v>2088</v>
      </c>
      <c r="R60" s="67"/>
    </row>
    <row r="61" ht="15.75" customHeight="1">
      <c r="A61" s="12" t="s">
        <v>13</v>
      </c>
      <c r="B61" s="227" t="s">
        <v>2089</v>
      </c>
      <c r="C61" s="74" t="str">
        <f t="shared" si="7"/>
        <v>Terça-Feira</v>
      </c>
      <c r="D61" s="512" t="str">
        <f>IF(C61&lt;&gt;"Quarta-Feira","14:00","09:00")</f>
        <v>14:00</v>
      </c>
      <c r="E61" s="241" t="s">
        <v>4104</v>
      </c>
      <c r="F61" s="301">
        <v>7.06008369588445E14</v>
      </c>
      <c r="G61" s="161" t="s">
        <v>4105</v>
      </c>
      <c r="H61" s="163">
        <v>18465.0</v>
      </c>
      <c r="I61" s="41" t="s">
        <v>41</v>
      </c>
      <c r="J61" s="238"/>
      <c r="K61" s="238"/>
      <c r="L61" s="216" t="s">
        <v>521</v>
      </c>
      <c r="N61" s="275">
        <f t="shared" ref="N61:Q61" si="8">COUNTIFS($I$58:$I$69,N60)</f>
        <v>0</v>
      </c>
      <c r="O61" s="275">
        <f t="shared" si="8"/>
        <v>0</v>
      </c>
      <c r="P61" s="275">
        <f t="shared" si="8"/>
        <v>0</v>
      </c>
      <c r="Q61" s="275">
        <f t="shared" si="8"/>
        <v>2</v>
      </c>
      <c r="R61" s="67"/>
    </row>
    <row r="62" ht="15.75" customHeight="1">
      <c r="A62" s="12" t="s">
        <v>14</v>
      </c>
      <c r="B62" s="227" t="s">
        <v>2082</v>
      </c>
      <c r="C62" s="74" t="str">
        <f t="shared" si="7"/>
        <v>Terça-Feira</v>
      </c>
      <c r="D62" s="512" t="str">
        <f>IF(C62&lt;&gt;"Quarta-Feira","14:20","09:20")</f>
        <v>14:20</v>
      </c>
      <c r="E62" s="241" t="s">
        <v>4106</v>
      </c>
      <c r="F62" s="301">
        <v>8.01440417206017E14</v>
      </c>
      <c r="G62" s="161" t="s">
        <v>4107</v>
      </c>
      <c r="H62" s="163">
        <v>25731.0</v>
      </c>
      <c r="I62" s="41" t="s">
        <v>2088</v>
      </c>
      <c r="J62" s="238"/>
      <c r="K62" s="238"/>
      <c r="R62" s="67"/>
    </row>
    <row r="63" ht="15.75" customHeight="1">
      <c r="A63" s="12" t="s">
        <v>15</v>
      </c>
      <c r="B63" s="227" t="s">
        <v>2089</v>
      </c>
      <c r="C63" s="74" t="str">
        <f t="shared" si="7"/>
        <v>Terça-Feira</v>
      </c>
      <c r="D63" s="512" t="str">
        <f>IF(C63&lt;&gt;"Quarta-Feira","14:40","09:40")</f>
        <v>14:40</v>
      </c>
      <c r="E63" s="241" t="s">
        <v>4108</v>
      </c>
      <c r="F63" s="440">
        <v>8.01440479612418E14</v>
      </c>
      <c r="G63" s="161" t="s">
        <v>4109</v>
      </c>
      <c r="H63" s="163">
        <v>21809.0</v>
      </c>
      <c r="I63" s="41" t="s">
        <v>41</v>
      </c>
      <c r="J63" s="238"/>
      <c r="K63" s="238"/>
      <c r="L63" s="216" t="s">
        <v>521</v>
      </c>
      <c r="R63" s="67"/>
    </row>
    <row r="64" ht="15.75" customHeight="1">
      <c r="A64" s="12" t="s">
        <v>16</v>
      </c>
      <c r="B64" s="227" t="s">
        <v>2093</v>
      </c>
      <c r="C64" s="74" t="str">
        <f t="shared" si="7"/>
        <v>Terça-Feira</v>
      </c>
      <c r="D64" s="512" t="str">
        <f>IF(C64&lt;&gt;"Quarta-Feira","15:00","10:00")</f>
        <v>15:00</v>
      </c>
      <c r="E64" s="241"/>
      <c r="F64" s="301"/>
      <c r="G64" s="161"/>
      <c r="H64" s="163"/>
      <c r="I64" s="41"/>
      <c r="J64" s="238"/>
      <c r="K64" s="238"/>
      <c r="L64" s="216" t="s">
        <v>521</v>
      </c>
      <c r="R64" s="67"/>
    </row>
    <row r="65" ht="15.75" customHeight="1">
      <c r="A65" s="12" t="s">
        <v>17</v>
      </c>
      <c r="B65" s="227" t="s">
        <v>2094</v>
      </c>
      <c r="C65" s="74" t="str">
        <f t="shared" si="7"/>
        <v>Terça-Feira</v>
      </c>
      <c r="D65" s="512" t="str">
        <f>IF(C65&lt;&gt;"Quarta-Feira","15:20","10:20")</f>
        <v>15:20</v>
      </c>
      <c r="E65" s="241" t="s">
        <v>4110</v>
      </c>
      <c r="F65" s="301">
        <v>7.0410064366215E14</v>
      </c>
      <c r="G65" s="161" t="s">
        <v>4111</v>
      </c>
      <c r="H65" s="163">
        <v>18911.0</v>
      </c>
      <c r="I65" s="41" t="s">
        <v>41</v>
      </c>
      <c r="J65" s="238"/>
      <c r="K65" s="238"/>
      <c r="L65" s="216" t="s">
        <v>521</v>
      </c>
      <c r="R65" s="67"/>
    </row>
    <row r="66" ht="15.75" customHeight="1">
      <c r="A66" s="12" t="s">
        <v>85</v>
      </c>
      <c r="B66" s="227" t="s">
        <v>2095</v>
      </c>
      <c r="C66" s="74" t="str">
        <f t="shared" si="7"/>
        <v>Terça-Feira</v>
      </c>
      <c r="D66" s="512" t="str">
        <f>IF(C66&lt;&gt;"Quarta-Feira","15:40","10:40")</f>
        <v>15:40</v>
      </c>
      <c r="E66" s="241" t="s">
        <v>4112</v>
      </c>
      <c r="F66" s="301">
        <v>7.01001835521994E14</v>
      </c>
      <c r="G66" s="161" t="s">
        <v>4113</v>
      </c>
      <c r="H66" s="163">
        <v>24033.0</v>
      </c>
      <c r="I66" s="41" t="s">
        <v>41</v>
      </c>
      <c r="J66" s="238"/>
      <c r="K66" s="238"/>
      <c r="R66" s="67"/>
    </row>
    <row r="67" ht="15.75" customHeight="1">
      <c r="A67" s="12" t="s">
        <v>87</v>
      </c>
      <c r="B67" s="227" t="s">
        <v>2096</v>
      </c>
      <c r="C67" s="74" t="str">
        <f t="shared" si="7"/>
        <v>Terça-Feira</v>
      </c>
      <c r="D67" s="512" t="str">
        <f>IF(C67&lt;&gt;"Quarta-Feira","16:00","11:00")</f>
        <v>16:00</v>
      </c>
      <c r="E67" s="241"/>
      <c r="F67" s="301"/>
      <c r="G67" s="161"/>
      <c r="H67" s="163"/>
      <c r="I67" s="41"/>
      <c r="J67" s="238"/>
      <c r="K67" s="238"/>
      <c r="L67" s="216" t="s">
        <v>521</v>
      </c>
      <c r="R67" s="67"/>
    </row>
    <row r="68" ht="15.75" customHeight="1">
      <c r="A68" s="12" t="s">
        <v>90</v>
      </c>
      <c r="B68" s="227" t="s">
        <v>2098</v>
      </c>
      <c r="C68" s="74" t="str">
        <f t="shared" si="7"/>
        <v>Terça-Feira</v>
      </c>
      <c r="D68" s="512" t="str">
        <f>IF(C68&lt;&gt;"Quarta-Feira","16:20","11:20")</f>
        <v>16:20</v>
      </c>
      <c r="E68" s="241" t="s">
        <v>4114</v>
      </c>
      <c r="F68" s="301">
        <v>2.09749227430008E14</v>
      </c>
      <c r="G68" s="161" t="s">
        <v>4115</v>
      </c>
      <c r="H68" s="163">
        <v>25096.0</v>
      </c>
      <c r="I68" s="41" t="s">
        <v>41</v>
      </c>
      <c r="J68" s="238"/>
      <c r="K68" s="238"/>
      <c r="R68" s="67"/>
    </row>
    <row r="69" ht="15.75" customHeight="1">
      <c r="A69" s="12" t="s">
        <v>93</v>
      </c>
      <c r="B69" s="227" t="s">
        <v>2096</v>
      </c>
      <c r="C69" s="74" t="str">
        <f t="shared" si="7"/>
        <v>Terça-Feira</v>
      </c>
      <c r="D69" s="512" t="str">
        <f>IF(C69&lt;&gt;"Quarta-Feira","16:40","11:40")</f>
        <v>16:40</v>
      </c>
      <c r="E69" s="241"/>
      <c r="F69" s="301"/>
      <c r="G69" s="161"/>
      <c r="H69" s="163"/>
      <c r="I69" s="41"/>
      <c r="J69" s="238"/>
      <c r="K69" s="238"/>
      <c r="R69" s="67"/>
    </row>
    <row r="70">
      <c r="E70" s="261"/>
      <c r="G70" s="216"/>
      <c r="J70" s="67"/>
      <c r="K70" s="67"/>
      <c r="R70" s="67"/>
    </row>
    <row r="71">
      <c r="E71" s="261"/>
      <c r="J71" s="67"/>
      <c r="K71" s="67"/>
      <c r="R71" s="67"/>
    </row>
    <row r="72">
      <c r="A72" s="398" t="s">
        <v>18</v>
      </c>
      <c r="B72" s="2"/>
      <c r="C72" s="2"/>
      <c r="D72" s="2"/>
      <c r="E72" s="2"/>
      <c r="F72" s="2"/>
      <c r="G72" s="2"/>
      <c r="H72" s="2"/>
      <c r="I72" s="2"/>
      <c r="J72" s="2"/>
      <c r="K72" s="3"/>
      <c r="R72" s="67"/>
    </row>
    <row r="73">
      <c r="A73" s="24" t="str">
        <f>TEXT(DATE(VALUE(MID(A38,7,4)),VALUE(MID(A38,4,2)),VALUE(LEFT(A38,2)))+7,"dd/mm/yyyy")&amp;" 13h às 17h"</f>
        <v>16/07/2026 13h às 17h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469"/>
      <c r="B74" s="470" t="s">
        <v>3</v>
      </c>
      <c r="C74" s="471" t="s">
        <v>2</v>
      </c>
      <c r="D74" s="472" t="s">
        <v>5</v>
      </c>
      <c r="E74" s="530" t="s">
        <v>19</v>
      </c>
      <c r="F74" s="472" t="s">
        <v>6</v>
      </c>
      <c r="G74" s="473" t="s">
        <v>7</v>
      </c>
      <c r="H74" s="474" t="s">
        <v>8</v>
      </c>
      <c r="I74" s="475" t="s">
        <v>20</v>
      </c>
      <c r="J74" s="472" t="s">
        <v>21</v>
      </c>
      <c r="K74" s="472" t="s">
        <v>22</v>
      </c>
      <c r="R74" s="67"/>
    </row>
    <row r="75">
      <c r="A75" s="476" t="s">
        <v>10</v>
      </c>
      <c r="B75" s="227" t="s">
        <v>1790</v>
      </c>
      <c r="C75" s="447" t="str">
        <f t="shared" ref="C75:C86" si="9">PROPER(TEXT(DATE(MID($A$73,7,4),MID($A$73,4,2),LEFT($A$73,2)),"dddd"))</f>
        <v>Quinta-Feira</v>
      </c>
      <c r="D75" s="512" t="str">
        <f>IF(C75&lt;&gt;"Quarta-Feira","13:00","08:00")</f>
        <v>13:00</v>
      </c>
      <c r="E75" s="480" t="s">
        <v>4116</v>
      </c>
      <c r="F75" s="133">
        <v>7.01208032429019E14</v>
      </c>
      <c r="G75" s="203" t="s">
        <v>4117</v>
      </c>
      <c r="H75" s="166">
        <v>18481.0</v>
      </c>
      <c r="I75" s="478" t="s">
        <v>41</v>
      </c>
      <c r="J75" s="391"/>
      <c r="K75" s="391"/>
      <c r="N75" s="268" t="s">
        <v>387</v>
      </c>
      <c r="O75" s="100"/>
      <c r="P75" s="100"/>
      <c r="Q75" s="100"/>
      <c r="R75" s="67"/>
    </row>
    <row r="76">
      <c r="A76" s="476" t="s">
        <v>11</v>
      </c>
      <c r="B76" s="227" t="s">
        <v>1714</v>
      </c>
      <c r="C76" s="447" t="str">
        <f t="shared" si="9"/>
        <v>Quinta-Feira</v>
      </c>
      <c r="D76" s="512" t="str">
        <f>IF(C76&lt;&gt;"Quarta-Feira","13:20","08:20")</f>
        <v>13:20</v>
      </c>
      <c r="E76" s="477"/>
      <c r="F76" s="133"/>
      <c r="G76" s="203"/>
      <c r="H76" s="166"/>
      <c r="I76" s="478" t="s">
        <v>181</v>
      </c>
      <c r="J76" s="391"/>
      <c r="K76" s="391"/>
      <c r="N76" s="270" t="s">
        <v>2086</v>
      </c>
      <c r="O76" s="2"/>
      <c r="P76" s="2"/>
      <c r="Q76" s="2"/>
      <c r="R76" s="67"/>
    </row>
    <row r="77">
      <c r="A77" s="476" t="s">
        <v>12</v>
      </c>
      <c r="B77" s="227" t="s">
        <v>1781</v>
      </c>
      <c r="C77" s="447" t="str">
        <f t="shared" si="9"/>
        <v>Quinta-Feira</v>
      </c>
      <c r="D77" s="512" t="str">
        <f>IF(C77&lt;&gt;"Quarta-Feira","13:40","08:40")</f>
        <v>13:40</v>
      </c>
      <c r="E77" s="477" t="s">
        <v>4118</v>
      </c>
      <c r="F77" s="133">
        <v>7.00700929990577E14</v>
      </c>
      <c r="G77" s="203" t="s">
        <v>4119</v>
      </c>
      <c r="H77" s="166">
        <v>19712.0</v>
      </c>
      <c r="I77" s="478" t="s">
        <v>41</v>
      </c>
      <c r="J77" s="391"/>
      <c r="K77" s="391"/>
      <c r="N77" s="271" t="s">
        <v>183</v>
      </c>
      <c r="O77" s="272" t="s">
        <v>195</v>
      </c>
      <c r="P77" s="272" t="s">
        <v>181</v>
      </c>
      <c r="Q77" s="273" t="s">
        <v>2088</v>
      </c>
      <c r="R77" s="67"/>
    </row>
    <row r="78">
      <c r="A78" s="476" t="s">
        <v>13</v>
      </c>
      <c r="B78" s="227" t="s">
        <v>1721</v>
      </c>
      <c r="C78" s="447" t="str">
        <f t="shared" si="9"/>
        <v>Quinta-Feira</v>
      </c>
      <c r="D78" s="512" t="str">
        <f>IF(C78&lt;&gt;"Quarta-Feira","14:00","09:00")</f>
        <v>14:00</v>
      </c>
      <c r="E78" s="477" t="s">
        <v>4120</v>
      </c>
      <c r="F78" s="133">
        <v>7.00006085404608E14</v>
      </c>
      <c r="G78" s="203" t="s">
        <v>4121</v>
      </c>
      <c r="H78" s="166">
        <v>30785.0</v>
      </c>
      <c r="I78" s="478" t="s">
        <v>41</v>
      </c>
      <c r="J78" s="391"/>
      <c r="K78" s="391"/>
      <c r="N78" s="275">
        <f t="shared" ref="N78:Q78" si="10">COUNTIFS($I$75:$I$86,N77)</f>
        <v>0</v>
      </c>
      <c r="O78" s="275">
        <f t="shared" si="10"/>
        <v>0</v>
      </c>
      <c r="P78" s="275">
        <f t="shared" si="10"/>
        <v>2</v>
      </c>
      <c r="Q78" s="275">
        <f t="shared" si="10"/>
        <v>2</v>
      </c>
      <c r="R78" s="67"/>
    </row>
    <row r="79">
      <c r="A79" s="476" t="s">
        <v>14</v>
      </c>
      <c r="B79" s="227" t="s">
        <v>1796</v>
      </c>
      <c r="C79" s="447" t="str">
        <f t="shared" si="9"/>
        <v>Quinta-Feira</v>
      </c>
      <c r="D79" s="512" t="str">
        <f>IF(C79&lt;&gt;"Quarta-Feira","14:20","09:20")</f>
        <v>14:20</v>
      </c>
      <c r="E79" s="480"/>
      <c r="F79" s="133"/>
      <c r="G79" s="203"/>
      <c r="H79" s="169"/>
      <c r="I79" s="478" t="s">
        <v>181</v>
      </c>
      <c r="J79" s="74"/>
      <c r="K79" s="391"/>
      <c r="R79" s="67"/>
    </row>
    <row r="80">
      <c r="A80" s="476" t="s">
        <v>15</v>
      </c>
      <c r="B80" s="227" t="s">
        <v>1790</v>
      </c>
      <c r="C80" s="447" t="str">
        <f t="shared" si="9"/>
        <v>Quinta-Feira</v>
      </c>
      <c r="D80" s="512" t="str">
        <f>IF(C80&lt;&gt;"Quarta-Feira","14:40","09:40")</f>
        <v>14:40</v>
      </c>
      <c r="E80" s="587" t="s">
        <v>4122</v>
      </c>
      <c r="F80" s="228">
        <v>7.05609498099618E14</v>
      </c>
      <c r="G80" s="227" t="s">
        <v>4123</v>
      </c>
      <c r="H80" s="333">
        <v>21988.0</v>
      </c>
      <c r="I80" s="478" t="s">
        <v>2088</v>
      </c>
      <c r="J80" s="391"/>
      <c r="K80" s="391"/>
      <c r="R80" s="67"/>
    </row>
    <row r="81">
      <c r="A81" s="476" t="s">
        <v>16</v>
      </c>
      <c r="B81" s="227" t="s">
        <v>2653</v>
      </c>
      <c r="C81" s="447" t="str">
        <f t="shared" si="9"/>
        <v>Quinta-Feira</v>
      </c>
      <c r="D81" s="512" t="str">
        <f>IF(C81&lt;&gt;"Quarta-Feira","15:00","10:00")</f>
        <v>15:00</v>
      </c>
      <c r="E81" s="480" t="s">
        <v>4124</v>
      </c>
      <c r="F81" s="133">
        <v>7.08009371521023E14</v>
      </c>
      <c r="G81" s="203" t="s">
        <v>4125</v>
      </c>
      <c r="H81" s="166">
        <v>14604.0</v>
      </c>
      <c r="I81" s="478" t="s">
        <v>2088</v>
      </c>
      <c r="J81" s="391"/>
      <c r="K81" s="391"/>
      <c r="R81" s="67"/>
    </row>
    <row r="82">
      <c r="A82" s="476" t="s">
        <v>17</v>
      </c>
      <c r="B82" s="227" t="s">
        <v>2656</v>
      </c>
      <c r="C82" s="447" t="str">
        <f t="shared" si="9"/>
        <v>Quinta-Feira</v>
      </c>
      <c r="D82" s="512" t="str">
        <f>IF(C82&lt;&gt;"Quarta-Feira","15:20","10:20")</f>
        <v>15:20</v>
      </c>
      <c r="E82" s="480" t="s">
        <v>4126</v>
      </c>
      <c r="F82" s="133">
        <v>7.06906159208638E14</v>
      </c>
      <c r="G82" s="203" t="s">
        <v>4127</v>
      </c>
      <c r="H82" s="166">
        <v>20626.0</v>
      </c>
      <c r="I82" s="478" t="s">
        <v>41</v>
      </c>
      <c r="J82" s="391"/>
      <c r="K82" s="391"/>
      <c r="R82" s="67"/>
    </row>
    <row r="83" ht="16.5" customHeight="1">
      <c r="A83" s="476" t="s">
        <v>85</v>
      </c>
      <c r="B83" s="227" t="s">
        <v>2659</v>
      </c>
      <c r="C83" s="447" t="str">
        <f t="shared" si="9"/>
        <v>Quinta-Feira</v>
      </c>
      <c r="D83" s="512" t="str">
        <f>IF(C83&lt;&gt;"Quarta-Feira","15:40","10:40")</f>
        <v>15:40</v>
      </c>
      <c r="E83" s="480" t="s">
        <v>4128</v>
      </c>
      <c r="F83" s="133">
        <v>7.04002889894263E14</v>
      </c>
      <c r="G83" s="203" t="s">
        <v>4129</v>
      </c>
      <c r="H83" s="166">
        <v>27597.0</v>
      </c>
      <c r="I83" s="478" t="s">
        <v>41</v>
      </c>
      <c r="J83" s="391"/>
      <c r="K83" s="391"/>
      <c r="R83" s="67"/>
    </row>
    <row r="84">
      <c r="A84" s="476" t="s">
        <v>87</v>
      </c>
      <c r="B84" s="227" t="s">
        <v>1735</v>
      </c>
      <c r="C84" s="447" t="str">
        <f t="shared" si="9"/>
        <v>Quinta-Feira</v>
      </c>
      <c r="D84" s="512" t="str">
        <f>IF(C84&lt;&gt;"Quarta-Feira","16:00","11:00")</f>
        <v>16:00</v>
      </c>
      <c r="E84" s="477" t="s">
        <v>4130</v>
      </c>
      <c r="F84" s="133">
        <v>7.0080997166929E14</v>
      </c>
      <c r="G84" s="203" t="s">
        <v>4131</v>
      </c>
      <c r="H84" s="166">
        <v>21491.0</v>
      </c>
      <c r="I84" s="478" t="s">
        <v>41</v>
      </c>
      <c r="J84" s="391"/>
      <c r="K84" s="484"/>
      <c r="R84" s="67"/>
    </row>
    <row r="85">
      <c r="A85" s="476" t="s">
        <v>90</v>
      </c>
      <c r="B85" s="227" t="s">
        <v>2659</v>
      </c>
      <c r="C85" s="447" t="str">
        <f t="shared" si="9"/>
        <v>Quinta-Feira</v>
      </c>
      <c r="D85" s="512" t="str">
        <f>IF(C85&lt;&gt;"Quarta-Feira","16:20","11:20")</f>
        <v>16:20</v>
      </c>
      <c r="E85" s="480" t="s">
        <v>4132</v>
      </c>
      <c r="F85" s="500">
        <v>7.00005467556007E14</v>
      </c>
      <c r="G85" s="203" t="s">
        <v>4133</v>
      </c>
      <c r="H85" s="531">
        <v>24395.0</v>
      </c>
      <c r="I85" s="478" t="s">
        <v>41</v>
      </c>
      <c r="J85" s="484"/>
      <c r="K85" s="484"/>
      <c r="R85" s="67"/>
    </row>
    <row r="86">
      <c r="A86" s="476" t="s">
        <v>93</v>
      </c>
      <c r="B86" s="227" t="s">
        <v>1735</v>
      </c>
      <c r="C86" s="447" t="str">
        <f t="shared" si="9"/>
        <v>Quinta-Feira</v>
      </c>
      <c r="D86" s="512" t="str">
        <f>IF(C86&lt;&gt;"Quarta-Feira","16:40","11:40")</f>
        <v>16:40</v>
      </c>
      <c r="E86" s="477" t="s">
        <v>4134</v>
      </c>
      <c r="F86" s="500">
        <v>8.01440442314472E14</v>
      </c>
      <c r="G86" s="501" t="s">
        <v>4135</v>
      </c>
      <c r="H86" s="166">
        <v>21165.0</v>
      </c>
      <c r="I86" s="478" t="s">
        <v>41</v>
      </c>
      <c r="J86" s="500"/>
      <c r="K86" s="485"/>
      <c r="R86" s="67"/>
    </row>
    <row r="87">
      <c r="E87" s="261"/>
      <c r="J87" s="67"/>
      <c r="K87" s="67"/>
      <c r="R87" s="67"/>
    </row>
    <row r="88">
      <c r="E88" s="261"/>
      <c r="J88" s="67"/>
      <c r="K88" s="67"/>
      <c r="R88" s="67"/>
    </row>
    <row r="89">
      <c r="E89" s="261"/>
      <c r="J89" s="67"/>
      <c r="K89" s="67"/>
      <c r="R89" s="67"/>
    </row>
    <row r="90">
      <c r="A90" s="23" t="s">
        <v>18</v>
      </c>
      <c r="B90" s="2"/>
      <c r="C90" s="2"/>
      <c r="D90" s="2"/>
      <c r="E90" s="2"/>
      <c r="F90" s="2"/>
      <c r="G90" s="2"/>
      <c r="H90" s="2"/>
      <c r="I90" s="2"/>
      <c r="J90" s="2"/>
      <c r="K90" s="3"/>
      <c r="R90" s="67"/>
    </row>
    <row r="91">
      <c r="A91" s="511" t="s">
        <v>4136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5"/>
      <c r="B92" s="26" t="s">
        <v>3</v>
      </c>
      <c r="C92" s="27" t="s">
        <v>2</v>
      </c>
      <c r="D92" s="28" t="s">
        <v>5</v>
      </c>
      <c r="E92" s="29" t="s">
        <v>19</v>
      </c>
      <c r="F92" s="28" t="s">
        <v>6</v>
      </c>
      <c r="G92" s="264" t="s">
        <v>7</v>
      </c>
      <c r="H92" s="30" t="s">
        <v>8</v>
      </c>
      <c r="I92" s="31" t="s">
        <v>20</v>
      </c>
      <c r="J92" s="32" t="s">
        <v>21</v>
      </c>
      <c r="K92" s="32" t="s">
        <v>22</v>
      </c>
      <c r="R92" s="67"/>
    </row>
    <row r="93">
      <c r="A93" s="12" t="s">
        <v>10</v>
      </c>
      <c r="B93" s="227" t="s">
        <v>1790</v>
      </c>
      <c r="C93" s="74" t="str">
        <f t="shared" ref="C93:C104" si="11">PROPER(TEXT(DATE(MID($A$91,7,4),MID($A$91,4,2),LEFT($A$91,2)),"dddd"))</f>
        <v>Sexta-Feira</v>
      </c>
      <c r="D93" s="512">
        <v>0.3333333333333333</v>
      </c>
      <c r="E93" s="588" t="s">
        <v>4137</v>
      </c>
      <c r="F93" s="589">
        <v>7.02406541775025E14</v>
      </c>
      <c r="G93" s="589" t="s">
        <v>4138</v>
      </c>
      <c r="H93" s="590">
        <v>22770.0</v>
      </c>
      <c r="I93" s="41" t="s">
        <v>41</v>
      </c>
      <c r="J93" s="102"/>
      <c r="K93" s="102"/>
      <c r="R93" s="67"/>
    </row>
    <row r="94">
      <c r="A94" s="12" t="s">
        <v>11</v>
      </c>
      <c r="B94" s="227" t="s">
        <v>1714</v>
      </c>
      <c r="C94" s="74" t="str">
        <f t="shared" si="11"/>
        <v>Sexta-Feira</v>
      </c>
      <c r="D94" s="512">
        <v>0.3472222222222222</v>
      </c>
      <c r="E94" s="591"/>
      <c r="F94" s="592"/>
      <c r="G94" s="589"/>
      <c r="H94" s="593"/>
      <c r="I94" s="41" t="s">
        <v>181</v>
      </c>
      <c r="J94" s="42"/>
      <c r="K94" s="42"/>
      <c r="R94" s="67"/>
    </row>
    <row r="95">
      <c r="A95" s="12" t="s">
        <v>12</v>
      </c>
      <c r="B95" s="227" t="s">
        <v>1781</v>
      </c>
      <c r="C95" s="74" t="str">
        <f t="shared" si="11"/>
        <v>Sexta-Feira</v>
      </c>
      <c r="D95" s="512">
        <v>0.3611111111111111</v>
      </c>
      <c r="E95" s="594"/>
      <c r="F95" s="595">
        <v>7.08405221564366E14</v>
      </c>
      <c r="G95" s="595" t="s">
        <v>4139</v>
      </c>
      <c r="H95" s="596">
        <v>32233.0</v>
      </c>
      <c r="I95" s="41" t="s">
        <v>2088</v>
      </c>
      <c r="J95" s="42"/>
      <c r="K95" s="102"/>
      <c r="R95" s="67"/>
    </row>
    <row r="96">
      <c r="A96" s="12" t="s">
        <v>13</v>
      </c>
      <c r="B96" s="227" t="s">
        <v>1721</v>
      </c>
      <c r="C96" s="74" t="str">
        <f t="shared" si="11"/>
        <v>Sexta-Feira</v>
      </c>
      <c r="D96" s="512">
        <v>0.375</v>
      </c>
      <c r="E96" s="591" t="s">
        <v>4140</v>
      </c>
      <c r="F96" s="592">
        <v>7.07007848709533E14</v>
      </c>
      <c r="G96" s="589" t="s">
        <v>4141</v>
      </c>
      <c r="H96" s="593">
        <v>23807.0</v>
      </c>
      <c r="I96" s="41" t="s">
        <v>41</v>
      </c>
      <c r="J96" s="305"/>
      <c r="K96" s="305"/>
      <c r="R96" s="67"/>
    </row>
    <row r="97">
      <c r="A97" s="12" t="s">
        <v>14</v>
      </c>
      <c r="B97" s="227" t="s">
        <v>1796</v>
      </c>
      <c r="C97" s="74" t="str">
        <f t="shared" si="11"/>
        <v>Sexta-Feira</v>
      </c>
      <c r="D97" s="512">
        <v>0.3888888888888889</v>
      </c>
      <c r="E97" s="594"/>
      <c r="F97" s="594"/>
      <c r="G97" s="594"/>
      <c r="H97" s="594"/>
      <c r="I97" s="41" t="s">
        <v>181</v>
      </c>
      <c r="J97" s="138"/>
      <c r="K97" s="138"/>
      <c r="R97" s="67"/>
    </row>
    <row r="98">
      <c r="A98" s="12" t="s">
        <v>15</v>
      </c>
      <c r="B98" s="227" t="s">
        <v>1790</v>
      </c>
      <c r="C98" s="74" t="str">
        <f t="shared" si="11"/>
        <v>Sexta-Feira</v>
      </c>
      <c r="D98" s="512">
        <v>0.4027777777777778</v>
      </c>
      <c r="E98" s="597" t="s">
        <v>4142</v>
      </c>
      <c r="F98" s="598">
        <v>1.04082057570001E14</v>
      </c>
      <c r="G98" s="589" t="s">
        <v>4143</v>
      </c>
      <c r="H98" s="596">
        <v>20385.0</v>
      </c>
      <c r="I98" s="41" t="s">
        <v>41</v>
      </c>
      <c r="J98" s="42"/>
      <c r="K98" s="42"/>
      <c r="R98" s="67"/>
    </row>
    <row r="99">
      <c r="A99" s="12" t="s">
        <v>16</v>
      </c>
      <c r="B99" s="227" t="s">
        <v>2653</v>
      </c>
      <c r="C99" s="74" t="str">
        <f t="shared" si="11"/>
        <v>Sexta-Feira</v>
      </c>
      <c r="D99" s="512">
        <v>0.4166666666666667</v>
      </c>
      <c r="E99" s="599"/>
      <c r="F99" s="600"/>
      <c r="G99" s="589"/>
      <c r="H99" s="601"/>
      <c r="I99" s="41"/>
      <c r="J99" s="305"/>
      <c r="K99" s="305"/>
      <c r="R99" s="67"/>
    </row>
    <row r="100">
      <c r="A100" s="12" t="s">
        <v>17</v>
      </c>
      <c r="B100" s="227" t="s">
        <v>2656</v>
      </c>
      <c r="C100" s="74" t="str">
        <f t="shared" si="11"/>
        <v>Sexta-Feira</v>
      </c>
      <c r="D100" s="512">
        <v>0.4305555555555556</v>
      </c>
      <c r="E100" s="599"/>
      <c r="F100" s="600"/>
      <c r="G100" s="589"/>
      <c r="H100" s="601"/>
      <c r="I100" s="41"/>
      <c r="J100" s="310"/>
      <c r="K100" s="42"/>
      <c r="R100" s="67"/>
    </row>
    <row r="101">
      <c r="A101" s="12" t="s">
        <v>85</v>
      </c>
      <c r="B101" s="227" t="s">
        <v>2659</v>
      </c>
      <c r="C101" s="74" t="str">
        <f t="shared" si="11"/>
        <v>Sexta-Feira</v>
      </c>
      <c r="D101" s="512">
        <v>0.4444444444444444</v>
      </c>
      <c r="E101" s="602"/>
      <c r="F101" s="603">
        <v>7.0200630116248E14</v>
      </c>
      <c r="G101" s="589" t="s">
        <v>4144</v>
      </c>
      <c r="H101" s="604">
        <v>18517.0</v>
      </c>
      <c r="I101" s="41" t="s">
        <v>41</v>
      </c>
      <c r="J101" s="42"/>
      <c r="K101" s="42"/>
      <c r="R101" s="67"/>
    </row>
    <row r="102">
      <c r="A102" s="12" t="s">
        <v>87</v>
      </c>
      <c r="B102" s="227" t="s">
        <v>1735</v>
      </c>
      <c r="C102" s="74" t="str">
        <f t="shared" si="11"/>
        <v>Sexta-Feira</v>
      </c>
      <c r="D102" s="512">
        <v>0.4583333333333333</v>
      </c>
      <c r="E102" s="605" t="s">
        <v>4145</v>
      </c>
      <c r="F102" s="603">
        <v>7.07601258548891E14</v>
      </c>
      <c r="G102" s="589" t="s">
        <v>4146</v>
      </c>
      <c r="H102" s="604">
        <v>19379.0</v>
      </c>
      <c r="I102" s="41" t="s">
        <v>41</v>
      </c>
      <c r="J102" s="42"/>
      <c r="K102" s="42"/>
      <c r="R102" s="67"/>
    </row>
    <row r="103">
      <c r="A103" s="12" t="s">
        <v>90</v>
      </c>
      <c r="B103" s="227" t="s">
        <v>2659</v>
      </c>
      <c r="C103" s="74" t="str">
        <f t="shared" si="11"/>
        <v>Sexta-Feira</v>
      </c>
      <c r="D103" s="512">
        <v>0.4722222222222222</v>
      </c>
      <c r="E103" s="395" t="s">
        <v>4147</v>
      </c>
      <c r="F103" s="589">
        <v>7.0500940410725E14</v>
      </c>
      <c r="G103" s="589" t="s">
        <v>4148</v>
      </c>
      <c r="H103" s="593">
        <v>24483.0</v>
      </c>
      <c r="I103" s="41" t="s">
        <v>41</v>
      </c>
      <c r="J103" s="42"/>
      <c r="K103" s="42"/>
      <c r="R103" s="67"/>
    </row>
    <row r="104">
      <c r="A104" s="12" t="s">
        <v>93</v>
      </c>
      <c r="B104" s="227" t="s">
        <v>1735</v>
      </c>
      <c r="C104" s="74" t="str">
        <f t="shared" si="11"/>
        <v>Sexta-Feira</v>
      </c>
      <c r="D104" s="512">
        <v>0.4861111111111111</v>
      </c>
      <c r="E104" s="395"/>
      <c r="F104" s="589">
        <v>2.10303764510002E14</v>
      </c>
      <c r="G104" s="589" t="s">
        <v>4149</v>
      </c>
      <c r="H104" s="593">
        <v>27171.0</v>
      </c>
      <c r="I104" s="41" t="s">
        <v>41</v>
      </c>
      <c r="J104" s="42"/>
      <c r="K104" s="42"/>
      <c r="R104" s="67"/>
    </row>
    <row r="105">
      <c r="E105" s="261"/>
      <c r="J105" s="67"/>
      <c r="K105" s="67"/>
      <c r="R105" s="67"/>
    </row>
    <row r="106">
      <c r="E106" s="261"/>
      <c r="J106" s="67"/>
      <c r="K106" s="67"/>
      <c r="R106" s="67"/>
    </row>
    <row r="107">
      <c r="E107" s="261"/>
      <c r="J107" s="67"/>
      <c r="K107" s="67"/>
      <c r="R107" s="67"/>
    </row>
    <row r="108">
      <c r="A108" s="23" t="s">
        <v>18</v>
      </c>
      <c r="B108" s="2"/>
      <c r="C108" s="2"/>
      <c r="D108" s="2"/>
      <c r="E108" s="2"/>
      <c r="F108" s="2"/>
      <c r="G108" s="2"/>
      <c r="H108" s="2"/>
      <c r="I108" s="2"/>
      <c r="J108" s="2"/>
      <c r="K108" s="3"/>
      <c r="R108" s="67"/>
    </row>
    <row r="109">
      <c r="A109" s="24" t="str">
        <f>TEXT(DATE(VALUE(MID(A73,7,4)),VALUE(MID(A73,4,2)),VALUE(LEFT(A73,2)))+5,"dd/mm/yyyy")&amp;" 13h às 17h"</f>
        <v>21/07/2026 13h às 17h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5"/>
      <c r="B110" s="26" t="s">
        <v>3</v>
      </c>
      <c r="C110" s="27" t="s">
        <v>2</v>
      </c>
      <c r="D110" s="28" t="s">
        <v>5</v>
      </c>
      <c r="E110" s="29" t="s">
        <v>19</v>
      </c>
      <c r="F110" s="28" t="s">
        <v>6</v>
      </c>
      <c r="G110" s="28" t="s">
        <v>7</v>
      </c>
      <c r="H110" s="30" t="s">
        <v>8</v>
      </c>
      <c r="I110" s="31" t="s">
        <v>20</v>
      </c>
      <c r="J110" s="32" t="s">
        <v>21</v>
      </c>
      <c r="K110" s="32" t="s">
        <v>22</v>
      </c>
      <c r="R110" s="67"/>
    </row>
    <row r="111">
      <c r="A111" s="12" t="s">
        <v>10</v>
      </c>
      <c r="B111" s="227" t="s">
        <v>2082</v>
      </c>
      <c r="C111" s="74" t="str">
        <f t="shared" ref="C111:C122" si="12">PROPER(TEXT(DATE(MID($A$109,7,4),MID($A$109,4,2),LEFT($A$109,2)),"dddd"))</f>
        <v>Terça-Feira</v>
      </c>
      <c r="D111" s="512" t="str">
        <f>IF(C111&lt;&gt;"Quarta-Feira","13:00","08:00")</f>
        <v>13:00</v>
      </c>
      <c r="E111" s="245" t="s">
        <v>4150</v>
      </c>
      <c r="F111" s="162">
        <v>7.07609257411393E14</v>
      </c>
      <c r="G111" s="161" t="s">
        <v>4151</v>
      </c>
      <c r="H111" s="390">
        <v>24908.0</v>
      </c>
      <c r="I111" s="41" t="s">
        <v>41</v>
      </c>
      <c r="J111" s="238"/>
      <c r="K111" s="238"/>
      <c r="N111" s="268" t="s">
        <v>387</v>
      </c>
      <c r="O111" s="100"/>
      <c r="P111" s="100"/>
      <c r="Q111" s="100"/>
      <c r="R111" s="67"/>
    </row>
    <row r="112" ht="21.0" customHeight="1">
      <c r="A112" s="12" t="s">
        <v>11</v>
      </c>
      <c r="B112" s="227" t="s">
        <v>2084</v>
      </c>
      <c r="C112" s="74" t="str">
        <f t="shared" si="12"/>
        <v>Terça-Feira</v>
      </c>
      <c r="D112" s="512" t="str">
        <f>IF(C112&lt;&gt;"Quarta-Feira","13:20","08:20")</f>
        <v>13:20</v>
      </c>
      <c r="E112" s="245" t="s">
        <v>4152</v>
      </c>
      <c r="F112" s="487">
        <v>7.00005825460203E14</v>
      </c>
      <c r="G112" s="161" t="s">
        <v>4153</v>
      </c>
      <c r="H112" s="502">
        <v>16775.0</v>
      </c>
      <c r="I112" s="41" t="s">
        <v>41</v>
      </c>
      <c r="J112" s="238"/>
      <c r="K112" s="238"/>
      <c r="N112" s="270" t="s">
        <v>2086</v>
      </c>
      <c r="O112" s="2"/>
      <c r="P112" s="2"/>
      <c r="Q112" s="2"/>
      <c r="R112" s="67"/>
    </row>
    <row r="113">
      <c r="A113" s="12" t="s">
        <v>12</v>
      </c>
      <c r="B113" s="227" t="s">
        <v>2087</v>
      </c>
      <c r="C113" s="74" t="str">
        <f t="shared" si="12"/>
        <v>Terça-Feira</v>
      </c>
      <c r="D113" s="512" t="str">
        <f>IF(C113&lt;&gt;"Quarta-Feira","13:40","08:40")</f>
        <v>13:40</v>
      </c>
      <c r="E113" s="245" t="s">
        <v>582</v>
      </c>
      <c r="F113" s="162">
        <v>7.05206435773673E14</v>
      </c>
      <c r="G113" s="161" t="s">
        <v>4089</v>
      </c>
      <c r="H113" s="390">
        <v>17158.0</v>
      </c>
      <c r="I113" s="41" t="s">
        <v>2088</v>
      </c>
      <c r="J113" s="238"/>
      <c r="K113" s="238"/>
      <c r="N113" s="271" t="s">
        <v>183</v>
      </c>
      <c r="O113" s="272" t="s">
        <v>195</v>
      </c>
      <c r="P113" s="272" t="s">
        <v>181</v>
      </c>
      <c r="Q113" s="273" t="s">
        <v>2088</v>
      </c>
      <c r="R113" s="67"/>
    </row>
    <row r="114">
      <c r="A114" s="12" t="s">
        <v>13</v>
      </c>
      <c r="B114" s="227" t="s">
        <v>2089</v>
      </c>
      <c r="C114" s="74" t="str">
        <f t="shared" si="12"/>
        <v>Terça-Feira</v>
      </c>
      <c r="D114" s="512" t="str">
        <f>IF(C114&lt;&gt;"Quarta-Feira","14:00","09:00")</f>
        <v>14:00</v>
      </c>
      <c r="E114" s="245" t="s">
        <v>4154</v>
      </c>
      <c r="F114" s="301">
        <v>8.01440426680249E14</v>
      </c>
      <c r="G114" s="233" t="s">
        <v>4155</v>
      </c>
      <c r="H114" s="521">
        <v>19979.0</v>
      </c>
      <c r="I114" s="41" t="s">
        <v>41</v>
      </c>
      <c r="J114" s="238"/>
      <c r="K114" s="238"/>
      <c r="N114" s="275">
        <f t="shared" ref="N114:Q114" si="13">COUNTIFS($I$111:$I$122,N113)</f>
        <v>0</v>
      </c>
      <c r="O114" s="275">
        <f t="shared" si="13"/>
        <v>0</v>
      </c>
      <c r="P114" s="275">
        <f t="shared" si="13"/>
        <v>0</v>
      </c>
      <c r="Q114" s="275">
        <f t="shared" si="13"/>
        <v>1</v>
      </c>
      <c r="R114" s="67"/>
    </row>
    <row r="115">
      <c r="A115" s="12" t="s">
        <v>14</v>
      </c>
      <c r="B115" s="227" t="s">
        <v>2082</v>
      </c>
      <c r="C115" s="74" t="str">
        <f t="shared" si="12"/>
        <v>Terça-Feira</v>
      </c>
      <c r="D115" s="512" t="str">
        <f>IF(C115&lt;&gt;"Quarta-Feira","14:20","09:20")</f>
        <v>14:20</v>
      </c>
      <c r="E115" s="245" t="s">
        <v>4156</v>
      </c>
      <c r="F115" s="162">
        <v>7.00505908431753E14</v>
      </c>
      <c r="G115" s="161" t="s">
        <v>4157</v>
      </c>
      <c r="H115" s="390">
        <v>18525.0</v>
      </c>
      <c r="I115" s="41" t="s">
        <v>41</v>
      </c>
      <c r="J115" s="238"/>
      <c r="K115" s="238"/>
      <c r="R115" s="67"/>
    </row>
    <row r="116">
      <c r="A116" s="12" t="s">
        <v>15</v>
      </c>
      <c r="B116" s="227" t="s">
        <v>2089</v>
      </c>
      <c r="C116" s="74" t="str">
        <f t="shared" si="12"/>
        <v>Terça-Feira</v>
      </c>
      <c r="D116" s="512" t="str">
        <f>IF(C116&lt;&gt;"Quarta-Feira","14:40","09:40")</f>
        <v>14:40</v>
      </c>
      <c r="E116" s="245" t="s">
        <v>4158</v>
      </c>
      <c r="F116" s="162">
        <v>7.00004681656903E14</v>
      </c>
      <c r="G116" s="161" t="s">
        <v>4159</v>
      </c>
      <c r="H116" s="390">
        <v>21899.0</v>
      </c>
      <c r="I116" s="41" t="s">
        <v>41</v>
      </c>
      <c r="J116" s="238"/>
      <c r="K116" s="238"/>
      <c r="R116" s="67"/>
    </row>
    <row r="117">
      <c r="A117" s="12" t="s">
        <v>16</v>
      </c>
      <c r="B117" s="227" t="s">
        <v>2093</v>
      </c>
      <c r="C117" s="74" t="str">
        <f t="shared" si="12"/>
        <v>Terça-Feira</v>
      </c>
      <c r="D117" s="512" t="str">
        <f>IF(C117&lt;&gt;"Quarta-Feira","15:00","10:00")</f>
        <v>15:00</v>
      </c>
      <c r="E117" s="245"/>
      <c r="F117" s="162"/>
      <c r="G117" s="161"/>
      <c r="H117" s="390"/>
      <c r="I117" s="41"/>
      <c r="J117" s="238"/>
      <c r="K117" s="238"/>
      <c r="R117" s="67"/>
    </row>
    <row r="118">
      <c r="A118" s="12" t="s">
        <v>17</v>
      </c>
      <c r="B118" s="227" t="s">
        <v>2094</v>
      </c>
      <c r="C118" s="74" t="str">
        <f t="shared" si="12"/>
        <v>Terça-Feira</v>
      </c>
      <c r="D118" s="512" t="str">
        <f>IF(C118&lt;&gt;"Quarta-Feira","15:20","10:20")</f>
        <v>15:20</v>
      </c>
      <c r="E118" s="245" t="s">
        <v>3806</v>
      </c>
      <c r="F118" s="162">
        <v>7.06001329644143E14</v>
      </c>
      <c r="G118" s="161" t="s">
        <v>3807</v>
      </c>
      <c r="H118" s="390">
        <v>31866.0</v>
      </c>
      <c r="I118" s="41" t="s">
        <v>41</v>
      </c>
      <c r="J118" s="238"/>
      <c r="K118" s="238"/>
      <c r="R118" s="67"/>
    </row>
    <row r="119">
      <c r="A119" s="12" t="s">
        <v>85</v>
      </c>
      <c r="B119" s="227" t="s">
        <v>2095</v>
      </c>
      <c r="C119" s="74" t="str">
        <f t="shared" si="12"/>
        <v>Terça-Feira</v>
      </c>
      <c r="D119" s="512" t="str">
        <f>IF(C119&lt;&gt;"Quarta-Feira","15:40","10:40")</f>
        <v>15:40</v>
      </c>
      <c r="E119" s="245" t="s">
        <v>4160</v>
      </c>
      <c r="F119" s="162">
        <v>7.04800012543349E14</v>
      </c>
      <c r="G119" s="161" t="s">
        <v>4161</v>
      </c>
      <c r="H119" s="390">
        <v>22932.0</v>
      </c>
      <c r="I119" s="41" t="s">
        <v>41</v>
      </c>
      <c r="J119" s="238"/>
      <c r="K119" s="238"/>
      <c r="R119" s="67"/>
      <c r="V119" s="336"/>
    </row>
    <row r="120">
      <c r="A120" s="12" t="s">
        <v>87</v>
      </c>
      <c r="B120" s="227" t="s">
        <v>2096</v>
      </c>
      <c r="C120" s="74" t="str">
        <f t="shared" si="12"/>
        <v>Terça-Feira</v>
      </c>
      <c r="D120" s="512" t="str">
        <f>IF(C120&lt;&gt;"Quarta-Feira","16:00","11:00")</f>
        <v>16:00</v>
      </c>
      <c r="E120" s="245"/>
      <c r="F120" s="162"/>
      <c r="G120" s="161"/>
      <c r="H120" s="390"/>
      <c r="I120" s="41"/>
      <c r="J120" s="238"/>
      <c r="K120" s="238"/>
      <c r="R120" s="67"/>
    </row>
    <row r="121">
      <c r="A121" s="12" t="s">
        <v>90</v>
      </c>
      <c r="B121" s="227" t="s">
        <v>2098</v>
      </c>
      <c r="C121" s="74" t="str">
        <f t="shared" si="12"/>
        <v>Terça-Feira</v>
      </c>
      <c r="D121" s="512" t="str">
        <f>IF(C121&lt;&gt;"Quarta-Feira","16:20","11:20")</f>
        <v>16:20</v>
      </c>
      <c r="E121" s="245" t="s">
        <v>4162</v>
      </c>
      <c r="F121" s="162">
        <v>7.07006800511333E14</v>
      </c>
      <c r="G121" s="161" t="s">
        <v>4163</v>
      </c>
      <c r="H121" s="390">
        <v>23719.0</v>
      </c>
      <c r="I121" s="41"/>
      <c r="J121" s="238"/>
      <c r="K121" s="238"/>
      <c r="R121" s="67"/>
    </row>
    <row r="122">
      <c r="A122" s="12" t="s">
        <v>93</v>
      </c>
      <c r="B122" s="227" t="s">
        <v>2096</v>
      </c>
      <c r="C122" s="74" t="str">
        <f t="shared" si="12"/>
        <v>Terça-Feira</v>
      </c>
      <c r="D122" s="512" t="str">
        <f>IF(C122&lt;&gt;"Quarta-Feira","16:40","11:40")</f>
        <v>16:40</v>
      </c>
      <c r="E122" s="245"/>
      <c r="F122" s="162"/>
      <c r="G122" s="161"/>
      <c r="H122" s="390"/>
      <c r="I122" s="41"/>
      <c r="J122" s="238"/>
      <c r="K122" s="238"/>
      <c r="R122" s="67"/>
    </row>
    <row r="123">
      <c r="E123" s="261"/>
      <c r="J123" s="67"/>
      <c r="K123" s="67"/>
      <c r="R123" s="67"/>
    </row>
    <row r="124">
      <c r="E124" s="261"/>
      <c r="J124" s="67"/>
      <c r="K124" s="67"/>
      <c r="R124" s="67"/>
    </row>
    <row r="125">
      <c r="E125" s="261"/>
      <c r="J125" s="67"/>
      <c r="K125" s="67"/>
      <c r="R125" s="67"/>
    </row>
    <row r="126">
      <c r="A126" s="23" t="s">
        <v>18</v>
      </c>
      <c r="B126" s="2"/>
      <c r="C126" s="2"/>
      <c r="D126" s="2"/>
      <c r="E126" s="2"/>
      <c r="F126" s="2"/>
      <c r="G126" s="2"/>
      <c r="H126" s="2"/>
      <c r="I126" s="2"/>
      <c r="J126" s="2"/>
      <c r="K126" s="3"/>
      <c r="R126" s="67"/>
    </row>
    <row r="127">
      <c r="A127" s="24" t="str">
        <f>TEXT(DATE(VALUE(MID(A73,7,4)),VALUE(MID(A73,4,2)),VALUE(LEFT(A73,2)))+7,"dd/mm/yyyy")&amp;" 13h às 17h"</f>
        <v>23/07/2026 13h às 17h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5"/>
      <c r="B128" s="26" t="s">
        <v>3</v>
      </c>
      <c r="C128" s="27" t="s">
        <v>2</v>
      </c>
      <c r="D128" s="28" t="s">
        <v>5</v>
      </c>
      <c r="E128" s="29" t="s">
        <v>19</v>
      </c>
      <c r="F128" s="28" t="s">
        <v>6</v>
      </c>
      <c r="G128" s="28" t="s">
        <v>7</v>
      </c>
      <c r="H128" s="30" t="s">
        <v>8</v>
      </c>
      <c r="I128" s="31" t="s">
        <v>20</v>
      </c>
      <c r="J128" s="32" t="s">
        <v>21</v>
      </c>
      <c r="K128" s="32" t="s">
        <v>22</v>
      </c>
      <c r="R128" s="67"/>
    </row>
    <row r="129">
      <c r="A129" s="12" t="s">
        <v>10</v>
      </c>
      <c r="B129" s="227" t="s">
        <v>1790</v>
      </c>
      <c r="C129" s="74" t="str">
        <f t="shared" ref="C129:C140" si="14">PROPER(TEXT(DATE(MID($A$127,7,4),MID($A$127,4,2),LEFT($A$127,2)),"dddd"))</f>
        <v>Quinta-Feira</v>
      </c>
      <c r="D129" s="512" t="str">
        <f>IF(C129&lt;&gt;"Quarta-Feira","13:00","08:00")</f>
        <v>13:00</v>
      </c>
      <c r="E129" s="287"/>
      <c r="F129" s="74">
        <v>7.06808703438623E14</v>
      </c>
      <c r="G129" s="167" t="s">
        <v>3817</v>
      </c>
      <c r="H129" s="211">
        <v>21205.0</v>
      </c>
      <c r="I129" s="41"/>
      <c r="J129" s="102"/>
      <c r="K129" s="102"/>
      <c r="N129" s="268" t="s">
        <v>387</v>
      </c>
      <c r="O129" s="100"/>
      <c r="P129" s="100"/>
      <c r="Q129" s="100"/>
      <c r="R129" s="67"/>
    </row>
    <row r="130">
      <c r="A130" s="12" t="s">
        <v>11</v>
      </c>
      <c r="B130" s="227" t="s">
        <v>1714</v>
      </c>
      <c r="C130" s="74" t="str">
        <f t="shared" si="14"/>
        <v>Quinta-Feira</v>
      </c>
      <c r="D130" s="512" t="str">
        <f>IF(C130&lt;&gt;"Quarta-Feira","13:20","08:20")</f>
        <v>13:20</v>
      </c>
      <c r="E130" s="287"/>
      <c r="F130" s="74"/>
      <c r="G130" s="167"/>
      <c r="H130" s="211"/>
      <c r="I130" s="41"/>
      <c r="J130" s="102"/>
      <c r="K130" s="102"/>
      <c r="N130" s="270" t="s">
        <v>2086</v>
      </c>
      <c r="O130" s="2"/>
      <c r="P130" s="2"/>
      <c r="Q130" s="2"/>
      <c r="R130" s="67"/>
    </row>
    <row r="131">
      <c r="A131" s="12" t="s">
        <v>12</v>
      </c>
      <c r="B131" s="227" t="s">
        <v>1781</v>
      </c>
      <c r="C131" s="74" t="str">
        <f t="shared" si="14"/>
        <v>Quinta-Feira</v>
      </c>
      <c r="D131" s="512" t="str">
        <f>IF(C131&lt;&gt;"Quarta-Feira","13:40","08:40")</f>
        <v>13:40</v>
      </c>
      <c r="E131" s="287"/>
      <c r="F131" s="74">
        <v>7.04504378177113E14</v>
      </c>
      <c r="G131" s="167" t="s">
        <v>4164</v>
      </c>
      <c r="H131" s="211">
        <v>25116.0</v>
      </c>
      <c r="I131" s="41"/>
      <c r="J131" s="102"/>
      <c r="K131" s="102"/>
      <c r="N131" s="271" t="s">
        <v>183</v>
      </c>
      <c r="O131" s="272" t="s">
        <v>195</v>
      </c>
      <c r="P131" s="272" t="s">
        <v>181</v>
      </c>
      <c r="Q131" s="273" t="s">
        <v>2088</v>
      </c>
      <c r="R131" s="67"/>
    </row>
    <row r="132">
      <c r="A132" s="12" t="s">
        <v>13</v>
      </c>
      <c r="B132" s="227" t="s">
        <v>1721</v>
      </c>
      <c r="C132" s="74" t="str">
        <f t="shared" si="14"/>
        <v>Quinta-Feira</v>
      </c>
      <c r="D132" s="512" t="str">
        <f>IF(C132&lt;&gt;"Quarta-Feira","14:00","09:00")</f>
        <v>14:00</v>
      </c>
      <c r="E132" s="287"/>
      <c r="F132" s="74"/>
      <c r="G132" s="167"/>
      <c r="H132" s="211"/>
      <c r="I132" s="41"/>
      <c r="J132" s="102"/>
      <c r="K132" s="102"/>
      <c r="N132" s="275">
        <f t="shared" ref="N132:Q132" si="15">COUNTIFS($I$129:$I$140,N131)</f>
        <v>0</v>
      </c>
      <c r="O132" s="275">
        <f t="shared" si="15"/>
        <v>0</v>
      </c>
      <c r="P132" s="275">
        <f t="shared" si="15"/>
        <v>0</v>
      </c>
      <c r="Q132" s="275">
        <f t="shared" si="15"/>
        <v>0</v>
      </c>
      <c r="R132" s="67"/>
    </row>
    <row r="133">
      <c r="A133" s="12" t="s">
        <v>14</v>
      </c>
      <c r="B133" s="227" t="s">
        <v>1796</v>
      </c>
      <c r="C133" s="74" t="str">
        <f t="shared" si="14"/>
        <v>Quinta-Feira</v>
      </c>
      <c r="D133" s="512" t="str">
        <f>IF(C133&lt;&gt;"Quarta-Feira","14:20","09:20")</f>
        <v>14:20</v>
      </c>
      <c r="E133" s="287"/>
      <c r="F133" s="74"/>
      <c r="G133" s="167"/>
      <c r="H133" s="211"/>
      <c r="I133" s="41"/>
      <c r="J133" s="102"/>
      <c r="K133" s="102"/>
      <c r="R133" s="67"/>
    </row>
    <row r="134">
      <c r="A134" s="12" t="s">
        <v>15</v>
      </c>
      <c r="B134" s="227" t="s">
        <v>1790</v>
      </c>
      <c r="C134" s="74" t="str">
        <f t="shared" si="14"/>
        <v>Quinta-Feira</v>
      </c>
      <c r="D134" s="512" t="str">
        <f>IF(C134&lt;&gt;"Quarta-Feira","14:40","09:40")</f>
        <v>14:40</v>
      </c>
      <c r="E134" s="287"/>
      <c r="F134" s="74">
        <v>7.0800584344412E14</v>
      </c>
      <c r="G134" s="167" t="s">
        <v>4165</v>
      </c>
      <c r="H134" s="211">
        <v>13499.0</v>
      </c>
      <c r="I134" s="41"/>
      <c r="J134" s="102"/>
      <c r="K134" s="102"/>
      <c r="R134" s="67"/>
    </row>
    <row r="135">
      <c r="A135" s="12" t="s">
        <v>16</v>
      </c>
      <c r="B135" s="227" t="s">
        <v>2653</v>
      </c>
      <c r="C135" s="74" t="str">
        <f t="shared" si="14"/>
        <v>Quinta-Feira</v>
      </c>
      <c r="D135" s="512" t="str">
        <f>IF(C135&lt;&gt;"Quarta-Feira","15:00","10:00")</f>
        <v>15:00</v>
      </c>
      <c r="E135" s="287"/>
      <c r="F135" s="74"/>
      <c r="G135" s="167"/>
      <c r="H135" s="211"/>
      <c r="I135" s="41"/>
      <c r="J135" s="102"/>
      <c r="K135" s="102"/>
      <c r="R135" s="67"/>
    </row>
    <row r="136">
      <c r="A136" s="12" t="s">
        <v>17</v>
      </c>
      <c r="B136" s="227" t="s">
        <v>2656</v>
      </c>
      <c r="C136" s="74" t="str">
        <f t="shared" si="14"/>
        <v>Quinta-Feira</v>
      </c>
      <c r="D136" s="512" t="str">
        <f>IF(C136&lt;&gt;"Quarta-Feira","15:20","10:20")</f>
        <v>15:20</v>
      </c>
      <c r="E136" s="287"/>
      <c r="F136" s="74"/>
      <c r="G136" s="167"/>
      <c r="H136" s="211"/>
      <c r="I136" s="41"/>
      <c r="J136" s="102"/>
      <c r="K136" s="102"/>
      <c r="R136" s="67"/>
    </row>
    <row r="137">
      <c r="A137" s="12" t="s">
        <v>85</v>
      </c>
      <c r="B137" s="227" t="s">
        <v>2659</v>
      </c>
      <c r="C137" s="74" t="str">
        <f t="shared" si="14"/>
        <v>Quinta-Feira</v>
      </c>
      <c r="D137" s="512" t="str">
        <f>IF(C137&lt;&gt;"Quarta-Feira","15:40","10:40")</f>
        <v>15:40</v>
      </c>
      <c r="E137" s="287"/>
      <c r="F137" s="74">
        <v>8.98001475143356E14</v>
      </c>
      <c r="G137" s="167" t="s">
        <v>4166</v>
      </c>
      <c r="H137" s="211">
        <v>22565.0</v>
      </c>
      <c r="I137" s="41"/>
      <c r="J137" s="102"/>
      <c r="K137" s="102"/>
      <c r="R137" s="67"/>
    </row>
    <row r="138">
      <c r="A138" s="12" t="s">
        <v>87</v>
      </c>
      <c r="B138" s="227" t="s">
        <v>1735</v>
      </c>
      <c r="C138" s="74" t="str">
        <f t="shared" si="14"/>
        <v>Quinta-Feira</v>
      </c>
      <c r="D138" s="512" t="str">
        <f>IF(C138&lt;&gt;"Quarta-Feira","16:00","11:00")</f>
        <v>16:00</v>
      </c>
      <c r="E138" s="287"/>
      <c r="F138" s="74"/>
      <c r="G138" s="167"/>
      <c r="H138" s="211"/>
      <c r="I138" s="41"/>
      <c r="J138" s="102"/>
      <c r="K138" s="102"/>
      <c r="R138" s="67"/>
    </row>
    <row r="139">
      <c r="A139" s="12" t="s">
        <v>90</v>
      </c>
      <c r="B139" s="227" t="s">
        <v>2659</v>
      </c>
      <c r="C139" s="74" t="str">
        <f t="shared" si="14"/>
        <v>Quinta-Feira</v>
      </c>
      <c r="D139" s="512" t="str">
        <f>IF(C139&lt;&gt;"Quarta-Feira","16:20","11:20")</f>
        <v>16:20</v>
      </c>
      <c r="E139" s="287"/>
      <c r="F139" s="74">
        <v>7.06205052421062E14</v>
      </c>
      <c r="G139" s="167" t="s">
        <v>4167</v>
      </c>
      <c r="H139" s="211">
        <v>16887.0</v>
      </c>
      <c r="I139" s="41"/>
      <c r="J139" s="102"/>
      <c r="K139" s="102"/>
      <c r="R139" s="67"/>
    </row>
    <row r="140">
      <c r="A140" s="12" t="s">
        <v>93</v>
      </c>
      <c r="B140" s="227" t="s">
        <v>1735</v>
      </c>
      <c r="C140" s="74" t="str">
        <f t="shared" si="14"/>
        <v>Quinta-Feira</v>
      </c>
      <c r="D140" s="512" t="str">
        <f>IF(C140&lt;&gt;"Quarta-Feira","16:40","11:40")</f>
        <v>16:40</v>
      </c>
      <c r="E140" s="287"/>
      <c r="F140" s="74"/>
      <c r="G140" s="167"/>
      <c r="H140" s="211"/>
      <c r="I140" s="41"/>
      <c r="J140" s="102"/>
      <c r="K140" s="102"/>
      <c r="R140" s="67"/>
    </row>
    <row r="141">
      <c r="A141" s="503"/>
      <c r="B141" s="493"/>
      <c r="C141" s="315"/>
      <c r="D141" s="504"/>
      <c r="E141" s="505"/>
      <c r="F141" s="506"/>
      <c r="G141" s="507"/>
      <c r="H141" s="508"/>
      <c r="I141" s="509"/>
      <c r="J141" s="510"/>
      <c r="K141" s="510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23" t="s">
        <v>18</v>
      </c>
      <c r="B144" s="2"/>
      <c r="C144" s="2"/>
      <c r="D144" s="2"/>
      <c r="E144" s="2"/>
      <c r="F144" s="2"/>
      <c r="G144" s="2"/>
      <c r="H144" s="2"/>
      <c r="I144" s="2"/>
      <c r="J144" s="2"/>
      <c r="K144" s="3"/>
      <c r="R144" s="67"/>
    </row>
    <row r="145">
      <c r="A145" s="24" t="str">
        <f>TEXT(DATE(VALUE(MID(A127,7,4)),VALUE(MID(A127,4,2)),VALUE(LEFT(A127,2)))+2,"dd/mm/yyyy")&amp;" 13h às 17h"</f>
        <v>25/07/2026 13h às 17h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>
      <c r="A146" s="25"/>
      <c r="B146" s="26" t="s">
        <v>3</v>
      </c>
      <c r="C146" s="27" t="s">
        <v>2</v>
      </c>
      <c r="D146" s="28" t="s">
        <v>5</v>
      </c>
      <c r="E146" s="29" t="s">
        <v>19</v>
      </c>
      <c r="F146" s="28" t="s">
        <v>6</v>
      </c>
      <c r="G146" s="28" t="s">
        <v>7</v>
      </c>
      <c r="H146" s="30" t="s">
        <v>8</v>
      </c>
      <c r="I146" s="31" t="s">
        <v>20</v>
      </c>
      <c r="J146" s="32" t="s">
        <v>21</v>
      </c>
      <c r="K146" s="32" t="s">
        <v>22</v>
      </c>
      <c r="R146" s="67"/>
    </row>
    <row r="147">
      <c r="A147" s="12" t="s">
        <v>10</v>
      </c>
      <c r="B147" s="227" t="s">
        <v>2082</v>
      </c>
      <c r="C147" s="74" t="str">
        <f t="shared" ref="C147:C158" si="16">PROPER(TEXT(DATE(MID($A$109,7,4),MID($A$109,4,2),LEFT($A$109,2)),"dddd"))</f>
        <v>Terça-Feira</v>
      </c>
      <c r="D147" s="512" t="str">
        <f>IF(C147&lt;&gt;"Quarta-Feira","13:00","08:00")</f>
        <v>13:00</v>
      </c>
      <c r="E147" s="443"/>
      <c r="F147" s="109"/>
      <c r="G147" s="110"/>
      <c r="H147" s="606"/>
      <c r="I147" s="112"/>
      <c r="J147" s="449"/>
      <c r="K147" s="449"/>
      <c r="N147" s="268" t="s">
        <v>387</v>
      </c>
      <c r="O147" s="100"/>
      <c r="P147" s="100"/>
      <c r="Q147" s="100"/>
      <c r="R147" s="67"/>
    </row>
    <row r="148">
      <c r="A148" s="12" t="s">
        <v>11</v>
      </c>
      <c r="B148" s="227" t="s">
        <v>2084</v>
      </c>
      <c r="C148" s="74" t="str">
        <f t="shared" si="16"/>
        <v>Terça-Feira</v>
      </c>
      <c r="D148" s="512" t="str">
        <f>IF(C148&lt;&gt;"Quarta-Feira","13:20","08:20")</f>
        <v>13:20</v>
      </c>
      <c r="E148" s="443"/>
      <c r="F148" s="607"/>
      <c r="G148" s="110"/>
      <c r="H148" s="608"/>
      <c r="I148" s="112"/>
      <c r="J148" s="449"/>
      <c r="K148" s="449"/>
      <c r="N148" s="270" t="s">
        <v>2086</v>
      </c>
      <c r="O148" s="2"/>
      <c r="P148" s="2"/>
      <c r="Q148" s="2"/>
      <c r="R148" s="67"/>
    </row>
    <row r="149">
      <c r="A149" s="12" t="s">
        <v>12</v>
      </c>
      <c r="B149" s="227" t="s">
        <v>2087</v>
      </c>
      <c r="C149" s="74" t="str">
        <f t="shared" si="16"/>
        <v>Terça-Feira</v>
      </c>
      <c r="D149" s="512" t="str">
        <f>IF(C149&lt;&gt;"Quarta-Feira","13:40","08:40")</f>
        <v>13:40</v>
      </c>
      <c r="E149" s="443"/>
      <c r="F149" s="109"/>
      <c r="G149" s="110"/>
      <c r="H149" s="606"/>
      <c r="I149" s="112"/>
      <c r="J149" s="449"/>
      <c r="K149" s="449"/>
      <c r="N149" s="271" t="s">
        <v>183</v>
      </c>
      <c r="O149" s="272" t="s">
        <v>195</v>
      </c>
      <c r="P149" s="272" t="s">
        <v>181</v>
      </c>
      <c r="Q149" s="273" t="s">
        <v>2088</v>
      </c>
      <c r="R149" s="67"/>
    </row>
    <row r="150">
      <c r="A150" s="12" t="s">
        <v>13</v>
      </c>
      <c r="B150" s="227" t="s">
        <v>2089</v>
      </c>
      <c r="C150" s="74" t="str">
        <f t="shared" si="16"/>
        <v>Terça-Feira</v>
      </c>
      <c r="D150" s="512" t="str">
        <f>IF(C150&lt;&gt;"Quarta-Feira","14:00","09:00")</f>
        <v>14:00</v>
      </c>
      <c r="E150" s="443"/>
      <c r="F150" s="441"/>
      <c r="G150" s="609"/>
      <c r="H150" s="610"/>
      <c r="I150" s="112"/>
      <c r="J150" s="449"/>
      <c r="K150" s="449"/>
      <c r="N150" s="275">
        <f t="shared" ref="N150:Q150" si="17">COUNTIFS($I$147:$I$158,N149)</f>
        <v>0</v>
      </c>
      <c r="O150" s="275">
        <f t="shared" si="17"/>
        <v>0</v>
      </c>
      <c r="P150" s="275">
        <f t="shared" si="17"/>
        <v>0</v>
      </c>
      <c r="Q150" s="275">
        <f t="shared" si="17"/>
        <v>0</v>
      </c>
      <c r="R150" s="67"/>
    </row>
    <row r="151">
      <c r="A151" s="12" t="s">
        <v>14</v>
      </c>
      <c r="B151" s="227" t="s">
        <v>2082</v>
      </c>
      <c r="C151" s="74" t="str">
        <f t="shared" si="16"/>
        <v>Terça-Feira</v>
      </c>
      <c r="D151" s="512" t="str">
        <f>IF(C151&lt;&gt;"Quarta-Feira","14:20","09:20")</f>
        <v>14:20</v>
      </c>
      <c r="E151" s="443"/>
      <c r="F151" s="109"/>
      <c r="G151" s="110"/>
      <c r="H151" s="606"/>
      <c r="I151" s="112"/>
      <c r="J151" s="449"/>
      <c r="K151" s="449"/>
      <c r="R151" s="67"/>
    </row>
    <row r="152">
      <c r="A152" s="12" t="s">
        <v>15</v>
      </c>
      <c r="B152" s="227" t="s">
        <v>2089</v>
      </c>
      <c r="C152" s="74" t="str">
        <f t="shared" si="16"/>
        <v>Terça-Feira</v>
      </c>
      <c r="D152" s="512" t="str">
        <f>IF(C152&lt;&gt;"Quarta-Feira","14:40","09:40")</f>
        <v>14:40</v>
      </c>
      <c r="E152" s="443"/>
      <c r="F152" s="109"/>
      <c r="G152" s="110"/>
      <c r="H152" s="606"/>
      <c r="I152" s="112"/>
      <c r="J152" s="449"/>
      <c r="K152" s="449"/>
      <c r="R152" s="67"/>
    </row>
    <row r="153">
      <c r="A153" s="12" t="s">
        <v>16</v>
      </c>
      <c r="B153" s="227" t="s">
        <v>2093</v>
      </c>
      <c r="C153" s="74" t="str">
        <f t="shared" si="16"/>
        <v>Terça-Feira</v>
      </c>
      <c r="D153" s="512" t="str">
        <f>IF(C153&lt;&gt;"Quarta-Feira","15:00","10:00")</f>
        <v>15:00</v>
      </c>
      <c r="E153" s="443"/>
      <c r="F153" s="109"/>
      <c r="G153" s="110"/>
      <c r="H153" s="606"/>
      <c r="I153" s="112"/>
      <c r="J153" s="449"/>
      <c r="K153" s="449"/>
      <c r="R153" s="67"/>
    </row>
    <row r="154">
      <c r="A154" s="12" t="s">
        <v>17</v>
      </c>
      <c r="B154" s="227" t="s">
        <v>2094</v>
      </c>
      <c r="C154" s="74" t="str">
        <f t="shared" si="16"/>
        <v>Terça-Feira</v>
      </c>
      <c r="D154" s="512" t="str">
        <f>IF(C154&lt;&gt;"Quarta-Feira","15:20","10:20")</f>
        <v>15:20</v>
      </c>
      <c r="E154" s="443"/>
      <c r="F154" s="109"/>
      <c r="G154" s="110"/>
      <c r="H154" s="606"/>
      <c r="I154" s="112"/>
      <c r="J154" s="449"/>
      <c r="K154" s="449"/>
      <c r="R154" s="67"/>
    </row>
    <row r="155">
      <c r="A155" s="12" t="s">
        <v>85</v>
      </c>
      <c r="B155" s="227" t="s">
        <v>2095</v>
      </c>
      <c r="C155" s="74" t="str">
        <f t="shared" si="16"/>
        <v>Terça-Feira</v>
      </c>
      <c r="D155" s="512" t="str">
        <f>IF(C155&lt;&gt;"Quarta-Feira","15:40","10:40")</f>
        <v>15:40</v>
      </c>
      <c r="E155" s="443"/>
      <c r="F155" s="109"/>
      <c r="G155" s="110"/>
      <c r="H155" s="606"/>
      <c r="I155" s="112"/>
      <c r="J155" s="449"/>
      <c r="K155" s="449"/>
      <c r="R155" s="67"/>
    </row>
    <row r="156">
      <c r="A156" s="12" t="s">
        <v>87</v>
      </c>
      <c r="B156" s="227" t="s">
        <v>2096</v>
      </c>
      <c r="C156" s="74" t="str">
        <f t="shared" si="16"/>
        <v>Terça-Feira</v>
      </c>
      <c r="D156" s="512" t="str">
        <f>IF(C156&lt;&gt;"Quarta-Feira","16:00","11:00")</f>
        <v>16:00</v>
      </c>
      <c r="E156" s="443"/>
      <c r="F156" s="109"/>
      <c r="G156" s="110"/>
      <c r="H156" s="606"/>
      <c r="I156" s="112"/>
      <c r="J156" s="449"/>
      <c r="K156" s="449"/>
      <c r="R156" s="67"/>
    </row>
    <row r="157">
      <c r="A157" s="12" t="s">
        <v>90</v>
      </c>
      <c r="B157" s="227" t="s">
        <v>2098</v>
      </c>
      <c r="C157" s="74" t="str">
        <f t="shared" si="16"/>
        <v>Terça-Feira</v>
      </c>
      <c r="D157" s="512" t="str">
        <f>IF(C157&lt;&gt;"Quarta-Feira","16:20","11:20")</f>
        <v>16:20</v>
      </c>
      <c r="E157" s="443"/>
      <c r="F157" s="109"/>
      <c r="G157" s="110"/>
      <c r="H157" s="606"/>
      <c r="I157" s="112"/>
      <c r="J157" s="449"/>
      <c r="K157" s="449"/>
      <c r="R157" s="67"/>
    </row>
    <row r="158">
      <c r="A158" s="12" t="s">
        <v>93</v>
      </c>
      <c r="B158" s="227" t="s">
        <v>2096</v>
      </c>
      <c r="C158" s="74" t="str">
        <f t="shared" si="16"/>
        <v>Terça-Feira</v>
      </c>
      <c r="D158" s="512" t="str">
        <f>IF(C158&lt;&gt;"Quarta-Feira","16:40","11:40")</f>
        <v>16:40</v>
      </c>
      <c r="E158" s="443"/>
      <c r="F158" s="109"/>
      <c r="G158" s="110"/>
      <c r="H158" s="606"/>
      <c r="I158" s="112"/>
      <c r="J158" s="449"/>
      <c r="K158" s="449"/>
      <c r="R158" s="67"/>
    </row>
    <row r="159">
      <c r="A159" s="503"/>
      <c r="B159" s="493"/>
      <c r="C159" s="315"/>
      <c r="D159" s="504"/>
      <c r="E159" s="505"/>
      <c r="F159" s="506"/>
      <c r="G159" s="507"/>
      <c r="H159" s="508"/>
      <c r="I159" s="509"/>
      <c r="J159" s="510"/>
      <c r="K159" s="510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23" t="s">
        <v>18</v>
      </c>
      <c r="B162" s="2"/>
      <c r="C162" s="2"/>
      <c r="D162" s="2"/>
      <c r="E162" s="2"/>
      <c r="F162" s="2"/>
      <c r="G162" s="2"/>
      <c r="H162" s="2"/>
      <c r="I162" s="2"/>
      <c r="J162" s="2"/>
      <c r="K162" s="3"/>
      <c r="R162" s="67"/>
    </row>
    <row r="163">
      <c r="A163" s="24" t="str">
        <f>TEXT(DATE(VALUE(MID(A127,7,4)),VALUE(MID(A127,4,2)),VALUE(LEFT(A127,2)))+7,"dd/mm/yyyy")&amp;" 13h às 17h"</f>
        <v>30/07/2026 13h às 17h</v>
      </c>
      <c r="B163" s="2"/>
      <c r="C163" s="2"/>
      <c r="D163" s="2"/>
      <c r="E163" s="2"/>
      <c r="F163" s="2"/>
      <c r="G163" s="2"/>
      <c r="H163" s="2"/>
      <c r="I163" s="2"/>
      <c r="J163" s="2"/>
      <c r="K163" s="3"/>
      <c r="R163" s="67"/>
    </row>
    <row r="164">
      <c r="A164" s="25"/>
      <c r="B164" s="26" t="s">
        <v>3</v>
      </c>
      <c r="C164" s="27" t="s">
        <v>2</v>
      </c>
      <c r="D164" s="28" t="s">
        <v>5</v>
      </c>
      <c r="E164" s="29" t="s">
        <v>19</v>
      </c>
      <c r="F164" s="28" t="s">
        <v>6</v>
      </c>
      <c r="G164" s="28" t="s">
        <v>7</v>
      </c>
      <c r="H164" s="30" t="s">
        <v>8</v>
      </c>
      <c r="I164" s="31" t="s">
        <v>20</v>
      </c>
      <c r="J164" s="32" t="s">
        <v>21</v>
      </c>
      <c r="K164" s="32" t="s">
        <v>22</v>
      </c>
      <c r="R164" s="67"/>
    </row>
    <row r="165">
      <c r="A165" s="12" t="s">
        <v>10</v>
      </c>
      <c r="B165" s="227" t="s">
        <v>1790</v>
      </c>
      <c r="C165" s="74" t="str">
        <f t="shared" ref="C165:C176" si="18">PROPER(TEXT(DATE(MID($A$127,7,4),MID($A$127,4,2),LEFT($A$127,2)),"dddd"))</f>
        <v>Quinta-Feira</v>
      </c>
      <c r="D165" s="512" t="str">
        <f>IF(C165&lt;&gt;"Quarta-Feira","13:00","08:00")</f>
        <v>13:00</v>
      </c>
      <c r="E165" s="287"/>
      <c r="F165" s="74">
        <v>8.01440435972869E14</v>
      </c>
      <c r="G165" s="167" t="s">
        <v>2257</v>
      </c>
      <c r="H165" s="211">
        <v>15464.0</v>
      </c>
      <c r="I165" s="41"/>
      <c r="J165" s="102"/>
      <c r="K165" s="102"/>
      <c r="N165" s="268" t="s">
        <v>387</v>
      </c>
      <c r="O165" s="100"/>
      <c r="P165" s="100"/>
      <c r="Q165" s="100"/>
      <c r="R165" s="67"/>
    </row>
    <row r="166">
      <c r="A166" s="12" t="s">
        <v>11</v>
      </c>
      <c r="B166" s="227" t="s">
        <v>1714</v>
      </c>
      <c r="C166" s="74" t="str">
        <f t="shared" si="18"/>
        <v>Quinta-Feira</v>
      </c>
      <c r="D166" s="512" t="str">
        <f>IF(C166&lt;&gt;"Quarta-Feira","13:20","08:20")</f>
        <v>13:20</v>
      </c>
      <c r="E166" s="287"/>
      <c r="F166" s="74"/>
      <c r="G166" s="167"/>
      <c r="H166" s="211"/>
      <c r="I166" s="41"/>
      <c r="J166" s="102"/>
      <c r="K166" s="102"/>
      <c r="N166" s="270" t="s">
        <v>2086</v>
      </c>
      <c r="O166" s="2"/>
      <c r="P166" s="2"/>
      <c r="Q166" s="2"/>
      <c r="R166" s="67"/>
    </row>
    <row r="167">
      <c r="A167" s="12" t="s">
        <v>12</v>
      </c>
      <c r="B167" s="227" t="s">
        <v>1781</v>
      </c>
      <c r="C167" s="74" t="str">
        <f t="shared" si="18"/>
        <v>Quinta-Feira</v>
      </c>
      <c r="D167" s="512" t="str">
        <f>IF(C167&lt;&gt;"Quarta-Feira","13:40","08:40")</f>
        <v>13:40</v>
      </c>
      <c r="E167" s="287"/>
      <c r="F167" s="74">
        <v>7.04308554752397E14</v>
      </c>
      <c r="G167" s="167" t="s">
        <v>4168</v>
      </c>
      <c r="H167" s="211">
        <v>13897.0</v>
      </c>
      <c r="I167" s="41"/>
      <c r="J167" s="102"/>
      <c r="K167" s="102"/>
      <c r="N167" s="271" t="s">
        <v>183</v>
      </c>
      <c r="O167" s="272" t="s">
        <v>195</v>
      </c>
      <c r="P167" s="272" t="s">
        <v>181</v>
      </c>
      <c r="Q167" s="273" t="s">
        <v>2088</v>
      </c>
      <c r="R167" s="67"/>
    </row>
    <row r="168">
      <c r="A168" s="12" t="s">
        <v>13</v>
      </c>
      <c r="B168" s="227" t="s">
        <v>1721</v>
      </c>
      <c r="C168" s="74" t="str">
        <f t="shared" si="18"/>
        <v>Quinta-Feira</v>
      </c>
      <c r="D168" s="512" t="str">
        <f>IF(C168&lt;&gt;"Quarta-Feira","14:00","09:00")</f>
        <v>14:00</v>
      </c>
      <c r="E168" s="287"/>
      <c r="F168" s="74"/>
      <c r="G168" s="167"/>
      <c r="H168" s="211"/>
      <c r="I168" s="41"/>
      <c r="J168" s="102"/>
      <c r="K168" s="102"/>
      <c r="N168" s="275">
        <f t="shared" ref="N168:Q168" si="19">COUNTIFS($I$129:$I$140,N167)</f>
        <v>0</v>
      </c>
      <c r="O168" s="275">
        <f t="shared" si="19"/>
        <v>0</v>
      </c>
      <c r="P168" s="275">
        <f t="shared" si="19"/>
        <v>0</v>
      </c>
      <c r="Q168" s="275">
        <f t="shared" si="19"/>
        <v>0</v>
      </c>
      <c r="R168" s="67"/>
    </row>
    <row r="169">
      <c r="A169" s="12" t="s">
        <v>14</v>
      </c>
      <c r="B169" s="227" t="s">
        <v>1796</v>
      </c>
      <c r="C169" s="74" t="str">
        <f t="shared" si="18"/>
        <v>Quinta-Feira</v>
      </c>
      <c r="D169" s="512" t="str">
        <f>IF(C169&lt;&gt;"Quarta-Feira","14:20","09:20")</f>
        <v>14:20</v>
      </c>
      <c r="E169" s="287"/>
      <c r="F169" s="74"/>
      <c r="G169" s="167"/>
      <c r="H169" s="211"/>
      <c r="I169" s="41"/>
      <c r="J169" s="102"/>
      <c r="K169" s="102"/>
      <c r="R169" s="67"/>
    </row>
    <row r="170">
      <c r="A170" s="12" t="s">
        <v>15</v>
      </c>
      <c r="B170" s="227" t="s">
        <v>1790</v>
      </c>
      <c r="C170" s="74" t="str">
        <f t="shared" si="18"/>
        <v>Quinta-Feira</v>
      </c>
      <c r="D170" s="512" t="str">
        <f>IF(C170&lt;&gt;"Quarta-Feira","14:40","09:40")</f>
        <v>14:40</v>
      </c>
      <c r="E170" s="287"/>
      <c r="F170" s="74">
        <v>2.04303093460002E14</v>
      </c>
      <c r="G170" s="167" t="s">
        <v>4169</v>
      </c>
      <c r="H170" s="211">
        <v>20194.0</v>
      </c>
      <c r="I170" s="41"/>
      <c r="J170" s="102"/>
      <c r="K170" s="102"/>
      <c r="R170" s="67"/>
    </row>
    <row r="171">
      <c r="A171" s="12" t="s">
        <v>16</v>
      </c>
      <c r="B171" s="227" t="s">
        <v>2653</v>
      </c>
      <c r="C171" s="74" t="str">
        <f t="shared" si="18"/>
        <v>Quinta-Feira</v>
      </c>
      <c r="D171" s="512" t="str">
        <f>IF(C171&lt;&gt;"Quarta-Feira","15:00","10:00")</f>
        <v>15:00</v>
      </c>
      <c r="E171" s="287"/>
      <c r="F171" s="74"/>
      <c r="G171" s="167"/>
      <c r="H171" s="211"/>
      <c r="I171" s="41"/>
      <c r="J171" s="102"/>
      <c r="K171" s="102"/>
      <c r="R171" s="67"/>
    </row>
    <row r="172">
      <c r="A172" s="12" t="s">
        <v>17</v>
      </c>
      <c r="B172" s="227" t="s">
        <v>2656</v>
      </c>
      <c r="C172" s="74" t="str">
        <f t="shared" si="18"/>
        <v>Quinta-Feira</v>
      </c>
      <c r="D172" s="512" t="str">
        <f>IF(C172&lt;&gt;"Quarta-Feira","15:20","10:20")</f>
        <v>15:20</v>
      </c>
      <c r="E172" s="287"/>
      <c r="F172" s="74"/>
      <c r="G172" s="167"/>
      <c r="H172" s="211"/>
      <c r="I172" s="41"/>
      <c r="J172" s="102"/>
      <c r="K172" s="102"/>
      <c r="R172" s="67"/>
    </row>
    <row r="173">
      <c r="A173" s="12" t="s">
        <v>85</v>
      </c>
      <c r="B173" s="227" t="s">
        <v>2659</v>
      </c>
      <c r="C173" s="74" t="str">
        <f t="shared" si="18"/>
        <v>Quinta-Feira</v>
      </c>
      <c r="D173" s="512" t="str">
        <f>IF(C173&lt;&gt;"Quarta-Feira","15:40","10:40")</f>
        <v>15:40</v>
      </c>
      <c r="E173" s="287"/>
      <c r="F173" s="74">
        <v>8.98001407630514E14</v>
      </c>
      <c r="G173" s="167" t="s">
        <v>4170</v>
      </c>
      <c r="H173" s="211">
        <v>26702.0</v>
      </c>
      <c r="I173" s="41"/>
      <c r="J173" s="102"/>
      <c r="K173" s="102"/>
      <c r="R173" s="67"/>
    </row>
    <row r="174">
      <c r="A174" s="12" t="s">
        <v>87</v>
      </c>
      <c r="B174" s="227" t="s">
        <v>1735</v>
      </c>
      <c r="C174" s="74" t="str">
        <f t="shared" si="18"/>
        <v>Quinta-Feira</v>
      </c>
      <c r="D174" s="512" t="str">
        <f>IF(C174&lt;&gt;"Quarta-Feira","16:00","11:00")</f>
        <v>16:00</v>
      </c>
      <c r="E174" s="287"/>
      <c r="F174" s="74"/>
      <c r="G174" s="167"/>
      <c r="H174" s="211"/>
      <c r="I174" s="41"/>
      <c r="J174" s="102"/>
      <c r="K174" s="102"/>
      <c r="R174" s="67"/>
    </row>
    <row r="175">
      <c r="A175" s="12" t="s">
        <v>90</v>
      </c>
      <c r="B175" s="227" t="s">
        <v>2659</v>
      </c>
      <c r="C175" s="74" t="str">
        <f t="shared" si="18"/>
        <v>Quinta-Feira</v>
      </c>
      <c r="D175" s="512" t="str">
        <f>IF(C175&lt;&gt;"Quarta-Feira","16:20","11:20")</f>
        <v>16:20</v>
      </c>
      <c r="E175" s="287"/>
      <c r="F175" s="74">
        <v>7.08908798285515E14</v>
      </c>
      <c r="G175" s="167" t="s">
        <v>4171</v>
      </c>
      <c r="H175" s="211">
        <v>21215.0</v>
      </c>
      <c r="I175" s="41"/>
      <c r="J175" s="102"/>
      <c r="K175" s="102"/>
      <c r="R175" s="67"/>
    </row>
    <row r="176">
      <c r="A176" s="12" t="s">
        <v>93</v>
      </c>
      <c r="B176" s="227" t="s">
        <v>1735</v>
      </c>
      <c r="C176" s="74" t="str">
        <f t="shared" si="18"/>
        <v>Quinta-Feira</v>
      </c>
      <c r="D176" s="512" t="str">
        <f>IF(C176&lt;&gt;"Quarta-Feira","16:40","11:40")</f>
        <v>16:40</v>
      </c>
      <c r="E176" s="287"/>
      <c r="F176" s="74"/>
      <c r="G176" s="167"/>
      <c r="H176" s="211"/>
      <c r="I176" s="41"/>
      <c r="J176" s="102"/>
      <c r="K176" s="102"/>
      <c r="R176" s="67"/>
    </row>
    <row r="177">
      <c r="A177" s="503"/>
      <c r="B177" s="493"/>
      <c r="C177" s="315"/>
      <c r="D177" s="504"/>
      <c r="E177" s="505"/>
      <c r="F177" s="506"/>
      <c r="G177" s="507"/>
      <c r="H177" s="508"/>
      <c r="I177" s="509"/>
      <c r="J177" s="510"/>
      <c r="K177" s="510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N181" s="268" t="s">
        <v>2080</v>
      </c>
      <c r="O181" s="100"/>
      <c r="P181" s="100"/>
      <c r="Q181" s="10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N182" s="271" t="s">
        <v>183</v>
      </c>
      <c r="O182" s="272" t="s">
        <v>195</v>
      </c>
      <c r="P182" s="272" t="s">
        <v>181</v>
      </c>
      <c r="Q182" s="273" t="s">
        <v>173</v>
      </c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N183" s="458">
        <f t="shared" ref="N183:Q183" si="20">SUM(N4:N179)</f>
        <v>8</v>
      </c>
      <c r="O183" s="458">
        <f t="shared" si="20"/>
        <v>0</v>
      </c>
      <c r="P183" s="458">
        <f t="shared" si="20"/>
        <v>2</v>
      </c>
      <c r="Q183" s="458">
        <f t="shared" si="20"/>
        <v>7</v>
      </c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611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  <row r="1123">
      <c r="A1123" s="503"/>
      <c r="B1123" s="493"/>
      <c r="C1123" s="315"/>
      <c r="D1123" s="504"/>
      <c r="E1123" s="505"/>
      <c r="F1123" s="506"/>
      <c r="G1123" s="507"/>
      <c r="H1123" s="508"/>
      <c r="I1123" s="509"/>
      <c r="J1123" s="510"/>
      <c r="K1123" s="510"/>
      <c r="R1123" s="67"/>
    </row>
    <row r="1124">
      <c r="A1124" s="503"/>
      <c r="B1124" s="493"/>
      <c r="C1124" s="315"/>
      <c r="D1124" s="504"/>
      <c r="E1124" s="505"/>
      <c r="F1124" s="506"/>
      <c r="G1124" s="507"/>
      <c r="H1124" s="508"/>
      <c r="I1124" s="509"/>
      <c r="J1124" s="510"/>
      <c r="K1124" s="510"/>
      <c r="R1124" s="67"/>
    </row>
    <row r="1125">
      <c r="A1125" s="503"/>
      <c r="B1125" s="493"/>
      <c r="C1125" s="315"/>
      <c r="D1125" s="504"/>
      <c r="E1125" s="505"/>
      <c r="F1125" s="506"/>
      <c r="G1125" s="507"/>
      <c r="H1125" s="508"/>
      <c r="I1125" s="509"/>
      <c r="J1125" s="510"/>
      <c r="K1125" s="510"/>
      <c r="R1125" s="67"/>
    </row>
    <row r="1126">
      <c r="A1126" s="503"/>
      <c r="B1126" s="493"/>
      <c r="C1126" s="315"/>
      <c r="D1126" s="504"/>
      <c r="E1126" s="505"/>
      <c r="F1126" s="506"/>
      <c r="G1126" s="507"/>
      <c r="H1126" s="508"/>
      <c r="I1126" s="509"/>
      <c r="J1126" s="510"/>
      <c r="K1126" s="510"/>
      <c r="R1126" s="67"/>
    </row>
    <row r="1127">
      <c r="A1127" s="503"/>
      <c r="B1127" s="493"/>
      <c r="C1127" s="315"/>
      <c r="D1127" s="504"/>
      <c r="E1127" s="505"/>
      <c r="F1127" s="506"/>
      <c r="G1127" s="507"/>
      <c r="H1127" s="508"/>
      <c r="I1127" s="509"/>
      <c r="J1127" s="510"/>
      <c r="K1127" s="510"/>
      <c r="R1127" s="67"/>
    </row>
    <row r="1128">
      <c r="A1128" s="503"/>
      <c r="B1128" s="493"/>
      <c r="C1128" s="315"/>
      <c r="D1128" s="504"/>
      <c r="E1128" s="505"/>
      <c r="F1128" s="506"/>
      <c r="G1128" s="507"/>
      <c r="H1128" s="508"/>
      <c r="I1128" s="509"/>
      <c r="J1128" s="510"/>
      <c r="K1128" s="510"/>
      <c r="R1128" s="67"/>
    </row>
    <row r="1129">
      <c r="A1129" s="503"/>
      <c r="B1129" s="493"/>
      <c r="C1129" s="315"/>
      <c r="D1129" s="504"/>
      <c r="E1129" s="505"/>
      <c r="F1129" s="506"/>
      <c r="G1129" s="507"/>
      <c r="H1129" s="508"/>
      <c r="I1129" s="509"/>
      <c r="J1129" s="510"/>
      <c r="K1129" s="510"/>
      <c r="R1129" s="67"/>
    </row>
    <row r="1130">
      <c r="A1130" s="503"/>
      <c r="B1130" s="493"/>
      <c r="C1130" s="315"/>
      <c r="D1130" s="504"/>
      <c r="E1130" s="505"/>
      <c r="F1130" s="506"/>
      <c r="G1130" s="507"/>
      <c r="H1130" s="508"/>
      <c r="I1130" s="509"/>
      <c r="J1130" s="510"/>
      <c r="K1130" s="510"/>
      <c r="R1130" s="67"/>
    </row>
    <row r="1131">
      <c r="A1131" s="503"/>
      <c r="B1131" s="493"/>
      <c r="C1131" s="315"/>
      <c r="D1131" s="504"/>
      <c r="E1131" s="505"/>
      <c r="F1131" s="506"/>
      <c r="G1131" s="507"/>
      <c r="H1131" s="508"/>
      <c r="I1131" s="509"/>
      <c r="J1131" s="510"/>
      <c r="K1131" s="510"/>
      <c r="R1131" s="67"/>
    </row>
    <row r="1132">
      <c r="A1132" s="503"/>
      <c r="B1132" s="493"/>
      <c r="C1132" s="315"/>
      <c r="D1132" s="504"/>
      <c r="E1132" s="505"/>
      <c r="F1132" s="506"/>
      <c r="G1132" s="507"/>
      <c r="H1132" s="508"/>
      <c r="I1132" s="509"/>
      <c r="J1132" s="510"/>
      <c r="K1132" s="510"/>
      <c r="R1132" s="67"/>
    </row>
    <row r="1133">
      <c r="A1133" s="503"/>
      <c r="B1133" s="493"/>
      <c r="C1133" s="315"/>
      <c r="D1133" s="504"/>
      <c r="E1133" s="505"/>
      <c r="F1133" s="506"/>
      <c r="G1133" s="507"/>
      <c r="H1133" s="508"/>
      <c r="I1133" s="509"/>
      <c r="J1133" s="510"/>
      <c r="K1133" s="510"/>
      <c r="R1133" s="67"/>
    </row>
    <row r="1134">
      <c r="A1134" s="503"/>
      <c r="B1134" s="493"/>
      <c r="C1134" s="315"/>
      <c r="D1134" s="504"/>
      <c r="E1134" s="505"/>
      <c r="F1134" s="506"/>
      <c r="G1134" s="507"/>
      <c r="H1134" s="508"/>
      <c r="I1134" s="509"/>
      <c r="J1134" s="510"/>
      <c r="K1134" s="510"/>
      <c r="R1134" s="67"/>
    </row>
    <row r="1135">
      <c r="A1135" s="503"/>
      <c r="B1135" s="493"/>
      <c r="C1135" s="315"/>
      <c r="D1135" s="504"/>
      <c r="E1135" s="505"/>
      <c r="F1135" s="506"/>
      <c r="G1135" s="507"/>
      <c r="H1135" s="508"/>
      <c r="I1135" s="509"/>
      <c r="J1135" s="510"/>
      <c r="K1135" s="510"/>
      <c r="R1135" s="67"/>
    </row>
    <row r="1136">
      <c r="A1136" s="503"/>
      <c r="B1136" s="493"/>
      <c r="C1136" s="315"/>
      <c r="D1136" s="504"/>
      <c r="E1136" s="505"/>
      <c r="F1136" s="506"/>
      <c r="G1136" s="507"/>
      <c r="H1136" s="508"/>
      <c r="I1136" s="509"/>
      <c r="J1136" s="510"/>
      <c r="K1136" s="510"/>
      <c r="R1136" s="67"/>
    </row>
    <row r="1137">
      <c r="A1137" s="503"/>
      <c r="B1137" s="493"/>
      <c r="C1137" s="315"/>
      <c r="D1137" s="504"/>
      <c r="E1137" s="505"/>
      <c r="F1137" s="506"/>
      <c r="G1137" s="507"/>
      <c r="H1137" s="508"/>
      <c r="I1137" s="509"/>
      <c r="J1137" s="510"/>
      <c r="K1137" s="510"/>
      <c r="R1137" s="67"/>
    </row>
    <row r="1138">
      <c r="A1138" s="503"/>
      <c r="B1138" s="493"/>
      <c r="C1138" s="315"/>
      <c r="D1138" s="504"/>
      <c r="E1138" s="505"/>
      <c r="F1138" s="506"/>
      <c r="G1138" s="507"/>
      <c r="H1138" s="508"/>
      <c r="I1138" s="509"/>
      <c r="J1138" s="510"/>
      <c r="K1138" s="510"/>
      <c r="R1138" s="67"/>
    </row>
    <row r="1139">
      <c r="A1139" s="503"/>
      <c r="B1139" s="493"/>
      <c r="C1139" s="315"/>
      <c r="D1139" s="504"/>
      <c r="E1139" s="505"/>
      <c r="F1139" s="506"/>
      <c r="G1139" s="507"/>
      <c r="H1139" s="508"/>
      <c r="I1139" s="509"/>
      <c r="J1139" s="510"/>
      <c r="K1139" s="510"/>
      <c r="R1139" s="67"/>
    </row>
    <row r="1140">
      <c r="A1140" s="503"/>
      <c r="B1140" s="493"/>
      <c r="C1140" s="315"/>
      <c r="D1140" s="504"/>
      <c r="E1140" s="505"/>
      <c r="F1140" s="506"/>
      <c r="G1140" s="507"/>
      <c r="H1140" s="508"/>
      <c r="I1140" s="509"/>
      <c r="J1140" s="510"/>
      <c r="K1140" s="510"/>
      <c r="R1140" s="67"/>
    </row>
    <row r="1141">
      <c r="A1141" s="503"/>
      <c r="B1141" s="493"/>
      <c r="C1141" s="315"/>
      <c r="D1141" s="504"/>
      <c r="E1141" s="505"/>
      <c r="F1141" s="506"/>
      <c r="G1141" s="507"/>
      <c r="H1141" s="508"/>
      <c r="I1141" s="509"/>
      <c r="J1141" s="510"/>
      <c r="K1141" s="510"/>
      <c r="R1141" s="67"/>
    </row>
    <row r="1142">
      <c r="A1142" s="503"/>
      <c r="B1142" s="493"/>
      <c r="C1142" s="315"/>
      <c r="D1142" s="504"/>
      <c r="E1142" s="505"/>
      <c r="F1142" s="506"/>
      <c r="G1142" s="507"/>
      <c r="H1142" s="508"/>
      <c r="I1142" s="509"/>
      <c r="J1142" s="510"/>
      <c r="K1142" s="510"/>
      <c r="R1142" s="67"/>
    </row>
    <row r="1143">
      <c r="A1143" s="503"/>
      <c r="B1143" s="493"/>
      <c r="C1143" s="315"/>
      <c r="D1143" s="504"/>
      <c r="E1143" s="505"/>
      <c r="F1143" s="506"/>
      <c r="G1143" s="507"/>
      <c r="H1143" s="508"/>
      <c r="I1143" s="509"/>
      <c r="J1143" s="510"/>
      <c r="K1143" s="510"/>
      <c r="R1143" s="67"/>
    </row>
    <row r="1144">
      <c r="A1144" s="503"/>
      <c r="B1144" s="493"/>
      <c r="C1144" s="315"/>
      <c r="D1144" s="504"/>
      <c r="E1144" s="505"/>
      <c r="F1144" s="506"/>
      <c r="G1144" s="507"/>
      <c r="H1144" s="508"/>
      <c r="I1144" s="509"/>
      <c r="J1144" s="510"/>
      <c r="K1144" s="510"/>
      <c r="R1144" s="67"/>
    </row>
    <row r="1145">
      <c r="A1145" s="503"/>
      <c r="B1145" s="493"/>
      <c r="C1145" s="315"/>
      <c r="D1145" s="504"/>
      <c r="E1145" s="505"/>
      <c r="F1145" s="506"/>
      <c r="G1145" s="507"/>
      <c r="H1145" s="508"/>
      <c r="I1145" s="509"/>
      <c r="J1145" s="510"/>
      <c r="K1145" s="510"/>
      <c r="R1145" s="67"/>
    </row>
    <row r="1146">
      <c r="A1146" s="503"/>
      <c r="B1146" s="493"/>
      <c r="C1146" s="315"/>
      <c r="D1146" s="504"/>
      <c r="E1146" s="505"/>
      <c r="F1146" s="506"/>
      <c r="G1146" s="507"/>
      <c r="H1146" s="508"/>
      <c r="I1146" s="509"/>
      <c r="J1146" s="510"/>
      <c r="K1146" s="510"/>
      <c r="R1146" s="67"/>
    </row>
    <row r="1147">
      <c r="A1147" s="503"/>
      <c r="B1147" s="493"/>
      <c r="C1147" s="315"/>
      <c r="D1147" s="504"/>
      <c r="E1147" s="505"/>
      <c r="F1147" s="506"/>
      <c r="G1147" s="507"/>
      <c r="H1147" s="508"/>
      <c r="I1147" s="509"/>
      <c r="J1147" s="510"/>
      <c r="K1147" s="510"/>
      <c r="R1147" s="67"/>
    </row>
    <row r="1148">
      <c r="A1148" s="503"/>
      <c r="B1148" s="493"/>
      <c r="C1148" s="315"/>
      <c r="D1148" s="504"/>
      <c r="E1148" s="505"/>
      <c r="F1148" s="506"/>
      <c r="G1148" s="507"/>
      <c r="H1148" s="508"/>
      <c r="I1148" s="509"/>
      <c r="J1148" s="510"/>
      <c r="K1148" s="510"/>
      <c r="R1148" s="67"/>
    </row>
    <row r="1149">
      <c r="A1149" s="503"/>
      <c r="B1149" s="493"/>
      <c r="C1149" s="315"/>
      <c r="D1149" s="504"/>
      <c r="E1149" s="505"/>
      <c r="F1149" s="506"/>
      <c r="G1149" s="507"/>
      <c r="H1149" s="508"/>
      <c r="I1149" s="509"/>
      <c r="J1149" s="510"/>
      <c r="K1149" s="510"/>
      <c r="R1149" s="67"/>
    </row>
    <row r="1150">
      <c r="A1150" s="503"/>
      <c r="B1150" s="493"/>
      <c r="C1150" s="315"/>
      <c r="D1150" s="504"/>
      <c r="E1150" s="505"/>
      <c r="F1150" s="506"/>
      <c r="G1150" s="507"/>
      <c r="H1150" s="508"/>
      <c r="I1150" s="509"/>
      <c r="J1150" s="510"/>
      <c r="K1150" s="510"/>
      <c r="R1150" s="67"/>
    </row>
    <row r="1151">
      <c r="A1151" s="503"/>
      <c r="B1151" s="493"/>
      <c r="C1151" s="315"/>
      <c r="D1151" s="504"/>
      <c r="E1151" s="505"/>
      <c r="F1151" s="506"/>
      <c r="G1151" s="507"/>
      <c r="H1151" s="508"/>
      <c r="I1151" s="509"/>
      <c r="J1151" s="510"/>
      <c r="K1151" s="510"/>
      <c r="R1151" s="67"/>
    </row>
    <row r="1152">
      <c r="A1152" s="503"/>
      <c r="B1152" s="493"/>
      <c r="C1152" s="315"/>
      <c r="D1152" s="504"/>
      <c r="E1152" s="505"/>
      <c r="F1152" s="506"/>
      <c r="G1152" s="507"/>
      <c r="H1152" s="508"/>
      <c r="I1152" s="509"/>
      <c r="J1152" s="510"/>
      <c r="K1152" s="510"/>
      <c r="R1152" s="67"/>
    </row>
    <row r="1153">
      <c r="A1153" s="503"/>
      <c r="B1153" s="493"/>
      <c r="C1153" s="315"/>
      <c r="D1153" s="504"/>
      <c r="E1153" s="505"/>
      <c r="F1153" s="506"/>
      <c r="G1153" s="507"/>
      <c r="H1153" s="508"/>
      <c r="I1153" s="509"/>
      <c r="J1153" s="510"/>
      <c r="K1153" s="510"/>
      <c r="R1153" s="67"/>
    </row>
    <row r="1154">
      <c r="A1154" s="503"/>
      <c r="B1154" s="493"/>
      <c r="C1154" s="315"/>
      <c r="D1154" s="504"/>
      <c r="E1154" s="505"/>
      <c r="F1154" s="506"/>
      <c r="G1154" s="507"/>
      <c r="H1154" s="508"/>
      <c r="I1154" s="509"/>
      <c r="J1154" s="510"/>
      <c r="K1154" s="510"/>
      <c r="R1154" s="67"/>
    </row>
    <row r="1155">
      <c r="A1155" s="503"/>
      <c r="B1155" s="493"/>
      <c r="C1155" s="315"/>
      <c r="D1155" s="504"/>
      <c r="E1155" s="505"/>
      <c r="F1155" s="506"/>
      <c r="G1155" s="507"/>
      <c r="H1155" s="508"/>
      <c r="I1155" s="509"/>
      <c r="J1155" s="510"/>
      <c r="K1155" s="510"/>
      <c r="R1155" s="67"/>
    </row>
    <row r="1156">
      <c r="A1156" s="503"/>
      <c r="B1156" s="493"/>
      <c r="C1156" s="315"/>
      <c r="D1156" s="504"/>
      <c r="E1156" s="505"/>
      <c r="F1156" s="506"/>
      <c r="G1156" s="507"/>
      <c r="H1156" s="508"/>
      <c r="I1156" s="509"/>
      <c r="J1156" s="510"/>
      <c r="K1156" s="510"/>
      <c r="R1156" s="67"/>
    </row>
    <row r="1157">
      <c r="A1157" s="503"/>
      <c r="B1157" s="493"/>
      <c r="C1157" s="315"/>
      <c r="D1157" s="504"/>
      <c r="E1157" s="505"/>
      <c r="F1157" s="506"/>
      <c r="G1157" s="507"/>
      <c r="H1157" s="508"/>
      <c r="I1157" s="509"/>
      <c r="J1157" s="510"/>
      <c r="K1157" s="510"/>
      <c r="R1157" s="67"/>
    </row>
    <row r="1158">
      <c r="A1158" s="503"/>
      <c r="B1158" s="493"/>
      <c r="C1158" s="315"/>
      <c r="D1158" s="504"/>
      <c r="E1158" s="505"/>
      <c r="F1158" s="506"/>
      <c r="G1158" s="507"/>
      <c r="H1158" s="508"/>
      <c r="I1158" s="509"/>
      <c r="J1158" s="510"/>
      <c r="K1158" s="510"/>
      <c r="R1158" s="67"/>
    </row>
  </sheetData>
  <mergeCells count="39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2:K72"/>
    <mergeCell ref="A73:K73"/>
    <mergeCell ref="N75:Q75"/>
    <mergeCell ref="N76:Q76"/>
    <mergeCell ref="A90:K90"/>
    <mergeCell ref="A91:K91"/>
    <mergeCell ref="A108:K108"/>
    <mergeCell ref="A109:K109"/>
    <mergeCell ref="N111:Q111"/>
    <mergeCell ref="N112:Q112"/>
    <mergeCell ref="A126:K126"/>
    <mergeCell ref="A127:K127"/>
    <mergeCell ref="A163:K163"/>
    <mergeCell ref="N165:Q165"/>
    <mergeCell ref="N166:Q166"/>
    <mergeCell ref="N181:Q181"/>
    <mergeCell ref="N129:Q129"/>
    <mergeCell ref="N130:Q130"/>
    <mergeCell ref="A144:K144"/>
    <mergeCell ref="A145:K145"/>
    <mergeCell ref="N147:Q147"/>
    <mergeCell ref="N148:Q148"/>
    <mergeCell ref="A162:K162"/>
  </mergeCells>
  <dataValidations>
    <dataValidation type="list" allowBlank="1" showErrorMessage="1" sqref="I4:I15 I22:I33 I40:I51 I58:I69 I75:I86 I93:I104 I111:I122 I129:I140 I147:I158 I165:I176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23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R1" s="67"/>
    </row>
    <row r="2">
      <c r="A2" s="511" t="s">
        <v>4172</v>
      </c>
      <c r="B2" s="2"/>
      <c r="C2" s="2"/>
      <c r="D2" s="2"/>
      <c r="E2" s="2"/>
      <c r="F2" s="2"/>
      <c r="G2" s="2"/>
      <c r="H2" s="2"/>
      <c r="I2" s="2"/>
      <c r="J2" s="2"/>
      <c r="K2" s="3"/>
      <c r="R2" s="67"/>
    </row>
    <row r="3">
      <c r="A3" s="25"/>
      <c r="B3" s="26" t="s">
        <v>3</v>
      </c>
      <c r="C3" s="27" t="s">
        <v>2</v>
      </c>
      <c r="D3" s="28" t="s">
        <v>5</v>
      </c>
      <c r="E3" s="29" t="s">
        <v>19</v>
      </c>
      <c r="F3" s="28" t="s">
        <v>6</v>
      </c>
      <c r="G3" s="264" t="s">
        <v>7</v>
      </c>
      <c r="H3" s="30" t="s">
        <v>8</v>
      </c>
      <c r="I3" s="31" t="s">
        <v>20</v>
      </c>
      <c r="J3" s="32" t="s">
        <v>21</v>
      </c>
      <c r="K3" s="32" t="s">
        <v>22</v>
      </c>
      <c r="R3" s="67"/>
    </row>
    <row r="4">
      <c r="A4" s="12" t="s">
        <v>10</v>
      </c>
      <c r="B4" s="227" t="s">
        <v>2082</v>
      </c>
      <c r="C4" s="74" t="str">
        <f t="shared" ref="C4:C15" si="1">PROPER(TEXT(DATE(MID($A$2,7,4),MID($A$2,4,2),LEFT($A$2,2)),"dddd"))</f>
        <v>Terça-Feira</v>
      </c>
      <c r="D4" s="512" t="str">
        <f>IF(C4&lt;&gt;"Quarta-Feira","13:00","08:00")</f>
        <v>13:00</v>
      </c>
      <c r="E4" s="246"/>
      <c r="F4" s="210"/>
      <c r="G4" s="59"/>
      <c r="H4" s="211"/>
      <c r="I4" s="41"/>
      <c r="J4" s="102"/>
      <c r="K4" s="102"/>
      <c r="N4" s="268" t="s">
        <v>387</v>
      </c>
      <c r="O4" s="100"/>
      <c r="P4" s="100"/>
      <c r="Q4" s="100"/>
      <c r="R4" s="67"/>
    </row>
    <row r="5">
      <c r="A5" s="12" t="s">
        <v>11</v>
      </c>
      <c r="B5" s="227" t="s">
        <v>2084</v>
      </c>
      <c r="C5" s="74" t="str">
        <f t="shared" si="1"/>
        <v>Terça-Feira</v>
      </c>
      <c r="D5" s="512" t="str">
        <f>IF(C5&lt;&gt;"Quarta-Feira","13:20","08:20")</f>
        <v>13:20</v>
      </c>
      <c r="E5" s="287"/>
      <c r="F5" s="301"/>
      <c r="G5" s="131"/>
      <c r="H5" s="166"/>
      <c r="I5" s="41"/>
      <c r="J5" s="42"/>
      <c r="K5" s="42"/>
      <c r="N5" s="270" t="s">
        <v>2086</v>
      </c>
      <c r="O5" s="2"/>
      <c r="P5" s="2"/>
      <c r="Q5" s="2"/>
      <c r="R5" s="67"/>
    </row>
    <row r="6" ht="20.25" customHeight="1">
      <c r="A6" s="12" t="s">
        <v>12</v>
      </c>
      <c r="B6" s="227" t="s">
        <v>2087</v>
      </c>
      <c r="C6" s="74" t="str">
        <f t="shared" si="1"/>
        <v>Terça-Feira</v>
      </c>
      <c r="D6" s="512" t="str">
        <f>IF(C6&lt;&gt;"Quarta-Feira","13:40","08:40")</f>
        <v>13:40</v>
      </c>
      <c r="E6" s="287"/>
      <c r="F6" s="301"/>
      <c r="G6" s="131"/>
      <c r="H6" s="166"/>
      <c r="I6" s="41"/>
      <c r="J6" s="42"/>
      <c r="K6" s="102"/>
      <c r="N6" s="271" t="s">
        <v>41</v>
      </c>
      <c r="O6" s="272" t="s">
        <v>195</v>
      </c>
      <c r="P6" s="272" t="s">
        <v>181</v>
      </c>
      <c r="Q6" s="273" t="s">
        <v>2088</v>
      </c>
      <c r="R6" s="67"/>
    </row>
    <row r="7">
      <c r="A7" s="12" t="s">
        <v>13</v>
      </c>
      <c r="B7" s="227" t="s">
        <v>2089</v>
      </c>
      <c r="C7" s="74" t="str">
        <f t="shared" si="1"/>
        <v>Terça-Feira</v>
      </c>
      <c r="D7" s="512" t="str">
        <f>IF(C7&lt;&gt;"Quarta-Feira","14:00","09:00")</f>
        <v>14:00</v>
      </c>
      <c r="E7" s="241"/>
      <c r="F7" s="84"/>
      <c r="G7" s="79"/>
      <c r="H7" s="83"/>
      <c r="I7" s="41"/>
      <c r="J7" s="305"/>
      <c r="K7" s="305"/>
      <c r="N7" s="275">
        <f t="shared" ref="N7:P7" si="2">COUNTIFS($I$4:$I$15,N6)</f>
        <v>0</v>
      </c>
      <c r="O7" s="275">
        <f t="shared" si="2"/>
        <v>0</v>
      </c>
      <c r="P7" s="275">
        <f t="shared" si="2"/>
        <v>0</v>
      </c>
      <c r="Q7" s="275">
        <f>COUNTIF(I4:I15,Q6)</f>
        <v>0</v>
      </c>
      <c r="R7" s="67"/>
    </row>
    <row r="8">
      <c r="A8" s="12" t="s">
        <v>14</v>
      </c>
      <c r="B8" s="227" t="s">
        <v>2082</v>
      </c>
      <c r="C8" s="74" t="str">
        <f t="shared" si="1"/>
        <v>Terça-Feira</v>
      </c>
      <c r="D8" s="512" t="str">
        <f>IF(C8&lt;&gt;"Quarta-Feira","14:20","09:20")</f>
        <v>14:20</v>
      </c>
      <c r="E8" s="306"/>
      <c r="F8" s="526"/>
      <c r="G8" s="307"/>
      <c r="H8" s="308"/>
      <c r="I8" s="41"/>
      <c r="J8" s="138"/>
      <c r="K8" s="138"/>
      <c r="R8" s="67"/>
    </row>
    <row r="9">
      <c r="A9" s="12" t="s">
        <v>15</v>
      </c>
      <c r="B9" s="227" t="s">
        <v>2089</v>
      </c>
      <c r="C9" s="74" t="str">
        <f t="shared" si="1"/>
        <v>Terça-Feira</v>
      </c>
      <c r="D9" s="512" t="str">
        <f>IF(C9&lt;&gt;"Quarta-Feira","14:40","09:40")</f>
        <v>14:40</v>
      </c>
      <c r="E9" s="242"/>
      <c r="F9" s="185"/>
      <c r="G9" s="203"/>
      <c r="H9" s="77"/>
      <c r="I9" s="41"/>
      <c r="J9" s="42"/>
      <c r="K9" s="42"/>
      <c r="R9" s="67"/>
    </row>
    <row r="10">
      <c r="A10" s="12" t="s">
        <v>16</v>
      </c>
      <c r="B10" s="227" t="s">
        <v>2093</v>
      </c>
      <c r="C10" s="74" t="str">
        <f t="shared" si="1"/>
        <v>Terça-Feira</v>
      </c>
      <c r="D10" s="512" t="str">
        <f>IF(C10&lt;&gt;"Quarta-Feira","15:00","10:00")</f>
        <v>15:00</v>
      </c>
      <c r="E10" s="241"/>
      <c r="F10" s="84"/>
      <c r="G10" s="79"/>
      <c r="H10" s="83"/>
      <c r="I10" s="41"/>
      <c r="J10" s="305"/>
      <c r="K10" s="305"/>
      <c r="R10" s="67"/>
    </row>
    <row r="11">
      <c r="A11" s="12" t="s">
        <v>17</v>
      </c>
      <c r="B11" s="227" t="s">
        <v>2094</v>
      </c>
      <c r="C11" s="74" t="str">
        <f t="shared" si="1"/>
        <v>Terça-Feira</v>
      </c>
      <c r="D11" s="512" t="str">
        <f>IF(C11&lt;&gt;"Quarta-Feira","15:20","10:20")</f>
        <v>15:20</v>
      </c>
      <c r="E11" s="241"/>
      <c r="F11" s="84"/>
      <c r="G11" s="79"/>
      <c r="H11" s="83"/>
      <c r="I11" s="41"/>
      <c r="J11" s="310"/>
      <c r="K11" s="42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12" t="s">
        <v>85</v>
      </c>
      <c r="B12" s="227" t="s">
        <v>2095</v>
      </c>
      <c r="C12" s="74" t="str">
        <f t="shared" si="1"/>
        <v>Terça-Feira</v>
      </c>
      <c r="D12" s="512" t="str">
        <f>IF(C12&lt;&gt;"Quarta-Feira","15:40","10:40")</f>
        <v>15:40</v>
      </c>
      <c r="E12" s="278"/>
      <c r="F12" s="156"/>
      <c r="G12" s="79"/>
      <c r="H12" s="91"/>
      <c r="I12" s="41"/>
      <c r="J12" s="42"/>
      <c r="K12" s="42"/>
      <c r="R12" s="67"/>
    </row>
    <row r="13">
      <c r="A13" s="12" t="s">
        <v>87</v>
      </c>
      <c r="B13" s="227" t="s">
        <v>2096</v>
      </c>
      <c r="C13" s="74" t="str">
        <f t="shared" si="1"/>
        <v>Terça-Feira</v>
      </c>
      <c r="D13" s="512" t="str">
        <f>IF(C13&lt;&gt;"Quarta-Feira","16:00","11:00")</f>
        <v>16:00</v>
      </c>
      <c r="E13" s="245"/>
      <c r="F13" s="156"/>
      <c r="G13" s="79"/>
      <c r="H13" s="91"/>
      <c r="I13" s="41"/>
      <c r="J13" s="42"/>
      <c r="K13" s="42"/>
      <c r="R13" s="67"/>
    </row>
    <row r="14">
      <c r="A14" s="12" t="s">
        <v>90</v>
      </c>
      <c r="B14" s="227" t="s">
        <v>2098</v>
      </c>
      <c r="C14" s="74" t="str">
        <f t="shared" si="1"/>
        <v>Terça-Feira</v>
      </c>
      <c r="D14" s="512" t="str">
        <f>IF(C14&lt;&gt;"Quarta-Feira","16:20","11:20")</f>
        <v>16:20</v>
      </c>
      <c r="E14" s="295"/>
      <c r="F14" s="133"/>
      <c r="G14" s="79"/>
      <c r="H14" s="166"/>
      <c r="I14" s="41"/>
      <c r="J14" s="42"/>
      <c r="K14" s="42"/>
      <c r="R14" s="67"/>
    </row>
    <row r="15">
      <c r="A15" s="12" t="s">
        <v>93</v>
      </c>
      <c r="B15" s="227" t="s">
        <v>2096</v>
      </c>
      <c r="C15" s="74" t="str">
        <f t="shared" si="1"/>
        <v>Terça-Feira</v>
      </c>
      <c r="D15" s="512" t="str">
        <f>IF(C15&lt;&gt;"Quarta-Feira","16:40","11:40")</f>
        <v>16:40</v>
      </c>
      <c r="E15" s="295"/>
      <c r="F15" s="133"/>
      <c r="G15" s="79"/>
      <c r="H15" s="166"/>
      <c r="I15" s="41"/>
      <c r="J15" s="42"/>
      <c r="K15" s="42"/>
      <c r="R15" s="67"/>
    </row>
    <row r="16">
      <c r="E16" s="261"/>
      <c r="J16" s="67"/>
      <c r="K16" s="67"/>
      <c r="R16" s="67"/>
    </row>
    <row r="17">
      <c r="E17" s="261"/>
      <c r="J17" s="67"/>
      <c r="K17" s="67"/>
      <c r="R17" s="67"/>
    </row>
    <row r="18" ht="15.0" customHeight="1">
      <c r="E18" s="261"/>
      <c r="J18" s="67"/>
      <c r="K18" s="67"/>
      <c r="R18" s="67"/>
    </row>
    <row r="19">
      <c r="A19" s="2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3"/>
      <c r="R19" s="67"/>
    </row>
    <row r="20">
      <c r="A20" s="24" t="str">
        <f>TEXT(DATE(VALUE(MID(A2,7,4)),VALUE(MID(A2,4,2)),VALUE(LEFT(A2,2)))+2,"dd/mm/yyyy")&amp;" 13h às 17h"</f>
        <v>06/08/2026 13h às 17h</v>
      </c>
      <c r="B20" s="2"/>
      <c r="C20" s="2"/>
      <c r="D20" s="2"/>
      <c r="E20" s="2"/>
      <c r="F20" s="2"/>
      <c r="G20" s="2"/>
      <c r="H20" s="2"/>
      <c r="I20" s="2"/>
      <c r="J20" s="2"/>
      <c r="K20" s="3"/>
      <c r="R20" s="67"/>
    </row>
    <row r="21">
      <c r="A21" s="25"/>
      <c r="B21" s="26" t="s">
        <v>3</v>
      </c>
      <c r="C21" s="27" t="s">
        <v>2</v>
      </c>
      <c r="D21" s="28" t="s">
        <v>5</v>
      </c>
      <c r="E21" s="29" t="s">
        <v>19</v>
      </c>
      <c r="F21" s="28" t="s">
        <v>6</v>
      </c>
      <c r="G21" s="264" t="s">
        <v>7</v>
      </c>
      <c r="H21" s="30" t="s">
        <v>8</v>
      </c>
      <c r="I21" s="31" t="s">
        <v>20</v>
      </c>
      <c r="J21" s="32" t="s">
        <v>21</v>
      </c>
      <c r="K21" s="32" t="s">
        <v>22</v>
      </c>
      <c r="R21" s="67"/>
    </row>
    <row r="22">
      <c r="A22" s="12" t="s">
        <v>10</v>
      </c>
      <c r="B22" s="227" t="s">
        <v>1790</v>
      </c>
      <c r="C22" s="74" t="str">
        <f t="shared" ref="C22:C33" si="3">PROPER(TEXT(DATE(MID($A$20,7,4),MID($A$20,4,2),LEFT($A$20,2)),"dddd"))</f>
        <v>Quinta-Feira</v>
      </c>
      <c r="D22" s="512" t="str">
        <f>IF(C22&lt;&gt;"Quarta-Feira","13:00","08:00")</f>
        <v>13:00</v>
      </c>
      <c r="E22" s="287"/>
      <c r="F22" s="133"/>
      <c r="G22" s="161"/>
      <c r="H22" s="166"/>
      <c r="I22" s="41"/>
      <c r="J22" s="133"/>
      <c r="K22" s="133"/>
      <c r="L22" s="216" t="s">
        <v>521</v>
      </c>
      <c r="N22" s="268" t="s">
        <v>387</v>
      </c>
      <c r="O22" s="100"/>
      <c r="P22" s="100"/>
      <c r="Q22" s="100"/>
      <c r="R22" s="67"/>
    </row>
    <row r="23">
      <c r="A23" s="12" t="s">
        <v>11</v>
      </c>
      <c r="B23" s="227" t="s">
        <v>1714</v>
      </c>
      <c r="C23" s="74" t="str">
        <f t="shared" si="3"/>
        <v>Quinta-Feira</v>
      </c>
      <c r="D23" s="512" t="str">
        <f>IF(C23&lt;&gt;"Quarta-Feira","13:20","08:20")</f>
        <v>13:20</v>
      </c>
      <c r="E23" s="242"/>
      <c r="F23" s="133"/>
      <c r="G23" s="161"/>
      <c r="H23" s="166"/>
      <c r="I23" s="41"/>
      <c r="J23" s="133"/>
      <c r="K23" s="133"/>
      <c r="N23" s="270" t="s">
        <v>2086</v>
      </c>
      <c r="O23" s="2"/>
      <c r="P23" s="2"/>
      <c r="Q23" s="2"/>
      <c r="R23" s="67"/>
    </row>
    <row r="24">
      <c r="A24" s="12" t="s">
        <v>12</v>
      </c>
      <c r="B24" s="227" t="s">
        <v>1781</v>
      </c>
      <c r="C24" s="74" t="str">
        <f t="shared" si="3"/>
        <v>Quinta-Feira</v>
      </c>
      <c r="D24" s="512" t="str">
        <f>IF(C24&lt;&gt;"Quarta-Feira","13:40","08:40")</f>
        <v>13:40</v>
      </c>
      <c r="E24" s="242"/>
      <c r="F24" s="133"/>
      <c r="G24" s="161"/>
      <c r="H24" s="166"/>
      <c r="I24" s="41"/>
      <c r="J24" s="133"/>
      <c r="K24" s="133"/>
      <c r="L24" s="216" t="s">
        <v>521</v>
      </c>
      <c r="N24" s="271" t="s">
        <v>41</v>
      </c>
      <c r="O24" s="272" t="s">
        <v>195</v>
      </c>
      <c r="P24" s="272" t="s">
        <v>181</v>
      </c>
      <c r="Q24" s="273" t="s">
        <v>2088</v>
      </c>
      <c r="R24" s="67"/>
    </row>
    <row r="25">
      <c r="A25" s="12" t="s">
        <v>13</v>
      </c>
      <c r="B25" s="227" t="s">
        <v>1721</v>
      </c>
      <c r="C25" s="74" t="str">
        <f t="shared" si="3"/>
        <v>Quinta-Feira</v>
      </c>
      <c r="D25" s="512" t="str">
        <f>IF(C25&lt;&gt;"Quarta-Feira","14:00","09:00")</f>
        <v>14:00</v>
      </c>
      <c r="E25" s="245"/>
      <c r="F25" s="133"/>
      <c r="G25" s="161"/>
      <c r="H25" s="166"/>
      <c r="I25" s="41"/>
      <c r="J25" s="133"/>
      <c r="K25" s="133"/>
      <c r="L25" s="216" t="s">
        <v>521</v>
      </c>
      <c r="N25" s="275">
        <f t="shared" ref="N25:Q25" si="4">COUNTIFS($I$22:$I$33,N24)</f>
        <v>0</v>
      </c>
      <c r="O25" s="275">
        <f t="shared" si="4"/>
        <v>0</v>
      </c>
      <c r="P25" s="275">
        <f t="shared" si="4"/>
        <v>0</v>
      </c>
      <c r="Q25" s="275">
        <f t="shared" si="4"/>
        <v>0</v>
      </c>
      <c r="R25" s="67"/>
    </row>
    <row r="26" ht="18.0" customHeight="1">
      <c r="A26" s="12" t="s">
        <v>14</v>
      </c>
      <c r="B26" s="227" t="s">
        <v>1796</v>
      </c>
      <c r="C26" s="74" t="str">
        <f t="shared" si="3"/>
        <v>Quinta-Feira</v>
      </c>
      <c r="D26" s="512" t="str">
        <f>IF(C26&lt;&gt;"Quarta-Feira","14:20","09:20")</f>
        <v>14:20</v>
      </c>
      <c r="E26" s="419"/>
      <c r="F26" s="133"/>
      <c r="G26" s="161"/>
      <c r="H26" s="166"/>
      <c r="I26" s="41"/>
      <c r="J26" s="133"/>
      <c r="K26" s="133"/>
      <c r="L26" s="216" t="s">
        <v>521</v>
      </c>
      <c r="R26" s="67"/>
    </row>
    <row r="27">
      <c r="A27" s="12" t="s">
        <v>15</v>
      </c>
      <c r="B27" s="227" t="s">
        <v>1790</v>
      </c>
      <c r="C27" s="74" t="str">
        <f t="shared" si="3"/>
        <v>Quinta-Feira</v>
      </c>
      <c r="D27" s="512" t="str">
        <f>IF(C27&lt;&gt;"Quarta-Feira","14:40","09:40")</f>
        <v>14:40</v>
      </c>
      <c r="E27" s="419"/>
      <c r="F27" s="133"/>
      <c r="G27" s="161"/>
      <c r="H27" s="166"/>
      <c r="I27" s="41"/>
      <c r="J27" s="133"/>
      <c r="K27" s="133"/>
      <c r="L27" s="216" t="s">
        <v>521</v>
      </c>
      <c r="R27" s="67"/>
    </row>
    <row r="28">
      <c r="A28" s="12" t="s">
        <v>16</v>
      </c>
      <c r="B28" s="227" t="s">
        <v>2653</v>
      </c>
      <c r="C28" s="74" t="str">
        <f t="shared" si="3"/>
        <v>Quinta-Feira</v>
      </c>
      <c r="D28" s="512" t="str">
        <f>IF(C28&lt;&gt;"Quarta-Feira","15:00","10:00")</f>
        <v>15:00</v>
      </c>
      <c r="E28" s="245"/>
      <c r="F28" s="162"/>
      <c r="G28" s="161"/>
      <c r="H28" s="163"/>
      <c r="I28" s="41"/>
      <c r="J28" s="305"/>
      <c r="K28" s="133"/>
      <c r="L28" s="216" t="s">
        <v>521</v>
      </c>
      <c r="R28" s="67"/>
    </row>
    <row r="29">
      <c r="A29" s="12" t="s">
        <v>17</v>
      </c>
      <c r="B29" s="227" t="s">
        <v>2656</v>
      </c>
      <c r="C29" s="74" t="str">
        <f t="shared" si="3"/>
        <v>Quinta-Feira</v>
      </c>
      <c r="D29" s="512" t="str">
        <f>IF(C29&lt;&gt;"Quarta-Feira","15:20","10:20")</f>
        <v>15:20</v>
      </c>
      <c r="E29" s="242"/>
      <c r="F29" s="133"/>
      <c r="G29" s="161"/>
      <c r="H29" s="166"/>
      <c r="I29" s="41"/>
      <c r="J29" s="133"/>
      <c r="K29" s="133"/>
      <c r="L29" s="216" t="s">
        <v>521</v>
      </c>
      <c r="R29" s="67"/>
    </row>
    <row r="30">
      <c r="A30" s="12" t="s">
        <v>85</v>
      </c>
      <c r="B30" s="227" t="s">
        <v>2659</v>
      </c>
      <c r="C30" s="74" t="str">
        <f t="shared" si="3"/>
        <v>Quinta-Feira</v>
      </c>
      <c r="D30" s="512" t="str">
        <f>IF(C30&lt;&gt;"Quarta-Feira","15:40","10:40")</f>
        <v>15:40</v>
      </c>
      <c r="E30" s="295"/>
      <c r="F30" s="133"/>
      <c r="G30" s="161"/>
      <c r="H30" s="166"/>
      <c r="I30" s="41"/>
      <c r="J30" s="133"/>
      <c r="K30" s="133"/>
      <c r="L30" s="216" t="s">
        <v>521</v>
      </c>
      <c r="R30" s="67"/>
    </row>
    <row r="31">
      <c r="A31" s="12" t="s">
        <v>87</v>
      </c>
      <c r="B31" s="227" t="s">
        <v>1735</v>
      </c>
      <c r="C31" s="74" t="str">
        <f t="shared" si="3"/>
        <v>Quinta-Feira</v>
      </c>
      <c r="D31" s="512" t="str">
        <f>IF(C31&lt;&gt;"Quarta-Feira","16:00","11:00")</f>
        <v>16:00</v>
      </c>
      <c r="E31" s="245"/>
      <c r="F31" s="133"/>
      <c r="G31" s="161"/>
      <c r="H31" s="166"/>
      <c r="I31" s="41"/>
      <c r="J31" s="133"/>
      <c r="K31" s="133"/>
      <c r="L31" s="216" t="s">
        <v>521</v>
      </c>
      <c r="R31" s="67"/>
    </row>
    <row r="32">
      <c r="A32" s="12" t="s">
        <v>90</v>
      </c>
      <c r="B32" s="227" t="s">
        <v>2659</v>
      </c>
      <c r="C32" s="74" t="str">
        <f t="shared" si="3"/>
        <v>Quinta-Feira</v>
      </c>
      <c r="D32" s="512" t="str">
        <f>IF(C32&lt;&gt;"Quarta-Feira","16:20","11:20")</f>
        <v>16:20</v>
      </c>
      <c r="E32" s="295"/>
      <c r="F32" s="133"/>
      <c r="G32" s="161"/>
      <c r="H32" s="166"/>
      <c r="I32" s="41"/>
      <c r="J32" s="133"/>
      <c r="K32" s="133"/>
      <c r="L32" s="216" t="s">
        <v>521</v>
      </c>
      <c r="R32" s="67"/>
    </row>
    <row r="33">
      <c r="A33" s="12" t="s">
        <v>93</v>
      </c>
      <c r="B33" s="227" t="s">
        <v>1735</v>
      </c>
      <c r="C33" s="74" t="str">
        <f t="shared" si="3"/>
        <v>Quinta-Feira</v>
      </c>
      <c r="D33" s="512" t="str">
        <f>IF(C33&lt;&gt;"Quarta-Feira","16:40","11:40")</f>
        <v>16:40</v>
      </c>
      <c r="E33" s="295"/>
      <c r="F33" s="133"/>
      <c r="G33" s="161"/>
      <c r="H33" s="166"/>
      <c r="I33" s="41"/>
      <c r="J33" s="133"/>
      <c r="K33" s="133"/>
      <c r="R33" s="67"/>
    </row>
    <row r="34">
      <c r="E34" s="261"/>
      <c r="J34" s="67"/>
      <c r="K34" s="67"/>
      <c r="R34" s="67"/>
    </row>
    <row r="35">
      <c r="E35" s="261"/>
      <c r="J35" s="67"/>
      <c r="K35" s="67"/>
      <c r="R35" s="67"/>
    </row>
    <row r="36">
      <c r="E36" s="261"/>
      <c r="J36" s="67"/>
      <c r="K36" s="67"/>
      <c r="R36" s="67"/>
    </row>
    <row r="37">
      <c r="A37" s="23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3"/>
      <c r="R37" s="67"/>
    </row>
    <row r="38" ht="24.75" customHeight="1">
      <c r="A38" s="24" t="str">
        <f>TEXT(DATE(VALUE(MID(A2,7,4)),VALUE(MID(A2,4,2)),VALUE(LEFT(A2,2)))+7,"dd/mm/yyyy")&amp;" 13h às 17h"</f>
        <v>11/08/2026 13h às 17h</v>
      </c>
      <c r="B38" s="2"/>
      <c r="C38" s="2"/>
      <c r="D38" s="2"/>
      <c r="E38" s="2"/>
      <c r="F38" s="2"/>
      <c r="G38" s="2"/>
      <c r="H38" s="2"/>
      <c r="I38" s="2"/>
      <c r="J38" s="2"/>
      <c r="K38" s="3"/>
      <c r="R38" s="67"/>
    </row>
    <row r="39">
      <c r="A39" s="25"/>
      <c r="B39" s="26" t="s">
        <v>3</v>
      </c>
      <c r="C39" s="27" t="s">
        <v>2</v>
      </c>
      <c r="D39" s="28" t="s">
        <v>5</v>
      </c>
      <c r="E39" s="29" t="s">
        <v>19</v>
      </c>
      <c r="F39" s="28" t="s">
        <v>6</v>
      </c>
      <c r="G39" s="264" t="s">
        <v>7</v>
      </c>
      <c r="H39" s="30" t="s">
        <v>8</v>
      </c>
      <c r="I39" s="31" t="s">
        <v>20</v>
      </c>
      <c r="J39" s="32" t="s">
        <v>21</v>
      </c>
      <c r="K39" s="32" t="s">
        <v>22</v>
      </c>
      <c r="R39" s="67"/>
    </row>
    <row r="40">
      <c r="A40" s="12" t="s">
        <v>10</v>
      </c>
      <c r="B40" s="227" t="s">
        <v>2082</v>
      </c>
      <c r="C40" s="74" t="str">
        <f t="shared" ref="C40:C51" si="5">PROPER(TEXT(DATE(MID($A$38,7,4),MID($A$38,4,2),LEFT($A$38,2)),"dddd"))</f>
        <v>Terça-Feira</v>
      </c>
      <c r="D40" s="512" t="str">
        <f>IF(C40&lt;&gt;"Quarta-Feira","13:00","08:00")</f>
        <v>13:00</v>
      </c>
      <c r="E40" s="241"/>
      <c r="F40" s="84"/>
      <c r="G40" s="79"/>
      <c r="H40" s="77"/>
      <c r="I40" s="34"/>
      <c r="J40" s="314"/>
      <c r="K40" s="314"/>
      <c r="L40" s="216" t="s">
        <v>521</v>
      </c>
      <c r="N40" s="268" t="s">
        <v>387</v>
      </c>
      <c r="O40" s="100"/>
      <c r="P40" s="100"/>
      <c r="Q40" s="100"/>
      <c r="R40" s="67"/>
    </row>
    <row r="41">
      <c r="A41" s="12" t="s">
        <v>11</v>
      </c>
      <c r="B41" s="227" t="s">
        <v>2084</v>
      </c>
      <c r="C41" s="74" t="str">
        <f t="shared" si="5"/>
        <v>Terça-Feira</v>
      </c>
      <c r="D41" s="512" t="str">
        <f>IF(C41&lt;&gt;"Quarta-Feira","13:20","08:20")</f>
        <v>13:20</v>
      </c>
      <c r="E41" s="241"/>
      <c r="F41" s="84"/>
      <c r="G41" s="79"/>
      <c r="H41" s="77"/>
      <c r="I41" s="34"/>
      <c r="J41" s="314"/>
      <c r="K41" s="314"/>
      <c r="N41" s="270" t="s">
        <v>2086</v>
      </c>
      <c r="O41" s="2"/>
      <c r="P41" s="2"/>
      <c r="Q41" s="2"/>
      <c r="R41" s="67"/>
    </row>
    <row r="42">
      <c r="A42" s="12" t="s">
        <v>12</v>
      </c>
      <c r="B42" s="227" t="s">
        <v>2087</v>
      </c>
      <c r="C42" s="74" t="str">
        <f t="shared" si="5"/>
        <v>Terça-Feira</v>
      </c>
      <c r="D42" s="512" t="str">
        <f>IF(C42&lt;&gt;"Quarta-Feira","13:40","08:40")</f>
        <v>13:40</v>
      </c>
      <c r="E42" s="241"/>
      <c r="F42" s="84"/>
      <c r="G42" s="79"/>
      <c r="H42" s="77"/>
      <c r="I42" s="34"/>
      <c r="J42" s="382"/>
      <c r="K42" s="382"/>
      <c r="L42" s="216" t="s">
        <v>521</v>
      </c>
      <c r="N42" s="271" t="s">
        <v>183</v>
      </c>
      <c r="O42" s="272" t="s">
        <v>195</v>
      </c>
      <c r="P42" s="272" t="s">
        <v>181</v>
      </c>
      <c r="Q42" s="273" t="s">
        <v>2088</v>
      </c>
      <c r="R42" s="286" t="s">
        <v>439</v>
      </c>
    </row>
    <row r="43">
      <c r="A43" s="12" t="s">
        <v>13</v>
      </c>
      <c r="B43" s="227" t="s">
        <v>2089</v>
      </c>
      <c r="C43" s="74" t="str">
        <f t="shared" si="5"/>
        <v>Terça-Feira</v>
      </c>
      <c r="D43" s="512" t="str">
        <f>IF(C43&lt;&gt;"Quarta-Feira","14:00","09:00")</f>
        <v>14:00</v>
      </c>
      <c r="E43" s="241"/>
      <c r="F43" s="84"/>
      <c r="G43" s="79"/>
      <c r="H43" s="77"/>
      <c r="I43" s="34"/>
      <c r="J43" s="314"/>
      <c r="K43" s="314"/>
      <c r="L43" s="216" t="s">
        <v>521</v>
      </c>
      <c r="N43" s="275">
        <f t="shared" ref="N43:Q43" si="6">COUNTIFS($I$40:$I$51,N42)</f>
        <v>0</v>
      </c>
      <c r="O43" s="275">
        <f t="shared" si="6"/>
        <v>0</v>
      </c>
      <c r="P43" s="275">
        <f t="shared" si="6"/>
        <v>0</v>
      </c>
      <c r="Q43" s="275">
        <f t="shared" si="6"/>
        <v>0</v>
      </c>
      <c r="R43" s="67">
        <f>COUNTIFS(I40:I51,R42)</f>
        <v>0</v>
      </c>
    </row>
    <row r="44">
      <c r="A44" s="12" t="s">
        <v>14</v>
      </c>
      <c r="B44" s="227" t="s">
        <v>2082</v>
      </c>
      <c r="C44" s="74" t="str">
        <f t="shared" si="5"/>
        <v>Terça-Feira</v>
      </c>
      <c r="D44" s="512" t="str">
        <f>IF(C44&lt;&gt;"Quarta-Feira","14:20","09:20")</f>
        <v>14:20</v>
      </c>
      <c r="E44" s="241"/>
      <c r="F44" s="84"/>
      <c r="G44" s="352"/>
      <c r="H44" s="77"/>
      <c r="I44" s="41"/>
      <c r="J44" s="314"/>
      <c r="K44" s="314"/>
      <c r="L44" s="216" t="s">
        <v>521</v>
      </c>
      <c r="R44" s="67"/>
    </row>
    <row r="45">
      <c r="A45" s="12" t="s">
        <v>15</v>
      </c>
      <c r="B45" s="227" t="s">
        <v>2089</v>
      </c>
      <c r="C45" s="74" t="str">
        <f t="shared" si="5"/>
        <v>Terça-Feira</v>
      </c>
      <c r="D45" s="512" t="str">
        <f>IF(C45&lt;&gt;"Quarta-Feira","14:40","09:40")</f>
        <v>14:40</v>
      </c>
      <c r="E45" s="241"/>
      <c r="F45" s="84"/>
      <c r="G45" s="79"/>
      <c r="H45" s="77"/>
      <c r="I45" s="34"/>
      <c r="J45" s="314"/>
      <c r="K45" s="314"/>
      <c r="L45" s="216" t="s">
        <v>521</v>
      </c>
      <c r="R45" s="67"/>
    </row>
    <row r="46">
      <c r="A46" s="12" t="s">
        <v>16</v>
      </c>
      <c r="B46" s="227" t="s">
        <v>2093</v>
      </c>
      <c r="C46" s="74" t="str">
        <f t="shared" si="5"/>
        <v>Terça-Feira</v>
      </c>
      <c r="D46" s="512" t="str">
        <f>IF(C46&lt;&gt;"Quarta-Feira","15:00","10:00")</f>
        <v>15:00</v>
      </c>
      <c r="E46" s="241"/>
      <c r="F46" s="84"/>
      <c r="G46" s="352"/>
      <c r="H46" s="77"/>
      <c r="I46" s="41"/>
      <c r="J46" s="382"/>
      <c r="K46" s="314"/>
      <c r="R46" s="67"/>
    </row>
    <row r="47">
      <c r="A47" s="12" t="s">
        <v>17</v>
      </c>
      <c r="B47" s="227" t="s">
        <v>2094</v>
      </c>
      <c r="C47" s="74" t="str">
        <f t="shared" si="5"/>
        <v>Terça-Feira</v>
      </c>
      <c r="D47" s="512" t="str">
        <f>IF(C47&lt;&gt;"Quarta-Feira","15:20","10:20")</f>
        <v>15:20</v>
      </c>
      <c r="E47" s="241"/>
      <c r="F47" s="84"/>
      <c r="G47" s="79"/>
      <c r="H47" s="77"/>
      <c r="I47" s="41"/>
      <c r="J47" s="382"/>
      <c r="K47" s="382"/>
      <c r="R47" s="67"/>
    </row>
    <row r="48">
      <c r="A48" s="12" t="s">
        <v>85</v>
      </c>
      <c r="B48" s="227" t="s">
        <v>2095</v>
      </c>
      <c r="C48" s="74" t="str">
        <f t="shared" si="5"/>
        <v>Terça-Feira</v>
      </c>
      <c r="D48" s="512" t="str">
        <f>IF(C48&lt;&gt;"Quarta-Feira","15:40","10:40")</f>
        <v>15:40</v>
      </c>
      <c r="E48" s="241"/>
      <c r="F48" s="84"/>
      <c r="G48" s="79"/>
      <c r="H48" s="77"/>
      <c r="I48" s="34"/>
      <c r="J48" s="314"/>
      <c r="K48" s="314"/>
      <c r="L48" s="216" t="s">
        <v>577</v>
      </c>
      <c r="R48" s="67"/>
    </row>
    <row r="49">
      <c r="A49" s="12" t="s">
        <v>87</v>
      </c>
      <c r="B49" s="227" t="s">
        <v>2096</v>
      </c>
      <c r="C49" s="74" t="str">
        <f t="shared" si="5"/>
        <v>Terça-Feira</v>
      </c>
      <c r="D49" s="512" t="str">
        <f>IF(C49&lt;&gt;"Quarta-Feira","16:00","11:00")</f>
        <v>16:00</v>
      </c>
      <c r="E49" s="241"/>
      <c r="F49" s="84"/>
      <c r="G49" s="79"/>
      <c r="H49" s="77"/>
      <c r="I49" s="41"/>
      <c r="J49" s="382"/>
      <c r="K49" s="314"/>
      <c r="R49" s="67"/>
    </row>
    <row r="50">
      <c r="A50" s="12" t="s">
        <v>90</v>
      </c>
      <c r="B50" s="227" t="s">
        <v>2098</v>
      </c>
      <c r="C50" s="74" t="str">
        <f t="shared" si="5"/>
        <v>Terça-Feira</v>
      </c>
      <c r="D50" s="512" t="str">
        <f>IF(C50&lt;&gt;"Quarta-Feira","16:20","11:20")</f>
        <v>16:20</v>
      </c>
      <c r="E50" s="241"/>
      <c r="F50" s="84"/>
      <c r="G50" s="79"/>
      <c r="H50" s="314"/>
      <c r="I50" s="41"/>
      <c r="J50" s="314"/>
      <c r="K50" s="314"/>
      <c r="R50" s="67"/>
    </row>
    <row r="51">
      <c r="A51" s="12" t="s">
        <v>93</v>
      </c>
      <c r="B51" s="227" t="s">
        <v>2096</v>
      </c>
      <c r="C51" s="74" t="str">
        <f t="shared" si="5"/>
        <v>Terça-Feira</v>
      </c>
      <c r="D51" s="512" t="str">
        <f>IF(C51&lt;&gt;"Quarta-Feira","16:40","11:40")</f>
        <v>16:40</v>
      </c>
      <c r="E51" s="241"/>
      <c r="F51" s="84"/>
      <c r="G51" s="79"/>
      <c r="H51" s="314"/>
      <c r="I51" s="41"/>
      <c r="J51" s="382"/>
      <c r="K51" s="314"/>
      <c r="R51" s="67"/>
    </row>
    <row r="52">
      <c r="E52" s="261"/>
      <c r="J52" s="67"/>
      <c r="K52" s="67"/>
      <c r="R52" s="67"/>
    </row>
    <row r="53">
      <c r="E53" s="261"/>
      <c r="J53" s="67"/>
      <c r="K53" s="67"/>
      <c r="R53" s="67"/>
    </row>
    <row r="54">
      <c r="E54" s="261"/>
      <c r="J54" s="67"/>
      <c r="K54" s="67"/>
      <c r="R54" s="67"/>
    </row>
    <row r="55">
      <c r="A55" s="23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3"/>
      <c r="R55" s="67"/>
    </row>
    <row r="56">
      <c r="A56" s="24" t="str">
        <f>TEXT(DATE(VALUE(MID(A38,7,4)),VALUE(MID(A38,4,2)),VALUE(LEFT(A38,2)))+2,"dd/mm/yyyy")&amp;" 13h às 17h"</f>
        <v>13/08/2026 13h às 17h</v>
      </c>
      <c r="B56" s="2"/>
      <c r="C56" s="2"/>
      <c r="D56" s="2"/>
      <c r="E56" s="2"/>
      <c r="F56" s="2"/>
      <c r="G56" s="2"/>
      <c r="H56" s="2"/>
      <c r="I56" s="2"/>
      <c r="J56" s="2"/>
      <c r="K56" s="3"/>
      <c r="R56" s="67"/>
    </row>
    <row r="57">
      <c r="A57" s="25"/>
      <c r="B57" s="26" t="s">
        <v>3</v>
      </c>
      <c r="C57" s="27" t="s">
        <v>2</v>
      </c>
      <c r="D57" s="28" t="s">
        <v>5</v>
      </c>
      <c r="E57" s="29" t="s">
        <v>19</v>
      </c>
      <c r="F57" s="28" t="s">
        <v>6</v>
      </c>
      <c r="G57" s="264" t="s">
        <v>7</v>
      </c>
      <c r="H57" s="30" t="s">
        <v>8</v>
      </c>
      <c r="I57" s="31" t="s">
        <v>20</v>
      </c>
      <c r="J57" s="32" t="s">
        <v>21</v>
      </c>
      <c r="K57" s="32" t="s">
        <v>22</v>
      </c>
      <c r="R57" s="67"/>
    </row>
    <row r="58" ht="15.75" customHeight="1">
      <c r="A58" s="12" t="s">
        <v>10</v>
      </c>
      <c r="B58" s="227" t="s">
        <v>1790</v>
      </c>
      <c r="C58" s="74" t="str">
        <f t="shared" ref="C58:C69" si="7">PROPER(TEXT(DATE(MID($A$56,7,4),MID($A$56,4,2),LEFT($A$56,2)),"dddd"))</f>
        <v>Quinta-Feira</v>
      </c>
      <c r="D58" s="512" t="str">
        <f>IF(C58&lt;&gt;"Quarta-Feira","13:00","08:00")</f>
        <v>13:00</v>
      </c>
      <c r="E58" s="241"/>
      <c r="F58" s="301"/>
      <c r="G58" s="161"/>
      <c r="H58" s="163"/>
      <c r="I58" s="41"/>
      <c r="J58" s="238"/>
      <c r="K58" s="238"/>
      <c r="L58" s="216" t="s">
        <v>521</v>
      </c>
      <c r="N58" s="268" t="s">
        <v>387</v>
      </c>
      <c r="O58" s="100"/>
      <c r="P58" s="100"/>
      <c r="Q58" s="100"/>
      <c r="R58" s="67"/>
    </row>
    <row r="59" ht="15.75" customHeight="1">
      <c r="A59" s="12" t="s">
        <v>11</v>
      </c>
      <c r="B59" s="227" t="s">
        <v>1714</v>
      </c>
      <c r="C59" s="74" t="str">
        <f t="shared" si="7"/>
        <v>Quinta-Feira</v>
      </c>
      <c r="D59" s="512" t="str">
        <f>IF(C59&lt;&gt;"Quarta-Feira","13:20","08:20")</f>
        <v>13:20</v>
      </c>
      <c r="E59" s="241"/>
      <c r="F59" s="440"/>
      <c r="G59" s="161"/>
      <c r="H59" s="163"/>
      <c r="I59" s="41"/>
      <c r="J59" s="238"/>
      <c r="K59" s="238"/>
      <c r="N59" s="270" t="s">
        <v>2086</v>
      </c>
      <c r="O59" s="2"/>
      <c r="P59" s="2"/>
      <c r="Q59" s="2"/>
      <c r="R59" s="67"/>
    </row>
    <row r="60" ht="15.75" customHeight="1">
      <c r="A60" s="12" t="s">
        <v>12</v>
      </c>
      <c r="B60" s="227" t="s">
        <v>1781</v>
      </c>
      <c r="C60" s="74" t="str">
        <f t="shared" si="7"/>
        <v>Quinta-Feira</v>
      </c>
      <c r="D60" s="512" t="str">
        <f>IF(C60&lt;&gt;"Quarta-Feira","13:40","08:40")</f>
        <v>13:40</v>
      </c>
      <c r="E60" s="241"/>
      <c r="F60" s="301"/>
      <c r="G60" s="161"/>
      <c r="H60" s="163"/>
      <c r="I60" s="41"/>
      <c r="J60" s="238"/>
      <c r="K60" s="238"/>
      <c r="L60" s="216" t="s">
        <v>521</v>
      </c>
      <c r="N60" s="271" t="s">
        <v>183</v>
      </c>
      <c r="O60" s="272" t="s">
        <v>195</v>
      </c>
      <c r="P60" s="272" t="s">
        <v>181</v>
      </c>
      <c r="Q60" s="272" t="s">
        <v>2088</v>
      </c>
      <c r="R60" s="67"/>
    </row>
    <row r="61" ht="15.75" customHeight="1">
      <c r="A61" s="12" t="s">
        <v>13</v>
      </c>
      <c r="B61" s="227" t="s">
        <v>1721</v>
      </c>
      <c r="C61" s="74" t="str">
        <f t="shared" si="7"/>
        <v>Quinta-Feira</v>
      </c>
      <c r="D61" s="512" t="str">
        <f>IF(C61&lt;&gt;"Quarta-Feira","14:00","09:00")</f>
        <v>14:00</v>
      </c>
      <c r="E61" s="241"/>
      <c r="F61" s="301"/>
      <c r="G61" s="161"/>
      <c r="H61" s="163"/>
      <c r="I61" s="41"/>
      <c r="J61" s="238"/>
      <c r="K61" s="238"/>
      <c r="L61" s="216" t="s">
        <v>521</v>
      </c>
      <c r="N61" s="275">
        <f t="shared" ref="N61:Q61" si="8">COUNTIFS($I$58:$I$69,N60)</f>
        <v>0</v>
      </c>
      <c r="O61" s="275">
        <f t="shared" si="8"/>
        <v>0</v>
      </c>
      <c r="P61" s="275">
        <f t="shared" si="8"/>
        <v>0</v>
      </c>
      <c r="Q61" s="275">
        <f t="shared" si="8"/>
        <v>0</v>
      </c>
      <c r="R61" s="67"/>
    </row>
    <row r="62" ht="15.75" customHeight="1">
      <c r="A62" s="12" t="s">
        <v>14</v>
      </c>
      <c r="B62" s="227" t="s">
        <v>1796</v>
      </c>
      <c r="C62" s="74" t="str">
        <f t="shared" si="7"/>
        <v>Quinta-Feira</v>
      </c>
      <c r="D62" s="512" t="str">
        <f>IF(C62&lt;&gt;"Quarta-Feira","14:20","09:20")</f>
        <v>14:20</v>
      </c>
      <c r="E62" s="241"/>
      <c r="F62" s="301"/>
      <c r="G62" s="161"/>
      <c r="H62" s="163"/>
      <c r="I62" s="41"/>
      <c r="J62" s="238"/>
      <c r="K62" s="238"/>
      <c r="R62" s="67"/>
    </row>
    <row r="63" ht="15.75" customHeight="1">
      <c r="A63" s="12" t="s">
        <v>15</v>
      </c>
      <c r="B63" s="227" t="s">
        <v>1790</v>
      </c>
      <c r="C63" s="74" t="str">
        <f t="shared" si="7"/>
        <v>Quinta-Feira</v>
      </c>
      <c r="D63" s="512" t="str">
        <f>IF(C63&lt;&gt;"Quarta-Feira","14:40","09:40")</f>
        <v>14:40</v>
      </c>
      <c r="E63" s="241"/>
      <c r="F63" s="440"/>
      <c r="G63" s="161"/>
      <c r="H63" s="163"/>
      <c r="I63" s="41"/>
      <c r="J63" s="238"/>
      <c r="K63" s="238"/>
      <c r="L63" s="216" t="s">
        <v>521</v>
      </c>
      <c r="R63" s="67"/>
    </row>
    <row r="64" ht="15.75" customHeight="1">
      <c r="A64" s="12" t="s">
        <v>16</v>
      </c>
      <c r="B64" s="227" t="s">
        <v>2653</v>
      </c>
      <c r="C64" s="74" t="str">
        <f t="shared" si="7"/>
        <v>Quinta-Feira</v>
      </c>
      <c r="D64" s="512" t="str">
        <f>IF(C64&lt;&gt;"Quarta-Feira","15:00","10:00")</f>
        <v>15:00</v>
      </c>
      <c r="E64" s="241"/>
      <c r="F64" s="301"/>
      <c r="G64" s="161"/>
      <c r="H64" s="163"/>
      <c r="I64" s="41"/>
      <c r="J64" s="238"/>
      <c r="K64" s="238"/>
      <c r="L64" s="216" t="s">
        <v>521</v>
      </c>
      <c r="R64" s="67"/>
    </row>
    <row r="65" ht="15.75" customHeight="1">
      <c r="A65" s="12" t="s">
        <v>17</v>
      </c>
      <c r="B65" s="227" t="s">
        <v>2656</v>
      </c>
      <c r="C65" s="74" t="str">
        <f t="shared" si="7"/>
        <v>Quinta-Feira</v>
      </c>
      <c r="D65" s="512" t="str">
        <f>IF(C65&lt;&gt;"Quarta-Feira","15:20","10:20")</f>
        <v>15:20</v>
      </c>
      <c r="E65" s="241"/>
      <c r="F65" s="301"/>
      <c r="G65" s="161"/>
      <c r="H65" s="163"/>
      <c r="I65" s="41"/>
      <c r="J65" s="238"/>
      <c r="K65" s="238"/>
      <c r="L65" s="216" t="s">
        <v>521</v>
      </c>
      <c r="R65" s="67"/>
    </row>
    <row r="66" ht="15.75" customHeight="1">
      <c r="A66" s="12" t="s">
        <v>85</v>
      </c>
      <c r="B66" s="227" t="s">
        <v>2659</v>
      </c>
      <c r="C66" s="74" t="str">
        <f t="shared" si="7"/>
        <v>Quinta-Feira</v>
      </c>
      <c r="D66" s="512" t="str">
        <f>IF(C66&lt;&gt;"Quarta-Feira","15:40","10:40")</f>
        <v>15:40</v>
      </c>
      <c r="E66" s="241"/>
      <c r="F66" s="301"/>
      <c r="G66" s="161"/>
      <c r="H66" s="163"/>
      <c r="I66" s="41"/>
      <c r="J66" s="238"/>
      <c r="K66" s="238"/>
      <c r="R66" s="67"/>
    </row>
    <row r="67" ht="15.75" customHeight="1">
      <c r="A67" s="12" t="s">
        <v>87</v>
      </c>
      <c r="B67" s="227" t="s">
        <v>1735</v>
      </c>
      <c r="C67" s="74" t="str">
        <f t="shared" si="7"/>
        <v>Quinta-Feira</v>
      </c>
      <c r="D67" s="512" t="str">
        <f>IF(C67&lt;&gt;"Quarta-Feira","16:00","11:00")</f>
        <v>16:00</v>
      </c>
      <c r="E67" s="241"/>
      <c r="F67" s="301"/>
      <c r="G67" s="161"/>
      <c r="H67" s="163"/>
      <c r="I67" s="41"/>
      <c r="J67" s="238"/>
      <c r="K67" s="238"/>
      <c r="L67" s="216" t="s">
        <v>521</v>
      </c>
      <c r="R67" s="67"/>
    </row>
    <row r="68" ht="15.75" customHeight="1">
      <c r="A68" s="12" t="s">
        <v>90</v>
      </c>
      <c r="B68" s="227" t="s">
        <v>2659</v>
      </c>
      <c r="C68" s="74" t="str">
        <f t="shared" si="7"/>
        <v>Quinta-Feira</v>
      </c>
      <c r="D68" s="512" t="str">
        <f>IF(C68&lt;&gt;"Quarta-Feira","16:20","11:20")</f>
        <v>16:20</v>
      </c>
      <c r="E68" s="241"/>
      <c r="F68" s="301"/>
      <c r="G68" s="161"/>
      <c r="H68" s="163"/>
      <c r="I68" s="41"/>
      <c r="J68" s="238"/>
      <c r="K68" s="238"/>
      <c r="R68" s="67"/>
    </row>
    <row r="69" ht="15.75" customHeight="1">
      <c r="A69" s="12" t="s">
        <v>93</v>
      </c>
      <c r="B69" s="227" t="s">
        <v>1735</v>
      </c>
      <c r="C69" s="74" t="str">
        <f t="shared" si="7"/>
        <v>Quinta-Feira</v>
      </c>
      <c r="D69" s="512" t="str">
        <f>IF(C69&lt;&gt;"Quarta-Feira","16:40","11:40")</f>
        <v>16:40</v>
      </c>
      <c r="E69" s="241"/>
      <c r="F69" s="301"/>
      <c r="G69" s="161"/>
      <c r="H69" s="163"/>
      <c r="I69" s="41"/>
      <c r="J69" s="238"/>
      <c r="K69" s="238"/>
      <c r="R69" s="67"/>
    </row>
    <row r="70">
      <c r="E70" s="261"/>
      <c r="G70" s="216"/>
      <c r="J70" s="67"/>
      <c r="K70" s="67"/>
      <c r="R70" s="67"/>
    </row>
    <row r="71">
      <c r="E71" s="261"/>
      <c r="J71" s="67"/>
      <c r="K71" s="67"/>
      <c r="R71" s="67"/>
    </row>
    <row r="72">
      <c r="E72" s="261"/>
      <c r="J72" s="67"/>
      <c r="K72" s="67"/>
      <c r="R72" s="67"/>
    </row>
    <row r="73">
      <c r="A73" s="398" t="s">
        <v>18</v>
      </c>
      <c r="B73" s="2"/>
      <c r="C73" s="2"/>
      <c r="D73" s="2"/>
      <c r="E73" s="2"/>
      <c r="F73" s="2"/>
      <c r="G73" s="2"/>
      <c r="H73" s="2"/>
      <c r="I73" s="2"/>
      <c r="J73" s="2"/>
      <c r="K73" s="3"/>
      <c r="R73" s="67"/>
    </row>
    <row r="74">
      <c r="A74" s="24" t="str">
        <f>TEXT(DATE(VALUE(MID(A38,7,4)),VALUE(MID(A38,4,2)),VALUE(LEFT(A38,2)))+7,"dd/mm/yyyy")&amp;" 13h às 17h"</f>
        <v>18/08/2026 13h às 17h</v>
      </c>
      <c r="B74" s="2"/>
      <c r="C74" s="2"/>
      <c r="D74" s="2"/>
      <c r="E74" s="2"/>
      <c r="F74" s="2"/>
      <c r="G74" s="2"/>
      <c r="H74" s="2"/>
      <c r="I74" s="2"/>
      <c r="J74" s="2"/>
      <c r="K74" s="3"/>
      <c r="R74" s="67"/>
    </row>
    <row r="75">
      <c r="A75" s="469"/>
      <c r="B75" s="470" t="s">
        <v>3</v>
      </c>
      <c r="C75" s="471" t="s">
        <v>2</v>
      </c>
      <c r="D75" s="472" t="s">
        <v>5</v>
      </c>
      <c r="E75" s="530" t="s">
        <v>19</v>
      </c>
      <c r="F75" s="472" t="s">
        <v>6</v>
      </c>
      <c r="G75" s="473" t="s">
        <v>7</v>
      </c>
      <c r="H75" s="474" t="s">
        <v>8</v>
      </c>
      <c r="I75" s="475" t="s">
        <v>20</v>
      </c>
      <c r="J75" s="472" t="s">
        <v>21</v>
      </c>
      <c r="K75" s="472" t="s">
        <v>22</v>
      </c>
      <c r="R75" s="67"/>
    </row>
    <row r="76">
      <c r="A76" s="476" t="s">
        <v>10</v>
      </c>
      <c r="B76" s="227" t="s">
        <v>2082</v>
      </c>
      <c r="C76" s="447" t="str">
        <f t="shared" ref="C76:C87" si="9">PROPER(TEXT(DATE(MID($A$74,7,4),MID($A$74,4,2),LEFT($A$74,2)),"dddd"))</f>
        <v>Terça-Feira</v>
      </c>
      <c r="D76" s="512" t="str">
        <f>IF(C76&lt;&gt;"Quarta-Feira","13:00","08:00")</f>
        <v>13:00</v>
      </c>
      <c r="E76" s="477"/>
      <c r="F76" s="133"/>
      <c r="G76" s="203"/>
      <c r="H76" s="166"/>
      <c r="I76" s="478"/>
      <c r="J76" s="391"/>
      <c r="K76" s="391"/>
      <c r="N76" s="268" t="s">
        <v>387</v>
      </c>
      <c r="O76" s="100"/>
      <c r="P76" s="100"/>
      <c r="Q76" s="100"/>
      <c r="R76" s="67"/>
    </row>
    <row r="77">
      <c r="A77" s="476" t="s">
        <v>11</v>
      </c>
      <c r="B77" s="227" t="s">
        <v>2084</v>
      </c>
      <c r="C77" s="447" t="str">
        <f t="shared" si="9"/>
        <v>Terça-Feira</v>
      </c>
      <c r="D77" s="512" t="str">
        <f>IF(C77&lt;&gt;"Quarta-Feira","13:20","08:20")</f>
        <v>13:20</v>
      </c>
      <c r="E77" s="479"/>
      <c r="F77" s="133"/>
      <c r="G77" s="203"/>
      <c r="H77" s="166"/>
      <c r="I77" s="478"/>
      <c r="J77" s="391"/>
      <c r="K77" s="391"/>
      <c r="N77" s="270" t="s">
        <v>2086</v>
      </c>
      <c r="O77" s="2"/>
      <c r="P77" s="2"/>
      <c r="Q77" s="2"/>
      <c r="R77" s="67"/>
    </row>
    <row r="78">
      <c r="A78" s="476" t="s">
        <v>12</v>
      </c>
      <c r="B78" s="227" t="s">
        <v>2087</v>
      </c>
      <c r="C78" s="447" t="str">
        <f t="shared" si="9"/>
        <v>Terça-Feira</v>
      </c>
      <c r="D78" s="512" t="str">
        <f>IF(C78&lt;&gt;"Quarta-Feira","13:40","08:40")</f>
        <v>13:40</v>
      </c>
      <c r="E78" s="477"/>
      <c r="F78" s="133"/>
      <c r="G78" s="203"/>
      <c r="H78" s="166"/>
      <c r="I78" s="478"/>
      <c r="J78" s="391"/>
      <c r="K78" s="391"/>
      <c r="N78" s="271" t="s">
        <v>183</v>
      </c>
      <c r="O78" s="272" t="s">
        <v>195</v>
      </c>
      <c r="P78" s="272" t="s">
        <v>181</v>
      </c>
      <c r="Q78" s="273" t="s">
        <v>2088</v>
      </c>
      <c r="R78" s="67"/>
    </row>
    <row r="79">
      <c r="A79" s="476" t="s">
        <v>13</v>
      </c>
      <c r="B79" s="227" t="s">
        <v>2089</v>
      </c>
      <c r="C79" s="447" t="str">
        <f t="shared" si="9"/>
        <v>Terça-Feira</v>
      </c>
      <c r="D79" s="512" t="str">
        <f>IF(C79&lt;&gt;"Quarta-Feira","14:00","09:00")</f>
        <v>14:00</v>
      </c>
      <c r="E79" s="477"/>
      <c r="F79" s="133"/>
      <c r="G79" s="203"/>
      <c r="H79" s="166"/>
      <c r="I79" s="478"/>
      <c r="J79" s="391"/>
      <c r="K79" s="391"/>
      <c r="N79" s="275">
        <f t="shared" ref="N79:Q79" si="10">COUNTIFS($I$76:$I$87,N78)</f>
        <v>0</v>
      </c>
      <c r="O79" s="275">
        <f t="shared" si="10"/>
        <v>0</v>
      </c>
      <c r="P79" s="275">
        <f t="shared" si="10"/>
        <v>0</v>
      </c>
      <c r="Q79" s="275">
        <f t="shared" si="10"/>
        <v>0</v>
      </c>
      <c r="R79" s="67"/>
    </row>
    <row r="80">
      <c r="A80" s="476" t="s">
        <v>14</v>
      </c>
      <c r="B80" s="227" t="s">
        <v>2082</v>
      </c>
      <c r="C80" s="447" t="str">
        <f t="shared" si="9"/>
        <v>Terça-Feira</v>
      </c>
      <c r="D80" s="512" t="str">
        <f>IF(C80&lt;&gt;"Quarta-Feira","14:20","09:20")</f>
        <v>14:20</v>
      </c>
      <c r="E80" s="480"/>
      <c r="F80" s="133"/>
      <c r="G80" s="203"/>
      <c r="H80" s="169"/>
      <c r="I80" s="478"/>
      <c r="J80" s="74"/>
      <c r="K80" s="391"/>
      <c r="R80" s="67"/>
    </row>
    <row r="81">
      <c r="A81" s="476" t="s">
        <v>15</v>
      </c>
      <c r="B81" s="227" t="s">
        <v>2089</v>
      </c>
      <c r="C81" s="447" t="str">
        <f t="shared" si="9"/>
        <v>Terça-Feira</v>
      </c>
      <c r="D81" s="512" t="str">
        <f>IF(C81&lt;&gt;"Quarta-Feira","14:40","09:40")</f>
        <v>14:40</v>
      </c>
      <c r="E81" s="480"/>
      <c r="F81" s="133"/>
      <c r="G81" s="203"/>
      <c r="H81" s="166"/>
      <c r="I81" s="478"/>
      <c r="J81" s="391"/>
      <c r="K81" s="391"/>
      <c r="R81" s="67"/>
    </row>
    <row r="82">
      <c r="A82" s="476" t="s">
        <v>16</v>
      </c>
      <c r="B82" s="227" t="s">
        <v>2093</v>
      </c>
      <c r="C82" s="447" t="str">
        <f t="shared" si="9"/>
        <v>Terça-Feira</v>
      </c>
      <c r="D82" s="512" t="str">
        <f>IF(C82&lt;&gt;"Quarta-Feira","15:00","10:00")</f>
        <v>15:00</v>
      </c>
      <c r="E82" s="480"/>
      <c r="F82" s="133"/>
      <c r="G82" s="203"/>
      <c r="H82" s="166"/>
      <c r="I82" s="478"/>
      <c r="J82" s="391"/>
      <c r="K82" s="391"/>
      <c r="R82" s="67"/>
    </row>
    <row r="83">
      <c r="A83" s="476" t="s">
        <v>17</v>
      </c>
      <c r="B83" s="227" t="s">
        <v>2094</v>
      </c>
      <c r="C83" s="447" t="str">
        <f t="shared" si="9"/>
        <v>Terça-Feira</v>
      </c>
      <c r="D83" s="512" t="str">
        <f>IF(C83&lt;&gt;"Quarta-Feira","15:20","10:20")</f>
        <v>15:20</v>
      </c>
      <c r="E83" s="480"/>
      <c r="F83" s="133"/>
      <c r="G83" s="203"/>
      <c r="H83" s="166"/>
      <c r="I83" s="478"/>
      <c r="J83" s="391"/>
      <c r="K83" s="391"/>
      <c r="R83" s="67"/>
    </row>
    <row r="84" ht="16.5" customHeight="1">
      <c r="A84" s="476" t="s">
        <v>85</v>
      </c>
      <c r="B84" s="227" t="s">
        <v>2095</v>
      </c>
      <c r="C84" s="447" t="str">
        <f t="shared" si="9"/>
        <v>Terça-Feira</v>
      </c>
      <c r="D84" s="512" t="str">
        <f>IF(C84&lt;&gt;"Quarta-Feira","15:40","10:40")</f>
        <v>15:40</v>
      </c>
      <c r="E84" s="480"/>
      <c r="F84" s="133"/>
      <c r="G84" s="203"/>
      <c r="H84" s="166"/>
      <c r="I84" s="478"/>
      <c r="J84" s="391"/>
      <c r="K84" s="391"/>
      <c r="R84" s="67"/>
    </row>
    <row r="85">
      <c r="A85" s="476" t="s">
        <v>87</v>
      </c>
      <c r="B85" s="227" t="s">
        <v>2096</v>
      </c>
      <c r="C85" s="447" t="str">
        <f t="shared" si="9"/>
        <v>Terça-Feira</v>
      </c>
      <c r="D85" s="512" t="str">
        <f>IF(C85&lt;&gt;"Quarta-Feira","16:00","11:00")</f>
        <v>16:00</v>
      </c>
      <c r="E85" s="477"/>
      <c r="F85" s="133"/>
      <c r="G85" s="203"/>
      <c r="H85" s="166"/>
      <c r="I85" s="478"/>
      <c r="J85" s="391"/>
      <c r="K85" s="484"/>
      <c r="R85" s="67"/>
    </row>
    <row r="86">
      <c r="A86" s="476" t="s">
        <v>90</v>
      </c>
      <c r="B86" s="227" t="s">
        <v>2098</v>
      </c>
      <c r="C86" s="447" t="str">
        <f t="shared" si="9"/>
        <v>Terça-Feira</v>
      </c>
      <c r="D86" s="512" t="str">
        <f>IF(C86&lt;&gt;"Quarta-Feira","16:20","11:20")</f>
        <v>16:20</v>
      </c>
      <c r="E86" s="480"/>
      <c r="F86" s="500"/>
      <c r="G86" s="203"/>
      <c r="H86" s="531"/>
      <c r="I86" s="478"/>
      <c r="J86" s="484"/>
      <c r="K86" s="484"/>
      <c r="R86" s="67"/>
    </row>
    <row r="87">
      <c r="A87" s="476" t="s">
        <v>93</v>
      </c>
      <c r="B87" s="227" t="s">
        <v>2096</v>
      </c>
      <c r="C87" s="447" t="str">
        <f t="shared" si="9"/>
        <v>Terça-Feira</v>
      </c>
      <c r="D87" s="512" t="str">
        <f>IF(C87&lt;&gt;"Quarta-Feira","16:40","11:40")</f>
        <v>16:40</v>
      </c>
      <c r="E87" s="477"/>
      <c r="F87" s="500"/>
      <c r="G87" s="501"/>
      <c r="H87" s="166"/>
      <c r="I87" s="478"/>
      <c r="J87" s="500"/>
      <c r="K87" s="485"/>
      <c r="R87" s="67"/>
    </row>
    <row r="88">
      <c r="E88" s="261"/>
      <c r="J88" s="67"/>
      <c r="K88" s="67"/>
      <c r="R88" s="67"/>
    </row>
    <row r="89">
      <c r="E89" s="261"/>
      <c r="J89" s="67"/>
      <c r="K89" s="67"/>
      <c r="R89" s="67"/>
    </row>
    <row r="90">
      <c r="E90" s="261"/>
      <c r="J90" s="67"/>
      <c r="K90" s="67"/>
      <c r="R90" s="67"/>
    </row>
    <row r="91">
      <c r="A91" s="23" t="s">
        <v>18</v>
      </c>
      <c r="B91" s="2"/>
      <c r="C91" s="2"/>
      <c r="D91" s="2"/>
      <c r="E91" s="2"/>
      <c r="F91" s="2"/>
      <c r="G91" s="2"/>
      <c r="H91" s="2"/>
      <c r="I91" s="2"/>
      <c r="J91" s="2"/>
      <c r="K91" s="3"/>
      <c r="R91" s="67"/>
    </row>
    <row r="92">
      <c r="A92" s="24" t="str">
        <f>TEXT(DATE(VALUE(MID(A74,7,4)),VALUE(MID(A74,4,2)),VALUE(LEFT(A74,2)))+2,"dd/mm/yyyy")&amp;" 13h às 17h"</f>
        <v>20/08/2026 13h às 17h</v>
      </c>
      <c r="B92" s="2"/>
      <c r="C92" s="2"/>
      <c r="D92" s="2"/>
      <c r="E92" s="2"/>
      <c r="F92" s="2"/>
      <c r="G92" s="2"/>
      <c r="H92" s="2"/>
      <c r="I92" s="2"/>
      <c r="J92" s="2"/>
      <c r="K92" s="3"/>
      <c r="R92" s="67"/>
    </row>
    <row r="93">
      <c r="A93" s="25"/>
      <c r="B93" s="26" t="s">
        <v>3</v>
      </c>
      <c r="C93" s="27" t="s">
        <v>2</v>
      </c>
      <c r="D93" s="28" t="s">
        <v>5</v>
      </c>
      <c r="E93" s="29" t="s">
        <v>19</v>
      </c>
      <c r="F93" s="28" t="s">
        <v>6</v>
      </c>
      <c r="G93" s="28" t="s">
        <v>7</v>
      </c>
      <c r="H93" s="30" t="s">
        <v>8</v>
      </c>
      <c r="I93" s="31" t="s">
        <v>20</v>
      </c>
      <c r="J93" s="32" t="s">
        <v>21</v>
      </c>
      <c r="K93" s="32" t="s">
        <v>22</v>
      </c>
      <c r="R93" s="67"/>
    </row>
    <row r="94">
      <c r="A94" s="12" t="s">
        <v>10</v>
      </c>
      <c r="B94" s="227" t="s">
        <v>1790</v>
      </c>
      <c r="C94" s="74" t="str">
        <f t="shared" ref="C94:C105" si="11">PROPER(TEXT(DATE(MID($A$92,7,4),MID($A$92,4,2),LEFT($A$92,2)),"dddd"))</f>
        <v>Quinta-Feira</v>
      </c>
      <c r="D94" s="512" t="str">
        <f>IF(C94&lt;&gt;"Quarta-Feira","13:00","08:00")</f>
        <v>13:00</v>
      </c>
      <c r="E94" s="245"/>
      <c r="F94" s="162"/>
      <c r="G94" s="161"/>
      <c r="H94" s="390"/>
      <c r="I94" s="41"/>
      <c r="J94" s="238"/>
      <c r="K94" s="238"/>
      <c r="N94" s="268" t="s">
        <v>387</v>
      </c>
      <c r="O94" s="100"/>
      <c r="P94" s="100"/>
      <c r="Q94" s="100"/>
      <c r="R94" s="67"/>
    </row>
    <row r="95" ht="21.0" customHeight="1">
      <c r="A95" s="12" t="s">
        <v>11</v>
      </c>
      <c r="B95" s="227" t="s">
        <v>1714</v>
      </c>
      <c r="C95" s="74" t="str">
        <f t="shared" si="11"/>
        <v>Quinta-Feira</v>
      </c>
      <c r="D95" s="512" t="str">
        <f>IF(C95&lt;&gt;"Quarta-Feira","13:20","08:20")</f>
        <v>13:20</v>
      </c>
      <c r="E95" s="245"/>
      <c r="F95" s="487"/>
      <c r="G95" s="161"/>
      <c r="H95" s="502"/>
      <c r="I95" s="41"/>
      <c r="J95" s="238"/>
      <c r="K95" s="238"/>
      <c r="N95" s="270" t="s">
        <v>2086</v>
      </c>
      <c r="O95" s="2"/>
      <c r="P95" s="2"/>
      <c r="Q95" s="2"/>
      <c r="R95" s="67"/>
    </row>
    <row r="96">
      <c r="A96" s="12" t="s">
        <v>12</v>
      </c>
      <c r="B96" s="227" t="s">
        <v>1781</v>
      </c>
      <c r="C96" s="74" t="str">
        <f t="shared" si="11"/>
        <v>Quinta-Feira</v>
      </c>
      <c r="D96" s="512" t="str">
        <f>IF(C96&lt;&gt;"Quarta-Feira","13:40","08:40")</f>
        <v>13:40</v>
      </c>
      <c r="E96" s="245"/>
      <c r="F96" s="162"/>
      <c r="G96" s="161"/>
      <c r="H96" s="390"/>
      <c r="I96" s="41"/>
      <c r="J96" s="238"/>
      <c r="K96" s="238"/>
      <c r="N96" s="271" t="s">
        <v>183</v>
      </c>
      <c r="O96" s="272" t="s">
        <v>195</v>
      </c>
      <c r="P96" s="272" t="s">
        <v>181</v>
      </c>
      <c r="Q96" s="273" t="s">
        <v>2088</v>
      </c>
      <c r="R96" s="67"/>
    </row>
    <row r="97">
      <c r="A97" s="12" t="s">
        <v>13</v>
      </c>
      <c r="B97" s="227" t="s">
        <v>1721</v>
      </c>
      <c r="C97" s="74" t="str">
        <f t="shared" si="11"/>
        <v>Quinta-Feira</v>
      </c>
      <c r="D97" s="512" t="str">
        <f>IF(C97&lt;&gt;"Quarta-Feira","14:00","09:00")</f>
        <v>14:00</v>
      </c>
      <c r="E97" s="245"/>
      <c r="F97" s="301"/>
      <c r="G97" s="233"/>
      <c r="H97" s="521"/>
      <c r="I97" s="41"/>
      <c r="J97" s="238"/>
      <c r="K97" s="238"/>
      <c r="N97" s="275">
        <f t="shared" ref="N97:Q97" si="12">COUNTIFS($I$94:$I$105,N96)</f>
        <v>0</v>
      </c>
      <c r="O97" s="275">
        <f t="shared" si="12"/>
        <v>0</v>
      </c>
      <c r="P97" s="275">
        <f t="shared" si="12"/>
        <v>0</v>
      </c>
      <c r="Q97" s="275">
        <f t="shared" si="12"/>
        <v>0</v>
      </c>
      <c r="R97" s="67"/>
    </row>
    <row r="98">
      <c r="A98" s="12" t="s">
        <v>14</v>
      </c>
      <c r="B98" s="227" t="s">
        <v>1796</v>
      </c>
      <c r="C98" s="74" t="str">
        <f t="shared" si="11"/>
        <v>Quinta-Feira</v>
      </c>
      <c r="D98" s="512" t="str">
        <f>IF(C98&lt;&gt;"Quarta-Feira","14:20","09:20")</f>
        <v>14:20</v>
      </c>
      <c r="E98" s="245"/>
      <c r="F98" s="162"/>
      <c r="G98" s="161"/>
      <c r="H98" s="390"/>
      <c r="I98" s="41"/>
      <c r="J98" s="238"/>
      <c r="K98" s="238"/>
      <c r="R98" s="67"/>
    </row>
    <row r="99">
      <c r="A99" s="12" t="s">
        <v>15</v>
      </c>
      <c r="B99" s="227" t="s">
        <v>1790</v>
      </c>
      <c r="C99" s="74" t="str">
        <f t="shared" si="11"/>
        <v>Quinta-Feira</v>
      </c>
      <c r="D99" s="512" t="str">
        <f>IF(C99&lt;&gt;"Quarta-Feira","14:40","09:40")</f>
        <v>14:40</v>
      </c>
      <c r="E99" s="245"/>
      <c r="F99" s="162"/>
      <c r="G99" s="161"/>
      <c r="H99" s="390"/>
      <c r="I99" s="41"/>
      <c r="J99" s="238"/>
      <c r="K99" s="238"/>
      <c r="R99" s="67"/>
    </row>
    <row r="100">
      <c r="A100" s="12" t="s">
        <v>16</v>
      </c>
      <c r="B100" s="227" t="s">
        <v>2653</v>
      </c>
      <c r="C100" s="74" t="str">
        <f t="shared" si="11"/>
        <v>Quinta-Feira</v>
      </c>
      <c r="D100" s="512" t="str">
        <f>IF(C100&lt;&gt;"Quarta-Feira","15:00","10:00")</f>
        <v>15:00</v>
      </c>
      <c r="E100" s="245"/>
      <c r="F100" s="162"/>
      <c r="G100" s="161"/>
      <c r="H100" s="390"/>
      <c r="I100" s="41"/>
      <c r="J100" s="238"/>
      <c r="K100" s="238"/>
      <c r="R100" s="67"/>
    </row>
    <row r="101">
      <c r="A101" s="12" t="s">
        <v>17</v>
      </c>
      <c r="B101" s="227" t="s">
        <v>2656</v>
      </c>
      <c r="C101" s="74" t="str">
        <f t="shared" si="11"/>
        <v>Quinta-Feira</v>
      </c>
      <c r="D101" s="512" t="str">
        <f>IF(C101&lt;&gt;"Quarta-Feira","15:20","10:20")</f>
        <v>15:20</v>
      </c>
      <c r="E101" s="245"/>
      <c r="F101" s="162"/>
      <c r="G101" s="161"/>
      <c r="H101" s="390"/>
      <c r="I101" s="41"/>
      <c r="J101" s="238"/>
      <c r="K101" s="238"/>
      <c r="R101" s="67"/>
    </row>
    <row r="102">
      <c r="A102" s="12" t="s">
        <v>85</v>
      </c>
      <c r="B102" s="227" t="s">
        <v>2659</v>
      </c>
      <c r="C102" s="74" t="str">
        <f t="shared" si="11"/>
        <v>Quinta-Feira</v>
      </c>
      <c r="D102" s="512" t="str">
        <f>IF(C102&lt;&gt;"Quarta-Feira","15:40","10:40")</f>
        <v>15:40</v>
      </c>
      <c r="E102" s="245"/>
      <c r="F102" s="162"/>
      <c r="G102" s="161"/>
      <c r="H102" s="390"/>
      <c r="I102" s="41"/>
      <c r="J102" s="238"/>
      <c r="K102" s="238"/>
      <c r="R102" s="67"/>
      <c r="V102" s="336"/>
    </row>
    <row r="103">
      <c r="A103" s="12" t="s">
        <v>87</v>
      </c>
      <c r="B103" s="227" t="s">
        <v>1735</v>
      </c>
      <c r="C103" s="74" t="str">
        <f t="shared" si="11"/>
        <v>Quinta-Feira</v>
      </c>
      <c r="D103" s="512" t="str">
        <f>IF(C103&lt;&gt;"Quarta-Feira","16:00","11:00")</f>
        <v>16:00</v>
      </c>
      <c r="E103" s="245"/>
      <c r="F103" s="162"/>
      <c r="G103" s="161"/>
      <c r="H103" s="390"/>
      <c r="I103" s="41"/>
      <c r="J103" s="238"/>
      <c r="K103" s="238"/>
      <c r="R103" s="67"/>
    </row>
    <row r="104">
      <c r="A104" s="12" t="s">
        <v>90</v>
      </c>
      <c r="B104" s="227" t="s">
        <v>2659</v>
      </c>
      <c r="C104" s="74" t="str">
        <f t="shared" si="11"/>
        <v>Quinta-Feira</v>
      </c>
      <c r="D104" s="512" t="str">
        <f>IF(C104&lt;&gt;"Quarta-Feira","16:20","11:20")</f>
        <v>16:20</v>
      </c>
      <c r="E104" s="245"/>
      <c r="F104" s="162"/>
      <c r="G104" s="161"/>
      <c r="H104" s="390"/>
      <c r="I104" s="41"/>
      <c r="J104" s="238"/>
      <c r="K104" s="238"/>
      <c r="R104" s="67"/>
    </row>
    <row r="105">
      <c r="A105" s="12" t="s">
        <v>93</v>
      </c>
      <c r="B105" s="227" t="s">
        <v>1735</v>
      </c>
      <c r="C105" s="74" t="str">
        <f t="shared" si="11"/>
        <v>Quinta-Feira</v>
      </c>
      <c r="D105" s="512" t="str">
        <f>IF(C105&lt;&gt;"Quarta-Feira","16:40","11:40")</f>
        <v>16:40</v>
      </c>
      <c r="E105" s="245"/>
      <c r="F105" s="162"/>
      <c r="G105" s="161"/>
      <c r="H105" s="390"/>
      <c r="I105" s="41"/>
      <c r="J105" s="238"/>
      <c r="K105" s="238"/>
      <c r="R105" s="67"/>
    </row>
    <row r="106">
      <c r="E106" s="261"/>
      <c r="J106" s="67"/>
      <c r="K106" s="67"/>
      <c r="R106" s="67"/>
    </row>
    <row r="107">
      <c r="E107" s="261"/>
      <c r="J107" s="67"/>
      <c r="K107" s="67"/>
      <c r="R107" s="67"/>
    </row>
    <row r="108">
      <c r="E108" s="261"/>
      <c r="J108" s="67"/>
      <c r="K108" s="67"/>
      <c r="R108" s="67"/>
    </row>
    <row r="109">
      <c r="A109" s="23" t="s">
        <v>18</v>
      </c>
      <c r="B109" s="2"/>
      <c r="C109" s="2"/>
      <c r="D109" s="2"/>
      <c r="E109" s="2"/>
      <c r="F109" s="2"/>
      <c r="G109" s="2"/>
      <c r="H109" s="2"/>
      <c r="I109" s="2"/>
      <c r="J109" s="2"/>
      <c r="K109" s="3"/>
      <c r="R109" s="67"/>
    </row>
    <row r="110">
      <c r="A110" s="24" t="str">
        <f>TEXT(DATE(VALUE(MID(A74,7,4)),VALUE(MID(A74,4,2)),VALUE(LEFT(A74,2)))+7,"dd/mm/yyyy")&amp;" 13h às 17h"</f>
        <v>25/08/2026 13h às 17h</v>
      </c>
      <c r="B110" s="2"/>
      <c r="C110" s="2"/>
      <c r="D110" s="2"/>
      <c r="E110" s="2"/>
      <c r="F110" s="2"/>
      <c r="G110" s="2"/>
      <c r="H110" s="2"/>
      <c r="I110" s="2"/>
      <c r="J110" s="2"/>
      <c r="K110" s="3"/>
      <c r="R110" s="67"/>
    </row>
    <row r="111">
      <c r="A111" s="25"/>
      <c r="B111" s="26" t="s">
        <v>3</v>
      </c>
      <c r="C111" s="27" t="s">
        <v>2</v>
      </c>
      <c r="D111" s="28" t="s">
        <v>5</v>
      </c>
      <c r="E111" s="29" t="s">
        <v>19</v>
      </c>
      <c r="F111" s="28" t="s">
        <v>6</v>
      </c>
      <c r="G111" s="28" t="s">
        <v>7</v>
      </c>
      <c r="H111" s="30" t="s">
        <v>8</v>
      </c>
      <c r="I111" s="31" t="s">
        <v>20</v>
      </c>
      <c r="J111" s="32" t="s">
        <v>21</v>
      </c>
      <c r="K111" s="32" t="s">
        <v>22</v>
      </c>
      <c r="R111" s="67"/>
    </row>
    <row r="112">
      <c r="A112" s="12" t="s">
        <v>10</v>
      </c>
      <c r="B112" s="227" t="s">
        <v>2082</v>
      </c>
      <c r="C112" s="74" t="str">
        <f t="shared" ref="C112:C123" si="13">PROPER(TEXT(DATE(MID($A$110,7,4),MID($A$110,4,2),LEFT($A$110,2)),"dddd"))</f>
        <v>Terça-Feira</v>
      </c>
      <c r="D112" s="512" t="str">
        <f>IF(C112&lt;&gt;"Quarta-Feira","13:00","08:00")</f>
        <v>13:00</v>
      </c>
      <c r="E112" s="287"/>
      <c r="F112" s="74"/>
      <c r="G112" s="167"/>
      <c r="H112" s="211"/>
      <c r="I112" s="41"/>
      <c r="J112" s="102"/>
      <c r="K112" s="102"/>
      <c r="N112" s="268" t="s">
        <v>387</v>
      </c>
      <c r="O112" s="100"/>
      <c r="P112" s="100"/>
      <c r="Q112" s="100"/>
      <c r="R112" s="67"/>
    </row>
    <row r="113">
      <c r="A113" s="12" t="s">
        <v>11</v>
      </c>
      <c r="B113" s="227" t="s">
        <v>2084</v>
      </c>
      <c r="C113" s="74" t="str">
        <f t="shared" si="13"/>
        <v>Terça-Feira</v>
      </c>
      <c r="D113" s="512" t="str">
        <f>IF(C113&lt;&gt;"Quarta-Feira","13:20","08:20")</f>
        <v>13:20</v>
      </c>
      <c r="E113" s="287"/>
      <c r="F113" s="74"/>
      <c r="G113" s="167"/>
      <c r="H113" s="211"/>
      <c r="I113" s="41"/>
      <c r="J113" s="102"/>
      <c r="K113" s="102"/>
      <c r="N113" s="270" t="s">
        <v>2086</v>
      </c>
      <c r="O113" s="2"/>
      <c r="P113" s="2"/>
      <c r="Q113" s="2"/>
      <c r="R113" s="67"/>
    </row>
    <row r="114">
      <c r="A114" s="12" t="s">
        <v>12</v>
      </c>
      <c r="B114" s="227" t="s">
        <v>2087</v>
      </c>
      <c r="C114" s="74" t="str">
        <f t="shared" si="13"/>
        <v>Terça-Feira</v>
      </c>
      <c r="D114" s="512" t="str">
        <f>IF(C114&lt;&gt;"Quarta-Feira","13:40","08:40")</f>
        <v>13:40</v>
      </c>
      <c r="E114" s="287"/>
      <c r="F114" s="74"/>
      <c r="G114" s="167"/>
      <c r="H114" s="211"/>
      <c r="I114" s="41"/>
      <c r="J114" s="102"/>
      <c r="K114" s="102"/>
      <c r="N114" s="271" t="s">
        <v>183</v>
      </c>
      <c r="O114" s="272" t="s">
        <v>195</v>
      </c>
      <c r="P114" s="272" t="s">
        <v>181</v>
      </c>
      <c r="Q114" s="273" t="s">
        <v>2088</v>
      </c>
      <c r="R114" s="67"/>
    </row>
    <row r="115">
      <c r="A115" s="12" t="s">
        <v>13</v>
      </c>
      <c r="B115" s="227" t="s">
        <v>2089</v>
      </c>
      <c r="C115" s="74" t="str">
        <f t="shared" si="13"/>
        <v>Terça-Feira</v>
      </c>
      <c r="D115" s="512" t="str">
        <f>IF(C115&lt;&gt;"Quarta-Feira","14:00","09:00")</f>
        <v>14:00</v>
      </c>
      <c r="E115" s="287"/>
      <c r="F115" s="74"/>
      <c r="G115" s="167"/>
      <c r="H115" s="211"/>
      <c r="I115" s="41"/>
      <c r="J115" s="102"/>
      <c r="K115" s="102"/>
      <c r="N115" s="275">
        <f t="shared" ref="N115:Q115" si="14">COUNTIFS($I$112:$I$123,N114)</f>
        <v>0</v>
      </c>
      <c r="O115" s="275">
        <f t="shared" si="14"/>
        <v>0</v>
      </c>
      <c r="P115" s="275">
        <f t="shared" si="14"/>
        <v>0</v>
      </c>
      <c r="Q115" s="275">
        <f t="shared" si="14"/>
        <v>0</v>
      </c>
      <c r="R115" s="67"/>
    </row>
    <row r="116">
      <c r="A116" s="12" t="s">
        <v>14</v>
      </c>
      <c r="B116" s="227" t="s">
        <v>2082</v>
      </c>
      <c r="C116" s="74" t="str">
        <f t="shared" si="13"/>
        <v>Terça-Feira</v>
      </c>
      <c r="D116" s="512" t="str">
        <f>IF(C116&lt;&gt;"Quarta-Feira","14:20","09:20")</f>
        <v>14:20</v>
      </c>
      <c r="E116" s="287"/>
      <c r="F116" s="74"/>
      <c r="G116" s="167"/>
      <c r="H116" s="211"/>
      <c r="I116" s="41"/>
      <c r="J116" s="102"/>
      <c r="K116" s="102"/>
      <c r="R116" s="67"/>
    </row>
    <row r="117">
      <c r="A117" s="12" t="s">
        <v>15</v>
      </c>
      <c r="B117" s="227" t="s">
        <v>2089</v>
      </c>
      <c r="C117" s="74" t="str">
        <f t="shared" si="13"/>
        <v>Terça-Feira</v>
      </c>
      <c r="D117" s="512" t="str">
        <f>IF(C117&lt;&gt;"Quarta-Feira","14:40","09:40")</f>
        <v>14:40</v>
      </c>
      <c r="E117" s="287"/>
      <c r="F117" s="74"/>
      <c r="G117" s="167"/>
      <c r="H117" s="211"/>
      <c r="I117" s="41"/>
      <c r="J117" s="102"/>
      <c r="K117" s="102"/>
      <c r="R117" s="67"/>
    </row>
    <row r="118">
      <c r="A118" s="12" t="s">
        <v>16</v>
      </c>
      <c r="B118" s="227" t="s">
        <v>2093</v>
      </c>
      <c r="C118" s="74" t="str">
        <f t="shared" si="13"/>
        <v>Terça-Feira</v>
      </c>
      <c r="D118" s="512" t="str">
        <f>IF(C118&lt;&gt;"Quarta-Feira","15:00","10:00")</f>
        <v>15:00</v>
      </c>
      <c r="E118" s="287"/>
      <c r="F118" s="74"/>
      <c r="G118" s="167"/>
      <c r="H118" s="211"/>
      <c r="I118" s="41"/>
      <c r="J118" s="102"/>
      <c r="K118" s="102"/>
      <c r="R118" s="67"/>
    </row>
    <row r="119">
      <c r="A119" s="12" t="s">
        <v>17</v>
      </c>
      <c r="B119" s="227" t="s">
        <v>2094</v>
      </c>
      <c r="C119" s="74" t="str">
        <f t="shared" si="13"/>
        <v>Terça-Feira</v>
      </c>
      <c r="D119" s="512" t="str">
        <f>IF(C119&lt;&gt;"Quarta-Feira","15:20","10:20")</f>
        <v>15:20</v>
      </c>
      <c r="E119" s="287"/>
      <c r="F119" s="74"/>
      <c r="G119" s="167"/>
      <c r="H119" s="211"/>
      <c r="I119" s="41"/>
      <c r="J119" s="102"/>
      <c r="K119" s="102"/>
      <c r="R119" s="67"/>
    </row>
    <row r="120">
      <c r="A120" s="12" t="s">
        <v>85</v>
      </c>
      <c r="B120" s="227" t="s">
        <v>2095</v>
      </c>
      <c r="C120" s="74" t="str">
        <f t="shared" si="13"/>
        <v>Terça-Feira</v>
      </c>
      <c r="D120" s="512" t="str">
        <f>IF(C120&lt;&gt;"Quarta-Feira","15:40","10:40")</f>
        <v>15:40</v>
      </c>
      <c r="E120" s="287"/>
      <c r="F120" s="74"/>
      <c r="G120" s="167"/>
      <c r="H120" s="211"/>
      <c r="I120" s="41"/>
      <c r="J120" s="102"/>
      <c r="K120" s="102"/>
      <c r="R120" s="67"/>
    </row>
    <row r="121">
      <c r="A121" s="12" t="s">
        <v>87</v>
      </c>
      <c r="B121" s="227" t="s">
        <v>2096</v>
      </c>
      <c r="C121" s="74" t="str">
        <f t="shared" si="13"/>
        <v>Terça-Feira</v>
      </c>
      <c r="D121" s="512" t="str">
        <f>IF(C121&lt;&gt;"Quarta-Feira","16:00","11:00")</f>
        <v>16:00</v>
      </c>
      <c r="E121" s="287"/>
      <c r="F121" s="74"/>
      <c r="G121" s="167"/>
      <c r="H121" s="211"/>
      <c r="I121" s="41"/>
      <c r="J121" s="102"/>
      <c r="K121" s="102"/>
      <c r="R121" s="67"/>
    </row>
    <row r="122">
      <c r="A122" s="12" t="s">
        <v>90</v>
      </c>
      <c r="B122" s="227" t="s">
        <v>2098</v>
      </c>
      <c r="C122" s="74" t="str">
        <f t="shared" si="13"/>
        <v>Terça-Feira</v>
      </c>
      <c r="D122" s="512" t="str">
        <f>IF(C122&lt;&gt;"Quarta-Feira","16:20","11:20")</f>
        <v>16:20</v>
      </c>
      <c r="E122" s="287"/>
      <c r="F122" s="74"/>
      <c r="G122" s="167"/>
      <c r="H122" s="211"/>
      <c r="I122" s="41"/>
      <c r="J122" s="102"/>
      <c r="K122" s="102"/>
      <c r="R122" s="67"/>
    </row>
    <row r="123">
      <c r="A123" s="12" t="s">
        <v>93</v>
      </c>
      <c r="B123" s="227" t="s">
        <v>2096</v>
      </c>
      <c r="C123" s="74" t="str">
        <f t="shared" si="13"/>
        <v>Terça-Feira</v>
      </c>
      <c r="D123" s="512" t="str">
        <f>IF(C123&lt;&gt;"Quarta-Feira","16:40","11:40")</f>
        <v>16:40</v>
      </c>
      <c r="E123" s="287"/>
      <c r="F123" s="74"/>
      <c r="G123" s="167"/>
      <c r="H123" s="211"/>
      <c r="I123" s="41"/>
      <c r="J123" s="102"/>
      <c r="K123" s="102"/>
      <c r="R123" s="67"/>
    </row>
    <row r="124">
      <c r="A124" s="503"/>
      <c r="B124" s="493"/>
      <c r="C124" s="315"/>
      <c r="D124" s="504"/>
      <c r="E124" s="505"/>
      <c r="F124" s="506"/>
      <c r="G124" s="507"/>
      <c r="H124" s="508"/>
      <c r="I124" s="509"/>
      <c r="J124" s="510"/>
      <c r="K124" s="510"/>
      <c r="R124" s="67"/>
    </row>
    <row r="125">
      <c r="A125" s="503"/>
      <c r="B125" s="493"/>
      <c r="C125" s="315"/>
      <c r="D125" s="504"/>
      <c r="E125" s="505"/>
      <c r="F125" s="506"/>
      <c r="G125" s="507"/>
      <c r="H125" s="508"/>
      <c r="I125" s="509"/>
      <c r="J125" s="510"/>
      <c r="K125" s="510"/>
      <c r="R125" s="67"/>
    </row>
    <row r="126">
      <c r="A126" s="503"/>
      <c r="B126" s="493"/>
      <c r="C126" s="315"/>
      <c r="D126" s="504"/>
      <c r="E126" s="505"/>
      <c r="F126" s="506"/>
      <c r="G126" s="507"/>
      <c r="H126" s="508"/>
      <c r="I126" s="509"/>
      <c r="J126" s="510"/>
      <c r="K126" s="510"/>
      <c r="R126" s="67"/>
    </row>
    <row r="127">
      <c r="A127" s="23" t="s">
        <v>18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  <c r="R127" s="67"/>
    </row>
    <row r="128">
      <c r="A128" s="24" t="str">
        <f>TEXT(DATE(VALUE(MID(A110,7,4)),VALUE(MID(A110,4,2)),VALUE(LEFT(A110,2)))+2,"dd/mm/yyyy")&amp;" 13h às 17h"</f>
        <v>27/08/2026 13h às 17h</v>
      </c>
      <c r="B128" s="2"/>
      <c r="C128" s="2"/>
      <c r="D128" s="2"/>
      <c r="E128" s="2"/>
      <c r="F128" s="2"/>
      <c r="G128" s="2"/>
      <c r="H128" s="2"/>
      <c r="I128" s="2"/>
      <c r="J128" s="2"/>
      <c r="K128" s="3"/>
      <c r="R128" s="67"/>
    </row>
    <row r="129">
      <c r="A129" s="25"/>
      <c r="B129" s="26" t="s">
        <v>3</v>
      </c>
      <c r="C129" s="27" t="s">
        <v>2</v>
      </c>
      <c r="D129" s="28" t="s">
        <v>5</v>
      </c>
      <c r="E129" s="29" t="s">
        <v>19</v>
      </c>
      <c r="F129" s="28" t="s">
        <v>6</v>
      </c>
      <c r="G129" s="28" t="s">
        <v>7</v>
      </c>
      <c r="H129" s="30" t="s">
        <v>8</v>
      </c>
      <c r="I129" s="31" t="s">
        <v>20</v>
      </c>
      <c r="J129" s="32" t="s">
        <v>21</v>
      </c>
      <c r="K129" s="32" t="s">
        <v>22</v>
      </c>
      <c r="R129" s="67"/>
    </row>
    <row r="130">
      <c r="A130" s="12" t="s">
        <v>10</v>
      </c>
      <c r="B130" s="227" t="s">
        <v>1790</v>
      </c>
      <c r="C130" s="74" t="str">
        <f t="shared" ref="C130:C141" si="15">PROPER(TEXT(DATE(MID($A$92,7,4),MID($A$92,4,2),LEFT($A$92,2)),"dddd"))</f>
        <v>Quinta-Feira</v>
      </c>
      <c r="D130" s="512" t="str">
        <f>IF(C130&lt;&gt;"Quarta-Feira","13:00","08:00")</f>
        <v>13:00</v>
      </c>
      <c r="E130" s="245"/>
      <c r="F130" s="162"/>
      <c r="G130" s="161"/>
      <c r="H130" s="390"/>
      <c r="I130" s="41"/>
      <c r="J130" s="238"/>
      <c r="K130" s="238"/>
      <c r="N130" s="268" t="s">
        <v>387</v>
      </c>
      <c r="O130" s="100"/>
      <c r="P130" s="100"/>
      <c r="Q130" s="100"/>
      <c r="R130" s="67"/>
    </row>
    <row r="131">
      <c r="A131" s="12" t="s">
        <v>11</v>
      </c>
      <c r="B131" s="227" t="s">
        <v>1714</v>
      </c>
      <c r="C131" s="74" t="str">
        <f t="shared" si="15"/>
        <v>Quinta-Feira</v>
      </c>
      <c r="D131" s="512" t="str">
        <f>IF(C131&lt;&gt;"Quarta-Feira","13:20","08:20")</f>
        <v>13:20</v>
      </c>
      <c r="E131" s="245"/>
      <c r="F131" s="487"/>
      <c r="G131" s="161"/>
      <c r="H131" s="502"/>
      <c r="I131" s="41"/>
      <c r="J131" s="238"/>
      <c r="K131" s="238"/>
      <c r="N131" s="270" t="s">
        <v>2086</v>
      </c>
      <c r="O131" s="2"/>
      <c r="P131" s="2"/>
      <c r="Q131" s="2"/>
      <c r="R131" s="67"/>
    </row>
    <row r="132">
      <c r="A132" s="12" t="s">
        <v>12</v>
      </c>
      <c r="B132" s="227" t="s">
        <v>1781</v>
      </c>
      <c r="C132" s="74" t="str">
        <f t="shared" si="15"/>
        <v>Quinta-Feira</v>
      </c>
      <c r="D132" s="512" t="str">
        <f>IF(C132&lt;&gt;"Quarta-Feira","13:40","08:40")</f>
        <v>13:40</v>
      </c>
      <c r="E132" s="245"/>
      <c r="F132" s="162"/>
      <c r="G132" s="161"/>
      <c r="H132" s="390"/>
      <c r="I132" s="41"/>
      <c r="J132" s="238"/>
      <c r="K132" s="238"/>
      <c r="N132" s="271" t="s">
        <v>183</v>
      </c>
      <c r="O132" s="272" t="s">
        <v>195</v>
      </c>
      <c r="P132" s="272" t="s">
        <v>181</v>
      </c>
      <c r="Q132" s="273" t="s">
        <v>2088</v>
      </c>
      <c r="R132" s="67"/>
    </row>
    <row r="133">
      <c r="A133" s="12" t="s">
        <v>13</v>
      </c>
      <c r="B133" s="227" t="s">
        <v>1721</v>
      </c>
      <c r="C133" s="74" t="str">
        <f t="shared" si="15"/>
        <v>Quinta-Feira</v>
      </c>
      <c r="D133" s="512" t="str">
        <f>IF(C133&lt;&gt;"Quarta-Feira","14:00","09:00")</f>
        <v>14:00</v>
      </c>
      <c r="E133" s="245"/>
      <c r="F133" s="228"/>
      <c r="G133" s="227"/>
      <c r="H133" s="495"/>
      <c r="I133" s="41"/>
      <c r="J133" s="238"/>
      <c r="K133" s="238"/>
      <c r="N133" s="275">
        <f t="shared" ref="N133:Q133" si="16">COUNTIFS($I$130:$I$141,N132)</f>
        <v>0</v>
      </c>
      <c r="O133" s="275">
        <f t="shared" si="16"/>
        <v>0</v>
      </c>
      <c r="P133" s="275">
        <f t="shared" si="16"/>
        <v>0</v>
      </c>
      <c r="Q133" s="275">
        <f t="shared" si="16"/>
        <v>0</v>
      </c>
      <c r="R133" s="67"/>
    </row>
    <row r="134">
      <c r="A134" s="12" t="s">
        <v>14</v>
      </c>
      <c r="B134" s="227" t="s">
        <v>1796</v>
      </c>
      <c r="C134" s="74" t="str">
        <f t="shared" si="15"/>
        <v>Quinta-Feira</v>
      </c>
      <c r="D134" s="512" t="str">
        <f>IF(C134&lt;&gt;"Quarta-Feira","14:20","09:20")</f>
        <v>14:20</v>
      </c>
      <c r="E134" s="245"/>
      <c r="F134" s="162"/>
      <c r="G134" s="161"/>
      <c r="H134" s="390"/>
      <c r="I134" s="41"/>
      <c r="J134" s="238"/>
      <c r="K134" s="238"/>
      <c r="R134" s="67"/>
    </row>
    <row r="135">
      <c r="A135" s="12" t="s">
        <v>15</v>
      </c>
      <c r="B135" s="227" t="s">
        <v>1790</v>
      </c>
      <c r="C135" s="74" t="str">
        <f t="shared" si="15"/>
        <v>Quinta-Feira</v>
      </c>
      <c r="D135" s="512" t="str">
        <f>IF(C135&lt;&gt;"Quarta-Feira","14:40","09:40")</f>
        <v>14:40</v>
      </c>
      <c r="E135" s="245"/>
      <c r="F135" s="162"/>
      <c r="G135" s="161"/>
      <c r="H135" s="390"/>
      <c r="I135" s="41"/>
      <c r="J135" s="238"/>
      <c r="K135" s="238"/>
      <c r="R135" s="67"/>
    </row>
    <row r="136">
      <c r="A136" s="12" t="s">
        <v>16</v>
      </c>
      <c r="B136" s="227" t="s">
        <v>2653</v>
      </c>
      <c r="C136" s="74" t="str">
        <f t="shared" si="15"/>
        <v>Quinta-Feira</v>
      </c>
      <c r="D136" s="512" t="str">
        <f>IF(C136&lt;&gt;"Quarta-Feira","15:00","10:00")</f>
        <v>15:00</v>
      </c>
      <c r="E136" s="245"/>
      <c r="F136" s="162"/>
      <c r="G136" s="161"/>
      <c r="H136" s="390"/>
      <c r="I136" s="41"/>
      <c r="J136" s="238"/>
      <c r="K136" s="238"/>
      <c r="R136" s="67"/>
    </row>
    <row r="137">
      <c r="A137" s="12" t="s">
        <v>17</v>
      </c>
      <c r="B137" s="227" t="s">
        <v>2656</v>
      </c>
      <c r="C137" s="74" t="str">
        <f t="shared" si="15"/>
        <v>Quinta-Feira</v>
      </c>
      <c r="D137" s="512" t="str">
        <f>IF(C137&lt;&gt;"Quarta-Feira","15:20","10:20")</f>
        <v>15:20</v>
      </c>
      <c r="E137" s="245"/>
      <c r="F137" s="162"/>
      <c r="G137" s="161"/>
      <c r="H137" s="390"/>
      <c r="I137" s="41"/>
      <c r="J137" s="238"/>
      <c r="K137" s="238"/>
      <c r="R137" s="67"/>
    </row>
    <row r="138">
      <c r="A138" s="12" t="s">
        <v>85</v>
      </c>
      <c r="B138" s="227" t="s">
        <v>2659</v>
      </c>
      <c r="C138" s="74" t="str">
        <f t="shared" si="15"/>
        <v>Quinta-Feira</v>
      </c>
      <c r="D138" s="512" t="str">
        <f>IF(C138&lt;&gt;"Quarta-Feira","15:40","10:40")</f>
        <v>15:40</v>
      </c>
      <c r="E138" s="245"/>
      <c r="F138" s="162"/>
      <c r="G138" s="161"/>
      <c r="H138" s="390"/>
      <c r="I138" s="41"/>
      <c r="J138" s="238"/>
      <c r="K138" s="238"/>
      <c r="R138" s="67"/>
    </row>
    <row r="139">
      <c r="A139" s="12" t="s">
        <v>87</v>
      </c>
      <c r="B139" s="227" t="s">
        <v>1735</v>
      </c>
      <c r="C139" s="74" t="str">
        <f t="shared" si="15"/>
        <v>Quinta-Feira</v>
      </c>
      <c r="D139" s="512" t="str">
        <f>IF(C139&lt;&gt;"Quarta-Feira","16:00","11:00")</f>
        <v>16:00</v>
      </c>
      <c r="E139" s="245"/>
      <c r="F139" s="162"/>
      <c r="G139" s="161"/>
      <c r="H139" s="390"/>
      <c r="I139" s="41"/>
      <c r="J139" s="238"/>
      <c r="K139" s="238"/>
      <c r="R139" s="67"/>
    </row>
    <row r="140">
      <c r="A140" s="12" t="s">
        <v>90</v>
      </c>
      <c r="B140" s="227" t="s">
        <v>2659</v>
      </c>
      <c r="C140" s="74" t="str">
        <f t="shared" si="15"/>
        <v>Quinta-Feira</v>
      </c>
      <c r="D140" s="512" t="str">
        <f>IF(C140&lt;&gt;"Quarta-Feira","16:20","11:20")</f>
        <v>16:20</v>
      </c>
      <c r="E140" s="245"/>
      <c r="F140" s="162"/>
      <c r="G140" s="161"/>
      <c r="H140" s="390"/>
      <c r="I140" s="41"/>
      <c r="J140" s="238"/>
      <c r="K140" s="238"/>
      <c r="R140" s="67"/>
    </row>
    <row r="141">
      <c r="A141" s="12" t="s">
        <v>93</v>
      </c>
      <c r="B141" s="227" t="s">
        <v>1735</v>
      </c>
      <c r="C141" s="74" t="str">
        <f t="shared" si="15"/>
        <v>Quinta-Feira</v>
      </c>
      <c r="D141" s="512" t="str">
        <f>IF(C141&lt;&gt;"Quarta-Feira","16:40","11:40")</f>
        <v>16:40</v>
      </c>
      <c r="E141" s="245"/>
      <c r="F141" s="162"/>
      <c r="G141" s="161"/>
      <c r="H141" s="390"/>
      <c r="I141" s="41"/>
      <c r="J141" s="238"/>
      <c r="K141" s="238"/>
      <c r="R141" s="67"/>
    </row>
    <row r="142">
      <c r="A142" s="503"/>
      <c r="B142" s="493"/>
      <c r="C142" s="315"/>
      <c r="D142" s="504"/>
      <c r="E142" s="505"/>
      <c r="F142" s="506"/>
      <c r="G142" s="507"/>
      <c r="H142" s="508"/>
      <c r="I142" s="509"/>
      <c r="J142" s="510"/>
      <c r="K142" s="510"/>
      <c r="R142" s="67"/>
    </row>
    <row r="143">
      <c r="A143" s="503"/>
      <c r="B143" s="493"/>
      <c r="C143" s="315"/>
      <c r="D143" s="504"/>
      <c r="E143" s="505"/>
      <c r="F143" s="506"/>
      <c r="G143" s="507"/>
      <c r="H143" s="508"/>
      <c r="I143" s="509"/>
      <c r="J143" s="510"/>
      <c r="K143" s="510"/>
      <c r="R143" s="67"/>
    </row>
    <row r="144">
      <c r="A144" s="503"/>
      <c r="B144" s="493"/>
      <c r="C144" s="315"/>
      <c r="D144" s="504"/>
      <c r="E144" s="505"/>
      <c r="F144" s="506"/>
      <c r="G144" s="507"/>
      <c r="H144" s="508"/>
      <c r="I144" s="509"/>
      <c r="J144" s="510"/>
      <c r="K144" s="510"/>
      <c r="R144" s="67"/>
    </row>
    <row r="145" hidden="1">
      <c r="A145" s="23" t="s">
        <v>18</v>
      </c>
      <c r="B145" s="2"/>
      <c r="C145" s="2"/>
      <c r="D145" s="2"/>
      <c r="E145" s="2"/>
      <c r="F145" s="2"/>
      <c r="G145" s="2"/>
      <c r="H145" s="2"/>
      <c r="I145" s="2"/>
      <c r="J145" s="2"/>
      <c r="K145" s="3"/>
      <c r="R145" s="67"/>
    </row>
    <row r="146" hidden="1">
      <c r="A146" s="24" t="str">
        <f>TEXT(DATE(VALUE(MID(A110,7,4)),VALUE(MID(A110,4,2)),VALUE(LEFT(A110,2)))+7,"dd/mm/yyyy")&amp;" 13h às 17h"</f>
        <v>01/09/2026 13h às 17h</v>
      </c>
      <c r="B146" s="2"/>
      <c r="C146" s="2"/>
      <c r="D146" s="2"/>
      <c r="E146" s="2"/>
      <c r="F146" s="2"/>
      <c r="G146" s="2"/>
      <c r="H146" s="2"/>
      <c r="I146" s="2"/>
      <c r="J146" s="2"/>
      <c r="K146" s="3"/>
      <c r="R146" s="67"/>
    </row>
    <row r="147" hidden="1">
      <c r="A147" s="25"/>
      <c r="B147" s="26" t="s">
        <v>3</v>
      </c>
      <c r="C147" s="27" t="s">
        <v>2</v>
      </c>
      <c r="D147" s="28" t="s">
        <v>5</v>
      </c>
      <c r="E147" s="29" t="s">
        <v>19</v>
      </c>
      <c r="F147" s="28" t="s">
        <v>6</v>
      </c>
      <c r="G147" s="28" t="s">
        <v>7</v>
      </c>
      <c r="H147" s="30" t="s">
        <v>8</v>
      </c>
      <c r="I147" s="31" t="s">
        <v>20</v>
      </c>
      <c r="J147" s="32" t="s">
        <v>21</v>
      </c>
      <c r="K147" s="32" t="s">
        <v>22</v>
      </c>
      <c r="R147" s="67"/>
    </row>
    <row r="148" hidden="1">
      <c r="A148" s="12" t="s">
        <v>10</v>
      </c>
      <c r="B148" s="227" t="s">
        <v>2082</v>
      </c>
      <c r="C148" s="74" t="str">
        <f t="shared" ref="C148:C159" si="17">PROPER(TEXT(DATE(MID($A$110,7,4),MID($A$110,4,2),LEFT($A$110,2)),"dddd"))</f>
        <v>Terça-Feira</v>
      </c>
      <c r="D148" s="512" t="str">
        <f>IF(C148&lt;&gt;"Quarta-Feira","13:00","08:00")</f>
        <v>13:00</v>
      </c>
      <c r="E148" s="287"/>
      <c r="F148" s="74"/>
      <c r="G148" s="167"/>
      <c r="H148" s="211"/>
      <c r="I148" s="41"/>
      <c r="J148" s="102"/>
      <c r="K148" s="102"/>
      <c r="N148" s="268" t="s">
        <v>387</v>
      </c>
      <c r="O148" s="100"/>
      <c r="P148" s="100"/>
      <c r="Q148" s="100"/>
      <c r="R148" s="67"/>
    </row>
    <row r="149" hidden="1">
      <c r="A149" s="12" t="s">
        <v>11</v>
      </c>
      <c r="B149" s="227" t="s">
        <v>2084</v>
      </c>
      <c r="C149" s="74" t="str">
        <f t="shared" si="17"/>
        <v>Terça-Feira</v>
      </c>
      <c r="D149" s="512" t="str">
        <f>IF(C149&lt;&gt;"Quarta-Feira","13:20","08:20")</f>
        <v>13:20</v>
      </c>
      <c r="E149" s="287"/>
      <c r="F149" s="74"/>
      <c r="G149" s="167"/>
      <c r="H149" s="211"/>
      <c r="I149" s="41"/>
      <c r="J149" s="102"/>
      <c r="K149" s="102"/>
      <c r="N149" s="270" t="s">
        <v>2086</v>
      </c>
      <c r="O149" s="2"/>
      <c r="P149" s="2"/>
      <c r="Q149" s="2"/>
      <c r="R149" s="67"/>
    </row>
    <row r="150" hidden="1">
      <c r="A150" s="12" t="s">
        <v>12</v>
      </c>
      <c r="B150" s="227" t="s">
        <v>2087</v>
      </c>
      <c r="C150" s="74" t="str">
        <f t="shared" si="17"/>
        <v>Terça-Feira</v>
      </c>
      <c r="D150" s="512" t="str">
        <f>IF(C150&lt;&gt;"Quarta-Feira","13:40","08:40")</f>
        <v>13:40</v>
      </c>
      <c r="E150" s="287"/>
      <c r="F150" s="74"/>
      <c r="G150" s="167"/>
      <c r="H150" s="211"/>
      <c r="I150" s="41"/>
      <c r="J150" s="102"/>
      <c r="K150" s="102"/>
      <c r="N150" s="271" t="s">
        <v>183</v>
      </c>
      <c r="O150" s="272" t="s">
        <v>195</v>
      </c>
      <c r="P150" s="272" t="s">
        <v>181</v>
      </c>
      <c r="Q150" s="273" t="s">
        <v>2088</v>
      </c>
      <c r="R150" s="67"/>
    </row>
    <row r="151" hidden="1">
      <c r="A151" s="12" t="s">
        <v>13</v>
      </c>
      <c r="B151" s="227" t="s">
        <v>2089</v>
      </c>
      <c r="C151" s="74" t="str">
        <f t="shared" si="17"/>
        <v>Terça-Feira</v>
      </c>
      <c r="D151" s="512" t="str">
        <f>IF(C151&lt;&gt;"Quarta-Feira","14:00","09:00")</f>
        <v>14:00</v>
      </c>
      <c r="E151" s="287"/>
      <c r="F151" s="74"/>
      <c r="G151" s="167"/>
      <c r="H151" s="211"/>
      <c r="I151" s="41"/>
      <c r="J151" s="102"/>
      <c r="K151" s="102"/>
      <c r="N151" s="275">
        <f t="shared" ref="N151:Q151" si="18">COUNTIFS($I$112:$I$123,N150)</f>
        <v>0</v>
      </c>
      <c r="O151" s="275">
        <f t="shared" si="18"/>
        <v>0</v>
      </c>
      <c r="P151" s="275">
        <f t="shared" si="18"/>
        <v>0</v>
      </c>
      <c r="Q151" s="275">
        <f t="shared" si="18"/>
        <v>0</v>
      </c>
      <c r="R151" s="67"/>
    </row>
    <row r="152" hidden="1">
      <c r="A152" s="12" t="s">
        <v>14</v>
      </c>
      <c r="B152" s="227" t="s">
        <v>2082</v>
      </c>
      <c r="C152" s="74" t="str">
        <f t="shared" si="17"/>
        <v>Terça-Feira</v>
      </c>
      <c r="D152" s="512" t="str">
        <f>IF(C152&lt;&gt;"Quarta-Feira","14:20","09:20")</f>
        <v>14:20</v>
      </c>
      <c r="E152" s="287"/>
      <c r="F152" s="74"/>
      <c r="G152" s="167"/>
      <c r="H152" s="211"/>
      <c r="I152" s="41"/>
      <c r="J152" s="102"/>
      <c r="K152" s="102"/>
      <c r="R152" s="67"/>
    </row>
    <row r="153" hidden="1">
      <c r="A153" s="12" t="s">
        <v>15</v>
      </c>
      <c r="B153" s="227" t="s">
        <v>2089</v>
      </c>
      <c r="C153" s="74" t="str">
        <f t="shared" si="17"/>
        <v>Terça-Feira</v>
      </c>
      <c r="D153" s="512" t="str">
        <f>IF(C153&lt;&gt;"Quarta-Feira","14:40","09:40")</f>
        <v>14:40</v>
      </c>
      <c r="E153" s="287"/>
      <c r="F153" s="74"/>
      <c r="G153" s="167"/>
      <c r="H153" s="211"/>
      <c r="I153" s="41"/>
      <c r="J153" s="102"/>
      <c r="K153" s="102"/>
      <c r="R153" s="67"/>
    </row>
    <row r="154" hidden="1">
      <c r="A154" s="12" t="s">
        <v>16</v>
      </c>
      <c r="B154" s="227" t="s">
        <v>2093</v>
      </c>
      <c r="C154" s="74" t="str">
        <f t="shared" si="17"/>
        <v>Terça-Feira</v>
      </c>
      <c r="D154" s="512" t="str">
        <f>IF(C154&lt;&gt;"Quarta-Feira","15:00","10:00")</f>
        <v>15:00</v>
      </c>
      <c r="E154" s="287"/>
      <c r="F154" s="74"/>
      <c r="G154" s="167"/>
      <c r="H154" s="211"/>
      <c r="I154" s="41"/>
      <c r="J154" s="102"/>
      <c r="K154" s="102"/>
      <c r="R154" s="67"/>
    </row>
    <row r="155" hidden="1">
      <c r="A155" s="12" t="s">
        <v>17</v>
      </c>
      <c r="B155" s="227" t="s">
        <v>2094</v>
      </c>
      <c r="C155" s="74" t="str">
        <f t="shared" si="17"/>
        <v>Terça-Feira</v>
      </c>
      <c r="D155" s="512" t="str">
        <f>IF(C155&lt;&gt;"Quarta-Feira","15:20","10:20")</f>
        <v>15:20</v>
      </c>
      <c r="E155" s="287"/>
      <c r="F155" s="74"/>
      <c r="G155" s="167"/>
      <c r="H155" s="211"/>
      <c r="I155" s="41"/>
      <c r="J155" s="102"/>
      <c r="K155" s="102"/>
      <c r="R155" s="67"/>
    </row>
    <row r="156" hidden="1">
      <c r="A156" s="12" t="s">
        <v>85</v>
      </c>
      <c r="B156" s="227" t="s">
        <v>2095</v>
      </c>
      <c r="C156" s="74" t="str">
        <f t="shared" si="17"/>
        <v>Terça-Feira</v>
      </c>
      <c r="D156" s="512" t="str">
        <f>IF(C156&lt;&gt;"Quarta-Feira","15:40","10:40")</f>
        <v>15:40</v>
      </c>
      <c r="E156" s="287"/>
      <c r="F156" s="74"/>
      <c r="G156" s="167"/>
      <c r="H156" s="211"/>
      <c r="I156" s="41"/>
      <c r="J156" s="102"/>
      <c r="K156" s="102"/>
      <c r="R156" s="67"/>
    </row>
    <row r="157" hidden="1">
      <c r="A157" s="12" t="s">
        <v>87</v>
      </c>
      <c r="B157" s="227" t="s">
        <v>2096</v>
      </c>
      <c r="C157" s="74" t="str">
        <f t="shared" si="17"/>
        <v>Terça-Feira</v>
      </c>
      <c r="D157" s="512" t="str">
        <f>IF(C157&lt;&gt;"Quarta-Feira","16:00","11:00")</f>
        <v>16:00</v>
      </c>
      <c r="E157" s="287"/>
      <c r="F157" s="74"/>
      <c r="G157" s="167"/>
      <c r="H157" s="211"/>
      <c r="I157" s="41"/>
      <c r="J157" s="102"/>
      <c r="K157" s="102"/>
      <c r="R157" s="67"/>
    </row>
    <row r="158" hidden="1">
      <c r="A158" s="12" t="s">
        <v>90</v>
      </c>
      <c r="B158" s="227" t="s">
        <v>2098</v>
      </c>
      <c r="C158" s="74" t="str">
        <f t="shared" si="17"/>
        <v>Terça-Feira</v>
      </c>
      <c r="D158" s="512" t="str">
        <f>IF(C158&lt;&gt;"Quarta-Feira","16:20","11:20")</f>
        <v>16:20</v>
      </c>
      <c r="E158" s="287"/>
      <c r="F158" s="74"/>
      <c r="G158" s="167"/>
      <c r="H158" s="211"/>
      <c r="I158" s="41"/>
      <c r="J158" s="102"/>
      <c r="K158" s="102"/>
      <c r="R158" s="67"/>
    </row>
    <row r="159" hidden="1">
      <c r="A159" s="12" t="s">
        <v>93</v>
      </c>
      <c r="B159" s="227" t="s">
        <v>2096</v>
      </c>
      <c r="C159" s="74" t="str">
        <f t="shared" si="17"/>
        <v>Terça-Feira</v>
      </c>
      <c r="D159" s="512" t="str">
        <f>IF(C159&lt;&gt;"Quarta-Feira","16:40","11:40")</f>
        <v>16:40</v>
      </c>
      <c r="E159" s="287"/>
      <c r="F159" s="74"/>
      <c r="G159" s="167"/>
      <c r="H159" s="211"/>
      <c r="I159" s="41"/>
      <c r="J159" s="102"/>
      <c r="K159" s="102"/>
      <c r="R159" s="67"/>
    </row>
    <row r="160">
      <c r="A160" s="503"/>
      <c r="B160" s="493"/>
      <c r="C160" s="315"/>
      <c r="D160" s="504"/>
      <c r="E160" s="505"/>
      <c r="F160" s="506"/>
      <c r="G160" s="507"/>
      <c r="H160" s="508"/>
      <c r="I160" s="509"/>
      <c r="J160" s="510"/>
      <c r="K160" s="510"/>
      <c r="R160" s="67"/>
    </row>
    <row r="161">
      <c r="A161" s="503"/>
      <c r="B161" s="493"/>
      <c r="C161" s="315"/>
      <c r="D161" s="504"/>
      <c r="E161" s="505"/>
      <c r="F161" s="506"/>
      <c r="G161" s="507"/>
      <c r="H161" s="508"/>
      <c r="I161" s="509"/>
      <c r="J161" s="510"/>
      <c r="K161" s="510"/>
      <c r="R161" s="67"/>
    </row>
    <row r="162">
      <c r="A162" s="503"/>
      <c r="B162" s="493"/>
      <c r="C162" s="315"/>
      <c r="D162" s="504"/>
      <c r="E162" s="505"/>
      <c r="F162" s="506"/>
      <c r="G162" s="507"/>
      <c r="H162" s="508"/>
      <c r="I162" s="509"/>
      <c r="J162" s="510"/>
      <c r="K162" s="510"/>
      <c r="R162" s="67"/>
    </row>
    <row r="163">
      <c r="A163" s="503"/>
      <c r="B163" s="493"/>
      <c r="C163" s="315"/>
      <c r="D163" s="504"/>
      <c r="E163" s="505"/>
      <c r="F163" s="506"/>
      <c r="G163" s="507"/>
      <c r="H163" s="508"/>
      <c r="I163" s="509"/>
      <c r="J163" s="510"/>
      <c r="K163" s="510"/>
      <c r="R163" s="67"/>
    </row>
    <row r="164">
      <c r="A164" s="503"/>
      <c r="B164" s="493"/>
      <c r="C164" s="315"/>
      <c r="D164" s="504"/>
      <c r="E164" s="505"/>
      <c r="F164" s="506"/>
      <c r="G164" s="507"/>
      <c r="H164" s="508"/>
      <c r="I164" s="509"/>
      <c r="J164" s="510"/>
      <c r="K164" s="510"/>
      <c r="N164" s="268" t="s">
        <v>2080</v>
      </c>
      <c r="O164" s="100"/>
      <c r="P164" s="100"/>
      <c r="Q164" s="100"/>
      <c r="R164" s="67"/>
    </row>
    <row r="165">
      <c r="A165" s="503"/>
      <c r="B165" s="493"/>
      <c r="C165" s="315"/>
      <c r="D165" s="504"/>
      <c r="E165" s="505"/>
      <c r="F165" s="506"/>
      <c r="G165" s="507"/>
      <c r="H165" s="508"/>
      <c r="I165" s="509"/>
      <c r="J165" s="510"/>
      <c r="K165" s="510"/>
      <c r="N165" s="271" t="s">
        <v>183</v>
      </c>
      <c r="O165" s="272" t="s">
        <v>195</v>
      </c>
      <c r="P165" s="272" t="s">
        <v>181</v>
      </c>
      <c r="Q165" s="273" t="s">
        <v>173</v>
      </c>
      <c r="R165" s="67"/>
    </row>
    <row r="166">
      <c r="A166" s="503"/>
      <c r="B166" s="493"/>
      <c r="C166" s="315"/>
      <c r="D166" s="504"/>
      <c r="E166" s="505"/>
      <c r="F166" s="506"/>
      <c r="G166" s="507"/>
      <c r="H166" s="508"/>
      <c r="I166" s="509"/>
      <c r="J166" s="510"/>
      <c r="K166" s="510"/>
      <c r="N166" s="458">
        <f t="shared" ref="N166:Q166" si="19">SUM(N4:N162)</f>
        <v>0</v>
      </c>
      <c r="O166" s="458">
        <f t="shared" si="19"/>
        <v>0</v>
      </c>
      <c r="P166" s="458">
        <f t="shared" si="19"/>
        <v>0</v>
      </c>
      <c r="Q166" s="458">
        <f t="shared" si="19"/>
        <v>0</v>
      </c>
      <c r="R166" s="67"/>
    </row>
    <row r="167">
      <c r="A167" s="503"/>
      <c r="B167" s="493"/>
      <c r="C167" s="315"/>
      <c r="D167" s="504"/>
      <c r="E167" s="505"/>
      <c r="F167" s="506"/>
      <c r="G167" s="507"/>
      <c r="H167" s="508"/>
      <c r="I167" s="509"/>
      <c r="J167" s="510"/>
      <c r="K167" s="510"/>
      <c r="R167" s="67"/>
    </row>
    <row r="168">
      <c r="A168" s="503"/>
      <c r="B168" s="493"/>
      <c r="C168" s="315"/>
      <c r="D168" s="504"/>
      <c r="E168" s="505"/>
      <c r="F168" s="506"/>
      <c r="G168" s="507"/>
      <c r="H168" s="508"/>
      <c r="I168" s="509"/>
      <c r="J168" s="510"/>
      <c r="K168" s="510"/>
      <c r="R168" s="67"/>
    </row>
    <row r="169">
      <c r="A169" s="503"/>
      <c r="B169" s="493"/>
      <c r="C169" s="315"/>
      <c r="D169" s="504"/>
      <c r="E169" s="505"/>
      <c r="F169" s="506"/>
      <c r="G169" s="507"/>
      <c r="H169" s="508"/>
      <c r="I169" s="509"/>
      <c r="J169" s="510"/>
      <c r="K169" s="510"/>
      <c r="R169" s="67"/>
    </row>
    <row r="170">
      <c r="A170" s="503"/>
      <c r="B170" s="493"/>
      <c r="C170" s="315"/>
      <c r="D170" s="504"/>
      <c r="E170" s="505"/>
      <c r="F170" s="506"/>
      <c r="G170" s="507"/>
      <c r="H170" s="508"/>
      <c r="I170" s="509"/>
      <c r="J170" s="510"/>
      <c r="K170" s="510"/>
      <c r="R170" s="67"/>
    </row>
    <row r="171">
      <c r="A171" s="503"/>
      <c r="B171" s="493"/>
      <c r="C171" s="315"/>
      <c r="D171" s="504"/>
      <c r="E171" s="505"/>
      <c r="F171" s="506"/>
      <c r="G171" s="507"/>
      <c r="H171" s="508"/>
      <c r="I171" s="509"/>
      <c r="J171" s="510"/>
      <c r="K171" s="510"/>
      <c r="R171" s="67"/>
    </row>
    <row r="172">
      <c r="A172" s="503"/>
      <c r="B172" s="493"/>
      <c r="C172" s="315"/>
      <c r="D172" s="504"/>
      <c r="E172" s="505"/>
      <c r="F172" s="506"/>
      <c r="G172" s="507"/>
      <c r="H172" s="508"/>
      <c r="I172" s="509"/>
      <c r="J172" s="510"/>
      <c r="K172" s="510"/>
      <c r="R172" s="67"/>
    </row>
    <row r="173">
      <c r="A173" s="503"/>
      <c r="B173" s="493"/>
      <c r="C173" s="315"/>
      <c r="D173" s="504"/>
      <c r="E173" s="505"/>
      <c r="F173" s="506"/>
      <c r="G173" s="507"/>
      <c r="H173" s="508"/>
      <c r="I173" s="509"/>
      <c r="J173" s="510"/>
      <c r="K173" s="510"/>
      <c r="R173" s="67"/>
    </row>
    <row r="174">
      <c r="A174" s="503"/>
      <c r="B174" s="493"/>
      <c r="C174" s="315"/>
      <c r="D174" s="504"/>
      <c r="E174" s="505"/>
      <c r="F174" s="506"/>
      <c r="G174" s="507"/>
      <c r="H174" s="508"/>
      <c r="I174" s="509"/>
      <c r="J174" s="510"/>
      <c r="K174" s="510"/>
      <c r="R174" s="67"/>
    </row>
    <row r="175">
      <c r="A175" s="503"/>
      <c r="B175" s="493"/>
      <c r="C175" s="315"/>
      <c r="D175" s="504"/>
      <c r="E175" s="505"/>
      <c r="F175" s="506"/>
      <c r="G175" s="507"/>
      <c r="H175" s="508"/>
      <c r="I175" s="509"/>
      <c r="J175" s="510"/>
      <c r="K175" s="510"/>
      <c r="R175" s="67"/>
    </row>
    <row r="176">
      <c r="A176" s="503"/>
      <c r="B176" s="493"/>
      <c r="C176" s="315"/>
      <c r="D176" s="504"/>
      <c r="E176" s="505"/>
      <c r="F176" s="506"/>
      <c r="G176" s="507"/>
      <c r="H176" s="508"/>
      <c r="I176" s="509"/>
      <c r="J176" s="510"/>
      <c r="K176" s="510"/>
      <c r="R176" s="67"/>
    </row>
    <row r="177">
      <c r="A177" s="503"/>
      <c r="B177" s="493"/>
      <c r="C177" s="315"/>
      <c r="D177" s="504"/>
      <c r="E177" s="505"/>
      <c r="F177" s="506"/>
      <c r="G177" s="507"/>
      <c r="H177" s="508"/>
      <c r="I177" s="509"/>
      <c r="J177" s="510"/>
      <c r="K177" s="510"/>
      <c r="R177" s="67"/>
    </row>
    <row r="178">
      <c r="A178" s="503"/>
      <c r="B178" s="493"/>
      <c r="C178" s="315"/>
      <c r="D178" s="504"/>
      <c r="E178" s="505"/>
      <c r="F178" s="506"/>
      <c r="G178" s="507"/>
      <c r="H178" s="508"/>
      <c r="I178" s="509"/>
      <c r="J178" s="510"/>
      <c r="K178" s="510"/>
      <c r="R178" s="67"/>
    </row>
    <row r="179">
      <c r="A179" s="503"/>
      <c r="B179" s="493"/>
      <c r="C179" s="315"/>
      <c r="D179" s="504"/>
      <c r="E179" s="505"/>
      <c r="F179" s="506"/>
      <c r="G179" s="507"/>
      <c r="H179" s="508"/>
      <c r="I179" s="509"/>
      <c r="J179" s="510"/>
      <c r="K179" s="510"/>
      <c r="R179" s="67"/>
    </row>
    <row r="180">
      <c r="A180" s="503"/>
      <c r="B180" s="493"/>
      <c r="C180" s="315"/>
      <c r="D180" s="504"/>
      <c r="E180" s="505"/>
      <c r="F180" s="506"/>
      <c r="G180" s="507"/>
      <c r="H180" s="508"/>
      <c r="I180" s="509"/>
      <c r="J180" s="510"/>
      <c r="K180" s="510"/>
      <c r="R180" s="67"/>
    </row>
    <row r="181">
      <c r="A181" s="503"/>
      <c r="B181" s="493"/>
      <c r="C181" s="315"/>
      <c r="D181" s="504"/>
      <c r="E181" s="505"/>
      <c r="F181" s="506"/>
      <c r="G181" s="507"/>
      <c r="H181" s="508"/>
      <c r="I181" s="509"/>
      <c r="J181" s="510"/>
      <c r="K181" s="510"/>
      <c r="R181" s="67"/>
    </row>
    <row r="182">
      <c r="A182" s="503"/>
      <c r="B182" s="493"/>
      <c r="C182" s="315"/>
      <c r="D182" s="504"/>
      <c r="E182" s="505"/>
      <c r="F182" s="506"/>
      <c r="G182" s="507"/>
      <c r="H182" s="508"/>
      <c r="I182" s="509"/>
      <c r="J182" s="510"/>
      <c r="K182" s="510"/>
      <c r="R182" s="67"/>
    </row>
    <row r="183">
      <c r="A183" s="503"/>
      <c r="B183" s="493"/>
      <c r="C183" s="315"/>
      <c r="D183" s="504"/>
      <c r="E183" s="505"/>
      <c r="F183" s="506"/>
      <c r="G183" s="507"/>
      <c r="H183" s="508"/>
      <c r="I183" s="509"/>
      <c r="J183" s="510"/>
      <c r="K183" s="510"/>
      <c r="R183" s="67"/>
    </row>
    <row r="184">
      <c r="A184" s="503"/>
      <c r="B184" s="493"/>
      <c r="C184" s="315"/>
      <c r="D184" s="504"/>
      <c r="E184" s="505"/>
      <c r="F184" s="506"/>
      <c r="G184" s="507"/>
      <c r="H184" s="508"/>
      <c r="I184" s="509"/>
      <c r="J184" s="510"/>
      <c r="K184" s="510"/>
      <c r="R184" s="67"/>
    </row>
    <row r="185">
      <c r="A185" s="503"/>
      <c r="B185" s="493"/>
      <c r="C185" s="315"/>
      <c r="D185" s="504"/>
      <c r="E185" s="505"/>
      <c r="F185" s="506"/>
      <c r="G185" s="507"/>
      <c r="H185" s="508"/>
      <c r="I185" s="509"/>
      <c r="J185" s="510"/>
      <c r="K185" s="510"/>
      <c r="R185" s="67"/>
    </row>
    <row r="186">
      <c r="A186" s="503"/>
      <c r="B186" s="493"/>
      <c r="C186" s="315"/>
      <c r="D186" s="504"/>
      <c r="E186" s="505"/>
      <c r="F186" s="506"/>
      <c r="G186" s="507"/>
      <c r="H186" s="508"/>
      <c r="I186" s="509"/>
      <c r="J186" s="510"/>
      <c r="K186" s="510"/>
      <c r="R186" s="67"/>
    </row>
    <row r="187">
      <c r="A187" s="503"/>
      <c r="B187" s="493"/>
      <c r="C187" s="315"/>
      <c r="D187" s="504"/>
      <c r="E187" s="505"/>
      <c r="F187" s="506"/>
      <c r="G187" s="507"/>
      <c r="H187" s="508"/>
      <c r="I187" s="509"/>
      <c r="J187" s="510"/>
      <c r="K187" s="510"/>
      <c r="R187" s="67"/>
    </row>
    <row r="188">
      <c r="A188" s="503"/>
      <c r="B188" s="493"/>
      <c r="C188" s="315"/>
      <c r="D188" s="504"/>
      <c r="E188" s="505"/>
      <c r="F188" s="506"/>
      <c r="G188" s="507"/>
      <c r="H188" s="508"/>
      <c r="I188" s="509"/>
      <c r="J188" s="510"/>
      <c r="K188" s="510"/>
      <c r="R188" s="67"/>
    </row>
    <row r="189">
      <c r="A189" s="503"/>
      <c r="B189" s="493"/>
      <c r="C189" s="315"/>
      <c r="D189" s="504"/>
      <c r="E189" s="505"/>
      <c r="F189" s="506"/>
      <c r="G189" s="507"/>
      <c r="H189" s="508"/>
      <c r="I189" s="509"/>
      <c r="J189" s="510"/>
      <c r="K189" s="510"/>
      <c r="R189" s="67"/>
    </row>
    <row r="190">
      <c r="A190" s="503"/>
      <c r="B190" s="493"/>
      <c r="C190" s="315"/>
      <c r="D190" s="504"/>
      <c r="E190" s="505"/>
      <c r="F190" s="506"/>
      <c r="G190" s="507"/>
      <c r="H190" s="508"/>
      <c r="I190" s="509"/>
      <c r="J190" s="510"/>
      <c r="K190" s="510"/>
      <c r="R190" s="67"/>
    </row>
    <row r="191">
      <c r="A191" s="503"/>
      <c r="B191" s="493"/>
      <c r="C191" s="315"/>
      <c r="D191" s="504"/>
      <c r="E191" s="505"/>
      <c r="F191" s="506"/>
      <c r="G191" s="507"/>
      <c r="H191" s="508"/>
      <c r="I191" s="509"/>
      <c r="J191" s="510"/>
      <c r="K191" s="510"/>
      <c r="R191" s="67"/>
    </row>
    <row r="192">
      <c r="A192" s="503"/>
      <c r="B192" s="493"/>
      <c r="C192" s="315"/>
      <c r="D192" s="504"/>
      <c r="E192" s="505"/>
      <c r="F192" s="506"/>
      <c r="G192" s="507"/>
      <c r="H192" s="508"/>
      <c r="I192" s="509"/>
      <c r="J192" s="510"/>
      <c r="K192" s="510"/>
      <c r="R192" s="67"/>
    </row>
    <row r="193">
      <c r="A193" s="503"/>
      <c r="B193" s="493"/>
      <c r="C193" s="315"/>
      <c r="D193" s="504"/>
      <c r="E193" s="505"/>
      <c r="F193" s="506"/>
      <c r="G193" s="507"/>
      <c r="H193" s="508"/>
      <c r="I193" s="509"/>
      <c r="J193" s="510"/>
      <c r="K193" s="510"/>
      <c r="R193" s="67"/>
    </row>
    <row r="194">
      <c r="A194" s="503"/>
      <c r="B194" s="493"/>
      <c r="C194" s="315"/>
      <c r="D194" s="504"/>
      <c r="E194" s="505"/>
      <c r="F194" s="506"/>
      <c r="G194" s="507"/>
      <c r="H194" s="508"/>
      <c r="I194" s="509"/>
      <c r="J194" s="510"/>
      <c r="K194" s="510"/>
      <c r="R194" s="67"/>
    </row>
    <row r="195">
      <c r="A195" s="503"/>
      <c r="B195" s="493"/>
      <c r="C195" s="315"/>
      <c r="D195" s="504"/>
      <c r="E195" s="505"/>
      <c r="F195" s="506"/>
      <c r="G195" s="507"/>
      <c r="H195" s="508"/>
      <c r="I195" s="509"/>
      <c r="J195" s="510"/>
      <c r="K195" s="510"/>
      <c r="R195" s="67"/>
    </row>
    <row r="196">
      <c r="A196" s="503"/>
      <c r="B196" s="493"/>
      <c r="C196" s="315"/>
      <c r="D196" s="504"/>
      <c r="E196" s="505"/>
      <c r="F196" s="506"/>
      <c r="G196" s="507"/>
      <c r="H196" s="508"/>
      <c r="I196" s="509"/>
      <c r="J196" s="510"/>
      <c r="K196" s="510"/>
      <c r="R196" s="67"/>
    </row>
    <row r="197">
      <c r="A197" s="503"/>
      <c r="B197" s="493"/>
      <c r="C197" s="315"/>
      <c r="D197" s="504"/>
      <c r="E197" s="505"/>
      <c r="F197" s="506"/>
      <c r="G197" s="507"/>
      <c r="H197" s="508"/>
      <c r="I197" s="509"/>
      <c r="J197" s="510"/>
      <c r="K197" s="510"/>
      <c r="R197" s="67"/>
    </row>
    <row r="198">
      <c r="A198" s="503"/>
      <c r="B198" s="493"/>
      <c r="C198" s="315"/>
      <c r="D198" s="504"/>
      <c r="E198" s="505"/>
      <c r="F198" s="506"/>
      <c r="G198" s="507"/>
      <c r="H198" s="508"/>
      <c r="I198" s="509"/>
      <c r="J198" s="510"/>
      <c r="K198" s="510"/>
      <c r="R198" s="67"/>
    </row>
    <row r="199">
      <c r="A199" s="503"/>
      <c r="B199" s="493"/>
      <c r="C199" s="315"/>
      <c r="D199" s="504"/>
      <c r="E199" s="505"/>
      <c r="F199" s="506"/>
      <c r="G199" s="507"/>
      <c r="H199" s="508"/>
      <c r="I199" s="509"/>
      <c r="J199" s="510"/>
      <c r="K199" s="510"/>
      <c r="R199" s="67"/>
    </row>
    <row r="200">
      <c r="A200" s="503"/>
      <c r="B200" s="493"/>
      <c r="C200" s="315"/>
      <c r="D200" s="504"/>
      <c r="E200" s="505"/>
      <c r="F200" s="506"/>
      <c r="G200" s="507"/>
      <c r="H200" s="508"/>
      <c r="I200" s="509"/>
      <c r="J200" s="510"/>
      <c r="K200" s="510"/>
      <c r="R200" s="67"/>
    </row>
    <row r="201">
      <c r="A201" s="503"/>
      <c r="B201" s="493"/>
      <c r="C201" s="315"/>
      <c r="D201" s="504"/>
      <c r="E201" s="505"/>
      <c r="F201" s="506"/>
      <c r="G201" s="507"/>
      <c r="H201" s="508"/>
      <c r="I201" s="509"/>
      <c r="J201" s="510"/>
      <c r="K201" s="510"/>
      <c r="R201" s="67"/>
    </row>
    <row r="202">
      <c r="A202" s="503"/>
      <c r="B202" s="493"/>
      <c r="C202" s="315"/>
      <c r="D202" s="504"/>
      <c r="E202" s="505"/>
      <c r="F202" s="506"/>
      <c r="G202" s="507"/>
      <c r="H202" s="508"/>
      <c r="I202" s="509"/>
      <c r="J202" s="510"/>
      <c r="K202" s="510"/>
      <c r="R202" s="67"/>
    </row>
    <row r="203">
      <c r="A203" s="503"/>
      <c r="B203" s="493"/>
      <c r="C203" s="315"/>
      <c r="D203" s="504"/>
      <c r="E203" s="505"/>
      <c r="F203" s="506"/>
      <c r="G203" s="507"/>
      <c r="H203" s="508"/>
      <c r="I203" s="509"/>
      <c r="J203" s="510"/>
      <c r="K203" s="510"/>
      <c r="R203" s="67"/>
    </row>
    <row r="204">
      <c r="A204" s="503"/>
      <c r="B204" s="493"/>
      <c r="C204" s="315"/>
      <c r="D204" s="504"/>
      <c r="E204" s="505"/>
      <c r="F204" s="506"/>
      <c r="G204" s="507"/>
      <c r="H204" s="508"/>
      <c r="I204" s="509"/>
      <c r="J204" s="510"/>
      <c r="K204" s="510"/>
      <c r="R204" s="67"/>
    </row>
    <row r="205">
      <c r="A205" s="503"/>
      <c r="B205" s="493"/>
      <c r="C205" s="315"/>
      <c r="D205" s="504"/>
      <c r="E205" s="505"/>
      <c r="F205" s="506"/>
      <c r="G205" s="507"/>
      <c r="H205" s="508"/>
      <c r="I205" s="509"/>
      <c r="J205" s="510"/>
      <c r="K205" s="510"/>
      <c r="R205" s="67"/>
    </row>
    <row r="206">
      <c r="A206" s="503"/>
      <c r="B206" s="493"/>
      <c r="C206" s="315"/>
      <c r="D206" s="504"/>
      <c r="E206" s="505"/>
      <c r="F206" s="506"/>
      <c r="G206" s="507"/>
      <c r="H206" s="508"/>
      <c r="I206" s="509"/>
      <c r="J206" s="510"/>
      <c r="K206" s="510"/>
      <c r="R206" s="67"/>
    </row>
    <row r="207">
      <c r="A207" s="503"/>
      <c r="B207" s="493"/>
      <c r="C207" s="315"/>
      <c r="D207" s="504"/>
      <c r="E207" s="505"/>
      <c r="F207" s="506"/>
      <c r="G207" s="507"/>
      <c r="H207" s="508"/>
      <c r="I207" s="509"/>
      <c r="J207" s="510"/>
      <c r="K207" s="510"/>
      <c r="R207" s="67"/>
    </row>
    <row r="208">
      <c r="A208" s="503"/>
      <c r="B208" s="493"/>
      <c r="C208" s="315"/>
      <c r="D208" s="504"/>
      <c r="E208" s="505"/>
      <c r="F208" s="506"/>
      <c r="G208" s="507"/>
      <c r="H208" s="508"/>
      <c r="I208" s="509"/>
      <c r="J208" s="510"/>
      <c r="K208" s="510"/>
      <c r="R208" s="67"/>
    </row>
    <row r="209">
      <c r="A209" s="503"/>
      <c r="B209" s="493"/>
      <c r="C209" s="315"/>
      <c r="D209" s="504"/>
      <c r="E209" s="505"/>
      <c r="F209" s="506"/>
      <c r="G209" s="507"/>
      <c r="H209" s="508"/>
      <c r="I209" s="509"/>
      <c r="J209" s="510"/>
      <c r="K209" s="510"/>
      <c r="R209" s="67"/>
    </row>
    <row r="210">
      <c r="A210" s="503"/>
      <c r="B210" s="493"/>
      <c r="C210" s="315"/>
      <c r="D210" s="504"/>
      <c r="E210" s="505"/>
      <c r="F210" s="506"/>
      <c r="G210" s="507"/>
      <c r="H210" s="508"/>
      <c r="I210" s="509"/>
      <c r="J210" s="510"/>
      <c r="K210" s="510"/>
      <c r="R210" s="67"/>
    </row>
    <row r="211">
      <c r="A211" s="503"/>
      <c r="B211" s="493"/>
      <c r="C211" s="315"/>
      <c r="D211" s="504"/>
      <c r="E211" s="505"/>
      <c r="F211" s="506"/>
      <c r="G211" s="507"/>
      <c r="H211" s="508"/>
      <c r="I211" s="509"/>
      <c r="J211" s="510"/>
      <c r="K211" s="510"/>
      <c r="R211" s="67"/>
    </row>
    <row r="212">
      <c r="A212" s="503"/>
      <c r="B212" s="493"/>
      <c r="C212" s="315"/>
      <c r="D212" s="504"/>
      <c r="E212" s="505"/>
      <c r="F212" s="506"/>
      <c r="G212" s="507"/>
      <c r="H212" s="508"/>
      <c r="I212" s="509"/>
      <c r="J212" s="510"/>
      <c r="K212" s="510"/>
      <c r="R212" s="67"/>
    </row>
    <row r="213">
      <c r="A213" s="503"/>
      <c r="B213" s="493"/>
      <c r="C213" s="315"/>
      <c r="D213" s="504"/>
      <c r="E213" s="505"/>
      <c r="F213" s="506"/>
      <c r="G213" s="507"/>
      <c r="H213" s="508"/>
      <c r="I213" s="509"/>
      <c r="J213" s="510"/>
      <c r="K213" s="510"/>
      <c r="R213" s="67"/>
    </row>
    <row r="214">
      <c r="A214" s="503"/>
      <c r="B214" s="493"/>
      <c r="C214" s="315"/>
      <c r="D214" s="504"/>
      <c r="E214" s="505"/>
      <c r="F214" s="506"/>
      <c r="G214" s="507"/>
      <c r="H214" s="508"/>
      <c r="I214" s="509"/>
      <c r="J214" s="510"/>
      <c r="K214" s="510"/>
      <c r="R214" s="67"/>
    </row>
    <row r="215">
      <c r="A215" s="503"/>
      <c r="B215" s="493"/>
      <c r="C215" s="315"/>
      <c r="D215" s="504"/>
      <c r="E215" s="505"/>
      <c r="F215" s="506"/>
      <c r="G215" s="507"/>
      <c r="H215" s="508"/>
      <c r="I215" s="509"/>
      <c r="J215" s="510"/>
      <c r="K215" s="510"/>
      <c r="R215" s="67"/>
    </row>
    <row r="216">
      <c r="A216" s="503"/>
      <c r="B216" s="493"/>
      <c r="C216" s="315"/>
      <c r="D216" s="504"/>
      <c r="E216" s="505"/>
      <c r="F216" s="506"/>
      <c r="G216" s="507"/>
      <c r="H216" s="508"/>
      <c r="I216" s="509"/>
      <c r="J216" s="510"/>
      <c r="K216" s="510"/>
      <c r="R216" s="67"/>
    </row>
    <row r="217">
      <c r="A217" s="503"/>
      <c r="B217" s="493"/>
      <c r="C217" s="315"/>
      <c r="D217" s="504"/>
      <c r="E217" s="505"/>
      <c r="F217" s="506"/>
      <c r="G217" s="507"/>
      <c r="H217" s="508"/>
      <c r="I217" s="509"/>
      <c r="J217" s="510"/>
      <c r="K217" s="510"/>
      <c r="R217" s="67"/>
    </row>
    <row r="218">
      <c r="A218" s="503"/>
      <c r="B218" s="493"/>
      <c r="C218" s="315"/>
      <c r="D218" s="504"/>
      <c r="E218" s="505"/>
      <c r="F218" s="506"/>
      <c r="G218" s="507"/>
      <c r="H218" s="508"/>
      <c r="I218" s="509"/>
      <c r="J218" s="510"/>
      <c r="K218" s="510"/>
      <c r="R218" s="67"/>
    </row>
    <row r="219">
      <c r="A219" s="503"/>
      <c r="B219" s="493"/>
      <c r="C219" s="315"/>
      <c r="D219" s="504"/>
      <c r="E219" s="505"/>
      <c r="F219" s="506"/>
      <c r="G219" s="507"/>
      <c r="H219" s="508"/>
      <c r="I219" s="509"/>
      <c r="J219" s="510"/>
      <c r="K219" s="510"/>
      <c r="R219" s="67"/>
    </row>
    <row r="220">
      <c r="A220" s="503"/>
      <c r="B220" s="493"/>
      <c r="C220" s="315"/>
      <c r="D220" s="504"/>
      <c r="E220" s="505"/>
      <c r="F220" s="506"/>
      <c r="G220" s="507"/>
      <c r="H220" s="508"/>
      <c r="I220" s="509"/>
      <c r="J220" s="510"/>
      <c r="K220" s="510"/>
      <c r="R220" s="67"/>
    </row>
    <row r="221">
      <c r="A221" s="503"/>
      <c r="B221" s="493"/>
      <c r="C221" s="315"/>
      <c r="D221" s="504"/>
      <c r="E221" s="505"/>
      <c r="F221" s="506"/>
      <c r="G221" s="507"/>
      <c r="H221" s="508"/>
      <c r="I221" s="509"/>
      <c r="J221" s="510"/>
      <c r="K221" s="510"/>
      <c r="R221" s="67"/>
    </row>
    <row r="222">
      <c r="A222" s="503"/>
      <c r="B222" s="493"/>
      <c r="C222" s="315"/>
      <c r="D222" s="504"/>
      <c r="E222" s="505"/>
      <c r="F222" s="506"/>
      <c r="G222" s="507"/>
      <c r="H222" s="508"/>
      <c r="I222" s="509"/>
      <c r="J222" s="510"/>
      <c r="K222" s="510"/>
      <c r="R222" s="67"/>
    </row>
    <row r="223">
      <c r="A223" s="503"/>
      <c r="B223" s="493"/>
      <c r="C223" s="315"/>
      <c r="D223" s="504"/>
      <c r="E223" s="505"/>
      <c r="F223" s="506"/>
      <c r="G223" s="507"/>
      <c r="H223" s="508"/>
      <c r="I223" s="509"/>
      <c r="J223" s="510"/>
      <c r="K223" s="510"/>
      <c r="R223" s="67"/>
    </row>
    <row r="224">
      <c r="A224" s="503"/>
      <c r="B224" s="493"/>
      <c r="C224" s="315"/>
      <c r="D224" s="504"/>
      <c r="E224" s="505"/>
      <c r="F224" s="506"/>
      <c r="G224" s="507"/>
      <c r="H224" s="508"/>
      <c r="I224" s="509"/>
      <c r="J224" s="510"/>
      <c r="K224" s="510"/>
      <c r="R224" s="67"/>
    </row>
    <row r="225">
      <c r="A225" s="503"/>
      <c r="B225" s="493"/>
      <c r="C225" s="315"/>
      <c r="D225" s="504"/>
      <c r="E225" s="505"/>
      <c r="F225" s="506"/>
      <c r="G225" s="507"/>
      <c r="H225" s="508"/>
      <c r="I225" s="509"/>
      <c r="J225" s="510"/>
      <c r="K225" s="510"/>
      <c r="R225" s="67"/>
    </row>
    <row r="226">
      <c r="A226" s="503"/>
      <c r="B226" s="493"/>
      <c r="C226" s="315"/>
      <c r="D226" s="504"/>
      <c r="E226" s="505"/>
      <c r="F226" s="506"/>
      <c r="G226" s="507"/>
      <c r="H226" s="508"/>
      <c r="I226" s="509"/>
      <c r="J226" s="510"/>
      <c r="K226" s="510"/>
      <c r="R226" s="67"/>
    </row>
    <row r="227">
      <c r="A227" s="503"/>
      <c r="B227" s="493"/>
      <c r="C227" s="315"/>
      <c r="D227" s="504"/>
      <c r="E227" s="505"/>
      <c r="F227" s="506"/>
      <c r="G227" s="507"/>
      <c r="H227" s="508"/>
      <c r="I227" s="509"/>
      <c r="J227" s="510"/>
      <c r="K227" s="510"/>
      <c r="R227" s="67"/>
    </row>
    <row r="228">
      <c r="A228" s="503"/>
      <c r="B228" s="493"/>
      <c r="C228" s="315"/>
      <c r="D228" s="504"/>
      <c r="E228" s="505"/>
      <c r="F228" s="506"/>
      <c r="G228" s="507"/>
      <c r="H228" s="508"/>
      <c r="I228" s="509"/>
      <c r="J228" s="510"/>
      <c r="K228" s="510"/>
      <c r="R228" s="67"/>
    </row>
    <row r="229">
      <c r="A229" s="503"/>
      <c r="B229" s="493"/>
      <c r="C229" s="315"/>
      <c r="D229" s="504"/>
      <c r="E229" s="505"/>
      <c r="F229" s="506"/>
      <c r="G229" s="507"/>
      <c r="H229" s="508"/>
      <c r="I229" s="509"/>
      <c r="J229" s="510"/>
      <c r="K229" s="510"/>
      <c r="R229" s="67"/>
    </row>
    <row r="230">
      <c r="A230" s="503"/>
      <c r="B230" s="493"/>
      <c r="C230" s="315"/>
      <c r="D230" s="504"/>
      <c r="E230" s="505"/>
      <c r="F230" s="506"/>
      <c r="G230" s="507"/>
      <c r="H230" s="508"/>
      <c r="I230" s="509"/>
      <c r="J230" s="510"/>
      <c r="K230" s="510"/>
      <c r="R230" s="67"/>
    </row>
    <row r="231">
      <c r="A231" s="503"/>
      <c r="B231" s="493"/>
      <c r="C231" s="315"/>
      <c r="D231" s="504"/>
      <c r="E231" s="505"/>
      <c r="F231" s="506"/>
      <c r="G231" s="507"/>
      <c r="H231" s="508"/>
      <c r="I231" s="509"/>
      <c r="J231" s="510"/>
      <c r="K231" s="510"/>
      <c r="R231" s="67"/>
    </row>
    <row r="232">
      <c r="A232" s="503"/>
      <c r="B232" s="493"/>
      <c r="C232" s="315"/>
      <c r="D232" s="504"/>
      <c r="E232" s="505"/>
      <c r="F232" s="506"/>
      <c r="G232" s="507"/>
      <c r="H232" s="508"/>
      <c r="I232" s="509"/>
      <c r="J232" s="510"/>
      <c r="K232" s="510"/>
      <c r="R232" s="67"/>
    </row>
    <row r="233">
      <c r="A233" s="503"/>
      <c r="B233" s="493"/>
      <c r="C233" s="315"/>
      <c r="D233" s="504"/>
      <c r="E233" s="505"/>
      <c r="F233" s="506"/>
      <c r="G233" s="507"/>
      <c r="H233" s="508"/>
      <c r="I233" s="509"/>
      <c r="J233" s="510"/>
      <c r="K233" s="510"/>
      <c r="R233" s="67"/>
    </row>
    <row r="234">
      <c r="A234" s="503"/>
      <c r="B234" s="493"/>
      <c r="C234" s="315"/>
      <c r="D234" s="504"/>
      <c r="E234" s="505"/>
      <c r="F234" s="506"/>
      <c r="G234" s="507"/>
      <c r="H234" s="508"/>
      <c r="I234" s="509"/>
      <c r="J234" s="510"/>
      <c r="K234" s="510"/>
      <c r="R234" s="67"/>
    </row>
    <row r="235">
      <c r="A235" s="503"/>
      <c r="B235" s="493"/>
      <c r="C235" s="315"/>
      <c r="D235" s="504"/>
      <c r="E235" s="505"/>
      <c r="F235" s="506"/>
      <c r="G235" s="507"/>
      <c r="H235" s="508"/>
      <c r="I235" s="509"/>
      <c r="J235" s="510"/>
      <c r="K235" s="510"/>
      <c r="R235" s="67"/>
    </row>
    <row r="236">
      <c r="A236" s="503"/>
      <c r="B236" s="493"/>
      <c r="C236" s="315"/>
      <c r="D236" s="504"/>
      <c r="E236" s="505"/>
      <c r="F236" s="506"/>
      <c r="G236" s="507"/>
      <c r="H236" s="508"/>
      <c r="I236" s="509"/>
      <c r="J236" s="510"/>
      <c r="K236" s="510"/>
      <c r="R236" s="67"/>
    </row>
    <row r="237">
      <c r="A237" s="503"/>
      <c r="B237" s="493"/>
      <c r="C237" s="315"/>
      <c r="D237" s="504"/>
      <c r="E237" s="505"/>
      <c r="F237" s="506"/>
      <c r="G237" s="507"/>
      <c r="H237" s="508"/>
      <c r="I237" s="509"/>
      <c r="J237" s="510"/>
      <c r="K237" s="510"/>
      <c r="R237" s="67"/>
    </row>
    <row r="238">
      <c r="A238" s="503"/>
      <c r="B238" s="493"/>
      <c r="C238" s="315"/>
      <c r="D238" s="504"/>
      <c r="E238" s="505"/>
      <c r="F238" s="506"/>
      <c r="G238" s="507"/>
      <c r="H238" s="508"/>
      <c r="I238" s="509"/>
      <c r="J238" s="510"/>
      <c r="K238" s="510"/>
      <c r="R238" s="67"/>
    </row>
    <row r="239">
      <c r="A239" s="503"/>
      <c r="B239" s="493"/>
      <c r="C239" s="315"/>
      <c r="D239" s="504"/>
      <c r="E239" s="505"/>
      <c r="F239" s="506"/>
      <c r="G239" s="507"/>
      <c r="H239" s="508"/>
      <c r="I239" s="509"/>
      <c r="J239" s="510"/>
      <c r="K239" s="510"/>
      <c r="R239" s="67"/>
    </row>
    <row r="240">
      <c r="A240" s="503"/>
      <c r="B240" s="493"/>
      <c r="C240" s="315"/>
      <c r="D240" s="504"/>
      <c r="E240" s="505"/>
      <c r="F240" s="506"/>
      <c r="G240" s="507"/>
      <c r="H240" s="508"/>
      <c r="I240" s="509"/>
      <c r="J240" s="510"/>
      <c r="K240" s="510"/>
      <c r="R240" s="67"/>
    </row>
    <row r="241">
      <c r="A241" s="503"/>
      <c r="B241" s="493"/>
      <c r="C241" s="315"/>
      <c r="D241" s="504"/>
      <c r="E241" s="505"/>
      <c r="F241" s="506"/>
      <c r="G241" s="507"/>
      <c r="H241" s="508"/>
      <c r="I241" s="509"/>
      <c r="J241" s="510"/>
      <c r="K241" s="510"/>
      <c r="R241" s="67"/>
    </row>
    <row r="242">
      <c r="A242" s="503"/>
      <c r="B242" s="493"/>
      <c r="C242" s="315"/>
      <c r="D242" s="504"/>
      <c r="E242" s="505"/>
      <c r="F242" s="506"/>
      <c r="G242" s="507"/>
      <c r="H242" s="508"/>
      <c r="I242" s="509"/>
      <c r="J242" s="510"/>
      <c r="K242" s="510"/>
      <c r="R242" s="67"/>
    </row>
    <row r="243">
      <c r="A243" s="503"/>
      <c r="B243" s="493"/>
      <c r="C243" s="315"/>
      <c r="D243" s="504"/>
      <c r="E243" s="505"/>
      <c r="F243" s="506"/>
      <c r="G243" s="507"/>
      <c r="H243" s="508"/>
      <c r="I243" s="509"/>
      <c r="J243" s="510"/>
      <c r="K243" s="510"/>
      <c r="R243" s="67"/>
    </row>
    <row r="244">
      <c r="A244" s="503"/>
      <c r="B244" s="493"/>
      <c r="C244" s="315"/>
      <c r="D244" s="504"/>
      <c r="E244" s="505"/>
      <c r="F244" s="506"/>
      <c r="G244" s="507"/>
      <c r="H244" s="508"/>
      <c r="I244" s="509"/>
      <c r="J244" s="510"/>
      <c r="K244" s="510"/>
      <c r="R244" s="67"/>
    </row>
    <row r="245">
      <c r="A245" s="503"/>
      <c r="B245" s="493"/>
      <c r="C245" s="315"/>
      <c r="D245" s="504"/>
      <c r="E245" s="505"/>
      <c r="F245" s="506"/>
      <c r="G245" s="507"/>
      <c r="H245" s="508"/>
      <c r="I245" s="509"/>
      <c r="J245" s="510"/>
      <c r="K245" s="510"/>
      <c r="R245" s="67"/>
    </row>
    <row r="246">
      <c r="A246" s="503"/>
      <c r="B246" s="493"/>
      <c r="C246" s="315"/>
      <c r="D246" s="504"/>
      <c r="E246" s="505"/>
      <c r="F246" s="506"/>
      <c r="G246" s="507"/>
      <c r="H246" s="508"/>
      <c r="I246" s="509"/>
      <c r="J246" s="510"/>
      <c r="K246" s="510"/>
      <c r="R246" s="67"/>
    </row>
    <row r="247">
      <c r="A247" s="503"/>
      <c r="B247" s="493"/>
      <c r="C247" s="315"/>
      <c r="D247" s="504"/>
      <c r="E247" s="505"/>
      <c r="F247" s="506"/>
      <c r="G247" s="507"/>
      <c r="H247" s="508"/>
      <c r="I247" s="509"/>
      <c r="J247" s="510"/>
      <c r="K247" s="510"/>
      <c r="R247" s="67"/>
    </row>
    <row r="248">
      <c r="A248" s="503"/>
      <c r="B248" s="493"/>
      <c r="C248" s="315"/>
      <c r="D248" s="504"/>
      <c r="E248" s="505"/>
      <c r="F248" s="506"/>
      <c r="G248" s="507"/>
      <c r="H248" s="508"/>
      <c r="I248" s="509"/>
      <c r="J248" s="510"/>
      <c r="K248" s="510"/>
      <c r="R248" s="67"/>
    </row>
    <row r="249">
      <c r="A249" s="503"/>
      <c r="B249" s="493"/>
      <c r="C249" s="315"/>
      <c r="D249" s="504"/>
      <c r="E249" s="505"/>
      <c r="F249" s="506"/>
      <c r="G249" s="507"/>
      <c r="H249" s="508"/>
      <c r="I249" s="509"/>
      <c r="J249" s="510"/>
      <c r="K249" s="510"/>
      <c r="R249" s="67"/>
    </row>
    <row r="250">
      <c r="A250" s="503"/>
      <c r="B250" s="493"/>
      <c r="C250" s="315"/>
      <c r="D250" s="504"/>
      <c r="E250" s="505"/>
      <c r="F250" s="506"/>
      <c r="G250" s="507"/>
      <c r="H250" s="508"/>
      <c r="I250" s="509"/>
      <c r="J250" s="510"/>
      <c r="K250" s="510"/>
      <c r="R250" s="67"/>
    </row>
    <row r="251">
      <c r="A251" s="503"/>
      <c r="B251" s="493"/>
      <c r="C251" s="315"/>
      <c r="D251" s="504"/>
      <c r="E251" s="505"/>
      <c r="F251" s="506"/>
      <c r="G251" s="507"/>
      <c r="H251" s="508"/>
      <c r="I251" s="509"/>
      <c r="J251" s="510"/>
      <c r="K251" s="510"/>
      <c r="R251" s="67"/>
    </row>
    <row r="252">
      <c r="A252" s="503"/>
      <c r="B252" s="493"/>
      <c r="C252" s="315"/>
      <c r="D252" s="504"/>
      <c r="E252" s="505"/>
      <c r="F252" s="506"/>
      <c r="G252" s="507"/>
      <c r="H252" s="508"/>
      <c r="I252" s="509"/>
      <c r="J252" s="510"/>
      <c r="K252" s="510"/>
      <c r="R252" s="67"/>
    </row>
    <row r="253">
      <c r="A253" s="503"/>
      <c r="B253" s="493"/>
      <c r="C253" s="315"/>
      <c r="D253" s="504"/>
      <c r="E253" s="505"/>
      <c r="F253" s="506"/>
      <c r="G253" s="507"/>
      <c r="H253" s="508"/>
      <c r="I253" s="509"/>
      <c r="J253" s="510"/>
      <c r="K253" s="510"/>
      <c r="R253" s="67"/>
    </row>
    <row r="254">
      <c r="A254" s="503"/>
      <c r="B254" s="493"/>
      <c r="C254" s="315"/>
      <c r="D254" s="504"/>
      <c r="E254" s="505"/>
      <c r="F254" s="506"/>
      <c r="G254" s="507"/>
      <c r="H254" s="508"/>
      <c r="I254" s="509"/>
      <c r="J254" s="510"/>
      <c r="K254" s="510"/>
      <c r="R254" s="67"/>
    </row>
    <row r="255">
      <c r="A255" s="503"/>
      <c r="B255" s="493"/>
      <c r="C255" s="315"/>
      <c r="D255" s="504"/>
      <c r="E255" s="505"/>
      <c r="F255" s="506"/>
      <c r="G255" s="507"/>
      <c r="H255" s="508"/>
      <c r="I255" s="509"/>
      <c r="J255" s="510"/>
      <c r="K255" s="510"/>
      <c r="R255" s="67"/>
    </row>
    <row r="256">
      <c r="A256" s="503"/>
      <c r="B256" s="493"/>
      <c r="C256" s="315"/>
      <c r="D256" s="504"/>
      <c r="E256" s="505"/>
      <c r="F256" s="506"/>
      <c r="G256" s="507"/>
      <c r="H256" s="508"/>
      <c r="I256" s="509"/>
      <c r="J256" s="510"/>
      <c r="K256" s="510"/>
      <c r="R256" s="67"/>
    </row>
    <row r="257">
      <c r="A257" s="503"/>
      <c r="B257" s="493"/>
      <c r="C257" s="315"/>
      <c r="D257" s="504"/>
      <c r="E257" s="505"/>
      <c r="F257" s="506"/>
      <c r="G257" s="507"/>
      <c r="H257" s="508"/>
      <c r="I257" s="509"/>
      <c r="J257" s="510"/>
      <c r="K257" s="510"/>
      <c r="R257" s="67"/>
    </row>
    <row r="258">
      <c r="A258" s="503"/>
      <c r="B258" s="493"/>
      <c r="C258" s="315"/>
      <c r="D258" s="504"/>
      <c r="E258" s="505"/>
      <c r="F258" s="506"/>
      <c r="G258" s="507"/>
      <c r="H258" s="508"/>
      <c r="I258" s="509"/>
      <c r="J258" s="510"/>
      <c r="K258" s="510"/>
      <c r="R258" s="67"/>
    </row>
    <row r="259">
      <c r="A259" s="503"/>
      <c r="B259" s="493"/>
      <c r="C259" s="315"/>
      <c r="D259" s="504"/>
      <c r="E259" s="505"/>
      <c r="F259" s="506"/>
      <c r="G259" s="507"/>
      <c r="H259" s="508"/>
      <c r="I259" s="509"/>
      <c r="J259" s="510"/>
      <c r="K259" s="510"/>
      <c r="R259" s="67"/>
    </row>
    <row r="260">
      <c r="A260" s="503"/>
      <c r="B260" s="493"/>
      <c r="C260" s="315"/>
      <c r="D260" s="504"/>
      <c r="E260" s="505"/>
      <c r="F260" s="506"/>
      <c r="G260" s="507"/>
      <c r="H260" s="508"/>
      <c r="I260" s="509"/>
      <c r="J260" s="510"/>
      <c r="K260" s="510"/>
      <c r="R260" s="67"/>
    </row>
    <row r="261">
      <c r="A261" s="503"/>
      <c r="B261" s="493"/>
      <c r="C261" s="315"/>
      <c r="D261" s="504"/>
      <c r="E261" s="505"/>
      <c r="F261" s="506"/>
      <c r="G261" s="507"/>
      <c r="H261" s="508"/>
      <c r="I261" s="509"/>
      <c r="J261" s="510"/>
      <c r="K261" s="510"/>
      <c r="R261" s="67"/>
    </row>
    <row r="262">
      <c r="A262" s="503"/>
      <c r="B262" s="493"/>
      <c r="C262" s="315"/>
      <c r="D262" s="504"/>
      <c r="E262" s="505"/>
      <c r="F262" s="506"/>
      <c r="G262" s="507"/>
      <c r="H262" s="508"/>
      <c r="I262" s="509"/>
      <c r="J262" s="510"/>
      <c r="K262" s="510"/>
      <c r="R262" s="67"/>
    </row>
    <row r="263">
      <c r="A263" s="503"/>
      <c r="B263" s="493"/>
      <c r="C263" s="315"/>
      <c r="D263" s="504"/>
      <c r="E263" s="505"/>
      <c r="F263" s="506"/>
      <c r="G263" s="507"/>
      <c r="H263" s="508"/>
      <c r="I263" s="509"/>
      <c r="J263" s="510"/>
      <c r="K263" s="510"/>
      <c r="R263" s="67"/>
    </row>
    <row r="264">
      <c r="A264" s="503"/>
      <c r="B264" s="493"/>
      <c r="C264" s="315"/>
      <c r="D264" s="504"/>
      <c r="E264" s="505"/>
      <c r="F264" s="506"/>
      <c r="G264" s="507"/>
      <c r="H264" s="508"/>
      <c r="I264" s="509"/>
      <c r="J264" s="510"/>
      <c r="K264" s="510"/>
      <c r="R264" s="67"/>
    </row>
    <row r="265">
      <c r="A265" s="503"/>
      <c r="B265" s="493"/>
      <c r="C265" s="315"/>
      <c r="D265" s="504"/>
      <c r="E265" s="505"/>
      <c r="F265" s="506"/>
      <c r="G265" s="507"/>
      <c r="H265" s="508"/>
      <c r="I265" s="509"/>
      <c r="J265" s="510"/>
      <c r="K265" s="510"/>
      <c r="R265" s="67"/>
    </row>
    <row r="266">
      <c r="A266" s="503"/>
      <c r="B266" s="493"/>
      <c r="C266" s="315"/>
      <c r="D266" s="504"/>
      <c r="E266" s="505"/>
      <c r="F266" s="506"/>
      <c r="G266" s="507"/>
      <c r="H266" s="508"/>
      <c r="I266" s="509"/>
      <c r="J266" s="510"/>
      <c r="K266" s="510"/>
      <c r="R266" s="67"/>
    </row>
    <row r="267">
      <c r="A267" s="503"/>
      <c r="B267" s="493"/>
      <c r="C267" s="315"/>
      <c r="D267" s="504"/>
      <c r="E267" s="505"/>
      <c r="F267" s="506"/>
      <c r="G267" s="507"/>
      <c r="H267" s="508"/>
      <c r="I267" s="509"/>
      <c r="J267" s="510"/>
      <c r="K267" s="510"/>
      <c r="R267" s="67"/>
    </row>
    <row r="268">
      <c r="A268" s="503"/>
      <c r="B268" s="493"/>
      <c r="C268" s="315"/>
      <c r="D268" s="504"/>
      <c r="E268" s="505"/>
      <c r="F268" s="506"/>
      <c r="G268" s="507"/>
      <c r="H268" s="508"/>
      <c r="I268" s="509"/>
      <c r="J268" s="510"/>
      <c r="K268" s="510"/>
      <c r="R268" s="67"/>
    </row>
    <row r="269">
      <c r="A269" s="503"/>
      <c r="B269" s="493"/>
      <c r="C269" s="315"/>
      <c r="D269" s="504"/>
      <c r="E269" s="505"/>
      <c r="F269" s="506"/>
      <c r="G269" s="507"/>
      <c r="H269" s="508"/>
      <c r="I269" s="509"/>
      <c r="J269" s="510"/>
      <c r="K269" s="510"/>
      <c r="R269" s="67"/>
    </row>
    <row r="270">
      <c r="A270" s="503"/>
      <c r="B270" s="493"/>
      <c r="C270" s="315"/>
      <c r="D270" s="504"/>
      <c r="E270" s="505"/>
      <c r="F270" s="506"/>
      <c r="G270" s="507"/>
      <c r="H270" s="508"/>
      <c r="I270" s="509"/>
      <c r="J270" s="510"/>
      <c r="K270" s="510"/>
      <c r="R270" s="67"/>
    </row>
    <row r="271">
      <c r="A271" s="503"/>
      <c r="B271" s="493"/>
      <c r="C271" s="315"/>
      <c r="D271" s="504"/>
      <c r="E271" s="505"/>
      <c r="F271" s="506"/>
      <c r="G271" s="507"/>
      <c r="H271" s="508"/>
      <c r="I271" s="509"/>
      <c r="J271" s="510"/>
      <c r="K271" s="510"/>
      <c r="R271" s="67"/>
    </row>
    <row r="272">
      <c r="A272" s="503"/>
      <c r="B272" s="493"/>
      <c r="C272" s="315"/>
      <c r="D272" s="504"/>
      <c r="E272" s="505"/>
      <c r="F272" s="506"/>
      <c r="G272" s="507"/>
      <c r="H272" s="508"/>
      <c r="I272" s="509"/>
      <c r="J272" s="510"/>
      <c r="K272" s="510"/>
      <c r="R272" s="67"/>
    </row>
    <row r="273">
      <c r="A273" s="503"/>
      <c r="B273" s="493"/>
      <c r="C273" s="315"/>
      <c r="D273" s="504"/>
      <c r="E273" s="505"/>
      <c r="F273" s="506"/>
      <c r="G273" s="507"/>
      <c r="H273" s="508"/>
      <c r="I273" s="509"/>
      <c r="J273" s="510"/>
      <c r="K273" s="510"/>
      <c r="R273" s="67"/>
    </row>
    <row r="274">
      <c r="A274" s="503"/>
      <c r="B274" s="493"/>
      <c r="C274" s="315"/>
      <c r="D274" s="504"/>
      <c r="E274" s="505"/>
      <c r="F274" s="506"/>
      <c r="G274" s="507"/>
      <c r="H274" s="508"/>
      <c r="I274" s="509"/>
      <c r="J274" s="510"/>
      <c r="K274" s="510"/>
      <c r="R274" s="67"/>
    </row>
    <row r="275">
      <c r="A275" s="503"/>
      <c r="B275" s="493"/>
      <c r="C275" s="315"/>
      <c r="D275" s="504"/>
      <c r="E275" s="505"/>
      <c r="F275" s="506"/>
      <c r="G275" s="507"/>
      <c r="H275" s="508"/>
      <c r="I275" s="509"/>
      <c r="J275" s="510"/>
      <c r="K275" s="510"/>
      <c r="R275" s="67"/>
    </row>
    <row r="276">
      <c r="A276" s="503"/>
      <c r="B276" s="493"/>
      <c r="C276" s="315"/>
      <c r="D276" s="504"/>
      <c r="E276" s="505"/>
      <c r="F276" s="506"/>
      <c r="G276" s="507"/>
      <c r="H276" s="508"/>
      <c r="I276" s="509"/>
      <c r="J276" s="510"/>
      <c r="K276" s="510"/>
      <c r="R276" s="67"/>
    </row>
    <row r="277">
      <c r="A277" s="503"/>
      <c r="B277" s="493"/>
      <c r="C277" s="315"/>
      <c r="D277" s="504"/>
      <c r="E277" s="505"/>
      <c r="F277" s="506"/>
      <c r="G277" s="507"/>
      <c r="H277" s="508"/>
      <c r="I277" s="509"/>
      <c r="J277" s="510"/>
      <c r="K277" s="510"/>
      <c r="R277" s="67"/>
    </row>
    <row r="278">
      <c r="A278" s="503"/>
      <c r="B278" s="493"/>
      <c r="C278" s="315"/>
      <c r="D278" s="504"/>
      <c r="E278" s="505"/>
      <c r="F278" s="506"/>
      <c r="G278" s="507"/>
      <c r="H278" s="508"/>
      <c r="I278" s="509"/>
      <c r="J278" s="510"/>
      <c r="K278" s="510"/>
      <c r="R278" s="67"/>
    </row>
    <row r="279">
      <c r="A279" s="503"/>
      <c r="B279" s="493"/>
      <c r="C279" s="315"/>
      <c r="D279" s="504"/>
      <c r="E279" s="505"/>
      <c r="F279" s="506"/>
      <c r="G279" s="507"/>
      <c r="H279" s="508"/>
      <c r="I279" s="509"/>
      <c r="J279" s="510"/>
      <c r="K279" s="510"/>
      <c r="R279" s="67"/>
    </row>
    <row r="280">
      <c r="A280" s="503"/>
      <c r="B280" s="493"/>
      <c r="C280" s="315"/>
      <c r="D280" s="504"/>
      <c r="E280" s="505"/>
      <c r="F280" s="506"/>
      <c r="G280" s="507"/>
      <c r="H280" s="508"/>
      <c r="I280" s="509"/>
      <c r="J280" s="510"/>
      <c r="K280" s="510"/>
      <c r="R280" s="67"/>
    </row>
    <row r="281">
      <c r="A281" s="503"/>
      <c r="B281" s="493"/>
      <c r="C281" s="315"/>
      <c r="D281" s="504"/>
      <c r="E281" s="505"/>
      <c r="F281" s="506"/>
      <c r="G281" s="507"/>
      <c r="H281" s="508"/>
      <c r="I281" s="509"/>
      <c r="J281" s="510"/>
      <c r="K281" s="510"/>
      <c r="R281" s="67"/>
    </row>
    <row r="282">
      <c r="A282" s="503"/>
      <c r="B282" s="493"/>
      <c r="C282" s="315"/>
      <c r="D282" s="504"/>
      <c r="E282" s="505"/>
      <c r="F282" s="506"/>
      <c r="G282" s="507"/>
      <c r="H282" s="508"/>
      <c r="I282" s="509"/>
      <c r="J282" s="510"/>
      <c r="K282" s="510"/>
      <c r="R282" s="67"/>
    </row>
    <row r="283">
      <c r="A283" s="503"/>
      <c r="B283" s="493"/>
      <c r="C283" s="315"/>
      <c r="D283" s="504"/>
      <c r="E283" s="505"/>
      <c r="F283" s="506"/>
      <c r="G283" s="507"/>
      <c r="H283" s="508"/>
      <c r="I283" s="509"/>
      <c r="J283" s="510"/>
      <c r="K283" s="510"/>
      <c r="R283" s="67"/>
    </row>
    <row r="284">
      <c r="A284" s="503"/>
      <c r="B284" s="493"/>
      <c r="C284" s="315"/>
      <c r="D284" s="504"/>
      <c r="E284" s="505"/>
      <c r="F284" s="506"/>
      <c r="G284" s="507"/>
      <c r="H284" s="508"/>
      <c r="I284" s="509"/>
      <c r="J284" s="510"/>
      <c r="K284" s="510"/>
      <c r="R284" s="67"/>
    </row>
    <row r="285">
      <c r="A285" s="503"/>
      <c r="B285" s="493"/>
      <c r="C285" s="315"/>
      <c r="D285" s="504"/>
      <c r="E285" s="505"/>
      <c r="F285" s="506"/>
      <c r="G285" s="507"/>
      <c r="H285" s="508"/>
      <c r="I285" s="509"/>
      <c r="J285" s="510"/>
      <c r="K285" s="510"/>
      <c r="R285" s="67"/>
    </row>
    <row r="286">
      <c r="A286" s="503"/>
      <c r="B286" s="493"/>
      <c r="C286" s="315"/>
      <c r="D286" s="504"/>
      <c r="E286" s="505"/>
      <c r="F286" s="506"/>
      <c r="G286" s="507"/>
      <c r="H286" s="508"/>
      <c r="I286" s="509"/>
      <c r="J286" s="510"/>
      <c r="K286" s="510"/>
      <c r="R286" s="67"/>
    </row>
    <row r="287">
      <c r="A287" s="503"/>
      <c r="B287" s="493"/>
      <c r="C287" s="315"/>
      <c r="D287" s="504"/>
      <c r="E287" s="505"/>
      <c r="F287" s="506"/>
      <c r="G287" s="507"/>
      <c r="H287" s="508"/>
      <c r="I287" s="509"/>
      <c r="J287" s="510"/>
      <c r="K287" s="510"/>
      <c r="R287" s="67"/>
    </row>
    <row r="288">
      <c r="A288" s="503"/>
      <c r="B288" s="493"/>
      <c r="C288" s="315"/>
      <c r="D288" s="504"/>
      <c r="E288" s="505"/>
      <c r="F288" s="506"/>
      <c r="G288" s="507"/>
      <c r="H288" s="508"/>
      <c r="I288" s="509"/>
      <c r="J288" s="510"/>
      <c r="K288" s="510"/>
      <c r="R288" s="67"/>
    </row>
    <row r="289">
      <c r="A289" s="503"/>
      <c r="B289" s="493"/>
      <c r="C289" s="315"/>
      <c r="D289" s="504"/>
      <c r="E289" s="505"/>
      <c r="F289" s="506"/>
      <c r="G289" s="507"/>
      <c r="H289" s="508"/>
      <c r="I289" s="509"/>
      <c r="J289" s="510"/>
      <c r="K289" s="510"/>
      <c r="R289" s="67"/>
    </row>
    <row r="290">
      <c r="A290" s="503"/>
      <c r="B290" s="493"/>
      <c r="C290" s="315"/>
      <c r="D290" s="504"/>
      <c r="E290" s="505"/>
      <c r="F290" s="506"/>
      <c r="G290" s="507"/>
      <c r="H290" s="508"/>
      <c r="I290" s="509"/>
      <c r="J290" s="510"/>
      <c r="K290" s="510"/>
      <c r="R290" s="67"/>
    </row>
    <row r="291">
      <c r="A291" s="503"/>
      <c r="B291" s="493"/>
      <c r="C291" s="315"/>
      <c r="D291" s="504"/>
      <c r="E291" s="505"/>
      <c r="F291" s="506"/>
      <c r="G291" s="507"/>
      <c r="H291" s="508"/>
      <c r="I291" s="509"/>
      <c r="J291" s="510"/>
      <c r="K291" s="510"/>
      <c r="R291" s="67"/>
    </row>
    <row r="292">
      <c r="A292" s="503"/>
      <c r="B292" s="493"/>
      <c r="C292" s="315"/>
      <c r="D292" s="504"/>
      <c r="E292" s="505"/>
      <c r="F292" s="506"/>
      <c r="G292" s="507"/>
      <c r="H292" s="508"/>
      <c r="I292" s="509"/>
      <c r="J292" s="510"/>
      <c r="K292" s="510"/>
      <c r="R292" s="67"/>
    </row>
    <row r="293">
      <c r="A293" s="503"/>
      <c r="B293" s="493"/>
      <c r="C293" s="315"/>
      <c r="D293" s="504"/>
      <c r="E293" s="505"/>
      <c r="F293" s="506"/>
      <c r="G293" s="507"/>
      <c r="H293" s="508"/>
      <c r="I293" s="509"/>
      <c r="J293" s="510"/>
      <c r="K293" s="510"/>
      <c r="R293" s="67"/>
    </row>
    <row r="294">
      <c r="A294" s="503"/>
      <c r="B294" s="493"/>
      <c r="C294" s="315"/>
      <c r="D294" s="504"/>
      <c r="E294" s="505"/>
      <c r="F294" s="506"/>
      <c r="G294" s="507"/>
      <c r="H294" s="508"/>
      <c r="I294" s="509"/>
      <c r="J294" s="510"/>
      <c r="K294" s="510"/>
      <c r="R294" s="67"/>
    </row>
    <row r="295">
      <c r="A295" s="503"/>
      <c r="B295" s="493"/>
      <c r="C295" s="315"/>
      <c r="D295" s="504"/>
      <c r="E295" s="505"/>
      <c r="F295" s="506"/>
      <c r="G295" s="507"/>
      <c r="H295" s="508"/>
      <c r="I295" s="509"/>
      <c r="J295" s="510"/>
      <c r="K295" s="510"/>
      <c r="R295" s="67"/>
    </row>
    <row r="296">
      <c r="A296" s="503"/>
      <c r="B296" s="493"/>
      <c r="C296" s="315"/>
      <c r="D296" s="504"/>
      <c r="E296" s="505"/>
      <c r="F296" s="506"/>
      <c r="G296" s="507"/>
      <c r="H296" s="508"/>
      <c r="I296" s="509"/>
      <c r="J296" s="510"/>
      <c r="K296" s="510"/>
      <c r="R296" s="67"/>
    </row>
    <row r="297">
      <c r="A297" s="503"/>
      <c r="B297" s="493"/>
      <c r="C297" s="315"/>
      <c r="D297" s="504"/>
      <c r="E297" s="505"/>
      <c r="F297" s="506"/>
      <c r="G297" s="507"/>
      <c r="H297" s="508"/>
      <c r="I297" s="509"/>
      <c r="J297" s="510"/>
      <c r="K297" s="510"/>
      <c r="R297" s="67"/>
    </row>
    <row r="298">
      <c r="A298" s="503"/>
      <c r="B298" s="493"/>
      <c r="C298" s="315"/>
      <c r="D298" s="504"/>
      <c r="E298" s="505"/>
      <c r="F298" s="506"/>
      <c r="G298" s="507"/>
      <c r="H298" s="508"/>
      <c r="I298" s="509"/>
      <c r="J298" s="510"/>
      <c r="K298" s="510"/>
      <c r="R298" s="67"/>
    </row>
    <row r="299">
      <c r="A299" s="503"/>
      <c r="B299" s="493"/>
      <c r="C299" s="315"/>
      <c r="D299" s="504"/>
      <c r="E299" s="505"/>
      <c r="F299" s="506"/>
      <c r="G299" s="507"/>
      <c r="H299" s="508"/>
      <c r="I299" s="509"/>
      <c r="J299" s="510"/>
      <c r="K299" s="510"/>
      <c r="R299" s="67"/>
    </row>
    <row r="300">
      <c r="A300" s="503"/>
      <c r="B300" s="493"/>
      <c r="C300" s="315"/>
      <c r="D300" s="504"/>
      <c r="E300" s="505"/>
      <c r="F300" s="506"/>
      <c r="G300" s="507"/>
      <c r="H300" s="508"/>
      <c r="I300" s="509"/>
      <c r="J300" s="510"/>
      <c r="K300" s="510"/>
      <c r="R300" s="67"/>
    </row>
    <row r="301">
      <c r="A301" s="503"/>
      <c r="B301" s="493"/>
      <c r="C301" s="315"/>
      <c r="D301" s="504"/>
      <c r="E301" s="505"/>
      <c r="F301" s="506"/>
      <c r="G301" s="507"/>
      <c r="H301" s="508"/>
      <c r="I301" s="509"/>
      <c r="J301" s="510"/>
      <c r="K301" s="510"/>
      <c r="R301" s="67"/>
    </row>
    <row r="302">
      <c r="A302" s="503"/>
      <c r="B302" s="493"/>
      <c r="C302" s="315"/>
      <c r="D302" s="504"/>
      <c r="E302" s="505"/>
      <c r="F302" s="506"/>
      <c r="G302" s="507"/>
      <c r="H302" s="508"/>
      <c r="I302" s="509"/>
      <c r="J302" s="510"/>
      <c r="K302" s="510"/>
      <c r="R302" s="67"/>
    </row>
    <row r="303">
      <c r="A303" s="503"/>
      <c r="B303" s="493"/>
      <c r="C303" s="315"/>
      <c r="D303" s="504"/>
      <c r="E303" s="505"/>
      <c r="F303" s="506"/>
      <c r="G303" s="507"/>
      <c r="H303" s="508"/>
      <c r="I303" s="509"/>
      <c r="J303" s="510"/>
      <c r="K303" s="510"/>
      <c r="R303" s="67"/>
    </row>
    <row r="304">
      <c r="A304" s="503"/>
      <c r="B304" s="493"/>
      <c r="C304" s="315"/>
      <c r="D304" s="504"/>
      <c r="E304" s="505"/>
      <c r="F304" s="506"/>
      <c r="G304" s="507"/>
      <c r="H304" s="508"/>
      <c r="I304" s="509"/>
      <c r="J304" s="510"/>
      <c r="K304" s="510"/>
      <c r="R304" s="67"/>
    </row>
    <row r="305">
      <c r="A305" s="503"/>
      <c r="B305" s="493"/>
      <c r="C305" s="315"/>
      <c r="D305" s="504"/>
      <c r="E305" s="505"/>
      <c r="F305" s="506"/>
      <c r="G305" s="507"/>
      <c r="H305" s="508"/>
      <c r="I305" s="509"/>
      <c r="J305" s="510"/>
      <c r="K305" s="510"/>
      <c r="R305" s="67"/>
    </row>
    <row r="306">
      <c r="A306" s="503"/>
      <c r="B306" s="493"/>
      <c r="C306" s="315"/>
      <c r="D306" s="504"/>
      <c r="E306" s="505"/>
      <c r="F306" s="506"/>
      <c r="G306" s="507"/>
      <c r="H306" s="508"/>
      <c r="I306" s="509"/>
      <c r="J306" s="510"/>
      <c r="K306" s="510"/>
      <c r="R306" s="67"/>
    </row>
    <row r="307">
      <c r="A307" s="503"/>
      <c r="B307" s="493"/>
      <c r="C307" s="315"/>
      <c r="D307" s="504"/>
      <c r="E307" s="505"/>
      <c r="F307" s="506"/>
      <c r="G307" s="507"/>
      <c r="H307" s="508"/>
      <c r="I307" s="509"/>
      <c r="J307" s="510"/>
      <c r="K307" s="510"/>
      <c r="R307" s="67"/>
    </row>
    <row r="308">
      <c r="A308" s="503"/>
      <c r="B308" s="493"/>
      <c r="C308" s="315"/>
      <c r="D308" s="504"/>
      <c r="E308" s="505"/>
      <c r="F308" s="506"/>
      <c r="G308" s="507"/>
      <c r="H308" s="508"/>
      <c r="I308" s="509"/>
      <c r="J308" s="510"/>
      <c r="K308" s="510"/>
      <c r="R308" s="67"/>
    </row>
    <row r="309">
      <c r="A309" s="503"/>
      <c r="B309" s="493"/>
      <c r="C309" s="315"/>
      <c r="D309" s="504"/>
      <c r="E309" s="505"/>
      <c r="F309" s="506"/>
      <c r="G309" s="507"/>
      <c r="H309" s="508"/>
      <c r="I309" s="509"/>
      <c r="J309" s="510"/>
      <c r="K309" s="510"/>
      <c r="R309" s="67"/>
    </row>
    <row r="310">
      <c r="A310" s="503"/>
      <c r="B310" s="493"/>
      <c r="C310" s="315"/>
      <c r="D310" s="504"/>
      <c r="E310" s="505"/>
      <c r="F310" s="506"/>
      <c r="G310" s="507"/>
      <c r="H310" s="508"/>
      <c r="I310" s="509"/>
      <c r="J310" s="510"/>
      <c r="K310" s="510"/>
      <c r="R310" s="67"/>
    </row>
    <row r="311">
      <c r="A311" s="503"/>
      <c r="B311" s="493"/>
      <c r="C311" s="315"/>
      <c r="D311" s="504"/>
      <c r="E311" s="505"/>
      <c r="F311" s="506"/>
      <c r="G311" s="507"/>
      <c r="H311" s="508"/>
      <c r="I311" s="509"/>
      <c r="J311" s="510"/>
      <c r="K311" s="510"/>
      <c r="R311" s="67"/>
    </row>
    <row r="312">
      <c r="A312" s="503"/>
      <c r="B312" s="493"/>
      <c r="C312" s="315"/>
      <c r="D312" s="504"/>
      <c r="E312" s="505"/>
      <c r="F312" s="506"/>
      <c r="G312" s="507"/>
      <c r="H312" s="508"/>
      <c r="I312" s="509"/>
      <c r="J312" s="510"/>
      <c r="K312" s="510"/>
      <c r="R312" s="67"/>
    </row>
    <row r="313">
      <c r="A313" s="503"/>
      <c r="B313" s="493"/>
      <c r="C313" s="315"/>
      <c r="D313" s="504"/>
      <c r="E313" s="505"/>
      <c r="F313" s="506"/>
      <c r="G313" s="507"/>
      <c r="H313" s="508"/>
      <c r="I313" s="509"/>
      <c r="J313" s="510"/>
      <c r="K313" s="510"/>
      <c r="R313" s="67"/>
    </row>
    <row r="314">
      <c r="A314" s="503"/>
      <c r="B314" s="493"/>
      <c r="C314" s="315"/>
      <c r="D314" s="504"/>
      <c r="E314" s="505"/>
      <c r="F314" s="506"/>
      <c r="G314" s="507"/>
      <c r="H314" s="508"/>
      <c r="I314" s="509"/>
      <c r="J314" s="510"/>
      <c r="K314" s="510"/>
      <c r="R314" s="67"/>
    </row>
    <row r="315">
      <c r="A315" s="503"/>
      <c r="B315" s="493"/>
      <c r="C315" s="315"/>
      <c r="D315" s="504"/>
      <c r="E315" s="505"/>
      <c r="F315" s="506"/>
      <c r="G315" s="507"/>
      <c r="H315" s="508"/>
      <c r="I315" s="509"/>
      <c r="J315" s="510"/>
      <c r="K315" s="510"/>
      <c r="R315" s="67"/>
    </row>
    <row r="316">
      <c r="A316" s="503"/>
      <c r="B316" s="493"/>
      <c r="C316" s="315"/>
      <c r="D316" s="504"/>
      <c r="E316" s="505"/>
      <c r="F316" s="506"/>
      <c r="G316" s="507"/>
      <c r="H316" s="508"/>
      <c r="I316" s="509"/>
      <c r="J316" s="510"/>
      <c r="K316" s="510"/>
      <c r="R316" s="67"/>
    </row>
    <row r="317">
      <c r="A317" s="503"/>
      <c r="B317" s="493"/>
      <c r="C317" s="315"/>
      <c r="D317" s="504"/>
      <c r="E317" s="505"/>
      <c r="F317" s="506"/>
      <c r="G317" s="507"/>
      <c r="H317" s="508"/>
      <c r="I317" s="509"/>
      <c r="J317" s="510"/>
      <c r="K317" s="510"/>
      <c r="R317" s="67"/>
    </row>
    <row r="318">
      <c r="A318" s="503"/>
      <c r="B318" s="493"/>
      <c r="C318" s="315"/>
      <c r="D318" s="504"/>
      <c r="E318" s="505"/>
      <c r="F318" s="506"/>
      <c r="G318" s="507"/>
      <c r="H318" s="508"/>
      <c r="I318" s="509"/>
      <c r="J318" s="510"/>
      <c r="K318" s="510"/>
      <c r="R318" s="67"/>
    </row>
    <row r="319">
      <c r="A319" s="503"/>
      <c r="B319" s="493"/>
      <c r="C319" s="315"/>
      <c r="D319" s="504"/>
      <c r="E319" s="505"/>
      <c r="F319" s="506"/>
      <c r="G319" s="507"/>
      <c r="H319" s="508"/>
      <c r="I319" s="509"/>
      <c r="J319" s="510"/>
      <c r="K319" s="510"/>
      <c r="R319" s="67"/>
    </row>
    <row r="320">
      <c r="A320" s="503"/>
      <c r="B320" s="493"/>
      <c r="C320" s="315"/>
      <c r="D320" s="504"/>
      <c r="E320" s="505"/>
      <c r="F320" s="506"/>
      <c r="G320" s="507"/>
      <c r="H320" s="508"/>
      <c r="I320" s="509"/>
      <c r="J320" s="510"/>
      <c r="K320" s="510"/>
      <c r="R320" s="67"/>
    </row>
    <row r="321">
      <c r="A321" s="503"/>
      <c r="B321" s="493"/>
      <c r="C321" s="315"/>
      <c r="D321" s="504"/>
      <c r="E321" s="505"/>
      <c r="F321" s="506"/>
      <c r="G321" s="507"/>
      <c r="H321" s="508"/>
      <c r="I321" s="509"/>
      <c r="J321" s="510"/>
      <c r="K321" s="510"/>
      <c r="R321" s="67"/>
    </row>
    <row r="322">
      <c r="A322" s="503"/>
      <c r="B322" s="493"/>
      <c r="C322" s="315"/>
      <c r="D322" s="504"/>
      <c r="E322" s="505"/>
      <c r="F322" s="506"/>
      <c r="G322" s="507"/>
      <c r="H322" s="508"/>
      <c r="I322" s="509"/>
      <c r="J322" s="510"/>
      <c r="K322" s="510"/>
      <c r="R322" s="67"/>
    </row>
    <row r="323">
      <c r="A323" s="503"/>
      <c r="B323" s="493"/>
      <c r="C323" s="315"/>
      <c r="D323" s="504"/>
      <c r="E323" s="505"/>
      <c r="F323" s="506"/>
      <c r="G323" s="507"/>
      <c r="H323" s="508"/>
      <c r="I323" s="509"/>
      <c r="J323" s="510"/>
      <c r="K323" s="510"/>
      <c r="R323" s="67"/>
    </row>
    <row r="324">
      <c r="A324" s="503"/>
      <c r="B324" s="493"/>
      <c r="C324" s="315"/>
      <c r="D324" s="504"/>
      <c r="E324" s="505"/>
      <c r="F324" s="506"/>
      <c r="G324" s="507"/>
      <c r="H324" s="508"/>
      <c r="I324" s="509"/>
      <c r="J324" s="510"/>
      <c r="K324" s="510"/>
      <c r="R324" s="67"/>
    </row>
    <row r="325">
      <c r="A325" s="503"/>
      <c r="B325" s="493"/>
      <c r="C325" s="315"/>
      <c r="D325" s="504"/>
      <c r="E325" s="505"/>
      <c r="F325" s="506"/>
      <c r="G325" s="507"/>
      <c r="H325" s="508"/>
      <c r="I325" s="509"/>
      <c r="J325" s="510"/>
      <c r="K325" s="510"/>
      <c r="R325" s="67"/>
    </row>
    <row r="326">
      <c r="A326" s="503"/>
      <c r="B326" s="493"/>
      <c r="C326" s="315"/>
      <c r="D326" s="504"/>
      <c r="E326" s="505"/>
      <c r="F326" s="506"/>
      <c r="G326" s="507"/>
      <c r="H326" s="508"/>
      <c r="I326" s="509"/>
      <c r="J326" s="510"/>
      <c r="K326" s="510"/>
      <c r="R326" s="67"/>
    </row>
    <row r="327">
      <c r="A327" s="503"/>
      <c r="B327" s="493"/>
      <c r="C327" s="315"/>
      <c r="D327" s="504"/>
      <c r="E327" s="505"/>
      <c r="F327" s="506"/>
      <c r="G327" s="507"/>
      <c r="H327" s="508"/>
      <c r="I327" s="509"/>
      <c r="J327" s="510"/>
      <c r="K327" s="510"/>
      <c r="R327" s="67"/>
    </row>
    <row r="328">
      <c r="A328" s="503"/>
      <c r="B328" s="493"/>
      <c r="C328" s="315"/>
      <c r="D328" s="504"/>
      <c r="E328" s="505"/>
      <c r="F328" s="506"/>
      <c r="G328" s="507"/>
      <c r="H328" s="508"/>
      <c r="I328" s="509"/>
      <c r="J328" s="510"/>
      <c r="K328" s="510"/>
      <c r="R328" s="67"/>
    </row>
    <row r="329">
      <c r="A329" s="503"/>
      <c r="B329" s="493"/>
      <c r="C329" s="315"/>
      <c r="D329" s="504"/>
      <c r="E329" s="505"/>
      <c r="F329" s="506"/>
      <c r="G329" s="507"/>
      <c r="H329" s="508"/>
      <c r="I329" s="509"/>
      <c r="J329" s="510"/>
      <c r="K329" s="510"/>
      <c r="R329" s="67"/>
    </row>
    <row r="330">
      <c r="A330" s="503"/>
      <c r="B330" s="493"/>
      <c r="C330" s="315"/>
      <c r="D330" s="504"/>
      <c r="E330" s="505"/>
      <c r="F330" s="506"/>
      <c r="G330" s="507"/>
      <c r="H330" s="508"/>
      <c r="I330" s="509"/>
      <c r="J330" s="510"/>
      <c r="K330" s="510"/>
      <c r="R330" s="67"/>
    </row>
    <row r="331">
      <c r="A331" s="503"/>
      <c r="B331" s="493"/>
      <c r="C331" s="315"/>
      <c r="D331" s="504"/>
      <c r="E331" s="505"/>
      <c r="F331" s="506"/>
      <c r="G331" s="507"/>
      <c r="H331" s="508"/>
      <c r="I331" s="509"/>
      <c r="J331" s="510"/>
      <c r="K331" s="510"/>
      <c r="R331" s="67"/>
    </row>
    <row r="332">
      <c r="A332" s="503"/>
      <c r="B332" s="493"/>
      <c r="C332" s="315"/>
      <c r="D332" s="504"/>
      <c r="E332" s="505"/>
      <c r="F332" s="506"/>
      <c r="G332" s="507"/>
      <c r="H332" s="508"/>
      <c r="I332" s="509"/>
      <c r="J332" s="510"/>
      <c r="K332" s="510"/>
      <c r="R332" s="67"/>
    </row>
    <row r="333">
      <c r="A333" s="503"/>
      <c r="B333" s="493"/>
      <c r="C333" s="315"/>
      <c r="D333" s="504"/>
      <c r="E333" s="505"/>
      <c r="F333" s="506"/>
      <c r="G333" s="507"/>
      <c r="H333" s="508"/>
      <c r="I333" s="509"/>
      <c r="J333" s="510"/>
      <c r="K333" s="510"/>
      <c r="R333" s="67"/>
    </row>
    <row r="334">
      <c r="A334" s="503"/>
      <c r="B334" s="493"/>
      <c r="C334" s="315"/>
      <c r="D334" s="504"/>
      <c r="E334" s="505"/>
      <c r="F334" s="506"/>
      <c r="G334" s="507"/>
      <c r="H334" s="508"/>
      <c r="I334" s="509"/>
      <c r="J334" s="510"/>
      <c r="K334" s="510"/>
      <c r="R334" s="67"/>
    </row>
    <row r="335">
      <c r="A335" s="503"/>
      <c r="B335" s="493"/>
      <c r="C335" s="315"/>
      <c r="D335" s="504"/>
      <c r="E335" s="505"/>
      <c r="F335" s="506"/>
      <c r="G335" s="507"/>
      <c r="H335" s="508"/>
      <c r="I335" s="509"/>
      <c r="J335" s="510"/>
      <c r="K335" s="510"/>
      <c r="R335" s="67"/>
    </row>
    <row r="336">
      <c r="A336" s="503"/>
      <c r="B336" s="493"/>
      <c r="C336" s="315"/>
      <c r="D336" s="504"/>
      <c r="E336" s="505"/>
      <c r="F336" s="506"/>
      <c r="G336" s="507"/>
      <c r="H336" s="508"/>
      <c r="I336" s="509"/>
      <c r="J336" s="510"/>
      <c r="K336" s="510"/>
      <c r="R336" s="67"/>
    </row>
    <row r="337">
      <c r="A337" s="503"/>
      <c r="B337" s="493"/>
      <c r="C337" s="315"/>
      <c r="D337" s="504"/>
      <c r="E337" s="505"/>
      <c r="F337" s="506"/>
      <c r="G337" s="507"/>
      <c r="H337" s="508"/>
      <c r="I337" s="509"/>
      <c r="J337" s="510"/>
      <c r="K337" s="510"/>
      <c r="R337" s="67"/>
    </row>
    <row r="338">
      <c r="A338" s="503"/>
      <c r="B338" s="493"/>
      <c r="C338" s="315"/>
      <c r="D338" s="504"/>
      <c r="E338" s="505"/>
      <c r="F338" s="506"/>
      <c r="G338" s="507"/>
      <c r="H338" s="508"/>
      <c r="I338" s="509"/>
      <c r="J338" s="510"/>
      <c r="K338" s="510"/>
      <c r="R338" s="67"/>
    </row>
    <row r="339">
      <c r="A339" s="503"/>
      <c r="B339" s="493"/>
      <c r="C339" s="315"/>
      <c r="D339" s="504"/>
      <c r="E339" s="505"/>
      <c r="F339" s="506"/>
      <c r="G339" s="507"/>
      <c r="H339" s="508"/>
      <c r="I339" s="509"/>
      <c r="J339" s="510"/>
      <c r="K339" s="510"/>
      <c r="R339" s="67"/>
    </row>
    <row r="340">
      <c r="A340" s="503"/>
      <c r="B340" s="493"/>
      <c r="C340" s="315"/>
      <c r="D340" s="504"/>
      <c r="E340" s="505"/>
      <c r="F340" s="506"/>
      <c r="G340" s="507"/>
      <c r="H340" s="508"/>
      <c r="I340" s="509"/>
      <c r="J340" s="510"/>
      <c r="K340" s="510"/>
      <c r="R340" s="67"/>
    </row>
    <row r="341">
      <c r="A341" s="503"/>
      <c r="B341" s="493"/>
      <c r="C341" s="315"/>
      <c r="D341" s="504"/>
      <c r="E341" s="505"/>
      <c r="F341" s="506"/>
      <c r="G341" s="507"/>
      <c r="H341" s="508"/>
      <c r="I341" s="509"/>
      <c r="J341" s="510"/>
      <c r="K341" s="510"/>
      <c r="R341" s="67"/>
    </row>
    <row r="342">
      <c r="A342" s="503"/>
      <c r="B342" s="493"/>
      <c r="C342" s="315"/>
      <c r="D342" s="504"/>
      <c r="E342" s="505"/>
      <c r="F342" s="506"/>
      <c r="G342" s="507"/>
      <c r="H342" s="508"/>
      <c r="I342" s="509"/>
      <c r="J342" s="510"/>
      <c r="K342" s="510"/>
      <c r="R342" s="67"/>
    </row>
    <row r="343">
      <c r="A343" s="503"/>
      <c r="B343" s="493"/>
      <c r="C343" s="315"/>
      <c r="D343" s="504"/>
      <c r="E343" s="505"/>
      <c r="F343" s="506"/>
      <c r="G343" s="507"/>
      <c r="H343" s="508"/>
      <c r="I343" s="509"/>
      <c r="J343" s="510"/>
      <c r="K343" s="510"/>
      <c r="R343" s="67"/>
    </row>
    <row r="344">
      <c r="A344" s="503"/>
      <c r="B344" s="493"/>
      <c r="C344" s="315"/>
      <c r="D344" s="504"/>
      <c r="E344" s="505"/>
      <c r="F344" s="506"/>
      <c r="G344" s="507"/>
      <c r="H344" s="508"/>
      <c r="I344" s="509"/>
      <c r="J344" s="510"/>
      <c r="K344" s="510"/>
      <c r="R344" s="67"/>
    </row>
    <row r="345">
      <c r="A345" s="503"/>
      <c r="B345" s="493"/>
      <c r="C345" s="315"/>
      <c r="D345" s="504"/>
      <c r="E345" s="505"/>
      <c r="F345" s="506"/>
      <c r="G345" s="507"/>
      <c r="H345" s="508"/>
      <c r="I345" s="509"/>
      <c r="J345" s="510"/>
      <c r="K345" s="510"/>
      <c r="R345" s="67"/>
    </row>
    <row r="346">
      <c r="A346" s="503"/>
      <c r="B346" s="493"/>
      <c r="C346" s="315"/>
      <c r="D346" s="504"/>
      <c r="E346" s="505"/>
      <c r="F346" s="506"/>
      <c r="G346" s="507"/>
      <c r="H346" s="508"/>
      <c r="I346" s="509"/>
      <c r="J346" s="510"/>
      <c r="K346" s="510"/>
      <c r="R346" s="67"/>
    </row>
    <row r="347">
      <c r="A347" s="503"/>
      <c r="B347" s="493"/>
      <c r="C347" s="315"/>
      <c r="D347" s="504"/>
      <c r="E347" s="505"/>
      <c r="F347" s="506"/>
      <c r="G347" s="507"/>
      <c r="H347" s="508"/>
      <c r="I347" s="509"/>
      <c r="J347" s="510"/>
      <c r="K347" s="510"/>
      <c r="R347" s="67"/>
    </row>
    <row r="348">
      <c r="A348" s="503"/>
      <c r="B348" s="493"/>
      <c r="C348" s="315"/>
      <c r="D348" s="504"/>
      <c r="E348" s="505"/>
      <c r="F348" s="506"/>
      <c r="G348" s="507"/>
      <c r="H348" s="508"/>
      <c r="I348" s="509"/>
      <c r="J348" s="510"/>
      <c r="K348" s="510"/>
      <c r="R348" s="67"/>
    </row>
    <row r="349">
      <c r="A349" s="503"/>
      <c r="B349" s="493"/>
      <c r="C349" s="315"/>
      <c r="D349" s="504"/>
      <c r="E349" s="505"/>
      <c r="F349" s="506"/>
      <c r="G349" s="507"/>
      <c r="H349" s="508"/>
      <c r="I349" s="509"/>
      <c r="J349" s="510"/>
      <c r="K349" s="510"/>
      <c r="R349" s="67"/>
    </row>
    <row r="350">
      <c r="A350" s="503"/>
      <c r="B350" s="493"/>
      <c r="C350" s="315"/>
      <c r="D350" s="504"/>
      <c r="E350" s="505"/>
      <c r="F350" s="506"/>
      <c r="G350" s="507"/>
      <c r="H350" s="508"/>
      <c r="I350" s="509"/>
      <c r="J350" s="510"/>
      <c r="K350" s="510"/>
      <c r="R350" s="67"/>
    </row>
    <row r="351">
      <c r="A351" s="503"/>
      <c r="B351" s="493"/>
      <c r="C351" s="315"/>
      <c r="D351" s="504"/>
      <c r="E351" s="505"/>
      <c r="F351" s="506"/>
      <c r="G351" s="507"/>
      <c r="H351" s="508"/>
      <c r="I351" s="509"/>
      <c r="J351" s="510"/>
      <c r="K351" s="510"/>
      <c r="R351" s="67"/>
    </row>
    <row r="352">
      <c r="A352" s="503"/>
      <c r="B352" s="493"/>
      <c r="C352" s="315"/>
      <c r="D352" s="504"/>
      <c r="E352" s="505"/>
      <c r="F352" s="506"/>
      <c r="G352" s="507"/>
      <c r="H352" s="508"/>
      <c r="I352" s="509"/>
      <c r="J352" s="510"/>
      <c r="K352" s="510"/>
      <c r="R352" s="67"/>
    </row>
    <row r="353">
      <c r="A353" s="503"/>
      <c r="B353" s="493"/>
      <c r="C353" s="315"/>
      <c r="D353" s="504"/>
      <c r="E353" s="505"/>
      <c r="F353" s="506"/>
      <c r="G353" s="507"/>
      <c r="H353" s="508"/>
      <c r="I353" s="509"/>
      <c r="J353" s="510"/>
      <c r="K353" s="510"/>
      <c r="R353" s="67"/>
    </row>
    <row r="354">
      <c r="A354" s="503"/>
      <c r="B354" s="493"/>
      <c r="C354" s="315"/>
      <c r="D354" s="504"/>
      <c r="E354" s="505"/>
      <c r="F354" s="506"/>
      <c r="G354" s="507"/>
      <c r="H354" s="508"/>
      <c r="I354" s="509"/>
      <c r="J354" s="510"/>
      <c r="K354" s="510"/>
      <c r="R354" s="67"/>
    </row>
    <row r="355">
      <c r="A355" s="503"/>
      <c r="B355" s="493"/>
      <c r="C355" s="315"/>
      <c r="D355" s="504"/>
      <c r="E355" s="505"/>
      <c r="F355" s="506"/>
      <c r="G355" s="507"/>
      <c r="H355" s="508"/>
      <c r="I355" s="509"/>
      <c r="J355" s="510"/>
      <c r="K355" s="510"/>
      <c r="R355" s="67"/>
    </row>
    <row r="356">
      <c r="A356" s="503"/>
      <c r="B356" s="493"/>
      <c r="C356" s="315"/>
      <c r="D356" s="504"/>
      <c r="E356" s="505"/>
      <c r="F356" s="506"/>
      <c r="G356" s="507"/>
      <c r="H356" s="508"/>
      <c r="I356" s="509"/>
      <c r="J356" s="510"/>
      <c r="K356" s="510"/>
      <c r="R356" s="67"/>
    </row>
    <row r="357">
      <c r="A357" s="503"/>
      <c r="B357" s="493"/>
      <c r="C357" s="315"/>
      <c r="D357" s="504"/>
      <c r="E357" s="505"/>
      <c r="F357" s="506"/>
      <c r="G357" s="507"/>
      <c r="H357" s="508"/>
      <c r="I357" s="509"/>
      <c r="J357" s="510"/>
      <c r="K357" s="510"/>
      <c r="R357" s="67"/>
    </row>
    <row r="358">
      <c r="A358" s="503"/>
      <c r="B358" s="493"/>
      <c r="C358" s="315"/>
      <c r="D358" s="504"/>
      <c r="E358" s="505"/>
      <c r="F358" s="506"/>
      <c r="G358" s="507"/>
      <c r="H358" s="508"/>
      <c r="I358" s="509"/>
      <c r="J358" s="510"/>
      <c r="K358" s="510"/>
      <c r="R358" s="67"/>
    </row>
    <row r="359">
      <c r="A359" s="503"/>
      <c r="B359" s="493"/>
      <c r="C359" s="315"/>
      <c r="D359" s="504"/>
      <c r="E359" s="505"/>
      <c r="F359" s="506"/>
      <c r="G359" s="507"/>
      <c r="H359" s="508"/>
      <c r="I359" s="509"/>
      <c r="J359" s="510"/>
      <c r="K359" s="510"/>
      <c r="R359" s="67"/>
    </row>
    <row r="360">
      <c r="A360" s="503"/>
      <c r="B360" s="493"/>
      <c r="C360" s="315"/>
      <c r="D360" s="504"/>
      <c r="E360" s="505"/>
      <c r="F360" s="506"/>
      <c r="G360" s="507"/>
      <c r="H360" s="508"/>
      <c r="I360" s="509"/>
      <c r="J360" s="510"/>
      <c r="K360" s="510"/>
      <c r="R360" s="67"/>
    </row>
    <row r="361">
      <c r="A361" s="503"/>
      <c r="B361" s="493"/>
      <c r="C361" s="315"/>
      <c r="D361" s="504"/>
      <c r="E361" s="505"/>
      <c r="F361" s="506"/>
      <c r="G361" s="507"/>
      <c r="H361" s="508"/>
      <c r="I361" s="509"/>
      <c r="J361" s="510"/>
      <c r="K361" s="510"/>
      <c r="R361" s="67"/>
    </row>
    <row r="362">
      <c r="A362" s="503"/>
      <c r="B362" s="493"/>
      <c r="C362" s="315"/>
      <c r="D362" s="504"/>
      <c r="E362" s="505"/>
      <c r="F362" s="506"/>
      <c r="G362" s="507"/>
      <c r="H362" s="508"/>
      <c r="I362" s="509"/>
      <c r="J362" s="510"/>
      <c r="K362" s="510"/>
      <c r="R362" s="67"/>
    </row>
    <row r="363">
      <c r="A363" s="503"/>
      <c r="B363" s="493"/>
      <c r="C363" s="315"/>
      <c r="D363" s="504"/>
      <c r="E363" s="505"/>
      <c r="F363" s="506"/>
      <c r="G363" s="507"/>
      <c r="H363" s="508"/>
      <c r="I363" s="509"/>
      <c r="J363" s="510"/>
      <c r="K363" s="510"/>
      <c r="R363" s="67"/>
    </row>
    <row r="364">
      <c r="A364" s="503"/>
      <c r="B364" s="493"/>
      <c r="C364" s="315"/>
      <c r="D364" s="504"/>
      <c r="E364" s="505"/>
      <c r="F364" s="506"/>
      <c r="G364" s="507"/>
      <c r="H364" s="508"/>
      <c r="I364" s="509"/>
      <c r="J364" s="510"/>
      <c r="K364" s="510"/>
      <c r="R364" s="67"/>
    </row>
    <row r="365">
      <c r="A365" s="503"/>
      <c r="B365" s="493"/>
      <c r="C365" s="315"/>
      <c r="D365" s="504"/>
      <c r="E365" s="505"/>
      <c r="F365" s="506"/>
      <c r="G365" s="507"/>
      <c r="H365" s="508"/>
      <c r="I365" s="509"/>
      <c r="J365" s="510"/>
      <c r="K365" s="510"/>
      <c r="R365" s="67"/>
    </row>
    <row r="366">
      <c r="A366" s="503"/>
      <c r="B366" s="493"/>
      <c r="C366" s="315"/>
      <c r="D366" s="504"/>
      <c r="E366" s="505"/>
      <c r="F366" s="506"/>
      <c r="G366" s="507"/>
      <c r="H366" s="508"/>
      <c r="I366" s="509"/>
      <c r="J366" s="510"/>
      <c r="K366" s="510"/>
      <c r="R366" s="67"/>
    </row>
    <row r="367">
      <c r="A367" s="503"/>
      <c r="B367" s="493"/>
      <c r="C367" s="315"/>
      <c r="D367" s="504"/>
      <c r="E367" s="505"/>
      <c r="F367" s="506"/>
      <c r="G367" s="507"/>
      <c r="H367" s="508"/>
      <c r="I367" s="509"/>
      <c r="J367" s="510"/>
      <c r="K367" s="510"/>
      <c r="R367" s="67"/>
    </row>
    <row r="368">
      <c r="A368" s="503"/>
      <c r="B368" s="493"/>
      <c r="C368" s="315"/>
      <c r="D368" s="504"/>
      <c r="E368" s="505"/>
      <c r="F368" s="506"/>
      <c r="G368" s="507"/>
      <c r="H368" s="508"/>
      <c r="I368" s="509"/>
      <c r="J368" s="510"/>
      <c r="K368" s="510"/>
      <c r="R368" s="67"/>
    </row>
    <row r="369">
      <c r="A369" s="503"/>
      <c r="B369" s="493"/>
      <c r="C369" s="315"/>
      <c r="D369" s="504"/>
      <c r="E369" s="505"/>
      <c r="F369" s="506"/>
      <c r="G369" s="507"/>
      <c r="H369" s="508"/>
      <c r="I369" s="509"/>
      <c r="J369" s="510"/>
      <c r="K369" s="510"/>
      <c r="R369" s="67"/>
    </row>
    <row r="370">
      <c r="A370" s="503"/>
      <c r="B370" s="493"/>
      <c r="C370" s="315"/>
      <c r="D370" s="504"/>
      <c r="E370" s="505"/>
      <c r="F370" s="506"/>
      <c r="G370" s="507"/>
      <c r="H370" s="508"/>
      <c r="I370" s="509"/>
      <c r="J370" s="510"/>
      <c r="K370" s="510"/>
      <c r="R370" s="67"/>
    </row>
    <row r="371">
      <c r="A371" s="503"/>
      <c r="B371" s="493"/>
      <c r="C371" s="315"/>
      <c r="D371" s="504"/>
      <c r="E371" s="505"/>
      <c r="F371" s="506"/>
      <c r="G371" s="507"/>
      <c r="H371" s="508"/>
      <c r="I371" s="509"/>
      <c r="J371" s="510"/>
      <c r="K371" s="510"/>
      <c r="R371" s="67"/>
    </row>
    <row r="372">
      <c r="A372" s="503"/>
      <c r="B372" s="493"/>
      <c r="C372" s="315"/>
      <c r="D372" s="504"/>
      <c r="E372" s="505"/>
      <c r="F372" s="506"/>
      <c r="G372" s="507"/>
      <c r="H372" s="508"/>
      <c r="I372" s="509"/>
      <c r="J372" s="510"/>
      <c r="K372" s="510"/>
      <c r="R372" s="67"/>
    </row>
    <row r="373">
      <c r="A373" s="503"/>
      <c r="B373" s="493"/>
      <c r="C373" s="315"/>
      <c r="D373" s="504"/>
      <c r="E373" s="505"/>
      <c r="F373" s="506"/>
      <c r="G373" s="507"/>
      <c r="H373" s="508"/>
      <c r="I373" s="509"/>
      <c r="J373" s="510"/>
      <c r="K373" s="510"/>
      <c r="R373" s="67"/>
    </row>
    <row r="374">
      <c r="A374" s="503"/>
      <c r="B374" s="493"/>
      <c r="C374" s="315"/>
      <c r="D374" s="504"/>
      <c r="E374" s="505"/>
      <c r="F374" s="506"/>
      <c r="G374" s="507"/>
      <c r="H374" s="508"/>
      <c r="I374" s="509"/>
      <c r="J374" s="510"/>
      <c r="K374" s="510"/>
      <c r="R374" s="67"/>
    </row>
    <row r="375">
      <c r="A375" s="503"/>
      <c r="B375" s="493"/>
      <c r="C375" s="315"/>
      <c r="D375" s="504"/>
      <c r="E375" s="505"/>
      <c r="F375" s="506"/>
      <c r="G375" s="507"/>
      <c r="H375" s="508"/>
      <c r="I375" s="509"/>
      <c r="J375" s="510"/>
      <c r="K375" s="510"/>
      <c r="R375" s="67"/>
    </row>
    <row r="376">
      <c r="A376" s="503"/>
      <c r="B376" s="493"/>
      <c r="C376" s="315"/>
      <c r="D376" s="504"/>
      <c r="E376" s="505"/>
      <c r="F376" s="506"/>
      <c r="G376" s="507"/>
      <c r="H376" s="508"/>
      <c r="I376" s="509"/>
      <c r="J376" s="510"/>
      <c r="K376" s="510"/>
      <c r="R376" s="67"/>
    </row>
    <row r="377">
      <c r="A377" s="503"/>
      <c r="B377" s="493"/>
      <c r="C377" s="315"/>
      <c r="D377" s="504"/>
      <c r="E377" s="505"/>
      <c r="F377" s="506"/>
      <c r="G377" s="507"/>
      <c r="H377" s="508"/>
      <c r="I377" s="509"/>
      <c r="J377" s="510"/>
      <c r="K377" s="510"/>
      <c r="R377" s="67"/>
    </row>
    <row r="378">
      <c r="A378" s="503"/>
      <c r="B378" s="493"/>
      <c r="C378" s="315"/>
      <c r="D378" s="504"/>
      <c r="E378" s="505"/>
      <c r="F378" s="506"/>
      <c r="G378" s="507"/>
      <c r="H378" s="508"/>
      <c r="I378" s="509"/>
      <c r="J378" s="510"/>
      <c r="K378" s="510"/>
      <c r="R378" s="67"/>
    </row>
    <row r="379">
      <c r="A379" s="503"/>
      <c r="B379" s="493"/>
      <c r="C379" s="315"/>
      <c r="D379" s="504"/>
      <c r="E379" s="505"/>
      <c r="F379" s="506"/>
      <c r="G379" s="507"/>
      <c r="H379" s="508"/>
      <c r="I379" s="509"/>
      <c r="J379" s="510"/>
      <c r="K379" s="510"/>
      <c r="R379" s="67"/>
    </row>
    <row r="380">
      <c r="A380" s="503"/>
      <c r="B380" s="493"/>
      <c r="C380" s="315"/>
      <c r="D380" s="504"/>
      <c r="E380" s="505"/>
      <c r="F380" s="506"/>
      <c r="G380" s="507"/>
      <c r="H380" s="508"/>
      <c r="I380" s="509"/>
      <c r="J380" s="510"/>
      <c r="K380" s="510"/>
      <c r="R380" s="67"/>
    </row>
    <row r="381">
      <c r="A381" s="503"/>
      <c r="B381" s="493"/>
      <c r="C381" s="315"/>
      <c r="D381" s="504"/>
      <c r="E381" s="505"/>
      <c r="F381" s="506"/>
      <c r="G381" s="507"/>
      <c r="H381" s="508"/>
      <c r="I381" s="509"/>
      <c r="J381" s="510"/>
      <c r="K381" s="510"/>
      <c r="R381" s="67"/>
    </row>
    <row r="382">
      <c r="A382" s="503"/>
      <c r="B382" s="493"/>
      <c r="C382" s="315"/>
      <c r="D382" s="504"/>
      <c r="E382" s="505"/>
      <c r="F382" s="506"/>
      <c r="G382" s="507"/>
      <c r="H382" s="508"/>
      <c r="I382" s="509"/>
      <c r="J382" s="510"/>
      <c r="K382" s="510"/>
      <c r="R382" s="67"/>
    </row>
    <row r="383">
      <c r="A383" s="503"/>
      <c r="B383" s="493"/>
      <c r="C383" s="315"/>
      <c r="D383" s="504"/>
      <c r="E383" s="505"/>
      <c r="F383" s="506"/>
      <c r="G383" s="507"/>
      <c r="H383" s="508"/>
      <c r="I383" s="509"/>
      <c r="J383" s="510"/>
      <c r="K383" s="510"/>
      <c r="R383" s="67"/>
    </row>
    <row r="384">
      <c r="A384" s="503"/>
      <c r="B384" s="493"/>
      <c r="C384" s="315"/>
      <c r="D384" s="504"/>
      <c r="E384" s="505"/>
      <c r="F384" s="506"/>
      <c r="G384" s="507"/>
      <c r="H384" s="508"/>
      <c r="I384" s="509"/>
      <c r="J384" s="510"/>
      <c r="K384" s="510"/>
      <c r="R384" s="67"/>
    </row>
    <row r="385">
      <c r="A385" s="503"/>
      <c r="B385" s="493"/>
      <c r="C385" s="315"/>
      <c r="D385" s="504"/>
      <c r="E385" s="505"/>
      <c r="F385" s="506"/>
      <c r="G385" s="507"/>
      <c r="H385" s="508"/>
      <c r="I385" s="509"/>
      <c r="J385" s="510"/>
      <c r="K385" s="510"/>
      <c r="R385" s="67"/>
    </row>
    <row r="386">
      <c r="A386" s="503"/>
      <c r="B386" s="493"/>
      <c r="C386" s="315"/>
      <c r="D386" s="504"/>
      <c r="E386" s="505"/>
      <c r="F386" s="506"/>
      <c r="G386" s="507"/>
      <c r="H386" s="508"/>
      <c r="I386" s="509"/>
      <c r="J386" s="510"/>
      <c r="K386" s="510"/>
      <c r="R386" s="67"/>
    </row>
    <row r="387">
      <c r="A387" s="503"/>
      <c r="B387" s="493"/>
      <c r="C387" s="315"/>
      <c r="D387" s="504"/>
      <c r="E387" s="505"/>
      <c r="F387" s="506"/>
      <c r="G387" s="507"/>
      <c r="H387" s="508"/>
      <c r="I387" s="509"/>
      <c r="J387" s="510"/>
      <c r="K387" s="510"/>
      <c r="R387" s="67"/>
    </row>
    <row r="388">
      <c r="A388" s="503"/>
      <c r="B388" s="493"/>
      <c r="C388" s="315"/>
      <c r="D388" s="504"/>
      <c r="E388" s="505"/>
      <c r="F388" s="506"/>
      <c r="G388" s="507"/>
      <c r="H388" s="508"/>
      <c r="I388" s="509"/>
      <c r="J388" s="510"/>
      <c r="K388" s="510"/>
      <c r="R388" s="67"/>
    </row>
    <row r="389">
      <c r="A389" s="503"/>
      <c r="B389" s="493"/>
      <c r="C389" s="315"/>
      <c r="D389" s="504"/>
      <c r="E389" s="505"/>
      <c r="F389" s="506"/>
      <c r="G389" s="507"/>
      <c r="H389" s="508"/>
      <c r="I389" s="509"/>
      <c r="J389" s="510"/>
      <c r="K389" s="510"/>
      <c r="R389" s="67"/>
    </row>
    <row r="390">
      <c r="A390" s="503"/>
      <c r="B390" s="493"/>
      <c r="C390" s="315"/>
      <c r="D390" s="504"/>
      <c r="E390" s="505"/>
      <c r="F390" s="506"/>
      <c r="G390" s="507"/>
      <c r="H390" s="508"/>
      <c r="I390" s="509"/>
      <c r="J390" s="510"/>
      <c r="K390" s="510"/>
      <c r="R390" s="67"/>
    </row>
    <row r="391">
      <c r="A391" s="503"/>
      <c r="B391" s="493"/>
      <c r="C391" s="315"/>
      <c r="D391" s="504"/>
      <c r="E391" s="505"/>
      <c r="F391" s="506"/>
      <c r="G391" s="507"/>
      <c r="H391" s="508"/>
      <c r="I391" s="509"/>
      <c r="J391" s="510"/>
      <c r="K391" s="510"/>
      <c r="R391" s="67"/>
    </row>
    <row r="392">
      <c r="A392" s="503"/>
      <c r="B392" s="493"/>
      <c r="C392" s="315"/>
      <c r="D392" s="504"/>
      <c r="E392" s="505"/>
      <c r="F392" s="506"/>
      <c r="G392" s="507"/>
      <c r="H392" s="508"/>
      <c r="I392" s="509"/>
      <c r="J392" s="510"/>
      <c r="K392" s="510"/>
      <c r="R392" s="67"/>
    </row>
    <row r="393">
      <c r="A393" s="503"/>
      <c r="B393" s="493"/>
      <c r="C393" s="315"/>
      <c r="D393" s="504"/>
      <c r="E393" s="505"/>
      <c r="F393" s="506"/>
      <c r="G393" s="507"/>
      <c r="H393" s="508"/>
      <c r="I393" s="509"/>
      <c r="J393" s="510"/>
      <c r="K393" s="510"/>
      <c r="R393" s="67"/>
    </row>
    <row r="394">
      <c r="A394" s="503"/>
      <c r="B394" s="493"/>
      <c r="C394" s="315"/>
      <c r="D394" s="504"/>
      <c r="E394" s="505"/>
      <c r="F394" s="506"/>
      <c r="G394" s="507"/>
      <c r="H394" s="508"/>
      <c r="I394" s="509"/>
      <c r="J394" s="510"/>
      <c r="K394" s="510"/>
      <c r="R394" s="67"/>
    </row>
    <row r="395">
      <c r="A395" s="503"/>
      <c r="B395" s="493"/>
      <c r="C395" s="315"/>
      <c r="D395" s="504"/>
      <c r="E395" s="505"/>
      <c r="F395" s="506"/>
      <c r="G395" s="507"/>
      <c r="H395" s="508"/>
      <c r="I395" s="509"/>
      <c r="J395" s="510"/>
      <c r="K395" s="510"/>
      <c r="R395" s="67"/>
    </row>
    <row r="396">
      <c r="A396" s="503"/>
      <c r="B396" s="493"/>
      <c r="C396" s="315"/>
      <c r="D396" s="504"/>
      <c r="E396" s="505"/>
      <c r="F396" s="506"/>
      <c r="G396" s="507"/>
      <c r="H396" s="508"/>
      <c r="I396" s="509"/>
      <c r="J396" s="510"/>
      <c r="K396" s="510"/>
      <c r="R396" s="67"/>
    </row>
    <row r="397">
      <c r="A397" s="503"/>
      <c r="B397" s="493"/>
      <c r="C397" s="315"/>
      <c r="D397" s="504"/>
      <c r="E397" s="505"/>
      <c r="F397" s="506"/>
      <c r="G397" s="507"/>
      <c r="H397" s="508"/>
      <c r="I397" s="509"/>
      <c r="J397" s="510"/>
      <c r="K397" s="510"/>
      <c r="R397" s="67"/>
    </row>
    <row r="398">
      <c r="A398" s="503"/>
      <c r="B398" s="493"/>
      <c r="C398" s="315"/>
      <c r="D398" s="504"/>
      <c r="E398" s="505"/>
      <c r="F398" s="506"/>
      <c r="G398" s="507"/>
      <c r="H398" s="508"/>
      <c r="I398" s="509"/>
      <c r="J398" s="510"/>
      <c r="K398" s="510"/>
      <c r="R398" s="67"/>
    </row>
    <row r="399">
      <c r="A399" s="503"/>
      <c r="B399" s="493"/>
      <c r="C399" s="315"/>
      <c r="D399" s="504"/>
      <c r="E399" s="505"/>
      <c r="F399" s="506"/>
      <c r="G399" s="507"/>
      <c r="H399" s="508"/>
      <c r="I399" s="509"/>
      <c r="J399" s="510"/>
      <c r="K399" s="510"/>
      <c r="R399" s="67"/>
    </row>
    <row r="400">
      <c r="A400" s="503"/>
      <c r="B400" s="493"/>
      <c r="C400" s="315"/>
      <c r="D400" s="504"/>
      <c r="E400" s="505"/>
      <c r="F400" s="506"/>
      <c r="G400" s="507"/>
      <c r="H400" s="508"/>
      <c r="I400" s="509"/>
      <c r="J400" s="510"/>
      <c r="K400" s="510"/>
      <c r="R400" s="67"/>
    </row>
    <row r="401">
      <c r="A401" s="503"/>
      <c r="B401" s="493"/>
      <c r="C401" s="315"/>
      <c r="D401" s="504"/>
      <c r="E401" s="505"/>
      <c r="F401" s="506"/>
      <c r="G401" s="507"/>
      <c r="H401" s="508"/>
      <c r="I401" s="509"/>
      <c r="J401" s="510"/>
      <c r="K401" s="510"/>
      <c r="R401" s="67"/>
    </row>
    <row r="402">
      <c r="A402" s="503"/>
      <c r="B402" s="493"/>
      <c r="C402" s="315"/>
      <c r="D402" s="504"/>
      <c r="E402" s="505"/>
      <c r="F402" s="506"/>
      <c r="G402" s="507"/>
      <c r="H402" s="508"/>
      <c r="I402" s="509"/>
      <c r="J402" s="510"/>
      <c r="K402" s="510"/>
      <c r="R402" s="67"/>
    </row>
    <row r="403">
      <c r="A403" s="503"/>
      <c r="B403" s="493"/>
      <c r="C403" s="315"/>
      <c r="D403" s="504"/>
      <c r="E403" s="505"/>
      <c r="F403" s="506"/>
      <c r="G403" s="507"/>
      <c r="H403" s="508"/>
      <c r="I403" s="509"/>
      <c r="J403" s="510"/>
      <c r="K403" s="510"/>
      <c r="R403" s="67"/>
    </row>
    <row r="404">
      <c r="A404" s="503"/>
      <c r="B404" s="493"/>
      <c r="C404" s="315"/>
      <c r="D404" s="504"/>
      <c r="E404" s="505"/>
      <c r="F404" s="506"/>
      <c r="G404" s="507"/>
      <c r="H404" s="508"/>
      <c r="I404" s="509"/>
      <c r="J404" s="510"/>
      <c r="K404" s="510"/>
      <c r="R404" s="67"/>
    </row>
    <row r="405">
      <c r="A405" s="503"/>
      <c r="B405" s="493"/>
      <c r="C405" s="315"/>
      <c r="D405" s="504"/>
      <c r="E405" s="505"/>
      <c r="F405" s="506"/>
      <c r="G405" s="507"/>
      <c r="H405" s="508"/>
      <c r="I405" s="509"/>
      <c r="J405" s="510"/>
      <c r="K405" s="510"/>
      <c r="R405" s="67"/>
    </row>
    <row r="406">
      <c r="A406" s="503"/>
      <c r="B406" s="493"/>
      <c r="C406" s="315"/>
      <c r="D406" s="504"/>
      <c r="E406" s="505"/>
      <c r="F406" s="506"/>
      <c r="G406" s="507"/>
      <c r="H406" s="508"/>
      <c r="I406" s="509"/>
      <c r="J406" s="510"/>
      <c r="K406" s="510"/>
      <c r="R406" s="67"/>
    </row>
    <row r="407">
      <c r="A407" s="503"/>
      <c r="B407" s="493"/>
      <c r="C407" s="315"/>
      <c r="D407" s="504"/>
      <c r="E407" s="505"/>
      <c r="F407" s="506"/>
      <c r="G407" s="507"/>
      <c r="H407" s="508"/>
      <c r="I407" s="509"/>
      <c r="J407" s="510"/>
      <c r="K407" s="510"/>
      <c r="R407" s="67"/>
    </row>
    <row r="408">
      <c r="A408" s="503"/>
      <c r="B408" s="493"/>
      <c r="C408" s="315"/>
      <c r="D408" s="504"/>
      <c r="E408" s="505"/>
      <c r="F408" s="506"/>
      <c r="G408" s="507"/>
      <c r="H408" s="508"/>
      <c r="I408" s="509"/>
      <c r="J408" s="510"/>
      <c r="K408" s="510"/>
      <c r="R408" s="67"/>
    </row>
    <row r="409">
      <c r="A409" s="503"/>
      <c r="B409" s="493"/>
      <c r="C409" s="315"/>
      <c r="D409" s="504"/>
      <c r="E409" s="505"/>
      <c r="F409" s="506"/>
      <c r="G409" s="507"/>
      <c r="H409" s="508"/>
      <c r="I409" s="509"/>
      <c r="J409" s="510"/>
      <c r="K409" s="510"/>
      <c r="R409" s="67"/>
    </row>
    <row r="410">
      <c r="A410" s="503"/>
      <c r="B410" s="493"/>
      <c r="C410" s="315"/>
      <c r="D410" s="504"/>
      <c r="E410" s="505"/>
      <c r="F410" s="506"/>
      <c r="G410" s="507"/>
      <c r="H410" s="508"/>
      <c r="I410" s="509"/>
      <c r="J410" s="510"/>
      <c r="K410" s="510"/>
      <c r="R410" s="67"/>
    </row>
    <row r="411">
      <c r="A411" s="503"/>
      <c r="B411" s="493"/>
      <c r="C411" s="315"/>
      <c r="D411" s="504"/>
      <c r="E411" s="505"/>
      <c r="F411" s="506"/>
      <c r="G411" s="507"/>
      <c r="H411" s="508"/>
      <c r="I411" s="509"/>
      <c r="J411" s="510"/>
      <c r="K411" s="510"/>
      <c r="R411" s="67"/>
    </row>
    <row r="412">
      <c r="A412" s="503"/>
      <c r="B412" s="493"/>
      <c r="C412" s="315"/>
      <c r="D412" s="504"/>
      <c r="E412" s="505"/>
      <c r="F412" s="506"/>
      <c r="G412" s="507"/>
      <c r="H412" s="508"/>
      <c r="I412" s="509"/>
      <c r="J412" s="510"/>
      <c r="K412" s="510"/>
      <c r="R412" s="67"/>
    </row>
    <row r="413">
      <c r="A413" s="503"/>
      <c r="B413" s="493"/>
      <c r="C413" s="315"/>
      <c r="D413" s="504"/>
      <c r="E413" s="505"/>
      <c r="F413" s="506"/>
      <c r="G413" s="507"/>
      <c r="H413" s="508"/>
      <c r="I413" s="509"/>
      <c r="J413" s="510"/>
      <c r="K413" s="510"/>
      <c r="R413" s="67"/>
    </row>
    <row r="414">
      <c r="A414" s="503"/>
      <c r="B414" s="493"/>
      <c r="C414" s="315"/>
      <c r="D414" s="504"/>
      <c r="E414" s="505"/>
      <c r="F414" s="506"/>
      <c r="G414" s="507"/>
      <c r="H414" s="508"/>
      <c r="I414" s="509"/>
      <c r="J414" s="510"/>
      <c r="K414" s="510"/>
      <c r="R414" s="67"/>
    </row>
    <row r="415">
      <c r="A415" s="503"/>
      <c r="B415" s="493"/>
      <c r="C415" s="315"/>
      <c r="D415" s="504"/>
      <c r="E415" s="505"/>
      <c r="F415" s="506"/>
      <c r="G415" s="507"/>
      <c r="H415" s="508"/>
      <c r="I415" s="509"/>
      <c r="J415" s="510"/>
      <c r="K415" s="510"/>
      <c r="R415" s="67"/>
    </row>
    <row r="416">
      <c r="A416" s="503"/>
      <c r="B416" s="493"/>
      <c r="C416" s="315"/>
      <c r="D416" s="504"/>
      <c r="E416" s="505"/>
      <c r="F416" s="506"/>
      <c r="G416" s="507"/>
      <c r="H416" s="508"/>
      <c r="I416" s="509"/>
      <c r="J416" s="510"/>
      <c r="K416" s="510"/>
      <c r="R416" s="67"/>
    </row>
    <row r="417">
      <c r="A417" s="503"/>
      <c r="B417" s="493"/>
      <c r="C417" s="315"/>
      <c r="D417" s="504"/>
      <c r="E417" s="505"/>
      <c r="F417" s="506"/>
      <c r="G417" s="507"/>
      <c r="H417" s="508"/>
      <c r="I417" s="509"/>
      <c r="J417" s="510"/>
      <c r="K417" s="510"/>
      <c r="R417" s="67"/>
    </row>
    <row r="418">
      <c r="A418" s="503"/>
      <c r="B418" s="493"/>
      <c r="C418" s="315"/>
      <c r="D418" s="504"/>
      <c r="E418" s="505"/>
      <c r="F418" s="506"/>
      <c r="G418" s="507"/>
      <c r="H418" s="508"/>
      <c r="I418" s="509"/>
      <c r="J418" s="510"/>
      <c r="K418" s="510"/>
      <c r="R418" s="67"/>
    </row>
    <row r="419">
      <c r="A419" s="503"/>
      <c r="B419" s="493"/>
      <c r="C419" s="315"/>
      <c r="D419" s="504"/>
      <c r="E419" s="505"/>
      <c r="F419" s="506"/>
      <c r="G419" s="507"/>
      <c r="H419" s="508"/>
      <c r="I419" s="509"/>
      <c r="J419" s="510"/>
      <c r="K419" s="510"/>
      <c r="R419" s="67"/>
    </row>
    <row r="420">
      <c r="A420" s="503"/>
      <c r="B420" s="493"/>
      <c r="C420" s="315"/>
      <c r="D420" s="504"/>
      <c r="E420" s="505"/>
      <c r="F420" s="506"/>
      <c r="G420" s="507"/>
      <c r="H420" s="508"/>
      <c r="I420" s="509"/>
      <c r="J420" s="510"/>
      <c r="K420" s="510"/>
      <c r="R420" s="67"/>
    </row>
    <row r="421">
      <c r="A421" s="503"/>
      <c r="B421" s="493"/>
      <c r="C421" s="315"/>
      <c r="D421" s="504"/>
      <c r="E421" s="505"/>
      <c r="F421" s="506"/>
      <c r="G421" s="507"/>
      <c r="H421" s="508"/>
      <c r="I421" s="509"/>
      <c r="J421" s="510"/>
      <c r="K421" s="510"/>
      <c r="R421" s="67"/>
    </row>
    <row r="422">
      <c r="A422" s="503"/>
      <c r="B422" s="493"/>
      <c r="C422" s="315"/>
      <c r="D422" s="504"/>
      <c r="E422" s="505"/>
      <c r="F422" s="506"/>
      <c r="G422" s="507"/>
      <c r="H422" s="508"/>
      <c r="I422" s="509"/>
      <c r="J422" s="510"/>
      <c r="K422" s="510"/>
      <c r="R422" s="67"/>
    </row>
    <row r="423">
      <c r="A423" s="503"/>
      <c r="B423" s="493"/>
      <c r="C423" s="315"/>
      <c r="D423" s="504"/>
      <c r="E423" s="505"/>
      <c r="F423" s="506"/>
      <c r="G423" s="507"/>
      <c r="H423" s="508"/>
      <c r="I423" s="509"/>
      <c r="J423" s="510"/>
      <c r="K423" s="510"/>
      <c r="R423" s="67"/>
    </row>
    <row r="424">
      <c r="A424" s="503"/>
      <c r="B424" s="493"/>
      <c r="C424" s="315"/>
      <c r="D424" s="504"/>
      <c r="E424" s="505"/>
      <c r="F424" s="506"/>
      <c r="G424" s="507"/>
      <c r="H424" s="508"/>
      <c r="I424" s="509"/>
      <c r="J424" s="510"/>
      <c r="K424" s="510"/>
      <c r="R424" s="67"/>
    </row>
    <row r="425">
      <c r="A425" s="503"/>
      <c r="B425" s="493"/>
      <c r="C425" s="315"/>
      <c r="D425" s="504"/>
      <c r="E425" s="505"/>
      <c r="F425" s="506"/>
      <c r="G425" s="507"/>
      <c r="H425" s="508"/>
      <c r="I425" s="509"/>
      <c r="J425" s="510"/>
      <c r="K425" s="510"/>
      <c r="R425" s="67"/>
    </row>
    <row r="426">
      <c r="A426" s="503"/>
      <c r="B426" s="493"/>
      <c r="C426" s="315"/>
      <c r="D426" s="504"/>
      <c r="E426" s="505"/>
      <c r="F426" s="506"/>
      <c r="G426" s="507"/>
      <c r="H426" s="508"/>
      <c r="I426" s="509"/>
      <c r="J426" s="510"/>
      <c r="K426" s="510"/>
      <c r="R426" s="67"/>
    </row>
    <row r="427">
      <c r="A427" s="503"/>
      <c r="B427" s="493"/>
      <c r="C427" s="315"/>
      <c r="D427" s="504"/>
      <c r="E427" s="505"/>
      <c r="F427" s="506"/>
      <c r="G427" s="507"/>
      <c r="H427" s="508"/>
      <c r="I427" s="509"/>
      <c r="J427" s="510"/>
      <c r="K427" s="510"/>
      <c r="R427" s="67"/>
    </row>
    <row r="428">
      <c r="A428" s="503"/>
      <c r="B428" s="493"/>
      <c r="C428" s="315"/>
      <c r="D428" s="504"/>
      <c r="E428" s="505"/>
      <c r="F428" s="506"/>
      <c r="G428" s="507"/>
      <c r="H428" s="508"/>
      <c r="I428" s="509"/>
      <c r="J428" s="510"/>
      <c r="K428" s="510"/>
      <c r="R428" s="67"/>
    </row>
    <row r="429">
      <c r="A429" s="503"/>
      <c r="B429" s="493"/>
      <c r="C429" s="315"/>
      <c r="D429" s="504"/>
      <c r="E429" s="505"/>
      <c r="F429" s="506"/>
      <c r="G429" s="507"/>
      <c r="H429" s="508"/>
      <c r="I429" s="509"/>
      <c r="J429" s="510"/>
      <c r="K429" s="510"/>
      <c r="R429" s="67"/>
    </row>
    <row r="430">
      <c r="A430" s="503"/>
      <c r="B430" s="493"/>
      <c r="C430" s="315"/>
      <c r="D430" s="504"/>
      <c r="E430" s="505"/>
      <c r="F430" s="506"/>
      <c r="G430" s="507"/>
      <c r="H430" s="508"/>
      <c r="I430" s="509"/>
      <c r="J430" s="510"/>
      <c r="K430" s="510"/>
      <c r="R430" s="67"/>
    </row>
    <row r="431">
      <c r="A431" s="503"/>
      <c r="B431" s="493"/>
      <c r="C431" s="315"/>
      <c r="D431" s="504"/>
      <c r="E431" s="505"/>
      <c r="F431" s="506"/>
      <c r="G431" s="507"/>
      <c r="H431" s="508"/>
      <c r="I431" s="509"/>
      <c r="J431" s="510"/>
      <c r="K431" s="510"/>
      <c r="R431" s="67"/>
    </row>
    <row r="432">
      <c r="A432" s="503"/>
      <c r="B432" s="493"/>
      <c r="C432" s="315"/>
      <c r="D432" s="504"/>
      <c r="E432" s="505"/>
      <c r="F432" s="506"/>
      <c r="G432" s="507"/>
      <c r="H432" s="508"/>
      <c r="I432" s="509"/>
      <c r="J432" s="510"/>
      <c r="K432" s="510"/>
      <c r="R432" s="67"/>
    </row>
    <row r="433">
      <c r="A433" s="503"/>
      <c r="B433" s="493"/>
      <c r="C433" s="315"/>
      <c r="D433" s="504"/>
      <c r="E433" s="505"/>
      <c r="F433" s="506"/>
      <c r="G433" s="507"/>
      <c r="H433" s="508"/>
      <c r="I433" s="509"/>
      <c r="J433" s="510"/>
      <c r="K433" s="510"/>
      <c r="R433" s="67"/>
    </row>
    <row r="434">
      <c r="A434" s="503"/>
      <c r="B434" s="493"/>
      <c r="C434" s="315"/>
      <c r="D434" s="504"/>
      <c r="E434" s="505"/>
      <c r="F434" s="506"/>
      <c r="G434" s="507"/>
      <c r="H434" s="508"/>
      <c r="I434" s="509"/>
      <c r="J434" s="510"/>
      <c r="K434" s="510"/>
      <c r="R434" s="67"/>
    </row>
    <row r="435">
      <c r="A435" s="503"/>
      <c r="B435" s="493"/>
      <c r="C435" s="315"/>
      <c r="D435" s="504"/>
      <c r="E435" s="505"/>
      <c r="F435" s="506"/>
      <c r="G435" s="507"/>
      <c r="H435" s="508"/>
      <c r="I435" s="509"/>
      <c r="J435" s="510"/>
      <c r="K435" s="510"/>
      <c r="R435" s="67"/>
    </row>
    <row r="436">
      <c r="A436" s="503"/>
      <c r="B436" s="493"/>
      <c r="C436" s="315"/>
      <c r="D436" s="504"/>
      <c r="E436" s="505"/>
      <c r="F436" s="506"/>
      <c r="G436" s="507"/>
      <c r="H436" s="508"/>
      <c r="I436" s="509"/>
      <c r="J436" s="510"/>
      <c r="K436" s="510"/>
      <c r="R436" s="67"/>
    </row>
    <row r="437">
      <c r="A437" s="503"/>
      <c r="B437" s="493"/>
      <c r="C437" s="315"/>
      <c r="D437" s="504"/>
      <c r="E437" s="505"/>
      <c r="F437" s="506"/>
      <c r="G437" s="507"/>
      <c r="H437" s="508"/>
      <c r="I437" s="509"/>
      <c r="J437" s="510"/>
      <c r="K437" s="510"/>
      <c r="R437" s="67"/>
    </row>
    <row r="438">
      <c r="A438" s="503"/>
      <c r="B438" s="493"/>
      <c r="C438" s="315"/>
      <c r="D438" s="504"/>
      <c r="E438" s="505"/>
      <c r="F438" s="506"/>
      <c r="G438" s="507"/>
      <c r="H438" s="508"/>
      <c r="I438" s="509"/>
      <c r="J438" s="510"/>
      <c r="K438" s="510"/>
      <c r="R438" s="67"/>
    </row>
    <row r="439">
      <c r="A439" s="503"/>
      <c r="B439" s="493"/>
      <c r="C439" s="315"/>
      <c r="D439" s="504"/>
      <c r="E439" s="505"/>
      <c r="F439" s="506"/>
      <c r="G439" s="507"/>
      <c r="H439" s="508"/>
      <c r="I439" s="509"/>
      <c r="J439" s="510"/>
      <c r="K439" s="510"/>
      <c r="R439" s="67"/>
    </row>
    <row r="440">
      <c r="A440" s="503"/>
      <c r="B440" s="493"/>
      <c r="C440" s="315"/>
      <c r="D440" s="504"/>
      <c r="E440" s="505"/>
      <c r="F440" s="506"/>
      <c r="G440" s="507"/>
      <c r="H440" s="508"/>
      <c r="I440" s="509"/>
      <c r="J440" s="510"/>
      <c r="K440" s="510"/>
      <c r="R440" s="67"/>
    </row>
    <row r="441">
      <c r="A441" s="503"/>
      <c r="B441" s="493"/>
      <c r="C441" s="315"/>
      <c r="D441" s="504"/>
      <c r="E441" s="505"/>
      <c r="F441" s="506"/>
      <c r="G441" s="507"/>
      <c r="H441" s="508"/>
      <c r="I441" s="509"/>
      <c r="J441" s="510"/>
      <c r="K441" s="510"/>
      <c r="R441" s="67"/>
    </row>
    <row r="442">
      <c r="A442" s="503"/>
      <c r="B442" s="493"/>
      <c r="C442" s="315"/>
      <c r="D442" s="504"/>
      <c r="E442" s="505"/>
      <c r="F442" s="506"/>
      <c r="G442" s="507"/>
      <c r="H442" s="508"/>
      <c r="I442" s="509"/>
      <c r="J442" s="510"/>
      <c r="K442" s="510"/>
      <c r="R442" s="67"/>
    </row>
    <row r="443">
      <c r="A443" s="503"/>
      <c r="B443" s="493"/>
      <c r="C443" s="315"/>
      <c r="D443" s="504"/>
      <c r="E443" s="505"/>
      <c r="F443" s="506"/>
      <c r="G443" s="507"/>
      <c r="H443" s="508"/>
      <c r="I443" s="509"/>
      <c r="J443" s="510"/>
      <c r="K443" s="510"/>
      <c r="R443" s="67"/>
    </row>
    <row r="444">
      <c r="A444" s="503"/>
      <c r="B444" s="493"/>
      <c r="C444" s="315"/>
      <c r="D444" s="504"/>
      <c r="E444" s="505"/>
      <c r="F444" s="506"/>
      <c r="G444" s="507"/>
      <c r="H444" s="508"/>
      <c r="I444" s="509"/>
      <c r="J444" s="510"/>
      <c r="K444" s="510"/>
      <c r="R444" s="67"/>
    </row>
    <row r="445">
      <c r="A445" s="503"/>
      <c r="B445" s="493"/>
      <c r="C445" s="315"/>
      <c r="D445" s="504"/>
      <c r="E445" s="505"/>
      <c r="F445" s="506"/>
      <c r="G445" s="507"/>
      <c r="H445" s="508"/>
      <c r="I445" s="509"/>
      <c r="J445" s="510"/>
      <c r="K445" s="510"/>
      <c r="R445" s="67"/>
    </row>
    <row r="446">
      <c r="A446" s="503"/>
      <c r="B446" s="493"/>
      <c r="C446" s="315"/>
      <c r="D446" s="504"/>
      <c r="E446" s="505"/>
      <c r="F446" s="506"/>
      <c r="G446" s="507"/>
      <c r="H446" s="508"/>
      <c r="I446" s="509"/>
      <c r="J446" s="510"/>
      <c r="K446" s="510"/>
      <c r="R446" s="67"/>
    </row>
    <row r="447">
      <c r="A447" s="503"/>
      <c r="B447" s="493"/>
      <c r="C447" s="315"/>
      <c r="D447" s="504"/>
      <c r="E447" s="505"/>
      <c r="F447" s="506"/>
      <c r="G447" s="507"/>
      <c r="H447" s="508"/>
      <c r="I447" s="509"/>
      <c r="J447" s="510"/>
      <c r="K447" s="510"/>
      <c r="R447" s="67"/>
    </row>
    <row r="448">
      <c r="A448" s="503"/>
      <c r="B448" s="493"/>
      <c r="C448" s="315"/>
      <c r="D448" s="504"/>
      <c r="E448" s="505"/>
      <c r="F448" s="506"/>
      <c r="G448" s="507"/>
      <c r="H448" s="508"/>
      <c r="I448" s="509"/>
      <c r="J448" s="510"/>
      <c r="K448" s="510"/>
      <c r="R448" s="67"/>
    </row>
    <row r="449">
      <c r="A449" s="503"/>
      <c r="B449" s="493"/>
      <c r="C449" s="315"/>
      <c r="D449" s="504"/>
      <c r="E449" s="505"/>
      <c r="F449" s="506"/>
      <c r="G449" s="507"/>
      <c r="H449" s="508"/>
      <c r="I449" s="509"/>
      <c r="J449" s="510"/>
      <c r="K449" s="510"/>
      <c r="R449" s="67"/>
    </row>
    <row r="450">
      <c r="A450" s="503"/>
      <c r="B450" s="493"/>
      <c r="C450" s="315"/>
      <c r="D450" s="504"/>
      <c r="E450" s="505"/>
      <c r="F450" s="506"/>
      <c r="G450" s="507"/>
      <c r="H450" s="508"/>
      <c r="I450" s="509"/>
      <c r="J450" s="510"/>
      <c r="K450" s="510"/>
      <c r="R450" s="67"/>
    </row>
    <row r="451">
      <c r="A451" s="503"/>
      <c r="B451" s="493"/>
      <c r="C451" s="315"/>
      <c r="D451" s="504"/>
      <c r="E451" s="505"/>
      <c r="F451" s="506"/>
      <c r="G451" s="507"/>
      <c r="H451" s="508"/>
      <c r="I451" s="509"/>
      <c r="J451" s="510"/>
      <c r="K451" s="510"/>
      <c r="R451" s="67"/>
    </row>
    <row r="452">
      <c r="A452" s="503"/>
      <c r="B452" s="493"/>
      <c r="C452" s="315"/>
      <c r="D452" s="504"/>
      <c r="E452" s="505"/>
      <c r="F452" s="506"/>
      <c r="G452" s="507"/>
      <c r="H452" s="508"/>
      <c r="I452" s="509"/>
      <c r="J452" s="510"/>
      <c r="K452" s="510"/>
      <c r="R452" s="67"/>
    </row>
    <row r="453">
      <c r="A453" s="503"/>
      <c r="B453" s="493"/>
      <c r="C453" s="315"/>
      <c r="D453" s="504"/>
      <c r="E453" s="505"/>
      <c r="F453" s="506"/>
      <c r="G453" s="507"/>
      <c r="H453" s="508"/>
      <c r="I453" s="509"/>
      <c r="J453" s="510"/>
      <c r="K453" s="510"/>
      <c r="R453" s="67"/>
    </row>
    <row r="454">
      <c r="A454" s="503"/>
      <c r="B454" s="493"/>
      <c r="C454" s="315"/>
      <c r="D454" s="504"/>
      <c r="E454" s="505"/>
      <c r="F454" s="506"/>
      <c r="G454" s="507"/>
      <c r="H454" s="508"/>
      <c r="I454" s="509"/>
      <c r="J454" s="510"/>
      <c r="K454" s="510"/>
      <c r="R454" s="67"/>
    </row>
    <row r="455">
      <c r="A455" s="503"/>
      <c r="B455" s="493"/>
      <c r="C455" s="315"/>
      <c r="D455" s="504"/>
      <c r="E455" s="505"/>
      <c r="F455" s="506"/>
      <c r="G455" s="507"/>
      <c r="H455" s="508"/>
      <c r="I455" s="509"/>
      <c r="J455" s="510"/>
      <c r="K455" s="510"/>
      <c r="R455" s="67"/>
    </row>
    <row r="456">
      <c r="A456" s="503"/>
      <c r="B456" s="493"/>
      <c r="C456" s="315"/>
      <c r="D456" s="504"/>
      <c r="E456" s="505"/>
      <c r="F456" s="506"/>
      <c r="G456" s="507"/>
      <c r="H456" s="508"/>
      <c r="I456" s="509"/>
      <c r="J456" s="510"/>
      <c r="K456" s="510"/>
      <c r="R456" s="67"/>
    </row>
    <row r="457">
      <c r="A457" s="503"/>
      <c r="B457" s="493"/>
      <c r="C457" s="315"/>
      <c r="D457" s="504"/>
      <c r="E457" s="505"/>
      <c r="F457" s="506"/>
      <c r="G457" s="507"/>
      <c r="H457" s="508"/>
      <c r="I457" s="509"/>
      <c r="J457" s="510"/>
      <c r="K457" s="510"/>
      <c r="R457" s="67"/>
    </row>
    <row r="458">
      <c r="A458" s="503"/>
      <c r="B458" s="493"/>
      <c r="C458" s="315"/>
      <c r="D458" s="504"/>
      <c r="E458" s="505"/>
      <c r="F458" s="506"/>
      <c r="G458" s="507"/>
      <c r="H458" s="508"/>
      <c r="I458" s="509"/>
      <c r="J458" s="510"/>
      <c r="K458" s="510"/>
      <c r="R458" s="67"/>
    </row>
    <row r="459">
      <c r="A459" s="503"/>
      <c r="B459" s="493"/>
      <c r="C459" s="315"/>
      <c r="D459" s="504"/>
      <c r="E459" s="505"/>
      <c r="F459" s="506"/>
      <c r="G459" s="507"/>
      <c r="H459" s="508"/>
      <c r="I459" s="509"/>
      <c r="J459" s="510"/>
      <c r="K459" s="510"/>
      <c r="R459" s="67"/>
    </row>
    <row r="460">
      <c r="A460" s="503"/>
      <c r="B460" s="493"/>
      <c r="C460" s="315"/>
      <c r="D460" s="504"/>
      <c r="E460" s="505"/>
      <c r="F460" s="506"/>
      <c r="G460" s="507"/>
      <c r="H460" s="508"/>
      <c r="I460" s="509"/>
      <c r="J460" s="510"/>
      <c r="K460" s="510"/>
      <c r="R460" s="67"/>
    </row>
    <row r="461">
      <c r="A461" s="503"/>
      <c r="B461" s="493"/>
      <c r="C461" s="315"/>
      <c r="D461" s="504"/>
      <c r="E461" s="505"/>
      <c r="F461" s="506"/>
      <c r="G461" s="507"/>
      <c r="H461" s="508"/>
      <c r="I461" s="509"/>
      <c r="J461" s="510"/>
      <c r="K461" s="510"/>
      <c r="R461" s="67"/>
    </row>
    <row r="462">
      <c r="A462" s="503"/>
      <c r="B462" s="493"/>
      <c r="C462" s="315"/>
      <c r="D462" s="504"/>
      <c r="E462" s="505"/>
      <c r="F462" s="506"/>
      <c r="G462" s="507"/>
      <c r="H462" s="508"/>
      <c r="I462" s="509"/>
      <c r="J462" s="510"/>
      <c r="K462" s="510"/>
      <c r="R462" s="67"/>
    </row>
    <row r="463">
      <c r="A463" s="503"/>
      <c r="B463" s="493"/>
      <c r="C463" s="315"/>
      <c r="D463" s="504"/>
      <c r="E463" s="505"/>
      <c r="F463" s="506"/>
      <c r="G463" s="507"/>
      <c r="H463" s="508"/>
      <c r="I463" s="509"/>
      <c r="J463" s="510"/>
      <c r="K463" s="510"/>
      <c r="R463" s="67"/>
    </row>
    <row r="464">
      <c r="A464" s="503"/>
      <c r="B464" s="493"/>
      <c r="C464" s="315"/>
      <c r="D464" s="504"/>
      <c r="E464" s="505"/>
      <c r="F464" s="506"/>
      <c r="G464" s="507"/>
      <c r="H464" s="508"/>
      <c r="I464" s="509"/>
      <c r="J464" s="510"/>
      <c r="K464" s="510"/>
      <c r="R464" s="67"/>
    </row>
    <row r="465">
      <c r="A465" s="503"/>
      <c r="B465" s="493"/>
      <c r="C465" s="315"/>
      <c r="D465" s="504"/>
      <c r="E465" s="505"/>
      <c r="F465" s="506"/>
      <c r="G465" s="507"/>
      <c r="H465" s="508"/>
      <c r="I465" s="509"/>
      <c r="J465" s="510"/>
      <c r="K465" s="510"/>
      <c r="R465" s="67"/>
    </row>
    <row r="466">
      <c r="A466" s="503"/>
      <c r="B466" s="493"/>
      <c r="C466" s="315"/>
      <c r="D466" s="504"/>
      <c r="E466" s="505"/>
      <c r="F466" s="506"/>
      <c r="G466" s="507"/>
      <c r="H466" s="508"/>
      <c r="I466" s="509"/>
      <c r="J466" s="510"/>
      <c r="K466" s="510"/>
      <c r="R466" s="67"/>
    </row>
    <row r="467">
      <c r="A467" s="503"/>
      <c r="B467" s="493"/>
      <c r="C467" s="315"/>
      <c r="D467" s="504"/>
      <c r="E467" s="505"/>
      <c r="F467" s="506"/>
      <c r="G467" s="507"/>
      <c r="H467" s="508"/>
      <c r="I467" s="509"/>
      <c r="J467" s="510"/>
      <c r="K467" s="510"/>
      <c r="R467" s="67"/>
    </row>
    <row r="468">
      <c r="A468" s="503"/>
      <c r="B468" s="493"/>
      <c r="C468" s="315"/>
      <c r="D468" s="504"/>
      <c r="E468" s="505"/>
      <c r="F468" s="506"/>
      <c r="G468" s="507"/>
      <c r="H468" s="508"/>
      <c r="I468" s="509"/>
      <c r="J468" s="510"/>
      <c r="K468" s="510"/>
      <c r="R468" s="67"/>
    </row>
    <row r="469">
      <c r="A469" s="503"/>
      <c r="B469" s="493"/>
      <c r="C469" s="315"/>
      <c r="D469" s="504"/>
      <c r="E469" s="505"/>
      <c r="F469" s="506"/>
      <c r="G469" s="507"/>
      <c r="H469" s="508"/>
      <c r="I469" s="509"/>
      <c r="J469" s="510"/>
      <c r="K469" s="510"/>
      <c r="R469" s="67"/>
    </row>
    <row r="470">
      <c r="A470" s="503"/>
      <c r="B470" s="493"/>
      <c r="C470" s="315"/>
      <c r="D470" s="504"/>
      <c r="E470" s="505"/>
      <c r="F470" s="506"/>
      <c r="G470" s="507"/>
      <c r="H470" s="508"/>
      <c r="I470" s="509"/>
      <c r="J470" s="510"/>
      <c r="K470" s="510"/>
      <c r="R470" s="67"/>
    </row>
    <row r="471">
      <c r="A471" s="503"/>
      <c r="B471" s="493"/>
      <c r="C471" s="315"/>
      <c r="D471" s="504"/>
      <c r="E471" s="505"/>
      <c r="F471" s="506"/>
      <c r="G471" s="507"/>
      <c r="H471" s="508"/>
      <c r="I471" s="509"/>
      <c r="J471" s="510"/>
      <c r="K471" s="510"/>
      <c r="R471" s="67"/>
    </row>
    <row r="472">
      <c r="A472" s="503"/>
      <c r="B472" s="493"/>
      <c r="C472" s="315"/>
      <c r="D472" s="504"/>
      <c r="E472" s="505"/>
      <c r="F472" s="506"/>
      <c r="G472" s="507"/>
      <c r="H472" s="508"/>
      <c r="I472" s="509"/>
      <c r="J472" s="510"/>
      <c r="K472" s="510"/>
      <c r="R472" s="67"/>
    </row>
    <row r="473">
      <c r="A473" s="503"/>
      <c r="B473" s="493"/>
      <c r="C473" s="315"/>
      <c r="D473" s="504"/>
      <c r="E473" s="505"/>
      <c r="F473" s="506"/>
      <c r="G473" s="507"/>
      <c r="H473" s="508"/>
      <c r="I473" s="509"/>
      <c r="J473" s="510"/>
      <c r="K473" s="510"/>
      <c r="R473" s="67"/>
    </row>
    <row r="474">
      <c r="A474" s="503"/>
      <c r="B474" s="493"/>
      <c r="C474" s="315"/>
      <c r="D474" s="504"/>
      <c r="E474" s="505"/>
      <c r="F474" s="506"/>
      <c r="G474" s="507"/>
      <c r="H474" s="508"/>
      <c r="I474" s="509"/>
      <c r="J474" s="510"/>
      <c r="K474" s="510"/>
      <c r="R474" s="67"/>
    </row>
    <row r="475">
      <c r="A475" s="503"/>
      <c r="B475" s="493"/>
      <c r="C475" s="315"/>
      <c r="D475" s="504"/>
      <c r="E475" s="505"/>
      <c r="F475" s="506"/>
      <c r="G475" s="507"/>
      <c r="H475" s="508"/>
      <c r="I475" s="509"/>
      <c r="J475" s="510"/>
      <c r="K475" s="510"/>
      <c r="R475" s="67"/>
    </row>
    <row r="476">
      <c r="A476" s="503"/>
      <c r="B476" s="493"/>
      <c r="C476" s="315"/>
      <c r="D476" s="504"/>
      <c r="E476" s="505"/>
      <c r="F476" s="506"/>
      <c r="G476" s="507"/>
      <c r="H476" s="508"/>
      <c r="I476" s="509"/>
      <c r="J476" s="510"/>
      <c r="K476" s="510"/>
      <c r="R476" s="67"/>
    </row>
    <row r="477">
      <c r="A477" s="503"/>
      <c r="B477" s="493"/>
      <c r="C477" s="315"/>
      <c r="D477" s="504"/>
      <c r="E477" s="505"/>
      <c r="F477" s="506"/>
      <c r="G477" s="507"/>
      <c r="H477" s="508"/>
      <c r="I477" s="509"/>
      <c r="J477" s="510"/>
      <c r="K477" s="510"/>
      <c r="R477" s="67"/>
    </row>
    <row r="478">
      <c r="A478" s="503"/>
      <c r="B478" s="493"/>
      <c r="C478" s="315"/>
      <c r="D478" s="504"/>
      <c r="E478" s="505"/>
      <c r="F478" s="506"/>
      <c r="G478" s="507"/>
      <c r="H478" s="508"/>
      <c r="I478" s="509"/>
      <c r="J478" s="510"/>
      <c r="K478" s="510"/>
      <c r="R478" s="67"/>
    </row>
    <row r="479">
      <c r="A479" s="503"/>
      <c r="B479" s="493"/>
      <c r="C479" s="315"/>
      <c r="D479" s="504"/>
      <c r="E479" s="505"/>
      <c r="F479" s="506"/>
      <c r="G479" s="507"/>
      <c r="H479" s="508"/>
      <c r="I479" s="509"/>
      <c r="J479" s="510"/>
      <c r="K479" s="510"/>
      <c r="R479" s="67"/>
    </row>
    <row r="480">
      <c r="A480" s="503"/>
      <c r="B480" s="493"/>
      <c r="C480" s="315"/>
      <c r="D480" s="504"/>
      <c r="E480" s="505"/>
      <c r="F480" s="506"/>
      <c r="G480" s="507"/>
      <c r="H480" s="508"/>
      <c r="I480" s="509"/>
      <c r="J480" s="510"/>
      <c r="K480" s="510"/>
      <c r="R480" s="67"/>
    </row>
    <row r="481">
      <c r="A481" s="503"/>
      <c r="B481" s="493"/>
      <c r="C481" s="315"/>
      <c r="D481" s="504"/>
      <c r="E481" s="505"/>
      <c r="F481" s="506"/>
      <c r="G481" s="507"/>
      <c r="H481" s="508"/>
      <c r="I481" s="509"/>
      <c r="J481" s="510"/>
      <c r="K481" s="510"/>
      <c r="R481" s="67"/>
    </row>
    <row r="482">
      <c r="A482" s="503"/>
      <c r="B482" s="493"/>
      <c r="C482" s="315"/>
      <c r="D482" s="504"/>
      <c r="E482" s="505"/>
      <c r="F482" s="506"/>
      <c r="G482" s="507"/>
      <c r="H482" s="508"/>
      <c r="I482" s="509"/>
      <c r="J482" s="510"/>
      <c r="K482" s="510"/>
      <c r="R482" s="67"/>
    </row>
    <row r="483">
      <c r="A483" s="503"/>
      <c r="B483" s="493"/>
      <c r="C483" s="315"/>
      <c r="D483" s="504"/>
      <c r="E483" s="505"/>
      <c r="F483" s="506"/>
      <c r="G483" s="507"/>
      <c r="H483" s="508"/>
      <c r="I483" s="509"/>
      <c r="J483" s="510"/>
      <c r="K483" s="510"/>
      <c r="R483" s="67"/>
    </row>
    <row r="484">
      <c r="A484" s="503"/>
      <c r="B484" s="493"/>
      <c r="C484" s="315"/>
      <c r="D484" s="504"/>
      <c r="E484" s="505"/>
      <c r="F484" s="506"/>
      <c r="G484" s="507"/>
      <c r="H484" s="508"/>
      <c r="I484" s="509"/>
      <c r="J484" s="510"/>
      <c r="K484" s="510"/>
      <c r="R484" s="67"/>
    </row>
    <row r="485">
      <c r="A485" s="503"/>
      <c r="B485" s="493"/>
      <c r="C485" s="315"/>
      <c r="D485" s="504"/>
      <c r="E485" s="505"/>
      <c r="F485" s="506"/>
      <c r="G485" s="507"/>
      <c r="H485" s="508"/>
      <c r="I485" s="509"/>
      <c r="J485" s="510"/>
      <c r="K485" s="510"/>
      <c r="R485" s="67"/>
    </row>
    <row r="486">
      <c r="A486" s="503"/>
      <c r="B486" s="493"/>
      <c r="C486" s="315"/>
      <c r="D486" s="504"/>
      <c r="E486" s="505"/>
      <c r="F486" s="506"/>
      <c r="G486" s="507"/>
      <c r="H486" s="508"/>
      <c r="I486" s="509"/>
      <c r="J486" s="510"/>
      <c r="K486" s="510"/>
      <c r="R486" s="67"/>
    </row>
    <row r="487">
      <c r="A487" s="503"/>
      <c r="B487" s="493"/>
      <c r="C487" s="315"/>
      <c r="D487" s="504"/>
      <c r="E487" s="505"/>
      <c r="F487" s="506"/>
      <c r="G487" s="507"/>
      <c r="H487" s="508"/>
      <c r="I487" s="509"/>
      <c r="J487" s="510"/>
      <c r="K487" s="510"/>
      <c r="R487" s="67"/>
    </row>
    <row r="488">
      <c r="A488" s="503"/>
      <c r="B488" s="493"/>
      <c r="C488" s="315"/>
      <c r="D488" s="504"/>
      <c r="E488" s="505"/>
      <c r="F488" s="506"/>
      <c r="G488" s="507"/>
      <c r="H488" s="508"/>
      <c r="I488" s="509"/>
      <c r="J488" s="510"/>
      <c r="K488" s="510"/>
      <c r="R488" s="67"/>
    </row>
    <row r="489">
      <c r="A489" s="503"/>
      <c r="B489" s="493"/>
      <c r="C489" s="315"/>
      <c r="D489" s="504"/>
      <c r="E489" s="505"/>
      <c r="F489" s="506"/>
      <c r="G489" s="507"/>
      <c r="H489" s="508"/>
      <c r="I489" s="509"/>
      <c r="J489" s="510"/>
      <c r="K489" s="510"/>
      <c r="R489" s="67"/>
    </row>
    <row r="490">
      <c r="A490" s="503"/>
      <c r="B490" s="493"/>
      <c r="C490" s="315"/>
      <c r="D490" s="504"/>
      <c r="E490" s="505"/>
      <c r="F490" s="506"/>
      <c r="G490" s="507"/>
      <c r="H490" s="508"/>
      <c r="I490" s="509"/>
      <c r="J490" s="510"/>
      <c r="K490" s="510"/>
      <c r="R490" s="67"/>
    </row>
    <row r="491">
      <c r="A491" s="503"/>
      <c r="B491" s="493"/>
      <c r="C491" s="315"/>
      <c r="D491" s="504"/>
      <c r="E491" s="505"/>
      <c r="F491" s="506"/>
      <c r="G491" s="507"/>
      <c r="H491" s="508"/>
      <c r="I491" s="509"/>
      <c r="J491" s="510"/>
      <c r="K491" s="510"/>
      <c r="R491" s="67"/>
    </row>
    <row r="492">
      <c r="A492" s="503"/>
      <c r="B492" s="493"/>
      <c r="C492" s="315"/>
      <c r="D492" s="504"/>
      <c r="E492" s="505"/>
      <c r="F492" s="506"/>
      <c r="G492" s="507"/>
      <c r="H492" s="508"/>
      <c r="I492" s="509"/>
      <c r="J492" s="510"/>
      <c r="K492" s="510"/>
      <c r="R492" s="67"/>
    </row>
    <row r="493">
      <c r="A493" s="503"/>
      <c r="B493" s="493"/>
      <c r="C493" s="315"/>
      <c r="D493" s="504"/>
      <c r="E493" s="505"/>
      <c r="F493" s="506"/>
      <c r="G493" s="507"/>
      <c r="H493" s="508"/>
      <c r="I493" s="509"/>
      <c r="J493" s="510"/>
      <c r="K493" s="510"/>
      <c r="R493" s="67"/>
    </row>
    <row r="494">
      <c r="A494" s="503"/>
      <c r="B494" s="493"/>
      <c r="C494" s="315"/>
      <c r="D494" s="504"/>
      <c r="E494" s="505"/>
      <c r="F494" s="506"/>
      <c r="G494" s="507"/>
      <c r="H494" s="508"/>
      <c r="I494" s="509"/>
      <c r="J494" s="510"/>
      <c r="K494" s="510"/>
      <c r="R494" s="67"/>
    </row>
    <row r="495">
      <c r="A495" s="503"/>
      <c r="B495" s="493"/>
      <c r="C495" s="315"/>
      <c r="D495" s="504"/>
      <c r="E495" s="505"/>
      <c r="F495" s="506"/>
      <c r="G495" s="507"/>
      <c r="H495" s="508"/>
      <c r="I495" s="509"/>
      <c r="J495" s="510"/>
      <c r="K495" s="510"/>
      <c r="R495" s="67"/>
    </row>
    <row r="496">
      <c r="A496" s="503"/>
      <c r="B496" s="493"/>
      <c r="C496" s="315"/>
      <c r="D496" s="504"/>
      <c r="E496" s="505"/>
      <c r="F496" s="506"/>
      <c r="G496" s="507"/>
      <c r="H496" s="508"/>
      <c r="I496" s="509"/>
      <c r="J496" s="510"/>
      <c r="K496" s="510"/>
      <c r="R496" s="67"/>
    </row>
    <row r="497">
      <c r="A497" s="503"/>
      <c r="B497" s="493"/>
      <c r="C497" s="315"/>
      <c r="D497" s="504"/>
      <c r="E497" s="505"/>
      <c r="F497" s="506"/>
      <c r="G497" s="507"/>
      <c r="H497" s="508"/>
      <c r="I497" s="509"/>
      <c r="J497" s="510"/>
      <c r="K497" s="510"/>
      <c r="R497" s="67"/>
    </row>
    <row r="498">
      <c r="A498" s="503"/>
      <c r="B498" s="493"/>
      <c r="C498" s="315"/>
      <c r="D498" s="504"/>
      <c r="E498" s="505"/>
      <c r="F498" s="506"/>
      <c r="G498" s="507"/>
      <c r="H498" s="508"/>
      <c r="I498" s="509"/>
      <c r="J498" s="510"/>
      <c r="K498" s="510"/>
      <c r="R498" s="67"/>
    </row>
    <row r="499">
      <c r="A499" s="503"/>
      <c r="B499" s="493"/>
      <c r="C499" s="315"/>
      <c r="D499" s="504"/>
      <c r="E499" s="505"/>
      <c r="F499" s="506"/>
      <c r="G499" s="507"/>
      <c r="H499" s="508"/>
      <c r="I499" s="509"/>
      <c r="J499" s="510"/>
      <c r="K499" s="510"/>
      <c r="R499" s="67"/>
    </row>
    <row r="500">
      <c r="A500" s="503"/>
      <c r="B500" s="493"/>
      <c r="C500" s="315"/>
      <c r="D500" s="504"/>
      <c r="E500" s="505"/>
      <c r="F500" s="506"/>
      <c r="G500" s="507"/>
      <c r="H500" s="508"/>
      <c r="I500" s="509"/>
      <c r="J500" s="510"/>
      <c r="K500" s="510"/>
      <c r="R500" s="67"/>
    </row>
    <row r="501">
      <c r="A501" s="503"/>
      <c r="B501" s="493"/>
      <c r="C501" s="315"/>
      <c r="D501" s="504"/>
      <c r="E501" s="505"/>
      <c r="F501" s="506"/>
      <c r="G501" s="507"/>
      <c r="H501" s="508"/>
      <c r="I501" s="509"/>
      <c r="J501" s="510"/>
      <c r="K501" s="510"/>
      <c r="R501" s="67"/>
    </row>
    <row r="502">
      <c r="A502" s="503"/>
      <c r="B502" s="493"/>
      <c r="C502" s="315"/>
      <c r="D502" s="504"/>
      <c r="E502" s="505"/>
      <c r="F502" s="506"/>
      <c r="G502" s="507"/>
      <c r="H502" s="508"/>
      <c r="I502" s="509"/>
      <c r="J502" s="510"/>
      <c r="K502" s="510"/>
      <c r="R502" s="67"/>
    </row>
    <row r="503">
      <c r="A503" s="503"/>
      <c r="B503" s="493"/>
      <c r="C503" s="315"/>
      <c r="D503" s="504"/>
      <c r="E503" s="505"/>
      <c r="F503" s="506"/>
      <c r="G503" s="507"/>
      <c r="H503" s="508"/>
      <c r="I503" s="509"/>
      <c r="J503" s="510"/>
      <c r="K503" s="510"/>
      <c r="R503" s="67"/>
    </row>
    <row r="504">
      <c r="A504" s="503"/>
      <c r="B504" s="493"/>
      <c r="C504" s="315"/>
      <c r="D504" s="504"/>
      <c r="E504" s="505"/>
      <c r="F504" s="506"/>
      <c r="G504" s="507"/>
      <c r="H504" s="508"/>
      <c r="I504" s="509"/>
      <c r="J504" s="510"/>
      <c r="K504" s="510"/>
      <c r="R504" s="67"/>
    </row>
    <row r="505">
      <c r="A505" s="503"/>
      <c r="B505" s="493"/>
      <c r="C505" s="315"/>
      <c r="D505" s="504"/>
      <c r="E505" s="505"/>
      <c r="F505" s="506"/>
      <c r="G505" s="507"/>
      <c r="H505" s="508"/>
      <c r="I505" s="509"/>
      <c r="J505" s="510"/>
      <c r="K505" s="510"/>
      <c r="R505" s="67"/>
    </row>
    <row r="506">
      <c r="A506" s="503"/>
      <c r="B506" s="493"/>
      <c r="C506" s="315"/>
      <c r="D506" s="504"/>
      <c r="E506" s="505"/>
      <c r="F506" s="506"/>
      <c r="G506" s="507"/>
      <c r="H506" s="508"/>
      <c r="I506" s="509"/>
      <c r="J506" s="510"/>
      <c r="K506" s="510"/>
      <c r="R506" s="67"/>
    </row>
    <row r="507">
      <c r="A507" s="503"/>
      <c r="B507" s="493"/>
      <c r="C507" s="315"/>
      <c r="D507" s="504"/>
      <c r="E507" s="505"/>
      <c r="F507" s="506"/>
      <c r="G507" s="507"/>
      <c r="H507" s="508"/>
      <c r="I507" s="509"/>
      <c r="J507" s="510"/>
      <c r="K507" s="510"/>
      <c r="R507" s="67"/>
    </row>
    <row r="508">
      <c r="A508" s="503"/>
      <c r="B508" s="493"/>
      <c r="C508" s="315"/>
      <c r="D508" s="504"/>
      <c r="E508" s="505"/>
      <c r="F508" s="506"/>
      <c r="G508" s="507"/>
      <c r="H508" s="508"/>
      <c r="I508" s="509"/>
      <c r="J508" s="510"/>
      <c r="K508" s="510"/>
      <c r="R508" s="67"/>
    </row>
    <row r="509">
      <c r="A509" s="503"/>
      <c r="B509" s="493"/>
      <c r="C509" s="315"/>
      <c r="D509" s="504"/>
      <c r="E509" s="505"/>
      <c r="F509" s="506"/>
      <c r="G509" s="507"/>
      <c r="H509" s="508"/>
      <c r="I509" s="509"/>
      <c r="J509" s="510"/>
      <c r="K509" s="510"/>
      <c r="R509" s="67"/>
    </row>
    <row r="510">
      <c r="A510" s="503"/>
      <c r="B510" s="493"/>
      <c r="C510" s="315"/>
      <c r="D510" s="504"/>
      <c r="E510" s="505"/>
      <c r="F510" s="506"/>
      <c r="G510" s="507"/>
      <c r="H510" s="508"/>
      <c r="I510" s="509"/>
      <c r="J510" s="510"/>
      <c r="K510" s="510"/>
      <c r="R510" s="67"/>
    </row>
    <row r="511">
      <c r="A511" s="503"/>
      <c r="B511" s="493"/>
      <c r="C511" s="315"/>
      <c r="D511" s="504"/>
      <c r="E511" s="505"/>
      <c r="F511" s="506"/>
      <c r="G511" s="507"/>
      <c r="H511" s="508"/>
      <c r="I511" s="509"/>
      <c r="J511" s="510"/>
      <c r="K511" s="510"/>
      <c r="R511" s="67"/>
    </row>
    <row r="512">
      <c r="A512" s="503"/>
      <c r="B512" s="493"/>
      <c r="C512" s="315"/>
      <c r="D512" s="504"/>
      <c r="E512" s="505"/>
      <c r="F512" s="506"/>
      <c r="G512" s="507"/>
      <c r="H512" s="508"/>
      <c r="I512" s="509"/>
      <c r="J512" s="510"/>
      <c r="K512" s="510"/>
      <c r="R512" s="67"/>
    </row>
    <row r="513">
      <c r="A513" s="503"/>
      <c r="B513" s="493"/>
      <c r="C513" s="315"/>
      <c r="D513" s="504"/>
      <c r="E513" s="505"/>
      <c r="F513" s="506"/>
      <c r="G513" s="507"/>
      <c r="H513" s="508"/>
      <c r="I513" s="509"/>
      <c r="J513" s="510"/>
      <c r="K513" s="510"/>
      <c r="R513" s="67"/>
    </row>
    <row r="514">
      <c r="A514" s="503"/>
      <c r="B514" s="493"/>
      <c r="C514" s="315"/>
      <c r="D514" s="504"/>
      <c r="E514" s="505"/>
      <c r="F514" s="506"/>
      <c r="G514" s="507"/>
      <c r="H514" s="508"/>
      <c r="I514" s="509"/>
      <c r="J514" s="510"/>
      <c r="K514" s="510"/>
      <c r="R514" s="67"/>
    </row>
    <row r="515">
      <c r="A515" s="503"/>
      <c r="B515" s="493"/>
      <c r="C515" s="315"/>
      <c r="D515" s="504"/>
      <c r="E515" s="505"/>
      <c r="F515" s="506"/>
      <c r="G515" s="507"/>
      <c r="H515" s="508"/>
      <c r="I515" s="509"/>
      <c r="J515" s="510"/>
      <c r="K515" s="510"/>
      <c r="R515" s="67"/>
    </row>
    <row r="516">
      <c r="A516" s="503"/>
      <c r="B516" s="493"/>
      <c r="C516" s="315"/>
      <c r="D516" s="504"/>
      <c r="E516" s="505"/>
      <c r="F516" s="506"/>
      <c r="G516" s="507"/>
      <c r="H516" s="508"/>
      <c r="I516" s="509"/>
      <c r="J516" s="510"/>
      <c r="K516" s="510"/>
      <c r="R516" s="67"/>
    </row>
    <row r="517">
      <c r="A517" s="503"/>
      <c r="B517" s="493"/>
      <c r="C517" s="315"/>
      <c r="D517" s="504"/>
      <c r="E517" s="505"/>
      <c r="F517" s="506"/>
      <c r="G517" s="507"/>
      <c r="H517" s="508"/>
      <c r="I517" s="509"/>
      <c r="J517" s="510"/>
      <c r="K517" s="510"/>
      <c r="R517" s="67"/>
    </row>
    <row r="518">
      <c r="A518" s="503"/>
      <c r="B518" s="493"/>
      <c r="C518" s="315"/>
      <c r="D518" s="504"/>
      <c r="E518" s="505"/>
      <c r="F518" s="506"/>
      <c r="G518" s="507"/>
      <c r="H518" s="508"/>
      <c r="I518" s="509"/>
      <c r="J518" s="510"/>
      <c r="K518" s="510"/>
      <c r="R518" s="67"/>
    </row>
    <row r="519">
      <c r="A519" s="503"/>
      <c r="B519" s="493"/>
      <c r="C519" s="315"/>
      <c r="D519" s="504"/>
      <c r="E519" s="505"/>
      <c r="F519" s="506"/>
      <c r="G519" s="507"/>
      <c r="H519" s="508"/>
      <c r="I519" s="509"/>
      <c r="J519" s="510"/>
      <c r="K519" s="510"/>
      <c r="R519" s="67"/>
    </row>
    <row r="520">
      <c r="A520" s="503"/>
      <c r="B520" s="493"/>
      <c r="C520" s="315"/>
      <c r="D520" s="504"/>
      <c r="E520" s="505"/>
      <c r="F520" s="506"/>
      <c r="G520" s="507"/>
      <c r="H520" s="508"/>
      <c r="I520" s="509"/>
      <c r="J520" s="510"/>
      <c r="K520" s="510"/>
      <c r="R520" s="67"/>
    </row>
    <row r="521">
      <c r="A521" s="503"/>
      <c r="B521" s="493"/>
      <c r="C521" s="315"/>
      <c r="D521" s="504"/>
      <c r="E521" s="505"/>
      <c r="F521" s="506"/>
      <c r="G521" s="507"/>
      <c r="H521" s="508"/>
      <c r="I521" s="509"/>
      <c r="J521" s="510"/>
      <c r="K521" s="510"/>
      <c r="R521" s="67"/>
    </row>
    <row r="522">
      <c r="A522" s="503"/>
      <c r="B522" s="493"/>
      <c r="C522" s="315"/>
      <c r="D522" s="504"/>
      <c r="E522" s="505"/>
      <c r="F522" s="506"/>
      <c r="G522" s="507"/>
      <c r="H522" s="508"/>
      <c r="I522" s="509"/>
      <c r="J522" s="510"/>
      <c r="K522" s="510"/>
      <c r="R522" s="67"/>
    </row>
    <row r="523">
      <c r="A523" s="503"/>
      <c r="B523" s="493"/>
      <c r="C523" s="315"/>
      <c r="D523" s="504"/>
      <c r="E523" s="505"/>
      <c r="F523" s="506"/>
      <c r="G523" s="507"/>
      <c r="H523" s="508"/>
      <c r="I523" s="509"/>
      <c r="J523" s="510"/>
      <c r="K523" s="510"/>
      <c r="R523" s="67"/>
    </row>
    <row r="524">
      <c r="A524" s="503"/>
      <c r="B524" s="493"/>
      <c r="C524" s="315"/>
      <c r="D524" s="504"/>
      <c r="E524" s="505"/>
      <c r="F524" s="506"/>
      <c r="G524" s="507"/>
      <c r="H524" s="508"/>
      <c r="I524" s="509"/>
      <c r="J524" s="510"/>
      <c r="K524" s="510"/>
      <c r="R524" s="67"/>
    </row>
    <row r="525">
      <c r="A525" s="503"/>
      <c r="B525" s="493"/>
      <c r="C525" s="315"/>
      <c r="D525" s="504"/>
      <c r="E525" s="505"/>
      <c r="F525" s="506"/>
      <c r="G525" s="507"/>
      <c r="H525" s="508"/>
      <c r="I525" s="509"/>
      <c r="J525" s="510"/>
      <c r="K525" s="510"/>
      <c r="R525" s="67"/>
    </row>
    <row r="526">
      <c r="A526" s="503"/>
      <c r="B526" s="493"/>
      <c r="C526" s="315"/>
      <c r="D526" s="504"/>
      <c r="E526" s="505"/>
      <c r="F526" s="506"/>
      <c r="G526" s="507"/>
      <c r="H526" s="508"/>
      <c r="I526" s="509"/>
      <c r="J526" s="510"/>
      <c r="K526" s="510"/>
      <c r="R526" s="67"/>
    </row>
    <row r="527">
      <c r="A527" s="503"/>
      <c r="B527" s="493"/>
      <c r="C527" s="315"/>
      <c r="D527" s="504"/>
      <c r="E527" s="505"/>
      <c r="F527" s="506"/>
      <c r="G527" s="507"/>
      <c r="H527" s="508"/>
      <c r="I527" s="509"/>
      <c r="J527" s="510"/>
      <c r="K527" s="510"/>
      <c r="R527" s="67"/>
    </row>
    <row r="528">
      <c r="A528" s="503"/>
      <c r="B528" s="493"/>
      <c r="C528" s="315"/>
      <c r="D528" s="504"/>
      <c r="E528" s="505"/>
      <c r="F528" s="506"/>
      <c r="G528" s="507"/>
      <c r="H528" s="508"/>
      <c r="I528" s="509"/>
      <c r="J528" s="510"/>
      <c r="K528" s="510"/>
      <c r="R528" s="67"/>
    </row>
    <row r="529">
      <c r="A529" s="503"/>
      <c r="B529" s="493"/>
      <c r="C529" s="315"/>
      <c r="D529" s="504"/>
      <c r="E529" s="505"/>
      <c r="F529" s="506"/>
      <c r="G529" s="507"/>
      <c r="H529" s="508"/>
      <c r="I529" s="509"/>
      <c r="J529" s="510"/>
      <c r="K529" s="510"/>
      <c r="R529" s="67"/>
    </row>
    <row r="530">
      <c r="A530" s="503"/>
      <c r="B530" s="493"/>
      <c r="C530" s="315"/>
      <c r="D530" s="504"/>
      <c r="E530" s="505"/>
      <c r="F530" s="506"/>
      <c r="G530" s="507"/>
      <c r="H530" s="508"/>
      <c r="I530" s="509"/>
      <c r="J530" s="510"/>
      <c r="K530" s="510"/>
      <c r="R530" s="67"/>
    </row>
    <row r="531">
      <c r="A531" s="503"/>
      <c r="B531" s="493"/>
      <c r="C531" s="315"/>
      <c r="D531" s="504"/>
      <c r="E531" s="505"/>
      <c r="F531" s="506"/>
      <c r="G531" s="507"/>
      <c r="H531" s="508"/>
      <c r="I531" s="509"/>
      <c r="J531" s="510"/>
      <c r="K531" s="510"/>
      <c r="R531" s="67"/>
    </row>
    <row r="532">
      <c r="A532" s="503"/>
      <c r="B532" s="493"/>
      <c r="C532" s="315"/>
      <c r="D532" s="504"/>
      <c r="E532" s="505"/>
      <c r="F532" s="506"/>
      <c r="G532" s="507"/>
      <c r="H532" s="508"/>
      <c r="I532" s="509"/>
      <c r="J532" s="510"/>
      <c r="K532" s="510"/>
      <c r="R532" s="67"/>
    </row>
    <row r="533">
      <c r="A533" s="503"/>
      <c r="B533" s="493"/>
      <c r="C533" s="315"/>
      <c r="D533" s="504"/>
      <c r="E533" s="505"/>
      <c r="F533" s="506"/>
      <c r="G533" s="507"/>
      <c r="H533" s="508"/>
      <c r="I533" s="509"/>
      <c r="J533" s="510"/>
      <c r="K533" s="510"/>
      <c r="R533" s="67"/>
    </row>
    <row r="534">
      <c r="A534" s="503"/>
      <c r="B534" s="493"/>
      <c r="C534" s="315"/>
      <c r="D534" s="504"/>
      <c r="E534" s="505"/>
      <c r="F534" s="506"/>
      <c r="G534" s="507"/>
      <c r="H534" s="508"/>
      <c r="I534" s="509"/>
      <c r="J534" s="510"/>
      <c r="K534" s="510"/>
      <c r="R534" s="67"/>
    </row>
    <row r="535">
      <c r="A535" s="503"/>
      <c r="B535" s="493"/>
      <c r="C535" s="315"/>
      <c r="D535" s="504"/>
      <c r="E535" s="505"/>
      <c r="F535" s="506"/>
      <c r="G535" s="507"/>
      <c r="H535" s="508"/>
      <c r="I535" s="509"/>
      <c r="J535" s="510"/>
      <c r="K535" s="510"/>
      <c r="R535" s="67"/>
    </row>
    <row r="536">
      <c r="A536" s="503"/>
      <c r="B536" s="493"/>
      <c r="C536" s="315"/>
      <c r="D536" s="504"/>
      <c r="E536" s="505"/>
      <c r="F536" s="506"/>
      <c r="G536" s="507"/>
      <c r="H536" s="508"/>
      <c r="I536" s="509"/>
      <c r="J536" s="510"/>
      <c r="K536" s="510"/>
      <c r="R536" s="67"/>
    </row>
    <row r="537">
      <c r="A537" s="503"/>
      <c r="B537" s="493"/>
      <c r="C537" s="315"/>
      <c r="D537" s="504"/>
      <c r="E537" s="505"/>
      <c r="F537" s="506"/>
      <c r="G537" s="507"/>
      <c r="H537" s="508"/>
      <c r="I537" s="509"/>
      <c r="J537" s="510"/>
      <c r="K537" s="510"/>
      <c r="R537" s="67"/>
    </row>
    <row r="538">
      <c r="A538" s="503"/>
      <c r="B538" s="493"/>
      <c r="C538" s="315"/>
      <c r="D538" s="504"/>
      <c r="E538" s="505"/>
      <c r="F538" s="506"/>
      <c r="G538" s="507"/>
      <c r="H538" s="508"/>
      <c r="I538" s="509"/>
      <c r="J538" s="510"/>
      <c r="K538" s="510"/>
      <c r="R538" s="67"/>
    </row>
    <row r="539">
      <c r="A539" s="503"/>
      <c r="B539" s="493"/>
      <c r="C539" s="315"/>
      <c r="D539" s="504"/>
      <c r="E539" s="505"/>
      <c r="F539" s="506"/>
      <c r="G539" s="507"/>
      <c r="H539" s="508"/>
      <c r="I539" s="509"/>
      <c r="J539" s="510"/>
      <c r="K539" s="510"/>
      <c r="R539" s="67"/>
    </row>
    <row r="540">
      <c r="A540" s="503"/>
      <c r="B540" s="493"/>
      <c r="C540" s="315"/>
      <c r="D540" s="504"/>
      <c r="E540" s="505"/>
      <c r="F540" s="506"/>
      <c r="G540" s="507"/>
      <c r="H540" s="508"/>
      <c r="I540" s="509"/>
      <c r="J540" s="510"/>
      <c r="K540" s="510"/>
      <c r="R540" s="67"/>
    </row>
    <row r="541">
      <c r="A541" s="503"/>
      <c r="B541" s="493"/>
      <c r="C541" s="315"/>
      <c r="D541" s="504"/>
      <c r="E541" s="505"/>
      <c r="F541" s="506"/>
      <c r="G541" s="507"/>
      <c r="H541" s="508"/>
      <c r="I541" s="509"/>
      <c r="J541" s="510"/>
      <c r="K541" s="510"/>
      <c r="R541" s="67"/>
    </row>
    <row r="542">
      <c r="A542" s="503"/>
      <c r="B542" s="493"/>
      <c r="C542" s="315"/>
      <c r="D542" s="504"/>
      <c r="E542" s="505"/>
      <c r="F542" s="506"/>
      <c r="G542" s="507"/>
      <c r="H542" s="508"/>
      <c r="I542" s="509"/>
      <c r="J542" s="510"/>
      <c r="K542" s="510"/>
      <c r="R542" s="67"/>
    </row>
    <row r="543">
      <c r="A543" s="503"/>
      <c r="B543" s="493"/>
      <c r="C543" s="315"/>
      <c r="D543" s="504"/>
      <c r="E543" s="505"/>
      <c r="F543" s="506"/>
      <c r="G543" s="507"/>
      <c r="H543" s="508"/>
      <c r="I543" s="509"/>
      <c r="J543" s="510"/>
      <c r="K543" s="510"/>
      <c r="R543" s="67"/>
    </row>
    <row r="544">
      <c r="A544" s="503"/>
      <c r="B544" s="493"/>
      <c r="C544" s="315"/>
      <c r="D544" s="504"/>
      <c r="E544" s="505"/>
      <c r="F544" s="506"/>
      <c r="G544" s="507"/>
      <c r="H544" s="508"/>
      <c r="I544" s="509"/>
      <c r="J544" s="510"/>
      <c r="K544" s="510"/>
      <c r="R544" s="67"/>
    </row>
    <row r="545">
      <c r="A545" s="503"/>
      <c r="B545" s="493"/>
      <c r="C545" s="315"/>
      <c r="D545" s="504"/>
      <c r="E545" s="505"/>
      <c r="F545" s="506"/>
      <c r="G545" s="507"/>
      <c r="H545" s="508"/>
      <c r="I545" s="509"/>
      <c r="J545" s="510"/>
      <c r="K545" s="510"/>
      <c r="R545" s="67"/>
    </row>
    <row r="546">
      <c r="A546" s="503"/>
      <c r="B546" s="493"/>
      <c r="C546" s="315"/>
      <c r="D546" s="504"/>
      <c r="E546" s="505"/>
      <c r="F546" s="506"/>
      <c r="G546" s="507"/>
      <c r="H546" s="508"/>
      <c r="I546" s="509"/>
      <c r="J546" s="510"/>
      <c r="K546" s="510"/>
      <c r="R546" s="67"/>
    </row>
    <row r="547">
      <c r="A547" s="503"/>
      <c r="B547" s="493"/>
      <c r="C547" s="315"/>
      <c r="D547" s="504"/>
      <c r="E547" s="505"/>
      <c r="F547" s="506"/>
      <c r="G547" s="507"/>
      <c r="H547" s="508"/>
      <c r="I547" s="509"/>
      <c r="J547" s="510"/>
      <c r="K547" s="510"/>
      <c r="R547" s="67"/>
    </row>
    <row r="548">
      <c r="A548" s="503"/>
      <c r="B548" s="493"/>
      <c r="C548" s="315"/>
      <c r="D548" s="504"/>
      <c r="E548" s="505"/>
      <c r="F548" s="506"/>
      <c r="G548" s="507"/>
      <c r="H548" s="508"/>
      <c r="I548" s="509"/>
      <c r="J548" s="510"/>
      <c r="K548" s="510"/>
      <c r="R548" s="67"/>
    </row>
    <row r="549">
      <c r="A549" s="503"/>
      <c r="B549" s="493"/>
      <c r="C549" s="315"/>
      <c r="D549" s="504"/>
      <c r="E549" s="505"/>
      <c r="F549" s="506"/>
      <c r="G549" s="507"/>
      <c r="H549" s="508"/>
      <c r="I549" s="509"/>
      <c r="J549" s="510"/>
      <c r="K549" s="510"/>
      <c r="R549" s="67"/>
    </row>
    <row r="550">
      <c r="A550" s="503"/>
      <c r="B550" s="493"/>
      <c r="C550" s="315"/>
      <c r="D550" s="504"/>
      <c r="E550" s="505"/>
      <c r="F550" s="506"/>
      <c r="G550" s="507"/>
      <c r="H550" s="508"/>
      <c r="I550" s="509"/>
      <c r="J550" s="510"/>
      <c r="K550" s="510"/>
      <c r="R550" s="67"/>
    </row>
    <row r="551">
      <c r="A551" s="503"/>
      <c r="B551" s="493"/>
      <c r="C551" s="315"/>
      <c r="D551" s="504"/>
      <c r="E551" s="505"/>
      <c r="F551" s="506"/>
      <c r="G551" s="507"/>
      <c r="H551" s="508"/>
      <c r="I551" s="509"/>
      <c r="J551" s="510"/>
      <c r="K551" s="510"/>
      <c r="R551" s="67"/>
    </row>
    <row r="552">
      <c r="A552" s="503"/>
      <c r="B552" s="493"/>
      <c r="C552" s="315"/>
      <c r="D552" s="504"/>
      <c r="E552" s="505"/>
      <c r="F552" s="506"/>
      <c r="G552" s="507"/>
      <c r="H552" s="508"/>
      <c r="I552" s="509"/>
      <c r="J552" s="510"/>
      <c r="K552" s="510"/>
      <c r="R552" s="67"/>
    </row>
    <row r="553">
      <c r="A553" s="503"/>
      <c r="B553" s="493"/>
      <c r="C553" s="315"/>
      <c r="D553" s="504"/>
      <c r="E553" s="505"/>
      <c r="F553" s="506"/>
      <c r="G553" s="507"/>
      <c r="H553" s="508"/>
      <c r="I553" s="509"/>
      <c r="J553" s="510"/>
      <c r="K553" s="510"/>
      <c r="R553" s="67"/>
    </row>
    <row r="554">
      <c r="A554" s="503"/>
      <c r="B554" s="493"/>
      <c r="C554" s="315"/>
      <c r="D554" s="504"/>
      <c r="E554" s="505"/>
      <c r="F554" s="506"/>
      <c r="G554" s="507"/>
      <c r="H554" s="508"/>
      <c r="I554" s="509"/>
      <c r="J554" s="510"/>
      <c r="K554" s="510"/>
      <c r="R554" s="67"/>
    </row>
    <row r="555">
      <c r="A555" s="503"/>
      <c r="B555" s="493"/>
      <c r="C555" s="315"/>
      <c r="D555" s="504"/>
      <c r="E555" s="505"/>
      <c r="F555" s="506"/>
      <c r="G555" s="507"/>
      <c r="H555" s="508"/>
      <c r="I555" s="509"/>
      <c r="J555" s="510"/>
      <c r="K555" s="510"/>
      <c r="R555" s="67"/>
    </row>
    <row r="556">
      <c r="A556" s="503"/>
      <c r="B556" s="493"/>
      <c r="C556" s="315"/>
      <c r="D556" s="504"/>
      <c r="E556" s="505"/>
      <c r="F556" s="506"/>
      <c r="G556" s="507"/>
      <c r="H556" s="508"/>
      <c r="I556" s="509"/>
      <c r="J556" s="510"/>
      <c r="K556" s="510"/>
      <c r="R556" s="67"/>
    </row>
    <row r="557">
      <c r="A557" s="503"/>
      <c r="B557" s="493"/>
      <c r="C557" s="315"/>
      <c r="D557" s="504"/>
      <c r="E557" s="505"/>
      <c r="F557" s="506"/>
      <c r="G557" s="507"/>
      <c r="H557" s="508"/>
      <c r="I557" s="509"/>
      <c r="J557" s="510"/>
      <c r="K557" s="510"/>
      <c r="R557" s="67"/>
    </row>
    <row r="558">
      <c r="A558" s="503"/>
      <c r="B558" s="493"/>
      <c r="C558" s="315"/>
      <c r="D558" s="504"/>
      <c r="E558" s="505"/>
      <c r="F558" s="506"/>
      <c r="G558" s="507"/>
      <c r="H558" s="508"/>
      <c r="I558" s="509"/>
      <c r="J558" s="510"/>
      <c r="K558" s="510"/>
      <c r="R558" s="67"/>
    </row>
    <row r="559">
      <c r="A559" s="503"/>
      <c r="B559" s="493"/>
      <c r="C559" s="315"/>
      <c r="D559" s="504"/>
      <c r="E559" s="505"/>
      <c r="F559" s="506"/>
      <c r="G559" s="507"/>
      <c r="H559" s="508"/>
      <c r="I559" s="509"/>
      <c r="J559" s="510"/>
      <c r="K559" s="510"/>
      <c r="R559" s="67"/>
    </row>
    <row r="560">
      <c r="A560" s="503"/>
      <c r="B560" s="493"/>
      <c r="C560" s="315"/>
      <c r="D560" s="504"/>
      <c r="E560" s="505"/>
      <c r="F560" s="506"/>
      <c r="G560" s="507"/>
      <c r="H560" s="508"/>
      <c r="I560" s="509"/>
      <c r="J560" s="510"/>
      <c r="K560" s="510"/>
      <c r="R560" s="67"/>
    </row>
    <row r="561">
      <c r="A561" s="503"/>
      <c r="B561" s="493"/>
      <c r="C561" s="315"/>
      <c r="D561" s="504"/>
      <c r="E561" s="505"/>
      <c r="F561" s="506"/>
      <c r="G561" s="507"/>
      <c r="H561" s="508"/>
      <c r="I561" s="509"/>
      <c r="J561" s="510"/>
      <c r="K561" s="510"/>
      <c r="R561" s="67"/>
    </row>
    <row r="562">
      <c r="A562" s="503"/>
      <c r="B562" s="493"/>
      <c r="C562" s="315"/>
      <c r="D562" s="504"/>
      <c r="E562" s="505"/>
      <c r="F562" s="506"/>
      <c r="G562" s="507"/>
      <c r="H562" s="508"/>
      <c r="I562" s="509"/>
      <c r="J562" s="510"/>
      <c r="K562" s="510"/>
      <c r="R562" s="67"/>
    </row>
    <row r="563">
      <c r="A563" s="503"/>
      <c r="B563" s="493"/>
      <c r="C563" s="315"/>
      <c r="D563" s="504"/>
      <c r="E563" s="505"/>
      <c r="F563" s="506"/>
      <c r="G563" s="507"/>
      <c r="H563" s="508"/>
      <c r="I563" s="509"/>
      <c r="J563" s="510"/>
      <c r="K563" s="510"/>
      <c r="R563" s="67"/>
    </row>
    <row r="564">
      <c r="A564" s="503"/>
      <c r="B564" s="493"/>
      <c r="C564" s="315"/>
      <c r="D564" s="504"/>
      <c r="E564" s="505"/>
      <c r="F564" s="506"/>
      <c r="G564" s="507"/>
      <c r="H564" s="508"/>
      <c r="I564" s="509"/>
      <c r="J564" s="510"/>
      <c r="K564" s="510"/>
      <c r="R564" s="67"/>
    </row>
    <row r="565">
      <c r="A565" s="503"/>
      <c r="B565" s="493"/>
      <c r="C565" s="315"/>
      <c r="D565" s="504"/>
      <c r="E565" s="505"/>
      <c r="F565" s="506"/>
      <c r="G565" s="507"/>
      <c r="H565" s="508"/>
      <c r="I565" s="509"/>
      <c r="J565" s="510"/>
      <c r="K565" s="510"/>
      <c r="R565" s="67"/>
    </row>
    <row r="566">
      <c r="A566" s="503"/>
      <c r="B566" s="493"/>
      <c r="C566" s="315"/>
      <c r="D566" s="504"/>
      <c r="E566" s="505"/>
      <c r="F566" s="506"/>
      <c r="G566" s="507"/>
      <c r="H566" s="508"/>
      <c r="I566" s="509"/>
      <c r="J566" s="510"/>
      <c r="K566" s="510"/>
      <c r="R566" s="67"/>
    </row>
    <row r="567">
      <c r="A567" s="503"/>
      <c r="B567" s="493"/>
      <c r="C567" s="315"/>
      <c r="D567" s="504"/>
      <c r="E567" s="505"/>
      <c r="F567" s="506"/>
      <c r="G567" s="507"/>
      <c r="H567" s="508"/>
      <c r="I567" s="509"/>
      <c r="J567" s="510"/>
      <c r="K567" s="510"/>
      <c r="R567" s="67"/>
    </row>
    <row r="568">
      <c r="A568" s="503"/>
      <c r="B568" s="493"/>
      <c r="C568" s="315"/>
      <c r="D568" s="504"/>
      <c r="E568" s="505"/>
      <c r="F568" s="506"/>
      <c r="G568" s="507"/>
      <c r="H568" s="508"/>
      <c r="I568" s="509"/>
      <c r="J568" s="510"/>
      <c r="K568" s="510"/>
      <c r="R568" s="67"/>
    </row>
    <row r="569">
      <c r="A569" s="503"/>
      <c r="B569" s="493"/>
      <c r="C569" s="315"/>
      <c r="D569" s="504"/>
      <c r="E569" s="505"/>
      <c r="F569" s="506"/>
      <c r="G569" s="507"/>
      <c r="H569" s="508"/>
      <c r="I569" s="509"/>
      <c r="J569" s="510"/>
      <c r="K569" s="510"/>
      <c r="R569" s="67"/>
    </row>
    <row r="570">
      <c r="A570" s="503"/>
      <c r="B570" s="493"/>
      <c r="C570" s="315"/>
      <c r="D570" s="504"/>
      <c r="E570" s="505"/>
      <c r="F570" s="506"/>
      <c r="G570" s="507"/>
      <c r="H570" s="508"/>
      <c r="I570" s="509"/>
      <c r="J570" s="510"/>
      <c r="K570" s="510"/>
      <c r="R570" s="67"/>
    </row>
    <row r="571">
      <c r="A571" s="503"/>
      <c r="B571" s="493"/>
      <c r="C571" s="315"/>
      <c r="D571" s="504"/>
      <c r="E571" s="505"/>
      <c r="F571" s="506"/>
      <c r="G571" s="507"/>
      <c r="H571" s="508"/>
      <c r="I571" s="509"/>
      <c r="J571" s="510"/>
      <c r="K571" s="510"/>
      <c r="R571" s="67"/>
    </row>
    <row r="572">
      <c r="A572" s="503"/>
      <c r="B572" s="493"/>
      <c r="C572" s="315"/>
      <c r="D572" s="504"/>
      <c r="E572" s="505"/>
      <c r="F572" s="506"/>
      <c r="G572" s="507"/>
      <c r="H572" s="508"/>
      <c r="I572" s="509"/>
      <c r="J572" s="510"/>
      <c r="K572" s="510"/>
      <c r="R572" s="67"/>
    </row>
    <row r="573">
      <c r="A573" s="503"/>
      <c r="B573" s="493"/>
      <c r="C573" s="315"/>
      <c r="D573" s="504"/>
      <c r="E573" s="505"/>
      <c r="F573" s="506"/>
      <c r="G573" s="507"/>
      <c r="H573" s="508"/>
      <c r="I573" s="509"/>
      <c r="J573" s="510"/>
      <c r="K573" s="510"/>
      <c r="R573" s="67"/>
    </row>
    <row r="574">
      <c r="A574" s="503"/>
      <c r="B574" s="493"/>
      <c r="C574" s="315"/>
      <c r="D574" s="504"/>
      <c r="E574" s="505"/>
      <c r="F574" s="506"/>
      <c r="G574" s="507"/>
      <c r="H574" s="508"/>
      <c r="I574" s="509"/>
      <c r="J574" s="510"/>
      <c r="K574" s="510"/>
      <c r="R574" s="67"/>
    </row>
    <row r="575">
      <c r="A575" s="503"/>
      <c r="B575" s="493"/>
      <c r="C575" s="315"/>
      <c r="D575" s="504"/>
      <c r="E575" s="505"/>
      <c r="F575" s="506"/>
      <c r="G575" s="507"/>
      <c r="H575" s="508"/>
      <c r="I575" s="509"/>
      <c r="J575" s="510"/>
      <c r="K575" s="510"/>
      <c r="R575" s="67"/>
    </row>
    <row r="576">
      <c r="A576" s="503"/>
      <c r="B576" s="493"/>
      <c r="C576" s="315"/>
      <c r="D576" s="504"/>
      <c r="E576" s="505"/>
      <c r="F576" s="506"/>
      <c r="G576" s="507"/>
      <c r="H576" s="508"/>
      <c r="I576" s="509"/>
      <c r="J576" s="510"/>
      <c r="K576" s="510"/>
      <c r="R576" s="67"/>
    </row>
    <row r="577">
      <c r="A577" s="503"/>
      <c r="B577" s="493"/>
      <c r="C577" s="315"/>
      <c r="D577" s="504"/>
      <c r="E577" s="505"/>
      <c r="F577" s="506"/>
      <c r="G577" s="507"/>
      <c r="H577" s="508"/>
      <c r="I577" s="509"/>
      <c r="J577" s="510"/>
      <c r="K577" s="510"/>
      <c r="R577" s="67"/>
    </row>
    <row r="578">
      <c r="A578" s="503"/>
      <c r="B578" s="493"/>
      <c r="C578" s="315"/>
      <c r="D578" s="504"/>
      <c r="E578" s="505"/>
      <c r="F578" s="506"/>
      <c r="G578" s="507"/>
      <c r="H578" s="508"/>
      <c r="I578" s="509"/>
      <c r="J578" s="510"/>
      <c r="K578" s="510"/>
      <c r="R578" s="67"/>
    </row>
    <row r="579">
      <c r="A579" s="503"/>
      <c r="B579" s="493"/>
      <c r="C579" s="315"/>
      <c r="D579" s="504"/>
      <c r="E579" s="505"/>
      <c r="F579" s="506"/>
      <c r="G579" s="507"/>
      <c r="H579" s="508"/>
      <c r="I579" s="509"/>
      <c r="J579" s="510"/>
      <c r="K579" s="510"/>
      <c r="R579" s="67"/>
    </row>
    <row r="580">
      <c r="A580" s="503"/>
      <c r="B580" s="493"/>
      <c r="C580" s="315"/>
      <c r="D580" s="504"/>
      <c r="E580" s="505"/>
      <c r="F580" s="506"/>
      <c r="G580" s="507"/>
      <c r="H580" s="508"/>
      <c r="I580" s="509"/>
      <c r="J580" s="510"/>
      <c r="K580" s="510"/>
      <c r="R580" s="67"/>
    </row>
    <row r="581">
      <c r="A581" s="503"/>
      <c r="B581" s="493"/>
      <c r="C581" s="315"/>
      <c r="D581" s="504"/>
      <c r="E581" s="505"/>
      <c r="F581" s="506"/>
      <c r="G581" s="507"/>
      <c r="H581" s="508"/>
      <c r="I581" s="509"/>
      <c r="J581" s="510"/>
      <c r="K581" s="510"/>
      <c r="R581" s="67"/>
    </row>
    <row r="582">
      <c r="A582" s="503"/>
      <c r="B582" s="493"/>
      <c r="C582" s="315"/>
      <c r="D582" s="504"/>
      <c r="E582" s="505"/>
      <c r="F582" s="506"/>
      <c r="G582" s="507"/>
      <c r="H582" s="508"/>
      <c r="I582" s="509"/>
      <c r="J582" s="510"/>
      <c r="K582" s="510"/>
      <c r="R582" s="67"/>
    </row>
    <row r="583">
      <c r="A583" s="503"/>
      <c r="B583" s="493"/>
      <c r="C583" s="315"/>
      <c r="D583" s="504"/>
      <c r="E583" s="505"/>
      <c r="F583" s="506"/>
      <c r="G583" s="507"/>
      <c r="H583" s="508"/>
      <c r="I583" s="509"/>
      <c r="J583" s="510"/>
      <c r="K583" s="510"/>
      <c r="R583" s="67"/>
    </row>
    <row r="584">
      <c r="A584" s="503"/>
      <c r="B584" s="493"/>
      <c r="C584" s="315"/>
      <c r="D584" s="504"/>
      <c r="E584" s="505"/>
      <c r="F584" s="506"/>
      <c r="G584" s="507"/>
      <c r="H584" s="508"/>
      <c r="I584" s="509"/>
      <c r="J584" s="510"/>
      <c r="K584" s="510"/>
      <c r="R584" s="67"/>
    </row>
    <row r="585">
      <c r="A585" s="503"/>
      <c r="B585" s="493"/>
      <c r="C585" s="315"/>
      <c r="D585" s="504"/>
      <c r="E585" s="505"/>
      <c r="F585" s="506"/>
      <c r="G585" s="507"/>
      <c r="H585" s="508"/>
      <c r="I585" s="509"/>
      <c r="J585" s="510"/>
      <c r="K585" s="510"/>
      <c r="R585" s="67"/>
    </row>
    <row r="586">
      <c r="A586" s="503"/>
      <c r="B586" s="493"/>
      <c r="C586" s="315"/>
      <c r="D586" s="504"/>
      <c r="E586" s="505"/>
      <c r="F586" s="506"/>
      <c r="G586" s="507"/>
      <c r="H586" s="508"/>
      <c r="I586" s="509"/>
      <c r="J586" s="510"/>
      <c r="K586" s="510"/>
      <c r="R586" s="67"/>
    </row>
    <row r="587">
      <c r="A587" s="503"/>
      <c r="B587" s="493"/>
      <c r="C587" s="315"/>
      <c r="D587" s="504"/>
      <c r="E587" s="505"/>
      <c r="F587" s="506"/>
      <c r="G587" s="507"/>
      <c r="H587" s="508"/>
      <c r="I587" s="509"/>
      <c r="J587" s="510"/>
      <c r="K587" s="510"/>
      <c r="R587" s="67"/>
    </row>
    <row r="588">
      <c r="A588" s="503"/>
      <c r="B588" s="493"/>
      <c r="C588" s="315"/>
      <c r="D588" s="504"/>
      <c r="E588" s="505"/>
      <c r="F588" s="506"/>
      <c r="G588" s="507"/>
      <c r="H588" s="508"/>
      <c r="I588" s="509"/>
      <c r="J588" s="510"/>
      <c r="K588" s="510"/>
      <c r="R588" s="67"/>
    </row>
    <row r="589">
      <c r="A589" s="503"/>
      <c r="B589" s="493"/>
      <c r="C589" s="315"/>
      <c r="D589" s="504"/>
      <c r="E589" s="505"/>
      <c r="F589" s="506"/>
      <c r="G589" s="507"/>
      <c r="H589" s="508"/>
      <c r="I589" s="509"/>
      <c r="J589" s="510"/>
      <c r="K589" s="510"/>
      <c r="R589" s="67"/>
    </row>
    <row r="590">
      <c r="A590" s="503"/>
      <c r="B590" s="493"/>
      <c r="C590" s="315"/>
      <c r="D590" s="504"/>
      <c r="E590" s="505"/>
      <c r="F590" s="506"/>
      <c r="G590" s="507"/>
      <c r="H590" s="508"/>
      <c r="I590" s="509"/>
      <c r="J590" s="510"/>
      <c r="K590" s="510"/>
      <c r="R590" s="67"/>
    </row>
    <row r="591">
      <c r="A591" s="503"/>
      <c r="B591" s="493"/>
      <c r="C591" s="315"/>
      <c r="D591" s="504"/>
      <c r="E591" s="505"/>
      <c r="F591" s="506"/>
      <c r="G591" s="507"/>
      <c r="H591" s="508"/>
      <c r="I591" s="509"/>
      <c r="J591" s="510"/>
      <c r="K591" s="510"/>
      <c r="R591" s="67"/>
    </row>
    <row r="592">
      <c r="A592" s="503"/>
      <c r="B592" s="493"/>
      <c r="C592" s="315"/>
      <c r="D592" s="504"/>
      <c r="E592" s="505"/>
      <c r="F592" s="506"/>
      <c r="G592" s="507"/>
      <c r="H592" s="508"/>
      <c r="I592" s="509"/>
      <c r="J592" s="510"/>
      <c r="K592" s="510"/>
      <c r="R592" s="67"/>
    </row>
    <row r="593">
      <c r="A593" s="503"/>
      <c r="B593" s="493"/>
      <c r="C593" s="315"/>
      <c r="D593" s="504"/>
      <c r="E593" s="505"/>
      <c r="F593" s="506"/>
      <c r="G593" s="507"/>
      <c r="H593" s="508"/>
      <c r="I593" s="509"/>
      <c r="J593" s="510"/>
      <c r="K593" s="510"/>
      <c r="R593" s="67"/>
    </row>
    <row r="594">
      <c r="A594" s="503"/>
      <c r="B594" s="493"/>
      <c r="C594" s="315"/>
      <c r="D594" s="504"/>
      <c r="E594" s="505"/>
      <c r="F594" s="506"/>
      <c r="G594" s="507"/>
      <c r="H594" s="508"/>
      <c r="I594" s="509"/>
      <c r="J594" s="510"/>
      <c r="K594" s="510"/>
      <c r="R594" s="67"/>
    </row>
    <row r="595">
      <c r="A595" s="503"/>
      <c r="B595" s="493"/>
      <c r="C595" s="315"/>
      <c r="D595" s="504"/>
      <c r="E595" s="505"/>
      <c r="F595" s="506"/>
      <c r="G595" s="507"/>
      <c r="H595" s="508"/>
      <c r="I595" s="509"/>
      <c r="J595" s="510"/>
      <c r="K595" s="510"/>
      <c r="R595" s="67"/>
    </row>
    <row r="596">
      <c r="A596" s="503"/>
      <c r="B596" s="493"/>
      <c r="C596" s="315"/>
      <c r="D596" s="504"/>
      <c r="E596" s="505"/>
      <c r="F596" s="506"/>
      <c r="G596" s="507"/>
      <c r="H596" s="508"/>
      <c r="I596" s="509"/>
      <c r="J596" s="510"/>
      <c r="K596" s="510"/>
      <c r="R596" s="67"/>
    </row>
    <row r="597">
      <c r="A597" s="503"/>
      <c r="B597" s="493"/>
      <c r="C597" s="315"/>
      <c r="D597" s="504"/>
      <c r="E597" s="505"/>
      <c r="F597" s="506"/>
      <c r="G597" s="507"/>
      <c r="H597" s="508"/>
      <c r="I597" s="509"/>
      <c r="J597" s="510"/>
      <c r="K597" s="510"/>
      <c r="R597" s="67"/>
    </row>
    <row r="598">
      <c r="A598" s="503"/>
      <c r="B598" s="493"/>
      <c r="C598" s="315"/>
      <c r="D598" s="504"/>
      <c r="E598" s="505"/>
      <c r="F598" s="506"/>
      <c r="G598" s="507"/>
      <c r="H598" s="508"/>
      <c r="I598" s="509"/>
      <c r="J598" s="510"/>
      <c r="K598" s="510"/>
      <c r="R598" s="67"/>
    </row>
    <row r="599">
      <c r="A599" s="503"/>
      <c r="B599" s="493"/>
      <c r="C599" s="315"/>
      <c r="D599" s="504"/>
      <c r="E599" s="505"/>
      <c r="F599" s="506"/>
      <c r="G599" s="507"/>
      <c r="H599" s="508"/>
      <c r="I599" s="509"/>
      <c r="J599" s="510"/>
      <c r="K599" s="510"/>
      <c r="R599" s="67"/>
    </row>
    <row r="600">
      <c r="A600" s="503"/>
      <c r="B600" s="493"/>
      <c r="C600" s="315"/>
      <c r="D600" s="504"/>
      <c r="E600" s="505"/>
      <c r="F600" s="506"/>
      <c r="G600" s="507"/>
      <c r="H600" s="508"/>
      <c r="I600" s="509"/>
      <c r="J600" s="510"/>
      <c r="K600" s="510"/>
      <c r="R600" s="67"/>
    </row>
    <row r="601">
      <c r="A601" s="503"/>
      <c r="B601" s="493"/>
      <c r="C601" s="315"/>
      <c r="D601" s="504"/>
      <c r="E601" s="505"/>
      <c r="F601" s="506"/>
      <c r="G601" s="507"/>
      <c r="H601" s="508"/>
      <c r="I601" s="509"/>
      <c r="J601" s="510"/>
      <c r="K601" s="510"/>
      <c r="R601" s="67"/>
    </row>
    <row r="602">
      <c r="A602" s="503"/>
      <c r="B602" s="493"/>
      <c r="C602" s="315"/>
      <c r="D602" s="504"/>
      <c r="E602" s="505"/>
      <c r="F602" s="506"/>
      <c r="G602" s="507"/>
      <c r="H602" s="508"/>
      <c r="I602" s="509"/>
      <c r="J602" s="510"/>
      <c r="K602" s="510"/>
      <c r="R602" s="67"/>
    </row>
    <row r="603">
      <c r="A603" s="503"/>
      <c r="B603" s="493"/>
      <c r="C603" s="315"/>
      <c r="D603" s="504"/>
      <c r="E603" s="505"/>
      <c r="F603" s="506"/>
      <c r="G603" s="507"/>
      <c r="H603" s="508"/>
      <c r="I603" s="509"/>
      <c r="J603" s="510"/>
      <c r="K603" s="510"/>
      <c r="R603" s="67"/>
    </row>
    <row r="604">
      <c r="A604" s="503"/>
      <c r="B604" s="493"/>
      <c r="C604" s="315"/>
      <c r="D604" s="504"/>
      <c r="E604" s="505"/>
      <c r="F604" s="506"/>
      <c r="G604" s="507"/>
      <c r="H604" s="508"/>
      <c r="I604" s="509"/>
      <c r="J604" s="510"/>
      <c r="K604" s="510"/>
      <c r="R604" s="67"/>
    </row>
    <row r="605">
      <c r="A605" s="503"/>
      <c r="B605" s="493"/>
      <c r="C605" s="315"/>
      <c r="D605" s="504"/>
      <c r="E605" s="505"/>
      <c r="F605" s="506"/>
      <c r="G605" s="507"/>
      <c r="H605" s="508"/>
      <c r="I605" s="509"/>
      <c r="J605" s="510"/>
      <c r="K605" s="510"/>
      <c r="R605" s="67"/>
    </row>
    <row r="606">
      <c r="A606" s="503"/>
      <c r="B606" s="493"/>
      <c r="C606" s="315"/>
      <c r="D606" s="504"/>
      <c r="E606" s="505"/>
      <c r="F606" s="506"/>
      <c r="G606" s="507"/>
      <c r="H606" s="508"/>
      <c r="I606" s="509"/>
      <c r="J606" s="510"/>
      <c r="K606" s="510"/>
      <c r="R606" s="67"/>
    </row>
    <row r="607">
      <c r="A607" s="503"/>
      <c r="B607" s="493"/>
      <c r="C607" s="315"/>
      <c r="D607" s="504"/>
      <c r="E607" s="505"/>
      <c r="F607" s="506"/>
      <c r="G607" s="507"/>
      <c r="H607" s="508"/>
      <c r="I607" s="509"/>
      <c r="J607" s="510"/>
      <c r="K607" s="510"/>
      <c r="R607" s="67"/>
    </row>
    <row r="608">
      <c r="A608" s="503"/>
      <c r="B608" s="493"/>
      <c r="C608" s="315"/>
      <c r="D608" s="504"/>
      <c r="E608" s="505"/>
      <c r="F608" s="506"/>
      <c r="G608" s="507"/>
      <c r="H608" s="508"/>
      <c r="I608" s="509"/>
      <c r="J608" s="510"/>
      <c r="K608" s="510"/>
      <c r="R608" s="67"/>
    </row>
    <row r="609">
      <c r="A609" s="503"/>
      <c r="B609" s="493"/>
      <c r="C609" s="315"/>
      <c r="D609" s="504"/>
      <c r="E609" s="505"/>
      <c r="F609" s="506"/>
      <c r="G609" s="507"/>
      <c r="H609" s="508"/>
      <c r="I609" s="509"/>
      <c r="J609" s="510"/>
      <c r="K609" s="510"/>
      <c r="R609" s="67"/>
    </row>
    <row r="610">
      <c r="A610" s="503"/>
      <c r="B610" s="493"/>
      <c r="C610" s="315"/>
      <c r="D610" s="504"/>
      <c r="E610" s="505"/>
      <c r="F610" s="506"/>
      <c r="G610" s="507"/>
      <c r="H610" s="508"/>
      <c r="I610" s="509"/>
      <c r="J610" s="510"/>
      <c r="K610" s="510"/>
      <c r="R610" s="67"/>
    </row>
    <row r="611">
      <c r="A611" s="503"/>
      <c r="B611" s="493"/>
      <c r="C611" s="315"/>
      <c r="D611" s="504"/>
      <c r="E611" s="505"/>
      <c r="F611" s="506"/>
      <c r="G611" s="507"/>
      <c r="H611" s="508"/>
      <c r="I611" s="509"/>
      <c r="J611" s="510"/>
      <c r="K611" s="510"/>
      <c r="R611" s="67"/>
    </row>
    <row r="612">
      <c r="A612" s="503"/>
      <c r="B612" s="493"/>
      <c r="C612" s="315"/>
      <c r="D612" s="504"/>
      <c r="E612" s="505"/>
      <c r="F612" s="506"/>
      <c r="G612" s="507"/>
      <c r="H612" s="508"/>
      <c r="I612" s="509"/>
      <c r="J612" s="510"/>
      <c r="K612" s="510"/>
      <c r="R612" s="67"/>
    </row>
    <row r="613">
      <c r="A613" s="503"/>
      <c r="B613" s="493"/>
      <c r="C613" s="315"/>
      <c r="D613" s="504"/>
      <c r="E613" s="505"/>
      <c r="F613" s="506"/>
      <c r="G613" s="507"/>
      <c r="H613" s="508"/>
      <c r="I613" s="509"/>
      <c r="J613" s="510"/>
      <c r="K613" s="510"/>
      <c r="R613" s="67"/>
    </row>
    <row r="614">
      <c r="A614" s="503"/>
      <c r="B614" s="493"/>
      <c r="C614" s="315"/>
      <c r="D614" s="504"/>
      <c r="E614" s="505"/>
      <c r="F614" s="506"/>
      <c r="G614" s="507"/>
      <c r="H614" s="508"/>
      <c r="I614" s="509"/>
      <c r="J614" s="510"/>
      <c r="K614" s="510"/>
      <c r="R614" s="67"/>
    </row>
    <row r="615">
      <c r="A615" s="503"/>
      <c r="B615" s="493"/>
      <c r="C615" s="315"/>
      <c r="D615" s="504"/>
      <c r="E615" s="505"/>
      <c r="F615" s="506"/>
      <c r="G615" s="507"/>
      <c r="H615" s="508"/>
      <c r="I615" s="509"/>
      <c r="J615" s="510"/>
      <c r="K615" s="510"/>
      <c r="R615" s="67"/>
    </row>
    <row r="616">
      <c r="A616" s="503"/>
      <c r="B616" s="493"/>
      <c r="C616" s="315"/>
      <c r="D616" s="504"/>
      <c r="E616" s="505"/>
      <c r="F616" s="506"/>
      <c r="G616" s="507"/>
      <c r="H616" s="508"/>
      <c r="I616" s="509"/>
      <c r="J616" s="510"/>
      <c r="K616" s="510"/>
      <c r="R616" s="67"/>
    </row>
    <row r="617">
      <c r="A617" s="503"/>
      <c r="B617" s="493"/>
      <c r="C617" s="315"/>
      <c r="D617" s="504"/>
      <c r="E617" s="505"/>
      <c r="F617" s="506"/>
      <c r="G617" s="507"/>
      <c r="H617" s="508"/>
      <c r="I617" s="509"/>
      <c r="J617" s="510"/>
      <c r="K617" s="510"/>
      <c r="R617" s="67"/>
    </row>
    <row r="618">
      <c r="A618" s="503"/>
      <c r="B618" s="493"/>
      <c r="C618" s="315"/>
      <c r="D618" s="504"/>
      <c r="E618" s="505"/>
      <c r="F618" s="506"/>
      <c r="G618" s="507"/>
      <c r="H618" s="508"/>
      <c r="I618" s="509"/>
      <c r="J618" s="510"/>
      <c r="K618" s="510"/>
      <c r="R618" s="67"/>
    </row>
    <row r="619">
      <c r="A619" s="503"/>
      <c r="B619" s="493"/>
      <c r="C619" s="315"/>
      <c r="D619" s="504"/>
      <c r="E619" s="505"/>
      <c r="F619" s="506"/>
      <c r="G619" s="507"/>
      <c r="H619" s="508"/>
      <c r="I619" s="509"/>
      <c r="J619" s="510"/>
      <c r="K619" s="510"/>
      <c r="R619" s="67"/>
    </row>
    <row r="620">
      <c r="A620" s="503"/>
      <c r="B620" s="493"/>
      <c r="C620" s="315"/>
      <c r="D620" s="504"/>
      <c r="E620" s="505"/>
      <c r="F620" s="506"/>
      <c r="G620" s="507"/>
      <c r="H620" s="508"/>
      <c r="I620" s="509"/>
      <c r="J620" s="510"/>
      <c r="K620" s="510"/>
      <c r="R620" s="67"/>
    </row>
    <row r="621">
      <c r="A621" s="503"/>
      <c r="B621" s="493"/>
      <c r="C621" s="315"/>
      <c r="D621" s="504"/>
      <c r="E621" s="505"/>
      <c r="F621" s="506"/>
      <c r="G621" s="507"/>
      <c r="H621" s="508"/>
      <c r="I621" s="509"/>
      <c r="J621" s="510"/>
      <c r="K621" s="510"/>
      <c r="R621" s="67"/>
    </row>
    <row r="622">
      <c r="A622" s="503"/>
      <c r="B622" s="493"/>
      <c r="C622" s="315"/>
      <c r="D622" s="504"/>
      <c r="E622" s="505"/>
      <c r="F622" s="506"/>
      <c r="G622" s="507"/>
      <c r="H622" s="508"/>
      <c r="I622" s="509"/>
      <c r="J622" s="510"/>
      <c r="K622" s="510"/>
      <c r="R622" s="67"/>
    </row>
    <row r="623">
      <c r="A623" s="503"/>
      <c r="B623" s="493"/>
      <c r="C623" s="315"/>
      <c r="D623" s="504"/>
      <c r="E623" s="505"/>
      <c r="F623" s="506"/>
      <c r="G623" s="507"/>
      <c r="H623" s="508"/>
      <c r="I623" s="509"/>
      <c r="J623" s="510"/>
      <c r="K623" s="510"/>
      <c r="R623" s="67"/>
    </row>
    <row r="624">
      <c r="A624" s="503"/>
      <c r="B624" s="493"/>
      <c r="C624" s="315"/>
      <c r="D624" s="504"/>
      <c r="E624" s="505"/>
      <c r="F624" s="506"/>
      <c r="G624" s="507"/>
      <c r="H624" s="508"/>
      <c r="I624" s="509"/>
      <c r="J624" s="510"/>
      <c r="K624" s="510"/>
      <c r="R624" s="67"/>
    </row>
    <row r="625">
      <c r="A625" s="503"/>
      <c r="B625" s="493"/>
      <c r="C625" s="315"/>
      <c r="D625" s="504"/>
      <c r="E625" s="505"/>
      <c r="F625" s="506"/>
      <c r="G625" s="507"/>
      <c r="H625" s="508"/>
      <c r="I625" s="509"/>
      <c r="J625" s="510"/>
      <c r="K625" s="510"/>
      <c r="R625" s="67"/>
    </row>
    <row r="626">
      <c r="A626" s="503"/>
      <c r="B626" s="493"/>
      <c r="C626" s="315"/>
      <c r="D626" s="504"/>
      <c r="E626" s="505"/>
      <c r="F626" s="506"/>
      <c r="G626" s="507"/>
      <c r="H626" s="508"/>
      <c r="I626" s="509"/>
      <c r="J626" s="510"/>
      <c r="K626" s="510"/>
      <c r="R626" s="67"/>
    </row>
    <row r="627">
      <c r="A627" s="503"/>
      <c r="B627" s="493"/>
      <c r="C627" s="315"/>
      <c r="D627" s="504"/>
      <c r="E627" s="505"/>
      <c r="F627" s="506"/>
      <c r="G627" s="507"/>
      <c r="H627" s="508"/>
      <c r="I627" s="509"/>
      <c r="J627" s="510"/>
      <c r="K627" s="510"/>
      <c r="R627" s="67"/>
    </row>
    <row r="628">
      <c r="A628" s="503"/>
      <c r="B628" s="493"/>
      <c r="C628" s="315"/>
      <c r="D628" s="504"/>
      <c r="E628" s="505"/>
      <c r="F628" s="506"/>
      <c r="G628" s="507"/>
      <c r="H628" s="508"/>
      <c r="I628" s="509"/>
      <c r="J628" s="510"/>
      <c r="K628" s="510"/>
      <c r="R628" s="67"/>
    </row>
    <row r="629">
      <c r="A629" s="503"/>
      <c r="B629" s="493"/>
      <c r="C629" s="315"/>
      <c r="D629" s="504"/>
      <c r="E629" s="505"/>
      <c r="F629" s="506"/>
      <c r="G629" s="507"/>
      <c r="H629" s="508"/>
      <c r="I629" s="509"/>
      <c r="J629" s="510"/>
      <c r="K629" s="510"/>
      <c r="R629" s="67"/>
    </row>
    <row r="630">
      <c r="A630" s="503"/>
      <c r="B630" s="493"/>
      <c r="C630" s="315"/>
      <c r="D630" s="504"/>
      <c r="E630" s="505"/>
      <c r="F630" s="506"/>
      <c r="G630" s="507"/>
      <c r="H630" s="508"/>
      <c r="I630" s="509"/>
      <c r="J630" s="510"/>
      <c r="K630" s="510"/>
      <c r="R630" s="67"/>
    </row>
    <row r="631">
      <c r="A631" s="503"/>
      <c r="B631" s="493"/>
      <c r="C631" s="315"/>
      <c r="D631" s="504"/>
      <c r="E631" s="505"/>
      <c r="F631" s="506"/>
      <c r="G631" s="507"/>
      <c r="H631" s="508"/>
      <c r="I631" s="509"/>
      <c r="J631" s="510"/>
      <c r="K631" s="510"/>
      <c r="R631" s="67"/>
    </row>
    <row r="632">
      <c r="A632" s="503"/>
      <c r="B632" s="493"/>
      <c r="C632" s="315"/>
      <c r="D632" s="504"/>
      <c r="E632" s="505"/>
      <c r="F632" s="506"/>
      <c r="G632" s="507"/>
      <c r="H632" s="508"/>
      <c r="I632" s="509"/>
      <c r="J632" s="510"/>
      <c r="K632" s="510"/>
      <c r="R632" s="67"/>
    </row>
    <row r="633">
      <c r="A633" s="503"/>
      <c r="B633" s="493"/>
      <c r="C633" s="315"/>
      <c r="D633" s="504"/>
      <c r="E633" s="505"/>
      <c r="F633" s="506"/>
      <c r="G633" s="507"/>
      <c r="H633" s="508"/>
      <c r="I633" s="509"/>
      <c r="J633" s="510"/>
      <c r="K633" s="510"/>
      <c r="R633" s="67"/>
    </row>
    <row r="634">
      <c r="A634" s="503"/>
      <c r="B634" s="493"/>
      <c r="C634" s="315"/>
      <c r="D634" s="504"/>
      <c r="E634" s="505"/>
      <c r="F634" s="506"/>
      <c r="G634" s="507"/>
      <c r="H634" s="508"/>
      <c r="I634" s="509"/>
      <c r="J634" s="510"/>
      <c r="K634" s="510"/>
      <c r="R634" s="67"/>
    </row>
    <row r="635">
      <c r="A635" s="503"/>
      <c r="B635" s="493"/>
      <c r="C635" s="315"/>
      <c r="D635" s="504"/>
      <c r="E635" s="505"/>
      <c r="F635" s="506"/>
      <c r="G635" s="507"/>
      <c r="H635" s="508"/>
      <c r="I635" s="509"/>
      <c r="J635" s="510"/>
      <c r="K635" s="510"/>
      <c r="R635" s="67"/>
    </row>
    <row r="636">
      <c r="A636" s="503"/>
      <c r="B636" s="493"/>
      <c r="C636" s="315"/>
      <c r="D636" s="504"/>
      <c r="E636" s="505"/>
      <c r="F636" s="506"/>
      <c r="G636" s="507"/>
      <c r="H636" s="508"/>
      <c r="I636" s="509"/>
      <c r="J636" s="510"/>
      <c r="K636" s="510"/>
      <c r="R636" s="67"/>
    </row>
    <row r="637">
      <c r="A637" s="503"/>
      <c r="B637" s="493"/>
      <c r="C637" s="315"/>
      <c r="D637" s="504"/>
      <c r="E637" s="505"/>
      <c r="F637" s="506"/>
      <c r="G637" s="507"/>
      <c r="H637" s="508"/>
      <c r="I637" s="509"/>
      <c r="J637" s="510"/>
      <c r="K637" s="510"/>
      <c r="R637" s="67"/>
    </row>
    <row r="638">
      <c r="A638" s="503"/>
      <c r="B638" s="493"/>
      <c r="C638" s="315"/>
      <c r="D638" s="504"/>
      <c r="E638" s="505"/>
      <c r="F638" s="506"/>
      <c r="G638" s="507"/>
      <c r="H638" s="508"/>
      <c r="I638" s="509"/>
      <c r="J638" s="510"/>
      <c r="K638" s="510"/>
      <c r="R638" s="67"/>
    </row>
    <row r="639">
      <c r="A639" s="503"/>
      <c r="B639" s="493"/>
      <c r="C639" s="315"/>
      <c r="D639" s="504"/>
      <c r="E639" s="505"/>
      <c r="F639" s="506"/>
      <c r="G639" s="507"/>
      <c r="H639" s="508"/>
      <c r="I639" s="509"/>
      <c r="J639" s="510"/>
      <c r="K639" s="510"/>
      <c r="R639" s="67"/>
    </row>
    <row r="640">
      <c r="A640" s="503"/>
      <c r="B640" s="493"/>
      <c r="C640" s="315"/>
      <c r="D640" s="504"/>
      <c r="E640" s="505"/>
      <c r="F640" s="506"/>
      <c r="G640" s="507"/>
      <c r="H640" s="508"/>
      <c r="I640" s="509"/>
      <c r="J640" s="510"/>
      <c r="K640" s="510"/>
      <c r="R640" s="67"/>
    </row>
    <row r="641">
      <c r="A641" s="503"/>
      <c r="B641" s="493"/>
      <c r="C641" s="315"/>
      <c r="D641" s="504"/>
      <c r="E641" s="505"/>
      <c r="F641" s="506"/>
      <c r="G641" s="507"/>
      <c r="H641" s="508"/>
      <c r="I641" s="509"/>
      <c r="J641" s="510"/>
      <c r="K641" s="510"/>
      <c r="R641" s="67"/>
    </row>
    <row r="642">
      <c r="A642" s="503"/>
      <c r="B642" s="493"/>
      <c r="C642" s="315"/>
      <c r="D642" s="504"/>
      <c r="E642" s="505"/>
      <c r="F642" s="506"/>
      <c r="G642" s="507"/>
      <c r="H642" s="508"/>
      <c r="I642" s="509"/>
      <c r="J642" s="510"/>
      <c r="K642" s="510"/>
      <c r="R642" s="67"/>
    </row>
    <row r="643">
      <c r="A643" s="503"/>
      <c r="B643" s="493"/>
      <c r="C643" s="315"/>
      <c r="D643" s="504"/>
      <c r="E643" s="505"/>
      <c r="F643" s="506"/>
      <c r="G643" s="507"/>
      <c r="H643" s="508"/>
      <c r="I643" s="509"/>
      <c r="J643" s="510"/>
      <c r="K643" s="510"/>
      <c r="R643" s="67"/>
    </row>
    <row r="644">
      <c r="A644" s="503"/>
      <c r="B644" s="493"/>
      <c r="C644" s="315"/>
      <c r="D644" s="504"/>
      <c r="E644" s="505"/>
      <c r="F644" s="506"/>
      <c r="G644" s="507"/>
      <c r="H644" s="508"/>
      <c r="I644" s="509"/>
      <c r="J644" s="510"/>
      <c r="K644" s="510"/>
      <c r="R644" s="67"/>
    </row>
    <row r="645">
      <c r="A645" s="503"/>
      <c r="B645" s="493"/>
      <c r="C645" s="315"/>
      <c r="D645" s="504"/>
      <c r="E645" s="505"/>
      <c r="F645" s="506"/>
      <c r="G645" s="507"/>
      <c r="H645" s="508"/>
      <c r="I645" s="509"/>
      <c r="J645" s="510"/>
      <c r="K645" s="510"/>
      <c r="R645" s="67"/>
    </row>
    <row r="646">
      <c r="A646" s="503"/>
      <c r="B646" s="493"/>
      <c r="C646" s="315"/>
      <c r="D646" s="504"/>
      <c r="E646" s="505"/>
      <c r="F646" s="506"/>
      <c r="G646" s="507"/>
      <c r="H646" s="508"/>
      <c r="I646" s="509"/>
      <c r="J646" s="510"/>
      <c r="K646" s="510"/>
      <c r="R646" s="67"/>
    </row>
    <row r="647">
      <c r="A647" s="503"/>
      <c r="B647" s="493"/>
      <c r="C647" s="315"/>
      <c r="D647" s="504"/>
      <c r="E647" s="505"/>
      <c r="F647" s="506"/>
      <c r="G647" s="507"/>
      <c r="H647" s="508"/>
      <c r="I647" s="509"/>
      <c r="J647" s="510"/>
      <c r="K647" s="510"/>
      <c r="R647" s="67"/>
    </row>
    <row r="648">
      <c r="A648" s="503"/>
      <c r="B648" s="493"/>
      <c r="C648" s="315"/>
      <c r="D648" s="504"/>
      <c r="E648" s="505"/>
      <c r="F648" s="506"/>
      <c r="G648" s="507"/>
      <c r="H648" s="508"/>
      <c r="I648" s="509"/>
      <c r="J648" s="510"/>
      <c r="K648" s="510"/>
      <c r="R648" s="67"/>
    </row>
    <row r="649">
      <c r="A649" s="503"/>
      <c r="B649" s="493"/>
      <c r="C649" s="315"/>
      <c r="D649" s="504"/>
      <c r="E649" s="505"/>
      <c r="F649" s="506"/>
      <c r="G649" s="507"/>
      <c r="H649" s="508"/>
      <c r="I649" s="509"/>
      <c r="J649" s="510"/>
      <c r="K649" s="510"/>
      <c r="R649" s="67"/>
    </row>
    <row r="650">
      <c r="A650" s="503"/>
      <c r="B650" s="493"/>
      <c r="C650" s="315"/>
      <c r="D650" s="504"/>
      <c r="E650" s="505"/>
      <c r="F650" s="506"/>
      <c r="G650" s="507"/>
      <c r="H650" s="508"/>
      <c r="I650" s="509"/>
      <c r="J650" s="510"/>
      <c r="K650" s="510"/>
      <c r="R650" s="67"/>
    </row>
    <row r="651">
      <c r="A651" s="503"/>
      <c r="B651" s="493"/>
      <c r="C651" s="315"/>
      <c r="D651" s="504"/>
      <c r="E651" s="505"/>
      <c r="F651" s="506"/>
      <c r="G651" s="507"/>
      <c r="H651" s="508"/>
      <c r="I651" s="509"/>
      <c r="J651" s="510"/>
      <c r="K651" s="510"/>
      <c r="R651" s="67"/>
    </row>
    <row r="652">
      <c r="A652" s="503"/>
      <c r="B652" s="493"/>
      <c r="C652" s="315"/>
      <c r="D652" s="504"/>
      <c r="E652" s="505"/>
      <c r="F652" s="506"/>
      <c r="G652" s="507"/>
      <c r="H652" s="508"/>
      <c r="I652" s="509"/>
      <c r="J652" s="510"/>
      <c r="K652" s="510"/>
      <c r="R652" s="67"/>
    </row>
    <row r="653">
      <c r="A653" s="503"/>
      <c r="B653" s="493"/>
      <c r="C653" s="315"/>
      <c r="D653" s="504"/>
      <c r="E653" s="505"/>
      <c r="F653" s="506"/>
      <c r="G653" s="507"/>
      <c r="H653" s="508"/>
      <c r="I653" s="509"/>
      <c r="J653" s="510"/>
      <c r="K653" s="510"/>
      <c r="R653" s="67"/>
    </row>
    <row r="654">
      <c r="A654" s="503"/>
      <c r="B654" s="493"/>
      <c r="C654" s="315"/>
      <c r="D654" s="504"/>
      <c r="E654" s="505"/>
      <c r="F654" s="506"/>
      <c r="G654" s="507"/>
      <c r="H654" s="508"/>
      <c r="I654" s="509"/>
      <c r="J654" s="510"/>
      <c r="K654" s="510"/>
      <c r="R654" s="67"/>
    </row>
    <row r="655">
      <c r="A655" s="503"/>
      <c r="B655" s="493"/>
      <c r="C655" s="315"/>
      <c r="D655" s="504"/>
      <c r="E655" s="505"/>
      <c r="F655" s="506"/>
      <c r="G655" s="507"/>
      <c r="H655" s="508"/>
      <c r="I655" s="509"/>
      <c r="J655" s="510"/>
      <c r="K655" s="510"/>
      <c r="R655" s="67"/>
    </row>
    <row r="656">
      <c r="A656" s="503"/>
      <c r="B656" s="493"/>
      <c r="C656" s="315"/>
      <c r="D656" s="504"/>
      <c r="E656" s="505"/>
      <c r="F656" s="506"/>
      <c r="G656" s="507"/>
      <c r="H656" s="508"/>
      <c r="I656" s="509"/>
      <c r="J656" s="510"/>
      <c r="K656" s="510"/>
      <c r="R656" s="67"/>
    </row>
    <row r="657">
      <c r="A657" s="503"/>
      <c r="B657" s="493"/>
      <c r="C657" s="315"/>
      <c r="D657" s="504"/>
      <c r="E657" s="505"/>
      <c r="F657" s="506"/>
      <c r="G657" s="507"/>
      <c r="H657" s="508"/>
      <c r="I657" s="509"/>
      <c r="J657" s="510"/>
      <c r="K657" s="510"/>
      <c r="R657" s="67"/>
    </row>
    <row r="658">
      <c r="A658" s="503"/>
      <c r="B658" s="493"/>
      <c r="C658" s="315"/>
      <c r="D658" s="504"/>
      <c r="E658" s="505"/>
      <c r="F658" s="506"/>
      <c r="G658" s="507"/>
      <c r="H658" s="508"/>
      <c r="I658" s="509"/>
      <c r="J658" s="510"/>
      <c r="K658" s="510"/>
      <c r="R658" s="67"/>
    </row>
    <row r="659">
      <c r="A659" s="503"/>
      <c r="B659" s="493"/>
      <c r="C659" s="315"/>
      <c r="D659" s="504"/>
      <c r="E659" s="505"/>
      <c r="F659" s="506"/>
      <c r="G659" s="507"/>
      <c r="H659" s="508"/>
      <c r="I659" s="509"/>
      <c r="J659" s="510"/>
      <c r="K659" s="510"/>
      <c r="R659" s="67"/>
    </row>
    <row r="660">
      <c r="A660" s="503"/>
      <c r="B660" s="493"/>
      <c r="C660" s="315"/>
      <c r="D660" s="504"/>
      <c r="E660" s="505"/>
      <c r="F660" s="506"/>
      <c r="G660" s="507"/>
      <c r="H660" s="508"/>
      <c r="I660" s="509"/>
      <c r="J660" s="510"/>
      <c r="K660" s="510"/>
      <c r="R660" s="67"/>
    </row>
    <row r="661">
      <c r="A661" s="503"/>
      <c r="B661" s="493"/>
      <c r="C661" s="315"/>
      <c r="D661" s="504"/>
      <c r="E661" s="505"/>
      <c r="F661" s="506"/>
      <c r="G661" s="507"/>
      <c r="H661" s="508"/>
      <c r="I661" s="509"/>
      <c r="J661" s="510"/>
      <c r="K661" s="510"/>
      <c r="R661" s="67"/>
    </row>
    <row r="662">
      <c r="A662" s="503"/>
      <c r="B662" s="493"/>
      <c r="C662" s="315"/>
      <c r="D662" s="504"/>
      <c r="E662" s="505"/>
      <c r="F662" s="506"/>
      <c r="G662" s="507"/>
      <c r="H662" s="508"/>
      <c r="I662" s="509"/>
      <c r="J662" s="510"/>
      <c r="K662" s="510"/>
      <c r="R662" s="67"/>
    </row>
    <row r="663">
      <c r="A663" s="503"/>
      <c r="B663" s="493"/>
      <c r="C663" s="315"/>
      <c r="D663" s="504"/>
      <c r="E663" s="505"/>
      <c r="F663" s="506"/>
      <c r="G663" s="507"/>
      <c r="H663" s="508"/>
      <c r="I663" s="509"/>
      <c r="J663" s="510"/>
      <c r="K663" s="510"/>
      <c r="R663" s="67"/>
    </row>
    <row r="664">
      <c r="A664" s="503"/>
      <c r="B664" s="493"/>
      <c r="C664" s="315"/>
      <c r="D664" s="504"/>
      <c r="E664" s="505"/>
      <c r="F664" s="506"/>
      <c r="G664" s="507"/>
      <c r="H664" s="508"/>
      <c r="I664" s="509"/>
      <c r="J664" s="510"/>
      <c r="K664" s="510"/>
      <c r="R664" s="67"/>
    </row>
    <row r="665">
      <c r="A665" s="503"/>
      <c r="B665" s="493"/>
      <c r="C665" s="315"/>
      <c r="D665" s="504"/>
      <c r="E665" s="505"/>
      <c r="F665" s="506"/>
      <c r="G665" s="507"/>
      <c r="H665" s="508"/>
      <c r="I665" s="509"/>
      <c r="J665" s="510"/>
      <c r="K665" s="510"/>
      <c r="R665" s="67"/>
    </row>
    <row r="666">
      <c r="A666" s="503"/>
      <c r="B666" s="493"/>
      <c r="C666" s="315"/>
      <c r="D666" s="504"/>
      <c r="E666" s="505"/>
      <c r="F666" s="506"/>
      <c r="G666" s="507"/>
      <c r="H666" s="508"/>
      <c r="I666" s="509"/>
      <c r="J666" s="510"/>
      <c r="K666" s="510"/>
      <c r="R666" s="67"/>
    </row>
    <row r="667">
      <c r="A667" s="503"/>
      <c r="B667" s="493"/>
      <c r="C667" s="315"/>
      <c r="D667" s="504"/>
      <c r="E667" s="505"/>
      <c r="F667" s="506"/>
      <c r="G667" s="507"/>
      <c r="H667" s="508"/>
      <c r="I667" s="509"/>
      <c r="J667" s="510"/>
      <c r="K667" s="510"/>
      <c r="R667" s="67"/>
    </row>
    <row r="668">
      <c r="A668" s="503"/>
      <c r="B668" s="493"/>
      <c r="C668" s="315"/>
      <c r="D668" s="504"/>
      <c r="E668" s="505"/>
      <c r="F668" s="506"/>
      <c r="G668" s="507"/>
      <c r="H668" s="508"/>
      <c r="I668" s="509"/>
      <c r="J668" s="510"/>
      <c r="K668" s="510"/>
      <c r="R668" s="67"/>
    </row>
    <row r="669">
      <c r="A669" s="503"/>
      <c r="B669" s="493"/>
      <c r="C669" s="315"/>
      <c r="D669" s="504"/>
      <c r="E669" s="505"/>
      <c r="F669" s="506"/>
      <c r="G669" s="507"/>
      <c r="H669" s="508"/>
      <c r="I669" s="509"/>
      <c r="J669" s="510"/>
      <c r="K669" s="510"/>
      <c r="R669" s="67"/>
    </row>
    <row r="670">
      <c r="A670" s="503"/>
      <c r="B670" s="493"/>
      <c r="C670" s="315"/>
      <c r="D670" s="504"/>
      <c r="E670" s="505"/>
      <c r="F670" s="506"/>
      <c r="G670" s="507"/>
      <c r="H670" s="508"/>
      <c r="I670" s="509"/>
      <c r="J670" s="510"/>
      <c r="K670" s="510"/>
      <c r="R670" s="67"/>
    </row>
    <row r="671">
      <c r="A671" s="503"/>
      <c r="B671" s="493"/>
      <c r="C671" s="315"/>
      <c r="D671" s="504"/>
      <c r="E671" s="505"/>
      <c r="F671" s="506"/>
      <c r="G671" s="507"/>
      <c r="H671" s="508"/>
      <c r="I671" s="509"/>
      <c r="J671" s="510"/>
      <c r="K671" s="510"/>
      <c r="R671" s="67"/>
    </row>
    <row r="672">
      <c r="A672" s="503"/>
      <c r="B672" s="493"/>
      <c r="C672" s="315"/>
      <c r="D672" s="504"/>
      <c r="E672" s="505"/>
      <c r="F672" s="506"/>
      <c r="G672" s="507"/>
      <c r="H672" s="508"/>
      <c r="I672" s="509"/>
      <c r="J672" s="510"/>
      <c r="K672" s="510"/>
      <c r="R672" s="67"/>
    </row>
    <row r="673">
      <c r="A673" s="503"/>
      <c r="B673" s="493"/>
      <c r="C673" s="315"/>
      <c r="D673" s="504"/>
      <c r="E673" s="505"/>
      <c r="F673" s="506"/>
      <c r="G673" s="507"/>
      <c r="H673" s="508"/>
      <c r="I673" s="509"/>
      <c r="J673" s="510"/>
      <c r="K673" s="510"/>
      <c r="R673" s="67"/>
    </row>
    <row r="674">
      <c r="A674" s="503"/>
      <c r="B674" s="493"/>
      <c r="C674" s="315"/>
      <c r="D674" s="504"/>
      <c r="E674" s="505"/>
      <c r="F674" s="506"/>
      <c r="G674" s="507"/>
      <c r="H674" s="508"/>
      <c r="I674" s="509"/>
      <c r="J674" s="510"/>
      <c r="K674" s="510"/>
      <c r="R674" s="67"/>
    </row>
    <row r="675">
      <c r="A675" s="503"/>
      <c r="B675" s="493"/>
      <c r="C675" s="315"/>
      <c r="D675" s="504"/>
      <c r="E675" s="505"/>
      <c r="F675" s="506"/>
      <c r="G675" s="507"/>
      <c r="H675" s="508"/>
      <c r="I675" s="509"/>
      <c r="J675" s="510"/>
      <c r="K675" s="510"/>
      <c r="R675" s="67"/>
    </row>
    <row r="676">
      <c r="A676" s="503"/>
      <c r="B676" s="493"/>
      <c r="C676" s="315"/>
      <c r="D676" s="504"/>
      <c r="E676" s="505"/>
      <c r="F676" s="506"/>
      <c r="G676" s="507"/>
      <c r="H676" s="508"/>
      <c r="I676" s="509"/>
      <c r="J676" s="510"/>
      <c r="K676" s="510"/>
      <c r="R676" s="67"/>
    </row>
    <row r="677">
      <c r="A677" s="503"/>
      <c r="B677" s="493"/>
      <c r="C677" s="315"/>
      <c r="D677" s="504"/>
      <c r="E677" s="505"/>
      <c r="F677" s="506"/>
      <c r="G677" s="507"/>
      <c r="H677" s="508"/>
      <c r="I677" s="509"/>
      <c r="J677" s="510"/>
      <c r="K677" s="510"/>
      <c r="R677" s="67"/>
    </row>
    <row r="678">
      <c r="A678" s="503"/>
      <c r="B678" s="493"/>
      <c r="C678" s="315"/>
      <c r="D678" s="504"/>
      <c r="E678" s="505"/>
      <c r="F678" s="506"/>
      <c r="G678" s="507"/>
      <c r="H678" s="508"/>
      <c r="I678" s="509"/>
      <c r="J678" s="510"/>
      <c r="K678" s="510"/>
      <c r="R678" s="67"/>
    </row>
    <row r="679">
      <c r="A679" s="503"/>
      <c r="B679" s="493"/>
      <c r="C679" s="315"/>
      <c r="D679" s="504"/>
      <c r="E679" s="505"/>
      <c r="F679" s="506"/>
      <c r="G679" s="507"/>
      <c r="H679" s="508"/>
      <c r="I679" s="509"/>
      <c r="J679" s="510"/>
      <c r="K679" s="510"/>
      <c r="R679" s="67"/>
    </row>
    <row r="680">
      <c r="A680" s="503"/>
      <c r="B680" s="493"/>
      <c r="C680" s="315"/>
      <c r="D680" s="504"/>
      <c r="E680" s="505"/>
      <c r="F680" s="506"/>
      <c r="G680" s="507"/>
      <c r="H680" s="508"/>
      <c r="I680" s="509"/>
      <c r="J680" s="510"/>
      <c r="K680" s="510"/>
      <c r="R680" s="67"/>
    </row>
    <row r="681">
      <c r="A681" s="503"/>
      <c r="B681" s="493"/>
      <c r="C681" s="315"/>
      <c r="D681" s="504"/>
      <c r="E681" s="505"/>
      <c r="F681" s="506"/>
      <c r="G681" s="507"/>
      <c r="H681" s="508"/>
      <c r="I681" s="509"/>
      <c r="J681" s="510"/>
      <c r="K681" s="510"/>
      <c r="R681" s="67"/>
    </row>
    <row r="682">
      <c r="A682" s="503"/>
      <c r="B682" s="493"/>
      <c r="C682" s="315"/>
      <c r="D682" s="504"/>
      <c r="E682" s="505"/>
      <c r="F682" s="506"/>
      <c r="G682" s="507"/>
      <c r="H682" s="508"/>
      <c r="I682" s="509"/>
      <c r="J682" s="510"/>
      <c r="K682" s="510"/>
      <c r="R682" s="67"/>
    </row>
    <row r="683">
      <c r="A683" s="503"/>
      <c r="B683" s="493"/>
      <c r="C683" s="315"/>
      <c r="D683" s="504"/>
      <c r="E683" s="505"/>
      <c r="F683" s="506"/>
      <c r="G683" s="507"/>
      <c r="H683" s="508"/>
      <c r="I683" s="509"/>
      <c r="J683" s="510"/>
      <c r="K683" s="510"/>
      <c r="R683" s="67"/>
    </row>
    <row r="684">
      <c r="A684" s="503"/>
      <c r="B684" s="493"/>
      <c r="C684" s="315"/>
      <c r="D684" s="504"/>
      <c r="E684" s="505"/>
      <c r="F684" s="506"/>
      <c r="G684" s="507"/>
      <c r="H684" s="508"/>
      <c r="I684" s="509"/>
      <c r="J684" s="510"/>
      <c r="K684" s="510"/>
      <c r="R684" s="67"/>
    </row>
    <row r="685">
      <c r="A685" s="503"/>
      <c r="B685" s="493"/>
      <c r="C685" s="315"/>
      <c r="D685" s="504"/>
      <c r="E685" s="505"/>
      <c r="F685" s="506"/>
      <c r="G685" s="507"/>
      <c r="H685" s="508"/>
      <c r="I685" s="509"/>
      <c r="J685" s="510"/>
      <c r="K685" s="510"/>
      <c r="R685" s="67"/>
    </row>
    <row r="686">
      <c r="A686" s="503"/>
      <c r="B686" s="493"/>
      <c r="C686" s="315"/>
      <c r="D686" s="504"/>
      <c r="E686" s="505"/>
      <c r="F686" s="506"/>
      <c r="G686" s="507"/>
      <c r="H686" s="508"/>
      <c r="I686" s="509"/>
      <c r="J686" s="510"/>
      <c r="K686" s="510"/>
      <c r="R686" s="67"/>
    </row>
    <row r="687">
      <c r="A687" s="503"/>
      <c r="B687" s="493"/>
      <c r="C687" s="315"/>
      <c r="D687" s="504"/>
      <c r="E687" s="505"/>
      <c r="F687" s="506"/>
      <c r="G687" s="507"/>
      <c r="H687" s="508"/>
      <c r="I687" s="509"/>
      <c r="J687" s="510"/>
      <c r="K687" s="510"/>
      <c r="R687" s="67"/>
    </row>
    <row r="688">
      <c r="A688" s="503"/>
      <c r="B688" s="493"/>
      <c r="C688" s="315"/>
      <c r="D688" s="504"/>
      <c r="E688" s="505"/>
      <c r="F688" s="506"/>
      <c r="G688" s="507"/>
      <c r="H688" s="508"/>
      <c r="I688" s="509"/>
      <c r="J688" s="510"/>
      <c r="K688" s="510"/>
      <c r="R688" s="67"/>
    </row>
    <row r="689">
      <c r="A689" s="503"/>
      <c r="B689" s="493"/>
      <c r="C689" s="315"/>
      <c r="D689" s="504"/>
      <c r="E689" s="505"/>
      <c r="F689" s="506"/>
      <c r="G689" s="507"/>
      <c r="H689" s="508"/>
      <c r="I689" s="509"/>
      <c r="J689" s="510"/>
      <c r="K689" s="510"/>
      <c r="R689" s="67"/>
    </row>
    <row r="690">
      <c r="A690" s="503"/>
      <c r="B690" s="493"/>
      <c r="C690" s="315"/>
      <c r="D690" s="504"/>
      <c r="E690" s="505"/>
      <c r="F690" s="506"/>
      <c r="G690" s="507"/>
      <c r="H690" s="508"/>
      <c r="I690" s="509"/>
      <c r="J690" s="510"/>
      <c r="K690" s="510"/>
      <c r="R690" s="67"/>
    </row>
    <row r="691">
      <c r="A691" s="503"/>
      <c r="B691" s="493"/>
      <c r="C691" s="315"/>
      <c r="D691" s="504"/>
      <c r="E691" s="505"/>
      <c r="F691" s="506"/>
      <c r="G691" s="507"/>
      <c r="H691" s="508"/>
      <c r="I691" s="509"/>
      <c r="J691" s="510"/>
      <c r="K691" s="510"/>
      <c r="R691" s="67"/>
    </row>
    <row r="692">
      <c r="A692" s="503"/>
      <c r="B692" s="493"/>
      <c r="C692" s="315"/>
      <c r="D692" s="504"/>
      <c r="E692" s="505"/>
      <c r="F692" s="506"/>
      <c r="G692" s="507"/>
      <c r="H692" s="508"/>
      <c r="I692" s="509"/>
      <c r="J692" s="510"/>
      <c r="K692" s="510"/>
      <c r="R692" s="67"/>
    </row>
    <row r="693">
      <c r="A693" s="503"/>
      <c r="B693" s="493"/>
      <c r="C693" s="315"/>
      <c r="D693" s="504"/>
      <c r="E693" s="505"/>
      <c r="F693" s="506"/>
      <c r="G693" s="507"/>
      <c r="H693" s="508"/>
      <c r="I693" s="509"/>
      <c r="J693" s="510"/>
      <c r="K693" s="510"/>
      <c r="R693" s="67"/>
    </row>
    <row r="694">
      <c r="A694" s="503"/>
      <c r="B694" s="493"/>
      <c r="C694" s="315"/>
      <c r="D694" s="504"/>
      <c r="E694" s="505"/>
      <c r="F694" s="506"/>
      <c r="G694" s="507"/>
      <c r="H694" s="508"/>
      <c r="I694" s="509"/>
      <c r="J694" s="510"/>
      <c r="K694" s="510"/>
      <c r="R694" s="67"/>
    </row>
    <row r="695">
      <c r="A695" s="503"/>
      <c r="B695" s="493"/>
      <c r="C695" s="315"/>
      <c r="D695" s="504"/>
      <c r="E695" s="505"/>
      <c r="F695" s="506"/>
      <c r="G695" s="507"/>
      <c r="H695" s="508"/>
      <c r="I695" s="509"/>
      <c r="J695" s="510"/>
      <c r="K695" s="510"/>
      <c r="R695" s="67"/>
    </row>
    <row r="696">
      <c r="A696" s="503"/>
      <c r="B696" s="493"/>
      <c r="C696" s="315"/>
      <c r="D696" s="504"/>
      <c r="E696" s="505"/>
      <c r="F696" s="506"/>
      <c r="G696" s="507"/>
      <c r="H696" s="508"/>
      <c r="I696" s="509"/>
      <c r="J696" s="510"/>
      <c r="K696" s="510"/>
      <c r="R696" s="67"/>
    </row>
    <row r="697">
      <c r="A697" s="503"/>
      <c r="B697" s="493"/>
      <c r="C697" s="315"/>
      <c r="D697" s="504"/>
      <c r="E697" s="505"/>
      <c r="F697" s="506"/>
      <c r="G697" s="507"/>
      <c r="H697" s="508"/>
      <c r="I697" s="509"/>
      <c r="J697" s="510"/>
      <c r="K697" s="510"/>
      <c r="R697" s="67"/>
    </row>
    <row r="698">
      <c r="A698" s="503"/>
      <c r="B698" s="493"/>
      <c r="C698" s="315"/>
      <c r="D698" s="504"/>
      <c r="E698" s="505"/>
      <c r="F698" s="506"/>
      <c r="G698" s="507"/>
      <c r="H698" s="508"/>
      <c r="I698" s="509"/>
      <c r="J698" s="510"/>
      <c r="K698" s="510"/>
      <c r="R698" s="67"/>
    </row>
    <row r="699">
      <c r="A699" s="503"/>
      <c r="B699" s="493"/>
      <c r="C699" s="315"/>
      <c r="D699" s="504"/>
      <c r="E699" s="505"/>
      <c r="F699" s="506"/>
      <c r="G699" s="507"/>
      <c r="H699" s="508"/>
      <c r="I699" s="509"/>
      <c r="J699" s="510"/>
      <c r="K699" s="510"/>
      <c r="R699" s="67"/>
    </row>
    <row r="700">
      <c r="A700" s="503"/>
      <c r="B700" s="493"/>
      <c r="C700" s="315"/>
      <c r="D700" s="504"/>
      <c r="E700" s="505"/>
      <c r="F700" s="506"/>
      <c r="G700" s="507"/>
      <c r="H700" s="508"/>
      <c r="I700" s="509"/>
      <c r="J700" s="510"/>
      <c r="K700" s="510"/>
      <c r="R700" s="67"/>
    </row>
    <row r="701">
      <c r="A701" s="503"/>
      <c r="B701" s="493"/>
      <c r="C701" s="315"/>
      <c r="D701" s="504"/>
      <c r="E701" s="505"/>
      <c r="F701" s="506"/>
      <c r="G701" s="507"/>
      <c r="H701" s="508"/>
      <c r="I701" s="509"/>
      <c r="J701" s="510"/>
      <c r="K701" s="510"/>
      <c r="R701" s="67"/>
    </row>
    <row r="702">
      <c r="A702" s="503"/>
      <c r="B702" s="493"/>
      <c r="C702" s="315"/>
      <c r="D702" s="504"/>
      <c r="E702" s="505"/>
      <c r="F702" s="506"/>
      <c r="G702" s="507"/>
      <c r="H702" s="508"/>
      <c r="I702" s="509"/>
      <c r="J702" s="510"/>
      <c r="K702" s="510"/>
      <c r="R702" s="67"/>
    </row>
    <row r="703">
      <c r="A703" s="503"/>
      <c r="B703" s="493"/>
      <c r="C703" s="315"/>
      <c r="D703" s="504"/>
      <c r="E703" s="505"/>
      <c r="F703" s="506"/>
      <c r="G703" s="507"/>
      <c r="H703" s="508"/>
      <c r="I703" s="509"/>
      <c r="J703" s="510"/>
      <c r="K703" s="510"/>
      <c r="R703" s="67"/>
    </row>
    <row r="704">
      <c r="A704" s="503"/>
      <c r="B704" s="493"/>
      <c r="C704" s="315"/>
      <c r="D704" s="504"/>
      <c r="E704" s="505"/>
      <c r="F704" s="506"/>
      <c r="G704" s="507"/>
      <c r="H704" s="508"/>
      <c r="I704" s="509"/>
      <c r="J704" s="510"/>
      <c r="K704" s="510"/>
      <c r="R704" s="67"/>
    </row>
    <row r="705">
      <c r="A705" s="503"/>
      <c r="B705" s="493"/>
      <c r="C705" s="315"/>
      <c r="D705" s="504"/>
      <c r="E705" s="505"/>
      <c r="F705" s="506"/>
      <c r="G705" s="507"/>
      <c r="H705" s="508"/>
      <c r="I705" s="509"/>
      <c r="J705" s="510"/>
      <c r="K705" s="510"/>
      <c r="R705" s="67"/>
    </row>
    <row r="706">
      <c r="A706" s="503"/>
      <c r="B706" s="493"/>
      <c r="C706" s="315"/>
      <c r="D706" s="504"/>
      <c r="E706" s="505"/>
      <c r="F706" s="506"/>
      <c r="G706" s="507"/>
      <c r="H706" s="508"/>
      <c r="I706" s="509"/>
      <c r="J706" s="510"/>
      <c r="K706" s="510"/>
      <c r="R706" s="67"/>
    </row>
    <row r="707">
      <c r="A707" s="503"/>
      <c r="B707" s="493"/>
      <c r="C707" s="315"/>
      <c r="D707" s="504"/>
      <c r="E707" s="505"/>
      <c r="F707" s="506"/>
      <c r="G707" s="507"/>
      <c r="H707" s="508"/>
      <c r="I707" s="509"/>
      <c r="J707" s="510"/>
      <c r="K707" s="510"/>
      <c r="R707" s="67"/>
    </row>
    <row r="708">
      <c r="A708" s="503"/>
      <c r="B708" s="493"/>
      <c r="C708" s="315"/>
      <c r="D708" s="504"/>
      <c r="E708" s="505"/>
      <c r="F708" s="506"/>
      <c r="G708" s="507"/>
      <c r="H708" s="508"/>
      <c r="I708" s="509"/>
      <c r="J708" s="510"/>
      <c r="K708" s="510"/>
      <c r="R708" s="67"/>
    </row>
    <row r="709">
      <c r="A709" s="503"/>
      <c r="B709" s="493"/>
      <c r="C709" s="315"/>
      <c r="D709" s="504"/>
      <c r="E709" s="505"/>
      <c r="F709" s="506"/>
      <c r="G709" s="507"/>
      <c r="H709" s="508"/>
      <c r="I709" s="509"/>
      <c r="J709" s="510"/>
      <c r="K709" s="510"/>
      <c r="R709" s="67"/>
    </row>
    <row r="710">
      <c r="A710" s="503"/>
      <c r="B710" s="493"/>
      <c r="C710" s="315"/>
      <c r="D710" s="504"/>
      <c r="E710" s="505"/>
      <c r="F710" s="506"/>
      <c r="G710" s="507"/>
      <c r="H710" s="508"/>
      <c r="I710" s="509"/>
      <c r="J710" s="510"/>
      <c r="K710" s="510"/>
      <c r="R710" s="67"/>
    </row>
    <row r="711">
      <c r="A711" s="503"/>
      <c r="B711" s="493"/>
      <c r="C711" s="315"/>
      <c r="D711" s="504"/>
      <c r="E711" s="505"/>
      <c r="F711" s="506"/>
      <c r="G711" s="507"/>
      <c r="H711" s="508"/>
      <c r="I711" s="509"/>
      <c r="J711" s="510"/>
      <c r="K711" s="510"/>
      <c r="R711" s="67"/>
    </row>
    <row r="712">
      <c r="A712" s="503"/>
      <c r="B712" s="493"/>
      <c r="C712" s="315"/>
      <c r="D712" s="504"/>
      <c r="E712" s="505"/>
      <c r="F712" s="506"/>
      <c r="G712" s="507"/>
      <c r="H712" s="508"/>
      <c r="I712" s="509"/>
      <c r="J712" s="510"/>
      <c r="K712" s="510"/>
      <c r="R712" s="67"/>
    </row>
    <row r="713">
      <c r="A713" s="503"/>
      <c r="B713" s="493"/>
      <c r="C713" s="315"/>
      <c r="D713" s="504"/>
      <c r="E713" s="505"/>
      <c r="F713" s="506"/>
      <c r="G713" s="507"/>
      <c r="H713" s="508"/>
      <c r="I713" s="509"/>
      <c r="J713" s="510"/>
      <c r="K713" s="510"/>
      <c r="R713" s="67"/>
    </row>
    <row r="714">
      <c r="A714" s="503"/>
      <c r="B714" s="493"/>
      <c r="C714" s="315"/>
      <c r="D714" s="504"/>
      <c r="E714" s="505"/>
      <c r="F714" s="506"/>
      <c r="G714" s="507"/>
      <c r="H714" s="508"/>
      <c r="I714" s="509"/>
      <c r="J714" s="510"/>
      <c r="K714" s="510"/>
      <c r="R714" s="67"/>
    </row>
    <row r="715">
      <c r="A715" s="503"/>
      <c r="B715" s="493"/>
      <c r="C715" s="315"/>
      <c r="D715" s="504"/>
      <c r="E715" s="505"/>
      <c r="F715" s="506"/>
      <c r="G715" s="507"/>
      <c r="H715" s="508"/>
      <c r="I715" s="509"/>
      <c r="J715" s="510"/>
      <c r="K715" s="510"/>
      <c r="R715" s="67"/>
    </row>
    <row r="716">
      <c r="A716" s="503"/>
      <c r="B716" s="493"/>
      <c r="C716" s="315"/>
      <c r="D716" s="504"/>
      <c r="E716" s="505"/>
      <c r="F716" s="506"/>
      <c r="G716" s="507"/>
      <c r="H716" s="508"/>
      <c r="I716" s="509"/>
      <c r="J716" s="510"/>
      <c r="K716" s="510"/>
      <c r="R716" s="67"/>
    </row>
    <row r="717">
      <c r="A717" s="503"/>
      <c r="B717" s="493"/>
      <c r="C717" s="315"/>
      <c r="D717" s="504"/>
      <c r="E717" s="505"/>
      <c r="F717" s="506"/>
      <c r="G717" s="507"/>
      <c r="H717" s="508"/>
      <c r="I717" s="509"/>
      <c r="J717" s="510"/>
      <c r="K717" s="510"/>
      <c r="R717" s="67"/>
    </row>
    <row r="718">
      <c r="A718" s="503"/>
      <c r="B718" s="493"/>
      <c r="C718" s="315"/>
      <c r="D718" s="504"/>
      <c r="E718" s="505"/>
      <c r="F718" s="506"/>
      <c r="G718" s="507"/>
      <c r="H718" s="508"/>
      <c r="I718" s="509"/>
      <c r="J718" s="510"/>
      <c r="K718" s="510"/>
      <c r="R718" s="67"/>
    </row>
    <row r="719">
      <c r="A719" s="503"/>
      <c r="B719" s="493"/>
      <c r="C719" s="315"/>
      <c r="D719" s="504"/>
      <c r="E719" s="505"/>
      <c r="F719" s="506"/>
      <c r="G719" s="507"/>
      <c r="H719" s="508"/>
      <c r="I719" s="509"/>
      <c r="J719" s="510"/>
      <c r="K719" s="510"/>
      <c r="R719" s="67"/>
    </row>
    <row r="720">
      <c r="A720" s="503"/>
      <c r="B720" s="493"/>
      <c r="C720" s="315"/>
      <c r="D720" s="504"/>
      <c r="E720" s="505"/>
      <c r="F720" s="506"/>
      <c r="G720" s="507"/>
      <c r="H720" s="508"/>
      <c r="I720" s="509"/>
      <c r="J720" s="510"/>
      <c r="K720" s="510"/>
      <c r="R720" s="67"/>
    </row>
    <row r="721">
      <c r="A721" s="503"/>
      <c r="B721" s="493"/>
      <c r="C721" s="315"/>
      <c r="D721" s="504"/>
      <c r="E721" s="505"/>
      <c r="F721" s="506"/>
      <c r="G721" s="507"/>
      <c r="H721" s="508"/>
      <c r="I721" s="509"/>
      <c r="J721" s="510"/>
      <c r="K721" s="510"/>
      <c r="R721" s="67"/>
    </row>
    <row r="722">
      <c r="A722" s="503"/>
      <c r="B722" s="493"/>
      <c r="C722" s="315"/>
      <c r="D722" s="504"/>
      <c r="E722" s="505"/>
      <c r="F722" s="506"/>
      <c r="G722" s="507"/>
      <c r="H722" s="508"/>
      <c r="I722" s="509"/>
      <c r="J722" s="510"/>
      <c r="K722" s="510"/>
      <c r="R722" s="67"/>
    </row>
    <row r="723">
      <c r="A723" s="503"/>
      <c r="B723" s="493"/>
      <c r="C723" s="315"/>
      <c r="D723" s="504"/>
      <c r="E723" s="505"/>
      <c r="F723" s="506"/>
      <c r="G723" s="507"/>
      <c r="H723" s="508"/>
      <c r="I723" s="509"/>
      <c r="J723" s="510"/>
      <c r="K723" s="510"/>
      <c r="R723" s="67"/>
    </row>
    <row r="724">
      <c r="A724" s="503"/>
      <c r="B724" s="493"/>
      <c r="C724" s="315"/>
      <c r="D724" s="504"/>
      <c r="E724" s="505"/>
      <c r="F724" s="506"/>
      <c r="G724" s="507"/>
      <c r="H724" s="508"/>
      <c r="I724" s="509"/>
      <c r="J724" s="510"/>
      <c r="K724" s="510"/>
      <c r="R724" s="67"/>
    </row>
    <row r="725">
      <c r="A725" s="503"/>
      <c r="B725" s="493"/>
      <c r="C725" s="315"/>
      <c r="D725" s="504"/>
      <c r="E725" s="505"/>
      <c r="F725" s="506"/>
      <c r="G725" s="507"/>
      <c r="H725" s="508"/>
      <c r="I725" s="509"/>
      <c r="J725" s="510"/>
      <c r="K725" s="510"/>
      <c r="R725" s="67"/>
    </row>
    <row r="726">
      <c r="A726" s="503"/>
      <c r="B726" s="493"/>
      <c r="C726" s="315"/>
      <c r="D726" s="504"/>
      <c r="E726" s="505"/>
      <c r="F726" s="506"/>
      <c r="G726" s="507"/>
      <c r="H726" s="508"/>
      <c r="I726" s="509"/>
      <c r="J726" s="510"/>
      <c r="K726" s="510"/>
      <c r="R726" s="67"/>
    </row>
    <row r="727">
      <c r="A727" s="503"/>
      <c r="B727" s="493"/>
      <c r="C727" s="315"/>
      <c r="D727" s="504"/>
      <c r="E727" s="505"/>
      <c r="F727" s="506"/>
      <c r="G727" s="507"/>
      <c r="H727" s="508"/>
      <c r="I727" s="509"/>
      <c r="J727" s="510"/>
      <c r="K727" s="510"/>
      <c r="R727" s="67"/>
    </row>
    <row r="728">
      <c r="A728" s="503"/>
      <c r="B728" s="493"/>
      <c r="C728" s="315"/>
      <c r="D728" s="504"/>
      <c r="E728" s="505"/>
      <c r="F728" s="506"/>
      <c r="G728" s="507"/>
      <c r="H728" s="508"/>
      <c r="I728" s="509"/>
      <c r="J728" s="510"/>
      <c r="K728" s="510"/>
      <c r="R728" s="67"/>
    </row>
    <row r="729">
      <c r="A729" s="503"/>
      <c r="B729" s="493"/>
      <c r="C729" s="315"/>
      <c r="D729" s="504"/>
      <c r="E729" s="505"/>
      <c r="F729" s="506"/>
      <c r="G729" s="507"/>
      <c r="H729" s="508"/>
      <c r="I729" s="509"/>
      <c r="J729" s="510"/>
      <c r="K729" s="510"/>
      <c r="R729" s="67"/>
    </row>
    <row r="730">
      <c r="A730" s="503"/>
      <c r="B730" s="493"/>
      <c r="C730" s="315"/>
      <c r="D730" s="504"/>
      <c r="E730" s="505"/>
      <c r="F730" s="506"/>
      <c r="G730" s="507"/>
      <c r="H730" s="508"/>
      <c r="I730" s="509"/>
      <c r="J730" s="510"/>
      <c r="K730" s="510"/>
      <c r="R730" s="67"/>
    </row>
    <row r="731">
      <c r="A731" s="503"/>
      <c r="B731" s="493"/>
      <c r="C731" s="315"/>
      <c r="D731" s="504"/>
      <c r="E731" s="505"/>
      <c r="F731" s="506"/>
      <c r="G731" s="507"/>
      <c r="H731" s="508"/>
      <c r="I731" s="509"/>
      <c r="J731" s="510"/>
      <c r="K731" s="510"/>
      <c r="R731" s="67"/>
    </row>
    <row r="732">
      <c r="A732" s="503"/>
      <c r="B732" s="493"/>
      <c r="C732" s="315"/>
      <c r="D732" s="504"/>
      <c r="E732" s="505"/>
      <c r="F732" s="506"/>
      <c r="G732" s="507"/>
      <c r="H732" s="508"/>
      <c r="I732" s="509"/>
      <c r="J732" s="510"/>
      <c r="K732" s="510"/>
      <c r="R732" s="67"/>
    </row>
    <row r="733">
      <c r="A733" s="503"/>
      <c r="B733" s="493"/>
      <c r="C733" s="315"/>
      <c r="D733" s="504"/>
      <c r="E733" s="505"/>
      <c r="F733" s="506"/>
      <c r="G733" s="507"/>
      <c r="H733" s="508"/>
      <c r="I733" s="509"/>
      <c r="J733" s="510"/>
      <c r="K733" s="510"/>
      <c r="R733" s="67"/>
    </row>
    <row r="734">
      <c r="A734" s="503"/>
      <c r="B734" s="493"/>
      <c r="C734" s="315"/>
      <c r="D734" s="504"/>
      <c r="E734" s="505"/>
      <c r="F734" s="506"/>
      <c r="G734" s="507"/>
      <c r="H734" s="508"/>
      <c r="I734" s="509"/>
      <c r="J734" s="510"/>
      <c r="K734" s="510"/>
      <c r="R734" s="67"/>
    </row>
    <row r="735">
      <c r="A735" s="503"/>
      <c r="B735" s="493"/>
      <c r="C735" s="315"/>
      <c r="D735" s="504"/>
      <c r="E735" s="505"/>
      <c r="F735" s="506"/>
      <c r="G735" s="507"/>
      <c r="H735" s="508"/>
      <c r="I735" s="509"/>
      <c r="J735" s="510"/>
      <c r="K735" s="510"/>
      <c r="R735" s="67"/>
    </row>
    <row r="736">
      <c r="A736" s="503"/>
      <c r="B736" s="493"/>
      <c r="C736" s="315"/>
      <c r="D736" s="504"/>
      <c r="E736" s="505"/>
      <c r="F736" s="506"/>
      <c r="G736" s="507"/>
      <c r="H736" s="508"/>
      <c r="I736" s="509"/>
      <c r="J736" s="510"/>
      <c r="K736" s="510"/>
      <c r="R736" s="67"/>
    </row>
    <row r="737">
      <c r="A737" s="503"/>
      <c r="B737" s="493"/>
      <c r="C737" s="315"/>
      <c r="D737" s="504"/>
      <c r="E737" s="505"/>
      <c r="F737" s="506"/>
      <c r="G737" s="507"/>
      <c r="H737" s="508"/>
      <c r="I737" s="509"/>
      <c r="J737" s="510"/>
      <c r="K737" s="510"/>
      <c r="R737" s="67"/>
    </row>
    <row r="738">
      <c r="A738" s="503"/>
      <c r="B738" s="493"/>
      <c r="C738" s="315"/>
      <c r="D738" s="504"/>
      <c r="E738" s="505"/>
      <c r="F738" s="506"/>
      <c r="G738" s="507"/>
      <c r="H738" s="508"/>
      <c r="I738" s="509"/>
      <c r="J738" s="510"/>
      <c r="K738" s="510"/>
      <c r="R738" s="67"/>
    </row>
    <row r="739">
      <c r="A739" s="503"/>
      <c r="B739" s="493"/>
      <c r="C739" s="315"/>
      <c r="D739" s="504"/>
      <c r="E739" s="505"/>
      <c r="F739" s="506"/>
      <c r="G739" s="507"/>
      <c r="H739" s="508"/>
      <c r="I739" s="509"/>
      <c r="J739" s="510"/>
      <c r="K739" s="510"/>
      <c r="R739" s="67"/>
    </row>
    <row r="740">
      <c r="A740" s="503"/>
      <c r="B740" s="493"/>
      <c r="C740" s="315"/>
      <c r="D740" s="504"/>
      <c r="E740" s="505"/>
      <c r="F740" s="506"/>
      <c r="G740" s="507"/>
      <c r="H740" s="508"/>
      <c r="I740" s="509"/>
      <c r="J740" s="510"/>
      <c r="K740" s="510"/>
      <c r="R740" s="67"/>
    </row>
    <row r="741">
      <c r="A741" s="503"/>
      <c r="B741" s="493"/>
      <c r="C741" s="315"/>
      <c r="D741" s="504"/>
      <c r="E741" s="505"/>
      <c r="F741" s="506"/>
      <c r="G741" s="507"/>
      <c r="H741" s="508"/>
      <c r="I741" s="509"/>
      <c r="J741" s="510"/>
      <c r="K741" s="510"/>
      <c r="R741" s="67"/>
    </row>
    <row r="742">
      <c r="A742" s="503"/>
      <c r="B742" s="493"/>
      <c r="C742" s="315"/>
      <c r="D742" s="504"/>
      <c r="E742" s="505"/>
      <c r="F742" s="506"/>
      <c r="G742" s="507"/>
      <c r="H742" s="508"/>
      <c r="I742" s="509"/>
      <c r="J742" s="510"/>
      <c r="K742" s="510"/>
      <c r="R742" s="67"/>
    </row>
    <row r="743">
      <c r="A743" s="503"/>
      <c r="B743" s="493"/>
      <c r="C743" s="315"/>
      <c r="D743" s="504"/>
      <c r="E743" s="505"/>
      <c r="F743" s="506"/>
      <c r="G743" s="507"/>
      <c r="H743" s="508"/>
      <c r="I743" s="509"/>
      <c r="J743" s="510"/>
      <c r="K743" s="510"/>
      <c r="R743" s="67"/>
    </row>
    <row r="744">
      <c r="A744" s="503"/>
      <c r="B744" s="493"/>
      <c r="C744" s="315"/>
      <c r="D744" s="504"/>
      <c r="E744" s="505"/>
      <c r="F744" s="506"/>
      <c r="G744" s="507"/>
      <c r="H744" s="508"/>
      <c r="I744" s="509"/>
      <c r="J744" s="510"/>
      <c r="K744" s="510"/>
      <c r="R744" s="67"/>
    </row>
    <row r="745">
      <c r="A745" s="503"/>
      <c r="B745" s="493"/>
      <c r="C745" s="315"/>
      <c r="D745" s="504"/>
      <c r="E745" s="505"/>
      <c r="F745" s="506"/>
      <c r="G745" s="507"/>
      <c r="H745" s="508"/>
      <c r="I745" s="509"/>
      <c r="J745" s="510"/>
      <c r="K745" s="510"/>
      <c r="R745" s="67"/>
    </row>
    <row r="746">
      <c r="A746" s="503"/>
      <c r="B746" s="493"/>
      <c r="C746" s="315"/>
      <c r="D746" s="504"/>
      <c r="E746" s="505"/>
      <c r="F746" s="506"/>
      <c r="G746" s="507"/>
      <c r="H746" s="508"/>
      <c r="I746" s="509"/>
      <c r="J746" s="510"/>
      <c r="K746" s="510"/>
      <c r="R746" s="67"/>
    </row>
    <row r="747">
      <c r="A747" s="503"/>
      <c r="B747" s="493"/>
      <c r="C747" s="315"/>
      <c r="D747" s="504"/>
      <c r="E747" s="505"/>
      <c r="F747" s="506"/>
      <c r="G747" s="507"/>
      <c r="H747" s="508"/>
      <c r="I747" s="509"/>
      <c r="J747" s="510"/>
      <c r="K747" s="510"/>
      <c r="R747" s="67"/>
    </row>
    <row r="748">
      <c r="A748" s="503"/>
      <c r="B748" s="493"/>
      <c r="C748" s="315"/>
      <c r="D748" s="504"/>
      <c r="E748" s="505"/>
      <c r="F748" s="506"/>
      <c r="G748" s="507"/>
      <c r="H748" s="508"/>
      <c r="I748" s="509"/>
      <c r="J748" s="510"/>
      <c r="K748" s="510"/>
      <c r="R748" s="67"/>
    </row>
    <row r="749">
      <c r="A749" s="503"/>
      <c r="B749" s="493"/>
      <c r="C749" s="315"/>
      <c r="D749" s="504"/>
      <c r="E749" s="505"/>
      <c r="F749" s="506"/>
      <c r="G749" s="507"/>
      <c r="H749" s="508"/>
      <c r="I749" s="509"/>
      <c r="J749" s="510"/>
      <c r="K749" s="510"/>
      <c r="R749" s="67"/>
    </row>
    <row r="750">
      <c r="A750" s="503"/>
      <c r="B750" s="493"/>
      <c r="C750" s="315"/>
      <c r="D750" s="504"/>
      <c r="E750" s="505"/>
      <c r="F750" s="506"/>
      <c r="G750" s="507"/>
      <c r="H750" s="508"/>
      <c r="I750" s="509"/>
      <c r="J750" s="510"/>
      <c r="K750" s="510"/>
      <c r="R750" s="67"/>
    </row>
    <row r="751">
      <c r="A751" s="503"/>
      <c r="B751" s="493"/>
      <c r="C751" s="315"/>
      <c r="D751" s="504"/>
      <c r="E751" s="505"/>
      <c r="F751" s="506"/>
      <c r="G751" s="507"/>
      <c r="H751" s="508"/>
      <c r="I751" s="509"/>
      <c r="J751" s="510"/>
      <c r="K751" s="510"/>
      <c r="R751" s="67"/>
    </row>
    <row r="752">
      <c r="A752" s="503"/>
      <c r="B752" s="493"/>
      <c r="C752" s="315"/>
      <c r="D752" s="504"/>
      <c r="E752" s="505"/>
      <c r="F752" s="506"/>
      <c r="G752" s="507"/>
      <c r="H752" s="508"/>
      <c r="I752" s="509"/>
      <c r="J752" s="510"/>
      <c r="K752" s="510"/>
      <c r="R752" s="67"/>
    </row>
    <row r="753">
      <c r="A753" s="503"/>
      <c r="B753" s="493"/>
      <c r="C753" s="315"/>
      <c r="D753" s="504"/>
      <c r="E753" s="505"/>
      <c r="F753" s="506"/>
      <c r="G753" s="507"/>
      <c r="H753" s="508"/>
      <c r="I753" s="509"/>
      <c r="J753" s="510"/>
      <c r="K753" s="510"/>
      <c r="R753" s="67"/>
    </row>
    <row r="754">
      <c r="A754" s="503"/>
      <c r="B754" s="493"/>
      <c r="C754" s="315"/>
      <c r="D754" s="504"/>
      <c r="E754" s="505"/>
      <c r="F754" s="506"/>
      <c r="G754" s="507"/>
      <c r="H754" s="508"/>
      <c r="I754" s="509"/>
      <c r="J754" s="510"/>
      <c r="K754" s="510"/>
      <c r="R754" s="67"/>
    </row>
    <row r="755">
      <c r="A755" s="503"/>
      <c r="B755" s="493"/>
      <c r="C755" s="315"/>
      <c r="D755" s="504"/>
      <c r="E755" s="505"/>
      <c r="F755" s="506"/>
      <c r="G755" s="507"/>
      <c r="H755" s="508"/>
      <c r="I755" s="509"/>
      <c r="J755" s="510"/>
      <c r="K755" s="510"/>
      <c r="R755" s="67"/>
    </row>
    <row r="756">
      <c r="A756" s="503"/>
      <c r="B756" s="493"/>
      <c r="C756" s="315"/>
      <c r="D756" s="504"/>
      <c r="E756" s="505"/>
      <c r="F756" s="506"/>
      <c r="G756" s="507"/>
      <c r="H756" s="508"/>
      <c r="I756" s="509"/>
      <c r="J756" s="510"/>
      <c r="K756" s="510"/>
      <c r="R756" s="67"/>
    </row>
    <row r="757">
      <c r="A757" s="503"/>
      <c r="B757" s="493"/>
      <c r="C757" s="315"/>
      <c r="D757" s="504"/>
      <c r="E757" s="505"/>
      <c r="F757" s="506"/>
      <c r="G757" s="507"/>
      <c r="H757" s="508"/>
      <c r="I757" s="509"/>
      <c r="J757" s="510"/>
      <c r="K757" s="510"/>
      <c r="R757" s="67"/>
    </row>
    <row r="758">
      <c r="A758" s="503"/>
      <c r="B758" s="493"/>
      <c r="C758" s="315"/>
      <c r="D758" s="504"/>
      <c r="E758" s="505"/>
      <c r="F758" s="506"/>
      <c r="G758" s="507"/>
      <c r="H758" s="508"/>
      <c r="I758" s="509"/>
      <c r="J758" s="510"/>
      <c r="K758" s="510"/>
      <c r="R758" s="67"/>
    </row>
    <row r="759">
      <c r="A759" s="503"/>
      <c r="B759" s="493"/>
      <c r="C759" s="315"/>
      <c r="D759" s="504"/>
      <c r="E759" s="505"/>
      <c r="F759" s="506"/>
      <c r="G759" s="507"/>
      <c r="H759" s="508"/>
      <c r="I759" s="509"/>
      <c r="J759" s="510"/>
      <c r="K759" s="510"/>
      <c r="R759" s="67"/>
    </row>
    <row r="760">
      <c r="A760" s="503"/>
      <c r="B760" s="493"/>
      <c r="C760" s="315"/>
      <c r="D760" s="504"/>
      <c r="E760" s="505"/>
      <c r="F760" s="506"/>
      <c r="G760" s="507"/>
      <c r="H760" s="508"/>
      <c r="I760" s="509"/>
      <c r="J760" s="510"/>
      <c r="K760" s="510"/>
      <c r="R760" s="67"/>
    </row>
    <row r="761">
      <c r="A761" s="503"/>
      <c r="B761" s="493"/>
      <c r="C761" s="315"/>
      <c r="D761" s="504"/>
      <c r="E761" s="505"/>
      <c r="F761" s="506"/>
      <c r="G761" s="507"/>
      <c r="H761" s="508"/>
      <c r="I761" s="509"/>
      <c r="J761" s="510"/>
      <c r="K761" s="510"/>
      <c r="R761" s="67"/>
    </row>
    <row r="762">
      <c r="A762" s="503"/>
      <c r="B762" s="493"/>
      <c r="C762" s="315"/>
      <c r="D762" s="504"/>
      <c r="E762" s="505"/>
      <c r="F762" s="506"/>
      <c r="G762" s="507"/>
      <c r="H762" s="508"/>
      <c r="I762" s="509"/>
      <c r="J762" s="510"/>
      <c r="K762" s="510"/>
      <c r="R762" s="67"/>
    </row>
    <row r="763">
      <c r="A763" s="503"/>
      <c r="B763" s="493"/>
      <c r="C763" s="315"/>
      <c r="D763" s="504"/>
      <c r="E763" s="505"/>
      <c r="F763" s="506"/>
      <c r="G763" s="507"/>
      <c r="H763" s="508"/>
      <c r="I763" s="509"/>
      <c r="J763" s="510"/>
      <c r="K763" s="510"/>
      <c r="R763" s="67"/>
    </row>
    <row r="764">
      <c r="A764" s="503"/>
      <c r="B764" s="493"/>
      <c r="C764" s="315"/>
      <c r="D764" s="504"/>
      <c r="E764" s="505"/>
      <c r="F764" s="506"/>
      <c r="G764" s="507"/>
      <c r="H764" s="508"/>
      <c r="I764" s="509"/>
      <c r="J764" s="510"/>
      <c r="K764" s="510"/>
      <c r="R764" s="67"/>
    </row>
    <row r="765">
      <c r="A765" s="503"/>
      <c r="B765" s="493"/>
      <c r="C765" s="315"/>
      <c r="D765" s="504"/>
      <c r="E765" s="505"/>
      <c r="F765" s="506"/>
      <c r="G765" s="507"/>
      <c r="H765" s="508"/>
      <c r="I765" s="509"/>
      <c r="J765" s="510"/>
      <c r="K765" s="510"/>
      <c r="R765" s="67"/>
    </row>
    <row r="766">
      <c r="A766" s="503"/>
      <c r="B766" s="493"/>
      <c r="C766" s="315"/>
      <c r="D766" s="504"/>
      <c r="E766" s="505"/>
      <c r="F766" s="506"/>
      <c r="G766" s="507"/>
      <c r="H766" s="508"/>
      <c r="I766" s="509"/>
      <c r="J766" s="510"/>
      <c r="K766" s="510"/>
      <c r="R766" s="67"/>
    </row>
    <row r="767">
      <c r="A767" s="503"/>
      <c r="B767" s="493"/>
      <c r="C767" s="315"/>
      <c r="D767" s="504"/>
      <c r="E767" s="505"/>
      <c r="F767" s="506"/>
      <c r="G767" s="507"/>
      <c r="H767" s="508"/>
      <c r="I767" s="509"/>
      <c r="J767" s="510"/>
      <c r="K767" s="510"/>
      <c r="R767" s="67"/>
    </row>
    <row r="768">
      <c r="A768" s="503"/>
      <c r="B768" s="493"/>
      <c r="C768" s="315"/>
      <c r="D768" s="504"/>
      <c r="E768" s="505"/>
      <c r="F768" s="506"/>
      <c r="G768" s="507"/>
      <c r="H768" s="508"/>
      <c r="I768" s="509"/>
      <c r="J768" s="510"/>
      <c r="K768" s="510"/>
      <c r="R768" s="67"/>
    </row>
    <row r="769">
      <c r="A769" s="503"/>
      <c r="B769" s="493"/>
      <c r="C769" s="315"/>
      <c r="D769" s="504"/>
      <c r="E769" s="505"/>
      <c r="F769" s="506"/>
      <c r="G769" s="507"/>
      <c r="H769" s="508"/>
      <c r="I769" s="509"/>
      <c r="J769" s="510"/>
      <c r="K769" s="510"/>
      <c r="R769" s="67"/>
    </row>
    <row r="770">
      <c r="A770" s="503"/>
      <c r="B770" s="493"/>
      <c r="C770" s="315"/>
      <c r="D770" s="504"/>
      <c r="E770" s="505"/>
      <c r="F770" s="506"/>
      <c r="G770" s="507"/>
      <c r="H770" s="508"/>
      <c r="I770" s="509"/>
      <c r="J770" s="510"/>
      <c r="K770" s="510"/>
      <c r="R770" s="67"/>
    </row>
    <row r="771">
      <c r="A771" s="503"/>
      <c r="B771" s="493"/>
      <c r="C771" s="315"/>
      <c r="D771" s="504"/>
      <c r="E771" s="505"/>
      <c r="F771" s="506"/>
      <c r="G771" s="507"/>
      <c r="H771" s="508"/>
      <c r="I771" s="509"/>
      <c r="J771" s="510"/>
      <c r="K771" s="510"/>
      <c r="R771" s="67"/>
    </row>
    <row r="772">
      <c r="A772" s="503"/>
      <c r="B772" s="493"/>
      <c r="C772" s="315"/>
      <c r="D772" s="504"/>
      <c r="E772" s="505"/>
      <c r="F772" s="506"/>
      <c r="G772" s="507"/>
      <c r="H772" s="508"/>
      <c r="I772" s="509"/>
      <c r="J772" s="510"/>
      <c r="K772" s="510"/>
      <c r="R772" s="67"/>
    </row>
    <row r="773">
      <c r="A773" s="503"/>
      <c r="B773" s="493"/>
      <c r="C773" s="315"/>
      <c r="D773" s="504"/>
      <c r="E773" s="505"/>
      <c r="F773" s="506"/>
      <c r="G773" s="507"/>
      <c r="H773" s="508"/>
      <c r="I773" s="509"/>
      <c r="J773" s="510"/>
      <c r="K773" s="510"/>
      <c r="R773" s="67"/>
    </row>
    <row r="774">
      <c r="A774" s="503"/>
      <c r="B774" s="493"/>
      <c r="C774" s="315"/>
      <c r="D774" s="504"/>
      <c r="E774" s="505"/>
      <c r="F774" s="506"/>
      <c r="G774" s="507"/>
      <c r="H774" s="508"/>
      <c r="I774" s="509"/>
      <c r="J774" s="510"/>
      <c r="K774" s="510"/>
      <c r="R774" s="67"/>
    </row>
    <row r="775">
      <c r="A775" s="503"/>
      <c r="B775" s="493"/>
      <c r="C775" s="315"/>
      <c r="D775" s="504"/>
      <c r="E775" s="505"/>
      <c r="F775" s="506"/>
      <c r="G775" s="507"/>
      <c r="H775" s="508"/>
      <c r="I775" s="509"/>
      <c r="J775" s="510"/>
      <c r="K775" s="510"/>
      <c r="R775" s="67"/>
    </row>
    <row r="776">
      <c r="A776" s="503"/>
      <c r="B776" s="493"/>
      <c r="C776" s="315"/>
      <c r="D776" s="504"/>
      <c r="E776" s="505"/>
      <c r="F776" s="506"/>
      <c r="G776" s="507"/>
      <c r="H776" s="508"/>
      <c r="I776" s="509"/>
      <c r="J776" s="510"/>
      <c r="K776" s="510"/>
      <c r="R776" s="67"/>
    </row>
    <row r="777">
      <c r="A777" s="503"/>
      <c r="B777" s="493"/>
      <c r="C777" s="315"/>
      <c r="D777" s="504"/>
      <c r="E777" s="505"/>
      <c r="F777" s="506"/>
      <c r="G777" s="507"/>
      <c r="H777" s="508"/>
      <c r="I777" s="509"/>
      <c r="J777" s="510"/>
      <c r="K777" s="510"/>
      <c r="R777" s="67"/>
    </row>
    <row r="778">
      <c r="A778" s="503"/>
      <c r="B778" s="493"/>
      <c r="C778" s="315"/>
      <c r="D778" s="504"/>
      <c r="E778" s="505"/>
      <c r="F778" s="506"/>
      <c r="G778" s="507"/>
      <c r="H778" s="508"/>
      <c r="I778" s="509"/>
      <c r="J778" s="510"/>
      <c r="K778" s="510"/>
      <c r="R778" s="67"/>
    </row>
    <row r="779">
      <c r="A779" s="503"/>
      <c r="B779" s="493"/>
      <c r="C779" s="315"/>
      <c r="D779" s="504"/>
      <c r="E779" s="505"/>
      <c r="F779" s="506"/>
      <c r="G779" s="507"/>
      <c r="H779" s="508"/>
      <c r="I779" s="509"/>
      <c r="J779" s="510"/>
      <c r="K779" s="510"/>
      <c r="R779" s="67"/>
    </row>
    <row r="780">
      <c r="A780" s="503"/>
      <c r="B780" s="493"/>
      <c r="C780" s="315"/>
      <c r="D780" s="504"/>
      <c r="E780" s="505"/>
      <c r="F780" s="506"/>
      <c r="G780" s="507"/>
      <c r="H780" s="508"/>
      <c r="I780" s="509"/>
      <c r="J780" s="510"/>
      <c r="K780" s="510"/>
      <c r="R780" s="67"/>
    </row>
    <row r="781">
      <c r="A781" s="503"/>
      <c r="B781" s="493"/>
      <c r="C781" s="315"/>
      <c r="D781" s="504"/>
      <c r="E781" s="505"/>
      <c r="F781" s="506"/>
      <c r="G781" s="507"/>
      <c r="H781" s="508"/>
      <c r="I781" s="509"/>
      <c r="J781" s="510"/>
      <c r="K781" s="510"/>
      <c r="R781" s="67"/>
    </row>
    <row r="782">
      <c r="A782" s="503"/>
      <c r="B782" s="493"/>
      <c r="C782" s="315"/>
      <c r="D782" s="504"/>
      <c r="E782" s="505"/>
      <c r="F782" s="506"/>
      <c r="G782" s="507"/>
      <c r="H782" s="508"/>
      <c r="I782" s="509"/>
      <c r="J782" s="510"/>
      <c r="K782" s="510"/>
      <c r="R782" s="67"/>
    </row>
    <row r="783">
      <c r="A783" s="503"/>
      <c r="B783" s="493"/>
      <c r="C783" s="315"/>
      <c r="D783" s="504"/>
      <c r="E783" s="505"/>
      <c r="F783" s="506"/>
      <c r="G783" s="507"/>
      <c r="H783" s="508"/>
      <c r="I783" s="509"/>
      <c r="J783" s="510"/>
      <c r="K783" s="510"/>
      <c r="R783" s="67"/>
    </row>
    <row r="784">
      <c r="A784" s="503"/>
      <c r="B784" s="493"/>
      <c r="C784" s="315"/>
      <c r="D784" s="504"/>
      <c r="E784" s="505"/>
      <c r="F784" s="506"/>
      <c r="G784" s="507"/>
      <c r="H784" s="508"/>
      <c r="I784" s="509"/>
      <c r="J784" s="510"/>
      <c r="K784" s="510"/>
      <c r="R784" s="67"/>
    </row>
    <row r="785">
      <c r="A785" s="503"/>
      <c r="B785" s="493"/>
      <c r="C785" s="315"/>
      <c r="D785" s="504"/>
      <c r="E785" s="505"/>
      <c r="F785" s="506"/>
      <c r="G785" s="507"/>
      <c r="H785" s="508"/>
      <c r="I785" s="509"/>
      <c r="J785" s="510"/>
      <c r="K785" s="510"/>
      <c r="R785" s="67"/>
    </row>
    <row r="786">
      <c r="A786" s="503"/>
      <c r="B786" s="493"/>
      <c r="C786" s="315"/>
      <c r="D786" s="504"/>
      <c r="E786" s="505"/>
      <c r="F786" s="506"/>
      <c r="G786" s="507"/>
      <c r="H786" s="508"/>
      <c r="I786" s="509"/>
      <c r="J786" s="510"/>
      <c r="K786" s="510"/>
      <c r="R786" s="67"/>
    </row>
    <row r="787">
      <c r="A787" s="503"/>
      <c r="B787" s="493"/>
      <c r="C787" s="315"/>
      <c r="D787" s="504"/>
      <c r="E787" s="505"/>
      <c r="F787" s="506"/>
      <c r="G787" s="507"/>
      <c r="H787" s="508"/>
      <c r="I787" s="509"/>
      <c r="J787" s="510"/>
      <c r="K787" s="510"/>
      <c r="R787" s="67"/>
    </row>
    <row r="788">
      <c r="A788" s="503"/>
      <c r="B788" s="493"/>
      <c r="C788" s="315"/>
      <c r="D788" s="504"/>
      <c r="E788" s="505"/>
      <c r="F788" s="506"/>
      <c r="G788" s="507"/>
      <c r="H788" s="508"/>
      <c r="I788" s="509"/>
      <c r="J788" s="510"/>
      <c r="K788" s="510"/>
      <c r="R788" s="67"/>
    </row>
    <row r="789">
      <c r="A789" s="503"/>
      <c r="B789" s="493"/>
      <c r="C789" s="315"/>
      <c r="D789" s="504"/>
      <c r="E789" s="505"/>
      <c r="F789" s="506"/>
      <c r="G789" s="507"/>
      <c r="H789" s="508"/>
      <c r="I789" s="509"/>
      <c r="J789" s="510"/>
      <c r="K789" s="510"/>
      <c r="R789" s="67"/>
    </row>
    <row r="790">
      <c r="A790" s="503"/>
      <c r="B790" s="493"/>
      <c r="C790" s="315"/>
      <c r="D790" s="504"/>
      <c r="E790" s="505"/>
      <c r="F790" s="506"/>
      <c r="G790" s="507"/>
      <c r="H790" s="508"/>
      <c r="I790" s="509"/>
      <c r="J790" s="510"/>
      <c r="K790" s="510"/>
      <c r="R790" s="67"/>
    </row>
    <row r="791">
      <c r="A791" s="503"/>
      <c r="B791" s="493"/>
      <c r="C791" s="315"/>
      <c r="D791" s="504"/>
      <c r="E791" s="505"/>
      <c r="F791" s="506"/>
      <c r="G791" s="507"/>
      <c r="H791" s="508"/>
      <c r="I791" s="509"/>
      <c r="J791" s="510"/>
      <c r="K791" s="510"/>
      <c r="R791" s="67"/>
    </row>
    <row r="792">
      <c r="A792" s="503"/>
      <c r="B792" s="493"/>
      <c r="C792" s="315"/>
      <c r="D792" s="504"/>
      <c r="E792" s="505"/>
      <c r="F792" s="506"/>
      <c r="G792" s="507"/>
      <c r="H792" s="508"/>
      <c r="I792" s="509"/>
      <c r="J792" s="510"/>
      <c r="K792" s="510"/>
      <c r="R792" s="67"/>
    </row>
    <row r="793">
      <c r="A793" s="503"/>
      <c r="B793" s="493"/>
      <c r="C793" s="315"/>
      <c r="D793" s="504"/>
      <c r="E793" s="505"/>
      <c r="F793" s="506"/>
      <c r="G793" s="507"/>
      <c r="H793" s="508"/>
      <c r="I793" s="509"/>
      <c r="J793" s="510"/>
      <c r="K793" s="510"/>
      <c r="R793" s="67"/>
    </row>
    <row r="794">
      <c r="A794" s="503"/>
      <c r="B794" s="493"/>
      <c r="C794" s="315"/>
      <c r="D794" s="504"/>
      <c r="E794" s="505"/>
      <c r="F794" s="506"/>
      <c r="G794" s="507"/>
      <c r="H794" s="508"/>
      <c r="I794" s="509"/>
      <c r="J794" s="510"/>
      <c r="K794" s="510"/>
      <c r="R794" s="67"/>
    </row>
    <row r="795">
      <c r="A795" s="503"/>
      <c r="B795" s="493"/>
      <c r="C795" s="315"/>
      <c r="D795" s="504"/>
      <c r="E795" s="505"/>
      <c r="F795" s="506"/>
      <c r="G795" s="507"/>
      <c r="H795" s="508"/>
      <c r="I795" s="509"/>
      <c r="J795" s="510"/>
      <c r="K795" s="510"/>
      <c r="R795" s="67"/>
    </row>
    <row r="796">
      <c r="A796" s="503"/>
      <c r="B796" s="493"/>
      <c r="C796" s="315"/>
      <c r="D796" s="504"/>
      <c r="E796" s="505"/>
      <c r="F796" s="506"/>
      <c r="G796" s="507"/>
      <c r="H796" s="508"/>
      <c r="I796" s="509"/>
      <c r="J796" s="510"/>
      <c r="K796" s="510"/>
      <c r="R796" s="67"/>
    </row>
    <row r="797">
      <c r="A797" s="503"/>
      <c r="B797" s="493"/>
      <c r="C797" s="315"/>
      <c r="D797" s="504"/>
      <c r="E797" s="505"/>
      <c r="F797" s="506"/>
      <c r="G797" s="507"/>
      <c r="H797" s="508"/>
      <c r="I797" s="509"/>
      <c r="J797" s="510"/>
      <c r="K797" s="510"/>
      <c r="R797" s="67"/>
    </row>
    <row r="798">
      <c r="A798" s="503"/>
      <c r="B798" s="493"/>
      <c r="C798" s="315"/>
      <c r="D798" s="504"/>
      <c r="E798" s="505"/>
      <c r="F798" s="506"/>
      <c r="G798" s="507"/>
      <c r="H798" s="508"/>
      <c r="I798" s="509"/>
      <c r="J798" s="510"/>
      <c r="K798" s="510"/>
      <c r="R798" s="67"/>
    </row>
    <row r="799">
      <c r="A799" s="503"/>
      <c r="B799" s="493"/>
      <c r="C799" s="315"/>
      <c r="D799" s="504"/>
      <c r="E799" s="505"/>
      <c r="F799" s="506"/>
      <c r="G799" s="507"/>
      <c r="H799" s="508"/>
      <c r="I799" s="509"/>
      <c r="J799" s="510"/>
      <c r="K799" s="510"/>
      <c r="R799" s="67"/>
    </row>
    <row r="800">
      <c r="A800" s="503"/>
      <c r="B800" s="493"/>
      <c r="C800" s="315"/>
      <c r="D800" s="504"/>
      <c r="E800" s="505"/>
      <c r="F800" s="506"/>
      <c r="G800" s="507"/>
      <c r="H800" s="508"/>
      <c r="I800" s="509"/>
      <c r="J800" s="510"/>
      <c r="K800" s="510"/>
      <c r="R800" s="67"/>
    </row>
    <row r="801">
      <c r="A801" s="503"/>
      <c r="B801" s="493"/>
      <c r="C801" s="315"/>
      <c r="D801" s="504"/>
      <c r="E801" s="505"/>
      <c r="F801" s="506"/>
      <c r="G801" s="507"/>
      <c r="H801" s="508"/>
      <c r="I801" s="509"/>
      <c r="J801" s="510"/>
      <c r="K801" s="510"/>
      <c r="R801" s="67"/>
    </row>
    <row r="802">
      <c r="A802" s="503"/>
      <c r="B802" s="493"/>
      <c r="C802" s="315"/>
      <c r="D802" s="504"/>
      <c r="E802" s="505"/>
      <c r="F802" s="506"/>
      <c r="G802" s="507"/>
      <c r="H802" s="508"/>
      <c r="I802" s="509"/>
      <c r="J802" s="510"/>
      <c r="K802" s="510"/>
      <c r="R802" s="67"/>
    </row>
    <row r="803">
      <c r="A803" s="503"/>
      <c r="B803" s="493"/>
      <c r="C803" s="315"/>
      <c r="D803" s="504"/>
      <c r="E803" s="505"/>
      <c r="F803" s="506"/>
      <c r="G803" s="507"/>
      <c r="H803" s="508"/>
      <c r="I803" s="509"/>
      <c r="J803" s="510"/>
      <c r="K803" s="510"/>
      <c r="R803" s="67"/>
    </row>
    <row r="804">
      <c r="A804" s="503"/>
      <c r="B804" s="493"/>
      <c r="C804" s="315"/>
      <c r="D804" s="504"/>
      <c r="E804" s="505"/>
      <c r="F804" s="506"/>
      <c r="G804" s="507"/>
      <c r="H804" s="508"/>
      <c r="I804" s="509"/>
      <c r="J804" s="510"/>
      <c r="K804" s="510"/>
      <c r="R804" s="67"/>
    </row>
    <row r="805">
      <c r="A805" s="503"/>
      <c r="B805" s="493"/>
      <c r="C805" s="315"/>
      <c r="D805" s="504"/>
      <c r="E805" s="505"/>
      <c r="F805" s="506"/>
      <c r="G805" s="507"/>
      <c r="H805" s="508"/>
      <c r="I805" s="509"/>
      <c r="J805" s="510"/>
      <c r="K805" s="510"/>
      <c r="R805" s="67"/>
    </row>
    <row r="806">
      <c r="A806" s="503"/>
      <c r="B806" s="493"/>
      <c r="C806" s="315"/>
      <c r="D806" s="504"/>
      <c r="E806" s="505"/>
      <c r="F806" s="506"/>
      <c r="G806" s="507"/>
      <c r="H806" s="508"/>
      <c r="I806" s="509"/>
      <c r="J806" s="510"/>
      <c r="K806" s="510"/>
      <c r="R806" s="67"/>
    </row>
    <row r="807">
      <c r="A807" s="503"/>
      <c r="B807" s="493"/>
      <c r="C807" s="315"/>
      <c r="D807" s="504"/>
      <c r="E807" s="505"/>
      <c r="F807" s="506"/>
      <c r="G807" s="507"/>
      <c r="H807" s="508"/>
      <c r="I807" s="509"/>
      <c r="J807" s="510"/>
      <c r="K807" s="510"/>
      <c r="R807" s="67"/>
    </row>
    <row r="808">
      <c r="A808" s="503"/>
      <c r="B808" s="493"/>
      <c r="C808" s="315"/>
      <c r="D808" s="504"/>
      <c r="E808" s="505"/>
      <c r="F808" s="506"/>
      <c r="G808" s="507"/>
      <c r="H808" s="508"/>
      <c r="I808" s="509"/>
      <c r="J808" s="510"/>
      <c r="K808" s="510"/>
      <c r="R808" s="67"/>
    </row>
    <row r="809">
      <c r="A809" s="503"/>
      <c r="B809" s="493"/>
      <c r="C809" s="315"/>
      <c r="D809" s="504"/>
      <c r="E809" s="505"/>
      <c r="F809" s="506"/>
      <c r="G809" s="507"/>
      <c r="H809" s="508"/>
      <c r="I809" s="509"/>
      <c r="J809" s="510"/>
      <c r="K809" s="510"/>
      <c r="R809" s="67"/>
    </row>
    <row r="810">
      <c r="A810" s="503"/>
      <c r="B810" s="493"/>
      <c r="C810" s="315"/>
      <c r="D810" s="504"/>
      <c r="E810" s="505"/>
      <c r="F810" s="506"/>
      <c r="G810" s="507"/>
      <c r="H810" s="508"/>
      <c r="I810" s="509"/>
      <c r="J810" s="510"/>
      <c r="K810" s="510"/>
      <c r="R810" s="67"/>
    </row>
    <row r="811">
      <c r="A811" s="503"/>
      <c r="B811" s="493"/>
      <c r="C811" s="315"/>
      <c r="D811" s="504"/>
      <c r="E811" s="505"/>
      <c r="F811" s="506"/>
      <c r="G811" s="507"/>
      <c r="H811" s="508"/>
      <c r="I811" s="509"/>
      <c r="J811" s="510"/>
      <c r="K811" s="510"/>
      <c r="R811" s="67"/>
    </row>
    <row r="812">
      <c r="A812" s="503"/>
      <c r="B812" s="493"/>
      <c r="C812" s="315"/>
      <c r="D812" s="504"/>
      <c r="E812" s="505"/>
      <c r="F812" s="506"/>
      <c r="G812" s="507"/>
      <c r="H812" s="508"/>
      <c r="I812" s="509"/>
      <c r="J812" s="510"/>
      <c r="K812" s="510"/>
      <c r="R812" s="67"/>
    </row>
    <row r="813">
      <c r="A813" s="503"/>
      <c r="B813" s="493"/>
      <c r="C813" s="315"/>
      <c r="D813" s="504"/>
      <c r="E813" s="505"/>
      <c r="F813" s="506"/>
      <c r="G813" s="507"/>
      <c r="H813" s="508"/>
      <c r="I813" s="509"/>
      <c r="J813" s="510"/>
      <c r="K813" s="510"/>
      <c r="R813" s="67"/>
    </row>
    <row r="814">
      <c r="A814" s="503"/>
      <c r="B814" s="493"/>
      <c r="C814" s="315"/>
      <c r="D814" s="504"/>
      <c r="E814" s="505"/>
      <c r="F814" s="506"/>
      <c r="G814" s="507"/>
      <c r="H814" s="508"/>
      <c r="I814" s="509"/>
      <c r="J814" s="510"/>
      <c r="K814" s="510"/>
      <c r="R814" s="67"/>
    </row>
    <row r="815">
      <c r="A815" s="503"/>
      <c r="B815" s="493"/>
      <c r="C815" s="315"/>
      <c r="D815" s="504"/>
      <c r="E815" s="505"/>
      <c r="F815" s="506"/>
      <c r="G815" s="507"/>
      <c r="H815" s="508"/>
      <c r="I815" s="509"/>
      <c r="J815" s="510"/>
      <c r="K815" s="510"/>
      <c r="R815" s="67"/>
    </row>
    <row r="816">
      <c r="A816" s="503"/>
      <c r="B816" s="493"/>
      <c r="C816" s="315"/>
      <c r="D816" s="504"/>
      <c r="E816" s="505"/>
      <c r="F816" s="506"/>
      <c r="G816" s="507"/>
      <c r="H816" s="508"/>
      <c r="I816" s="509"/>
      <c r="J816" s="510"/>
      <c r="K816" s="510"/>
      <c r="R816" s="67"/>
    </row>
    <row r="817">
      <c r="A817" s="503"/>
      <c r="B817" s="493"/>
      <c r="C817" s="315"/>
      <c r="D817" s="504"/>
      <c r="E817" s="505"/>
      <c r="F817" s="506"/>
      <c r="G817" s="507"/>
      <c r="H817" s="508"/>
      <c r="I817" s="509"/>
      <c r="J817" s="510"/>
      <c r="K817" s="510"/>
      <c r="R817" s="67"/>
    </row>
    <row r="818">
      <c r="A818" s="503"/>
      <c r="B818" s="493"/>
      <c r="C818" s="315"/>
      <c r="D818" s="504"/>
      <c r="E818" s="505"/>
      <c r="F818" s="506"/>
      <c r="G818" s="507"/>
      <c r="H818" s="508"/>
      <c r="I818" s="509"/>
      <c r="J818" s="510"/>
      <c r="K818" s="510"/>
      <c r="R818" s="67"/>
    </row>
    <row r="819">
      <c r="A819" s="503"/>
      <c r="B819" s="493"/>
      <c r="C819" s="315"/>
      <c r="D819" s="504"/>
      <c r="E819" s="505"/>
      <c r="F819" s="506"/>
      <c r="G819" s="507"/>
      <c r="H819" s="508"/>
      <c r="I819" s="509"/>
      <c r="J819" s="510"/>
      <c r="K819" s="510"/>
      <c r="R819" s="67"/>
    </row>
    <row r="820">
      <c r="A820" s="503"/>
      <c r="B820" s="493"/>
      <c r="C820" s="315"/>
      <c r="D820" s="504"/>
      <c r="E820" s="505"/>
      <c r="F820" s="506"/>
      <c r="G820" s="507"/>
      <c r="H820" s="508"/>
      <c r="I820" s="509"/>
      <c r="J820" s="510"/>
      <c r="K820" s="510"/>
      <c r="R820" s="67"/>
    </row>
    <row r="821">
      <c r="A821" s="503"/>
      <c r="B821" s="493"/>
      <c r="C821" s="315"/>
      <c r="D821" s="504"/>
      <c r="E821" s="505"/>
      <c r="F821" s="506"/>
      <c r="G821" s="507"/>
      <c r="H821" s="508"/>
      <c r="I821" s="509"/>
      <c r="J821" s="510"/>
      <c r="K821" s="510"/>
      <c r="R821" s="67"/>
    </row>
    <row r="822">
      <c r="A822" s="503"/>
      <c r="B822" s="493"/>
      <c r="C822" s="315"/>
      <c r="D822" s="504"/>
      <c r="E822" s="505"/>
      <c r="F822" s="506"/>
      <c r="G822" s="507"/>
      <c r="H822" s="508"/>
      <c r="I822" s="509"/>
      <c r="J822" s="510"/>
      <c r="K822" s="510"/>
      <c r="R822" s="67"/>
    </row>
    <row r="823">
      <c r="A823" s="503"/>
      <c r="B823" s="493"/>
      <c r="C823" s="315"/>
      <c r="D823" s="504"/>
      <c r="E823" s="505"/>
      <c r="F823" s="506"/>
      <c r="G823" s="507"/>
      <c r="H823" s="508"/>
      <c r="I823" s="509"/>
      <c r="J823" s="510"/>
      <c r="K823" s="510"/>
      <c r="R823" s="67"/>
    </row>
    <row r="824">
      <c r="A824" s="503"/>
      <c r="B824" s="493"/>
      <c r="C824" s="315"/>
      <c r="D824" s="504"/>
      <c r="E824" s="505"/>
      <c r="F824" s="506"/>
      <c r="G824" s="507"/>
      <c r="H824" s="508"/>
      <c r="I824" s="509"/>
      <c r="J824" s="510"/>
      <c r="K824" s="510"/>
      <c r="R824" s="67"/>
    </row>
    <row r="825">
      <c r="A825" s="503"/>
      <c r="B825" s="493"/>
      <c r="C825" s="315"/>
      <c r="D825" s="504"/>
      <c r="E825" s="505"/>
      <c r="F825" s="506"/>
      <c r="G825" s="507"/>
      <c r="H825" s="508"/>
      <c r="I825" s="509"/>
      <c r="J825" s="510"/>
      <c r="K825" s="510"/>
      <c r="R825" s="67"/>
    </row>
    <row r="826">
      <c r="A826" s="503"/>
      <c r="B826" s="493"/>
      <c r="C826" s="315"/>
      <c r="D826" s="504"/>
      <c r="E826" s="505"/>
      <c r="F826" s="506"/>
      <c r="G826" s="507"/>
      <c r="H826" s="508"/>
      <c r="I826" s="509"/>
      <c r="J826" s="510"/>
      <c r="K826" s="510"/>
      <c r="R826" s="67"/>
    </row>
    <row r="827">
      <c r="A827" s="503"/>
      <c r="B827" s="493"/>
      <c r="C827" s="315"/>
      <c r="D827" s="504"/>
      <c r="E827" s="505"/>
      <c r="F827" s="506"/>
      <c r="G827" s="507"/>
      <c r="H827" s="508"/>
      <c r="I827" s="509"/>
      <c r="J827" s="510"/>
      <c r="K827" s="510"/>
      <c r="R827" s="67"/>
    </row>
    <row r="828">
      <c r="A828" s="503"/>
      <c r="B828" s="493"/>
      <c r="C828" s="315"/>
      <c r="D828" s="504"/>
      <c r="E828" s="505"/>
      <c r="F828" s="506"/>
      <c r="G828" s="507"/>
      <c r="H828" s="508"/>
      <c r="I828" s="509"/>
      <c r="J828" s="510"/>
      <c r="K828" s="510"/>
      <c r="R828" s="67"/>
    </row>
    <row r="829">
      <c r="A829" s="503"/>
      <c r="B829" s="493"/>
      <c r="C829" s="315"/>
      <c r="D829" s="504"/>
      <c r="E829" s="505"/>
      <c r="F829" s="506"/>
      <c r="G829" s="507"/>
      <c r="H829" s="508"/>
      <c r="I829" s="509"/>
      <c r="J829" s="510"/>
      <c r="K829" s="510"/>
      <c r="R829" s="67"/>
    </row>
    <row r="830">
      <c r="A830" s="503"/>
      <c r="B830" s="493"/>
      <c r="C830" s="315"/>
      <c r="D830" s="504"/>
      <c r="E830" s="505"/>
      <c r="F830" s="506"/>
      <c r="G830" s="507"/>
      <c r="H830" s="508"/>
      <c r="I830" s="509"/>
      <c r="J830" s="510"/>
      <c r="K830" s="510"/>
      <c r="R830" s="67"/>
    </row>
    <row r="831">
      <c r="A831" s="503"/>
      <c r="B831" s="493"/>
      <c r="C831" s="315"/>
      <c r="D831" s="504"/>
      <c r="E831" s="505"/>
      <c r="F831" s="506"/>
      <c r="G831" s="507"/>
      <c r="H831" s="508"/>
      <c r="I831" s="509"/>
      <c r="J831" s="510"/>
      <c r="K831" s="510"/>
      <c r="R831" s="67"/>
    </row>
    <row r="832">
      <c r="A832" s="503"/>
      <c r="B832" s="493"/>
      <c r="C832" s="315"/>
      <c r="D832" s="504"/>
      <c r="E832" s="505"/>
      <c r="F832" s="506"/>
      <c r="G832" s="507"/>
      <c r="H832" s="508"/>
      <c r="I832" s="509"/>
      <c r="J832" s="510"/>
      <c r="K832" s="510"/>
      <c r="R832" s="67"/>
    </row>
    <row r="833">
      <c r="A833" s="503"/>
      <c r="B833" s="493"/>
      <c r="C833" s="315"/>
      <c r="D833" s="504"/>
      <c r="E833" s="505"/>
      <c r="F833" s="506"/>
      <c r="G833" s="507"/>
      <c r="H833" s="508"/>
      <c r="I833" s="509"/>
      <c r="J833" s="510"/>
      <c r="K833" s="510"/>
      <c r="R833" s="67"/>
    </row>
    <row r="834">
      <c r="A834" s="503"/>
      <c r="B834" s="493"/>
      <c r="C834" s="315"/>
      <c r="D834" s="504"/>
      <c r="E834" s="505"/>
      <c r="F834" s="506"/>
      <c r="G834" s="507"/>
      <c r="H834" s="508"/>
      <c r="I834" s="509"/>
      <c r="J834" s="510"/>
      <c r="K834" s="510"/>
      <c r="R834" s="67"/>
    </row>
    <row r="835">
      <c r="A835" s="503"/>
      <c r="B835" s="493"/>
      <c r="C835" s="315"/>
      <c r="D835" s="504"/>
      <c r="E835" s="505"/>
      <c r="F835" s="506"/>
      <c r="G835" s="507"/>
      <c r="H835" s="508"/>
      <c r="I835" s="509"/>
      <c r="J835" s="510"/>
      <c r="K835" s="510"/>
      <c r="R835" s="67"/>
    </row>
    <row r="836">
      <c r="A836" s="503"/>
      <c r="B836" s="493"/>
      <c r="C836" s="315"/>
      <c r="D836" s="504"/>
      <c r="E836" s="505"/>
      <c r="F836" s="506"/>
      <c r="G836" s="507"/>
      <c r="H836" s="508"/>
      <c r="I836" s="509"/>
      <c r="J836" s="510"/>
      <c r="K836" s="510"/>
      <c r="R836" s="67"/>
    </row>
    <row r="837">
      <c r="A837" s="503"/>
      <c r="B837" s="493"/>
      <c r="C837" s="315"/>
      <c r="D837" s="504"/>
      <c r="E837" s="505"/>
      <c r="F837" s="506"/>
      <c r="G837" s="507"/>
      <c r="H837" s="508"/>
      <c r="I837" s="509"/>
      <c r="J837" s="510"/>
      <c r="K837" s="510"/>
      <c r="R837" s="67"/>
    </row>
    <row r="838">
      <c r="A838" s="503"/>
      <c r="B838" s="493"/>
      <c r="C838" s="315"/>
      <c r="D838" s="504"/>
      <c r="E838" s="505"/>
      <c r="F838" s="506"/>
      <c r="G838" s="507"/>
      <c r="H838" s="508"/>
      <c r="I838" s="509"/>
      <c r="J838" s="510"/>
      <c r="K838" s="510"/>
      <c r="R838" s="67"/>
    </row>
    <row r="839">
      <c r="A839" s="503"/>
      <c r="B839" s="493"/>
      <c r="C839" s="315"/>
      <c r="D839" s="504"/>
      <c r="E839" s="505"/>
      <c r="F839" s="506"/>
      <c r="G839" s="507"/>
      <c r="H839" s="508"/>
      <c r="I839" s="509"/>
      <c r="J839" s="510"/>
      <c r="K839" s="510"/>
      <c r="R839" s="67"/>
    </row>
    <row r="840">
      <c r="A840" s="503"/>
      <c r="B840" s="493"/>
      <c r="C840" s="315"/>
      <c r="D840" s="504"/>
      <c r="E840" s="505"/>
      <c r="F840" s="506"/>
      <c r="G840" s="507"/>
      <c r="H840" s="508"/>
      <c r="I840" s="509"/>
      <c r="J840" s="510"/>
      <c r="K840" s="510"/>
      <c r="R840" s="67"/>
    </row>
    <row r="841">
      <c r="A841" s="503"/>
      <c r="B841" s="493"/>
      <c r="C841" s="315"/>
      <c r="D841" s="504"/>
      <c r="E841" s="505"/>
      <c r="F841" s="506"/>
      <c r="G841" s="507"/>
      <c r="H841" s="508"/>
      <c r="I841" s="509"/>
      <c r="J841" s="510"/>
      <c r="K841" s="510"/>
      <c r="R841" s="67"/>
    </row>
    <row r="842">
      <c r="A842" s="503"/>
      <c r="B842" s="493"/>
      <c r="C842" s="315"/>
      <c r="D842" s="504"/>
      <c r="E842" s="505"/>
      <c r="F842" s="506"/>
      <c r="G842" s="507"/>
      <c r="H842" s="508"/>
      <c r="I842" s="509"/>
      <c r="J842" s="510"/>
      <c r="K842" s="510"/>
      <c r="R842" s="67"/>
    </row>
    <row r="843">
      <c r="A843" s="503"/>
      <c r="B843" s="493"/>
      <c r="C843" s="315"/>
      <c r="D843" s="504"/>
      <c r="E843" s="505"/>
      <c r="F843" s="506"/>
      <c r="G843" s="507"/>
      <c r="H843" s="508"/>
      <c r="I843" s="509"/>
      <c r="J843" s="510"/>
      <c r="K843" s="510"/>
      <c r="R843" s="67"/>
    </row>
    <row r="844">
      <c r="A844" s="503"/>
      <c r="B844" s="493"/>
      <c r="C844" s="315"/>
      <c r="D844" s="504"/>
      <c r="E844" s="505"/>
      <c r="F844" s="506"/>
      <c r="G844" s="507"/>
      <c r="H844" s="508"/>
      <c r="I844" s="509"/>
      <c r="J844" s="510"/>
      <c r="K844" s="510"/>
      <c r="R844" s="67"/>
    </row>
    <row r="845">
      <c r="A845" s="503"/>
      <c r="B845" s="493"/>
      <c r="C845" s="315"/>
      <c r="D845" s="504"/>
      <c r="E845" s="505"/>
      <c r="F845" s="506"/>
      <c r="G845" s="507"/>
      <c r="H845" s="508"/>
      <c r="I845" s="509"/>
      <c r="J845" s="510"/>
      <c r="K845" s="510"/>
      <c r="R845" s="67"/>
    </row>
    <row r="846">
      <c r="A846" s="503"/>
      <c r="B846" s="493"/>
      <c r="C846" s="315"/>
      <c r="D846" s="504"/>
      <c r="E846" s="505"/>
      <c r="F846" s="506"/>
      <c r="G846" s="507"/>
      <c r="H846" s="508"/>
      <c r="I846" s="509"/>
      <c r="J846" s="510"/>
      <c r="K846" s="510"/>
      <c r="R846" s="67"/>
    </row>
    <row r="847">
      <c r="A847" s="503"/>
      <c r="B847" s="493"/>
      <c r="C847" s="315"/>
      <c r="D847" s="504"/>
      <c r="E847" s="505"/>
      <c r="F847" s="506"/>
      <c r="G847" s="507"/>
      <c r="H847" s="508"/>
      <c r="I847" s="509"/>
      <c r="J847" s="510"/>
      <c r="K847" s="510"/>
      <c r="R847" s="67"/>
    </row>
    <row r="848">
      <c r="A848" s="503"/>
      <c r="B848" s="493"/>
      <c r="C848" s="315"/>
      <c r="D848" s="504"/>
      <c r="E848" s="505"/>
      <c r="F848" s="506"/>
      <c r="G848" s="507"/>
      <c r="H848" s="508"/>
      <c r="I848" s="509"/>
      <c r="J848" s="510"/>
      <c r="K848" s="510"/>
      <c r="R848" s="67"/>
    </row>
    <row r="849">
      <c r="A849" s="503"/>
      <c r="B849" s="493"/>
      <c r="C849" s="315"/>
      <c r="D849" s="504"/>
      <c r="E849" s="505"/>
      <c r="F849" s="506"/>
      <c r="G849" s="507"/>
      <c r="H849" s="508"/>
      <c r="I849" s="509"/>
      <c r="J849" s="510"/>
      <c r="K849" s="510"/>
      <c r="R849" s="67"/>
    </row>
    <row r="850">
      <c r="A850" s="503"/>
      <c r="B850" s="493"/>
      <c r="C850" s="315"/>
      <c r="D850" s="504"/>
      <c r="E850" s="505"/>
      <c r="F850" s="506"/>
      <c r="G850" s="507"/>
      <c r="H850" s="508"/>
      <c r="I850" s="509"/>
      <c r="J850" s="510"/>
      <c r="K850" s="510"/>
      <c r="R850" s="67"/>
    </row>
    <row r="851">
      <c r="A851" s="503"/>
      <c r="B851" s="493"/>
      <c r="C851" s="315"/>
      <c r="D851" s="504"/>
      <c r="E851" s="505"/>
      <c r="F851" s="506"/>
      <c r="G851" s="507"/>
      <c r="H851" s="508"/>
      <c r="I851" s="509"/>
      <c r="J851" s="510"/>
      <c r="K851" s="510"/>
      <c r="R851" s="67"/>
    </row>
    <row r="852">
      <c r="A852" s="503"/>
      <c r="B852" s="493"/>
      <c r="C852" s="315"/>
      <c r="D852" s="504"/>
      <c r="E852" s="505"/>
      <c r="F852" s="506"/>
      <c r="G852" s="507"/>
      <c r="H852" s="508"/>
      <c r="I852" s="509"/>
      <c r="J852" s="510"/>
      <c r="K852" s="510"/>
      <c r="R852" s="67"/>
    </row>
    <row r="853">
      <c r="A853" s="503"/>
      <c r="B853" s="493"/>
      <c r="C853" s="315"/>
      <c r="D853" s="504"/>
      <c r="E853" s="505"/>
      <c r="F853" s="506"/>
      <c r="G853" s="507"/>
      <c r="H853" s="508"/>
      <c r="I853" s="509"/>
      <c r="J853" s="510"/>
      <c r="K853" s="510"/>
      <c r="R853" s="67"/>
    </row>
    <row r="854">
      <c r="A854" s="503"/>
      <c r="B854" s="493"/>
      <c r="C854" s="315"/>
      <c r="D854" s="504"/>
      <c r="E854" s="505"/>
      <c r="F854" s="506"/>
      <c r="G854" s="507"/>
      <c r="H854" s="508"/>
      <c r="I854" s="509"/>
      <c r="J854" s="510"/>
      <c r="K854" s="510"/>
      <c r="R854" s="67"/>
    </row>
    <row r="855">
      <c r="A855" s="503"/>
      <c r="B855" s="493"/>
      <c r="C855" s="315"/>
      <c r="D855" s="504"/>
      <c r="E855" s="505"/>
      <c r="F855" s="506"/>
      <c r="G855" s="507"/>
      <c r="H855" s="508"/>
      <c r="I855" s="509"/>
      <c r="J855" s="510"/>
      <c r="K855" s="510"/>
      <c r="R855" s="67"/>
    </row>
    <row r="856">
      <c r="A856" s="503"/>
      <c r="B856" s="493"/>
      <c r="C856" s="315"/>
      <c r="D856" s="504"/>
      <c r="E856" s="505"/>
      <c r="F856" s="506"/>
      <c r="G856" s="507"/>
      <c r="H856" s="508"/>
      <c r="I856" s="509"/>
      <c r="J856" s="510"/>
      <c r="K856" s="510"/>
      <c r="R856" s="67"/>
    </row>
    <row r="857">
      <c r="A857" s="503"/>
      <c r="B857" s="493"/>
      <c r="C857" s="315"/>
      <c r="D857" s="504"/>
      <c r="E857" s="505"/>
      <c r="F857" s="506"/>
      <c r="G857" s="507"/>
      <c r="H857" s="508"/>
      <c r="I857" s="509"/>
      <c r="J857" s="510"/>
      <c r="K857" s="510"/>
      <c r="R857" s="67"/>
    </row>
    <row r="858">
      <c r="A858" s="503"/>
      <c r="B858" s="493"/>
      <c r="C858" s="315"/>
      <c r="D858" s="504"/>
      <c r="E858" s="505"/>
      <c r="F858" s="506"/>
      <c r="G858" s="507"/>
      <c r="H858" s="508"/>
      <c r="I858" s="509"/>
      <c r="J858" s="510"/>
      <c r="K858" s="510"/>
      <c r="R858" s="67"/>
    </row>
    <row r="859">
      <c r="A859" s="503"/>
      <c r="B859" s="493"/>
      <c r="C859" s="315"/>
      <c r="D859" s="504"/>
      <c r="E859" s="505"/>
      <c r="F859" s="506"/>
      <c r="G859" s="507"/>
      <c r="H859" s="508"/>
      <c r="I859" s="509"/>
      <c r="J859" s="510"/>
      <c r="K859" s="510"/>
      <c r="R859" s="67"/>
    </row>
    <row r="860">
      <c r="A860" s="503"/>
      <c r="B860" s="493"/>
      <c r="C860" s="315"/>
      <c r="D860" s="504"/>
      <c r="E860" s="505"/>
      <c r="F860" s="506"/>
      <c r="G860" s="507"/>
      <c r="H860" s="508"/>
      <c r="I860" s="509"/>
      <c r="J860" s="510"/>
      <c r="K860" s="510"/>
      <c r="R860" s="67"/>
    </row>
    <row r="861">
      <c r="A861" s="503"/>
      <c r="B861" s="493"/>
      <c r="C861" s="315"/>
      <c r="D861" s="504"/>
      <c r="E861" s="505"/>
      <c r="F861" s="506"/>
      <c r="G861" s="507"/>
      <c r="H861" s="508"/>
      <c r="I861" s="509"/>
      <c r="J861" s="510"/>
      <c r="K861" s="510"/>
      <c r="R861" s="67"/>
    </row>
    <row r="862">
      <c r="A862" s="503"/>
      <c r="B862" s="493"/>
      <c r="C862" s="315"/>
      <c r="D862" s="504"/>
      <c r="E862" s="505"/>
      <c r="F862" s="506"/>
      <c r="G862" s="507"/>
      <c r="H862" s="508"/>
      <c r="I862" s="509"/>
      <c r="J862" s="510"/>
      <c r="K862" s="510"/>
      <c r="R862" s="67"/>
    </row>
    <row r="863">
      <c r="A863" s="503"/>
      <c r="B863" s="493"/>
      <c r="C863" s="315"/>
      <c r="D863" s="504"/>
      <c r="E863" s="505"/>
      <c r="F863" s="506"/>
      <c r="G863" s="507"/>
      <c r="H863" s="508"/>
      <c r="I863" s="509"/>
      <c r="J863" s="510"/>
      <c r="K863" s="510"/>
      <c r="R863" s="67"/>
    </row>
    <row r="864">
      <c r="A864" s="503"/>
      <c r="B864" s="493"/>
      <c r="C864" s="315"/>
      <c r="D864" s="504"/>
      <c r="E864" s="505"/>
      <c r="F864" s="506"/>
      <c r="G864" s="507"/>
      <c r="H864" s="508"/>
      <c r="I864" s="509"/>
      <c r="J864" s="510"/>
      <c r="K864" s="510"/>
      <c r="R864" s="67"/>
    </row>
    <row r="865">
      <c r="A865" s="503"/>
      <c r="B865" s="493"/>
      <c r="C865" s="315"/>
      <c r="D865" s="504"/>
      <c r="E865" s="505"/>
      <c r="F865" s="506"/>
      <c r="G865" s="507"/>
      <c r="H865" s="508"/>
      <c r="I865" s="509"/>
      <c r="J865" s="510"/>
      <c r="K865" s="510"/>
      <c r="R865" s="67"/>
    </row>
    <row r="866">
      <c r="A866" s="503"/>
      <c r="B866" s="493"/>
      <c r="C866" s="315"/>
      <c r="D866" s="504"/>
      <c r="E866" s="505"/>
      <c r="F866" s="506"/>
      <c r="G866" s="507"/>
      <c r="H866" s="508"/>
      <c r="I866" s="509"/>
      <c r="J866" s="510"/>
      <c r="K866" s="510"/>
      <c r="R866" s="67"/>
    </row>
    <row r="867">
      <c r="A867" s="503"/>
      <c r="B867" s="493"/>
      <c r="C867" s="315"/>
      <c r="D867" s="504"/>
      <c r="E867" s="505"/>
      <c r="F867" s="506"/>
      <c r="G867" s="507"/>
      <c r="H867" s="508"/>
      <c r="I867" s="509"/>
      <c r="J867" s="510"/>
      <c r="K867" s="510"/>
      <c r="R867" s="67"/>
    </row>
    <row r="868">
      <c r="A868" s="503"/>
      <c r="B868" s="493"/>
      <c r="C868" s="315"/>
      <c r="D868" s="504"/>
      <c r="E868" s="505"/>
      <c r="F868" s="506"/>
      <c r="G868" s="507"/>
      <c r="H868" s="508"/>
      <c r="I868" s="509"/>
      <c r="J868" s="510"/>
      <c r="K868" s="510"/>
      <c r="R868" s="67"/>
    </row>
    <row r="869">
      <c r="A869" s="503"/>
      <c r="B869" s="493"/>
      <c r="C869" s="315"/>
      <c r="D869" s="504"/>
      <c r="E869" s="505"/>
      <c r="F869" s="506"/>
      <c r="G869" s="507"/>
      <c r="H869" s="508"/>
      <c r="I869" s="509"/>
      <c r="J869" s="510"/>
      <c r="K869" s="510"/>
      <c r="R869" s="67"/>
    </row>
    <row r="870">
      <c r="A870" s="503"/>
      <c r="B870" s="493"/>
      <c r="C870" s="315"/>
      <c r="D870" s="504"/>
      <c r="E870" s="505"/>
      <c r="F870" s="506"/>
      <c r="G870" s="507"/>
      <c r="H870" s="508"/>
      <c r="I870" s="509"/>
      <c r="J870" s="510"/>
      <c r="K870" s="510"/>
      <c r="R870" s="67"/>
    </row>
    <row r="871">
      <c r="A871" s="503"/>
      <c r="B871" s="493"/>
      <c r="C871" s="315"/>
      <c r="D871" s="504"/>
      <c r="E871" s="505"/>
      <c r="F871" s="506"/>
      <c r="G871" s="507"/>
      <c r="H871" s="508"/>
      <c r="I871" s="509"/>
      <c r="J871" s="510"/>
      <c r="K871" s="510"/>
      <c r="R871" s="67"/>
    </row>
    <row r="872">
      <c r="A872" s="503"/>
      <c r="B872" s="493"/>
      <c r="C872" s="315"/>
      <c r="D872" s="504"/>
      <c r="E872" s="505"/>
      <c r="F872" s="506"/>
      <c r="G872" s="507"/>
      <c r="H872" s="508"/>
      <c r="I872" s="509"/>
      <c r="J872" s="510"/>
      <c r="K872" s="510"/>
      <c r="R872" s="67"/>
    </row>
    <row r="873">
      <c r="A873" s="503"/>
      <c r="B873" s="493"/>
      <c r="C873" s="315"/>
      <c r="D873" s="504"/>
      <c r="E873" s="505"/>
      <c r="F873" s="506"/>
      <c r="G873" s="507"/>
      <c r="H873" s="508"/>
      <c r="I873" s="509"/>
      <c r="J873" s="510"/>
      <c r="K873" s="510"/>
      <c r="R873" s="67"/>
    </row>
    <row r="874">
      <c r="A874" s="503"/>
      <c r="B874" s="493"/>
      <c r="C874" s="315"/>
      <c r="D874" s="504"/>
      <c r="E874" s="505"/>
      <c r="F874" s="506"/>
      <c r="G874" s="507"/>
      <c r="H874" s="508"/>
      <c r="I874" s="509"/>
      <c r="J874" s="510"/>
      <c r="K874" s="510"/>
      <c r="R874" s="67"/>
    </row>
    <row r="875">
      <c r="A875" s="503"/>
      <c r="B875" s="493"/>
      <c r="C875" s="315"/>
      <c r="D875" s="504"/>
      <c r="E875" s="505"/>
      <c r="F875" s="506"/>
      <c r="G875" s="507"/>
      <c r="H875" s="508"/>
      <c r="I875" s="509"/>
      <c r="J875" s="510"/>
      <c r="K875" s="510"/>
      <c r="R875" s="67"/>
    </row>
    <row r="876">
      <c r="A876" s="503"/>
      <c r="B876" s="493"/>
      <c r="C876" s="315"/>
      <c r="D876" s="504"/>
      <c r="E876" s="505"/>
      <c r="F876" s="506"/>
      <c r="G876" s="507"/>
      <c r="H876" s="508"/>
      <c r="I876" s="509"/>
      <c r="J876" s="510"/>
      <c r="K876" s="510"/>
      <c r="R876" s="67"/>
    </row>
    <row r="877">
      <c r="A877" s="503"/>
      <c r="B877" s="493"/>
      <c r="C877" s="315"/>
      <c r="D877" s="504"/>
      <c r="E877" s="505"/>
      <c r="F877" s="506"/>
      <c r="G877" s="507"/>
      <c r="H877" s="508"/>
      <c r="I877" s="509"/>
      <c r="J877" s="510"/>
      <c r="K877" s="510"/>
      <c r="R877" s="67"/>
    </row>
    <row r="878">
      <c r="A878" s="503"/>
      <c r="B878" s="493"/>
      <c r="C878" s="315"/>
      <c r="D878" s="504"/>
      <c r="E878" s="505"/>
      <c r="F878" s="506"/>
      <c r="G878" s="507"/>
      <c r="H878" s="508"/>
      <c r="I878" s="509"/>
      <c r="J878" s="510"/>
      <c r="K878" s="510"/>
      <c r="R878" s="67"/>
    </row>
    <row r="879">
      <c r="A879" s="503"/>
      <c r="B879" s="493"/>
      <c r="C879" s="315"/>
      <c r="D879" s="504"/>
      <c r="E879" s="505"/>
      <c r="F879" s="506"/>
      <c r="G879" s="507"/>
      <c r="H879" s="508"/>
      <c r="I879" s="509"/>
      <c r="J879" s="510"/>
      <c r="K879" s="510"/>
      <c r="R879" s="67"/>
    </row>
    <row r="880">
      <c r="A880" s="503"/>
      <c r="B880" s="493"/>
      <c r="C880" s="315"/>
      <c r="D880" s="504"/>
      <c r="E880" s="505"/>
      <c r="F880" s="506"/>
      <c r="G880" s="507"/>
      <c r="H880" s="508"/>
      <c r="I880" s="509"/>
      <c r="J880" s="510"/>
      <c r="K880" s="510"/>
      <c r="R880" s="67"/>
    </row>
    <row r="881">
      <c r="A881" s="503"/>
      <c r="B881" s="493"/>
      <c r="C881" s="315"/>
      <c r="D881" s="504"/>
      <c r="E881" s="505"/>
      <c r="F881" s="506"/>
      <c r="G881" s="507"/>
      <c r="H881" s="508"/>
      <c r="I881" s="509"/>
      <c r="J881" s="510"/>
      <c r="K881" s="510"/>
      <c r="R881" s="67"/>
    </row>
    <row r="882">
      <c r="A882" s="503"/>
      <c r="B882" s="493"/>
      <c r="C882" s="315"/>
      <c r="D882" s="504"/>
      <c r="E882" s="505"/>
      <c r="F882" s="506"/>
      <c r="G882" s="507"/>
      <c r="H882" s="508"/>
      <c r="I882" s="509"/>
      <c r="J882" s="510"/>
      <c r="K882" s="510"/>
      <c r="R882" s="67"/>
    </row>
    <row r="883">
      <c r="A883" s="503"/>
      <c r="B883" s="493"/>
      <c r="C883" s="315"/>
      <c r="D883" s="504"/>
      <c r="E883" s="505"/>
      <c r="F883" s="506"/>
      <c r="G883" s="507"/>
      <c r="H883" s="508"/>
      <c r="I883" s="509"/>
      <c r="J883" s="510"/>
      <c r="K883" s="510"/>
      <c r="R883" s="67"/>
    </row>
    <row r="884">
      <c r="A884" s="503"/>
      <c r="B884" s="493"/>
      <c r="C884" s="315"/>
      <c r="D884" s="504"/>
      <c r="E884" s="505"/>
      <c r="F884" s="506"/>
      <c r="G884" s="507"/>
      <c r="H884" s="508"/>
      <c r="I884" s="509"/>
      <c r="J884" s="510"/>
      <c r="K884" s="510"/>
      <c r="R884" s="67"/>
    </row>
    <row r="885">
      <c r="A885" s="503"/>
      <c r="B885" s="493"/>
      <c r="C885" s="315"/>
      <c r="D885" s="504"/>
      <c r="E885" s="505"/>
      <c r="F885" s="506"/>
      <c r="G885" s="507"/>
      <c r="H885" s="508"/>
      <c r="I885" s="509"/>
      <c r="J885" s="510"/>
      <c r="K885" s="510"/>
      <c r="R885" s="67"/>
    </row>
    <row r="886">
      <c r="A886" s="503"/>
      <c r="B886" s="493"/>
      <c r="C886" s="315"/>
      <c r="D886" s="504"/>
      <c r="E886" s="505"/>
      <c r="F886" s="506"/>
      <c r="G886" s="507"/>
      <c r="H886" s="508"/>
      <c r="I886" s="509"/>
      <c r="J886" s="510"/>
      <c r="K886" s="510"/>
      <c r="R886" s="67"/>
    </row>
    <row r="887">
      <c r="A887" s="503"/>
      <c r="B887" s="493"/>
      <c r="C887" s="315"/>
      <c r="D887" s="504"/>
      <c r="E887" s="505"/>
      <c r="F887" s="506"/>
      <c r="G887" s="507"/>
      <c r="H887" s="508"/>
      <c r="I887" s="509"/>
      <c r="J887" s="510"/>
      <c r="K887" s="510"/>
      <c r="R887" s="67"/>
    </row>
    <row r="888">
      <c r="A888" s="503"/>
      <c r="B888" s="493"/>
      <c r="C888" s="315"/>
      <c r="D888" s="504"/>
      <c r="E888" s="505"/>
      <c r="F888" s="506"/>
      <c r="G888" s="507"/>
      <c r="H888" s="508"/>
      <c r="I888" s="509"/>
      <c r="J888" s="510"/>
      <c r="K888" s="510"/>
      <c r="R888" s="67"/>
    </row>
    <row r="889">
      <c r="A889" s="503"/>
      <c r="B889" s="493"/>
      <c r="C889" s="315"/>
      <c r="D889" s="504"/>
      <c r="E889" s="505"/>
      <c r="F889" s="506"/>
      <c r="G889" s="507"/>
      <c r="H889" s="508"/>
      <c r="I889" s="509"/>
      <c r="J889" s="510"/>
      <c r="K889" s="510"/>
      <c r="R889" s="67"/>
    </row>
    <row r="890">
      <c r="A890" s="503"/>
      <c r="B890" s="493"/>
      <c r="C890" s="315"/>
      <c r="D890" s="504"/>
      <c r="E890" s="505"/>
      <c r="F890" s="506"/>
      <c r="G890" s="507"/>
      <c r="H890" s="508"/>
      <c r="I890" s="509"/>
      <c r="J890" s="510"/>
      <c r="K890" s="510"/>
      <c r="R890" s="67"/>
    </row>
    <row r="891">
      <c r="A891" s="503"/>
      <c r="B891" s="493"/>
      <c r="C891" s="315"/>
      <c r="D891" s="504"/>
      <c r="E891" s="505"/>
      <c r="F891" s="506"/>
      <c r="G891" s="507"/>
      <c r="H891" s="508"/>
      <c r="I891" s="509"/>
      <c r="J891" s="510"/>
      <c r="K891" s="510"/>
      <c r="R891" s="67"/>
    </row>
    <row r="892">
      <c r="A892" s="503"/>
      <c r="B892" s="493"/>
      <c r="C892" s="315"/>
      <c r="D892" s="504"/>
      <c r="E892" s="505"/>
      <c r="F892" s="506"/>
      <c r="G892" s="507"/>
      <c r="H892" s="508"/>
      <c r="I892" s="509"/>
      <c r="J892" s="510"/>
      <c r="K892" s="510"/>
      <c r="R892" s="67"/>
    </row>
    <row r="893">
      <c r="A893" s="503"/>
      <c r="B893" s="493"/>
      <c r="C893" s="315"/>
      <c r="D893" s="504"/>
      <c r="E893" s="505"/>
      <c r="F893" s="506"/>
      <c r="G893" s="507"/>
      <c r="H893" s="508"/>
      <c r="I893" s="509"/>
      <c r="J893" s="510"/>
      <c r="K893" s="510"/>
      <c r="R893" s="67"/>
    </row>
    <row r="894">
      <c r="A894" s="503"/>
      <c r="B894" s="493"/>
      <c r="C894" s="315"/>
      <c r="D894" s="504"/>
      <c r="E894" s="505"/>
      <c r="F894" s="506"/>
      <c r="G894" s="507"/>
      <c r="H894" s="508"/>
      <c r="I894" s="509"/>
      <c r="J894" s="510"/>
      <c r="K894" s="510"/>
      <c r="R894" s="67"/>
    </row>
    <row r="895">
      <c r="A895" s="503"/>
      <c r="B895" s="493"/>
      <c r="C895" s="315"/>
      <c r="D895" s="504"/>
      <c r="E895" s="505"/>
      <c r="F895" s="506"/>
      <c r="G895" s="507"/>
      <c r="H895" s="508"/>
      <c r="I895" s="509"/>
      <c r="J895" s="510"/>
      <c r="K895" s="510"/>
      <c r="R895" s="67"/>
    </row>
    <row r="896">
      <c r="A896" s="503"/>
      <c r="B896" s="493"/>
      <c r="C896" s="315"/>
      <c r="D896" s="504"/>
      <c r="E896" s="505"/>
      <c r="F896" s="506"/>
      <c r="G896" s="507"/>
      <c r="H896" s="508"/>
      <c r="I896" s="509"/>
      <c r="J896" s="510"/>
      <c r="K896" s="510"/>
      <c r="R896" s="67"/>
    </row>
    <row r="897">
      <c r="A897" s="503"/>
      <c r="B897" s="493"/>
      <c r="C897" s="315"/>
      <c r="D897" s="504"/>
      <c r="E897" s="505"/>
      <c r="F897" s="506"/>
      <c r="G897" s="507"/>
      <c r="H897" s="508"/>
      <c r="I897" s="509"/>
      <c r="J897" s="510"/>
      <c r="K897" s="510"/>
      <c r="R897" s="67"/>
    </row>
    <row r="898">
      <c r="A898" s="503"/>
      <c r="B898" s="493"/>
      <c r="C898" s="315"/>
      <c r="D898" s="504"/>
      <c r="E898" s="505"/>
      <c r="F898" s="506"/>
      <c r="G898" s="507"/>
      <c r="H898" s="508"/>
      <c r="I898" s="509"/>
      <c r="J898" s="510"/>
      <c r="K898" s="510"/>
      <c r="R898" s="67"/>
    </row>
    <row r="899">
      <c r="A899" s="503"/>
      <c r="B899" s="493"/>
      <c r="C899" s="315"/>
      <c r="D899" s="504"/>
      <c r="E899" s="505"/>
      <c r="F899" s="506"/>
      <c r="G899" s="507"/>
      <c r="H899" s="508"/>
      <c r="I899" s="509"/>
      <c r="J899" s="510"/>
      <c r="K899" s="510"/>
      <c r="R899" s="67"/>
    </row>
    <row r="900">
      <c r="A900" s="503"/>
      <c r="B900" s="493"/>
      <c r="C900" s="315"/>
      <c r="D900" s="504"/>
      <c r="E900" s="505"/>
      <c r="F900" s="506"/>
      <c r="G900" s="507"/>
      <c r="H900" s="508"/>
      <c r="I900" s="509"/>
      <c r="J900" s="510"/>
      <c r="K900" s="510"/>
      <c r="R900" s="67"/>
    </row>
    <row r="901">
      <c r="A901" s="503"/>
      <c r="B901" s="493"/>
      <c r="C901" s="315"/>
      <c r="D901" s="504"/>
      <c r="E901" s="505"/>
      <c r="F901" s="506"/>
      <c r="G901" s="507"/>
      <c r="H901" s="508"/>
      <c r="I901" s="509"/>
      <c r="J901" s="510"/>
      <c r="K901" s="510"/>
      <c r="R901" s="67"/>
    </row>
    <row r="902">
      <c r="A902" s="503"/>
      <c r="B902" s="493"/>
      <c r="C902" s="315"/>
      <c r="D902" s="504"/>
      <c r="E902" s="505"/>
      <c r="F902" s="506"/>
      <c r="G902" s="507"/>
      <c r="H902" s="508"/>
      <c r="I902" s="509"/>
      <c r="J902" s="510"/>
      <c r="K902" s="510"/>
      <c r="R902" s="67"/>
    </row>
    <row r="903">
      <c r="A903" s="503"/>
      <c r="B903" s="493"/>
      <c r="C903" s="315"/>
      <c r="D903" s="504"/>
      <c r="E903" s="505"/>
      <c r="F903" s="506"/>
      <c r="G903" s="507"/>
      <c r="H903" s="508"/>
      <c r="I903" s="509"/>
      <c r="J903" s="510"/>
      <c r="K903" s="510"/>
      <c r="R903" s="67"/>
    </row>
    <row r="904">
      <c r="A904" s="503"/>
      <c r="B904" s="493"/>
      <c r="C904" s="315"/>
      <c r="D904" s="504"/>
      <c r="E904" s="505"/>
      <c r="F904" s="506"/>
      <c r="G904" s="507"/>
      <c r="H904" s="508"/>
      <c r="I904" s="509"/>
      <c r="J904" s="510"/>
      <c r="K904" s="510"/>
      <c r="R904" s="67"/>
    </row>
    <row r="905">
      <c r="A905" s="503"/>
      <c r="B905" s="493"/>
      <c r="C905" s="315"/>
      <c r="D905" s="504"/>
      <c r="E905" s="505"/>
      <c r="F905" s="506"/>
      <c r="G905" s="507"/>
      <c r="H905" s="508"/>
      <c r="I905" s="509"/>
      <c r="J905" s="510"/>
      <c r="K905" s="510"/>
      <c r="R905" s="67"/>
    </row>
    <row r="906">
      <c r="A906" s="503"/>
      <c r="B906" s="493"/>
      <c r="C906" s="315"/>
      <c r="D906" s="504"/>
      <c r="E906" s="505"/>
      <c r="F906" s="506"/>
      <c r="G906" s="507"/>
      <c r="H906" s="508"/>
      <c r="I906" s="509"/>
      <c r="J906" s="510"/>
      <c r="K906" s="510"/>
      <c r="R906" s="67"/>
    </row>
    <row r="907">
      <c r="A907" s="503"/>
      <c r="B907" s="493"/>
      <c r="C907" s="315"/>
      <c r="D907" s="504"/>
      <c r="E907" s="505"/>
      <c r="F907" s="506"/>
      <c r="G907" s="507"/>
      <c r="H907" s="508"/>
      <c r="I907" s="509"/>
      <c r="J907" s="510"/>
      <c r="K907" s="510"/>
      <c r="R907" s="67"/>
    </row>
    <row r="908">
      <c r="A908" s="503"/>
      <c r="B908" s="493"/>
      <c r="C908" s="315"/>
      <c r="D908" s="504"/>
      <c r="E908" s="505"/>
      <c r="F908" s="506"/>
      <c r="G908" s="507"/>
      <c r="H908" s="508"/>
      <c r="I908" s="509"/>
      <c r="J908" s="510"/>
      <c r="K908" s="510"/>
      <c r="R908" s="67"/>
    </row>
    <row r="909">
      <c r="A909" s="503"/>
      <c r="B909" s="493"/>
      <c r="C909" s="315"/>
      <c r="D909" s="504"/>
      <c r="E909" s="505"/>
      <c r="F909" s="506"/>
      <c r="G909" s="507"/>
      <c r="H909" s="508"/>
      <c r="I909" s="509"/>
      <c r="J909" s="510"/>
      <c r="K909" s="510"/>
      <c r="R909" s="67"/>
    </row>
    <row r="910">
      <c r="A910" s="503"/>
      <c r="B910" s="493"/>
      <c r="C910" s="315"/>
      <c r="D910" s="504"/>
      <c r="E910" s="505"/>
      <c r="F910" s="506"/>
      <c r="G910" s="507"/>
      <c r="H910" s="508"/>
      <c r="I910" s="509"/>
      <c r="J910" s="510"/>
      <c r="K910" s="510"/>
      <c r="R910" s="67"/>
    </row>
    <row r="911">
      <c r="A911" s="503"/>
      <c r="B911" s="493"/>
      <c r="C911" s="315"/>
      <c r="D911" s="504"/>
      <c r="E911" s="505"/>
      <c r="F911" s="506"/>
      <c r="G911" s="507"/>
      <c r="H911" s="508"/>
      <c r="I911" s="509"/>
      <c r="J911" s="510"/>
      <c r="K911" s="510"/>
      <c r="R911" s="67"/>
    </row>
    <row r="912">
      <c r="A912" s="503"/>
      <c r="B912" s="493"/>
      <c r="C912" s="315"/>
      <c r="D912" s="504"/>
      <c r="E912" s="505"/>
      <c r="F912" s="506"/>
      <c r="G912" s="507"/>
      <c r="H912" s="508"/>
      <c r="I912" s="509"/>
      <c r="J912" s="510"/>
      <c r="K912" s="510"/>
      <c r="R912" s="67"/>
    </row>
    <row r="913">
      <c r="A913" s="503"/>
      <c r="B913" s="493"/>
      <c r="C913" s="315"/>
      <c r="D913" s="504"/>
      <c r="E913" s="505"/>
      <c r="F913" s="506"/>
      <c r="G913" s="507"/>
      <c r="H913" s="508"/>
      <c r="I913" s="509"/>
      <c r="J913" s="510"/>
      <c r="K913" s="510"/>
      <c r="R913" s="67"/>
    </row>
    <row r="914">
      <c r="A914" s="503"/>
      <c r="B914" s="493"/>
      <c r="C914" s="315"/>
      <c r="D914" s="504"/>
      <c r="E914" s="505"/>
      <c r="F914" s="506"/>
      <c r="G914" s="507"/>
      <c r="H914" s="508"/>
      <c r="I914" s="509"/>
      <c r="J914" s="510"/>
      <c r="K914" s="510"/>
      <c r="R914" s="67"/>
    </row>
    <row r="915">
      <c r="A915" s="503"/>
      <c r="B915" s="493"/>
      <c r="C915" s="315"/>
      <c r="D915" s="504"/>
      <c r="E915" s="505"/>
      <c r="F915" s="506"/>
      <c r="G915" s="507"/>
      <c r="H915" s="508"/>
      <c r="I915" s="509"/>
      <c r="J915" s="510"/>
      <c r="K915" s="510"/>
      <c r="R915" s="67"/>
    </row>
    <row r="916">
      <c r="A916" s="503"/>
      <c r="B916" s="493"/>
      <c r="C916" s="315"/>
      <c r="D916" s="504"/>
      <c r="E916" s="505"/>
      <c r="F916" s="506"/>
      <c r="G916" s="507"/>
      <c r="H916" s="508"/>
      <c r="I916" s="509"/>
      <c r="J916" s="510"/>
      <c r="K916" s="510"/>
      <c r="R916" s="67"/>
    </row>
    <row r="917">
      <c r="A917" s="503"/>
      <c r="B917" s="493"/>
      <c r="C917" s="315"/>
      <c r="D917" s="504"/>
      <c r="E917" s="505"/>
      <c r="F917" s="506"/>
      <c r="G917" s="507"/>
      <c r="H917" s="508"/>
      <c r="I917" s="509"/>
      <c r="J917" s="510"/>
      <c r="K917" s="510"/>
      <c r="R917" s="67"/>
    </row>
    <row r="918">
      <c r="A918" s="503"/>
      <c r="B918" s="493"/>
      <c r="C918" s="315"/>
      <c r="D918" s="504"/>
      <c r="E918" s="505"/>
      <c r="F918" s="506"/>
      <c r="G918" s="507"/>
      <c r="H918" s="508"/>
      <c r="I918" s="509"/>
      <c r="J918" s="510"/>
      <c r="K918" s="510"/>
      <c r="R918" s="67"/>
    </row>
    <row r="919">
      <c r="A919" s="503"/>
      <c r="B919" s="493"/>
      <c r="C919" s="315"/>
      <c r="D919" s="504"/>
      <c r="E919" s="505"/>
      <c r="F919" s="506"/>
      <c r="G919" s="507"/>
      <c r="H919" s="508"/>
      <c r="I919" s="509"/>
      <c r="J919" s="510"/>
      <c r="K919" s="510"/>
      <c r="R919" s="67"/>
    </row>
    <row r="920">
      <c r="A920" s="503"/>
      <c r="B920" s="493"/>
      <c r="C920" s="315"/>
      <c r="D920" s="504"/>
      <c r="E920" s="505"/>
      <c r="F920" s="506"/>
      <c r="G920" s="507"/>
      <c r="H920" s="508"/>
      <c r="I920" s="509"/>
      <c r="J920" s="510"/>
      <c r="K920" s="510"/>
      <c r="R920" s="67"/>
    </row>
    <row r="921">
      <c r="A921" s="503"/>
      <c r="B921" s="493"/>
      <c r="C921" s="315"/>
      <c r="D921" s="504"/>
      <c r="E921" s="505"/>
      <c r="F921" s="506"/>
      <c r="G921" s="507"/>
      <c r="H921" s="508"/>
      <c r="I921" s="509"/>
      <c r="J921" s="510"/>
      <c r="K921" s="510"/>
      <c r="R921" s="67"/>
    </row>
    <row r="922">
      <c r="A922" s="503"/>
      <c r="B922" s="493"/>
      <c r="C922" s="315"/>
      <c r="D922" s="504"/>
      <c r="E922" s="505"/>
      <c r="F922" s="506"/>
      <c r="G922" s="507"/>
      <c r="H922" s="508"/>
      <c r="I922" s="509"/>
      <c r="J922" s="510"/>
      <c r="K922" s="510"/>
      <c r="R922" s="67"/>
    </row>
    <row r="923">
      <c r="A923" s="503"/>
      <c r="B923" s="493"/>
      <c r="C923" s="315"/>
      <c r="D923" s="504"/>
      <c r="E923" s="505"/>
      <c r="F923" s="506"/>
      <c r="G923" s="507"/>
      <c r="H923" s="508"/>
      <c r="I923" s="509"/>
      <c r="J923" s="510"/>
      <c r="K923" s="510"/>
      <c r="R923" s="67"/>
    </row>
    <row r="924">
      <c r="A924" s="503"/>
      <c r="B924" s="493"/>
      <c r="C924" s="315"/>
      <c r="D924" s="504"/>
      <c r="E924" s="505"/>
      <c r="F924" s="506"/>
      <c r="G924" s="507"/>
      <c r="H924" s="508"/>
      <c r="I924" s="509"/>
      <c r="J924" s="510"/>
      <c r="K924" s="510"/>
      <c r="R924" s="67"/>
    </row>
    <row r="925">
      <c r="A925" s="503"/>
      <c r="B925" s="493"/>
      <c r="C925" s="315"/>
      <c r="D925" s="504"/>
      <c r="E925" s="505"/>
      <c r="F925" s="506"/>
      <c r="G925" s="507"/>
      <c r="H925" s="508"/>
      <c r="I925" s="509"/>
      <c r="J925" s="510"/>
      <c r="K925" s="510"/>
      <c r="R925" s="67"/>
    </row>
    <row r="926">
      <c r="A926" s="503"/>
      <c r="B926" s="493"/>
      <c r="C926" s="315"/>
      <c r="D926" s="504"/>
      <c r="E926" s="505"/>
      <c r="F926" s="506"/>
      <c r="G926" s="507"/>
      <c r="H926" s="508"/>
      <c r="I926" s="509"/>
      <c r="J926" s="510"/>
      <c r="K926" s="510"/>
      <c r="R926" s="67"/>
    </row>
    <row r="927">
      <c r="A927" s="503"/>
      <c r="B927" s="493"/>
      <c r="C927" s="315"/>
      <c r="D927" s="504"/>
      <c r="E927" s="505"/>
      <c r="F927" s="506"/>
      <c r="G927" s="507"/>
      <c r="H927" s="508"/>
      <c r="I927" s="509"/>
      <c r="J927" s="510"/>
      <c r="K927" s="510"/>
      <c r="R927" s="67"/>
    </row>
    <row r="928">
      <c r="A928" s="503"/>
      <c r="B928" s="493"/>
      <c r="C928" s="315"/>
      <c r="D928" s="504"/>
      <c r="E928" s="505"/>
      <c r="F928" s="506"/>
      <c r="G928" s="507"/>
      <c r="H928" s="508"/>
      <c r="I928" s="509"/>
      <c r="J928" s="510"/>
      <c r="K928" s="510"/>
      <c r="R928" s="67"/>
    </row>
    <row r="929">
      <c r="A929" s="503"/>
      <c r="B929" s="493"/>
      <c r="C929" s="315"/>
      <c r="D929" s="504"/>
      <c r="E929" s="505"/>
      <c r="F929" s="506"/>
      <c r="G929" s="507"/>
      <c r="H929" s="508"/>
      <c r="I929" s="509"/>
      <c r="J929" s="510"/>
      <c r="K929" s="510"/>
      <c r="R929" s="67"/>
    </row>
    <row r="930">
      <c r="A930" s="503"/>
      <c r="B930" s="493"/>
      <c r="C930" s="315"/>
      <c r="D930" s="504"/>
      <c r="E930" s="505"/>
      <c r="F930" s="506"/>
      <c r="G930" s="507"/>
      <c r="H930" s="508"/>
      <c r="I930" s="509"/>
      <c r="J930" s="510"/>
      <c r="K930" s="510"/>
      <c r="R930" s="67"/>
    </row>
    <row r="931">
      <c r="A931" s="503"/>
      <c r="B931" s="493"/>
      <c r="C931" s="315"/>
      <c r="D931" s="504"/>
      <c r="E931" s="505"/>
      <c r="F931" s="506"/>
      <c r="G931" s="507"/>
      <c r="H931" s="508"/>
      <c r="I931" s="509"/>
      <c r="J931" s="510"/>
      <c r="K931" s="510"/>
      <c r="R931" s="67"/>
    </row>
    <row r="932">
      <c r="A932" s="503"/>
      <c r="B932" s="493"/>
      <c r="C932" s="315"/>
      <c r="D932" s="504"/>
      <c r="E932" s="505"/>
      <c r="F932" s="506"/>
      <c r="G932" s="507"/>
      <c r="H932" s="508"/>
      <c r="I932" s="509"/>
      <c r="J932" s="510"/>
      <c r="K932" s="510"/>
      <c r="R932" s="67"/>
    </row>
    <row r="933">
      <c r="A933" s="503"/>
      <c r="B933" s="493"/>
      <c r="C933" s="315"/>
      <c r="D933" s="504"/>
      <c r="E933" s="505"/>
      <c r="F933" s="506"/>
      <c r="G933" s="507"/>
      <c r="H933" s="508"/>
      <c r="I933" s="509"/>
      <c r="J933" s="510"/>
      <c r="K933" s="510"/>
      <c r="R933" s="67"/>
    </row>
    <row r="934">
      <c r="A934" s="503"/>
      <c r="B934" s="493"/>
      <c r="C934" s="315"/>
      <c r="D934" s="504"/>
      <c r="E934" s="505"/>
      <c r="F934" s="506"/>
      <c r="G934" s="507"/>
      <c r="H934" s="508"/>
      <c r="I934" s="509"/>
      <c r="J934" s="510"/>
      <c r="K934" s="510"/>
      <c r="R934" s="67"/>
    </row>
    <row r="935">
      <c r="A935" s="503"/>
      <c r="B935" s="493"/>
      <c r="C935" s="315"/>
      <c r="D935" s="504"/>
      <c r="E935" s="505"/>
      <c r="F935" s="506"/>
      <c r="G935" s="507"/>
      <c r="H935" s="508"/>
      <c r="I935" s="509"/>
      <c r="J935" s="510"/>
      <c r="K935" s="510"/>
      <c r="R935" s="67"/>
    </row>
    <row r="936">
      <c r="A936" s="503"/>
      <c r="B936" s="493"/>
      <c r="C936" s="315"/>
      <c r="D936" s="504"/>
      <c r="E936" s="505"/>
      <c r="F936" s="506"/>
      <c r="G936" s="507"/>
      <c r="H936" s="508"/>
      <c r="I936" s="509"/>
      <c r="J936" s="510"/>
      <c r="K936" s="510"/>
      <c r="R936" s="67"/>
    </row>
    <row r="937">
      <c r="A937" s="503"/>
      <c r="B937" s="493"/>
      <c r="C937" s="315"/>
      <c r="D937" s="504"/>
      <c r="E937" s="505"/>
      <c r="F937" s="506"/>
      <c r="G937" s="507"/>
      <c r="H937" s="508"/>
      <c r="I937" s="509"/>
      <c r="J937" s="510"/>
      <c r="K937" s="510"/>
      <c r="R937" s="67"/>
    </row>
    <row r="938">
      <c r="A938" s="503"/>
      <c r="B938" s="493"/>
      <c r="C938" s="315"/>
      <c r="D938" s="504"/>
      <c r="E938" s="505"/>
      <c r="F938" s="506"/>
      <c r="G938" s="507"/>
      <c r="H938" s="508"/>
      <c r="I938" s="509"/>
      <c r="J938" s="510"/>
      <c r="K938" s="510"/>
      <c r="R938" s="67"/>
    </row>
    <row r="939">
      <c r="A939" s="503"/>
      <c r="B939" s="493"/>
      <c r="C939" s="315"/>
      <c r="D939" s="504"/>
      <c r="E939" s="505"/>
      <c r="F939" s="506"/>
      <c r="G939" s="507"/>
      <c r="H939" s="508"/>
      <c r="I939" s="509"/>
      <c r="J939" s="510"/>
      <c r="K939" s="510"/>
      <c r="R939" s="67"/>
    </row>
    <row r="940">
      <c r="A940" s="503"/>
      <c r="B940" s="493"/>
      <c r="C940" s="315"/>
      <c r="D940" s="504"/>
      <c r="E940" s="505"/>
      <c r="F940" s="506"/>
      <c r="G940" s="507"/>
      <c r="H940" s="508"/>
      <c r="I940" s="509"/>
      <c r="J940" s="510"/>
      <c r="K940" s="510"/>
      <c r="R940" s="67"/>
    </row>
    <row r="941">
      <c r="A941" s="503"/>
      <c r="B941" s="493"/>
      <c r="C941" s="315"/>
      <c r="D941" s="504"/>
      <c r="E941" s="505"/>
      <c r="F941" s="506"/>
      <c r="G941" s="507"/>
      <c r="H941" s="508"/>
      <c r="I941" s="509"/>
      <c r="J941" s="510"/>
      <c r="K941" s="510"/>
      <c r="R941" s="67"/>
    </row>
    <row r="942">
      <c r="A942" s="503"/>
      <c r="B942" s="493"/>
      <c r="C942" s="315"/>
      <c r="D942" s="504"/>
      <c r="E942" s="505"/>
      <c r="F942" s="506"/>
      <c r="G942" s="507"/>
      <c r="H942" s="508"/>
      <c r="I942" s="509"/>
      <c r="J942" s="510"/>
      <c r="K942" s="510"/>
      <c r="R942" s="67"/>
    </row>
    <row r="943">
      <c r="A943" s="503"/>
      <c r="B943" s="493"/>
      <c r="C943" s="315"/>
      <c r="D943" s="504"/>
      <c r="E943" s="505"/>
      <c r="F943" s="506"/>
      <c r="G943" s="507"/>
      <c r="H943" s="508"/>
      <c r="I943" s="509"/>
      <c r="J943" s="510"/>
      <c r="K943" s="510"/>
      <c r="R943" s="67"/>
    </row>
    <row r="944">
      <c r="A944" s="503"/>
      <c r="B944" s="493"/>
      <c r="C944" s="315"/>
      <c r="D944" s="504"/>
      <c r="E944" s="505"/>
      <c r="F944" s="506"/>
      <c r="G944" s="507"/>
      <c r="H944" s="508"/>
      <c r="I944" s="509"/>
      <c r="J944" s="510"/>
      <c r="K944" s="510"/>
      <c r="R944" s="67"/>
    </row>
    <row r="945">
      <c r="A945" s="503"/>
      <c r="B945" s="493"/>
      <c r="C945" s="315"/>
      <c r="D945" s="504"/>
      <c r="E945" s="505"/>
      <c r="F945" s="506"/>
      <c r="G945" s="507"/>
      <c r="H945" s="508"/>
      <c r="I945" s="509"/>
      <c r="J945" s="510"/>
      <c r="K945" s="510"/>
      <c r="R945" s="67"/>
    </row>
    <row r="946">
      <c r="A946" s="503"/>
      <c r="B946" s="493"/>
      <c r="C946" s="315"/>
      <c r="D946" s="504"/>
      <c r="E946" s="505"/>
      <c r="F946" s="506"/>
      <c r="G946" s="507"/>
      <c r="H946" s="508"/>
      <c r="I946" s="509"/>
      <c r="J946" s="510"/>
      <c r="K946" s="510"/>
      <c r="R946" s="67"/>
    </row>
    <row r="947">
      <c r="A947" s="503"/>
      <c r="B947" s="493"/>
      <c r="C947" s="315"/>
      <c r="D947" s="504"/>
      <c r="E947" s="505"/>
      <c r="F947" s="506"/>
      <c r="G947" s="507"/>
      <c r="H947" s="508"/>
      <c r="I947" s="509"/>
      <c r="J947" s="510"/>
      <c r="K947" s="510"/>
      <c r="R947" s="67"/>
    </row>
    <row r="948">
      <c r="A948" s="503"/>
      <c r="B948" s="493"/>
      <c r="C948" s="315"/>
      <c r="D948" s="504"/>
      <c r="E948" s="505"/>
      <c r="F948" s="506"/>
      <c r="G948" s="507"/>
      <c r="H948" s="508"/>
      <c r="I948" s="509"/>
      <c r="J948" s="510"/>
      <c r="K948" s="510"/>
      <c r="R948" s="67"/>
    </row>
    <row r="949">
      <c r="A949" s="503"/>
      <c r="B949" s="493"/>
      <c r="C949" s="315"/>
      <c r="D949" s="504"/>
      <c r="E949" s="505"/>
      <c r="F949" s="506"/>
      <c r="G949" s="507"/>
      <c r="H949" s="508"/>
      <c r="I949" s="509"/>
      <c r="J949" s="510"/>
      <c r="K949" s="510"/>
      <c r="R949" s="67"/>
    </row>
    <row r="950">
      <c r="A950" s="503"/>
      <c r="B950" s="493"/>
      <c r="C950" s="315"/>
      <c r="D950" s="504"/>
      <c r="E950" s="505"/>
      <c r="F950" s="506"/>
      <c r="G950" s="507"/>
      <c r="H950" s="508"/>
      <c r="I950" s="509"/>
      <c r="J950" s="510"/>
      <c r="K950" s="510"/>
      <c r="R950" s="67"/>
    </row>
    <row r="951">
      <c r="A951" s="503"/>
      <c r="B951" s="493"/>
      <c r="C951" s="315"/>
      <c r="D951" s="504"/>
      <c r="E951" s="505"/>
      <c r="F951" s="506"/>
      <c r="G951" s="507"/>
      <c r="H951" s="508"/>
      <c r="I951" s="509"/>
      <c r="J951" s="510"/>
      <c r="K951" s="510"/>
      <c r="R951" s="67"/>
    </row>
    <row r="952">
      <c r="A952" s="503"/>
      <c r="B952" s="493"/>
      <c r="C952" s="315"/>
      <c r="D952" s="504"/>
      <c r="E952" s="505"/>
      <c r="F952" s="506"/>
      <c r="G952" s="507"/>
      <c r="H952" s="508"/>
      <c r="I952" s="509"/>
      <c r="J952" s="510"/>
      <c r="K952" s="510"/>
      <c r="R952" s="67"/>
    </row>
    <row r="953">
      <c r="A953" s="503"/>
      <c r="B953" s="493"/>
      <c r="C953" s="315"/>
      <c r="D953" s="504"/>
      <c r="E953" s="505"/>
      <c r="F953" s="506"/>
      <c r="G953" s="507"/>
      <c r="H953" s="508"/>
      <c r="I953" s="509"/>
      <c r="J953" s="510"/>
      <c r="K953" s="510"/>
      <c r="R953" s="67"/>
    </row>
    <row r="954">
      <c r="A954" s="503"/>
      <c r="B954" s="493"/>
      <c r="C954" s="315"/>
      <c r="D954" s="504"/>
      <c r="E954" s="505"/>
      <c r="F954" s="506"/>
      <c r="G954" s="507"/>
      <c r="H954" s="508"/>
      <c r="I954" s="509"/>
      <c r="J954" s="510"/>
      <c r="K954" s="510"/>
      <c r="R954" s="67"/>
    </row>
    <row r="955">
      <c r="A955" s="503"/>
      <c r="B955" s="493"/>
      <c r="C955" s="315"/>
      <c r="D955" s="504"/>
      <c r="E955" s="505"/>
      <c r="F955" s="506"/>
      <c r="G955" s="507"/>
      <c r="H955" s="508"/>
      <c r="I955" s="509"/>
      <c r="J955" s="510"/>
      <c r="K955" s="510"/>
      <c r="R955" s="67"/>
    </row>
    <row r="956">
      <c r="A956" s="503"/>
      <c r="B956" s="493"/>
      <c r="C956" s="315"/>
      <c r="D956" s="504"/>
      <c r="E956" s="505"/>
      <c r="F956" s="506"/>
      <c r="G956" s="507"/>
      <c r="H956" s="508"/>
      <c r="I956" s="509"/>
      <c r="J956" s="510"/>
      <c r="K956" s="510"/>
      <c r="R956" s="67"/>
    </row>
    <row r="957">
      <c r="A957" s="503"/>
      <c r="B957" s="493"/>
      <c r="C957" s="315"/>
      <c r="D957" s="504"/>
      <c r="E957" s="505"/>
      <c r="F957" s="506"/>
      <c r="G957" s="507"/>
      <c r="H957" s="508"/>
      <c r="I957" s="509"/>
      <c r="J957" s="510"/>
      <c r="K957" s="510"/>
      <c r="R957" s="67"/>
    </row>
    <row r="958">
      <c r="A958" s="503"/>
      <c r="B958" s="493"/>
      <c r="C958" s="315"/>
      <c r="D958" s="504"/>
      <c r="E958" s="505"/>
      <c r="F958" s="506"/>
      <c r="G958" s="507"/>
      <c r="H958" s="508"/>
      <c r="I958" s="509"/>
      <c r="J958" s="510"/>
      <c r="K958" s="510"/>
      <c r="R958" s="67"/>
    </row>
    <row r="959">
      <c r="A959" s="503"/>
      <c r="B959" s="493"/>
      <c r="C959" s="315"/>
      <c r="D959" s="504"/>
      <c r="E959" s="505"/>
      <c r="F959" s="506"/>
      <c r="G959" s="507"/>
      <c r="H959" s="508"/>
      <c r="I959" s="509"/>
      <c r="J959" s="510"/>
      <c r="K959" s="510"/>
      <c r="R959" s="67"/>
    </row>
    <row r="960">
      <c r="A960" s="503"/>
      <c r="B960" s="493"/>
      <c r="C960" s="315"/>
      <c r="D960" s="504"/>
      <c r="E960" s="505"/>
      <c r="F960" s="506"/>
      <c r="G960" s="507"/>
      <c r="H960" s="508"/>
      <c r="I960" s="509"/>
      <c r="J960" s="510"/>
      <c r="K960" s="510"/>
      <c r="R960" s="67"/>
    </row>
    <row r="961">
      <c r="A961" s="503"/>
      <c r="B961" s="493"/>
      <c r="C961" s="315"/>
      <c r="D961" s="504"/>
      <c r="E961" s="505"/>
      <c r="F961" s="506"/>
      <c r="G961" s="507"/>
      <c r="H961" s="508"/>
      <c r="I961" s="509"/>
      <c r="J961" s="510"/>
      <c r="K961" s="510"/>
      <c r="R961" s="67"/>
    </row>
    <row r="962">
      <c r="A962" s="503"/>
      <c r="B962" s="493"/>
      <c r="C962" s="315"/>
      <c r="D962" s="504"/>
      <c r="E962" s="505"/>
      <c r="F962" s="506"/>
      <c r="G962" s="507"/>
      <c r="H962" s="508"/>
      <c r="I962" s="509"/>
      <c r="J962" s="510"/>
      <c r="K962" s="510"/>
      <c r="R962" s="67"/>
    </row>
    <row r="963">
      <c r="A963" s="503"/>
      <c r="B963" s="493"/>
      <c r="C963" s="315"/>
      <c r="D963" s="504"/>
      <c r="E963" s="505"/>
      <c r="F963" s="506"/>
      <c r="G963" s="507"/>
      <c r="H963" s="508"/>
      <c r="I963" s="509"/>
      <c r="J963" s="510"/>
      <c r="K963" s="510"/>
      <c r="R963" s="67"/>
    </row>
    <row r="964">
      <c r="A964" s="503"/>
      <c r="B964" s="493"/>
      <c r="C964" s="315"/>
      <c r="D964" s="504"/>
      <c r="E964" s="505"/>
      <c r="F964" s="506"/>
      <c r="G964" s="507"/>
      <c r="H964" s="508"/>
      <c r="I964" s="509"/>
      <c r="J964" s="510"/>
      <c r="K964" s="510"/>
      <c r="R964" s="67"/>
    </row>
    <row r="965">
      <c r="A965" s="503"/>
      <c r="B965" s="493"/>
      <c r="C965" s="315"/>
      <c r="D965" s="504"/>
      <c r="E965" s="505"/>
      <c r="F965" s="506"/>
      <c r="G965" s="507"/>
      <c r="H965" s="508"/>
      <c r="I965" s="509"/>
      <c r="J965" s="510"/>
      <c r="K965" s="510"/>
      <c r="R965" s="67"/>
    </row>
    <row r="966">
      <c r="A966" s="503"/>
      <c r="B966" s="493"/>
      <c r="C966" s="315"/>
      <c r="D966" s="504"/>
      <c r="E966" s="505"/>
      <c r="F966" s="506"/>
      <c r="G966" s="507"/>
      <c r="H966" s="508"/>
      <c r="I966" s="509"/>
      <c r="J966" s="510"/>
      <c r="K966" s="510"/>
      <c r="R966" s="67"/>
    </row>
    <row r="967">
      <c r="A967" s="503"/>
      <c r="B967" s="493"/>
      <c r="C967" s="315"/>
      <c r="D967" s="504"/>
      <c r="E967" s="505"/>
      <c r="F967" s="506"/>
      <c r="G967" s="507"/>
      <c r="H967" s="508"/>
      <c r="I967" s="509"/>
      <c r="J967" s="510"/>
      <c r="K967" s="510"/>
      <c r="R967" s="67"/>
    </row>
    <row r="968">
      <c r="A968" s="503"/>
      <c r="B968" s="493"/>
      <c r="C968" s="315"/>
      <c r="D968" s="504"/>
      <c r="E968" s="505"/>
      <c r="F968" s="506"/>
      <c r="G968" s="507"/>
      <c r="H968" s="508"/>
      <c r="I968" s="509"/>
      <c r="J968" s="510"/>
      <c r="K968" s="510"/>
      <c r="R968" s="67"/>
    </row>
    <row r="969">
      <c r="A969" s="503"/>
      <c r="B969" s="493"/>
      <c r="C969" s="315"/>
      <c r="D969" s="504"/>
      <c r="E969" s="505"/>
      <c r="F969" s="506"/>
      <c r="G969" s="507"/>
      <c r="H969" s="508"/>
      <c r="I969" s="509"/>
      <c r="J969" s="510"/>
      <c r="K969" s="510"/>
      <c r="R969" s="67"/>
    </row>
    <row r="970">
      <c r="A970" s="503"/>
      <c r="B970" s="493"/>
      <c r="C970" s="315"/>
      <c r="D970" s="504"/>
      <c r="E970" s="505"/>
      <c r="F970" s="506"/>
      <c r="G970" s="507"/>
      <c r="H970" s="508"/>
      <c r="I970" s="509"/>
      <c r="J970" s="510"/>
      <c r="K970" s="510"/>
      <c r="R970" s="67"/>
    </row>
    <row r="971">
      <c r="A971" s="503"/>
      <c r="B971" s="493"/>
      <c r="C971" s="315"/>
      <c r="D971" s="504"/>
      <c r="E971" s="505"/>
      <c r="F971" s="506"/>
      <c r="G971" s="507"/>
      <c r="H971" s="508"/>
      <c r="I971" s="509"/>
      <c r="J971" s="510"/>
      <c r="K971" s="510"/>
      <c r="R971" s="67"/>
    </row>
    <row r="972">
      <c r="A972" s="503"/>
      <c r="B972" s="493"/>
      <c r="C972" s="315"/>
      <c r="D972" s="504"/>
      <c r="E972" s="505"/>
      <c r="F972" s="506"/>
      <c r="G972" s="507"/>
      <c r="H972" s="508"/>
      <c r="I972" s="509"/>
      <c r="J972" s="510"/>
      <c r="K972" s="510"/>
      <c r="R972" s="67"/>
    </row>
    <row r="973">
      <c r="A973" s="503"/>
      <c r="B973" s="493"/>
      <c r="C973" s="315"/>
      <c r="D973" s="504"/>
      <c r="E973" s="505"/>
      <c r="F973" s="506"/>
      <c r="G973" s="507"/>
      <c r="H973" s="508"/>
      <c r="I973" s="509"/>
      <c r="J973" s="510"/>
      <c r="K973" s="510"/>
      <c r="R973" s="67"/>
    </row>
    <row r="974">
      <c r="A974" s="503"/>
      <c r="B974" s="493"/>
      <c r="C974" s="315"/>
      <c r="D974" s="504"/>
      <c r="E974" s="505"/>
      <c r="F974" s="506"/>
      <c r="G974" s="507"/>
      <c r="H974" s="508"/>
      <c r="I974" s="509"/>
      <c r="J974" s="510"/>
      <c r="K974" s="510"/>
      <c r="R974" s="67"/>
    </row>
    <row r="975">
      <c r="A975" s="503"/>
      <c r="B975" s="493"/>
      <c r="C975" s="315"/>
      <c r="D975" s="504"/>
      <c r="E975" s="505"/>
      <c r="F975" s="506"/>
      <c r="G975" s="507"/>
      <c r="H975" s="508"/>
      <c r="I975" s="509"/>
      <c r="J975" s="510"/>
      <c r="K975" s="510"/>
      <c r="R975" s="67"/>
    </row>
    <row r="976">
      <c r="A976" s="503"/>
      <c r="B976" s="493"/>
      <c r="C976" s="315"/>
      <c r="D976" s="504"/>
      <c r="E976" s="505"/>
      <c r="F976" s="506"/>
      <c r="G976" s="507"/>
      <c r="H976" s="508"/>
      <c r="I976" s="509"/>
      <c r="J976" s="510"/>
      <c r="K976" s="510"/>
      <c r="R976" s="67"/>
    </row>
    <row r="977">
      <c r="A977" s="503"/>
      <c r="B977" s="493"/>
      <c r="C977" s="315"/>
      <c r="D977" s="504"/>
      <c r="E977" s="505"/>
      <c r="F977" s="506"/>
      <c r="G977" s="507"/>
      <c r="H977" s="508"/>
      <c r="I977" s="509"/>
      <c r="J977" s="510"/>
      <c r="K977" s="510"/>
      <c r="R977" s="67"/>
    </row>
    <row r="978">
      <c r="A978" s="503"/>
      <c r="B978" s="493"/>
      <c r="C978" s="315"/>
      <c r="D978" s="504"/>
      <c r="E978" s="505"/>
      <c r="F978" s="506"/>
      <c r="G978" s="507"/>
      <c r="H978" s="508"/>
      <c r="I978" s="509"/>
      <c r="J978" s="510"/>
      <c r="K978" s="510"/>
      <c r="R978" s="67"/>
    </row>
    <row r="979">
      <c r="A979" s="503"/>
      <c r="B979" s="493"/>
      <c r="C979" s="315"/>
      <c r="D979" s="504"/>
      <c r="E979" s="505"/>
      <c r="F979" s="506"/>
      <c r="G979" s="507"/>
      <c r="H979" s="508"/>
      <c r="I979" s="509"/>
      <c r="J979" s="510"/>
      <c r="K979" s="510"/>
      <c r="R979" s="67"/>
    </row>
    <row r="980">
      <c r="A980" s="503"/>
      <c r="B980" s="493"/>
      <c r="C980" s="315"/>
      <c r="D980" s="504"/>
      <c r="E980" s="505"/>
      <c r="F980" s="506"/>
      <c r="G980" s="507"/>
      <c r="H980" s="508"/>
      <c r="I980" s="509"/>
      <c r="J980" s="510"/>
      <c r="K980" s="510"/>
      <c r="R980" s="67"/>
    </row>
    <row r="981">
      <c r="A981" s="503"/>
      <c r="B981" s="493"/>
      <c r="C981" s="315"/>
      <c r="D981" s="504"/>
      <c r="E981" s="505"/>
      <c r="F981" s="506"/>
      <c r="G981" s="507"/>
      <c r="H981" s="508"/>
      <c r="I981" s="509"/>
      <c r="J981" s="510"/>
      <c r="K981" s="510"/>
      <c r="R981" s="67"/>
    </row>
    <row r="982">
      <c r="A982" s="503"/>
      <c r="B982" s="493"/>
      <c r="C982" s="315"/>
      <c r="D982" s="504"/>
      <c r="E982" s="505"/>
      <c r="F982" s="506"/>
      <c r="G982" s="507"/>
      <c r="H982" s="508"/>
      <c r="I982" s="509"/>
      <c r="J982" s="510"/>
      <c r="K982" s="510"/>
      <c r="R982" s="67"/>
    </row>
    <row r="983">
      <c r="A983" s="503"/>
      <c r="B983" s="493"/>
      <c r="C983" s="315"/>
      <c r="D983" s="504"/>
      <c r="E983" s="505"/>
      <c r="F983" s="506"/>
      <c r="G983" s="507"/>
      <c r="H983" s="508"/>
      <c r="I983" s="509"/>
      <c r="J983" s="510"/>
      <c r="K983" s="510"/>
      <c r="R983" s="67"/>
    </row>
    <row r="984">
      <c r="A984" s="503"/>
      <c r="B984" s="493"/>
      <c r="C984" s="315"/>
      <c r="D984" s="504"/>
      <c r="E984" s="505"/>
      <c r="F984" s="506"/>
      <c r="G984" s="507"/>
      <c r="H984" s="508"/>
      <c r="I984" s="509"/>
      <c r="J984" s="510"/>
      <c r="K984" s="510"/>
      <c r="R984" s="67"/>
    </row>
    <row r="985">
      <c r="A985" s="503"/>
      <c r="B985" s="493"/>
      <c r="C985" s="315"/>
      <c r="D985" s="504"/>
      <c r="E985" s="505"/>
      <c r="F985" s="506"/>
      <c r="G985" s="507"/>
      <c r="H985" s="508"/>
      <c r="I985" s="509"/>
      <c r="J985" s="510"/>
      <c r="K985" s="510"/>
      <c r="R985" s="67"/>
    </row>
    <row r="986">
      <c r="A986" s="503"/>
      <c r="B986" s="493"/>
      <c r="C986" s="315"/>
      <c r="D986" s="504"/>
      <c r="E986" s="505"/>
      <c r="F986" s="506"/>
      <c r="G986" s="507"/>
      <c r="H986" s="508"/>
      <c r="I986" s="509"/>
      <c r="J986" s="510"/>
      <c r="K986" s="510"/>
      <c r="R986" s="67"/>
    </row>
    <row r="987">
      <c r="A987" s="503"/>
      <c r="B987" s="493"/>
      <c r="C987" s="315"/>
      <c r="D987" s="504"/>
      <c r="E987" s="505"/>
      <c r="F987" s="506"/>
      <c r="G987" s="507"/>
      <c r="H987" s="508"/>
      <c r="I987" s="509"/>
      <c r="J987" s="510"/>
      <c r="K987" s="510"/>
      <c r="R987" s="67"/>
    </row>
    <row r="988">
      <c r="A988" s="503"/>
      <c r="B988" s="493"/>
      <c r="C988" s="315"/>
      <c r="D988" s="504"/>
      <c r="E988" s="505"/>
      <c r="F988" s="506"/>
      <c r="G988" s="507"/>
      <c r="H988" s="508"/>
      <c r="I988" s="509"/>
      <c r="J988" s="510"/>
      <c r="K988" s="510"/>
      <c r="R988" s="67"/>
    </row>
    <row r="989">
      <c r="A989" s="503"/>
      <c r="B989" s="493"/>
      <c r="C989" s="315"/>
      <c r="D989" s="504"/>
      <c r="E989" s="505"/>
      <c r="F989" s="506"/>
      <c r="G989" s="507"/>
      <c r="H989" s="508"/>
      <c r="I989" s="509"/>
      <c r="J989" s="510"/>
      <c r="K989" s="510"/>
      <c r="R989" s="67"/>
    </row>
    <row r="990">
      <c r="A990" s="503"/>
      <c r="B990" s="493"/>
      <c r="C990" s="315"/>
      <c r="D990" s="504"/>
      <c r="E990" s="505"/>
      <c r="F990" s="506"/>
      <c r="G990" s="507"/>
      <c r="H990" s="508"/>
      <c r="I990" s="509"/>
      <c r="J990" s="510"/>
      <c r="K990" s="510"/>
      <c r="R990" s="67"/>
    </row>
    <row r="991">
      <c r="A991" s="503"/>
      <c r="B991" s="493"/>
      <c r="C991" s="315"/>
      <c r="D991" s="504"/>
      <c r="E991" s="505"/>
      <c r="F991" s="506"/>
      <c r="G991" s="507"/>
      <c r="H991" s="508"/>
      <c r="I991" s="509"/>
      <c r="J991" s="510"/>
      <c r="K991" s="510"/>
      <c r="R991" s="67"/>
    </row>
    <row r="992">
      <c r="A992" s="503"/>
      <c r="B992" s="493"/>
      <c r="C992" s="315"/>
      <c r="D992" s="504"/>
      <c r="E992" s="505"/>
      <c r="F992" s="506"/>
      <c r="G992" s="507"/>
      <c r="H992" s="508"/>
      <c r="I992" s="509"/>
      <c r="J992" s="510"/>
      <c r="K992" s="510"/>
      <c r="R992" s="67"/>
    </row>
    <row r="993">
      <c r="A993" s="503"/>
      <c r="B993" s="493"/>
      <c r="C993" s="315"/>
      <c r="D993" s="504"/>
      <c r="E993" s="505"/>
      <c r="F993" s="506"/>
      <c r="G993" s="507"/>
      <c r="H993" s="508"/>
      <c r="I993" s="509"/>
      <c r="J993" s="510"/>
      <c r="K993" s="510"/>
      <c r="R993" s="67"/>
    </row>
    <row r="994">
      <c r="A994" s="503"/>
      <c r="B994" s="493"/>
      <c r="C994" s="315"/>
      <c r="D994" s="504"/>
      <c r="E994" s="505"/>
      <c r="F994" s="506"/>
      <c r="G994" s="507"/>
      <c r="H994" s="508"/>
      <c r="I994" s="509"/>
      <c r="J994" s="510"/>
      <c r="K994" s="510"/>
      <c r="R994" s="67"/>
    </row>
    <row r="995">
      <c r="A995" s="503"/>
      <c r="B995" s="493"/>
      <c r="C995" s="315"/>
      <c r="D995" s="504"/>
      <c r="E995" s="505"/>
      <c r="F995" s="506"/>
      <c r="G995" s="507"/>
      <c r="H995" s="508"/>
      <c r="I995" s="509"/>
      <c r="J995" s="510"/>
      <c r="K995" s="510"/>
      <c r="R995" s="67"/>
    </row>
    <row r="996">
      <c r="A996" s="503"/>
      <c r="B996" s="493"/>
      <c r="C996" s="315"/>
      <c r="D996" s="504"/>
      <c r="E996" s="505"/>
      <c r="F996" s="506"/>
      <c r="G996" s="507"/>
      <c r="H996" s="508"/>
      <c r="I996" s="509"/>
      <c r="J996" s="510"/>
      <c r="K996" s="510"/>
      <c r="R996" s="67"/>
    </row>
    <row r="997">
      <c r="A997" s="503"/>
      <c r="B997" s="493"/>
      <c r="C997" s="315"/>
      <c r="D997" s="504"/>
      <c r="E997" s="505"/>
      <c r="F997" s="506"/>
      <c r="G997" s="507"/>
      <c r="H997" s="508"/>
      <c r="I997" s="509"/>
      <c r="J997" s="510"/>
      <c r="K997" s="510"/>
      <c r="R997" s="67"/>
    </row>
    <row r="998">
      <c r="A998" s="503"/>
      <c r="B998" s="493"/>
      <c r="C998" s="315"/>
      <c r="D998" s="504"/>
      <c r="E998" s="505"/>
      <c r="F998" s="506"/>
      <c r="G998" s="507"/>
      <c r="H998" s="508"/>
      <c r="I998" s="509"/>
      <c r="J998" s="510"/>
      <c r="K998" s="510"/>
      <c r="R998" s="67"/>
    </row>
    <row r="999">
      <c r="A999" s="503"/>
      <c r="B999" s="493"/>
      <c r="C999" s="315"/>
      <c r="D999" s="504"/>
      <c r="E999" s="505"/>
      <c r="F999" s="506"/>
      <c r="G999" s="507"/>
      <c r="H999" s="508"/>
      <c r="I999" s="509"/>
      <c r="J999" s="510"/>
      <c r="K999" s="510"/>
      <c r="R999" s="67"/>
    </row>
    <row r="1000">
      <c r="A1000" s="503"/>
      <c r="B1000" s="493"/>
      <c r="C1000" s="315"/>
      <c r="D1000" s="504"/>
      <c r="E1000" s="505"/>
      <c r="F1000" s="506"/>
      <c r="G1000" s="507"/>
      <c r="H1000" s="508"/>
      <c r="I1000" s="509"/>
      <c r="J1000" s="510"/>
      <c r="K1000" s="510"/>
      <c r="R1000" s="67"/>
    </row>
    <row r="1001">
      <c r="A1001" s="503"/>
      <c r="B1001" s="493"/>
      <c r="C1001" s="315"/>
      <c r="D1001" s="504"/>
      <c r="E1001" s="505"/>
      <c r="F1001" s="506"/>
      <c r="G1001" s="507"/>
      <c r="H1001" s="508"/>
      <c r="I1001" s="509"/>
      <c r="J1001" s="510"/>
      <c r="K1001" s="510"/>
      <c r="R1001" s="67"/>
    </row>
    <row r="1002">
      <c r="A1002" s="503"/>
      <c r="B1002" s="493"/>
      <c r="C1002" s="315"/>
      <c r="D1002" s="504"/>
      <c r="E1002" s="505"/>
      <c r="F1002" s="506"/>
      <c r="G1002" s="507"/>
      <c r="H1002" s="508"/>
      <c r="I1002" s="509"/>
      <c r="J1002" s="510"/>
      <c r="K1002" s="510"/>
      <c r="R1002" s="67"/>
    </row>
    <row r="1003">
      <c r="A1003" s="503"/>
      <c r="B1003" s="493"/>
      <c r="C1003" s="315"/>
      <c r="D1003" s="504"/>
      <c r="E1003" s="505"/>
      <c r="F1003" s="506"/>
      <c r="G1003" s="507"/>
      <c r="H1003" s="508"/>
      <c r="I1003" s="509"/>
      <c r="J1003" s="510"/>
      <c r="K1003" s="510"/>
      <c r="R1003" s="67"/>
    </row>
    <row r="1004">
      <c r="A1004" s="503"/>
      <c r="B1004" s="493"/>
      <c r="C1004" s="315"/>
      <c r="D1004" s="504"/>
      <c r="E1004" s="505"/>
      <c r="F1004" s="506"/>
      <c r="G1004" s="507"/>
      <c r="H1004" s="508"/>
      <c r="I1004" s="509"/>
      <c r="J1004" s="510"/>
      <c r="K1004" s="510"/>
      <c r="R1004" s="67"/>
    </row>
    <row r="1005">
      <c r="A1005" s="503"/>
      <c r="B1005" s="493"/>
      <c r="C1005" s="315"/>
      <c r="D1005" s="504"/>
      <c r="E1005" s="505"/>
      <c r="F1005" s="506"/>
      <c r="G1005" s="507"/>
      <c r="H1005" s="508"/>
      <c r="I1005" s="509"/>
      <c r="J1005" s="510"/>
      <c r="K1005" s="510"/>
      <c r="R1005" s="67"/>
    </row>
    <row r="1006">
      <c r="A1006" s="503"/>
      <c r="B1006" s="493"/>
      <c r="C1006" s="315"/>
      <c r="D1006" s="504"/>
      <c r="E1006" s="505"/>
      <c r="F1006" s="506"/>
      <c r="G1006" s="507"/>
      <c r="H1006" s="508"/>
      <c r="I1006" s="509"/>
      <c r="J1006" s="510"/>
      <c r="K1006" s="510"/>
      <c r="R1006" s="67"/>
    </row>
    <row r="1007">
      <c r="A1007" s="503"/>
      <c r="B1007" s="493"/>
      <c r="C1007" s="315"/>
      <c r="D1007" s="504"/>
      <c r="E1007" s="505"/>
      <c r="F1007" s="506"/>
      <c r="G1007" s="507"/>
      <c r="H1007" s="508"/>
      <c r="I1007" s="509"/>
      <c r="J1007" s="510"/>
      <c r="K1007" s="510"/>
      <c r="R1007" s="67"/>
    </row>
    <row r="1008">
      <c r="A1008" s="503"/>
      <c r="B1008" s="493"/>
      <c r="C1008" s="315"/>
      <c r="D1008" s="504"/>
      <c r="E1008" s="505"/>
      <c r="F1008" s="506"/>
      <c r="G1008" s="507"/>
      <c r="H1008" s="508"/>
      <c r="I1008" s="509"/>
      <c r="J1008" s="510"/>
      <c r="K1008" s="510"/>
      <c r="R1008" s="67"/>
    </row>
    <row r="1009">
      <c r="A1009" s="503"/>
      <c r="B1009" s="493"/>
      <c r="C1009" s="315"/>
      <c r="D1009" s="504"/>
      <c r="E1009" s="505"/>
      <c r="F1009" s="506"/>
      <c r="G1009" s="507"/>
      <c r="H1009" s="508"/>
      <c r="I1009" s="509"/>
      <c r="J1009" s="510"/>
      <c r="K1009" s="510"/>
      <c r="R1009" s="67"/>
    </row>
    <row r="1010">
      <c r="A1010" s="503"/>
      <c r="B1010" s="493"/>
      <c r="C1010" s="315"/>
      <c r="D1010" s="504"/>
      <c r="E1010" s="505"/>
      <c r="F1010" s="506"/>
      <c r="G1010" s="507"/>
      <c r="H1010" s="508"/>
      <c r="I1010" s="509"/>
      <c r="J1010" s="510"/>
      <c r="K1010" s="510"/>
      <c r="R1010" s="67"/>
    </row>
    <row r="1011">
      <c r="A1011" s="503"/>
      <c r="B1011" s="493"/>
      <c r="C1011" s="315"/>
      <c r="D1011" s="504"/>
      <c r="E1011" s="505"/>
      <c r="F1011" s="506"/>
      <c r="G1011" s="507"/>
      <c r="H1011" s="508"/>
      <c r="I1011" s="509"/>
      <c r="J1011" s="510"/>
      <c r="K1011" s="510"/>
      <c r="R1011" s="67"/>
    </row>
    <row r="1012">
      <c r="A1012" s="503"/>
      <c r="B1012" s="493"/>
      <c r="C1012" s="315"/>
      <c r="D1012" s="504"/>
      <c r="E1012" s="505"/>
      <c r="F1012" s="506"/>
      <c r="G1012" s="507"/>
      <c r="H1012" s="508"/>
      <c r="I1012" s="509"/>
      <c r="J1012" s="510"/>
      <c r="K1012" s="510"/>
      <c r="R1012" s="67"/>
    </row>
    <row r="1013">
      <c r="A1013" s="503"/>
      <c r="B1013" s="493"/>
      <c r="C1013" s="315"/>
      <c r="D1013" s="504"/>
      <c r="E1013" s="505"/>
      <c r="F1013" s="506"/>
      <c r="G1013" s="507"/>
      <c r="H1013" s="508"/>
      <c r="I1013" s="509"/>
      <c r="J1013" s="510"/>
      <c r="K1013" s="510"/>
      <c r="R1013" s="67"/>
    </row>
    <row r="1014">
      <c r="A1014" s="503"/>
      <c r="B1014" s="493"/>
      <c r="C1014" s="315"/>
      <c r="D1014" s="504"/>
      <c r="E1014" s="505"/>
      <c r="F1014" s="506"/>
      <c r="G1014" s="507"/>
      <c r="H1014" s="508"/>
      <c r="I1014" s="509"/>
      <c r="J1014" s="510"/>
      <c r="K1014" s="510"/>
      <c r="R1014" s="67"/>
    </row>
    <row r="1015">
      <c r="A1015" s="503"/>
      <c r="B1015" s="493"/>
      <c r="C1015" s="315"/>
      <c r="D1015" s="504"/>
      <c r="E1015" s="505"/>
      <c r="F1015" s="506"/>
      <c r="G1015" s="507"/>
      <c r="H1015" s="508"/>
      <c r="I1015" s="509"/>
      <c r="J1015" s="510"/>
      <c r="K1015" s="510"/>
      <c r="R1015" s="67"/>
    </row>
    <row r="1016">
      <c r="A1016" s="503"/>
      <c r="B1016" s="493"/>
      <c r="C1016" s="315"/>
      <c r="D1016" s="504"/>
      <c r="E1016" s="505"/>
      <c r="F1016" s="506"/>
      <c r="G1016" s="507"/>
      <c r="H1016" s="508"/>
      <c r="I1016" s="509"/>
      <c r="J1016" s="510"/>
      <c r="K1016" s="510"/>
      <c r="R1016" s="67"/>
    </row>
    <row r="1017">
      <c r="A1017" s="503"/>
      <c r="B1017" s="493"/>
      <c r="C1017" s="315"/>
      <c r="D1017" s="504"/>
      <c r="E1017" s="505"/>
      <c r="F1017" s="506"/>
      <c r="G1017" s="507"/>
      <c r="H1017" s="508"/>
      <c r="I1017" s="509"/>
      <c r="J1017" s="510"/>
      <c r="K1017" s="510"/>
      <c r="R1017" s="67"/>
    </row>
    <row r="1018">
      <c r="A1018" s="503"/>
      <c r="B1018" s="493"/>
      <c r="C1018" s="315"/>
      <c r="D1018" s="504"/>
      <c r="E1018" s="505"/>
      <c r="F1018" s="506"/>
      <c r="G1018" s="507"/>
      <c r="H1018" s="508"/>
      <c r="I1018" s="509"/>
      <c r="J1018" s="510"/>
      <c r="K1018" s="510"/>
      <c r="R1018" s="67"/>
    </row>
    <row r="1019">
      <c r="A1019" s="503"/>
      <c r="B1019" s="493"/>
      <c r="C1019" s="315"/>
      <c r="D1019" s="504"/>
      <c r="E1019" s="505"/>
      <c r="F1019" s="506"/>
      <c r="G1019" s="507"/>
      <c r="H1019" s="508"/>
      <c r="I1019" s="509"/>
      <c r="J1019" s="510"/>
      <c r="K1019" s="510"/>
      <c r="R1019" s="67"/>
    </row>
    <row r="1020">
      <c r="A1020" s="503"/>
      <c r="B1020" s="493"/>
      <c r="C1020" s="315"/>
      <c r="D1020" s="504"/>
      <c r="E1020" s="505"/>
      <c r="F1020" s="506"/>
      <c r="G1020" s="507"/>
      <c r="H1020" s="508"/>
      <c r="I1020" s="509"/>
      <c r="J1020" s="510"/>
      <c r="K1020" s="510"/>
      <c r="R1020" s="67"/>
    </row>
    <row r="1021">
      <c r="A1021" s="503"/>
      <c r="B1021" s="493"/>
      <c r="C1021" s="315"/>
      <c r="D1021" s="504"/>
      <c r="E1021" s="505"/>
      <c r="F1021" s="506"/>
      <c r="G1021" s="507"/>
      <c r="H1021" s="508"/>
      <c r="I1021" s="509"/>
      <c r="J1021" s="510"/>
      <c r="K1021" s="510"/>
      <c r="R1021" s="67"/>
    </row>
    <row r="1022">
      <c r="A1022" s="503"/>
      <c r="B1022" s="493"/>
      <c r="C1022" s="315"/>
      <c r="D1022" s="504"/>
      <c r="E1022" s="505"/>
      <c r="F1022" s="506"/>
      <c r="G1022" s="507"/>
      <c r="H1022" s="508"/>
      <c r="I1022" s="509"/>
      <c r="J1022" s="510"/>
      <c r="K1022" s="510"/>
      <c r="R1022" s="67"/>
    </row>
    <row r="1023">
      <c r="A1023" s="503"/>
      <c r="B1023" s="493"/>
      <c r="C1023" s="315"/>
      <c r="D1023" s="504"/>
      <c r="E1023" s="505"/>
      <c r="F1023" s="506"/>
      <c r="G1023" s="507"/>
      <c r="H1023" s="508"/>
      <c r="I1023" s="509"/>
      <c r="J1023" s="510"/>
      <c r="K1023" s="510"/>
      <c r="R1023" s="67"/>
    </row>
    <row r="1024">
      <c r="A1024" s="503"/>
      <c r="B1024" s="493"/>
      <c r="C1024" s="315"/>
      <c r="D1024" s="504"/>
      <c r="E1024" s="505"/>
      <c r="F1024" s="506"/>
      <c r="G1024" s="507"/>
      <c r="H1024" s="508"/>
      <c r="I1024" s="509"/>
      <c r="J1024" s="510"/>
      <c r="K1024" s="510"/>
      <c r="R1024" s="67"/>
    </row>
    <row r="1025">
      <c r="A1025" s="503"/>
      <c r="B1025" s="493"/>
      <c r="C1025" s="315"/>
      <c r="D1025" s="504"/>
      <c r="E1025" s="505"/>
      <c r="F1025" s="506"/>
      <c r="G1025" s="507"/>
      <c r="H1025" s="508"/>
      <c r="I1025" s="509"/>
      <c r="J1025" s="510"/>
      <c r="K1025" s="510"/>
      <c r="R1025" s="67"/>
    </row>
    <row r="1026">
      <c r="A1026" s="503"/>
      <c r="B1026" s="493"/>
      <c r="C1026" s="315"/>
      <c r="D1026" s="504"/>
      <c r="E1026" s="505"/>
      <c r="F1026" s="506"/>
      <c r="G1026" s="507"/>
      <c r="H1026" s="508"/>
      <c r="I1026" s="509"/>
      <c r="J1026" s="510"/>
      <c r="K1026" s="510"/>
      <c r="R1026" s="67"/>
    </row>
    <row r="1027">
      <c r="A1027" s="503"/>
      <c r="B1027" s="493"/>
      <c r="C1027" s="315"/>
      <c r="D1027" s="504"/>
      <c r="E1027" s="505"/>
      <c r="F1027" s="506"/>
      <c r="G1027" s="507"/>
      <c r="H1027" s="508"/>
      <c r="I1027" s="509"/>
      <c r="J1027" s="510"/>
      <c r="K1027" s="510"/>
      <c r="R1027" s="67"/>
    </row>
    <row r="1028">
      <c r="A1028" s="503"/>
      <c r="B1028" s="493"/>
      <c r="C1028" s="315"/>
      <c r="D1028" s="504"/>
      <c r="E1028" s="505"/>
      <c r="F1028" s="506"/>
      <c r="G1028" s="507"/>
      <c r="H1028" s="508"/>
      <c r="I1028" s="509"/>
      <c r="J1028" s="510"/>
      <c r="K1028" s="510"/>
      <c r="R1028" s="67"/>
    </row>
    <row r="1029">
      <c r="A1029" s="503"/>
      <c r="B1029" s="493"/>
      <c r="C1029" s="315"/>
      <c r="D1029" s="504"/>
      <c r="E1029" s="505"/>
      <c r="F1029" s="506"/>
      <c r="G1029" s="507"/>
      <c r="H1029" s="508"/>
      <c r="I1029" s="509"/>
      <c r="J1029" s="510"/>
      <c r="K1029" s="510"/>
      <c r="R1029" s="67"/>
    </row>
    <row r="1030">
      <c r="A1030" s="503"/>
      <c r="B1030" s="493"/>
      <c r="C1030" s="315"/>
      <c r="D1030" s="504"/>
      <c r="E1030" s="505"/>
      <c r="F1030" s="506"/>
      <c r="G1030" s="507"/>
      <c r="H1030" s="508"/>
      <c r="I1030" s="509"/>
      <c r="J1030" s="510"/>
      <c r="K1030" s="510"/>
      <c r="R1030" s="67"/>
    </row>
    <row r="1031">
      <c r="A1031" s="503"/>
      <c r="B1031" s="493"/>
      <c r="C1031" s="315"/>
      <c r="D1031" s="504"/>
      <c r="E1031" s="505"/>
      <c r="F1031" s="506"/>
      <c r="G1031" s="507"/>
      <c r="H1031" s="508"/>
      <c r="I1031" s="509"/>
      <c r="J1031" s="510"/>
      <c r="K1031" s="510"/>
      <c r="R1031" s="67"/>
    </row>
    <row r="1032">
      <c r="A1032" s="503"/>
      <c r="B1032" s="493"/>
      <c r="C1032" s="315"/>
      <c r="D1032" s="504"/>
      <c r="E1032" s="505"/>
      <c r="F1032" s="506"/>
      <c r="G1032" s="507"/>
      <c r="H1032" s="508"/>
      <c r="I1032" s="509"/>
      <c r="J1032" s="510"/>
      <c r="K1032" s="510"/>
      <c r="R1032" s="67"/>
    </row>
    <row r="1033">
      <c r="A1033" s="503"/>
      <c r="B1033" s="493"/>
      <c r="C1033" s="315"/>
      <c r="D1033" s="504"/>
      <c r="E1033" s="505"/>
      <c r="F1033" s="506"/>
      <c r="G1033" s="507"/>
      <c r="H1033" s="508"/>
      <c r="I1033" s="509"/>
      <c r="J1033" s="510"/>
      <c r="K1033" s="510"/>
      <c r="R1033" s="67"/>
    </row>
    <row r="1034">
      <c r="A1034" s="503"/>
      <c r="B1034" s="493"/>
      <c r="C1034" s="315"/>
      <c r="D1034" s="504"/>
      <c r="E1034" s="505"/>
      <c r="F1034" s="506"/>
      <c r="G1034" s="507"/>
      <c r="H1034" s="508"/>
      <c r="I1034" s="509"/>
      <c r="J1034" s="510"/>
      <c r="K1034" s="510"/>
      <c r="R1034" s="67"/>
    </row>
    <row r="1035">
      <c r="A1035" s="503"/>
      <c r="B1035" s="493"/>
      <c r="C1035" s="315"/>
      <c r="D1035" s="504"/>
      <c r="E1035" s="505"/>
      <c r="F1035" s="506"/>
      <c r="G1035" s="507"/>
      <c r="H1035" s="508"/>
      <c r="I1035" s="509"/>
      <c r="J1035" s="510"/>
      <c r="K1035" s="510"/>
      <c r="R1035" s="67"/>
    </row>
    <row r="1036">
      <c r="A1036" s="503"/>
      <c r="B1036" s="493"/>
      <c r="C1036" s="315"/>
      <c r="D1036" s="504"/>
      <c r="E1036" s="505"/>
      <c r="F1036" s="506"/>
      <c r="G1036" s="507"/>
      <c r="H1036" s="508"/>
      <c r="I1036" s="509"/>
      <c r="J1036" s="510"/>
      <c r="K1036" s="510"/>
      <c r="R1036" s="67"/>
    </row>
    <row r="1037">
      <c r="A1037" s="503"/>
      <c r="B1037" s="493"/>
      <c r="C1037" s="315"/>
      <c r="D1037" s="504"/>
      <c r="E1037" s="505"/>
      <c r="F1037" s="506"/>
      <c r="G1037" s="507"/>
      <c r="H1037" s="508"/>
      <c r="I1037" s="509"/>
      <c r="J1037" s="510"/>
      <c r="K1037" s="510"/>
      <c r="R1037" s="67"/>
    </row>
    <row r="1038">
      <c r="A1038" s="503"/>
      <c r="B1038" s="493"/>
      <c r="C1038" s="315"/>
      <c r="D1038" s="504"/>
      <c r="E1038" s="505"/>
      <c r="F1038" s="506"/>
      <c r="G1038" s="507"/>
      <c r="H1038" s="508"/>
      <c r="I1038" s="509"/>
      <c r="J1038" s="510"/>
      <c r="K1038" s="510"/>
      <c r="R1038" s="67"/>
    </row>
    <row r="1039">
      <c r="A1039" s="503"/>
      <c r="B1039" s="493"/>
      <c r="C1039" s="315"/>
      <c r="D1039" s="504"/>
      <c r="E1039" s="505"/>
      <c r="F1039" s="506"/>
      <c r="G1039" s="507"/>
      <c r="H1039" s="508"/>
      <c r="I1039" s="509"/>
      <c r="J1039" s="510"/>
      <c r="K1039" s="510"/>
      <c r="R1039" s="67"/>
    </row>
    <row r="1040">
      <c r="A1040" s="503"/>
      <c r="B1040" s="493"/>
      <c r="C1040" s="315"/>
      <c r="D1040" s="504"/>
      <c r="E1040" s="505"/>
      <c r="F1040" s="506"/>
      <c r="G1040" s="507"/>
      <c r="H1040" s="508"/>
      <c r="I1040" s="509"/>
      <c r="J1040" s="510"/>
      <c r="K1040" s="510"/>
      <c r="R1040" s="67"/>
    </row>
    <row r="1041">
      <c r="A1041" s="503"/>
      <c r="B1041" s="493"/>
      <c r="C1041" s="315"/>
      <c r="D1041" s="504"/>
      <c r="E1041" s="505"/>
      <c r="F1041" s="506"/>
      <c r="G1041" s="507"/>
      <c r="H1041" s="508"/>
      <c r="I1041" s="509"/>
      <c r="J1041" s="510"/>
      <c r="K1041" s="510"/>
      <c r="R1041" s="67"/>
    </row>
    <row r="1042">
      <c r="A1042" s="503"/>
      <c r="B1042" s="493"/>
      <c r="C1042" s="315"/>
      <c r="D1042" s="504"/>
      <c r="E1042" s="505"/>
      <c r="F1042" s="506"/>
      <c r="G1042" s="507"/>
      <c r="H1042" s="508"/>
      <c r="I1042" s="509"/>
      <c r="J1042" s="510"/>
      <c r="K1042" s="510"/>
      <c r="R1042" s="67"/>
    </row>
    <row r="1043">
      <c r="A1043" s="503"/>
      <c r="B1043" s="493"/>
      <c r="C1043" s="315"/>
      <c r="D1043" s="504"/>
      <c r="E1043" s="505"/>
      <c r="F1043" s="506"/>
      <c r="G1043" s="507"/>
      <c r="H1043" s="508"/>
      <c r="I1043" s="509"/>
      <c r="J1043" s="510"/>
      <c r="K1043" s="510"/>
      <c r="R1043" s="67"/>
    </row>
    <row r="1044">
      <c r="A1044" s="503"/>
      <c r="B1044" s="493"/>
      <c r="C1044" s="315"/>
      <c r="D1044" s="504"/>
      <c r="E1044" s="505"/>
      <c r="F1044" s="506"/>
      <c r="G1044" s="507"/>
      <c r="H1044" s="508"/>
      <c r="I1044" s="509"/>
      <c r="J1044" s="510"/>
      <c r="K1044" s="510"/>
      <c r="R1044" s="67"/>
    </row>
    <row r="1045">
      <c r="A1045" s="503"/>
      <c r="B1045" s="493"/>
      <c r="C1045" s="315"/>
      <c r="D1045" s="504"/>
      <c r="E1045" s="505"/>
      <c r="F1045" s="506"/>
      <c r="G1045" s="507"/>
      <c r="H1045" s="508"/>
      <c r="I1045" s="509"/>
      <c r="J1045" s="510"/>
      <c r="K1045" s="510"/>
      <c r="R1045" s="67"/>
    </row>
    <row r="1046">
      <c r="A1046" s="503"/>
      <c r="B1046" s="493"/>
      <c r="C1046" s="315"/>
      <c r="D1046" s="504"/>
      <c r="E1046" s="505"/>
      <c r="F1046" s="506"/>
      <c r="G1046" s="507"/>
      <c r="H1046" s="508"/>
      <c r="I1046" s="509"/>
      <c r="J1046" s="510"/>
      <c r="K1046" s="510"/>
      <c r="R1046" s="67"/>
    </row>
    <row r="1047">
      <c r="A1047" s="503"/>
      <c r="B1047" s="493"/>
      <c r="C1047" s="315"/>
      <c r="D1047" s="504"/>
      <c r="E1047" s="505"/>
      <c r="F1047" s="506"/>
      <c r="G1047" s="507"/>
      <c r="H1047" s="508"/>
      <c r="I1047" s="509"/>
      <c r="J1047" s="510"/>
      <c r="K1047" s="510"/>
      <c r="R1047" s="67"/>
    </row>
    <row r="1048">
      <c r="A1048" s="503"/>
      <c r="B1048" s="493"/>
      <c r="C1048" s="315"/>
      <c r="D1048" s="504"/>
      <c r="E1048" s="505"/>
      <c r="F1048" s="506"/>
      <c r="G1048" s="507"/>
      <c r="H1048" s="508"/>
      <c r="I1048" s="509"/>
      <c r="J1048" s="510"/>
      <c r="K1048" s="510"/>
      <c r="R1048" s="67"/>
    </row>
    <row r="1049">
      <c r="A1049" s="503"/>
      <c r="B1049" s="493"/>
      <c r="C1049" s="315"/>
      <c r="D1049" s="504"/>
      <c r="E1049" s="505"/>
      <c r="F1049" s="506"/>
      <c r="G1049" s="507"/>
      <c r="H1049" s="508"/>
      <c r="I1049" s="509"/>
      <c r="J1049" s="510"/>
      <c r="K1049" s="510"/>
      <c r="R1049" s="67"/>
    </row>
    <row r="1050">
      <c r="A1050" s="503"/>
      <c r="B1050" s="493"/>
      <c r="C1050" s="315"/>
      <c r="D1050" s="504"/>
      <c r="E1050" s="505"/>
      <c r="F1050" s="506"/>
      <c r="G1050" s="507"/>
      <c r="H1050" s="508"/>
      <c r="I1050" s="509"/>
      <c r="J1050" s="510"/>
      <c r="K1050" s="510"/>
      <c r="R1050" s="67"/>
    </row>
    <row r="1051">
      <c r="A1051" s="503"/>
      <c r="B1051" s="493"/>
      <c r="C1051" s="315"/>
      <c r="D1051" s="504"/>
      <c r="E1051" s="505"/>
      <c r="F1051" s="506"/>
      <c r="G1051" s="507"/>
      <c r="H1051" s="508"/>
      <c r="I1051" s="509"/>
      <c r="J1051" s="510"/>
      <c r="K1051" s="510"/>
      <c r="R1051" s="67"/>
    </row>
    <row r="1052">
      <c r="A1052" s="503"/>
      <c r="B1052" s="493"/>
      <c r="C1052" s="315"/>
      <c r="D1052" s="504"/>
      <c r="E1052" s="505"/>
      <c r="F1052" s="506"/>
      <c r="G1052" s="507"/>
      <c r="H1052" s="508"/>
      <c r="I1052" s="509"/>
      <c r="J1052" s="510"/>
      <c r="K1052" s="510"/>
      <c r="R1052" s="67"/>
    </row>
    <row r="1053">
      <c r="A1053" s="503"/>
      <c r="B1053" s="493"/>
      <c r="C1053" s="315"/>
      <c r="D1053" s="504"/>
      <c r="E1053" s="505"/>
      <c r="F1053" s="506"/>
      <c r="G1053" s="507"/>
      <c r="H1053" s="508"/>
      <c r="I1053" s="509"/>
      <c r="J1053" s="510"/>
      <c r="K1053" s="510"/>
      <c r="R1053" s="67"/>
    </row>
    <row r="1054">
      <c r="A1054" s="503"/>
      <c r="B1054" s="493"/>
      <c r="C1054" s="315"/>
      <c r="D1054" s="504"/>
      <c r="E1054" s="505"/>
      <c r="F1054" s="506"/>
      <c r="G1054" s="507"/>
      <c r="H1054" s="508"/>
      <c r="I1054" s="509"/>
      <c r="J1054" s="510"/>
      <c r="K1054" s="510"/>
      <c r="R1054" s="67"/>
    </row>
    <row r="1055">
      <c r="A1055" s="503"/>
      <c r="B1055" s="493"/>
      <c r="C1055" s="315"/>
      <c r="D1055" s="504"/>
      <c r="E1055" s="505"/>
      <c r="F1055" s="506"/>
      <c r="G1055" s="507"/>
      <c r="H1055" s="508"/>
      <c r="I1055" s="509"/>
      <c r="J1055" s="510"/>
      <c r="K1055" s="510"/>
      <c r="R1055" s="67"/>
    </row>
    <row r="1056">
      <c r="A1056" s="503"/>
      <c r="B1056" s="493"/>
      <c r="C1056" s="315"/>
      <c r="D1056" s="504"/>
      <c r="E1056" s="505"/>
      <c r="F1056" s="506"/>
      <c r="G1056" s="507"/>
      <c r="H1056" s="508"/>
      <c r="I1056" s="509"/>
      <c r="J1056" s="510"/>
      <c r="K1056" s="510"/>
      <c r="R1056" s="67"/>
    </row>
    <row r="1057">
      <c r="A1057" s="503"/>
      <c r="B1057" s="493"/>
      <c r="C1057" s="315"/>
      <c r="D1057" s="504"/>
      <c r="E1057" s="505"/>
      <c r="F1057" s="506"/>
      <c r="G1057" s="507"/>
      <c r="H1057" s="508"/>
      <c r="I1057" s="509"/>
      <c r="J1057" s="510"/>
      <c r="K1057" s="510"/>
      <c r="R1057" s="67"/>
    </row>
    <row r="1058">
      <c r="A1058" s="503"/>
      <c r="B1058" s="493"/>
      <c r="C1058" s="315"/>
      <c r="D1058" s="504"/>
      <c r="E1058" s="505"/>
      <c r="F1058" s="506"/>
      <c r="G1058" s="507"/>
      <c r="H1058" s="508"/>
      <c r="I1058" s="509"/>
      <c r="J1058" s="510"/>
      <c r="K1058" s="510"/>
      <c r="R1058" s="67"/>
    </row>
    <row r="1059">
      <c r="A1059" s="503"/>
      <c r="B1059" s="493"/>
      <c r="C1059" s="315"/>
      <c r="D1059" s="504"/>
      <c r="E1059" s="505"/>
      <c r="F1059" s="506"/>
      <c r="G1059" s="507"/>
      <c r="H1059" s="508"/>
      <c r="I1059" s="509"/>
      <c r="J1059" s="510"/>
      <c r="K1059" s="510"/>
      <c r="R1059" s="67"/>
    </row>
    <row r="1060">
      <c r="A1060" s="503"/>
      <c r="B1060" s="493"/>
      <c r="C1060" s="315"/>
      <c r="D1060" s="504"/>
      <c r="E1060" s="505"/>
      <c r="F1060" s="506"/>
      <c r="G1060" s="507"/>
      <c r="H1060" s="508"/>
      <c r="I1060" s="509"/>
      <c r="J1060" s="510"/>
      <c r="K1060" s="510"/>
      <c r="R1060" s="67"/>
    </row>
    <row r="1061">
      <c r="A1061" s="503"/>
      <c r="B1061" s="493"/>
      <c r="C1061" s="315"/>
      <c r="D1061" s="504"/>
      <c r="E1061" s="505"/>
      <c r="F1061" s="506"/>
      <c r="G1061" s="507"/>
      <c r="H1061" s="508"/>
      <c r="I1061" s="509"/>
      <c r="J1061" s="510"/>
      <c r="K1061" s="510"/>
      <c r="R1061" s="67"/>
    </row>
    <row r="1062">
      <c r="A1062" s="503"/>
      <c r="B1062" s="493"/>
      <c r="C1062" s="315"/>
      <c r="D1062" s="504"/>
      <c r="E1062" s="505"/>
      <c r="F1062" s="506"/>
      <c r="G1062" s="507"/>
      <c r="H1062" s="508"/>
      <c r="I1062" s="509"/>
      <c r="J1062" s="510"/>
      <c r="K1062" s="510"/>
      <c r="R1062" s="67"/>
    </row>
    <row r="1063">
      <c r="A1063" s="503"/>
      <c r="B1063" s="493"/>
      <c r="C1063" s="315"/>
      <c r="D1063" s="504"/>
      <c r="E1063" s="505"/>
      <c r="F1063" s="506"/>
      <c r="G1063" s="507"/>
      <c r="H1063" s="508"/>
      <c r="I1063" s="509"/>
      <c r="J1063" s="510"/>
      <c r="K1063" s="510"/>
      <c r="R1063" s="67"/>
    </row>
    <row r="1064">
      <c r="A1064" s="503"/>
      <c r="B1064" s="493"/>
      <c r="C1064" s="315"/>
      <c r="D1064" s="504"/>
      <c r="E1064" s="505"/>
      <c r="F1064" s="506"/>
      <c r="G1064" s="507"/>
      <c r="H1064" s="508"/>
      <c r="I1064" s="509"/>
      <c r="J1064" s="510"/>
      <c r="K1064" s="510"/>
      <c r="R1064" s="67"/>
    </row>
    <row r="1065">
      <c r="A1065" s="503"/>
      <c r="B1065" s="493"/>
      <c r="C1065" s="315"/>
      <c r="D1065" s="504"/>
      <c r="E1065" s="505"/>
      <c r="F1065" s="506"/>
      <c r="G1065" s="507"/>
      <c r="H1065" s="508"/>
      <c r="I1065" s="509"/>
      <c r="J1065" s="510"/>
      <c r="K1065" s="510"/>
      <c r="R1065" s="67"/>
    </row>
    <row r="1066">
      <c r="A1066" s="503"/>
      <c r="B1066" s="493"/>
      <c r="C1066" s="315"/>
      <c r="D1066" s="504"/>
      <c r="E1066" s="505"/>
      <c r="F1066" s="506"/>
      <c r="G1066" s="507"/>
      <c r="H1066" s="508"/>
      <c r="I1066" s="509"/>
      <c r="J1066" s="510"/>
      <c r="K1066" s="510"/>
      <c r="R1066" s="67"/>
    </row>
    <row r="1067">
      <c r="A1067" s="503"/>
      <c r="B1067" s="493"/>
      <c r="C1067" s="315"/>
      <c r="D1067" s="504"/>
      <c r="E1067" s="505"/>
      <c r="F1067" s="506"/>
      <c r="G1067" s="507"/>
      <c r="H1067" s="508"/>
      <c r="I1067" s="509"/>
      <c r="J1067" s="510"/>
      <c r="K1067" s="510"/>
      <c r="R1067" s="67"/>
    </row>
    <row r="1068">
      <c r="A1068" s="503"/>
      <c r="B1068" s="493"/>
      <c r="C1068" s="315"/>
      <c r="D1068" s="504"/>
      <c r="E1068" s="505"/>
      <c r="F1068" s="506"/>
      <c r="G1068" s="507"/>
      <c r="H1068" s="508"/>
      <c r="I1068" s="509"/>
      <c r="J1068" s="510"/>
      <c r="K1068" s="510"/>
      <c r="R1068" s="67"/>
    </row>
    <row r="1069">
      <c r="A1069" s="503"/>
      <c r="B1069" s="493"/>
      <c r="C1069" s="315"/>
      <c r="D1069" s="504"/>
      <c r="E1069" s="505"/>
      <c r="F1069" s="506"/>
      <c r="G1069" s="507"/>
      <c r="H1069" s="508"/>
      <c r="I1069" s="509"/>
      <c r="J1069" s="510"/>
      <c r="K1069" s="510"/>
      <c r="R1069" s="67"/>
    </row>
    <row r="1070">
      <c r="A1070" s="503"/>
      <c r="B1070" s="493"/>
      <c r="C1070" s="315"/>
      <c r="D1070" s="504"/>
      <c r="E1070" s="505"/>
      <c r="F1070" s="506"/>
      <c r="G1070" s="507"/>
      <c r="H1070" s="508"/>
      <c r="I1070" s="509"/>
      <c r="J1070" s="510"/>
      <c r="K1070" s="510"/>
      <c r="R1070" s="67"/>
    </row>
    <row r="1071">
      <c r="A1071" s="503"/>
      <c r="B1071" s="493"/>
      <c r="C1071" s="315"/>
      <c r="D1071" s="504"/>
      <c r="E1071" s="505"/>
      <c r="F1071" s="506"/>
      <c r="G1071" s="507"/>
      <c r="H1071" s="508"/>
      <c r="I1071" s="509"/>
      <c r="J1071" s="510"/>
      <c r="K1071" s="510"/>
      <c r="R1071" s="67"/>
    </row>
    <row r="1072">
      <c r="A1072" s="503"/>
      <c r="B1072" s="493"/>
      <c r="C1072" s="315"/>
      <c r="D1072" s="504"/>
      <c r="E1072" s="505"/>
      <c r="F1072" s="506"/>
      <c r="G1072" s="507"/>
      <c r="H1072" s="508"/>
      <c r="I1072" s="509"/>
      <c r="J1072" s="510"/>
      <c r="K1072" s="510"/>
      <c r="R1072" s="67"/>
    </row>
    <row r="1073">
      <c r="A1073" s="503"/>
      <c r="B1073" s="493"/>
      <c r="C1073" s="315"/>
      <c r="D1073" s="504"/>
      <c r="E1073" s="505"/>
      <c r="F1073" s="506"/>
      <c r="G1073" s="507"/>
      <c r="H1073" s="508"/>
      <c r="I1073" s="509"/>
      <c r="J1073" s="510"/>
      <c r="K1073" s="510"/>
      <c r="R1073" s="67"/>
    </row>
    <row r="1074">
      <c r="A1074" s="503"/>
      <c r="B1074" s="493"/>
      <c r="C1074" s="315"/>
      <c r="D1074" s="504"/>
      <c r="E1074" s="505"/>
      <c r="F1074" s="506"/>
      <c r="G1074" s="507"/>
      <c r="H1074" s="508"/>
      <c r="I1074" s="509"/>
      <c r="J1074" s="510"/>
      <c r="K1074" s="510"/>
      <c r="R1074" s="67"/>
    </row>
    <row r="1075">
      <c r="A1075" s="503"/>
      <c r="B1075" s="493"/>
      <c r="C1075" s="315"/>
      <c r="D1075" s="504"/>
      <c r="E1075" s="505"/>
      <c r="F1075" s="506"/>
      <c r="G1075" s="507"/>
      <c r="H1075" s="508"/>
      <c r="I1075" s="509"/>
      <c r="J1075" s="510"/>
      <c r="K1075" s="510"/>
      <c r="R1075" s="67"/>
    </row>
    <row r="1076">
      <c r="A1076" s="503"/>
      <c r="B1076" s="493"/>
      <c r="C1076" s="315"/>
      <c r="D1076" s="504"/>
      <c r="E1076" s="505"/>
      <c r="F1076" s="506"/>
      <c r="G1076" s="507"/>
      <c r="H1076" s="508"/>
      <c r="I1076" s="509"/>
      <c r="J1076" s="510"/>
      <c r="K1076" s="510"/>
      <c r="R1076" s="67"/>
    </row>
    <row r="1077">
      <c r="A1077" s="503"/>
      <c r="B1077" s="493"/>
      <c r="C1077" s="315"/>
      <c r="D1077" s="504"/>
      <c r="E1077" s="505"/>
      <c r="F1077" s="506"/>
      <c r="G1077" s="507"/>
      <c r="H1077" s="508"/>
      <c r="I1077" s="509"/>
      <c r="J1077" s="510"/>
      <c r="K1077" s="510"/>
      <c r="R1077" s="67"/>
    </row>
    <row r="1078">
      <c r="A1078" s="503"/>
      <c r="B1078" s="493"/>
      <c r="C1078" s="315"/>
      <c r="D1078" s="504"/>
      <c r="E1078" s="505"/>
      <c r="F1078" s="506"/>
      <c r="G1078" s="507"/>
      <c r="H1078" s="508"/>
      <c r="I1078" s="509"/>
      <c r="J1078" s="510"/>
      <c r="K1078" s="510"/>
      <c r="R1078" s="67"/>
    </row>
    <row r="1079">
      <c r="A1079" s="503"/>
      <c r="B1079" s="493"/>
      <c r="C1079" s="315"/>
      <c r="D1079" s="504"/>
      <c r="E1079" s="505"/>
      <c r="F1079" s="506"/>
      <c r="G1079" s="507"/>
      <c r="H1079" s="508"/>
      <c r="I1079" s="509"/>
      <c r="J1079" s="510"/>
      <c r="K1079" s="510"/>
      <c r="R1079" s="67"/>
    </row>
    <row r="1080">
      <c r="A1080" s="503"/>
      <c r="B1080" s="493"/>
      <c r="C1080" s="315"/>
      <c r="D1080" s="504"/>
      <c r="E1080" s="505"/>
      <c r="F1080" s="506"/>
      <c r="G1080" s="507"/>
      <c r="H1080" s="508"/>
      <c r="I1080" s="509"/>
      <c r="J1080" s="510"/>
      <c r="K1080" s="510"/>
      <c r="R1080" s="67"/>
    </row>
    <row r="1081">
      <c r="A1081" s="503"/>
      <c r="B1081" s="493"/>
      <c r="C1081" s="315"/>
      <c r="D1081" s="504"/>
      <c r="E1081" s="505"/>
      <c r="F1081" s="506"/>
      <c r="G1081" s="507"/>
      <c r="H1081" s="508"/>
      <c r="I1081" s="509"/>
      <c r="J1081" s="510"/>
      <c r="K1081" s="510"/>
      <c r="R1081" s="67"/>
    </row>
    <row r="1082">
      <c r="A1082" s="503"/>
      <c r="B1082" s="493"/>
      <c r="C1082" s="315"/>
      <c r="D1082" s="504"/>
      <c r="E1082" s="505"/>
      <c r="F1082" s="506"/>
      <c r="G1082" s="507"/>
      <c r="H1082" s="508"/>
      <c r="I1082" s="509"/>
      <c r="J1082" s="510"/>
      <c r="K1082" s="510"/>
      <c r="R1082" s="67"/>
    </row>
    <row r="1083">
      <c r="A1083" s="503"/>
      <c r="B1083" s="493"/>
      <c r="C1083" s="315"/>
      <c r="D1083" s="504"/>
      <c r="E1083" s="505"/>
      <c r="F1083" s="506"/>
      <c r="G1083" s="507"/>
      <c r="H1083" s="508"/>
      <c r="I1083" s="509"/>
      <c r="J1083" s="510"/>
      <c r="K1083" s="510"/>
      <c r="R1083" s="67"/>
    </row>
    <row r="1084">
      <c r="A1084" s="503"/>
      <c r="B1084" s="493"/>
      <c r="C1084" s="315"/>
      <c r="D1084" s="504"/>
      <c r="E1084" s="505"/>
      <c r="F1084" s="506"/>
      <c r="G1084" s="507"/>
      <c r="H1084" s="508"/>
      <c r="I1084" s="509"/>
      <c r="J1084" s="510"/>
      <c r="K1084" s="510"/>
      <c r="R1084" s="67"/>
    </row>
    <row r="1085">
      <c r="A1085" s="503"/>
      <c r="B1085" s="493"/>
      <c r="C1085" s="315"/>
      <c r="D1085" s="504"/>
      <c r="E1085" s="505"/>
      <c r="F1085" s="506"/>
      <c r="G1085" s="507"/>
      <c r="H1085" s="508"/>
      <c r="I1085" s="509"/>
      <c r="J1085" s="510"/>
      <c r="K1085" s="510"/>
      <c r="R1085" s="67"/>
    </row>
    <row r="1086">
      <c r="A1086" s="503"/>
      <c r="B1086" s="493"/>
      <c r="C1086" s="315"/>
      <c r="D1086" s="504"/>
      <c r="E1086" s="505"/>
      <c r="F1086" s="506"/>
      <c r="G1086" s="507"/>
      <c r="H1086" s="508"/>
      <c r="I1086" s="509"/>
      <c r="J1086" s="510"/>
      <c r="K1086" s="510"/>
      <c r="R1086" s="67"/>
    </row>
    <row r="1087">
      <c r="A1087" s="503"/>
      <c r="B1087" s="493"/>
      <c r="C1087" s="315"/>
      <c r="D1087" s="504"/>
      <c r="E1087" s="505"/>
      <c r="F1087" s="506"/>
      <c r="G1087" s="507"/>
      <c r="H1087" s="508"/>
      <c r="I1087" s="509"/>
      <c r="J1087" s="510"/>
      <c r="K1087" s="510"/>
      <c r="R1087" s="67"/>
    </row>
    <row r="1088">
      <c r="A1088" s="503"/>
      <c r="B1088" s="493"/>
      <c r="C1088" s="315"/>
      <c r="D1088" s="504"/>
      <c r="E1088" s="505"/>
      <c r="F1088" s="506"/>
      <c r="G1088" s="507"/>
      <c r="H1088" s="508"/>
      <c r="I1088" s="509"/>
      <c r="J1088" s="510"/>
      <c r="K1088" s="510"/>
      <c r="R1088" s="67"/>
    </row>
    <row r="1089">
      <c r="A1089" s="503"/>
      <c r="B1089" s="493"/>
      <c r="C1089" s="315"/>
      <c r="D1089" s="504"/>
      <c r="E1089" s="505"/>
      <c r="F1089" s="506"/>
      <c r="G1089" s="507"/>
      <c r="H1089" s="508"/>
      <c r="I1089" s="509"/>
      <c r="J1089" s="510"/>
      <c r="K1089" s="510"/>
      <c r="R1089" s="67"/>
    </row>
    <row r="1090">
      <c r="A1090" s="503"/>
      <c r="B1090" s="493"/>
      <c r="C1090" s="315"/>
      <c r="D1090" s="504"/>
      <c r="E1090" s="505"/>
      <c r="F1090" s="506"/>
      <c r="G1090" s="507"/>
      <c r="H1090" s="508"/>
      <c r="I1090" s="509"/>
      <c r="J1090" s="510"/>
      <c r="K1090" s="510"/>
      <c r="R1090" s="67"/>
    </row>
    <row r="1091">
      <c r="A1091" s="503"/>
      <c r="B1091" s="493"/>
      <c r="C1091" s="315"/>
      <c r="D1091" s="504"/>
      <c r="E1091" s="505"/>
      <c r="F1091" s="506"/>
      <c r="G1091" s="507"/>
      <c r="H1091" s="508"/>
      <c r="I1091" s="509"/>
      <c r="J1091" s="510"/>
      <c r="K1091" s="510"/>
      <c r="R1091" s="67"/>
    </row>
    <row r="1092">
      <c r="A1092" s="503"/>
      <c r="B1092" s="493"/>
      <c r="C1092" s="315"/>
      <c r="D1092" s="504"/>
      <c r="E1092" s="505"/>
      <c r="F1092" s="506"/>
      <c r="G1092" s="507"/>
      <c r="H1092" s="508"/>
      <c r="I1092" s="509"/>
      <c r="J1092" s="510"/>
      <c r="K1092" s="510"/>
      <c r="R1092" s="67"/>
    </row>
    <row r="1093">
      <c r="A1093" s="503"/>
      <c r="B1093" s="493"/>
      <c r="C1093" s="315"/>
      <c r="D1093" s="504"/>
      <c r="E1093" s="505"/>
      <c r="F1093" s="506"/>
      <c r="G1093" s="507"/>
      <c r="H1093" s="508"/>
      <c r="I1093" s="509"/>
      <c r="J1093" s="510"/>
      <c r="K1093" s="510"/>
      <c r="R1093" s="67"/>
    </row>
    <row r="1094">
      <c r="A1094" s="503"/>
      <c r="B1094" s="493"/>
      <c r="C1094" s="315"/>
      <c r="D1094" s="504"/>
      <c r="E1094" s="505"/>
      <c r="F1094" s="506"/>
      <c r="G1094" s="507"/>
      <c r="H1094" s="508"/>
      <c r="I1094" s="509"/>
      <c r="J1094" s="510"/>
      <c r="K1094" s="510"/>
      <c r="R1094" s="67"/>
    </row>
    <row r="1095">
      <c r="A1095" s="503"/>
      <c r="B1095" s="493"/>
      <c r="C1095" s="315"/>
      <c r="D1095" s="504"/>
      <c r="E1095" s="505"/>
      <c r="F1095" s="506"/>
      <c r="G1095" s="507"/>
      <c r="H1095" s="508"/>
      <c r="I1095" s="509"/>
      <c r="J1095" s="510"/>
      <c r="K1095" s="510"/>
      <c r="R1095" s="67"/>
    </row>
    <row r="1096">
      <c r="A1096" s="503"/>
      <c r="B1096" s="493"/>
      <c r="C1096" s="315"/>
      <c r="D1096" s="504"/>
      <c r="E1096" s="505"/>
      <c r="F1096" s="506"/>
      <c r="G1096" s="507"/>
      <c r="H1096" s="508"/>
      <c r="I1096" s="509"/>
      <c r="J1096" s="510"/>
      <c r="K1096" s="510"/>
      <c r="R1096" s="67"/>
    </row>
    <row r="1097">
      <c r="A1097" s="503"/>
      <c r="B1097" s="493"/>
      <c r="C1097" s="315"/>
      <c r="D1097" s="504"/>
      <c r="E1097" s="505"/>
      <c r="F1097" s="506"/>
      <c r="G1097" s="507"/>
      <c r="H1097" s="508"/>
      <c r="I1097" s="509"/>
      <c r="J1097" s="510"/>
      <c r="K1097" s="510"/>
      <c r="R1097" s="67"/>
    </row>
    <row r="1098">
      <c r="A1098" s="503"/>
      <c r="B1098" s="493"/>
      <c r="C1098" s="315"/>
      <c r="D1098" s="504"/>
      <c r="E1098" s="505"/>
      <c r="F1098" s="506"/>
      <c r="G1098" s="507"/>
      <c r="H1098" s="508"/>
      <c r="I1098" s="509"/>
      <c r="J1098" s="510"/>
      <c r="K1098" s="510"/>
      <c r="R1098" s="67"/>
    </row>
    <row r="1099">
      <c r="A1099" s="503"/>
      <c r="B1099" s="493"/>
      <c r="C1099" s="315"/>
      <c r="D1099" s="504"/>
      <c r="E1099" s="505"/>
      <c r="F1099" s="506"/>
      <c r="G1099" s="507"/>
      <c r="H1099" s="508"/>
      <c r="I1099" s="509"/>
      <c r="J1099" s="510"/>
      <c r="K1099" s="510"/>
      <c r="R1099" s="67"/>
    </row>
    <row r="1100">
      <c r="A1100" s="503"/>
      <c r="B1100" s="493"/>
      <c r="C1100" s="315"/>
      <c r="D1100" s="504"/>
      <c r="E1100" s="505"/>
      <c r="F1100" s="506"/>
      <c r="G1100" s="507"/>
      <c r="H1100" s="508"/>
      <c r="I1100" s="509"/>
      <c r="J1100" s="510"/>
      <c r="K1100" s="510"/>
      <c r="R1100" s="67"/>
    </row>
    <row r="1101">
      <c r="A1101" s="503"/>
      <c r="B1101" s="493"/>
      <c r="C1101" s="315"/>
      <c r="D1101" s="504"/>
      <c r="E1101" s="505"/>
      <c r="F1101" s="506"/>
      <c r="G1101" s="507"/>
      <c r="H1101" s="508"/>
      <c r="I1101" s="509"/>
      <c r="J1101" s="510"/>
      <c r="K1101" s="510"/>
      <c r="R1101" s="67"/>
    </row>
    <row r="1102">
      <c r="A1102" s="503"/>
      <c r="B1102" s="493"/>
      <c r="C1102" s="315"/>
      <c r="D1102" s="504"/>
      <c r="E1102" s="505"/>
      <c r="F1102" s="506"/>
      <c r="G1102" s="507"/>
      <c r="H1102" s="508"/>
      <c r="I1102" s="509"/>
      <c r="J1102" s="510"/>
      <c r="K1102" s="510"/>
      <c r="R1102" s="67"/>
    </row>
    <row r="1103">
      <c r="A1103" s="503"/>
      <c r="B1103" s="493"/>
      <c r="C1103" s="315"/>
      <c r="D1103" s="504"/>
      <c r="E1103" s="505"/>
      <c r="F1103" s="506"/>
      <c r="G1103" s="507"/>
      <c r="H1103" s="508"/>
      <c r="I1103" s="509"/>
      <c r="J1103" s="510"/>
      <c r="K1103" s="510"/>
      <c r="R1103" s="67"/>
    </row>
    <row r="1104">
      <c r="A1104" s="503"/>
      <c r="B1104" s="493"/>
      <c r="C1104" s="315"/>
      <c r="D1104" s="504"/>
      <c r="E1104" s="505"/>
      <c r="F1104" s="506"/>
      <c r="G1104" s="507"/>
      <c r="H1104" s="508"/>
      <c r="I1104" s="509"/>
      <c r="J1104" s="510"/>
      <c r="K1104" s="510"/>
      <c r="R1104" s="67"/>
    </row>
    <row r="1105">
      <c r="A1105" s="503"/>
      <c r="B1105" s="493"/>
      <c r="C1105" s="315"/>
      <c r="D1105" s="504"/>
      <c r="E1105" s="505"/>
      <c r="F1105" s="506"/>
      <c r="G1105" s="507"/>
      <c r="H1105" s="508"/>
      <c r="I1105" s="509"/>
      <c r="J1105" s="510"/>
      <c r="K1105" s="510"/>
      <c r="R1105" s="67"/>
    </row>
    <row r="1106">
      <c r="A1106" s="503"/>
      <c r="B1106" s="493"/>
      <c r="C1106" s="315"/>
      <c r="D1106" s="504"/>
      <c r="E1106" s="505"/>
      <c r="F1106" s="506"/>
      <c r="G1106" s="507"/>
      <c r="H1106" s="508"/>
      <c r="I1106" s="509"/>
      <c r="J1106" s="510"/>
      <c r="K1106" s="510"/>
      <c r="R1106" s="67"/>
    </row>
    <row r="1107">
      <c r="A1107" s="503"/>
      <c r="B1107" s="493"/>
      <c r="C1107" s="315"/>
      <c r="D1107" s="504"/>
      <c r="E1107" s="505"/>
      <c r="F1107" s="506"/>
      <c r="G1107" s="507"/>
      <c r="H1107" s="508"/>
      <c r="I1107" s="509"/>
      <c r="J1107" s="510"/>
      <c r="K1107" s="510"/>
      <c r="R1107" s="67"/>
    </row>
    <row r="1108">
      <c r="A1108" s="503"/>
      <c r="B1108" s="493"/>
      <c r="C1108" s="315"/>
      <c r="D1108" s="504"/>
      <c r="E1108" s="505"/>
      <c r="F1108" s="506"/>
      <c r="G1108" s="507"/>
      <c r="H1108" s="508"/>
      <c r="I1108" s="509"/>
      <c r="J1108" s="510"/>
      <c r="K1108" s="510"/>
      <c r="R1108" s="67"/>
    </row>
    <row r="1109">
      <c r="A1109" s="503"/>
      <c r="B1109" s="493"/>
      <c r="C1109" s="315"/>
      <c r="D1109" s="504"/>
      <c r="E1109" s="505"/>
      <c r="F1109" s="506"/>
      <c r="G1109" s="507"/>
      <c r="H1109" s="508"/>
      <c r="I1109" s="509"/>
      <c r="J1109" s="510"/>
      <c r="K1109" s="510"/>
      <c r="R1109" s="67"/>
    </row>
    <row r="1110">
      <c r="A1110" s="503"/>
      <c r="B1110" s="493"/>
      <c r="C1110" s="315"/>
      <c r="D1110" s="504"/>
      <c r="E1110" s="505"/>
      <c r="F1110" s="506"/>
      <c r="G1110" s="507"/>
      <c r="H1110" s="508"/>
      <c r="I1110" s="509"/>
      <c r="J1110" s="510"/>
      <c r="K1110" s="510"/>
      <c r="R1110" s="67"/>
    </row>
    <row r="1111">
      <c r="A1111" s="503"/>
      <c r="B1111" s="493"/>
      <c r="C1111" s="315"/>
      <c r="D1111" s="504"/>
      <c r="E1111" s="505"/>
      <c r="F1111" s="506"/>
      <c r="G1111" s="507"/>
      <c r="H1111" s="508"/>
      <c r="I1111" s="509"/>
      <c r="J1111" s="510"/>
      <c r="K1111" s="510"/>
      <c r="R1111" s="67"/>
    </row>
    <row r="1112">
      <c r="A1112" s="503"/>
      <c r="B1112" s="493"/>
      <c r="C1112" s="315"/>
      <c r="D1112" s="504"/>
      <c r="E1112" s="505"/>
      <c r="F1112" s="506"/>
      <c r="G1112" s="507"/>
      <c r="H1112" s="508"/>
      <c r="I1112" s="509"/>
      <c r="J1112" s="510"/>
      <c r="K1112" s="510"/>
      <c r="R1112" s="67"/>
    </row>
    <row r="1113">
      <c r="A1113" s="503"/>
      <c r="B1113" s="493"/>
      <c r="C1113" s="315"/>
      <c r="D1113" s="504"/>
      <c r="E1113" s="505"/>
      <c r="F1113" s="506"/>
      <c r="G1113" s="507"/>
      <c r="H1113" s="508"/>
      <c r="I1113" s="509"/>
      <c r="J1113" s="510"/>
      <c r="K1113" s="510"/>
      <c r="R1113" s="67"/>
    </row>
    <row r="1114">
      <c r="A1114" s="503"/>
      <c r="B1114" s="493"/>
      <c r="C1114" s="315"/>
      <c r="D1114" s="504"/>
      <c r="E1114" s="505"/>
      <c r="F1114" s="506"/>
      <c r="G1114" s="507"/>
      <c r="H1114" s="508"/>
      <c r="I1114" s="509"/>
      <c r="J1114" s="510"/>
      <c r="K1114" s="510"/>
      <c r="R1114" s="67"/>
    </row>
    <row r="1115">
      <c r="A1115" s="503"/>
      <c r="B1115" s="493"/>
      <c r="C1115" s="315"/>
      <c r="D1115" s="504"/>
      <c r="E1115" s="505"/>
      <c r="F1115" s="506"/>
      <c r="G1115" s="507"/>
      <c r="H1115" s="508"/>
      <c r="I1115" s="509"/>
      <c r="J1115" s="510"/>
      <c r="K1115" s="510"/>
      <c r="R1115" s="67"/>
    </row>
    <row r="1116">
      <c r="A1116" s="503"/>
      <c r="B1116" s="493"/>
      <c r="C1116" s="315"/>
      <c r="D1116" s="504"/>
      <c r="E1116" s="505"/>
      <c r="F1116" s="506"/>
      <c r="G1116" s="507"/>
      <c r="H1116" s="508"/>
      <c r="I1116" s="509"/>
      <c r="J1116" s="510"/>
      <c r="K1116" s="510"/>
      <c r="R1116" s="67"/>
    </row>
    <row r="1117">
      <c r="A1117" s="503"/>
      <c r="B1117" s="493"/>
      <c r="C1117" s="315"/>
      <c r="D1117" s="504"/>
      <c r="E1117" s="505"/>
      <c r="F1117" s="506"/>
      <c r="G1117" s="507"/>
      <c r="H1117" s="508"/>
      <c r="I1117" s="509"/>
      <c r="J1117" s="510"/>
      <c r="K1117" s="510"/>
      <c r="R1117" s="67"/>
    </row>
    <row r="1118">
      <c r="A1118" s="503"/>
      <c r="B1118" s="493"/>
      <c r="C1118" s="315"/>
      <c r="D1118" s="504"/>
      <c r="E1118" s="505"/>
      <c r="F1118" s="506"/>
      <c r="G1118" s="507"/>
      <c r="H1118" s="508"/>
      <c r="I1118" s="509"/>
      <c r="J1118" s="510"/>
      <c r="K1118" s="510"/>
      <c r="R1118" s="67"/>
    </row>
    <row r="1119">
      <c r="A1119" s="503"/>
      <c r="B1119" s="493"/>
      <c r="C1119" s="315"/>
      <c r="D1119" s="504"/>
      <c r="E1119" s="505"/>
      <c r="F1119" s="506"/>
      <c r="G1119" s="507"/>
      <c r="H1119" s="508"/>
      <c r="I1119" s="509"/>
      <c r="J1119" s="510"/>
      <c r="K1119" s="510"/>
      <c r="R1119" s="67"/>
    </row>
    <row r="1120">
      <c r="A1120" s="503"/>
      <c r="B1120" s="493"/>
      <c r="C1120" s="315"/>
      <c r="D1120" s="504"/>
      <c r="E1120" s="505"/>
      <c r="F1120" s="506"/>
      <c r="G1120" s="507"/>
      <c r="H1120" s="508"/>
      <c r="I1120" s="509"/>
      <c r="J1120" s="510"/>
      <c r="K1120" s="510"/>
      <c r="R1120" s="67"/>
    </row>
    <row r="1121">
      <c r="A1121" s="503"/>
      <c r="B1121" s="493"/>
      <c r="C1121" s="315"/>
      <c r="D1121" s="504"/>
      <c r="E1121" s="505"/>
      <c r="F1121" s="506"/>
      <c r="G1121" s="507"/>
      <c r="H1121" s="508"/>
      <c r="I1121" s="509"/>
      <c r="J1121" s="510"/>
      <c r="K1121" s="510"/>
      <c r="R1121" s="67"/>
    </row>
    <row r="1122">
      <c r="A1122" s="503"/>
      <c r="B1122" s="493"/>
      <c r="C1122" s="315"/>
      <c r="D1122" s="504"/>
      <c r="E1122" s="505"/>
      <c r="F1122" s="506"/>
      <c r="G1122" s="507"/>
      <c r="H1122" s="508"/>
      <c r="I1122" s="509"/>
      <c r="J1122" s="510"/>
      <c r="K1122" s="510"/>
      <c r="R1122" s="67"/>
    </row>
    <row r="1123">
      <c r="A1123" s="503"/>
      <c r="B1123" s="493"/>
      <c r="C1123" s="315"/>
      <c r="D1123" s="504"/>
      <c r="E1123" s="505"/>
      <c r="F1123" s="506"/>
      <c r="G1123" s="507"/>
      <c r="H1123" s="508"/>
      <c r="I1123" s="509"/>
      <c r="J1123" s="510"/>
      <c r="K1123" s="510"/>
      <c r="R1123" s="67"/>
    </row>
    <row r="1124">
      <c r="A1124" s="503"/>
      <c r="B1124" s="493"/>
      <c r="C1124" s="315"/>
      <c r="D1124" s="504"/>
      <c r="E1124" s="505"/>
      <c r="F1124" s="506"/>
      <c r="G1124" s="507"/>
      <c r="H1124" s="508"/>
      <c r="I1124" s="509"/>
      <c r="J1124" s="510"/>
      <c r="K1124" s="510"/>
      <c r="R1124" s="67"/>
    </row>
    <row r="1125">
      <c r="A1125" s="503"/>
      <c r="B1125" s="493"/>
      <c r="C1125" s="315"/>
      <c r="D1125" s="504"/>
      <c r="E1125" s="505"/>
      <c r="F1125" s="506"/>
      <c r="G1125" s="507"/>
      <c r="H1125" s="508"/>
      <c r="I1125" s="509"/>
      <c r="J1125" s="510"/>
      <c r="K1125" s="510"/>
      <c r="R1125" s="67"/>
    </row>
    <row r="1126">
      <c r="A1126" s="503"/>
      <c r="B1126" s="493"/>
      <c r="C1126" s="315"/>
      <c r="D1126" s="504"/>
      <c r="E1126" s="505"/>
      <c r="F1126" s="506"/>
      <c r="G1126" s="507"/>
      <c r="H1126" s="508"/>
      <c r="I1126" s="509"/>
      <c r="J1126" s="510"/>
      <c r="K1126" s="510"/>
      <c r="R1126" s="67"/>
    </row>
    <row r="1127">
      <c r="A1127" s="503"/>
      <c r="B1127" s="493"/>
      <c r="C1127" s="315"/>
      <c r="D1127" s="504"/>
      <c r="E1127" s="505"/>
      <c r="F1127" s="506"/>
      <c r="G1127" s="507"/>
      <c r="H1127" s="508"/>
      <c r="I1127" s="509"/>
      <c r="J1127" s="510"/>
      <c r="K1127" s="510"/>
      <c r="R1127" s="67"/>
    </row>
    <row r="1128">
      <c r="A1128" s="503"/>
      <c r="B1128" s="493"/>
      <c r="C1128" s="315"/>
      <c r="D1128" s="504"/>
      <c r="E1128" s="505"/>
      <c r="F1128" s="506"/>
      <c r="G1128" s="507"/>
      <c r="H1128" s="508"/>
      <c r="I1128" s="509"/>
      <c r="J1128" s="510"/>
      <c r="K1128" s="510"/>
      <c r="R1128" s="67"/>
    </row>
    <row r="1129">
      <c r="A1129" s="503"/>
      <c r="B1129" s="493"/>
      <c r="C1129" s="315"/>
      <c r="D1129" s="504"/>
      <c r="E1129" s="505"/>
      <c r="F1129" s="506"/>
      <c r="G1129" s="507"/>
      <c r="H1129" s="508"/>
      <c r="I1129" s="509"/>
      <c r="J1129" s="510"/>
      <c r="K1129" s="510"/>
      <c r="R1129" s="67"/>
    </row>
    <row r="1130">
      <c r="A1130" s="503"/>
      <c r="B1130" s="493"/>
      <c r="C1130" s="315"/>
      <c r="D1130" s="504"/>
      <c r="E1130" s="505"/>
      <c r="F1130" s="506"/>
      <c r="G1130" s="507"/>
      <c r="H1130" s="508"/>
      <c r="I1130" s="509"/>
      <c r="J1130" s="510"/>
      <c r="K1130" s="510"/>
      <c r="R1130" s="67"/>
    </row>
    <row r="1131">
      <c r="A1131" s="503"/>
      <c r="B1131" s="493"/>
      <c r="C1131" s="315"/>
      <c r="D1131" s="504"/>
      <c r="E1131" s="505"/>
      <c r="F1131" s="506"/>
      <c r="G1131" s="507"/>
      <c r="H1131" s="508"/>
      <c r="I1131" s="509"/>
      <c r="J1131" s="510"/>
      <c r="K1131" s="510"/>
      <c r="R1131" s="67"/>
    </row>
    <row r="1132">
      <c r="A1132" s="503"/>
      <c r="B1132" s="493"/>
      <c r="C1132" s="315"/>
      <c r="D1132" s="504"/>
      <c r="E1132" s="505"/>
      <c r="F1132" s="506"/>
      <c r="G1132" s="507"/>
      <c r="H1132" s="508"/>
      <c r="I1132" s="509"/>
      <c r="J1132" s="510"/>
      <c r="K1132" s="510"/>
      <c r="R1132" s="67"/>
    </row>
    <row r="1133">
      <c r="A1133" s="503"/>
      <c r="B1133" s="493"/>
      <c r="C1133" s="315"/>
      <c r="D1133" s="504"/>
      <c r="E1133" s="505"/>
      <c r="F1133" s="506"/>
      <c r="G1133" s="507"/>
      <c r="H1133" s="508"/>
      <c r="I1133" s="509"/>
      <c r="J1133" s="510"/>
      <c r="K1133" s="510"/>
      <c r="R1133" s="67"/>
    </row>
    <row r="1134">
      <c r="A1134" s="503"/>
      <c r="B1134" s="493"/>
      <c r="C1134" s="315"/>
      <c r="D1134" s="504"/>
      <c r="E1134" s="505"/>
      <c r="F1134" s="506"/>
      <c r="G1134" s="507"/>
      <c r="H1134" s="508"/>
      <c r="I1134" s="509"/>
      <c r="J1134" s="510"/>
      <c r="K1134" s="510"/>
      <c r="R1134" s="67"/>
    </row>
    <row r="1135">
      <c r="A1135" s="503"/>
      <c r="B1135" s="493"/>
      <c r="C1135" s="315"/>
      <c r="D1135" s="504"/>
      <c r="E1135" s="505"/>
      <c r="F1135" s="506"/>
      <c r="G1135" s="507"/>
      <c r="H1135" s="508"/>
      <c r="I1135" s="509"/>
      <c r="J1135" s="510"/>
      <c r="K1135" s="510"/>
      <c r="R1135" s="67"/>
    </row>
    <row r="1136">
      <c r="A1136" s="503"/>
      <c r="B1136" s="493"/>
      <c r="C1136" s="315"/>
      <c r="D1136" s="504"/>
      <c r="E1136" s="505"/>
      <c r="F1136" s="506"/>
      <c r="G1136" s="507"/>
      <c r="H1136" s="508"/>
      <c r="I1136" s="509"/>
      <c r="J1136" s="510"/>
      <c r="K1136" s="510"/>
      <c r="R1136" s="67"/>
    </row>
    <row r="1137">
      <c r="A1137" s="503"/>
      <c r="B1137" s="493"/>
      <c r="C1137" s="315"/>
      <c r="D1137" s="504"/>
      <c r="E1137" s="505"/>
      <c r="F1137" s="506"/>
      <c r="G1137" s="507"/>
      <c r="H1137" s="508"/>
      <c r="I1137" s="509"/>
      <c r="J1137" s="510"/>
      <c r="K1137" s="510"/>
      <c r="R1137" s="67"/>
    </row>
    <row r="1138">
      <c r="A1138" s="503"/>
      <c r="B1138" s="493"/>
      <c r="C1138" s="315"/>
      <c r="D1138" s="504"/>
      <c r="E1138" s="505"/>
      <c r="F1138" s="506"/>
      <c r="G1138" s="507"/>
      <c r="H1138" s="508"/>
      <c r="I1138" s="509"/>
      <c r="J1138" s="510"/>
      <c r="K1138" s="510"/>
      <c r="R1138" s="67"/>
    </row>
    <row r="1139">
      <c r="A1139" s="503"/>
      <c r="B1139" s="493"/>
      <c r="C1139" s="315"/>
      <c r="D1139" s="504"/>
      <c r="E1139" s="505"/>
      <c r="F1139" s="506"/>
      <c r="G1139" s="507"/>
      <c r="H1139" s="508"/>
      <c r="I1139" s="509"/>
      <c r="J1139" s="510"/>
      <c r="K1139" s="510"/>
      <c r="R1139" s="67"/>
    </row>
    <row r="1140">
      <c r="A1140" s="503"/>
      <c r="B1140" s="493"/>
      <c r="C1140" s="315"/>
      <c r="D1140" s="504"/>
      <c r="E1140" s="505"/>
      <c r="F1140" s="506"/>
      <c r="G1140" s="507"/>
      <c r="H1140" s="508"/>
      <c r="I1140" s="509"/>
      <c r="J1140" s="510"/>
      <c r="K1140" s="510"/>
      <c r="R1140" s="67"/>
    </row>
    <row r="1141">
      <c r="A1141" s="503"/>
      <c r="B1141" s="493"/>
      <c r="C1141" s="315"/>
      <c r="D1141" s="504"/>
      <c r="E1141" s="505"/>
      <c r="F1141" s="506"/>
      <c r="G1141" s="507"/>
      <c r="H1141" s="508"/>
      <c r="I1141" s="509"/>
      <c r="J1141" s="510"/>
      <c r="K1141" s="510"/>
      <c r="R1141" s="67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46.5"/>
    <col customWidth="1" min="3" max="5" width="20.25"/>
    <col customWidth="1" min="6" max="6" width="19.75"/>
    <col customWidth="1" min="7" max="7" width="19.25"/>
    <col customWidth="1" min="8" max="8" width="23.25"/>
    <col customWidth="1" min="9" max="9" width="27.5"/>
  </cols>
  <sheetData>
    <row r="1" ht="37.5" customHeight="1">
      <c r="A1" s="612"/>
      <c r="B1" s="613" t="s">
        <v>4173</v>
      </c>
      <c r="C1" s="613" t="s">
        <v>4174</v>
      </c>
      <c r="D1" s="613" t="s">
        <v>4175</v>
      </c>
      <c r="E1" s="613" t="s">
        <v>4176</v>
      </c>
      <c r="F1" s="613" t="s">
        <v>4177</v>
      </c>
      <c r="G1" s="614" t="s">
        <v>4178</v>
      </c>
      <c r="H1" s="613" t="s">
        <v>4179</v>
      </c>
    </row>
    <row r="2">
      <c r="A2" s="615" t="s">
        <v>4180</v>
      </c>
      <c r="B2" s="616" t="s">
        <v>276</v>
      </c>
      <c r="C2" s="617">
        <v>6.0</v>
      </c>
      <c r="D2" s="617">
        <v>3.0</v>
      </c>
      <c r="E2" s="618">
        <v>237.0</v>
      </c>
      <c r="F2" s="619">
        <f t="shared" ref="F2:F4" si="1">E2/$K$2</f>
        <v>0.1928397071</v>
      </c>
      <c r="G2" s="620">
        <f t="shared" ref="G2:G4" si="2">F2*144</f>
        <v>27.76891782</v>
      </c>
      <c r="H2" s="621">
        <f t="shared" ref="H2:H4" si="3">F2*36</f>
        <v>6.942229455</v>
      </c>
      <c r="I2" s="622" t="s">
        <v>4181</v>
      </c>
      <c r="J2" s="623" t="s">
        <v>4180</v>
      </c>
      <c r="K2" s="624">
        <f>E2+E3+E4+E6+E8+E13+E14+E15+E16+E21+E25+E27</f>
        <v>1229</v>
      </c>
    </row>
    <row r="3">
      <c r="A3" s="615" t="s">
        <v>4180</v>
      </c>
      <c r="B3" s="616" t="s">
        <v>220</v>
      </c>
      <c r="C3" s="617">
        <v>8.0</v>
      </c>
      <c r="D3" s="617">
        <v>4.0</v>
      </c>
      <c r="E3" s="618">
        <v>164.0</v>
      </c>
      <c r="F3" s="619">
        <f t="shared" si="1"/>
        <v>0.1334418226</v>
      </c>
      <c r="G3" s="620">
        <f t="shared" si="2"/>
        <v>19.21562246</v>
      </c>
      <c r="H3" s="621">
        <f t="shared" si="3"/>
        <v>4.803905614</v>
      </c>
      <c r="J3" s="623" t="s">
        <v>4182</v>
      </c>
      <c r="K3" s="624">
        <f>E5+E7+E9+E10+E11+E12+E17+E18+E19+E20+E22+E23+E24+E26+E28+E29+E30+E31</f>
        <v>1096</v>
      </c>
    </row>
    <row r="4">
      <c r="A4" s="615" t="s">
        <v>4180</v>
      </c>
      <c r="B4" s="616" t="s">
        <v>1321</v>
      </c>
      <c r="C4" s="617">
        <v>9.0</v>
      </c>
      <c r="D4" s="617">
        <v>4.0</v>
      </c>
      <c r="E4" s="618">
        <v>159.0</v>
      </c>
      <c r="F4" s="619">
        <f t="shared" si="1"/>
        <v>0.1293734744</v>
      </c>
      <c r="G4" s="620">
        <f t="shared" si="2"/>
        <v>18.62978031</v>
      </c>
      <c r="H4" s="621">
        <f t="shared" si="3"/>
        <v>4.657445077</v>
      </c>
    </row>
    <row r="5">
      <c r="A5" s="625" t="s">
        <v>4182</v>
      </c>
      <c r="B5" s="616" t="s">
        <v>975</v>
      </c>
      <c r="C5" s="617">
        <v>6.0</v>
      </c>
      <c r="D5" s="617"/>
      <c r="E5" s="618">
        <v>134.0</v>
      </c>
      <c r="F5" s="619">
        <f>E5/$K$3</f>
        <v>0.1222627737</v>
      </c>
      <c r="G5" s="620">
        <f>F5*96</f>
        <v>11.73722628</v>
      </c>
      <c r="H5" s="621">
        <f>F5*24</f>
        <v>2.934306569</v>
      </c>
      <c r="I5" s="622" t="s">
        <v>4183</v>
      </c>
      <c r="J5" s="623" t="s">
        <v>4180</v>
      </c>
      <c r="K5" s="623">
        <v>144.0</v>
      </c>
    </row>
    <row r="6">
      <c r="A6" s="615" t="s">
        <v>4180</v>
      </c>
      <c r="B6" s="626" t="s">
        <v>399</v>
      </c>
      <c r="C6" s="617">
        <v>6.0</v>
      </c>
      <c r="D6" s="617">
        <v>3.0</v>
      </c>
      <c r="E6" s="618">
        <v>126.0</v>
      </c>
      <c r="F6" s="619">
        <f>E6/$K$2</f>
        <v>0.1025223759</v>
      </c>
      <c r="G6" s="620">
        <f>F6*144</f>
        <v>14.76322213</v>
      </c>
      <c r="H6" s="621">
        <f>F6*36</f>
        <v>3.690805533</v>
      </c>
      <c r="J6" s="623" t="s">
        <v>4182</v>
      </c>
      <c r="K6" s="623">
        <v>96.0</v>
      </c>
    </row>
    <row r="7">
      <c r="A7" s="625" t="s">
        <v>4182</v>
      </c>
      <c r="B7" s="616" t="s">
        <v>4184</v>
      </c>
      <c r="C7" s="617">
        <v>7.0</v>
      </c>
      <c r="D7" s="617"/>
      <c r="E7" s="618">
        <v>117.0</v>
      </c>
      <c r="F7" s="619">
        <f>E7/$K$3</f>
        <v>0.1067518248</v>
      </c>
      <c r="G7" s="620">
        <f>F7*96</f>
        <v>10.24817518</v>
      </c>
      <c r="H7" s="621">
        <f>F7*24</f>
        <v>2.562043796</v>
      </c>
    </row>
    <row r="8">
      <c r="A8" s="615" t="s">
        <v>4180</v>
      </c>
      <c r="B8" s="626" t="s">
        <v>929</v>
      </c>
      <c r="C8" s="617">
        <v>9.0</v>
      </c>
      <c r="D8" s="617">
        <v>4.0</v>
      </c>
      <c r="E8" s="618">
        <v>105.0</v>
      </c>
      <c r="F8" s="619">
        <f>E8/$K$2</f>
        <v>0.08543531326</v>
      </c>
      <c r="G8" s="620">
        <f>F8*144</f>
        <v>12.30268511</v>
      </c>
      <c r="H8" s="621">
        <f>F8*36</f>
        <v>3.075671277</v>
      </c>
    </row>
    <row r="9">
      <c r="A9" s="625" t="s">
        <v>4182</v>
      </c>
      <c r="B9" s="626" t="s">
        <v>1623</v>
      </c>
      <c r="C9" s="617">
        <v>5.0</v>
      </c>
      <c r="D9" s="617"/>
      <c r="E9" s="618">
        <v>94.0</v>
      </c>
      <c r="F9" s="619">
        <f t="shared" ref="F9:F12" si="4">E9/$K$3</f>
        <v>0.08576642336</v>
      </c>
      <c r="G9" s="620">
        <f t="shared" ref="G9:G12" si="5">F9*96</f>
        <v>8.233576642</v>
      </c>
      <c r="H9" s="621">
        <f t="shared" ref="H9:H12" si="6">F9*24</f>
        <v>2.058394161</v>
      </c>
    </row>
    <row r="10">
      <c r="A10" s="625" t="s">
        <v>4182</v>
      </c>
      <c r="B10" s="626" t="s">
        <v>4185</v>
      </c>
      <c r="C10" s="617">
        <v>4.0</v>
      </c>
      <c r="D10" s="617"/>
      <c r="E10" s="618">
        <v>88.0</v>
      </c>
      <c r="F10" s="619">
        <f t="shared" si="4"/>
        <v>0.0802919708</v>
      </c>
      <c r="G10" s="620">
        <f t="shared" si="5"/>
        <v>7.708029197</v>
      </c>
      <c r="H10" s="621">
        <f t="shared" si="6"/>
        <v>1.927007299</v>
      </c>
    </row>
    <row r="11">
      <c r="A11" s="625" t="s">
        <v>4182</v>
      </c>
      <c r="B11" s="616" t="s">
        <v>341</v>
      </c>
      <c r="C11" s="617">
        <v>6.0</v>
      </c>
      <c r="D11" s="617"/>
      <c r="E11" s="618">
        <v>85.0</v>
      </c>
      <c r="F11" s="619">
        <f t="shared" si="4"/>
        <v>0.07755474453</v>
      </c>
      <c r="G11" s="620">
        <f t="shared" si="5"/>
        <v>7.445255474</v>
      </c>
      <c r="H11" s="621">
        <f t="shared" si="6"/>
        <v>1.861313869</v>
      </c>
    </row>
    <row r="12">
      <c r="A12" s="625" t="s">
        <v>4182</v>
      </c>
      <c r="B12" s="616" t="s">
        <v>1614</v>
      </c>
      <c r="C12" s="617">
        <v>7.0</v>
      </c>
      <c r="D12" s="617"/>
      <c r="E12" s="618">
        <v>83.0</v>
      </c>
      <c r="F12" s="619">
        <f t="shared" si="4"/>
        <v>0.07572992701</v>
      </c>
      <c r="G12" s="620">
        <f t="shared" si="5"/>
        <v>7.270072993</v>
      </c>
      <c r="H12" s="621">
        <f t="shared" si="6"/>
        <v>1.817518248</v>
      </c>
    </row>
    <row r="13">
      <c r="A13" s="615" t="s">
        <v>4180</v>
      </c>
      <c r="B13" s="626" t="s">
        <v>295</v>
      </c>
      <c r="C13" s="617">
        <v>7.0</v>
      </c>
      <c r="D13" s="617">
        <v>3.0</v>
      </c>
      <c r="E13" s="618">
        <v>82.0</v>
      </c>
      <c r="F13" s="619">
        <f t="shared" ref="F13:F16" si="7">E13/$K$2</f>
        <v>0.06672091131</v>
      </c>
      <c r="G13" s="620">
        <f t="shared" ref="G13:G16" si="8">F13*144</f>
        <v>9.607811229</v>
      </c>
      <c r="H13" s="621">
        <f t="shared" ref="H13:H16" si="9">F13*36</f>
        <v>2.401952807</v>
      </c>
    </row>
    <row r="14">
      <c r="A14" s="615" t="s">
        <v>4180</v>
      </c>
      <c r="B14" s="616" t="s">
        <v>281</v>
      </c>
      <c r="C14" s="617">
        <v>5.0</v>
      </c>
      <c r="D14" s="617">
        <v>3.0</v>
      </c>
      <c r="E14" s="618">
        <v>81.0</v>
      </c>
      <c r="F14" s="619">
        <f t="shared" si="7"/>
        <v>0.06590724166</v>
      </c>
      <c r="G14" s="620">
        <f t="shared" si="8"/>
        <v>9.490642799</v>
      </c>
      <c r="H14" s="621">
        <f t="shared" si="9"/>
        <v>2.3726607</v>
      </c>
    </row>
    <row r="15">
      <c r="A15" s="615" t="s">
        <v>4180</v>
      </c>
      <c r="B15" s="626" t="s">
        <v>623</v>
      </c>
      <c r="C15" s="617">
        <v>6.0</v>
      </c>
      <c r="D15" s="617">
        <v>3.0</v>
      </c>
      <c r="E15" s="618">
        <v>79.0</v>
      </c>
      <c r="F15" s="619">
        <f t="shared" si="7"/>
        <v>0.06427990236</v>
      </c>
      <c r="G15" s="620">
        <f t="shared" si="8"/>
        <v>9.25630594</v>
      </c>
      <c r="H15" s="621">
        <f t="shared" si="9"/>
        <v>2.314076485</v>
      </c>
    </row>
    <row r="16">
      <c r="A16" s="615" t="s">
        <v>4180</v>
      </c>
      <c r="B16" s="626" t="s">
        <v>1393</v>
      </c>
      <c r="C16" s="617">
        <v>6.0</v>
      </c>
      <c r="D16" s="617">
        <v>3.0</v>
      </c>
      <c r="E16" s="618">
        <v>76.0</v>
      </c>
      <c r="F16" s="619">
        <f t="shared" si="7"/>
        <v>0.06183889341</v>
      </c>
      <c r="G16" s="620">
        <f t="shared" si="8"/>
        <v>8.904800651</v>
      </c>
      <c r="H16" s="621">
        <f t="shared" si="9"/>
        <v>2.226200163</v>
      </c>
    </row>
    <row r="17">
      <c r="A17" s="625" t="s">
        <v>4182</v>
      </c>
      <c r="B17" s="626" t="s">
        <v>193</v>
      </c>
      <c r="C17" s="617">
        <v>4.0</v>
      </c>
      <c r="D17" s="617"/>
      <c r="E17" s="618">
        <v>74.0</v>
      </c>
      <c r="F17" s="619">
        <f t="shared" ref="F17:F20" si="10">E17/$K$3</f>
        <v>0.06751824818</v>
      </c>
      <c r="G17" s="620">
        <f t="shared" ref="G17:G20" si="11">F17*96</f>
        <v>6.481751825</v>
      </c>
      <c r="H17" s="621">
        <f t="shared" ref="H17:H20" si="12">F17*24</f>
        <v>1.620437956</v>
      </c>
    </row>
    <row r="18">
      <c r="A18" s="625" t="s">
        <v>4182</v>
      </c>
      <c r="B18" s="616" t="s">
        <v>443</v>
      </c>
      <c r="C18" s="617">
        <v>5.0</v>
      </c>
      <c r="D18" s="617"/>
      <c r="E18" s="618">
        <v>63.0</v>
      </c>
      <c r="F18" s="619">
        <f t="shared" si="10"/>
        <v>0.05748175182</v>
      </c>
      <c r="G18" s="620">
        <f t="shared" si="11"/>
        <v>5.518248175</v>
      </c>
      <c r="H18" s="621">
        <f t="shared" si="12"/>
        <v>1.379562044</v>
      </c>
    </row>
    <row r="19">
      <c r="A19" s="625" t="s">
        <v>4182</v>
      </c>
      <c r="B19" s="626" t="s">
        <v>588</v>
      </c>
      <c r="C19" s="617">
        <v>5.0</v>
      </c>
      <c r="D19" s="617"/>
      <c r="E19" s="618">
        <v>62.0</v>
      </c>
      <c r="F19" s="619">
        <f t="shared" si="10"/>
        <v>0.05656934307</v>
      </c>
      <c r="G19" s="620">
        <f t="shared" si="11"/>
        <v>5.430656934</v>
      </c>
      <c r="H19" s="621">
        <f t="shared" si="12"/>
        <v>1.357664234</v>
      </c>
    </row>
    <row r="20">
      <c r="A20" s="625" t="s">
        <v>4182</v>
      </c>
      <c r="B20" s="626" t="s">
        <v>274</v>
      </c>
      <c r="C20" s="617">
        <v>7.0</v>
      </c>
      <c r="D20" s="617"/>
      <c r="E20" s="618">
        <v>52.0</v>
      </c>
      <c r="F20" s="619">
        <f t="shared" si="10"/>
        <v>0.04744525547</v>
      </c>
      <c r="G20" s="620">
        <f t="shared" si="11"/>
        <v>4.554744526</v>
      </c>
      <c r="H20" s="621">
        <f t="shared" si="12"/>
        <v>1.138686131</v>
      </c>
    </row>
    <row r="21">
      <c r="A21" s="615" t="s">
        <v>4180</v>
      </c>
      <c r="B21" s="626" t="s">
        <v>527</v>
      </c>
      <c r="C21" s="617">
        <v>4.0</v>
      </c>
      <c r="D21" s="617">
        <v>2.0</v>
      </c>
      <c r="E21" s="618">
        <v>47.0</v>
      </c>
      <c r="F21" s="619">
        <f>E21/$K$2</f>
        <v>0.03824247356</v>
      </c>
      <c r="G21" s="620">
        <f>F21*144</f>
        <v>5.506916192</v>
      </c>
      <c r="H21" s="621">
        <f>F21*36</f>
        <v>1.376729048</v>
      </c>
    </row>
    <row r="22">
      <c r="A22" s="625" t="s">
        <v>4182</v>
      </c>
      <c r="B22" s="626" t="s">
        <v>259</v>
      </c>
      <c r="C22" s="617">
        <v>4.0</v>
      </c>
      <c r="D22" s="617"/>
      <c r="E22" s="618">
        <v>43.0</v>
      </c>
      <c r="F22" s="619">
        <f t="shared" ref="F22:F24" si="13">E22/$K$3</f>
        <v>0.03923357664</v>
      </c>
      <c r="G22" s="620">
        <f t="shared" ref="G22:G24" si="14">F22*96</f>
        <v>3.766423358</v>
      </c>
      <c r="H22" s="621">
        <f t="shared" ref="H22:H24" si="15">F22*24</f>
        <v>0.9416058394</v>
      </c>
    </row>
    <row r="23">
      <c r="A23" s="625" t="s">
        <v>4182</v>
      </c>
      <c r="B23" s="626" t="s">
        <v>324</v>
      </c>
      <c r="C23" s="617">
        <v>6.0</v>
      </c>
      <c r="D23" s="617"/>
      <c r="E23" s="618">
        <v>41.0</v>
      </c>
      <c r="F23" s="619">
        <f t="shared" si="13"/>
        <v>0.03740875912</v>
      </c>
      <c r="G23" s="620">
        <f t="shared" si="14"/>
        <v>3.591240876</v>
      </c>
      <c r="H23" s="621">
        <f t="shared" si="15"/>
        <v>0.897810219</v>
      </c>
    </row>
    <row r="24">
      <c r="A24" s="625" t="s">
        <v>4182</v>
      </c>
      <c r="B24" s="626" t="s">
        <v>856</v>
      </c>
      <c r="C24" s="617">
        <v>4.0</v>
      </c>
      <c r="D24" s="617"/>
      <c r="E24" s="618">
        <v>39.0</v>
      </c>
      <c r="F24" s="619">
        <f t="shared" si="13"/>
        <v>0.03558394161</v>
      </c>
      <c r="G24" s="620">
        <f t="shared" si="14"/>
        <v>3.416058394</v>
      </c>
      <c r="H24" s="621">
        <f t="shared" si="15"/>
        <v>0.8540145985</v>
      </c>
    </row>
    <row r="25">
      <c r="A25" s="615" t="s">
        <v>4180</v>
      </c>
      <c r="B25" s="616" t="s">
        <v>264</v>
      </c>
      <c r="C25" s="617">
        <v>8.0</v>
      </c>
      <c r="D25" s="617">
        <v>4.0</v>
      </c>
      <c r="E25" s="618">
        <v>38.0</v>
      </c>
      <c r="F25" s="619">
        <f>E25/$K$2</f>
        <v>0.0309194467</v>
      </c>
      <c r="G25" s="620">
        <f>F25*144</f>
        <v>4.452400325</v>
      </c>
      <c r="H25" s="621">
        <f>F25*36</f>
        <v>1.113100081</v>
      </c>
    </row>
    <row r="26">
      <c r="A26" s="625" t="s">
        <v>4182</v>
      </c>
      <c r="B26" s="626" t="s">
        <v>493</v>
      </c>
      <c r="C26" s="617">
        <v>7.0</v>
      </c>
      <c r="D26" s="617"/>
      <c r="E26" s="618">
        <v>37.0</v>
      </c>
      <c r="F26" s="619">
        <f>E26/$K$3</f>
        <v>0.03375912409</v>
      </c>
      <c r="G26" s="620">
        <f>F26*96</f>
        <v>3.240875912</v>
      </c>
      <c r="H26" s="621">
        <f>F26*24</f>
        <v>0.8102189781</v>
      </c>
    </row>
    <row r="27">
      <c r="A27" s="615" t="s">
        <v>4180</v>
      </c>
      <c r="B27" s="626" t="s">
        <v>668</v>
      </c>
      <c r="C27" s="617">
        <v>7.0</v>
      </c>
      <c r="D27" s="617">
        <v>3.0</v>
      </c>
      <c r="E27" s="618">
        <v>35.0</v>
      </c>
      <c r="F27" s="619">
        <f>E27/$K$2</f>
        <v>0.02847843775</v>
      </c>
      <c r="G27" s="620">
        <f>F27*144</f>
        <v>4.100895037</v>
      </c>
      <c r="H27" s="621">
        <f>F27*36</f>
        <v>1.025223759</v>
      </c>
    </row>
    <row r="28">
      <c r="A28" s="625" t="s">
        <v>4182</v>
      </c>
      <c r="B28" s="626" t="s">
        <v>1705</v>
      </c>
      <c r="C28" s="617">
        <v>5.0</v>
      </c>
      <c r="D28" s="617"/>
      <c r="E28" s="618">
        <v>29.0</v>
      </c>
      <c r="F28" s="619">
        <f t="shared" ref="F28:F31" si="16">E28/$K$3</f>
        <v>0.02645985401</v>
      </c>
      <c r="G28" s="620">
        <f t="shared" ref="G28:G31" si="17">F28*96</f>
        <v>2.540145985</v>
      </c>
      <c r="H28" s="621">
        <f t="shared" ref="H28:H31" si="18">F28*24</f>
        <v>0.6350364964</v>
      </c>
    </row>
    <row r="29">
      <c r="A29" s="625" t="s">
        <v>4182</v>
      </c>
      <c r="B29" s="626" t="s">
        <v>448</v>
      </c>
      <c r="C29" s="617">
        <v>7.0</v>
      </c>
      <c r="D29" s="617"/>
      <c r="E29" s="618">
        <v>27.0</v>
      </c>
      <c r="F29" s="619">
        <f t="shared" si="16"/>
        <v>0.0246350365</v>
      </c>
      <c r="G29" s="620">
        <f t="shared" si="17"/>
        <v>2.364963504</v>
      </c>
      <c r="H29" s="621">
        <f t="shared" si="18"/>
        <v>0.5912408759</v>
      </c>
    </row>
    <row r="30">
      <c r="A30" s="625" t="s">
        <v>4182</v>
      </c>
      <c r="B30" s="626" t="s">
        <v>4186</v>
      </c>
      <c r="C30" s="617">
        <v>5.0</v>
      </c>
      <c r="D30" s="617"/>
      <c r="E30" s="618">
        <v>26.0</v>
      </c>
      <c r="F30" s="619">
        <f t="shared" si="16"/>
        <v>0.02372262774</v>
      </c>
      <c r="G30" s="620">
        <f t="shared" si="17"/>
        <v>2.277372263</v>
      </c>
      <c r="H30" s="621">
        <f t="shared" si="18"/>
        <v>0.5693430657</v>
      </c>
    </row>
    <row r="31">
      <c r="A31" s="625" t="s">
        <v>4182</v>
      </c>
      <c r="B31" s="626" t="s">
        <v>1598</v>
      </c>
      <c r="C31" s="617">
        <v>3.0</v>
      </c>
      <c r="D31" s="617"/>
      <c r="E31" s="618">
        <v>2.0</v>
      </c>
      <c r="F31" s="619">
        <f t="shared" si="16"/>
        <v>0.001824817518</v>
      </c>
      <c r="G31" s="620">
        <f t="shared" si="17"/>
        <v>0.1751824818</v>
      </c>
      <c r="H31" s="621">
        <f t="shared" si="18"/>
        <v>0.04379562044</v>
      </c>
    </row>
    <row r="33">
      <c r="D33" s="458">
        <f>SUM(D2:D27)</f>
        <v>39</v>
      </c>
    </row>
  </sheetData>
  <autoFilter ref="$A$1:$AC$33"/>
  <mergeCells count="2">
    <mergeCell ref="I2:I3"/>
    <mergeCell ref="I5:I6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6.63"/>
    <col customWidth="1" min="3" max="3" width="16.63"/>
    <col customWidth="1" min="8" max="8" width="20.75"/>
  </cols>
  <sheetData>
    <row r="1">
      <c r="A1" s="612"/>
      <c r="B1" s="613" t="s">
        <v>4173</v>
      </c>
      <c r="C1" s="613" t="s">
        <v>4174</v>
      </c>
      <c r="D1" s="613" t="s">
        <v>4175</v>
      </c>
      <c r="E1" s="613" t="s">
        <v>4176</v>
      </c>
      <c r="F1" s="613" t="s">
        <v>4177</v>
      </c>
      <c r="G1" s="614" t="s">
        <v>4178</v>
      </c>
      <c r="H1" s="613" t="s">
        <v>4179</v>
      </c>
    </row>
    <row r="2">
      <c r="A2" s="625" t="s">
        <v>4182</v>
      </c>
      <c r="B2" s="616" t="s">
        <v>975</v>
      </c>
      <c r="C2" s="617">
        <v>6.0</v>
      </c>
      <c r="D2" s="617">
        <v>1.0</v>
      </c>
      <c r="E2" s="618">
        <v>134.0</v>
      </c>
      <c r="F2" s="619">
        <v>0.12226277372262774</v>
      </c>
      <c r="G2" s="620">
        <v>11.737226277372264</v>
      </c>
      <c r="H2" s="621">
        <v>2.934306569343066</v>
      </c>
    </row>
    <row r="3">
      <c r="A3" s="625" t="s">
        <v>4182</v>
      </c>
      <c r="B3" s="616" t="s">
        <v>4184</v>
      </c>
      <c r="C3" s="617">
        <v>7.0</v>
      </c>
      <c r="D3" s="617">
        <v>2.0</v>
      </c>
      <c r="E3" s="618">
        <v>117.0</v>
      </c>
      <c r="F3" s="619">
        <v>0.10675182481751824</v>
      </c>
      <c r="G3" s="620">
        <v>10.248175182481752</v>
      </c>
      <c r="H3" s="621">
        <v>2.562043795620438</v>
      </c>
    </row>
    <row r="4">
      <c r="A4" s="625" t="s">
        <v>4182</v>
      </c>
      <c r="B4" s="626" t="s">
        <v>1623</v>
      </c>
      <c r="C4" s="617">
        <v>5.0</v>
      </c>
      <c r="D4" s="617">
        <v>1.0</v>
      </c>
      <c r="E4" s="618">
        <v>94.0</v>
      </c>
      <c r="F4" s="619">
        <v>0.08576642335766424</v>
      </c>
      <c r="G4" s="620">
        <v>8.233576642335766</v>
      </c>
      <c r="H4" s="621">
        <v>2.0583941605839415</v>
      </c>
    </row>
    <row r="5">
      <c r="A5" s="625" t="s">
        <v>4182</v>
      </c>
      <c r="B5" s="626" t="s">
        <v>4185</v>
      </c>
      <c r="C5" s="617">
        <v>4.0</v>
      </c>
      <c r="D5" s="617">
        <v>1.0</v>
      </c>
      <c r="E5" s="618">
        <v>88.0</v>
      </c>
      <c r="F5" s="619">
        <v>0.08029197080291971</v>
      </c>
      <c r="G5" s="620">
        <v>7.708029197080291</v>
      </c>
      <c r="H5" s="621">
        <v>1.9270072992700729</v>
      </c>
    </row>
    <row r="6">
      <c r="A6" s="625" t="s">
        <v>4182</v>
      </c>
      <c r="B6" s="616" t="s">
        <v>341</v>
      </c>
      <c r="C6" s="617">
        <v>6.0</v>
      </c>
      <c r="D6" s="617">
        <v>2.0</v>
      </c>
      <c r="E6" s="618">
        <v>85.0</v>
      </c>
      <c r="F6" s="619">
        <v>0.07755474452554745</v>
      </c>
      <c r="G6" s="620">
        <v>7.445255474452555</v>
      </c>
      <c r="H6" s="621">
        <v>1.8613138686131387</v>
      </c>
    </row>
    <row r="7">
      <c r="A7" s="625" t="s">
        <v>4182</v>
      </c>
      <c r="B7" s="616" t="s">
        <v>1614</v>
      </c>
      <c r="C7" s="617">
        <v>7.0</v>
      </c>
      <c r="D7" s="617">
        <v>2.0</v>
      </c>
      <c r="E7" s="618">
        <v>83.0</v>
      </c>
      <c r="F7" s="619">
        <v>0.07572992700729927</v>
      </c>
      <c r="G7" s="620">
        <v>7.27007299270073</v>
      </c>
      <c r="H7" s="621">
        <v>1.8175182481751826</v>
      </c>
    </row>
    <row r="8">
      <c r="A8" s="625" t="s">
        <v>4182</v>
      </c>
      <c r="B8" s="626" t="s">
        <v>193</v>
      </c>
      <c r="C8" s="617">
        <v>4.0</v>
      </c>
      <c r="D8" s="617">
        <v>1.0</v>
      </c>
      <c r="E8" s="618">
        <v>74.0</v>
      </c>
      <c r="F8" s="619">
        <v>0.06751824817518248</v>
      </c>
      <c r="G8" s="620">
        <v>6.481751824817518</v>
      </c>
      <c r="H8" s="621">
        <v>1.6204379562043796</v>
      </c>
    </row>
    <row r="9">
      <c r="A9" s="625" t="s">
        <v>4182</v>
      </c>
      <c r="B9" s="616" t="s">
        <v>443</v>
      </c>
      <c r="C9" s="617">
        <v>5.0</v>
      </c>
      <c r="D9" s="617">
        <v>1.0</v>
      </c>
      <c r="E9" s="618">
        <v>63.0</v>
      </c>
      <c r="F9" s="619">
        <v>0.05748175182481752</v>
      </c>
      <c r="G9" s="620">
        <v>5.518248175182482</v>
      </c>
      <c r="H9" s="621">
        <v>1.3795620437956204</v>
      </c>
    </row>
    <row r="10">
      <c r="A10" s="625" t="s">
        <v>4182</v>
      </c>
      <c r="B10" s="626" t="s">
        <v>588</v>
      </c>
      <c r="C10" s="617">
        <v>5.0</v>
      </c>
      <c r="D10" s="617">
        <v>1.0</v>
      </c>
      <c r="E10" s="618">
        <v>62.0</v>
      </c>
      <c r="F10" s="619">
        <v>0.05656934306569343</v>
      </c>
      <c r="G10" s="620">
        <v>5.430656934306569</v>
      </c>
      <c r="H10" s="621">
        <v>1.3576642335766422</v>
      </c>
    </row>
    <row r="11">
      <c r="A11" s="625" t="s">
        <v>4182</v>
      </c>
      <c r="B11" s="626" t="s">
        <v>274</v>
      </c>
      <c r="C11" s="617">
        <v>7.0</v>
      </c>
      <c r="D11" s="617">
        <v>2.0</v>
      </c>
      <c r="E11" s="618">
        <v>52.0</v>
      </c>
      <c r="F11" s="619">
        <v>0.04744525547445255</v>
      </c>
      <c r="G11" s="620">
        <v>4.554744525547445</v>
      </c>
      <c r="H11" s="621">
        <v>1.1386861313868613</v>
      </c>
    </row>
    <row r="12">
      <c r="A12" s="625" t="s">
        <v>4182</v>
      </c>
      <c r="B12" s="626" t="s">
        <v>259</v>
      </c>
      <c r="C12" s="617">
        <v>4.0</v>
      </c>
      <c r="D12" s="617">
        <v>1.0</v>
      </c>
      <c r="E12" s="618">
        <v>43.0</v>
      </c>
      <c r="F12" s="619">
        <v>0.03923357664233577</v>
      </c>
      <c r="G12" s="620">
        <v>3.766423357664234</v>
      </c>
      <c r="H12" s="621">
        <v>0.9416058394160585</v>
      </c>
    </row>
    <row r="13">
      <c r="A13" s="625" t="s">
        <v>4182</v>
      </c>
      <c r="B13" s="626" t="s">
        <v>324</v>
      </c>
      <c r="C13" s="617">
        <v>6.0</v>
      </c>
      <c r="D13" s="617">
        <v>2.0</v>
      </c>
      <c r="E13" s="618">
        <v>41.0</v>
      </c>
      <c r="F13" s="619">
        <v>0.037408759124087594</v>
      </c>
      <c r="G13" s="620">
        <v>3.5912408759124093</v>
      </c>
      <c r="H13" s="621">
        <v>0.8978102189781023</v>
      </c>
    </row>
    <row r="14">
      <c r="A14" s="625" t="s">
        <v>4182</v>
      </c>
      <c r="B14" s="626" t="s">
        <v>856</v>
      </c>
      <c r="C14" s="617">
        <v>4.0</v>
      </c>
      <c r="D14" s="617">
        <v>1.0</v>
      </c>
      <c r="E14" s="618">
        <v>39.0</v>
      </c>
      <c r="F14" s="619">
        <v>0.035583941605839414</v>
      </c>
      <c r="G14" s="620">
        <v>3.4160583941605838</v>
      </c>
      <c r="H14" s="621">
        <v>0.8540145985401459</v>
      </c>
    </row>
    <row r="15">
      <c r="A15" s="625" t="s">
        <v>4182</v>
      </c>
      <c r="B15" s="626" t="s">
        <v>493</v>
      </c>
      <c r="C15" s="617">
        <v>7.0</v>
      </c>
      <c r="D15" s="617">
        <v>1.0</v>
      </c>
      <c r="E15" s="618">
        <v>37.0</v>
      </c>
      <c r="F15" s="619">
        <v>0.03375912408759124</v>
      </c>
      <c r="G15" s="620">
        <v>3.240875912408759</v>
      </c>
      <c r="H15" s="621">
        <v>0.8102189781021898</v>
      </c>
    </row>
    <row r="16">
      <c r="A16" s="625" t="s">
        <v>4182</v>
      </c>
      <c r="B16" s="626" t="s">
        <v>1705</v>
      </c>
      <c r="C16" s="617">
        <v>5.0</v>
      </c>
      <c r="D16" s="617">
        <v>1.0</v>
      </c>
      <c r="E16" s="618">
        <v>29.0</v>
      </c>
      <c r="F16" s="619">
        <v>0.02645985401459854</v>
      </c>
      <c r="G16" s="620">
        <v>2.54014598540146</v>
      </c>
      <c r="H16" s="621">
        <v>0.635036496350365</v>
      </c>
    </row>
    <row r="17">
      <c r="A17" s="625" t="s">
        <v>4182</v>
      </c>
      <c r="B17" s="626" t="s">
        <v>448</v>
      </c>
      <c r="C17" s="617">
        <v>7.0</v>
      </c>
      <c r="D17" s="617">
        <v>2.0</v>
      </c>
      <c r="E17" s="618">
        <v>27.0</v>
      </c>
      <c r="F17" s="619">
        <v>0.024635036496350366</v>
      </c>
      <c r="G17" s="620">
        <v>2.3649635036496353</v>
      </c>
      <c r="H17" s="621">
        <v>0.5912408759124088</v>
      </c>
    </row>
    <row r="18">
      <c r="A18" s="625" t="s">
        <v>4182</v>
      </c>
      <c r="B18" s="626" t="s">
        <v>4186</v>
      </c>
      <c r="C18" s="617">
        <v>5.0</v>
      </c>
      <c r="D18" s="617">
        <v>1.0</v>
      </c>
      <c r="E18" s="618">
        <v>26.0</v>
      </c>
      <c r="F18" s="619">
        <v>0.023722627737226276</v>
      </c>
      <c r="G18" s="620">
        <v>2.2773722627737225</v>
      </c>
      <c r="H18" s="621">
        <v>0.5693430656934306</v>
      </c>
    </row>
    <row r="19">
      <c r="A19" s="625" t="s">
        <v>4182</v>
      </c>
      <c r="B19" s="626" t="s">
        <v>1598</v>
      </c>
      <c r="C19" s="617">
        <v>3.0</v>
      </c>
      <c r="D19" s="617">
        <v>1.0</v>
      </c>
      <c r="E19" s="618">
        <v>2.0</v>
      </c>
      <c r="F19" s="619">
        <v>0.0018248175182481751</v>
      </c>
      <c r="G19" s="620">
        <v>0.17518248175182483</v>
      </c>
      <c r="H19" s="621">
        <v>0.043795620437956206</v>
      </c>
    </row>
    <row r="20">
      <c r="D20" s="458">
        <f>SUM(D2:D19)</f>
        <v>24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8.38"/>
    <col customWidth="1" min="6" max="6" width="18.5"/>
    <col customWidth="1" min="7" max="7" width="14.38"/>
  </cols>
  <sheetData>
    <row r="1">
      <c r="A1" s="613"/>
      <c r="B1" s="613" t="s">
        <v>4173</v>
      </c>
      <c r="C1" s="613" t="s">
        <v>4174</v>
      </c>
      <c r="D1" s="613" t="s">
        <v>4175</v>
      </c>
      <c r="E1" s="613" t="s">
        <v>4176</v>
      </c>
      <c r="F1" s="613" t="s">
        <v>4177</v>
      </c>
      <c r="G1" s="614" t="s">
        <v>4178</v>
      </c>
      <c r="H1" s="613" t="s">
        <v>4179</v>
      </c>
    </row>
    <row r="2">
      <c r="A2" s="627" t="s">
        <v>4180</v>
      </c>
      <c r="B2" s="627" t="s">
        <v>276</v>
      </c>
      <c r="C2" s="628">
        <v>6.0</v>
      </c>
      <c r="D2" s="628">
        <v>3.0</v>
      </c>
      <c r="E2" s="628">
        <v>237.0</v>
      </c>
      <c r="F2" s="629">
        <v>0.19283970707892595</v>
      </c>
      <c r="G2" s="630">
        <v>27.768917819365335</v>
      </c>
      <c r="H2" s="631">
        <v>6.942229454841334</v>
      </c>
    </row>
    <row r="3">
      <c r="A3" s="627" t="s">
        <v>4180</v>
      </c>
      <c r="B3" s="627" t="s">
        <v>220</v>
      </c>
      <c r="C3" s="628">
        <v>8.0</v>
      </c>
      <c r="D3" s="628">
        <v>4.0</v>
      </c>
      <c r="E3" s="628">
        <v>164.0</v>
      </c>
      <c r="F3" s="629">
        <v>0.13344182262001628</v>
      </c>
      <c r="G3" s="630">
        <v>19.215622457282343</v>
      </c>
      <c r="H3" s="631">
        <v>4.803905614320586</v>
      </c>
    </row>
    <row r="4">
      <c r="A4" s="627" t="s">
        <v>4180</v>
      </c>
      <c r="B4" s="627" t="s">
        <v>1321</v>
      </c>
      <c r="C4" s="628">
        <v>9.0</v>
      </c>
      <c r="D4" s="628">
        <v>4.0</v>
      </c>
      <c r="E4" s="628">
        <v>159.0</v>
      </c>
      <c r="F4" s="629">
        <v>0.12937347436940602</v>
      </c>
      <c r="G4" s="630">
        <v>18.629780309194466</v>
      </c>
      <c r="H4" s="631">
        <v>4.6574450772986165</v>
      </c>
    </row>
    <row r="5">
      <c r="A5" s="627" t="s">
        <v>4180</v>
      </c>
      <c r="B5" s="501" t="s">
        <v>399</v>
      </c>
      <c r="C5" s="628">
        <v>5.0</v>
      </c>
      <c r="D5" s="628">
        <v>2.0</v>
      </c>
      <c r="E5" s="628">
        <v>126.0</v>
      </c>
      <c r="F5" s="629">
        <v>0.10252237591537836</v>
      </c>
      <c r="G5" s="630">
        <v>14.763222131814484</v>
      </c>
      <c r="H5" s="631">
        <v>3.690805532953621</v>
      </c>
    </row>
    <row r="6">
      <c r="A6" s="627" t="s">
        <v>4180</v>
      </c>
      <c r="B6" s="501" t="s">
        <v>929</v>
      </c>
      <c r="C6" s="628">
        <v>9.0</v>
      </c>
      <c r="D6" s="628">
        <v>4.0</v>
      </c>
      <c r="E6" s="628">
        <v>105.0</v>
      </c>
      <c r="F6" s="629">
        <v>0.0854353132628153</v>
      </c>
      <c r="G6" s="630">
        <v>12.302685109845402</v>
      </c>
      <c r="H6" s="631">
        <v>3.0756712774613506</v>
      </c>
    </row>
    <row r="7">
      <c r="A7" s="627" t="s">
        <v>4180</v>
      </c>
      <c r="B7" s="501" t="s">
        <v>295</v>
      </c>
      <c r="C7" s="628">
        <v>7.0</v>
      </c>
      <c r="D7" s="628">
        <v>3.0</v>
      </c>
      <c r="E7" s="628">
        <v>82.0</v>
      </c>
      <c r="F7" s="629">
        <v>0.06672091131000814</v>
      </c>
      <c r="G7" s="630">
        <v>9.607811228641172</v>
      </c>
      <c r="H7" s="631">
        <v>2.401952807160293</v>
      </c>
    </row>
    <row r="8">
      <c r="A8" s="627" t="s">
        <v>4180</v>
      </c>
      <c r="B8" s="627" t="s">
        <v>281</v>
      </c>
      <c r="C8" s="628">
        <v>5.0</v>
      </c>
      <c r="D8" s="628">
        <v>2.0</v>
      </c>
      <c r="E8" s="628">
        <v>81.0</v>
      </c>
      <c r="F8" s="629">
        <v>0.06590724165988608</v>
      </c>
      <c r="G8" s="630">
        <v>9.490642799023595</v>
      </c>
      <c r="H8" s="631">
        <v>2.3726606997558988</v>
      </c>
    </row>
    <row r="9">
      <c r="A9" s="627" t="s">
        <v>4180</v>
      </c>
      <c r="B9" s="501" t="s">
        <v>623</v>
      </c>
      <c r="C9" s="628">
        <v>6.0</v>
      </c>
      <c r="D9" s="628">
        <v>3.0</v>
      </c>
      <c r="E9" s="628">
        <v>79.0</v>
      </c>
      <c r="F9" s="629">
        <v>0.06427990235964198</v>
      </c>
      <c r="G9" s="630">
        <v>9.256305939788446</v>
      </c>
      <c r="H9" s="631">
        <v>2.3140764849471114</v>
      </c>
    </row>
    <row r="10">
      <c r="A10" s="627" t="s">
        <v>4180</v>
      </c>
      <c r="B10" s="501" t="s">
        <v>1393</v>
      </c>
      <c r="C10" s="628">
        <v>4.0</v>
      </c>
      <c r="D10" s="628">
        <v>2.0</v>
      </c>
      <c r="E10" s="628">
        <v>76.0</v>
      </c>
      <c r="F10" s="629">
        <v>0.061838893409275834</v>
      </c>
      <c r="G10" s="630">
        <v>8.90480065093572</v>
      </c>
      <c r="H10" s="631">
        <v>2.22620016273393</v>
      </c>
    </row>
    <row r="11">
      <c r="A11" s="627" t="s">
        <v>4180</v>
      </c>
      <c r="B11" s="501" t="s">
        <v>527</v>
      </c>
      <c r="C11" s="628">
        <v>4.0</v>
      </c>
      <c r="D11" s="628">
        <v>2.0</v>
      </c>
      <c r="E11" s="628">
        <v>47.0</v>
      </c>
      <c r="F11" s="629">
        <v>0.03824247355573637</v>
      </c>
      <c r="G11" s="630">
        <v>5.506916192026038</v>
      </c>
      <c r="H11" s="631">
        <v>1.3767290480065095</v>
      </c>
    </row>
    <row r="12">
      <c r="A12" s="627" t="s">
        <v>4180</v>
      </c>
      <c r="B12" s="627" t="s">
        <v>264</v>
      </c>
      <c r="C12" s="628">
        <v>8.0</v>
      </c>
      <c r="D12" s="628">
        <v>4.0</v>
      </c>
      <c r="E12" s="628">
        <v>38.0</v>
      </c>
      <c r="F12" s="629">
        <v>0.030919446704637917</v>
      </c>
      <c r="G12" s="630">
        <v>4.45240032546786</v>
      </c>
      <c r="H12" s="631">
        <v>1.113100081366965</v>
      </c>
    </row>
    <row r="13">
      <c r="A13" s="627" t="s">
        <v>4180</v>
      </c>
      <c r="B13" s="501" t="s">
        <v>668</v>
      </c>
      <c r="C13" s="628">
        <v>7.0</v>
      </c>
      <c r="D13" s="628">
        <v>3.0</v>
      </c>
      <c r="E13" s="628">
        <v>35.0</v>
      </c>
      <c r="F13" s="629">
        <v>0.028478437754271765</v>
      </c>
      <c r="G13" s="630">
        <v>4.100895036615134</v>
      </c>
      <c r="H13" s="631">
        <v>1.0252237591537836</v>
      </c>
    </row>
    <row r="14">
      <c r="D14" s="458">
        <f>SUM(D2:D13)</f>
        <v>36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8.5"/>
    <col customWidth="1" min="4" max="4" width="20.38"/>
    <col customWidth="1" min="5" max="5" width="19.38"/>
    <col customWidth="1" min="7" max="7" width="13.75"/>
    <col customWidth="1" min="8" max="8" width="25.63"/>
    <col customWidth="1" min="10" max="10" width="20.13"/>
    <col customWidth="1" min="12" max="12" width="15.25"/>
  </cols>
  <sheetData>
    <row r="1" ht="36.0" customHeight="1">
      <c r="A1" s="1" t="s">
        <v>4187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1.5" customHeight="1">
      <c r="A2" s="36" t="s">
        <v>4188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1" t="s">
        <v>1</v>
      </c>
      <c r="L3" s="11" t="s">
        <v>20</v>
      </c>
      <c r="M3" s="8" t="s">
        <v>25</v>
      </c>
      <c r="N3" s="8" t="s">
        <v>26</v>
      </c>
      <c r="O3" s="8" t="s">
        <v>27</v>
      </c>
      <c r="P3" s="9" t="s">
        <v>28</v>
      </c>
      <c r="Q3" s="6" t="s">
        <v>29</v>
      </c>
      <c r="R3" s="9" t="s">
        <v>30</v>
      </c>
    </row>
    <row r="4">
      <c r="A4" s="12" t="s">
        <v>10</v>
      </c>
      <c r="B4" s="13">
        <v>45917.0</v>
      </c>
      <c r="C4" s="14" t="s">
        <v>349</v>
      </c>
      <c r="D4" s="37" t="s">
        <v>102</v>
      </c>
      <c r="E4" s="14" t="s">
        <v>4189</v>
      </c>
      <c r="F4" s="15">
        <v>0.5416666666666666</v>
      </c>
      <c r="G4" s="16">
        <v>2.09795186490008E14</v>
      </c>
      <c r="H4" s="17" t="s">
        <v>4190</v>
      </c>
      <c r="I4" s="18">
        <v>23211.0</v>
      </c>
      <c r="J4" s="17" t="s">
        <v>4191</v>
      </c>
      <c r="K4" s="632">
        <v>45917.0</v>
      </c>
      <c r="L4" s="41" t="s">
        <v>41</v>
      </c>
      <c r="M4" s="42"/>
      <c r="N4" s="43"/>
      <c r="O4" s="46"/>
      <c r="P4" s="45"/>
      <c r="Q4" s="46"/>
      <c r="R4" s="47"/>
    </row>
    <row r="5">
      <c r="A5" s="12" t="s">
        <v>11</v>
      </c>
      <c r="B5" s="13">
        <v>45917.0</v>
      </c>
      <c r="C5" s="14" t="s">
        <v>349</v>
      </c>
      <c r="D5" s="37" t="s">
        <v>102</v>
      </c>
      <c r="E5" s="14" t="s">
        <v>4189</v>
      </c>
      <c r="F5" s="15">
        <v>0.5625</v>
      </c>
      <c r="G5" s="16">
        <v>7.04206712840088E14</v>
      </c>
      <c r="H5" s="17" t="s">
        <v>4192</v>
      </c>
      <c r="I5" s="18">
        <v>25291.0</v>
      </c>
      <c r="J5" s="17" t="s">
        <v>4193</v>
      </c>
      <c r="K5" s="632">
        <v>45917.0</v>
      </c>
      <c r="L5" s="41" t="s">
        <v>41</v>
      </c>
      <c r="M5" s="42"/>
      <c r="N5" s="50"/>
      <c r="O5" s="51"/>
      <c r="P5" s="52"/>
      <c r="Q5" s="51"/>
      <c r="R5" s="53"/>
    </row>
    <row r="6">
      <c r="A6" s="12" t="s">
        <v>12</v>
      </c>
      <c r="B6" s="13">
        <v>45917.0</v>
      </c>
      <c r="C6" s="14" t="s">
        <v>349</v>
      </c>
      <c r="D6" s="37" t="s">
        <v>102</v>
      </c>
      <c r="E6" s="14" t="s">
        <v>4189</v>
      </c>
      <c r="F6" s="15">
        <v>0.5833333333333334</v>
      </c>
      <c r="G6" s="16">
        <v>7.0560247134911E14</v>
      </c>
      <c r="H6" s="17" t="s">
        <v>4194</v>
      </c>
      <c r="I6" s="18">
        <v>27052.0</v>
      </c>
      <c r="J6" s="22" t="s">
        <v>4195</v>
      </c>
      <c r="K6" s="632">
        <v>45917.0</v>
      </c>
      <c r="L6" s="41" t="s">
        <v>41</v>
      </c>
      <c r="M6" s="42"/>
      <c r="N6" s="54"/>
      <c r="O6" s="55"/>
      <c r="P6" s="56"/>
      <c r="Q6" s="55"/>
      <c r="R6" s="57"/>
    </row>
    <row r="7">
      <c r="A7" s="12" t="s">
        <v>13</v>
      </c>
      <c r="B7" s="13">
        <v>45917.0</v>
      </c>
      <c r="C7" s="14" t="s">
        <v>349</v>
      </c>
      <c r="D7" s="37" t="s">
        <v>102</v>
      </c>
      <c r="E7" s="14" t="s">
        <v>4189</v>
      </c>
      <c r="F7" s="15">
        <v>0.6041666666666666</v>
      </c>
      <c r="G7" s="16">
        <v>7.0050016622051E13</v>
      </c>
      <c r="H7" s="22" t="s">
        <v>4196</v>
      </c>
      <c r="I7" s="18">
        <v>20575.0</v>
      </c>
      <c r="J7" s="17" t="s">
        <v>4197</v>
      </c>
      <c r="K7" s="632">
        <v>45917.0</v>
      </c>
      <c r="L7" s="41" t="s">
        <v>41</v>
      </c>
      <c r="M7" s="42"/>
      <c r="N7" s="50"/>
      <c r="O7" s="61"/>
      <c r="P7" s="62"/>
      <c r="Q7" s="61"/>
      <c r="R7" s="53"/>
    </row>
    <row r="8">
      <c r="A8" s="12" t="s">
        <v>14</v>
      </c>
      <c r="B8" s="13">
        <v>45917.0</v>
      </c>
      <c r="C8" s="14" t="s">
        <v>349</v>
      </c>
      <c r="D8" s="37" t="s">
        <v>102</v>
      </c>
      <c r="E8" s="14" t="s">
        <v>4189</v>
      </c>
      <c r="F8" s="15">
        <v>0.625</v>
      </c>
      <c r="G8" s="16">
        <v>8.98001437075543E14</v>
      </c>
      <c r="H8" s="17" t="s">
        <v>4198</v>
      </c>
      <c r="I8" s="18">
        <v>20464.0</v>
      </c>
      <c r="J8" s="17" t="s">
        <v>4199</v>
      </c>
      <c r="K8" s="632">
        <v>45917.0</v>
      </c>
      <c r="L8" s="41" t="s">
        <v>41</v>
      </c>
      <c r="M8" s="42"/>
      <c r="N8" s="63"/>
      <c r="O8" s="64"/>
      <c r="P8" s="56"/>
      <c r="Q8" s="64"/>
      <c r="R8" s="65"/>
    </row>
    <row r="9">
      <c r="A9" s="12" t="s">
        <v>15</v>
      </c>
      <c r="B9" s="13">
        <v>45917.0</v>
      </c>
      <c r="C9" s="14" t="s">
        <v>349</v>
      </c>
      <c r="D9" s="37" t="s">
        <v>102</v>
      </c>
      <c r="E9" s="14" t="s">
        <v>4189</v>
      </c>
      <c r="F9" s="15">
        <v>0.6458333333333334</v>
      </c>
      <c r="G9" s="16">
        <v>2.04297360660002E14</v>
      </c>
      <c r="H9" s="17" t="s">
        <v>4200</v>
      </c>
      <c r="I9" s="18">
        <v>23166.0</v>
      </c>
      <c r="J9" s="17" t="s">
        <v>4201</v>
      </c>
      <c r="K9" s="632">
        <v>45917.0</v>
      </c>
      <c r="L9" s="41" t="s">
        <v>41</v>
      </c>
      <c r="M9" s="42"/>
      <c r="N9" s="50"/>
      <c r="O9" s="61"/>
      <c r="P9" s="62"/>
      <c r="Q9" s="61"/>
      <c r="R9" s="53"/>
    </row>
    <row r="10">
      <c r="A10" s="12" t="s">
        <v>16</v>
      </c>
      <c r="B10" s="13">
        <v>45917.0</v>
      </c>
      <c r="C10" s="14" t="s">
        <v>349</v>
      </c>
      <c r="D10" s="37" t="s">
        <v>102</v>
      </c>
      <c r="E10" s="14" t="s">
        <v>4189</v>
      </c>
      <c r="F10" s="15">
        <v>0.6666666666666666</v>
      </c>
      <c r="G10" s="16">
        <v>2.07268870850003E14</v>
      </c>
      <c r="H10" s="17" t="s">
        <v>4202</v>
      </c>
      <c r="I10" s="18">
        <v>29264.0</v>
      </c>
      <c r="J10" s="17" t="s">
        <v>4203</v>
      </c>
      <c r="K10" s="632">
        <v>45917.0</v>
      </c>
      <c r="L10" s="41" t="s">
        <v>41</v>
      </c>
      <c r="M10" s="42"/>
      <c r="N10" s="63"/>
      <c r="O10" s="64"/>
      <c r="P10" s="56"/>
      <c r="Q10" s="64"/>
      <c r="R10" s="65"/>
    </row>
    <row r="11">
      <c r="A11" s="12" t="s">
        <v>17</v>
      </c>
      <c r="B11" s="13">
        <v>45917.0</v>
      </c>
      <c r="C11" s="14" t="s">
        <v>349</v>
      </c>
      <c r="D11" s="37" t="s">
        <v>102</v>
      </c>
      <c r="E11" s="14" t="s">
        <v>4189</v>
      </c>
      <c r="F11" s="15">
        <v>0.6875</v>
      </c>
      <c r="G11" s="16">
        <v>7.04202787026783E14</v>
      </c>
      <c r="H11" s="17" t="s">
        <v>4204</v>
      </c>
      <c r="I11" s="18">
        <v>24087.0</v>
      </c>
      <c r="J11" s="17" t="s">
        <v>4205</v>
      </c>
      <c r="K11" s="632">
        <v>45917.0</v>
      </c>
      <c r="L11" s="41" t="s">
        <v>41</v>
      </c>
      <c r="M11" s="42"/>
      <c r="N11" s="50"/>
      <c r="O11" s="61"/>
      <c r="P11" s="62"/>
      <c r="Q11" s="61"/>
      <c r="R11" s="53"/>
    </row>
    <row r="12">
      <c r="D12" s="67"/>
    </row>
    <row r="13">
      <c r="D13" s="67"/>
    </row>
    <row r="14">
      <c r="D14" s="67"/>
    </row>
    <row r="15">
      <c r="D15" s="67"/>
    </row>
    <row r="16">
      <c r="D16" s="67"/>
    </row>
    <row r="17">
      <c r="D17" s="67"/>
    </row>
    <row r="18">
      <c r="D18" s="67"/>
    </row>
    <row r="19">
      <c r="D19" s="67"/>
    </row>
    <row r="20">
      <c r="D20" s="67"/>
    </row>
    <row r="21">
      <c r="D21" s="67"/>
    </row>
    <row r="22">
      <c r="D22" s="67"/>
    </row>
    <row r="23">
      <c r="D23" s="67"/>
    </row>
    <row r="24">
      <c r="D24" s="67"/>
    </row>
    <row r="25">
      <c r="D25" s="67"/>
    </row>
    <row r="26">
      <c r="D26" s="67"/>
    </row>
    <row r="27">
      <c r="D27" s="67"/>
    </row>
    <row r="28">
      <c r="D28" s="67"/>
    </row>
    <row r="29">
      <c r="D29" s="67"/>
    </row>
    <row r="30">
      <c r="D30" s="67"/>
    </row>
    <row r="31">
      <c r="D31" s="67"/>
    </row>
    <row r="32">
      <c r="D32" s="67"/>
    </row>
    <row r="33">
      <c r="D33" s="67"/>
    </row>
    <row r="34">
      <c r="D34" s="67"/>
    </row>
    <row r="35">
      <c r="D35" s="67"/>
    </row>
    <row r="36">
      <c r="D36" s="67"/>
    </row>
    <row r="37">
      <c r="D37" s="67"/>
    </row>
    <row r="38">
      <c r="D38" s="67"/>
    </row>
    <row r="39">
      <c r="D39" s="67"/>
    </row>
    <row r="40">
      <c r="D40" s="67"/>
    </row>
    <row r="41">
      <c r="D41" s="67"/>
    </row>
    <row r="42">
      <c r="D42" s="67"/>
    </row>
    <row r="43">
      <c r="D43" s="67"/>
    </row>
    <row r="44">
      <c r="D44" s="67"/>
    </row>
    <row r="45">
      <c r="D45" s="67"/>
    </row>
    <row r="46">
      <c r="D46" s="67"/>
    </row>
    <row r="47">
      <c r="D47" s="67"/>
    </row>
    <row r="48">
      <c r="D48" s="67"/>
    </row>
    <row r="49">
      <c r="D49" s="67"/>
    </row>
    <row r="50">
      <c r="D50" s="67"/>
    </row>
    <row r="51">
      <c r="D51" s="67"/>
    </row>
    <row r="52">
      <c r="D52" s="67"/>
    </row>
    <row r="53">
      <c r="D53" s="67"/>
    </row>
    <row r="54">
      <c r="D54" s="67"/>
    </row>
    <row r="55">
      <c r="D55" s="67"/>
    </row>
    <row r="56">
      <c r="D56" s="67"/>
    </row>
    <row r="57">
      <c r="D57" s="67"/>
    </row>
    <row r="58">
      <c r="D58" s="67"/>
    </row>
    <row r="59">
      <c r="D59" s="67"/>
    </row>
    <row r="60">
      <c r="D60" s="67"/>
    </row>
    <row r="61">
      <c r="D61" s="67"/>
    </row>
    <row r="62">
      <c r="D62" s="67"/>
    </row>
    <row r="63">
      <c r="D63" s="67"/>
    </row>
    <row r="64">
      <c r="D64" s="67"/>
    </row>
    <row r="65">
      <c r="D65" s="67"/>
    </row>
    <row r="66">
      <c r="D66" s="67"/>
    </row>
    <row r="67">
      <c r="D67" s="67"/>
    </row>
    <row r="68">
      <c r="D68" s="67"/>
    </row>
    <row r="69">
      <c r="D69" s="67"/>
    </row>
    <row r="70">
      <c r="D70" s="67"/>
    </row>
    <row r="71">
      <c r="D71" s="67"/>
    </row>
    <row r="72">
      <c r="D72" s="67"/>
    </row>
    <row r="73">
      <c r="D73" s="67"/>
    </row>
    <row r="74">
      <c r="D74" s="67"/>
    </row>
    <row r="75">
      <c r="D75" s="67"/>
    </row>
    <row r="76">
      <c r="D76" s="67"/>
    </row>
    <row r="77">
      <c r="D77" s="67"/>
    </row>
    <row r="78">
      <c r="D78" s="67"/>
    </row>
    <row r="79">
      <c r="D79" s="67"/>
    </row>
    <row r="80">
      <c r="D80" s="67"/>
    </row>
    <row r="81">
      <c r="D81" s="67"/>
    </row>
    <row r="82">
      <c r="D82" s="67"/>
    </row>
    <row r="83">
      <c r="D83" s="67"/>
    </row>
    <row r="84">
      <c r="D84" s="67"/>
    </row>
    <row r="85">
      <c r="D85" s="67"/>
    </row>
    <row r="86">
      <c r="D86" s="67"/>
    </row>
    <row r="87">
      <c r="D87" s="67"/>
    </row>
    <row r="88">
      <c r="D88" s="67"/>
    </row>
    <row r="89">
      <c r="D89" s="67"/>
    </row>
    <row r="90">
      <c r="D90" s="67"/>
    </row>
    <row r="91">
      <c r="D91" s="67"/>
    </row>
    <row r="92">
      <c r="D92" s="67"/>
    </row>
    <row r="93">
      <c r="D93" s="67"/>
    </row>
    <row r="94">
      <c r="D94" s="67"/>
    </row>
    <row r="95">
      <c r="D95" s="67"/>
    </row>
    <row r="96">
      <c r="D96" s="67"/>
    </row>
    <row r="97">
      <c r="D97" s="67"/>
    </row>
    <row r="98">
      <c r="D98" s="67"/>
    </row>
    <row r="99">
      <c r="D99" s="67"/>
    </row>
    <row r="100">
      <c r="D100" s="67"/>
    </row>
    <row r="101">
      <c r="D101" s="67"/>
    </row>
    <row r="102">
      <c r="D102" s="67"/>
    </row>
    <row r="103">
      <c r="D103" s="67"/>
    </row>
    <row r="104">
      <c r="D104" s="67"/>
    </row>
    <row r="105">
      <c r="D105" s="67"/>
    </row>
    <row r="106">
      <c r="D106" s="67"/>
    </row>
    <row r="107">
      <c r="D107" s="67"/>
    </row>
    <row r="108">
      <c r="D108" s="67"/>
    </row>
    <row r="109">
      <c r="D109" s="67"/>
    </row>
    <row r="110">
      <c r="D110" s="67"/>
    </row>
    <row r="111">
      <c r="D111" s="67"/>
    </row>
    <row r="112">
      <c r="D112" s="67"/>
    </row>
    <row r="113">
      <c r="D113" s="67"/>
    </row>
    <row r="114">
      <c r="D114" s="67"/>
    </row>
    <row r="115">
      <c r="D115" s="67"/>
    </row>
    <row r="116">
      <c r="D116" s="67"/>
    </row>
    <row r="117">
      <c r="D117" s="67"/>
    </row>
    <row r="118">
      <c r="D118" s="67"/>
    </row>
    <row r="119">
      <c r="D119" s="67"/>
    </row>
    <row r="120">
      <c r="D120" s="67"/>
    </row>
    <row r="121">
      <c r="D121" s="67"/>
    </row>
    <row r="122">
      <c r="D122" s="67"/>
    </row>
    <row r="123">
      <c r="D123" s="67"/>
    </row>
    <row r="124">
      <c r="D124" s="67"/>
    </row>
    <row r="125">
      <c r="D125" s="67"/>
    </row>
    <row r="126">
      <c r="D126" s="67"/>
    </row>
    <row r="127">
      <c r="D127" s="67"/>
    </row>
    <row r="128">
      <c r="D128" s="67"/>
    </row>
    <row r="129">
      <c r="D129" s="67"/>
    </row>
    <row r="130">
      <c r="D130" s="67"/>
    </row>
    <row r="131">
      <c r="D131" s="67"/>
    </row>
    <row r="132">
      <c r="D132" s="67"/>
    </row>
    <row r="133">
      <c r="D133" s="67"/>
    </row>
    <row r="134">
      <c r="D134" s="67"/>
    </row>
    <row r="135">
      <c r="D135" s="67"/>
    </row>
    <row r="136">
      <c r="D136" s="67"/>
    </row>
    <row r="137">
      <c r="D137" s="67"/>
    </row>
    <row r="138">
      <c r="D138" s="67"/>
    </row>
    <row r="139">
      <c r="D139" s="67"/>
    </row>
    <row r="140">
      <c r="D140" s="67"/>
    </row>
    <row r="141">
      <c r="D141" s="67"/>
    </row>
    <row r="142">
      <c r="D142" s="67"/>
    </row>
    <row r="143">
      <c r="D143" s="67"/>
    </row>
    <row r="144">
      <c r="D144" s="67"/>
    </row>
    <row r="145">
      <c r="D145" s="67"/>
    </row>
    <row r="146">
      <c r="D146" s="67"/>
    </row>
    <row r="147">
      <c r="D147" s="67"/>
    </row>
    <row r="148">
      <c r="D148" s="67"/>
    </row>
    <row r="149">
      <c r="D149" s="67"/>
    </row>
    <row r="150">
      <c r="D150" s="67"/>
    </row>
    <row r="151">
      <c r="D151" s="67"/>
    </row>
    <row r="152">
      <c r="D152" s="67"/>
    </row>
    <row r="153">
      <c r="D153" s="67"/>
    </row>
    <row r="154">
      <c r="D154" s="67"/>
    </row>
    <row r="155">
      <c r="D155" s="67"/>
    </row>
    <row r="156">
      <c r="D156" s="67"/>
    </row>
    <row r="157">
      <c r="D157" s="67"/>
    </row>
    <row r="158">
      <c r="D158" s="67"/>
    </row>
    <row r="159">
      <c r="D159" s="67"/>
    </row>
    <row r="160">
      <c r="D160" s="67"/>
    </row>
    <row r="161">
      <c r="D161" s="67"/>
    </row>
    <row r="162">
      <c r="D162" s="67"/>
    </row>
    <row r="163">
      <c r="D163" s="67"/>
    </row>
    <row r="164">
      <c r="D164" s="67"/>
    </row>
    <row r="165">
      <c r="D165" s="67"/>
    </row>
    <row r="166">
      <c r="D166" s="67"/>
    </row>
    <row r="167">
      <c r="D167" s="67"/>
    </row>
    <row r="168">
      <c r="D168" s="67"/>
    </row>
    <row r="169">
      <c r="D169" s="67"/>
    </row>
    <row r="170">
      <c r="D170" s="67"/>
    </row>
    <row r="171">
      <c r="D171" s="67"/>
    </row>
    <row r="172">
      <c r="D172" s="67"/>
    </row>
    <row r="173">
      <c r="D173" s="67"/>
    </row>
    <row r="174">
      <c r="D174" s="67"/>
    </row>
    <row r="175">
      <c r="D175" s="67"/>
    </row>
    <row r="176">
      <c r="D176" s="67"/>
    </row>
    <row r="177">
      <c r="D177" s="67"/>
    </row>
    <row r="178">
      <c r="D178" s="67"/>
    </row>
    <row r="179">
      <c r="D179" s="67"/>
    </row>
    <row r="180">
      <c r="D180" s="67"/>
    </row>
    <row r="181">
      <c r="D181" s="67"/>
    </row>
    <row r="182">
      <c r="D182" s="67"/>
    </row>
    <row r="183">
      <c r="D183" s="67"/>
    </row>
    <row r="184">
      <c r="D184" s="67"/>
    </row>
    <row r="185">
      <c r="D185" s="67"/>
    </row>
    <row r="186">
      <c r="D186" s="67"/>
    </row>
    <row r="187">
      <c r="D187" s="67"/>
    </row>
    <row r="188">
      <c r="D188" s="67"/>
    </row>
    <row r="189">
      <c r="D189" s="67"/>
    </row>
    <row r="190">
      <c r="D190" s="67"/>
    </row>
    <row r="191">
      <c r="D191" s="67"/>
    </row>
    <row r="192">
      <c r="D192" s="67"/>
    </row>
    <row r="193">
      <c r="D193" s="67"/>
    </row>
    <row r="194">
      <c r="D194" s="67"/>
    </row>
    <row r="195">
      <c r="D195" s="67"/>
    </row>
    <row r="196">
      <c r="D196" s="67"/>
    </row>
    <row r="197">
      <c r="D197" s="67"/>
    </row>
    <row r="198">
      <c r="D198" s="67"/>
    </row>
    <row r="199">
      <c r="D199" s="67"/>
    </row>
    <row r="200">
      <c r="D200" s="67"/>
    </row>
    <row r="201">
      <c r="D201" s="67"/>
    </row>
    <row r="202">
      <c r="D202" s="67"/>
    </row>
    <row r="203">
      <c r="D203" s="67"/>
    </row>
    <row r="204">
      <c r="D204" s="67"/>
    </row>
    <row r="205">
      <c r="D205" s="67"/>
    </row>
    <row r="206">
      <c r="D206" s="67"/>
    </row>
    <row r="207">
      <c r="D207" s="67"/>
    </row>
    <row r="208">
      <c r="D208" s="67"/>
    </row>
    <row r="209">
      <c r="D209" s="67"/>
    </row>
    <row r="210">
      <c r="D210" s="67"/>
    </row>
    <row r="211">
      <c r="D211" s="67"/>
    </row>
    <row r="212">
      <c r="D212" s="67"/>
    </row>
    <row r="213">
      <c r="D213" s="67"/>
    </row>
    <row r="214">
      <c r="D214" s="67"/>
    </row>
    <row r="215">
      <c r="D215" s="67"/>
    </row>
    <row r="216">
      <c r="D216" s="67"/>
    </row>
    <row r="217">
      <c r="D217" s="67"/>
    </row>
    <row r="218">
      <c r="D218" s="67"/>
    </row>
    <row r="219">
      <c r="D219" s="67"/>
    </row>
    <row r="220">
      <c r="D220" s="67"/>
    </row>
    <row r="221">
      <c r="D221" s="67"/>
    </row>
    <row r="222">
      <c r="D222" s="67"/>
    </row>
    <row r="223">
      <c r="D223" s="67"/>
    </row>
    <row r="224">
      <c r="D224" s="67"/>
    </row>
    <row r="225">
      <c r="D225" s="67"/>
    </row>
    <row r="226">
      <c r="D226" s="67"/>
    </row>
    <row r="227">
      <c r="D227" s="67"/>
    </row>
    <row r="228">
      <c r="D228" s="67"/>
    </row>
    <row r="229">
      <c r="D229" s="67"/>
    </row>
    <row r="230">
      <c r="D230" s="67"/>
    </row>
    <row r="231">
      <c r="D231" s="67"/>
    </row>
    <row r="232">
      <c r="D232" s="67"/>
    </row>
    <row r="233">
      <c r="D233" s="67"/>
    </row>
    <row r="234">
      <c r="D234" s="67"/>
    </row>
    <row r="235">
      <c r="D235" s="67"/>
    </row>
    <row r="236">
      <c r="D236" s="67"/>
    </row>
    <row r="237">
      <c r="D237" s="67"/>
    </row>
    <row r="238">
      <c r="D238" s="67"/>
    </row>
    <row r="239">
      <c r="D239" s="67"/>
    </row>
    <row r="240">
      <c r="D240" s="67"/>
    </row>
    <row r="241">
      <c r="D241" s="67"/>
    </row>
    <row r="242">
      <c r="D242" s="67"/>
    </row>
    <row r="243">
      <c r="D243" s="67"/>
    </row>
    <row r="244">
      <c r="D244" s="67"/>
    </row>
    <row r="245">
      <c r="D245" s="67"/>
    </row>
    <row r="246">
      <c r="D246" s="67"/>
    </row>
    <row r="247">
      <c r="D247" s="67"/>
    </row>
    <row r="248">
      <c r="D248" s="67"/>
    </row>
    <row r="249">
      <c r="D249" s="67"/>
    </row>
    <row r="250">
      <c r="D250" s="67"/>
    </row>
    <row r="251">
      <c r="D251" s="67"/>
    </row>
    <row r="252">
      <c r="D252" s="67"/>
    </row>
    <row r="253">
      <c r="D253" s="67"/>
    </row>
    <row r="254">
      <c r="D254" s="67"/>
    </row>
    <row r="255">
      <c r="D255" s="67"/>
    </row>
    <row r="256">
      <c r="D256" s="67"/>
    </row>
    <row r="257">
      <c r="D257" s="67"/>
    </row>
    <row r="258">
      <c r="D258" s="67"/>
    </row>
    <row r="259">
      <c r="D259" s="67"/>
    </row>
    <row r="260">
      <c r="D260" s="67"/>
    </row>
    <row r="261">
      <c r="D261" s="67"/>
    </row>
    <row r="262">
      <c r="D262" s="67"/>
    </row>
    <row r="263">
      <c r="D263" s="67"/>
    </row>
    <row r="264">
      <c r="D264" s="67"/>
    </row>
    <row r="265">
      <c r="D265" s="67"/>
    </row>
    <row r="266">
      <c r="D266" s="67"/>
    </row>
    <row r="267">
      <c r="D267" s="67"/>
    </row>
    <row r="268">
      <c r="D268" s="67"/>
    </row>
    <row r="269">
      <c r="D269" s="67"/>
    </row>
    <row r="270">
      <c r="D270" s="67"/>
    </row>
    <row r="271">
      <c r="D271" s="67"/>
    </row>
    <row r="272">
      <c r="D272" s="67"/>
    </row>
    <row r="273">
      <c r="D273" s="67"/>
    </row>
    <row r="274">
      <c r="D274" s="67"/>
    </row>
    <row r="275">
      <c r="D275" s="67"/>
    </row>
    <row r="276">
      <c r="D276" s="67"/>
    </row>
    <row r="277">
      <c r="D277" s="67"/>
    </row>
    <row r="278">
      <c r="D278" s="67"/>
    </row>
    <row r="279">
      <c r="D279" s="67"/>
    </row>
    <row r="280">
      <c r="D280" s="67"/>
    </row>
    <row r="281">
      <c r="D281" s="67"/>
    </row>
    <row r="282">
      <c r="D282" s="67"/>
    </row>
    <row r="283">
      <c r="D283" s="67"/>
    </row>
    <row r="284">
      <c r="D284" s="67"/>
    </row>
    <row r="285">
      <c r="D285" s="67"/>
    </row>
    <row r="286">
      <c r="D286" s="67"/>
    </row>
    <row r="287">
      <c r="D287" s="67"/>
    </row>
    <row r="288">
      <c r="D288" s="67"/>
    </row>
    <row r="289">
      <c r="D289" s="67"/>
    </row>
    <row r="290">
      <c r="D290" s="67"/>
    </row>
    <row r="291">
      <c r="D291" s="67"/>
    </row>
    <row r="292">
      <c r="D292" s="67"/>
    </row>
    <row r="293">
      <c r="D293" s="67"/>
    </row>
    <row r="294">
      <c r="D294" s="67"/>
    </row>
    <row r="295">
      <c r="D295" s="67"/>
    </row>
    <row r="296">
      <c r="D296" s="67"/>
    </row>
    <row r="297">
      <c r="D297" s="67"/>
    </row>
    <row r="298">
      <c r="D298" s="67"/>
    </row>
    <row r="299">
      <c r="D299" s="67"/>
    </row>
    <row r="300">
      <c r="D300" s="67"/>
    </row>
    <row r="301">
      <c r="D301" s="67"/>
    </row>
    <row r="302">
      <c r="D302" s="67"/>
    </row>
    <row r="303">
      <c r="D303" s="67"/>
    </row>
    <row r="304">
      <c r="D304" s="67"/>
    </row>
    <row r="305">
      <c r="D305" s="67"/>
    </row>
    <row r="306">
      <c r="D306" s="67"/>
    </row>
    <row r="307">
      <c r="D307" s="67"/>
    </row>
    <row r="308">
      <c r="D308" s="67"/>
    </row>
    <row r="309">
      <c r="D309" s="67"/>
    </row>
    <row r="310">
      <c r="D310" s="67"/>
    </row>
    <row r="311">
      <c r="D311" s="67"/>
    </row>
    <row r="312">
      <c r="D312" s="67"/>
    </row>
    <row r="313">
      <c r="D313" s="67"/>
    </row>
    <row r="314">
      <c r="D314" s="67"/>
    </row>
    <row r="315">
      <c r="D315" s="67"/>
    </row>
    <row r="316">
      <c r="D316" s="67"/>
    </row>
    <row r="317">
      <c r="D317" s="67"/>
    </row>
    <row r="318">
      <c r="D318" s="67"/>
    </row>
    <row r="319">
      <c r="D319" s="67"/>
    </row>
    <row r="320">
      <c r="D320" s="67"/>
    </row>
    <row r="321">
      <c r="D321" s="67"/>
    </row>
    <row r="322">
      <c r="D322" s="67"/>
    </row>
    <row r="323">
      <c r="D323" s="67"/>
    </row>
    <row r="324">
      <c r="D324" s="67"/>
    </row>
    <row r="325">
      <c r="D325" s="67"/>
    </row>
    <row r="326">
      <c r="D326" s="67"/>
    </row>
    <row r="327">
      <c r="D327" s="67"/>
    </row>
    <row r="328">
      <c r="D328" s="67"/>
    </row>
    <row r="329">
      <c r="D329" s="67"/>
    </row>
    <row r="330">
      <c r="D330" s="67"/>
    </row>
    <row r="331">
      <c r="D331" s="67"/>
    </row>
    <row r="332">
      <c r="D332" s="67"/>
    </row>
    <row r="333">
      <c r="D333" s="67"/>
    </row>
    <row r="334">
      <c r="D334" s="67"/>
    </row>
    <row r="335">
      <c r="D335" s="67"/>
    </row>
    <row r="336">
      <c r="D336" s="67"/>
    </row>
    <row r="337">
      <c r="D337" s="67"/>
    </row>
    <row r="338">
      <c r="D338" s="67"/>
    </row>
    <row r="339">
      <c r="D339" s="67"/>
    </row>
    <row r="340">
      <c r="D340" s="67"/>
    </row>
    <row r="341">
      <c r="D341" s="67"/>
    </row>
    <row r="342">
      <c r="D342" s="67"/>
    </row>
    <row r="343">
      <c r="D343" s="67"/>
    </row>
    <row r="344">
      <c r="D344" s="67"/>
    </row>
    <row r="345">
      <c r="D345" s="67"/>
    </row>
    <row r="346">
      <c r="D346" s="67"/>
    </row>
    <row r="347">
      <c r="D347" s="67"/>
    </row>
    <row r="348">
      <c r="D348" s="67"/>
    </row>
    <row r="349">
      <c r="D349" s="67"/>
    </row>
    <row r="350">
      <c r="D350" s="67"/>
    </row>
    <row r="351">
      <c r="D351" s="67"/>
    </row>
    <row r="352">
      <c r="D352" s="67"/>
    </row>
    <row r="353">
      <c r="D353" s="67"/>
    </row>
    <row r="354">
      <c r="D354" s="67"/>
    </row>
    <row r="355">
      <c r="D355" s="67"/>
    </row>
    <row r="356">
      <c r="D356" s="67"/>
    </row>
    <row r="357">
      <c r="D357" s="67"/>
    </row>
    <row r="358">
      <c r="D358" s="67"/>
    </row>
    <row r="359">
      <c r="D359" s="67"/>
    </row>
    <row r="360">
      <c r="D360" s="67"/>
    </row>
    <row r="361">
      <c r="D361" s="67"/>
    </row>
    <row r="362">
      <c r="D362" s="67"/>
    </row>
    <row r="363">
      <c r="D363" s="67"/>
    </row>
    <row r="364">
      <c r="D364" s="67"/>
    </row>
    <row r="365">
      <c r="D365" s="67"/>
    </row>
    <row r="366">
      <c r="D366" s="67"/>
    </row>
    <row r="367">
      <c r="D367" s="67"/>
    </row>
    <row r="368">
      <c r="D368" s="67"/>
    </row>
    <row r="369">
      <c r="D369" s="67"/>
    </row>
    <row r="370">
      <c r="D370" s="67"/>
    </row>
    <row r="371">
      <c r="D371" s="67"/>
    </row>
    <row r="372">
      <c r="D372" s="67"/>
    </row>
    <row r="373">
      <c r="D373" s="67"/>
    </row>
    <row r="374">
      <c r="D374" s="67"/>
    </row>
    <row r="375">
      <c r="D375" s="67"/>
    </row>
    <row r="376">
      <c r="D376" s="67"/>
    </row>
    <row r="377">
      <c r="D377" s="67"/>
    </row>
    <row r="378">
      <c r="D378" s="67"/>
    </row>
    <row r="379">
      <c r="D379" s="67"/>
    </row>
    <row r="380">
      <c r="D380" s="67"/>
    </row>
    <row r="381">
      <c r="D381" s="67"/>
    </row>
    <row r="382">
      <c r="D382" s="67"/>
    </row>
    <row r="383">
      <c r="D383" s="67"/>
    </row>
    <row r="384">
      <c r="D384" s="67"/>
    </row>
    <row r="385">
      <c r="D385" s="67"/>
    </row>
    <row r="386">
      <c r="D386" s="67"/>
    </row>
    <row r="387">
      <c r="D387" s="67"/>
    </row>
    <row r="388">
      <c r="D388" s="67"/>
    </row>
    <row r="389">
      <c r="D389" s="67"/>
    </row>
    <row r="390">
      <c r="D390" s="67"/>
    </row>
    <row r="391">
      <c r="D391" s="67"/>
    </row>
    <row r="392">
      <c r="D392" s="67"/>
    </row>
    <row r="393">
      <c r="D393" s="67"/>
    </row>
    <row r="394">
      <c r="D394" s="67"/>
    </row>
    <row r="395">
      <c r="D395" s="67"/>
    </row>
    <row r="396">
      <c r="D396" s="67"/>
    </row>
    <row r="397">
      <c r="D397" s="67"/>
    </row>
    <row r="398">
      <c r="D398" s="67"/>
    </row>
    <row r="399">
      <c r="D399" s="67"/>
    </row>
    <row r="400">
      <c r="D400" s="67"/>
    </row>
    <row r="401">
      <c r="D401" s="67"/>
    </row>
    <row r="402">
      <c r="D402" s="67"/>
    </row>
    <row r="403">
      <c r="D403" s="67"/>
    </row>
    <row r="404">
      <c r="D404" s="67"/>
    </row>
    <row r="405">
      <c r="D405" s="67"/>
    </row>
    <row r="406">
      <c r="D406" s="67"/>
    </row>
    <row r="407">
      <c r="D407" s="67"/>
    </row>
    <row r="408">
      <c r="D408" s="67"/>
    </row>
    <row r="409">
      <c r="D409" s="67"/>
    </row>
    <row r="410">
      <c r="D410" s="67"/>
    </row>
    <row r="411">
      <c r="D411" s="67"/>
    </row>
    <row r="412">
      <c r="D412" s="67"/>
    </row>
    <row r="413">
      <c r="D413" s="67"/>
    </row>
    <row r="414">
      <c r="D414" s="67"/>
    </row>
    <row r="415">
      <c r="D415" s="67"/>
    </row>
    <row r="416">
      <c r="D416" s="67"/>
    </row>
    <row r="417">
      <c r="D417" s="67"/>
    </row>
    <row r="418">
      <c r="D418" s="67"/>
    </row>
    <row r="419">
      <c r="D419" s="67"/>
    </row>
    <row r="420">
      <c r="D420" s="67"/>
    </row>
    <row r="421">
      <c r="D421" s="67"/>
    </row>
    <row r="422">
      <c r="D422" s="67"/>
    </row>
    <row r="423">
      <c r="D423" s="67"/>
    </row>
    <row r="424">
      <c r="D424" s="67"/>
    </row>
    <row r="425">
      <c r="D425" s="67"/>
    </row>
    <row r="426">
      <c r="D426" s="67"/>
    </row>
    <row r="427">
      <c r="D427" s="67"/>
    </row>
    <row r="428">
      <c r="D428" s="67"/>
    </row>
    <row r="429">
      <c r="D429" s="67"/>
    </row>
    <row r="430">
      <c r="D430" s="67"/>
    </row>
    <row r="431">
      <c r="D431" s="67"/>
    </row>
    <row r="432">
      <c r="D432" s="67"/>
    </row>
    <row r="433">
      <c r="D433" s="67"/>
    </row>
    <row r="434">
      <c r="D434" s="67"/>
    </row>
    <row r="435">
      <c r="D435" s="67"/>
    </row>
    <row r="436">
      <c r="D436" s="67"/>
    </row>
    <row r="437">
      <c r="D437" s="67"/>
    </row>
    <row r="438">
      <c r="D438" s="67"/>
    </row>
    <row r="439">
      <c r="D439" s="67"/>
    </row>
    <row r="440">
      <c r="D440" s="67"/>
    </row>
    <row r="441">
      <c r="D441" s="67"/>
    </row>
    <row r="442">
      <c r="D442" s="67"/>
    </row>
    <row r="443">
      <c r="D443" s="67"/>
    </row>
    <row r="444">
      <c r="D444" s="67"/>
    </row>
    <row r="445">
      <c r="D445" s="67"/>
    </row>
    <row r="446">
      <c r="D446" s="67"/>
    </row>
    <row r="447">
      <c r="D447" s="67"/>
    </row>
    <row r="448">
      <c r="D448" s="67"/>
    </row>
    <row r="449">
      <c r="D449" s="67"/>
    </row>
    <row r="450">
      <c r="D450" s="67"/>
    </row>
    <row r="451">
      <c r="D451" s="67"/>
    </row>
    <row r="452">
      <c r="D452" s="67"/>
    </row>
    <row r="453">
      <c r="D453" s="67"/>
    </row>
    <row r="454">
      <c r="D454" s="67"/>
    </row>
    <row r="455">
      <c r="D455" s="67"/>
    </row>
    <row r="456">
      <c r="D456" s="67"/>
    </row>
    <row r="457">
      <c r="D457" s="67"/>
    </row>
    <row r="458">
      <c r="D458" s="67"/>
    </row>
    <row r="459">
      <c r="D459" s="67"/>
    </row>
    <row r="460">
      <c r="D460" s="67"/>
    </row>
    <row r="461">
      <c r="D461" s="67"/>
    </row>
    <row r="462">
      <c r="D462" s="67"/>
    </row>
    <row r="463">
      <c r="D463" s="67"/>
    </row>
    <row r="464">
      <c r="D464" s="67"/>
    </row>
    <row r="465">
      <c r="D465" s="67"/>
    </row>
    <row r="466">
      <c r="D466" s="67"/>
    </row>
    <row r="467">
      <c r="D467" s="67"/>
    </row>
    <row r="468">
      <c r="D468" s="67"/>
    </row>
    <row r="469">
      <c r="D469" s="67"/>
    </row>
    <row r="470">
      <c r="D470" s="67"/>
    </row>
    <row r="471">
      <c r="D471" s="67"/>
    </row>
    <row r="472">
      <c r="D472" s="67"/>
    </row>
    <row r="473">
      <c r="D473" s="67"/>
    </row>
    <row r="474">
      <c r="D474" s="67"/>
    </row>
    <row r="475">
      <c r="D475" s="67"/>
    </row>
    <row r="476">
      <c r="D476" s="67"/>
    </row>
    <row r="477">
      <c r="D477" s="67"/>
    </row>
    <row r="478">
      <c r="D478" s="67"/>
    </row>
    <row r="479">
      <c r="D479" s="67"/>
    </row>
    <row r="480">
      <c r="D480" s="67"/>
    </row>
    <row r="481">
      <c r="D481" s="67"/>
    </row>
    <row r="482">
      <c r="D482" s="67"/>
    </row>
    <row r="483">
      <c r="D483" s="67"/>
    </row>
    <row r="484">
      <c r="D484" s="67"/>
    </row>
    <row r="485">
      <c r="D485" s="67"/>
    </row>
    <row r="486">
      <c r="D486" s="67"/>
    </row>
    <row r="487">
      <c r="D487" s="67"/>
    </row>
    <row r="488">
      <c r="D488" s="67"/>
    </row>
    <row r="489">
      <c r="D489" s="67"/>
    </row>
    <row r="490">
      <c r="D490" s="67"/>
    </row>
    <row r="491">
      <c r="D491" s="67"/>
    </row>
    <row r="492">
      <c r="D492" s="67"/>
    </row>
    <row r="493">
      <c r="D493" s="67"/>
    </row>
    <row r="494">
      <c r="D494" s="67"/>
    </row>
    <row r="495">
      <c r="D495" s="67"/>
    </row>
    <row r="496">
      <c r="D496" s="67"/>
    </row>
    <row r="497">
      <c r="D497" s="67"/>
    </row>
    <row r="498">
      <c r="D498" s="67"/>
    </row>
    <row r="499">
      <c r="D499" s="67"/>
    </row>
    <row r="500">
      <c r="D500" s="67"/>
    </row>
    <row r="501">
      <c r="D501" s="67"/>
    </row>
    <row r="502">
      <c r="D502" s="67"/>
    </row>
    <row r="503">
      <c r="D503" s="67"/>
    </row>
    <row r="504">
      <c r="D504" s="67"/>
    </row>
    <row r="505">
      <c r="D505" s="67"/>
    </row>
    <row r="506">
      <c r="D506" s="67"/>
    </row>
    <row r="507">
      <c r="D507" s="67"/>
    </row>
    <row r="508">
      <c r="D508" s="67"/>
    </row>
    <row r="509">
      <c r="D509" s="67"/>
    </row>
    <row r="510">
      <c r="D510" s="67"/>
    </row>
    <row r="511">
      <c r="D511" s="67"/>
    </row>
    <row r="512">
      <c r="D512" s="67"/>
    </row>
    <row r="513">
      <c r="D513" s="67"/>
    </row>
    <row r="514">
      <c r="D514" s="67"/>
    </row>
    <row r="515">
      <c r="D515" s="67"/>
    </row>
    <row r="516">
      <c r="D516" s="67"/>
    </row>
    <row r="517">
      <c r="D517" s="67"/>
    </row>
    <row r="518">
      <c r="D518" s="67"/>
    </row>
    <row r="519">
      <c r="D519" s="67"/>
    </row>
    <row r="520">
      <c r="D520" s="67"/>
    </row>
    <row r="521">
      <c r="D521" s="67"/>
    </row>
    <row r="522">
      <c r="D522" s="67"/>
    </row>
    <row r="523">
      <c r="D523" s="67"/>
    </row>
    <row r="524">
      <c r="D524" s="67"/>
    </row>
    <row r="525">
      <c r="D525" s="67"/>
    </row>
    <row r="526">
      <c r="D526" s="67"/>
    </row>
    <row r="527">
      <c r="D527" s="67"/>
    </row>
    <row r="528">
      <c r="D528" s="67"/>
    </row>
    <row r="529">
      <c r="D529" s="67"/>
    </row>
    <row r="530">
      <c r="D530" s="67"/>
    </row>
    <row r="531">
      <c r="D531" s="67"/>
    </row>
    <row r="532">
      <c r="D532" s="67"/>
    </row>
    <row r="533">
      <c r="D533" s="67"/>
    </row>
    <row r="534">
      <c r="D534" s="67"/>
    </row>
    <row r="535">
      <c r="D535" s="67"/>
    </row>
    <row r="536">
      <c r="D536" s="67"/>
    </row>
    <row r="537">
      <c r="D537" s="67"/>
    </row>
    <row r="538">
      <c r="D538" s="67"/>
    </row>
    <row r="539">
      <c r="D539" s="67"/>
    </row>
    <row r="540">
      <c r="D540" s="67"/>
    </row>
    <row r="541">
      <c r="D541" s="67"/>
    </row>
    <row r="542">
      <c r="D542" s="67"/>
    </row>
    <row r="543">
      <c r="D543" s="67"/>
    </row>
    <row r="544">
      <c r="D544" s="67"/>
    </row>
    <row r="545">
      <c r="D545" s="67"/>
    </row>
    <row r="546">
      <c r="D546" s="67"/>
    </row>
    <row r="547">
      <c r="D547" s="67"/>
    </row>
    <row r="548">
      <c r="D548" s="67"/>
    </row>
    <row r="549">
      <c r="D549" s="67"/>
    </row>
    <row r="550">
      <c r="D550" s="67"/>
    </row>
    <row r="551">
      <c r="D551" s="67"/>
    </row>
    <row r="552">
      <c r="D552" s="67"/>
    </row>
    <row r="553">
      <c r="D553" s="67"/>
    </row>
    <row r="554">
      <c r="D554" s="67"/>
    </row>
    <row r="555">
      <c r="D555" s="67"/>
    </row>
    <row r="556">
      <c r="D556" s="67"/>
    </row>
    <row r="557">
      <c r="D557" s="67"/>
    </row>
    <row r="558">
      <c r="D558" s="67"/>
    </row>
    <row r="559">
      <c r="D559" s="67"/>
    </row>
    <row r="560">
      <c r="D560" s="67"/>
    </row>
    <row r="561">
      <c r="D561" s="67"/>
    </row>
    <row r="562">
      <c r="D562" s="67"/>
    </row>
    <row r="563">
      <c r="D563" s="67"/>
    </row>
    <row r="564">
      <c r="D564" s="67"/>
    </row>
    <row r="565">
      <c r="D565" s="67"/>
    </row>
    <row r="566">
      <c r="D566" s="67"/>
    </row>
    <row r="567">
      <c r="D567" s="67"/>
    </row>
    <row r="568">
      <c r="D568" s="67"/>
    </row>
    <row r="569">
      <c r="D569" s="67"/>
    </row>
    <row r="570">
      <c r="D570" s="67"/>
    </row>
    <row r="571">
      <c r="D571" s="67"/>
    </row>
    <row r="572">
      <c r="D572" s="67"/>
    </row>
    <row r="573">
      <c r="D573" s="67"/>
    </row>
    <row r="574">
      <c r="D574" s="67"/>
    </row>
    <row r="575">
      <c r="D575" s="67"/>
    </row>
    <row r="576">
      <c r="D576" s="67"/>
    </row>
    <row r="577">
      <c r="D577" s="67"/>
    </row>
    <row r="578">
      <c r="D578" s="67"/>
    </row>
    <row r="579">
      <c r="D579" s="67"/>
    </row>
    <row r="580">
      <c r="D580" s="67"/>
    </row>
    <row r="581">
      <c r="D581" s="67"/>
    </row>
    <row r="582">
      <c r="D582" s="67"/>
    </row>
    <row r="583">
      <c r="D583" s="67"/>
    </row>
    <row r="584">
      <c r="D584" s="67"/>
    </row>
    <row r="585">
      <c r="D585" s="67"/>
    </row>
    <row r="586">
      <c r="D586" s="67"/>
    </row>
    <row r="587">
      <c r="D587" s="67"/>
    </row>
    <row r="588">
      <c r="D588" s="67"/>
    </row>
    <row r="589">
      <c r="D589" s="67"/>
    </row>
    <row r="590">
      <c r="D590" s="67"/>
    </row>
    <row r="591">
      <c r="D591" s="67"/>
    </row>
    <row r="592">
      <c r="D592" s="67"/>
    </row>
    <row r="593">
      <c r="D593" s="67"/>
    </row>
    <row r="594">
      <c r="D594" s="67"/>
    </row>
    <row r="595">
      <c r="D595" s="67"/>
    </row>
    <row r="596">
      <c r="D596" s="67"/>
    </row>
    <row r="597">
      <c r="D597" s="67"/>
    </row>
    <row r="598">
      <c r="D598" s="67"/>
    </row>
    <row r="599">
      <c r="D599" s="67"/>
    </row>
    <row r="600">
      <c r="D600" s="67"/>
    </row>
    <row r="601">
      <c r="D601" s="67"/>
    </row>
    <row r="602">
      <c r="D602" s="67"/>
    </row>
    <row r="603">
      <c r="D603" s="67"/>
    </row>
    <row r="604">
      <c r="D604" s="67"/>
    </row>
    <row r="605">
      <c r="D605" s="67"/>
    </row>
    <row r="606">
      <c r="D606" s="67"/>
    </row>
    <row r="607">
      <c r="D607" s="67"/>
    </row>
    <row r="608">
      <c r="D608" s="67"/>
    </row>
    <row r="609">
      <c r="D609" s="67"/>
    </row>
    <row r="610">
      <c r="D610" s="67"/>
    </row>
    <row r="611">
      <c r="D611" s="67"/>
    </row>
    <row r="612">
      <c r="D612" s="67"/>
    </row>
    <row r="613">
      <c r="D613" s="67"/>
    </row>
    <row r="614">
      <c r="D614" s="67"/>
    </row>
    <row r="615">
      <c r="D615" s="67"/>
    </row>
    <row r="616">
      <c r="D616" s="67"/>
    </row>
    <row r="617">
      <c r="D617" s="67"/>
    </row>
    <row r="618">
      <c r="D618" s="67"/>
    </row>
    <row r="619">
      <c r="D619" s="67"/>
    </row>
    <row r="620">
      <c r="D620" s="67"/>
    </row>
    <row r="621">
      <c r="D621" s="67"/>
    </row>
    <row r="622">
      <c r="D622" s="67"/>
    </row>
    <row r="623">
      <c r="D623" s="67"/>
    </row>
    <row r="624">
      <c r="D624" s="67"/>
    </row>
    <row r="625">
      <c r="D625" s="67"/>
    </row>
    <row r="626">
      <c r="D626" s="67"/>
    </row>
    <row r="627">
      <c r="D627" s="67"/>
    </row>
    <row r="628">
      <c r="D628" s="67"/>
    </row>
    <row r="629">
      <c r="D629" s="67"/>
    </row>
    <row r="630">
      <c r="D630" s="67"/>
    </row>
    <row r="631">
      <c r="D631" s="67"/>
    </row>
    <row r="632">
      <c r="D632" s="67"/>
    </row>
    <row r="633">
      <c r="D633" s="67"/>
    </row>
    <row r="634">
      <c r="D634" s="67"/>
    </row>
    <row r="635">
      <c r="D635" s="67"/>
    </row>
    <row r="636">
      <c r="D636" s="67"/>
    </row>
    <row r="637">
      <c r="D637" s="67"/>
    </row>
    <row r="638">
      <c r="D638" s="67"/>
    </row>
    <row r="639">
      <c r="D639" s="67"/>
    </row>
    <row r="640">
      <c r="D640" s="67"/>
    </row>
    <row r="641">
      <c r="D641" s="67"/>
    </row>
    <row r="642">
      <c r="D642" s="67"/>
    </row>
    <row r="643">
      <c r="D643" s="67"/>
    </row>
    <row r="644">
      <c r="D644" s="67"/>
    </row>
    <row r="645">
      <c r="D645" s="67"/>
    </row>
    <row r="646">
      <c r="D646" s="67"/>
    </row>
    <row r="647">
      <c r="D647" s="67"/>
    </row>
    <row r="648">
      <c r="D648" s="67"/>
    </row>
    <row r="649">
      <c r="D649" s="67"/>
    </row>
    <row r="650">
      <c r="D650" s="67"/>
    </row>
    <row r="651">
      <c r="D651" s="67"/>
    </row>
    <row r="652">
      <c r="D652" s="67"/>
    </row>
    <row r="653">
      <c r="D653" s="67"/>
    </row>
    <row r="654">
      <c r="D654" s="67"/>
    </row>
    <row r="655">
      <c r="D655" s="67"/>
    </row>
    <row r="656">
      <c r="D656" s="67"/>
    </row>
    <row r="657">
      <c r="D657" s="67"/>
    </row>
    <row r="658">
      <c r="D658" s="67"/>
    </row>
    <row r="659">
      <c r="D659" s="67"/>
    </row>
    <row r="660">
      <c r="D660" s="67"/>
    </row>
    <row r="661">
      <c r="D661" s="67"/>
    </row>
    <row r="662">
      <c r="D662" s="67"/>
    </row>
    <row r="663">
      <c r="D663" s="67"/>
    </row>
    <row r="664">
      <c r="D664" s="67"/>
    </row>
    <row r="665">
      <c r="D665" s="67"/>
    </row>
    <row r="666">
      <c r="D666" s="67"/>
    </row>
    <row r="667">
      <c r="D667" s="67"/>
    </row>
    <row r="668">
      <c r="D668" s="67"/>
    </row>
    <row r="669">
      <c r="D669" s="67"/>
    </row>
    <row r="670">
      <c r="D670" s="67"/>
    </row>
    <row r="671">
      <c r="D671" s="67"/>
    </row>
    <row r="672">
      <c r="D672" s="67"/>
    </row>
    <row r="673">
      <c r="D673" s="67"/>
    </row>
    <row r="674">
      <c r="D674" s="67"/>
    </row>
    <row r="675">
      <c r="D675" s="67"/>
    </row>
    <row r="676">
      <c r="D676" s="67"/>
    </row>
    <row r="677">
      <c r="D677" s="67"/>
    </row>
    <row r="678">
      <c r="D678" s="67"/>
    </row>
    <row r="679">
      <c r="D679" s="67"/>
    </row>
    <row r="680">
      <c r="D680" s="67"/>
    </row>
    <row r="681">
      <c r="D681" s="67"/>
    </row>
    <row r="682">
      <c r="D682" s="67"/>
    </row>
    <row r="683">
      <c r="D683" s="67"/>
    </row>
    <row r="684">
      <c r="D684" s="67"/>
    </row>
    <row r="685">
      <c r="D685" s="67"/>
    </row>
    <row r="686">
      <c r="D686" s="67"/>
    </row>
    <row r="687">
      <c r="D687" s="67"/>
    </row>
    <row r="688">
      <c r="D688" s="67"/>
    </row>
    <row r="689">
      <c r="D689" s="67"/>
    </row>
    <row r="690">
      <c r="D690" s="67"/>
    </row>
    <row r="691">
      <c r="D691" s="67"/>
    </row>
    <row r="692">
      <c r="D692" s="67"/>
    </row>
    <row r="693">
      <c r="D693" s="67"/>
    </row>
    <row r="694">
      <c r="D694" s="67"/>
    </row>
    <row r="695">
      <c r="D695" s="67"/>
    </row>
    <row r="696">
      <c r="D696" s="67"/>
    </row>
    <row r="697">
      <c r="D697" s="67"/>
    </row>
    <row r="698">
      <c r="D698" s="67"/>
    </row>
    <row r="699">
      <c r="D699" s="67"/>
    </row>
    <row r="700">
      <c r="D700" s="67"/>
    </row>
    <row r="701">
      <c r="D701" s="67"/>
    </row>
    <row r="702">
      <c r="D702" s="67"/>
    </row>
    <row r="703">
      <c r="D703" s="67"/>
    </row>
    <row r="704">
      <c r="D704" s="67"/>
    </row>
    <row r="705">
      <c r="D705" s="67"/>
    </row>
    <row r="706">
      <c r="D706" s="67"/>
    </row>
    <row r="707">
      <c r="D707" s="67"/>
    </row>
    <row r="708">
      <c r="D708" s="67"/>
    </row>
    <row r="709">
      <c r="D709" s="67"/>
    </row>
    <row r="710">
      <c r="D710" s="67"/>
    </row>
    <row r="711">
      <c r="D711" s="67"/>
    </row>
    <row r="712">
      <c r="D712" s="67"/>
    </row>
    <row r="713">
      <c r="D713" s="67"/>
    </row>
    <row r="714">
      <c r="D714" s="67"/>
    </row>
    <row r="715">
      <c r="D715" s="67"/>
    </row>
    <row r="716">
      <c r="D716" s="67"/>
    </row>
    <row r="717">
      <c r="D717" s="67"/>
    </row>
    <row r="718">
      <c r="D718" s="67"/>
    </row>
    <row r="719">
      <c r="D719" s="67"/>
    </row>
    <row r="720">
      <c r="D720" s="67"/>
    </row>
    <row r="721">
      <c r="D721" s="67"/>
    </row>
    <row r="722">
      <c r="D722" s="67"/>
    </row>
    <row r="723">
      <c r="D723" s="67"/>
    </row>
    <row r="724">
      <c r="D724" s="67"/>
    </row>
    <row r="725">
      <c r="D725" s="67"/>
    </row>
    <row r="726">
      <c r="D726" s="67"/>
    </row>
    <row r="727">
      <c r="D727" s="67"/>
    </row>
    <row r="728">
      <c r="D728" s="67"/>
    </row>
    <row r="729">
      <c r="D729" s="67"/>
    </row>
    <row r="730">
      <c r="D730" s="67"/>
    </row>
    <row r="731">
      <c r="D731" s="67"/>
    </row>
    <row r="732">
      <c r="D732" s="67"/>
    </row>
    <row r="733">
      <c r="D733" s="67"/>
    </row>
    <row r="734">
      <c r="D734" s="67"/>
    </row>
    <row r="735">
      <c r="D735" s="67"/>
    </row>
    <row r="736">
      <c r="D736" s="67"/>
    </row>
    <row r="737">
      <c r="D737" s="67"/>
    </row>
    <row r="738">
      <c r="D738" s="67"/>
    </row>
    <row r="739">
      <c r="D739" s="67"/>
    </row>
    <row r="740">
      <c r="D740" s="67"/>
    </row>
    <row r="741">
      <c r="D741" s="67"/>
    </row>
    <row r="742">
      <c r="D742" s="67"/>
    </row>
    <row r="743">
      <c r="D743" s="67"/>
    </row>
    <row r="744">
      <c r="D744" s="67"/>
    </row>
    <row r="745">
      <c r="D745" s="67"/>
    </row>
    <row r="746">
      <c r="D746" s="67"/>
    </row>
    <row r="747">
      <c r="D747" s="67"/>
    </row>
    <row r="748">
      <c r="D748" s="67"/>
    </row>
    <row r="749">
      <c r="D749" s="67"/>
    </row>
    <row r="750">
      <c r="D750" s="67"/>
    </row>
    <row r="751">
      <c r="D751" s="67"/>
    </row>
    <row r="752">
      <c r="D752" s="67"/>
    </row>
    <row r="753">
      <c r="D753" s="67"/>
    </row>
    <row r="754">
      <c r="D754" s="67"/>
    </row>
    <row r="755">
      <c r="D755" s="67"/>
    </row>
    <row r="756">
      <c r="D756" s="67"/>
    </row>
    <row r="757">
      <c r="D757" s="67"/>
    </row>
    <row r="758">
      <c r="D758" s="67"/>
    </row>
    <row r="759">
      <c r="D759" s="67"/>
    </row>
    <row r="760">
      <c r="D760" s="67"/>
    </row>
    <row r="761">
      <c r="D761" s="67"/>
    </row>
    <row r="762">
      <c r="D762" s="67"/>
    </row>
    <row r="763">
      <c r="D763" s="67"/>
    </row>
    <row r="764">
      <c r="D764" s="67"/>
    </row>
    <row r="765">
      <c r="D765" s="67"/>
    </row>
    <row r="766">
      <c r="D766" s="67"/>
    </row>
    <row r="767">
      <c r="D767" s="67"/>
    </row>
    <row r="768">
      <c r="D768" s="67"/>
    </row>
    <row r="769">
      <c r="D769" s="67"/>
    </row>
    <row r="770">
      <c r="D770" s="67"/>
    </row>
    <row r="771">
      <c r="D771" s="67"/>
    </row>
    <row r="772">
      <c r="D772" s="67"/>
    </row>
    <row r="773">
      <c r="D773" s="67"/>
    </row>
    <row r="774">
      <c r="D774" s="67"/>
    </row>
    <row r="775">
      <c r="D775" s="67"/>
    </row>
    <row r="776">
      <c r="D776" s="67"/>
    </row>
    <row r="777">
      <c r="D777" s="67"/>
    </row>
    <row r="778">
      <c r="D778" s="67"/>
    </row>
    <row r="779">
      <c r="D779" s="67"/>
    </row>
    <row r="780">
      <c r="D780" s="67"/>
    </row>
    <row r="781">
      <c r="D781" s="67"/>
    </row>
    <row r="782">
      <c r="D782" s="67"/>
    </row>
    <row r="783">
      <c r="D783" s="67"/>
    </row>
    <row r="784">
      <c r="D784" s="67"/>
    </row>
    <row r="785">
      <c r="D785" s="67"/>
    </row>
    <row r="786">
      <c r="D786" s="67"/>
    </row>
    <row r="787">
      <c r="D787" s="67"/>
    </row>
    <row r="788">
      <c r="D788" s="67"/>
    </row>
    <row r="789">
      <c r="D789" s="67"/>
    </row>
    <row r="790">
      <c r="D790" s="67"/>
    </row>
    <row r="791">
      <c r="D791" s="67"/>
    </row>
    <row r="792">
      <c r="D792" s="67"/>
    </row>
    <row r="793">
      <c r="D793" s="67"/>
    </row>
    <row r="794">
      <c r="D794" s="67"/>
    </row>
    <row r="795">
      <c r="D795" s="67"/>
    </row>
    <row r="796">
      <c r="D796" s="67"/>
    </row>
    <row r="797">
      <c r="D797" s="67"/>
    </row>
    <row r="798">
      <c r="D798" s="67"/>
    </row>
    <row r="799">
      <c r="D799" s="67"/>
    </row>
    <row r="800">
      <c r="D800" s="67"/>
    </row>
    <row r="801">
      <c r="D801" s="67"/>
    </row>
    <row r="802">
      <c r="D802" s="67"/>
    </row>
    <row r="803">
      <c r="D803" s="67"/>
    </row>
    <row r="804">
      <c r="D804" s="67"/>
    </row>
    <row r="805">
      <c r="D805" s="67"/>
    </row>
    <row r="806">
      <c r="D806" s="67"/>
    </row>
    <row r="807">
      <c r="D807" s="67"/>
    </row>
    <row r="808">
      <c r="D808" s="67"/>
    </row>
    <row r="809">
      <c r="D809" s="67"/>
    </row>
    <row r="810">
      <c r="D810" s="67"/>
    </row>
    <row r="811">
      <c r="D811" s="67"/>
    </row>
    <row r="812">
      <c r="D812" s="67"/>
    </row>
    <row r="813">
      <c r="D813" s="67"/>
    </row>
    <row r="814">
      <c r="D814" s="67"/>
    </row>
    <row r="815">
      <c r="D815" s="67"/>
    </row>
    <row r="816">
      <c r="D816" s="67"/>
    </row>
    <row r="817">
      <c r="D817" s="67"/>
    </row>
    <row r="818">
      <c r="D818" s="67"/>
    </row>
    <row r="819">
      <c r="D819" s="67"/>
    </row>
    <row r="820">
      <c r="D820" s="67"/>
    </row>
    <row r="821">
      <c r="D821" s="67"/>
    </row>
    <row r="822">
      <c r="D822" s="67"/>
    </row>
    <row r="823">
      <c r="D823" s="67"/>
    </row>
    <row r="824">
      <c r="D824" s="67"/>
    </row>
    <row r="825">
      <c r="D825" s="67"/>
    </row>
    <row r="826">
      <c r="D826" s="67"/>
    </row>
    <row r="827">
      <c r="D827" s="67"/>
    </row>
    <row r="828">
      <c r="D828" s="67"/>
    </row>
    <row r="829">
      <c r="D829" s="67"/>
    </row>
    <row r="830">
      <c r="D830" s="67"/>
    </row>
    <row r="831">
      <c r="D831" s="67"/>
    </row>
    <row r="832">
      <c r="D832" s="67"/>
    </row>
    <row r="833">
      <c r="D833" s="67"/>
    </row>
    <row r="834">
      <c r="D834" s="67"/>
    </row>
    <row r="835">
      <c r="D835" s="67"/>
    </row>
    <row r="836">
      <c r="D836" s="67"/>
    </row>
    <row r="837">
      <c r="D837" s="67"/>
    </row>
    <row r="838">
      <c r="D838" s="67"/>
    </row>
    <row r="839">
      <c r="D839" s="67"/>
    </row>
    <row r="840">
      <c r="D840" s="67"/>
    </row>
    <row r="841">
      <c r="D841" s="67"/>
    </row>
    <row r="842">
      <c r="D842" s="67"/>
    </row>
    <row r="843">
      <c r="D843" s="67"/>
    </row>
    <row r="844">
      <c r="D844" s="67"/>
    </row>
    <row r="845">
      <c r="D845" s="67"/>
    </row>
    <row r="846">
      <c r="D846" s="67"/>
    </row>
    <row r="847">
      <c r="D847" s="67"/>
    </row>
    <row r="848">
      <c r="D848" s="67"/>
    </row>
    <row r="849">
      <c r="D849" s="67"/>
    </row>
    <row r="850">
      <c r="D850" s="67"/>
    </row>
    <row r="851">
      <c r="D851" s="67"/>
    </row>
    <row r="852">
      <c r="D852" s="67"/>
    </row>
    <row r="853">
      <c r="D853" s="67"/>
    </row>
    <row r="854">
      <c r="D854" s="67"/>
    </row>
    <row r="855">
      <c r="D855" s="67"/>
    </row>
    <row r="856">
      <c r="D856" s="67"/>
    </row>
    <row r="857">
      <c r="D857" s="67"/>
    </row>
    <row r="858">
      <c r="D858" s="67"/>
    </row>
    <row r="859">
      <c r="D859" s="67"/>
    </row>
    <row r="860">
      <c r="D860" s="67"/>
    </row>
    <row r="861">
      <c r="D861" s="67"/>
    </row>
    <row r="862">
      <c r="D862" s="67"/>
    </row>
    <row r="863">
      <c r="D863" s="67"/>
    </row>
    <row r="864">
      <c r="D864" s="67"/>
    </row>
    <row r="865">
      <c r="D865" s="67"/>
    </row>
    <row r="866">
      <c r="D866" s="67"/>
    </row>
    <row r="867">
      <c r="D867" s="67"/>
    </row>
    <row r="868">
      <c r="D868" s="67"/>
    </row>
    <row r="869">
      <c r="D869" s="67"/>
    </row>
    <row r="870">
      <c r="D870" s="67"/>
    </row>
    <row r="871">
      <c r="D871" s="67"/>
    </row>
    <row r="872">
      <c r="D872" s="67"/>
    </row>
    <row r="873">
      <c r="D873" s="67"/>
    </row>
    <row r="874">
      <c r="D874" s="67"/>
    </row>
    <row r="875">
      <c r="D875" s="67"/>
    </row>
    <row r="876">
      <c r="D876" s="67"/>
    </row>
    <row r="877">
      <c r="D877" s="67"/>
    </row>
    <row r="878">
      <c r="D878" s="67"/>
    </row>
    <row r="879">
      <c r="D879" s="67"/>
    </row>
    <row r="880">
      <c r="D880" s="67"/>
    </row>
    <row r="881">
      <c r="D881" s="67"/>
    </row>
    <row r="882">
      <c r="D882" s="67"/>
    </row>
    <row r="883">
      <c r="D883" s="67"/>
    </row>
    <row r="884">
      <c r="D884" s="67"/>
    </row>
    <row r="885">
      <c r="D885" s="67"/>
    </row>
    <row r="886">
      <c r="D886" s="67"/>
    </row>
    <row r="887">
      <c r="D887" s="67"/>
    </row>
    <row r="888">
      <c r="D888" s="67"/>
    </row>
    <row r="889">
      <c r="D889" s="67"/>
    </row>
    <row r="890">
      <c r="D890" s="67"/>
    </row>
    <row r="891">
      <c r="D891" s="67"/>
    </row>
    <row r="892">
      <c r="D892" s="67"/>
    </row>
    <row r="893">
      <c r="D893" s="67"/>
    </row>
    <row r="894">
      <c r="D894" s="67"/>
    </row>
    <row r="895">
      <c r="D895" s="67"/>
    </row>
    <row r="896">
      <c r="D896" s="67"/>
    </row>
    <row r="897">
      <c r="D897" s="67"/>
    </row>
    <row r="898">
      <c r="D898" s="67"/>
    </row>
    <row r="899">
      <c r="D899" s="67"/>
    </row>
    <row r="900">
      <c r="D900" s="67"/>
    </row>
    <row r="901">
      <c r="D901" s="67"/>
    </row>
    <row r="902">
      <c r="D902" s="67"/>
    </row>
    <row r="903">
      <c r="D903" s="67"/>
    </row>
    <row r="904">
      <c r="D904" s="67"/>
    </row>
    <row r="905">
      <c r="D905" s="67"/>
    </row>
    <row r="906">
      <c r="D906" s="67"/>
    </row>
    <row r="907">
      <c r="D907" s="67"/>
    </row>
    <row r="908">
      <c r="D908" s="67"/>
    </row>
    <row r="909">
      <c r="D909" s="67"/>
    </row>
    <row r="910">
      <c r="D910" s="67"/>
    </row>
    <row r="911">
      <c r="D911" s="67"/>
    </row>
    <row r="912">
      <c r="D912" s="67"/>
    </row>
    <row r="913">
      <c r="D913" s="67"/>
    </row>
    <row r="914">
      <c r="D914" s="67"/>
    </row>
    <row r="915">
      <c r="D915" s="67"/>
    </row>
    <row r="916">
      <c r="D916" s="67"/>
    </row>
    <row r="917">
      <c r="D917" s="67"/>
    </row>
    <row r="918">
      <c r="D918" s="67"/>
    </row>
    <row r="919">
      <c r="D919" s="67"/>
    </row>
    <row r="920">
      <c r="D920" s="67"/>
    </row>
    <row r="921">
      <c r="D921" s="67"/>
    </row>
    <row r="922">
      <c r="D922" s="67"/>
    </row>
    <row r="923">
      <c r="D923" s="67"/>
    </row>
    <row r="924">
      <c r="D924" s="67"/>
    </row>
    <row r="925">
      <c r="D925" s="67"/>
    </row>
    <row r="926">
      <c r="D926" s="67"/>
    </row>
    <row r="927">
      <c r="D927" s="67"/>
    </row>
    <row r="928">
      <c r="D928" s="67"/>
    </row>
    <row r="929">
      <c r="D929" s="67"/>
    </row>
    <row r="930">
      <c r="D930" s="67"/>
    </row>
    <row r="931">
      <c r="D931" s="67"/>
    </row>
    <row r="932">
      <c r="D932" s="67"/>
    </row>
    <row r="933">
      <c r="D933" s="67"/>
    </row>
    <row r="934">
      <c r="D934" s="67"/>
    </row>
    <row r="935">
      <c r="D935" s="67"/>
    </row>
    <row r="936">
      <c r="D936" s="67"/>
    </row>
    <row r="937">
      <c r="D937" s="67"/>
    </row>
    <row r="938">
      <c r="D938" s="67"/>
    </row>
    <row r="939">
      <c r="D939" s="67"/>
    </row>
    <row r="940">
      <c r="D940" s="67"/>
    </row>
    <row r="941">
      <c r="D941" s="67"/>
    </row>
    <row r="942">
      <c r="D942" s="67"/>
    </row>
    <row r="943">
      <c r="D943" s="67"/>
    </row>
    <row r="944">
      <c r="D944" s="67"/>
    </row>
    <row r="945">
      <c r="D945" s="67"/>
    </row>
    <row r="946">
      <c r="D946" s="67"/>
    </row>
    <row r="947">
      <c r="D947" s="67"/>
    </row>
    <row r="948">
      <c r="D948" s="67"/>
    </row>
    <row r="949">
      <c r="D949" s="67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</dataValidation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3" max="3" width="8.5"/>
    <col customWidth="1" min="4" max="4" width="24.5"/>
    <col customWidth="1" min="5" max="5" width="24.88"/>
    <col customWidth="1" min="7" max="7" width="15.5"/>
    <col customWidth="1" min="8" max="8" width="17.25"/>
    <col customWidth="1" min="9" max="9" width="29.63"/>
    <col customWidth="1" min="10" max="10" width="11.5"/>
    <col customWidth="1" min="11" max="11" width="26.38"/>
    <col customWidth="1" min="12" max="12" width="12.0"/>
    <col customWidth="1" min="13" max="13" width="15.25"/>
    <col customWidth="1" min="14" max="14" width="15.5"/>
    <col customWidth="1" min="15" max="15" width="14.88"/>
    <col customWidth="1" min="16" max="16" width="19.38"/>
  </cols>
  <sheetData>
    <row r="1" ht="36.0" customHeight="1">
      <c r="A1" s="1" t="s">
        <v>4206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31.5" customHeight="1">
      <c r="A2" s="36" t="s">
        <v>4207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633" t="s">
        <v>19</v>
      </c>
      <c r="H3" s="8" t="s">
        <v>6</v>
      </c>
      <c r="I3" s="8" t="s">
        <v>7</v>
      </c>
      <c r="J3" s="9" t="s">
        <v>8</v>
      </c>
      <c r="K3" s="10" t="s">
        <v>9</v>
      </c>
      <c r="L3" s="10" t="s">
        <v>9</v>
      </c>
      <c r="M3" s="11" t="s">
        <v>20</v>
      </c>
      <c r="N3" s="8" t="s">
        <v>25</v>
      </c>
      <c r="O3" s="8" t="s">
        <v>26</v>
      </c>
      <c r="P3" s="8" t="s">
        <v>27</v>
      </c>
      <c r="Q3" s="9" t="s">
        <v>28</v>
      </c>
      <c r="R3" s="6" t="s">
        <v>29</v>
      </c>
      <c r="S3" s="9" t="s">
        <v>30</v>
      </c>
    </row>
    <row r="4">
      <c r="A4" s="12" t="s">
        <v>10</v>
      </c>
      <c r="B4" s="13">
        <v>45923.0</v>
      </c>
      <c r="C4" s="14" t="s">
        <v>4208</v>
      </c>
      <c r="D4" s="37" t="s">
        <v>65</v>
      </c>
      <c r="E4" s="14" t="s">
        <v>4209</v>
      </c>
      <c r="F4" s="15">
        <v>0.3333333333333333</v>
      </c>
      <c r="G4" s="634" t="s">
        <v>4210</v>
      </c>
      <c r="H4" s="635">
        <v>7.04008867806863E14</v>
      </c>
      <c r="I4" s="636" t="s">
        <v>4211</v>
      </c>
      <c r="J4" s="637">
        <v>17338.0</v>
      </c>
      <c r="K4" s="638" t="s">
        <v>4212</v>
      </c>
      <c r="L4" s="635">
        <v>176.0</v>
      </c>
      <c r="M4" s="41" t="s">
        <v>41</v>
      </c>
      <c r="N4" s="42" t="s">
        <v>4213</v>
      </c>
      <c r="O4" s="43" t="s">
        <v>179</v>
      </c>
      <c r="P4" s="46"/>
      <c r="Q4" s="45"/>
      <c r="R4" s="46"/>
      <c r="S4" s="47"/>
    </row>
    <row r="5">
      <c r="A5" s="12" t="s">
        <v>11</v>
      </c>
      <c r="B5" s="13">
        <v>45923.0</v>
      </c>
      <c r="C5" s="14" t="s">
        <v>4208</v>
      </c>
      <c r="D5" s="37" t="s">
        <v>65</v>
      </c>
      <c r="E5" s="14" t="s">
        <v>4209</v>
      </c>
      <c r="F5" s="15">
        <v>0.3541666666666667</v>
      </c>
      <c r="G5" s="634" t="s">
        <v>4214</v>
      </c>
      <c r="H5" s="635">
        <v>7.000062218182E14</v>
      </c>
      <c r="I5" s="636" t="s">
        <v>4215</v>
      </c>
      <c r="J5" s="637">
        <v>21732.0</v>
      </c>
      <c r="K5" s="638" t="s">
        <v>4216</v>
      </c>
      <c r="L5" s="41">
        <v>51.0</v>
      </c>
      <c r="M5" s="41" t="s">
        <v>41</v>
      </c>
      <c r="N5" s="42" t="s">
        <v>4217</v>
      </c>
      <c r="O5" s="50"/>
      <c r="P5" s="51"/>
      <c r="Q5" s="52"/>
      <c r="R5" s="51"/>
      <c r="S5" s="53"/>
    </row>
    <row r="6">
      <c r="A6" s="12" t="s">
        <v>12</v>
      </c>
      <c r="B6" s="13">
        <v>45923.0</v>
      </c>
      <c r="C6" s="14" t="s">
        <v>4208</v>
      </c>
      <c r="D6" s="37" t="s">
        <v>65</v>
      </c>
      <c r="E6" s="14" t="s">
        <v>4209</v>
      </c>
      <c r="F6" s="15">
        <v>0.375</v>
      </c>
      <c r="G6" s="639" t="s">
        <v>4218</v>
      </c>
      <c r="H6" s="635">
        <v>7.01006862217499E14</v>
      </c>
      <c r="I6" s="636" t="s">
        <v>4219</v>
      </c>
      <c r="J6" s="640">
        <v>21990.0</v>
      </c>
      <c r="K6" s="641" t="s">
        <v>4220</v>
      </c>
      <c r="L6" s="41">
        <v>53.0</v>
      </c>
      <c r="M6" s="41" t="s">
        <v>41</v>
      </c>
      <c r="N6" s="42" t="s">
        <v>4221</v>
      </c>
      <c r="O6" s="54"/>
      <c r="P6" s="55"/>
      <c r="Q6" s="56"/>
      <c r="R6" s="55"/>
      <c r="S6" s="57"/>
    </row>
    <row r="7">
      <c r="A7" s="12" t="s">
        <v>13</v>
      </c>
      <c r="B7" s="13">
        <v>45923.0</v>
      </c>
      <c r="C7" s="14" t="s">
        <v>4208</v>
      </c>
      <c r="D7" s="37" t="s">
        <v>65</v>
      </c>
      <c r="E7" s="14" t="s">
        <v>4209</v>
      </c>
      <c r="F7" s="15">
        <v>0.3958333333333333</v>
      </c>
      <c r="G7" s="642" t="s">
        <v>4222</v>
      </c>
      <c r="H7" s="635">
        <v>7.03202621138095E14</v>
      </c>
      <c r="I7" s="636" t="s">
        <v>4223</v>
      </c>
      <c r="J7" s="640">
        <v>17442.0</v>
      </c>
      <c r="K7" s="636" t="s">
        <v>4224</v>
      </c>
      <c r="L7" s="41">
        <v>28.0</v>
      </c>
      <c r="M7" s="41" t="s">
        <v>41</v>
      </c>
      <c r="N7" s="42" t="s">
        <v>4225</v>
      </c>
      <c r="O7" s="50"/>
      <c r="P7" s="61"/>
      <c r="Q7" s="62"/>
      <c r="R7" s="61"/>
      <c r="S7" s="53"/>
    </row>
    <row r="8">
      <c r="A8" s="12" t="s">
        <v>14</v>
      </c>
      <c r="B8" s="13">
        <v>45923.0</v>
      </c>
      <c r="C8" s="14" t="s">
        <v>4208</v>
      </c>
      <c r="D8" s="37" t="s">
        <v>65</v>
      </c>
      <c r="E8" s="14" t="s">
        <v>4209</v>
      </c>
      <c r="F8" s="15">
        <v>0.4166666666666667</v>
      </c>
      <c r="G8" s="643" t="s">
        <v>4226</v>
      </c>
      <c r="H8" s="635">
        <v>8.01440488252852E14</v>
      </c>
      <c r="I8" s="636" t="s">
        <v>4227</v>
      </c>
      <c r="J8" s="640">
        <v>22472.0</v>
      </c>
      <c r="K8" s="636" t="s">
        <v>4228</v>
      </c>
      <c r="L8" s="41">
        <v>171.0</v>
      </c>
      <c r="M8" s="41" t="s">
        <v>41</v>
      </c>
      <c r="N8" s="42" t="s">
        <v>4229</v>
      </c>
      <c r="O8" s="63"/>
      <c r="P8" s="64"/>
      <c r="Q8" s="56"/>
      <c r="R8" s="64"/>
      <c r="S8" s="65"/>
    </row>
    <row r="9">
      <c r="A9" s="12" t="s">
        <v>15</v>
      </c>
      <c r="B9" s="13">
        <v>45923.0</v>
      </c>
      <c r="C9" s="14" t="s">
        <v>4208</v>
      </c>
      <c r="D9" s="37" t="s">
        <v>65</v>
      </c>
      <c r="E9" s="14" t="s">
        <v>4209</v>
      </c>
      <c r="F9" s="15">
        <v>0.4375</v>
      </c>
      <c r="G9" s="643" t="s">
        <v>4230</v>
      </c>
      <c r="H9" s="635">
        <v>2.03923184520004E14</v>
      </c>
      <c r="I9" s="636" t="s">
        <v>4231</v>
      </c>
      <c r="J9" s="640">
        <v>21336.0</v>
      </c>
      <c r="K9" s="636" t="s">
        <v>4232</v>
      </c>
      <c r="L9" s="41">
        <v>153.0</v>
      </c>
      <c r="M9" s="41" t="s">
        <v>36</v>
      </c>
      <c r="N9" s="42" t="s">
        <v>4233</v>
      </c>
      <c r="O9" s="50"/>
      <c r="P9" s="61" t="s">
        <v>4234</v>
      </c>
      <c r="Q9" s="62"/>
      <c r="R9" s="61"/>
      <c r="S9" s="53"/>
    </row>
    <row r="10">
      <c r="A10" s="12" t="s">
        <v>16</v>
      </c>
      <c r="B10" s="13">
        <v>45923.0</v>
      </c>
      <c r="C10" s="14" t="s">
        <v>4208</v>
      </c>
      <c r="D10" s="37" t="s">
        <v>65</v>
      </c>
      <c r="E10" s="14" t="s">
        <v>4209</v>
      </c>
      <c r="F10" s="15">
        <v>0.4583333333333333</v>
      </c>
      <c r="G10" s="643" t="s">
        <v>4235</v>
      </c>
      <c r="H10" s="635">
        <v>7.08609047431183E14</v>
      </c>
      <c r="I10" s="636" t="s">
        <v>4236</v>
      </c>
      <c r="J10" s="637">
        <v>27809.0</v>
      </c>
      <c r="K10" s="638" t="s">
        <v>4216</v>
      </c>
      <c r="L10" s="41">
        <v>93.0</v>
      </c>
      <c r="M10" s="41" t="s">
        <v>41</v>
      </c>
      <c r="N10" s="42" t="s">
        <v>4237</v>
      </c>
      <c r="O10" s="63"/>
      <c r="P10" s="64"/>
      <c r="Q10" s="56"/>
      <c r="R10" s="64"/>
      <c r="S10" s="155" t="s">
        <v>4238</v>
      </c>
    </row>
    <row r="11">
      <c r="A11" s="12" t="s">
        <v>17</v>
      </c>
      <c r="B11" s="13">
        <v>45923.0</v>
      </c>
      <c r="C11" s="14" t="s">
        <v>4208</v>
      </c>
      <c r="D11" s="37" t="s">
        <v>65</v>
      </c>
      <c r="E11" s="14" t="s">
        <v>4209</v>
      </c>
      <c r="F11" s="15">
        <v>0.4791666666666667</v>
      </c>
      <c r="G11" s="644" t="s">
        <v>4239</v>
      </c>
      <c r="H11" s="635">
        <v>8.01440407070244E14</v>
      </c>
      <c r="I11" s="636" t="s">
        <v>4240</v>
      </c>
      <c r="J11" s="637">
        <v>15018.0</v>
      </c>
      <c r="K11" s="638" t="s">
        <v>4224</v>
      </c>
      <c r="L11" s="41">
        <v>39.0</v>
      </c>
      <c r="M11" s="41" t="s">
        <v>41</v>
      </c>
      <c r="N11" s="42" t="s">
        <v>4241</v>
      </c>
      <c r="O11" s="50"/>
      <c r="P11" s="61"/>
      <c r="Q11" s="62"/>
      <c r="R11" s="61"/>
      <c r="S11" s="53"/>
    </row>
    <row r="12">
      <c r="G12" s="182"/>
    </row>
    <row r="13">
      <c r="G13" s="182"/>
    </row>
    <row r="14">
      <c r="G14" s="182"/>
    </row>
    <row r="15">
      <c r="G15" s="182"/>
    </row>
    <row r="16">
      <c r="G16" s="182"/>
    </row>
    <row r="17">
      <c r="G17" s="182"/>
    </row>
    <row r="18">
      <c r="G18" s="182"/>
    </row>
    <row r="19">
      <c r="G19" s="182"/>
    </row>
    <row r="20">
      <c r="G20" s="182"/>
    </row>
    <row r="21">
      <c r="G21" s="182"/>
    </row>
    <row r="22">
      <c r="G22" s="182"/>
    </row>
    <row r="23">
      <c r="G23" s="182"/>
    </row>
    <row r="24">
      <c r="G24" s="182"/>
    </row>
    <row r="25">
      <c r="G25" s="182"/>
    </row>
    <row r="26">
      <c r="G26" s="182"/>
    </row>
    <row r="27">
      <c r="G27" s="182"/>
    </row>
    <row r="28">
      <c r="G28" s="182"/>
    </row>
    <row r="29">
      <c r="G29" s="182"/>
    </row>
    <row r="30">
      <c r="G30" s="182"/>
    </row>
    <row r="31">
      <c r="G31" s="182"/>
    </row>
    <row r="32">
      <c r="G32" s="182"/>
    </row>
    <row r="33">
      <c r="G33" s="182"/>
    </row>
    <row r="34">
      <c r="G34" s="182"/>
    </row>
    <row r="35">
      <c r="G35" s="182"/>
    </row>
    <row r="36">
      <c r="G36" s="182"/>
    </row>
    <row r="37">
      <c r="G37" s="182"/>
    </row>
    <row r="38">
      <c r="G38" s="182"/>
    </row>
    <row r="39">
      <c r="G39" s="182"/>
    </row>
    <row r="40">
      <c r="G40" s="182"/>
    </row>
    <row r="41">
      <c r="G41" s="182"/>
    </row>
    <row r="42">
      <c r="G42" s="182"/>
    </row>
    <row r="43">
      <c r="G43" s="182"/>
    </row>
    <row r="44">
      <c r="G44" s="182"/>
    </row>
    <row r="45">
      <c r="G45" s="182"/>
    </row>
    <row r="46">
      <c r="G46" s="182"/>
    </row>
    <row r="47">
      <c r="G47" s="182"/>
    </row>
    <row r="48">
      <c r="G48" s="182"/>
    </row>
    <row r="49">
      <c r="G49" s="182"/>
    </row>
    <row r="50">
      <c r="G50" s="182"/>
    </row>
    <row r="51">
      <c r="G51" s="182"/>
    </row>
    <row r="52">
      <c r="G52" s="182"/>
    </row>
    <row r="53">
      <c r="G53" s="182"/>
    </row>
    <row r="54">
      <c r="G54" s="182"/>
    </row>
    <row r="55">
      <c r="G55" s="182"/>
    </row>
    <row r="56">
      <c r="G56" s="182"/>
    </row>
    <row r="57">
      <c r="G57" s="182"/>
    </row>
    <row r="58">
      <c r="G58" s="182"/>
    </row>
    <row r="59">
      <c r="G59" s="182"/>
    </row>
    <row r="60">
      <c r="G60" s="182"/>
    </row>
    <row r="61">
      <c r="G61" s="182"/>
    </row>
    <row r="62">
      <c r="G62" s="182"/>
    </row>
    <row r="63">
      <c r="G63" s="182"/>
    </row>
    <row r="64">
      <c r="G64" s="182"/>
    </row>
    <row r="65">
      <c r="G65" s="182"/>
    </row>
    <row r="66">
      <c r="G66" s="182"/>
    </row>
    <row r="67">
      <c r="G67" s="182"/>
    </row>
    <row r="68">
      <c r="G68" s="182"/>
    </row>
    <row r="69">
      <c r="G69" s="182"/>
    </row>
    <row r="70">
      <c r="G70" s="182"/>
    </row>
    <row r="71">
      <c r="G71" s="182"/>
    </row>
    <row r="72">
      <c r="G72" s="182"/>
    </row>
    <row r="73">
      <c r="G73" s="182"/>
    </row>
    <row r="74">
      <c r="G74" s="182"/>
    </row>
    <row r="75">
      <c r="G75" s="182"/>
    </row>
    <row r="76">
      <c r="G76" s="182"/>
    </row>
    <row r="77">
      <c r="G77" s="182"/>
    </row>
    <row r="78">
      <c r="G78" s="182"/>
    </row>
    <row r="79">
      <c r="G79" s="182"/>
    </row>
    <row r="80">
      <c r="G80" s="182"/>
    </row>
    <row r="81">
      <c r="G81" s="182"/>
    </row>
    <row r="82">
      <c r="G82" s="182"/>
    </row>
    <row r="83">
      <c r="G83" s="182"/>
    </row>
    <row r="84">
      <c r="G84" s="182"/>
    </row>
    <row r="85">
      <c r="G85" s="182"/>
    </row>
    <row r="86">
      <c r="G86" s="182"/>
    </row>
    <row r="87">
      <c r="G87" s="182"/>
    </row>
    <row r="88">
      <c r="G88" s="182"/>
    </row>
    <row r="89">
      <c r="G89" s="182"/>
    </row>
    <row r="90">
      <c r="G90" s="182"/>
    </row>
    <row r="91">
      <c r="G91" s="182"/>
    </row>
    <row r="92">
      <c r="G92" s="182"/>
    </row>
    <row r="93">
      <c r="G93" s="182"/>
    </row>
    <row r="94">
      <c r="G94" s="182"/>
    </row>
    <row r="95">
      <c r="G95" s="182"/>
    </row>
    <row r="96">
      <c r="G96" s="182"/>
    </row>
    <row r="97">
      <c r="G97" s="182"/>
    </row>
    <row r="98">
      <c r="G98" s="182"/>
    </row>
    <row r="99">
      <c r="G99" s="182"/>
    </row>
    <row r="100">
      <c r="G100" s="182"/>
    </row>
    <row r="101">
      <c r="G101" s="182"/>
    </row>
    <row r="102">
      <c r="G102" s="182"/>
    </row>
    <row r="103">
      <c r="G103" s="182"/>
    </row>
    <row r="104">
      <c r="G104" s="182"/>
    </row>
    <row r="105">
      <c r="G105" s="182"/>
    </row>
    <row r="106">
      <c r="G106" s="182"/>
    </row>
    <row r="107">
      <c r="G107" s="182"/>
    </row>
    <row r="108">
      <c r="G108" s="182"/>
    </row>
    <row r="109">
      <c r="G109" s="182"/>
    </row>
    <row r="110">
      <c r="G110" s="182"/>
    </row>
    <row r="111">
      <c r="G111" s="182"/>
    </row>
    <row r="112">
      <c r="G112" s="182"/>
    </row>
    <row r="113">
      <c r="G113" s="182"/>
    </row>
    <row r="114">
      <c r="G114" s="182"/>
    </row>
    <row r="115">
      <c r="G115" s="182"/>
    </row>
    <row r="116">
      <c r="G116" s="182"/>
    </row>
    <row r="117">
      <c r="G117" s="182"/>
    </row>
    <row r="118">
      <c r="G118" s="182"/>
    </row>
    <row r="119">
      <c r="G119" s="182"/>
    </row>
    <row r="120">
      <c r="G120" s="182"/>
    </row>
    <row r="121">
      <c r="G121" s="182"/>
    </row>
    <row r="122">
      <c r="G122" s="182"/>
    </row>
    <row r="123">
      <c r="G123" s="182"/>
    </row>
    <row r="124">
      <c r="G124" s="182"/>
    </row>
    <row r="125">
      <c r="G125" s="182"/>
    </row>
    <row r="126">
      <c r="G126" s="182"/>
    </row>
    <row r="127">
      <c r="G127" s="182"/>
    </row>
    <row r="128">
      <c r="G128" s="182"/>
    </row>
    <row r="129">
      <c r="G129" s="182"/>
    </row>
    <row r="130">
      <c r="G130" s="182"/>
    </row>
    <row r="131">
      <c r="G131" s="182"/>
    </row>
    <row r="132">
      <c r="G132" s="182"/>
    </row>
    <row r="133">
      <c r="G133" s="182"/>
    </row>
    <row r="134">
      <c r="G134" s="182"/>
    </row>
    <row r="135">
      <c r="G135" s="182"/>
    </row>
    <row r="136">
      <c r="G136" s="182"/>
    </row>
    <row r="137">
      <c r="G137" s="182"/>
    </row>
    <row r="138">
      <c r="G138" s="182"/>
    </row>
    <row r="139">
      <c r="G139" s="182"/>
    </row>
    <row r="140">
      <c r="G140" s="182"/>
    </row>
    <row r="141">
      <c r="G141" s="182"/>
    </row>
    <row r="142">
      <c r="G142" s="182"/>
    </row>
    <row r="143">
      <c r="G143" s="182"/>
    </row>
    <row r="144">
      <c r="G144" s="182"/>
    </row>
    <row r="145">
      <c r="G145" s="182"/>
    </row>
    <row r="146">
      <c r="G146" s="182"/>
    </row>
    <row r="147">
      <c r="G147" s="182"/>
    </row>
    <row r="148">
      <c r="G148" s="182"/>
    </row>
    <row r="149">
      <c r="G149" s="182"/>
    </row>
    <row r="150">
      <c r="G150" s="182"/>
    </row>
    <row r="151">
      <c r="G151" s="182"/>
    </row>
    <row r="152">
      <c r="G152" s="182"/>
    </row>
    <row r="153">
      <c r="G153" s="182"/>
    </row>
    <row r="154">
      <c r="G154" s="182"/>
    </row>
    <row r="155">
      <c r="G155" s="182"/>
    </row>
    <row r="156">
      <c r="G156" s="182"/>
    </row>
    <row r="157">
      <c r="G157" s="182"/>
    </row>
    <row r="158">
      <c r="G158" s="182"/>
    </row>
    <row r="159">
      <c r="G159" s="182"/>
    </row>
    <row r="160">
      <c r="G160" s="182"/>
    </row>
    <row r="161">
      <c r="G161" s="182"/>
    </row>
    <row r="162">
      <c r="G162" s="182"/>
    </row>
    <row r="163">
      <c r="G163" s="182"/>
    </row>
    <row r="164">
      <c r="G164" s="182"/>
    </row>
    <row r="165">
      <c r="G165" s="182"/>
    </row>
    <row r="166">
      <c r="G166" s="182"/>
    </row>
    <row r="167">
      <c r="G167" s="182"/>
    </row>
    <row r="168">
      <c r="G168" s="182"/>
    </row>
    <row r="169">
      <c r="G169" s="182"/>
    </row>
    <row r="170">
      <c r="G170" s="182"/>
    </row>
    <row r="171">
      <c r="G171" s="182"/>
    </row>
    <row r="172">
      <c r="G172" s="182"/>
    </row>
    <row r="173">
      <c r="G173" s="182"/>
    </row>
    <row r="174">
      <c r="G174" s="182"/>
    </row>
    <row r="175">
      <c r="G175" s="182"/>
    </row>
    <row r="176">
      <c r="G176" s="182"/>
    </row>
    <row r="177">
      <c r="G177" s="182"/>
    </row>
    <row r="178">
      <c r="G178" s="182"/>
    </row>
    <row r="179">
      <c r="G179" s="182"/>
    </row>
    <row r="180">
      <c r="G180" s="182"/>
    </row>
    <row r="181">
      <c r="G181" s="182"/>
    </row>
    <row r="182">
      <c r="G182" s="182"/>
    </row>
    <row r="183">
      <c r="G183" s="182"/>
    </row>
    <row r="184">
      <c r="G184" s="182"/>
    </row>
    <row r="185">
      <c r="G185" s="182"/>
    </row>
    <row r="186">
      <c r="G186" s="182"/>
    </row>
    <row r="187">
      <c r="G187" s="182"/>
    </row>
    <row r="188">
      <c r="G188" s="182"/>
    </row>
    <row r="189">
      <c r="G189" s="182"/>
    </row>
    <row r="190">
      <c r="G190" s="182"/>
    </row>
    <row r="191">
      <c r="G191" s="182"/>
    </row>
    <row r="192">
      <c r="G192" s="182"/>
    </row>
    <row r="193">
      <c r="G193" s="182"/>
    </row>
    <row r="194">
      <c r="G194" s="182"/>
    </row>
    <row r="195">
      <c r="G195" s="182"/>
    </row>
    <row r="196">
      <c r="G196" s="182"/>
    </row>
    <row r="197">
      <c r="G197" s="182"/>
    </row>
    <row r="198">
      <c r="G198" s="182"/>
    </row>
    <row r="199">
      <c r="G199" s="182"/>
    </row>
    <row r="200">
      <c r="G200" s="182"/>
    </row>
    <row r="201">
      <c r="G201" s="182"/>
    </row>
    <row r="202">
      <c r="G202" s="182"/>
    </row>
    <row r="203">
      <c r="G203" s="182"/>
    </row>
    <row r="204">
      <c r="G204" s="182"/>
    </row>
    <row r="205">
      <c r="G205" s="182"/>
    </row>
    <row r="206">
      <c r="G206" s="182"/>
    </row>
    <row r="207">
      <c r="G207" s="182"/>
    </row>
    <row r="208">
      <c r="G208" s="182"/>
    </row>
    <row r="209">
      <c r="G209" s="182"/>
    </row>
    <row r="210">
      <c r="G210" s="182"/>
    </row>
    <row r="211">
      <c r="G211" s="182"/>
    </row>
    <row r="212">
      <c r="G212" s="182"/>
    </row>
    <row r="213">
      <c r="G213" s="182"/>
    </row>
    <row r="214">
      <c r="G214" s="182"/>
    </row>
    <row r="215">
      <c r="G215" s="182"/>
    </row>
    <row r="216">
      <c r="G216" s="182"/>
    </row>
    <row r="217">
      <c r="G217" s="182"/>
    </row>
    <row r="218">
      <c r="G218" s="182"/>
    </row>
    <row r="219">
      <c r="G219" s="182"/>
    </row>
    <row r="220">
      <c r="G220" s="182"/>
    </row>
    <row r="221">
      <c r="G221" s="182"/>
    </row>
    <row r="222">
      <c r="G222" s="182"/>
    </row>
    <row r="223">
      <c r="G223" s="182"/>
    </row>
    <row r="224">
      <c r="G224" s="182"/>
    </row>
    <row r="225">
      <c r="G225" s="182"/>
    </row>
    <row r="226">
      <c r="G226" s="182"/>
    </row>
    <row r="227">
      <c r="G227" s="182"/>
    </row>
    <row r="228">
      <c r="G228" s="182"/>
    </row>
    <row r="229">
      <c r="G229" s="182"/>
    </row>
    <row r="230">
      <c r="G230" s="182"/>
    </row>
    <row r="231">
      <c r="G231" s="182"/>
    </row>
    <row r="232">
      <c r="G232" s="182"/>
    </row>
    <row r="233">
      <c r="G233" s="182"/>
    </row>
    <row r="234">
      <c r="G234" s="182"/>
    </row>
    <row r="235">
      <c r="G235" s="182"/>
    </row>
    <row r="236">
      <c r="G236" s="182"/>
    </row>
    <row r="237">
      <c r="G237" s="182"/>
    </row>
    <row r="238">
      <c r="G238" s="182"/>
    </row>
    <row r="239">
      <c r="G239" s="182"/>
    </row>
    <row r="240">
      <c r="G240" s="182"/>
    </row>
    <row r="241">
      <c r="G241" s="182"/>
    </row>
    <row r="242">
      <c r="G242" s="182"/>
    </row>
    <row r="243">
      <c r="G243" s="182"/>
    </row>
    <row r="244">
      <c r="G244" s="182"/>
    </row>
    <row r="245">
      <c r="G245" s="182"/>
    </row>
    <row r="246">
      <c r="G246" s="182"/>
    </row>
    <row r="247">
      <c r="G247" s="182"/>
    </row>
    <row r="248">
      <c r="G248" s="182"/>
    </row>
    <row r="249">
      <c r="G249" s="182"/>
    </row>
    <row r="250">
      <c r="G250" s="182"/>
    </row>
    <row r="251">
      <c r="G251" s="182"/>
    </row>
    <row r="252">
      <c r="G252" s="182"/>
    </row>
    <row r="253">
      <c r="G253" s="182"/>
    </row>
    <row r="254">
      <c r="G254" s="182"/>
    </row>
    <row r="255">
      <c r="G255" s="182"/>
    </row>
    <row r="256">
      <c r="G256" s="182"/>
    </row>
    <row r="257">
      <c r="G257" s="182"/>
    </row>
    <row r="258">
      <c r="G258" s="182"/>
    </row>
    <row r="259">
      <c r="G259" s="182"/>
    </row>
    <row r="260">
      <c r="G260" s="182"/>
    </row>
    <row r="261">
      <c r="G261" s="182"/>
    </row>
    <row r="262">
      <c r="G262" s="182"/>
    </row>
    <row r="263">
      <c r="G263" s="182"/>
    </row>
    <row r="264">
      <c r="G264" s="182"/>
    </row>
    <row r="265">
      <c r="G265" s="182"/>
    </row>
    <row r="266">
      <c r="G266" s="182"/>
    </row>
    <row r="267">
      <c r="G267" s="182"/>
    </row>
    <row r="268">
      <c r="G268" s="182"/>
    </row>
    <row r="269">
      <c r="G269" s="182"/>
    </row>
    <row r="270">
      <c r="G270" s="182"/>
    </row>
    <row r="271">
      <c r="G271" s="182"/>
    </row>
    <row r="272">
      <c r="G272" s="182"/>
    </row>
    <row r="273">
      <c r="G273" s="182"/>
    </row>
    <row r="274">
      <c r="G274" s="182"/>
    </row>
    <row r="275">
      <c r="G275" s="182"/>
    </row>
    <row r="276">
      <c r="G276" s="182"/>
    </row>
    <row r="277">
      <c r="G277" s="182"/>
    </row>
    <row r="278">
      <c r="G278" s="182"/>
    </row>
    <row r="279">
      <c r="G279" s="182"/>
    </row>
    <row r="280">
      <c r="G280" s="182"/>
    </row>
    <row r="281">
      <c r="G281" s="182"/>
    </row>
    <row r="282">
      <c r="G282" s="182"/>
    </row>
    <row r="283">
      <c r="G283" s="182"/>
    </row>
    <row r="284">
      <c r="G284" s="182"/>
    </row>
    <row r="285">
      <c r="G285" s="182"/>
    </row>
    <row r="286">
      <c r="G286" s="182"/>
    </row>
    <row r="287">
      <c r="G287" s="182"/>
    </row>
    <row r="288">
      <c r="G288" s="182"/>
    </row>
    <row r="289">
      <c r="G289" s="182"/>
    </row>
    <row r="290">
      <c r="G290" s="182"/>
    </row>
    <row r="291">
      <c r="G291" s="182"/>
    </row>
    <row r="292">
      <c r="G292" s="182"/>
    </row>
    <row r="293">
      <c r="G293" s="182"/>
    </row>
    <row r="294">
      <c r="G294" s="182"/>
    </row>
    <row r="295">
      <c r="G295" s="182"/>
    </row>
    <row r="296">
      <c r="G296" s="182"/>
    </row>
    <row r="297">
      <c r="G297" s="182"/>
    </row>
    <row r="298">
      <c r="G298" s="182"/>
    </row>
    <row r="299">
      <c r="G299" s="182"/>
    </row>
    <row r="300">
      <c r="G300" s="182"/>
    </row>
    <row r="301">
      <c r="G301" s="182"/>
    </row>
    <row r="302">
      <c r="G302" s="182"/>
    </row>
    <row r="303">
      <c r="G303" s="182"/>
    </row>
    <row r="304">
      <c r="G304" s="182"/>
    </row>
    <row r="305">
      <c r="G305" s="182"/>
    </row>
    <row r="306">
      <c r="G306" s="182"/>
    </row>
    <row r="307">
      <c r="G307" s="182"/>
    </row>
    <row r="308">
      <c r="G308" s="182"/>
    </row>
    <row r="309">
      <c r="G309" s="182"/>
    </row>
    <row r="310">
      <c r="G310" s="182"/>
    </row>
    <row r="311">
      <c r="G311" s="182"/>
    </row>
    <row r="312">
      <c r="G312" s="182"/>
    </row>
    <row r="313">
      <c r="G313" s="182"/>
    </row>
    <row r="314">
      <c r="G314" s="182"/>
    </row>
    <row r="315">
      <c r="G315" s="182"/>
    </row>
    <row r="316">
      <c r="G316" s="182"/>
    </row>
    <row r="317">
      <c r="G317" s="182"/>
    </row>
    <row r="318">
      <c r="G318" s="182"/>
    </row>
    <row r="319">
      <c r="G319" s="182"/>
    </row>
    <row r="320">
      <c r="G320" s="182"/>
    </row>
    <row r="321">
      <c r="G321" s="182"/>
    </row>
    <row r="322">
      <c r="G322" s="182"/>
    </row>
    <row r="323">
      <c r="G323" s="182"/>
    </row>
    <row r="324">
      <c r="G324" s="182"/>
    </row>
    <row r="325">
      <c r="G325" s="182"/>
    </row>
    <row r="326">
      <c r="G326" s="182"/>
    </row>
    <row r="327">
      <c r="G327" s="182"/>
    </row>
    <row r="328">
      <c r="G328" s="182"/>
    </row>
    <row r="329">
      <c r="G329" s="182"/>
    </row>
    <row r="330">
      <c r="G330" s="182"/>
    </row>
    <row r="331">
      <c r="G331" s="182"/>
    </row>
    <row r="332">
      <c r="G332" s="182"/>
    </row>
    <row r="333">
      <c r="G333" s="182"/>
    </row>
    <row r="334">
      <c r="G334" s="182"/>
    </row>
    <row r="335">
      <c r="G335" s="182"/>
    </row>
    <row r="336">
      <c r="G336" s="182"/>
    </row>
    <row r="337">
      <c r="G337" s="182"/>
    </row>
    <row r="338">
      <c r="G338" s="182"/>
    </row>
    <row r="339">
      <c r="G339" s="182"/>
    </row>
    <row r="340">
      <c r="G340" s="182"/>
    </row>
    <row r="341">
      <c r="G341" s="182"/>
    </row>
    <row r="342">
      <c r="G342" s="182"/>
    </row>
    <row r="343">
      <c r="G343" s="182"/>
    </row>
    <row r="344">
      <c r="G344" s="182"/>
    </row>
    <row r="345">
      <c r="G345" s="182"/>
    </row>
    <row r="346">
      <c r="G346" s="182"/>
    </row>
    <row r="347">
      <c r="G347" s="182"/>
    </row>
    <row r="348">
      <c r="G348" s="182"/>
    </row>
    <row r="349">
      <c r="G349" s="182"/>
    </row>
    <row r="350">
      <c r="G350" s="182"/>
    </row>
    <row r="351">
      <c r="G351" s="182"/>
    </row>
    <row r="352">
      <c r="G352" s="182"/>
    </row>
    <row r="353">
      <c r="G353" s="182"/>
    </row>
    <row r="354">
      <c r="G354" s="182"/>
    </row>
    <row r="355">
      <c r="G355" s="182"/>
    </row>
    <row r="356">
      <c r="G356" s="182"/>
    </row>
    <row r="357">
      <c r="G357" s="182"/>
    </row>
    <row r="358">
      <c r="G358" s="182"/>
    </row>
    <row r="359">
      <c r="G359" s="182"/>
    </row>
    <row r="360">
      <c r="G360" s="182"/>
    </row>
    <row r="361">
      <c r="G361" s="182"/>
    </row>
    <row r="362">
      <c r="G362" s="182"/>
    </row>
    <row r="363">
      <c r="G363" s="182"/>
    </row>
    <row r="364">
      <c r="G364" s="182"/>
    </row>
    <row r="365">
      <c r="G365" s="182"/>
    </row>
    <row r="366">
      <c r="G366" s="182"/>
    </row>
    <row r="367">
      <c r="G367" s="182"/>
    </row>
    <row r="368">
      <c r="G368" s="182"/>
    </row>
    <row r="369">
      <c r="G369" s="182"/>
    </row>
    <row r="370">
      <c r="G370" s="182"/>
    </row>
    <row r="371">
      <c r="G371" s="182"/>
    </row>
    <row r="372">
      <c r="G372" s="182"/>
    </row>
    <row r="373">
      <c r="G373" s="182"/>
    </row>
    <row r="374">
      <c r="G374" s="182"/>
    </row>
    <row r="375">
      <c r="G375" s="182"/>
    </row>
    <row r="376">
      <c r="G376" s="182"/>
    </row>
    <row r="377">
      <c r="G377" s="182"/>
    </row>
    <row r="378">
      <c r="G378" s="182"/>
    </row>
    <row r="379">
      <c r="G379" s="182"/>
    </row>
    <row r="380">
      <c r="G380" s="182"/>
    </row>
    <row r="381">
      <c r="G381" s="182"/>
    </row>
    <row r="382">
      <c r="G382" s="182"/>
    </row>
    <row r="383">
      <c r="G383" s="182"/>
    </row>
    <row r="384">
      <c r="G384" s="182"/>
    </row>
    <row r="385">
      <c r="G385" s="182"/>
    </row>
    <row r="386">
      <c r="G386" s="182"/>
    </row>
    <row r="387">
      <c r="G387" s="182"/>
    </row>
    <row r="388">
      <c r="G388" s="182"/>
    </row>
    <row r="389">
      <c r="G389" s="182"/>
    </row>
    <row r="390">
      <c r="G390" s="182"/>
    </row>
    <row r="391">
      <c r="G391" s="182"/>
    </row>
    <row r="392">
      <c r="G392" s="182"/>
    </row>
    <row r="393">
      <c r="G393" s="182"/>
    </row>
    <row r="394">
      <c r="G394" s="182"/>
    </row>
    <row r="395">
      <c r="G395" s="182"/>
    </row>
    <row r="396">
      <c r="G396" s="182"/>
    </row>
    <row r="397">
      <c r="G397" s="182"/>
    </row>
    <row r="398">
      <c r="G398" s="182"/>
    </row>
    <row r="399">
      <c r="G399" s="182"/>
    </row>
    <row r="400">
      <c r="G400" s="182"/>
    </row>
    <row r="401">
      <c r="G401" s="182"/>
    </row>
    <row r="402">
      <c r="G402" s="182"/>
    </row>
    <row r="403">
      <c r="G403" s="182"/>
    </row>
    <row r="404">
      <c r="G404" s="182"/>
    </row>
    <row r="405">
      <c r="G405" s="182"/>
    </row>
    <row r="406">
      <c r="G406" s="182"/>
    </row>
    <row r="407">
      <c r="G407" s="182"/>
    </row>
    <row r="408">
      <c r="G408" s="182"/>
    </row>
    <row r="409">
      <c r="G409" s="182"/>
    </row>
    <row r="410">
      <c r="G410" s="182"/>
    </row>
    <row r="411">
      <c r="G411" s="182"/>
    </row>
    <row r="412">
      <c r="G412" s="182"/>
    </row>
    <row r="413">
      <c r="G413" s="182"/>
    </row>
    <row r="414">
      <c r="G414" s="182"/>
    </row>
    <row r="415">
      <c r="G415" s="182"/>
    </row>
    <row r="416">
      <c r="G416" s="182"/>
    </row>
    <row r="417">
      <c r="G417" s="182"/>
    </row>
    <row r="418">
      <c r="G418" s="182"/>
    </row>
    <row r="419">
      <c r="G419" s="182"/>
    </row>
    <row r="420">
      <c r="G420" s="182"/>
    </row>
    <row r="421">
      <c r="G421" s="182"/>
    </row>
    <row r="422">
      <c r="G422" s="182"/>
    </row>
    <row r="423">
      <c r="G423" s="182"/>
    </row>
    <row r="424">
      <c r="G424" s="182"/>
    </row>
    <row r="425">
      <c r="G425" s="182"/>
    </row>
    <row r="426">
      <c r="G426" s="182"/>
    </row>
    <row r="427">
      <c r="G427" s="182"/>
    </row>
    <row r="428">
      <c r="G428" s="182"/>
    </row>
    <row r="429">
      <c r="G429" s="182"/>
    </row>
    <row r="430">
      <c r="G430" s="182"/>
    </row>
    <row r="431">
      <c r="G431" s="182"/>
    </row>
    <row r="432">
      <c r="G432" s="182"/>
    </row>
    <row r="433">
      <c r="G433" s="182"/>
    </row>
    <row r="434">
      <c r="G434" s="182"/>
    </row>
    <row r="435">
      <c r="G435" s="182"/>
    </row>
    <row r="436">
      <c r="G436" s="182"/>
    </row>
    <row r="437">
      <c r="G437" s="182"/>
    </row>
    <row r="438">
      <c r="G438" s="182"/>
    </row>
    <row r="439">
      <c r="G439" s="182"/>
    </row>
    <row r="440">
      <c r="G440" s="182"/>
    </row>
    <row r="441">
      <c r="G441" s="182"/>
    </row>
    <row r="442">
      <c r="G442" s="182"/>
    </row>
    <row r="443">
      <c r="G443" s="182"/>
    </row>
    <row r="444">
      <c r="G444" s="182"/>
    </row>
    <row r="445">
      <c r="G445" s="182"/>
    </row>
    <row r="446">
      <c r="G446" s="182"/>
    </row>
    <row r="447">
      <c r="G447" s="182"/>
    </row>
    <row r="448">
      <c r="G448" s="182"/>
    </row>
    <row r="449">
      <c r="G449" s="182"/>
    </row>
    <row r="450">
      <c r="G450" s="182"/>
    </row>
    <row r="451">
      <c r="G451" s="182"/>
    </row>
    <row r="452">
      <c r="G452" s="182"/>
    </row>
    <row r="453">
      <c r="G453" s="182"/>
    </row>
    <row r="454">
      <c r="G454" s="182"/>
    </row>
    <row r="455">
      <c r="G455" s="182"/>
    </row>
    <row r="456">
      <c r="G456" s="182"/>
    </row>
    <row r="457">
      <c r="G457" s="182"/>
    </row>
    <row r="458">
      <c r="G458" s="182"/>
    </row>
    <row r="459">
      <c r="G459" s="182"/>
    </row>
    <row r="460">
      <c r="G460" s="182"/>
    </row>
    <row r="461">
      <c r="G461" s="182"/>
    </row>
    <row r="462">
      <c r="G462" s="182"/>
    </row>
    <row r="463">
      <c r="G463" s="182"/>
    </row>
    <row r="464">
      <c r="G464" s="182"/>
    </row>
    <row r="465">
      <c r="G465" s="182"/>
    </row>
    <row r="466">
      <c r="G466" s="182"/>
    </row>
    <row r="467">
      <c r="G467" s="182"/>
    </row>
    <row r="468">
      <c r="G468" s="182"/>
    </row>
    <row r="469">
      <c r="G469" s="182"/>
    </row>
    <row r="470">
      <c r="G470" s="182"/>
    </row>
    <row r="471">
      <c r="G471" s="182"/>
    </row>
    <row r="472">
      <c r="G472" s="182"/>
    </row>
    <row r="473">
      <c r="G473" s="182"/>
    </row>
    <row r="474">
      <c r="G474" s="182"/>
    </row>
    <row r="475">
      <c r="G475" s="182"/>
    </row>
    <row r="476">
      <c r="G476" s="182"/>
    </row>
    <row r="477">
      <c r="G477" s="182"/>
    </row>
    <row r="478">
      <c r="G478" s="182"/>
    </row>
    <row r="479">
      <c r="G479" s="182"/>
    </row>
    <row r="480">
      <c r="G480" s="182"/>
    </row>
    <row r="481">
      <c r="G481" s="182"/>
    </row>
    <row r="482">
      <c r="G482" s="182"/>
    </row>
    <row r="483">
      <c r="G483" s="182"/>
    </row>
    <row r="484">
      <c r="G484" s="182"/>
    </row>
    <row r="485">
      <c r="G485" s="182"/>
    </row>
    <row r="486">
      <c r="G486" s="182"/>
    </row>
    <row r="487">
      <c r="G487" s="182"/>
    </row>
    <row r="488">
      <c r="G488" s="182"/>
    </row>
    <row r="489">
      <c r="G489" s="182"/>
    </row>
    <row r="490">
      <c r="G490" s="182"/>
    </row>
    <row r="491">
      <c r="G491" s="182"/>
    </row>
    <row r="492">
      <c r="G492" s="182"/>
    </row>
    <row r="493">
      <c r="G493" s="182"/>
    </row>
    <row r="494">
      <c r="G494" s="182"/>
    </row>
    <row r="495">
      <c r="G495" s="182"/>
    </row>
    <row r="496">
      <c r="G496" s="182"/>
    </row>
    <row r="497">
      <c r="G497" s="182"/>
    </row>
    <row r="498">
      <c r="G498" s="182"/>
    </row>
    <row r="499">
      <c r="G499" s="182"/>
    </row>
    <row r="500">
      <c r="G500" s="182"/>
    </row>
    <row r="501">
      <c r="G501" s="182"/>
    </row>
    <row r="502">
      <c r="G502" s="182"/>
    </row>
    <row r="503">
      <c r="G503" s="182"/>
    </row>
    <row r="504">
      <c r="G504" s="182"/>
    </row>
    <row r="505">
      <c r="G505" s="182"/>
    </row>
    <row r="506">
      <c r="G506" s="182"/>
    </row>
    <row r="507">
      <c r="G507" s="182"/>
    </row>
    <row r="508">
      <c r="G508" s="182"/>
    </row>
    <row r="509">
      <c r="G509" s="182"/>
    </row>
    <row r="510">
      <c r="G510" s="182"/>
    </row>
    <row r="511">
      <c r="G511" s="182"/>
    </row>
    <row r="512">
      <c r="G512" s="182"/>
    </row>
    <row r="513">
      <c r="G513" s="182"/>
    </row>
    <row r="514">
      <c r="G514" s="182"/>
    </row>
    <row r="515">
      <c r="G515" s="182"/>
    </row>
    <row r="516">
      <c r="G516" s="182"/>
    </row>
    <row r="517">
      <c r="G517" s="182"/>
    </row>
    <row r="518">
      <c r="G518" s="182"/>
    </row>
    <row r="519">
      <c r="G519" s="182"/>
    </row>
    <row r="520">
      <c r="G520" s="182"/>
    </row>
    <row r="521">
      <c r="G521" s="182"/>
    </row>
    <row r="522">
      <c r="G522" s="182"/>
    </row>
    <row r="523">
      <c r="G523" s="182"/>
    </row>
    <row r="524">
      <c r="G524" s="182"/>
    </row>
    <row r="525">
      <c r="G525" s="182"/>
    </row>
    <row r="526">
      <c r="G526" s="182"/>
    </row>
    <row r="527">
      <c r="G527" s="182"/>
    </row>
    <row r="528">
      <c r="G528" s="182"/>
    </row>
    <row r="529">
      <c r="G529" s="182"/>
    </row>
    <row r="530">
      <c r="G530" s="182"/>
    </row>
    <row r="531">
      <c r="G531" s="182"/>
    </row>
    <row r="532">
      <c r="G532" s="182"/>
    </row>
    <row r="533">
      <c r="G533" s="182"/>
    </row>
    <row r="534">
      <c r="G534" s="182"/>
    </row>
    <row r="535">
      <c r="G535" s="182"/>
    </row>
    <row r="536">
      <c r="G536" s="182"/>
    </row>
    <row r="537">
      <c r="G537" s="182"/>
    </row>
    <row r="538">
      <c r="G538" s="182"/>
    </row>
    <row r="539">
      <c r="G539" s="182"/>
    </row>
    <row r="540">
      <c r="G540" s="182"/>
    </row>
    <row r="541">
      <c r="G541" s="182"/>
    </row>
    <row r="542">
      <c r="G542" s="182"/>
    </row>
    <row r="543">
      <c r="G543" s="182"/>
    </row>
    <row r="544">
      <c r="G544" s="182"/>
    </row>
    <row r="545">
      <c r="G545" s="182"/>
    </row>
    <row r="546">
      <c r="G546" s="182"/>
    </row>
    <row r="547">
      <c r="G547" s="182"/>
    </row>
    <row r="548">
      <c r="G548" s="182"/>
    </row>
    <row r="549">
      <c r="G549" s="182"/>
    </row>
    <row r="550">
      <c r="G550" s="182"/>
    </row>
    <row r="551">
      <c r="G551" s="182"/>
    </row>
    <row r="552">
      <c r="G552" s="182"/>
    </row>
    <row r="553">
      <c r="G553" s="182"/>
    </row>
    <row r="554">
      <c r="G554" s="182"/>
    </row>
    <row r="555">
      <c r="G555" s="182"/>
    </row>
    <row r="556">
      <c r="G556" s="182"/>
    </row>
    <row r="557">
      <c r="G557" s="182"/>
    </row>
    <row r="558">
      <c r="G558" s="182"/>
    </row>
    <row r="559">
      <c r="G559" s="182"/>
    </row>
    <row r="560">
      <c r="G560" s="182"/>
    </row>
    <row r="561">
      <c r="G561" s="182"/>
    </row>
    <row r="562">
      <c r="G562" s="182"/>
    </row>
    <row r="563">
      <c r="G563" s="182"/>
    </row>
    <row r="564">
      <c r="G564" s="182"/>
    </row>
    <row r="565">
      <c r="G565" s="182"/>
    </row>
    <row r="566">
      <c r="G566" s="182"/>
    </row>
    <row r="567">
      <c r="G567" s="182"/>
    </row>
    <row r="568">
      <c r="G568" s="182"/>
    </row>
    <row r="569">
      <c r="G569" s="182"/>
    </row>
    <row r="570">
      <c r="G570" s="182"/>
    </row>
    <row r="571">
      <c r="G571" s="182"/>
    </row>
    <row r="572">
      <c r="G572" s="182"/>
    </row>
    <row r="573">
      <c r="G573" s="182"/>
    </row>
    <row r="574">
      <c r="G574" s="182"/>
    </row>
    <row r="575">
      <c r="G575" s="182"/>
    </row>
    <row r="576">
      <c r="G576" s="182"/>
    </row>
    <row r="577">
      <c r="G577" s="182"/>
    </row>
    <row r="578">
      <c r="G578" s="182"/>
    </row>
    <row r="579">
      <c r="G579" s="182"/>
    </row>
    <row r="580">
      <c r="G580" s="182"/>
    </row>
    <row r="581">
      <c r="G581" s="182"/>
    </row>
    <row r="582">
      <c r="G582" s="182"/>
    </row>
    <row r="583">
      <c r="G583" s="182"/>
    </row>
    <row r="584">
      <c r="G584" s="182"/>
    </row>
    <row r="585">
      <c r="G585" s="182"/>
    </row>
    <row r="586">
      <c r="G586" s="182"/>
    </row>
    <row r="587">
      <c r="G587" s="182"/>
    </row>
    <row r="588">
      <c r="G588" s="182"/>
    </row>
    <row r="589">
      <c r="G589" s="182"/>
    </row>
    <row r="590">
      <c r="G590" s="182"/>
    </row>
    <row r="591">
      <c r="G591" s="182"/>
    </row>
    <row r="592">
      <c r="G592" s="182"/>
    </row>
    <row r="593">
      <c r="G593" s="182"/>
    </row>
    <row r="594">
      <c r="G594" s="182"/>
    </row>
    <row r="595">
      <c r="G595" s="182"/>
    </row>
    <row r="596">
      <c r="G596" s="182"/>
    </row>
    <row r="597">
      <c r="G597" s="182"/>
    </row>
    <row r="598">
      <c r="G598" s="182"/>
    </row>
    <row r="599">
      <c r="G599" s="182"/>
    </row>
    <row r="600">
      <c r="G600" s="182"/>
    </row>
    <row r="601">
      <c r="G601" s="182"/>
    </row>
    <row r="602">
      <c r="G602" s="182"/>
    </row>
    <row r="603">
      <c r="G603" s="182"/>
    </row>
    <row r="604">
      <c r="G604" s="182"/>
    </row>
    <row r="605">
      <c r="G605" s="182"/>
    </row>
    <row r="606">
      <c r="G606" s="182"/>
    </row>
    <row r="607">
      <c r="G607" s="182"/>
    </row>
    <row r="608">
      <c r="G608" s="182"/>
    </row>
    <row r="609">
      <c r="G609" s="182"/>
    </row>
    <row r="610">
      <c r="G610" s="182"/>
    </row>
    <row r="611">
      <c r="G611" s="182"/>
    </row>
    <row r="612">
      <c r="G612" s="182"/>
    </row>
    <row r="613">
      <c r="G613" s="182"/>
    </row>
    <row r="614">
      <c r="G614" s="182"/>
    </row>
    <row r="615">
      <c r="G615" s="182"/>
    </row>
    <row r="616">
      <c r="G616" s="182"/>
    </row>
    <row r="617">
      <c r="G617" s="182"/>
    </row>
    <row r="618">
      <c r="G618" s="182"/>
    </row>
    <row r="619">
      <c r="G619" s="182"/>
    </row>
    <row r="620">
      <c r="G620" s="182"/>
    </row>
    <row r="621">
      <c r="G621" s="182"/>
    </row>
    <row r="622">
      <c r="G622" s="182"/>
    </row>
    <row r="623">
      <c r="G623" s="182"/>
    </row>
    <row r="624">
      <c r="G624" s="182"/>
    </row>
    <row r="625">
      <c r="G625" s="182"/>
    </row>
    <row r="626">
      <c r="G626" s="182"/>
    </row>
    <row r="627">
      <c r="G627" s="182"/>
    </row>
    <row r="628">
      <c r="G628" s="182"/>
    </row>
    <row r="629">
      <c r="G629" s="182"/>
    </row>
    <row r="630">
      <c r="G630" s="182"/>
    </row>
    <row r="631">
      <c r="G631" s="182"/>
    </row>
    <row r="632">
      <c r="G632" s="182"/>
    </row>
    <row r="633">
      <c r="G633" s="182"/>
    </row>
    <row r="634">
      <c r="G634" s="182"/>
    </row>
    <row r="635">
      <c r="G635" s="182"/>
    </row>
    <row r="636">
      <c r="G636" s="182"/>
    </row>
    <row r="637">
      <c r="G637" s="182"/>
    </row>
    <row r="638">
      <c r="G638" s="182"/>
    </row>
    <row r="639">
      <c r="G639" s="182"/>
    </row>
    <row r="640">
      <c r="G640" s="182"/>
    </row>
    <row r="641">
      <c r="G641" s="182"/>
    </row>
    <row r="642">
      <c r="G642" s="182"/>
    </row>
    <row r="643">
      <c r="G643" s="182"/>
    </row>
    <row r="644">
      <c r="G644" s="182"/>
    </row>
    <row r="645">
      <c r="G645" s="182"/>
    </row>
    <row r="646">
      <c r="G646" s="182"/>
    </row>
    <row r="647">
      <c r="G647" s="182"/>
    </row>
    <row r="648">
      <c r="G648" s="182"/>
    </row>
    <row r="649">
      <c r="G649" s="182"/>
    </row>
    <row r="650">
      <c r="G650" s="182"/>
    </row>
    <row r="651">
      <c r="G651" s="182"/>
    </row>
    <row r="652">
      <c r="G652" s="182"/>
    </row>
    <row r="653">
      <c r="G653" s="182"/>
    </row>
    <row r="654">
      <c r="G654" s="182"/>
    </row>
    <row r="655">
      <c r="G655" s="182"/>
    </row>
    <row r="656">
      <c r="G656" s="182"/>
    </row>
    <row r="657">
      <c r="G657" s="182"/>
    </row>
    <row r="658">
      <c r="G658" s="182"/>
    </row>
    <row r="659">
      <c r="G659" s="182"/>
    </row>
    <row r="660">
      <c r="G660" s="182"/>
    </row>
    <row r="661">
      <c r="G661" s="182"/>
    </row>
    <row r="662">
      <c r="G662" s="182"/>
    </row>
    <row r="663">
      <c r="G663" s="182"/>
    </row>
    <row r="664">
      <c r="G664" s="182"/>
    </row>
    <row r="665">
      <c r="G665" s="182"/>
    </row>
    <row r="666">
      <c r="G666" s="182"/>
    </row>
    <row r="667">
      <c r="G667" s="182"/>
    </row>
    <row r="668">
      <c r="G668" s="182"/>
    </row>
    <row r="669">
      <c r="G669" s="182"/>
    </row>
    <row r="670">
      <c r="G670" s="182"/>
    </row>
    <row r="671">
      <c r="G671" s="182"/>
    </row>
    <row r="672">
      <c r="G672" s="182"/>
    </row>
    <row r="673">
      <c r="G673" s="182"/>
    </row>
    <row r="674">
      <c r="G674" s="182"/>
    </row>
    <row r="675">
      <c r="G675" s="182"/>
    </row>
    <row r="676">
      <c r="G676" s="182"/>
    </row>
    <row r="677">
      <c r="G677" s="182"/>
    </row>
    <row r="678">
      <c r="G678" s="182"/>
    </row>
    <row r="679">
      <c r="G679" s="182"/>
    </row>
    <row r="680">
      <c r="G680" s="182"/>
    </row>
    <row r="681">
      <c r="G681" s="182"/>
    </row>
    <row r="682">
      <c r="G682" s="182"/>
    </row>
    <row r="683">
      <c r="G683" s="182"/>
    </row>
    <row r="684">
      <c r="G684" s="182"/>
    </row>
    <row r="685">
      <c r="G685" s="182"/>
    </row>
    <row r="686">
      <c r="G686" s="182"/>
    </row>
    <row r="687">
      <c r="G687" s="182"/>
    </row>
    <row r="688">
      <c r="G688" s="182"/>
    </row>
    <row r="689">
      <c r="G689" s="182"/>
    </row>
    <row r="690">
      <c r="G690" s="182"/>
    </row>
    <row r="691">
      <c r="G691" s="182"/>
    </row>
    <row r="692">
      <c r="G692" s="182"/>
    </row>
    <row r="693">
      <c r="G693" s="182"/>
    </row>
    <row r="694">
      <c r="G694" s="182"/>
    </row>
    <row r="695">
      <c r="G695" s="182"/>
    </row>
    <row r="696">
      <c r="G696" s="182"/>
    </row>
    <row r="697">
      <c r="G697" s="182"/>
    </row>
    <row r="698">
      <c r="G698" s="182"/>
    </row>
    <row r="699">
      <c r="G699" s="182"/>
    </row>
    <row r="700">
      <c r="G700" s="182"/>
    </row>
    <row r="701">
      <c r="G701" s="182"/>
    </row>
    <row r="702">
      <c r="G702" s="182"/>
    </row>
    <row r="703">
      <c r="G703" s="182"/>
    </row>
    <row r="704">
      <c r="G704" s="182"/>
    </row>
    <row r="705">
      <c r="G705" s="182"/>
    </row>
    <row r="706">
      <c r="G706" s="182"/>
    </row>
    <row r="707">
      <c r="G707" s="182"/>
    </row>
    <row r="708">
      <c r="G708" s="182"/>
    </row>
    <row r="709">
      <c r="G709" s="182"/>
    </row>
    <row r="710">
      <c r="G710" s="182"/>
    </row>
    <row r="711">
      <c r="G711" s="182"/>
    </row>
    <row r="712">
      <c r="G712" s="182"/>
    </row>
    <row r="713">
      <c r="G713" s="182"/>
    </row>
    <row r="714">
      <c r="G714" s="182"/>
    </row>
    <row r="715">
      <c r="G715" s="182"/>
    </row>
    <row r="716">
      <c r="G716" s="182"/>
    </row>
    <row r="717">
      <c r="G717" s="182"/>
    </row>
    <row r="718">
      <c r="G718" s="182"/>
    </row>
    <row r="719">
      <c r="G719" s="182"/>
    </row>
    <row r="720">
      <c r="G720" s="182"/>
    </row>
    <row r="721">
      <c r="G721" s="182"/>
    </row>
    <row r="722">
      <c r="G722" s="182"/>
    </row>
    <row r="723">
      <c r="G723" s="182"/>
    </row>
    <row r="724">
      <c r="G724" s="182"/>
    </row>
    <row r="725">
      <c r="G725" s="182"/>
    </row>
    <row r="726">
      <c r="G726" s="182"/>
    </row>
    <row r="727">
      <c r="G727" s="182"/>
    </row>
    <row r="728">
      <c r="G728" s="182"/>
    </row>
    <row r="729">
      <c r="G729" s="182"/>
    </row>
    <row r="730">
      <c r="G730" s="182"/>
    </row>
    <row r="731">
      <c r="G731" s="182"/>
    </row>
    <row r="732">
      <c r="G732" s="182"/>
    </row>
    <row r="733">
      <c r="G733" s="182"/>
    </row>
    <row r="734">
      <c r="G734" s="182"/>
    </row>
    <row r="735">
      <c r="G735" s="182"/>
    </row>
    <row r="736">
      <c r="G736" s="182"/>
    </row>
    <row r="737">
      <c r="G737" s="182"/>
    </row>
    <row r="738">
      <c r="G738" s="182"/>
    </row>
    <row r="739">
      <c r="G739" s="182"/>
    </row>
    <row r="740">
      <c r="G740" s="182"/>
    </row>
    <row r="741">
      <c r="G741" s="182"/>
    </row>
    <row r="742">
      <c r="G742" s="182"/>
    </row>
    <row r="743">
      <c r="G743" s="182"/>
    </row>
    <row r="744">
      <c r="G744" s="182"/>
    </row>
    <row r="745">
      <c r="G745" s="182"/>
    </row>
    <row r="746">
      <c r="G746" s="182"/>
    </row>
    <row r="747">
      <c r="G747" s="182"/>
    </row>
    <row r="748">
      <c r="G748" s="182"/>
    </row>
    <row r="749">
      <c r="G749" s="182"/>
    </row>
    <row r="750">
      <c r="G750" s="182"/>
    </row>
    <row r="751">
      <c r="G751" s="182"/>
    </row>
    <row r="752">
      <c r="G752" s="182"/>
    </row>
    <row r="753">
      <c r="G753" s="182"/>
    </row>
    <row r="754">
      <c r="G754" s="182"/>
    </row>
    <row r="755">
      <c r="G755" s="182"/>
    </row>
    <row r="756">
      <c r="G756" s="182"/>
    </row>
    <row r="757">
      <c r="G757" s="182"/>
    </row>
    <row r="758">
      <c r="G758" s="182"/>
    </row>
    <row r="759">
      <c r="G759" s="182"/>
    </row>
    <row r="760">
      <c r="G760" s="182"/>
    </row>
    <row r="761">
      <c r="G761" s="182"/>
    </row>
    <row r="762">
      <c r="G762" s="182"/>
    </row>
    <row r="763">
      <c r="G763" s="182"/>
    </row>
    <row r="764">
      <c r="G764" s="182"/>
    </row>
    <row r="765">
      <c r="G765" s="182"/>
    </row>
    <row r="766">
      <c r="G766" s="182"/>
    </row>
    <row r="767">
      <c r="G767" s="182"/>
    </row>
    <row r="768">
      <c r="G768" s="182"/>
    </row>
    <row r="769">
      <c r="G769" s="182"/>
    </row>
    <row r="770">
      <c r="G770" s="182"/>
    </row>
    <row r="771">
      <c r="G771" s="182"/>
    </row>
    <row r="772">
      <c r="G772" s="182"/>
    </row>
    <row r="773">
      <c r="G773" s="182"/>
    </row>
    <row r="774">
      <c r="G774" s="182"/>
    </row>
    <row r="775">
      <c r="G775" s="182"/>
    </row>
    <row r="776">
      <c r="G776" s="182"/>
    </row>
    <row r="777">
      <c r="G777" s="182"/>
    </row>
    <row r="778">
      <c r="G778" s="182"/>
    </row>
    <row r="779">
      <c r="G779" s="182"/>
    </row>
    <row r="780">
      <c r="G780" s="182"/>
    </row>
    <row r="781">
      <c r="G781" s="182"/>
    </row>
    <row r="782">
      <c r="G782" s="182"/>
    </row>
    <row r="783">
      <c r="G783" s="182"/>
    </row>
    <row r="784">
      <c r="G784" s="182"/>
    </row>
    <row r="785">
      <c r="G785" s="182"/>
    </row>
    <row r="786">
      <c r="G786" s="182"/>
    </row>
    <row r="787">
      <c r="G787" s="182"/>
    </row>
    <row r="788">
      <c r="G788" s="182"/>
    </row>
    <row r="789">
      <c r="G789" s="182"/>
    </row>
    <row r="790">
      <c r="G790" s="182"/>
    </row>
    <row r="791">
      <c r="G791" s="182"/>
    </row>
    <row r="792">
      <c r="G792" s="182"/>
    </row>
    <row r="793">
      <c r="G793" s="182"/>
    </row>
    <row r="794">
      <c r="G794" s="182"/>
    </row>
    <row r="795">
      <c r="G795" s="182"/>
    </row>
    <row r="796">
      <c r="G796" s="182"/>
    </row>
    <row r="797">
      <c r="G797" s="182"/>
    </row>
    <row r="798">
      <c r="G798" s="182"/>
    </row>
    <row r="799">
      <c r="G799" s="182"/>
    </row>
    <row r="800">
      <c r="G800" s="182"/>
    </row>
    <row r="801">
      <c r="G801" s="182"/>
    </row>
    <row r="802">
      <c r="G802" s="182"/>
    </row>
    <row r="803">
      <c r="G803" s="182"/>
    </row>
    <row r="804">
      <c r="G804" s="182"/>
    </row>
    <row r="805">
      <c r="G805" s="182"/>
    </row>
    <row r="806">
      <c r="G806" s="182"/>
    </row>
    <row r="807">
      <c r="G807" s="182"/>
    </row>
    <row r="808">
      <c r="G808" s="182"/>
    </row>
    <row r="809">
      <c r="G809" s="182"/>
    </row>
    <row r="810">
      <c r="G810" s="182"/>
    </row>
    <row r="811">
      <c r="G811" s="182"/>
    </row>
    <row r="812">
      <c r="G812" s="182"/>
    </row>
    <row r="813">
      <c r="G813" s="182"/>
    </row>
    <row r="814">
      <c r="G814" s="182"/>
    </row>
    <row r="815">
      <c r="G815" s="182"/>
    </row>
    <row r="816">
      <c r="G816" s="182"/>
    </row>
    <row r="817">
      <c r="G817" s="182"/>
    </row>
    <row r="818">
      <c r="G818" s="182"/>
    </row>
    <row r="819">
      <c r="G819" s="182"/>
    </row>
    <row r="820">
      <c r="G820" s="182"/>
    </row>
    <row r="821">
      <c r="G821" s="182"/>
    </row>
    <row r="822">
      <c r="G822" s="182"/>
    </row>
    <row r="823">
      <c r="G823" s="182"/>
    </row>
    <row r="824">
      <c r="G824" s="182"/>
    </row>
    <row r="825">
      <c r="G825" s="182"/>
    </row>
    <row r="826">
      <c r="G826" s="182"/>
    </row>
    <row r="827">
      <c r="G827" s="182"/>
    </row>
    <row r="828">
      <c r="G828" s="182"/>
    </row>
    <row r="829">
      <c r="G829" s="182"/>
    </row>
    <row r="830">
      <c r="G830" s="182"/>
    </row>
    <row r="831">
      <c r="G831" s="182"/>
    </row>
    <row r="832">
      <c r="G832" s="182"/>
    </row>
    <row r="833">
      <c r="G833" s="182"/>
    </row>
    <row r="834">
      <c r="G834" s="182"/>
    </row>
    <row r="835">
      <c r="G835" s="182"/>
    </row>
    <row r="836">
      <c r="G836" s="182"/>
    </row>
    <row r="837">
      <c r="G837" s="182"/>
    </row>
    <row r="838">
      <c r="G838" s="182"/>
    </row>
    <row r="839">
      <c r="G839" s="182"/>
    </row>
    <row r="840">
      <c r="G840" s="182"/>
    </row>
    <row r="841">
      <c r="G841" s="182"/>
    </row>
    <row r="842">
      <c r="G842" s="182"/>
    </row>
    <row r="843">
      <c r="G843" s="182"/>
    </row>
    <row r="844">
      <c r="G844" s="182"/>
    </row>
    <row r="845">
      <c r="G845" s="182"/>
    </row>
    <row r="846">
      <c r="G846" s="182"/>
    </row>
    <row r="847">
      <c r="G847" s="182"/>
    </row>
    <row r="848">
      <c r="G848" s="182"/>
    </row>
    <row r="849">
      <c r="G849" s="182"/>
    </row>
    <row r="850">
      <c r="G850" s="182"/>
    </row>
    <row r="851">
      <c r="G851" s="182"/>
    </row>
    <row r="852">
      <c r="G852" s="182"/>
    </row>
    <row r="853">
      <c r="G853" s="182"/>
    </row>
    <row r="854">
      <c r="G854" s="182"/>
    </row>
    <row r="855">
      <c r="G855" s="182"/>
    </row>
    <row r="856">
      <c r="G856" s="182"/>
    </row>
    <row r="857">
      <c r="G857" s="182"/>
    </row>
    <row r="858">
      <c r="G858" s="182"/>
    </row>
    <row r="859">
      <c r="G859" s="182"/>
    </row>
    <row r="860">
      <c r="G860" s="182"/>
    </row>
    <row r="861">
      <c r="G861" s="182"/>
    </row>
    <row r="862">
      <c r="G862" s="182"/>
    </row>
    <row r="863">
      <c r="G863" s="182"/>
    </row>
    <row r="864">
      <c r="G864" s="182"/>
    </row>
    <row r="865">
      <c r="G865" s="182"/>
    </row>
    <row r="866">
      <c r="G866" s="182"/>
    </row>
    <row r="867">
      <c r="G867" s="182"/>
    </row>
    <row r="868">
      <c r="G868" s="182"/>
    </row>
    <row r="869">
      <c r="G869" s="182"/>
    </row>
    <row r="870">
      <c r="G870" s="182"/>
    </row>
    <row r="871">
      <c r="G871" s="182"/>
    </row>
    <row r="872">
      <c r="G872" s="182"/>
    </row>
    <row r="873">
      <c r="G873" s="182"/>
    </row>
    <row r="874">
      <c r="G874" s="182"/>
    </row>
    <row r="875">
      <c r="G875" s="182"/>
    </row>
    <row r="876">
      <c r="G876" s="182"/>
    </row>
    <row r="877">
      <c r="G877" s="182"/>
    </row>
    <row r="878">
      <c r="G878" s="182"/>
    </row>
    <row r="879">
      <c r="G879" s="182"/>
    </row>
    <row r="880">
      <c r="G880" s="182"/>
    </row>
    <row r="881">
      <c r="G881" s="182"/>
    </row>
    <row r="882">
      <c r="G882" s="182"/>
    </row>
    <row r="883">
      <c r="G883" s="182"/>
    </row>
    <row r="884">
      <c r="G884" s="182"/>
    </row>
    <row r="885">
      <c r="G885" s="182"/>
    </row>
    <row r="886">
      <c r="G886" s="182"/>
    </row>
    <row r="887">
      <c r="G887" s="182"/>
    </row>
    <row r="888">
      <c r="G888" s="182"/>
    </row>
    <row r="889">
      <c r="G889" s="182"/>
    </row>
    <row r="890">
      <c r="G890" s="182"/>
    </row>
    <row r="891">
      <c r="G891" s="182"/>
    </row>
    <row r="892">
      <c r="G892" s="182"/>
    </row>
    <row r="893">
      <c r="G893" s="182"/>
    </row>
    <row r="894">
      <c r="G894" s="182"/>
    </row>
    <row r="895">
      <c r="G895" s="182"/>
    </row>
    <row r="896">
      <c r="G896" s="182"/>
    </row>
    <row r="897">
      <c r="G897" s="182"/>
    </row>
    <row r="898">
      <c r="G898" s="182"/>
    </row>
    <row r="899">
      <c r="G899" s="182"/>
    </row>
    <row r="900">
      <c r="G900" s="182"/>
    </row>
    <row r="901">
      <c r="G901" s="182"/>
    </row>
    <row r="902">
      <c r="G902" s="182"/>
    </row>
    <row r="903">
      <c r="G903" s="182"/>
    </row>
    <row r="904">
      <c r="G904" s="182"/>
    </row>
    <row r="905">
      <c r="G905" s="182"/>
    </row>
    <row r="906">
      <c r="G906" s="182"/>
    </row>
    <row r="907">
      <c r="G907" s="182"/>
    </row>
    <row r="908">
      <c r="G908" s="182"/>
    </row>
    <row r="909">
      <c r="G909" s="182"/>
    </row>
    <row r="910">
      <c r="G910" s="182"/>
    </row>
    <row r="911">
      <c r="G911" s="182"/>
    </row>
    <row r="912">
      <c r="G912" s="182"/>
    </row>
    <row r="913">
      <c r="G913" s="182"/>
    </row>
    <row r="914">
      <c r="G914" s="182"/>
    </row>
    <row r="915">
      <c r="G915" s="182"/>
    </row>
    <row r="916">
      <c r="G916" s="182"/>
    </row>
    <row r="917">
      <c r="G917" s="182"/>
    </row>
    <row r="918">
      <c r="G918" s="182"/>
    </row>
    <row r="919">
      <c r="G919" s="182"/>
    </row>
    <row r="920">
      <c r="G920" s="182"/>
    </row>
    <row r="921">
      <c r="G921" s="182"/>
    </row>
    <row r="922">
      <c r="G922" s="182"/>
    </row>
    <row r="923">
      <c r="G923" s="182"/>
    </row>
    <row r="924">
      <c r="G924" s="182"/>
    </row>
    <row r="925">
      <c r="G925" s="182"/>
    </row>
    <row r="926">
      <c r="G926" s="182"/>
    </row>
    <row r="927">
      <c r="G927" s="182"/>
    </row>
    <row r="928">
      <c r="G928" s="182"/>
    </row>
    <row r="929">
      <c r="G929" s="182"/>
    </row>
    <row r="930">
      <c r="G930" s="182"/>
    </row>
    <row r="931">
      <c r="G931" s="182"/>
    </row>
    <row r="932">
      <c r="G932" s="182"/>
    </row>
    <row r="933">
      <c r="G933" s="182"/>
    </row>
    <row r="934">
      <c r="G934" s="182"/>
    </row>
    <row r="935">
      <c r="G935" s="182"/>
    </row>
    <row r="936">
      <c r="G936" s="182"/>
    </row>
    <row r="937">
      <c r="G937" s="182"/>
    </row>
    <row r="938">
      <c r="G938" s="182"/>
    </row>
    <row r="939">
      <c r="G939" s="182"/>
    </row>
    <row r="940">
      <c r="G940" s="182"/>
    </row>
    <row r="941">
      <c r="G941" s="182"/>
    </row>
    <row r="942">
      <c r="G942" s="182"/>
    </row>
    <row r="943">
      <c r="G943" s="182"/>
    </row>
    <row r="944">
      <c r="G944" s="182"/>
    </row>
    <row r="945">
      <c r="G945" s="182"/>
    </row>
    <row r="946">
      <c r="G946" s="182"/>
    </row>
    <row r="947">
      <c r="G947" s="182"/>
    </row>
  </sheetData>
  <mergeCells count="3">
    <mergeCell ref="A1:S1"/>
    <mergeCell ref="A2:S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M4:M11">
      <formula1>"Atendido,Não atendindo"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Lobo,Kar"&amp;"izia Bianca Ferreira"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13"/>
    <col customWidth="1" min="3" max="3" width="8.5"/>
    <col customWidth="1" min="4" max="4" width="24.5"/>
    <col customWidth="1" min="5" max="5" width="24.88"/>
    <col customWidth="1" min="7" max="7" width="13.75"/>
    <col customWidth="1" min="8" max="8" width="25.25"/>
    <col customWidth="1" min="12" max="12" width="15.25"/>
  </cols>
  <sheetData>
    <row r="1" ht="36.0" customHeight="1">
      <c r="A1" s="1" t="s">
        <v>4242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1.5" customHeight="1">
      <c r="A2" s="36" t="s">
        <v>4243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1" t="s">
        <v>1</v>
      </c>
      <c r="L3" s="11" t="s">
        <v>20</v>
      </c>
      <c r="M3" s="8" t="s">
        <v>25</v>
      </c>
      <c r="N3" s="8" t="s">
        <v>26</v>
      </c>
      <c r="O3" s="8" t="s">
        <v>27</v>
      </c>
      <c r="P3" s="9" t="s">
        <v>28</v>
      </c>
      <c r="Q3" s="6" t="s">
        <v>29</v>
      </c>
      <c r="R3" s="9" t="s">
        <v>30</v>
      </c>
    </row>
    <row r="4">
      <c r="A4" s="12" t="s">
        <v>10</v>
      </c>
      <c r="B4" s="13">
        <v>45924.0</v>
      </c>
      <c r="C4" s="14" t="s">
        <v>4244</v>
      </c>
      <c r="D4" s="37" t="s">
        <v>72</v>
      </c>
      <c r="E4" s="14" t="s">
        <v>4189</v>
      </c>
      <c r="F4" s="15">
        <v>0.3333333333333333</v>
      </c>
      <c r="G4" s="15">
        <v>7.0310967348389E14</v>
      </c>
      <c r="H4" s="15" t="s">
        <v>4245</v>
      </c>
      <c r="I4" s="13">
        <v>26307.0</v>
      </c>
      <c r="J4" s="645" t="s">
        <v>4246</v>
      </c>
      <c r="K4" s="19"/>
      <c r="L4" s="41" t="s">
        <v>41</v>
      </c>
      <c r="M4" s="646">
        <v>1.1954779013E10</v>
      </c>
      <c r="N4" s="43"/>
      <c r="O4" s="46"/>
      <c r="P4" s="45"/>
      <c r="Q4" s="46"/>
      <c r="R4" s="47"/>
    </row>
    <row r="5">
      <c r="A5" s="12" t="s">
        <v>11</v>
      </c>
      <c r="B5" s="13">
        <v>45924.0</v>
      </c>
      <c r="C5" s="14" t="s">
        <v>4244</v>
      </c>
      <c r="D5" s="37" t="s">
        <v>72</v>
      </c>
      <c r="E5" s="14" t="s">
        <v>4189</v>
      </c>
      <c r="F5" s="15">
        <v>0.3541666666666667</v>
      </c>
      <c r="G5" s="15">
        <v>7.04206762263483E14</v>
      </c>
      <c r="H5" s="15" t="s">
        <v>4247</v>
      </c>
      <c r="I5" s="13">
        <v>14732.0</v>
      </c>
      <c r="J5" s="645" t="s">
        <v>4248</v>
      </c>
      <c r="K5" s="19"/>
      <c r="L5" s="41" t="s">
        <v>36</v>
      </c>
      <c r="M5" s="646">
        <v>1.1954880554E10</v>
      </c>
      <c r="N5" s="50" t="s">
        <v>4249</v>
      </c>
      <c r="O5" s="51"/>
      <c r="P5" s="647" t="s">
        <v>4250</v>
      </c>
      <c r="Q5" s="648" t="s">
        <v>4251</v>
      </c>
      <c r="R5" s="53"/>
    </row>
    <row r="6">
      <c r="A6" s="12" t="s">
        <v>12</v>
      </c>
      <c r="B6" s="13">
        <v>45924.0</v>
      </c>
      <c r="C6" s="14" t="s">
        <v>4244</v>
      </c>
      <c r="D6" s="37" t="s">
        <v>72</v>
      </c>
      <c r="E6" s="14" t="s">
        <v>4189</v>
      </c>
      <c r="F6" s="15">
        <v>0.375</v>
      </c>
      <c r="G6" s="15">
        <v>7.0050317032125E14</v>
      </c>
      <c r="H6" s="15" t="s">
        <v>4252</v>
      </c>
      <c r="I6" s="13">
        <v>18208.0</v>
      </c>
      <c r="J6" s="645" t="s">
        <v>4253</v>
      </c>
      <c r="K6" s="19"/>
      <c r="L6" s="41" t="s">
        <v>41</v>
      </c>
      <c r="M6" s="646">
        <v>1.198082181E10</v>
      </c>
      <c r="N6" s="54"/>
      <c r="O6" s="55"/>
      <c r="P6" s="56"/>
      <c r="Q6" s="55"/>
      <c r="R6" s="57"/>
    </row>
    <row r="7">
      <c r="A7" s="12" t="s">
        <v>13</v>
      </c>
      <c r="B7" s="13">
        <v>45924.0</v>
      </c>
      <c r="C7" s="14" t="s">
        <v>4244</v>
      </c>
      <c r="D7" s="37" t="s">
        <v>72</v>
      </c>
      <c r="E7" s="14" t="s">
        <v>4189</v>
      </c>
      <c r="F7" s="15">
        <v>0.3958333333333333</v>
      </c>
      <c r="G7" s="15">
        <v>2.06880587490009E14</v>
      </c>
      <c r="H7" s="15" t="s">
        <v>4254</v>
      </c>
      <c r="I7" s="13">
        <v>18910.0</v>
      </c>
      <c r="J7" s="645" t="s">
        <v>4255</v>
      </c>
      <c r="K7" s="19"/>
      <c r="L7" s="41" t="s">
        <v>41</v>
      </c>
      <c r="M7" s="646">
        <v>1.1973832109E10</v>
      </c>
      <c r="N7" s="50"/>
      <c r="O7" s="61"/>
      <c r="P7" s="62"/>
      <c r="Q7" s="61"/>
      <c r="R7" s="53"/>
    </row>
    <row r="8">
      <c r="A8" s="12" t="s">
        <v>14</v>
      </c>
      <c r="B8" s="13">
        <v>45924.0</v>
      </c>
      <c r="C8" s="14" t="s">
        <v>4244</v>
      </c>
      <c r="D8" s="37" t="s">
        <v>72</v>
      </c>
      <c r="E8" s="14" t="s">
        <v>4189</v>
      </c>
      <c r="F8" s="15">
        <v>0.4166666666666667</v>
      </c>
      <c r="G8" s="15">
        <v>8.01440435323607E14</v>
      </c>
      <c r="H8" s="15" t="s">
        <v>4256</v>
      </c>
      <c r="I8" s="13">
        <v>33742.0</v>
      </c>
      <c r="J8" s="645" t="s">
        <v>4257</v>
      </c>
      <c r="K8" s="19"/>
      <c r="L8" s="41" t="s">
        <v>41</v>
      </c>
      <c r="M8" s="646">
        <v>1.195828617E10</v>
      </c>
      <c r="N8" s="63"/>
      <c r="O8" s="64"/>
      <c r="P8" s="56"/>
      <c r="Q8" s="64"/>
      <c r="R8" s="65"/>
    </row>
    <row r="9">
      <c r="A9" s="12" t="s">
        <v>15</v>
      </c>
      <c r="B9" s="13">
        <v>45924.0</v>
      </c>
      <c r="C9" s="14" t="s">
        <v>4244</v>
      </c>
      <c r="D9" s="37" t="s">
        <v>72</v>
      </c>
      <c r="E9" s="14" t="s">
        <v>4189</v>
      </c>
      <c r="F9" s="15">
        <v>0.4375</v>
      </c>
      <c r="G9" s="15">
        <v>8.0143417882642E14</v>
      </c>
      <c r="H9" s="15" t="s">
        <v>2529</v>
      </c>
      <c r="I9" s="13">
        <v>19274.0</v>
      </c>
      <c r="J9" s="645" t="s">
        <v>4258</v>
      </c>
      <c r="K9" s="19"/>
      <c r="L9" s="41" t="s">
        <v>41</v>
      </c>
      <c r="M9" s="646">
        <v>1.1952254626E10</v>
      </c>
      <c r="N9" s="50"/>
      <c r="O9" s="61"/>
      <c r="P9" s="62"/>
      <c r="Q9" s="61"/>
      <c r="R9" s="53"/>
    </row>
    <row r="10">
      <c r="A10" s="12" t="s">
        <v>16</v>
      </c>
      <c r="B10" s="13">
        <v>45924.0</v>
      </c>
      <c r="C10" s="14" t="s">
        <v>4244</v>
      </c>
      <c r="D10" s="37" t="s">
        <v>72</v>
      </c>
      <c r="E10" s="14" t="s">
        <v>4189</v>
      </c>
      <c r="F10" s="15">
        <v>0.4583333333333333</v>
      </c>
      <c r="G10" s="15">
        <v>8.01440401127481E14</v>
      </c>
      <c r="H10" s="15" t="s">
        <v>2521</v>
      </c>
      <c r="I10" s="649">
        <v>17106.0</v>
      </c>
      <c r="J10" s="650" t="s">
        <v>4258</v>
      </c>
      <c r="K10" s="19"/>
      <c r="L10" s="41" t="s">
        <v>41</v>
      </c>
      <c r="M10" s="646">
        <v>1.1986693936E10</v>
      </c>
      <c r="N10" s="63"/>
      <c r="O10" s="64"/>
      <c r="P10" s="56"/>
      <c r="Q10" s="64"/>
      <c r="R10" s="65"/>
    </row>
    <row r="11">
      <c r="A11" s="12" t="s">
        <v>17</v>
      </c>
      <c r="B11" s="13">
        <v>45924.0</v>
      </c>
      <c r="C11" s="14" t="s">
        <v>4244</v>
      </c>
      <c r="D11" s="37" t="s">
        <v>72</v>
      </c>
      <c r="E11" s="14" t="s">
        <v>4189</v>
      </c>
      <c r="F11" s="15">
        <v>0.4791666666666667</v>
      </c>
      <c r="G11" s="15">
        <v>7.02808182773362E14</v>
      </c>
      <c r="H11" s="15" t="s">
        <v>4259</v>
      </c>
      <c r="I11" s="13">
        <v>21431.0</v>
      </c>
      <c r="J11" s="645" t="s">
        <v>4260</v>
      </c>
      <c r="K11" s="19"/>
      <c r="L11" s="41" t="s">
        <v>41</v>
      </c>
      <c r="M11" s="646">
        <v>1.1913136735E10</v>
      </c>
      <c r="N11" s="50"/>
      <c r="O11" s="61"/>
      <c r="P11" s="62"/>
      <c r="Q11" s="61"/>
      <c r="R11" s="53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8.5"/>
    <col customWidth="1" min="4" max="4" width="24.5"/>
    <col customWidth="1" min="5" max="5" width="24.88"/>
    <col customWidth="1" min="7" max="7" width="13.75"/>
    <col customWidth="1" min="8" max="8" width="38.25"/>
    <col customWidth="1" min="10" max="10" width="57.75"/>
    <col customWidth="1" min="12" max="12" width="15.25"/>
    <col customWidth="1" min="14" max="14" width="48.13"/>
    <col customWidth="1" min="15" max="15" width="23.25"/>
    <col customWidth="1" min="16" max="16" width="20.88"/>
    <col customWidth="1" min="17" max="17" width="26.5"/>
  </cols>
  <sheetData>
    <row r="1" ht="36.0" customHeight="1">
      <c r="A1" s="35" t="s">
        <v>4261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1.5" customHeight="1">
      <c r="A2" s="69" t="s">
        <v>4262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260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72" t="s">
        <v>1</v>
      </c>
      <c r="L3" s="72" t="s">
        <v>20</v>
      </c>
      <c r="M3" s="8" t="s">
        <v>25</v>
      </c>
      <c r="N3" s="8" t="s">
        <v>26</v>
      </c>
      <c r="O3" s="8" t="s">
        <v>27</v>
      </c>
      <c r="P3" s="9" t="s">
        <v>28</v>
      </c>
      <c r="Q3" s="6" t="s">
        <v>29</v>
      </c>
      <c r="R3" s="9" t="s">
        <v>30</v>
      </c>
    </row>
    <row r="4" ht="18.0" customHeight="1">
      <c r="A4" s="12" t="s">
        <v>10</v>
      </c>
      <c r="B4" s="13">
        <v>45925.0</v>
      </c>
      <c r="C4" s="14" t="s">
        <v>4244</v>
      </c>
      <c r="D4" s="14" t="s">
        <v>98</v>
      </c>
      <c r="E4" s="14" t="s">
        <v>4189</v>
      </c>
      <c r="F4" s="15">
        <v>0.5416666666666666</v>
      </c>
      <c r="G4" s="16">
        <v>8.98001437723014E14</v>
      </c>
      <c r="H4" s="16" t="s">
        <v>4263</v>
      </c>
      <c r="I4" s="18">
        <v>22285.0</v>
      </c>
      <c r="J4" s="651" t="s">
        <v>4264</v>
      </c>
      <c r="K4" s="19"/>
      <c r="L4" s="41" t="s">
        <v>36</v>
      </c>
      <c r="M4" s="42" t="s">
        <v>4265</v>
      </c>
      <c r="N4" s="43" t="s">
        <v>4266</v>
      </c>
      <c r="O4" s="46"/>
      <c r="P4" s="78" t="s">
        <v>4267</v>
      </c>
      <c r="Q4" s="46" t="s">
        <v>4268</v>
      </c>
      <c r="R4" s="47"/>
    </row>
    <row r="5" ht="16.5" customHeight="1">
      <c r="A5" s="12" t="s">
        <v>11</v>
      </c>
      <c r="B5" s="13">
        <v>45925.0</v>
      </c>
      <c r="C5" s="14" t="s">
        <v>4244</v>
      </c>
      <c r="D5" s="14" t="s">
        <v>98</v>
      </c>
      <c r="E5" s="14" t="s">
        <v>4189</v>
      </c>
      <c r="F5" s="15">
        <v>0.5625</v>
      </c>
      <c r="G5" s="16">
        <v>7.02009313157188E14</v>
      </c>
      <c r="H5" s="651" t="s">
        <v>4269</v>
      </c>
      <c r="I5" s="18">
        <v>23704.0</v>
      </c>
      <c r="J5" s="16" t="s">
        <v>4270</v>
      </c>
      <c r="K5" s="19"/>
      <c r="L5" s="41" t="s">
        <v>41</v>
      </c>
      <c r="M5" s="42" t="s">
        <v>4271</v>
      </c>
      <c r="N5" s="50"/>
      <c r="O5" s="51"/>
      <c r="P5" s="52"/>
      <c r="Q5" s="51"/>
      <c r="R5" s="53"/>
    </row>
    <row r="6" ht="18.0" customHeight="1">
      <c r="A6" s="12" t="s">
        <v>12</v>
      </c>
      <c r="B6" s="13">
        <v>45925.0</v>
      </c>
      <c r="C6" s="14" t="s">
        <v>4244</v>
      </c>
      <c r="D6" s="14" t="s">
        <v>98</v>
      </c>
      <c r="E6" s="14" t="s">
        <v>4189</v>
      </c>
      <c r="F6" s="15">
        <v>0.5833333333333334</v>
      </c>
      <c r="G6" s="651">
        <v>8.01440415827901E14</v>
      </c>
      <c r="H6" s="651" t="s">
        <v>4272</v>
      </c>
      <c r="I6" s="652">
        <v>24347.0</v>
      </c>
      <c r="J6" s="653" t="s">
        <v>4273</v>
      </c>
      <c r="K6" s="19"/>
      <c r="L6" s="41" t="s">
        <v>41</v>
      </c>
      <c r="M6" s="42" t="s">
        <v>4274</v>
      </c>
      <c r="N6" s="54"/>
      <c r="O6" s="55"/>
      <c r="P6" s="56"/>
      <c r="Q6" s="55"/>
      <c r="R6" s="57"/>
    </row>
    <row r="7" ht="18.75" customHeight="1">
      <c r="A7" s="12" t="s">
        <v>13</v>
      </c>
      <c r="B7" s="13">
        <v>45925.0</v>
      </c>
      <c r="C7" s="14" t="s">
        <v>4244</v>
      </c>
      <c r="D7" s="14" t="s">
        <v>98</v>
      </c>
      <c r="E7" s="14" t="s">
        <v>4189</v>
      </c>
      <c r="F7" s="15">
        <v>0.6041666666666666</v>
      </c>
      <c r="G7" s="16">
        <v>8.0144049997506E14</v>
      </c>
      <c r="H7" s="651" t="s">
        <v>4275</v>
      </c>
      <c r="I7" s="654">
        <v>20222.0</v>
      </c>
      <c r="J7" s="16" t="s">
        <v>4276</v>
      </c>
      <c r="K7" s="19"/>
      <c r="L7" s="41" t="s">
        <v>41</v>
      </c>
      <c r="M7" s="42" t="s">
        <v>4277</v>
      </c>
      <c r="N7" s="50"/>
      <c r="O7" s="61"/>
      <c r="P7" s="62"/>
      <c r="Q7" s="61"/>
      <c r="R7" s="53"/>
    </row>
    <row r="8" ht="16.5" customHeight="1">
      <c r="A8" s="12" t="s">
        <v>14</v>
      </c>
      <c r="B8" s="13">
        <v>45925.0</v>
      </c>
      <c r="C8" s="14" t="s">
        <v>4244</v>
      </c>
      <c r="D8" s="14" t="s">
        <v>98</v>
      </c>
      <c r="E8" s="14" t="s">
        <v>4189</v>
      </c>
      <c r="F8" s="15">
        <v>0.625</v>
      </c>
      <c r="G8" s="651">
        <v>7.00008779708107E14</v>
      </c>
      <c r="H8" s="651" t="s">
        <v>4278</v>
      </c>
      <c r="I8" s="18">
        <v>29563.0</v>
      </c>
      <c r="J8" s="16" t="s">
        <v>4279</v>
      </c>
      <c r="K8" s="19"/>
      <c r="L8" s="41" t="s">
        <v>36</v>
      </c>
      <c r="M8" s="42" t="s">
        <v>4280</v>
      </c>
      <c r="N8" s="63" t="s">
        <v>4281</v>
      </c>
      <c r="O8" s="64"/>
      <c r="P8" s="56">
        <v>45925.0</v>
      </c>
      <c r="Q8" s="64" t="s">
        <v>4282</v>
      </c>
      <c r="R8" s="65"/>
    </row>
    <row r="9" ht="16.5" customHeight="1">
      <c r="A9" s="12" t="s">
        <v>15</v>
      </c>
      <c r="B9" s="13">
        <v>45925.0</v>
      </c>
      <c r="C9" s="14" t="s">
        <v>4244</v>
      </c>
      <c r="D9" s="14" t="s">
        <v>98</v>
      </c>
      <c r="E9" s="14" t="s">
        <v>4189</v>
      </c>
      <c r="F9" s="15">
        <v>0.6458333333333334</v>
      </c>
      <c r="G9" s="651">
        <v>7.06205582274962E14</v>
      </c>
      <c r="H9" s="651" t="s">
        <v>4283</v>
      </c>
      <c r="I9" s="652">
        <v>27162.0</v>
      </c>
      <c r="J9" s="651" t="s">
        <v>4284</v>
      </c>
      <c r="K9" s="19"/>
      <c r="L9" s="41" t="s">
        <v>41</v>
      </c>
      <c r="M9" s="42" t="s">
        <v>4285</v>
      </c>
      <c r="N9" s="50"/>
      <c r="O9" s="61"/>
      <c r="P9" s="62"/>
      <c r="Q9" s="61"/>
      <c r="R9" s="53"/>
    </row>
    <row r="10" ht="18.0" customHeight="1">
      <c r="A10" s="12" t="s">
        <v>16</v>
      </c>
      <c r="B10" s="13">
        <v>45925.0</v>
      </c>
      <c r="C10" s="14" t="s">
        <v>4244</v>
      </c>
      <c r="D10" s="14" t="s">
        <v>98</v>
      </c>
      <c r="E10" s="14" t="s">
        <v>4189</v>
      </c>
      <c r="F10" s="15">
        <v>0.6666666666666666</v>
      </c>
      <c r="G10" s="651">
        <v>1.26137917740004E14</v>
      </c>
      <c r="H10" s="651" t="s">
        <v>4286</v>
      </c>
      <c r="I10" s="652">
        <v>22123.0</v>
      </c>
      <c r="J10" s="17" t="s">
        <v>4287</v>
      </c>
      <c r="K10" s="19"/>
      <c r="L10" s="41" t="s">
        <v>41</v>
      </c>
      <c r="M10" s="42" t="s">
        <v>4288</v>
      </c>
      <c r="N10" s="63"/>
      <c r="O10" s="64"/>
      <c r="P10" s="56"/>
      <c r="Q10" s="64"/>
      <c r="R10" s="65"/>
    </row>
    <row r="11">
      <c r="A11" s="12" t="s">
        <v>17</v>
      </c>
      <c r="B11" s="13">
        <v>45925.0</v>
      </c>
      <c r="C11" s="14" t="s">
        <v>4244</v>
      </c>
      <c r="D11" s="14" t="s">
        <v>98</v>
      </c>
      <c r="E11" s="14" t="s">
        <v>4189</v>
      </c>
      <c r="F11" s="15">
        <v>0.6875</v>
      </c>
      <c r="G11" s="651">
        <v>7.0050249182056E14</v>
      </c>
      <c r="H11" s="651" t="s">
        <v>4289</v>
      </c>
      <c r="I11" s="652">
        <v>19492.0</v>
      </c>
      <c r="J11" s="651" t="s">
        <v>4290</v>
      </c>
      <c r="K11" s="19"/>
      <c r="L11" s="41" t="s">
        <v>41</v>
      </c>
      <c r="M11" s="42" t="s">
        <v>4291</v>
      </c>
      <c r="N11" s="50"/>
      <c r="O11" s="61"/>
      <c r="P11" s="62"/>
      <c r="Q11" s="61"/>
      <c r="R11" s="53"/>
    </row>
    <row r="12">
      <c r="A12" s="261"/>
    </row>
    <row r="13">
      <c r="A13" s="261"/>
    </row>
    <row r="14">
      <c r="A14" s="261"/>
    </row>
    <row r="15">
      <c r="A15" s="261"/>
    </row>
    <row r="16">
      <c r="A16" s="261"/>
    </row>
    <row r="17">
      <c r="A17" s="261"/>
    </row>
    <row r="18">
      <c r="A18" s="261"/>
    </row>
    <row r="19">
      <c r="A19" s="261"/>
    </row>
    <row r="20">
      <c r="A20" s="261"/>
    </row>
    <row r="21">
      <c r="A21" s="261"/>
    </row>
    <row r="22">
      <c r="A22" s="261"/>
    </row>
    <row r="23">
      <c r="A23" s="261"/>
    </row>
    <row r="24">
      <c r="A24" s="261"/>
    </row>
    <row r="25">
      <c r="A25" s="261"/>
    </row>
    <row r="26">
      <c r="A26" s="261"/>
    </row>
    <row r="27">
      <c r="A27" s="261"/>
    </row>
    <row r="28">
      <c r="A28" s="261"/>
    </row>
    <row r="29">
      <c r="A29" s="261"/>
    </row>
    <row r="30">
      <c r="A30" s="261"/>
    </row>
    <row r="31">
      <c r="A31" s="261"/>
    </row>
    <row r="32">
      <c r="A32" s="261"/>
    </row>
    <row r="33">
      <c r="A33" s="261"/>
    </row>
    <row r="34">
      <c r="A34" s="261"/>
    </row>
    <row r="35">
      <c r="A35" s="261"/>
    </row>
    <row r="36">
      <c r="A36" s="261"/>
    </row>
    <row r="37">
      <c r="A37" s="261"/>
    </row>
    <row r="38">
      <c r="A38" s="261"/>
    </row>
    <row r="39">
      <c r="A39" s="261"/>
    </row>
    <row r="40">
      <c r="A40" s="261"/>
    </row>
    <row r="41">
      <c r="A41" s="261"/>
    </row>
    <row r="42">
      <c r="A42" s="261"/>
    </row>
    <row r="43">
      <c r="A43" s="261"/>
    </row>
    <row r="44">
      <c r="A44" s="261"/>
    </row>
    <row r="45">
      <c r="A45" s="261"/>
    </row>
    <row r="46">
      <c r="A46" s="261"/>
    </row>
    <row r="47">
      <c r="A47" s="261"/>
    </row>
    <row r="48">
      <c r="A48" s="261"/>
    </row>
    <row r="49">
      <c r="A49" s="261"/>
    </row>
    <row r="50">
      <c r="A50" s="261"/>
    </row>
    <row r="51">
      <c r="A51" s="261"/>
    </row>
    <row r="52">
      <c r="A52" s="261"/>
    </row>
    <row r="53">
      <c r="A53" s="261"/>
    </row>
    <row r="54">
      <c r="A54" s="261"/>
    </row>
    <row r="55">
      <c r="A55" s="261"/>
    </row>
    <row r="56">
      <c r="A56" s="261"/>
    </row>
    <row r="57">
      <c r="A57" s="261"/>
    </row>
    <row r="58">
      <c r="A58" s="261"/>
    </row>
    <row r="59">
      <c r="A59" s="261"/>
    </row>
    <row r="60">
      <c r="A60" s="261"/>
    </row>
    <row r="61">
      <c r="A61" s="261"/>
    </row>
    <row r="62">
      <c r="A62" s="261"/>
    </row>
    <row r="63">
      <c r="A63" s="261"/>
    </row>
    <row r="64">
      <c r="A64" s="261"/>
    </row>
    <row r="65">
      <c r="A65" s="261"/>
    </row>
    <row r="66">
      <c r="A66" s="261"/>
    </row>
    <row r="67">
      <c r="A67" s="261"/>
    </row>
    <row r="68">
      <c r="A68" s="261"/>
    </row>
    <row r="69">
      <c r="A69" s="261"/>
    </row>
    <row r="70">
      <c r="A70" s="261"/>
    </row>
    <row r="71">
      <c r="A71" s="261"/>
    </row>
    <row r="72">
      <c r="A72" s="261"/>
    </row>
    <row r="73">
      <c r="A73" s="261"/>
    </row>
    <row r="74">
      <c r="A74" s="261"/>
    </row>
    <row r="75">
      <c r="A75" s="261"/>
    </row>
    <row r="76">
      <c r="A76" s="261"/>
    </row>
    <row r="77">
      <c r="A77" s="261"/>
    </row>
    <row r="78">
      <c r="A78" s="261"/>
    </row>
    <row r="79">
      <c r="A79" s="261"/>
    </row>
    <row r="80">
      <c r="A80" s="261"/>
    </row>
    <row r="81">
      <c r="A81" s="261"/>
    </row>
    <row r="82">
      <c r="A82" s="261"/>
    </row>
    <row r="83">
      <c r="A83" s="261"/>
    </row>
    <row r="84">
      <c r="A84" s="261"/>
    </row>
    <row r="85">
      <c r="A85" s="261"/>
    </row>
    <row r="86">
      <c r="A86" s="261"/>
    </row>
    <row r="87">
      <c r="A87" s="261"/>
    </row>
    <row r="88">
      <c r="A88" s="261"/>
    </row>
    <row r="89">
      <c r="A89" s="261"/>
    </row>
    <row r="90">
      <c r="A90" s="261"/>
    </row>
    <row r="91">
      <c r="A91" s="261"/>
    </row>
    <row r="92">
      <c r="A92" s="261"/>
    </row>
    <row r="93">
      <c r="A93" s="261"/>
    </row>
    <row r="94">
      <c r="A94" s="261"/>
    </row>
    <row r="95">
      <c r="A95" s="261"/>
    </row>
    <row r="96">
      <c r="A96" s="261"/>
    </row>
    <row r="97">
      <c r="A97" s="261"/>
    </row>
    <row r="98">
      <c r="A98" s="261"/>
    </row>
    <row r="99">
      <c r="A99" s="261"/>
    </row>
    <row r="100">
      <c r="A100" s="261"/>
    </row>
    <row r="101">
      <c r="A101" s="261"/>
    </row>
    <row r="102">
      <c r="A102" s="261"/>
    </row>
    <row r="103">
      <c r="A103" s="261"/>
    </row>
    <row r="104">
      <c r="A104" s="261"/>
    </row>
    <row r="105">
      <c r="A105" s="261"/>
    </row>
    <row r="106">
      <c r="A106" s="261"/>
    </row>
    <row r="107">
      <c r="A107" s="261"/>
    </row>
    <row r="108">
      <c r="A108" s="261"/>
    </row>
    <row r="109">
      <c r="A109" s="261"/>
    </row>
    <row r="110">
      <c r="A110" s="261"/>
    </row>
    <row r="111">
      <c r="A111" s="261"/>
    </row>
    <row r="112">
      <c r="A112" s="261"/>
    </row>
    <row r="113">
      <c r="A113" s="261"/>
    </row>
    <row r="114">
      <c r="A114" s="261"/>
    </row>
    <row r="115">
      <c r="A115" s="261"/>
    </row>
    <row r="116">
      <c r="A116" s="261"/>
    </row>
    <row r="117">
      <c r="A117" s="261"/>
    </row>
    <row r="118">
      <c r="A118" s="261"/>
    </row>
    <row r="119">
      <c r="A119" s="261"/>
    </row>
    <row r="120">
      <c r="A120" s="261"/>
    </row>
    <row r="121">
      <c r="A121" s="261"/>
    </row>
    <row r="122">
      <c r="A122" s="261"/>
    </row>
    <row r="123">
      <c r="A123" s="261"/>
    </row>
    <row r="124">
      <c r="A124" s="261"/>
    </row>
    <row r="125">
      <c r="A125" s="261"/>
    </row>
    <row r="126">
      <c r="A126" s="261"/>
    </row>
    <row r="127">
      <c r="A127" s="261"/>
    </row>
    <row r="128">
      <c r="A128" s="261"/>
    </row>
    <row r="129">
      <c r="A129" s="261"/>
    </row>
    <row r="130">
      <c r="A130" s="261"/>
    </row>
    <row r="131">
      <c r="A131" s="261"/>
    </row>
    <row r="132">
      <c r="A132" s="261"/>
    </row>
    <row r="133">
      <c r="A133" s="261"/>
    </row>
    <row r="134">
      <c r="A134" s="261"/>
    </row>
    <row r="135">
      <c r="A135" s="261"/>
    </row>
    <row r="136">
      <c r="A136" s="261"/>
    </row>
    <row r="137">
      <c r="A137" s="261"/>
    </row>
    <row r="138">
      <c r="A138" s="261"/>
    </row>
    <row r="139">
      <c r="A139" s="261"/>
    </row>
    <row r="140">
      <c r="A140" s="261"/>
    </row>
    <row r="141">
      <c r="A141" s="261"/>
    </row>
    <row r="142">
      <c r="A142" s="261"/>
    </row>
    <row r="143">
      <c r="A143" s="261"/>
    </row>
    <row r="144">
      <c r="A144" s="261"/>
    </row>
    <row r="145">
      <c r="A145" s="261"/>
    </row>
    <row r="146">
      <c r="A146" s="261"/>
    </row>
    <row r="147">
      <c r="A147" s="261"/>
    </row>
    <row r="148">
      <c r="A148" s="261"/>
    </row>
    <row r="149">
      <c r="A149" s="261"/>
    </row>
    <row r="150">
      <c r="A150" s="261"/>
    </row>
    <row r="151">
      <c r="A151" s="261"/>
    </row>
    <row r="152">
      <c r="A152" s="261"/>
    </row>
    <row r="153">
      <c r="A153" s="261"/>
    </row>
    <row r="154">
      <c r="A154" s="261"/>
    </row>
    <row r="155">
      <c r="A155" s="261"/>
    </row>
    <row r="156">
      <c r="A156" s="261"/>
    </row>
    <row r="157">
      <c r="A157" s="261"/>
    </row>
    <row r="158">
      <c r="A158" s="261"/>
    </row>
    <row r="159">
      <c r="A159" s="261"/>
    </row>
    <row r="160">
      <c r="A160" s="261"/>
    </row>
    <row r="161">
      <c r="A161" s="261"/>
    </row>
    <row r="162">
      <c r="A162" s="261"/>
    </row>
    <row r="163">
      <c r="A163" s="261"/>
    </row>
    <row r="164">
      <c r="A164" s="261"/>
    </row>
    <row r="165">
      <c r="A165" s="261"/>
    </row>
    <row r="166">
      <c r="A166" s="261"/>
    </row>
    <row r="167">
      <c r="A167" s="261"/>
    </row>
    <row r="168">
      <c r="A168" s="261"/>
    </row>
    <row r="169">
      <c r="A169" s="261"/>
    </row>
    <row r="170">
      <c r="A170" s="261"/>
    </row>
    <row r="171">
      <c r="A171" s="261"/>
    </row>
    <row r="172">
      <c r="A172" s="261"/>
    </row>
    <row r="173">
      <c r="A173" s="261"/>
    </row>
    <row r="174">
      <c r="A174" s="261"/>
    </row>
    <row r="175">
      <c r="A175" s="261"/>
    </row>
    <row r="176">
      <c r="A176" s="261"/>
    </row>
    <row r="177">
      <c r="A177" s="261"/>
    </row>
    <row r="178">
      <c r="A178" s="261"/>
    </row>
    <row r="179">
      <c r="A179" s="261"/>
    </row>
    <row r="180">
      <c r="A180" s="261"/>
    </row>
    <row r="181">
      <c r="A181" s="261"/>
    </row>
    <row r="182">
      <c r="A182" s="261"/>
    </row>
    <row r="183">
      <c r="A183" s="261"/>
    </row>
    <row r="184">
      <c r="A184" s="261"/>
    </row>
    <row r="185">
      <c r="A185" s="261"/>
    </row>
    <row r="186">
      <c r="A186" s="261"/>
    </row>
    <row r="187">
      <c r="A187" s="261"/>
    </row>
    <row r="188">
      <c r="A188" s="261"/>
    </row>
    <row r="189">
      <c r="A189" s="261"/>
    </row>
    <row r="190">
      <c r="A190" s="261"/>
    </row>
    <row r="191">
      <c r="A191" s="261"/>
    </row>
    <row r="192">
      <c r="A192" s="261"/>
    </row>
    <row r="193">
      <c r="A193" s="261"/>
    </row>
    <row r="194">
      <c r="A194" s="261"/>
    </row>
    <row r="195">
      <c r="A195" s="261"/>
    </row>
    <row r="196">
      <c r="A196" s="261"/>
    </row>
    <row r="197">
      <c r="A197" s="261"/>
    </row>
    <row r="198">
      <c r="A198" s="261"/>
    </row>
    <row r="199">
      <c r="A199" s="261"/>
    </row>
    <row r="200">
      <c r="A200" s="261"/>
    </row>
    <row r="201">
      <c r="A201" s="261"/>
    </row>
    <row r="202">
      <c r="A202" s="261"/>
    </row>
    <row r="203">
      <c r="A203" s="261"/>
    </row>
    <row r="204">
      <c r="A204" s="261"/>
    </row>
    <row r="205">
      <c r="A205" s="261"/>
    </row>
    <row r="206">
      <c r="A206" s="261"/>
    </row>
    <row r="207">
      <c r="A207" s="261"/>
    </row>
    <row r="208">
      <c r="A208" s="261"/>
    </row>
    <row r="209">
      <c r="A209" s="261"/>
    </row>
    <row r="210">
      <c r="A210" s="261"/>
    </row>
    <row r="211">
      <c r="A211" s="261"/>
    </row>
    <row r="212">
      <c r="A212" s="261"/>
    </row>
    <row r="213">
      <c r="A213" s="261"/>
    </row>
    <row r="214">
      <c r="A214" s="261"/>
    </row>
    <row r="215">
      <c r="A215" s="261"/>
    </row>
    <row r="216">
      <c r="A216" s="261"/>
    </row>
    <row r="217">
      <c r="A217" s="261"/>
    </row>
    <row r="218">
      <c r="A218" s="261"/>
    </row>
    <row r="219">
      <c r="A219" s="261"/>
    </row>
    <row r="220">
      <c r="A220" s="261"/>
    </row>
    <row r="221">
      <c r="A221" s="261"/>
    </row>
    <row r="222">
      <c r="A222" s="261"/>
    </row>
    <row r="223">
      <c r="A223" s="261"/>
    </row>
    <row r="224">
      <c r="A224" s="261"/>
    </row>
    <row r="225">
      <c r="A225" s="261"/>
    </row>
    <row r="226">
      <c r="A226" s="261"/>
    </row>
    <row r="227">
      <c r="A227" s="261"/>
    </row>
    <row r="228">
      <c r="A228" s="261"/>
    </row>
    <row r="229">
      <c r="A229" s="261"/>
    </row>
    <row r="230">
      <c r="A230" s="261"/>
    </row>
    <row r="231">
      <c r="A231" s="261"/>
    </row>
    <row r="232">
      <c r="A232" s="261"/>
    </row>
    <row r="233">
      <c r="A233" s="261"/>
    </row>
    <row r="234">
      <c r="A234" s="261"/>
    </row>
    <row r="235">
      <c r="A235" s="261"/>
    </row>
    <row r="236">
      <c r="A236" s="261"/>
    </row>
    <row r="237">
      <c r="A237" s="261"/>
    </row>
    <row r="238">
      <c r="A238" s="261"/>
    </row>
    <row r="239">
      <c r="A239" s="261"/>
    </row>
    <row r="240">
      <c r="A240" s="261"/>
    </row>
    <row r="241">
      <c r="A241" s="261"/>
    </row>
    <row r="242">
      <c r="A242" s="261"/>
    </row>
    <row r="243">
      <c r="A243" s="261"/>
    </row>
    <row r="244">
      <c r="A244" s="261"/>
    </row>
    <row r="245">
      <c r="A245" s="261"/>
    </row>
    <row r="246">
      <c r="A246" s="261"/>
    </row>
    <row r="247">
      <c r="A247" s="261"/>
    </row>
    <row r="248">
      <c r="A248" s="261"/>
    </row>
    <row r="249">
      <c r="A249" s="261"/>
    </row>
    <row r="250">
      <c r="A250" s="261"/>
    </row>
    <row r="251">
      <c r="A251" s="261"/>
    </row>
    <row r="252">
      <c r="A252" s="261"/>
    </row>
    <row r="253">
      <c r="A253" s="261"/>
    </row>
    <row r="254">
      <c r="A254" s="261"/>
    </row>
    <row r="255">
      <c r="A255" s="261"/>
    </row>
    <row r="256">
      <c r="A256" s="261"/>
    </row>
    <row r="257">
      <c r="A257" s="261"/>
    </row>
    <row r="258">
      <c r="A258" s="261"/>
    </row>
    <row r="259">
      <c r="A259" s="261"/>
    </row>
    <row r="260">
      <c r="A260" s="261"/>
    </row>
    <row r="261">
      <c r="A261" s="261"/>
    </row>
    <row r="262">
      <c r="A262" s="261"/>
    </row>
    <row r="263">
      <c r="A263" s="261"/>
    </row>
    <row r="264">
      <c r="A264" s="261"/>
    </row>
    <row r="265">
      <c r="A265" s="261"/>
    </row>
    <row r="266">
      <c r="A266" s="261"/>
    </row>
    <row r="267">
      <c r="A267" s="261"/>
    </row>
    <row r="268">
      <c r="A268" s="261"/>
    </row>
    <row r="269">
      <c r="A269" s="261"/>
    </row>
    <row r="270">
      <c r="A270" s="261"/>
    </row>
    <row r="271">
      <c r="A271" s="261"/>
    </row>
    <row r="272">
      <c r="A272" s="261"/>
    </row>
    <row r="273">
      <c r="A273" s="261"/>
    </row>
    <row r="274">
      <c r="A274" s="261"/>
    </row>
    <row r="275">
      <c r="A275" s="261"/>
    </row>
    <row r="276">
      <c r="A276" s="261"/>
    </row>
    <row r="277">
      <c r="A277" s="261"/>
    </row>
    <row r="278">
      <c r="A278" s="261"/>
    </row>
    <row r="279">
      <c r="A279" s="261"/>
    </row>
    <row r="280">
      <c r="A280" s="261"/>
    </row>
    <row r="281">
      <c r="A281" s="261"/>
    </row>
    <row r="282">
      <c r="A282" s="261"/>
    </row>
    <row r="283">
      <c r="A283" s="261"/>
    </row>
    <row r="284">
      <c r="A284" s="261"/>
    </row>
    <row r="285">
      <c r="A285" s="261"/>
    </row>
    <row r="286">
      <c r="A286" s="261"/>
    </row>
    <row r="287">
      <c r="A287" s="261"/>
    </row>
    <row r="288">
      <c r="A288" s="261"/>
    </row>
    <row r="289">
      <c r="A289" s="261"/>
    </row>
    <row r="290">
      <c r="A290" s="261"/>
    </row>
    <row r="291">
      <c r="A291" s="261"/>
    </row>
    <row r="292">
      <c r="A292" s="261"/>
    </row>
    <row r="293">
      <c r="A293" s="261"/>
    </row>
    <row r="294">
      <c r="A294" s="261"/>
    </row>
    <row r="295">
      <c r="A295" s="261"/>
    </row>
    <row r="296">
      <c r="A296" s="261"/>
    </row>
    <row r="297">
      <c r="A297" s="261"/>
    </row>
    <row r="298">
      <c r="A298" s="261"/>
    </row>
    <row r="299">
      <c r="A299" s="261"/>
    </row>
    <row r="300">
      <c r="A300" s="261"/>
    </row>
    <row r="301">
      <c r="A301" s="261"/>
    </row>
    <row r="302">
      <c r="A302" s="261"/>
    </row>
    <row r="303">
      <c r="A303" s="261"/>
    </row>
    <row r="304">
      <c r="A304" s="261"/>
    </row>
    <row r="305">
      <c r="A305" s="261"/>
    </row>
    <row r="306">
      <c r="A306" s="261"/>
    </row>
    <row r="307">
      <c r="A307" s="261"/>
    </row>
    <row r="308">
      <c r="A308" s="261"/>
    </row>
    <row r="309">
      <c r="A309" s="261"/>
    </row>
    <row r="310">
      <c r="A310" s="261"/>
    </row>
    <row r="311">
      <c r="A311" s="261"/>
    </row>
    <row r="312">
      <c r="A312" s="261"/>
    </row>
    <row r="313">
      <c r="A313" s="261"/>
    </row>
    <row r="314">
      <c r="A314" s="261"/>
    </row>
    <row r="315">
      <c r="A315" s="261"/>
    </row>
    <row r="316">
      <c r="A316" s="261"/>
    </row>
    <row r="317">
      <c r="A317" s="261"/>
    </row>
    <row r="318">
      <c r="A318" s="261"/>
    </row>
    <row r="319">
      <c r="A319" s="261"/>
    </row>
    <row r="320">
      <c r="A320" s="261"/>
    </row>
    <row r="321">
      <c r="A321" s="261"/>
    </row>
    <row r="322">
      <c r="A322" s="261"/>
    </row>
    <row r="323">
      <c r="A323" s="261"/>
    </row>
    <row r="324">
      <c r="A324" s="261"/>
    </row>
    <row r="325">
      <c r="A325" s="261"/>
    </row>
    <row r="326">
      <c r="A326" s="261"/>
    </row>
    <row r="327">
      <c r="A327" s="261"/>
    </row>
    <row r="328">
      <c r="A328" s="261"/>
    </row>
    <row r="329">
      <c r="A329" s="261"/>
    </row>
    <row r="330">
      <c r="A330" s="261"/>
    </row>
    <row r="331">
      <c r="A331" s="261"/>
    </row>
    <row r="332">
      <c r="A332" s="261"/>
    </row>
    <row r="333">
      <c r="A333" s="261"/>
    </row>
    <row r="334">
      <c r="A334" s="261"/>
    </row>
    <row r="335">
      <c r="A335" s="261"/>
    </row>
    <row r="336">
      <c r="A336" s="261"/>
    </row>
    <row r="337">
      <c r="A337" s="261"/>
    </row>
    <row r="338">
      <c r="A338" s="261"/>
    </row>
    <row r="339">
      <c r="A339" s="261"/>
    </row>
    <row r="340">
      <c r="A340" s="261"/>
    </row>
    <row r="341">
      <c r="A341" s="261"/>
    </row>
    <row r="342">
      <c r="A342" s="261"/>
    </row>
    <row r="343">
      <c r="A343" s="261"/>
    </row>
    <row r="344">
      <c r="A344" s="261"/>
    </row>
    <row r="345">
      <c r="A345" s="261"/>
    </row>
    <row r="346">
      <c r="A346" s="261"/>
    </row>
    <row r="347">
      <c r="A347" s="261"/>
    </row>
    <row r="348">
      <c r="A348" s="261"/>
    </row>
    <row r="349">
      <c r="A349" s="261"/>
    </row>
    <row r="350">
      <c r="A350" s="261"/>
    </row>
    <row r="351">
      <c r="A351" s="261"/>
    </row>
    <row r="352">
      <c r="A352" s="261"/>
    </row>
    <row r="353">
      <c r="A353" s="261"/>
    </row>
    <row r="354">
      <c r="A354" s="261"/>
    </row>
    <row r="355">
      <c r="A355" s="261"/>
    </row>
    <row r="356">
      <c r="A356" s="261"/>
    </row>
    <row r="357">
      <c r="A357" s="261"/>
    </row>
    <row r="358">
      <c r="A358" s="261"/>
    </row>
    <row r="359">
      <c r="A359" s="261"/>
    </row>
    <row r="360">
      <c r="A360" s="261"/>
    </row>
    <row r="361">
      <c r="A361" s="261"/>
    </row>
    <row r="362">
      <c r="A362" s="261"/>
    </row>
    <row r="363">
      <c r="A363" s="261"/>
    </row>
    <row r="364">
      <c r="A364" s="261"/>
    </row>
    <row r="365">
      <c r="A365" s="261"/>
    </row>
    <row r="366">
      <c r="A366" s="261"/>
    </row>
    <row r="367">
      <c r="A367" s="261"/>
    </row>
    <row r="368">
      <c r="A368" s="261"/>
    </row>
    <row r="369">
      <c r="A369" s="261"/>
    </row>
    <row r="370">
      <c r="A370" s="261"/>
    </row>
    <row r="371">
      <c r="A371" s="261"/>
    </row>
    <row r="372">
      <c r="A372" s="261"/>
    </row>
    <row r="373">
      <c r="A373" s="261"/>
    </row>
    <row r="374">
      <c r="A374" s="261"/>
    </row>
    <row r="375">
      <c r="A375" s="261"/>
    </row>
    <row r="376">
      <c r="A376" s="261"/>
    </row>
    <row r="377">
      <c r="A377" s="261"/>
    </row>
    <row r="378">
      <c r="A378" s="261"/>
    </row>
    <row r="379">
      <c r="A379" s="261"/>
    </row>
    <row r="380">
      <c r="A380" s="261"/>
    </row>
    <row r="381">
      <c r="A381" s="261"/>
    </row>
    <row r="382">
      <c r="A382" s="261"/>
    </row>
    <row r="383">
      <c r="A383" s="261"/>
    </row>
    <row r="384">
      <c r="A384" s="261"/>
    </row>
    <row r="385">
      <c r="A385" s="261"/>
    </row>
    <row r="386">
      <c r="A386" s="261"/>
    </row>
    <row r="387">
      <c r="A387" s="261"/>
    </row>
    <row r="388">
      <c r="A388" s="261"/>
    </row>
    <row r="389">
      <c r="A389" s="261"/>
    </row>
    <row r="390">
      <c r="A390" s="261"/>
    </row>
    <row r="391">
      <c r="A391" s="261"/>
    </row>
    <row r="392">
      <c r="A392" s="261"/>
    </row>
    <row r="393">
      <c r="A393" s="261"/>
    </row>
    <row r="394">
      <c r="A394" s="261"/>
    </row>
    <row r="395">
      <c r="A395" s="261"/>
    </row>
    <row r="396">
      <c r="A396" s="261"/>
    </row>
    <row r="397">
      <c r="A397" s="261"/>
    </row>
    <row r="398">
      <c r="A398" s="261"/>
    </row>
    <row r="399">
      <c r="A399" s="261"/>
    </row>
    <row r="400">
      <c r="A400" s="261"/>
    </row>
    <row r="401">
      <c r="A401" s="261"/>
    </row>
    <row r="402">
      <c r="A402" s="261"/>
    </row>
    <row r="403">
      <c r="A403" s="261"/>
    </row>
    <row r="404">
      <c r="A404" s="261"/>
    </row>
    <row r="405">
      <c r="A405" s="261"/>
    </row>
    <row r="406">
      <c r="A406" s="261"/>
    </row>
    <row r="407">
      <c r="A407" s="261"/>
    </row>
    <row r="408">
      <c r="A408" s="261"/>
    </row>
    <row r="409">
      <c r="A409" s="261"/>
    </row>
    <row r="410">
      <c r="A410" s="261"/>
    </row>
    <row r="411">
      <c r="A411" s="261"/>
    </row>
    <row r="412">
      <c r="A412" s="261"/>
    </row>
    <row r="413">
      <c r="A413" s="261"/>
    </row>
    <row r="414">
      <c r="A414" s="261"/>
    </row>
    <row r="415">
      <c r="A415" s="261"/>
    </row>
    <row r="416">
      <c r="A416" s="261"/>
    </row>
    <row r="417">
      <c r="A417" s="261"/>
    </row>
    <row r="418">
      <c r="A418" s="261"/>
    </row>
    <row r="419">
      <c r="A419" s="261"/>
    </row>
    <row r="420">
      <c r="A420" s="261"/>
    </row>
    <row r="421">
      <c r="A421" s="261"/>
    </row>
    <row r="422">
      <c r="A422" s="261"/>
    </row>
    <row r="423">
      <c r="A423" s="261"/>
    </row>
    <row r="424">
      <c r="A424" s="261"/>
    </row>
    <row r="425">
      <c r="A425" s="261"/>
    </row>
    <row r="426">
      <c r="A426" s="261"/>
    </row>
    <row r="427">
      <c r="A427" s="261"/>
    </row>
    <row r="428">
      <c r="A428" s="261"/>
    </row>
    <row r="429">
      <c r="A429" s="261"/>
    </row>
    <row r="430">
      <c r="A430" s="261"/>
    </row>
    <row r="431">
      <c r="A431" s="261"/>
    </row>
    <row r="432">
      <c r="A432" s="261"/>
    </row>
    <row r="433">
      <c r="A433" s="261"/>
    </row>
    <row r="434">
      <c r="A434" s="261"/>
    </row>
    <row r="435">
      <c r="A435" s="261"/>
    </row>
    <row r="436">
      <c r="A436" s="261"/>
    </row>
    <row r="437">
      <c r="A437" s="261"/>
    </row>
    <row r="438">
      <c r="A438" s="261"/>
    </row>
    <row r="439">
      <c r="A439" s="261"/>
    </row>
    <row r="440">
      <c r="A440" s="261"/>
    </row>
    <row r="441">
      <c r="A441" s="261"/>
    </row>
    <row r="442">
      <c r="A442" s="261"/>
    </row>
    <row r="443">
      <c r="A443" s="261"/>
    </row>
    <row r="444">
      <c r="A444" s="261"/>
    </row>
    <row r="445">
      <c r="A445" s="261"/>
    </row>
    <row r="446">
      <c r="A446" s="261"/>
    </row>
    <row r="447">
      <c r="A447" s="261"/>
    </row>
    <row r="448">
      <c r="A448" s="261"/>
    </row>
    <row r="449">
      <c r="A449" s="261"/>
    </row>
    <row r="450">
      <c r="A450" s="261"/>
    </row>
    <row r="451">
      <c r="A451" s="261"/>
    </row>
    <row r="452">
      <c r="A452" s="261"/>
    </row>
    <row r="453">
      <c r="A453" s="261"/>
    </row>
    <row r="454">
      <c r="A454" s="261"/>
    </row>
    <row r="455">
      <c r="A455" s="261"/>
    </row>
    <row r="456">
      <c r="A456" s="261"/>
    </row>
    <row r="457">
      <c r="A457" s="261"/>
    </row>
    <row r="458">
      <c r="A458" s="261"/>
    </row>
    <row r="459">
      <c r="A459" s="261"/>
    </row>
    <row r="460">
      <c r="A460" s="261"/>
    </row>
    <row r="461">
      <c r="A461" s="261"/>
    </row>
    <row r="462">
      <c r="A462" s="261"/>
    </row>
    <row r="463">
      <c r="A463" s="261"/>
    </row>
    <row r="464">
      <c r="A464" s="261"/>
    </row>
    <row r="465">
      <c r="A465" s="261"/>
    </row>
    <row r="466">
      <c r="A466" s="261"/>
    </row>
    <row r="467">
      <c r="A467" s="261"/>
    </row>
    <row r="468">
      <c r="A468" s="261"/>
    </row>
    <row r="469">
      <c r="A469" s="261"/>
    </row>
    <row r="470">
      <c r="A470" s="261"/>
    </row>
    <row r="471">
      <c r="A471" s="261"/>
    </row>
    <row r="472">
      <c r="A472" s="261"/>
    </row>
    <row r="473">
      <c r="A473" s="261"/>
    </row>
    <row r="474">
      <c r="A474" s="261"/>
    </row>
    <row r="475">
      <c r="A475" s="261"/>
    </row>
    <row r="476">
      <c r="A476" s="261"/>
    </row>
    <row r="477">
      <c r="A477" s="261"/>
    </row>
    <row r="478">
      <c r="A478" s="261"/>
    </row>
    <row r="479">
      <c r="A479" s="261"/>
    </row>
    <row r="480">
      <c r="A480" s="261"/>
    </row>
    <row r="481">
      <c r="A481" s="261"/>
    </row>
    <row r="482">
      <c r="A482" s="261"/>
    </row>
    <row r="483">
      <c r="A483" s="261"/>
    </row>
    <row r="484">
      <c r="A484" s="261"/>
    </row>
    <row r="485">
      <c r="A485" s="261"/>
    </row>
    <row r="486">
      <c r="A486" s="261"/>
    </row>
    <row r="487">
      <c r="A487" s="261"/>
    </row>
    <row r="488">
      <c r="A488" s="261"/>
    </row>
    <row r="489">
      <c r="A489" s="261"/>
    </row>
    <row r="490">
      <c r="A490" s="261"/>
    </row>
    <row r="491">
      <c r="A491" s="261"/>
    </row>
    <row r="492">
      <c r="A492" s="261"/>
    </row>
    <row r="493">
      <c r="A493" s="261"/>
    </row>
    <row r="494">
      <c r="A494" s="261"/>
    </row>
    <row r="495">
      <c r="A495" s="261"/>
    </row>
    <row r="496">
      <c r="A496" s="261"/>
    </row>
    <row r="497">
      <c r="A497" s="261"/>
    </row>
    <row r="498">
      <c r="A498" s="261"/>
    </row>
    <row r="499">
      <c r="A499" s="261"/>
    </row>
    <row r="500">
      <c r="A500" s="261"/>
    </row>
    <row r="501">
      <c r="A501" s="261"/>
    </row>
    <row r="502">
      <c r="A502" s="261"/>
    </row>
    <row r="503">
      <c r="A503" s="261"/>
    </row>
    <row r="504">
      <c r="A504" s="261"/>
    </row>
    <row r="505">
      <c r="A505" s="261"/>
    </row>
    <row r="506">
      <c r="A506" s="261"/>
    </row>
    <row r="507">
      <c r="A507" s="261"/>
    </row>
    <row r="508">
      <c r="A508" s="261"/>
    </row>
    <row r="509">
      <c r="A509" s="261"/>
    </row>
    <row r="510">
      <c r="A510" s="261"/>
    </row>
    <row r="511">
      <c r="A511" s="261"/>
    </row>
    <row r="512">
      <c r="A512" s="261"/>
    </row>
    <row r="513">
      <c r="A513" s="261"/>
    </row>
    <row r="514">
      <c r="A514" s="261"/>
    </row>
    <row r="515">
      <c r="A515" s="261"/>
    </row>
    <row r="516">
      <c r="A516" s="261"/>
    </row>
    <row r="517">
      <c r="A517" s="261"/>
    </row>
    <row r="518">
      <c r="A518" s="261"/>
    </row>
    <row r="519">
      <c r="A519" s="261"/>
    </row>
    <row r="520">
      <c r="A520" s="261"/>
    </row>
    <row r="521">
      <c r="A521" s="261"/>
    </row>
    <row r="522">
      <c r="A522" s="261"/>
    </row>
    <row r="523">
      <c r="A523" s="261"/>
    </row>
    <row r="524">
      <c r="A524" s="261"/>
    </row>
    <row r="525">
      <c r="A525" s="261"/>
    </row>
    <row r="526">
      <c r="A526" s="261"/>
    </row>
    <row r="527">
      <c r="A527" s="261"/>
    </row>
    <row r="528">
      <c r="A528" s="261"/>
    </row>
    <row r="529">
      <c r="A529" s="261"/>
    </row>
    <row r="530">
      <c r="A530" s="261"/>
    </row>
    <row r="531">
      <c r="A531" s="261"/>
    </row>
    <row r="532">
      <c r="A532" s="261"/>
    </row>
    <row r="533">
      <c r="A533" s="261"/>
    </row>
    <row r="534">
      <c r="A534" s="261"/>
    </row>
    <row r="535">
      <c r="A535" s="261"/>
    </row>
    <row r="536">
      <c r="A536" s="261"/>
    </row>
    <row r="537">
      <c r="A537" s="261"/>
    </row>
    <row r="538">
      <c r="A538" s="261"/>
    </row>
    <row r="539">
      <c r="A539" s="261"/>
    </row>
    <row r="540">
      <c r="A540" s="261"/>
    </row>
    <row r="541">
      <c r="A541" s="261"/>
    </row>
    <row r="542">
      <c r="A542" s="261"/>
    </row>
    <row r="543">
      <c r="A543" s="261"/>
    </row>
    <row r="544">
      <c r="A544" s="261"/>
    </row>
    <row r="545">
      <c r="A545" s="261"/>
    </row>
    <row r="546">
      <c r="A546" s="261"/>
    </row>
    <row r="547">
      <c r="A547" s="261"/>
    </row>
    <row r="548">
      <c r="A548" s="261"/>
    </row>
    <row r="549">
      <c r="A549" s="261"/>
    </row>
    <row r="550">
      <c r="A550" s="261"/>
    </row>
    <row r="551">
      <c r="A551" s="261"/>
    </row>
    <row r="552">
      <c r="A552" s="261"/>
    </row>
    <row r="553">
      <c r="A553" s="261"/>
    </row>
    <row r="554">
      <c r="A554" s="261"/>
    </row>
    <row r="555">
      <c r="A555" s="261"/>
    </row>
    <row r="556">
      <c r="A556" s="261"/>
    </row>
    <row r="557">
      <c r="A557" s="261"/>
    </row>
    <row r="558">
      <c r="A558" s="261"/>
    </row>
    <row r="559">
      <c r="A559" s="261"/>
    </row>
    <row r="560">
      <c r="A560" s="261"/>
    </row>
    <row r="561">
      <c r="A561" s="261"/>
    </row>
    <row r="562">
      <c r="A562" s="261"/>
    </row>
    <row r="563">
      <c r="A563" s="261"/>
    </row>
    <row r="564">
      <c r="A564" s="261"/>
    </row>
    <row r="565">
      <c r="A565" s="261"/>
    </row>
    <row r="566">
      <c r="A566" s="261"/>
    </row>
    <row r="567">
      <c r="A567" s="261"/>
    </row>
    <row r="568">
      <c r="A568" s="261"/>
    </row>
    <row r="569">
      <c r="A569" s="261"/>
    </row>
    <row r="570">
      <c r="A570" s="261"/>
    </row>
    <row r="571">
      <c r="A571" s="261"/>
    </row>
    <row r="572">
      <c r="A572" s="261"/>
    </row>
    <row r="573">
      <c r="A573" s="261"/>
    </row>
    <row r="574">
      <c r="A574" s="261"/>
    </row>
    <row r="575">
      <c r="A575" s="261"/>
    </row>
    <row r="576">
      <c r="A576" s="261"/>
    </row>
    <row r="577">
      <c r="A577" s="261"/>
    </row>
    <row r="578">
      <c r="A578" s="261"/>
    </row>
    <row r="579">
      <c r="A579" s="261"/>
    </row>
    <row r="580">
      <c r="A580" s="261"/>
    </row>
    <row r="581">
      <c r="A581" s="261"/>
    </row>
    <row r="582">
      <c r="A582" s="261"/>
    </row>
    <row r="583">
      <c r="A583" s="261"/>
    </row>
    <row r="584">
      <c r="A584" s="261"/>
    </row>
    <row r="585">
      <c r="A585" s="261"/>
    </row>
    <row r="586">
      <c r="A586" s="261"/>
    </row>
    <row r="587">
      <c r="A587" s="261"/>
    </row>
    <row r="588">
      <c r="A588" s="261"/>
    </row>
    <row r="589">
      <c r="A589" s="261"/>
    </row>
    <row r="590">
      <c r="A590" s="261"/>
    </row>
    <row r="591">
      <c r="A591" s="261"/>
    </row>
    <row r="592">
      <c r="A592" s="261"/>
    </row>
    <row r="593">
      <c r="A593" s="261"/>
    </row>
    <row r="594">
      <c r="A594" s="261"/>
    </row>
    <row r="595">
      <c r="A595" s="261"/>
    </row>
    <row r="596">
      <c r="A596" s="261"/>
    </row>
    <row r="597">
      <c r="A597" s="261"/>
    </row>
    <row r="598">
      <c r="A598" s="261"/>
    </row>
    <row r="599">
      <c r="A599" s="261"/>
    </row>
    <row r="600">
      <c r="A600" s="261"/>
    </row>
    <row r="601">
      <c r="A601" s="261"/>
    </row>
    <row r="602">
      <c r="A602" s="261"/>
    </row>
    <row r="603">
      <c r="A603" s="261"/>
    </row>
    <row r="604">
      <c r="A604" s="261"/>
    </row>
    <row r="605">
      <c r="A605" s="261"/>
    </row>
    <row r="606">
      <c r="A606" s="261"/>
    </row>
    <row r="607">
      <c r="A607" s="261"/>
    </row>
    <row r="608">
      <c r="A608" s="261"/>
    </row>
    <row r="609">
      <c r="A609" s="261"/>
    </row>
    <row r="610">
      <c r="A610" s="261"/>
    </row>
    <row r="611">
      <c r="A611" s="261"/>
    </row>
    <row r="612">
      <c r="A612" s="261"/>
    </row>
    <row r="613">
      <c r="A613" s="261"/>
    </row>
    <row r="614">
      <c r="A614" s="261"/>
    </row>
    <row r="615">
      <c r="A615" s="261"/>
    </row>
    <row r="616">
      <c r="A616" s="261"/>
    </row>
    <row r="617">
      <c r="A617" s="261"/>
    </row>
    <row r="618">
      <c r="A618" s="261"/>
    </row>
    <row r="619">
      <c r="A619" s="261"/>
    </row>
    <row r="620">
      <c r="A620" s="261"/>
    </row>
    <row r="621">
      <c r="A621" s="261"/>
    </row>
    <row r="622">
      <c r="A622" s="261"/>
    </row>
    <row r="623">
      <c r="A623" s="261"/>
    </row>
    <row r="624">
      <c r="A624" s="261"/>
    </row>
    <row r="625">
      <c r="A625" s="261"/>
    </row>
    <row r="626">
      <c r="A626" s="261"/>
    </row>
    <row r="627">
      <c r="A627" s="261"/>
    </row>
    <row r="628">
      <c r="A628" s="261"/>
    </row>
    <row r="629">
      <c r="A629" s="261"/>
    </row>
    <row r="630">
      <c r="A630" s="261"/>
    </row>
    <row r="631">
      <c r="A631" s="261"/>
    </row>
    <row r="632">
      <c r="A632" s="261"/>
    </row>
    <row r="633">
      <c r="A633" s="261"/>
    </row>
    <row r="634">
      <c r="A634" s="261"/>
    </row>
    <row r="635">
      <c r="A635" s="261"/>
    </row>
    <row r="636">
      <c r="A636" s="261"/>
    </row>
    <row r="637">
      <c r="A637" s="261"/>
    </row>
    <row r="638">
      <c r="A638" s="261"/>
    </row>
    <row r="639">
      <c r="A639" s="261"/>
    </row>
    <row r="640">
      <c r="A640" s="261"/>
    </row>
    <row r="641">
      <c r="A641" s="261"/>
    </row>
    <row r="642">
      <c r="A642" s="261"/>
    </row>
    <row r="643">
      <c r="A643" s="261"/>
    </row>
    <row r="644">
      <c r="A644" s="261"/>
    </row>
    <row r="645">
      <c r="A645" s="261"/>
    </row>
    <row r="646">
      <c r="A646" s="261"/>
    </row>
    <row r="647">
      <c r="A647" s="261"/>
    </row>
    <row r="648">
      <c r="A648" s="261"/>
    </row>
    <row r="649">
      <c r="A649" s="261"/>
    </row>
    <row r="650">
      <c r="A650" s="261"/>
    </row>
    <row r="651">
      <c r="A651" s="261"/>
    </row>
    <row r="652">
      <c r="A652" s="261"/>
    </row>
    <row r="653">
      <c r="A653" s="261"/>
    </row>
    <row r="654">
      <c r="A654" s="261"/>
    </row>
    <row r="655">
      <c r="A655" s="261"/>
    </row>
    <row r="656">
      <c r="A656" s="261"/>
    </row>
    <row r="657">
      <c r="A657" s="261"/>
    </row>
    <row r="658">
      <c r="A658" s="261"/>
    </row>
    <row r="659">
      <c r="A659" s="261"/>
    </row>
    <row r="660">
      <c r="A660" s="261"/>
    </row>
    <row r="661">
      <c r="A661" s="261"/>
    </row>
    <row r="662">
      <c r="A662" s="261"/>
    </row>
    <row r="663">
      <c r="A663" s="261"/>
    </row>
    <row r="664">
      <c r="A664" s="261"/>
    </row>
    <row r="665">
      <c r="A665" s="261"/>
    </row>
    <row r="666">
      <c r="A666" s="261"/>
    </row>
    <row r="667">
      <c r="A667" s="261"/>
    </row>
    <row r="668">
      <c r="A668" s="261"/>
    </row>
    <row r="669">
      <c r="A669" s="261"/>
    </row>
    <row r="670">
      <c r="A670" s="261"/>
    </row>
    <row r="671">
      <c r="A671" s="261"/>
    </row>
    <row r="672">
      <c r="A672" s="261"/>
    </row>
    <row r="673">
      <c r="A673" s="261"/>
    </row>
    <row r="674">
      <c r="A674" s="261"/>
    </row>
    <row r="675">
      <c r="A675" s="261"/>
    </row>
    <row r="676">
      <c r="A676" s="261"/>
    </row>
    <row r="677">
      <c r="A677" s="261"/>
    </row>
    <row r="678">
      <c r="A678" s="261"/>
    </row>
    <row r="679">
      <c r="A679" s="261"/>
    </row>
    <row r="680">
      <c r="A680" s="261"/>
    </row>
    <row r="681">
      <c r="A681" s="261"/>
    </row>
    <row r="682">
      <c r="A682" s="261"/>
    </row>
    <row r="683">
      <c r="A683" s="261"/>
    </row>
    <row r="684">
      <c r="A684" s="261"/>
    </row>
    <row r="685">
      <c r="A685" s="261"/>
    </row>
    <row r="686">
      <c r="A686" s="261"/>
    </row>
    <row r="687">
      <c r="A687" s="261"/>
    </row>
    <row r="688">
      <c r="A688" s="261"/>
    </row>
    <row r="689">
      <c r="A689" s="261"/>
    </row>
    <row r="690">
      <c r="A690" s="261"/>
    </row>
    <row r="691">
      <c r="A691" s="261"/>
    </row>
    <row r="692">
      <c r="A692" s="261"/>
    </row>
    <row r="693">
      <c r="A693" s="261"/>
    </row>
    <row r="694">
      <c r="A694" s="261"/>
    </row>
    <row r="695">
      <c r="A695" s="261"/>
    </row>
    <row r="696">
      <c r="A696" s="261"/>
    </row>
    <row r="697">
      <c r="A697" s="261"/>
    </row>
    <row r="698">
      <c r="A698" s="261"/>
    </row>
    <row r="699">
      <c r="A699" s="261"/>
    </row>
    <row r="700">
      <c r="A700" s="261"/>
    </row>
    <row r="701">
      <c r="A701" s="261"/>
    </row>
    <row r="702">
      <c r="A702" s="261"/>
    </row>
    <row r="703">
      <c r="A703" s="261"/>
    </row>
    <row r="704">
      <c r="A704" s="261"/>
    </row>
    <row r="705">
      <c r="A705" s="261"/>
    </row>
    <row r="706">
      <c r="A706" s="261"/>
    </row>
    <row r="707">
      <c r="A707" s="261"/>
    </row>
    <row r="708">
      <c r="A708" s="261"/>
    </row>
    <row r="709">
      <c r="A709" s="261"/>
    </row>
    <row r="710">
      <c r="A710" s="261"/>
    </row>
    <row r="711">
      <c r="A711" s="261"/>
    </row>
    <row r="712">
      <c r="A712" s="261"/>
    </row>
    <row r="713">
      <c r="A713" s="261"/>
    </row>
    <row r="714">
      <c r="A714" s="261"/>
    </row>
    <row r="715">
      <c r="A715" s="261"/>
    </row>
    <row r="716">
      <c r="A716" s="261"/>
    </row>
    <row r="717">
      <c r="A717" s="261"/>
    </row>
    <row r="718">
      <c r="A718" s="261"/>
    </row>
    <row r="719">
      <c r="A719" s="261"/>
    </row>
    <row r="720">
      <c r="A720" s="261"/>
    </row>
    <row r="721">
      <c r="A721" s="261"/>
    </row>
    <row r="722">
      <c r="A722" s="261"/>
    </row>
    <row r="723">
      <c r="A723" s="261"/>
    </row>
    <row r="724">
      <c r="A724" s="261"/>
    </row>
    <row r="725">
      <c r="A725" s="261"/>
    </row>
    <row r="726">
      <c r="A726" s="261"/>
    </row>
    <row r="727">
      <c r="A727" s="261"/>
    </row>
    <row r="728">
      <c r="A728" s="261"/>
    </row>
    <row r="729">
      <c r="A729" s="261"/>
    </row>
    <row r="730">
      <c r="A730" s="261"/>
    </row>
    <row r="731">
      <c r="A731" s="261"/>
    </row>
    <row r="732">
      <c r="A732" s="261"/>
    </row>
    <row r="733">
      <c r="A733" s="261"/>
    </row>
    <row r="734">
      <c r="A734" s="261"/>
    </row>
    <row r="735">
      <c r="A735" s="261"/>
    </row>
    <row r="736">
      <c r="A736" s="261"/>
    </row>
    <row r="737">
      <c r="A737" s="261"/>
    </row>
    <row r="738">
      <c r="A738" s="261"/>
    </row>
    <row r="739">
      <c r="A739" s="261"/>
    </row>
    <row r="740">
      <c r="A740" s="261"/>
    </row>
    <row r="741">
      <c r="A741" s="261"/>
    </row>
    <row r="742">
      <c r="A742" s="261"/>
    </row>
    <row r="743">
      <c r="A743" s="261"/>
    </row>
    <row r="744">
      <c r="A744" s="261"/>
    </row>
    <row r="745">
      <c r="A745" s="261"/>
    </row>
    <row r="746">
      <c r="A746" s="261"/>
    </row>
    <row r="747">
      <c r="A747" s="261"/>
    </row>
    <row r="748">
      <c r="A748" s="261"/>
    </row>
    <row r="749">
      <c r="A749" s="261"/>
    </row>
    <row r="750">
      <c r="A750" s="261"/>
    </row>
    <row r="751">
      <c r="A751" s="261"/>
    </row>
    <row r="752">
      <c r="A752" s="261"/>
    </row>
    <row r="753">
      <c r="A753" s="261"/>
    </row>
    <row r="754">
      <c r="A754" s="261"/>
    </row>
    <row r="755">
      <c r="A755" s="261"/>
    </row>
    <row r="756">
      <c r="A756" s="261"/>
    </row>
    <row r="757">
      <c r="A757" s="261"/>
    </row>
    <row r="758">
      <c r="A758" s="261"/>
    </row>
    <row r="759">
      <c r="A759" s="261"/>
    </row>
    <row r="760">
      <c r="A760" s="261"/>
    </row>
    <row r="761">
      <c r="A761" s="261"/>
    </row>
    <row r="762">
      <c r="A762" s="261"/>
    </row>
    <row r="763">
      <c r="A763" s="261"/>
    </row>
    <row r="764">
      <c r="A764" s="261"/>
    </row>
    <row r="765">
      <c r="A765" s="261"/>
    </row>
    <row r="766">
      <c r="A766" s="261"/>
    </row>
    <row r="767">
      <c r="A767" s="261"/>
    </row>
    <row r="768">
      <c r="A768" s="261"/>
    </row>
    <row r="769">
      <c r="A769" s="261"/>
    </row>
    <row r="770">
      <c r="A770" s="261"/>
    </row>
    <row r="771">
      <c r="A771" s="261"/>
    </row>
    <row r="772">
      <c r="A772" s="261"/>
    </row>
    <row r="773">
      <c r="A773" s="261"/>
    </row>
    <row r="774">
      <c r="A774" s="261"/>
    </row>
    <row r="775">
      <c r="A775" s="261"/>
    </row>
    <row r="776">
      <c r="A776" s="261"/>
    </row>
    <row r="777">
      <c r="A777" s="261"/>
    </row>
    <row r="778">
      <c r="A778" s="261"/>
    </row>
    <row r="779">
      <c r="A779" s="261"/>
    </row>
    <row r="780">
      <c r="A780" s="261"/>
    </row>
    <row r="781">
      <c r="A781" s="261"/>
    </row>
    <row r="782">
      <c r="A782" s="261"/>
    </row>
    <row r="783">
      <c r="A783" s="261"/>
    </row>
    <row r="784">
      <c r="A784" s="261"/>
    </row>
    <row r="785">
      <c r="A785" s="261"/>
    </row>
    <row r="786">
      <c r="A786" s="261"/>
    </row>
    <row r="787">
      <c r="A787" s="261"/>
    </row>
    <row r="788">
      <c r="A788" s="261"/>
    </row>
    <row r="789">
      <c r="A789" s="261"/>
    </row>
    <row r="790">
      <c r="A790" s="261"/>
    </row>
    <row r="791">
      <c r="A791" s="261"/>
    </row>
    <row r="792">
      <c r="A792" s="261"/>
    </row>
    <row r="793">
      <c r="A793" s="261"/>
    </row>
    <row r="794">
      <c r="A794" s="261"/>
    </row>
    <row r="795">
      <c r="A795" s="261"/>
    </row>
    <row r="796">
      <c r="A796" s="261"/>
    </row>
    <row r="797">
      <c r="A797" s="261"/>
    </row>
    <row r="798">
      <c r="A798" s="261"/>
    </row>
    <row r="799">
      <c r="A799" s="261"/>
    </row>
    <row r="800">
      <c r="A800" s="261"/>
    </row>
    <row r="801">
      <c r="A801" s="261"/>
    </row>
    <row r="802">
      <c r="A802" s="261"/>
    </row>
    <row r="803">
      <c r="A803" s="261"/>
    </row>
    <row r="804">
      <c r="A804" s="261"/>
    </row>
    <row r="805">
      <c r="A805" s="261"/>
    </row>
    <row r="806">
      <c r="A806" s="261"/>
    </row>
    <row r="807">
      <c r="A807" s="261"/>
    </row>
    <row r="808">
      <c r="A808" s="261"/>
    </row>
    <row r="809">
      <c r="A809" s="261"/>
    </row>
    <row r="810">
      <c r="A810" s="261"/>
    </row>
    <row r="811">
      <c r="A811" s="261"/>
    </row>
    <row r="812">
      <c r="A812" s="261"/>
    </row>
    <row r="813">
      <c r="A813" s="261"/>
    </row>
    <row r="814">
      <c r="A814" s="261"/>
    </row>
    <row r="815">
      <c r="A815" s="261"/>
    </row>
    <row r="816">
      <c r="A816" s="261"/>
    </row>
    <row r="817">
      <c r="A817" s="261"/>
    </row>
    <row r="818">
      <c r="A818" s="261"/>
    </row>
    <row r="819">
      <c r="A819" s="261"/>
    </row>
    <row r="820">
      <c r="A820" s="261"/>
    </row>
    <row r="821">
      <c r="A821" s="261"/>
    </row>
    <row r="822">
      <c r="A822" s="261"/>
    </row>
    <row r="823">
      <c r="A823" s="261"/>
    </row>
    <row r="824">
      <c r="A824" s="261"/>
    </row>
    <row r="825">
      <c r="A825" s="261"/>
    </row>
    <row r="826">
      <c r="A826" s="261"/>
    </row>
    <row r="827">
      <c r="A827" s="261"/>
    </row>
    <row r="828">
      <c r="A828" s="261"/>
    </row>
    <row r="829">
      <c r="A829" s="261"/>
    </row>
    <row r="830">
      <c r="A830" s="261"/>
    </row>
    <row r="831">
      <c r="A831" s="261"/>
    </row>
    <row r="832">
      <c r="A832" s="261"/>
    </row>
    <row r="833">
      <c r="A833" s="261"/>
    </row>
    <row r="834">
      <c r="A834" s="261"/>
    </row>
    <row r="835">
      <c r="A835" s="261"/>
    </row>
    <row r="836">
      <c r="A836" s="261"/>
    </row>
    <row r="837">
      <c r="A837" s="261"/>
    </row>
    <row r="838">
      <c r="A838" s="261"/>
    </row>
    <row r="839">
      <c r="A839" s="261"/>
    </row>
    <row r="840">
      <c r="A840" s="261"/>
    </row>
    <row r="841">
      <c r="A841" s="261"/>
    </row>
    <row r="842">
      <c r="A842" s="261"/>
    </row>
    <row r="843">
      <c r="A843" s="261"/>
    </row>
    <row r="844">
      <c r="A844" s="261"/>
    </row>
    <row r="845">
      <c r="A845" s="261"/>
    </row>
    <row r="846">
      <c r="A846" s="261"/>
    </row>
    <row r="847">
      <c r="A847" s="261"/>
    </row>
    <row r="848">
      <c r="A848" s="261"/>
    </row>
    <row r="849">
      <c r="A849" s="261"/>
    </row>
    <row r="850">
      <c r="A850" s="261"/>
    </row>
    <row r="851">
      <c r="A851" s="261"/>
    </row>
    <row r="852">
      <c r="A852" s="261"/>
    </row>
    <row r="853">
      <c r="A853" s="261"/>
    </row>
    <row r="854">
      <c r="A854" s="261"/>
    </row>
    <row r="855">
      <c r="A855" s="261"/>
    </row>
    <row r="856">
      <c r="A856" s="261"/>
    </row>
    <row r="857">
      <c r="A857" s="261"/>
    </row>
    <row r="858">
      <c r="A858" s="261"/>
    </row>
    <row r="859">
      <c r="A859" s="261"/>
    </row>
    <row r="860">
      <c r="A860" s="261"/>
    </row>
    <row r="861">
      <c r="A861" s="261"/>
    </row>
    <row r="862">
      <c r="A862" s="261"/>
    </row>
    <row r="863">
      <c r="A863" s="261"/>
    </row>
    <row r="864">
      <c r="A864" s="261"/>
    </row>
    <row r="865">
      <c r="A865" s="261"/>
    </row>
    <row r="866">
      <c r="A866" s="261"/>
    </row>
    <row r="867">
      <c r="A867" s="261"/>
    </row>
    <row r="868">
      <c r="A868" s="261"/>
    </row>
    <row r="869">
      <c r="A869" s="261"/>
    </row>
    <row r="870">
      <c r="A870" s="261"/>
    </row>
    <row r="871">
      <c r="A871" s="261"/>
    </row>
    <row r="872">
      <c r="A872" s="261"/>
    </row>
    <row r="873">
      <c r="A873" s="261"/>
    </row>
    <row r="874">
      <c r="A874" s="261"/>
    </row>
    <row r="875">
      <c r="A875" s="261"/>
    </row>
    <row r="876">
      <c r="A876" s="261"/>
    </row>
    <row r="877">
      <c r="A877" s="261"/>
    </row>
    <row r="878">
      <c r="A878" s="261"/>
    </row>
    <row r="879">
      <c r="A879" s="261"/>
    </row>
    <row r="880">
      <c r="A880" s="261"/>
    </row>
    <row r="881">
      <c r="A881" s="261"/>
    </row>
    <row r="882">
      <c r="A882" s="261"/>
    </row>
    <row r="883">
      <c r="A883" s="261"/>
    </row>
    <row r="884">
      <c r="A884" s="261"/>
    </row>
    <row r="885">
      <c r="A885" s="261"/>
    </row>
    <row r="886">
      <c r="A886" s="261"/>
    </row>
    <row r="887">
      <c r="A887" s="261"/>
    </row>
    <row r="888">
      <c r="A888" s="261"/>
    </row>
    <row r="889">
      <c r="A889" s="261"/>
    </row>
    <row r="890">
      <c r="A890" s="261"/>
    </row>
    <row r="891">
      <c r="A891" s="261"/>
    </row>
    <row r="892">
      <c r="A892" s="261"/>
    </row>
    <row r="893">
      <c r="A893" s="261"/>
    </row>
    <row r="894">
      <c r="A894" s="261"/>
    </row>
    <row r="895">
      <c r="A895" s="261"/>
    </row>
    <row r="896">
      <c r="A896" s="261"/>
    </row>
    <row r="897">
      <c r="A897" s="261"/>
    </row>
    <row r="898">
      <c r="A898" s="261"/>
    </row>
    <row r="899">
      <c r="A899" s="261"/>
    </row>
    <row r="900">
      <c r="A900" s="261"/>
    </row>
    <row r="901">
      <c r="A901" s="261"/>
    </row>
    <row r="902">
      <c r="A902" s="261"/>
    </row>
    <row r="903">
      <c r="A903" s="261"/>
    </row>
    <row r="904">
      <c r="A904" s="261"/>
    </row>
    <row r="905">
      <c r="A905" s="261"/>
    </row>
    <row r="906">
      <c r="A906" s="261"/>
    </row>
    <row r="907">
      <c r="A907" s="261"/>
    </row>
    <row r="908">
      <c r="A908" s="261"/>
    </row>
    <row r="909">
      <c r="A909" s="261"/>
    </row>
    <row r="910">
      <c r="A910" s="261"/>
    </row>
    <row r="911">
      <c r="A911" s="261"/>
    </row>
    <row r="912">
      <c r="A912" s="261"/>
    </row>
    <row r="913">
      <c r="A913" s="261"/>
    </row>
    <row r="914">
      <c r="A914" s="261"/>
    </row>
    <row r="915">
      <c r="A915" s="261"/>
    </row>
    <row r="916">
      <c r="A916" s="261"/>
    </row>
    <row r="917">
      <c r="A917" s="261"/>
    </row>
    <row r="918">
      <c r="A918" s="261"/>
    </row>
    <row r="919">
      <c r="A919" s="261"/>
    </row>
    <row r="920">
      <c r="A920" s="261"/>
    </row>
    <row r="921">
      <c r="A921" s="261"/>
    </row>
    <row r="922">
      <c r="A922" s="261"/>
    </row>
    <row r="923">
      <c r="A923" s="261"/>
    </row>
    <row r="924">
      <c r="A924" s="261"/>
    </row>
    <row r="925">
      <c r="A925" s="261"/>
    </row>
    <row r="926">
      <c r="A926" s="261"/>
    </row>
    <row r="927">
      <c r="A927" s="261"/>
    </row>
    <row r="928">
      <c r="A928" s="261"/>
    </row>
    <row r="929">
      <c r="A929" s="261"/>
    </row>
    <row r="930">
      <c r="A930" s="261"/>
    </row>
    <row r="931">
      <c r="A931" s="261"/>
    </row>
    <row r="932">
      <c r="A932" s="261"/>
    </row>
    <row r="933">
      <c r="A933" s="261"/>
    </row>
    <row r="934">
      <c r="A934" s="261"/>
    </row>
    <row r="935">
      <c r="A935" s="261"/>
    </row>
    <row r="936">
      <c r="A936" s="261"/>
    </row>
    <row r="937">
      <c r="A937" s="261"/>
    </row>
    <row r="938">
      <c r="A938" s="261"/>
    </row>
    <row r="939">
      <c r="A939" s="261"/>
    </row>
    <row r="940">
      <c r="A940" s="261"/>
    </row>
    <row r="941">
      <c r="A941" s="261"/>
    </row>
    <row r="942">
      <c r="A942" s="261"/>
    </row>
    <row r="943">
      <c r="A943" s="261"/>
    </row>
    <row r="944">
      <c r="A944" s="261"/>
    </row>
    <row r="945">
      <c r="A945" s="261"/>
    </row>
    <row r="946">
      <c r="A946" s="261"/>
    </row>
    <row r="947">
      <c r="A947" s="261"/>
    </row>
    <row r="948">
      <c r="A948" s="261"/>
    </row>
    <row r="949">
      <c r="A949" s="261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3" max="3" width="8.5"/>
    <col customWidth="1" min="4" max="4" width="24.5"/>
    <col customWidth="1" min="5" max="5" width="24.88"/>
    <col customWidth="1" min="7" max="7" width="13.75"/>
    <col customWidth="1" min="8" max="8" width="25.25"/>
    <col customWidth="1" min="10" max="10" width="72.88"/>
    <col customWidth="1" min="12" max="12" width="15.25"/>
  </cols>
  <sheetData>
    <row r="1" ht="36.0" customHeight="1">
      <c r="A1" s="1" t="s">
        <v>4292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1.5" customHeight="1">
      <c r="A2" s="36" t="s">
        <v>4293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5" t="s">
        <v>1</v>
      </c>
      <c r="B3" s="3"/>
      <c r="C3" s="6" t="s">
        <v>2</v>
      </c>
      <c r="D3" s="7" t="s">
        <v>3</v>
      </c>
      <c r="E3" s="6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1" t="s">
        <v>1</v>
      </c>
      <c r="L3" s="11" t="s">
        <v>20</v>
      </c>
      <c r="M3" s="8" t="s">
        <v>25</v>
      </c>
      <c r="N3" s="8" t="s">
        <v>26</v>
      </c>
      <c r="O3" s="8" t="s">
        <v>27</v>
      </c>
      <c r="P3" s="9" t="s">
        <v>28</v>
      </c>
      <c r="Q3" s="6" t="s">
        <v>29</v>
      </c>
      <c r="R3" s="9" t="s">
        <v>30</v>
      </c>
    </row>
    <row r="4">
      <c r="A4" s="12" t="s">
        <v>10</v>
      </c>
      <c r="B4" s="13">
        <v>45926.0</v>
      </c>
      <c r="C4" s="14" t="s">
        <v>31</v>
      </c>
      <c r="D4" s="37" t="s">
        <v>69</v>
      </c>
      <c r="E4" s="14" t="s">
        <v>4294</v>
      </c>
      <c r="F4" s="15">
        <v>0.3333333333333333</v>
      </c>
      <c r="G4" s="16">
        <v>8.0144044824629E14</v>
      </c>
      <c r="H4" s="17" t="s">
        <v>4295</v>
      </c>
      <c r="I4" s="18">
        <v>27405.0</v>
      </c>
      <c r="J4" s="17" t="s">
        <v>4296</v>
      </c>
      <c r="K4" s="19"/>
      <c r="L4" s="41"/>
      <c r="M4" s="42" t="s">
        <v>4297</v>
      </c>
      <c r="N4" s="43"/>
      <c r="O4" s="46"/>
      <c r="P4" s="45"/>
      <c r="Q4" s="46"/>
      <c r="R4" s="47"/>
    </row>
    <row r="5">
      <c r="A5" s="12" t="s">
        <v>11</v>
      </c>
      <c r="B5" s="13">
        <v>45926.0</v>
      </c>
      <c r="C5" s="14" t="s">
        <v>31</v>
      </c>
      <c r="D5" s="37" t="s">
        <v>69</v>
      </c>
      <c r="E5" s="14" t="s">
        <v>4294</v>
      </c>
      <c r="F5" s="15">
        <v>0.3541666666666667</v>
      </c>
      <c r="G5" s="16">
        <v>2.1014697982E14</v>
      </c>
      <c r="H5" s="17" t="s">
        <v>4298</v>
      </c>
      <c r="I5" s="18">
        <v>19106.0</v>
      </c>
      <c r="J5" s="17" t="s">
        <v>4299</v>
      </c>
      <c r="K5" s="19"/>
      <c r="L5" s="41"/>
      <c r="M5" s="42" t="s">
        <v>4300</v>
      </c>
      <c r="N5" s="50"/>
      <c r="O5" s="51"/>
      <c r="P5" s="52"/>
      <c r="Q5" s="51"/>
      <c r="R5" s="53"/>
    </row>
    <row r="6">
      <c r="A6" s="12" t="s">
        <v>12</v>
      </c>
      <c r="B6" s="13">
        <v>45926.0</v>
      </c>
      <c r="C6" s="14" t="s">
        <v>31</v>
      </c>
      <c r="D6" s="37" t="s">
        <v>69</v>
      </c>
      <c r="E6" s="14" t="s">
        <v>4294</v>
      </c>
      <c r="F6" s="15">
        <v>0.375</v>
      </c>
      <c r="G6" s="655">
        <v>1.23870905100008E14</v>
      </c>
      <c r="H6" s="655" t="s">
        <v>4301</v>
      </c>
      <c r="I6" s="656">
        <v>23800.0</v>
      </c>
      <c r="J6" s="655" t="s">
        <v>4302</v>
      </c>
      <c r="K6" s="33"/>
      <c r="L6" s="33"/>
      <c r="M6" s="657" t="s">
        <v>4303</v>
      </c>
      <c r="N6" s="54"/>
      <c r="O6" s="55"/>
      <c r="P6" s="56"/>
      <c r="Q6" s="55"/>
      <c r="R6" s="57"/>
    </row>
    <row r="7">
      <c r="A7" s="12" t="s">
        <v>13</v>
      </c>
      <c r="B7" s="13">
        <v>45926.0</v>
      </c>
      <c r="C7" s="14" t="s">
        <v>31</v>
      </c>
      <c r="D7" s="37" t="s">
        <v>69</v>
      </c>
      <c r="E7" s="14" t="s">
        <v>4294</v>
      </c>
      <c r="F7" s="15">
        <v>0.3958333333333333</v>
      </c>
      <c r="G7" s="16">
        <v>2.10146429320005E14</v>
      </c>
      <c r="H7" s="17" t="s">
        <v>4304</v>
      </c>
      <c r="I7" s="18">
        <v>19810.0</v>
      </c>
      <c r="J7" s="22" t="s">
        <v>4305</v>
      </c>
      <c r="K7" s="19"/>
      <c r="L7" s="41"/>
      <c r="M7" s="42" t="s">
        <v>4306</v>
      </c>
      <c r="N7" s="50"/>
      <c r="O7" s="61"/>
      <c r="P7" s="62"/>
      <c r="Q7" s="61"/>
      <c r="R7" s="53"/>
    </row>
    <row r="8">
      <c r="A8" s="12" t="s">
        <v>14</v>
      </c>
      <c r="B8" s="13">
        <v>45926.0</v>
      </c>
      <c r="C8" s="14" t="s">
        <v>31</v>
      </c>
      <c r="D8" s="37" t="s">
        <v>69</v>
      </c>
      <c r="E8" s="14" t="s">
        <v>4294</v>
      </c>
      <c r="F8" s="15">
        <v>0.4166666666666667</v>
      </c>
      <c r="G8" s="16">
        <v>8.01440408653294E14</v>
      </c>
      <c r="H8" s="22" t="s">
        <v>4307</v>
      </c>
      <c r="I8" s="18">
        <v>13525.0</v>
      </c>
      <c r="J8" s="17" t="s">
        <v>4308</v>
      </c>
      <c r="K8" s="19"/>
      <c r="L8" s="41"/>
      <c r="M8" s="42" t="s">
        <v>4309</v>
      </c>
      <c r="N8" s="63"/>
      <c r="O8" s="64"/>
      <c r="P8" s="56"/>
      <c r="Q8" s="64"/>
      <c r="R8" s="65"/>
    </row>
    <row r="9">
      <c r="A9" s="12" t="s">
        <v>15</v>
      </c>
      <c r="B9" s="13">
        <v>45926.0</v>
      </c>
      <c r="C9" s="14" t="s">
        <v>31</v>
      </c>
      <c r="D9" s="37" t="s">
        <v>69</v>
      </c>
      <c r="E9" s="14" t="s">
        <v>4294</v>
      </c>
      <c r="F9" s="15">
        <v>0.4375</v>
      </c>
      <c r="G9" s="16">
        <v>7.08407291368665E14</v>
      </c>
      <c r="H9" s="17" t="s">
        <v>4310</v>
      </c>
      <c r="I9" s="18">
        <v>18500.0</v>
      </c>
      <c r="J9" s="17" t="s">
        <v>4311</v>
      </c>
      <c r="K9" s="19"/>
      <c r="L9" s="41"/>
      <c r="M9" s="42" t="s">
        <v>4312</v>
      </c>
      <c r="N9" s="50"/>
      <c r="O9" s="61"/>
      <c r="P9" s="62"/>
      <c r="Q9" s="61"/>
      <c r="R9" s="53"/>
    </row>
    <row r="10">
      <c r="A10" s="12" t="s">
        <v>16</v>
      </c>
      <c r="B10" s="13">
        <v>45926.0</v>
      </c>
      <c r="C10" s="14" t="s">
        <v>31</v>
      </c>
      <c r="D10" s="37" t="s">
        <v>69</v>
      </c>
      <c r="E10" s="14" t="s">
        <v>4294</v>
      </c>
      <c r="F10" s="15">
        <v>0.4583333333333333</v>
      </c>
      <c r="G10" s="16">
        <v>7.07807679830619E14</v>
      </c>
      <c r="H10" s="17" t="s">
        <v>4313</v>
      </c>
      <c r="I10" s="18">
        <v>16510.0</v>
      </c>
      <c r="J10" s="17" t="s">
        <v>4311</v>
      </c>
      <c r="K10" s="19"/>
      <c r="L10" s="41"/>
      <c r="M10" s="42" t="s">
        <v>4312</v>
      </c>
      <c r="N10" s="63"/>
      <c r="O10" s="64"/>
      <c r="P10" s="56"/>
      <c r="Q10" s="64"/>
      <c r="R10" s="65"/>
    </row>
    <row r="11">
      <c r="A11" s="12" t="s">
        <v>17</v>
      </c>
      <c r="B11" s="13">
        <v>45926.0</v>
      </c>
      <c r="C11" s="14" t="s">
        <v>31</v>
      </c>
      <c r="D11" s="37" t="s">
        <v>69</v>
      </c>
      <c r="E11" s="14" t="s">
        <v>4294</v>
      </c>
      <c r="F11" s="15">
        <v>0.4791666666666667</v>
      </c>
      <c r="G11" s="16">
        <v>8.01440411842418E14</v>
      </c>
      <c r="H11" s="17" t="s">
        <v>4314</v>
      </c>
      <c r="I11" s="18">
        <v>26022.0</v>
      </c>
      <c r="J11" s="17" t="s">
        <v>4315</v>
      </c>
      <c r="K11" s="19"/>
      <c r="L11" s="41"/>
      <c r="M11" s="42" t="s">
        <v>4316</v>
      </c>
      <c r="N11" s="50"/>
      <c r="O11" s="61"/>
      <c r="P11" s="62"/>
      <c r="Q11" s="61"/>
      <c r="R11" s="53"/>
    </row>
    <row r="12">
      <c r="A12" s="261"/>
      <c r="D12" s="67"/>
    </row>
    <row r="13">
      <c r="A13" s="261"/>
      <c r="D13" s="67"/>
    </row>
    <row r="14">
      <c r="A14" s="261"/>
      <c r="D14" s="67"/>
    </row>
    <row r="15">
      <c r="A15" s="261"/>
      <c r="D15" s="67"/>
    </row>
    <row r="16">
      <c r="A16" s="261"/>
      <c r="D16" s="67"/>
    </row>
    <row r="17">
      <c r="A17" s="261"/>
      <c r="D17" s="67"/>
    </row>
    <row r="18">
      <c r="A18" s="261"/>
      <c r="D18" s="67"/>
    </row>
    <row r="19">
      <c r="A19" s="261"/>
      <c r="D19" s="67"/>
    </row>
    <row r="20">
      <c r="A20" s="261"/>
      <c r="D20" s="67"/>
    </row>
    <row r="21">
      <c r="A21" s="261"/>
      <c r="D21" s="67"/>
    </row>
    <row r="22">
      <c r="A22" s="261"/>
      <c r="D22" s="67"/>
    </row>
    <row r="23">
      <c r="A23" s="261"/>
      <c r="D23" s="67"/>
    </row>
    <row r="24">
      <c r="A24" s="261"/>
      <c r="D24" s="67"/>
    </row>
    <row r="25">
      <c r="A25" s="261"/>
      <c r="D25" s="67"/>
    </row>
    <row r="26">
      <c r="A26" s="261"/>
      <c r="D26" s="67"/>
    </row>
    <row r="27">
      <c r="A27" s="261"/>
      <c r="D27" s="67"/>
    </row>
    <row r="28">
      <c r="A28" s="261"/>
      <c r="D28" s="67"/>
    </row>
    <row r="29">
      <c r="A29" s="261"/>
      <c r="D29" s="67"/>
    </row>
    <row r="30">
      <c r="A30" s="261"/>
      <c r="D30" s="67"/>
    </row>
    <row r="31">
      <c r="A31" s="261"/>
      <c r="D31" s="67"/>
    </row>
    <row r="32">
      <c r="A32" s="261"/>
      <c r="D32" s="67"/>
    </row>
    <row r="33">
      <c r="A33" s="261"/>
      <c r="D33" s="67"/>
    </row>
    <row r="34">
      <c r="A34" s="261"/>
      <c r="D34" s="67"/>
    </row>
    <row r="35">
      <c r="A35" s="261"/>
      <c r="D35" s="67"/>
    </row>
    <row r="36">
      <c r="A36" s="261"/>
      <c r="D36" s="67"/>
    </row>
    <row r="37">
      <c r="A37" s="261"/>
      <c r="D37" s="67"/>
    </row>
    <row r="38">
      <c r="A38" s="261"/>
      <c r="D38" s="67"/>
    </row>
    <row r="39">
      <c r="A39" s="261"/>
      <c r="D39" s="67"/>
    </row>
    <row r="40">
      <c r="A40" s="261"/>
      <c r="D40" s="67"/>
    </row>
    <row r="41">
      <c r="A41" s="261"/>
      <c r="D41" s="67"/>
    </row>
    <row r="42">
      <c r="A42" s="261"/>
      <c r="D42" s="67"/>
    </row>
    <row r="43">
      <c r="A43" s="261"/>
      <c r="D43" s="67"/>
    </row>
    <row r="44">
      <c r="A44" s="261"/>
      <c r="D44" s="67"/>
    </row>
    <row r="45">
      <c r="A45" s="261"/>
      <c r="D45" s="67"/>
    </row>
    <row r="46">
      <c r="A46" s="261"/>
      <c r="D46" s="67"/>
    </row>
    <row r="47">
      <c r="A47" s="261"/>
      <c r="D47" s="67"/>
    </row>
    <row r="48">
      <c r="A48" s="261"/>
      <c r="D48" s="67"/>
    </row>
    <row r="49">
      <c r="A49" s="261"/>
      <c r="D49" s="67"/>
    </row>
    <row r="50">
      <c r="A50" s="261"/>
      <c r="D50" s="67"/>
    </row>
    <row r="51">
      <c r="A51" s="261"/>
      <c r="D51" s="67"/>
    </row>
    <row r="52">
      <c r="A52" s="261"/>
      <c r="D52" s="67"/>
    </row>
    <row r="53">
      <c r="A53" s="261"/>
      <c r="D53" s="67"/>
    </row>
    <row r="54">
      <c r="A54" s="261"/>
      <c r="D54" s="67"/>
    </row>
    <row r="55">
      <c r="A55" s="261"/>
      <c r="D55" s="67"/>
    </row>
    <row r="56">
      <c r="A56" s="261"/>
      <c r="D56" s="67"/>
    </row>
    <row r="57">
      <c r="A57" s="261"/>
      <c r="D57" s="67"/>
    </row>
    <row r="58">
      <c r="A58" s="261"/>
      <c r="D58" s="67"/>
    </row>
    <row r="59">
      <c r="A59" s="261"/>
      <c r="D59" s="67"/>
    </row>
    <row r="60">
      <c r="A60" s="261"/>
      <c r="D60" s="67"/>
    </row>
    <row r="61">
      <c r="A61" s="261"/>
      <c r="D61" s="67"/>
    </row>
    <row r="62">
      <c r="A62" s="261"/>
      <c r="D62" s="67"/>
    </row>
    <row r="63">
      <c r="A63" s="261"/>
      <c r="D63" s="67"/>
    </row>
    <row r="64">
      <c r="A64" s="261"/>
      <c r="D64" s="67"/>
    </row>
    <row r="65">
      <c r="A65" s="261"/>
      <c r="D65" s="67"/>
    </row>
    <row r="66">
      <c r="A66" s="261"/>
      <c r="D66" s="67"/>
    </row>
    <row r="67">
      <c r="A67" s="261"/>
      <c r="D67" s="67"/>
    </row>
    <row r="68">
      <c r="A68" s="261"/>
      <c r="D68" s="67"/>
    </row>
    <row r="69">
      <c r="A69" s="261"/>
      <c r="D69" s="67"/>
    </row>
    <row r="70">
      <c r="A70" s="261"/>
      <c r="D70" s="67"/>
    </row>
    <row r="71">
      <c r="A71" s="261"/>
      <c r="D71" s="67"/>
    </row>
    <row r="72">
      <c r="A72" s="261"/>
      <c r="D72" s="67"/>
    </row>
    <row r="73">
      <c r="A73" s="261"/>
      <c r="D73" s="67"/>
    </row>
    <row r="74">
      <c r="A74" s="261"/>
      <c r="D74" s="67"/>
    </row>
    <row r="75">
      <c r="A75" s="261"/>
      <c r="D75" s="67"/>
    </row>
    <row r="76">
      <c r="A76" s="261"/>
      <c r="D76" s="67"/>
    </row>
    <row r="77">
      <c r="A77" s="261"/>
      <c r="D77" s="67"/>
    </row>
    <row r="78">
      <c r="A78" s="261"/>
      <c r="D78" s="67"/>
    </row>
    <row r="79">
      <c r="A79" s="261"/>
      <c r="D79" s="67"/>
    </row>
    <row r="80">
      <c r="A80" s="261"/>
      <c r="D80" s="67"/>
    </row>
    <row r="81">
      <c r="A81" s="261"/>
      <c r="D81" s="67"/>
    </row>
    <row r="82">
      <c r="A82" s="261"/>
      <c r="D82" s="67"/>
    </row>
    <row r="83">
      <c r="A83" s="261"/>
      <c r="D83" s="67"/>
    </row>
    <row r="84">
      <c r="A84" s="261"/>
      <c r="D84" s="67"/>
    </row>
    <row r="85">
      <c r="A85" s="261"/>
      <c r="D85" s="67"/>
    </row>
    <row r="86">
      <c r="A86" s="261"/>
      <c r="D86" s="67"/>
    </row>
    <row r="87">
      <c r="A87" s="261"/>
      <c r="D87" s="67"/>
    </row>
    <row r="88">
      <c r="A88" s="261"/>
      <c r="D88" s="67"/>
    </row>
    <row r="89">
      <c r="A89" s="261"/>
      <c r="D89" s="67"/>
    </row>
    <row r="90">
      <c r="A90" s="261"/>
      <c r="D90" s="67"/>
    </row>
    <row r="91">
      <c r="A91" s="261"/>
      <c r="D91" s="67"/>
    </row>
    <row r="92">
      <c r="A92" s="261"/>
      <c r="D92" s="67"/>
    </row>
    <row r="93">
      <c r="A93" s="261"/>
      <c r="D93" s="67"/>
    </row>
    <row r="94">
      <c r="A94" s="261"/>
      <c r="D94" s="67"/>
    </row>
    <row r="95">
      <c r="A95" s="261"/>
      <c r="D95" s="67"/>
    </row>
    <row r="96">
      <c r="A96" s="261"/>
      <c r="D96" s="67"/>
    </row>
    <row r="97">
      <c r="A97" s="261"/>
      <c r="D97" s="67"/>
    </row>
    <row r="98">
      <c r="A98" s="261"/>
      <c r="D98" s="67"/>
    </row>
    <row r="99">
      <c r="A99" s="261"/>
      <c r="D99" s="67"/>
    </row>
    <row r="100">
      <c r="A100" s="261"/>
      <c r="D100" s="67"/>
    </row>
    <row r="101">
      <c r="A101" s="261"/>
      <c r="D101" s="67"/>
    </row>
    <row r="102">
      <c r="A102" s="261"/>
      <c r="D102" s="67"/>
    </row>
    <row r="103">
      <c r="A103" s="261"/>
      <c r="D103" s="67"/>
    </row>
    <row r="104">
      <c r="A104" s="261"/>
      <c r="D104" s="67"/>
    </row>
    <row r="105">
      <c r="A105" s="261"/>
      <c r="D105" s="67"/>
    </row>
    <row r="106">
      <c r="A106" s="261"/>
      <c r="D106" s="67"/>
    </row>
    <row r="107">
      <c r="A107" s="261"/>
      <c r="D107" s="67"/>
    </row>
    <row r="108">
      <c r="A108" s="261"/>
      <c r="D108" s="67"/>
    </row>
    <row r="109">
      <c r="A109" s="261"/>
      <c r="D109" s="67"/>
    </row>
    <row r="110">
      <c r="A110" s="261"/>
      <c r="D110" s="67"/>
    </row>
    <row r="111">
      <c r="A111" s="261"/>
      <c r="D111" s="67"/>
    </row>
    <row r="112">
      <c r="A112" s="261"/>
      <c r="D112" s="67"/>
    </row>
    <row r="113">
      <c r="A113" s="261"/>
      <c r="D113" s="67"/>
    </row>
    <row r="114">
      <c r="A114" s="261"/>
      <c r="D114" s="67"/>
    </row>
    <row r="115">
      <c r="A115" s="261"/>
      <c r="D115" s="67"/>
    </row>
    <row r="116">
      <c r="A116" s="261"/>
      <c r="D116" s="67"/>
    </row>
    <row r="117">
      <c r="A117" s="261"/>
      <c r="D117" s="67"/>
    </row>
    <row r="118">
      <c r="A118" s="261"/>
      <c r="D118" s="67"/>
    </row>
    <row r="119">
      <c r="A119" s="261"/>
      <c r="D119" s="67"/>
    </row>
    <row r="120">
      <c r="A120" s="261"/>
      <c r="D120" s="67"/>
    </row>
    <row r="121">
      <c r="A121" s="261"/>
      <c r="D121" s="67"/>
    </row>
    <row r="122">
      <c r="A122" s="261"/>
      <c r="D122" s="67"/>
    </row>
    <row r="123">
      <c r="A123" s="261"/>
      <c r="D123" s="67"/>
    </row>
    <row r="124">
      <c r="A124" s="261"/>
      <c r="D124" s="67"/>
    </row>
    <row r="125">
      <c r="A125" s="261"/>
      <c r="D125" s="67"/>
    </row>
    <row r="126">
      <c r="A126" s="261"/>
      <c r="D126" s="67"/>
    </row>
    <row r="127">
      <c r="A127" s="261"/>
      <c r="D127" s="67"/>
    </row>
    <row r="128">
      <c r="A128" s="261"/>
      <c r="D128" s="67"/>
    </row>
    <row r="129">
      <c r="A129" s="261"/>
      <c r="D129" s="67"/>
    </row>
    <row r="130">
      <c r="A130" s="261"/>
      <c r="D130" s="67"/>
    </row>
    <row r="131">
      <c r="A131" s="261"/>
      <c r="D131" s="67"/>
    </row>
    <row r="132">
      <c r="A132" s="261"/>
      <c r="D132" s="67"/>
    </row>
    <row r="133">
      <c r="A133" s="261"/>
      <c r="D133" s="67"/>
    </row>
    <row r="134">
      <c r="A134" s="261"/>
      <c r="D134" s="67"/>
    </row>
    <row r="135">
      <c r="A135" s="261"/>
      <c r="D135" s="67"/>
    </row>
    <row r="136">
      <c r="A136" s="261"/>
      <c r="D136" s="67"/>
    </row>
    <row r="137">
      <c r="A137" s="261"/>
      <c r="D137" s="67"/>
    </row>
    <row r="138">
      <c r="A138" s="261"/>
      <c r="D138" s="67"/>
    </row>
    <row r="139">
      <c r="A139" s="261"/>
      <c r="D139" s="67"/>
    </row>
    <row r="140">
      <c r="A140" s="261"/>
      <c r="D140" s="67"/>
    </row>
    <row r="141">
      <c r="A141" s="261"/>
      <c r="D141" s="67"/>
    </row>
    <row r="142">
      <c r="A142" s="261"/>
      <c r="D142" s="67"/>
    </row>
    <row r="143">
      <c r="A143" s="261"/>
      <c r="D143" s="67"/>
    </row>
    <row r="144">
      <c r="A144" s="261"/>
      <c r="D144" s="67"/>
    </row>
    <row r="145">
      <c r="A145" s="261"/>
      <c r="D145" s="67"/>
    </row>
    <row r="146">
      <c r="A146" s="261"/>
      <c r="D146" s="67"/>
    </row>
    <row r="147">
      <c r="A147" s="261"/>
      <c r="D147" s="67"/>
    </row>
    <row r="148">
      <c r="A148" s="261"/>
      <c r="D148" s="67"/>
    </row>
    <row r="149">
      <c r="A149" s="261"/>
      <c r="D149" s="67"/>
    </row>
    <row r="150">
      <c r="A150" s="261"/>
      <c r="D150" s="67"/>
    </row>
    <row r="151">
      <c r="A151" s="261"/>
      <c r="D151" s="67"/>
    </row>
    <row r="152">
      <c r="A152" s="261"/>
      <c r="D152" s="67"/>
    </row>
    <row r="153">
      <c r="A153" s="261"/>
      <c r="D153" s="67"/>
    </row>
    <row r="154">
      <c r="A154" s="261"/>
      <c r="D154" s="67"/>
    </row>
    <row r="155">
      <c r="A155" s="261"/>
      <c r="D155" s="67"/>
    </row>
    <row r="156">
      <c r="A156" s="261"/>
      <c r="D156" s="67"/>
    </row>
    <row r="157">
      <c r="A157" s="261"/>
      <c r="D157" s="67"/>
    </row>
    <row r="158">
      <c r="A158" s="261"/>
      <c r="D158" s="67"/>
    </row>
    <row r="159">
      <c r="A159" s="261"/>
      <c r="D159" s="67"/>
    </row>
    <row r="160">
      <c r="A160" s="261"/>
      <c r="D160" s="67"/>
    </row>
    <row r="161">
      <c r="A161" s="261"/>
      <c r="D161" s="67"/>
    </row>
    <row r="162">
      <c r="A162" s="261"/>
      <c r="D162" s="67"/>
    </row>
    <row r="163">
      <c r="A163" s="261"/>
      <c r="D163" s="67"/>
    </row>
    <row r="164">
      <c r="A164" s="261"/>
      <c r="D164" s="67"/>
    </row>
    <row r="165">
      <c r="A165" s="261"/>
      <c r="D165" s="67"/>
    </row>
    <row r="166">
      <c r="A166" s="261"/>
      <c r="D166" s="67"/>
    </row>
    <row r="167">
      <c r="A167" s="261"/>
      <c r="D167" s="67"/>
    </row>
    <row r="168">
      <c r="A168" s="261"/>
      <c r="D168" s="67"/>
    </row>
    <row r="169">
      <c r="A169" s="261"/>
      <c r="D169" s="67"/>
    </row>
    <row r="170">
      <c r="A170" s="261"/>
      <c r="D170" s="67"/>
    </row>
    <row r="171">
      <c r="A171" s="261"/>
      <c r="D171" s="67"/>
    </row>
    <row r="172">
      <c r="A172" s="261"/>
      <c r="D172" s="67"/>
    </row>
    <row r="173">
      <c r="A173" s="261"/>
      <c r="D173" s="67"/>
    </row>
    <row r="174">
      <c r="A174" s="261"/>
      <c r="D174" s="67"/>
    </row>
    <row r="175">
      <c r="A175" s="261"/>
      <c r="D175" s="67"/>
    </row>
    <row r="176">
      <c r="A176" s="261"/>
      <c r="D176" s="67"/>
    </row>
    <row r="177">
      <c r="A177" s="261"/>
      <c r="D177" s="67"/>
    </row>
    <row r="178">
      <c r="A178" s="261"/>
      <c r="D178" s="67"/>
    </row>
    <row r="179">
      <c r="A179" s="261"/>
      <c r="D179" s="67"/>
    </row>
    <row r="180">
      <c r="A180" s="261"/>
      <c r="D180" s="67"/>
    </row>
    <row r="181">
      <c r="A181" s="261"/>
      <c r="D181" s="67"/>
    </row>
    <row r="182">
      <c r="A182" s="261"/>
      <c r="D182" s="67"/>
    </row>
    <row r="183">
      <c r="A183" s="261"/>
      <c r="D183" s="67"/>
    </row>
    <row r="184">
      <c r="A184" s="261"/>
      <c r="D184" s="67"/>
    </row>
    <row r="185">
      <c r="A185" s="261"/>
      <c r="D185" s="67"/>
    </row>
    <row r="186">
      <c r="A186" s="261"/>
      <c r="D186" s="67"/>
    </row>
    <row r="187">
      <c r="A187" s="261"/>
      <c r="D187" s="67"/>
    </row>
    <row r="188">
      <c r="A188" s="261"/>
      <c r="D188" s="67"/>
    </row>
    <row r="189">
      <c r="A189" s="261"/>
      <c r="D189" s="67"/>
    </row>
    <row r="190">
      <c r="A190" s="261"/>
      <c r="D190" s="67"/>
    </row>
    <row r="191">
      <c r="A191" s="261"/>
      <c r="D191" s="67"/>
    </row>
    <row r="192">
      <c r="A192" s="261"/>
      <c r="D192" s="67"/>
    </row>
    <row r="193">
      <c r="A193" s="261"/>
      <c r="D193" s="67"/>
    </row>
    <row r="194">
      <c r="A194" s="261"/>
      <c r="D194" s="67"/>
    </row>
    <row r="195">
      <c r="A195" s="261"/>
      <c r="D195" s="67"/>
    </row>
    <row r="196">
      <c r="A196" s="261"/>
      <c r="D196" s="67"/>
    </row>
    <row r="197">
      <c r="A197" s="261"/>
      <c r="D197" s="67"/>
    </row>
    <row r="198">
      <c r="A198" s="261"/>
      <c r="D198" s="67"/>
    </row>
    <row r="199">
      <c r="A199" s="261"/>
      <c r="D199" s="67"/>
    </row>
    <row r="200">
      <c r="A200" s="261"/>
      <c r="D200" s="67"/>
    </row>
    <row r="201">
      <c r="A201" s="261"/>
      <c r="D201" s="67"/>
    </row>
    <row r="202">
      <c r="A202" s="261"/>
      <c r="D202" s="67"/>
    </row>
    <row r="203">
      <c r="A203" s="261"/>
      <c r="D203" s="67"/>
    </row>
    <row r="204">
      <c r="A204" s="261"/>
      <c r="D204" s="67"/>
    </row>
    <row r="205">
      <c r="A205" s="261"/>
      <c r="D205" s="67"/>
    </row>
    <row r="206">
      <c r="A206" s="261"/>
      <c r="D206" s="67"/>
    </row>
    <row r="207">
      <c r="A207" s="261"/>
      <c r="D207" s="67"/>
    </row>
    <row r="208">
      <c r="A208" s="261"/>
      <c r="D208" s="67"/>
    </row>
    <row r="209">
      <c r="A209" s="261"/>
      <c r="D209" s="67"/>
    </row>
    <row r="210">
      <c r="A210" s="261"/>
      <c r="D210" s="67"/>
    </row>
    <row r="211">
      <c r="A211" s="261"/>
      <c r="D211" s="67"/>
    </row>
    <row r="212">
      <c r="A212" s="261"/>
      <c r="D212" s="67"/>
    </row>
    <row r="213">
      <c r="A213" s="261"/>
      <c r="D213" s="67"/>
    </row>
    <row r="214">
      <c r="A214" s="261"/>
      <c r="D214" s="67"/>
    </row>
    <row r="215">
      <c r="A215" s="261"/>
      <c r="D215" s="67"/>
    </row>
    <row r="216">
      <c r="A216" s="261"/>
      <c r="D216" s="67"/>
    </row>
    <row r="217">
      <c r="A217" s="261"/>
      <c r="D217" s="67"/>
    </row>
    <row r="218">
      <c r="A218" s="261"/>
      <c r="D218" s="67"/>
    </row>
    <row r="219">
      <c r="A219" s="261"/>
      <c r="D219" s="67"/>
    </row>
    <row r="220">
      <c r="A220" s="261"/>
      <c r="D220" s="67"/>
    </row>
    <row r="221">
      <c r="A221" s="261"/>
      <c r="D221" s="67"/>
    </row>
    <row r="222">
      <c r="A222" s="261"/>
      <c r="D222" s="67"/>
    </row>
    <row r="223">
      <c r="A223" s="261"/>
      <c r="D223" s="67"/>
    </row>
    <row r="224">
      <c r="A224" s="261"/>
      <c r="D224" s="67"/>
    </row>
    <row r="225">
      <c r="A225" s="261"/>
      <c r="D225" s="67"/>
    </row>
    <row r="226">
      <c r="A226" s="261"/>
      <c r="D226" s="67"/>
    </row>
    <row r="227">
      <c r="A227" s="261"/>
      <c r="D227" s="67"/>
    </row>
    <row r="228">
      <c r="A228" s="261"/>
      <c r="D228" s="67"/>
    </row>
    <row r="229">
      <c r="A229" s="261"/>
      <c r="D229" s="67"/>
    </row>
    <row r="230">
      <c r="A230" s="261"/>
      <c r="D230" s="67"/>
    </row>
    <row r="231">
      <c r="A231" s="261"/>
      <c r="D231" s="67"/>
    </row>
    <row r="232">
      <c r="A232" s="261"/>
      <c r="D232" s="67"/>
    </row>
    <row r="233">
      <c r="A233" s="261"/>
      <c r="D233" s="67"/>
    </row>
    <row r="234">
      <c r="A234" s="261"/>
      <c r="D234" s="67"/>
    </row>
    <row r="235">
      <c r="A235" s="261"/>
      <c r="D235" s="67"/>
    </row>
    <row r="236">
      <c r="A236" s="261"/>
      <c r="D236" s="67"/>
    </row>
    <row r="237">
      <c r="A237" s="261"/>
      <c r="D237" s="67"/>
    </row>
    <row r="238">
      <c r="A238" s="261"/>
      <c r="D238" s="67"/>
    </row>
    <row r="239">
      <c r="A239" s="261"/>
      <c r="D239" s="67"/>
    </row>
    <row r="240">
      <c r="A240" s="261"/>
      <c r="D240" s="67"/>
    </row>
    <row r="241">
      <c r="A241" s="261"/>
      <c r="D241" s="67"/>
    </row>
    <row r="242">
      <c r="A242" s="261"/>
      <c r="D242" s="67"/>
    </row>
    <row r="243">
      <c r="A243" s="261"/>
      <c r="D243" s="67"/>
    </row>
    <row r="244">
      <c r="A244" s="261"/>
      <c r="D244" s="67"/>
    </row>
    <row r="245">
      <c r="A245" s="261"/>
      <c r="D245" s="67"/>
    </row>
    <row r="246">
      <c r="A246" s="261"/>
      <c r="D246" s="67"/>
    </row>
    <row r="247">
      <c r="A247" s="261"/>
      <c r="D247" s="67"/>
    </row>
    <row r="248">
      <c r="A248" s="261"/>
      <c r="D248" s="67"/>
    </row>
    <row r="249">
      <c r="A249" s="261"/>
      <c r="D249" s="67"/>
    </row>
    <row r="250">
      <c r="A250" s="261"/>
      <c r="D250" s="67"/>
    </row>
    <row r="251">
      <c r="A251" s="261"/>
      <c r="D251" s="67"/>
    </row>
    <row r="252">
      <c r="A252" s="261"/>
      <c r="D252" s="67"/>
    </row>
    <row r="253">
      <c r="A253" s="261"/>
      <c r="D253" s="67"/>
    </row>
    <row r="254">
      <c r="A254" s="261"/>
      <c r="D254" s="67"/>
    </row>
    <row r="255">
      <c r="A255" s="261"/>
      <c r="D255" s="67"/>
    </row>
    <row r="256">
      <c r="A256" s="261"/>
      <c r="D256" s="67"/>
    </row>
    <row r="257">
      <c r="A257" s="261"/>
      <c r="D257" s="67"/>
    </row>
    <row r="258">
      <c r="A258" s="261"/>
      <c r="D258" s="67"/>
    </row>
    <row r="259">
      <c r="A259" s="261"/>
      <c r="D259" s="67"/>
    </row>
    <row r="260">
      <c r="A260" s="261"/>
      <c r="D260" s="67"/>
    </row>
    <row r="261">
      <c r="A261" s="261"/>
      <c r="D261" s="67"/>
    </row>
    <row r="262">
      <c r="A262" s="261"/>
      <c r="D262" s="67"/>
    </row>
    <row r="263">
      <c r="A263" s="261"/>
      <c r="D263" s="67"/>
    </row>
    <row r="264">
      <c r="A264" s="261"/>
      <c r="D264" s="67"/>
    </row>
    <row r="265">
      <c r="A265" s="261"/>
      <c r="D265" s="67"/>
    </row>
    <row r="266">
      <c r="A266" s="261"/>
      <c r="D266" s="67"/>
    </row>
    <row r="267">
      <c r="A267" s="261"/>
      <c r="D267" s="67"/>
    </row>
    <row r="268">
      <c r="A268" s="261"/>
      <c r="D268" s="67"/>
    </row>
    <row r="269">
      <c r="A269" s="261"/>
      <c r="D269" s="67"/>
    </row>
    <row r="270">
      <c r="A270" s="261"/>
      <c r="D270" s="67"/>
    </row>
    <row r="271">
      <c r="A271" s="261"/>
      <c r="D271" s="67"/>
    </row>
    <row r="272">
      <c r="A272" s="261"/>
      <c r="D272" s="67"/>
    </row>
    <row r="273">
      <c r="A273" s="261"/>
      <c r="D273" s="67"/>
    </row>
    <row r="274">
      <c r="A274" s="261"/>
      <c r="D274" s="67"/>
    </row>
    <row r="275">
      <c r="A275" s="261"/>
      <c r="D275" s="67"/>
    </row>
    <row r="276">
      <c r="A276" s="261"/>
      <c r="D276" s="67"/>
    </row>
    <row r="277">
      <c r="A277" s="261"/>
      <c r="D277" s="67"/>
    </row>
    <row r="278">
      <c r="A278" s="261"/>
      <c r="D278" s="67"/>
    </row>
    <row r="279">
      <c r="A279" s="261"/>
      <c r="D279" s="67"/>
    </row>
    <row r="280">
      <c r="A280" s="261"/>
      <c r="D280" s="67"/>
    </row>
    <row r="281">
      <c r="A281" s="261"/>
      <c r="D281" s="67"/>
    </row>
    <row r="282">
      <c r="A282" s="261"/>
      <c r="D282" s="67"/>
    </row>
    <row r="283">
      <c r="A283" s="261"/>
      <c r="D283" s="67"/>
    </row>
    <row r="284">
      <c r="A284" s="261"/>
      <c r="D284" s="67"/>
    </row>
    <row r="285">
      <c r="A285" s="261"/>
      <c r="D285" s="67"/>
    </row>
    <row r="286">
      <c r="A286" s="261"/>
      <c r="D286" s="67"/>
    </row>
    <row r="287">
      <c r="A287" s="261"/>
      <c r="D287" s="67"/>
    </row>
    <row r="288">
      <c r="A288" s="261"/>
      <c r="D288" s="67"/>
    </row>
    <row r="289">
      <c r="A289" s="261"/>
      <c r="D289" s="67"/>
    </row>
    <row r="290">
      <c r="A290" s="261"/>
      <c r="D290" s="67"/>
    </row>
    <row r="291">
      <c r="A291" s="261"/>
      <c r="D291" s="67"/>
    </row>
    <row r="292">
      <c r="A292" s="261"/>
      <c r="D292" s="67"/>
    </row>
    <row r="293">
      <c r="A293" s="261"/>
      <c r="D293" s="67"/>
    </row>
    <row r="294">
      <c r="A294" s="261"/>
      <c r="D294" s="67"/>
    </row>
    <row r="295">
      <c r="A295" s="261"/>
      <c r="D295" s="67"/>
    </row>
    <row r="296">
      <c r="A296" s="261"/>
      <c r="D296" s="67"/>
    </row>
    <row r="297">
      <c r="A297" s="261"/>
      <c r="D297" s="67"/>
    </row>
    <row r="298">
      <c r="A298" s="261"/>
      <c r="D298" s="67"/>
    </row>
    <row r="299">
      <c r="A299" s="261"/>
      <c r="D299" s="67"/>
    </row>
    <row r="300">
      <c r="A300" s="261"/>
      <c r="D300" s="67"/>
    </row>
    <row r="301">
      <c r="A301" s="261"/>
      <c r="D301" s="67"/>
    </row>
    <row r="302">
      <c r="A302" s="261"/>
      <c r="D302" s="67"/>
    </row>
    <row r="303">
      <c r="A303" s="261"/>
      <c r="D303" s="67"/>
    </row>
    <row r="304">
      <c r="A304" s="261"/>
      <c r="D304" s="67"/>
    </row>
    <row r="305">
      <c r="A305" s="261"/>
      <c r="D305" s="67"/>
    </row>
    <row r="306">
      <c r="A306" s="261"/>
      <c r="D306" s="67"/>
    </row>
    <row r="307">
      <c r="A307" s="261"/>
      <c r="D307" s="67"/>
    </row>
    <row r="308">
      <c r="A308" s="261"/>
      <c r="D308" s="67"/>
    </row>
    <row r="309">
      <c r="A309" s="261"/>
      <c r="D309" s="67"/>
    </row>
    <row r="310">
      <c r="A310" s="261"/>
      <c r="D310" s="67"/>
    </row>
    <row r="311">
      <c r="A311" s="261"/>
      <c r="D311" s="67"/>
    </row>
    <row r="312">
      <c r="A312" s="261"/>
      <c r="D312" s="67"/>
    </row>
    <row r="313">
      <c r="A313" s="261"/>
      <c r="D313" s="67"/>
    </row>
    <row r="314">
      <c r="A314" s="261"/>
      <c r="D314" s="67"/>
    </row>
    <row r="315">
      <c r="A315" s="261"/>
      <c r="D315" s="67"/>
    </row>
    <row r="316">
      <c r="A316" s="261"/>
      <c r="D316" s="67"/>
    </row>
    <row r="317">
      <c r="A317" s="261"/>
      <c r="D317" s="67"/>
    </row>
    <row r="318">
      <c r="A318" s="261"/>
      <c r="D318" s="67"/>
    </row>
    <row r="319">
      <c r="A319" s="261"/>
      <c r="D319" s="67"/>
    </row>
    <row r="320">
      <c r="A320" s="261"/>
      <c r="D320" s="67"/>
    </row>
    <row r="321">
      <c r="A321" s="261"/>
      <c r="D321" s="67"/>
    </row>
    <row r="322">
      <c r="A322" s="261"/>
      <c r="D322" s="67"/>
    </row>
    <row r="323">
      <c r="A323" s="261"/>
      <c r="D323" s="67"/>
    </row>
    <row r="324">
      <c r="A324" s="261"/>
      <c r="D324" s="67"/>
    </row>
    <row r="325">
      <c r="A325" s="261"/>
      <c r="D325" s="67"/>
    </row>
    <row r="326">
      <c r="A326" s="261"/>
      <c r="D326" s="67"/>
    </row>
    <row r="327">
      <c r="A327" s="261"/>
      <c r="D327" s="67"/>
    </row>
    <row r="328">
      <c r="A328" s="261"/>
      <c r="D328" s="67"/>
    </row>
    <row r="329">
      <c r="A329" s="261"/>
      <c r="D329" s="67"/>
    </row>
    <row r="330">
      <c r="A330" s="261"/>
      <c r="D330" s="67"/>
    </row>
    <row r="331">
      <c r="A331" s="261"/>
      <c r="D331" s="67"/>
    </row>
    <row r="332">
      <c r="A332" s="261"/>
      <c r="D332" s="67"/>
    </row>
    <row r="333">
      <c r="A333" s="261"/>
      <c r="D333" s="67"/>
    </row>
    <row r="334">
      <c r="A334" s="261"/>
      <c r="D334" s="67"/>
    </row>
    <row r="335">
      <c r="A335" s="261"/>
      <c r="D335" s="67"/>
    </row>
    <row r="336">
      <c r="A336" s="261"/>
      <c r="D336" s="67"/>
    </row>
    <row r="337">
      <c r="A337" s="261"/>
      <c r="D337" s="67"/>
    </row>
    <row r="338">
      <c r="A338" s="261"/>
      <c r="D338" s="67"/>
    </row>
    <row r="339">
      <c r="A339" s="261"/>
      <c r="D339" s="67"/>
    </row>
    <row r="340">
      <c r="A340" s="261"/>
      <c r="D340" s="67"/>
    </row>
    <row r="341">
      <c r="A341" s="261"/>
      <c r="D341" s="67"/>
    </row>
    <row r="342">
      <c r="A342" s="261"/>
      <c r="D342" s="67"/>
    </row>
    <row r="343">
      <c r="A343" s="261"/>
      <c r="D343" s="67"/>
    </row>
    <row r="344">
      <c r="A344" s="261"/>
      <c r="D344" s="67"/>
    </row>
    <row r="345">
      <c r="A345" s="261"/>
      <c r="D345" s="67"/>
    </row>
    <row r="346">
      <c r="A346" s="261"/>
      <c r="D346" s="67"/>
    </row>
    <row r="347">
      <c r="A347" s="261"/>
      <c r="D347" s="67"/>
    </row>
    <row r="348">
      <c r="A348" s="261"/>
      <c r="D348" s="67"/>
    </row>
    <row r="349">
      <c r="A349" s="261"/>
      <c r="D349" s="67"/>
    </row>
    <row r="350">
      <c r="A350" s="261"/>
      <c r="D350" s="67"/>
    </row>
    <row r="351">
      <c r="A351" s="261"/>
      <c r="D351" s="67"/>
    </row>
    <row r="352">
      <c r="A352" s="261"/>
      <c r="D352" s="67"/>
    </row>
    <row r="353">
      <c r="A353" s="261"/>
      <c r="D353" s="67"/>
    </row>
    <row r="354">
      <c r="A354" s="261"/>
      <c r="D354" s="67"/>
    </row>
    <row r="355">
      <c r="A355" s="261"/>
      <c r="D355" s="67"/>
    </row>
    <row r="356">
      <c r="A356" s="261"/>
      <c r="D356" s="67"/>
    </row>
    <row r="357">
      <c r="A357" s="261"/>
      <c r="D357" s="67"/>
    </row>
    <row r="358">
      <c r="A358" s="261"/>
      <c r="D358" s="67"/>
    </row>
    <row r="359">
      <c r="A359" s="261"/>
      <c r="D359" s="67"/>
    </row>
    <row r="360">
      <c r="A360" s="261"/>
      <c r="D360" s="67"/>
    </row>
    <row r="361">
      <c r="A361" s="261"/>
      <c r="D361" s="67"/>
    </row>
    <row r="362">
      <c r="A362" s="261"/>
      <c r="D362" s="67"/>
    </row>
    <row r="363">
      <c r="A363" s="261"/>
      <c r="D363" s="67"/>
    </row>
    <row r="364">
      <c r="A364" s="261"/>
      <c r="D364" s="67"/>
    </row>
    <row r="365">
      <c r="A365" s="261"/>
      <c r="D365" s="67"/>
    </row>
    <row r="366">
      <c r="A366" s="261"/>
      <c r="D366" s="67"/>
    </row>
    <row r="367">
      <c r="A367" s="261"/>
      <c r="D367" s="67"/>
    </row>
    <row r="368">
      <c r="A368" s="261"/>
      <c r="D368" s="67"/>
    </row>
    <row r="369">
      <c r="A369" s="261"/>
      <c r="D369" s="67"/>
    </row>
    <row r="370">
      <c r="A370" s="261"/>
      <c r="D370" s="67"/>
    </row>
    <row r="371">
      <c r="A371" s="261"/>
      <c r="D371" s="67"/>
    </row>
    <row r="372">
      <c r="A372" s="261"/>
      <c r="D372" s="67"/>
    </row>
    <row r="373">
      <c r="A373" s="261"/>
      <c r="D373" s="67"/>
    </row>
    <row r="374">
      <c r="A374" s="261"/>
      <c r="D374" s="67"/>
    </row>
    <row r="375">
      <c r="A375" s="261"/>
      <c r="D375" s="67"/>
    </row>
    <row r="376">
      <c r="A376" s="261"/>
      <c r="D376" s="67"/>
    </row>
    <row r="377">
      <c r="A377" s="261"/>
      <c r="D377" s="67"/>
    </row>
    <row r="378">
      <c r="A378" s="261"/>
      <c r="D378" s="67"/>
    </row>
    <row r="379">
      <c r="A379" s="261"/>
      <c r="D379" s="67"/>
    </row>
    <row r="380">
      <c r="A380" s="261"/>
      <c r="D380" s="67"/>
    </row>
    <row r="381">
      <c r="A381" s="261"/>
      <c r="D381" s="67"/>
    </row>
    <row r="382">
      <c r="A382" s="261"/>
      <c r="D382" s="67"/>
    </row>
    <row r="383">
      <c r="A383" s="261"/>
      <c r="D383" s="67"/>
    </row>
    <row r="384">
      <c r="A384" s="261"/>
      <c r="D384" s="67"/>
    </row>
    <row r="385">
      <c r="A385" s="261"/>
      <c r="D385" s="67"/>
    </row>
    <row r="386">
      <c r="A386" s="261"/>
      <c r="D386" s="67"/>
    </row>
    <row r="387">
      <c r="A387" s="261"/>
      <c r="D387" s="67"/>
    </row>
    <row r="388">
      <c r="A388" s="261"/>
      <c r="D388" s="67"/>
    </row>
    <row r="389">
      <c r="A389" s="261"/>
      <c r="D389" s="67"/>
    </row>
    <row r="390">
      <c r="A390" s="261"/>
      <c r="D390" s="67"/>
    </row>
    <row r="391">
      <c r="A391" s="261"/>
      <c r="D391" s="67"/>
    </row>
    <row r="392">
      <c r="A392" s="261"/>
      <c r="D392" s="67"/>
    </row>
    <row r="393">
      <c r="A393" s="261"/>
      <c r="D393" s="67"/>
    </row>
    <row r="394">
      <c r="A394" s="261"/>
      <c r="D394" s="67"/>
    </row>
    <row r="395">
      <c r="A395" s="261"/>
      <c r="D395" s="67"/>
    </row>
    <row r="396">
      <c r="A396" s="261"/>
      <c r="D396" s="67"/>
    </row>
    <row r="397">
      <c r="A397" s="261"/>
      <c r="D397" s="67"/>
    </row>
    <row r="398">
      <c r="A398" s="261"/>
      <c r="D398" s="67"/>
    </row>
    <row r="399">
      <c r="A399" s="261"/>
      <c r="D399" s="67"/>
    </row>
    <row r="400">
      <c r="A400" s="261"/>
      <c r="D400" s="67"/>
    </row>
    <row r="401">
      <c r="A401" s="261"/>
      <c r="D401" s="67"/>
    </row>
    <row r="402">
      <c r="A402" s="261"/>
      <c r="D402" s="67"/>
    </row>
    <row r="403">
      <c r="A403" s="261"/>
      <c r="D403" s="67"/>
    </row>
    <row r="404">
      <c r="A404" s="261"/>
      <c r="D404" s="67"/>
    </row>
    <row r="405">
      <c r="A405" s="261"/>
      <c r="D405" s="67"/>
    </row>
    <row r="406">
      <c r="A406" s="261"/>
      <c r="D406" s="67"/>
    </row>
    <row r="407">
      <c r="A407" s="261"/>
      <c r="D407" s="67"/>
    </row>
    <row r="408">
      <c r="A408" s="261"/>
      <c r="D408" s="67"/>
    </row>
    <row r="409">
      <c r="A409" s="261"/>
      <c r="D409" s="67"/>
    </row>
    <row r="410">
      <c r="A410" s="261"/>
      <c r="D410" s="67"/>
    </row>
    <row r="411">
      <c r="A411" s="261"/>
      <c r="D411" s="67"/>
    </row>
    <row r="412">
      <c r="A412" s="261"/>
      <c r="D412" s="67"/>
    </row>
    <row r="413">
      <c r="A413" s="261"/>
      <c r="D413" s="67"/>
    </row>
    <row r="414">
      <c r="A414" s="261"/>
      <c r="D414" s="67"/>
    </row>
    <row r="415">
      <c r="A415" s="261"/>
      <c r="D415" s="67"/>
    </row>
    <row r="416">
      <c r="A416" s="261"/>
      <c r="D416" s="67"/>
    </row>
    <row r="417">
      <c r="A417" s="261"/>
      <c r="D417" s="67"/>
    </row>
    <row r="418">
      <c r="A418" s="261"/>
      <c r="D418" s="67"/>
    </row>
    <row r="419">
      <c r="A419" s="261"/>
      <c r="D419" s="67"/>
    </row>
    <row r="420">
      <c r="A420" s="261"/>
      <c r="D420" s="67"/>
    </row>
    <row r="421">
      <c r="A421" s="261"/>
      <c r="D421" s="67"/>
    </row>
    <row r="422">
      <c r="A422" s="261"/>
      <c r="D422" s="67"/>
    </row>
    <row r="423">
      <c r="A423" s="261"/>
      <c r="D423" s="67"/>
    </row>
    <row r="424">
      <c r="A424" s="261"/>
      <c r="D424" s="67"/>
    </row>
    <row r="425">
      <c r="A425" s="261"/>
      <c r="D425" s="67"/>
    </row>
    <row r="426">
      <c r="A426" s="261"/>
      <c r="D426" s="67"/>
    </row>
    <row r="427">
      <c r="A427" s="261"/>
      <c r="D427" s="67"/>
    </row>
    <row r="428">
      <c r="A428" s="261"/>
      <c r="D428" s="67"/>
    </row>
    <row r="429">
      <c r="A429" s="261"/>
      <c r="D429" s="67"/>
    </row>
    <row r="430">
      <c r="A430" s="261"/>
      <c r="D430" s="67"/>
    </row>
    <row r="431">
      <c r="A431" s="261"/>
      <c r="D431" s="67"/>
    </row>
    <row r="432">
      <c r="A432" s="261"/>
      <c r="D432" s="67"/>
    </row>
    <row r="433">
      <c r="A433" s="261"/>
      <c r="D433" s="67"/>
    </row>
    <row r="434">
      <c r="A434" s="261"/>
      <c r="D434" s="67"/>
    </row>
    <row r="435">
      <c r="A435" s="261"/>
      <c r="D435" s="67"/>
    </row>
    <row r="436">
      <c r="A436" s="261"/>
      <c r="D436" s="67"/>
    </row>
    <row r="437">
      <c r="A437" s="261"/>
      <c r="D437" s="67"/>
    </row>
    <row r="438">
      <c r="A438" s="261"/>
      <c r="D438" s="67"/>
    </row>
    <row r="439">
      <c r="A439" s="261"/>
      <c r="D439" s="67"/>
    </row>
    <row r="440">
      <c r="A440" s="261"/>
      <c r="D440" s="67"/>
    </row>
    <row r="441">
      <c r="A441" s="261"/>
      <c r="D441" s="67"/>
    </row>
    <row r="442">
      <c r="A442" s="261"/>
      <c r="D442" s="67"/>
    </row>
    <row r="443">
      <c r="A443" s="261"/>
      <c r="D443" s="67"/>
    </row>
    <row r="444">
      <c r="A444" s="261"/>
      <c r="D444" s="67"/>
    </row>
    <row r="445">
      <c r="A445" s="261"/>
      <c r="D445" s="67"/>
    </row>
    <row r="446">
      <c r="A446" s="261"/>
      <c r="D446" s="67"/>
    </row>
    <row r="447">
      <c r="A447" s="261"/>
      <c r="D447" s="67"/>
    </row>
    <row r="448">
      <c r="A448" s="261"/>
      <c r="D448" s="67"/>
    </row>
    <row r="449">
      <c r="A449" s="261"/>
      <c r="D449" s="67"/>
    </row>
    <row r="450">
      <c r="A450" s="261"/>
      <c r="D450" s="67"/>
    </row>
    <row r="451">
      <c r="A451" s="261"/>
      <c r="D451" s="67"/>
    </row>
    <row r="452">
      <c r="A452" s="261"/>
      <c r="D452" s="67"/>
    </row>
    <row r="453">
      <c r="A453" s="261"/>
      <c r="D453" s="67"/>
    </row>
    <row r="454">
      <c r="A454" s="261"/>
      <c r="D454" s="67"/>
    </row>
    <row r="455">
      <c r="A455" s="261"/>
      <c r="D455" s="67"/>
    </row>
    <row r="456">
      <c r="A456" s="261"/>
      <c r="D456" s="67"/>
    </row>
    <row r="457">
      <c r="A457" s="261"/>
      <c r="D457" s="67"/>
    </row>
    <row r="458">
      <c r="A458" s="261"/>
      <c r="D458" s="67"/>
    </row>
    <row r="459">
      <c r="A459" s="261"/>
      <c r="D459" s="67"/>
    </row>
    <row r="460">
      <c r="A460" s="261"/>
      <c r="D460" s="67"/>
    </row>
    <row r="461">
      <c r="A461" s="261"/>
      <c r="D461" s="67"/>
    </row>
    <row r="462">
      <c r="A462" s="261"/>
      <c r="D462" s="67"/>
    </row>
    <row r="463">
      <c r="A463" s="261"/>
      <c r="D463" s="67"/>
    </row>
    <row r="464">
      <c r="A464" s="261"/>
      <c r="D464" s="67"/>
    </row>
    <row r="465">
      <c r="A465" s="261"/>
      <c r="D465" s="67"/>
    </row>
    <row r="466">
      <c r="A466" s="261"/>
      <c r="D466" s="67"/>
    </row>
    <row r="467">
      <c r="A467" s="261"/>
      <c r="D467" s="67"/>
    </row>
    <row r="468">
      <c r="A468" s="261"/>
      <c r="D468" s="67"/>
    </row>
    <row r="469">
      <c r="A469" s="261"/>
      <c r="D469" s="67"/>
    </row>
    <row r="470">
      <c r="A470" s="261"/>
      <c r="D470" s="67"/>
    </row>
    <row r="471">
      <c r="A471" s="261"/>
      <c r="D471" s="67"/>
    </row>
    <row r="472">
      <c r="A472" s="261"/>
      <c r="D472" s="67"/>
    </row>
    <row r="473">
      <c r="A473" s="261"/>
      <c r="D473" s="67"/>
    </row>
    <row r="474">
      <c r="A474" s="261"/>
      <c r="D474" s="67"/>
    </row>
    <row r="475">
      <c r="A475" s="261"/>
      <c r="D475" s="67"/>
    </row>
    <row r="476">
      <c r="A476" s="261"/>
      <c r="D476" s="67"/>
    </row>
    <row r="477">
      <c r="A477" s="261"/>
      <c r="D477" s="67"/>
    </row>
    <row r="478">
      <c r="A478" s="261"/>
      <c r="D478" s="67"/>
    </row>
    <row r="479">
      <c r="A479" s="261"/>
      <c r="D479" s="67"/>
    </row>
    <row r="480">
      <c r="A480" s="261"/>
      <c r="D480" s="67"/>
    </row>
    <row r="481">
      <c r="A481" s="261"/>
      <c r="D481" s="67"/>
    </row>
    <row r="482">
      <c r="A482" s="261"/>
      <c r="D482" s="67"/>
    </row>
    <row r="483">
      <c r="A483" s="261"/>
      <c r="D483" s="67"/>
    </row>
    <row r="484">
      <c r="A484" s="261"/>
      <c r="D484" s="67"/>
    </row>
    <row r="485">
      <c r="A485" s="261"/>
      <c r="D485" s="67"/>
    </row>
    <row r="486">
      <c r="A486" s="261"/>
      <c r="D486" s="67"/>
    </row>
    <row r="487">
      <c r="A487" s="261"/>
      <c r="D487" s="67"/>
    </row>
    <row r="488">
      <c r="A488" s="261"/>
      <c r="D488" s="67"/>
    </row>
    <row r="489">
      <c r="A489" s="261"/>
      <c r="D489" s="67"/>
    </row>
    <row r="490">
      <c r="A490" s="261"/>
      <c r="D490" s="67"/>
    </row>
    <row r="491">
      <c r="A491" s="261"/>
      <c r="D491" s="67"/>
    </row>
    <row r="492">
      <c r="A492" s="261"/>
      <c r="D492" s="67"/>
    </row>
    <row r="493">
      <c r="A493" s="261"/>
      <c r="D493" s="67"/>
    </row>
    <row r="494">
      <c r="A494" s="261"/>
      <c r="D494" s="67"/>
    </row>
    <row r="495">
      <c r="A495" s="261"/>
      <c r="D495" s="67"/>
    </row>
    <row r="496">
      <c r="A496" s="261"/>
      <c r="D496" s="67"/>
    </row>
    <row r="497">
      <c r="A497" s="261"/>
      <c r="D497" s="67"/>
    </row>
    <row r="498">
      <c r="A498" s="261"/>
      <c r="D498" s="67"/>
    </row>
    <row r="499">
      <c r="A499" s="261"/>
      <c r="D499" s="67"/>
    </row>
    <row r="500">
      <c r="A500" s="261"/>
      <c r="D500" s="67"/>
    </row>
    <row r="501">
      <c r="A501" s="261"/>
      <c r="D501" s="67"/>
    </row>
    <row r="502">
      <c r="A502" s="261"/>
      <c r="D502" s="67"/>
    </row>
    <row r="503">
      <c r="A503" s="261"/>
      <c r="D503" s="67"/>
    </row>
    <row r="504">
      <c r="A504" s="261"/>
      <c r="D504" s="67"/>
    </row>
    <row r="505">
      <c r="A505" s="261"/>
      <c r="D505" s="67"/>
    </row>
    <row r="506">
      <c r="A506" s="261"/>
      <c r="D506" s="67"/>
    </row>
    <row r="507">
      <c r="A507" s="261"/>
      <c r="D507" s="67"/>
    </row>
    <row r="508">
      <c r="A508" s="261"/>
      <c r="D508" s="67"/>
    </row>
    <row r="509">
      <c r="A509" s="261"/>
      <c r="D509" s="67"/>
    </row>
    <row r="510">
      <c r="A510" s="261"/>
      <c r="D510" s="67"/>
    </row>
    <row r="511">
      <c r="A511" s="261"/>
      <c r="D511" s="67"/>
    </row>
    <row r="512">
      <c r="A512" s="261"/>
      <c r="D512" s="67"/>
    </row>
    <row r="513">
      <c r="A513" s="261"/>
      <c r="D513" s="67"/>
    </row>
    <row r="514">
      <c r="A514" s="261"/>
      <c r="D514" s="67"/>
    </row>
    <row r="515">
      <c r="A515" s="261"/>
      <c r="D515" s="67"/>
    </row>
    <row r="516">
      <c r="A516" s="261"/>
      <c r="D516" s="67"/>
    </row>
    <row r="517">
      <c r="A517" s="261"/>
      <c r="D517" s="67"/>
    </row>
    <row r="518">
      <c r="A518" s="261"/>
      <c r="D518" s="67"/>
    </row>
    <row r="519">
      <c r="A519" s="261"/>
      <c r="D519" s="67"/>
    </row>
    <row r="520">
      <c r="A520" s="261"/>
      <c r="D520" s="67"/>
    </row>
    <row r="521">
      <c r="A521" s="261"/>
      <c r="D521" s="67"/>
    </row>
    <row r="522">
      <c r="A522" s="261"/>
      <c r="D522" s="67"/>
    </row>
    <row r="523">
      <c r="A523" s="261"/>
      <c r="D523" s="67"/>
    </row>
    <row r="524">
      <c r="A524" s="261"/>
      <c r="D524" s="67"/>
    </row>
    <row r="525">
      <c r="A525" s="261"/>
      <c r="D525" s="67"/>
    </row>
    <row r="526">
      <c r="A526" s="261"/>
      <c r="D526" s="67"/>
    </row>
    <row r="527">
      <c r="A527" s="261"/>
      <c r="D527" s="67"/>
    </row>
    <row r="528">
      <c r="A528" s="261"/>
      <c r="D528" s="67"/>
    </row>
    <row r="529">
      <c r="A529" s="261"/>
      <c r="D529" s="67"/>
    </row>
    <row r="530">
      <c r="A530" s="261"/>
      <c r="D530" s="67"/>
    </row>
    <row r="531">
      <c r="A531" s="261"/>
      <c r="D531" s="67"/>
    </row>
    <row r="532">
      <c r="A532" s="261"/>
      <c r="D532" s="67"/>
    </row>
    <row r="533">
      <c r="A533" s="261"/>
      <c r="D533" s="67"/>
    </row>
    <row r="534">
      <c r="A534" s="261"/>
      <c r="D534" s="67"/>
    </row>
    <row r="535">
      <c r="A535" s="261"/>
      <c r="D535" s="67"/>
    </row>
    <row r="536">
      <c r="A536" s="261"/>
      <c r="D536" s="67"/>
    </row>
    <row r="537">
      <c r="A537" s="261"/>
      <c r="D537" s="67"/>
    </row>
    <row r="538">
      <c r="A538" s="261"/>
      <c r="D538" s="67"/>
    </row>
    <row r="539">
      <c r="A539" s="261"/>
      <c r="D539" s="67"/>
    </row>
    <row r="540">
      <c r="A540" s="261"/>
      <c r="D540" s="67"/>
    </row>
    <row r="541">
      <c r="A541" s="261"/>
      <c r="D541" s="67"/>
    </row>
    <row r="542">
      <c r="A542" s="261"/>
      <c r="D542" s="67"/>
    </row>
    <row r="543">
      <c r="A543" s="261"/>
      <c r="D543" s="67"/>
    </row>
    <row r="544">
      <c r="A544" s="261"/>
      <c r="D544" s="67"/>
    </row>
    <row r="545">
      <c r="A545" s="261"/>
      <c r="D545" s="67"/>
    </row>
    <row r="546">
      <c r="A546" s="261"/>
      <c r="D546" s="67"/>
    </row>
    <row r="547">
      <c r="A547" s="261"/>
      <c r="D547" s="67"/>
    </row>
    <row r="548">
      <c r="A548" s="261"/>
      <c r="D548" s="67"/>
    </row>
    <row r="549">
      <c r="A549" s="261"/>
      <c r="D549" s="67"/>
    </row>
    <row r="550">
      <c r="A550" s="261"/>
      <c r="D550" s="67"/>
    </row>
    <row r="551">
      <c r="A551" s="261"/>
      <c r="D551" s="67"/>
    </row>
    <row r="552">
      <c r="A552" s="261"/>
      <c r="D552" s="67"/>
    </row>
    <row r="553">
      <c r="A553" s="261"/>
      <c r="D553" s="67"/>
    </row>
    <row r="554">
      <c r="A554" s="261"/>
      <c r="D554" s="67"/>
    </row>
    <row r="555">
      <c r="A555" s="261"/>
      <c r="D555" s="67"/>
    </row>
    <row r="556">
      <c r="A556" s="261"/>
      <c r="D556" s="67"/>
    </row>
    <row r="557">
      <c r="A557" s="261"/>
      <c r="D557" s="67"/>
    </row>
    <row r="558">
      <c r="A558" s="261"/>
      <c r="D558" s="67"/>
    </row>
    <row r="559">
      <c r="A559" s="261"/>
      <c r="D559" s="67"/>
    </row>
    <row r="560">
      <c r="A560" s="261"/>
      <c r="D560" s="67"/>
    </row>
    <row r="561">
      <c r="A561" s="261"/>
      <c r="D561" s="67"/>
    </row>
    <row r="562">
      <c r="A562" s="261"/>
      <c r="D562" s="67"/>
    </row>
    <row r="563">
      <c r="A563" s="261"/>
      <c r="D563" s="67"/>
    </row>
    <row r="564">
      <c r="A564" s="261"/>
      <c r="D564" s="67"/>
    </row>
    <row r="565">
      <c r="A565" s="261"/>
      <c r="D565" s="67"/>
    </row>
    <row r="566">
      <c r="A566" s="261"/>
      <c r="D566" s="67"/>
    </row>
    <row r="567">
      <c r="A567" s="261"/>
      <c r="D567" s="67"/>
    </row>
    <row r="568">
      <c r="A568" s="261"/>
      <c r="D568" s="67"/>
    </row>
    <row r="569">
      <c r="A569" s="261"/>
      <c r="D569" s="67"/>
    </row>
    <row r="570">
      <c r="A570" s="261"/>
      <c r="D570" s="67"/>
    </row>
    <row r="571">
      <c r="A571" s="261"/>
      <c r="D571" s="67"/>
    </row>
    <row r="572">
      <c r="A572" s="261"/>
      <c r="D572" s="67"/>
    </row>
    <row r="573">
      <c r="A573" s="261"/>
      <c r="D573" s="67"/>
    </row>
    <row r="574">
      <c r="A574" s="261"/>
      <c r="D574" s="67"/>
    </row>
    <row r="575">
      <c r="A575" s="261"/>
      <c r="D575" s="67"/>
    </row>
    <row r="576">
      <c r="A576" s="261"/>
      <c r="D576" s="67"/>
    </row>
    <row r="577">
      <c r="A577" s="261"/>
      <c r="D577" s="67"/>
    </row>
    <row r="578">
      <c r="A578" s="261"/>
      <c r="D578" s="67"/>
    </row>
    <row r="579">
      <c r="A579" s="261"/>
      <c r="D579" s="67"/>
    </row>
    <row r="580">
      <c r="A580" s="261"/>
      <c r="D580" s="67"/>
    </row>
    <row r="581">
      <c r="A581" s="261"/>
      <c r="D581" s="67"/>
    </row>
    <row r="582">
      <c r="A582" s="261"/>
      <c r="D582" s="67"/>
    </row>
    <row r="583">
      <c r="A583" s="261"/>
      <c r="D583" s="67"/>
    </row>
    <row r="584">
      <c r="A584" s="261"/>
      <c r="D584" s="67"/>
    </row>
    <row r="585">
      <c r="A585" s="261"/>
      <c r="D585" s="67"/>
    </row>
    <row r="586">
      <c r="A586" s="261"/>
      <c r="D586" s="67"/>
    </row>
    <row r="587">
      <c r="A587" s="261"/>
      <c r="D587" s="67"/>
    </row>
    <row r="588">
      <c r="A588" s="261"/>
      <c r="D588" s="67"/>
    </row>
    <row r="589">
      <c r="A589" s="261"/>
      <c r="D589" s="67"/>
    </row>
    <row r="590">
      <c r="A590" s="261"/>
      <c r="D590" s="67"/>
    </row>
    <row r="591">
      <c r="A591" s="261"/>
      <c r="D591" s="67"/>
    </row>
    <row r="592">
      <c r="A592" s="261"/>
      <c r="D592" s="67"/>
    </row>
    <row r="593">
      <c r="A593" s="261"/>
      <c r="D593" s="67"/>
    </row>
    <row r="594">
      <c r="A594" s="261"/>
      <c r="D594" s="67"/>
    </row>
    <row r="595">
      <c r="A595" s="261"/>
      <c r="D595" s="67"/>
    </row>
    <row r="596">
      <c r="A596" s="261"/>
      <c r="D596" s="67"/>
    </row>
    <row r="597">
      <c r="A597" s="261"/>
      <c r="D597" s="67"/>
    </row>
    <row r="598">
      <c r="A598" s="261"/>
      <c r="D598" s="67"/>
    </row>
    <row r="599">
      <c r="A599" s="261"/>
      <c r="D599" s="67"/>
    </row>
    <row r="600">
      <c r="A600" s="261"/>
      <c r="D600" s="67"/>
    </row>
    <row r="601">
      <c r="A601" s="261"/>
      <c r="D601" s="67"/>
    </row>
    <row r="602">
      <c r="A602" s="261"/>
      <c r="D602" s="67"/>
    </row>
    <row r="603">
      <c r="A603" s="261"/>
      <c r="D603" s="67"/>
    </row>
    <row r="604">
      <c r="A604" s="261"/>
      <c r="D604" s="67"/>
    </row>
    <row r="605">
      <c r="A605" s="261"/>
      <c r="D605" s="67"/>
    </row>
    <row r="606">
      <c r="A606" s="261"/>
      <c r="D606" s="67"/>
    </row>
    <row r="607">
      <c r="A607" s="261"/>
      <c r="D607" s="67"/>
    </row>
    <row r="608">
      <c r="A608" s="261"/>
      <c r="D608" s="67"/>
    </row>
    <row r="609">
      <c r="A609" s="261"/>
      <c r="D609" s="67"/>
    </row>
    <row r="610">
      <c r="A610" s="261"/>
      <c r="D610" s="67"/>
    </row>
    <row r="611">
      <c r="A611" s="261"/>
      <c r="D611" s="67"/>
    </row>
    <row r="612">
      <c r="A612" s="261"/>
      <c r="D612" s="67"/>
    </row>
    <row r="613">
      <c r="A613" s="261"/>
      <c r="D613" s="67"/>
    </row>
    <row r="614">
      <c r="A614" s="261"/>
      <c r="D614" s="67"/>
    </row>
    <row r="615">
      <c r="A615" s="261"/>
      <c r="D615" s="67"/>
    </row>
    <row r="616">
      <c r="A616" s="261"/>
      <c r="D616" s="67"/>
    </row>
    <row r="617">
      <c r="A617" s="261"/>
      <c r="D617" s="67"/>
    </row>
    <row r="618">
      <c r="A618" s="261"/>
      <c r="D618" s="67"/>
    </row>
    <row r="619">
      <c r="A619" s="261"/>
      <c r="D619" s="67"/>
    </row>
    <row r="620">
      <c r="A620" s="261"/>
      <c r="D620" s="67"/>
    </row>
    <row r="621">
      <c r="A621" s="261"/>
      <c r="D621" s="67"/>
    </row>
    <row r="622">
      <c r="A622" s="261"/>
      <c r="D622" s="67"/>
    </row>
    <row r="623">
      <c r="A623" s="261"/>
      <c r="D623" s="67"/>
    </row>
    <row r="624">
      <c r="A624" s="261"/>
      <c r="D624" s="67"/>
    </row>
    <row r="625">
      <c r="A625" s="261"/>
      <c r="D625" s="67"/>
    </row>
    <row r="626">
      <c r="A626" s="261"/>
      <c r="D626" s="67"/>
    </row>
    <row r="627">
      <c r="A627" s="261"/>
      <c r="D627" s="67"/>
    </row>
    <row r="628">
      <c r="A628" s="261"/>
      <c r="D628" s="67"/>
    </row>
    <row r="629">
      <c r="A629" s="261"/>
      <c r="D629" s="67"/>
    </row>
    <row r="630">
      <c r="A630" s="261"/>
      <c r="D630" s="67"/>
    </row>
    <row r="631">
      <c r="A631" s="261"/>
      <c r="D631" s="67"/>
    </row>
    <row r="632">
      <c r="A632" s="261"/>
      <c r="D632" s="67"/>
    </row>
    <row r="633">
      <c r="A633" s="261"/>
      <c r="D633" s="67"/>
    </row>
    <row r="634">
      <c r="A634" s="261"/>
      <c r="D634" s="67"/>
    </row>
    <row r="635">
      <c r="A635" s="261"/>
      <c r="D635" s="67"/>
    </row>
    <row r="636">
      <c r="A636" s="261"/>
      <c r="D636" s="67"/>
    </row>
    <row r="637">
      <c r="A637" s="261"/>
      <c r="D637" s="67"/>
    </row>
    <row r="638">
      <c r="A638" s="261"/>
      <c r="D638" s="67"/>
    </row>
    <row r="639">
      <c r="A639" s="261"/>
      <c r="D639" s="67"/>
    </row>
    <row r="640">
      <c r="A640" s="261"/>
      <c r="D640" s="67"/>
    </row>
    <row r="641">
      <c r="A641" s="261"/>
      <c r="D641" s="67"/>
    </row>
    <row r="642">
      <c r="A642" s="261"/>
      <c r="D642" s="67"/>
    </row>
    <row r="643">
      <c r="A643" s="261"/>
      <c r="D643" s="67"/>
    </row>
    <row r="644">
      <c r="A644" s="261"/>
      <c r="D644" s="67"/>
    </row>
    <row r="645">
      <c r="A645" s="261"/>
      <c r="D645" s="67"/>
    </row>
    <row r="646">
      <c r="A646" s="261"/>
      <c r="D646" s="67"/>
    </row>
    <row r="647">
      <c r="A647" s="261"/>
      <c r="D647" s="67"/>
    </row>
    <row r="648">
      <c r="A648" s="261"/>
      <c r="D648" s="67"/>
    </row>
    <row r="649">
      <c r="A649" s="261"/>
      <c r="D649" s="67"/>
    </row>
    <row r="650">
      <c r="A650" s="261"/>
      <c r="D650" s="67"/>
    </row>
    <row r="651">
      <c r="A651" s="261"/>
      <c r="D651" s="67"/>
    </row>
    <row r="652">
      <c r="A652" s="261"/>
      <c r="D652" s="67"/>
    </row>
    <row r="653">
      <c r="A653" s="261"/>
      <c r="D653" s="67"/>
    </row>
    <row r="654">
      <c r="A654" s="261"/>
      <c r="D654" s="67"/>
    </row>
    <row r="655">
      <c r="A655" s="261"/>
      <c r="D655" s="67"/>
    </row>
    <row r="656">
      <c r="A656" s="261"/>
      <c r="D656" s="67"/>
    </row>
    <row r="657">
      <c r="A657" s="261"/>
      <c r="D657" s="67"/>
    </row>
    <row r="658">
      <c r="A658" s="261"/>
      <c r="D658" s="67"/>
    </row>
    <row r="659">
      <c r="A659" s="261"/>
      <c r="D659" s="67"/>
    </row>
    <row r="660">
      <c r="A660" s="261"/>
      <c r="D660" s="67"/>
    </row>
    <row r="661">
      <c r="A661" s="261"/>
      <c r="D661" s="67"/>
    </row>
    <row r="662">
      <c r="A662" s="261"/>
      <c r="D662" s="67"/>
    </row>
    <row r="663">
      <c r="A663" s="261"/>
      <c r="D663" s="67"/>
    </row>
    <row r="664">
      <c r="A664" s="261"/>
      <c r="D664" s="67"/>
    </row>
    <row r="665">
      <c r="A665" s="261"/>
      <c r="D665" s="67"/>
    </row>
    <row r="666">
      <c r="A666" s="261"/>
      <c r="D666" s="67"/>
    </row>
    <row r="667">
      <c r="A667" s="261"/>
      <c r="D667" s="67"/>
    </row>
    <row r="668">
      <c r="A668" s="261"/>
      <c r="D668" s="67"/>
    </row>
    <row r="669">
      <c r="A669" s="261"/>
      <c r="D669" s="67"/>
    </row>
    <row r="670">
      <c r="A670" s="261"/>
      <c r="D670" s="67"/>
    </row>
    <row r="671">
      <c r="A671" s="261"/>
      <c r="D671" s="67"/>
    </row>
    <row r="672">
      <c r="A672" s="261"/>
      <c r="D672" s="67"/>
    </row>
    <row r="673">
      <c r="A673" s="261"/>
      <c r="D673" s="67"/>
    </row>
    <row r="674">
      <c r="A674" s="261"/>
      <c r="D674" s="67"/>
    </row>
    <row r="675">
      <c r="A675" s="261"/>
      <c r="D675" s="67"/>
    </row>
    <row r="676">
      <c r="A676" s="261"/>
      <c r="D676" s="67"/>
    </row>
    <row r="677">
      <c r="A677" s="261"/>
      <c r="D677" s="67"/>
    </row>
    <row r="678">
      <c r="A678" s="261"/>
      <c r="D678" s="67"/>
    </row>
    <row r="679">
      <c r="A679" s="261"/>
      <c r="D679" s="67"/>
    </row>
    <row r="680">
      <c r="A680" s="261"/>
      <c r="D680" s="67"/>
    </row>
    <row r="681">
      <c r="A681" s="261"/>
      <c r="D681" s="67"/>
    </row>
    <row r="682">
      <c r="A682" s="261"/>
      <c r="D682" s="67"/>
    </row>
    <row r="683">
      <c r="A683" s="261"/>
      <c r="D683" s="67"/>
    </row>
    <row r="684">
      <c r="A684" s="261"/>
      <c r="D684" s="67"/>
    </row>
    <row r="685">
      <c r="A685" s="261"/>
      <c r="D685" s="67"/>
    </row>
    <row r="686">
      <c r="A686" s="261"/>
      <c r="D686" s="67"/>
    </row>
    <row r="687">
      <c r="A687" s="261"/>
      <c r="D687" s="67"/>
    </row>
    <row r="688">
      <c r="A688" s="261"/>
      <c r="D688" s="67"/>
    </row>
    <row r="689">
      <c r="A689" s="261"/>
      <c r="D689" s="67"/>
    </row>
    <row r="690">
      <c r="A690" s="261"/>
      <c r="D690" s="67"/>
    </row>
    <row r="691">
      <c r="A691" s="261"/>
      <c r="D691" s="67"/>
    </row>
    <row r="692">
      <c r="A692" s="261"/>
      <c r="D692" s="67"/>
    </row>
    <row r="693">
      <c r="A693" s="261"/>
      <c r="D693" s="67"/>
    </row>
    <row r="694">
      <c r="A694" s="261"/>
      <c r="D694" s="67"/>
    </row>
    <row r="695">
      <c r="A695" s="261"/>
      <c r="D695" s="67"/>
    </row>
    <row r="696">
      <c r="A696" s="261"/>
      <c r="D696" s="67"/>
    </row>
    <row r="697">
      <c r="A697" s="261"/>
      <c r="D697" s="67"/>
    </row>
    <row r="698">
      <c r="A698" s="261"/>
      <c r="D698" s="67"/>
    </row>
    <row r="699">
      <c r="A699" s="261"/>
      <c r="D699" s="67"/>
    </row>
    <row r="700">
      <c r="A700" s="261"/>
      <c r="D700" s="67"/>
    </row>
    <row r="701">
      <c r="A701" s="261"/>
      <c r="D701" s="67"/>
    </row>
    <row r="702">
      <c r="A702" s="261"/>
      <c r="D702" s="67"/>
    </row>
    <row r="703">
      <c r="A703" s="261"/>
      <c r="D703" s="67"/>
    </row>
    <row r="704">
      <c r="A704" s="261"/>
      <c r="D704" s="67"/>
    </row>
    <row r="705">
      <c r="A705" s="261"/>
      <c r="D705" s="67"/>
    </row>
    <row r="706">
      <c r="A706" s="261"/>
      <c r="D706" s="67"/>
    </row>
    <row r="707">
      <c r="A707" s="261"/>
      <c r="D707" s="67"/>
    </row>
    <row r="708">
      <c r="A708" s="261"/>
      <c r="D708" s="67"/>
    </row>
    <row r="709">
      <c r="A709" s="261"/>
      <c r="D709" s="67"/>
    </row>
    <row r="710">
      <c r="A710" s="261"/>
      <c r="D710" s="67"/>
    </row>
    <row r="711">
      <c r="A711" s="261"/>
      <c r="D711" s="67"/>
    </row>
    <row r="712">
      <c r="A712" s="261"/>
      <c r="D712" s="67"/>
    </row>
    <row r="713">
      <c r="A713" s="261"/>
      <c r="D713" s="67"/>
    </row>
    <row r="714">
      <c r="A714" s="261"/>
      <c r="D714" s="67"/>
    </row>
    <row r="715">
      <c r="A715" s="261"/>
      <c r="D715" s="67"/>
    </row>
    <row r="716">
      <c r="A716" s="261"/>
      <c r="D716" s="67"/>
    </row>
    <row r="717">
      <c r="A717" s="261"/>
      <c r="D717" s="67"/>
    </row>
    <row r="718">
      <c r="A718" s="261"/>
      <c r="D718" s="67"/>
    </row>
    <row r="719">
      <c r="A719" s="261"/>
      <c r="D719" s="67"/>
    </row>
    <row r="720">
      <c r="A720" s="261"/>
      <c r="D720" s="67"/>
    </row>
    <row r="721">
      <c r="A721" s="261"/>
      <c r="D721" s="67"/>
    </row>
    <row r="722">
      <c r="A722" s="261"/>
      <c r="D722" s="67"/>
    </row>
    <row r="723">
      <c r="A723" s="261"/>
      <c r="D723" s="67"/>
    </row>
    <row r="724">
      <c r="A724" s="261"/>
      <c r="D724" s="67"/>
    </row>
    <row r="725">
      <c r="A725" s="261"/>
      <c r="D725" s="67"/>
    </row>
    <row r="726">
      <c r="A726" s="261"/>
      <c r="D726" s="67"/>
    </row>
    <row r="727">
      <c r="A727" s="261"/>
      <c r="D727" s="67"/>
    </row>
    <row r="728">
      <c r="A728" s="261"/>
      <c r="D728" s="67"/>
    </row>
    <row r="729">
      <c r="A729" s="261"/>
      <c r="D729" s="67"/>
    </row>
    <row r="730">
      <c r="A730" s="261"/>
      <c r="D730" s="67"/>
    </row>
    <row r="731">
      <c r="A731" s="261"/>
      <c r="D731" s="67"/>
    </row>
    <row r="732">
      <c r="A732" s="261"/>
      <c r="D732" s="67"/>
    </row>
    <row r="733">
      <c r="A733" s="261"/>
      <c r="D733" s="67"/>
    </row>
    <row r="734">
      <c r="A734" s="261"/>
      <c r="D734" s="67"/>
    </row>
    <row r="735">
      <c r="A735" s="261"/>
      <c r="D735" s="67"/>
    </row>
    <row r="736">
      <c r="A736" s="261"/>
      <c r="D736" s="67"/>
    </row>
    <row r="737">
      <c r="A737" s="261"/>
      <c r="D737" s="67"/>
    </row>
    <row r="738">
      <c r="A738" s="261"/>
      <c r="D738" s="67"/>
    </row>
    <row r="739">
      <c r="A739" s="261"/>
      <c r="D739" s="67"/>
    </row>
    <row r="740">
      <c r="A740" s="261"/>
      <c r="D740" s="67"/>
    </row>
    <row r="741">
      <c r="A741" s="261"/>
      <c r="D741" s="67"/>
    </row>
    <row r="742">
      <c r="A742" s="261"/>
      <c r="D742" s="67"/>
    </row>
    <row r="743">
      <c r="A743" s="261"/>
      <c r="D743" s="67"/>
    </row>
    <row r="744">
      <c r="A744" s="261"/>
      <c r="D744" s="67"/>
    </row>
    <row r="745">
      <c r="A745" s="261"/>
      <c r="D745" s="67"/>
    </row>
    <row r="746">
      <c r="A746" s="261"/>
      <c r="D746" s="67"/>
    </row>
    <row r="747">
      <c r="A747" s="261"/>
      <c r="D747" s="67"/>
    </row>
    <row r="748">
      <c r="A748" s="261"/>
      <c r="D748" s="67"/>
    </row>
    <row r="749">
      <c r="A749" s="261"/>
      <c r="D749" s="67"/>
    </row>
    <row r="750">
      <c r="A750" s="261"/>
      <c r="D750" s="67"/>
    </row>
    <row r="751">
      <c r="A751" s="261"/>
      <c r="D751" s="67"/>
    </row>
    <row r="752">
      <c r="A752" s="261"/>
      <c r="D752" s="67"/>
    </row>
    <row r="753">
      <c r="A753" s="261"/>
      <c r="D753" s="67"/>
    </row>
    <row r="754">
      <c r="A754" s="261"/>
      <c r="D754" s="67"/>
    </row>
    <row r="755">
      <c r="A755" s="261"/>
      <c r="D755" s="67"/>
    </row>
    <row r="756">
      <c r="A756" s="261"/>
      <c r="D756" s="67"/>
    </row>
    <row r="757">
      <c r="A757" s="261"/>
      <c r="D757" s="67"/>
    </row>
    <row r="758">
      <c r="A758" s="261"/>
      <c r="D758" s="67"/>
    </row>
    <row r="759">
      <c r="A759" s="261"/>
      <c r="D759" s="67"/>
    </row>
    <row r="760">
      <c r="A760" s="261"/>
      <c r="D760" s="67"/>
    </row>
    <row r="761">
      <c r="A761" s="261"/>
      <c r="D761" s="67"/>
    </row>
    <row r="762">
      <c r="A762" s="261"/>
      <c r="D762" s="67"/>
    </row>
    <row r="763">
      <c r="A763" s="261"/>
      <c r="D763" s="67"/>
    </row>
    <row r="764">
      <c r="A764" s="261"/>
      <c r="D764" s="67"/>
    </row>
    <row r="765">
      <c r="A765" s="261"/>
      <c r="D765" s="67"/>
    </row>
    <row r="766">
      <c r="A766" s="261"/>
      <c r="D766" s="67"/>
    </row>
    <row r="767">
      <c r="A767" s="261"/>
      <c r="D767" s="67"/>
    </row>
    <row r="768">
      <c r="A768" s="261"/>
      <c r="D768" s="67"/>
    </row>
    <row r="769">
      <c r="A769" s="261"/>
      <c r="D769" s="67"/>
    </row>
    <row r="770">
      <c r="A770" s="261"/>
      <c r="D770" s="67"/>
    </row>
    <row r="771">
      <c r="A771" s="261"/>
      <c r="D771" s="67"/>
    </row>
    <row r="772">
      <c r="A772" s="261"/>
      <c r="D772" s="67"/>
    </row>
    <row r="773">
      <c r="A773" s="261"/>
      <c r="D773" s="67"/>
    </row>
    <row r="774">
      <c r="A774" s="261"/>
      <c r="D774" s="67"/>
    </row>
    <row r="775">
      <c r="A775" s="261"/>
      <c r="D775" s="67"/>
    </row>
    <row r="776">
      <c r="A776" s="261"/>
      <c r="D776" s="67"/>
    </row>
    <row r="777">
      <c r="A777" s="261"/>
      <c r="D777" s="67"/>
    </row>
    <row r="778">
      <c r="A778" s="261"/>
      <c r="D778" s="67"/>
    </row>
    <row r="779">
      <c r="A779" s="261"/>
      <c r="D779" s="67"/>
    </row>
    <row r="780">
      <c r="A780" s="261"/>
      <c r="D780" s="67"/>
    </row>
    <row r="781">
      <c r="A781" s="261"/>
      <c r="D781" s="67"/>
    </row>
    <row r="782">
      <c r="A782" s="261"/>
      <c r="D782" s="67"/>
    </row>
    <row r="783">
      <c r="A783" s="261"/>
      <c r="D783" s="67"/>
    </row>
    <row r="784">
      <c r="A784" s="261"/>
      <c r="D784" s="67"/>
    </row>
    <row r="785">
      <c r="A785" s="261"/>
      <c r="D785" s="67"/>
    </row>
    <row r="786">
      <c r="A786" s="261"/>
      <c r="D786" s="67"/>
    </row>
    <row r="787">
      <c r="A787" s="261"/>
      <c r="D787" s="67"/>
    </row>
    <row r="788">
      <c r="A788" s="261"/>
      <c r="D788" s="67"/>
    </row>
    <row r="789">
      <c r="A789" s="261"/>
      <c r="D789" s="67"/>
    </row>
    <row r="790">
      <c r="A790" s="261"/>
      <c r="D790" s="67"/>
    </row>
    <row r="791">
      <c r="A791" s="261"/>
      <c r="D791" s="67"/>
    </row>
    <row r="792">
      <c r="A792" s="261"/>
      <c r="D792" s="67"/>
    </row>
    <row r="793">
      <c r="A793" s="261"/>
      <c r="D793" s="67"/>
    </row>
    <row r="794">
      <c r="A794" s="261"/>
      <c r="D794" s="67"/>
    </row>
    <row r="795">
      <c r="A795" s="261"/>
      <c r="D795" s="67"/>
    </row>
    <row r="796">
      <c r="A796" s="261"/>
      <c r="D796" s="67"/>
    </row>
    <row r="797">
      <c r="A797" s="261"/>
      <c r="D797" s="67"/>
    </row>
    <row r="798">
      <c r="A798" s="261"/>
      <c r="D798" s="67"/>
    </row>
    <row r="799">
      <c r="A799" s="261"/>
      <c r="D799" s="67"/>
    </row>
    <row r="800">
      <c r="A800" s="261"/>
      <c r="D800" s="67"/>
    </row>
    <row r="801">
      <c r="A801" s="261"/>
      <c r="D801" s="67"/>
    </row>
    <row r="802">
      <c r="A802" s="261"/>
      <c r="D802" s="67"/>
    </row>
    <row r="803">
      <c r="A803" s="261"/>
      <c r="D803" s="67"/>
    </row>
    <row r="804">
      <c r="A804" s="261"/>
      <c r="D804" s="67"/>
    </row>
    <row r="805">
      <c r="A805" s="261"/>
      <c r="D805" s="67"/>
    </row>
    <row r="806">
      <c r="A806" s="261"/>
      <c r="D806" s="67"/>
    </row>
    <row r="807">
      <c r="A807" s="261"/>
      <c r="D807" s="67"/>
    </row>
    <row r="808">
      <c r="A808" s="261"/>
      <c r="D808" s="67"/>
    </row>
    <row r="809">
      <c r="A809" s="261"/>
      <c r="D809" s="67"/>
    </row>
    <row r="810">
      <c r="A810" s="261"/>
      <c r="D810" s="67"/>
    </row>
    <row r="811">
      <c r="A811" s="261"/>
      <c r="D811" s="67"/>
    </row>
    <row r="812">
      <c r="A812" s="261"/>
      <c r="D812" s="67"/>
    </row>
    <row r="813">
      <c r="A813" s="261"/>
      <c r="D813" s="67"/>
    </row>
    <row r="814">
      <c r="A814" s="261"/>
      <c r="D814" s="67"/>
    </row>
    <row r="815">
      <c r="A815" s="261"/>
      <c r="D815" s="67"/>
    </row>
    <row r="816">
      <c r="A816" s="261"/>
      <c r="D816" s="67"/>
    </row>
    <row r="817">
      <c r="A817" s="261"/>
      <c r="D817" s="67"/>
    </row>
    <row r="818">
      <c r="A818" s="261"/>
      <c r="D818" s="67"/>
    </row>
    <row r="819">
      <c r="A819" s="261"/>
      <c r="D819" s="67"/>
    </row>
    <row r="820">
      <c r="A820" s="261"/>
      <c r="D820" s="67"/>
    </row>
    <row r="821">
      <c r="A821" s="261"/>
      <c r="D821" s="67"/>
    </row>
    <row r="822">
      <c r="A822" s="261"/>
      <c r="D822" s="67"/>
    </row>
    <row r="823">
      <c r="A823" s="261"/>
      <c r="D823" s="67"/>
    </row>
    <row r="824">
      <c r="A824" s="261"/>
      <c r="D824" s="67"/>
    </row>
    <row r="825">
      <c r="A825" s="261"/>
      <c r="D825" s="67"/>
    </row>
    <row r="826">
      <c r="A826" s="261"/>
      <c r="D826" s="67"/>
    </row>
    <row r="827">
      <c r="A827" s="261"/>
      <c r="D827" s="67"/>
    </row>
    <row r="828">
      <c r="A828" s="261"/>
      <c r="D828" s="67"/>
    </row>
    <row r="829">
      <c r="A829" s="261"/>
      <c r="D829" s="67"/>
    </row>
    <row r="830">
      <c r="A830" s="261"/>
      <c r="D830" s="67"/>
    </row>
    <row r="831">
      <c r="A831" s="261"/>
      <c r="D831" s="67"/>
    </row>
    <row r="832">
      <c r="A832" s="261"/>
      <c r="D832" s="67"/>
    </row>
    <row r="833">
      <c r="A833" s="261"/>
      <c r="D833" s="67"/>
    </row>
    <row r="834">
      <c r="A834" s="261"/>
      <c r="D834" s="67"/>
    </row>
    <row r="835">
      <c r="A835" s="261"/>
      <c r="D835" s="67"/>
    </row>
    <row r="836">
      <c r="A836" s="261"/>
      <c r="D836" s="67"/>
    </row>
    <row r="837">
      <c r="A837" s="261"/>
      <c r="D837" s="67"/>
    </row>
    <row r="838">
      <c r="A838" s="261"/>
      <c r="D838" s="67"/>
    </row>
    <row r="839">
      <c r="A839" s="261"/>
      <c r="D839" s="67"/>
    </row>
    <row r="840">
      <c r="A840" s="261"/>
      <c r="D840" s="67"/>
    </row>
    <row r="841">
      <c r="A841" s="261"/>
      <c r="D841" s="67"/>
    </row>
    <row r="842">
      <c r="A842" s="261"/>
      <c r="D842" s="67"/>
    </row>
    <row r="843">
      <c r="A843" s="261"/>
      <c r="D843" s="67"/>
    </row>
    <row r="844">
      <c r="A844" s="261"/>
      <c r="D844" s="67"/>
    </row>
    <row r="845">
      <c r="A845" s="261"/>
      <c r="D845" s="67"/>
    </row>
    <row r="846">
      <c r="A846" s="261"/>
      <c r="D846" s="67"/>
    </row>
    <row r="847">
      <c r="A847" s="261"/>
      <c r="D847" s="67"/>
    </row>
    <row r="848">
      <c r="A848" s="261"/>
      <c r="D848" s="67"/>
    </row>
    <row r="849">
      <c r="A849" s="261"/>
      <c r="D849" s="67"/>
    </row>
    <row r="850">
      <c r="A850" s="261"/>
      <c r="D850" s="67"/>
    </row>
    <row r="851">
      <c r="A851" s="261"/>
      <c r="D851" s="67"/>
    </row>
    <row r="852">
      <c r="A852" s="261"/>
      <c r="D852" s="67"/>
    </row>
    <row r="853">
      <c r="A853" s="261"/>
      <c r="D853" s="67"/>
    </row>
    <row r="854">
      <c r="A854" s="261"/>
      <c r="D854" s="67"/>
    </row>
    <row r="855">
      <c r="A855" s="261"/>
      <c r="D855" s="67"/>
    </row>
    <row r="856">
      <c r="A856" s="261"/>
      <c r="D856" s="67"/>
    </row>
    <row r="857">
      <c r="A857" s="261"/>
      <c r="D857" s="67"/>
    </row>
    <row r="858">
      <c r="A858" s="261"/>
      <c r="D858" s="67"/>
    </row>
    <row r="859">
      <c r="A859" s="261"/>
      <c r="D859" s="67"/>
    </row>
    <row r="860">
      <c r="A860" s="261"/>
      <c r="D860" s="67"/>
    </row>
    <row r="861">
      <c r="A861" s="261"/>
      <c r="D861" s="67"/>
    </row>
    <row r="862">
      <c r="A862" s="261"/>
      <c r="D862" s="67"/>
    </row>
    <row r="863">
      <c r="A863" s="261"/>
      <c r="D863" s="67"/>
    </row>
    <row r="864">
      <c r="A864" s="261"/>
      <c r="D864" s="67"/>
    </row>
    <row r="865">
      <c r="A865" s="261"/>
      <c r="D865" s="67"/>
    </row>
    <row r="866">
      <c r="A866" s="261"/>
      <c r="D866" s="67"/>
    </row>
    <row r="867">
      <c r="A867" s="261"/>
      <c r="D867" s="67"/>
    </row>
    <row r="868">
      <c r="A868" s="261"/>
      <c r="D868" s="67"/>
    </row>
    <row r="869">
      <c r="A869" s="261"/>
      <c r="D869" s="67"/>
    </row>
    <row r="870">
      <c r="A870" s="261"/>
      <c r="D870" s="67"/>
    </row>
    <row r="871">
      <c r="A871" s="261"/>
      <c r="D871" s="67"/>
    </row>
    <row r="872">
      <c r="A872" s="261"/>
      <c r="D872" s="67"/>
    </row>
    <row r="873">
      <c r="A873" s="261"/>
      <c r="D873" s="67"/>
    </row>
    <row r="874">
      <c r="A874" s="261"/>
      <c r="D874" s="67"/>
    </row>
    <row r="875">
      <c r="A875" s="261"/>
      <c r="D875" s="67"/>
    </row>
    <row r="876">
      <c r="A876" s="261"/>
      <c r="D876" s="67"/>
    </row>
    <row r="877">
      <c r="A877" s="261"/>
      <c r="D877" s="67"/>
    </row>
    <row r="878">
      <c r="A878" s="261"/>
      <c r="D878" s="67"/>
    </row>
    <row r="879">
      <c r="A879" s="261"/>
      <c r="D879" s="67"/>
    </row>
    <row r="880">
      <c r="A880" s="261"/>
      <c r="D880" s="67"/>
    </row>
    <row r="881">
      <c r="A881" s="261"/>
      <c r="D881" s="67"/>
    </row>
    <row r="882">
      <c r="A882" s="261"/>
      <c r="D882" s="67"/>
    </row>
    <row r="883">
      <c r="A883" s="261"/>
      <c r="D883" s="67"/>
    </row>
    <row r="884">
      <c r="A884" s="261"/>
      <c r="D884" s="67"/>
    </row>
    <row r="885">
      <c r="A885" s="261"/>
      <c r="D885" s="67"/>
    </row>
    <row r="886">
      <c r="A886" s="261"/>
      <c r="D886" s="67"/>
    </row>
    <row r="887">
      <c r="A887" s="261"/>
      <c r="D887" s="67"/>
    </row>
    <row r="888">
      <c r="A888" s="261"/>
      <c r="D888" s="67"/>
    </row>
    <row r="889">
      <c r="A889" s="261"/>
      <c r="D889" s="67"/>
    </row>
    <row r="890">
      <c r="A890" s="261"/>
      <c r="D890" s="67"/>
    </row>
    <row r="891">
      <c r="A891" s="261"/>
      <c r="D891" s="67"/>
    </row>
    <row r="892">
      <c r="A892" s="261"/>
      <c r="D892" s="67"/>
    </row>
    <row r="893">
      <c r="A893" s="261"/>
      <c r="D893" s="67"/>
    </row>
    <row r="894">
      <c r="A894" s="261"/>
      <c r="D894" s="67"/>
    </row>
    <row r="895">
      <c r="A895" s="261"/>
      <c r="D895" s="67"/>
    </row>
    <row r="896">
      <c r="A896" s="261"/>
      <c r="D896" s="67"/>
    </row>
    <row r="897">
      <c r="A897" s="261"/>
      <c r="D897" s="67"/>
    </row>
    <row r="898">
      <c r="A898" s="261"/>
      <c r="D898" s="67"/>
    </row>
    <row r="899">
      <c r="A899" s="261"/>
      <c r="D899" s="67"/>
    </row>
    <row r="900">
      <c r="A900" s="261"/>
      <c r="D900" s="67"/>
    </row>
    <row r="901">
      <c r="A901" s="261"/>
      <c r="D901" s="67"/>
    </row>
    <row r="902">
      <c r="A902" s="261"/>
      <c r="D902" s="67"/>
    </row>
    <row r="903">
      <c r="A903" s="261"/>
      <c r="D903" s="67"/>
    </row>
    <row r="904">
      <c r="A904" s="261"/>
      <c r="D904" s="67"/>
    </row>
    <row r="905">
      <c r="A905" s="261"/>
      <c r="D905" s="67"/>
    </row>
    <row r="906">
      <c r="A906" s="261"/>
      <c r="D906" s="67"/>
    </row>
    <row r="907">
      <c r="A907" s="261"/>
      <c r="D907" s="67"/>
    </row>
    <row r="908">
      <c r="A908" s="261"/>
      <c r="D908" s="67"/>
    </row>
    <row r="909">
      <c r="A909" s="261"/>
      <c r="D909" s="67"/>
    </row>
    <row r="910">
      <c r="A910" s="261"/>
      <c r="D910" s="67"/>
    </row>
    <row r="911">
      <c r="A911" s="261"/>
      <c r="D911" s="67"/>
    </row>
    <row r="912">
      <c r="A912" s="261"/>
      <c r="D912" s="67"/>
    </row>
    <row r="913">
      <c r="A913" s="261"/>
      <c r="D913" s="67"/>
    </row>
    <row r="914">
      <c r="A914" s="261"/>
      <c r="D914" s="67"/>
    </row>
    <row r="915">
      <c r="A915" s="261"/>
      <c r="D915" s="67"/>
    </row>
    <row r="916">
      <c r="A916" s="261"/>
      <c r="D916" s="67"/>
    </row>
    <row r="917">
      <c r="A917" s="261"/>
      <c r="D917" s="67"/>
    </row>
    <row r="918">
      <c r="A918" s="261"/>
      <c r="D918" s="67"/>
    </row>
    <row r="919">
      <c r="A919" s="261"/>
      <c r="D919" s="67"/>
    </row>
    <row r="920">
      <c r="A920" s="261"/>
      <c r="D920" s="67"/>
    </row>
    <row r="921">
      <c r="A921" s="261"/>
      <c r="D921" s="67"/>
    </row>
    <row r="922">
      <c r="A922" s="261"/>
      <c r="D922" s="67"/>
    </row>
    <row r="923">
      <c r="A923" s="261"/>
      <c r="D923" s="67"/>
    </row>
    <row r="924">
      <c r="A924" s="261"/>
      <c r="D924" s="67"/>
    </row>
    <row r="925">
      <c r="A925" s="261"/>
      <c r="D925" s="67"/>
    </row>
    <row r="926">
      <c r="A926" s="261"/>
      <c r="D926" s="67"/>
    </row>
    <row r="927">
      <c r="A927" s="261"/>
      <c r="D927" s="67"/>
    </row>
    <row r="928">
      <c r="A928" s="261"/>
      <c r="D928" s="67"/>
    </row>
    <row r="929">
      <c r="A929" s="261"/>
      <c r="D929" s="67"/>
    </row>
    <row r="930">
      <c r="A930" s="261"/>
      <c r="D930" s="67"/>
    </row>
    <row r="931">
      <c r="A931" s="261"/>
      <c r="D931" s="67"/>
    </row>
    <row r="932">
      <c r="A932" s="261"/>
      <c r="D932" s="67"/>
    </row>
    <row r="933">
      <c r="A933" s="261"/>
      <c r="D933" s="67"/>
    </row>
    <row r="934">
      <c r="A934" s="261"/>
      <c r="D934" s="67"/>
    </row>
    <row r="935">
      <c r="A935" s="261"/>
      <c r="D935" s="67"/>
    </row>
    <row r="936">
      <c r="A936" s="261"/>
      <c r="D936" s="67"/>
    </row>
    <row r="937">
      <c r="A937" s="261"/>
      <c r="D937" s="67"/>
    </row>
    <row r="938">
      <c r="A938" s="261"/>
      <c r="D938" s="67"/>
    </row>
    <row r="939">
      <c r="A939" s="261"/>
      <c r="D939" s="67"/>
    </row>
    <row r="940">
      <c r="A940" s="261"/>
      <c r="D940" s="67"/>
    </row>
    <row r="941">
      <c r="A941" s="261"/>
      <c r="D941" s="67"/>
    </row>
    <row r="942">
      <c r="A942" s="261"/>
      <c r="D942" s="67"/>
    </row>
    <row r="943">
      <c r="A943" s="261"/>
      <c r="D943" s="67"/>
    </row>
    <row r="944">
      <c r="A944" s="261"/>
      <c r="D944" s="67"/>
    </row>
    <row r="945">
      <c r="A945" s="261"/>
      <c r="D945" s="67"/>
    </row>
    <row r="946">
      <c r="A946" s="261"/>
      <c r="D946" s="67"/>
    </row>
    <row r="947">
      <c r="A947" s="261"/>
      <c r="D947" s="67"/>
    </row>
    <row r="948">
      <c r="A948" s="261"/>
      <c r="D948" s="67"/>
    </row>
    <row r="949">
      <c r="A949" s="261"/>
      <c r="D949" s="67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5 L7:L11">
      <formula1>"Atendido,Não atendindo"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