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Modelo " sheetId="1" r:id="rId5"/>
    <sheet state="hidden" name="UBS Jardim Valquiria 1909" sheetId="2" r:id="rId6"/>
    <sheet state="hidden" name="OUTUBRO" sheetId="3" r:id="rId7"/>
    <sheet state="hidden" name="AMAUBS Jardim Capela 1709" sheetId="4" r:id="rId8"/>
    <sheet state="hidden" name="OUTUBRO " sheetId="5" r:id="rId9"/>
    <sheet state="hidden" name="NOVEMBRO" sheetId="6" r:id="rId10"/>
    <sheet state="hidden" name="DEZEMBRO25" sheetId="7" r:id="rId11"/>
    <sheet state="visible" name="JANEIRO-26 - Dra. Camila Queiro" sheetId="8" r:id="rId12"/>
    <sheet state="visible" name="JANEIRO-26 - Dra. Priscila Ferr" sheetId="9" r:id="rId13"/>
    <sheet state="visible" name="FEVEREIRO26 - Dra. Camila Queir" sheetId="10" r:id="rId14"/>
    <sheet state="visible" name="FEVEREIRO26 - Dra. Priscila Fer" sheetId="11" r:id="rId15"/>
    <sheet state="visible" name="MARÇO26 - Dra. Camila Queiroga" sheetId="12" r:id="rId16"/>
    <sheet state="visible" name="MARÇO26 - Dra. Priscila Ferreir" sheetId="13" r:id="rId17"/>
    <sheet state="visible" name="ABRIL26 - Dra. Camila Queiroga" sheetId="14" r:id="rId18"/>
    <sheet state="visible" name="ABRIL26 - Dra. Priscila Ferreir" sheetId="15" r:id="rId19"/>
    <sheet state="visible" name="MAIO26 - Dra. Camila Queiroga" sheetId="16" r:id="rId20"/>
    <sheet state="visible" name="MAIO26 - Dra. Priscila Ferreira" sheetId="17" r:id="rId21"/>
    <sheet state="visible" name="JUNHO26 - Dra. Camila Queiroga" sheetId="18" r:id="rId22"/>
    <sheet state="visible" name="JUNHO26 - Dra. Priscila Ferreir" sheetId="19" r:id="rId23"/>
    <sheet state="visible" name="JULHO26 - Dra. Camila Queiroga" sheetId="20" r:id="rId24"/>
    <sheet state="hidden" name="AGOSTO26 - Dra. Camila Queiroga" sheetId="21" r:id="rId25"/>
    <sheet state="visible" name="JULHO26 - Dra. Priscila Ferreir" sheetId="22" r:id="rId26"/>
    <sheet state="hidden" name="AGOSTO26 - Dra. Priscila Ferrei" sheetId="23" r:id="rId27"/>
    <sheet state="hidden" name="Página8" sheetId="24" r:id="rId28"/>
    <sheet state="hidden" name="Mboi " sheetId="25" r:id="rId29"/>
    <sheet state="hidden" name="Capão" sheetId="26" r:id="rId30"/>
    <sheet state="hidden" name="UBS Cidade Ipava 1709" sheetId="27" r:id="rId31"/>
    <sheet state="hidden" name="UBS Jardim Comercial 2309" sheetId="28" r:id="rId32"/>
    <sheet state="hidden" name="UBS Jardim Eledy 2409" sheetId="29" r:id="rId33"/>
    <sheet state="hidden" name="UBS Parque Novo Santo Amaro 250" sheetId="30" r:id="rId34"/>
    <sheet state="hidden" name="UBS Jardim Paranapanema 2609" sheetId="31" r:id="rId35"/>
  </sheets>
  <definedNames>
    <definedName hidden="1" localSheetId="23" name="_xlnm._FilterDatabase">'Página8'!$A$1:$AC$33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tc={06936379-3f8b-4f50-a7d1-daa28a6b495f}</author>
    <author>tc={071b3123-b1b9-4e20-a61f-cc3d3144599e}</author>
    <author>tc={155f3cb9-5147-4720-8616-756373d41278}</author>
    <author>tc={1db11658-bc13-499f-b481-904eda221c4c}</author>
    <author>tc={332c59d8-f510-4e9b-b6ee-e2584234ed5d}</author>
    <author>tc={43ddbc26-c025-4adc-9cce-eae56104b270}</author>
    <author>tc={5ae3a6f9-8249-4abe-adf7-1212ddd80192}</author>
    <author>tc={5cc113a9-f271-4f5a-9d37-f9bc237f88c4}</author>
    <author>tc={5db49ad7-0be2-4a00-8277-26980956e21b}</author>
    <author>tc={6801a298-c85f-4acf-ba42-ec91521f7dd3}</author>
    <author>tc={6c6137c3-bc70-4aca-82f1-e6ae9c44dc5e}</author>
    <author>tc={6dcc75bb-f2c4-48b8-a7b3-f097f51e682c}</author>
    <author>tc={76ecc119-1474-4bb3-9aaf-da93476ca254}</author>
    <author>tc={7a257a6f-7f92-4cac-b070-42a16e771da6}</author>
    <author>tc={7c70d67b-d7e7-4b28-aa7f-da5cf80719a7}</author>
    <author>tc={7fa65256-254e-496e-bb5f-98b108d4af2e}</author>
    <author>tc={84382053-006a-415a-9f20-0b6764f92d5c}</author>
    <author>tc={84afb4a3-45f6-4a04-83c0-7bfba89b2899}</author>
    <author>tc={96ee5d86-ef50-4b8b-a2a5-890fba404f6b}</author>
    <author>tc={9f2eab25-e0c1-433a-ba57-9f1399fadc81}</author>
    <author>tc={a2aaa149-73d0-4d78-b75f-e9b76a95606e}</author>
    <author>tc={a2c25c7c-ec84-4500-98a1-be49b57b5884}</author>
    <author>tc={b54a8ded-b81a-44ae-8795-6222654ced42}</author>
    <author>tc={b584d276-8a0e-442e-b8eb-dd5bfd328da8}</author>
    <author>tc={c6df7390-4f40-4ef7-b5d5-feeea378cd41}</author>
    <author>tc={dd865ab7-fdda-4f79-b516-616c82f7fc41}</author>
    <author>tc={e99f38f6-d63d-4f3c-bdf6-b497baaf740b}</author>
    <author>tc={f95b3bdb-3da8-4a23-a8f4-cbf6e05a51c6}</author>
    <author>tc={fb907bcf-713e-4a95-a37c-5125866e1c1f}</author>
  </authors>
  <commentList>
    <comment authorId="0" xr:uid="{06936379-3f8b-4f50-a7d1-daa28a6b495f}" ref="B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Reply:
	bom dia! 
pacientes inseridos.
Reply:
	Obrigada
</t>
      </text>
    </comment>
    <comment authorId="1" xr:uid="{071b3123-b1b9-4e20-a61f-cc3d3144599e}" ref="G2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@ubsparquedoengenho@cejam.org.br
Reply:
	Prezada, bom dia.
A paciente já esta agendada conforme solicitado.
Att: Taline Santos Reis
Aux.Tec.Administrativo
</t>
      </text>
    </comment>
    <comment authorId="2" xr:uid="{155f3cb9-5147-4720-8616-756373d41278}" ref="B2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@ubsmagdalena@cejam.org.br 
Prezados, bom dia.
Pedimos a gentileza de inserir o paciente no SIGA.
Atribuído a ubsmagdalena@cejam.org.br
</t>
      </text>
    </comment>
    <comment authorId="3" xr:uid="{1db11658-bc13-499f-b481-904eda221c4c}" ref="E1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favor, preencher corretamente a planilha @ubsgermania@cejam.org.br
Atribuído a ubsgermania@cejam.org.br
</t>
      </text>
    </comment>
    <comment authorId="4" xr:uid="{332c59d8-f510-4e9b-b6ee-e2584234ed5d}" ref="B2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@ubsmagdalena@cejam.org.br 
Prezados, bom dia.
Pedimos a gentileza de inserir o paciente no SIGA.
Atribuído a ubsmagdalena@cejam.org.br
</t>
      </text>
    </comment>
    <comment authorId="5" xr:uid="{43ddbc26-c025-4adc-9cce-eae56104b270}" ref="B2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@ubsaracati@cejam.org.br 
Prezados, bom dia.
Pedimos a gentileza de inserir o paciente no SIGA.
Atribuído a ubsaracati@cejam.org.br
</t>
      </text>
    </comment>
    <comment authorId="6" xr:uid="{5ae3a6f9-8249-4abe-adf7-1212ddd80192}" ref="B2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@ubsjardimcapela@cejam.org.br
Prezados, bom dia.
Pedimos a gentileza de inserir o paciente no SIGA.
Reply:
	Paciente inserido no SIGA
Reply:
	Marcada como resolvida
</t>
      </text>
    </comment>
    <comment authorId="7" xr:uid="{5cc113a9-f271-4f5a-9d37-f9bc237f88c4}" ref="B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Atribuído a ubs.santalucia@cejam.org.br
Reply:
	Faremos a inserção. Obrigada
</t>
      </text>
    </comment>
    <comment authorId="8" xr:uid="{5db49ad7-0be2-4a00-8277-26980956e21b}" ref="B2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</t>
      </text>
    </comment>
    <comment authorId="9" xr:uid="{6801a298-c85f-4acf-ba42-ec91521f7dd3}" ref="G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COLOCAR PACIENTE NA VAGA DO SIGA. @ubsvalquiria@cejam.org.br
</t>
      </text>
    </comment>
    <comment authorId="10" xr:uid="{6c6137c3-bc70-4aca-82f1-e6ae9c44dc5e}" ref="G2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@ubsparquedoengenho@cejam.org.br
Reply:
	Prezada, bom dia.
A paciente já esta agendada conforme solicitado.
Att: Taline Santos Reis
Aux.Tec.Administrativo
</t>
      </text>
    </comment>
    <comment authorId="11" xr:uid="{6dcc75bb-f2c4-48b8-a7b3-f097f51e682c}" ref="G1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@ubsgermania@cejam.org.br
Atribuído a ubsgermania@cejam.org.br
</t>
      </text>
    </comment>
    <comment authorId="12" xr:uid="{76ecc119-1474-4bb3-9aaf-da93476ca254}" ref="B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@ubseledy@cejam.org.br Pedimos a gentileza de inserir todas as informações do paciente em questão, o não preenchimento acarretará na liberação da vaga para as demais unidades. Aguardamos retorno. Atenciosamente.
Atribuído a ubseledy@cejam.org.br
Reply:
	Bom dia, Taci! Pode liberar a vaga, já apegamos as vagas pertinentes.
</t>
      </text>
    </comment>
    <comment authorId="13" xr:uid="{7a257a6f-7f92-4cac-b070-42a16e771da6}" ref="G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COLOCAR PACIENTE NA VAGA DO SIGA @ubscomercial@cejam.org.br
</t>
      </text>
    </comment>
    <comment authorId="14" xr:uid="{7c70d67b-d7e7-4b28-aa7f-da5cf80719a7}" ref="G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Prezados, boa tarde.
Conforme alinhado na reunião de ontem, peço que realizem o agendamento dos pacientes no SIGA com a maior brevidade possível @ubscomercial@cejam.org.br
</t>
      </text>
    </comment>
    <comment authorId="15" xr:uid="{7fa65256-254e-496e-bb5f-98b108d4af2e}" ref="E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Atribuído a ubsjardimcapela@cejam.org.br
</t>
      </text>
    </comment>
    <comment authorId="16" xr:uid="{84382053-006a-415a-9f20-0b6764f92d5c}" ref="G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Prezados, boa tarde.
Conforme alinhado na reunião de ontem, peço que realizem o agendamento dos pacientes no SIGA com a maior brevidade possível @ubsvalquiria@cejam.org.br
</t>
      </text>
    </comment>
    <comment authorId="17" xr:uid="{84afb4a3-45f6-4a04-83c0-7bfba89b2899}" ref="E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Atribuído a ubsjardimcapela@cejam.org.br
Reply:
	Pacientes inseridas no SIGA
</t>
      </text>
    </comment>
    <comment authorId="18" xr:uid="{96ee5d86-ef50-4b8b-a2a5-890fba404f6b}" ref="G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@ubs.santalucia@cejam.org.br
</t>
      </text>
    </comment>
    <comment authorId="19" xr:uid="{9f2eab25-e0c1-433a-ba57-9f1399fadc81}" ref="G1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@ubseledy@cejam.org.br
Reply:
	Paciente prefere atentedimento presencial
</t>
      </text>
    </comment>
    <comment authorId="20" xr:uid="{a2aaa149-73d0-4d78-b75f-e9b76a95606e}" ref="B2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@ubsjardimcapela@cejam.org.br
Prezados, bom dia.
Pedimos a gentileza de inserir o paciente no SIGA.
Atribuído a ubsjardimcapela@cejam.org.br
</t>
      </text>
    </comment>
    <comment authorId="21" xr:uid="{a2c25c7c-ec84-4500-98a1-be49b57b5884}" ref="G2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@ubs.jdherculano@cejam.org.br
</t>
      </text>
    </comment>
    <comment authorId="22" xr:uid="{b54a8ded-b81a-44ae-8795-6222654ced42}" ref="B2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Reply:
	bom dia! 
pacientes inseridos.
Reply:
	Obrigada
</t>
      </text>
    </comment>
    <comment authorId="23" xr:uid="{b584d276-8a0e-442e-b8eb-dd5bfd328da8}" ref="B2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 
Prezados, bom dia.
Pedimos a gentileza de inserir o paciente no SIGA.
Atribuído a amaubspqfernanda@cejam.org.br
Reply:
	Marcado como concluído
Reply:
	obrigado
Reaberta
</t>
      </text>
    </comment>
    <comment authorId="24" xr:uid="{c6df7390-4f40-4ef7-b5d5-feeea378cd41}" ref="F1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
</t>
      </text>
    </comment>
    <comment authorId="25" xr:uid="{dd865ab7-fdda-4f79-b516-616c82f7fc41}" ref="G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COLOCAR PACIENTE NA VAGA DO SIGA. @ubscomercial@cejam.org.br
</t>
      </text>
    </comment>
    <comment authorId="26" xr:uid="{e99f38f6-d63d-4f3c-bdf6-b497baaf740b}" ref="B2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@ubs.jdherculano@cejam.org.br 
Prezados, bom dia.
Pedimos a gentileza de inserir o paciente no SIGA.
Atribuído a ubs.jdherculano@cejam.org.br
Reply:
	Inserindo.
</t>
      </text>
    </comment>
    <comment authorId="27" xr:uid="{f95b3bdb-3da8-4a23-a8f4-cbf6e05a51c6}" ref="G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Prezados, boa tarde.
Conforme alinhado na reunião de ontem, peço que realizem o agendamento dos pacientes no SIGA com a maior brevidade possível @ubseledy@cejam.org.br
Reply:
	Marcada como resolvida
Reply:
	Pacientes agendados pelo Siga
Reaberta
</t>
      </text>
    </comment>
    <comment authorId="28" xr:uid="{fb907bcf-713e-4a95-a37c-5125866e1c1f}" ref="F1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Prezados,
Solicito, por gentileza, que a planilha seja devidamente preenchida com os dados corretos do paciente.
@ubseledy@cejam.org.br
Atribuído a ubseledy@cejam.org.br
Reply:
	Bom dia Feito preenchimento correto.obrigada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tc={d69f6df8-ea9c-47d8-acc3-f0b2b8f573b1}</author>
  </authors>
  <commentList>
    <comment authorId="0" xr:uid="{d69f6df8-ea9c-47d8-acc3-f0b2b8f573b1}" ref="N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@ubsjardimcapela@cejam.org.br 
Favor inserir o motivo das faltas dos pacientes da especialidade
Atribuído a ubsjardimcapela@cejam.org.br
Reply:
	Marcado como concluído
Reply:
	Respondido
Reaberta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tc={0324e0a7-20c7-4b16-a099-cdf3bf050a97}</author>
    <author>tc={03f381fc-2ade-417d-9cea-a5c294a82c1b}</author>
    <author>tc={0445e8e2-4a44-4a23-88f1-be64fdf35439}</author>
    <author>tc={05b0a802-d8a1-49f1-9893-9c3a91305694}</author>
    <author>tc={067aff06-489d-41a6-8067-52a0a4959c9d}</author>
    <author>tc={07c3be86-5114-4468-8fef-4151a625976f}</author>
    <author>tc={0871bea5-9ea2-4010-8896-68668da86c1d}</author>
    <author>tc={0b7658c7-8cc7-42f9-bdc1-d1c7e8ee2b96}</author>
    <author>tc={10abfafa-7404-4f02-8f91-439211515edb}</author>
    <author>tc={126f9413-c2be-4c8a-b8da-7a264b17358a}</author>
    <author>tc={1385be96-dd92-4c18-9e78-c0fc8eea2f37}</author>
    <author>tc={168508be-8807-4764-bbdd-44612b50d135}</author>
    <author>tc={172cabe8-95ef-479c-b673-4b52a6eb8a41}</author>
    <author>tc={18c0329f-b5b6-47a2-be16-cdc89614f2e1}</author>
    <author>tc={21c0a8dc-bf29-45e1-8875-b6388f3f8b48}</author>
    <author>tc={2244bfcc-e754-4a32-8649-da33c6d03671}</author>
    <author>tc={25428e71-87f1-4780-b205-e92b4c1316dc}</author>
    <author>tc={28e4d9c2-210f-4ab8-92d8-901f7c6a0f73}</author>
    <author>tc={2a677b2e-8c12-4d8f-9b11-58bc0524c59d}</author>
    <author>tc={2a6b8e70-a1c2-4fc4-8ed3-d23c0cc96232}</author>
    <author>tc={2f07be09-7048-4a3f-9103-6a5c03927333}</author>
    <author>tc={30007a46-4adf-40bc-b0bb-03cf6a62c47e}</author>
    <author>tc={336eea42-6835-46c8-9562-4117d2c7cb58}</author>
    <author>tc={34ed2cc8-2979-4222-b64f-b128df84fbba}</author>
    <author>tc={369f5cde-3037-490c-87d7-b727db0215e4}</author>
    <author>tc={402b63ad-3905-4055-a8fd-d4fafcfe16ef}</author>
    <author>tc={4218cfd9-bef8-404c-a8b8-ec222256f893}</author>
    <author>tc={47026556-c37a-4499-b006-7b445fe476f2}</author>
    <author>tc={47ff2138-f01e-4ee8-8609-1ab51ba698d2}</author>
    <author>tc={4fc4dbc6-fe18-4747-8677-f0c78c06ade3}</author>
    <author>tc={51725943-098f-4a1a-92cc-b73c6db4e9ba}</author>
    <author>tc={53588039-a943-424b-977a-6ee71e7d206e}</author>
    <author>tc={53985850-bede-472e-8628-0dc29d76cfce}</author>
    <author>tc={54b7473a-8228-4b0a-8cab-004a6442ebdf}</author>
    <author>tc={5548d7f6-fcf1-4ded-9707-f63d8ff67d51}</author>
    <author>tc={555ba447-855e-4299-ba56-4db3ea10fa9a}</author>
    <author>tc={56e1419d-05c5-480f-96e1-441a05f30eb5}</author>
    <author>tc={5bc471d5-eff3-4221-8f92-93bf48e8ddbd}</author>
    <author>tc={5cd3a79d-bdec-4611-9a0a-311f28e72818}</author>
    <author>tc={60fcb840-c995-4af0-9c6d-a143b2efe243}</author>
    <author>tc={64d5260a-29ec-4d5d-bece-875e4c6a9883}</author>
    <author>tc={6717da5d-0ee9-4e9d-b767-989482d84fc0}</author>
    <author>tc={67a61ab8-09cf-453a-be1e-d18054b88dd4}</author>
    <author>tc={6a352253-a641-4a11-a4d5-ec91304c631f}</author>
    <author>tc={6a385ce8-6b30-4acf-8375-c7e4404f1917}</author>
    <author>tc={6a95efdc-35fb-443b-8163-ac29419b7f4a}</author>
    <author>tc={6cc3fcbc-871a-4572-81f6-ff7bd50bdd30}</author>
    <author>tc={6fcd5502-a2d2-4fe4-a4b6-bda4d610ddb8}</author>
    <author>tc={7121feab-0013-46d9-9354-6cb686e8d404}</author>
    <author>tc={72c38a39-2086-4101-95e4-8198ed97a169}</author>
    <author>tc={72cb4ddf-d80e-4d7c-b319-463a466a77b8}</author>
    <author>tc={72e10475-1fe5-4063-ab9e-e58c6e9e6df4}</author>
    <author>tc={75453d79-5cd1-4074-bcca-05aafc5bd198}</author>
    <author>tc={76e5aa36-6a91-47ee-bc28-f0f150929833}</author>
    <author>tc={7badd085-4fe1-4d7c-870f-1e064c64bbe6}</author>
    <author>tc={7d4b676a-12a4-43e1-9ca0-c3801663eddb}</author>
    <author>tc={7e5f070f-c31f-4005-9831-e4f6f8435ca2}</author>
    <author>tc={836144d9-e29e-418d-a649-996ca6d584da}</author>
    <author>tc={86270ed2-9786-4d10-8473-7b7cc92d247a}</author>
    <author>tc={8aa686a8-ab9a-4b9a-951d-80b3f05dc744}</author>
    <author>tc={8b8b977a-017e-4953-8a6b-c43fdae9aa38}</author>
    <author>tc={a0a7e8ba-29c8-4464-8fdc-9ac9279cf778}</author>
    <author>tc={a351e812-9c6d-40bc-9778-ff32835905a3}</author>
    <author>tc={aa7c8e72-b89e-4d5f-ad85-9647e0bc879e}</author>
    <author>tc={afdc0e9f-9759-4281-9d64-821ac4347c9c}</author>
    <author>tc={b0633071-a8aa-4906-ac44-8e09df3a9692}</author>
    <author>tc={b1cb96dd-1e65-431e-85b7-75e69b065bdb}</author>
    <author>tc={b37c699f-77a9-4205-a65d-531a1df8b914}</author>
    <author>tc={b590f002-224e-4403-ac2a-ced194f24f74}</author>
    <author>tc={b7210421-af76-4796-8cff-a45793fc75fe}</author>
    <author>tc={b7aafe24-4351-4749-b2f5-a457c16068ea}</author>
    <author>tc={be0ebf56-b782-4910-89df-50ea7d57d6ff}</author>
    <author>tc={c160a926-c47a-4a68-8769-bc523b0ddd3e}</author>
    <author>tc={c24ad340-041e-4afb-b47b-686e6d1bc035}</author>
    <author>tc={c3433bfe-729f-4430-ac5d-d4fa8b7db3b0}</author>
    <author>tc={c3d6d185-16aa-4123-b30c-6011d1625b33}</author>
    <author>tc={c85f1f7a-19c7-4495-8fd5-d1e2a0fefff6}</author>
    <author>tc={d2df3b74-580c-48a2-9cd4-85d3e4cf2901}</author>
    <author>tc={d31621ca-0b52-4f6b-9ba4-72ef1f912d9f}</author>
    <author>tc={d4527984-9abe-44c5-a895-5a6905f613e3}</author>
    <author>tc={d61c4c0c-f5a2-4066-89f4-898cead88aaf}</author>
    <author>tc={d6e981c1-a132-4953-a8f9-3890f97ef58b}</author>
    <author>tc={d74131aa-55a6-40ad-b2b8-a17b2dc7c9cf}</author>
    <author>tc={e066f2b9-a5f4-43b6-9627-25e7346ae623}</author>
    <author>tc={e584b243-0489-4bc9-8d84-72f9a4fcf4a9}</author>
    <author>tc={e5f5658e-4261-4db6-832f-35239eddafc5}</author>
    <author>tc={ed7404cd-f5fc-448d-9694-c1473fdd2080}</author>
    <author>tc={efbbdf22-ad85-455a-a33e-365c6ec4b97c}</author>
    <author>tc={f10de1ec-1640-41d7-b910-25364da2b7f4}</author>
    <author>tc={f1300b0d-c32a-47df-9c86-52a9c23b833a}</author>
    <author>tc={f20488aa-d99b-4e19-abfc-d5adcc3cc7ff}</author>
    <author>tc={f22cdb01-10db-45d8-b6c2-949ff663dfe8}</author>
    <author>tc={f28921b9-bef7-4fbf-be1a-0f33c084053b}</author>
    <author>tc={f50ec452-69f1-42ae-a950-e672194541b1}</author>
    <author>tc={f57bb6cd-da8f-46f2-99d6-5cb08e7a6f15}</author>
    <author>tc={f59850f9-cf94-46e0-a15a-74549142327b}</author>
    <author>tc={f72a8dfd-8d6e-47d3-9455-bade88e2d233}</author>
    <author>tc={f91d9c1f-3861-400d-8a7e-b164981f29f4}</author>
    <author>tc={f9de7dfe-601a-4b07-9258-c7da7534c174}</author>
    <author>tc={fb32752d-90b4-4eac-bc58-564a4a073dd1}</author>
    <author>tc={fb47ed8b-59fc-4540-9069-4757cc0e8e5d}</author>
    <author>tc={fd6dde11-b588-4149-a7ce-f0c6df5adff9}</author>
    <author>tc={fd6f9ba5-eeb0-4abc-83a8-31fa6ac4767f}</author>
  </authors>
  <commentList>
    <comment authorId="0" xr:uid="{0324e0a7-20c7-4b16-a099-cdf3bf050a97}" ref="B2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@ubseledy@cejam.org.br
Atribuído a ubseledy@cejam.org.br
Reply:
	Boa tarde .
Paciente inserido na sistema SIGA
</t>
      </text>
    </comment>
    <comment authorId="1" xr:uid="{03f381fc-2ade-417d-9cea-a5c294a82c1b}" ref="B1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@ubs.sta.margarida@cejam.org.br
</t>
      </text>
    </comment>
    <comment authorId="2" xr:uid="{0445e8e2-4a44-4a23-88f1-be64fdf35439}" ref="B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Reply:
	FEITO TODOS
</t>
      </text>
    </comment>
    <comment authorId="3" xr:uid="{05b0a802-d8a1-49f1-9893-9c3a91305694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@ubseledy@cejam.org.br 
Conforme orientação essas vagas são destinadas ao DA M'BOI MIRIM, pedimos que o paciente seja remanejado para os dias que correspondem ao DA CAMPO LIMPO.
Atenciosamente,
Atribuído a ubseledy@cejam.org.br
Reply:
	Boa tarde paciente retirada da planilha destinada ao M BOI MIRIM,
</t>
      </text>
    </comment>
    <comment authorId="4" xr:uid="{067aff06-489d-41a6-8067-52a0a4959c9d}" ref="B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@ubsmaraca@cejam.org.br
Reply:
	Marcada como resolvida
Reply:
	resolvido
Reaberta
</t>
      </text>
    </comment>
    <comment authorId="5" xr:uid="{07c3be86-5114-4468-8fef-4151a625976f}" ref="B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 
Conforme orientação essas vagas são destinadas ao DA M'BOI MIRIM, pedimos que o paciente seja remanejado para os dias que correspondem ao DA CAMPO LIMPO.
Atribuído a amaubspqfernanda@cejam.org.br
Reply:
	OK! FAREI ISSO AGORA
</t>
      </text>
    </comment>
    <comment authorId="6" xr:uid="{0871bea5-9ea2-4010-8896-68668da86c1d}" ref="B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no siga @ubsmaraca@cejam.org.br
Atribuído a ubsmaraca@cejam.org.br
</t>
      </text>
    </comment>
    <comment authorId="7" xr:uid="{0b7658c7-8cc7-42f9-bdc1-d1c7e8ee2b96}" ref="B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@ubsmagdalena@cejam.org.br
</t>
      </text>
    </comment>
    <comment authorId="8" xr:uid="{10abfafa-7404-4f02-8f91-439211515edb}" ref="B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@ubscomercial@cejam.org.br
</t>
      </text>
    </comment>
    <comment authorId="9" xr:uid="{126f9413-c2be-4c8a-b8da-7a264b17358a}" ref="B1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</t>
      </text>
    </comment>
    <comment authorId="10" xr:uid="{1385be96-dd92-4c18-9e78-c0fc8eea2f37}" ref="B1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</t>
      </text>
    </comment>
    <comment authorId="11" xr:uid="{168508be-8807-4764-bbdd-44612b50d135}" ref="B1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@ubs.vilacalu@cejam.org.br 
Conforme orientação essas vagas são destinadas ao DA CAMPO LIMPO, pedimos que o paciente seja remanejado para os dias que correspondem ao DA M'BOI MIRIM
Atribuído a ubs.vilacalu@cejam.org.br
</t>
      </text>
    </comment>
    <comment authorId="12" xr:uid="{172cabe8-95ef-479c-b673-4b52a6eb8a41}" ref="B2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</t>
      </text>
    </comment>
    <comment authorId="13" xr:uid="{18c0329f-b5b6-47a2-be16-cdc89614f2e1}" ref="B2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Atribuído a ubsmaraca@cejam.org.br
</t>
      </text>
    </comment>
    <comment authorId="14" xr:uid="{21c0a8dc-bf29-45e1-8875-b6388f3f8b48}" ref="B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paciente na vaga do siga @ubs.jdguaruja@cejam.org.br
Reply:
	Agendado ás 11:13
</t>
      </text>
    </comment>
    <comment authorId="15" xr:uid="{2244bfcc-e754-4a32-8649-da33c6d03671}" ref="B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 
Conforme orientação essas vagas são destinadas ao DA CAMPO LIMPO, pedimos que o paciente seja remanejado para os dias que correspondem ao DA M'BOI MIRIM.
Atribuído a ubs.santalucia@cejam.org.br
</t>
      </text>
    </comment>
    <comment authorId="16" xr:uid="{25428e71-87f1-4780-b205-e92b4c1316dc}" ref="B2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Inserir paciente na planilha @ubsmacedonia@cejam.org.br
</t>
      </text>
    </comment>
    <comment authorId="17" xr:uid="{28e4d9c2-210f-4ab8-92d8-901f7c6a0f73}" ref="B1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</t>
      </text>
    </comment>
    <comment authorId="18" xr:uid="{2a677b2e-8c12-4d8f-9b11-58bc0524c59d}" ref="B1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
</t>
      </text>
    </comment>
    <comment authorId="19" xr:uid="{2a6b8e70-a1c2-4fc4-8ed3-d23c0cc96232}" ref="B2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@ubsvalquiria@cejam.org.br
</t>
      </text>
    </comment>
    <comment authorId="20" xr:uid="{2f07be09-7048-4a3f-9103-6a5c03927333}" ref="B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@ubscomercial@cejam.org.br 
Conforme orientação essas vagas são destinadas ao DA M'BOI MIRIM, pedimos que o paciente seja remanejado para os dias que correspondem ao DA CAMPO LIMPO.
Atenciosamente,
Atribuído a ubscomercial@cejam.org.br
</t>
      </text>
    </comment>
    <comment authorId="21" xr:uid="{30007a46-4adf-40bc-b0bb-03cf6a62c47e}" ref="B1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</t>
      </text>
    </comment>
    <comment authorId="22" xr:uid="{336eea42-6835-46c8-9562-4117d2c7cb58}" ref="B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VAGA NÃO DISPONIVEL NO SIGA @taciana.caciano@cejam.org.br FICO NO AGUARDO DA LIBERAÇÃO DO SIGA PARA O AGENDAMENTO
Atribuído a taciana.caciano@cejam.org.br
Reply:
	Informamos que não foi possível criar a agenda da Dra. no SIGA. Dessa forma, os agendamentos serão realizados na planilha @ubs.vilacalu@cejam.org.br
Reply:
	Marcado como concluído
Reply:
	Informamos que não foi possível criar a agenda da Dra. no SIGA. Dessa forma, os agendamentos serão realizados na planilha @ubs.vilacalu@cejam.org.brexpand_moreShow moreexpand_lessShow less
Reaberta
</t>
      </text>
    </comment>
    <comment authorId="23" xr:uid="{34ed2cc8-2979-4222-b64f-b128df84fbba}" ref="B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@ubsmaraca@cejam.org.br
Reply:
	resolvido
</t>
      </text>
    </comment>
    <comment authorId="24" xr:uid="{369f5cde-3037-490c-87d7-b727db0215e4}" ref="B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no siga @ubscomercial@cejam.org.br
</t>
      </text>
    </comment>
    <comment authorId="25" xr:uid="{402b63ad-3905-4055-a8fd-d4fafcfe16ef}" ref="B1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Paciente agendado no siga por gentileza inserir na planilha tambem @ubs.altodariviera@cejam.org.br
</t>
      </text>
    </comment>
    <comment authorId="26" xr:uid="{4218cfd9-bef8-404c-a8b8-ec222256f893}" ref="B1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
</t>
      </text>
    </comment>
    <comment authorId="27" xr:uid="{47026556-c37a-4499-b006-7b445fe476f2}" ref="B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PC NA PLANILHA
@ubsluardosertao@cejam.org.br
</t>
      </text>
    </comment>
    <comment authorId="28" xr:uid="{47ff2138-f01e-4ee8-8609-1ab51ba698d2}" ref="B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PACIENTE NA PLANILHA
@ubsgermania@cejam.org.br
Atribuído a ubsgermania@cejam.org.br
</t>
      </text>
    </comment>
    <comment authorId="29" xr:uid="{4fc4dbc6-fe18-4747-8677-f0c78c06ade3}" ref="B2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Atribuído a ubssaobento@cejam.org.br
</t>
      </text>
    </comment>
    <comment authorId="30" xr:uid="{51725943-098f-4a1a-92cc-b73c6db4e9ba}" ref="B2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</t>
      </text>
    </comment>
    <comment authorId="31" xr:uid="{53588039-a943-424b-977a-6ee71e7d206e}" ref="B1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SUPERVISÃO DE MBOI SO PODE ULTILIZAR AS VAGAS DO MBOI POR FAVOR REAGENDAR PACIENTE  @ubs.paranapanema@cejam.org.br
Atribuído a ubs.paranapanema@cejam.org.br
Reply:
	Pedimos desculpas pelo equívoco o agendamento foi feito incorretamente no Campo Limpo. Já realizamos a correção e retiramos a paciente da agenda.
</t>
      </text>
    </comment>
    <comment authorId="32" xr:uid="{53985850-bede-472e-8628-0dc29d76cfce}" ref="B2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@ubshorizonteazul@cejam.org.br
Reply:
	Paciente já agendado
</t>
      </text>
    </comment>
    <comment authorId="33" xr:uid="{54b7473a-8228-4b0a-8cab-004a6442ebdf}" ref="G1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
</t>
      </text>
    </comment>
    <comment authorId="34" xr:uid="{5548d7f6-fcf1-4ded-9707-f63d8ff67d51}" ref="B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pacientes no siga @ubssaobento@cejam.org.br
</t>
      </text>
    </comment>
    <comment authorId="35" xr:uid="{555ba447-855e-4299-ba56-4db3ea10fa9a}" ref="B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 
Conforme orientação essas vagas são destinadas ao DA CAMPO LIMPO, pedimos que o paciente seja remanejado para os dias que correspondem ao DA M'BOI MIRIM.
Atribuído a ubs.santalucia@cejam.org.br
Reply:
	Boa tarde,
Já realizei a retirada das pacientes, porém uma delas está apresentando erro ao tentar remover no SIGA , não estou conseguindo concluir a exclusão.
Minha orientadora digital sai às 14h, e ela precisa de um tempo para se deslocar entre as casas. Há disponibilidade de horário no período da manhã?
</t>
      </text>
    </comment>
    <comment authorId="36" xr:uid="{56e1419d-05c5-480f-96e1-441a05f30eb5}" ref="B2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</t>
      </text>
    </comment>
    <comment authorId="37" xr:uid="{5bc471d5-eff3-4221-8f92-93bf48e8ddbd}" ref="B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@ubs.vilacalu@cejam.org.br 
Conforme orientação essas vagas são destinadas ao DA CAMPO LIMPO, pedimos que o paciente seja remanejado para os dias que correspondem ao DA M'BOI MIRIM
Atribuído a ubs.vilacalu@cejam.org.br
</t>
      </text>
    </comment>
    <comment authorId="38" xr:uid="{5cd3a79d-bdec-4611-9a0a-311f28e72818}" ref="B2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</t>
      </text>
    </comment>
    <comment authorId="39" xr:uid="{60fcb840-c995-4af0-9c6d-a143b2efe243}" ref="B2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Atribuído a ubsmaraca@cejam.org.br
</t>
      </text>
    </comment>
    <comment authorId="40" xr:uid="{64d5260a-29ec-4d5d-bece-875e4c6a9883}" ref="B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@ubs.paranapanema@cejam.org.br
Atribuído a ubs.paranapanema@cejam.org.br
Reply:
	Paciente do dia 14/11 14:40 agendada.
</t>
      </text>
    </comment>
    <comment authorId="41" xr:uid="{6717da5d-0ee9-4e9d-b767-989482d84fc0}" ref="B2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Atribuído a amaubspqfernanda@cejam.org.br
</t>
      </text>
    </comment>
    <comment authorId="42" xr:uid="{67a61ab8-09cf-453a-be1e-d18054b88dd4}" ref="B1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drive @ubsvalquiria@cejam.org.br
Atribuído a ubsvalquiria@cejam.org.br
</t>
      </text>
    </comment>
    <comment authorId="43" xr:uid="{6a352253-a641-4a11-a4d5-ec91304c631f}" ref="B2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Bom dia.
Poderia, verificar o agendamento no SIGA? Identificamos uma divergência: a paciente que consta na planilha é diferente da que está registrada no SIGA.
@ubsaracati@cejam.org.br
Atribuído a ubsaracati@cejam.org.br
</t>
      </text>
    </comment>
    <comment authorId="44" xr:uid="{6a385ce8-6b30-4acf-8375-c7e4404f1917}" ref="B1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 
Conforme orientação essas vagas são destinadas ao DA M'BOI MIRIM, pedimos que o paciente seja remanejado para os dias que correspondem ao DA CAMPO LIMPO.
Atribuído a amaubspqfernanda@cejam.org.br
</t>
      </text>
    </comment>
    <comment authorId="45" xr:uid="{6a95efdc-35fb-443b-8163-ac29419b7f4a}" ref="B1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
</t>
      </text>
    </comment>
    <comment authorId="46" xr:uid="{6cc3fcbc-871a-4572-81f6-ff7bd50bdd30}" ref="G1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
</t>
      </text>
    </comment>
    <comment authorId="47" xr:uid="{6fcd5502-a2d2-4fe4-a4b6-bda4d610ddb8}" ref="B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@ubs.vilacalu@cejam.org.br conforme orientação essas vagas são destinadas ao DA CAMPO LIMPO, pedimos que o paciente seja remanejado para os dias que correspondem ao DA M'BOI MIRIM.
Atribuído a ubs.vilacalu@cejam.org.br
</t>
      </text>
    </comment>
    <comment authorId="48" xr:uid="{7121feab-0013-46d9-9354-6cb686e8d404}" ref="B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@ubs.vilacalu@cejam.org.br 
Conforme orientação essas vagas são destinadas ao DA CAMPO LIMPO, pedimos que o paciente seja remanejado para os dias que correspondem ao DA M'BOI MIRIM
Atribuído a ubs.vilacalu@cejam.org.br
</t>
      </text>
    </comment>
    <comment authorId="49" xr:uid="{72c38a39-2086-4101-95e4-8198ed97a169}" ref="B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do siga na planilha
Reply:
	@ubsmacedonia@cejam.org.br
</t>
      </text>
    </comment>
    <comment authorId="50" xr:uid="{72cb4ddf-d80e-4d7c-b319-463a466a77b8}" ref="B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@ubscomercial@cejam.org.br
</t>
      </text>
    </comment>
    <comment authorId="51" xr:uid="{72e10475-1fe5-4063-ab9e-e58c6e9e6df4}" ref="B1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@amaubspqfernanda@cejam.org.br
</t>
      </text>
    </comment>
    <comment authorId="52" xr:uid="{75453d79-5cd1-4074-bcca-05aafc5bd198}" ref="B3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
</t>
      </text>
    </comment>
    <comment authorId="53" xr:uid="{76e5aa36-6a91-47ee-bc28-f0f150929833}" ref="B1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@ubs.jdcaicara@cejam.org.br
Atribuído a ubs.jdcaicara@cejam.org.br
</t>
      </text>
    </comment>
    <comment authorId="54" xr:uid="{7badd085-4fe1-4d7c-870f-1e064c64bbe6}" ref="B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
Conforme orientação essas vagas são destinadas ao DA M'BOI MIRIM, pedimos que o paciente seja remanejado para os dias que correspondem ao DA CAMPO LIMPO.
Atribuído a amaubspqfernanda@cejam.org.br
</t>
      </text>
    </comment>
    <comment authorId="55" xr:uid="{7d4b676a-12a4-43e1-9ca0-c3801663eddb}" ref="B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paciente no siga @ubsluardosertao@cejam.org.br
</t>
      </text>
    </comment>
    <comment authorId="56" xr:uid="{7e5f070f-c31f-4005-9831-e4f6f8435ca2}" ref="B2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Atribuído a amaubspqfernanda@cejam.org.br
</t>
      </text>
    </comment>
    <comment authorId="57" xr:uid="{836144d9-e29e-418d-a649-996ca6d584da}" ref="B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no siga @ubsmaraca@cejam.org.br
</t>
      </text>
    </comment>
    <comment authorId="58" xr:uid="{86270ed2-9786-4d10-8473-7b7cc92d247a}" ref="B1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
Reply:
	Agendar paciente no siga @ubsjardimcapela@cejam.org.br
</t>
      </text>
    </comment>
    <comment authorId="59" xr:uid="{8aa686a8-ab9a-4b9a-951d-80b3f05dc744}" ref="B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@ubs.altodariviera@cejam.org.br
Reply:
	Prezada, agendamento cancelado
</t>
      </text>
    </comment>
    <comment authorId="60" xr:uid="{8b8b977a-017e-4953-8a6b-c43fdae9aa38}" ref="B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@ubscomercial@cejam.org.br
</t>
      </text>
    </comment>
    <comment authorId="61" xr:uid="{a0a7e8ba-29c8-4464-8fdc-9ac9279cf778}" ref="B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PC NA PLANILHA
@ubsluardosertao@cejam.org.br
</t>
      </text>
    </comment>
    <comment authorId="62" xr:uid="{a351e812-9c6d-40bc-9778-ff32835905a3}" ref="B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@amaubspqfernanda@cejam.org.br
</t>
      </text>
    </comment>
    <comment authorId="63" xr:uid="{aa7c8e72-b89e-4d5f-ad85-9647e0bc879e}" ref="B1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@ubsluardosertao@cejam.org.br
</t>
      </text>
    </comment>
    <comment authorId="64" xr:uid="{afdc0e9f-9759-4281-9d64-821ac4347c9c}" ref="B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 PACIENTE NA PLANILHA
@ubsluardosertao@cejam.org.br
Atribuído a ubsluardosertao@cejam.org.br
</t>
      </text>
    </comment>
    <comment authorId="65" xr:uid="{b0633071-a8aa-4906-ac44-8e09df3a9692}" ref="B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@ubs.paranapanema@cejam.org.br
Atribuído a ubs.paranapanema@cejam.org.br
Reply:
	Paciente do dia 14/11 14:40 agendada.
</t>
      </text>
    </comment>
    <comment authorId="66" xr:uid="{b1cb96dd-1e65-431e-85b7-75e69b065bdb}" ref="B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@ubscomercial@cejam.org.br
</t>
      </text>
    </comment>
    <comment authorId="67" xr:uid="{b37c699f-77a9-4205-a65d-531a1df8b914}" ref="B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@ubs.santalucia@cejam.org.br
Reply:
	Boa tarde! Este paciente é da UBS Jd Aracati e não tem vaga no SIGA.
</t>
      </text>
    </comment>
    <comment authorId="68" xr:uid="{b590f002-224e-4403-ac2a-ced194f24f74}" ref="B1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
</t>
      </text>
    </comment>
    <comment authorId="69" xr:uid="{b7210421-af76-4796-8cff-a45793fc75fe}" ref="B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@ubs.santalucia@cejam.org.br
Reply:
	Boa tarde! Este paciente é da UBS Jd Aracati e não tem vaga no SIGA.
</t>
      </text>
    </comment>
    <comment authorId="70" xr:uid="{b7aafe24-4351-4749-b2f5-a457c16068ea}" ref="B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@ubscomercial@cejam.org.br 
Conforme orientação essas vagas são destinadas ao DA M'BOI MIRIM, pedimos que o paciente seja remanejado para os dias que correspondem ao DA CAMPO LIMPO.
Atenciosamente,
Atribuído a ubscomercial@cejam.org.br
</t>
      </text>
    </comment>
    <comment authorId="71" xr:uid="{be0ebf56-b782-4910-89df-50ea7d57d6ff}" ref="B2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pacientes no siga @ubsmaraca@cejam.org.br
</t>
      </text>
    </comment>
    <comment authorId="72" xr:uid="{c160a926-c47a-4a68-8769-bc523b0ddd3e}" ref="B2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@ubsaracati@cejam.org.br
</t>
      </text>
    </comment>
    <comment authorId="73" xr:uid="{c24ad340-041e-4afb-b47b-686e6d1bc035}" ref="B1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@amaubspqfernanda@cejam.org.br
</t>
      </text>
    </comment>
    <comment authorId="74" xr:uid="{c3433bfe-729f-4430-ac5d-d4fa8b7db3b0}" ref="B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NA PLANILHA
@ubscomercial@cejam.org.br
Atribuído a ubscomercial@cejam.org.br
</t>
      </text>
    </comment>
    <comment authorId="75" xr:uid="{c3d6d185-16aa-4123-b30c-6011d1625b33}" ref="G2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Lançar paciente na planilha @amaubspqfernanda@cejam.org.br
</t>
      </text>
    </comment>
    <comment authorId="76" xr:uid="{c85f1f7a-19c7-4495-8fd5-d1e2a0fefff6}" ref="B2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@ubs.altodariviera@cejam.org.br
Reply:
	Prezada, agendamento cancelado
</t>
      </text>
    </comment>
    <comment authorId="77" xr:uid="{d2df3b74-580c-48a2-9cd4-85d3e4cf2901}" ref="B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
Conforme orientação essas vagas são destinadas ao DA M'BOI MIRIM, pedimos que o paciente seja remanejado para os dias que correspondem ao DA CAMPO LIMPO.
Atribuído a amaubspqfernanda@cejam.org.br
</t>
      </text>
    </comment>
    <comment authorId="78" xr:uid="{d31621ca-0b52-4f6b-9ba4-72ef1f912d9f}" ref="B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@ubsluardosertao@cejam.org.br
</t>
      </text>
    </comment>
    <comment authorId="79" xr:uid="{d4527984-9abe-44c5-a895-5a6905f613e3}" ref="B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VAGA NÃO DISPONIVEL NO SIGA @taciana.caciano@cejam.org.br FICO NO AGUARDO DA LIBERAÇÃO DO SIGA PARA O AGENDAMENTO
Reply:
	Prezados, conforme orientado via e-mail, não foi possível criar agenda na plataforma SIGA, seguindo assim o agendamento via planilha Google Drive. 
Atenciosamente.
</t>
      </text>
    </comment>
    <comment authorId="80" xr:uid="{d61c4c0c-f5a2-4066-89f4-898cead88aaf}" ref="B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@ubs.vilacalu@cejam.org.br conforme orientação essas vagas são destinadas ao DA CAMPO LIMPO, pedimos que o paciente seja remanejado para os dias que correspondem ao DA M'BOI MIRIM.
Atribuído a ubs.vilacalu@cejam.org.br
</t>
      </text>
    </comment>
    <comment authorId="81" xr:uid="{d6e981c1-a132-4953-a8f9-3890f97ef58b}" ref="B1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@ubseledy@cejam.org.br 
Conforme orientação essas vagas são destinadas ao DA M'BOI MIRIM, pedimos que o paciente seja remanejado para os dias que correspondem ao DA CAMPO LIMPO.
Atribuído a ubseledy@cejam.org.br
Reply:
	Boa tarde paciente retirada da planilha destinada ao MBOI MIRIM
</t>
      </text>
    </comment>
    <comment authorId="82" xr:uid="{d74131aa-55a6-40ad-b2b8-a17b2dc7c9cf}" ref="B1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 
Conforme orientação essas vagas são destinadas ao DA M'BOI MIRIM, pedimos que o paciente seja remanejado para os dias que correspondem ao DA CAMPO LIMPO.
Atribuído a amaubspqfernanda@cejam.org.br
</t>
      </text>
    </comment>
    <comment authorId="83" xr:uid="{e066f2b9-a5f4-43b6-9627-25e7346ae623}" ref="B2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@ubsveracruz@cejam.org.br por favor agendar no siga
Atribuído a ubsveracruz@cejam.org.br
</t>
      </text>
    </comment>
    <comment authorId="84" xr:uid="{e584b243-0489-4bc9-8d84-72f9a4fcf4a9}" ref="G1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
</t>
      </text>
    </comment>
    <comment authorId="85" xr:uid="{e5f5658e-4261-4db6-832f-35239eddafc5}" ref="B2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</t>
      </text>
    </comment>
    <comment authorId="86" xr:uid="{ed7404cd-f5fc-448d-9694-c1473fdd2080}" ref="B1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@ubs.jdcaicara@cejam.org.br
Reply:
	Pacientes inserido no siga.
</t>
      </text>
    </comment>
    <comment authorId="87" xr:uid="{efbbdf22-ad85-455a-a33e-365c6ec4b97c}" ref="B1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@ubseledy@cejam.org.br 
Conforme orientação essas vagas são destinadas ao DA M'BOI MIRIM, pedimos que o paciente seja remanejado para os dias que correspondem ao DA CAMPO LIMPO.
Atribuído a ubseledy@cejam.org.br
Reply:
	Boa tarde paciente retirada da planilha destinada ao MBOI MIRIM
</t>
      </text>
    </comment>
    <comment authorId="88" xr:uid="{f10de1ec-1640-41d7-b910-25364da2b7f4}" ref="B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@amaubspqfernanda@cejam.org.br 
Conforme orientação essas vagas são destinadas ao DA M'BOI MIRIM, pedimos que o paciente seja remanejado para os dias que correspondem ao DA CAMPO LIMPO.
Atenciosamente,
Atribuído a amaubspqfernanda@cejam.org.br
</t>
      </text>
    </comment>
    <comment authorId="89" xr:uid="{f1300b0d-c32a-47df-9c86-52a9c23b833a}" ref="B2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Atribuído a ubsjardimcapela@cejam.org.br
</t>
      </text>
    </comment>
    <comment authorId="90" xr:uid="{f20488aa-d99b-4e19-abfc-d5adcc3cc7ff}" ref="B1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@ubsaracati@cejam.org.br
</t>
      </text>
    </comment>
    <comment authorId="91" xr:uid="{f22cdb01-10db-45d8-b6c2-949ff663dfe8}" ref="A2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CAMPO LIMPO- CERTO?
</t>
      </text>
    </comment>
    <comment authorId="92" xr:uid="{f28921b9-bef7-4fbf-be1a-0f33c084053b}" ref="B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Reply:
	Feito!
</t>
      </text>
    </comment>
    <comment authorId="93" xr:uid="{f50ec452-69f1-42ae-a950-e672194541b1}" ref="B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@ubsaracati@cejam.org.br
</t>
      </text>
    </comment>
    <comment authorId="94" xr:uid="{f57bb6cd-da8f-46f2-99d6-5cb08e7a6f15}" ref="B1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@ubs.paranapanema@cejam.org.br
Atribuído a ubs.paranapanema@cejam.org.br
Reply:
	Paciente do dia 13/11 15:20 agendada.
</t>
      </text>
    </comment>
    <comment authorId="95" xr:uid="{f59850f9-cf94-46e0-a15a-74549142327b}" ref="B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Atribuído a ubssaobento@cejam.org.br
</t>
      </text>
    </comment>
    <comment authorId="96" xr:uid="{f72a8dfd-8d6e-47d3-9455-bade88e2d233}" ref="B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@ubsmagdalena@cejam.org.br Agendar paciente no siga
</t>
      </text>
    </comment>
    <comment authorId="97" xr:uid="{f91d9c1f-3861-400d-8a7e-b164981f29f4}" ref="B2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Atribuído a ubsmaraca@cejam.org.br
</t>
      </text>
    </comment>
    <comment authorId="98" xr:uid="{f9de7dfe-601a-4b07-9258-c7da7534c174}" ref="B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@ubs.vilacalu@cejam.org.br 
Conforme orientação essas vagas são destinadas ao DA CAMPO LIMPO, pedimos que o paciente seja remanejado para os dias que correspondem ao DA M'BOI MIRIM.
Atribuído a ubs.vilacalu@cejam.org.br
</t>
      </text>
    </comment>
    <comment authorId="99" xr:uid="{fb32752d-90b4-4eac-bc58-564a4a073dd1}" ref="B1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@ubsmaraca@cejam.org.br
Reply:
	FEITO
</t>
      </text>
    </comment>
    <comment authorId="100" xr:uid="{fb47ed8b-59fc-4540-9069-4757cc0e8e5d}" ref="B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@ubs.santalucia@cejam.org.br 
Conforme orientação essas vagas são destinadas ao DA CAMPO LIMPO, pedimos que o paciente seja remanejado para os dias que correspondem ao DA M'BOI MIRIM.
Atribuído a ubs.santalucia@cejam.org.br
</t>
      </text>
    </comment>
    <comment authorId="101" xr:uid="{fd6dde11-b588-4149-a7ce-f0c6df5adff9}" ref="B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vaga já está disponível no siga @ubsvalquiria@cejam.org.br
Atribuído a ubsvalquiria@cejam.org.br
</t>
      </text>
    </comment>
    <comment authorId="102" xr:uid="{fd6f9ba5-eeb0-4abc-83a8-31fa6ac4767f}" ref="B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agendar paciente no siga @ubsluardosertao@cejam.org.br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tc={05ee7518-8ddf-4b69-bb2e-be6ca0ba2ecf}</author>
  </authors>
  <commentList>
    <comment authorId="0" xr:uid="{05ee7518-8ddf-4b69-bb2e-be6ca0ba2ecf}" ref="G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Lançamento equivocado na UBS Aracati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tc={e5cc8919-f923-42b2-836d-62d82f306f4b}</author>
  </authors>
  <commentList>
    <comment authorId="0" xr:uid="{e5cc8919-f923-42b2-836d-62d82f306f4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CAMPO LIMPO- CERTO?
Reply:
	Não terá atendimento devido ao feriado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tc={8293c41f-7f58-458c-9b58-bad90a2e2c2b}</author>
  </authors>
  <commentList>
    <comment authorId="0" xr:uid="{8293c41f-7f58-458c-9b58-bad90a2e2c2b}" ref="L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[Threaded comment]
 Your version of Excel allows you to read this threaded comment; however, any edits to it will get removed if the file is opened in a newer version of Excel. Learn more: https://go.microsoft.com/fwlink/?linkid=870924
Comment:
	@ubseledy@cejam.org.br Prezados, favor inserir os pacientes que foram atendidos e não atendidos na coluna status
Atribuído a ubseledy@cejam.org.br
Reply:
	Realizado
Marcado como concluído
</t>
      </text>
    </comment>
  </commentList>
</comments>
</file>

<file path=xl/sharedStrings.xml><?xml version="1.0" encoding="utf-8"?>
<sst xmlns="http://schemas.openxmlformats.org/spreadsheetml/2006/main" count="17909" uniqueCount="4089">
  <si>
    <t>UBS</t>
  </si>
  <si>
    <t>DATA</t>
  </si>
  <si>
    <t>DIA DA SEMANA</t>
  </si>
  <si>
    <t>UNIDADE DE REFERÊNCIA</t>
  </si>
  <si>
    <t>MÉDICO CARDIOLOGISTA</t>
  </si>
  <si>
    <t>HORÁRIO</t>
  </si>
  <si>
    <t>Nº CARTÃO SUS</t>
  </si>
  <si>
    <t>NOME COMPLETO</t>
  </si>
  <si>
    <t>DATA DE NASCIMENTO</t>
  </si>
  <si>
    <t>ENDEREÇO DO USÚARIO</t>
  </si>
  <si>
    <t>1</t>
  </si>
  <si>
    <t>2</t>
  </si>
  <si>
    <t>3</t>
  </si>
  <si>
    <t>4</t>
  </si>
  <si>
    <t>5</t>
  </si>
  <si>
    <t>6</t>
  </si>
  <si>
    <t>7</t>
  </si>
  <si>
    <t>8</t>
  </si>
  <si>
    <t xml:space="preserve">Dra. Priscila Ferreira da Silva - DA M'BOI MIRIM </t>
  </si>
  <si>
    <t xml:space="preserve">CPF </t>
  </si>
  <si>
    <t xml:space="preserve">STATUS </t>
  </si>
  <si>
    <t>Telefone 1</t>
  </si>
  <si>
    <t>Telefone 2</t>
  </si>
  <si>
    <t>Dr Alice Peixoto - UBS Jardim Valquíria</t>
  </si>
  <si>
    <t>19/09/2025 08:00 ás 12:00</t>
  </si>
  <si>
    <t xml:space="preserve">Telefone </t>
  </si>
  <si>
    <t>Motivo da Falta</t>
  </si>
  <si>
    <t>Especificar- Outros</t>
  </si>
  <si>
    <t xml:space="preserve">Data do Contato </t>
  </si>
  <si>
    <t>Profissional Responsavel Pelo Contato</t>
  </si>
  <si>
    <t>Observações</t>
  </si>
  <si>
    <t>Sexta</t>
  </si>
  <si>
    <t>UBS Jardim Valquiria</t>
  </si>
  <si>
    <t>ALICE PEIXOTO DA SILVA LOBO</t>
  </si>
  <si>
    <t>LEONOR FERREIRA</t>
  </si>
  <si>
    <t>AVENIDA CARLOS LACERDA, 3073 CASA 3</t>
  </si>
  <si>
    <t>Não atendindo</t>
  </si>
  <si>
    <t>5826-7124</t>
  </si>
  <si>
    <t>Duplicidade de cadastro no E-Saúde, não foi possível o atendimento pelo App.</t>
  </si>
  <si>
    <t>ANTONIO BATISTA DE ALMEIDA</t>
  </si>
  <si>
    <t>TRAVESSA CARLOS KRUGGER,31</t>
  </si>
  <si>
    <t>Atendido</t>
  </si>
  <si>
    <t>99804-6089</t>
  </si>
  <si>
    <t>ROSINEI RAMOS PEREIRA</t>
  </si>
  <si>
    <t>RUA JOSE MAXIMO PINHEIRO DE LIMA 164</t>
  </si>
  <si>
    <t>94050-1807</t>
  </si>
  <si>
    <t>GERIVALDA FERREIRA DA SILVA</t>
  </si>
  <si>
    <t>RUA JOSE MAXIMO PINHEIRO  LIMA, 299 CS 1</t>
  </si>
  <si>
    <t>95682-2495</t>
  </si>
  <si>
    <t>AURELICE VIEIRA DOS SANTOS</t>
  </si>
  <si>
    <t>RUA GASTAO RAUL  BOUSQUET, 618 MORESP</t>
  </si>
  <si>
    <t>96611-9588</t>
  </si>
  <si>
    <t>Problema no App do E-saúde da paciente.</t>
  </si>
  <si>
    <t>MARIA APARECIDA RESENDE DE OLIVEIRA</t>
  </si>
  <si>
    <t>RUA ARMANDO MAS LEITE, 3 CASA 01</t>
  </si>
  <si>
    <t>98263-6452</t>
  </si>
  <si>
    <t>APARECIDO DE PAULA DA ENCARNACAO</t>
  </si>
  <si>
    <t>RUA DOUTOR GODOFREDO WILKEN, 4</t>
  </si>
  <si>
    <t>96015-7027</t>
  </si>
  <si>
    <t>MAURA PEREIRA DA SILVA</t>
  </si>
  <si>
    <t>RUA DOUTOR GODOFREDO WILKEN, 12 CASA 2</t>
  </si>
  <si>
    <t>94829-3504</t>
  </si>
  <si>
    <t>Recusa de atendimento pela médica da tele.</t>
  </si>
  <si>
    <t>Dr Jessika Tolentino</t>
  </si>
  <si>
    <t>13/10/2025  08h às 12h</t>
  </si>
  <si>
    <t>UBS Jardim Comercial</t>
  </si>
  <si>
    <t xml:space="preserve">Segunda </t>
  </si>
  <si>
    <t xml:space="preserve">VERA LUCIA FONSECA
</t>
  </si>
  <si>
    <t xml:space="preserve">(11) 979700176
</t>
  </si>
  <si>
    <t>UBS Jardim Paranapanema</t>
  </si>
  <si>
    <t>ANDREA DE SOUSA NETO</t>
  </si>
  <si>
    <t>(11)933377895</t>
  </si>
  <si>
    <t>UBS Jardim Eledy</t>
  </si>
  <si>
    <t>FRANCISCO ALMIRTON DOS SANTOS SOUSA</t>
  </si>
  <si>
    <t xml:space="preserve">MANOEL SEVERINO DA SILVA
</t>
  </si>
  <si>
    <t xml:space="preserve">(11) 959604212
</t>
  </si>
  <si>
    <t>AUDINETE FELIX DE AZEVEDO</t>
  </si>
  <si>
    <t>(11)914548821</t>
  </si>
  <si>
    <t>ADAILSON DOS SANTOS BRITO</t>
  </si>
  <si>
    <t>Paciente nao estva na residencia no horario agendado</t>
  </si>
  <si>
    <t>Gilda Gomes de Freitas</t>
  </si>
  <si>
    <t xml:space="preserve">MAURA VIEIRA
</t>
  </si>
  <si>
    <t xml:space="preserve">(11) 998898421
</t>
  </si>
  <si>
    <t>OSMAR LACERDA DA SILVA</t>
  </si>
  <si>
    <t>99712 2855</t>
  </si>
  <si>
    <t>9</t>
  </si>
  <si>
    <t>ANTONIO DE PADUA MEDEIROS SILVA JUNIOR</t>
  </si>
  <si>
    <t>10</t>
  </si>
  <si>
    <t>MARIA DA GLORIA DE JESUS</t>
  </si>
  <si>
    <t>99780 9675</t>
  </si>
  <si>
    <t>11</t>
  </si>
  <si>
    <t>ANTONIA PEREIRA DE SOUSA</t>
  </si>
  <si>
    <t>(11)968105723</t>
  </si>
  <si>
    <t>12</t>
  </si>
  <si>
    <t>ANTONIA BORGES DA PAIXAO</t>
  </si>
  <si>
    <t>98518 4536</t>
  </si>
  <si>
    <t xml:space="preserve">Dr Camila Queiroga da Silveira </t>
  </si>
  <si>
    <t>13/10/2025  13h às 17h</t>
  </si>
  <si>
    <t>UBS Parque Novo Santo Amaro</t>
  </si>
  <si>
    <t>VANDALVA OLIVEIRA AMORIM</t>
  </si>
  <si>
    <t>ANTONIO JOSE DA SILVA</t>
  </si>
  <si>
    <t xml:space="preserve">(11) 986453576
</t>
  </si>
  <si>
    <t>UBS Cidade Ipava</t>
  </si>
  <si>
    <t>MIRANILDA FERREIRA DA SILVA</t>
  </si>
  <si>
    <t>MARIA DE JESUS GOMES DE LIMA</t>
  </si>
  <si>
    <t>(11) 965632067</t>
  </si>
  <si>
    <t>JOSE FERREIRA DOS SANTOS</t>
  </si>
  <si>
    <t xml:space="preserve">MARIA ROSALIA DOS SANTOS BROETTO
</t>
  </si>
  <si>
    <t xml:space="preserve">(11) 959582568
</t>
  </si>
  <si>
    <t>Ama/UBS Jardim Capela</t>
  </si>
  <si>
    <t xml:space="preserve">CONCEICAO APARECIDA FRONZI	</t>
  </si>
  <si>
    <t>VAGA LIVRE</t>
  </si>
  <si>
    <t xml:space="preserve">VAGA LIVRE </t>
  </si>
  <si>
    <t xml:space="preserve">MANOEL BARBOSA DE MOURA
</t>
  </si>
  <si>
    <t xml:space="preserve">(11) 985143240
</t>
  </si>
  <si>
    <t xml:space="preserve">CANCELADOS </t>
  </si>
  <si>
    <t>THAMIRES SANTOS DA SILVA</t>
  </si>
  <si>
    <t>(11) 957077605</t>
  </si>
  <si>
    <t>MARIA APARECIDA DIAS ALVES</t>
  </si>
  <si>
    <t>(11) 96812-9936</t>
  </si>
  <si>
    <t>Dr Viviane Lima</t>
  </si>
  <si>
    <t>14/10/2025    08h às 12h</t>
  </si>
  <si>
    <t xml:space="preserve">Terça </t>
  </si>
  <si>
    <t>WANTUIL JACINTO FERREIRA</t>
  </si>
  <si>
    <t>Paciente com a conexão de internet instavel</t>
  </si>
  <si>
    <t>MARIA APARECIDA CAMPANHOLI</t>
  </si>
  <si>
    <t xml:space="preserve">(11) 977110366
</t>
  </si>
  <si>
    <t>LUCINEIA MEIRA DO NASCIMENTO</t>
  </si>
  <si>
    <t>96631 3909</t>
  </si>
  <si>
    <t xml:space="preserve">SEBASTIANA APARECIDA VIEIRA DA SILVA
</t>
  </si>
  <si>
    <t xml:space="preserve">(11) 949477527
</t>
  </si>
  <si>
    <t>RITA MARIA PATRICIA DOS SANTOS</t>
  </si>
  <si>
    <t>ROSILDA FERREIRA DA SILVA NERI</t>
  </si>
  <si>
    <t xml:space="preserve">(11) 982432790
</t>
  </si>
  <si>
    <t>RAIMUNDO NONATO LIRA DE SOUSA</t>
  </si>
  <si>
    <t>Dr Verá Lucia Pereira</t>
  </si>
  <si>
    <t>15/10/2025 13h às 17h</t>
  </si>
  <si>
    <t xml:space="preserve">Quarta  </t>
  </si>
  <si>
    <t>NELSON WILLIAM DE OLIVEIRA</t>
  </si>
  <si>
    <t>(11)   981238627</t>
  </si>
  <si>
    <t>AMADEU DA SILVA MOREIRA</t>
  </si>
  <si>
    <t>(11) 953308436</t>
  </si>
  <si>
    <t>WILLIAM SANTOS OLIVEIRA</t>
  </si>
  <si>
    <t>(11)957220863</t>
  </si>
  <si>
    <t>JOSEFA MARIA DOS SANTOS</t>
  </si>
  <si>
    <t>(11) 9996-53045</t>
  </si>
  <si>
    <t>Devido a atrasos dos atendimentos anteriores</t>
  </si>
  <si>
    <t>Larissa Marcela</t>
  </si>
  <si>
    <t>Paciente foi atendida por outra profissional - Dra Priscila Ferreira Silva</t>
  </si>
  <si>
    <t xml:space="preserve">MANOEL MESSIAS ALBUQUERQUE SANTANA
</t>
  </si>
  <si>
    <t xml:space="preserve">(11) 984873729
</t>
  </si>
  <si>
    <t xml:space="preserve">JOSE EDIPO DA SILVA
</t>
  </si>
  <si>
    <t xml:space="preserve">(11) 995296855
</t>
  </si>
  <si>
    <t xml:space="preserve">  </t>
  </si>
  <si>
    <t>Dr Camila Queiroga da Silveira</t>
  </si>
  <si>
    <t>15/10/2025 08h às 12h</t>
  </si>
  <si>
    <t xml:space="preserve">VANIA APARECIDA CESARIO
</t>
  </si>
  <si>
    <t>(11) 994457269</t>
  </si>
  <si>
    <t>NATALINA INACIA DOS SANTOS</t>
  </si>
  <si>
    <t>(11)98518 4536</t>
  </si>
  <si>
    <t xml:space="preserve">VANDA MARIA DE CARVALHO ALVES
</t>
  </si>
  <si>
    <t>(11) 999023032</t>
  </si>
  <si>
    <t>ANA MARTA DE SOUZA BORGES</t>
  </si>
  <si>
    <t>11 94829 3504</t>
  </si>
  <si>
    <t>CANCELO</t>
  </si>
  <si>
    <t>PACIENTE INTERNADO</t>
  </si>
  <si>
    <t>ELIENE MARTINS SANTOS</t>
  </si>
  <si>
    <t>VALMIZA FERREIRA DA SILVA</t>
  </si>
  <si>
    <t>1195856 0016</t>
  </si>
  <si>
    <t>Dra° Priscila Ferreira Da Silva</t>
  </si>
  <si>
    <t>20/10/2025  08h às 12h</t>
  </si>
  <si>
    <t xml:space="preserve">Cancelada </t>
  </si>
  <si>
    <t xml:space="preserve">Cancelado </t>
  </si>
  <si>
    <t xml:space="preserve">706006334967340
</t>
  </si>
  <si>
    <t xml:space="preserve">JOVELINA NERES TEIXEIRA PEREIRA
</t>
  </si>
  <si>
    <t xml:space="preserve">201152331420009
</t>
  </si>
  <si>
    <t xml:space="preserve">MARIA DE LURDES DO NASCIMENTO
</t>
  </si>
  <si>
    <t xml:space="preserve">VAGA BLOQUEADA </t>
  </si>
  <si>
    <t xml:space="preserve"> </t>
  </si>
  <si>
    <t>20/10/2025 13h às 17h</t>
  </si>
  <si>
    <t>Vagas livres</t>
  </si>
  <si>
    <t xml:space="preserve">ANTONIO JORGE RODRIGUES CALHEIROS </t>
  </si>
  <si>
    <t xml:space="preserve">Atendido </t>
  </si>
  <si>
    <t>DAYANA PEREIRA SERAFIM</t>
  </si>
  <si>
    <t>(11)941850499</t>
  </si>
  <si>
    <t>JOAO DE SOUZA BATISTA</t>
  </si>
  <si>
    <t>GERALDA MARIA NICOMEDES RODRIGUES</t>
  </si>
  <si>
    <t>(11)946338852</t>
  </si>
  <si>
    <t>UBs Parque Novo Santo Amaro</t>
  </si>
  <si>
    <t>MARY AMORIM PEREIRA 01,02,44</t>
  </si>
  <si>
    <t>NORBELIA GOMES DOS SANTOS</t>
  </si>
  <si>
    <t>21/10/2025    08h às 12h</t>
  </si>
  <si>
    <t>UBS JARDIM SANTA MARGARIDA</t>
  </si>
  <si>
    <t>EVELLIN LOURDES LEAO RODRIGUES SANTOS</t>
  </si>
  <si>
    <t xml:space="preserve">Não atendido </t>
  </si>
  <si>
    <t xml:space="preserve"> 99725-9580</t>
  </si>
  <si>
    <t>problema no aplicativo</t>
  </si>
  <si>
    <t>UBS Jardim Valquíria</t>
  </si>
  <si>
    <t>JOSENILDO ANTONIO BARBOSA</t>
  </si>
  <si>
    <t>95231 2507</t>
  </si>
  <si>
    <t>Falha na conexção de internet</t>
  </si>
  <si>
    <t>UBS Luar do Sertão</t>
  </si>
  <si>
    <t>JOAQUIM SOARES DA SILVA</t>
  </si>
  <si>
    <t>(11) 962539144</t>
  </si>
  <si>
    <t>ORISVALDO CONSTANCIO DE MACEDO</t>
  </si>
  <si>
    <t>94970 3995</t>
  </si>
  <si>
    <t>Paciente saiu para o trabalho</t>
  </si>
  <si>
    <t>BRASILIA LIMA DOS REIS</t>
  </si>
  <si>
    <t>(11)981695921</t>
  </si>
  <si>
    <t>GIZEULDA MARIA DA SILVA</t>
  </si>
  <si>
    <t xml:space="preserve">Dra°  Vera Lucia Pereira Gardner - Agenda remanejada para dia 24/10 </t>
  </si>
  <si>
    <t>22/10/2025 13h às 17h</t>
  </si>
  <si>
    <t xml:space="preserve">Remanejada </t>
  </si>
  <si>
    <t>UBS PQ FERNANDA</t>
  </si>
  <si>
    <t>GISLENE PEREIRA DOS REIS</t>
  </si>
  <si>
    <t>11 963709014</t>
  </si>
  <si>
    <t>UBS Jardim Germânia</t>
  </si>
  <si>
    <t xml:space="preserve">NILZA FROTTA DOS SANTOS	</t>
  </si>
  <si>
    <t>(11) 995098006</t>
  </si>
  <si>
    <t>UBS JARDIM MARACA</t>
  </si>
  <si>
    <t>JOSE GERALDO MENDES</t>
  </si>
  <si>
    <t>(11) 998746134</t>
  </si>
  <si>
    <t>MARIA KANAE MORAES ROSA</t>
  </si>
  <si>
    <t>(11) 963673329</t>
  </si>
  <si>
    <t>ROSILENE MARIA DE ALMEIDA</t>
  </si>
  <si>
    <t>11 979593566</t>
  </si>
  <si>
    <t>OTIVA FERRAZ BARBOSA</t>
  </si>
  <si>
    <t>(11) 58738945</t>
  </si>
  <si>
    <t>22/10/2025 08h às 12h</t>
  </si>
  <si>
    <t>UBS Santa Lúcia</t>
  </si>
  <si>
    <t>MARIA DAS GRACAS LUCIANO - 03.05</t>
  </si>
  <si>
    <t>Não foi possivel logar, foram na casa do paciente mas não deu para atender devido demora.</t>
  </si>
  <si>
    <t>Ubs Jardim São Bento</t>
  </si>
  <si>
    <t xml:space="preserve">JOSEFA TEIXEIRA DE BARROS </t>
  </si>
  <si>
    <t xml:space="preserve">UBS ALTO DA RIVIERA </t>
  </si>
  <si>
    <t>MARIA CRISTINA BISPO CARDOZO</t>
  </si>
  <si>
    <t>FRANCISCA ELIEUDA DOS SANTOS</t>
  </si>
  <si>
    <t>(11)   948062255</t>
  </si>
  <si>
    <t>UBS Jardim Guarujá</t>
  </si>
  <si>
    <t>DERALDO DIAS DOS SANTOS</t>
  </si>
  <si>
    <t>UBS Guarujá</t>
  </si>
  <si>
    <t>JULIVAL REBOUCAS</t>
  </si>
  <si>
    <t xml:space="preserve">UBS Jardim Macedonia </t>
  </si>
  <si>
    <t>SOLANGE FIGUEIREDO DE SOUZA</t>
  </si>
  <si>
    <t>Dra°Camila Queiroga da Silveira   - Agenda remanejada do dia  22/10/2025</t>
  </si>
  <si>
    <t>24/10/2025 13h às 17h</t>
  </si>
  <si>
    <t xml:space="preserve">UBS Horizonte Azul </t>
  </si>
  <si>
    <t>LETICIA DOS SANTOS ARRUDA SILVA</t>
  </si>
  <si>
    <t>(11) 9301-43736</t>
  </si>
  <si>
    <t xml:space="preserve">Ubs Jardim Mecedonia </t>
  </si>
  <si>
    <t>JAILSON BARBOSA DUTRA</t>
  </si>
  <si>
    <t>AMA/UBS Jardim Capela</t>
  </si>
  <si>
    <t>JOSE DA ROCHA MARTINS</t>
  </si>
  <si>
    <t>(11)983308259</t>
  </si>
  <si>
    <t>CRISTIANE APARECIDA PEIXOTO</t>
  </si>
  <si>
    <t>(11) 965623574</t>
  </si>
  <si>
    <t xml:space="preserve">RIZOMAR FERREIRA DA COSTA </t>
  </si>
  <si>
    <t>(11)948443125</t>
  </si>
  <si>
    <t>UBS VILA CALU</t>
  </si>
  <si>
    <t>MARIA SENHORA ACIOLE DA SILVA</t>
  </si>
  <si>
    <t>(11) 998153643</t>
  </si>
  <si>
    <t>Dra° Viviane Lima Deitch</t>
  </si>
  <si>
    <t>28/10/2025    08h às 12h</t>
  </si>
  <si>
    <t>UBS PARQUE DO ENGENHO II</t>
  </si>
  <si>
    <t>MARIA PEREIRA DOS SANTOS</t>
  </si>
  <si>
    <t>(11) 9871-31034</t>
  </si>
  <si>
    <t xml:space="preserve">JOANA DARC DE CASTRO
</t>
  </si>
  <si>
    <t>(11) 96774-4759</t>
  </si>
  <si>
    <t xml:space="preserve">UBS ALTO RIVEIRA </t>
  </si>
  <si>
    <t>MARIA SANTOS DE SANTANA</t>
  </si>
  <si>
    <t>UBS Jardim Capela</t>
  </si>
  <si>
    <t>ONILSON CAIRES FREITAS</t>
  </si>
  <si>
    <t>(11)946429707</t>
  </si>
  <si>
    <t>UBS SANTA LUCIA</t>
  </si>
  <si>
    <t>MARIA EDUARDA DE SOUZA ALVES</t>
  </si>
  <si>
    <t>UBS JARDIM ELEDY</t>
  </si>
  <si>
    <t>LURDINETE BARBOSA DA SILVA</t>
  </si>
  <si>
    <t>UBS Jardim Herculano</t>
  </si>
  <si>
    <t>CICERA FARIAS DE JESUS FERREIRA</t>
  </si>
  <si>
    <t>(11) 97139-5652</t>
  </si>
  <si>
    <t>UBS JARDIM MACEDONIA</t>
  </si>
  <si>
    <t xml:space="preserve">ELIANE CARDOSO HABIA DA SILVA </t>
  </si>
  <si>
    <t>09/091987</t>
  </si>
  <si>
    <t>TAIS SILVA PEREIRA</t>
  </si>
  <si>
    <t>Dra°  Priscila Ferreira</t>
  </si>
  <si>
    <t>29/10/2025 13h às 17h</t>
  </si>
  <si>
    <t>UBS MARACA</t>
  </si>
  <si>
    <t>08001170934</t>
  </si>
  <si>
    <t>JOSE VIEIRA DANTAS</t>
  </si>
  <si>
    <t>(11) 989163263</t>
  </si>
  <si>
    <t>UBS Jardim Magdalena</t>
  </si>
  <si>
    <t>34481546875</t>
  </si>
  <si>
    <t>MARIZETE MOURA DA CONCEICAO</t>
  </si>
  <si>
    <t>(11) 9827-69774</t>
  </si>
  <si>
    <t>AMA UBS PARQUE FERNANDA</t>
  </si>
  <si>
    <t>25731809801</t>
  </si>
  <si>
    <t>VLADIMIR ROGERIO OLIVEIRA</t>
  </si>
  <si>
    <t>11 964469581</t>
  </si>
  <si>
    <t>Siga Ok</t>
  </si>
  <si>
    <t>94731756804</t>
  </si>
  <si>
    <t>ANTONIO BRANDAO DE MELO</t>
  </si>
  <si>
    <t>11 951417288</t>
  </si>
  <si>
    <t>04207338845</t>
  </si>
  <si>
    <t>EDITH DE FREITAS ROZA</t>
  </si>
  <si>
    <t>(11) 930079600</t>
  </si>
  <si>
    <t>UBS Jardim Aracati</t>
  </si>
  <si>
    <t>64966704553</t>
  </si>
  <si>
    <t>ELOISIA SANTANA DA SILVA</t>
  </si>
  <si>
    <t xml:space="preserve">(11) 972507596 </t>
  </si>
  <si>
    <t>Preencher Siga</t>
  </si>
  <si>
    <t>27591672835</t>
  </si>
  <si>
    <t xml:space="preserve">MARTA PEREIRA DA SILVA        </t>
  </si>
  <si>
    <t>11 997772782</t>
  </si>
  <si>
    <t>UBS jardim macedonia</t>
  </si>
  <si>
    <t>24876007802</t>
  </si>
  <si>
    <t>RITA DE CASSIA SANTOS LIMA</t>
  </si>
  <si>
    <t>11 988547465</t>
  </si>
  <si>
    <t xml:space="preserve">AMA/UBS Jardim Capela </t>
  </si>
  <si>
    <t>MANOEL GONCALVES DA SILVA</t>
  </si>
  <si>
    <t>(11)973608369</t>
  </si>
  <si>
    <t>Famíliar desistiu do atendimento</t>
  </si>
  <si>
    <t>Estamos em conferência de um paciente elegível para substituir a vaga</t>
  </si>
  <si>
    <t>29/10/2025 08h às 12h</t>
  </si>
  <si>
    <t>UBS JARDIM PARANAPANEMA</t>
  </si>
  <si>
    <t>MARIA JOSE RIBEIRO CHAVES</t>
  </si>
  <si>
    <t>(11)954783948</t>
  </si>
  <si>
    <t>APP do paciente não conectou (internet normal mas não teve conctividade no app)</t>
  </si>
  <si>
    <t xml:space="preserve">JOAQUIM MORAIS SODRE </t>
  </si>
  <si>
    <t>(11)932427505</t>
  </si>
  <si>
    <t xml:space="preserve">UBS Jardim São Bento </t>
  </si>
  <si>
    <t>TERESA CAIRES GOUVEIA</t>
  </si>
  <si>
    <t>(11)953689487</t>
  </si>
  <si>
    <t>UBS VERA CRUZ</t>
  </si>
  <si>
    <t>DIVANIA COSTA</t>
  </si>
  <si>
    <t>(11)984685567</t>
  </si>
  <si>
    <t xml:space="preserve">TEREZA RIBEIRO	</t>
  </si>
  <si>
    <t>(11)949222683</t>
  </si>
  <si>
    <t>Paciente  mesmo após orientações, assinatura do termo não estava em casa</t>
  </si>
  <si>
    <t>FRANCISCA MARIA PRUDENCIO</t>
  </si>
  <si>
    <t>11 999563170</t>
  </si>
  <si>
    <t>UBS JARDIM HERCULANO</t>
  </si>
  <si>
    <t>MARIA DE LOURDES</t>
  </si>
  <si>
    <t>(11) 963054805</t>
  </si>
  <si>
    <t>JOSE ARNALDO DE SOUZA</t>
  </si>
  <si>
    <t>11 991996963</t>
  </si>
  <si>
    <t>Siga OK</t>
  </si>
  <si>
    <t>Dra° Barbara Cavalheiro Lopes - AMA/UBS Jardim Capela</t>
  </si>
  <si>
    <t>17/09/2025   08:00 ás 12:00</t>
  </si>
  <si>
    <t>Quarta</t>
  </si>
  <si>
    <t>Barbara Cavalheiro Locks</t>
  </si>
  <si>
    <t>DOMINGAS DA SILVA SANTOS</t>
  </si>
  <si>
    <t>RUA BARAO DE PAIVA MANSO, 783</t>
  </si>
  <si>
    <t>(11) 98496-8867</t>
  </si>
  <si>
    <t>ELIAS PEREIRA DOS SANTOS</t>
  </si>
  <si>
    <t>JOELMA SOUZA MOREIRA</t>
  </si>
  <si>
    <t>RUA BARAO DE PAIVA MANSO, 392</t>
  </si>
  <si>
    <t>(11) 97397-5008</t>
  </si>
  <si>
    <t>JOSEFA MIGUEL DA SILVA SOUSA NASCIMENTO</t>
  </si>
  <si>
    <t>RUA BARAO DE PAIVA MANSO, 2</t>
  </si>
  <si>
    <t>(11) 94157-1637</t>
  </si>
  <si>
    <t>NEUSA DE FREITAS DOS SANTOS</t>
  </si>
  <si>
    <t>RUA JOSÉ ROBERTO SALES, 87</t>
  </si>
  <si>
    <t>(11) 5895-8764</t>
  </si>
  <si>
    <t>CONCEICAO APARECIDA FRONZI</t>
  </si>
  <si>
    <t>RUA JOSÉ ROBERTO SALES, 65</t>
  </si>
  <si>
    <t>(11) 5895-6608</t>
  </si>
  <si>
    <t>Essa paciente apesar de estar corretamente cadastrada no ESaude e aguardando a profissional, não foi atendida porque a médica informou que não consegui visualizar a paciente no sistema.</t>
  </si>
  <si>
    <t>RUA JOSE GOES, 217</t>
  </si>
  <si>
    <t>Devido o atraso durante os atendientos, a profissional informou que não iria atender os dois últimos pacientes. Solicitou que os mesmos fossem remarcados.</t>
  </si>
  <si>
    <t>RUA JOSE GOES, 410</t>
  </si>
  <si>
    <t>(11) 99855-5252</t>
  </si>
  <si>
    <t xml:space="preserve">Dra Jessika Tolentino  </t>
  </si>
  <si>
    <t>13/09/2025 08:00 ás 12:00</t>
  </si>
  <si>
    <t xml:space="preserve">Dra Camila Queiroga </t>
  </si>
  <si>
    <t>13/09/2025 13:00 ás 17:00</t>
  </si>
  <si>
    <t>Dra Viviane Lima</t>
  </si>
  <si>
    <t>14/09/2025 08:00 ás 12:00</t>
  </si>
  <si>
    <t>Dra° Camila Queiroga da Silveira - DA CAMPO LIMPO</t>
  </si>
  <si>
    <t>03/11/2025 13h às 17h</t>
  </si>
  <si>
    <t>UBS JARDIM MACEDÔNIA</t>
  </si>
  <si>
    <t>SEGUNDA</t>
  </si>
  <si>
    <t>37292820263</t>
  </si>
  <si>
    <t>ELIENE DO SOCORRO CARVALHO TAVARES</t>
  </si>
  <si>
    <t>(11) 9489-55523</t>
  </si>
  <si>
    <t>(11) 9784-59304</t>
  </si>
  <si>
    <t>Agendar paciente do siga na planilha</t>
  </si>
  <si>
    <t>Consolidado</t>
  </si>
  <si>
    <t>DA - Campo Limpo - 03/11</t>
  </si>
  <si>
    <t>UBS JARDIM MARACÁ</t>
  </si>
  <si>
    <t>04800356873</t>
  </si>
  <si>
    <t xml:space="preserve">MARIA DAS DORES FERREIRA DE OLIVEIRA </t>
  </si>
  <si>
    <t>(11) 9514-00158</t>
  </si>
  <si>
    <t>(11) 5825-4300</t>
  </si>
  <si>
    <t>SIGA fora do ar (31/10)</t>
  </si>
  <si>
    <t>UBS JARDIM VALQUÍRIA</t>
  </si>
  <si>
    <t>9220171821</t>
  </si>
  <si>
    <t>DELMINDA MARIA DO NASCIMENTO</t>
  </si>
  <si>
    <t>11 958607104</t>
  </si>
  <si>
    <t>UBS JARDIM MAGDALENA</t>
  </si>
  <si>
    <t>10036647845</t>
  </si>
  <si>
    <t>MARIA DO CARMO DOS SANTOS</t>
  </si>
  <si>
    <t>11 912389102</t>
  </si>
  <si>
    <t>Agendar paciente no siga</t>
  </si>
  <si>
    <t>03073756841</t>
  </si>
  <si>
    <t xml:space="preserve">ERNESTINA GORETTI DA SILVA </t>
  </si>
  <si>
    <t>(11) 9847-55160</t>
  </si>
  <si>
    <t>44872416856</t>
  </si>
  <si>
    <t>SOPHIA DUARTE GOMES</t>
  </si>
  <si>
    <t>(11) 9510-13752</t>
  </si>
  <si>
    <t>(11) 9533-22224</t>
  </si>
  <si>
    <t>04701286826</t>
  </si>
  <si>
    <t xml:space="preserve">LAUDISA PEREIRA ROCHA </t>
  </si>
  <si>
    <t>(11) 9491-15407</t>
  </si>
  <si>
    <t>(11) 9899-20516</t>
  </si>
  <si>
    <t>15715975816</t>
  </si>
  <si>
    <t>SILVIA SUSI POIT RODRIGUES DA SILVA</t>
  </si>
  <si>
    <t>(11) 9830-59294</t>
  </si>
  <si>
    <t>25576921828</t>
  </si>
  <si>
    <t>ANA MARIA PIRES MAROTTA</t>
  </si>
  <si>
    <t>(11)967583302</t>
  </si>
  <si>
    <t>(11)58740648</t>
  </si>
  <si>
    <t>26481064805</t>
  </si>
  <si>
    <t>JOSE ALVES DE SOUZA</t>
  </si>
  <si>
    <t>(11)979761600</t>
  </si>
  <si>
    <t>85841366815</t>
  </si>
  <si>
    <t>AMADO MALAQUIAS</t>
  </si>
  <si>
    <t xml:space="preserve">Dr Priscila Ferreira da Silva - DA M'BOI MIRIM  - Agendamento apenas no drive </t>
  </si>
  <si>
    <t>05/11/2025 13h às 17h</t>
  </si>
  <si>
    <t xml:space="preserve">UBS SANTA LUCIA </t>
  </si>
  <si>
    <t>QUARTA</t>
  </si>
  <si>
    <t>37999357898</t>
  </si>
  <si>
    <t xml:space="preserve">JAILANE DA CRUZ SILVA 02.04 </t>
  </si>
  <si>
    <t>UBS JARDIM CAPELA</t>
  </si>
  <si>
    <t>00702483893</t>
  </si>
  <si>
    <t>JOSÉ MARCOLINO DA SILVA</t>
  </si>
  <si>
    <t>DA - M'Boi - 05/11</t>
  </si>
  <si>
    <t>04245895837</t>
  </si>
  <si>
    <t xml:space="preserve">MARIA DAS GRACAS LUCIANO - 03.05 </t>
  </si>
  <si>
    <t>Bloqueada</t>
  </si>
  <si>
    <t>85783153834</t>
  </si>
  <si>
    <t>JUSCELINO DIAS LIMA</t>
  </si>
  <si>
    <t>agendado no siga</t>
  </si>
  <si>
    <t>UBS ALTO DA RIVIERA</t>
  </si>
  <si>
    <t>37681484833</t>
  </si>
  <si>
    <t xml:space="preserve">ANA PAULA RIBEIRO FERNANDES </t>
  </si>
  <si>
    <t>10685780848</t>
  </si>
  <si>
    <t xml:space="preserve">MARIA IVANI PEREIRA </t>
  </si>
  <si>
    <t>UBS CIDADE IPAVA</t>
  </si>
  <si>
    <t>01378438876</t>
  </si>
  <si>
    <t>LIONORA DA SILVA SOUZA</t>
  </si>
  <si>
    <t>13044822866</t>
  </si>
  <si>
    <t xml:space="preserve">APARECIDA DAS GRACAS MORAES CORREIA </t>
  </si>
  <si>
    <t>02972471660</t>
  </si>
  <si>
    <t>VERCINA GONCALVES DESOUSA RODRIGUES</t>
  </si>
  <si>
    <t>agendado no siga,</t>
  </si>
  <si>
    <t>Dr Camila Queiroga da Silveira - DA CAMPO LIMPO</t>
  </si>
  <si>
    <t>05/11/2025 08h às 12h</t>
  </si>
  <si>
    <t>UBS JARDIM SÃO BENTO</t>
  </si>
  <si>
    <t>16490468808</t>
  </si>
  <si>
    <t xml:space="preserve"> MARIA MOREIRA PEREIRA </t>
  </si>
  <si>
    <t>DA - Campo Limpo - 05/11</t>
  </si>
  <si>
    <t>34084937827</t>
  </si>
  <si>
    <t xml:space="preserve"> 	MARIA DE FATIMA MAGRI </t>
  </si>
  <si>
    <t xml:space="preserve">UBS JARDIM GUARUJA </t>
  </si>
  <si>
    <t>47809876791</t>
  </si>
  <si>
    <t>(11) 9693-06161</t>
  </si>
  <si>
    <t xml:space="preserve">UBS MACEDONIA </t>
  </si>
  <si>
    <t>85725706834</t>
  </si>
  <si>
    <t xml:space="preserve">ANTONIO JUVINIANO DE LIMA </t>
  </si>
  <si>
    <t>24/08/1653</t>
  </si>
  <si>
    <t>03147813827</t>
  </si>
  <si>
    <t>LOURDES SANTOS</t>
  </si>
  <si>
    <t>(11) 982411437</t>
  </si>
  <si>
    <t>22336095300</t>
  </si>
  <si>
    <t>JOSE PEREIRA FARIAS</t>
  </si>
  <si>
    <t>11984512681/11958320411</t>
  </si>
  <si>
    <t>31620082802</t>
  </si>
  <si>
    <t>08434440881</t>
  </si>
  <si>
    <t>(11) 9969-77755</t>
  </si>
  <si>
    <t xml:space="preserve">Dr Priscila Ferreira da Silva - DA M'BOI MIRIM - Agendamento apenas no drive </t>
  </si>
  <si>
    <t>06/11/2025 13h às 17h</t>
  </si>
  <si>
    <t>QUINTA</t>
  </si>
  <si>
    <t>16492581865</t>
  </si>
  <si>
    <t xml:space="preserve">(11)954783948 </t>
  </si>
  <si>
    <t>18464450869</t>
  </si>
  <si>
    <t>MARIA CELMA LUCAS (AGUARDO LIBERAR A VAGA NO SIGA)</t>
  </si>
  <si>
    <t>(11) 962892614</t>
  </si>
  <si>
    <t>(11) 968259508</t>
  </si>
  <si>
    <t>DA - Campo Limpo - 06/11</t>
  </si>
  <si>
    <t xml:space="preserve">UBS JARDIM CAPELA </t>
  </si>
  <si>
    <t>39881528895</t>
  </si>
  <si>
    <t>BRASILINA MARIA DE JESUS GONCALVES</t>
  </si>
  <si>
    <t>UBS JARDIM COIMBRA</t>
  </si>
  <si>
    <t>8444874817</t>
  </si>
  <si>
    <t>PAULO JOSE GABRIEL</t>
  </si>
  <si>
    <t>2290981850</t>
  </si>
  <si>
    <t>ADALGIZA MIRANDA DOS SANTOS</t>
  </si>
  <si>
    <t>27842676879</t>
  </si>
  <si>
    <t>ILZA SANTOS DE SOUZA ((AGUARDO LIBERAR A VAGA NO SIGA)</t>
  </si>
  <si>
    <t>(11) 992406438</t>
  </si>
  <si>
    <t>(11) 966135761</t>
  </si>
  <si>
    <t>743284844</t>
  </si>
  <si>
    <t>DIRCE RAMOS MUNHOES</t>
  </si>
  <si>
    <t>953888843 / 974841075</t>
  </si>
  <si>
    <t>02954286865</t>
  </si>
  <si>
    <t xml:space="preserve">GILVAN CLOVIS DE OLIVEIRA
</t>
  </si>
  <si>
    <t>(11) 963590131</t>
  </si>
  <si>
    <t>17215430820</t>
  </si>
  <si>
    <t>ADAO RODRIGUES DE MELO</t>
  </si>
  <si>
    <t xml:space="preserve"> (11)   958323095</t>
  </si>
  <si>
    <t>42238544968</t>
  </si>
  <si>
    <t>JOEDIR DE FARIA SILVA</t>
  </si>
  <si>
    <t xml:space="preserve">  (11)   952157080
</t>
  </si>
  <si>
    <t>97564907568</t>
  </si>
  <si>
    <t>CARLOS MAGNO DOS SANTOS</t>
  </si>
  <si>
    <t xml:space="preserve">  (11)   982118456</t>
  </si>
  <si>
    <t>07/11/2025 13h às 17h</t>
  </si>
  <si>
    <t>SEXTA</t>
  </si>
  <si>
    <t>11599531801</t>
  </si>
  <si>
    <t>11 987753724</t>
  </si>
  <si>
    <t>SIGA OK</t>
  </si>
  <si>
    <t>DA - Campo Limpo - 07/11</t>
  </si>
  <si>
    <t>00901744450</t>
  </si>
  <si>
    <t>GENILDA MATA DE ALMEIDA</t>
  </si>
  <si>
    <t>65160410406</t>
  </si>
  <si>
    <t>ERINALDO FERREIRA DA SILVA</t>
  </si>
  <si>
    <t>UBS JARDIM GERMANIA</t>
  </si>
  <si>
    <t>91103940872</t>
  </si>
  <si>
    <t>REGINA FAILLA GOUVEA</t>
  </si>
  <si>
    <t>(11) 953016963</t>
  </si>
  <si>
    <t>6452564803</t>
  </si>
  <si>
    <t xml:space="preserve">MANOEL MESSIAS ALBUQUERQUE SANTANA	</t>
  </si>
  <si>
    <t>(11) 977980585</t>
  </si>
  <si>
    <t>(11) 984873729</t>
  </si>
  <si>
    <t>8873820883</t>
  </si>
  <si>
    <t xml:space="preserve">EFIGENIA CAMILA BERNARDO
</t>
  </si>
  <si>
    <t>(11)944441126</t>
  </si>
  <si>
    <t>(11)980221352</t>
  </si>
  <si>
    <t>11325947822</t>
  </si>
  <si>
    <t>DALVA DIAS DE QUEIROZ</t>
  </si>
  <si>
    <t>7411711802</t>
  </si>
  <si>
    <t>ROSILDA SEVERINA GONÇALVES</t>
  </si>
  <si>
    <t>(11) 9867-32731</t>
  </si>
  <si>
    <t>31963461886</t>
  </si>
  <si>
    <t>TEREZINHA BATISTA VITORIO ALVES</t>
  </si>
  <si>
    <t>(11) 951935370</t>
  </si>
  <si>
    <t>8839125892</t>
  </si>
  <si>
    <t>VERA LUCIA MAGALHÃES</t>
  </si>
  <si>
    <t>11 988557620</t>
  </si>
  <si>
    <t>10/11/2025 13h às 17h</t>
  </si>
  <si>
    <t>14425982800</t>
  </si>
  <si>
    <t>ELIZABETH FERNANDES DE AQUINO</t>
  </si>
  <si>
    <t>UBS JARDIM GUARUJÁ</t>
  </si>
  <si>
    <t>26942330582</t>
  </si>
  <si>
    <t>ELIAS MATOS DOS SANTOS</t>
  </si>
  <si>
    <t>99812-1775</t>
  </si>
  <si>
    <t>DA - Campo Limpo - 10/11</t>
  </si>
  <si>
    <t>00366018884</t>
  </si>
  <si>
    <t>MANOEL ALVES DOS SANTOS</t>
  </si>
  <si>
    <t>37653606865</t>
  </si>
  <si>
    <t>HELENA ALVES DOS SANTOS</t>
  </si>
  <si>
    <t>UBS MACEDONIA</t>
  </si>
  <si>
    <t>07908082858</t>
  </si>
  <si>
    <t xml:space="preserve">MAURO BERNARDINO DA SILVA </t>
  </si>
  <si>
    <t>UBS JD COMERCIAL</t>
  </si>
  <si>
    <t>20520436830</t>
  </si>
  <si>
    <t xml:space="preserve">MARIA APARECIDA PEREIRA SANTOS </t>
  </si>
  <si>
    <t>(11) 949041441</t>
  </si>
  <si>
    <t>(11) 982037549</t>
  </si>
  <si>
    <t>UBS JD MAGDALENA</t>
  </si>
  <si>
    <t>22845271832</t>
  </si>
  <si>
    <t>VANUSA DE AGUIAR CATANHO</t>
  </si>
  <si>
    <t xml:space="preserve">UBS JD COMERCIAL </t>
  </si>
  <si>
    <t>23800223805</t>
  </si>
  <si>
    <t xml:space="preserve">ALESSANDRO CARLOS SILVA DA PURIFICAÇÃO </t>
  </si>
  <si>
    <t>(11) 964270547</t>
  </si>
  <si>
    <t xml:space="preserve">SIGA OK </t>
  </si>
  <si>
    <t>BLOQUEADA</t>
  </si>
  <si>
    <t>Dr Priscila Ferreira da Silva - DA M'BOI MIRIM</t>
  </si>
  <si>
    <t>11/11/2025 13h às 17h</t>
  </si>
  <si>
    <t>TERÇA</t>
  </si>
  <si>
    <t>16623863893</t>
  </si>
  <si>
    <t xml:space="preserve">MAURA PEREIRA RIBEIRO - SIGA OK </t>
  </si>
  <si>
    <t>44291870884</t>
  </si>
  <si>
    <t>DA - Campo Limpo - 11/11</t>
  </si>
  <si>
    <t>68549563404</t>
  </si>
  <si>
    <t>MARIA IVONETE SEVERO DA SILVA</t>
  </si>
  <si>
    <t>UBS JARDIM ARACATI</t>
  </si>
  <si>
    <t>28673952832</t>
  </si>
  <si>
    <t>EDVALDO RAMALHO PAIVA</t>
  </si>
  <si>
    <t>(11) 9812-91581</t>
  </si>
  <si>
    <t>32186366800</t>
  </si>
  <si>
    <t>SARA CRISTINA DE ALMEIDA</t>
  </si>
  <si>
    <t>33808229810</t>
  </si>
  <si>
    <t xml:space="preserve">BERNOVALDO BISPO DA SILVA  ( SIGA OK) </t>
  </si>
  <si>
    <t>UBS Horizonte Azul</t>
  </si>
  <si>
    <t>15377932846</t>
  </si>
  <si>
    <t>RAIMUNDO LEITE DA SILVA</t>
  </si>
  <si>
    <t>(11) 946325449</t>
  </si>
  <si>
    <t>(11) 952693269</t>
  </si>
  <si>
    <t>05941896832</t>
  </si>
  <si>
    <t>MARIA INEZ PEREIRA</t>
  </si>
  <si>
    <t xml:space="preserve">(11) 949427749 </t>
  </si>
  <si>
    <t>23270150814</t>
  </si>
  <si>
    <r>
      <rPr>
        <rFont val="Calibri"/>
        <color rgb="FF000000"/>
        <sz val="11.0"/>
      </rPr>
      <t xml:space="preserve">MARIA CARVALHO DE SOUZA ALVES 05.06 </t>
    </r>
    <r>
      <rPr>
        <rFont val="Calibri"/>
        <b/>
        <color rgb="FF000000"/>
        <sz val="11.0"/>
      </rPr>
      <t>siga ok</t>
    </r>
  </si>
  <si>
    <t>79039243891</t>
  </si>
  <si>
    <t>FRANCISCO LOURENCO DA SILVA</t>
  </si>
  <si>
    <t>(11) 9812-25719</t>
  </si>
  <si>
    <t xml:space="preserve">BLOQUEADA SIGA </t>
  </si>
  <si>
    <t>12/11/2025 08h às 12h</t>
  </si>
  <si>
    <t>DA - Campo Limpo - 12/11</t>
  </si>
  <si>
    <t>33258481415</t>
  </si>
  <si>
    <t>LUIZ GALDENCIO ALVES</t>
  </si>
  <si>
    <t>(11) 98720-6322</t>
  </si>
  <si>
    <t>UBJ JARDIM SÃO BENTO</t>
  </si>
  <si>
    <t>04149782504</t>
  </si>
  <si>
    <t>EDSON SILVA DE CARVALHO</t>
  </si>
  <si>
    <t>(11)983959650</t>
  </si>
  <si>
    <t xml:space="preserve">UBS LUAR DO SERTAO </t>
  </si>
  <si>
    <t>05405162876</t>
  </si>
  <si>
    <t>PAULO FELIPE DA ROCHA</t>
  </si>
  <si>
    <t>(11) 959347518</t>
  </si>
  <si>
    <t>UBS LUAR DO SERTAO</t>
  </si>
  <si>
    <t>02201270856</t>
  </si>
  <si>
    <t>MARIA DE FATIMA DE OLIVEIRA PEREIRA</t>
  </si>
  <si>
    <t>(11) 952926215</t>
  </si>
  <si>
    <t>27725152814</t>
  </si>
  <si>
    <t>IVONEIDE GOMES DA SILVA</t>
  </si>
  <si>
    <t>96867-2669</t>
  </si>
  <si>
    <t>67461255720</t>
  </si>
  <si>
    <t>GENILTON DURVAL AMORIM</t>
  </si>
  <si>
    <t>11 979994350</t>
  </si>
  <si>
    <t>19106917801</t>
  </si>
  <si>
    <t xml:space="preserve">SANDRA REGINA PEREIRA DA SILVA </t>
  </si>
  <si>
    <t>13/11/2025 13h às 17h</t>
  </si>
  <si>
    <t>UBS JARDIM CAIÇARA</t>
  </si>
  <si>
    <t>49511524879</t>
  </si>
  <si>
    <t>MARIA CELIA ALMEIDA MENDES</t>
  </si>
  <si>
    <t>(11) 9992-35763</t>
  </si>
  <si>
    <t>26386844220</t>
  </si>
  <si>
    <t xml:space="preserve">MARIA DA CONSOLACAO DA SILVA SANTOS </t>
  </si>
  <si>
    <t>DA - Campo Limpo - 13/11</t>
  </si>
  <si>
    <t>29145708568</t>
  </si>
  <si>
    <t xml:space="preserve">ALBERTO SOUZA DE JESUS </t>
  </si>
  <si>
    <t>11 950572931</t>
  </si>
  <si>
    <t>11 911505037</t>
  </si>
  <si>
    <t>3652348850</t>
  </si>
  <si>
    <t xml:space="preserve">JOSE PEDRO CARDOSO - </t>
  </si>
  <si>
    <t>(11)952472465</t>
  </si>
  <si>
    <t>(11)984211067</t>
  </si>
  <si>
    <t>58155694534</t>
  </si>
  <si>
    <t xml:space="preserve">MARIA DO CARMO DOS SANTOS SILVA </t>
  </si>
  <si>
    <t>11 940896518</t>
  </si>
  <si>
    <t>11 966597844</t>
  </si>
  <si>
    <t>37205075807</t>
  </si>
  <si>
    <t xml:space="preserve">ANELIZE FERREIRA DA SILVA  </t>
  </si>
  <si>
    <t>76674568449</t>
  </si>
  <si>
    <t>MARIA JOSE SOARES DE LIMA</t>
  </si>
  <si>
    <t>87730480468</t>
  </si>
  <si>
    <t>MARIA LOURDES DA PAZ</t>
  </si>
  <si>
    <t>(11)967150075</t>
  </si>
  <si>
    <t>05146368821</t>
  </si>
  <si>
    <r>
      <rPr>
        <rFont val="Calibri"/>
        <color theme="1"/>
        <sz val="11.0"/>
      </rPr>
      <t xml:space="preserve">ALAIDE JOANA DE JESUS 04.03 </t>
    </r>
    <r>
      <rPr>
        <rFont val="Calibri"/>
        <b/>
        <color theme="1"/>
        <sz val="11.0"/>
      </rPr>
      <t>siga ok</t>
    </r>
  </si>
  <si>
    <t>14/11/2025 13h às 17h</t>
  </si>
  <si>
    <t>06049237670</t>
  </si>
  <si>
    <t>MARIA DAS GRACAS ALVES DA SILVA</t>
  </si>
  <si>
    <t>11 	940587033</t>
  </si>
  <si>
    <t>UBS JARDIM VALQUIRIA</t>
  </si>
  <si>
    <t>41174413883</t>
  </si>
  <si>
    <t>JOSEFA TAVARES DO NASCIMENTO</t>
  </si>
  <si>
    <t>DA - Campo Limpo - 14/11</t>
  </si>
  <si>
    <t>03522666860</t>
  </si>
  <si>
    <t xml:space="preserve">MARIA LUCIA MARINHO </t>
  </si>
  <si>
    <t>(11) 9666-33830</t>
  </si>
  <si>
    <t>27679764549</t>
  </si>
  <si>
    <t>VALDEMAR DA SILVA SANTOS</t>
  </si>
  <si>
    <t>(11) 964678704</t>
  </si>
  <si>
    <t>02346169897</t>
  </si>
  <si>
    <t>EUFRASIO ALEXANDRE DA SILVA</t>
  </si>
  <si>
    <t>10690195850</t>
  </si>
  <si>
    <t>ANTONIO SOARES MARTINS</t>
  </si>
  <si>
    <t>(11) 971208183</t>
  </si>
  <si>
    <t>UBS JD GERMÂNIA</t>
  </si>
  <si>
    <t>33705550500</t>
  </si>
  <si>
    <t xml:space="preserve">EUGENIA FERREIRA DOS SANTOS	</t>
  </si>
  <si>
    <t>37745349850</t>
  </si>
  <si>
    <t>ELMITA FRANCISCA DE OLIVEIRA</t>
  </si>
  <si>
    <t>(11) 9546-22602</t>
  </si>
  <si>
    <t>paciente quer remarca</t>
  </si>
  <si>
    <t>16620065864</t>
  </si>
  <si>
    <t xml:space="preserve">MARIA VITALINA DOS SANTOS	</t>
  </si>
  <si>
    <t>(11) 9491-62431</t>
  </si>
  <si>
    <t>17/11/2025 13h às 17h</t>
  </si>
  <si>
    <t>08671899837</t>
  </si>
  <si>
    <t>MARCO ANTONIO NASCIMENTO TELES</t>
  </si>
  <si>
    <t>(11) 9485-32759</t>
  </si>
  <si>
    <t>paciente desistiu</t>
  </si>
  <si>
    <t>1532117385</t>
  </si>
  <si>
    <t>ODETE CONCEICAO FERNANDES</t>
  </si>
  <si>
    <t>(11) 967865336</t>
  </si>
  <si>
    <t>DA - Campo Limpo - 17/11</t>
  </si>
  <si>
    <t>35468378353</t>
  </si>
  <si>
    <t>MARIA APARECIDA DE FRANCA SILVA</t>
  </si>
  <si>
    <t>(11) 9695-87955</t>
  </si>
  <si>
    <t>UBS JARDIM GERMÂNIA</t>
  </si>
  <si>
    <t>WILSON GONCALVES DE BARROS JUNIOR</t>
  </si>
  <si>
    <t>11 985894799</t>
  </si>
  <si>
    <t xml:space="preserve">UBS Jd MACEDONIA </t>
  </si>
  <si>
    <t>12903359822</t>
  </si>
  <si>
    <t>MANOEL ALVES DA SILVA NETO</t>
  </si>
  <si>
    <t>14760734813</t>
  </si>
  <si>
    <t>ADELZA ROSA DOS SANTOS LEANDRO</t>
  </si>
  <si>
    <t>(11) 9835-11028</t>
  </si>
  <si>
    <t>(11) 5872-4308</t>
  </si>
  <si>
    <t>MARIA INACIO DA SILVA</t>
  </si>
  <si>
    <t>11 971680423</t>
  </si>
  <si>
    <t>11 940282591</t>
  </si>
  <si>
    <t xml:space="preserve">UBS JD COMERCIA </t>
  </si>
  <si>
    <t>1245222472025</t>
  </si>
  <si>
    <t xml:space="preserve">MARIA JUCILENE DA SILVA </t>
  </si>
  <si>
    <t>(11) 9826-50275</t>
  </si>
  <si>
    <t>33365534822</t>
  </si>
  <si>
    <t>ANDREIA BOAVENTURA ROSSAFA</t>
  </si>
  <si>
    <t>(11) 9844-97705</t>
  </si>
  <si>
    <t>11893107833</t>
  </si>
  <si>
    <t>MANOEL SEVERINO DA SILVA</t>
  </si>
  <si>
    <t>(11) 959604212</t>
  </si>
  <si>
    <t>18/11/2025 13h às 17h</t>
  </si>
  <si>
    <t>27831205500</t>
  </si>
  <si>
    <t xml:space="preserve">MARIA DE FATIMA SOUZA RAMOS        </t>
  </si>
  <si>
    <t>57184046820</t>
  </si>
  <si>
    <t xml:space="preserve">ALFEU HENRIQUE - SIGA OK </t>
  </si>
  <si>
    <t>(11)979548680</t>
  </si>
  <si>
    <t>DA - Campo Limpo - 18/11</t>
  </si>
  <si>
    <t>UBS JD CAIÇARA</t>
  </si>
  <si>
    <t>12806093899</t>
  </si>
  <si>
    <t>AGUSTINHA GONCALVES SILVA</t>
  </si>
  <si>
    <t xml:space="preserve">UBS JARDIM ARACATI </t>
  </si>
  <si>
    <t>05058761831</t>
  </si>
  <si>
    <t>MANOEL DA SILVA MARTINS</t>
  </si>
  <si>
    <t>(11) 9833-42291</t>
  </si>
  <si>
    <t>MARIA EDUARDA BARBOSA DOS REIS</t>
  </si>
  <si>
    <t>01011619806</t>
  </si>
  <si>
    <r>
      <rPr>
        <rFont val="Calibri"/>
        <color rgb="FF000000"/>
        <sz val="11.0"/>
      </rPr>
      <t>NOELIA RODRIGUES SANTOS 05.02</t>
    </r>
    <r>
      <rPr>
        <rFont val="Calibri"/>
        <b/>
        <color rgb="FF000000"/>
        <sz val="11.0"/>
      </rPr>
      <t xml:space="preserve"> siga ok</t>
    </r>
  </si>
  <si>
    <t>53731980304</t>
  </si>
  <si>
    <t>MARIA DE FATIMA COSTA DOS SANTOS</t>
  </si>
  <si>
    <t xml:space="preserve">(11) 959503008
</t>
  </si>
  <si>
    <t>02753931860</t>
  </si>
  <si>
    <r>
      <rPr>
        <rFont val="Calibri"/>
        <color rgb="FF000000"/>
        <sz val="11.0"/>
      </rPr>
      <t>RENATO REINALDO ONGARATTO 01.05</t>
    </r>
    <r>
      <rPr>
        <rFont val="Calibri"/>
        <b/>
        <color rgb="FF000000"/>
        <sz val="11.0"/>
      </rPr>
      <t xml:space="preserve"> siga ok</t>
    </r>
  </si>
  <si>
    <t xml:space="preserve">UBS ALTO DA RIVIEIRA </t>
  </si>
  <si>
    <t>08873571808</t>
  </si>
  <si>
    <t xml:space="preserve">ANGELA MARCIA DE JESUS SILVA OLIVEIRA        </t>
  </si>
  <si>
    <t xml:space="preserve">UBS VERA CRUZ </t>
  </si>
  <si>
    <t>04221422807</t>
  </si>
  <si>
    <t>CLAUDIONEI PEREIRA DA SILVA</t>
  </si>
  <si>
    <t>(11) 917790084</t>
  </si>
  <si>
    <t>19/11/2025 08h às 12h</t>
  </si>
  <si>
    <t>UBS Jardim Maracá</t>
  </si>
  <si>
    <t>08747346817</t>
  </si>
  <si>
    <t xml:space="preserve"> SANDRA REGINA GARCIA </t>
  </si>
  <si>
    <t xml:space="preserve">11 	991763382 </t>
  </si>
  <si>
    <t>25923365839</t>
  </si>
  <si>
    <t>MARIA FERNANDA SILVA DE ARAUJO</t>
  </si>
  <si>
    <t>DA - Campo Limpo - 19/11</t>
  </si>
  <si>
    <t>04802220880</t>
  </si>
  <si>
    <t xml:space="preserve"> DEVALDO FREIRES DA SILVA </t>
  </si>
  <si>
    <t xml:space="preserve">11 	958989073 </t>
  </si>
  <si>
    <t>04030780830</t>
  </si>
  <si>
    <t>ROSENEI BOMJARDIM BRAGA DE OLIVEIRA</t>
  </si>
  <si>
    <t>75014440720</t>
  </si>
  <si>
    <t>CARMEN LUCIA MARTINS</t>
  </si>
  <si>
    <t>66817455804</t>
  </si>
  <si>
    <t>MARIA DA GLORIA MATOS</t>
  </si>
  <si>
    <t>15370145873</t>
  </si>
  <si>
    <t xml:space="preserve"> CLAUDETE APARECIDA SALES ARAUJO </t>
  </si>
  <si>
    <t xml:space="preserve">11 	58342998 </t>
  </si>
  <si>
    <t>13553146826</t>
  </si>
  <si>
    <t xml:space="preserve"> SERGIO DE LAIA SILVA </t>
  </si>
  <si>
    <t xml:space="preserve">11 	951285443 </t>
  </si>
  <si>
    <t>31992758859</t>
  </si>
  <si>
    <t>VERALUCIA SANTOS DO ROSARIO</t>
  </si>
  <si>
    <t>15369556806</t>
  </si>
  <si>
    <t>DALVA FELIX DOS REIS</t>
  </si>
  <si>
    <t>21853858870</t>
  </si>
  <si>
    <t>GILBERTO DOS SANTOS</t>
  </si>
  <si>
    <t>28158232841</t>
  </si>
  <si>
    <t>MARIA DE LOURDES MACHADO</t>
  </si>
  <si>
    <t>9 67369400</t>
  </si>
  <si>
    <t>24/11/2025 13h às 17h</t>
  </si>
  <si>
    <t xml:space="preserve">UBS JD MACEDONIA </t>
  </si>
  <si>
    <t>MARIA ROSANGELA DO NASCIMENTO</t>
  </si>
  <si>
    <t>BENEDITA MARIA DA CONCEICAO</t>
  </si>
  <si>
    <t>LAURA FERREIRA DA CUNHA</t>
  </si>
  <si>
    <t>TEREZINHA MARTINS TABORDA</t>
  </si>
  <si>
    <t xml:space="preserve">   </t>
  </si>
  <si>
    <t>ROBERTO GOMES DE LIMA</t>
  </si>
  <si>
    <t>00777025574</t>
  </si>
  <si>
    <t>GILVANETE SANTOS PINHEIRO DE OLIVEIRA</t>
  </si>
  <si>
    <t>25/11/2025 13h às 17h</t>
  </si>
  <si>
    <t>LUCILIA ALVES DE SOUZA COSTA 07.04 siga ok</t>
  </si>
  <si>
    <t>CINTIA CAMARGO DOS SANTOS</t>
  </si>
  <si>
    <t>(11) 9872-02674</t>
  </si>
  <si>
    <t xml:space="preserve">FRANCISCA DA SILVA        </t>
  </si>
  <si>
    <t>(11) 988056670</t>
  </si>
  <si>
    <t>(11) 930194306</t>
  </si>
  <si>
    <t>ADRIANA JOSE DA SILVA</t>
  </si>
  <si>
    <t>MARIA APARECIDA DA SILVA</t>
  </si>
  <si>
    <t>11 993681811</t>
  </si>
  <si>
    <t>SEVERINO CABRAL DE SOUZA</t>
  </si>
  <si>
    <t>(11) 980940047</t>
  </si>
  <si>
    <t>(11)  966700334</t>
  </si>
  <si>
    <t>CECILIA DELFINA DA SILVA</t>
  </si>
  <si>
    <t>IZABEL CRISTINA DA SILVA GAMA</t>
  </si>
  <si>
    <t>(11) 9823-81102</t>
  </si>
  <si>
    <t>FRANCISCO AVELINO DA SILVA</t>
  </si>
  <si>
    <t xml:space="preserve">(11)980880592 </t>
  </si>
  <si>
    <t xml:space="preserve">LUIZ CARLOS DO AMOR DIVINO (SIGA OK) </t>
  </si>
  <si>
    <t>26/11/2025 08h às 12h</t>
  </si>
  <si>
    <t>Ubs Jardim Maracá</t>
  </si>
  <si>
    <t>IRIA SILVA DE OLIVEIRA</t>
  </si>
  <si>
    <t>11 987119557</t>
  </si>
  <si>
    <t>UBS Jardim São Bento</t>
  </si>
  <si>
    <t>NATAL MARTINS FERREIRA</t>
  </si>
  <si>
    <t>DARCILENE CARDOSO ABBRUZZESE</t>
  </si>
  <si>
    <t>11 971260170</t>
  </si>
  <si>
    <t>ADALICE ALVES DE BARROS SANTANA</t>
  </si>
  <si>
    <t>(11)968157755</t>
  </si>
  <si>
    <t>CLAUDIO DOS SANTOS COSTA</t>
  </si>
  <si>
    <t>11 953551130</t>
  </si>
  <si>
    <t>11  948539322</t>
  </si>
  <si>
    <t>SUNAMITA OLIVEIRA DA SILVA SANTOS</t>
  </si>
  <si>
    <t>11 953914284</t>
  </si>
  <si>
    <t>19 49494156</t>
  </si>
  <si>
    <t xml:space="preserve"> BENIGNO SIMONE NETO </t>
  </si>
  <si>
    <t xml:space="preserve">11 	58726490 </t>
  </si>
  <si>
    <t xml:space="preserve">11 	947681382 </t>
  </si>
  <si>
    <t xml:space="preserve"> JOSEFA ROSA BARBOSA DA SILVA </t>
  </si>
  <si>
    <t xml:space="preserve">11 	958262666 </t>
  </si>
  <si>
    <t xml:space="preserve">11	58922682 </t>
  </si>
  <si>
    <t xml:space="preserve"> MARIA DA GLORIA MATOS </t>
  </si>
  <si>
    <t xml:space="preserve">11	991256065 </t>
  </si>
  <si>
    <t xml:space="preserve"> SANDRA REGINA DE SIQUEIRA </t>
  </si>
  <si>
    <t xml:space="preserve">11 	984158548 </t>
  </si>
  <si>
    <t xml:space="preserve">11 	997833552 </t>
  </si>
  <si>
    <t xml:space="preserve"> MARIA DA GLORIA TEIXEIRA DE ALMEIDA </t>
  </si>
  <si>
    <t xml:space="preserve">11	989713348 </t>
  </si>
  <si>
    <t xml:space="preserve">11 	58734648 </t>
  </si>
  <si>
    <t xml:space="preserve"> DAMIANA VICENTE DO NASCIMENTO </t>
  </si>
  <si>
    <t xml:space="preserve">11 	994180842 </t>
  </si>
  <si>
    <t xml:space="preserve">11 	58723180 </t>
  </si>
  <si>
    <t>Dr Priscila Ferreira da Silva DA M'BOI MIRIM</t>
  </si>
  <si>
    <t>27/11/2025 13h às 17h</t>
  </si>
  <si>
    <t>JOSE ALVES DE OLIVEIRA 02.02 siga ok</t>
  </si>
  <si>
    <t>ROBSON MARTINS DOS SANTOS</t>
  </si>
  <si>
    <t xml:space="preserve"> 97075-4568</t>
  </si>
  <si>
    <t>UBS HORIZONTE AZUL</t>
  </si>
  <si>
    <t>CAIO ROBERTO MOURA GONCALVES</t>
  </si>
  <si>
    <t>SEBASTIANA MADALENA DE JESUS</t>
  </si>
  <si>
    <t>JOSE FRANCISCO NERES DA CONCEICAO</t>
  </si>
  <si>
    <t>(11)958086516</t>
  </si>
  <si>
    <t xml:space="preserve">UBS VALQUIRIA </t>
  </si>
  <si>
    <t>FERNANDA DAMIAO DA COSTA (SIGA OK)</t>
  </si>
  <si>
    <t>(11)940455463</t>
  </si>
  <si>
    <t>MARINALVA SILVA DOS SANTOS ( SIGA OK)</t>
  </si>
  <si>
    <t>ELIANA ALVES CARRIJO</t>
  </si>
  <si>
    <t>(11) 9921-28942</t>
  </si>
  <si>
    <t>CENTRAL DE TELEASSISTÊNCIA</t>
  </si>
  <si>
    <t>LUAN SANTOS OLIVEIRA( motorista)</t>
  </si>
  <si>
    <t>(11) 99235-2761</t>
  </si>
  <si>
    <t>UBS CAIÇARA</t>
  </si>
  <si>
    <t>CONCEICAO FERNANDES COUTINHO</t>
  </si>
  <si>
    <t>(11) 9722-03891</t>
  </si>
  <si>
    <t>Dr Camila Queiroga da Silveira  DA CAMPO LIMPO</t>
  </si>
  <si>
    <t>28/11/2025 13h às 17h</t>
  </si>
  <si>
    <t xml:space="preserve"> CESAR GRAVATA DA SILVA </t>
  </si>
  <si>
    <t xml:space="preserve">11 	949149278 </t>
  </si>
  <si>
    <t xml:space="preserve"> MARIZETE DE CARVALHO LOPES FERREIRA </t>
  </si>
  <si>
    <t xml:space="preserve">11 	983283252 </t>
  </si>
  <si>
    <t xml:space="preserve"> MAURINEY NASCIMENTO DE MORAIS </t>
  </si>
  <si>
    <t xml:space="preserve">11 	950176047 </t>
  </si>
  <si>
    <t xml:space="preserve"> WAGNER VIEIRA ROCHA </t>
  </si>
  <si>
    <t xml:space="preserve">11 	989892014 </t>
  </si>
  <si>
    <t xml:space="preserve">UBS JD GERMÂNIA </t>
  </si>
  <si>
    <t xml:space="preserve">SONIA REGINA PRADO MIQUELINO	</t>
  </si>
  <si>
    <t>(11) 9972-78675</t>
  </si>
  <si>
    <t xml:space="preserve"> JOSEFA MARIA DE SOUZA BARBOSA </t>
  </si>
  <si>
    <t xml:space="preserve">11 	980870651 </t>
  </si>
  <si>
    <t xml:space="preserve">ANTONIO JOAO DE LIMA	</t>
  </si>
  <si>
    <t>(11) 9531-04463</t>
  </si>
  <si>
    <t xml:space="preserve"> JOSE APARECIDO PIRES </t>
  </si>
  <si>
    <t xml:space="preserve">11 	916100969 </t>
  </si>
  <si>
    <t xml:space="preserve"> MARIA DOS REIS PEREIRA MORAES </t>
  </si>
  <si>
    <t xml:space="preserve">75    992087577 </t>
  </si>
  <si>
    <t xml:space="preserve">11 	958637074 </t>
  </si>
  <si>
    <t xml:space="preserve"> MONICA DE JESUS RIVAL </t>
  </si>
  <si>
    <t xml:space="preserve">11 	982143611 </t>
  </si>
  <si>
    <t xml:space="preserve">11 	964590895 </t>
  </si>
  <si>
    <t xml:space="preserve">UBS JARDIM COMERCIAL </t>
  </si>
  <si>
    <t xml:space="preserve"> MARIA DAS GRACAS PEREIRA DA SILVA </t>
  </si>
  <si>
    <t xml:space="preserve">11 	958670338 </t>
  </si>
  <si>
    <t>01/12/2025 13h às 17h - Segunda</t>
  </si>
  <si>
    <t xml:space="preserve">Dr Priscila Ferreira da Silva - DA M'BOI MIRIM </t>
  </si>
  <si>
    <t>02/12/2025 13h às 17h- Terça</t>
  </si>
  <si>
    <t xml:space="preserve">AMA UBS JARDIM CAPELA
</t>
  </si>
  <si>
    <t>25836569886</t>
  </si>
  <si>
    <t xml:space="preserve">MARIA MARTINS ROCHA
</t>
  </si>
  <si>
    <t>(11) 9877-21663</t>
  </si>
  <si>
    <t>(11) 5517-1169</t>
  </si>
  <si>
    <t>25035340821</t>
  </si>
  <si>
    <t xml:space="preserve"> ADAELSON SILVA ESTEVES  </t>
  </si>
  <si>
    <t>Paciente retirado so sistema</t>
  </si>
  <si>
    <t>24825328687</t>
  </si>
  <si>
    <t xml:space="preserve"> MARIA DA CONCEICAO BATISTA QUEIROZ  </t>
  </si>
  <si>
    <t>(11) 9651-22910</t>
  </si>
  <si>
    <t>(11) 9173-18086</t>
  </si>
  <si>
    <t>03918979857</t>
  </si>
  <si>
    <t xml:space="preserve">MARIA VALDELICE DOS SANTOS ARAUJO  </t>
  </si>
  <si>
    <t>(11) 9621-99448</t>
  </si>
  <si>
    <t>85780863849</t>
  </si>
  <si>
    <t xml:space="preserve"> LUIZ ALVES DE SOUSA  </t>
  </si>
  <si>
    <t>(11) 9712-66379</t>
  </si>
  <si>
    <t>08831902814</t>
  </si>
  <si>
    <t>MARINALVA SOUZA DE JESUS</t>
  </si>
  <si>
    <t>(11) 9814-26192</t>
  </si>
  <si>
    <t>00434253642</t>
  </si>
  <si>
    <t>ILMA CORDEIRO PEREIRA</t>
  </si>
  <si>
    <t>(11) 9608-51669</t>
  </si>
  <si>
    <t>03/12/2025 08h às 12h</t>
  </si>
  <si>
    <t>UBS JARDIM COMERCIAL</t>
  </si>
  <si>
    <t>00026084805</t>
  </si>
  <si>
    <t>MARIVALDA DE JESUS NASCIMENTO (OK)</t>
  </si>
  <si>
    <t xml:space="preserve">(11) 968749860
</t>
  </si>
  <si>
    <t>(11) 58212025</t>
  </si>
  <si>
    <t>13518370871</t>
  </si>
  <si>
    <t>AURYLEIDE GOMES DE LIMA (OK)</t>
  </si>
  <si>
    <t>11 984041993</t>
  </si>
  <si>
    <t>UBS LUAR DO SERTÃO</t>
  </si>
  <si>
    <t>08887278873</t>
  </si>
  <si>
    <t>ALZIRA DE ARAUJO SANTOS</t>
  </si>
  <si>
    <t>52595560891</t>
  </si>
  <si>
    <t>LUIZA MARIA DIAS DE TOLEDO (OK)</t>
  </si>
  <si>
    <t xml:space="preserve">(11) 994536735
</t>
  </si>
  <si>
    <t>15320625839</t>
  </si>
  <si>
    <t>MARIA MADALENA DA SILVA</t>
  </si>
  <si>
    <t>01115637800</t>
  </si>
  <si>
    <t xml:space="preserve">APARECIDA MARIA DOS SANTOS	</t>
  </si>
  <si>
    <t>(11) 972399184</t>
  </si>
  <si>
    <t>(11) 971451518</t>
  </si>
  <si>
    <t>15794929839</t>
  </si>
  <si>
    <t>MARLENE BORGES</t>
  </si>
  <si>
    <t>23344235800</t>
  </si>
  <si>
    <t>MARIA APARECIDA DA SILVA (OK)</t>
  </si>
  <si>
    <t xml:space="preserve"> (11) 985315187</t>
  </si>
  <si>
    <t>21588875830</t>
  </si>
  <si>
    <t>MARIA DA GLORIA OLIVEIRA SANTOS LIMA</t>
  </si>
  <si>
    <t>33508048888</t>
  </si>
  <si>
    <t>MICHELLE MATOS ARAUJO</t>
  </si>
  <si>
    <t>05/12/2025 13h às 17h</t>
  </si>
  <si>
    <t xml:space="preserve">	UBS CIDADE IPAVA</t>
  </si>
  <si>
    <t>01126780413</t>
  </si>
  <si>
    <t>LUIZ FERNANDO MELO</t>
  </si>
  <si>
    <t>(11) 9373-26467</t>
  </si>
  <si>
    <t>(11) 5895-6790</t>
  </si>
  <si>
    <t>08665421831</t>
  </si>
  <si>
    <t>Maria Onete de Souza</t>
  </si>
  <si>
    <t xml:space="preserve"> (11) 968295567</t>
  </si>
  <si>
    <t xml:space="preserve">  (11)  970636945</t>
  </si>
  <si>
    <t>43427421520</t>
  </si>
  <si>
    <t xml:space="preserve"> MARIA SIRLANEA ALMEIDA ARAUJO  </t>
  </si>
  <si>
    <t>(11) 9861-21275</t>
  </si>
  <si>
    <t>657.198.248-04</t>
  </si>
  <si>
    <t>Manuel domingos Gonçalves dos Ramos</t>
  </si>
  <si>
    <t>(11) 9681-66799</t>
  </si>
  <si>
    <t>(11) 9767-52184</t>
  </si>
  <si>
    <t>AMA UBS JARDIM CAPELA</t>
  </si>
  <si>
    <t>12979972800</t>
  </si>
  <si>
    <t>JUNITA SANTANA SILVA</t>
  </si>
  <si>
    <t>(11) 9865-56241</t>
  </si>
  <si>
    <t>(11) 5517-0960</t>
  </si>
  <si>
    <t>57139482349</t>
  </si>
  <si>
    <t>ELENILDO SERRA DINIZ</t>
  </si>
  <si>
    <t>(11) 9571-52514</t>
  </si>
  <si>
    <t>07315432892</t>
  </si>
  <si>
    <t>JOSE ANTONIO DE ARAGAO</t>
  </si>
  <si>
    <t>(11)  970374863</t>
  </si>
  <si>
    <t>08369271847</t>
  </si>
  <si>
    <t>ELTINA MARIA DOS SANTOS</t>
  </si>
  <si>
    <t>(11) 9749-19893</t>
  </si>
  <si>
    <t>(11) 9443-00504</t>
  </si>
  <si>
    <t>65719824804</t>
  </si>
  <si>
    <t>MANUEL DOMINGOS GONCALVES DOS RAMOS</t>
  </si>
  <si>
    <t>(11)  974497742</t>
  </si>
  <si>
    <t>(11)   973713245</t>
  </si>
  <si>
    <t>03268014801</t>
  </si>
  <si>
    <t>ARTUR DA SILVA COSTA</t>
  </si>
  <si>
    <t>16544408840</t>
  </si>
  <si>
    <t>APARECIDA LOCHE</t>
  </si>
  <si>
    <t>(11) 9608-14240</t>
  </si>
  <si>
    <t>21692645404</t>
  </si>
  <si>
    <t>MARIA DE LOURDES DA COSTA</t>
  </si>
  <si>
    <t>04739206897</t>
  </si>
  <si>
    <t>MARIA ZILDA VIEIRA NASCIMENTO</t>
  </si>
  <si>
    <t xml:space="preserve">UBS JARDIM MAGDALENA
</t>
  </si>
  <si>
    <t>38123330820</t>
  </si>
  <si>
    <t xml:space="preserve">ADEHIDES PEREIRA DOS SANTOS SILVA
</t>
  </si>
  <si>
    <t>03628486610</t>
  </si>
  <si>
    <t>GLORIA MARTIRIO DOS SANTOS</t>
  </si>
  <si>
    <t>08958296810</t>
  </si>
  <si>
    <t>ARINILDA PINTO DA SILVA LEITE</t>
  </si>
  <si>
    <t>80532829387</t>
  </si>
  <si>
    <t>ERONEIDE MOREIRA SILVA</t>
  </si>
  <si>
    <t>08/12/2025 13h às 17h</t>
  </si>
  <si>
    <t>29936000870</t>
  </si>
  <si>
    <t>MARIA DE LOURDES DA GLORIA FERREIRA</t>
  </si>
  <si>
    <t>25397635880</t>
  </si>
  <si>
    <t>JUDITH BARROSO FERREIRA</t>
  </si>
  <si>
    <t>22/02/0195</t>
  </si>
  <si>
    <t>03088422863</t>
  </si>
  <si>
    <t>BENEDITO CAZE DE ANDRADE</t>
  </si>
  <si>
    <t>03088415816</t>
  </si>
  <si>
    <t>MARGARIDA ANDRADE PEREIRA</t>
  </si>
  <si>
    <t>03418137881</t>
  </si>
  <si>
    <t>MARGARIDA DAS GRACAS SANTOS</t>
  </si>
  <si>
    <t>05046988690</t>
  </si>
  <si>
    <t>FERNANDA DAMIAO DA COSTA</t>
  </si>
  <si>
    <t>94579199804</t>
  </si>
  <si>
    <t>NOELIA BARBOSA CERQUEIRA</t>
  </si>
  <si>
    <t>68902956849</t>
  </si>
  <si>
    <t>SPARTACO DE LUCAS</t>
  </si>
  <si>
    <t>14274188884</t>
  </si>
  <si>
    <t>FELIX ROSA AMARAL</t>
  </si>
  <si>
    <t>09/12/2025 13h às 17h</t>
  </si>
  <si>
    <t>58538798634</t>
  </si>
  <si>
    <t>ALMIRO JOSE CAETANO DE ANDRADE NETO</t>
  </si>
  <si>
    <t>(11) 9713-55936</t>
  </si>
  <si>
    <t>(11) 9527-60925</t>
  </si>
  <si>
    <t>17089066819</t>
  </si>
  <si>
    <t>LUIZA GOMES FERREIRA</t>
  </si>
  <si>
    <t>(11) 9930-04379</t>
  </si>
  <si>
    <t>(11) 5831-2911</t>
  </si>
  <si>
    <t>03174144884</t>
  </si>
  <si>
    <t>MARIA LUCIA FERNANDES DA SILVA</t>
  </si>
  <si>
    <t>(11) 9955-21593</t>
  </si>
  <si>
    <t>(11) 9630-07855</t>
  </si>
  <si>
    <t>11194589863</t>
  </si>
  <si>
    <t>CARLUCIO PEREIRA DA SILVA</t>
  </si>
  <si>
    <t>(11) 9836-16166</t>
  </si>
  <si>
    <t>11606867857</t>
  </si>
  <si>
    <t xml:space="preserve">	RAQUEL CANDIDA TEIXEIRA GAMA</t>
  </si>
  <si>
    <t>(11) 9524-83036</t>
  </si>
  <si>
    <t>(11) 9300-75054</t>
  </si>
  <si>
    <t>11764174879</t>
  </si>
  <si>
    <t>VICENTE MOREIRA DOS SANTOS</t>
  </si>
  <si>
    <t>(11) 9586-85868</t>
  </si>
  <si>
    <t>UBS JARDIM VERA CRUZ</t>
  </si>
  <si>
    <t>06309010824</t>
  </si>
  <si>
    <t>JOSE AUGUSTO DA SILVA</t>
  </si>
  <si>
    <t>14228101860</t>
  </si>
  <si>
    <t>MARIA JOSE ALVES DOS SANTOS</t>
  </si>
  <si>
    <t>10/12/2025 08h às 12h</t>
  </si>
  <si>
    <t>08410902893</t>
  </si>
  <si>
    <t>DURCINETE VITURINO DE SALES</t>
  </si>
  <si>
    <t>22050185820</t>
  </si>
  <si>
    <t>ELIANE PEREIRA</t>
  </si>
  <si>
    <t>01254339809</t>
  </si>
  <si>
    <t>EDSON GOMES TRINDADE</t>
  </si>
  <si>
    <t>15409603826</t>
  </si>
  <si>
    <t xml:space="preserve">CRISTIANE LOPES SILVA </t>
  </si>
  <si>
    <t xml:space="preserve">UBS JARDIM SÃO BENTO </t>
  </si>
  <si>
    <t>28868755890</t>
  </si>
  <si>
    <t>VITORIA SUELI DE LIMA DIELLE</t>
  </si>
  <si>
    <t>11 967007345</t>
  </si>
  <si>
    <t>07363723850</t>
  </si>
  <si>
    <t>ADINAIR RODRIGUES DA SILVA</t>
  </si>
  <si>
    <t>03038977837</t>
  </si>
  <si>
    <t>CARLOS DE JESUS</t>
  </si>
  <si>
    <t>11702752810</t>
  </si>
  <si>
    <t>MARIA JOVENILDA SA CALDAS</t>
  </si>
  <si>
    <t>UBS PARQUE FERNANDA</t>
  </si>
  <si>
    <t>03320506889</t>
  </si>
  <si>
    <t>ORIVALDO AZAMBUJA</t>
  </si>
  <si>
    <t>40860949834</t>
  </si>
  <si>
    <t>JOSE CRUZ AMORIM</t>
  </si>
  <si>
    <t>24085375504</t>
  </si>
  <si>
    <t>VALDETE DE CARVALHO REGO</t>
  </si>
  <si>
    <t>27815421806</t>
  </si>
  <si>
    <t>MARCIO FERREIRA SOUZA</t>
  </si>
  <si>
    <t>11/12/2025 13h às 17h</t>
  </si>
  <si>
    <t>85427276815</t>
  </si>
  <si>
    <t>AMADEUS FELIX DA SILVA</t>
  </si>
  <si>
    <t>(11) 9839-33090</t>
  </si>
  <si>
    <t>01432253832</t>
  </si>
  <si>
    <t>GILDASIO MOREIRA LOPES</t>
  </si>
  <si>
    <t>(11) 9854-74342</t>
  </si>
  <si>
    <t>63693615853</t>
  </si>
  <si>
    <t>DOROTINO FERREIRA DIAS</t>
  </si>
  <si>
    <t>LUIZ ALVES DE SOUSA</t>
  </si>
  <si>
    <t>16568895873</t>
  </si>
  <si>
    <t>MARIA DE LURDES DA SILVA</t>
  </si>
  <si>
    <t>36576768800</t>
  </si>
  <si>
    <t>POLIANA SILVA DE JESUS</t>
  </si>
  <si>
    <t>16519291811</t>
  </si>
  <si>
    <t>REGINA LUCIA OLIVEIRA DE CARVALHO</t>
  </si>
  <si>
    <t>(11) 9656-79627</t>
  </si>
  <si>
    <t>(11) 9802-73573</t>
  </si>
  <si>
    <t>12/12/2025 13h às 17h</t>
  </si>
  <si>
    <t>42679856856</t>
  </si>
  <si>
    <t>STEPHANE SANTOS ARAUJO</t>
  </si>
  <si>
    <t>15776351839</t>
  </si>
  <si>
    <t>WINSTON WALLACE CONCEICAO DOS SANTOS</t>
  </si>
  <si>
    <t>79144241887</t>
  </si>
  <si>
    <t>PAULO ROBERTO MODESTO</t>
  </si>
  <si>
    <t>04075920836</t>
  </si>
  <si>
    <t>SERGIO ALTAFINI JUNIOR</t>
  </si>
  <si>
    <t>90667166815</t>
  </si>
  <si>
    <t>ANTONIA MARIA DO NASCIMENTO</t>
  </si>
  <si>
    <t>93707738868</t>
  </si>
  <si>
    <t>ELIZABETH CINTIA DE ABREU</t>
  </si>
  <si>
    <t>46054514806</t>
  </si>
  <si>
    <t>ANNA JULIA ARANTES MORAES</t>
  </si>
  <si>
    <t>05284640861</t>
  </si>
  <si>
    <t>ADILSON DO COUTO SOARES</t>
  </si>
  <si>
    <t>37701505890</t>
  </si>
  <si>
    <t>CAMILLY DINIZ SILVA</t>
  </si>
  <si>
    <r>
      <rPr>
        <rFont val="Calibri"/>
        <b/>
        <color rgb="FF000000"/>
        <sz val="24.0"/>
      </rPr>
      <t xml:space="preserve">Dr Camila Queiroga da Silveira - DA CAMPO LIMPO </t>
    </r>
    <r>
      <rPr>
        <rFont val="Calibri"/>
        <b/>
        <color rgb="FFFF0000"/>
        <sz val="24.0"/>
      </rPr>
      <t>(AGENDA CANCELADA)</t>
    </r>
    <r>
      <rPr>
        <rFont val="Calibri"/>
        <b/>
        <color rgb="FF000000"/>
        <sz val="24.0"/>
      </rPr>
      <t xml:space="preserve"> </t>
    </r>
  </si>
  <si>
    <t>15/12/2025 13h às 17h</t>
  </si>
  <si>
    <t>32063089841</t>
  </si>
  <si>
    <t>VANESSA NEVES DE PAULA</t>
  </si>
  <si>
    <t>23507029871</t>
  </si>
  <si>
    <t>MARIA MARTA SOUZA FERREIRA</t>
  </si>
  <si>
    <t>46239741892</t>
  </si>
  <si>
    <t>RAQUEL FERREIRA DE MELO</t>
  </si>
  <si>
    <t>28481386880</t>
  </si>
  <si>
    <t>NINHA FRANCA CAETANO</t>
  </si>
  <si>
    <t>12522241842</t>
  </si>
  <si>
    <t>AUDENIZ RAMOS DIAS</t>
  </si>
  <si>
    <t>09478120832</t>
  </si>
  <si>
    <t>IVONETE MARIA DE LOURDES MELO</t>
  </si>
  <si>
    <t>35604725803</t>
  </si>
  <si>
    <t>ANA CARLA DE LIMA ALVES</t>
  </si>
  <si>
    <t>50835833801</t>
  </si>
  <si>
    <t>FRANCISCO GABRIEL ARAUJO MARCAL</t>
  </si>
  <si>
    <t>28336404805</t>
  </si>
  <si>
    <t>MARIA DOS SANTOS COUTO</t>
  </si>
  <si>
    <t>18469883810</t>
  </si>
  <si>
    <t>JOCELIA GOMES GUERRA NOGUEIRA</t>
  </si>
  <si>
    <t>52271145368</t>
  </si>
  <si>
    <t>MARIA DE LOURDES FERREIRA LIMA</t>
  </si>
  <si>
    <t>31713457814</t>
  </si>
  <si>
    <t>SABRINA LOUZA SANTA CRUZ</t>
  </si>
  <si>
    <t>Dr Priscila Ferreira da Silva - DA M'BOI</t>
  </si>
  <si>
    <t>16/12/2025 13h às 17h</t>
  </si>
  <si>
    <t>TERÇA- FEIRA</t>
  </si>
  <si>
    <t>04479751610</t>
  </si>
  <si>
    <t>ROBERTO CARLOS DE SOUZA ARAUJO</t>
  </si>
  <si>
    <t>48519154549</t>
  </si>
  <si>
    <t>MARISETE DE JESUS BRITO SOUSA</t>
  </si>
  <si>
    <t>01474328555</t>
  </si>
  <si>
    <t>RAFAEL DO NASCIMENTO GUERRA</t>
  </si>
  <si>
    <t>00928115828</t>
  </si>
  <si>
    <t>GERALDO FELIPE DA SILVA</t>
  </si>
  <si>
    <t>64096378887</t>
  </si>
  <si>
    <t>DERALDO FERNANDES</t>
  </si>
  <si>
    <t>55756662391</t>
  </si>
  <si>
    <t>MARIA DE LOURDES DOS SANTOS COSTA FILHA</t>
  </si>
  <si>
    <t>69919054887</t>
  </si>
  <si>
    <t>JOSE FRANCISCO DOS SANTOS</t>
  </si>
  <si>
    <t>21662896816</t>
  </si>
  <si>
    <t>ROBSON GOMES DA SILVA</t>
  </si>
  <si>
    <t>50566067820</t>
  </si>
  <si>
    <t>JOSE FERREIRA DA CRUZ</t>
  </si>
  <si>
    <t>34408476838</t>
  </si>
  <si>
    <t>MADALENA DOS SANTOS</t>
  </si>
  <si>
    <t>14757752881</t>
  </si>
  <si>
    <t>JOAO CARLOS SOARES</t>
  </si>
  <si>
    <t>Dr Camila Queiroga da Silveira - DA CAPÃO</t>
  </si>
  <si>
    <t>17/12/2025 08h às 12h</t>
  </si>
  <si>
    <t>Quarta-feira</t>
  </si>
  <si>
    <t>16573156811</t>
  </si>
  <si>
    <t>LINDALVA FELIX DA SILVA PAZ</t>
  </si>
  <si>
    <t>10719721890</t>
  </si>
  <si>
    <t>ANGELA MARIA MOREIRA DE AQUINO</t>
  </si>
  <si>
    <t>71004696515</t>
  </si>
  <si>
    <t>JUCILENE NASCIMENTO SANTOS</t>
  </si>
  <si>
    <t>01377089800</t>
  </si>
  <si>
    <t>JOAO VERCOSA FELIX</t>
  </si>
  <si>
    <t>77051670859</t>
  </si>
  <si>
    <t>ESPEDITO PEREIRA DA SILVA</t>
  </si>
  <si>
    <t>37258464808</t>
  </si>
  <si>
    <t>JEANE ROCHA PEREIRA</t>
  </si>
  <si>
    <t>24921346879</t>
  </si>
  <si>
    <t>MARIA MARCIA DAS GRACAS</t>
  </si>
  <si>
    <t>49772619849</t>
  </si>
  <si>
    <t>JORGE VIEIRA DA SILVA</t>
  </si>
  <si>
    <t>26622451826</t>
  </si>
  <si>
    <t>MARLI ROSA DOS SANTOS</t>
  </si>
  <si>
    <t>03412722804</t>
  </si>
  <si>
    <t>SUELI SOUSA MACHADO</t>
  </si>
  <si>
    <t>01133903860</t>
  </si>
  <si>
    <t>PEDRO LISBOA PIRES</t>
  </si>
  <si>
    <t>09269171884</t>
  </si>
  <si>
    <t>MARIA JOSE TEIXEIRA CORDEIRO</t>
  </si>
  <si>
    <t>Dr Priscila Ferreira da Silva - DA MBOI</t>
  </si>
  <si>
    <t>18/12/2025 13h às 17h</t>
  </si>
  <si>
    <t>Quinta-feira</t>
  </si>
  <si>
    <t>15316621883</t>
  </si>
  <si>
    <t>JONAS LISBOA LOUREIRO</t>
  </si>
  <si>
    <t>03528378883</t>
  </si>
  <si>
    <t>MARIA JOSE DE SOUZA LOPES</t>
  </si>
  <si>
    <t>34560289891</t>
  </si>
  <si>
    <t>AGOSTINHO GONCALVES ROCHA</t>
  </si>
  <si>
    <t>70956979572</t>
  </si>
  <si>
    <t>ALBERIZA NIEL MACENA</t>
  </si>
  <si>
    <t>56976747834</t>
  </si>
  <si>
    <t>JOSE ROBERTO DO PRADO</t>
  </si>
  <si>
    <t>63648229834</t>
  </si>
  <si>
    <t>ELIAS LIMA NASCIMENTO</t>
  </si>
  <si>
    <t>15802678828</t>
  </si>
  <si>
    <t>WILMA FRANCISCA DE FREITAS</t>
  </si>
  <si>
    <t>83929053691</t>
  </si>
  <si>
    <t>ALAIDE FELICIANA FERREIRA</t>
  </si>
  <si>
    <t>19/12/2025 13h às 17h</t>
  </si>
  <si>
    <t>Sexta-feira</t>
  </si>
  <si>
    <t>CRENILDA DURAES MAGALHAES</t>
  </si>
  <si>
    <t>GILBERTO SOUSA DE OLIVERA</t>
  </si>
  <si>
    <t>UBS JARDIM LÍDIA</t>
  </si>
  <si>
    <t>VERA LUCIA JORGE</t>
  </si>
  <si>
    <t>MARIA JOSE RODRIGUES SANTOS</t>
  </si>
  <si>
    <t>MARCOS BOMJARDIM DA SILVA</t>
  </si>
  <si>
    <t>DAIANE BEZERRA DA SILVA</t>
  </si>
  <si>
    <t>ELZA MARIA DE SOUSA</t>
  </si>
  <si>
    <t>06457394809</t>
  </si>
  <si>
    <t>MARIA DE LOURDES LIMA DOS SANTOS</t>
  </si>
  <si>
    <t>LUIZ CARLOS DE LIRA</t>
  </si>
  <si>
    <t>MANOEL EDIVAR MELO</t>
  </si>
  <si>
    <t>EDVALDO DOS REIS SANTOS</t>
  </si>
  <si>
    <t>22/12/2025 13h às 17h</t>
  </si>
  <si>
    <t>BENEDITA MARIA CHAVES</t>
  </si>
  <si>
    <t>SIMONE UMBELINO DE SOUZA</t>
  </si>
  <si>
    <t>MARIA RAIMUNDA DOS ANJOS</t>
  </si>
  <si>
    <t>DOMINGOS FERREIRA DE SOUSA</t>
  </si>
  <si>
    <t>VANDA DE SOUZA FERREIRA</t>
  </si>
  <si>
    <t>GILDARIO JOSE PEREIRA</t>
  </si>
  <si>
    <t>PAULO TORRES DE ALBUQUERQUE</t>
  </si>
  <si>
    <t>CARLOS DOS SANTOS GOMES</t>
  </si>
  <si>
    <t>Dr Priscila Ferreira da Silva - DA CAMPO LIMPO</t>
  </si>
  <si>
    <t>UBS JARDIM HORIZONTE AZUL</t>
  </si>
  <si>
    <t>SEGUNDA-FEIRA</t>
  </si>
  <si>
    <t>MILTON ALVES DA SILVA</t>
  </si>
  <si>
    <t>MARIA SEVERINA DA CONCEICAO</t>
  </si>
  <si>
    <t>23/12/2025 08h às 12h</t>
  </si>
  <si>
    <t>SEBASTIANA HILARIO CORREIA</t>
  </si>
  <si>
    <t>UBS Vila Calu</t>
  </si>
  <si>
    <t>LEONOR MENEZES DE SOUZA</t>
  </si>
  <si>
    <t>JOAQUIM MOISES DE MELO</t>
  </si>
  <si>
    <t>VALDYR LOBO DE OLIVEIRA</t>
  </si>
  <si>
    <t>UBS Jardim CapelaUBS Vera Cruz</t>
  </si>
  <si>
    <t>MARIA APARECIDA NUNES DOS SANTOS</t>
  </si>
  <si>
    <t>ADEILDA VIEIRA DE MELO</t>
  </si>
  <si>
    <t>JOSE LUCIO MARTINS</t>
  </si>
  <si>
    <t>26/12/2025 13h às 17h</t>
  </si>
  <si>
    <t>CLEUSA FERREIRA PEIXINHO MARTINS</t>
  </si>
  <si>
    <t>JOSE NOGUEIRA E SILVA</t>
  </si>
  <si>
    <t>29/12/2025 13h às 17h</t>
  </si>
  <si>
    <t>ANA MARIA DA SILVA</t>
  </si>
  <si>
    <t>MARIA DEUZALINA FEITOSA NASCIMENTO</t>
  </si>
  <si>
    <t>CASEMIRO ZANIN</t>
  </si>
  <si>
    <t>MARINALVA BARBOSA</t>
  </si>
  <si>
    <t>ELIANA CARDOSO DOS SANTOS</t>
  </si>
  <si>
    <t>LUIZ CARLOS DA SILVA</t>
  </si>
  <si>
    <t>00013159860</t>
  </si>
  <si>
    <t>MARIA CLEMENCIA GONCALVES DE BRITO</t>
  </si>
  <si>
    <t>FERNANDO SOUSA DOS SANTOS</t>
  </si>
  <si>
    <t>LICIO DA COSTA SOUZA</t>
  </si>
  <si>
    <t>25977800827</t>
  </si>
  <si>
    <t>QUITERIA TAVARES DA SILVA</t>
  </si>
  <si>
    <t>MARIA APARECIDA PEREIRA SANTOS</t>
  </si>
  <si>
    <r>
      <rPr>
        <rFont val="Calibri"/>
        <b val="0"/>
        <color rgb="FF000000"/>
        <sz val="17.0"/>
      </rPr>
      <t>30/12/2025 13h às 17h</t>
    </r>
    <r>
      <rPr>
        <rFont val="Calibri"/>
        <b/>
        <color rgb="FF000000"/>
        <sz val="17.0"/>
      </rPr>
      <t xml:space="preserve"> - REMANEJADO PARA O DIA 22/12 13h às 17h</t>
    </r>
  </si>
  <si>
    <t>UBS Jd Capela</t>
  </si>
  <si>
    <t>02/01/2026 13h às 17h</t>
  </si>
  <si>
    <t>Sexta-Feira</t>
  </si>
  <si>
    <t>EZIO DOS SANTOS</t>
  </si>
  <si>
    <t>VILMAR TOMAZ DA SILVA</t>
  </si>
  <si>
    <t>CLODOALDO CORREIA SANTOS</t>
  </si>
  <si>
    <t>LIDIA LUIZ GOMES</t>
  </si>
  <si>
    <t>VANDERLEI DE LUCENA HILARIO</t>
  </si>
  <si>
    <t>WAGNER VIEIRA ROCHA</t>
  </si>
  <si>
    <t>MARCIO FERREIRA DE SOUZA</t>
  </si>
  <si>
    <t>LEONIDEO FERREIRA DA SILVA</t>
  </si>
  <si>
    <t>ALLAN FRANCISCO DA SILVA</t>
  </si>
  <si>
    <t>RAFAEL VITORINO DE SALES</t>
  </si>
  <si>
    <t>FERNANDA DA SILVA MIRANDA SANTOS</t>
  </si>
  <si>
    <t>ODAIR FERREIRA DA CRUZ</t>
  </si>
  <si>
    <t>05/01/2026 13h às 17h</t>
  </si>
  <si>
    <t>Segunda-Feira</t>
  </si>
  <si>
    <t>FABIANO NOVAES MAOZINO</t>
  </si>
  <si>
    <t xml:space="preserve">  (11)  993536278</t>
  </si>
  <si>
    <t>(011) 982658711</t>
  </si>
  <si>
    <t>ANTONIO CARLOS OLIVEIRA DA SILVA</t>
  </si>
  <si>
    <t xml:space="preserve">  (11) 983026655</t>
  </si>
  <si>
    <t xml:space="preserve">  (11)964523434/967871223</t>
  </si>
  <si>
    <t xml:space="preserve"> (11)   918332088</t>
  </si>
  <si>
    <t>(11)   965530767</t>
  </si>
  <si>
    <t>MARTA PEREIRA DA SILVA</t>
  </si>
  <si>
    <t>(11)  976578049</t>
  </si>
  <si>
    <t xml:space="preserve"> (11)   997772782</t>
  </si>
  <si>
    <t>EFIGENIA CAMILA BERNARDO</t>
  </si>
  <si>
    <t xml:space="preserve">	  (11)   944441126</t>
  </si>
  <si>
    <t>(11)   959758004</t>
  </si>
  <si>
    <t>MARIA AVELINA MACHADO SILVA</t>
  </si>
  <si>
    <t>(11)  964264490
  (11)   992367339</t>
  </si>
  <si>
    <t xml:space="preserve"> (11)   971011390
  (11)   963381466</t>
  </si>
  <si>
    <t>07/01/2026 08h às 13h</t>
  </si>
  <si>
    <t>Quarta-Feira</t>
  </si>
  <si>
    <t>06403880861</t>
  </si>
  <si>
    <t>MARIA DO MONTE DIAS DA SILVA</t>
  </si>
  <si>
    <t>02235954898</t>
  </si>
  <si>
    <t>ANTONIO CARLOS SPINOSI</t>
  </si>
  <si>
    <t>33986580832</t>
  </si>
  <si>
    <t>FABIANA COSTA DE SOUZA</t>
  </si>
  <si>
    <t>UBS JARDIM SAO BENTO</t>
  </si>
  <si>
    <t xml:space="preserve"> ARLINDO LEANDRO DE FREITAS </t>
  </si>
  <si>
    <t>68488750820</t>
  </si>
  <si>
    <t>ALVIDES ANTES DA COSTA</t>
  </si>
  <si>
    <t>16488054856</t>
  </si>
  <si>
    <t>RITA DE CASSIA RODRIGUES</t>
  </si>
  <si>
    <t>76443019849</t>
  </si>
  <si>
    <t>JOSE LUIS DE OLIVEIRA</t>
  </si>
  <si>
    <t>708403700919561 898001413594877</t>
  </si>
  <si>
    <t>JOSE COELHO VIANA</t>
  </si>
  <si>
    <t xml:space="preserve"> LAUDICEIA REBOUCAS CARNEIRO </t>
  </si>
  <si>
    <t>25872018886</t>
  </si>
  <si>
    <t>RITA PEREIRA DA SILVA</t>
  </si>
  <si>
    <t>09306074816</t>
  </si>
  <si>
    <t>SEBASTIAO MATIAS DAS NEVES</t>
  </si>
  <si>
    <t>09/01/2026 13h às 17h</t>
  </si>
  <si>
    <t xml:space="preserve"> 05097732812</t>
  </si>
  <si>
    <t xml:space="preserve">Maria Zita Gonçalves Carvalho 
</t>
  </si>
  <si>
    <t>80510612849</t>
  </si>
  <si>
    <t>203909782930007 801440484238707</t>
  </si>
  <si>
    <t>ADELIA ALVES DA SILVA OLIVEIRA</t>
  </si>
  <si>
    <t>04208780843</t>
  </si>
  <si>
    <t>MARIZETE DA CONCEICAO LIMA</t>
  </si>
  <si>
    <t>25255811807</t>
  </si>
  <si>
    <t>MARIA DAS MERCES URBANO DE ARAUJO</t>
  </si>
  <si>
    <t>32941853839</t>
  </si>
  <si>
    <t>ANA MARIA FERREIRA FOSS</t>
  </si>
  <si>
    <t>03894946407</t>
  </si>
  <si>
    <t>MARILEIDE XAVIER DE LIMA</t>
  </si>
  <si>
    <t>82468940644</t>
  </si>
  <si>
    <t>708003846114227 801440491910318</t>
  </si>
  <si>
    <t>ADEILSON VIEIRA DE JESUS</t>
  </si>
  <si>
    <t>TEOFILO ISAIAS LINS</t>
  </si>
  <si>
    <t>10721110800</t>
  </si>
  <si>
    <t>703404204830019 801440402353175</t>
  </si>
  <si>
    <t>MARIA SERAFIM FERREIRA</t>
  </si>
  <si>
    <t>12/01/2026 13h às 17h</t>
  </si>
  <si>
    <t>UBS Parque do Engenho II</t>
  </si>
  <si>
    <t>UBS Jd Macedônia</t>
  </si>
  <si>
    <t>MARLENE ANTONIA DA SILVA OLIVEIRA</t>
  </si>
  <si>
    <t>UBS Jd Eledy</t>
  </si>
  <si>
    <t>MARILENE CAETANO DA SILVA</t>
  </si>
  <si>
    <t>UBS Jd Magdalena</t>
  </si>
  <si>
    <t>SERGIO SIMOES PONTES</t>
  </si>
  <si>
    <t>ALAIDE MARIA CELESTINA</t>
  </si>
  <si>
    <t>LUZIA ANDRADE</t>
  </si>
  <si>
    <t>EDUARDO VIEIRA LIMA</t>
  </si>
  <si>
    <t>GERSINA PEREIRA DA SILVA</t>
  </si>
  <si>
    <t>14/01/2026 08h às 13h</t>
  </si>
  <si>
    <t>42934440842</t>
  </si>
  <si>
    <t>JAINE SOUZA EVANGELISTA</t>
  </si>
  <si>
    <t>42365787860</t>
  </si>
  <si>
    <t>AZIEL DAMASCENO MORAIS</t>
  </si>
  <si>
    <t>15206526827</t>
  </si>
  <si>
    <t>MARLIENE PEREIRA DA SILVA</t>
  </si>
  <si>
    <t>24782253877</t>
  </si>
  <si>
    <t>MARIA DE LOURDES DA SILVA</t>
  </si>
  <si>
    <t>08174358404</t>
  </si>
  <si>
    <t>PAULO HENRIQUE NUNES DE PONTES</t>
  </si>
  <si>
    <t>08646501833</t>
  </si>
  <si>
    <t>ITANESIA NUNES DE AMORIM</t>
  </si>
  <si>
    <t>08977787823</t>
  </si>
  <si>
    <t>JOANA VICENTE</t>
  </si>
  <si>
    <t>50439256801</t>
  </si>
  <si>
    <t>RAIMUNDO NONATO ALVES DA SILVA</t>
  </si>
  <si>
    <t>05754468466</t>
  </si>
  <si>
    <t>ROSELI BARBALHO DOS SANTOS</t>
  </si>
  <si>
    <t>07454564801</t>
  </si>
  <si>
    <t>ADELIA RODRIGUES TROI</t>
  </si>
  <si>
    <t>16/01/2026 13h às 17h</t>
  </si>
  <si>
    <t>00093291370</t>
  </si>
  <si>
    <t>MARIA LUCIA MELO DE JESUS</t>
  </si>
  <si>
    <t>UBS JARDIM LIDIA</t>
  </si>
  <si>
    <t>48158085890</t>
  </si>
  <si>
    <t>LUIZ FERNANDO SANTANA DA COSTA</t>
  </si>
  <si>
    <t>40409252700</t>
  </si>
  <si>
    <t>705702477227830 104167197640006</t>
  </si>
  <si>
    <t>JOAO JOSE NEVES</t>
  </si>
  <si>
    <t>23846809861</t>
  </si>
  <si>
    <t>898004987596328 898001495148590</t>
  </si>
  <si>
    <t>LUZINETE GONCALVES DE OLIVEIRA CRUZ</t>
  </si>
  <si>
    <t>32055482807</t>
  </si>
  <si>
    <t>708007399288127 801440408094457</t>
  </si>
  <si>
    <t>ALICE PEREIRA ANUNCIACAO</t>
  </si>
  <si>
    <t>10720548845</t>
  </si>
  <si>
    <t>HELENA ALVES DA SILVA</t>
  </si>
  <si>
    <t>04545097820</t>
  </si>
  <si>
    <t>ARNALDO DIAS GONCALVES</t>
  </si>
  <si>
    <t>22639659804</t>
  </si>
  <si>
    <t>NELSON EIITI IWAMA</t>
  </si>
  <si>
    <t>48691686855</t>
  </si>
  <si>
    <t>LILIAN ADRIANY SILVA DA COSTA</t>
  </si>
  <si>
    <t>51207073865</t>
  </si>
  <si>
    <t>VICTOR PIRES DE ARAUJO</t>
  </si>
  <si>
    <t>18448503821</t>
  </si>
  <si>
    <t>LAODICEA FERREIRA DA SILVA</t>
  </si>
  <si>
    <t>19/01/2021 13h às 17h</t>
  </si>
  <si>
    <t>30650291468</t>
  </si>
  <si>
    <t>JOSINA MORAIS DA SILVA BATISTA RODRIGUES</t>
  </si>
  <si>
    <t>23049668881</t>
  </si>
  <si>
    <t>AURELINA MARIA DE SOUSA</t>
  </si>
  <si>
    <t>01132665884</t>
  </si>
  <si>
    <t>DONARIA DO CARMO FREITAS</t>
  </si>
  <si>
    <t>18153941615</t>
  </si>
  <si>
    <t>ILDA MARIA DA SILVA</t>
  </si>
  <si>
    <t>27452369890</t>
  </si>
  <si>
    <t>YOLANDA DE SOUZA NASCIMENTO</t>
  </si>
  <si>
    <t>75747561634</t>
  </si>
  <si>
    <t>LUIZ MAURO DE PAULA DA SILVA</t>
  </si>
  <si>
    <t>04710484880</t>
  </si>
  <si>
    <t>705201409592077 801440401123982</t>
  </si>
  <si>
    <t>ORLANDO NUNES DE AZEVEDO</t>
  </si>
  <si>
    <t>27222475850</t>
  </si>
  <si>
    <t>MARIA DE LURDES HONESCO MARTINS</t>
  </si>
  <si>
    <t>15747609807</t>
  </si>
  <si>
    <t>LUIZA MARILEA FELIX DE CARVALHO</t>
  </si>
  <si>
    <t>38440423853</t>
  </si>
  <si>
    <t>ADEMAR CARDOSO</t>
  </si>
  <si>
    <t>53198857848</t>
  </si>
  <si>
    <t>DEYVID NASCIMENTO SOUSA</t>
  </si>
  <si>
    <t>32921331810</t>
  </si>
  <si>
    <t>CAMILA APARECIDA OLIVEIRA</t>
  </si>
  <si>
    <t>21/01/2026 08h às 13h</t>
  </si>
  <si>
    <t>13512791816</t>
  </si>
  <si>
    <t>EDNA XAVIER KORNISKI</t>
  </si>
  <si>
    <t>40983447934</t>
  </si>
  <si>
    <t>GENILDO NERY DOS SANTOS</t>
  </si>
  <si>
    <t>AMA UBS Pq. Fernanda</t>
  </si>
  <si>
    <t>18471059800</t>
  </si>
  <si>
    <t>SANDRA HELENA DA SILVA</t>
  </si>
  <si>
    <t>08590637808</t>
  </si>
  <si>
    <t>JOSEFA MARIA DA SILVA</t>
  </si>
  <si>
    <t>16944339862</t>
  </si>
  <si>
    <t>MARCIA APARECIDA DE SOUZA DA SILVA</t>
  </si>
  <si>
    <t>20460716468</t>
  </si>
  <si>
    <t>TEREZINHA NUNES DE OLIVEIRA</t>
  </si>
  <si>
    <t>44121809807</t>
  </si>
  <si>
    <t>NATALIA SIMOES SANTOS</t>
  </si>
  <si>
    <t>39783449800</t>
  </si>
  <si>
    <t>ALVARO AUGUSTO SILVA</t>
  </si>
  <si>
    <t>14126045830</t>
  </si>
  <si>
    <t xml:space="preserve">	JAIME DE SOUZA</t>
  </si>
  <si>
    <t>54277726852</t>
  </si>
  <si>
    <t>VALENTINA GOMES DA SILVA</t>
  </si>
  <si>
    <t>23/01/2026 13h às 17h</t>
  </si>
  <si>
    <t>00438240804</t>
  </si>
  <si>
    <t>RUBINEI SILVA QUEIROZ</t>
  </si>
  <si>
    <t>UBS Jardim Lídia</t>
  </si>
  <si>
    <t>24774430463</t>
  </si>
  <si>
    <t>GERCINA IZABEL DOS SANTOS</t>
  </si>
  <si>
    <t>63563029504</t>
  </si>
  <si>
    <t>LELITO SOUZA SILVA</t>
  </si>
  <si>
    <t>76413110830</t>
  </si>
  <si>
    <t>EDSON LOPES GUIMARAES</t>
  </si>
  <si>
    <t>06378938830</t>
  </si>
  <si>
    <t>EDSON SILVA SANTOS</t>
  </si>
  <si>
    <t>37397057870</t>
  </si>
  <si>
    <t>IARA APARECIDA BANQUERI SEIA</t>
  </si>
  <si>
    <t>25959094878</t>
  </si>
  <si>
    <t>IRACILDES DANIEL DE SOUZA</t>
  </si>
  <si>
    <t>59908351834</t>
  </si>
  <si>
    <t>FRANCISCO HELIO LOPES</t>
  </si>
  <si>
    <t>58018778868</t>
  </si>
  <si>
    <t>GASTAO JOSE DE SOUZA</t>
  </si>
  <si>
    <t>67810543504</t>
  </si>
  <si>
    <t>MARINALVA SANTOS RESSURREICAO</t>
  </si>
  <si>
    <t>69252971572</t>
  </si>
  <si>
    <t>703004859261371 801440402359238</t>
  </si>
  <si>
    <t>MARIA MATILDES DA SILVA</t>
  </si>
  <si>
    <t>04384002599</t>
  </si>
  <si>
    <t>DAMIANA BISPO DOS SANTOS</t>
  </si>
  <si>
    <t>(11)  969408647</t>
  </si>
  <si>
    <t>(11)   962419671</t>
  </si>
  <si>
    <t>(11) 953593970</t>
  </si>
  <si>
    <t xml:space="preserve">32875459813        </t>
  </si>
  <si>
    <t>706201503942068 131242389300000</t>
  </si>
  <si>
    <t>MARCOS DE OLIVEIRA</t>
  </si>
  <si>
    <t>(11) 981230349</t>
  </si>
  <si>
    <t>53544633868</t>
  </si>
  <si>
    <t>PEDRO DE CARVALHO DOS SANTOS</t>
  </si>
  <si>
    <t>(11) 989511134</t>
  </si>
  <si>
    <t>(11) 981004457</t>
  </si>
  <si>
    <t>04039981820</t>
  </si>
  <si>
    <t>ELISEU LUCIANO</t>
  </si>
  <si>
    <t>(11) 982448842</t>
  </si>
  <si>
    <t>30640341896</t>
  </si>
  <si>
    <t>SUZANA GONCALVES DOS SANTOS</t>
  </si>
  <si>
    <t>(11) 981952436</t>
  </si>
  <si>
    <t>14387534893</t>
  </si>
  <si>
    <t>MARIA IMACULADA HENRIQUE CANDIDO</t>
  </si>
  <si>
    <t>(11) 967213110</t>
  </si>
  <si>
    <t>08621470500</t>
  </si>
  <si>
    <t>CARLOS XAVIER TRINDADE</t>
  </si>
  <si>
    <t>08994343806</t>
  </si>
  <si>
    <t>ABELARDO PEREIRA NETO</t>
  </si>
  <si>
    <t>(11) 992185025</t>
  </si>
  <si>
    <t>(11) 983486955</t>
  </si>
  <si>
    <t>Vagas Livres</t>
  </si>
  <si>
    <t>41087501873</t>
  </si>
  <si>
    <t>TAMIRIS MARTINS NOBRE DA COSTA</t>
  </si>
  <si>
    <t>(11) 999898176</t>
  </si>
  <si>
    <t>28/01/2026 08h às 13h</t>
  </si>
  <si>
    <t>81571577815</t>
  </si>
  <si>
    <t xml:space="preserve">  (11)   986453576</t>
  </si>
  <si>
    <t>01130104869</t>
  </si>
  <si>
    <t>VERA LUCIA LOURENCO DA SILVA</t>
  </si>
  <si>
    <t xml:space="preserve">  (11)   951754073</t>
  </si>
  <si>
    <t>12747981835</t>
  </si>
  <si>
    <t>(11) 913037056</t>
  </si>
  <si>
    <t>(11) 957080808</t>
  </si>
  <si>
    <t>90226992420</t>
  </si>
  <si>
    <t>NOEMIA SERAFIM DA SILVA</t>
  </si>
  <si>
    <t>(11) 985471122</t>
  </si>
  <si>
    <t>(11) 983767854</t>
  </si>
  <si>
    <t>33918686191</t>
  </si>
  <si>
    <t>PAULO SIMEAO SANTANA</t>
  </si>
  <si>
    <t>(11) 915034545</t>
  </si>
  <si>
    <t>(11) 976288786</t>
  </si>
  <si>
    <t>01358584885</t>
  </si>
  <si>
    <t>DOMINGAS DA CONCEICAO NORONHA</t>
  </si>
  <si>
    <t>(11) 979660780</t>
  </si>
  <si>
    <t>(11) 984062369</t>
  </si>
  <si>
    <t>50643820817</t>
  </si>
  <si>
    <t>LARISSA JESUS FERRAZ</t>
  </si>
  <si>
    <t>(11) 962396864</t>
  </si>
  <si>
    <t>59031965863</t>
  </si>
  <si>
    <t>MIGUEL FRANKE ASTRATH TELES</t>
  </si>
  <si>
    <t>(11) 945136598</t>
  </si>
  <si>
    <t>(11) 994849651</t>
  </si>
  <si>
    <t>01671214803</t>
  </si>
  <si>
    <t>VALDEMAR FERREIRA</t>
  </si>
  <si>
    <t>(11) 977342602</t>
  </si>
  <si>
    <t>03272291520</t>
  </si>
  <si>
    <t>ROSIANE JESUS DE SOUZA</t>
  </si>
  <si>
    <t>(11) 994653644</t>
  </si>
  <si>
    <t>46588605897</t>
  </si>
  <si>
    <t>MATHEUS CLEMENTINO DA SILVA</t>
  </si>
  <si>
    <t>(11) 984878073</t>
  </si>
  <si>
    <t>37184296834</t>
  </si>
  <si>
    <t>IRANY DA SILVEIRA</t>
  </si>
  <si>
    <t>(11) 985787669</t>
  </si>
  <si>
    <t>30/01/2026 13h às 17h</t>
  </si>
  <si>
    <t>31462749810</t>
  </si>
  <si>
    <t>BENEDITA APARECIDA MENDES DE VASCONCELOS</t>
  </si>
  <si>
    <t xml:space="preserve">  (11)   991919746</t>
  </si>
  <si>
    <t>98643215872</t>
  </si>
  <si>
    <t>700005715859802 104373635510005</t>
  </si>
  <si>
    <t xml:space="preserve">  (11)   957872444</t>
  </si>
  <si>
    <t>04193480852</t>
  </si>
  <si>
    <t>SIDOMAR BEZERRA DA COSTA</t>
  </si>
  <si>
    <t xml:space="preserve">  (11)   964078399</t>
  </si>
  <si>
    <t>25752590884</t>
  </si>
  <si>
    <t>VALDIRA SOUSA RIBEIRO DE LIMA</t>
  </si>
  <si>
    <t xml:space="preserve">  (11)   930103810</t>
  </si>
  <si>
    <t>29303354320</t>
  </si>
  <si>
    <t>ROSBEMAGNO EZON MOREIRA</t>
  </si>
  <si>
    <t xml:space="preserve">  (11)   982197044</t>
  </si>
  <si>
    <t>02291937812</t>
  </si>
  <si>
    <t>AUREA CRESCENCIA E SILVA</t>
  </si>
  <si>
    <t xml:space="preserve">  (11)   957483563</t>
  </si>
  <si>
    <t xml:space="preserve">  (11)   994312207</t>
  </si>
  <si>
    <t xml:space="preserve">  (11)  972897849</t>
  </si>
  <si>
    <t xml:space="preserve">  (11)   983503562</t>
  </si>
  <si>
    <t>06406890515</t>
  </si>
  <si>
    <t>AURELINO BORGES PEREIRA</t>
  </si>
  <si>
    <t xml:space="preserve">  (11)  994738193</t>
  </si>
  <si>
    <t xml:space="preserve">  (11)   966135585</t>
  </si>
  <si>
    <t xml:space="preserve">  (11)  976461555</t>
  </si>
  <si>
    <t xml:space="preserve">  (11)   992408633</t>
  </si>
  <si>
    <t>02/02/2026 13h às 17h</t>
  </si>
  <si>
    <t>06/01/2026 13h às 17h</t>
  </si>
  <si>
    <t>Terça-Feira</t>
  </si>
  <si>
    <t>801440438737577
801440463490997</t>
  </si>
  <si>
    <t>(11) 9636-12801</t>
  </si>
  <si>
    <t>(11) 9611-27960</t>
  </si>
  <si>
    <t>AMA/UBS JD CAPELA</t>
  </si>
  <si>
    <t>(11) 97126-6379</t>
  </si>
  <si>
    <t>UBS PARQUE DO LAGO</t>
  </si>
  <si>
    <t>27748124884</t>
  </si>
  <si>
    <t>801440497630449
700505795797359</t>
  </si>
  <si>
    <t>JULIA MARIA DA CONCEICAO SOUZA</t>
  </si>
  <si>
    <t>(11) 9627-27419</t>
  </si>
  <si>
    <t>(11) 98010-9814</t>
  </si>
  <si>
    <t>31454725850</t>
  </si>
  <si>
    <t>MARIETA GOMES</t>
  </si>
  <si>
    <t>(11) 9603-00585</t>
  </si>
  <si>
    <t>88179575853</t>
  </si>
  <si>
    <t>ANTONIO DE JESUS PAULINO</t>
  </si>
  <si>
    <t>(11) 96898-9694</t>
  </si>
  <si>
    <t>(11) 9582-96171</t>
  </si>
  <si>
    <t>ADAELSON SILVA ESTEVES</t>
  </si>
  <si>
    <t>(11) 96205-5653</t>
  </si>
  <si>
    <t>(11) 9973-36804</t>
  </si>
  <si>
    <t>UBS JARDIM CAICARA</t>
  </si>
  <si>
    <t>36961254829</t>
  </si>
  <si>
    <t>ANDERSON DOS SANTOS</t>
  </si>
  <si>
    <t>(11) 9832-64244</t>
  </si>
  <si>
    <t>(11) 93935-6194</t>
  </si>
  <si>
    <t>UBS PARQUE NOVO STO AMARO</t>
  </si>
  <si>
    <t>09020880845</t>
  </si>
  <si>
    <t>ANTONIO ABILIO PEREIRA</t>
  </si>
  <si>
    <t>(11) 9815-30725</t>
  </si>
  <si>
    <t>UBS JARDIM GUARUJA</t>
  </si>
  <si>
    <t>99405806572</t>
  </si>
  <si>
    <t>JOVENTINA BARBOSA DOS SANTOS</t>
  </si>
  <si>
    <t xml:space="preserve">
(11) 9653-09537
</t>
  </si>
  <si>
    <t>(75) 9804-8512</t>
  </si>
  <si>
    <t xml:space="preserve">UBS Chácara Santa Maria </t>
  </si>
  <si>
    <t>17623756800</t>
  </si>
  <si>
    <t>MARIA DA PENHA GOMES</t>
  </si>
  <si>
    <t>(11) 9774-65468</t>
  </si>
  <si>
    <t>08/01/2026 13h às 17h</t>
  </si>
  <si>
    <t>Quinta-Feira</t>
  </si>
  <si>
    <t>11398978884</t>
  </si>
  <si>
    <t>ELVIRA SATELES DE JESUS</t>
  </si>
  <si>
    <t>11445678829</t>
  </si>
  <si>
    <t>ADAO GOMES DE LIMA</t>
  </si>
  <si>
    <t>31163368814</t>
  </si>
  <si>
    <t>VICENCIA SEVERINA DE SANTANA</t>
  </si>
  <si>
    <t>06374748808</t>
  </si>
  <si>
    <t>HELOISA HELENA CARROZZINO LOSONCZI</t>
  </si>
  <si>
    <t>03074359897</t>
  </si>
  <si>
    <t>JESSELIA DA SILVA PEREIRA</t>
  </si>
  <si>
    <t>08532685846</t>
  </si>
  <si>
    <t>LUIZ IDIMILSON DE SOUZA</t>
  </si>
  <si>
    <t>00796795878</t>
  </si>
  <si>
    <t>FRANCISCO ALEXANDRE DO NASCIMENTO</t>
  </si>
  <si>
    <t>86167057400</t>
  </si>
  <si>
    <t>LUZIA JOSEFA GONCALVES DE ARRUDA</t>
  </si>
  <si>
    <t>68354665534</t>
  </si>
  <si>
    <t>JORGE JOSE DE SOUZA</t>
  </si>
  <si>
    <t>21936232871</t>
  </si>
  <si>
    <t>ROSANGELA MARIA DA SILVA</t>
  </si>
  <si>
    <t>13/01/2026 13h às 17h ATENÇÃO NÃO HAVERÁ AGENDA NESSA DATA</t>
  </si>
  <si>
    <t xml:space="preserve">14/01/2026 13h às 17h </t>
  </si>
  <si>
    <t>66132860444</t>
  </si>
  <si>
    <t>SEVERINA DA CONCEICAO GOMES</t>
  </si>
  <si>
    <t>22459760884</t>
  </si>
  <si>
    <t>ROSANGELA DE SOUZA DA MATA</t>
  </si>
  <si>
    <t>44304919504</t>
  </si>
  <si>
    <t>FERNANDO RODRIGUES DE OLIVEIRA</t>
  </si>
  <si>
    <t>50651648866</t>
  </si>
  <si>
    <t>BEATRIZ PEREIRA DE SOUZA</t>
  </si>
  <si>
    <t>08555519845</t>
  </si>
  <si>
    <t>ANA MARIA DOS SANTOS</t>
  </si>
  <si>
    <t>MARIA APARECIDA DAS GRACAS CRUZ</t>
  </si>
  <si>
    <t>20/01/2026 13h às 17h</t>
  </si>
  <si>
    <t xml:space="preserve"> UBS Vila Calu</t>
  </si>
  <si>
    <t>28192065812</t>
  </si>
  <si>
    <t>PAULA SOUZA OLIVEIRA</t>
  </si>
  <si>
    <t>UBS Vera Cruz</t>
  </si>
  <si>
    <t>17220688504</t>
  </si>
  <si>
    <t>RAIMUNDO FRANCISCO DOS SANTOS</t>
  </si>
  <si>
    <t>02201684820</t>
  </si>
  <si>
    <t>MOIZAC GENUINO DO NASCIMENTO</t>
  </si>
  <si>
    <t>22253214850</t>
  </si>
  <si>
    <t>KLEBISON GALDINO DA SILVA</t>
  </si>
  <si>
    <t>92232477487</t>
  </si>
  <si>
    <t>VANDERLAN CARLOS DE MATOS FERREIRA</t>
  </si>
  <si>
    <t>50198521553</t>
  </si>
  <si>
    <t>700001289224204 124495504550009</t>
  </si>
  <si>
    <t>JOSE ALMEIDA DE SANTANA</t>
  </si>
  <si>
    <t xml:space="preserve"> UBS Parque Novo Santo Amaro</t>
  </si>
  <si>
    <t>24809250563</t>
  </si>
  <si>
    <t>DAVINA MARIA DOS SANTOS MACHADO</t>
  </si>
  <si>
    <t xml:space="preserve"> UBS Jardim Caiçara</t>
  </si>
  <si>
    <t>30415908833</t>
  </si>
  <si>
    <t>COSMA MARIA DA SILVA</t>
  </si>
  <si>
    <t>UBS Paranapanema</t>
  </si>
  <si>
    <t>01246576481</t>
  </si>
  <si>
    <t>706404631860189 898001400412864</t>
  </si>
  <si>
    <t>LUYZIANE GEORGIA FERREIRA GOMES</t>
  </si>
  <si>
    <t>UBS Jd Guaruja</t>
  </si>
  <si>
    <t>34998748815</t>
  </si>
  <si>
    <t>LUCIO DURVAL DE SOUZA BARROS</t>
  </si>
  <si>
    <t>21/01/2026 13h às 17h</t>
  </si>
  <si>
    <t>04975880300</t>
  </si>
  <si>
    <t>BERNUDEIS GOMES DOS SANTOS</t>
  </si>
  <si>
    <t>14894583879</t>
  </si>
  <si>
    <t>DARCISO FERREIRA MENDES</t>
  </si>
  <si>
    <t>39118368808</t>
  </si>
  <si>
    <t>JOSE FRANCISCO FERREIRA DA SILVA JUNIOR</t>
  </si>
  <si>
    <t>03949196889</t>
  </si>
  <si>
    <t>MARIA VIEIRA DA SILVA</t>
  </si>
  <si>
    <t>UBS CHACARA SANTA MARIA</t>
  </si>
  <si>
    <t>87752409553</t>
  </si>
  <si>
    <t>MARIA DALVA NUNES DE SOUZA</t>
  </si>
  <si>
    <t>30786009802</t>
  </si>
  <si>
    <t>SILVANIR MARIA DE JESUS</t>
  </si>
  <si>
    <t>22/01/2026 13h às 17h</t>
  </si>
  <si>
    <t>Setor  III UBS Jardim Santa Margarida</t>
  </si>
  <si>
    <t>13236498838</t>
  </si>
  <si>
    <t>LENI SANTOS DE SA</t>
  </si>
  <si>
    <t>Setor  III - UBS Alto da Rivieira</t>
  </si>
  <si>
    <t>27890197896</t>
  </si>
  <si>
    <t>706200776771770 204296644990006</t>
  </si>
  <si>
    <t>MARIA DOMINGAS COSTA CONCEICAO</t>
  </si>
  <si>
    <t xml:space="preserve">Setor  IV - UBS Jardim Herculano </t>
  </si>
  <si>
    <t>22927208840</t>
  </si>
  <si>
    <t>FLAVIANA DE MOURA BARRETO</t>
  </si>
  <si>
    <t>Setor  III - UBS Santa Lucia</t>
  </si>
  <si>
    <t>84248467887</t>
  </si>
  <si>
    <t>MARIA OLIMPIA DE MATOS</t>
  </si>
  <si>
    <t>80963960806</t>
  </si>
  <si>
    <t>JOSE SILVA PASSOS</t>
  </si>
  <si>
    <t>26400832874</t>
  </si>
  <si>
    <t>JURACI MONTES</t>
  </si>
  <si>
    <t xml:space="preserve">Setor  IV - UBS Jardim Aracati </t>
  </si>
  <si>
    <t>04913575830</t>
  </si>
  <si>
    <t>ANA GUIMARAES DE CASTRO</t>
  </si>
  <si>
    <t>14272278886</t>
  </si>
  <si>
    <t>ROBERTO ANTONIO FERRARI</t>
  </si>
  <si>
    <t>17092686890</t>
  </si>
  <si>
    <t>ANITA MATEUS PIMENTA</t>
  </si>
  <si>
    <t>Setor  IV - UBS Jardim Ipava</t>
  </si>
  <si>
    <t>03760853714</t>
  </si>
  <si>
    <t>CARSON GLEISON BERLARMINO</t>
  </si>
  <si>
    <t xml:space="preserve">Setor  IV - UBS Pq do Lago </t>
  </si>
  <si>
    <t>10872847837</t>
  </si>
  <si>
    <t>IGNEZ PRIMIANI FREITAS</t>
  </si>
  <si>
    <t>10316613878</t>
  </si>
  <si>
    <t>VALDIR COELHO</t>
  </si>
  <si>
    <t>27/01/2026 13h às 17h</t>
  </si>
  <si>
    <t>00312383860</t>
  </si>
  <si>
    <t>ELENIVAM NASCIMENTO DOS SANTOS</t>
  </si>
  <si>
    <t>(11)  934840034</t>
  </si>
  <si>
    <t xml:space="preserve">  (11)   964325759</t>
  </si>
  <si>
    <t>01399206842</t>
  </si>
  <si>
    <t>JOSE AFONSO CRISPIM</t>
  </si>
  <si>
    <t xml:space="preserve">  (21)   97921522</t>
  </si>
  <si>
    <t>04368526830</t>
  </si>
  <si>
    <t>OVIDIA SEBASTIANA ALVES</t>
  </si>
  <si>
    <t xml:space="preserve">  (11)   980393927</t>
  </si>
  <si>
    <t>29446610869</t>
  </si>
  <si>
    <t>GENILDA NICACIO SIQUEIRA</t>
  </si>
  <si>
    <t xml:space="preserve">  (11)   985002267</t>
  </si>
  <si>
    <t>10034603808</t>
  </si>
  <si>
    <t>DIRCE GERALDA DOS SANTOS</t>
  </si>
  <si>
    <t>(11) 955861239</t>
  </si>
  <si>
    <t>(11) 940382378</t>
  </si>
  <si>
    <t>46497268839</t>
  </si>
  <si>
    <t>705801486049735 801440487431125</t>
  </si>
  <si>
    <t>MARIA EDUARDA PEREIRA DE SOUZA SANTOS</t>
  </si>
  <si>
    <t>(11) 977273316</t>
  </si>
  <si>
    <t>26647943889</t>
  </si>
  <si>
    <t>CLEMENTINA DA SILVA OLIVEIRA</t>
  </si>
  <si>
    <t>(11) 987290682</t>
  </si>
  <si>
    <t>03955806847</t>
  </si>
  <si>
    <t>ELIZABETE GENEROSA DA CONCEICAO DE AQUINO</t>
  </si>
  <si>
    <t>(11) 947041951</t>
  </si>
  <si>
    <t>(11) 962478582</t>
  </si>
  <si>
    <t>70319871800</t>
  </si>
  <si>
    <t>BERLINDO PEREIRA</t>
  </si>
  <si>
    <t>(11) 988751084</t>
  </si>
  <si>
    <t>(11) 988051024</t>
  </si>
  <si>
    <t>09245810852</t>
  </si>
  <si>
    <t>MARIA FERREIRA TELES</t>
  </si>
  <si>
    <t>(11) 932769711</t>
  </si>
  <si>
    <t>(11) 912558179</t>
  </si>
  <si>
    <t>29/01/2026 13h às 17h</t>
  </si>
  <si>
    <t>Setor  III - UBS Jardim Nakamura</t>
  </si>
  <si>
    <t>28218439846</t>
  </si>
  <si>
    <t>705203433463577 204302303320006</t>
  </si>
  <si>
    <t>BARBARA SILVA DE SOUSA</t>
  </si>
  <si>
    <t xml:space="preserve">  (11)   984728794</t>
  </si>
  <si>
    <t>11194458840</t>
  </si>
  <si>
    <t>MARISA DAS GRACAS MESSIAS</t>
  </si>
  <si>
    <t xml:space="preserve">  (11)   970634368</t>
  </si>
  <si>
    <t xml:space="preserve">  (11)  993387780</t>
  </si>
  <si>
    <t>Setor  III - UBS Jardim Coimbra</t>
  </si>
  <si>
    <t>16411800804</t>
  </si>
  <si>
    <t>MARIA IZABEL MOREIRA DOS SANTOS</t>
  </si>
  <si>
    <t xml:space="preserve">  (11)   956853440</t>
  </si>
  <si>
    <t>26508192434</t>
  </si>
  <si>
    <t>INACIO GOMES DE SOUSA</t>
  </si>
  <si>
    <t>Setor  III - UBS Jardim Santa Margarida</t>
  </si>
  <si>
    <t xml:space="preserve">  (11)   954318296</t>
  </si>
  <si>
    <t xml:space="preserve">  (11)   963132975</t>
  </si>
  <si>
    <t>01297805534</t>
  </si>
  <si>
    <t>FRANCISCO ANTONIO DE SOUZA</t>
  </si>
  <si>
    <t xml:space="preserve">  (11)  964453694</t>
  </si>
  <si>
    <t xml:space="preserve">  (11)   948490230</t>
  </si>
  <si>
    <t>01085721884</t>
  </si>
  <si>
    <t>ERALDO REZENDE SANTANA</t>
  </si>
  <si>
    <t xml:space="preserve">  (11)   984414780</t>
  </si>
  <si>
    <t>24828989862</t>
  </si>
  <si>
    <t>ANA FERREIRA RODRIGUES DA SILVA</t>
  </si>
  <si>
    <t xml:space="preserve">  (11)   954470320</t>
  </si>
  <si>
    <t>31243526882</t>
  </si>
  <si>
    <t>ROSANGELA FERREIRA DA CRUZ</t>
  </si>
  <si>
    <t xml:space="preserve">  (11)  953603394</t>
  </si>
  <si>
    <t xml:space="preserve">  (11)   937566478</t>
  </si>
  <si>
    <t>14691595899</t>
  </si>
  <si>
    <t>MARIA IZABEL DA COSTA</t>
  </si>
  <si>
    <t xml:space="preserve">  (11)  993413905</t>
  </si>
  <si>
    <t xml:space="preserve">  (11)   993922909</t>
  </si>
  <si>
    <t>81835353800</t>
  </si>
  <si>
    <t>FRANCISCO VIANA DOS SANTOS</t>
  </si>
  <si>
    <t xml:space="preserve">  (11)  988753177</t>
  </si>
  <si>
    <t>09474117802</t>
  </si>
  <si>
    <t>ADERVAL ALVES PINTO</t>
  </si>
  <si>
    <t>ALDECI JESUS SANTOS DOMINGUES</t>
  </si>
  <si>
    <t>Desistência</t>
  </si>
  <si>
    <t>DA - Campo Limpo</t>
  </si>
  <si>
    <t>LAURINETE VIANA COSTA</t>
  </si>
  <si>
    <t>NILCA DIAS DE QUEIROZ</t>
  </si>
  <si>
    <t>APARECIDA CRUZ DOS SANTOS</t>
  </si>
  <si>
    <t>CARLOS EDUARDO DE LIMA</t>
  </si>
  <si>
    <t>ARNALDO RIBEIRO DE OLIVEIRA</t>
  </si>
  <si>
    <t>MARIA DA CONCEICAO BRITO SANTOS</t>
  </si>
  <si>
    <t>JOSE PEREIRA RIBEIRO</t>
  </si>
  <si>
    <t>JOAO MARCOS SILVEIRA SANTOS</t>
  </si>
  <si>
    <t>04/02/2026 08h às 13h</t>
  </si>
  <si>
    <t>ALESSANDRO CARLOS SILVA DA PURIFICACAO</t>
  </si>
  <si>
    <t>(11)   964270547</t>
  </si>
  <si>
    <t xml:space="preserve">  (11)   966002648</t>
  </si>
  <si>
    <t>708209179384844 80144040955111</t>
  </si>
  <si>
    <t>SELVINA RIBEIRO DOS SANTOS</t>
  </si>
  <si>
    <t xml:space="preserve">  (11)   910492251</t>
  </si>
  <si>
    <t xml:space="preserve">  (11)   984079670</t>
  </si>
  <si>
    <t>EUSTAQUIO PEREIRA DE OLIVEIRA</t>
  </si>
  <si>
    <t xml:space="preserve">  (11)  989461105</t>
  </si>
  <si>
    <t xml:space="preserve">  (11)   982973003</t>
  </si>
  <si>
    <t>ROSANGELA DA SILVA FERNANDES</t>
  </si>
  <si>
    <t xml:space="preserve">  (11)  960309368</t>
  </si>
  <si>
    <t xml:space="preserve">  (11)   969444254</t>
  </si>
  <si>
    <t>708002338639820 201155518530005</t>
  </si>
  <si>
    <t>EUNICE NUNES DA PENHA</t>
  </si>
  <si>
    <t xml:space="preserve">  (11)   986676423</t>
  </si>
  <si>
    <t>(11)   983930284</t>
  </si>
  <si>
    <t>MAURA MAGALHAES COELHO</t>
  </si>
  <si>
    <t>(11) 985340615</t>
  </si>
  <si>
    <t>700306937285932 801440499004820</t>
  </si>
  <si>
    <t>MARIA VIEIRA DO NASCIMENTO</t>
  </si>
  <si>
    <t xml:space="preserve">  (11)   947249407</t>
  </si>
  <si>
    <t>702807197285163 201155314100002</t>
  </si>
  <si>
    <t>MARIA JOSE DA SILVA BATISTA</t>
  </si>
  <si>
    <t>(11) 967348456</t>
  </si>
  <si>
    <t>(11) 954450488</t>
  </si>
  <si>
    <t>MARIA DA CONCEICAO SILVA</t>
  </si>
  <si>
    <t>(11) 978942295</t>
  </si>
  <si>
    <t>JELZA RITA DOS SANTOS</t>
  </si>
  <si>
    <t>(11) 984181311</t>
  </si>
  <si>
    <t>(11) 943744734</t>
  </si>
  <si>
    <t>HERMINIA MARIA DA CONCEICAO</t>
  </si>
  <si>
    <t>(11) 965548675</t>
  </si>
  <si>
    <t>06/02/2026 13h às 17h</t>
  </si>
  <si>
    <t>JORGE CARLOS CUNHA</t>
  </si>
  <si>
    <t xml:space="preserve">  (11)   989537465</t>
  </si>
  <si>
    <t xml:space="preserve">  (11)   966586224</t>
  </si>
  <si>
    <t xml:space="preserve">  (11)   910325563</t>
  </si>
  <si>
    <t>MARIA JOVELINA DE SOUZA</t>
  </si>
  <si>
    <t xml:space="preserve">  (11)   947669253</t>
  </si>
  <si>
    <t>MARIA CICERA DE OLIVEIRA NUNES</t>
  </si>
  <si>
    <t xml:space="preserve">  (11)  987124624</t>
  </si>
  <si>
    <t>MARIA JOSE LEITE</t>
  </si>
  <si>
    <t>(11) 968993708</t>
  </si>
  <si>
    <t>(11) 967132568</t>
  </si>
  <si>
    <t>MARIA EUNICE SILVA BARBOZA DA SILVA</t>
  </si>
  <si>
    <t>(11) 911229731</t>
  </si>
  <si>
    <t>(11) 984604699</t>
  </si>
  <si>
    <t>DERLIZIELMA JULIAO DOS SANTOS</t>
  </si>
  <si>
    <t>(11) 954784199</t>
  </si>
  <si>
    <t>ORICO DE OLIVEIRA</t>
  </si>
  <si>
    <t>(11) 986220255</t>
  </si>
  <si>
    <t>(11) 982908248</t>
  </si>
  <si>
    <t>MIGUEL JOSE DOS SANTOS FILHO</t>
  </si>
  <si>
    <t xml:space="preserve">  (11)   963112896</t>
  </si>
  <si>
    <t>700609924425862 801440412278761</t>
  </si>
  <si>
    <t>RAIMUNDA JESUS DOS SANTOS</t>
  </si>
  <si>
    <t>(11) 979650170</t>
  </si>
  <si>
    <t>(11) 948858495</t>
  </si>
  <si>
    <t>ARACY DE ALMEIDA CARNEIRO</t>
  </si>
  <si>
    <t>(11) 982044541</t>
  </si>
  <si>
    <t>(11) 970214773</t>
  </si>
  <si>
    <t>JOSENEIDE CORREIA</t>
  </si>
  <si>
    <t>(11) 983544642</t>
  </si>
  <si>
    <t xml:space="preserve">  (11)   951755496</t>
  </si>
  <si>
    <t>09/02/2026 13h às 17h</t>
  </si>
  <si>
    <t>MESSIAS SOUSA OLIVEIRA SANTOS</t>
  </si>
  <si>
    <t xml:space="preserve">  (11)   967874601</t>
  </si>
  <si>
    <t xml:space="preserve">  (11)   983906857</t>
  </si>
  <si>
    <t>JOAO DE DEUS GOMES BARBOSA</t>
  </si>
  <si>
    <t>(11) 993027638</t>
  </si>
  <si>
    <t>FERNANDA QUIRINO DE LIMA</t>
  </si>
  <si>
    <t>(11) 980746012</t>
  </si>
  <si>
    <t>(11) 962281171</t>
  </si>
  <si>
    <t>CARLOS ROBERTO DE OLIVEIRA</t>
  </si>
  <si>
    <t>(11) 956176578</t>
  </si>
  <si>
    <t>(11) 941290453</t>
  </si>
  <si>
    <t>LUZIA DE FATIMA FERRAZ DOS SANTOS</t>
  </si>
  <si>
    <t>(11) 964647544</t>
  </si>
  <si>
    <t>JUSCELINA ROSA DE JESUS SOUSA</t>
  </si>
  <si>
    <t>(11) 959155697</t>
  </si>
  <si>
    <t>(11) 987484571</t>
  </si>
  <si>
    <t>(11) 986031584</t>
  </si>
  <si>
    <t>(11) 970676184</t>
  </si>
  <si>
    <t>TAINA CHRISTINY CLEACE</t>
  </si>
  <si>
    <t>(11) 932236077</t>
  </si>
  <si>
    <t>(11) 986215132</t>
  </si>
  <si>
    <t>ANA MARIA SANTOS SOUZA</t>
  </si>
  <si>
    <t>(11) 992118088</t>
  </si>
  <si>
    <t>(11) 932021479</t>
  </si>
  <si>
    <t>ELIENE MARIETA MORAIS VIEIRA</t>
  </si>
  <si>
    <t>(11) 958543068</t>
  </si>
  <si>
    <t>(11) 948414570</t>
  </si>
  <si>
    <t>MARGARIDA MARIA DE OLIVEIRA CASTRO</t>
  </si>
  <si>
    <t>(11) 939285352</t>
  </si>
  <si>
    <t>MARIA DE FATIMA DA SILVA QUININO</t>
  </si>
  <si>
    <t>(11) 965145746</t>
  </si>
  <si>
    <t>(11) 950698885</t>
  </si>
  <si>
    <t>11/02/2026 08h às 13h</t>
  </si>
  <si>
    <t>VALDECI PEREIRA DE MELO</t>
  </si>
  <si>
    <t>MARIA LUCIA SILVA DA COSTA</t>
  </si>
  <si>
    <t>MARIA DE FATIMA GOMES DE LIMA HOLANDA</t>
  </si>
  <si>
    <t>KATIA REGINA VIEIRA MORAIS DO O</t>
  </si>
  <si>
    <t>MARIA HELENA DE CARVALHO XAVIER</t>
  </si>
  <si>
    <t>ISAAC ISRAEL DA SILVA</t>
  </si>
  <si>
    <t>JANETE FERREIRA LIMA NUNES</t>
  </si>
  <si>
    <t>DALVA EPIFANIA GONCALVES</t>
  </si>
  <si>
    <t>JOSE OSMARIO BRITO DE SOUZA</t>
  </si>
  <si>
    <t>EUDES DA FONSECA LEITE</t>
  </si>
  <si>
    <t>JOSE ANDRADE DOS SANTOS</t>
  </si>
  <si>
    <t>13/02/2026 13h às 17h</t>
  </si>
  <si>
    <t>NADIR FARIA DE ANDRADE</t>
  </si>
  <si>
    <t>(11) 9766-77094</t>
  </si>
  <si>
    <t>GILSON DA SILVA</t>
  </si>
  <si>
    <t>(11) 9584-06575</t>
  </si>
  <si>
    <t>BENEDITO APARECIDO DE SOUZA</t>
  </si>
  <si>
    <t>(11) 9848-10058</t>
  </si>
  <si>
    <t>ANTONIO CARLOS PEREIRA LOPES</t>
  </si>
  <si>
    <t>(11) 9643-04598</t>
  </si>
  <si>
    <t>JOSE FERREIRA DA SILVA</t>
  </si>
  <si>
    <t>(11) 9935-22109</t>
  </si>
  <si>
    <t>ELISETE DA COSTA BARROS</t>
  </si>
  <si>
    <t>(11) 9756-18413</t>
  </si>
  <si>
    <t>IVANETE FERREIRA DE ANDRADE RASTINI</t>
  </si>
  <si>
    <t>(11) 9861-75981</t>
  </si>
  <si>
    <t>(11) 9902-42229</t>
  </si>
  <si>
    <t>EDSON DE OLIVEIRA E SILVA</t>
  </si>
  <si>
    <t>(11) 9588-33866</t>
  </si>
  <si>
    <t>RUBENS MACHADO</t>
  </si>
  <si>
    <t>(11) 9870-51947</t>
  </si>
  <si>
    <t>RONALDO MARIANO DA SILVA</t>
  </si>
  <si>
    <t>(11) 9873-69772</t>
  </si>
  <si>
    <t>MARLUCIA DE OLIVEIRA SOARES</t>
  </si>
  <si>
    <t>(11) 9825-49541</t>
  </si>
  <si>
    <t>20/02/2026 13h às 17h</t>
  </si>
  <si>
    <t>JOAO FONSECA NETO</t>
  </si>
  <si>
    <t>HELENITA ALEXANDRINA PIRES PEIXOTO</t>
  </si>
  <si>
    <t>EDSON FLAVIO DA SILVA</t>
  </si>
  <si>
    <t>ARISTEU PARO</t>
  </si>
  <si>
    <t>MIGUEL BAUERMANN FISCHER</t>
  </si>
  <si>
    <t>JOAO CUSTODIO PINTO</t>
  </si>
  <si>
    <t>FRANCINETE DE ARAUJO LIMA</t>
  </si>
  <si>
    <t>MANOEL SOARES CABRAL</t>
  </si>
  <si>
    <t>JOSEFA ROSA BARBOSA DA SILVA</t>
  </si>
  <si>
    <t>JADE ALMEIDA SOUZA</t>
  </si>
  <si>
    <t>NOAH GABRIEL ALMEIDA</t>
  </si>
  <si>
    <t>23/02/2026 13h às 17h</t>
  </si>
  <si>
    <t>Setor VII - UBS Parque do Engenho II</t>
  </si>
  <si>
    <t>OSCAR MARTINS DOS SANTOS</t>
  </si>
  <si>
    <t>(11) 971836833</t>
  </si>
  <si>
    <t xml:space="preserve">  (11)   961152112</t>
  </si>
  <si>
    <t>Setor VII - UBS Jd Macedônia</t>
  </si>
  <si>
    <t>CACILDA VIANA DA SILVA DE LAIA</t>
  </si>
  <si>
    <t xml:space="preserve">  (11)   966639821</t>
  </si>
  <si>
    <t>(11) 978649999</t>
  </si>
  <si>
    <t>Setor VII - UBS Jd Eledy</t>
  </si>
  <si>
    <t>RITA RUFINO RAMOS</t>
  </si>
  <si>
    <t>(11) 987446937</t>
  </si>
  <si>
    <t>Setor VII - UBS Jd Magdalena</t>
  </si>
  <si>
    <t>LAUDILINO CARDOSO LEAL</t>
  </si>
  <si>
    <t>(11) 970215400</t>
  </si>
  <si>
    <t>(11) 957888784</t>
  </si>
  <si>
    <t>ARIDELSON ROSENDO DA SILVA</t>
  </si>
  <si>
    <t>(11) 983052311</t>
  </si>
  <si>
    <t>(11) 916991484</t>
  </si>
  <si>
    <t>JOVACYR CARLOS REZENDE MARTINS</t>
  </si>
  <si>
    <t>(11) 957617515</t>
  </si>
  <si>
    <t>ROSELITA MARIA DA COSTA</t>
  </si>
  <si>
    <t xml:space="preserve">  (11)  987163602</t>
  </si>
  <si>
    <t>TEODORA RODRIGUES</t>
  </si>
  <si>
    <t xml:space="preserve">  (11)   948654883</t>
  </si>
  <si>
    <t>SHAIANA TAINAN SANTOS SILVA</t>
  </si>
  <si>
    <t>(11) 951789291</t>
  </si>
  <si>
    <t>QUITERIA JERONIMO COSTA</t>
  </si>
  <si>
    <t>(11) 983807881</t>
  </si>
  <si>
    <t xml:space="preserve">  (11)  958075284</t>
  </si>
  <si>
    <t xml:space="preserve">  (11)   964489816</t>
  </si>
  <si>
    <t>JULIA DE OLIVEIRA SAVRACKY</t>
  </si>
  <si>
    <t>(11) 949231895</t>
  </si>
  <si>
    <t>25/02/2026 08h às 13h</t>
  </si>
  <si>
    <t>Setor VI - UBS Jardim Comercial</t>
  </si>
  <si>
    <t>705405402036790 898001452823636</t>
  </si>
  <si>
    <t>MANOEL ADAO SOARES DOS SANTOS</t>
  </si>
  <si>
    <t>(11)   962034050</t>
  </si>
  <si>
    <t>(11)   965548675</t>
  </si>
  <si>
    <t>Setor VI - UBS Luar do Sertão</t>
  </si>
  <si>
    <t>EDILEUSA MARIA DOS SANTOS</t>
  </si>
  <si>
    <t>Setor VI - AMA UBS Pq. Fernanda</t>
  </si>
  <si>
    <t>ANA MARIA DE SENA</t>
  </si>
  <si>
    <t xml:space="preserve">  (11)   968562314</t>
  </si>
  <si>
    <t>Setor VI - UBS Jardim São Bento</t>
  </si>
  <si>
    <t>ANDREIA LUIZ DA CONCEICAO</t>
  </si>
  <si>
    <t>(11) 959536559</t>
  </si>
  <si>
    <t>FILIPE DE BARROS SILVA SOARES</t>
  </si>
  <si>
    <t>(11) 991786325</t>
  </si>
  <si>
    <t>JETHERO MIYASHIRO LOPES</t>
  </si>
  <si>
    <t>(11)912866310</t>
  </si>
  <si>
    <t xml:space="preserve">(11)958708221
</t>
  </si>
  <si>
    <t>708902730803019 201152534450018</t>
  </si>
  <si>
    <t>(11) 985315187</t>
  </si>
  <si>
    <t>(11)965548675</t>
  </si>
  <si>
    <t>WALDIR BARROSO LIMA</t>
  </si>
  <si>
    <t>(11) 990114538</t>
  </si>
  <si>
    <t>(11) 942559689</t>
  </si>
  <si>
    <t>ADELIA RIBEIRO DA SILVA OLIVEIRA</t>
  </si>
  <si>
    <t xml:space="preserve">  (11)   949649849</t>
  </si>
  <si>
    <t>(11) 959368423</t>
  </si>
  <si>
    <t>MARIA DA COSTA OLIVEIRA SANTOS</t>
  </si>
  <si>
    <t>(11) 958820797</t>
  </si>
  <si>
    <t>(11) 948578181</t>
  </si>
  <si>
    <t>LUIZ CARLOS ALVES CAVALCANTE</t>
  </si>
  <si>
    <t xml:space="preserve">  (11)   978531442</t>
  </si>
  <si>
    <t>JONILTON FERNANDES DOS SANTOS</t>
  </si>
  <si>
    <t xml:space="preserve">  (11)   970599826</t>
  </si>
  <si>
    <t xml:space="preserve">  (11)   965548675</t>
  </si>
  <si>
    <t>27/02/2026 13h às 17h</t>
  </si>
  <si>
    <t>SEBASTIAO DE ALMEIDA SOUZA</t>
  </si>
  <si>
    <t xml:space="preserve">  (11)   981985176</t>
  </si>
  <si>
    <t>NADIR ROSA DA SILVA</t>
  </si>
  <si>
    <t>(11) 946656226</t>
  </si>
  <si>
    <t>(11) 996875346</t>
  </si>
  <si>
    <t>SEBASTIAO FRANCISCO DOS SANTOS</t>
  </si>
  <si>
    <t>(11) 9764-05204</t>
  </si>
  <si>
    <t>(11) 9595-09771</t>
  </si>
  <si>
    <t>EDUARDO CALISTO BORGES</t>
  </si>
  <si>
    <t xml:space="preserve">	  (11)   953819857</t>
  </si>
  <si>
    <t>ALEXANDRE ALVES MACHADO</t>
  </si>
  <si>
    <t>(11) 994738193</t>
  </si>
  <si>
    <t>(11) 966135585</t>
  </si>
  <si>
    <t>WILSON SANTOS OLIVEIRA</t>
  </si>
  <si>
    <t>(11) 984970485</t>
  </si>
  <si>
    <t>(11) 947278110</t>
  </si>
  <si>
    <t>EDIVAN ALVES DA SILVA</t>
  </si>
  <si>
    <t>(11) 949264303</t>
  </si>
  <si>
    <t>(11) 947374029</t>
  </si>
  <si>
    <t>ANGELA MARIA NASCIMENTO OLIVEIRA</t>
  </si>
  <si>
    <t>(11) 978181439</t>
  </si>
  <si>
    <t>JESSICA DAMASCENO</t>
  </si>
  <si>
    <t>(11) 985581707</t>
  </si>
  <si>
    <t>(11) 964538485</t>
  </si>
  <si>
    <t>JOSE FLORENTINO FILHO</t>
  </si>
  <si>
    <t>(11) 965547483</t>
  </si>
  <si>
    <t>(11) 990160997</t>
  </si>
  <si>
    <t>JURACI SOUSA SILVA</t>
  </si>
  <si>
    <t>(11) 957883077</t>
  </si>
  <si>
    <t>(11) 960738636</t>
  </si>
  <si>
    <t>Consolidado Final</t>
  </si>
  <si>
    <t>03/02/2026 13h às 17h</t>
  </si>
  <si>
    <t>Setor  I - UBS Vila Calu</t>
  </si>
  <si>
    <t>LENICE MOREIRA DOS SANTOS</t>
  </si>
  <si>
    <t>Setor  I - UBS Vera Cruz</t>
  </si>
  <si>
    <t>JOSEFINA DA CRUZ SILVA</t>
  </si>
  <si>
    <t>DA - M'Boi Mirim</t>
  </si>
  <si>
    <t>Setor  I - UBS Jardim Capela</t>
  </si>
  <si>
    <t>Cancelado</t>
  </si>
  <si>
    <t>Setor  I - UBS Horizonte Azul</t>
  </si>
  <si>
    <t>TADEU MARIO DE ARAUJO</t>
  </si>
  <si>
    <t>NELSON DA CONCEICAO</t>
  </si>
  <si>
    <t>APARECIDA SILVA</t>
  </si>
  <si>
    <t>Setor  II - UBS Parque Novo Santo Amaro</t>
  </si>
  <si>
    <t>Setor  II - UBS Jardim Caiçara</t>
  </si>
  <si>
    <t>Setor  II - UBS Jardim Guarujá</t>
  </si>
  <si>
    <t>Setor  II - UBS Paranapanema</t>
  </si>
  <si>
    <t>NIUZETE MARQUES DOS REIS</t>
  </si>
  <si>
    <t xml:space="preserve">Setor  II - UBS Chácara Santa Maria </t>
  </si>
  <si>
    <t>JOSE LUIZ SILVEIRA FREITAS</t>
  </si>
  <si>
    <t>05/02/2026 13h às 17h</t>
  </si>
  <si>
    <t>58676520844</t>
  </si>
  <si>
    <t>MARIA ISABEL DA SILVA</t>
  </si>
  <si>
    <t xml:space="preserve">  (11)   968099271</t>
  </si>
  <si>
    <t xml:space="preserve">  (11)   980429323</t>
  </si>
  <si>
    <t>26527125860</t>
  </si>
  <si>
    <t>MARIA MADRONA BATISTA</t>
  </si>
  <si>
    <t>(11) 930398749</t>
  </si>
  <si>
    <t>(11) 994750932</t>
  </si>
  <si>
    <t>57032874800</t>
  </si>
  <si>
    <t>VALDOMIRO LOPES</t>
  </si>
  <si>
    <t>(11) 959239282</t>
  </si>
  <si>
    <t>(11) 996067326</t>
  </si>
  <si>
    <t>09383794453</t>
  </si>
  <si>
    <t>LUIS CELESTINO DE LIMA</t>
  </si>
  <si>
    <t>(11) 985173889</t>
  </si>
  <si>
    <t>(11) 920072462</t>
  </si>
  <si>
    <t>38672388801</t>
  </si>
  <si>
    <t>ANDRESSA VIGUINI CAMPISTA SAO BENTO</t>
  </si>
  <si>
    <t>(11) 961309067</t>
  </si>
  <si>
    <t>17424502883</t>
  </si>
  <si>
    <t>GENILDO LOURENCO DA SILVA</t>
  </si>
  <si>
    <t>(11) 987692817</t>
  </si>
  <si>
    <t>00351120858</t>
  </si>
  <si>
    <t>ANTONIO RODRIGUES DOS SANTOS</t>
  </si>
  <si>
    <t>(11) 937451242</t>
  </si>
  <si>
    <t>05033619845</t>
  </si>
  <si>
    <t>MARIA CONCEICAO BISPO MACEDO</t>
  </si>
  <si>
    <t>(11) 969622020</t>
  </si>
  <si>
    <t>00073579319</t>
  </si>
  <si>
    <t>ELONEIDA BEZERRA DA SILVA</t>
  </si>
  <si>
    <t>(11) 962349916</t>
  </si>
  <si>
    <t>(11) 967137867</t>
  </si>
  <si>
    <t>21180318404</t>
  </si>
  <si>
    <t>CICERO JOSE DA SILVA</t>
  </si>
  <si>
    <t>(11) 930417062</t>
  </si>
  <si>
    <t>15202664800</t>
  </si>
  <si>
    <t>MARIA IZILDINHA DE JESUS PEREIRA</t>
  </si>
  <si>
    <t>(11) 982730245</t>
  </si>
  <si>
    <t>(11) 958036455</t>
  </si>
  <si>
    <t>(11) 953603394</t>
  </si>
  <si>
    <t>10/02/2026 13h às 17h</t>
  </si>
  <si>
    <t>09177389859</t>
  </si>
  <si>
    <t>FRANCISCO JOAQUIM TEIXEIRA</t>
  </si>
  <si>
    <t>23170246810</t>
  </si>
  <si>
    <t>JOVELINA PEREIRA DE CARVALHO COSTA</t>
  </si>
  <si>
    <t>32441462873</t>
  </si>
  <si>
    <t>JACI MARIA DE SOUSA LACO</t>
  </si>
  <si>
    <t>(11) 983570797</t>
  </si>
  <si>
    <t xml:space="preserve">  (11)   968271107</t>
  </si>
  <si>
    <t>11843948818</t>
  </si>
  <si>
    <t>GIVALDO DA SILVA</t>
  </si>
  <si>
    <t>13618613806</t>
  </si>
  <si>
    <t>MARIA DE FATIMA RODRIGUES DE OLIVEIRA SANTOS</t>
  </si>
  <si>
    <t>03634896817</t>
  </si>
  <si>
    <t>LUIZ BEZERRA DA SILVA</t>
  </si>
  <si>
    <t>01/051953</t>
  </si>
  <si>
    <t>MARIA JOSE</t>
  </si>
  <si>
    <t>11177949890</t>
  </si>
  <si>
    <t>MAURA APARECIDA MASSARO DE LUNA</t>
  </si>
  <si>
    <t xml:space="preserve">12/02/2026 13h às 17h </t>
  </si>
  <si>
    <t>95435859891</t>
  </si>
  <si>
    <t>EDES MARTINS DOS SANTOS</t>
  </si>
  <si>
    <t xml:space="preserve">  (11)  992186894</t>
  </si>
  <si>
    <t xml:space="preserve">  (11)   966168263</t>
  </si>
  <si>
    <t>01248031806</t>
  </si>
  <si>
    <t>707404083299272 801440420517478</t>
  </si>
  <si>
    <t>JOSE PEDRO DA SILVA</t>
  </si>
  <si>
    <t xml:space="preserve">  (11)   932817447</t>
  </si>
  <si>
    <t xml:space="preserve">  (11)   934898919</t>
  </si>
  <si>
    <t>14687890822</t>
  </si>
  <si>
    <t>NEIDE MARIA DA SILVA</t>
  </si>
  <si>
    <t>(11) 968184224</t>
  </si>
  <si>
    <t>(11) 964668587</t>
  </si>
  <si>
    <t>44718454891</t>
  </si>
  <si>
    <t>EUGENIO PEREIRA DOS SANTOS</t>
  </si>
  <si>
    <t>(11) 55432108</t>
  </si>
  <si>
    <t>35047201821</t>
  </si>
  <si>
    <t>KARINE DE CAMARGO SANTANA</t>
  </si>
  <si>
    <t>(11) 962199889</t>
  </si>
  <si>
    <t>95444556804</t>
  </si>
  <si>
    <t>700501718455453 204296236520007</t>
  </si>
  <si>
    <t>ASCENOR ANTONIO IZEQUIEL</t>
  </si>
  <si>
    <t>(11) 982717030</t>
  </si>
  <si>
    <t>(11) 948963737</t>
  </si>
  <si>
    <t>14339736856</t>
  </si>
  <si>
    <t>MARIA DAS GRACAS PEREIRA ALVES</t>
  </si>
  <si>
    <t>(11) 9460-98630</t>
  </si>
  <si>
    <t>03090322889</t>
  </si>
  <si>
    <t>VAGNER HEIBB DE ALMEIDA</t>
  </si>
  <si>
    <t>(11) 980133666</t>
  </si>
  <si>
    <t>(11) 967855046</t>
  </si>
  <si>
    <t>28268527870</t>
  </si>
  <si>
    <t>FRANCINELDA MARQUES DE SOUSA</t>
  </si>
  <si>
    <t>(11) 968305180</t>
  </si>
  <si>
    <t>11284555879</t>
  </si>
  <si>
    <t>MARTA DE FATIMA GONCALVES</t>
  </si>
  <si>
    <t>(11) 973481724</t>
  </si>
  <si>
    <t>(11) 937566478</t>
  </si>
  <si>
    <t>19/02/2026 13h às 17h</t>
  </si>
  <si>
    <t>22041613300</t>
  </si>
  <si>
    <t>MARLENE CRUZ DE SOUSA</t>
  </si>
  <si>
    <t>12474848827</t>
  </si>
  <si>
    <t>MARILEIDE LOBO DA CRUZ</t>
  </si>
  <si>
    <t>11453703810</t>
  </si>
  <si>
    <t>WILSON GONCALVES DA SILVA</t>
  </si>
  <si>
    <t>75633370830</t>
  </si>
  <si>
    <t>MANUEL JOSIAS DA SILVA</t>
  </si>
  <si>
    <t>22704073856</t>
  </si>
  <si>
    <t>SANDRA FERREIRA DA SILVA</t>
  </si>
  <si>
    <t>00024810819</t>
  </si>
  <si>
    <t>MARIA INEZ DE AVILA PRUDENCIO</t>
  </si>
  <si>
    <t>19582488867</t>
  </si>
  <si>
    <t>IRACEMA ARES PEREIRA</t>
  </si>
  <si>
    <t>90620186887</t>
  </si>
  <si>
    <t>JOSE EDILSON PRUDENCIO SILVA</t>
  </si>
  <si>
    <t>"00073579319"</t>
  </si>
  <si>
    <t>06479663870</t>
  </si>
  <si>
    <t>HILDA OLIVA DUTRA SOARES</t>
  </si>
  <si>
    <t>63789922820</t>
  </si>
  <si>
    <t>WILSON ROBERTO BIANCHI</t>
  </si>
  <si>
    <t>24/02/2026 13h às 17h</t>
  </si>
  <si>
    <t>ABDIAS JOSE DOS SANTOS</t>
  </si>
  <si>
    <t xml:space="preserve">  (11)   964152775</t>
  </si>
  <si>
    <t>MARIA DA PENHA OLIVEIRA SILVA</t>
  </si>
  <si>
    <t xml:space="preserve">  (11)  986788481</t>
  </si>
  <si>
    <t xml:space="preserve">  (11)   947717724</t>
  </si>
  <si>
    <t>JEZONIAS JOSIAS DE SOUZA</t>
  </si>
  <si>
    <t xml:space="preserve">  (11)  937035831</t>
  </si>
  <si>
    <t>RAUL VITOR DE ARAUJO</t>
  </si>
  <si>
    <t xml:space="preserve">  (11)  979879669</t>
  </si>
  <si>
    <t xml:space="preserve">  (11)   965123273</t>
  </si>
  <si>
    <t>LILIANA MARIA DO NASCIMENTO</t>
  </si>
  <si>
    <t xml:space="preserve">  (11)   977273479</t>
  </si>
  <si>
    <t>MATILDE JOSE DE OLIVEIRA</t>
  </si>
  <si>
    <t>(11)  959768650</t>
  </si>
  <si>
    <t>LUIZ PEREIRA DA SILVA</t>
  </si>
  <si>
    <t xml:space="preserve">  (11)   959958004</t>
  </si>
  <si>
    <t>26/02/2026 13h às 17h</t>
  </si>
  <si>
    <t>14666366881</t>
  </si>
  <si>
    <t>ALTAIR DOS SANTOS</t>
  </si>
  <si>
    <t xml:space="preserve">  (11)  986509448</t>
  </si>
  <si>
    <t xml:space="preserve">  (11)   971327741</t>
  </si>
  <si>
    <t>94416010800</t>
  </si>
  <si>
    <t>FRANCISCO CALISTO DE SOUZA</t>
  </si>
  <si>
    <t xml:space="preserve">  (11)  965825060</t>
  </si>
  <si>
    <t xml:space="preserve">  (11)   945410338</t>
  </si>
  <si>
    <t>15206380865</t>
  </si>
  <si>
    <t>MARIA DO CARMO GOUVEIA FERREIRA</t>
  </si>
  <si>
    <t>(11) 996016755</t>
  </si>
  <si>
    <t>18968749833</t>
  </si>
  <si>
    <t>(11) 913619385</t>
  </si>
  <si>
    <t>07337362897</t>
  </si>
  <si>
    <t>RAQUEL GOUVEIA MEYER</t>
  </si>
  <si>
    <t>(11) 963684389</t>
  </si>
  <si>
    <t>(11) 946797438</t>
  </si>
  <si>
    <t>13621853880</t>
  </si>
  <si>
    <t>CRISTINA LUIZA DE BARROS BARBOSA</t>
  </si>
  <si>
    <t>01244433896</t>
  </si>
  <si>
    <t>CLAUDIONOR SANTANA</t>
  </si>
  <si>
    <t>26757568810</t>
  </si>
  <si>
    <t>CLEUSA CECILA QUINTAO</t>
  </si>
  <si>
    <t>(11) 930980144</t>
  </si>
  <si>
    <t>(11) 987684465</t>
  </si>
  <si>
    <t>08934311843</t>
  </si>
  <si>
    <t>(11) 992832231</t>
  </si>
  <si>
    <t>12772236889</t>
  </si>
  <si>
    <t>VALDEMAR CARLOS FREIRE</t>
  </si>
  <si>
    <t>(11) 987406570</t>
  </si>
  <si>
    <t>(11) 986996813</t>
  </si>
  <si>
    <t>42323347420</t>
  </si>
  <si>
    <t>FRANCISCO FERREIRA DAS CHAGAS</t>
  </si>
  <si>
    <t>02/03/2026 13h às 17h</t>
  </si>
  <si>
    <t>87339242872</t>
  </si>
  <si>
    <t>JOAQUIM PEREIRA DO CARMO</t>
  </si>
  <si>
    <t>3181140899</t>
  </si>
  <si>
    <t>27851601851</t>
  </si>
  <si>
    <t>MARLOVE SILVA DE JESUS CASTRO</t>
  </si>
  <si>
    <t>11466569808</t>
  </si>
  <si>
    <t>NILDA MARIA DA SILVA</t>
  </si>
  <si>
    <t>5504884802</t>
  </si>
  <si>
    <t>JOAO FERREIRA DOS SANTOS</t>
  </si>
  <si>
    <t>35943826807</t>
  </si>
  <si>
    <t>VALDELICE DA CONCEICAO</t>
  </si>
  <si>
    <t>43215937867</t>
  </si>
  <si>
    <t>CAMILLY VITORIA DE CAMPOS OLIVEIRA CRUZ</t>
  </si>
  <si>
    <t>28292924809</t>
  </si>
  <si>
    <t>ALTAMIRA DA SILVA PEREIRA</t>
  </si>
  <si>
    <t>39658965806</t>
  </si>
  <si>
    <t>13670061479</t>
  </si>
  <si>
    <t>THALICIA NUNES SIQUEIRA</t>
  </si>
  <si>
    <t>27413993368</t>
  </si>
  <si>
    <t>REGINALDO DOS SANTOS LIRA</t>
  </si>
  <si>
    <t>26801222830</t>
  </si>
  <si>
    <t>RISALDO MENDES PEREIRA</t>
  </si>
  <si>
    <t xml:space="preserve">  (11)   953327159</t>
  </si>
  <si>
    <t xml:space="preserve">  (11)   984001091</t>
  </si>
  <si>
    <t>11 988604469</t>
  </si>
  <si>
    <t>40032917864</t>
  </si>
  <si>
    <t>ROSA DE JESUS ALVES DO OURO</t>
  </si>
  <si>
    <t xml:space="preserve">  (11)   951976534</t>
  </si>
  <si>
    <t>79567339449</t>
  </si>
  <si>
    <t>ROSILDA SEVERINA GONCALVES</t>
  </si>
  <si>
    <t>11 965552821</t>
  </si>
  <si>
    <t>11 997938865</t>
  </si>
  <si>
    <t>3522666860</t>
  </si>
  <si>
    <t>MARIA LUCIA MARINHO</t>
  </si>
  <si>
    <t>98161385572</t>
  </si>
  <si>
    <t>ANTONIO DE SOUZA ARAUJO</t>
  </si>
  <si>
    <t>(11)  951195263</t>
  </si>
  <si>
    <t>(11)   945845094</t>
  </si>
  <si>
    <t>38157738814</t>
  </si>
  <si>
    <t>CIBELE FERNANDES DE SOUZA</t>
  </si>
  <si>
    <t xml:space="preserve">  (11)   959501208</t>
  </si>
  <si>
    <t>45918740368</t>
  </si>
  <si>
    <t>MARIA VANDERLITA SOUSA</t>
  </si>
  <si>
    <t>8648418844</t>
  </si>
  <si>
    <t>VALDEMAR PIRES PEDROSO</t>
  </si>
  <si>
    <t>(11) 964386583</t>
  </si>
  <si>
    <t>FRANCISCA MARINHA DE SOUSA NETA</t>
  </si>
  <si>
    <t>2383923761</t>
  </si>
  <si>
    <t>JOSE SEVERINO DE SOUZA</t>
  </si>
  <si>
    <t>52669556868</t>
  </si>
  <si>
    <t>IVANALDO PEREIRA DOS SANTOS</t>
  </si>
  <si>
    <t>6521985892</t>
  </si>
  <si>
    <t>00022477802</t>
  </si>
  <si>
    <t>JUVENIL GERALDO ROMERO</t>
  </si>
  <si>
    <t>95238115849</t>
  </si>
  <si>
    <t>EDSON MENDES CAVALCANTI</t>
  </si>
  <si>
    <t>10708881769</t>
  </si>
  <si>
    <t>03346083845</t>
  </si>
  <si>
    <t>VICENTE WILTON DE SOUZA FELIPE</t>
  </si>
  <si>
    <t>26035906850</t>
  </si>
  <si>
    <t>NUBIA CRISTIANE NUNES SANTIAGO FADINI</t>
  </si>
  <si>
    <t>58638660472</t>
  </si>
  <si>
    <t>ABEL SEVERINO DA SILVA</t>
  </si>
  <si>
    <t>62269100468</t>
  </si>
  <si>
    <t>SEBASTIAO JOSE MARTINS DA COSTA</t>
  </si>
  <si>
    <t>6468722810</t>
  </si>
  <si>
    <t>MARIA EDNA DE ALMEIDA</t>
  </si>
  <si>
    <t>10175594813</t>
  </si>
  <si>
    <t>GILMAR ALVES PEREIRA</t>
  </si>
  <si>
    <t>80454470363</t>
  </si>
  <si>
    <t>MARIA LUCIA ALMEIDA DOS SANTOS LIMA</t>
  </si>
  <si>
    <t>34029988822</t>
  </si>
  <si>
    <t>JOSEMARIO VIEIRA DA SILVA</t>
  </si>
  <si>
    <t>34026121860</t>
  </si>
  <si>
    <t>FLAVIO JOSE SANTANA FERNANDES</t>
  </si>
  <si>
    <t>Vagas livre</t>
  </si>
  <si>
    <t>0930600843</t>
  </si>
  <si>
    <t>MARIA ROSARIA ALVES DE OLIVEIRA</t>
  </si>
  <si>
    <t>09192292801</t>
  </si>
  <si>
    <t>APARECIDA ELZA DA SILVA</t>
  </si>
  <si>
    <t>11 953499559</t>
  </si>
  <si>
    <t>12523776812</t>
  </si>
  <si>
    <t>MARTA MILHER FERNANDO CARDEAL</t>
  </si>
  <si>
    <t>21477905839</t>
  </si>
  <si>
    <t>SIVANILDA NOGUEIRA DA SILVA</t>
  </si>
  <si>
    <t>3385690498</t>
  </si>
  <si>
    <t>MARIA JULIA DA CONCEICAO MACHADO</t>
  </si>
  <si>
    <t>2346231878</t>
  </si>
  <si>
    <t>SEBASTIAO DA CRUZ</t>
  </si>
  <si>
    <t>11 988634750</t>
  </si>
  <si>
    <t>3733338898</t>
  </si>
  <si>
    <t>ANSELMO CICERO DO NASCIMENTO</t>
  </si>
  <si>
    <t>(11) 9584-18551</t>
  </si>
  <si>
    <t>11 58256634</t>
  </si>
  <si>
    <t>4875088400</t>
  </si>
  <si>
    <t>JOSIMARIO DA SILVA NASCIMENTO</t>
  </si>
  <si>
    <t>63684179868</t>
  </si>
  <si>
    <t>CONSTANTINO SAO JOSE DA SILVA</t>
  </si>
  <si>
    <t>66137276872</t>
  </si>
  <si>
    <t>JESUINO MARTINS DE ALMEIDA</t>
  </si>
  <si>
    <t>3596916844</t>
  </si>
  <si>
    <t>GILBERTO AMBROSIO DA SILVA</t>
  </si>
  <si>
    <t>11 991819296</t>
  </si>
  <si>
    <t>13440045803</t>
  </si>
  <si>
    <t>ELIZETE LUZ DE OLIVEIRA</t>
  </si>
  <si>
    <t>MARIA RAIMUNDA BORBA DOS SANTOS SILVA</t>
  </si>
  <si>
    <t>28080880867</t>
  </si>
  <si>
    <t>MARIA DE LURDES DO NASCIMENTO</t>
  </si>
  <si>
    <t>Setor V - UBS Jardim Maracá</t>
  </si>
  <si>
    <t>8650699804</t>
  </si>
  <si>
    <t>ANA BARBOSA PEREIRA</t>
  </si>
  <si>
    <t>Setor V - UBS Jardim Lídia</t>
  </si>
  <si>
    <t>48509167591</t>
  </si>
  <si>
    <t>VILSON NUNES LOPES</t>
  </si>
  <si>
    <t>Setor V - UBS Jardim Germânia</t>
  </si>
  <si>
    <t>29237245858</t>
  </si>
  <si>
    <t>LUIZA ALMEIDA CIPRIANO</t>
  </si>
  <si>
    <t>Setor V - UBS Jardim Valquíria</t>
  </si>
  <si>
    <t>04132820823</t>
  </si>
  <si>
    <t>EDILEUZA DE LOURDES COLOMBO DA COSTA</t>
  </si>
  <si>
    <t>9224579809</t>
  </si>
  <si>
    <t>LADISLAU ANTONIO SILVA NETO</t>
  </si>
  <si>
    <t>14892025879</t>
  </si>
  <si>
    <t>PATRICIA FERREIRA DE LIMA</t>
  </si>
  <si>
    <t>31417080884</t>
  </si>
  <si>
    <t>WESLEI ALVES</t>
  </si>
  <si>
    <t>32806755883</t>
  </si>
  <si>
    <t>MARIA SUELI FERREIRA DOS SANTOS</t>
  </si>
  <si>
    <t>10035617802</t>
  </si>
  <si>
    <t>NADIR NUNES DOS ANJOS PIRES</t>
  </si>
  <si>
    <t>12721607855</t>
  </si>
  <si>
    <t>MAURO DE JESUS BARROS</t>
  </si>
  <si>
    <t>09499840869</t>
  </si>
  <si>
    <t>MARIA DAS DORES PEREIRA</t>
  </si>
  <si>
    <t>91548136549</t>
  </si>
  <si>
    <t>MARIA NAILZA SOUZA DOS SANTOS</t>
  </si>
  <si>
    <t>13622057882</t>
  </si>
  <si>
    <t>CELIA MARIA PEREIRA GOMES DOS SANTOS</t>
  </si>
  <si>
    <t>04981516894</t>
  </si>
  <si>
    <t>DOMINGOS DE JESUS OLIVEIRA</t>
  </si>
  <si>
    <t>72120142734</t>
  </si>
  <si>
    <t>MARIA VANUZIA MARQUES</t>
  </si>
  <si>
    <t>04727664810</t>
  </si>
  <si>
    <t>DANIEL ALVES MARTINS</t>
  </si>
  <si>
    <t>04044384150</t>
  </si>
  <si>
    <t>NIDILENE DA SILVA FURTADO</t>
  </si>
  <si>
    <t>38356082153</t>
  </si>
  <si>
    <t>JOSENIR PINHEIRO COSTA</t>
  </si>
  <si>
    <t>94794537891</t>
  </si>
  <si>
    <t>HELENO MARINHO DE ESPINDOLA</t>
  </si>
  <si>
    <t>JOSE PAULINO PEREIRA</t>
  </si>
  <si>
    <t>10084863889</t>
  </si>
  <si>
    <t>MARCO ANTONIO DA SILVA</t>
  </si>
  <si>
    <t>05000066871</t>
  </si>
  <si>
    <t>ANTONIO PEREIRA</t>
  </si>
  <si>
    <t>04071290579</t>
  </si>
  <si>
    <t>GILMAR GUIMARAES BONFIM</t>
  </si>
  <si>
    <t>16941207833</t>
  </si>
  <si>
    <t>MARIA ROSA DOS ANJOS</t>
  </si>
  <si>
    <t xml:space="preserve">01085177807        </t>
  </si>
  <si>
    <t>ANILTON ROBERTO DA SILVA</t>
  </si>
  <si>
    <t>10707368804</t>
  </si>
  <si>
    <t>708601576345585</t>
  </si>
  <si>
    <t>MARIA DA PENHA SILVA DE OLIVEIRA</t>
  </si>
  <si>
    <t>22707158887</t>
  </si>
  <si>
    <t>VICENTE DE OLIVEIRA MACHADO</t>
  </si>
  <si>
    <t>25959269856</t>
  </si>
  <si>
    <t>07390005866</t>
  </si>
  <si>
    <t>MARIA DURCINEIA MARTINS</t>
  </si>
  <si>
    <t>28526913883</t>
  </si>
  <si>
    <t>MARIA CICERA PEREIRA DA SILVA</t>
  </si>
  <si>
    <t>14759178805</t>
  </si>
  <si>
    <t>CRISTINA MAIOTTI SEABRA GOMES</t>
  </si>
  <si>
    <t>06521985892</t>
  </si>
  <si>
    <t>33654676880</t>
  </si>
  <si>
    <t>MARIA DE SOUZA SANTANA</t>
  </si>
  <si>
    <t>11701505860</t>
  </si>
  <si>
    <t>MARIA ANGELA IBIAPINA EMIDIO</t>
  </si>
  <si>
    <t>22985329825</t>
  </si>
  <si>
    <t>DANILO SANTOS DA ENCARNACAO</t>
  </si>
  <si>
    <t>18417855807</t>
  </si>
  <si>
    <t>MARIA DE FATIMA LOPES MARIANO</t>
  </si>
  <si>
    <t>07470988831</t>
  </si>
  <si>
    <t>PAULO AFONSO DE OLIVEIRA</t>
  </si>
  <si>
    <t>73434264515</t>
  </si>
  <si>
    <t>ELIANA MARIA DE JESUS</t>
  </si>
  <si>
    <t>13238129899</t>
  </si>
  <si>
    <t>MARCIA MATIAS PEREIRA</t>
  </si>
  <si>
    <t>34320829832</t>
  </si>
  <si>
    <t>MARIA GENEROZA DE SOUZA SANTOS</t>
  </si>
  <si>
    <t>04891303484</t>
  </si>
  <si>
    <t>01222275813</t>
  </si>
  <si>
    <t>LUZINETE RIBEIRO DA SILVA</t>
  </si>
  <si>
    <t>19183458808</t>
  </si>
  <si>
    <t>AURA MAZZUIA</t>
  </si>
  <si>
    <t>03345853841</t>
  </si>
  <si>
    <t>CREMILDA OLIVEIRA</t>
  </si>
  <si>
    <t>SANDRA REGINA PEREIRA DA SILVA</t>
  </si>
  <si>
    <t>38852020934</t>
  </si>
  <si>
    <t>26399039851</t>
  </si>
  <si>
    <t>01312303794</t>
  </si>
  <si>
    <t>ROSINALDO MONTEIRO DE QUEIROZ</t>
  </si>
  <si>
    <t>22083380819</t>
  </si>
  <si>
    <t>EMERSON MATOS FERREIRA</t>
  </si>
  <si>
    <t>03564868852</t>
  </si>
  <si>
    <t>ANTONIO COSMO BARBOSA NOGUEIRA</t>
  </si>
  <si>
    <t>18475880851</t>
  </si>
  <si>
    <t>DILMA ALVES DE OLIVEIRA MENEZES</t>
  </si>
  <si>
    <t>03565180862</t>
  </si>
  <si>
    <t>VERA LUCIA GONCALVES FERREIRA</t>
  </si>
  <si>
    <t>10583353835</t>
  </si>
  <si>
    <t>OLIVIA MARIA DE LIMA E SOUZA</t>
  </si>
  <si>
    <t>24876896844</t>
  </si>
  <si>
    <t>SHIRLEY RAMOS SANTANA</t>
  </si>
  <si>
    <t>19655887863</t>
  </si>
  <si>
    <t>ROGERIO AFONSO SPIRITO</t>
  </si>
  <si>
    <t>09345717838</t>
  </si>
  <si>
    <t>22985358841</t>
  </si>
  <si>
    <t>ANDREZA FRANCISCA DOS SANTOS</t>
  </si>
  <si>
    <t>34447318504</t>
  </si>
  <si>
    <t>NAIR PEREIRA DOS SANTOS</t>
  </si>
  <si>
    <t>04414654807</t>
  </si>
  <si>
    <t>ROSIVAL MARIANO DA SILVA</t>
  </si>
  <si>
    <t>51242197850</t>
  </si>
  <si>
    <t>MATHEUS DOS SANTOS</t>
  </si>
  <si>
    <t>05448923801</t>
  </si>
  <si>
    <t>ELENI PINHEIRO BARBOSA</t>
  </si>
  <si>
    <t>57072809872</t>
  </si>
  <si>
    <t>AGAPIO DIAS DE LIMA</t>
  </si>
  <si>
    <t>11858293855</t>
  </si>
  <si>
    <t>JOANA DARC MORSELI DA SILVA</t>
  </si>
  <si>
    <t>10316156876</t>
  </si>
  <si>
    <t>MARIA DA CONSOLACAO COELHO</t>
  </si>
  <si>
    <t>08731033865</t>
  </si>
  <si>
    <t>MARIA LEOZINA DA SILVA</t>
  </si>
  <si>
    <t>30212126890</t>
  </si>
  <si>
    <t>SIMAURA MARIA DE JESUS</t>
  </si>
  <si>
    <t>ELIAS ANGELO DA SILVA</t>
  </si>
  <si>
    <t>12521325813</t>
  </si>
  <si>
    <t>JOSE LEITE DE MELO</t>
  </si>
  <si>
    <t>17072582878</t>
  </si>
  <si>
    <t>EDUARDO CANDIDO DA SILVA</t>
  </si>
  <si>
    <t>11397130865</t>
  </si>
  <si>
    <t>22169673865</t>
  </si>
  <si>
    <t>GILVANEY PEREIRA SALOMAO</t>
  </si>
  <si>
    <t>08797523860</t>
  </si>
  <si>
    <t>MARIA DAS GRACAS DE SOUZA</t>
  </si>
  <si>
    <t>19037546900</t>
  </si>
  <si>
    <t>OTAVIO DOMINGUES BAPTISTA</t>
  </si>
  <si>
    <t>19184322870</t>
  </si>
  <si>
    <t>JOSE RAIMUNDO SIMOES</t>
  </si>
  <si>
    <t>09307258678</t>
  </si>
  <si>
    <t>GERMANA IZABEL DE LANA EDUARDO</t>
  </si>
  <si>
    <t>45007063215</t>
  </si>
  <si>
    <t>ELIANE SANTOS GOMES</t>
  </si>
  <si>
    <t>08652828890</t>
  </si>
  <si>
    <t>APARECIDA MANOEL BAPTISTA</t>
  </si>
  <si>
    <t>55694411668</t>
  </si>
  <si>
    <t>VALDIVIO DE OLIVEIRA</t>
  </si>
  <si>
    <t>34159370896</t>
  </si>
  <si>
    <t>DAYANA FELIX DOS SANTOS</t>
  </si>
  <si>
    <t>26725262813</t>
  </si>
  <si>
    <t>JOSE DOS SANTOS GOMES</t>
  </si>
  <si>
    <t>10810049830</t>
  </si>
  <si>
    <t>700004378029604</t>
  </si>
  <si>
    <t>NALDI ERINS DA SILVA</t>
  </si>
  <si>
    <t>26990163810</t>
  </si>
  <si>
    <t>MARIA DAS GRACAS PAPACACIO DA SILVA</t>
  </si>
  <si>
    <t>03/03/2026 13h às 17h</t>
  </si>
  <si>
    <t>00704020866</t>
  </si>
  <si>
    <t>ANTONIA MARGARIDA DE OLIVEIRA NASCIMENTO</t>
  </si>
  <si>
    <t xml:space="preserve">  (11)  977253236</t>
  </si>
  <si>
    <t xml:space="preserve">  (11)   961160838</t>
  </si>
  <si>
    <t>17142989149</t>
  </si>
  <si>
    <t xml:space="preserve">NILSO DUARTE </t>
  </si>
  <si>
    <t xml:space="preserve">  (11)  977763159</t>
  </si>
  <si>
    <t xml:space="preserve">  (11)   948133077</t>
  </si>
  <si>
    <t>03572616824</t>
  </si>
  <si>
    <t>ALTEMIRANDO ROCHA</t>
  </si>
  <si>
    <t xml:space="preserve">  (11)   958015886</t>
  </si>
  <si>
    <t>19889087871</t>
  </si>
  <si>
    <t>SUSANA AMARAL DE OLIVEIRA</t>
  </si>
  <si>
    <t xml:space="preserve">  (11)  966581729</t>
  </si>
  <si>
    <t xml:space="preserve">  (11)   962841385</t>
  </si>
  <si>
    <t>15165931897</t>
  </si>
  <si>
    <t>705804467290336 201533966300008</t>
  </si>
  <si>
    <t>MARIA EUNICE PEREIRA DOS SANTOS SILVA</t>
  </si>
  <si>
    <t xml:space="preserve">  (11)  994577657</t>
  </si>
  <si>
    <t xml:space="preserve">  (11)   970601112</t>
  </si>
  <si>
    <t>40326070877</t>
  </si>
  <si>
    <t>MARCELO GOMES DE ALMEIDA</t>
  </si>
  <si>
    <t xml:space="preserve">  (11)   983494314</t>
  </si>
  <si>
    <t>05133285132</t>
  </si>
  <si>
    <t>ANALIA DOS SANTOS FERNANDES DE OLIVEIRA</t>
  </si>
  <si>
    <t>Não atendido</t>
  </si>
  <si>
    <t xml:space="preserve">  (11)   994626322</t>
  </si>
  <si>
    <t xml:space="preserve">  (11)  941176420</t>
  </si>
  <si>
    <t>13622689846</t>
  </si>
  <si>
    <t xml:space="preserve">Magda  Alves da Silva </t>
  </si>
  <si>
    <t>33431389830</t>
  </si>
  <si>
    <t>ALZIRA MARTINS GUTIERRE</t>
  </si>
  <si>
    <t xml:space="preserve">  (11)  985261201</t>
  </si>
  <si>
    <t xml:space="preserve">  (11)   952143988</t>
  </si>
  <si>
    <t>12982046822</t>
  </si>
  <si>
    <t>GERIMARIO EUSTAQUIO</t>
  </si>
  <si>
    <t xml:space="preserve">  (11)   977717467</t>
  </si>
  <si>
    <t>99333619887</t>
  </si>
  <si>
    <t>EUNICE DA CONCEICAO SILVA</t>
  </si>
  <si>
    <t xml:space="preserve">  (11)   991338850</t>
  </si>
  <si>
    <t xml:space="preserve">  (11)   981146867</t>
  </si>
  <si>
    <t>27432786844</t>
  </si>
  <si>
    <t>JOSE BENEDITO SIMOES</t>
  </si>
  <si>
    <t xml:space="preserve">  (11)  939368672</t>
  </si>
  <si>
    <t xml:space="preserve">  (11)   976543269</t>
  </si>
  <si>
    <t>64908461872</t>
  </si>
  <si>
    <t>LEONARDO ANTONIO DA COSTA</t>
  </si>
  <si>
    <t xml:space="preserve">  (11)   989581905</t>
  </si>
  <si>
    <t>37234383859</t>
  </si>
  <si>
    <t>FERNANDA DE SOUZA ALVES SILVA</t>
  </si>
  <si>
    <t xml:space="preserve">  (11)  962425005</t>
  </si>
  <si>
    <t xml:space="preserve">  (11)   969763363</t>
  </si>
  <si>
    <t>01192853806</t>
  </si>
  <si>
    <t>SELVINO FRANCISCO DE JESUS</t>
  </si>
  <si>
    <t xml:space="preserve">  (11)   939629980</t>
  </si>
  <si>
    <t>42636124420</t>
  </si>
  <si>
    <t>GERALDO LUIZ DA SILVA</t>
  </si>
  <si>
    <t xml:space="preserve">  (11)  959457783</t>
  </si>
  <si>
    <t xml:space="preserve">  (11)   992533414</t>
  </si>
  <si>
    <t>35398757865</t>
  </si>
  <si>
    <t>MICAELA APARECIDA BARROS SILVA</t>
  </si>
  <si>
    <t xml:space="preserve">  (11)   932557605</t>
  </si>
  <si>
    <t xml:space="preserve">  (11)   963534171</t>
  </si>
  <si>
    <t xml:space="preserve">  (11)   985079831</t>
  </si>
  <si>
    <t xml:space="preserve">  (11)   982809321</t>
  </si>
  <si>
    <t>05738559860</t>
  </si>
  <si>
    <t>RAIMUNDA ALVES ALEXANDRE ANDRADE</t>
  </si>
  <si>
    <t xml:space="preserve">  (11)   930703943</t>
  </si>
  <si>
    <t xml:space="preserve">  (11)   995395870</t>
  </si>
  <si>
    <t>33057924859</t>
  </si>
  <si>
    <t>ELIZETE SANTOS DA SILVA FERREIRA</t>
  </si>
  <si>
    <t xml:space="preserve">  (11)  966645016</t>
  </si>
  <si>
    <t xml:space="preserve">  (11)   969507291</t>
  </si>
  <si>
    <t>95169121849</t>
  </si>
  <si>
    <t>SISNANDO DE JESUS SALES</t>
  </si>
  <si>
    <t>04030284850</t>
  </si>
  <si>
    <t>FILOMENA GOMES DE CARVALHO</t>
  </si>
  <si>
    <t>17638410491</t>
  </si>
  <si>
    <t>CAMILO MIGUEL DA SILVA</t>
  </si>
  <si>
    <t>59917458891</t>
  </si>
  <si>
    <t>ADAO VIEIRA GUERRA</t>
  </si>
  <si>
    <t>26264876860</t>
  </si>
  <si>
    <t>NEUSA RODRIGUES SILVA</t>
  </si>
  <si>
    <t>09154777852</t>
  </si>
  <si>
    <t>MARIA LUCIMAR LOBATO MOTA</t>
  </si>
  <si>
    <t>80592139891</t>
  </si>
  <si>
    <t>VALDEMAR FERREIRA SALES</t>
  </si>
  <si>
    <t>11 982564226</t>
  </si>
  <si>
    <t>01513115448</t>
  </si>
  <si>
    <t>LUIZ MOIZES DE SANTANA</t>
  </si>
  <si>
    <t>11 968152829</t>
  </si>
  <si>
    <t>93756410820</t>
  </si>
  <si>
    <t>ERCILIO FRANCISCO DE OLIVEIRA</t>
  </si>
  <si>
    <t>41303725568</t>
  </si>
  <si>
    <t>ESTEPHANIA MARIA DE JESUS</t>
  </si>
  <si>
    <t>11 990015693</t>
  </si>
  <si>
    <t>41464139822</t>
  </si>
  <si>
    <t>FERNANDO GABRIEL VASCONCELOS DE ARAUJO</t>
  </si>
  <si>
    <t>11 984875309</t>
  </si>
  <si>
    <t>12638473820</t>
  </si>
  <si>
    <t>ODETE TEREZINHA DE CAMPOS</t>
  </si>
  <si>
    <t>34727582449</t>
  </si>
  <si>
    <t>SONIA MARIA FELIX</t>
  </si>
  <si>
    <t>85953954891</t>
  </si>
  <si>
    <t>ANTONIO GARCIA MORENO</t>
  </si>
  <si>
    <t>09302327809</t>
  </si>
  <si>
    <t>MARIA DAS GRACAS DO NASCIMENTO</t>
  </si>
  <si>
    <t>70394539834</t>
  </si>
  <si>
    <t>ALICE JOAQUINA DA ROCHA</t>
  </si>
  <si>
    <t>22302089855</t>
  </si>
  <si>
    <t>MIRIAN DE JESUS SOUZA</t>
  </si>
  <si>
    <t>Setor  IV - UBS Jardim Aracati</t>
  </si>
  <si>
    <t>26752491810</t>
  </si>
  <si>
    <t>JOSEANIA MARQUES DE SOUZA</t>
  </si>
  <si>
    <t>Setor  IV - UBS Pq do Lago</t>
  </si>
  <si>
    <t>12978816805</t>
  </si>
  <si>
    <t>SEBASTIAO JOAQUIM DA SILVA</t>
  </si>
  <si>
    <t>Setor  IV - UBS Jardim Herculano</t>
  </si>
  <si>
    <t xml:space="preserve">10440563801	</t>
  </si>
  <si>
    <t>ADILSON FIUZA PEDREIRA</t>
  </si>
  <si>
    <t>17901308320</t>
  </si>
  <si>
    <t>JOSE LUIZ RODRIGUES FERREIRA</t>
  </si>
  <si>
    <t>14758021880</t>
  </si>
  <si>
    <t>RITA NETA DE CASSIA</t>
  </si>
  <si>
    <t>36099268804</t>
  </si>
  <si>
    <t>IVONETE MOUREIRA DOS SANTOS</t>
  </si>
  <si>
    <t>25492888404</t>
  </si>
  <si>
    <t>DAMIAO ANTONIO DA SILVA</t>
  </si>
  <si>
    <t>09447495850</t>
  </si>
  <si>
    <t>EFIGENIA MARIA DA ROCHA</t>
  </si>
  <si>
    <t>11968366287</t>
  </si>
  <si>
    <t>13647960829</t>
  </si>
  <si>
    <t>ANTONIO LUIS DOMINGUES DE LIMA</t>
  </si>
  <si>
    <t>11984987249</t>
  </si>
  <si>
    <t>08576036800</t>
  </si>
  <si>
    <t>MARIA DAS MERCEDES DE CARVALHO GONCALVES</t>
  </si>
  <si>
    <t>11977937388</t>
  </si>
  <si>
    <t>94556270863</t>
  </si>
  <si>
    <t>GERALDO PEREIRA DA SILVA</t>
  </si>
  <si>
    <t>66130530820</t>
  </si>
  <si>
    <t>JOSE FRANCISCO DO O</t>
  </si>
  <si>
    <t>11960624804</t>
  </si>
  <si>
    <t>34032764816</t>
  </si>
  <si>
    <t>SAMANTHA EVELLYN SOUZA BATISTA</t>
  </si>
  <si>
    <t>11958540171</t>
  </si>
  <si>
    <t>75570408800</t>
  </si>
  <si>
    <t>JOSE AUGUSTO BORGES</t>
  </si>
  <si>
    <t>11986814230</t>
  </si>
  <si>
    <t>25921578835</t>
  </si>
  <si>
    <t>963229841</t>
  </si>
  <si>
    <t>14282827858</t>
  </si>
  <si>
    <t>ARLINDO INACIO DOS SANTOS FILHO</t>
  </si>
  <si>
    <t>79073760844</t>
  </si>
  <si>
    <t>AURELINA FELIX DA SILVA</t>
  </si>
  <si>
    <t>11762573822</t>
  </si>
  <si>
    <t>AIRTON CAMELO DE ARAUJO</t>
  </si>
  <si>
    <t>01196982856</t>
  </si>
  <si>
    <t>JOSE CAETANO VIEIRA</t>
  </si>
  <si>
    <t>04440990851</t>
  </si>
  <si>
    <t>MARIA DASIA RIBEIRO DE FREITAS</t>
  </si>
  <si>
    <t>93901550887</t>
  </si>
  <si>
    <t>ANETERIO SILVA SOUSA</t>
  </si>
  <si>
    <t>68326831620</t>
  </si>
  <si>
    <t>MARIA ANTONIA DE MELO FRITO</t>
  </si>
  <si>
    <t>31531222889</t>
  </si>
  <si>
    <t>EDNEIA KARAM MEDEIROS TEIXEIRA</t>
  </si>
  <si>
    <t>02764875835</t>
  </si>
  <si>
    <t>LEIDE ALVES RIBEIRO</t>
  </si>
  <si>
    <t>12477106880</t>
  </si>
  <si>
    <t>JOSE CARLOS TEIXEIRA</t>
  </si>
  <si>
    <t>39956261572</t>
  </si>
  <si>
    <t>NORMA LUCIA DOS SANTOS SOUZA</t>
  </si>
  <si>
    <t>11145461867</t>
  </si>
  <si>
    <t>SERGIO TADEU NEVES SOARES</t>
  </si>
  <si>
    <t>01458075842</t>
  </si>
  <si>
    <t>ADEMIR APARECIDO MATIAS</t>
  </si>
  <si>
    <t>22298365873</t>
  </si>
  <si>
    <t>ROSALINA CORREIA DE SOUZA NASCIMENTO</t>
  </si>
  <si>
    <t>19189561899</t>
  </si>
  <si>
    <t>JACI ALEXANDRINO PIRES</t>
  </si>
  <si>
    <t>38579138434</t>
  </si>
  <si>
    <t>ADAILTO AVELINO DA SILVA</t>
  </si>
  <si>
    <t>33742600559</t>
  </si>
  <si>
    <t>ARMANDO SANTOS PEREIRA</t>
  </si>
  <si>
    <t>36441465272</t>
  </si>
  <si>
    <t>VALDELI CRUZ DO NASCIMENTO</t>
  </si>
  <si>
    <t>18967685807</t>
  </si>
  <si>
    <t>MARIA APARECIDA DE LIMA SILVA</t>
  </si>
  <si>
    <t>49941712468</t>
  </si>
  <si>
    <t>MARIA DE FATIMA GALDINO DA SILVA</t>
  </si>
  <si>
    <t>68543328853</t>
  </si>
  <si>
    <t>LUIZ GONCALVES VIEIRA</t>
  </si>
  <si>
    <t>12735407861</t>
  </si>
  <si>
    <t>VINDILINO PEDRO SALES FILHO</t>
  </si>
  <si>
    <t>29644798449</t>
  </si>
  <si>
    <t>RIZETE FERREIRA DOS SANTOS</t>
  </si>
  <si>
    <t>39123790849</t>
  </si>
  <si>
    <t>JOSE DOS SANTOS</t>
  </si>
  <si>
    <t>32051457808</t>
  </si>
  <si>
    <t>EDIANA GOMES DE MOTA</t>
  </si>
  <si>
    <t>01116882809</t>
  </si>
  <si>
    <t>DEMERVAL MARINHO LIMA</t>
  </si>
  <si>
    <t>17452130820</t>
  </si>
  <si>
    <t>ROSANA DA SILVA SANTOS</t>
  </si>
  <si>
    <t>14228957854</t>
  </si>
  <si>
    <t>MARIA REGINA DA SILVA</t>
  </si>
  <si>
    <t>Odaemes Maria dos Santos 
Ubs Jardim Aracati</t>
  </si>
  <si>
    <t>28450566568</t>
  </si>
  <si>
    <t>MATILDE ARAUJO COSTA</t>
  </si>
  <si>
    <t>18966327850</t>
  </si>
  <si>
    <t>JAILSON SEBASTIAO DA SILVA</t>
  </si>
  <si>
    <t>22684869820</t>
  </si>
  <si>
    <t>SONIA NONATO SOUSA</t>
  </si>
  <si>
    <t>14912140821</t>
  </si>
  <si>
    <t>VILMA VIEIRA PEREIRA</t>
  </si>
  <si>
    <t>13576297880</t>
  </si>
  <si>
    <t>MARIA DE LOURDES DE SOUZA</t>
  </si>
  <si>
    <t>05937127811</t>
  </si>
  <si>
    <t>AMELIA CUSTODIO MEDINA</t>
  </si>
  <si>
    <t>08480172851</t>
  </si>
  <si>
    <t>ELZINA CAETANO DE SOUZA</t>
  </si>
  <si>
    <t>94328277804</t>
  </si>
  <si>
    <t>MARIA HELENA ALVES</t>
  </si>
  <si>
    <t>14684877876</t>
  </si>
  <si>
    <t>EVILASIO JOSE PIRES</t>
  </si>
  <si>
    <t>34190501867</t>
  </si>
  <si>
    <t>MICHEL RODRIGO DA PAIXAO</t>
  </si>
  <si>
    <t>36836532568</t>
  </si>
  <si>
    <t>JOSE CARLOS ARAUJO ALVES</t>
  </si>
  <si>
    <t>03579658840</t>
  </si>
  <si>
    <t>SERGIO LUIZ TEIXEIRA</t>
  </si>
  <si>
    <t>01562674382</t>
  </si>
  <si>
    <t>RITA NONATO DE ALMEIDA</t>
  </si>
  <si>
    <t>30/03/2026 13h às 17h</t>
  </si>
  <si>
    <t>11447411811</t>
  </si>
  <si>
    <t>RAQUEL DE SOUZA RIBEIRO</t>
  </si>
  <si>
    <t>05216351876</t>
  </si>
  <si>
    <t>RAIMUNDA FERNANDES DA CRUZ</t>
  </si>
  <si>
    <t>89062132634</t>
  </si>
  <si>
    <t>SALVINA VIEIRA DE OLIVEIRA</t>
  </si>
  <si>
    <t>33598456840</t>
  </si>
  <si>
    <t>ANICELIA DOS SANTOS SOARES</t>
  </si>
  <si>
    <t>55520856800</t>
  </si>
  <si>
    <t>EVELLYN DE JESUS SILVA</t>
  </si>
  <si>
    <t>08770971862</t>
  </si>
  <si>
    <t>MARIA GORETTI CANDIDA DA SILVA</t>
  </si>
  <si>
    <t>08425924820</t>
  </si>
  <si>
    <t>VERONICA SMYCHNIUCK</t>
  </si>
  <si>
    <t>00166461695</t>
  </si>
  <si>
    <t>53559738849</t>
  </si>
  <si>
    <t>JOSE RAIMUNDO DA SILVA</t>
  </si>
  <si>
    <t>19179521800</t>
  </si>
  <si>
    <t>LUZIA EUZEBIA DA COSTA NEVES</t>
  </si>
  <si>
    <t>08367480856</t>
  </si>
  <si>
    <t>ANA RAMOS DA SILVA</t>
  </si>
  <si>
    <t>29853859890</t>
  </si>
  <si>
    <t>ELIZANGELA ROCHA DOS SANTOS</t>
  </si>
  <si>
    <t>FERIADO</t>
  </si>
  <si>
    <t>83708197887</t>
  </si>
  <si>
    <t>JOSE COELHO DE SOUZA</t>
  </si>
  <si>
    <t>09042511877</t>
  </si>
  <si>
    <t>DJALMA LOURENCO DE ESMELIA</t>
  </si>
  <si>
    <t>73463523434</t>
  </si>
  <si>
    <t>EDILSON SEVERINO DA SILVA</t>
  </si>
  <si>
    <t>22531940855</t>
  </si>
  <si>
    <t>MARIA DE FATIMA ALVES DOS SANTOS</t>
  </si>
  <si>
    <t>48834017668</t>
  </si>
  <si>
    <t>TARCISIO DA SILVA CABRAL</t>
  </si>
  <si>
    <t>12806613809</t>
  </si>
  <si>
    <t>81220480800</t>
  </si>
  <si>
    <t>JOSE FRANCISCO NOVAIS</t>
  </si>
  <si>
    <t>03313720455</t>
  </si>
  <si>
    <t>ROSELI MARIA DA SILVA</t>
  </si>
  <si>
    <t>14686148863</t>
  </si>
  <si>
    <t>JOSE OSVALDO RIBEIRO</t>
  </si>
  <si>
    <t>57809402587</t>
  </si>
  <si>
    <t>FLORDINICE JESUS DE ALMEIDA</t>
  </si>
  <si>
    <t>17356462885</t>
  </si>
  <si>
    <t>PETRONILIA SOARES VIEIRA</t>
  </si>
  <si>
    <t>07725511890</t>
  </si>
  <si>
    <t>LUZINETE MARIA DE JESUS CERQUEIRA</t>
  </si>
  <si>
    <t>14889309888</t>
  </si>
  <si>
    <t>PLACIDO EDEN DA SILVA</t>
  </si>
  <si>
    <t>01075945879</t>
  </si>
  <si>
    <t>LINDEMAR MARQUES NOVAES</t>
  </si>
  <si>
    <t>94668523887</t>
  </si>
  <si>
    <t>FRANCISCA INACIO DE SOUZA E ROCHA</t>
  </si>
  <si>
    <t>79690777653</t>
  </si>
  <si>
    <t>TEREZINHA COELHO FARIAS</t>
  </si>
  <si>
    <t>32660554897</t>
  </si>
  <si>
    <t>MARIA DIVINA DUARTE DE OLIVEIRA</t>
  </si>
  <si>
    <t>03773830823</t>
  </si>
  <si>
    <t>JULIA MARIA DE JESUS</t>
  </si>
  <si>
    <t>39779047875</t>
  </si>
  <si>
    <t>JENIFFER ANTUNES MARCONDES GURGEL</t>
  </si>
  <si>
    <t>01115524860</t>
  </si>
  <si>
    <t>PAXAO ALVES DE FRANCA</t>
  </si>
  <si>
    <t>24887727801</t>
  </si>
  <si>
    <t>23259942874</t>
  </si>
  <si>
    <t>ASHRAF MOHAMED MOHAMED MOUSSA</t>
  </si>
  <si>
    <t>12234962790</t>
  </si>
  <si>
    <t>ANA PAULA OLIVEIRA QUARESMA</t>
  </si>
  <si>
    <t>10159827868</t>
  </si>
  <si>
    <t>ATHAIDE AMARAL</t>
  </si>
  <si>
    <t>14230088809</t>
  </si>
  <si>
    <t>VALDICE MEDEIROS DA SILVA</t>
  </si>
  <si>
    <t>07727830801</t>
  </si>
  <si>
    <t>MARIA SEVERINA DA CONCEICAO MOURA</t>
  </si>
  <si>
    <t>45733536829</t>
  </si>
  <si>
    <t>ISABELLA BEZERRA DE ALMEIDA</t>
  </si>
  <si>
    <t>14696196879</t>
  </si>
  <si>
    <t>MARLUCE MARIA DA SILVA</t>
  </si>
  <si>
    <t>44455658815</t>
  </si>
  <si>
    <t>JOSE LUIZ BARBOSA DOS SANTOS</t>
  </si>
  <si>
    <t>07340081801</t>
  </si>
  <si>
    <t>JOSE LUIZ DA SILVA</t>
  </si>
  <si>
    <t>57432067830</t>
  </si>
  <si>
    <t>YOHANESS GABRIEL MAGALHAES DOS SANTOS MIGUEL</t>
  </si>
  <si>
    <t>15203361878</t>
  </si>
  <si>
    <t>92004199849</t>
  </si>
  <si>
    <t>ZACARIAS NERI DOS SANTOS</t>
  </si>
  <si>
    <t xml:space="preserve">03310508463        </t>
  </si>
  <si>
    <t>EDVALDO LOPES VIANA</t>
  </si>
  <si>
    <t>14647002810</t>
  </si>
  <si>
    <t>VALMIR DE SOUZA SANTOS</t>
  </si>
  <si>
    <t>11606977873</t>
  </si>
  <si>
    <t>33662622653</t>
  </si>
  <si>
    <t>MARIA ORNELAS DE SOUZA</t>
  </si>
  <si>
    <t>06483708874</t>
  </si>
  <si>
    <t>SONIA MARIA VIEIRA DA SILVA</t>
  </si>
  <si>
    <t>39304213568</t>
  </si>
  <si>
    <t>47053371824</t>
  </si>
  <si>
    <t>ISRAEL BEZERRA BARBOZA</t>
  </si>
  <si>
    <t>17328649852</t>
  </si>
  <si>
    <t>MARINA MOREIRA NEPOMUCENO DE JESUS</t>
  </si>
  <si>
    <t>57103720800</t>
  </si>
  <si>
    <t>PEDRA DO PRADO ZILLIG VIANA</t>
  </si>
  <si>
    <t>66510520559</t>
  </si>
  <si>
    <t>LINDIMAR DE MATOS SALES</t>
  </si>
  <si>
    <t>14888828865</t>
  </si>
  <si>
    <t>VALDIR CHAVES CARNEIRO</t>
  </si>
  <si>
    <t>34133052803</t>
  </si>
  <si>
    <t>SAMUEL FIGUEIREDO</t>
  </si>
  <si>
    <t>14689348804</t>
  </si>
  <si>
    <t>ENES MARIA DA SILVA BARROSO</t>
  </si>
  <si>
    <t>55384099534</t>
  </si>
  <si>
    <t>MARIA LUZIA DE CASTRO</t>
  </si>
  <si>
    <t>11194185851</t>
  </si>
  <si>
    <t>PATRICIA MENDES LEONOR</t>
  </si>
  <si>
    <t>04582792855</t>
  </si>
  <si>
    <t>JOSE SEVERINO SOUZA CAVALCANTI</t>
  </si>
  <si>
    <t>79356982368</t>
  </si>
  <si>
    <t>MARIA ZULEIDE FERREIRA DE OLIVEIRA</t>
  </si>
  <si>
    <t>11968488669</t>
  </si>
  <si>
    <t>VINICIUS DA CRUZ BANDEIRA</t>
  </si>
  <si>
    <t>13670656820</t>
  </si>
  <si>
    <t>ELIAS FERREIRA CORREIA</t>
  </si>
  <si>
    <t>11606848801</t>
  </si>
  <si>
    <t>SOLANGE DAS DORES OLIVEIRA DOS SANTOS</t>
  </si>
  <si>
    <t>07450573814</t>
  </si>
  <si>
    <t>ORLANDO RAMOS DE OLIVEIRA</t>
  </si>
  <si>
    <t>25274733859</t>
  </si>
  <si>
    <t>DIONE BARBOSA SILVA</t>
  </si>
  <si>
    <t>01298193877</t>
  </si>
  <si>
    <t>700309959110232</t>
  </si>
  <si>
    <t>JOSE FRANCISCO REIS</t>
  </si>
  <si>
    <t>71859497349</t>
  </si>
  <si>
    <t>MARIA ADERALDO TORRES</t>
  </si>
  <si>
    <t>36876496600</t>
  </si>
  <si>
    <t>JOAO BATISTA NASCIMENTO DE SOUZA</t>
  </si>
  <si>
    <t>28337514434</t>
  </si>
  <si>
    <t>29415948841</t>
  </si>
  <si>
    <t>TEREZINHA RODRIGUES PEIXOTO DA PAIXAO</t>
  </si>
  <si>
    <t>28104430840</t>
  </si>
  <si>
    <t>CLAUDIA DA SILVA REIS</t>
  </si>
  <si>
    <t>01036900851</t>
  </si>
  <si>
    <t>ZILDA LINDAURA DOS SANTOS</t>
  </si>
  <si>
    <t>13031150856</t>
  </si>
  <si>
    <t>MARIA DE MATOS DE OLIVEIRA</t>
  </si>
  <si>
    <t>03818022801</t>
  </si>
  <si>
    <t>17484876801</t>
  </si>
  <si>
    <t>JOSE NILSON DA SILVA</t>
  </si>
  <si>
    <t>05208388820</t>
  </si>
  <si>
    <t>ANA LOPEZ CRISTOVAO</t>
  </si>
  <si>
    <t>EMENDA DE FERIADO</t>
  </si>
  <si>
    <t>72962186572</t>
  </si>
  <si>
    <t>MARIA DAS DORES DE ARAUJO PORTELA</t>
  </si>
  <si>
    <t>34551891568</t>
  </si>
  <si>
    <t>DEJANIRA SANTOS SOUZA</t>
  </si>
  <si>
    <t>83705325868</t>
  </si>
  <si>
    <t>ELIZABETE GOMES FERREIRA BRINGEL</t>
  </si>
  <si>
    <t>00500951705</t>
  </si>
  <si>
    <t>RAQUEL GONCALVES TORRES DE QUEIROS</t>
  </si>
  <si>
    <t>09084726847</t>
  </si>
  <si>
    <t>BARTOLOMEU CRISPIM</t>
  </si>
  <si>
    <t>14684041808</t>
  </si>
  <si>
    <t>SEBASTIANA APARECIDA VIEIRA</t>
  </si>
  <si>
    <t>18634486834</t>
  </si>
  <si>
    <t>JOSE CEZAR DALPOGETO</t>
  </si>
  <si>
    <t>12192343701</t>
  </si>
  <si>
    <t>JOENE DOS SANTOS BASTOS</t>
  </si>
  <si>
    <t>18298840852</t>
  </si>
  <si>
    <t>ELIANDRA LIBERATO DE LIMA</t>
  </si>
  <si>
    <t>12747567826</t>
  </si>
  <si>
    <t>ROSEMARY DE ARRUDA CARNEIRO</t>
  </si>
  <si>
    <t>27916350840</t>
  </si>
  <si>
    <t>WILLIAM ALVES CHAVES</t>
  </si>
  <si>
    <t>05143492807</t>
  </si>
  <si>
    <t>REGINA CELI GONCALVES</t>
  </si>
  <si>
    <t>24929900875</t>
  </si>
  <si>
    <t>TANIA LACERDA DA SILVA</t>
  </si>
  <si>
    <t>75961938891</t>
  </si>
  <si>
    <t>JOSE PEREIRA PARDIN</t>
  </si>
  <si>
    <t>39828532816</t>
  </si>
  <si>
    <t>MAURA DO NASCIMENTO CONCEICAO</t>
  </si>
  <si>
    <t>69475113649</t>
  </si>
  <si>
    <t>70761698434</t>
  </si>
  <si>
    <t>LUIZ SEVERINO DA SILVA</t>
  </si>
  <si>
    <t>04230891881</t>
  </si>
  <si>
    <t>JOAO JUNIOR FERREIRA</t>
  </si>
  <si>
    <t>28550195839</t>
  </si>
  <si>
    <t>01293429805</t>
  </si>
  <si>
    <t>SERGIO LUIZ DE LIMA</t>
  </si>
  <si>
    <t>85964743820</t>
  </si>
  <si>
    <t>WAGNER CARREIRO</t>
  </si>
  <si>
    <t>63678802834</t>
  </si>
  <si>
    <t>EDMILSON BERNARDO DA SILVA</t>
  </si>
  <si>
    <t>38393107415</t>
  </si>
  <si>
    <t>MARIA HELENA TENORIO DOS SANTOS</t>
  </si>
  <si>
    <t>19580043833</t>
  </si>
  <si>
    <t>MARIA APARECIDA GODOY</t>
  </si>
  <si>
    <t>57572585868</t>
  </si>
  <si>
    <t>HERVAL RODRIGUES DA SILVA</t>
  </si>
  <si>
    <t>61231258500</t>
  </si>
  <si>
    <t>UNALDO RODRIGUES MAGALHAES</t>
  </si>
  <si>
    <t>12577631804</t>
  </si>
  <si>
    <t>REJANE GOMES BRANDAO DE PAULA</t>
  </si>
  <si>
    <t>08687318898</t>
  </si>
  <si>
    <t>30910017840</t>
  </si>
  <si>
    <t>JAILSON SOUZA DOS SANTOS</t>
  </si>
  <si>
    <t>27968303818</t>
  </si>
  <si>
    <t>RENATA APARECIDA PEREIRA</t>
  </si>
  <si>
    <t>02234735882</t>
  </si>
  <si>
    <t>MARIA APARECIDA SOARES PIMENTEL</t>
  </si>
  <si>
    <t>21897499809</t>
  </si>
  <si>
    <t>MARIA JOSE DOS SANTOS MONZANI</t>
  </si>
  <si>
    <t>51831732491</t>
  </si>
  <si>
    <t>SEVERINO SOARES DA SILVA</t>
  </si>
  <si>
    <t>70438234472</t>
  </si>
  <si>
    <t>INILDO NOGUEIRA NUNES FILHO</t>
  </si>
  <si>
    <t>12907467883</t>
  </si>
  <si>
    <t>DANIEL MOREIRA DE ARAUJO JUNIOR</t>
  </si>
  <si>
    <t>25429099899</t>
  </si>
  <si>
    <t>CARLITO ALVES DOS SANTOS</t>
  </si>
  <si>
    <t>01116842777</t>
  </si>
  <si>
    <t>CECILIA SEVERINA GOMES</t>
  </si>
  <si>
    <t>Luzinete Belarmina de Lima</t>
  </si>
  <si>
    <t>07316594810</t>
  </si>
  <si>
    <t>NEUZA DE CAMPOS</t>
  </si>
  <si>
    <t>31/03/2026 13h às 17h</t>
  </si>
  <si>
    <t>05917651957</t>
  </si>
  <si>
    <t>JOANNA FIRMINO</t>
  </si>
  <si>
    <t>26283936890</t>
  </si>
  <si>
    <t>FRANCISCO PEREIRA DA CRUZ FILHO</t>
  </si>
  <si>
    <t>03769920856</t>
  </si>
  <si>
    <t>LEDA MARIA DOS SANTOS PINHEIRO</t>
  </si>
  <si>
    <t>96926015520</t>
  </si>
  <si>
    <t>TEREZINHA DA SILVA SANTOS</t>
  </si>
  <si>
    <t>36923710391</t>
  </si>
  <si>
    <t>FRANCISCO DE MACEDO</t>
  </si>
  <si>
    <t>84680466804</t>
  </si>
  <si>
    <t>SEBASTIAO MOURA DE MELO</t>
  </si>
  <si>
    <t>26705694807</t>
  </si>
  <si>
    <t>CARLA CRISTINA DE JESUS</t>
  </si>
  <si>
    <t>10440563801</t>
  </si>
  <si>
    <t>41418042587</t>
  </si>
  <si>
    <t>JOSE RAILTON COSTA SANTOS</t>
  </si>
  <si>
    <t>22371881813</t>
  </si>
  <si>
    <t>MARIA JOANA DA SILVA MELO</t>
  </si>
  <si>
    <t>14420786850</t>
  </si>
  <si>
    <t>FRANCISCO DE ASSIS MOURA PASTOR</t>
  </si>
  <si>
    <t>MARIA DA CONSOLACAO DA SILVA SANTOS</t>
  </si>
  <si>
    <t>23013459808</t>
  </si>
  <si>
    <t>RONNIE FRANCISCO DA SILVA</t>
  </si>
  <si>
    <t>26708119811</t>
  </si>
  <si>
    <t>GERALDA MARIA DA SILVA COUTINHO</t>
  </si>
  <si>
    <t>15800241813</t>
  </si>
  <si>
    <t>CARLOS ALBERTO MENDES</t>
  </si>
  <si>
    <t>29962912806</t>
  </si>
  <si>
    <t>MARIA DO CEU SOARES DA SILVA</t>
  </si>
  <si>
    <t>25205697865</t>
  </si>
  <si>
    <t>ABENILDE MENDES DE SIQUEIRA</t>
  </si>
  <si>
    <t>40900177691</t>
  </si>
  <si>
    <t>NEUZA VENCESLAU DUQUE</t>
  </si>
  <si>
    <t>39588246504</t>
  </si>
  <si>
    <t>ALONSO ROSA DE OLIVEIRA</t>
  </si>
  <si>
    <t>15679462400</t>
  </si>
  <si>
    <t>MARIA FERREIRA DE LIMA</t>
  </si>
  <si>
    <t>29329332803</t>
  </si>
  <si>
    <t>EDILSON LOPES DE ALMEIDA</t>
  </si>
  <si>
    <t>31513345800</t>
  </si>
  <si>
    <t>FRANCISCA SUELI DOS SANTOS</t>
  </si>
  <si>
    <t>54809487504</t>
  </si>
  <si>
    <t>ANTONIO JUSTINIANO DE JESUS</t>
  </si>
  <si>
    <t>09276355855</t>
  </si>
  <si>
    <t>GENILSON CAVALCANTE DE OLIVEIRA FREITAS</t>
  </si>
  <si>
    <t>09137701835</t>
  </si>
  <si>
    <t xml:space="preserve">	NOEMIA BENTO DE BRITO</t>
  </si>
  <si>
    <t>03085278877</t>
  </si>
  <si>
    <t>ANTONIA VIEIRA DA SILVA</t>
  </si>
  <si>
    <t>03598686811</t>
  </si>
  <si>
    <t>JOSEFA ETELVINA DA CONCEICAO RIBEIRO</t>
  </si>
  <si>
    <t>16413339870</t>
  </si>
  <si>
    <t>PEDRO DE JESUS LEAO</t>
  </si>
  <si>
    <t>40748710841</t>
  </si>
  <si>
    <t>RAMONILSON CORDEIRO DOS ANJOS</t>
  </si>
  <si>
    <t>16696678808</t>
  </si>
  <si>
    <t>PEDRINHA DALBOSCO DOS SANTOS</t>
  </si>
  <si>
    <t>33415121879</t>
  </si>
  <si>
    <t>MOISES SILVA BARBOSA</t>
  </si>
  <si>
    <t>23092075862</t>
  </si>
  <si>
    <t>25507868824</t>
  </si>
  <si>
    <t>SONIA MARIA DE FRANCA</t>
  </si>
  <si>
    <t>08254828873</t>
  </si>
  <si>
    <t>ELESENITA ESMERIA DOS SANTOS SOARES</t>
  </si>
  <si>
    <t>12721592807</t>
  </si>
  <si>
    <t>ELTUILTON NUNES RIBEIRO</t>
  </si>
  <si>
    <t>14027305515</t>
  </si>
  <si>
    <t>MARIA MADALENA DE JESUS BARBOSA</t>
  </si>
  <si>
    <t>38920849803</t>
  </si>
  <si>
    <t>RAFAELA DE SOUZA CAMPOS</t>
  </si>
  <si>
    <t>69472092853</t>
  </si>
  <si>
    <t>MANOEL FREITAS DE MIRANDA</t>
  </si>
  <si>
    <t>71657274500</t>
  </si>
  <si>
    <t>DORALICE FERREIRA DA SILVA</t>
  </si>
  <si>
    <t>37645500824</t>
  </si>
  <si>
    <t>VERONICA PEREIRA NASCIMENTO</t>
  </si>
  <si>
    <t>18276462847</t>
  </si>
  <si>
    <t>ROSALINA CERQUEIRA NASCIMENTO</t>
  </si>
  <si>
    <t>25594729704</t>
  </si>
  <si>
    <t>WILAMI PEREIRA DE MELO</t>
  </si>
  <si>
    <t>17096714839</t>
  </si>
  <si>
    <t>SOLANGE ALVES DE MACEDO LIMA</t>
  </si>
  <si>
    <t>17621714816</t>
  </si>
  <si>
    <t>MARIA JOAQUINA DO CARMO ROCHA</t>
  </si>
  <si>
    <t>63691230644</t>
  </si>
  <si>
    <t>MAURA LOURENCO BALBINO</t>
  </si>
  <si>
    <t>07417598889</t>
  </si>
  <si>
    <t>MARIA VIEIRA DE SOUZA</t>
  </si>
  <si>
    <t>08515984806</t>
  </si>
  <si>
    <t>JOSE DE ARIMATEIA MENDES DE FREITAS</t>
  </si>
  <si>
    <t>92918522520</t>
  </si>
  <si>
    <t>MARIA DA PAZ MIRANDA DOS SANTOS</t>
  </si>
  <si>
    <t>19578988877</t>
  </si>
  <si>
    <t>VERA LUCIA FREITAS DOS SANTOS</t>
  </si>
  <si>
    <t>11250257867</t>
  </si>
  <si>
    <t>FRANCISCA DAS GRACAS DA SILVA ALMEIDA</t>
  </si>
  <si>
    <t xml:space="preserve">Feriado </t>
  </si>
  <si>
    <t>22950532349</t>
  </si>
  <si>
    <t>LUIZ DENILTON DE MELO</t>
  </si>
  <si>
    <t>26281330838</t>
  </si>
  <si>
    <t>CONCEICAO FAUSTINA DOS SANTOS LOPES</t>
  </si>
  <si>
    <t>26232988825</t>
  </si>
  <si>
    <t>ELIANE MARIA DOS SANTOS MOURA</t>
  </si>
  <si>
    <t>14697144856</t>
  </si>
  <si>
    <t>NACISIO JANUARIO DOS SANTOS</t>
  </si>
  <si>
    <t>29659899866</t>
  </si>
  <si>
    <t>ISAURA MARIA DE OLIVEIRA SOUZA</t>
  </si>
  <si>
    <t>25880015807</t>
  </si>
  <si>
    <t>FABIO DA SILVA COSTA</t>
  </si>
  <si>
    <t>64667235853</t>
  </si>
  <si>
    <t>JESUS FERNANDES</t>
  </si>
  <si>
    <t>25858645887</t>
  </si>
  <si>
    <t>JOSE MARQUES DE LIMA NETO</t>
  </si>
  <si>
    <t>50593617568</t>
  </si>
  <si>
    <t>JOSE JESUS DA SILVA</t>
  </si>
  <si>
    <t>25785193825</t>
  </si>
  <si>
    <t>CENILZE ZACARIAS DE OLIVEIRA</t>
  </si>
  <si>
    <t>77652673453</t>
  </si>
  <si>
    <t>RONI RODRIGUES DA SILVA</t>
  </si>
  <si>
    <t xml:space="preserve">Dra. Priscila Ferreira da Silva - DA M'BOI MIRIM - Cancelado </t>
  </si>
  <si>
    <t>Plantão cancelado</t>
  </si>
  <si>
    <t>13619061890</t>
  </si>
  <si>
    <t>TEREZINHA DE JESUS MORAES LEITE</t>
  </si>
  <si>
    <t>70306737868</t>
  </si>
  <si>
    <t>JOAO DE MORAIS</t>
  </si>
  <si>
    <t>05111217843</t>
  </si>
  <si>
    <t>JOSE TEODOSIO DE MOURA</t>
  </si>
  <si>
    <t>09978099816</t>
  </si>
  <si>
    <t>MARIA FERREIRA DE MELO</t>
  </si>
  <si>
    <t>60260953814</t>
  </si>
  <si>
    <t>ESTHER AMERICO SILVERIO</t>
  </si>
  <si>
    <t>CLAUDINEY XAVIER TEIXEIRA</t>
  </si>
  <si>
    <t>16488240803</t>
  </si>
  <si>
    <t>MARIA SANTANA DE OLIVEIRA</t>
  </si>
  <si>
    <t>09605295601</t>
  </si>
  <si>
    <t>LUCIANA VIANA DE SOUZA OLIVEIRA</t>
  </si>
  <si>
    <t>RONI</t>
  </si>
  <si>
    <t>09096933826</t>
  </si>
  <si>
    <t>DOLORES ALVES DOS SANTOS</t>
  </si>
  <si>
    <t>18712354805</t>
  </si>
  <si>
    <t>ALDETINA SOUZA DE AZEVEDO</t>
  </si>
  <si>
    <t>01/05/2026 13h às 17h</t>
  </si>
  <si>
    <t>04/05/2026 13h às 17h</t>
  </si>
  <si>
    <t>03375190808</t>
  </si>
  <si>
    <t>JOSE LUCAS SOBRINHO</t>
  </si>
  <si>
    <t>01771110899</t>
  </si>
  <si>
    <t>OSMAR APARECIDO DOS SANTOS</t>
  </si>
  <si>
    <t>13255848865</t>
  </si>
  <si>
    <t>JOSE IVANILDO DA SILVA</t>
  </si>
  <si>
    <t>33371534880</t>
  </si>
  <si>
    <t>MARIA ISABEL EVANGELISTA MONTEIRO</t>
  </si>
  <si>
    <t>22458909817</t>
  </si>
  <si>
    <t>ALDECI GUILHERME FRAGOSO</t>
  </si>
  <si>
    <t>14270476850</t>
  </si>
  <si>
    <t>50701215534</t>
  </si>
  <si>
    <t>MARISTELA ROCHA DE BRITO</t>
  </si>
  <si>
    <t>87359600430</t>
  </si>
  <si>
    <t>ANTONIO JUSTINO DE FARIAS FILHO</t>
  </si>
  <si>
    <t>14927292487</t>
  </si>
  <si>
    <t>FLAVIO JOSE DE VASCONCELOS</t>
  </si>
  <si>
    <t>06815192822</t>
  </si>
  <si>
    <t>GILSON JOSE DO NASCIMENTO CORREIA</t>
  </si>
  <si>
    <t>02220257860</t>
  </si>
  <si>
    <t>ANTONIA JOSE DE MENDONCA</t>
  </si>
  <si>
    <t>09649152865</t>
  </si>
  <si>
    <t>LEONORA CANDIDO</t>
  </si>
  <si>
    <t>06649269832</t>
  </si>
  <si>
    <t>VERA LUCIA DE CARVALHO</t>
  </si>
  <si>
    <t>66203937800</t>
  </si>
  <si>
    <t>JOSE CAVALCANTE LOPES</t>
  </si>
  <si>
    <t>14872947860</t>
  </si>
  <si>
    <t>FRANCISCO WANDISON ISIDRO</t>
  </si>
  <si>
    <t>AURYLEIDE GOMES DE LIMA</t>
  </si>
  <si>
    <t>03823089803</t>
  </si>
  <si>
    <t>MARILENE DE JESUS SANTOS</t>
  </si>
  <si>
    <t>15320517866</t>
  </si>
  <si>
    <t>FABIO JOSE DE OLIVEIRA</t>
  </si>
  <si>
    <t>29626716835</t>
  </si>
  <si>
    <t>MARIA RITA FERREIRA</t>
  </si>
  <si>
    <t>15182401191</t>
  </si>
  <si>
    <t>DOMINGOS VICENTE PEREIRA</t>
  </si>
  <si>
    <t>Dra° Camila Queiroga da Silveira cobertura( Dra°ALICE PEIXOTO) DA CAMPO LIMPO</t>
  </si>
  <si>
    <t>95657665872</t>
  </si>
  <si>
    <t>LUIZ PEDRO DA SILVA</t>
  </si>
  <si>
    <t>15798977897</t>
  </si>
  <si>
    <t>REGINALDO VIEIRA DOS SANTOS</t>
  </si>
  <si>
    <t>18855501895</t>
  </si>
  <si>
    <t>SANDRA PEREIRA DE SOUZA</t>
  </si>
  <si>
    <t>25361040444</t>
  </si>
  <si>
    <t>ARNALDO BEZERRA DOS SANTOS</t>
  </si>
  <si>
    <t>07772266855</t>
  </si>
  <si>
    <t>VALDIR RODRIGUES DE FREITAS</t>
  </si>
  <si>
    <t>42998352553</t>
  </si>
  <si>
    <t>LIGIA CRISTINA SANTOS DA CRUZ</t>
  </si>
  <si>
    <t>11913457850</t>
  </si>
  <si>
    <t>JOSE NILSON DE LIMA MOREIRA</t>
  </si>
  <si>
    <t>31482872587</t>
  </si>
  <si>
    <t>ERON ANDRADE CRUZ</t>
  </si>
  <si>
    <t>14229536453</t>
  </si>
  <si>
    <t>JOSE SOARES BARRETO</t>
  </si>
  <si>
    <t>56013019800</t>
  </si>
  <si>
    <t>JOELISA LEMOS</t>
  </si>
  <si>
    <t>63408279691</t>
  </si>
  <si>
    <t>VALDEMAR ALVES DE SOUZA</t>
  </si>
  <si>
    <t>NOELIA DE JESUS</t>
  </si>
  <si>
    <t>90007919875</t>
  </si>
  <si>
    <t xml:space="preserve">CARLOS DANIEL DAS NEVES CRUZ </t>
  </si>
  <si>
    <t>03815421810</t>
  </si>
  <si>
    <t>AGENOR LIMA</t>
  </si>
  <si>
    <t>23010078803</t>
  </si>
  <si>
    <t>WAGNER DOS SANTOS SILVA</t>
  </si>
  <si>
    <t>14696441857</t>
  </si>
  <si>
    <t>NOADIAN SOUSA ROCHA TEIXEIRA</t>
  </si>
  <si>
    <t>11298338875</t>
  </si>
  <si>
    <t>LUCILA MARIA DE ARAUJO GAMA</t>
  </si>
  <si>
    <t>37175203500</t>
  </si>
  <si>
    <t>GECIONETO MARTINS DE SOUSA</t>
  </si>
  <si>
    <t>09240308873</t>
  </si>
  <si>
    <t>SONIA MARIA MALDONADO SAURA</t>
  </si>
  <si>
    <t>27445653856</t>
  </si>
  <si>
    <t>ADRIANE CRISTINE PEREIRA DOS SANTOS</t>
  </si>
  <si>
    <t>39358407808</t>
  </si>
  <si>
    <t>LUIZ FERNANDO BONIFACIO DA CRUZ</t>
  </si>
  <si>
    <t>10555279820</t>
  </si>
  <si>
    <t>MARLEIDE DAS GRACAS DE SOUSA</t>
  </si>
  <si>
    <t>45540039572</t>
  </si>
  <si>
    <t>MARCOS RODRIGUES TEXEIRA FILHO</t>
  </si>
  <si>
    <t>91143802853</t>
  </si>
  <si>
    <t>GERALDO MADALENA</t>
  </si>
  <si>
    <t>21578518873</t>
  </si>
  <si>
    <t>SIMONE DE SOUZA</t>
  </si>
  <si>
    <t>05940608850</t>
  </si>
  <si>
    <t>PAULO DE JESUS RAMOS</t>
  </si>
  <si>
    <t>94536058834</t>
  </si>
  <si>
    <t>EDIVAL PETRONILO DE LIMA</t>
  </si>
  <si>
    <t>03871311839</t>
  </si>
  <si>
    <t>DJALMA DOS SANTOS</t>
  </si>
  <si>
    <t>17721407400</t>
  </si>
  <si>
    <t>EDSON SILVESTRE DA SILVA</t>
  </si>
  <si>
    <t>00658512854</t>
  </si>
  <si>
    <t>JOSE NILO DE BRITO</t>
  </si>
  <si>
    <t>06012356811</t>
  </si>
  <si>
    <t>VALMIR LACERDA SILVA</t>
  </si>
  <si>
    <t>02180097808</t>
  </si>
  <si>
    <t>SEBASTIAO VICENTE DOS ANJOS</t>
  </si>
  <si>
    <t>08942678840</t>
  </si>
  <si>
    <t>JOAO BATISTA DE OLIVEIRA</t>
  </si>
  <si>
    <t>63988410420</t>
  </si>
  <si>
    <t>ANA MARIA BARBOSA</t>
  </si>
  <si>
    <t>14603440812</t>
  </si>
  <si>
    <t>BERNADETE LOURDES TEIXEIRA</t>
  </si>
  <si>
    <t>MARIA FRANCISCA DE SANTANA</t>
  </si>
  <si>
    <t>04850080847</t>
  </si>
  <si>
    <t>60284757500</t>
  </si>
  <si>
    <t>NEUSA NASCIMENTO SANTOS LEITE</t>
  </si>
  <si>
    <t>01224002830</t>
  </si>
  <si>
    <t>JOSE MARIA FIGUEIREDO DA SILVA</t>
  </si>
  <si>
    <t>98897586872</t>
  </si>
  <si>
    <t>GERALDO ROSENO</t>
  </si>
  <si>
    <t>94494347604</t>
  </si>
  <si>
    <t>LUCIANA DA SILVA SOUZA</t>
  </si>
  <si>
    <t>67460380849</t>
  </si>
  <si>
    <t>PEDRO PEREIRA FILHO</t>
  </si>
  <si>
    <t>43438920697</t>
  </si>
  <si>
    <t>ANGELA MARIA BATISTA</t>
  </si>
  <si>
    <t>95173803800</t>
  </si>
  <si>
    <t>AMARANTE JOAQUIM FERNANDES</t>
  </si>
  <si>
    <t>14426333873</t>
  </si>
  <si>
    <t>PAULO FERNANDO DE ARRUDA</t>
  </si>
  <si>
    <t>36385751520</t>
  </si>
  <si>
    <t>03708650492</t>
  </si>
  <si>
    <t>REJANE CORREIA DA SILVA</t>
  </si>
  <si>
    <t>03504771836</t>
  </si>
  <si>
    <t>MARIA IZILDA DOS SANTOS</t>
  </si>
  <si>
    <t>93755856891</t>
  </si>
  <si>
    <t>MARIA DE LOURDES BENEDITO</t>
  </si>
  <si>
    <t>04763430890</t>
  </si>
  <si>
    <t>MARIA LUZIA SANTANA SILVA</t>
  </si>
  <si>
    <t>10513967354</t>
  </si>
  <si>
    <t>RAMINY FELIX DA SILVA</t>
  </si>
  <si>
    <t>10036631841</t>
  </si>
  <si>
    <t>AGNALDO ROCHA DOS SANTOS</t>
  </si>
  <si>
    <t>VALDETE MARIA SAMPAIO</t>
  </si>
  <si>
    <t>26319508876</t>
  </si>
  <si>
    <t>REINILDA ALVES DOS ANJOS</t>
  </si>
  <si>
    <t>15112289899</t>
  </si>
  <si>
    <t>HAMILTON DA SILVA MATOS</t>
  </si>
  <si>
    <t>RITA DE CASSIA ALBUQUERQUE QUIRINO</t>
  </si>
  <si>
    <t>50606182853</t>
  </si>
  <si>
    <t>26391644810</t>
  </si>
  <si>
    <t>MARIA ELIZABETE GOMES</t>
  </si>
  <si>
    <t>18467521830</t>
  </si>
  <si>
    <t>ROBERVAL PALMEIRA DOS SANTOS</t>
  </si>
  <si>
    <t>28692930890</t>
  </si>
  <si>
    <t>CECILIA JESUS DE QUEIROZ DE ARAUJO</t>
  </si>
  <si>
    <t>00348973802</t>
  </si>
  <si>
    <t>ANTONIO CARLOS DE OLIVEIRA CUNHA</t>
  </si>
  <si>
    <t>10546741835</t>
  </si>
  <si>
    <t>801440436028927</t>
  </si>
  <si>
    <t>08828152885</t>
  </si>
  <si>
    <t>DERCI GINES PEREIRA</t>
  </si>
  <si>
    <t>23018610822</t>
  </si>
  <si>
    <t>MARIA DE FATIMA DA SILVA</t>
  </si>
  <si>
    <t>00129122807</t>
  </si>
  <si>
    <t>ERCILIA DA SILVA AZEVEDO</t>
  </si>
  <si>
    <t>51848422849</t>
  </si>
  <si>
    <t>IDEGALDO DA SILVA RODRIGUES</t>
  </si>
  <si>
    <t>00629589844</t>
  </si>
  <si>
    <t>SEBASTIAO JOSE FILHO</t>
  </si>
  <si>
    <t>13350203493</t>
  </si>
  <si>
    <t>MARIA IZABELLE SANTANA DOS SANTOS</t>
  </si>
  <si>
    <t>05507085889</t>
  </si>
  <si>
    <t>MARIA PEREIRA DE FRANCA SILVA</t>
  </si>
  <si>
    <t>12808020813</t>
  </si>
  <si>
    <t>JOSE DA SILVA GOMES</t>
  </si>
  <si>
    <t>01206080817</t>
  </si>
  <si>
    <t>FRANCISCO BEZERRA CAMPOS</t>
  </si>
  <si>
    <t>20925069434</t>
  </si>
  <si>
    <t>ANA MARIA DE MESSIAS</t>
  </si>
  <si>
    <t>99932415804</t>
  </si>
  <si>
    <t>DOMINGOS ROCHA PINTO</t>
  </si>
  <si>
    <t>14843351806</t>
  </si>
  <si>
    <t>LUZINETE VIANA SILVEIRA</t>
  </si>
  <si>
    <t>08420795801</t>
  </si>
  <si>
    <t>ANA JOAQUINA DE SANTANA ALMEIDA</t>
  </si>
  <si>
    <t>85669695887</t>
  </si>
  <si>
    <t>JOSE BELTRANO MONTEIRO</t>
  </si>
  <si>
    <t>08590448827</t>
  </si>
  <si>
    <t>IRANI FATIMA DO VALLE STEAGALL</t>
  </si>
  <si>
    <t>89356810320</t>
  </si>
  <si>
    <t>JOSE PEREIRA OLIVEIRA</t>
  </si>
  <si>
    <t>14368255801</t>
  </si>
  <si>
    <t>MARIA DAS NEVES ALVES DOS ANJOS</t>
  </si>
  <si>
    <t>64815323453</t>
  </si>
  <si>
    <t>MARIA RODRIGUES DA SILVA</t>
  </si>
  <si>
    <t>40536653453</t>
  </si>
  <si>
    <t>ALICE MARIA DE MESQUITA GOMES</t>
  </si>
  <si>
    <t>27339196870</t>
  </si>
  <si>
    <t>FERNANDA FERREIRA DE ARAUJO</t>
  </si>
  <si>
    <t>31561674877</t>
  </si>
  <si>
    <t>JULIO CESAR RODRIGUES DA SILVA</t>
  </si>
  <si>
    <t>05607534898</t>
  </si>
  <si>
    <t>ILSA ALVES DE OLIVEIRA</t>
  </si>
  <si>
    <t>03477191803</t>
  </si>
  <si>
    <t>JOSE ROSALVO SILVA</t>
  </si>
  <si>
    <t>NEUZA</t>
  </si>
  <si>
    <t>03430482801</t>
  </si>
  <si>
    <t>MANOEL MESSIAS DA SILVA</t>
  </si>
  <si>
    <t>25435070864</t>
  </si>
  <si>
    <t>JOSE BARBOSA FARIAS</t>
  </si>
  <si>
    <t>33933413320</t>
  </si>
  <si>
    <t>EGILDA DE ARAUJO MENESES</t>
  </si>
  <si>
    <t>04450470893</t>
  </si>
  <si>
    <t>LENEIDE GOMES DE CARVALHO SILVA</t>
  </si>
  <si>
    <t>27505657828</t>
  </si>
  <si>
    <t>MARIA DA PENHA VIEIRA VICENTE</t>
  </si>
  <si>
    <t>34389865749</t>
  </si>
  <si>
    <t>GILSON JAIRO DO NASCIMENTO</t>
  </si>
  <si>
    <t>55108157878</t>
  </si>
  <si>
    <t>RUTH SANTOS DA SILVA</t>
  </si>
  <si>
    <t>46013300925</t>
  </si>
  <si>
    <t>JANDIRA TERAZZIN TEIXEIRA DA SILVA</t>
  </si>
  <si>
    <t>17417791549</t>
  </si>
  <si>
    <t>MANOEL EXPEDITO NASCIMENTO</t>
  </si>
  <si>
    <t>03264242885</t>
  </si>
  <si>
    <t>GILBERTO PLACIDIO MOREIRA</t>
  </si>
  <si>
    <t>11606205803</t>
  </si>
  <si>
    <t>LUZIA LEANDRA FELIPE DE ALMEIDA</t>
  </si>
  <si>
    <t>60645040800</t>
  </si>
  <si>
    <t>SERGIO CIPRIANO DA SILVA</t>
  </si>
  <si>
    <t>19520793810</t>
  </si>
  <si>
    <t>MARIA INES SANTOS SOUZA</t>
  </si>
  <si>
    <t>56051656820</t>
  </si>
  <si>
    <t>DAVY LOUIS DE SOUZA PEREIRA</t>
  </si>
  <si>
    <t xml:space="preserve">        12979867845</t>
  </si>
  <si>
    <t>ROSELI TADEU GALDINO</t>
  </si>
  <si>
    <t>89651405872</t>
  </si>
  <si>
    <t>JOSE RAIMUNDO CANUTO DE OLIVEIRA</t>
  </si>
  <si>
    <t>51271067870</t>
  </si>
  <si>
    <t>JUAN PABLO MORAES SANTOS</t>
  </si>
  <si>
    <t>00609244892</t>
  </si>
  <si>
    <t>IRENO VIEIRA DIAS</t>
  </si>
  <si>
    <t>13241128830</t>
  </si>
  <si>
    <t>EVANI FERNANDES DE JESUS</t>
  </si>
  <si>
    <t>04734762589</t>
  </si>
  <si>
    <t>ROSANGELA SOARES FERREIRA</t>
  </si>
  <si>
    <t>39312566857</t>
  </si>
  <si>
    <t>RODRIGO JUSTINO DA SILVA</t>
  </si>
  <si>
    <t>33645300848</t>
  </si>
  <si>
    <t>ELIANA SANTANA DE SOUZA</t>
  </si>
  <si>
    <t>05/05/2026 13h às 17h</t>
  </si>
  <si>
    <t>75500124820</t>
  </si>
  <si>
    <t>ANTONIO DOS SANTOS SILVA</t>
  </si>
  <si>
    <t>MARINALVA SILVA DOS SANTOS</t>
  </si>
  <si>
    <t>MARIA IVANI PEREIRA</t>
  </si>
  <si>
    <t>02816934551</t>
  </si>
  <si>
    <t>MARILUCIA SANTOS DOS ANJOS</t>
  </si>
  <si>
    <t>76306747168</t>
  </si>
  <si>
    <t>FRANCISCA RODRIGUES DA SILVA</t>
  </si>
  <si>
    <t>12939334775</t>
  </si>
  <si>
    <t>ANA QUARESMA BARBOSA SALGUEIRO</t>
  </si>
  <si>
    <t>04697978510</t>
  </si>
  <si>
    <t>GERUSA GOMES SACRAMENTO</t>
  </si>
  <si>
    <t>28008188839</t>
  </si>
  <si>
    <t>36617210700</t>
  </si>
  <si>
    <t>JOSE DE OLIVEIRA CARDOSO FILHO</t>
  </si>
  <si>
    <t>22993098888</t>
  </si>
  <si>
    <t>IVONETE DE JESUS ANDRADE</t>
  </si>
  <si>
    <t>01135297835</t>
  </si>
  <si>
    <t>MARIA MARGARETE DA SILVA</t>
  </si>
  <si>
    <t>04869300842</t>
  </si>
  <si>
    <t>OSMAR FRANCISCO DE SOUSA</t>
  </si>
  <si>
    <t>76521508849</t>
  </si>
  <si>
    <t>MARIA APARECIDA CAVALCANTE DA SILVA</t>
  </si>
  <si>
    <t>14866696893</t>
  </si>
  <si>
    <t>GILDA DE SOUZA LIMA SILVA</t>
  </si>
  <si>
    <t>27426592855</t>
  </si>
  <si>
    <t>AVANI ROSA DA SILVA</t>
  </si>
  <si>
    <t>01435369823</t>
  </si>
  <si>
    <t>ARNALDO FERREIRA</t>
  </si>
  <si>
    <t>MARIA</t>
  </si>
  <si>
    <t>31710422823</t>
  </si>
  <si>
    <t>SELMA DOS SANTOS PALMEGIANO</t>
  </si>
  <si>
    <t>25631065835</t>
  </si>
  <si>
    <t>WAGNER DE OLIVEIRA</t>
  </si>
  <si>
    <t>MARIA SOCORRO</t>
  </si>
  <si>
    <t>03565170808</t>
  </si>
  <si>
    <t>MARIA HELENA DA SILVA</t>
  </si>
  <si>
    <t>15202967896</t>
  </si>
  <si>
    <t>ELENICE BARBOSA DA SILVA QUIRINO</t>
  </si>
  <si>
    <t>79824064400</t>
  </si>
  <si>
    <t>MARLENE MARIA DA CONCEICAO</t>
  </si>
  <si>
    <t>17622953857</t>
  </si>
  <si>
    <t>ANA NEUZA SOUZA ROCHA GONCALVES</t>
  </si>
  <si>
    <t>35280736830</t>
  </si>
  <si>
    <t>CRISTIANE APARECIDA GOMES CAVALCANTE</t>
  </si>
  <si>
    <t>12983601889</t>
  </si>
  <si>
    <t>CARLOS ANDERSON DA SILVA</t>
  </si>
  <si>
    <t>17487448878</t>
  </si>
  <si>
    <t>MARIA JULIA DE JESUS</t>
  </si>
  <si>
    <t>00733791824</t>
  </si>
  <si>
    <t>JOSE NARCISO</t>
  </si>
  <si>
    <t>04464512828</t>
  </si>
  <si>
    <t>IVETE FRANCISCA DA SILVA</t>
  </si>
  <si>
    <t>11476682801</t>
  </si>
  <si>
    <t>CLAUDETE DOS SANTOS FONSECA</t>
  </si>
  <si>
    <t>12142566539</t>
  </si>
  <si>
    <t>MARIA ANGELICA MACHADO DA SILVA</t>
  </si>
  <si>
    <t>39994901877</t>
  </si>
  <si>
    <t>KENNEDY APARECIDO DOS SANTOS</t>
  </si>
  <si>
    <t>11695542886</t>
  </si>
  <si>
    <t>MARIA LUCIA ALVES</t>
  </si>
  <si>
    <t>68292228691</t>
  </si>
  <si>
    <t>OSMAR DE CARVALHO</t>
  </si>
  <si>
    <t>31528718801</t>
  </si>
  <si>
    <t>ANTONIA VANDERLI DA FRANCA</t>
  </si>
  <si>
    <t>17996559899</t>
  </si>
  <si>
    <t>MARILENE GONCALVES BATISTA DOS SANTOS</t>
  </si>
  <si>
    <t>32214240861</t>
  </si>
  <si>
    <t>RENATA APARECIDA FONSECA GARCIA</t>
  </si>
  <si>
    <t>00726367850</t>
  </si>
  <si>
    <t>MARILENE CARDOSO DA SILVA</t>
  </si>
  <si>
    <t>29305725821</t>
  </si>
  <si>
    <t>MARIA HELENA SANTOS FERREIRA NEVES</t>
  </si>
  <si>
    <t>69903891849</t>
  </si>
  <si>
    <t>JORGE COSME DOS SANTOS</t>
  </si>
  <si>
    <t>01613134509</t>
  </si>
  <si>
    <t>ALZIRA ROSA DOS ANJOS</t>
  </si>
  <si>
    <t>28756147899</t>
  </si>
  <si>
    <t>LUIZ CICERO SIMPLICIO</t>
  </si>
  <si>
    <t>53218000572</t>
  </si>
  <si>
    <t>VERONICE SANTOS DE ANDRADE</t>
  </si>
  <si>
    <t>03484827521</t>
  </si>
  <si>
    <t>JOSE DANILO SANTOS MATOS</t>
  </si>
  <si>
    <t>14975351315</t>
  </si>
  <si>
    <t>MARIA DE JESUS OLIVEIRA DOS SANTOS</t>
  </si>
  <si>
    <t>00628198876</t>
  </si>
  <si>
    <t>JOSE ALVES DO NASCIMENTO</t>
  </si>
  <si>
    <t>39625504885</t>
  </si>
  <si>
    <t>TATIANE ESTEVAM DOS SANTOS</t>
  </si>
  <si>
    <t>01389665836</t>
  </si>
  <si>
    <t>MARIA JOSE DA SILVA ESTEVES</t>
  </si>
  <si>
    <t>10089327870</t>
  </si>
  <si>
    <t>CLAUDIO MONTEIRO</t>
  </si>
  <si>
    <t>11213994870</t>
  </si>
  <si>
    <t>ETELVINA JOANA LOPES</t>
  </si>
  <si>
    <t>12522517856</t>
  </si>
  <si>
    <t>MARIA DE LOURDES MARTINS</t>
  </si>
  <si>
    <t>11702101800</t>
  </si>
  <si>
    <t>ANA DA CONSOLACAO DE BARROS LOPES</t>
  </si>
  <si>
    <t>25806357856</t>
  </si>
  <si>
    <t>JOAQUIM TEXEIRA DOS SANTOS</t>
  </si>
  <si>
    <t>26885219851</t>
  </si>
  <si>
    <t>DENISE FABIANA ARRUDA BARBOSA</t>
  </si>
  <si>
    <t>28123730837</t>
  </si>
  <si>
    <t>JOSE DE OLIVEIRA BATISTA</t>
  </si>
  <si>
    <t>03981804589</t>
  </si>
  <si>
    <t>EVILANE FRANCISCA DE JESUS</t>
  </si>
  <si>
    <t>38262101820</t>
  </si>
  <si>
    <t>LETICIA CRISTINA DE SOUZA</t>
  </si>
  <si>
    <t>MARCOS FREIRE</t>
  </si>
  <si>
    <t>03987968664</t>
  </si>
  <si>
    <t>54989854870</t>
  </si>
  <si>
    <t>MATEUS LIMA DOS SANTOS</t>
  </si>
  <si>
    <t>38623368835</t>
  </si>
  <si>
    <t>ANDERSON FERREIRA DE SOUSA</t>
  </si>
  <si>
    <t>87778807815</t>
  </si>
  <si>
    <t>HIDEMBURGO MAGNO GALVINO</t>
  </si>
  <si>
    <t>02916539875</t>
  </si>
  <si>
    <t>SATURNILIO DE OLIVEIRA SANTOS</t>
  </si>
  <si>
    <t>24557179843</t>
  </si>
  <si>
    <t>HILDA MARIA CARDOSO DE LIMA</t>
  </si>
  <si>
    <t>94015325834</t>
  </si>
  <si>
    <t>JOAO DE OLIVEIRA NOVAIS</t>
  </si>
  <si>
    <t>05715489890</t>
  </si>
  <si>
    <t>ROSIVALDO SOUSA BASTOS</t>
  </si>
  <si>
    <t>14487828805</t>
  </si>
  <si>
    <t>LEONISIA ANTONIA DA SILVA</t>
  </si>
  <si>
    <t>39613093885</t>
  </si>
  <si>
    <t>GREICE RIBEIRO VIANA</t>
  </si>
  <si>
    <t>10451610806</t>
  </si>
  <si>
    <t>LUIZ CARLOS FABIANO</t>
  </si>
  <si>
    <t>39922735806</t>
  </si>
  <si>
    <t>SUELI NEVES ARAUJO</t>
  </si>
  <si>
    <t>28236204863</t>
  </si>
  <si>
    <t>EDSONIA MARIA ALVES PEREIRA</t>
  </si>
  <si>
    <t>00670187852</t>
  </si>
  <si>
    <t>FRANCISCO BRAZ FERREIRA</t>
  </si>
  <si>
    <t>86967860500</t>
  </si>
  <si>
    <t>CARMEM GUIMARAES LIMA</t>
  </si>
  <si>
    <t>01/06/2026 13h às 17h</t>
  </si>
  <si>
    <t>33851388844</t>
  </si>
  <si>
    <t>DAMIANA FERREIRA DE LIMA</t>
  </si>
  <si>
    <t>57886679849</t>
  </si>
  <si>
    <t>FRANCISCO FERREIRA DA SILVA</t>
  </si>
  <si>
    <t>90418913820</t>
  </si>
  <si>
    <t>JOSE ALVES DE OLIVEIRA</t>
  </si>
  <si>
    <t>JARCINEIDE</t>
  </si>
  <si>
    <t>30069865809</t>
  </si>
  <si>
    <t>MARLENE HENRIQUES TEIXEIRA</t>
  </si>
  <si>
    <t>07439813839</t>
  </si>
  <si>
    <t>Maria Aparecida Godoy</t>
  </si>
  <si>
    <t>75095548887</t>
  </si>
  <si>
    <t>RAIMUNDO RIBEIRO DA SILVA</t>
  </si>
  <si>
    <t>07622389846</t>
  </si>
  <si>
    <t>MARLI DE LOURDES MARANGONI</t>
  </si>
  <si>
    <t>07224514829</t>
  </si>
  <si>
    <t>INES MARIA DE JESUS</t>
  </si>
  <si>
    <t>64498590830</t>
  </si>
  <si>
    <t>PAULO DA SILVA</t>
  </si>
  <si>
    <t>05331059864</t>
  </si>
  <si>
    <t>MARIA JOSE DOS SANTOS</t>
  </si>
  <si>
    <t>08394818889</t>
  </si>
  <si>
    <t>FATIMA KHALIL FERREIRA</t>
  </si>
  <si>
    <t>56979864831</t>
  </si>
  <si>
    <t>ANA LUIZA ARAGAO BARAGATTI</t>
  </si>
  <si>
    <t>02105574513</t>
  </si>
  <si>
    <t>MARILENE BARBOSA DOS SANTOS</t>
  </si>
  <si>
    <t>03733338898</t>
  </si>
  <si>
    <t>29428279803</t>
  </si>
  <si>
    <t>JOAO PEREIRA DOS SANTOS</t>
  </si>
  <si>
    <t>08588683857</t>
  </si>
  <si>
    <t>MARLENE DA SILVA LEITE</t>
  </si>
  <si>
    <t>07325583877</t>
  </si>
  <si>
    <t>IDELZUITE RODRIGUES DA SILVA</t>
  </si>
  <si>
    <t>10057325820</t>
  </si>
  <si>
    <t>DORIVAL DE OLIVEIRA</t>
  </si>
  <si>
    <t>95140522853</t>
  </si>
  <si>
    <t>MARIA APARECIDA ALVES FERREIRA</t>
  </si>
  <si>
    <t>09457430840</t>
  </si>
  <si>
    <t>11855497816</t>
  </si>
  <si>
    <t>EXPEDITA MARIA GUIMARAES MARES</t>
  </si>
  <si>
    <t>09417328867</t>
  </si>
  <si>
    <t>EDINALDO SANTOS DA SILVA</t>
  </si>
  <si>
    <t>18549094870</t>
  </si>
  <si>
    <t>ANA TEREZA DOS SANTOS</t>
  </si>
  <si>
    <t>29574754804</t>
  </si>
  <si>
    <t>DENILU DUARTE SANTOS</t>
  </si>
  <si>
    <t>03747431852</t>
  </si>
  <si>
    <t>VALDEMAR GOMES DE SOUZA</t>
  </si>
  <si>
    <t>12830982886</t>
  </si>
  <si>
    <t>LINDINALVA CLEMENTE DE LIMA ZACARIAS</t>
  </si>
  <si>
    <t>26866071810</t>
  </si>
  <si>
    <t>ENI CESARIO SOARES</t>
  </si>
  <si>
    <t>40782565700</t>
  </si>
  <si>
    <t>CARLOS SABINO DE SOUSA</t>
  </si>
  <si>
    <t>50056378858</t>
  </si>
  <si>
    <t>GUILHERME ROBERTO ESTEVAO</t>
  </si>
  <si>
    <t>MARIA APARECIDA DOS SANTOS LIRA</t>
  </si>
  <si>
    <t>65585020897</t>
  </si>
  <si>
    <t>FRANCISCO BARBOSA</t>
  </si>
  <si>
    <t>24380776034</t>
  </si>
  <si>
    <t>JANETI ROSANE SOUZA RIBEIRO</t>
  </si>
  <si>
    <t>12836847808</t>
  </si>
  <si>
    <t>TEREZA SAEKO ONO</t>
  </si>
  <si>
    <t>22552935877</t>
  </si>
  <si>
    <t>JOANITA BARBOSA DOS SANTOS</t>
  </si>
  <si>
    <t>17092519802</t>
  </si>
  <si>
    <t>MARIA JOSE DE BRITO SANTOS</t>
  </si>
  <si>
    <t>13276813823</t>
  </si>
  <si>
    <t>ELSA ROSA DA SILVA</t>
  </si>
  <si>
    <t>01692353519</t>
  </si>
  <si>
    <t>JOANES LUCIO DOS SANTOS</t>
  </si>
  <si>
    <t>25527111893</t>
  </si>
  <si>
    <t>MARIA CELIA RODRIGUES DOS SANTOS</t>
  </si>
  <si>
    <t>03507652439</t>
  </si>
  <si>
    <t>NECI TARGINO DE BRITO</t>
  </si>
  <si>
    <t>05276435804</t>
  </si>
  <si>
    <t>CLEA NUNES ANDRADE</t>
  </si>
  <si>
    <t>08829205885</t>
  </si>
  <si>
    <t>ODETE BECHARA LEITE</t>
  </si>
  <si>
    <t>23907469852</t>
  </si>
  <si>
    <t>LOURDES MARIA</t>
  </si>
  <si>
    <t>00153833858</t>
  </si>
  <si>
    <t>JOSE CARLOS DA SILVA</t>
  </si>
  <si>
    <t>05524293842</t>
  </si>
  <si>
    <t>JOSE MARQUES DE SOUZA</t>
  </si>
  <si>
    <t>58875168873</t>
  </si>
  <si>
    <t>MARIA DAS GRACAS RIBEIRO</t>
  </si>
  <si>
    <t>25873607818</t>
  </si>
  <si>
    <t>VILMA APARECIDA DA SILVA</t>
  </si>
  <si>
    <t>08551870858</t>
  </si>
  <si>
    <t>LUIS ANTONIO DE LIMA</t>
  </si>
  <si>
    <t>70265350212</t>
  </si>
  <si>
    <t>OZIANA DORVILIER</t>
  </si>
  <si>
    <t>03760461808</t>
  </si>
  <si>
    <t>WILLIAME DONATO DE MATOS</t>
  </si>
  <si>
    <t>14229762895</t>
  </si>
  <si>
    <t>GILSON DIONISIO DA SILVA</t>
  </si>
  <si>
    <t>01076409881</t>
  </si>
  <si>
    <t>JULIO COSTA FERNANDES</t>
  </si>
  <si>
    <t>30387159487</t>
  </si>
  <si>
    <t>JOSE BESERRA DA SILVA</t>
  </si>
  <si>
    <t>87097753668</t>
  </si>
  <si>
    <t>JOSE GERALDO DA SILVA</t>
  </si>
  <si>
    <t>27814219876</t>
  </si>
  <si>
    <t>JOSEFINA BISPO DOS SANTOS</t>
  </si>
  <si>
    <t>40934225591</t>
  </si>
  <si>
    <t>GISELA OLIVEIRA ANDRADE CELESTINO</t>
  </si>
  <si>
    <t>24119691802</t>
  </si>
  <si>
    <t>HAYLA NICOLE SANTANA SOUZA DA SILVA</t>
  </si>
  <si>
    <t>15395636854</t>
  </si>
  <si>
    <t>MARLENE DE OLIVEIRA PONCIANO</t>
  </si>
  <si>
    <t>99015455872</t>
  </si>
  <si>
    <t>JUVENAL PEDRO DA SILVA</t>
  </si>
  <si>
    <t>73235954449</t>
  </si>
  <si>
    <t>ELIANE AFONSO DA SILVA</t>
  </si>
  <si>
    <t>14071569859</t>
  </si>
  <si>
    <t>JUNIOR ANTONIO DA SILVA</t>
  </si>
  <si>
    <t>14880291803</t>
  </si>
  <si>
    <t>NEIDE ALVES DOS SANTOS</t>
  </si>
  <si>
    <t>16386045840</t>
  </si>
  <si>
    <t>ANTONIO FERREIRA DOS SANTOS</t>
  </si>
  <si>
    <t>36093909808</t>
  </si>
  <si>
    <t>MARIA ROSALIA DOS SANTOS BROETTO</t>
  </si>
  <si>
    <t>02949675832</t>
  </si>
  <si>
    <t>MARIOVALDO MAFRA NUNES</t>
  </si>
  <si>
    <t>04188775807</t>
  </si>
  <si>
    <t>VALCI MORAIS DA ROCHA</t>
  </si>
  <si>
    <t>17365630841</t>
  </si>
  <si>
    <t>ANA MARGARETE DUTRA</t>
  </si>
  <si>
    <t>72171707372</t>
  </si>
  <si>
    <t>FRANCISCO FERREIRA DE CARVALHO</t>
  </si>
  <si>
    <t>04538089800</t>
  </si>
  <si>
    <t>ADELITA MARIA OLIVEIRA FERREIRA</t>
  </si>
  <si>
    <t>03761237880</t>
  </si>
  <si>
    <t>01391320824</t>
  </si>
  <si>
    <t>FRANCISCA VITORIA DOS SANTOS MELO</t>
  </si>
  <si>
    <t>65365976800</t>
  </si>
  <si>
    <t>707804673054711</t>
  </si>
  <si>
    <t>ANTONIO GARCIA SOBRINHO</t>
  </si>
  <si>
    <t>22466132800</t>
  </si>
  <si>
    <t>AMANDA SAMPAIO MIRANDA</t>
  </si>
  <si>
    <t>04503742892</t>
  </si>
  <si>
    <t>MARIA DE LOURDES PEREIRA DE SOUZA</t>
  </si>
  <si>
    <t>34495653890</t>
  </si>
  <si>
    <t>LAUDICEIA ANDRADE DE OLIVEIRA</t>
  </si>
  <si>
    <t>06648166819</t>
  </si>
  <si>
    <t>ELENALVA MARIA SANTOS MALAQUIAS</t>
  </si>
  <si>
    <t>08445004883</t>
  </si>
  <si>
    <t>SOLANGE DA SILVA RIBEIRO</t>
  </si>
  <si>
    <t>25069847805</t>
  </si>
  <si>
    <t>DIANA PAULA PEDROZA</t>
  </si>
  <si>
    <t>10717169804</t>
  </si>
  <si>
    <t>JOSEFA MAGALHAES ALVES</t>
  </si>
  <si>
    <t>35198186805</t>
  </si>
  <si>
    <t>DEUSDETIA SANTANA ARAUJO</t>
  </si>
  <si>
    <t>27526811869</t>
  </si>
  <si>
    <t>05021636820</t>
  </si>
  <si>
    <t>CARLOS ANTONIO DA SILVA</t>
  </si>
  <si>
    <t>13239979896</t>
  </si>
  <si>
    <t>MARIA JACIRA DOS SANTOS PINTO</t>
  </si>
  <si>
    <t>76282830800</t>
  </si>
  <si>
    <t>IVANIRA ALVES DA COSTA</t>
  </si>
  <si>
    <t>06617480813</t>
  </si>
  <si>
    <t>VALTER CASTRO SILVA</t>
  </si>
  <si>
    <t>36889493826</t>
  </si>
  <si>
    <t>FABIANA DE SOUZA</t>
  </si>
  <si>
    <t>12637771801</t>
  </si>
  <si>
    <t>JOAO BATISTA DE PAULO SARMENTO</t>
  </si>
  <si>
    <t>38152112801</t>
  </si>
  <si>
    <t>MARIA ELZA DOS SANTOS</t>
  </si>
  <si>
    <t>19580316821</t>
  </si>
  <si>
    <t>ELITA SOARES XAVIER PENHA</t>
  </si>
  <si>
    <t>26136017873</t>
  </si>
  <si>
    <t>EDNELSON SOBRAL DA SILVA</t>
  </si>
  <si>
    <t>40202719847</t>
  </si>
  <si>
    <t>RODRIGO FERREIRA DOS SANTOS</t>
  </si>
  <si>
    <t>59892897668</t>
  </si>
  <si>
    <t>JOSE IRINEU PEREIRA DE FREITAS</t>
  </si>
  <si>
    <t>10718620810</t>
  </si>
  <si>
    <t>CONCELITA ANTONIA REIS URBANO</t>
  </si>
  <si>
    <t>70319596834</t>
  </si>
  <si>
    <t>LAURO SANCHEZ</t>
  </si>
  <si>
    <t>42144540497</t>
  </si>
  <si>
    <t>ADEILDA CARMELITA PACHECO</t>
  </si>
  <si>
    <t>04574410892</t>
  </si>
  <si>
    <t>ROSELI GOMES</t>
  </si>
  <si>
    <t>51932686843</t>
  </si>
  <si>
    <t>VICTORIA RAYSSA GOMES DA SILVA</t>
  </si>
  <si>
    <t>19678179873</t>
  </si>
  <si>
    <t>LUIZA LOPES DOS SANTOS</t>
  </si>
  <si>
    <t>02327890888</t>
  </si>
  <si>
    <t>JUDITE SILVEIRA DOS SANTOS</t>
  </si>
  <si>
    <t>16050100306</t>
  </si>
  <si>
    <t>ADONIAS DA SILVA</t>
  </si>
  <si>
    <t>22928890807</t>
  </si>
  <si>
    <t>MARIA EDITE DE OLIVEIRA</t>
  </si>
  <si>
    <t>32791379851</t>
  </si>
  <si>
    <t>LUCINEIDE BATISTA DOS SANTOS</t>
  </si>
  <si>
    <t>22672310858</t>
  </si>
  <si>
    <t>IVONE DE JESUS DO CARMO</t>
  </si>
  <si>
    <t>65671767253</t>
  </si>
  <si>
    <t>ANDRE NASCIMENTO PAIVA</t>
  </si>
  <si>
    <t>55163226851</t>
  </si>
  <si>
    <t>MARCOS VINICIOS GONCALVEZ DA SILVA</t>
  </si>
  <si>
    <t>27444131864</t>
  </si>
  <si>
    <t>JOSE VITAL DOS SANTOS</t>
  </si>
  <si>
    <t>26570635867</t>
  </si>
  <si>
    <t>MOISES CALHEIROS DO SANTOS</t>
  </si>
  <si>
    <t>15745001801</t>
  </si>
  <si>
    <t>17093354831</t>
  </si>
  <si>
    <t>MARIA JOSE FERREIRA DA SILVA</t>
  </si>
  <si>
    <t>06519284866</t>
  </si>
  <si>
    <t>FLORDENICE DOS REIS</t>
  </si>
  <si>
    <t>15349498878</t>
  </si>
  <si>
    <t>MARIA DA SILVA BRITO</t>
  </si>
  <si>
    <t>33474978802</t>
  </si>
  <si>
    <t>CREUZA DAS GRACAS CRUZ</t>
  </si>
  <si>
    <t>14759247807</t>
  </si>
  <si>
    <t>ALMELISTO CANDIDO DE SA</t>
  </si>
  <si>
    <t>01246903865</t>
  </si>
  <si>
    <t>NEUSA ANFILO</t>
  </si>
  <si>
    <t>27767919846</t>
  </si>
  <si>
    <t>KELLY CRISTINA ANTONIO</t>
  </si>
  <si>
    <t>01040490816</t>
  </si>
  <si>
    <t>ANTONIO CARLOS BATISTA COSTA</t>
  </si>
  <si>
    <t>61331376491</t>
  </si>
  <si>
    <t>ELZA CAVALCANTE DE ALBUQUERQUE</t>
  </si>
  <si>
    <t>16620415865</t>
  </si>
  <si>
    <t>DERIVALDO VICENTE DA SILVA</t>
  </si>
  <si>
    <t>13519139804</t>
  </si>
  <si>
    <t>ERONILDO PEREIRA DA SILVA</t>
  </si>
  <si>
    <t>03175990894</t>
  </si>
  <si>
    <t>MARIA DO AMPARO BORGES SOUSA</t>
  </si>
  <si>
    <t>REAGENDAR</t>
  </si>
  <si>
    <t>08381808847</t>
  </si>
  <si>
    <t>ANTONELSON GUSMAO VIANA</t>
  </si>
  <si>
    <t>01109058810</t>
  </si>
  <si>
    <t>MANOEL BATISTA RIBEIRO</t>
  </si>
  <si>
    <t>05042559833</t>
  </si>
  <si>
    <t>LUIS EDUARDO SOUZA AZEVEDO</t>
  </si>
  <si>
    <t>05190028810</t>
  </si>
  <si>
    <t>JOSEFINA BELISARIO DE ARAUJO</t>
  </si>
  <si>
    <t>26663497804</t>
  </si>
  <si>
    <t>IZILDINHA DE FATIMA OLIVEIRA</t>
  </si>
  <si>
    <t>02490792598</t>
  </si>
  <si>
    <t>MARIA ADRIANA DOS SANTOS</t>
  </si>
  <si>
    <t>44441193572</t>
  </si>
  <si>
    <t>JOAQUINA MARIA DO CARMO SANTOS</t>
  </si>
  <si>
    <t>02/06/2026 13h às 17h</t>
  </si>
  <si>
    <t>13237793884</t>
  </si>
  <si>
    <t>AMELIA ROSA DE OLIVEIRA</t>
  </si>
  <si>
    <t>36953393572</t>
  </si>
  <si>
    <t>MIGUEL LIMA MENEZES</t>
  </si>
  <si>
    <t>00390528501</t>
  </si>
  <si>
    <t>ANTONIA PEREIRA SANTOS DOS SANTOS</t>
  </si>
  <si>
    <t>36664861852</t>
  </si>
  <si>
    <t>MARIA DAS DORES DA SILVA SANTOS</t>
  </si>
  <si>
    <t>60389460478</t>
  </si>
  <si>
    <t>HELIO MANUEL DA SILVA</t>
  </si>
  <si>
    <t>01203850824</t>
  </si>
  <si>
    <t>NIVALDO CARDOSO</t>
  </si>
  <si>
    <t>13036569812</t>
  </si>
  <si>
    <t>ANTONIA GOMES DA SILVA</t>
  </si>
  <si>
    <t>02348879824</t>
  </si>
  <si>
    <t>FLORISMUNDO ARAUJO</t>
  </si>
  <si>
    <t>25711450883</t>
  </si>
  <si>
    <t>SIRLEIDE ROSA DOS SANTOS</t>
  </si>
  <si>
    <t>06060993877</t>
  </si>
  <si>
    <t>JOAO PEREIRA DA SILVA</t>
  </si>
  <si>
    <t>27142218827</t>
  </si>
  <si>
    <t>ARIVAL MELO DE SOUZA</t>
  </si>
  <si>
    <t>22855628881</t>
  </si>
  <si>
    <t>ERIKA SOUZA SANTOS</t>
  </si>
  <si>
    <t>28348885234</t>
  </si>
  <si>
    <t>MARIA MARGARIDA FIGUEIREDO</t>
  </si>
  <si>
    <t>87844052872</t>
  </si>
  <si>
    <t>JOSE MARIA DE LIMA CHAVES</t>
  </si>
  <si>
    <t>31758856831</t>
  </si>
  <si>
    <t>SUELI GOMES LEAL DO NASCIMENTO</t>
  </si>
  <si>
    <t>01745598448</t>
  </si>
  <si>
    <t>SILVANA SOARES DA SILVA</t>
  </si>
  <si>
    <t>21378312287</t>
  </si>
  <si>
    <t>SEBASTIAO FERREIRA DOS SANTOS</t>
  </si>
  <si>
    <t>68475098487</t>
  </si>
  <si>
    <t>LAUDICEIA MARIA DA SILVA</t>
  </si>
  <si>
    <t>09240421840</t>
  </si>
  <si>
    <t>SANDRA REGINA DE PAULA CORDEIRO</t>
  </si>
  <si>
    <t>36730335491</t>
  </si>
  <si>
    <t>MANOEL SALUSTIANO DA SILVA</t>
  </si>
  <si>
    <t>36082819837</t>
  </si>
  <si>
    <t>VIVIANA DA CRUZ LUIZ</t>
  </si>
  <si>
    <t>52499456515</t>
  </si>
  <si>
    <t>EDVALDO RAIMUNDO DE JESUS</t>
  </si>
  <si>
    <t>27417458890</t>
  </si>
  <si>
    <t>HELEN ROSE NASCIMENTO MOURA DOS SANTOS</t>
  </si>
  <si>
    <t>19533031883</t>
  </si>
  <si>
    <t>RAIMUNDO SOARES</t>
  </si>
  <si>
    <t>09388021860</t>
  </si>
  <si>
    <t>MARINALVA OLIVEIRA DOS REIS SILVAA</t>
  </si>
  <si>
    <t>95017283820</t>
  </si>
  <si>
    <t>APARECIDO DONIZETE DA SILVA</t>
  </si>
  <si>
    <t>89417216872</t>
  </si>
  <si>
    <t>ANA MARIA DE SOUZA DIORIO</t>
  </si>
  <si>
    <t>03101188598</t>
  </si>
  <si>
    <t>LUCIANA TEIXEIRA GOMES</t>
  </si>
  <si>
    <t>65378490804</t>
  </si>
  <si>
    <t>JOAO DA SILVA</t>
  </si>
  <si>
    <t>39477341827</t>
  </si>
  <si>
    <t>JULIANA GOMES RAMOS</t>
  </si>
  <si>
    <t>52696936668</t>
  </si>
  <si>
    <t>44900023434</t>
  </si>
  <si>
    <t>JOSE ZACARIAS DA SILVA</t>
  </si>
  <si>
    <t>33957081874</t>
  </si>
  <si>
    <t>GISELE DOS SANTOS RODRIGUES</t>
  </si>
  <si>
    <t>13563519803</t>
  </si>
  <si>
    <t>IDEANA MARIA DA SILVA CHAGAS</t>
  </si>
  <si>
    <t>26434604807</t>
  </si>
  <si>
    <t>ELAINE CRISTINA SILVA</t>
  </si>
  <si>
    <t>63452790800</t>
  </si>
  <si>
    <t>LEONCIO DE LIMA</t>
  </si>
  <si>
    <t>JOANA</t>
  </si>
  <si>
    <t>JOAO JOSE</t>
  </si>
  <si>
    <t>52858421900</t>
  </si>
  <si>
    <t>JOACIR DE ABREU</t>
  </si>
  <si>
    <t>85454206849</t>
  </si>
  <si>
    <t>JOSE AMORIM CARDOSO</t>
  </si>
  <si>
    <t>17972051453</t>
  </si>
  <si>
    <t>MARIA JOSE DA CONCEICAO</t>
  </si>
  <si>
    <t>17092157803</t>
  </si>
  <si>
    <t>MARINALVA JULIA ALVES DE PAULA</t>
  </si>
  <si>
    <t>43179029587</t>
  </si>
  <si>
    <t>MARIVALDA DE JESUS COSTA</t>
  </si>
  <si>
    <t>11763103803</t>
  </si>
  <si>
    <t>VERA LUCIA FERREIRA</t>
  </si>
  <si>
    <t>78282942472</t>
  </si>
  <si>
    <t>ZEZA ALVES SILVA</t>
  </si>
  <si>
    <t>10122392841</t>
  </si>
  <si>
    <t>FRANCISCO APARECIDO LOPES DE SOUZA</t>
  </si>
  <si>
    <t>29572602802</t>
  </si>
  <si>
    <t>AMERICA ROSA MOREIRA</t>
  </si>
  <si>
    <t>68902425304</t>
  </si>
  <si>
    <t>JUSTINA CIPRIANA LEAO</t>
  </si>
  <si>
    <t>41204755817</t>
  </si>
  <si>
    <t>BIANCA DOS SANTOS BURAEN</t>
  </si>
  <si>
    <t>00461671026</t>
  </si>
  <si>
    <t>JOSELITA SANTOS FERREIRA</t>
  </si>
  <si>
    <t>22349848825</t>
  </si>
  <si>
    <t>JOSIEADA SILVA DA COSTA</t>
  </si>
  <si>
    <t>08238122864</t>
  </si>
  <si>
    <t>MARIA DE LOURDES GONCALVES PEREIRA</t>
  </si>
  <si>
    <t>ARLINDA</t>
  </si>
  <si>
    <t>12983671828</t>
  </si>
  <si>
    <t>HILDA SOUZA NUNES FERREIRA</t>
  </si>
  <si>
    <t>37444026491</t>
  </si>
  <si>
    <t>JOSE ANTONIO SALES</t>
  </si>
  <si>
    <t>39277889888</t>
  </si>
  <si>
    <t>NELY GADELHA DO NASCIMENTO</t>
  </si>
  <si>
    <t>08485248880</t>
  </si>
  <si>
    <t>MARIA ANA DA SILVA</t>
  </si>
  <si>
    <t>06640765802</t>
  </si>
  <si>
    <t>VITALINA VIDOY BERNARDO</t>
  </si>
  <si>
    <t>05103790874</t>
  </si>
  <si>
    <t>CREUSA MARIA FERREIRA</t>
  </si>
  <si>
    <t>02591616671</t>
  </si>
  <si>
    <t>ANA CIRLENE CANABRAVA DOS SANTOS</t>
  </si>
  <si>
    <t>15799860802</t>
  </si>
  <si>
    <t>IVONETE DE FRANCA SILVA</t>
  </si>
  <si>
    <t>01/07/2026 08h às 13h</t>
  </si>
  <si>
    <t>88313590459</t>
  </si>
  <si>
    <t>LINDACI MARIA BARROS DE OLIVEIRA</t>
  </si>
  <si>
    <t>93572859891</t>
  </si>
  <si>
    <t>706201007218764</t>
  </si>
  <si>
    <t>CLEUZA MENDES DA SILVA</t>
  </si>
  <si>
    <t>49745956872</t>
  </si>
  <si>
    <t>MILTON CESARINO DOS SANTOS JUNIOR</t>
  </si>
  <si>
    <t>03138014879</t>
  </si>
  <si>
    <t>MARIA IZABEL DA SILVA NASCIMENTO</t>
  </si>
  <si>
    <t>90039424804</t>
  </si>
  <si>
    <t>JOAO BATISTA DA COSTA</t>
  </si>
  <si>
    <t>04051016862</t>
  </si>
  <si>
    <t>MARIA APARECIDA MESSIAS BUENO</t>
  </si>
  <si>
    <t>81774249804</t>
  </si>
  <si>
    <t>JUDITH MENDES DA SILVA</t>
  </si>
  <si>
    <t>67711715404</t>
  </si>
  <si>
    <t>ROBERTO CLEMENTINO SILVA</t>
  </si>
  <si>
    <t>14903375803</t>
  </si>
  <si>
    <t>LAURA DA CONCEICAO FERREIRA</t>
  </si>
  <si>
    <t>03983868894</t>
  </si>
  <si>
    <t>ELZA MARIA DE JESUS</t>
  </si>
  <si>
    <t>27609983802</t>
  </si>
  <si>
    <t>CLESIA DE QUEIROZ ALVES</t>
  </si>
  <si>
    <t>08210377817</t>
  </si>
  <si>
    <t>ENIO GIL DE LIMA BARBOSA</t>
  </si>
  <si>
    <t>25568628823</t>
  </si>
  <si>
    <t>ADELINA MARIA DA ROCHA KINIKEL</t>
  </si>
  <si>
    <t>03/08/2026 13h às 17h</t>
  </si>
  <si>
    <t>02/07/2026 13h às 17h</t>
  </si>
  <si>
    <t>Remanejado para o dia 17/06</t>
  </si>
  <si>
    <t>Remanejado para o dia 17/07</t>
  </si>
  <si>
    <t>Remanejado para o dia 17/08</t>
  </si>
  <si>
    <t>Remanejado para o dia 17/09</t>
  </si>
  <si>
    <t>Remanejado para o dia 17/10</t>
  </si>
  <si>
    <t>Remanejado para o dia 17/11</t>
  </si>
  <si>
    <t>Remanejado para o dia 17/12</t>
  </si>
  <si>
    <t>Remanejado para o dia 17/13</t>
  </si>
  <si>
    <t>Remanejado para o dia 17/14</t>
  </si>
  <si>
    <t>Remanejado para o dia 17/15</t>
  </si>
  <si>
    <t>Remanejado para o dia 17/16</t>
  </si>
  <si>
    <t>Remanejado para o dia 17/17</t>
  </si>
  <si>
    <t>17/07/2026 13h às 17h - REPOSIÇÃO DO DIA 02/07</t>
  </si>
  <si>
    <t>04/08/2026 13h às 17h</t>
  </si>
  <si>
    <t>Nome Estab. Solicitante</t>
  </si>
  <si>
    <t>Equipe</t>
  </si>
  <si>
    <t>Vagas</t>
  </si>
  <si>
    <t>CARDIOLOGIA</t>
  </si>
  <si>
    <t>TOTAL DE VAGAS
 POR UNIDADE/MÊS</t>
  </si>
  <si>
    <t>MÉDIA DE VAGAS 
POR UNIDADE/MÊS</t>
  </si>
  <si>
    <t>MÉDIA DE VAGAS
 POR UNIDADE/SEMANA</t>
  </si>
  <si>
    <t>CL</t>
  </si>
  <si>
    <t>TOTAL FILA POR STS</t>
  </si>
  <si>
    <t>MB</t>
  </si>
  <si>
    <t>TOTAL VAGAS  POR STS</t>
  </si>
  <si>
    <t>UBS VERA CRUZ DR FERNANDO PROENCA DE GOUVEA</t>
  </si>
  <si>
    <t>UBS JARDIM NAKAMURA</t>
  </si>
  <si>
    <t>UBS PARQUE NOVO SANTO AMARO</t>
  </si>
  <si>
    <t xml:space="preserve">Dra Priscila Ferreira - UBS Jardim Ipava </t>
  </si>
  <si>
    <t>17/09/2025 13:00 ás 17:00</t>
  </si>
  <si>
    <t>Priscila Ferreira da Silva</t>
  </si>
  <si>
    <t>IVONE DE JESUS C DOS SANTOS</t>
  </si>
  <si>
    <t>CATANGUA,1</t>
  </si>
  <si>
    <t>MARLENE ALVES SANTOS</t>
  </si>
  <si>
    <t>CAPORANGA,67</t>
  </si>
  <si>
    <t>NICEILDA ALVES DANTAS</t>
  </si>
  <si>
    <t>ENG MILTON A PEIXOTO,308</t>
  </si>
  <si>
    <t>ANTONIO ESTEVAM DA S NETO</t>
  </si>
  <si>
    <t>CATANGUA 95</t>
  </si>
  <si>
    <t>MARIA LUCIA FERNANDESDA SILVA</t>
  </si>
  <si>
    <t>UTUCURA, 505</t>
  </si>
  <si>
    <t>EDSON FERREIRA LIMA</t>
  </si>
  <si>
    <t>CAPORANGA 22</t>
  </si>
  <si>
    <t>MARIA VERONICA GONÇALVES SILVA</t>
  </si>
  <si>
    <t>ITACURÉ 23</t>
  </si>
  <si>
    <t>REJANE  MARIA DA SILVA</t>
  </si>
  <si>
    <t>SABAUNA  49</t>
  </si>
  <si>
    <t>Dra Karizia Bianca Ferreira - UBS Jardim Comercial</t>
  </si>
  <si>
    <t>23/09/2025 08:00 ás 12:00</t>
  </si>
  <si>
    <t>Terça</t>
  </si>
  <si>
    <t>Karizia Bianca Ferreira</t>
  </si>
  <si>
    <t>646.682.748-87</t>
  </si>
  <si>
    <t xml:space="preserve">OSWALDO PALANDRANI </t>
  </si>
  <si>
    <t xml:space="preserve">RUA CAMNHAMO DA INDIO </t>
  </si>
  <si>
    <t>(11) 58215276</t>
  </si>
  <si>
    <t>011.974.978-54</t>
  </si>
  <si>
    <t>JOEL FONSECA SANTOS</t>
  </si>
  <si>
    <t>TRAVESSA PERA FIDALGA</t>
  </si>
  <si>
    <t>(11) 912688811</t>
  </si>
  <si>
    <t>075.322.138-11</t>
  </si>
  <si>
    <t>GABRIEL PEREIRA LIMA</t>
  </si>
  <si>
    <t>RUA CANHAMO DA INDIA</t>
  </si>
  <si>
    <t>(11) 58247534</t>
  </si>
  <si>
    <t>065.318.418-26</t>
  </si>
  <si>
    <t>MARIA JOSE PEREIRA DA CRUZ</t>
  </si>
  <si>
    <t>RUA LOURO DA BEIRA</t>
  </si>
  <si>
    <t>(11) 58241881</t>
  </si>
  <si>
    <t>111.947.838-30</t>
  </si>
  <si>
    <t>NADJA ANDRADE DE OLIVEIRA</t>
  </si>
  <si>
    <t>RUA MARMELEIRO DO CAMPO</t>
  </si>
  <si>
    <t>(11) 58233307</t>
  </si>
  <si>
    <t>035.088.318-17</t>
  </si>
  <si>
    <t>MARIA DO SOCORRO DE SOUSA</t>
  </si>
  <si>
    <t xml:space="preserve">TRAVESSA SAGUARAGI </t>
  </si>
  <si>
    <t>(11) 986209861</t>
  </si>
  <si>
    <t>Desistencia do paciente</t>
  </si>
  <si>
    <t>166.195.918-09</t>
  </si>
  <si>
    <t>CILENE SANTOS SILVA</t>
  </si>
  <si>
    <t>(11) 9541-89995</t>
  </si>
  <si>
    <t>Apos o atendimento do tele cardio a paciente tem preferencia pelo atendimento presencial</t>
  </si>
  <si>
    <t>318.110.988-60</t>
  </si>
  <si>
    <t>MARIA DE LOURDES ISMAEL PINTO</t>
  </si>
  <si>
    <t>(11) 952488715</t>
  </si>
  <si>
    <t>Dra Priscila Ferreira - UBS Jardim Eledy</t>
  </si>
  <si>
    <t>24/09/2025 08:00 ás 12:00</t>
  </si>
  <si>
    <t>Quinta</t>
  </si>
  <si>
    <t>MARIA NEUDA DUARTE DANIEL</t>
  </si>
  <si>
    <t>SEBASTIAO ADVINCULA DA CUNHA,4</t>
  </si>
  <si>
    <t>EDUARDO BRASILINO CORSI</t>
  </si>
  <si>
    <t>MARIO PEDERNEIRAS, 86</t>
  </si>
  <si>
    <t>NÃO ATENDEU</t>
  </si>
  <si>
    <t>22/09/2025 e 23/09/2025</t>
  </si>
  <si>
    <t>YASMIN FERREIRA DO NASCIMENTO</t>
  </si>
  <si>
    <t>AMBROSINA DE OLIVEIRA AQUINO</t>
  </si>
  <si>
    <t>BENEDITO DOMINGUES,31</t>
  </si>
  <si>
    <t>PAULO SIMPLICIO DE ASSUNCAO</t>
  </si>
  <si>
    <t>SEBASTIAO ADVINCULA DA CUNHA,77</t>
  </si>
  <si>
    <t>DEBORA MENDES SILVA</t>
  </si>
  <si>
    <t>RUA DAS PRAIAS DA COSTA VERDE, 48</t>
  </si>
  <si>
    <t>RUA ERNESTO BAVIO, 171</t>
  </si>
  <si>
    <t>JURACI GONCALVES DE CARVALHO</t>
  </si>
  <si>
    <t>RUA ERNESTO BAVIO, 170</t>
  </si>
  <si>
    <t>Dr Priscila Ferreira - UBS Parque Novo Santo Amaro</t>
  </si>
  <si>
    <t>25/09/2025 13:00 ás 17:00</t>
  </si>
  <si>
    <t>RUTE MARIA DUMONT DE MELO</t>
  </si>
  <si>
    <t xml:space="preserve">RUA FRANCISCA QUEIROS, 47 - PARQUE INDEPENDENCIA
</t>
  </si>
  <si>
    <t>11-958334541</t>
  </si>
  <si>
    <t>Paciente não atendeu a equipe na data, mas havia confirmado em  16/09/2025</t>
  </si>
  <si>
    <t>25/09/2025 as 12:40</t>
  </si>
  <si>
    <t xml:space="preserve">Alessandra Almeida </t>
  </si>
  <si>
    <t>RAIMUNDO LEMOS DE OLIVEIRA</t>
  </si>
  <si>
    <t xml:space="preserve">RUA FRANCISCA QUEIROS, 30 A - PARQUE INDEPENDENCIA
</t>
  </si>
  <si>
    <t>11-977247804</t>
  </si>
  <si>
    <t>JOSEFA MARIA DA SILVA BONFIM</t>
  </si>
  <si>
    <t xml:space="preserve">RUA COELHO LOUSADA, 1000 BL 3 AP 3025 - PARQUE NOVO SANTO AMARO
</t>
  </si>
  <si>
    <t>11-77124299</t>
  </si>
  <si>
    <t>JORGE ROBERTO BISPO SANTOS</t>
  </si>
  <si>
    <t xml:space="preserve">RUA COELHO LOUSADA, 1000 BL 05 APT 5307 - PARQUE NOVO SANTO AMARO
</t>
  </si>
  <si>
    <t>11- 99523469</t>
  </si>
  <si>
    <t>ANA PAULA MACEDO DA COSTA</t>
  </si>
  <si>
    <t xml:space="preserve">RUA COELHO LOUSADA, 90 B CASA 03 - PARQUE NOVO SANTO AMARO
</t>
  </si>
  <si>
    <t>11- 996541457</t>
  </si>
  <si>
    <t>Paciente mudou de ideia apos o patrão solicitar que a mesma fosse trabalhar. Agora quer presencial.</t>
  </si>
  <si>
    <t>Jonas Acs e equipe da consulta</t>
  </si>
  <si>
    <t>ALEXANDRE LOPES DA SILVA</t>
  </si>
  <si>
    <t xml:space="preserve">RUA COELHO LOUSADA, 501 CASA 2 -PARQUE NOVO SANTO AMARO
</t>
  </si>
  <si>
    <t>11-982907224</t>
  </si>
  <si>
    <t>ANA CARMO DA SILVA</t>
  </si>
  <si>
    <t xml:space="preserve">RUA COELHO LOUSADA, 42 CASA 1 - PARQUE NOVO SANTO AMARO
</t>
  </si>
  <si>
    <t>11- 989802516</t>
  </si>
  <si>
    <t>EUSTAQUIO FERREIRA DOS SANTOS</t>
  </si>
  <si>
    <t>RUA PADRE MARCELINO DUARTE, 127 CASA 3 - PARQUE NOVO SANTO AMARO</t>
  </si>
  <si>
    <t>11- 9602664358</t>
  </si>
  <si>
    <t xml:space="preserve">Dra Alice Peixoto - UBS Jardim Parapanema </t>
  </si>
  <si>
    <t>26/09/2025 08:00 ás 12:00</t>
  </si>
  <si>
    <t xml:space="preserve">Alice Peixoto </t>
  </si>
  <si>
    <t>ALDINEI JORGE GOMES DE OLIVEIRA</t>
  </si>
  <si>
    <t>RUA DOUTOR ADALBERTO PEREIRA DA FONSECA, 51 CASA 02 - PARQUE INDEPENDENCIA - SAO PAULO / SP</t>
  </si>
  <si>
    <t>(11)984270509</t>
  </si>
  <si>
    <t>PEDRO AGUIAR DOS SANTOS</t>
  </si>
  <si>
    <t>RUA TIJUAPE, 941 CASA 01 - MORRO DO INDIO - SAO PAULO / SP</t>
  </si>
  <si>
    <t>(11)932093270</t>
  </si>
  <si>
    <t>ELETICIA PEREIRA DOS SANTOS</t>
  </si>
  <si>
    <t>RUA DOUTOR FELIPE CABRAL DE VASCONCELLOS, 25 - MORRO DO INDIO - SAO PAULO / SP</t>
  </si>
  <si>
    <t>(11)982882841</t>
  </si>
  <si>
    <t>ANTONIO MOREIRA DE SOUSA</t>
  </si>
  <si>
    <t>RUA SIMAO CAETANO NUNES, 97 A VIELA 21 - MORRO DO INDIO - SAO PAULO / SP</t>
  </si>
  <si>
    <t>(11)988740148</t>
  </si>
  <si>
    <t>JOSE ALVES DE SOUSA</t>
  </si>
  <si>
    <t>RUA ABILIO CESAR, 79 TRAVESSA MARGARIDA - JARDIM SORAIA - SAO PAULO / SP</t>
  </si>
  <si>
    <t>(11)983525882</t>
  </si>
  <si>
    <t>ODETE AZEVEDO DOS SANTOS</t>
  </si>
  <si>
    <t>ESTRADA DO MBOI MIRIM, 5732 CASA 1 - PARQUE DO LAGO - SAO PAULO / SP</t>
  </si>
  <si>
    <t>(11)953787506</t>
  </si>
  <si>
    <t>JOSE CARDOSO DOS SANTOS</t>
  </si>
  <si>
    <t>IVONETE DOS SANTOS REZENDE</t>
  </si>
  <si>
    <t>RUA PIETRO DA MILANO, 66 - PARQUE INDEPENDENCIA - SAO PAULO / SP</t>
  </si>
  <si>
    <t>(11)949418284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</si>
</sst>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hh:mm"/>
    <numFmt numFmtId="167" formatCode="d/m/yyyy"/>
  </numFmts>
  <fonts count="54">
    <font>
      <sz val="10.0"/>
      <color rgb="FF000000"/>
      <name val="Arial"/>
      <scheme val="minor"/>
    </font>
    <font>
      <b/>
      <sz val="24.0"/>
      <color rgb="FFFFFFFF"/>
      <name val="Calibri"/>
    </font>
    <font/>
    <font>
      <b/>
      <sz val="11.0"/>
      <color rgb="FFFFFFFF"/>
      <name val="Calibri"/>
    </font>
    <font>
      <b/>
      <color rgb="FFFFFFFF"/>
      <name val="Arial"/>
    </font>
    <font>
      <sz val="10.0"/>
      <color theme="1"/>
      <name val="Calibri"/>
    </font>
    <font>
      <sz val="10.0"/>
      <color rgb="FF000000"/>
      <name val="Calibri"/>
    </font>
    <font>
      <b/>
      <sz val="24.0"/>
      <color rgb="FF000000"/>
      <name val="Calibri"/>
    </font>
    <font>
      <b/>
      <sz val="17.0"/>
      <color rgb="FF000000"/>
      <name val="Calibri"/>
    </font>
    <font>
      <b/>
      <sz val="11.0"/>
      <color rgb="FF000000"/>
      <name val="Calibri"/>
    </font>
    <font>
      <b/>
      <color rgb="FF000000"/>
      <name val="Arial"/>
    </font>
    <font>
      <color theme="1"/>
      <name val="Arial"/>
    </font>
    <font>
      <sz val="11.0"/>
      <color theme="1"/>
      <name val="Calibri"/>
    </font>
    <font>
      <b/>
      <sz val="15.0"/>
      <color rgb="FFFFFFFF"/>
      <name val="Calibri"/>
    </font>
    <font>
      <sz val="9.0"/>
      <color rgb="FF000000"/>
      <name val="Arial"/>
    </font>
    <font>
      <sz val="11.0"/>
      <color rgb="FF000000"/>
      <name val="Calibri"/>
    </font>
    <font>
      <sz val="8.0"/>
      <color rgb="FF444444"/>
      <name val="Verdana"/>
    </font>
    <font>
      <sz val="9.0"/>
      <color theme="1"/>
      <name val="Arial"/>
    </font>
    <font>
      <sz val="8.0"/>
      <color rgb="FF000000"/>
      <name val="Verdana"/>
    </font>
    <font>
      <sz val="11.0"/>
      <color rgb="FF000000"/>
      <name val="Times New Roman"/>
    </font>
    <font>
      <b/>
      <sz val="14.0"/>
      <color rgb="FFFF0000"/>
      <name val="Calibri"/>
    </font>
    <font>
      <sz val="11.0"/>
      <color rgb="FFFFFFFF"/>
      <name val="Calibri"/>
    </font>
    <font>
      <b/>
      <sz val="11.0"/>
      <color theme="1"/>
      <name val="Calibri"/>
    </font>
    <font>
      <sz val="10.0"/>
      <color rgb="FF000000"/>
      <name val="Arial"/>
    </font>
    <font>
      <sz val="10.0"/>
      <color rgb="FF000000"/>
      <name val="Verdana"/>
    </font>
    <font>
      <color rgb="FF000000"/>
      <name val="Arial"/>
    </font>
    <font>
      <b/>
      <sz val="17.0"/>
      <color rgb="FFFFFFFF"/>
      <name val="Calibri"/>
    </font>
    <font>
      <b/>
      <sz val="12.0"/>
      <color rgb="FF000000"/>
      <name val="Calibri"/>
    </font>
    <font>
      <sz val="11.0"/>
      <color rgb="FF000000"/>
      <name val="Arial"/>
    </font>
    <font>
      <b/>
      <sz val="11.0"/>
      <color rgb="FF444444"/>
      <name val="Calibri"/>
    </font>
    <font>
      <b/>
      <sz val="18.0"/>
      <color rgb="FFFFFFFF"/>
      <name val="Calibri"/>
    </font>
    <font>
      <sz val="9.0"/>
      <color theme="1"/>
      <name val="Calibri"/>
    </font>
    <font>
      <color theme="1"/>
      <name val="Calibri"/>
    </font>
    <font>
      <sz val="9.0"/>
      <color rgb="FF000000"/>
      <name val="Calibri"/>
    </font>
    <font>
      <sz val="9.0"/>
      <color rgb="FF000000"/>
      <name val="Verdana"/>
    </font>
    <font>
      <sz val="11.0"/>
      <color rgb="FF1F1F1F"/>
      <name val="Roboto"/>
    </font>
    <font>
      <sz val="11.0"/>
      <color rgb="FF444444"/>
      <name val="Calibri"/>
    </font>
    <font>
      <sz val="11.0"/>
      <color theme="1"/>
      <name val="Arial"/>
    </font>
    <font>
      <sz val="11.0"/>
      <color theme="1"/>
      <name val="Times New Roman"/>
    </font>
    <font>
      <color theme="1"/>
      <name val="Inherit"/>
    </font>
    <font>
      <b/>
      <color theme="1"/>
      <name val="Arial"/>
    </font>
    <font>
      <sz val="12.0"/>
      <color rgb="FF000000"/>
      <name val="Roboto"/>
    </font>
    <font>
      <sz val="12.0"/>
      <color rgb="FF000000"/>
      <name val="Calibri"/>
    </font>
    <font>
      <sz val="10.0"/>
      <color rgb="FF000000"/>
      <name val="Roboto"/>
    </font>
    <font>
      <sz val="10.0"/>
      <color theme="1"/>
      <name val="Arial"/>
    </font>
    <font>
      <color rgb="FF000000"/>
      <name val="Roboto"/>
    </font>
    <font>
      <b/>
      <sz val="24.0"/>
      <color theme="1"/>
      <name val="Calibri"/>
    </font>
    <font>
      <u/>
      <sz val="11.0"/>
      <color theme="1"/>
      <name val="Calibri"/>
    </font>
    <font>
      <sz val="10.0"/>
      <color rgb="FF2D567C"/>
      <name val="Roboto"/>
    </font>
    <font>
      <color theme="1"/>
      <name val="Verdana"/>
    </font>
    <font>
      <b/>
      <sz val="17.0"/>
      <color theme="1"/>
      <name val="Calibri"/>
    </font>
    <font>
      <sz val="10.0"/>
      <color rgb="FFFFFFFF"/>
      <name val="Calibri"/>
    </font>
    <font>
      <color rgb="FFFFFFFF"/>
      <name val="Arial"/>
    </font>
    <font>
      <b/>
      <sz val="11.0"/>
      <color theme="0"/>
      <name val="Calibri"/>
    </font>
  </fonts>
  <fills count="26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BD4F4"/>
        <bgColor rgb="FFBBD4F4"/>
      </patternFill>
    </fill>
    <fill>
      <patternFill patternType="solid">
        <fgColor rgb="FFC1D3FF"/>
        <bgColor rgb="FFC1D3FF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EDEDED"/>
        <bgColor rgb="FFEDEDED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98FB98"/>
        <bgColor rgb="FF98FB98"/>
      </patternFill>
    </fill>
    <fill>
      <patternFill patternType="solid">
        <fgColor rgb="FFE6E6E6"/>
        <bgColor rgb="FFE6E6E6"/>
      </patternFill>
    </fill>
    <fill>
      <patternFill patternType="solid">
        <fgColor rgb="FF7F6000"/>
        <bgColor rgb="FF7F6000"/>
      </patternFill>
    </fill>
    <fill>
      <patternFill patternType="solid">
        <fgColor rgb="FFFCE5CD"/>
        <bgColor rgb="FFFCE5CD"/>
      </patternFill>
    </fill>
    <fill>
      <patternFill patternType="solid">
        <fgColor rgb="FF8E7CC3"/>
        <bgColor rgb="FF8E7CC3"/>
      </patternFill>
    </fill>
    <fill>
      <patternFill patternType="solid">
        <fgColor rgb="FF6D9EEB"/>
        <bgColor rgb="FF6D9EEB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right style="medium">
        <color rgb="FF000000"/>
      </right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medium">
        <color rgb="FF000000"/>
      </right>
      <top style="hair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C1D3FF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2" fontId="3" numFmtId="0" xfId="0" applyAlignment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4" fillId="2" fontId="3" numFmtId="0" xfId="0" applyAlignment="1" applyBorder="1" applyFont="1">
      <alignment horizontal="center" shrinkToFit="0" vertical="center" wrapText="1"/>
    </xf>
    <xf borderId="4" fillId="2" fontId="3" numFmtId="164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3" numFmtId="165" xfId="0" applyAlignment="1" applyBorder="1" applyFont="1" applyNumberFormat="1">
      <alignment horizontal="center" shrinkToFit="0" vertical="center" wrapText="1"/>
    </xf>
    <xf borderId="4" fillId="3" fontId="4" numFmtId="0" xfId="0" applyAlignment="1" applyBorder="1" applyFill="1" applyFont="1">
      <alignment horizontal="center" shrinkToFit="0" vertical="center" wrapText="1"/>
    </xf>
    <xf borderId="4" fillId="4" fontId="5" numFmtId="49" xfId="0" applyAlignment="1" applyBorder="1" applyFill="1" applyFont="1" applyNumberFormat="1">
      <alignment horizontal="center"/>
    </xf>
    <xf borderId="4" fillId="4" fontId="5" numFmtId="164" xfId="0" applyAlignment="1" applyBorder="1" applyFont="1" applyNumberFormat="1">
      <alignment horizontal="center"/>
    </xf>
    <xf borderId="4" fillId="4" fontId="5" numFmtId="0" xfId="0" applyBorder="1" applyFont="1"/>
    <xf borderId="4" fillId="4" fontId="5" numFmtId="166" xfId="0" applyAlignment="1" applyBorder="1" applyFont="1" applyNumberFormat="1">
      <alignment horizontal="center"/>
    </xf>
    <xf borderId="4" fillId="4" fontId="6" numFmtId="0" xfId="0" applyAlignment="1" applyBorder="1" applyFont="1">
      <alignment horizontal="center" shrinkToFit="0" vertical="center" wrapText="0"/>
    </xf>
    <xf borderId="4" fillId="4" fontId="6" numFmtId="0" xfId="0" applyAlignment="1" applyBorder="1" applyFont="1">
      <alignment horizontal="left" shrinkToFit="0" vertical="center" wrapText="0"/>
    </xf>
    <xf borderId="4" fillId="4" fontId="6" numFmtId="165" xfId="0" applyAlignment="1" applyBorder="1" applyFont="1" applyNumberFormat="1">
      <alignment horizontal="center" shrinkToFit="0" vertical="center" wrapText="0"/>
    </xf>
    <xf borderId="4" fillId="4" fontId="5" numFmtId="0" xfId="0" applyAlignment="1" applyBorder="1" applyFont="1">
      <alignment horizontal="center" shrinkToFit="0" vertical="center" wrapText="1"/>
    </xf>
    <xf borderId="4" fillId="4" fontId="6" numFmtId="0" xfId="0" applyAlignment="1" applyBorder="1" applyFont="1">
      <alignment horizontal="left" shrinkToFit="0" vertical="bottom" wrapText="0"/>
    </xf>
    <xf borderId="1" fillId="5" fontId="7" numFmtId="49" xfId="0" applyAlignment="1" applyBorder="1" applyFill="1" applyFont="1" applyNumberFormat="1">
      <alignment horizontal="center" shrinkToFit="0" vertical="center" wrapText="1"/>
    </xf>
    <xf borderId="1" fillId="6" fontId="8" numFmtId="49" xfId="0" applyAlignment="1" applyBorder="1" applyFill="1" applyFont="1" applyNumberFormat="1">
      <alignment horizontal="center" shrinkToFit="0" vertical="center" wrapText="1"/>
    </xf>
    <xf borderId="4" fillId="5" fontId="9" numFmtId="49" xfId="0" applyAlignment="1" applyBorder="1" applyFont="1" applyNumberFormat="1">
      <alignment horizontal="center" shrinkToFit="0" vertical="center" wrapText="1"/>
    </xf>
    <xf borderId="4" fillId="5" fontId="9" numFmtId="164" xfId="0" applyAlignment="1" applyBorder="1" applyFont="1" applyNumberFormat="1">
      <alignment horizontal="center" vertical="center"/>
    </xf>
    <xf borderId="4" fillId="5" fontId="9" numFmtId="0" xfId="0" applyAlignment="1" applyBorder="1" applyFont="1">
      <alignment horizontal="center" shrinkToFit="0" vertical="center" wrapText="1"/>
    </xf>
    <xf borderId="4" fillId="5" fontId="9" numFmtId="0" xfId="0" applyAlignment="1" applyBorder="1" applyFont="1">
      <alignment horizontal="center" vertical="center"/>
    </xf>
    <xf borderId="4" fillId="5" fontId="9" numFmtId="49" xfId="0" applyAlignment="1" applyBorder="1" applyFont="1" applyNumberFormat="1">
      <alignment horizontal="center" vertical="center"/>
    </xf>
    <xf borderId="4" fillId="5" fontId="9" numFmtId="165" xfId="0" applyAlignment="1" applyBorder="1" applyFont="1" applyNumberFormat="1">
      <alignment horizontal="center" shrinkToFit="0" vertical="center" wrapText="1"/>
    </xf>
    <xf borderId="4" fillId="5" fontId="10" numFmtId="0" xfId="0" applyAlignment="1" applyBorder="1" applyFont="1">
      <alignment horizontal="center" shrinkToFit="0" wrapText="1"/>
    </xf>
    <xf borderId="4" fillId="0" fontId="11" numFmtId="0" xfId="0" applyBorder="1" applyFont="1"/>
    <xf borderId="4" fillId="4" fontId="12" numFmtId="0" xfId="0" applyAlignment="1" applyBorder="1" applyFont="1">
      <alignment horizontal="center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3" numFmtId="0" xfId="0" applyAlignment="1" applyBorder="1" applyFont="1">
      <alignment horizontal="center" shrinkToFit="0" vertical="center" wrapText="1"/>
    </xf>
    <xf borderId="4" fillId="4" fontId="5" numFmtId="0" xfId="0" applyAlignment="1" applyBorder="1" applyFont="1">
      <alignment horizontal="center"/>
    </xf>
    <xf borderId="0" fillId="4" fontId="14" numFmtId="0" xfId="0" applyAlignment="1" applyFont="1">
      <alignment horizontal="center" shrinkToFit="0" wrapText="0"/>
    </xf>
    <xf borderId="4" fillId="0" fontId="15" numFmtId="0" xfId="0" applyAlignment="1" applyBorder="1" applyFont="1">
      <alignment horizontal="left" shrinkToFit="0" wrapText="0"/>
    </xf>
    <xf borderId="0" fillId="4" fontId="16" numFmtId="0" xfId="0" applyFont="1"/>
    <xf borderId="4" fillId="4" fontId="6" numFmtId="0" xfId="0" applyAlignment="1" applyBorder="1" applyFont="1">
      <alignment horizontal="center" vertical="center"/>
    </xf>
    <xf borderId="5" fillId="7" fontId="5" numFmtId="0" xfId="0" applyAlignment="1" applyBorder="1" applyFill="1" applyFont="1">
      <alignment vertical="center"/>
    </xf>
    <xf borderId="6" fillId="8" fontId="5" numFmtId="0" xfId="0" applyAlignment="1" applyBorder="1" applyFill="1" applyFont="1">
      <alignment shrinkToFit="0" vertical="center" wrapText="1"/>
    </xf>
    <xf borderId="6" fillId="9" fontId="5" numFmtId="165" xfId="0" applyAlignment="1" applyBorder="1" applyFill="1" applyFont="1" applyNumberFormat="1">
      <alignment vertical="center"/>
    </xf>
    <xf borderId="6" fillId="8" fontId="5" numFmtId="0" xfId="0" applyAlignment="1" applyBorder="1" applyFont="1">
      <alignment vertical="center"/>
    </xf>
    <xf borderId="7" fillId="8" fontId="5" numFmtId="0" xfId="0" applyAlignment="1" applyBorder="1" applyFont="1">
      <alignment vertical="center"/>
    </xf>
    <xf borderId="4" fillId="4" fontId="14" numFmtId="0" xfId="0" applyAlignment="1" applyBorder="1" applyFont="1">
      <alignment horizontal="center" shrinkToFit="0" vertical="center" wrapText="0"/>
    </xf>
    <xf borderId="4" fillId="4" fontId="15" numFmtId="0" xfId="0" applyAlignment="1" applyBorder="1" applyFont="1">
      <alignment horizontal="left" shrinkToFit="0" vertical="center" wrapText="0"/>
    </xf>
    <xf borderId="8" fillId="0" fontId="5" numFmtId="0" xfId="0" applyAlignment="1" applyBorder="1" applyFont="1">
      <alignment vertical="center"/>
    </xf>
    <xf borderId="9" fillId="4" fontId="17" numFmtId="0" xfId="0" applyAlignment="1" applyBorder="1" applyFont="1">
      <alignment vertical="center"/>
    </xf>
    <xf borderId="9" fillId="0" fontId="5" numFmtId="165" xfId="0" applyAlignment="1" applyBorder="1" applyFont="1" applyNumberFormat="1">
      <alignment vertical="center"/>
    </xf>
    <xf borderId="10" fillId="0" fontId="5" numFmtId="0" xfId="0" applyAlignment="1" applyBorder="1" applyFont="1">
      <alignment vertical="center"/>
    </xf>
    <xf borderId="8" fillId="7" fontId="5" numFmtId="0" xfId="0" applyAlignment="1" applyBorder="1" applyFont="1">
      <alignment vertical="center"/>
    </xf>
    <xf borderId="9" fillId="7" fontId="5" numFmtId="0" xfId="0" applyAlignment="1" applyBorder="1" applyFont="1">
      <alignment vertical="center"/>
    </xf>
    <xf borderId="9" fillId="7" fontId="5" numFmtId="165" xfId="0" applyAlignment="1" applyBorder="1" applyFont="1" applyNumberFormat="1">
      <alignment vertical="center"/>
    </xf>
    <xf borderId="10" fillId="7" fontId="5" numFmtId="0" xfId="0" applyAlignment="1" applyBorder="1" applyFont="1">
      <alignment vertical="center"/>
    </xf>
    <xf borderId="4" fillId="4" fontId="14" numFmtId="0" xfId="0" applyAlignment="1" applyBorder="1" applyFont="1">
      <alignment horizontal="center" shrinkToFit="0" wrapText="0"/>
    </xf>
    <xf borderId="4" fillId="4" fontId="15" numFmtId="0" xfId="0" applyAlignment="1" applyBorder="1" applyFont="1">
      <alignment horizontal="left" shrinkToFit="0" wrapText="0"/>
    </xf>
    <xf borderId="4" fillId="4" fontId="16" numFmtId="0" xfId="0" applyBorder="1" applyFont="1"/>
    <xf borderId="9" fillId="0" fontId="5" numFmtId="0" xfId="0" applyAlignment="1" applyBorder="1" applyFont="1">
      <alignment vertical="center"/>
    </xf>
    <xf borderId="9" fillId="4" fontId="5" numFmtId="165" xfId="0" applyAlignment="1" applyBorder="1" applyFont="1" applyNumberFormat="1">
      <alignment vertical="center"/>
    </xf>
    <xf borderId="8" fillId="8" fontId="5" numFmtId="0" xfId="0" applyAlignment="1" applyBorder="1" applyFont="1">
      <alignment vertical="center"/>
    </xf>
    <xf borderId="9" fillId="8" fontId="5" numFmtId="0" xfId="0" applyAlignment="1" applyBorder="1" applyFont="1">
      <alignment vertical="center"/>
    </xf>
    <xf borderId="10" fillId="8" fontId="5" numFmtId="0" xfId="0" applyAlignment="1" applyBorder="1" applyFont="1">
      <alignment vertical="center"/>
    </xf>
    <xf borderId="4" fillId="4" fontId="14" numFmtId="0" xfId="0" applyAlignment="1" applyBorder="1" applyFont="1">
      <alignment horizontal="left" shrinkToFit="0" wrapText="0"/>
    </xf>
    <xf borderId="0" fillId="0" fontId="11" numFmtId="0" xfId="0" applyAlignment="1" applyFont="1">
      <alignment horizontal="center"/>
    </xf>
    <xf borderId="0" fillId="4" fontId="11" numFmtId="0" xfId="0" applyFont="1"/>
    <xf borderId="1" fillId="2" fontId="13" numFmtId="49" xfId="0" applyAlignment="1" applyBorder="1" applyFont="1" applyNumberFormat="1">
      <alignment horizontal="center" shrinkToFit="0" vertical="center" wrapText="1"/>
    </xf>
    <xf borderId="4" fillId="2" fontId="3" numFmtId="49" xfId="0" applyAlignment="1" applyBorder="1" applyFont="1" applyNumberFormat="1">
      <alignment horizontal="center" shrinkToFit="0" vertical="center" wrapText="1"/>
    </xf>
    <xf borderId="4" fillId="2" fontId="3" numFmtId="0" xfId="0" applyAlignment="1" applyBorder="1" applyFont="1">
      <alignment horizontal="left" vertical="center"/>
    </xf>
    <xf borderId="4" fillId="3" fontId="4" numFmtId="0" xfId="0" applyAlignment="1" applyBorder="1" applyFont="1">
      <alignment horizontal="center" shrinkToFit="0" wrapText="1"/>
    </xf>
    <xf borderId="4" fillId="4" fontId="12" numFmtId="0" xfId="0" applyBorder="1" applyFont="1"/>
    <xf borderId="4" fillId="4" fontId="12" numFmtId="0" xfId="0" applyAlignment="1" applyBorder="1" applyFont="1">
      <alignment horizontal="center"/>
    </xf>
    <xf borderId="4" fillId="4" fontId="12" numFmtId="166" xfId="0" applyAlignment="1" applyBorder="1" applyFont="1" applyNumberFormat="1">
      <alignment horizontal="center"/>
    </xf>
    <xf borderId="4" fillId="4" fontId="15" numFmtId="0" xfId="0" applyAlignment="1" applyBorder="1" applyFont="1">
      <alignment horizontal="center" shrinkToFit="0" vertical="center" wrapText="0"/>
    </xf>
    <xf borderId="4" fillId="4" fontId="15" numFmtId="165" xfId="0" applyAlignment="1" applyBorder="1" applyFont="1" applyNumberFormat="1">
      <alignment horizontal="center" shrinkToFit="0" vertical="center" wrapText="0"/>
    </xf>
    <xf borderId="6" fillId="9" fontId="5" numFmtId="0" xfId="0" applyAlignment="1" applyBorder="1" applyFont="1">
      <alignment vertical="center"/>
    </xf>
    <xf borderId="4" fillId="0" fontId="15" numFmtId="0" xfId="0" applyAlignment="1" applyBorder="1" applyFont="1">
      <alignment horizontal="left" shrinkToFit="0" vertical="bottom" wrapText="0"/>
    </xf>
    <xf borderId="4" fillId="0" fontId="12" numFmtId="0" xfId="0" applyAlignment="1" applyBorder="1" applyFont="1">
      <alignment horizontal="center" vertical="bottom"/>
    </xf>
    <xf borderId="4" fillId="0" fontId="12" numFmtId="0" xfId="0" applyAlignment="1" applyBorder="1" applyFont="1">
      <alignment horizontal="left" vertical="bottom"/>
    </xf>
    <xf borderId="4" fillId="0" fontId="12" numFmtId="165" xfId="0" applyAlignment="1" applyBorder="1" applyFont="1" applyNumberFormat="1">
      <alignment horizontal="center" vertical="bottom"/>
    </xf>
    <xf borderId="4" fillId="0" fontId="15" numFmtId="165" xfId="0" applyAlignment="1" applyBorder="1" applyFont="1" applyNumberFormat="1">
      <alignment horizontal="center" shrinkToFit="0" vertical="bottom" wrapText="0"/>
    </xf>
    <xf borderId="4" fillId="0" fontId="15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11" fillId="0" fontId="5" numFmtId="0" xfId="0" applyAlignment="1" applyBorder="1" applyFont="1">
      <alignment vertical="center"/>
    </xf>
    <xf borderId="12" fillId="4" fontId="5" numFmtId="165" xfId="0" applyAlignment="1" applyBorder="1" applyFont="1" applyNumberFormat="1">
      <alignment vertical="center"/>
    </xf>
    <xf borderId="12" fillId="0" fontId="5" numFmtId="0" xfId="0" applyAlignment="1" applyBorder="1" applyFont="1">
      <alignment vertical="center"/>
    </xf>
    <xf borderId="13" fillId="0" fontId="5" numFmtId="0" xfId="0" applyAlignment="1" applyBorder="1" applyFont="1">
      <alignment vertical="center"/>
    </xf>
    <xf borderId="4" fillId="0" fontId="12" numFmtId="0" xfId="0" applyAlignment="1" applyBorder="1" applyFont="1">
      <alignment horizontal="left"/>
    </xf>
    <xf borderId="4" fillId="0" fontId="12" numFmtId="165" xfId="0" applyAlignment="1" applyBorder="1" applyFont="1" applyNumberFormat="1">
      <alignment horizontal="center"/>
    </xf>
    <xf borderId="0" fillId="4" fontId="1" numFmtId="49" xfId="0" applyAlignment="1" applyFont="1" applyNumberFormat="1">
      <alignment horizontal="center" shrinkToFit="0" vertical="center" wrapText="1"/>
    </xf>
    <xf borderId="0" fillId="4" fontId="3" numFmtId="49" xfId="0" applyAlignment="1" applyFont="1" applyNumberFormat="1">
      <alignment horizontal="center" shrinkToFit="0" vertical="center" wrapText="1"/>
    </xf>
    <xf borderId="0" fillId="4" fontId="3" numFmtId="49" xfId="0" applyAlignment="1" applyFont="1" applyNumberFormat="1">
      <alignment horizontal="left" shrinkToFit="0" vertical="center" wrapText="1"/>
    </xf>
    <xf borderId="0" fillId="4" fontId="3" numFmtId="165" xfId="0" applyAlignment="1" applyFont="1" applyNumberFormat="1">
      <alignment horizontal="center" shrinkToFit="0" vertical="center" wrapText="1"/>
    </xf>
    <xf borderId="0" fillId="4" fontId="9" numFmtId="49" xfId="0" applyAlignment="1" applyFont="1" applyNumberFormat="1">
      <alignment horizontal="center" shrinkToFit="0" vertical="center" wrapText="1"/>
    </xf>
    <xf borderId="0" fillId="4" fontId="9" numFmtId="49" xfId="0" applyAlignment="1" applyFont="1" applyNumberFormat="1">
      <alignment horizontal="left" shrinkToFit="0" vertical="center" wrapText="1"/>
    </xf>
    <xf borderId="0" fillId="4" fontId="9" numFmtId="165" xfId="0" applyAlignment="1" applyFont="1" applyNumberFormat="1">
      <alignment horizontal="center" shrinkToFit="0" vertical="center" wrapText="1"/>
    </xf>
    <xf borderId="14" fillId="2" fontId="1" numFmtId="49" xfId="0" applyAlignment="1" applyBorder="1" applyFont="1" applyNumberFormat="1">
      <alignment horizontal="center" shrinkToFit="0" vertical="center" wrapText="1"/>
    </xf>
    <xf borderId="15" fillId="0" fontId="2" numFmtId="0" xfId="0" applyBorder="1" applyFont="1"/>
    <xf borderId="16" fillId="0" fontId="2" numFmtId="0" xfId="0" applyBorder="1" applyFont="1"/>
    <xf borderId="4" fillId="0" fontId="18" numFmtId="0" xfId="0" applyAlignment="1" applyBorder="1" applyFont="1">
      <alignment horizontal="center" shrinkToFit="0" vertical="bottom" wrapText="0"/>
    </xf>
    <xf borderId="4" fillId="0" fontId="18" numFmtId="0" xfId="0" applyAlignment="1" applyBorder="1" applyFont="1">
      <alignment shrinkToFit="0" vertical="bottom" wrapText="0"/>
    </xf>
    <xf borderId="0" fillId="0" fontId="12" numFmtId="0" xfId="0" applyAlignment="1" applyFont="1">
      <alignment horizontal="center"/>
    </xf>
    <xf borderId="4" fillId="0" fontId="15" numFmtId="0" xfId="0" applyAlignment="1" applyBorder="1" applyFont="1">
      <alignment horizontal="left"/>
    </xf>
    <xf borderId="4" fillId="10" fontId="5" numFmtId="49" xfId="0" applyAlignment="1" applyBorder="1" applyFill="1" applyFont="1" applyNumberFormat="1">
      <alignment horizontal="center"/>
    </xf>
    <xf borderId="4" fillId="10" fontId="12" numFmtId="0" xfId="0" applyBorder="1" applyFont="1"/>
    <xf borderId="4" fillId="10" fontId="12" numFmtId="166" xfId="0" applyAlignment="1" applyBorder="1" applyFont="1" applyNumberFormat="1">
      <alignment horizontal="center"/>
    </xf>
    <xf borderId="4" fillId="10" fontId="15" numFmtId="0" xfId="0" applyAlignment="1" applyBorder="1" applyFont="1">
      <alignment horizontal="center" shrinkToFit="0" vertical="bottom" wrapText="0"/>
    </xf>
    <xf borderId="4" fillId="10" fontId="15" numFmtId="0" xfId="0" applyAlignment="1" applyBorder="1" applyFont="1">
      <alignment horizontal="left" shrinkToFit="0" vertical="bottom" wrapText="0"/>
    </xf>
    <xf borderId="4" fillId="10" fontId="12" numFmtId="165" xfId="0" applyAlignment="1" applyBorder="1" applyFont="1" applyNumberFormat="1">
      <alignment horizontal="center"/>
    </xf>
    <xf borderId="4" fillId="10" fontId="5" numFmtId="0" xfId="0" applyAlignment="1" applyBorder="1" applyFont="1">
      <alignment horizontal="center" shrinkToFit="0" vertical="center" wrapText="1"/>
    </xf>
    <xf borderId="4" fillId="10" fontId="6" numFmtId="0" xfId="0" applyAlignment="1" applyBorder="1" applyFont="1">
      <alignment horizontal="center" vertical="center"/>
    </xf>
    <xf borderId="11" fillId="10" fontId="5" numFmtId="0" xfId="0" applyAlignment="1" applyBorder="1" applyFont="1">
      <alignment vertical="center"/>
    </xf>
    <xf borderId="12" fillId="10" fontId="5" numFmtId="165" xfId="0" applyAlignment="1" applyBorder="1" applyFont="1" applyNumberFormat="1">
      <alignment vertical="center"/>
    </xf>
    <xf borderId="12" fillId="10" fontId="5" numFmtId="0" xfId="0" applyAlignment="1" applyBorder="1" applyFont="1">
      <alignment vertical="center"/>
    </xf>
    <xf borderId="13" fillId="10" fontId="5" numFmtId="0" xfId="0" applyAlignment="1" applyBorder="1" applyFont="1">
      <alignment vertical="center"/>
    </xf>
    <xf borderId="0" fillId="10" fontId="11" numFmtId="0" xfId="0" applyFont="1"/>
    <xf borderId="4" fillId="10" fontId="15" numFmtId="0" xfId="0" applyAlignment="1" applyBorder="1" applyFont="1">
      <alignment horizontal="center" shrinkToFit="0" wrapText="0"/>
    </xf>
    <xf borderId="4" fillId="10" fontId="15" numFmtId="0" xfId="0" applyAlignment="1" applyBorder="1" applyFont="1">
      <alignment horizontal="left" shrinkToFit="0" wrapText="0"/>
    </xf>
    <xf borderId="8" fillId="10" fontId="5" numFmtId="0" xfId="0" applyAlignment="1" applyBorder="1" applyFont="1">
      <alignment vertical="center"/>
    </xf>
    <xf borderId="9" fillId="10" fontId="5" numFmtId="165" xfId="0" applyAlignment="1" applyBorder="1" applyFont="1" applyNumberFormat="1">
      <alignment vertical="center"/>
    </xf>
    <xf borderId="9" fillId="10" fontId="5" numFmtId="0" xfId="0" applyAlignment="1" applyBorder="1" applyFont="1">
      <alignment vertical="center"/>
    </xf>
    <xf borderId="4" fillId="10" fontId="12" numFmtId="0" xfId="0" applyAlignment="1" applyBorder="1" applyFont="1">
      <alignment horizontal="left"/>
    </xf>
    <xf borderId="4" fillId="10" fontId="6" numFmtId="0" xfId="0" applyAlignment="1" applyBorder="1" applyFont="1">
      <alignment horizontal="left" vertical="center"/>
    </xf>
    <xf borderId="0" fillId="0" fontId="12" numFmtId="0" xfId="0" applyFont="1"/>
    <xf borderId="0" fillId="0" fontId="12" numFmtId="0" xfId="0" applyAlignment="1" applyFont="1">
      <alignment horizontal="left"/>
    </xf>
    <xf borderId="0" fillId="0" fontId="12" numFmtId="165" xfId="0" applyAlignment="1" applyFont="1" applyNumberFormat="1">
      <alignment horizontal="center"/>
    </xf>
    <xf borderId="4" fillId="4" fontId="12" numFmtId="0" xfId="0" applyAlignment="1" applyBorder="1" applyFont="1">
      <alignment horizontal="center" vertical="top"/>
    </xf>
    <xf borderId="4" fillId="4" fontId="12" numFmtId="0" xfId="0" applyAlignment="1" applyBorder="1" applyFont="1">
      <alignment horizontal="left" vertical="bottom"/>
    </xf>
    <xf borderId="4" fillId="4" fontId="12" numFmtId="165" xfId="0" applyAlignment="1" applyBorder="1" applyFont="1" applyNumberFormat="1">
      <alignment horizontal="center" vertical="bottom"/>
    </xf>
    <xf borderId="4" fillId="4" fontId="15" numFmtId="0" xfId="0" applyAlignment="1" applyBorder="1" applyFont="1">
      <alignment horizontal="center" shrinkToFit="0" wrapText="0"/>
    </xf>
    <xf borderId="4" fillId="0" fontId="11" numFmtId="0" xfId="0" applyAlignment="1" applyBorder="1" applyFont="1">
      <alignment horizontal="center"/>
    </xf>
    <xf borderId="4" fillId="0" fontId="12" numFmtId="0" xfId="0" applyAlignment="1" applyBorder="1" applyFont="1">
      <alignment horizontal="center" shrinkToFit="0" vertical="bottom" wrapText="0"/>
    </xf>
    <xf borderId="0" fillId="4" fontId="3" numFmtId="0" xfId="0" applyAlignment="1" applyFont="1">
      <alignment horizontal="left"/>
    </xf>
    <xf borderId="4" fillId="4" fontId="15" numFmtId="0" xfId="0" applyAlignment="1" applyBorder="1" applyFont="1">
      <alignment horizontal="center" shrinkToFit="0" vertical="center" wrapText="1"/>
    </xf>
    <xf borderId="4" fillId="4" fontId="15" numFmtId="0" xfId="0" applyAlignment="1" applyBorder="1" applyFont="1">
      <alignment horizontal="center" vertical="center"/>
    </xf>
    <xf borderId="4" fillId="11" fontId="15" numFmtId="0" xfId="0" applyAlignment="1" applyBorder="1" applyFill="1" applyFont="1">
      <alignment horizontal="center" vertical="bottom"/>
    </xf>
    <xf borderId="4" fillId="11" fontId="15" numFmtId="0" xfId="0" applyAlignment="1" applyBorder="1" applyFont="1">
      <alignment horizontal="left" vertical="bottom"/>
    </xf>
    <xf borderId="4" fillId="11" fontId="15" numFmtId="165" xfId="0" applyAlignment="1" applyBorder="1" applyFont="1" applyNumberFormat="1">
      <alignment horizontal="center" vertical="bottom"/>
    </xf>
    <xf borderId="4" fillId="11" fontId="15" numFmtId="0" xfId="0" applyAlignment="1" applyBorder="1" applyFont="1">
      <alignment horizontal="center" shrinkToFit="0" vertical="center" wrapText="1"/>
    </xf>
    <xf borderId="4" fillId="11" fontId="15" numFmtId="0" xfId="0" applyAlignment="1" applyBorder="1" applyFont="1">
      <alignment horizontal="center"/>
    </xf>
    <xf borderId="4" fillId="11" fontId="15" numFmtId="0" xfId="0" applyAlignment="1" applyBorder="1" applyFont="1">
      <alignment horizontal="center" shrinkToFit="0" wrapText="0"/>
    </xf>
    <xf borderId="4" fillId="11" fontId="15" numFmtId="0" xfId="0" applyAlignment="1" applyBorder="1" applyFont="1">
      <alignment horizontal="left"/>
    </xf>
    <xf borderId="4" fillId="11" fontId="15" numFmtId="165" xfId="0" applyAlignment="1" applyBorder="1" applyFont="1" applyNumberFormat="1">
      <alignment horizontal="center" shrinkToFit="0" wrapText="0"/>
    </xf>
    <xf borderId="4" fillId="11" fontId="15" numFmtId="0" xfId="0" applyAlignment="1" applyBorder="1" applyFont="1">
      <alignment horizontal="center" shrinkToFit="0" vertical="bottom" wrapText="0"/>
    </xf>
    <xf borderId="4" fillId="11" fontId="15" numFmtId="165" xfId="0" applyAlignment="1" applyBorder="1" applyFont="1" applyNumberFormat="1">
      <alignment horizontal="center"/>
    </xf>
    <xf borderId="4" fillId="11" fontId="15" numFmtId="165" xfId="0" applyAlignment="1" applyBorder="1" applyFont="1" applyNumberFormat="1">
      <alignment horizontal="center" shrinkToFit="0" vertical="bottom" wrapText="0"/>
    </xf>
    <xf borderId="8" fillId="8" fontId="5" numFmtId="0" xfId="0" applyAlignment="1" applyBorder="1" applyFont="1">
      <alignment shrinkToFit="0" vertical="center" wrapText="1"/>
    </xf>
    <xf borderId="10" fillId="8" fontId="5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horizontal="center"/>
    </xf>
    <xf borderId="4" fillId="0" fontId="15" numFmtId="165" xfId="0" applyAlignment="1" applyBorder="1" applyFont="1" applyNumberFormat="1">
      <alignment horizontal="center"/>
    </xf>
    <xf borderId="4" fillId="4" fontId="15" numFmtId="0" xfId="0" applyAlignment="1" applyBorder="1" applyFont="1">
      <alignment horizontal="left" shrinkToFit="0" vertical="bottom" wrapText="0"/>
    </xf>
    <xf borderId="4" fillId="4" fontId="15" numFmtId="0" xfId="0" applyAlignment="1" applyBorder="1" applyFont="1">
      <alignment horizontal="center" shrinkToFit="0" vertical="bottom" wrapText="0"/>
    </xf>
    <xf borderId="4" fillId="4" fontId="15" numFmtId="165" xfId="0" applyAlignment="1" applyBorder="1" applyFont="1" applyNumberFormat="1">
      <alignment horizontal="center" shrinkToFit="0" vertical="bottom" wrapText="0"/>
    </xf>
    <xf borderId="4" fillId="4" fontId="15" numFmtId="0" xfId="0" applyAlignment="1" applyBorder="1" applyFont="1">
      <alignment horizontal="left" vertical="top"/>
    </xf>
    <xf borderId="0" fillId="0" fontId="19" numFmtId="165" xfId="0" applyAlignment="1" applyFont="1" applyNumberFormat="1">
      <alignment horizontal="center"/>
    </xf>
    <xf borderId="4" fillId="4" fontId="12" numFmtId="165" xfId="0" applyAlignment="1" applyBorder="1" applyFont="1" applyNumberFormat="1">
      <alignment horizontal="center"/>
    </xf>
    <xf borderId="4" fillId="4" fontId="12" numFmtId="0" xfId="0" applyAlignment="1" applyBorder="1" applyFont="1">
      <alignment horizontal="left"/>
    </xf>
    <xf borderId="4" fillId="0" fontId="12" numFmtId="0" xfId="0" applyBorder="1" applyFont="1"/>
    <xf borderId="4" fillId="4" fontId="12" numFmtId="164" xfId="0" applyAlignment="1" applyBorder="1" applyFont="1" applyNumberFormat="1">
      <alignment horizontal="center"/>
    </xf>
    <xf borderId="4" fillId="4" fontId="20" numFmtId="0" xfId="0" applyAlignment="1" applyBorder="1" applyFont="1">
      <alignment horizontal="left" shrinkToFit="0" vertical="center" wrapText="0"/>
    </xf>
    <xf borderId="4" fillId="4" fontId="3" numFmtId="49" xfId="0" applyAlignment="1" applyBorder="1" applyFont="1" applyNumberFormat="1">
      <alignment horizontal="center" shrinkToFit="0" vertical="center" wrapText="1"/>
    </xf>
    <xf borderId="4" fillId="4" fontId="9" numFmtId="49" xfId="0" applyAlignment="1" applyBorder="1" applyFont="1" applyNumberFormat="1">
      <alignment horizontal="center" shrinkToFit="0" vertical="center" wrapText="1"/>
    </xf>
    <xf borderId="4" fillId="4" fontId="9" numFmtId="165" xfId="0" applyAlignment="1" applyBorder="1" applyFont="1" applyNumberFormat="1">
      <alignment horizontal="center" shrinkToFit="0" vertical="center" wrapText="1"/>
    </xf>
    <xf borderId="4" fillId="4" fontId="1" numFmtId="49" xfId="0" applyAlignment="1" applyBorder="1" applyFont="1" applyNumberFormat="1">
      <alignment horizontal="center" shrinkToFit="0" vertical="center" wrapText="1"/>
    </xf>
    <xf borderId="4" fillId="4" fontId="21" numFmtId="49" xfId="0" applyAlignment="1" applyBorder="1" applyFont="1" applyNumberFormat="1">
      <alignment horizontal="left" shrinkToFit="0" vertical="center" wrapText="1"/>
    </xf>
    <xf borderId="4" fillId="4" fontId="15" numFmtId="49" xfId="0" applyAlignment="1" applyBorder="1" applyFont="1" applyNumberFormat="1">
      <alignment horizontal="left" shrinkToFit="0" vertical="center" wrapText="1"/>
    </xf>
    <xf borderId="4" fillId="4" fontId="9" numFmtId="164" xfId="0" applyAlignment="1" applyBorder="1" applyFont="1" applyNumberFormat="1">
      <alignment horizontal="center" shrinkToFit="0" vertical="center" wrapText="1"/>
    </xf>
    <xf borderId="4" fillId="4" fontId="9" numFmtId="49" xfId="0" applyAlignment="1" applyBorder="1" applyFont="1" applyNumberFormat="1">
      <alignment horizontal="left" shrinkToFit="0" vertical="center" wrapText="1"/>
    </xf>
    <xf borderId="4" fillId="0" fontId="22" numFmtId="0" xfId="0" applyAlignment="1" applyBorder="1" applyFont="1">
      <alignment horizontal="left"/>
    </xf>
    <xf borderId="0" fillId="0" fontId="11" numFmtId="0" xfId="0" applyAlignment="1" applyFont="1">
      <alignment horizontal="left"/>
    </xf>
    <xf borderId="0" fillId="0" fontId="11" numFmtId="165" xfId="0" applyFont="1" applyNumberFormat="1"/>
    <xf borderId="4" fillId="0" fontId="9" numFmtId="0" xfId="0" applyAlignment="1" applyBorder="1" applyFont="1">
      <alignment horizontal="left" shrinkToFit="0" vertical="bottom" wrapText="0"/>
    </xf>
    <xf borderId="4" fillId="4" fontId="15" numFmtId="0" xfId="0" applyAlignment="1" applyBorder="1" applyFont="1">
      <alignment horizontal="center"/>
    </xf>
    <xf borderId="0" fillId="4" fontId="9" numFmtId="0" xfId="0" applyAlignment="1" applyFont="1">
      <alignment horizontal="left"/>
    </xf>
    <xf borderId="0" fillId="4" fontId="15" numFmtId="0" xfId="0" applyAlignment="1" applyFont="1">
      <alignment horizontal="left" shrinkToFit="0" wrapText="0"/>
    </xf>
    <xf borderId="4" fillId="0" fontId="9" numFmtId="0" xfId="0" applyAlignment="1" applyBorder="1" applyFont="1">
      <alignment horizontal="left"/>
    </xf>
    <xf borderId="11" fillId="4" fontId="5" numFmtId="0" xfId="0" applyAlignment="1" applyBorder="1" applyFont="1">
      <alignment vertical="center"/>
    </xf>
    <xf borderId="12" fillId="4" fontId="5" numFmtId="0" xfId="0" applyAlignment="1" applyBorder="1" applyFont="1">
      <alignment vertical="center"/>
    </xf>
    <xf borderId="13" fillId="4" fontId="5" numFmtId="0" xfId="0" applyAlignment="1" applyBorder="1" applyFont="1">
      <alignment vertical="center"/>
    </xf>
    <xf borderId="8" fillId="4" fontId="5" numFmtId="0" xfId="0" applyAlignment="1" applyBorder="1" applyFont="1">
      <alignment vertical="center"/>
    </xf>
    <xf borderId="9" fillId="4" fontId="5" numFmtId="0" xfId="0" applyAlignment="1" applyBorder="1" applyFont="1">
      <alignment vertical="center"/>
    </xf>
    <xf borderId="4" fillId="4" fontId="6" numFmtId="0" xfId="0" applyAlignment="1" applyBorder="1" applyFont="1">
      <alignment horizontal="left" vertical="center"/>
    </xf>
    <xf borderId="0" fillId="11" fontId="15" numFmtId="0" xfId="0" applyAlignment="1" applyFont="1">
      <alignment horizontal="center"/>
    </xf>
    <xf borderId="4" fillId="4" fontId="15" numFmtId="0" xfId="0" applyAlignment="1" applyBorder="1" applyFont="1">
      <alignment horizontal="left" vertical="bottom"/>
    </xf>
    <xf borderId="4" fillId="4" fontId="23" numFmtId="0" xfId="0" applyAlignment="1" applyBorder="1" applyFont="1">
      <alignment horizontal="center" shrinkToFit="0" wrapText="0"/>
    </xf>
    <xf borderId="4" fillId="4" fontId="24" numFmtId="0" xfId="0" applyAlignment="1" applyBorder="1" applyFont="1">
      <alignment horizontal="center"/>
    </xf>
    <xf borderId="4" fillId="4" fontId="23" numFmtId="0" xfId="0" applyAlignment="1" applyBorder="1" applyFont="1">
      <alignment horizontal="center" vertical="center"/>
    </xf>
    <xf borderId="4" fillId="4" fontId="11" numFmtId="0" xfId="0" applyAlignment="1" applyBorder="1" applyFont="1">
      <alignment horizontal="center" vertical="top"/>
    </xf>
    <xf borderId="4" fillId="4" fontId="15" numFmtId="0" xfId="0" applyAlignment="1" applyBorder="1" applyFont="1">
      <alignment horizontal="left"/>
    </xf>
    <xf borderId="4" fillId="4" fontId="14" numFmtId="0" xfId="0" applyAlignment="1" applyBorder="1" applyFont="1">
      <alignment horizontal="center"/>
    </xf>
    <xf borderId="4" fillId="4" fontId="14" numFmtId="165" xfId="0" applyAlignment="1" applyBorder="1" applyFont="1" applyNumberFormat="1">
      <alignment horizontal="center" shrinkToFit="0" wrapText="0"/>
    </xf>
    <xf borderId="4" fillId="12" fontId="25" numFmtId="0" xfId="0" applyAlignment="1" applyBorder="1" applyFill="1" applyFont="1">
      <alignment horizontal="center"/>
    </xf>
    <xf borderId="1" fillId="2" fontId="26" numFmtId="49" xfId="0" applyAlignment="1" applyBorder="1" applyFont="1" applyNumberFormat="1">
      <alignment horizontal="center" shrinkToFit="0" vertical="center" wrapText="1"/>
    </xf>
    <xf borderId="4" fillId="0" fontId="27" numFmtId="0" xfId="0" applyAlignment="1" applyBorder="1" applyFont="1">
      <alignment horizontal="left" shrinkToFit="0" vertical="bottom" wrapText="0"/>
    </xf>
    <xf borderId="0" fillId="4" fontId="15" numFmtId="0" xfId="0" applyAlignment="1" applyFont="1">
      <alignment horizontal="center" shrinkToFit="0" wrapText="0"/>
    </xf>
    <xf borderId="4" fillId="4" fontId="15" numFmtId="165" xfId="0" applyAlignment="1" applyBorder="1" applyFont="1" applyNumberFormat="1">
      <alignment horizontal="center" shrinkToFit="0" wrapText="0"/>
    </xf>
    <xf borderId="4" fillId="11" fontId="15" numFmtId="0" xfId="0" applyAlignment="1" applyBorder="1" applyFont="1">
      <alignment horizontal="left" shrinkToFit="0" vertical="bottom" wrapText="0"/>
    </xf>
    <xf borderId="4" fillId="4" fontId="12" numFmtId="165" xfId="0" applyAlignment="1" applyBorder="1" applyFont="1" applyNumberFormat="1">
      <alignment horizontal="center" vertical="top"/>
    </xf>
    <xf borderId="4" fillId="0" fontId="28" numFmtId="0" xfId="0" applyAlignment="1" applyBorder="1" applyFont="1">
      <alignment horizontal="center"/>
    </xf>
    <xf borderId="0" fillId="0" fontId="11" numFmtId="0" xfId="0" applyFont="1"/>
    <xf borderId="0" fillId="0" fontId="29" numFmtId="0" xfId="0" applyAlignment="1" applyFont="1">
      <alignment horizontal="left"/>
    </xf>
    <xf borderId="1" fillId="2" fontId="30" numFmtId="49" xfId="0" applyAlignment="1" applyBorder="1" applyFont="1" applyNumberFormat="1">
      <alignment horizontal="center" shrinkToFit="0" vertical="center" wrapText="1"/>
    </xf>
    <xf borderId="4" fillId="4" fontId="31" numFmtId="165" xfId="0" applyAlignment="1" applyBorder="1" applyFont="1" applyNumberFormat="1">
      <alignment horizontal="center" vertical="bottom"/>
    </xf>
    <xf borderId="4" fillId="4" fontId="18" numFmtId="0" xfId="0" applyAlignment="1" applyBorder="1" applyFont="1">
      <alignment horizontal="center"/>
    </xf>
    <xf borderId="4" fillId="4" fontId="17" numFmtId="0" xfId="0" applyAlignment="1" applyBorder="1" applyFont="1">
      <alignment horizontal="left" vertical="top"/>
    </xf>
    <xf borderId="4" fillId="4" fontId="17" numFmtId="165" xfId="0" applyAlignment="1" applyBorder="1" applyFont="1" applyNumberFormat="1">
      <alignment horizontal="center" vertical="top"/>
    </xf>
    <xf borderId="0" fillId="4" fontId="5" numFmtId="165" xfId="0" applyAlignment="1" applyFont="1" applyNumberFormat="1">
      <alignment horizontal="center" vertical="top"/>
    </xf>
    <xf borderId="4" fillId="4" fontId="12" numFmtId="0" xfId="0" applyAlignment="1" applyBorder="1" applyFont="1">
      <alignment vertical="bottom"/>
    </xf>
    <xf borderId="4" fillId="4" fontId="12" numFmtId="0" xfId="0" applyAlignment="1" applyBorder="1" applyFont="1">
      <alignment horizontal="center" vertical="bottom"/>
    </xf>
    <xf borderId="4" fillId="0" fontId="31" numFmtId="165" xfId="0" applyAlignment="1" applyBorder="1" applyFont="1" applyNumberFormat="1">
      <alignment horizontal="center" vertical="bottom"/>
    </xf>
    <xf borderId="4" fillId="4" fontId="32" numFmtId="0" xfId="0" applyAlignment="1" applyBorder="1" applyFont="1">
      <alignment horizontal="center"/>
    </xf>
    <xf borderId="4" fillId="0" fontId="33" numFmtId="0" xfId="0" applyAlignment="1" applyBorder="1" applyFont="1">
      <alignment horizontal="center" shrinkToFit="0" vertical="bottom" wrapText="0"/>
    </xf>
    <xf borderId="4" fillId="4" fontId="34" numFmtId="0" xfId="0" applyAlignment="1" applyBorder="1" applyFont="1">
      <alignment horizontal="left"/>
    </xf>
    <xf borderId="4" fillId="4" fontId="18" numFmtId="165" xfId="0" applyAlignment="1" applyBorder="1" applyFont="1" applyNumberFormat="1">
      <alignment horizontal="center"/>
    </xf>
    <xf borderId="4" fillId="4" fontId="18" numFmtId="0" xfId="0" applyAlignment="1" applyBorder="1" applyFont="1">
      <alignment horizontal="center" shrinkToFit="0" vertical="bottom" wrapText="0"/>
    </xf>
    <xf borderId="0" fillId="4" fontId="35" numFmtId="0" xfId="0" applyFont="1"/>
    <xf borderId="4" fillId="0" fontId="15" numFmtId="49" xfId="0" applyAlignment="1" applyBorder="1" applyFont="1" applyNumberFormat="1">
      <alignment horizontal="center" shrinkToFit="0" vertical="bottom" wrapText="0"/>
    </xf>
    <xf borderId="4" fillId="4" fontId="15" numFmtId="49" xfId="0" applyAlignment="1" applyBorder="1" applyFont="1" applyNumberFormat="1">
      <alignment horizontal="center" shrinkToFit="0" vertical="center" wrapText="0"/>
    </xf>
    <xf borderId="4" fillId="11" fontId="36" numFmtId="0" xfId="0" applyAlignment="1" applyBorder="1" applyFont="1">
      <alignment horizontal="center"/>
    </xf>
    <xf borderId="10" fillId="7" fontId="5" numFmtId="0" xfId="0" applyAlignment="1" applyBorder="1" applyFont="1">
      <alignment shrinkToFit="0" vertical="center" wrapText="1"/>
    </xf>
    <xf borderId="4" fillId="4" fontId="15" numFmtId="49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/>
    </xf>
    <xf borderId="4" fillId="0" fontId="37" numFmtId="0" xfId="0" applyBorder="1" applyFont="1"/>
    <xf borderId="4" fillId="0" fontId="19" numFmtId="165" xfId="0" applyAlignment="1" applyBorder="1" applyFont="1" applyNumberFormat="1">
      <alignment horizontal="center"/>
    </xf>
    <xf borderId="4" fillId="0" fontId="38" numFmtId="165" xfId="0" applyAlignment="1" applyBorder="1" applyFont="1" applyNumberFormat="1">
      <alignment horizontal="center" vertical="bottom"/>
    </xf>
    <xf borderId="17" fillId="11" fontId="39" numFmtId="165" xfId="0" applyAlignment="1" applyBorder="1" applyFont="1" applyNumberFormat="1">
      <alignment horizontal="left" shrinkToFit="0" wrapText="0"/>
    </xf>
    <xf borderId="4" fillId="4" fontId="5" numFmtId="164" xfId="0" applyAlignment="1" applyBorder="1" applyFont="1" applyNumberFormat="1">
      <alignment horizontal="left" shrinkToFit="0" vertical="center" wrapText="1"/>
    </xf>
    <xf borderId="4" fillId="4" fontId="5" numFmtId="0" xfId="0" applyAlignment="1" applyBorder="1" applyFont="1">
      <alignment horizontal="left" shrinkToFit="0" vertical="center" wrapText="1"/>
    </xf>
    <xf borderId="0" fillId="11" fontId="14" numFmtId="0" xfId="0" applyAlignment="1" applyFont="1">
      <alignment horizontal="left" shrinkToFit="0" wrapText="0"/>
    </xf>
    <xf borderId="4" fillId="4" fontId="6" numFmtId="165" xfId="0" applyAlignment="1" applyBorder="1" applyFont="1" applyNumberFormat="1">
      <alignment horizontal="left" shrinkToFit="0" vertical="center" wrapText="0"/>
    </xf>
    <xf borderId="4" fillId="0" fontId="6" numFmtId="0" xfId="0" applyAlignment="1" applyBorder="1" applyFont="1">
      <alignment horizontal="left" shrinkToFit="0" wrapText="0"/>
    </xf>
    <xf borderId="8" fillId="0" fontId="5" numFmtId="0" xfId="0" applyAlignment="1" applyBorder="1" applyFont="1">
      <alignment shrinkToFit="0" vertical="center" wrapText="1"/>
    </xf>
    <xf borderId="1" fillId="2" fontId="3" numFmtId="49" xfId="0" applyAlignment="1" applyBorder="1" applyFont="1" applyNumberFormat="1">
      <alignment horizontal="center" shrinkToFit="0" vertical="center" wrapText="1"/>
    </xf>
    <xf borderId="0" fillId="0" fontId="11" numFmtId="49" xfId="0" applyFont="1" applyNumberFormat="1"/>
    <xf borderId="0" fillId="0" fontId="11" numFmtId="166" xfId="0" applyAlignment="1" applyFont="1" applyNumberFormat="1">
      <alignment horizontal="center"/>
    </xf>
    <xf borderId="1" fillId="5" fontId="8" numFmtId="49" xfId="0" applyAlignment="1" applyBorder="1" applyFont="1" applyNumberFormat="1">
      <alignment horizontal="center" shrinkToFit="0" vertical="center" wrapText="1"/>
    </xf>
    <xf borderId="4" fillId="5" fontId="9" numFmtId="0" xfId="0" applyAlignment="1" applyBorder="1" applyFont="1">
      <alignment horizontal="left" vertical="center"/>
    </xf>
    <xf borderId="0" fillId="0" fontId="11" numFmtId="0" xfId="0" applyAlignment="1" applyFont="1">
      <alignment shrinkToFit="0" wrapText="0"/>
    </xf>
    <xf borderId="0" fillId="0" fontId="40" numFmtId="0" xfId="0" applyAlignment="1" applyFont="1">
      <alignment horizontal="center"/>
    </xf>
    <xf borderId="15" fillId="13" fontId="40" numFmtId="0" xfId="0" applyAlignment="1" applyBorder="1" applyFill="1" applyFont="1">
      <alignment horizontal="center"/>
    </xf>
    <xf borderId="0" fillId="4" fontId="15" numFmtId="0" xfId="0" applyAlignment="1" applyFont="1">
      <alignment horizontal="left"/>
    </xf>
    <xf borderId="2" fillId="13" fontId="40" numFmtId="0" xfId="0" applyAlignment="1" applyBorder="1" applyFont="1">
      <alignment horizontal="center"/>
    </xf>
    <xf borderId="3" fillId="0" fontId="40" numFmtId="0" xfId="0" applyAlignment="1" applyBorder="1" applyFont="1">
      <alignment horizontal="center"/>
    </xf>
    <xf borderId="4" fillId="0" fontId="40" numFmtId="0" xfId="0" applyAlignment="1" applyBorder="1" applyFont="1">
      <alignment horizontal="center"/>
    </xf>
    <xf borderId="1" fillId="0" fontId="40" numFmtId="0" xfId="0" applyAlignment="1" applyBorder="1" applyFont="1">
      <alignment horizontal="center"/>
    </xf>
    <xf borderId="4" fillId="4" fontId="14" numFmtId="49" xfId="0" applyAlignment="1" applyBorder="1" applyFont="1" applyNumberFormat="1">
      <alignment horizontal="center" shrinkToFit="0" wrapText="0"/>
    </xf>
    <xf borderId="18" fillId="0" fontId="11" numFmtId="0" xfId="0" applyAlignment="1" applyBorder="1" applyFont="1">
      <alignment horizontal="center"/>
    </xf>
    <xf borderId="19" fillId="0" fontId="11" numFmtId="0" xfId="0" applyAlignment="1" applyBorder="1" applyFont="1">
      <alignment horizontal="center"/>
    </xf>
    <xf borderId="20" fillId="0" fontId="11" numFmtId="0" xfId="0" applyAlignment="1" applyBorder="1" applyFont="1">
      <alignment horizontal="center"/>
    </xf>
    <xf borderId="4" fillId="0" fontId="15" numFmtId="49" xfId="0" applyAlignment="1" applyBorder="1" applyFont="1" applyNumberFormat="1">
      <alignment horizontal="center"/>
    </xf>
    <xf borderId="4" fillId="0" fontId="12" numFmtId="49" xfId="0" applyAlignment="1" applyBorder="1" applyFont="1" applyNumberFormat="1">
      <alignment horizontal="center" vertical="bottom"/>
    </xf>
    <xf borderId="4" fillId="11" fontId="6" numFmtId="49" xfId="0" applyAlignment="1" applyBorder="1" applyFont="1" applyNumberFormat="1">
      <alignment horizontal="center" shrinkToFit="0" vertical="bottom" wrapText="0"/>
    </xf>
    <xf borderId="0" fillId="11" fontId="18" numFmtId="0" xfId="0" applyAlignment="1" applyFont="1">
      <alignment horizontal="center"/>
    </xf>
    <xf borderId="4" fillId="11" fontId="6" numFmtId="0" xfId="0" applyAlignment="1" applyBorder="1" applyFont="1">
      <alignment horizontal="center"/>
    </xf>
    <xf borderId="0" fillId="11" fontId="6" numFmtId="165" xfId="0" applyAlignment="1" applyFont="1" applyNumberFormat="1">
      <alignment horizontal="center"/>
    </xf>
    <xf borderId="4" fillId="4" fontId="12" numFmtId="49" xfId="0" applyAlignment="1" applyBorder="1" applyFont="1" applyNumberFormat="1">
      <alignment horizontal="center"/>
    </xf>
    <xf borderId="0" fillId="0" fontId="15" numFmtId="49" xfId="0" applyAlignment="1" applyFont="1" applyNumberFormat="1">
      <alignment horizontal="center" shrinkToFit="0" vertical="bottom" wrapText="0"/>
    </xf>
    <xf borderId="0" fillId="0" fontId="15" numFmtId="165" xfId="0" applyAlignment="1" applyFont="1" applyNumberFormat="1">
      <alignment horizontal="center" shrinkToFit="0" vertical="bottom" wrapText="0"/>
    </xf>
    <xf borderId="0" fillId="11" fontId="15" numFmtId="49" xfId="0" applyAlignment="1" applyFont="1" applyNumberFormat="1">
      <alignment horizontal="center" shrinkToFit="0" wrapText="0"/>
    </xf>
    <xf borderId="0" fillId="11" fontId="15" numFmtId="165" xfId="0" applyAlignment="1" applyFont="1" applyNumberFormat="1">
      <alignment horizontal="center" shrinkToFit="0" wrapText="0"/>
    </xf>
    <xf borderId="4" fillId="4" fontId="15" numFmtId="49" xfId="0" applyAlignment="1" applyBorder="1" applyFont="1" applyNumberFormat="1">
      <alignment horizontal="center" shrinkToFit="0" wrapText="0"/>
    </xf>
    <xf borderId="0" fillId="0" fontId="18" numFmtId="0" xfId="0" applyFont="1"/>
    <xf borderId="0" fillId="0" fontId="11" numFmtId="49" xfId="0" applyAlignment="1" applyFont="1" applyNumberFormat="1">
      <alignment horizontal="center"/>
    </xf>
    <xf borderId="4" fillId="4" fontId="15" numFmtId="164" xfId="0" applyAlignment="1" applyBorder="1" applyFont="1" applyNumberFormat="1">
      <alignment horizontal="center" shrinkToFit="0" vertical="center" wrapText="0"/>
    </xf>
    <xf borderId="17" fillId="4" fontId="39" numFmtId="49" xfId="0" applyAlignment="1" applyBorder="1" applyFont="1" applyNumberFormat="1">
      <alignment horizontal="center" shrinkToFit="0" wrapText="0"/>
    </xf>
    <xf borderId="0" fillId="4" fontId="41" numFmtId="0" xfId="0" applyFont="1"/>
    <xf borderId="4" fillId="4" fontId="12" numFmtId="166" xfId="0" applyAlignment="1" applyBorder="1" applyFont="1" applyNumberFormat="1">
      <alignment horizontal="center" vertical="bottom"/>
    </xf>
    <xf borderId="0" fillId="4" fontId="12" numFmtId="0" xfId="0" applyAlignment="1" applyFont="1">
      <alignment horizontal="left" vertical="bottom"/>
    </xf>
    <xf borderId="4" fillId="0" fontId="25" numFmtId="0" xfId="0" applyAlignment="1" applyBorder="1" applyFont="1">
      <alignment horizontal="center"/>
    </xf>
    <xf borderId="0" fillId="11" fontId="28" numFmtId="49" xfId="0" applyAlignment="1" applyFont="1" applyNumberFormat="1">
      <alignment horizontal="center" shrinkToFit="0" wrapText="0"/>
    </xf>
    <xf borderId="4" fillId="0" fontId="11" numFmtId="0" xfId="0" applyAlignment="1" applyBorder="1" applyFont="1">
      <alignment horizontal="left"/>
    </xf>
    <xf borderId="0" fillId="0" fontId="11" numFmtId="164" xfId="0" applyAlignment="1" applyFont="1" applyNumberFormat="1">
      <alignment horizontal="center"/>
    </xf>
    <xf borderId="4" fillId="0" fontId="25" numFmtId="0" xfId="0" applyBorder="1" applyFont="1"/>
    <xf borderId="4" fillId="4" fontId="34" numFmtId="0" xfId="0" applyAlignment="1" applyBorder="1" applyFont="1">
      <alignment horizontal="center"/>
    </xf>
    <xf borderId="0" fillId="4" fontId="34" numFmtId="0" xfId="0" applyAlignment="1" applyFont="1">
      <alignment horizontal="center"/>
    </xf>
    <xf borderId="4" fillId="0" fontId="15" numFmtId="167" xfId="0" applyAlignment="1" applyBorder="1" applyFont="1" applyNumberFormat="1">
      <alignment horizontal="center" shrinkToFit="0" vertical="bottom" wrapText="0"/>
    </xf>
    <xf borderId="4" fillId="4" fontId="42" numFmtId="165" xfId="0" applyAlignment="1" applyBorder="1" applyFont="1" applyNumberFormat="1">
      <alignment horizontal="center" shrinkToFit="0" vertical="center" wrapText="0"/>
    </xf>
    <xf borderId="0" fillId="4" fontId="12" numFmtId="0" xfId="0" applyAlignment="1" applyFont="1">
      <alignment horizontal="center"/>
    </xf>
    <xf borderId="4" fillId="4" fontId="15" numFmtId="165" xfId="0" applyAlignment="1" applyBorder="1" applyFont="1" applyNumberFormat="1">
      <alignment horizontal="center"/>
    </xf>
    <xf borderId="0" fillId="4" fontId="14" numFmtId="49" xfId="0" applyAlignment="1" applyFont="1" applyNumberFormat="1">
      <alignment horizontal="center" shrinkToFit="0" wrapText="0"/>
    </xf>
    <xf borderId="4" fillId="4" fontId="17" numFmtId="0" xfId="0" applyAlignment="1" applyBorder="1" applyFont="1">
      <alignment horizontal="center" shrinkToFit="0" vertical="bottom" wrapText="0"/>
    </xf>
    <xf borderId="4" fillId="4" fontId="11" numFmtId="165" xfId="0" applyAlignment="1" applyBorder="1" applyFont="1" applyNumberFormat="1">
      <alignment horizontal="center" shrinkToFit="0" vertical="bottom" wrapText="0"/>
    </xf>
    <xf borderId="4" fillId="4" fontId="11" numFmtId="0" xfId="0" applyAlignment="1" applyBorder="1" applyFont="1">
      <alignment horizontal="center" shrinkToFit="0" vertical="bottom" wrapText="0"/>
    </xf>
    <xf borderId="0" fillId="5" fontId="15" numFmtId="0" xfId="0" applyAlignment="1" applyFont="1">
      <alignment horizontal="left" shrinkToFit="0" wrapText="0"/>
    </xf>
    <xf borderId="0" fillId="4" fontId="43" numFmtId="49" xfId="0" applyAlignment="1" applyFont="1" applyNumberFormat="1">
      <alignment horizontal="center"/>
    </xf>
    <xf borderId="4" fillId="0" fontId="18" numFmtId="0" xfId="0" applyAlignment="1" applyBorder="1" applyFont="1">
      <alignment horizontal="left" shrinkToFit="0" vertical="bottom" wrapText="0"/>
    </xf>
    <xf borderId="4" fillId="4" fontId="23" numFmtId="49" xfId="0" applyAlignment="1" applyBorder="1" applyFont="1" applyNumberFormat="1">
      <alignment horizontal="center" shrinkToFit="0" wrapText="0"/>
    </xf>
    <xf borderId="4" fillId="11" fontId="24" numFmtId="0" xfId="0" applyAlignment="1" applyBorder="1" applyFont="1">
      <alignment horizontal="center"/>
    </xf>
    <xf borderId="4" fillId="4" fontId="24" numFmtId="0" xfId="0" applyBorder="1" applyFont="1"/>
    <xf borderId="4" fillId="14" fontId="15" numFmtId="0" xfId="0" applyAlignment="1" applyBorder="1" applyFill="1" applyFont="1">
      <alignment horizontal="left" shrinkToFit="0" vertical="bottom" wrapText="0"/>
    </xf>
    <xf borderId="4" fillId="0" fontId="15" numFmtId="164" xfId="0" applyAlignment="1" applyBorder="1" applyFont="1" applyNumberFormat="1">
      <alignment horizontal="center" shrinkToFit="0" vertical="bottom" wrapText="0"/>
    </xf>
    <xf borderId="4" fillId="4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vertical="bottom"/>
    </xf>
    <xf borderId="0" fillId="11" fontId="39" numFmtId="0" xfId="0" applyAlignment="1" applyFont="1">
      <alignment horizontal="center" shrinkToFit="0" wrapText="0"/>
    </xf>
    <xf borderId="0" fillId="15" fontId="18" numFmtId="0" xfId="0" applyFill="1" applyFont="1"/>
    <xf borderId="4" fillId="4" fontId="39" numFmtId="0" xfId="0" applyAlignment="1" applyBorder="1" applyFont="1">
      <alignment horizontal="center" shrinkToFit="0" wrapText="0"/>
    </xf>
    <xf borderId="4" fillId="4" fontId="39" numFmtId="165" xfId="0" applyAlignment="1" applyBorder="1" applyFont="1" applyNumberFormat="1">
      <alignment horizontal="center" shrinkToFit="0" wrapText="0"/>
    </xf>
    <xf borderId="4" fillId="4" fontId="11" numFmtId="0" xfId="0" applyAlignment="1" applyBorder="1" applyFont="1">
      <alignment horizontal="center" vertical="bottom"/>
    </xf>
    <xf borderId="0" fillId="4" fontId="11" numFmtId="0" xfId="0" applyAlignment="1" applyFont="1">
      <alignment vertical="top"/>
    </xf>
    <xf borderId="0" fillId="4" fontId="18" numFmtId="0" xfId="0" applyFont="1"/>
    <xf borderId="0" fillId="4" fontId="17" numFmtId="0" xfId="0" applyAlignment="1" applyFont="1">
      <alignment vertical="bottom"/>
    </xf>
    <xf borderId="4" fillId="4" fontId="11" numFmtId="165" xfId="0" applyAlignment="1" applyBorder="1" applyFont="1" applyNumberFormat="1">
      <alignment horizontal="center" vertical="top"/>
    </xf>
    <xf borderId="4" fillId="4" fontId="39" numFmtId="0" xfId="0" applyAlignment="1" applyBorder="1" applyFont="1">
      <alignment horizontal="center" shrinkToFit="0" vertical="bottom" wrapText="0"/>
    </xf>
    <xf borderId="17" fillId="4" fontId="39" numFmtId="165" xfId="0" applyAlignment="1" applyBorder="1" applyFont="1" applyNumberFormat="1">
      <alignment horizontal="center" shrinkToFit="0" wrapText="0"/>
    </xf>
    <xf borderId="4" fillId="4" fontId="11" numFmtId="0" xfId="0" applyAlignment="1" applyBorder="1" applyFont="1">
      <alignment vertical="top"/>
    </xf>
    <xf borderId="17" fillId="4" fontId="39" numFmtId="0" xfId="0" applyAlignment="1" applyBorder="1" applyFont="1">
      <alignment horizontal="left" shrinkToFit="0" wrapText="0"/>
    </xf>
    <xf borderId="0" fillId="0" fontId="25" numFmtId="0" xfId="0" applyAlignment="1" applyFont="1">
      <alignment horizontal="center"/>
    </xf>
    <xf borderId="0" fillId="4" fontId="14" numFmtId="0" xfId="0" applyAlignment="1" applyFont="1">
      <alignment horizontal="left" shrinkToFit="0" wrapText="0"/>
    </xf>
    <xf borderId="0" fillId="0" fontId="37" numFmtId="0" xfId="0" applyFont="1"/>
    <xf borderId="4" fillId="0" fontId="37" numFmtId="0" xfId="0" applyAlignment="1" applyBorder="1" applyFont="1">
      <alignment horizontal="left"/>
    </xf>
    <xf borderId="4" fillId="4" fontId="44" numFmtId="0" xfId="0" applyAlignment="1" applyBorder="1" applyFont="1">
      <alignment horizontal="center" vertical="top"/>
    </xf>
    <xf borderId="0" fillId="4" fontId="24" numFmtId="165" xfId="0" applyAlignment="1" applyFont="1" applyNumberFormat="1">
      <alignment horizontal="center"/>
    </xf>
    <xf borderId="0" fillId="0" fontId="40" numFmtId="0" xfId="0" applyFont="1"/>
    <xf borderId="4" fillId="5" fontId="12" numFmtId="0" xfId="0" applyBorder="1" applyFont="1"/>
    <xf borderId="4" fillId="5" fontId="12" numFmtId="0" xfId="0" applyAlignment="1" applyBorder="1" applyFont="1">
      <alignment horizontal="center"/>
    </xf>
    <xf borderId="4" fillId="5" fontId="12" numFmtId="166" xfId="0" applyAlignment="1" applyBorder="1" applyFont="1" applyNumberFormat="1">
      <alignment horizontal="center"/>
    </xf>
    <xf borderId="4" fillId="5" fontId="15" numFmtId="0" xfId="0" applyAlignment="1" applyBorder="1" applyFont="1">
      <alignment horizontal="center" shrinkToFit="0" vertical="bottom" wrapText="0"/>
    </xf>
    <xf borderId="4" fillId="5" fontId="15" numFmtId="0" xfId="0" applyAlignment="1" applyBorder="1" applyFont="1">
      <alignment horizontal="left" shrinkToFit="0" vertical="bottom" wrapText="0"/>
    </xf>
    <xf borderId="4" fillId="5" fontId="12" numFmtId="165" xfId="0" applyAlignment="1" applyBorder="1" applyFont="1" applyNumberFormat="1">
      <alignment horizontal="center"/>
    </xf>
    <xf borderId="4" fillId="5" fontId="5" numFmtId="0" xfId="0" applyAlignment="1" applyBorder="1" applyFont="1">
      <alignment horizontal="center" shrinkToFit="0" vertical="center" wrapText="1"/>
    </xf>
    <xf borderId="4" fillId="5" fontId="6" numFmtId="0" xfId="0" applyAlignment="1" applyBorder="1" applyFont="1">
      <alignment horizontal="center" vertical="center"/>
    </xf>
    <xf borderId="0" fillId="4" fontId="14" numFmtId="165" xfId="0" applyAlignment="1" applyFont="1" applyNumberFormat="1">
      <alignment horizontal="center" shrinkToFit="0" wrapText="0"/>
    </xf>
    <xf borderId="0" fillId="0" fontId="11" numFmtId="166" xfId="0" applyFont="1" applyNumberFormat="1"/>
    <xf borderId="4" fillId="16" fontId="5" numFmtId="0" xfId="0" applyAlignment="1" applyBorder="1" applyFill="1" applyFont="1">
      <alignment horizontal="center" shrinkToFit="0" vertical="center" wrapText="1"/>
    </xf>
    <xf borderId="4" fillId="9" fontId="12" numFmtId="166" xfId="0" applyAlignment="1" applyBorder="1" applyFont="1" applyNumberFormat="1">
      <alignment horizontal="center"/>
    </xf>
    <xf borderId="0" fillId="17" fontId="11" numFmtId="0" xfId="0" applyAlignment="1" applyFill="1" applyFont="1">
      <alignment horizontal="center"/>
    </xf>
    <xf borderId="4" fillId="17" fontId="12" numFmtId="0" xfId="0" applyAlignment="1" applyBorder="1" applyFont="1">
      <alignment horizontal="center"/>
    </xf>
    <xf borderId="4" fillId="17" fontId="12" numFmtId="166" xfId="0" applyAlignment="1" applyBorder="1" applyFont="1" applyNumberFormat="1">
      <alignment horizontal="center"/>
    </xf>
    <xf borderId="4" fillId="17" fontId="12" numFmtId="49" xfId="0" applyAlignment="1" applyBorder="1" applyFont="1" applyNumberFormat="1">
      <alignment horizontal="center"/>
    </xf>
    <xf borderId="4" fillId="17" fontId="12" numFmtId="165" xfId="0" applyAlignment="1" applyBorder="1" applyFont="1" applyNumberFormat="1">
      <alignment horizontal="center"/>
    </xf>
    <xf borderId="4" fillId="9" fontId="12" numFmtId="0" xfId="0" applyBorder="1" applyFont="1"/>
    <xf borderId="4" fillId="9" fontId="12" numFmtId="0" xfId="0" applyAlignment="1" applyBorder="1" applyFont="1">
      <alignment horizontal="center"/>
    </xf>
    <xf borderId="4" fillId="9" fontId="15" numFmtId="49" xfId="0" applyAlignment="1" applyBorder="1" applyFont="1" applyNumberFormat="1">
      <alignment horizontal="center"/>
    </xf>
    <xf borderId="4" fillId="9" fontId="15" numFmtId="0" xfId="0" applyAlignment="1" applyBorder="1" applyFont="1">
      <alignment horizontal="center" shrinkToFit="0" vertical="bottom" wrapText="0"/>
    </xf>
    <xf borderId="4" fillId="9" fontId="15" numFmtId="0" xfId="0" applyAlignment="1" applyBorder="1" applyFont="1">
      <alignment horizontal="left" shrinkToFit="0" vertical="bottom" wrapText="0"/>
    </xf>
    <xf borderId="4" fillId="9" fontId="15" numFmtId="165" xfId="0" applyAlignment="1" applyBorder="1" applyFont="1" applyNumberFormat="1">
      <alignment horizontal="center" shrinkToFit="0" vertical="bottom" wrapText="0"/>
    </xf>
    <xf borderId="4" fillId="8" fontId="6" numFmtId="0" xfId="0" applyAlignment="1" applyBorder="1" applyFont="1">
      <alignment horizontal="center" vertical="center"/>
    </xf>
    <xf borderId="0" fillId="4" fontId="28" numFmtId="165" xfId="0" applyAlignment="1" applyFont="1" applyNumberFormat="1">
      <alignment horizontal="left" shrinkToFit="0" wrapText="0"/>
    </xf>
    <xf borderId="4" fillId="4" fontId="42" numFmtId="0" xfId="0" applyAlignment="1" applyBorder="1" applyFont="1">
      <alignment horizontal="center" shrinkToFit="0" vertical="center" wrapText="0"/>
    </xf>
    <xf borderId="4" fillId="4" fontId="11" numFmtId="0" xfId="0" applyAlignment="1" applyBorder="1" applyFont="1">
      <alignment horizontal="center"/>
    </xf>
    <xf borderId="4" fillId="4" fontId="11" numFmtId="49" xfId="0" applyAlignment="1" applyBorder="1" applyFont="1" applyNumberFormat="1">
      <alignment vertical="bottom"/>
    </xf>
    <xf borderId="4" fillId="4" fontId="11" numFmtId="0" xfId="0" applyAlignment="1" applyBorder="1" applyFont="1">
      <alignment vertical="bottom"/>
    </xf>
    <xf borderId="0" fillId="4" fontId="45" numFmtId="49" xfId="0" applyAlignment="1" applyFont="1" applyNumberFormat="1">
      <alignment horizontal="center" vertical="bottom"/>
    </xf>
    <xf borderId="4" fillId="4" fontId="9" numFmtId="0" xfId="0" applyAlignment="1" applyBorder="1" applyFont="1">
      <alignment horizontal="left"/>
    </xf>
    <xf borderId="4" fillId="4" fontId="28" numFmtId="49" xfId="0" applyAlignment="1" applyBorder="1" applyFont="1" applyNumberFormat="1">
      <alignment horizontal="center" shrinkToFit="0" wrapText="0"/>
    </xf>
    <xf borderId="0" fillId="4" fontId="11" numFmtId="0" xfId="0" applyAlignment="1" applyFont="1">
      <alignment horizontal="center"/>
    </xf>
    <xf borderId="4" fillId="4" fontId="15" numFmtId="164" xfId="0" applyAlignment="1" applyBorder="1" applyFont="1" applyNumberFormat="1">
      <alignment horizontal="center" shrinkToFit="0" vertical="bottom" wrapText="0"/>
    </xf>
    <xf borderId="0" fillId="4" fontId="39" numFmtId="0" xfId="0" applyAlignment="1" applyFont="1">
      <alignment horizontal="center" shrinkToFit="0" wrapText="0"/>
    </xf>
    <xf borderId="0" fillId="4" fontId="18" numFmtId="0" xfId="0" applyAlignment="1" applyFont="1">
      <alignment horizontal="center"/>
    </xf>
    <xf borderId="4" fillId="4" fontId="23" numFmtId="49" xfId="0" applyAlignment="1" applyBorder="1" applyFont="1" applyNumberFormat="1">
      <alignment horizontal="center"/>
    </xf>
    <xf borderId="4" fillId="4" fontId="17" numFmtId="0" xfId="0" applyAlignment="1" applyBorder="1" applyFont="1">
      <alignment horizontal="center" vertical="bottom"/>
    </xf>
    <xf borderId="4" fillId="0" fontId="12" numFmtId="167" xfId="0" applyAlignment="1" applyBorder="1" applyFont="1" applyNumberFormat="1">
      <alignment horizontal="center"/>
    </xf>
    <xf borderId="1" fillId="5" fontId="46" numFmtId="49" xfId="0" applyAlignment="1" applyBorder="1" applyFont="1" applyNumberFormat="1">
      <alignment horizontal="center" shrinkToFit="0" wrapText="1"/>
    </xf>
    <xf borderId="4" fillId="11" fontId="17" numFmtId="0" xfId="0" applyAlignment="1" applyBorder="1" applyFont="1">
      <alignment horizontal="center"/>
    </xf>
    <xf borderId="4" fillId="11" fontId="17" numFmtId="166" xfId="0" applyAlignment="1" applyBorder="1" applyFont="1" applyNumberFormat="1">
      <alignment horizontal="center"/>
    </xf>
    <xf borderId="4" fillId="4" fontId="47" numFmtId="0" xfId="0" applyBorder="1" applyFont="1"/>
    <xf borderId="4" fillId="4" fontId="22" numFmtId="0" xfId="0" applyAlignment="1" applyBorder="1" applyFont="1">
      <alignment horizontal="left"/>
    </xf>
    <xf borderId="4" fillId="4" fontId="11" numFmtId="0" xfId="0" applyBorder="1" applyFont="1"/>
    <xf borderId="4" fillId="4" fontId="28" numFmtId="0" xfId="0" applyAlignment="1" applyBorder="1" applyFont="1">
      <alignment horizontal="center"/>
    </xf>
    <xf borderId="4" fillId="0" fontId="28" numFmtId="0" xfId="0" applyAlignment="1" applyBorder="1" applyFont="1">
      <alignment horizontal="center" shrinkToFit="0" vertical="bottom" wrapText="0"/>
    </xf>
    <xf borderId="4" fillId="4" fontId="28" numFmtId="49" xfId="0" applyAlignment="1" applyBorder="1" applyFont="1" applyNumberFormat="1">
      <alignment horizontal="center"/>
    </xf>
    <xf borderId="1" fillId="18" fontId="8" numFmtId="49" xfId="0" applyAlignment="1" applyBorder="1" applyFill="1" applyFont="1" applyNumberFormat="1">
      <alignment horizontal="center" shrinkToFit="0" vertical="center" wrapText="1"/>
    </xf>
    <xf borderId="1" fillId="5" fontId="9" numFmtId="164" xfId="0" applyAlignment="1" applyBorder="1" applyFont="1" applyNumberFormat="1">
      <alignment horizontal="center" vertical="center"/>
    </xf>
    <xf borderId="4" fillId="0" fontId="37" numFmtId="0" xfId="0" applyAlignment="1" applyBorder="1" applyFont="1">
      <alignment horizontal="center" vertical="center"/>
    </xf>
    <xf borderId="4" fillId="0" fontId="15" numFmtId="164" xfId="0" applyAlignment="1" applyBorder="1" applyFont="1" applyNumberFormat="1">
      <alignment horizontal="center" shrinkToFit="0" vertical="center" wrapText="0"/>
    </xf>
    <xf borderId="4" fillId="4" fontId="6" numFmtId="49" xfId="0" applyAlignment="1" applyBorder="1" applyFont="1" applyNumberFormat="1">
      <alignment horizontal="center" shrinkToFit="0" vertical="bottom" wrapText="0"/>
    </xf>
    <xf borderId="4" fillId="4" fontId="6" numFmtId="0" xfId="0" applyAlignment="1" applyBorder="1" applyFont="1">
      <alignment horizontal="center"/>
    </xf>
    <xf borderId="0" fillId="4" fontId="6" numFmtId="165" xfId="0" applyAlignment="1" applyFont="1" applyNumberFormat="1">
      <alignment horizontal="center"/>
    </xf>
    <xf borderId="0" fillId="4" fontId="15" numFmtId="49" xfId="0" applyAlignment="1" applyFont="1" applyNumberFormat="1">
      <alignment horizontal="center" shrinkToFit="0" vertical="bottom" wrapText="0"/>
    </xf>
    <xf borderId="0" fillId="4" fontId="15" numFmtId="164" xfId="0" applyAlignment="1" applyFont="1" applyNumberFormat="1">
      <alignment horizontal="center" shrinkToFit="0" vertical="bottom" wrapText="0"/>
    </xf>
    <xf borderId="4" fillId="4" fontId="15" numFmtId="49" xfId="0" applyAlignment="1" applyBorder="1" applyFont="1" applyNumberFormat="1">
      <alignment horizontal="center"/>
    </xf>
    <xf borderId="0" fillId="4" fontId="15" numFmtId="49" xfId="0" applyAlignment="1" applyFont="1" applyNumberFormat="1">
      <alignment horizontal="center" shrinkToFit="0" wrapText="0"/>
    </xf>
    <xf borderId="0" fillId="4" fontId="15" numFmtId="165" xfId="0" applyAlignment="1" applyFont="1" applyNumberFormat="1">
      <alignment horizontal="center" shrinkToFit="0" wrapText="0"/>
    </xf>
    <xf borderId="4" fillId="0" fontId="15" numFmtId="0" xfId="0" applyAlignment="1" applyBorder="1" applyFont="1">
      <alignment horizontal="center" shrinkToFit="0" vertical="bottom" wrapText="1"/>
    </xf>
    <xf borderId="0" fillId="4" fontId="43" numFmtId="0" xfId="0" applyAlignment="1" applyFont="1">
      <alignment horizontal="center"/>
    </xf>
    <xf borderId="4" fillId="4" fontId="43" numFmtId="165" xfId="0" applyAlignment="1" applyBorder="1" applyFont="1" applyNumberFormat="1">
      <alignment horizontal="center"/>
    </xf>
    <xf borderId="4" fillId="4" fontId="48" numFmtId="165" xfId="0" applyAlignment="1" applyBorder="1" applyFont="1" applyNumberFormat="1">
      <alignment horizontal="center"/>
    </xf>
    <xf borderId="4" fillId="4" fontId="15" numFmtId="0" xfId="0" applyAlignment="1" applyBorder="1" applyFont="1">
      <alignment horizontal="center" shrinkToFit="0" wrapText="1"/>
    </xf>
    <xf borderId="4" fillId="0" fontId="15" numFmtId="0" xfId="0" applyAlignment="1" applyBorder="1" applyFont="1">
      <alignment horizontal="center" shrinkToFit="0" wrapText="1"/>
    </xf>
    <xf borderId="4" fillId="17" fontId="5" numFmtId="49" xfId="0" applyAlignment="1" applyBorder="1" applyFont="1" applyNumberFormat="1">
      <alignment horizontal="center"/>
    </xf>
    <xf borderId="4" fillId="17" fontId="15" numFmtId="0" xfId="0" applyAlignment="1" applyBorder="1" applyFont="1">
      <alignment horizontal="center" shrinkToFit="0" wrapText="1"/>
    </xf>
    <xf borderId="4" fillId="17" fontId="15" numFmtId="0" xfId="0" applyAlignment="1" applyBorder="1" applyFont="1">
      <alignment horizontal="left" shrinkToFit="0" wrapText="0"/>
    </xf>
    <xf borderId="4" fillId="17" fontId="15" numFmtId="165" xfId="0" applyAlignment="1" applyBorder="1" applyFont="1" applyNumberFormat="1">
      <alignment horizontal="center" shrinkToFit="0" wrapText="0"/>
    </xf>
    <xf borderId="4" fillId="17" fontId="5" numFmtId="0" xfId="0" applyAlignment="1" applyBorder="1" applyFont="1">
      <alignment horizontal="center" shrinkToFit="0" vertical="center" wrapText="1"/>
    </xf>
    <xf borderId="4" fillId="17" fontId="11" numFmtId="0" xfId="0" applyAlignment="1" applyBorder="1" applyFont="1">
      <alignment horizontal="center"/>
    </xf>
    <xf borderId="4" fillId="17" fontId="11" numFmtId="0" xfId="0" applyBorder="1" applyFont="1"/>
    <xf borderId="4" fillId="19" fontId="12" numFmtId="0" xfId="0" applyAlignment="1" applyBorder="1" applyFill="1" applyFont="1">
      <alignment horizontal="center"/>
    </xf>
    <xf borderId="4" fillId="19" fontId="12" numFmtId="0" xfId="0" applyAlignment="1" applyBorder="1" applyFont="1">
      <alignment horizontal="left" vertical="bottom"/>
    </xf>
    <xf borderId="4" fillId="4" fontId="32" numFmtId="0" xfId="0" applyAlignment="1" applyBorder="1" applyFont="1">
      <alignment vertical="top"/>
    </xf>
    <xf borderId="4" fillId="4" fontId="12" numFmtId="0" xfId="0" applyAlignment="1" applyBorder="1" applyFont="1">
      <alignment horizontal="center" shrinkToFit="0" vertical="bottom" wrapText="1"/>
    </xf>
    <xf borderId="4" fillId="10" fontId="12" numFmtId="0" xfId="0" applyAlignment="1" applyBorder="1" applyFont="1">
      <alignment horizontal="center" vertical="bottom"/>
    </xf>
    <xf borderId="4" fillId="10" fontId="12" numFmtId="0" xfId="0" applyAlignment="1" applyBorder="1" applyFont="1">
      <alignment horizontal="center"/>
    </xf>
    <xf borderId="4" fillId="10" fontId="15" numFmtId="49" xfId="0" applyAlignment="1" applyBorder="1" applyFont="1" applyNumberFormat="1">
      <alignment horizontal="center" shrinkToFit="0" vertical="bottom" wrapText="0"/>
    </xf>
    <xf borderId="4" fillId="10" fontId="15" numFmtId="165" xfId="0" applyAlignment="1" applyBorder="1" applyFont="1" applyNumberFormat="1">
      <alignment horizontal="center" shrinkToFit="0" vertical="bottom" wrapText="0"/>
    </xf>
    <xf borderId="4" fillId="10" fontId="12" numFmtId="0" xfId="0" applyAlignment="1" applyBorder="1" applyFont="1">
      <alignment horizontal="center" shrinkToFit="0" vertical="center" wrapText="1"/>
    </xf>
    <xf borderId="4" fillId="4" fontId="15" numFmtId="49" xfId="0" applyAlignment="1" applyBorder="1" applyFont="1" applyNumberFormat="1">
      <alignment horizontal="center" shrinkToFit="0" wrapText="1"/>
    </xf>
    <xf borderId="4" fillId="10" fontId="15" numFmtId="49" xfId="0" applyAlignment="1" applyBorder="1" applyFont="1" applyNumberFormat="1">
      <alignment horizontal="center" shrinkToFit="0" wrapText="0"/>
    </xf>
    <xf borderId="4" fillId="10" fontId="18" numFmtId="0" xfId="0" applyAlignment="1" applyBorder="1" applyFont="1">
      <alignment horizontal="center" shrinkToFit="0" vertical="bottom" wrapText="0"/>
    </xf>
    <xf borderId="0" fillId="10" fontId="11" numFmtId="0" xfId="0" applyAlignment="1" applyFont="1">
      <alignment horizontal="center"/>
    </xf>
    <xf borderId="15" fillId="13" fontId="40" numFmtId="0" xfId="0" applyAlignment="1" applyBorder="1" applyFont="1">
      <alignment horizontal="center" vertical="bottom"/>
    </xf>
    <xf borderId="4" fillId="0" fontId="15" numFmtId="0" xfId="0" applyAlignment="1" applyBorder="1" applyFont="1">
      <alignment horizontal="left" shrinkToFit="0" wrapText="1"/>
    </xf>
    <xf borderId="2" fillId="13" fontId="40" numFmtId="0" xfId="0" applyAlignment="1" applyBorder="1" applyFont="1">
      <alignment horizontal="center" vertical="bottom"/>
    </xf>
    <xf borderId="3" fillId="0" fontId="40" numFmtId="0" xfId="0" applyAlignment="1" applyBorder="1" applyFont="1">
      <alignment horizontal="center" vertical="bottom"/>
    </xf>
    <xf borderId="4" fillId="0" fontId="40" numFmtId="0" xfId="0" applyAlignment="1" applyBorder="1" applyFont="1">
      <alignment horizontal="center" vertical="bottom"/>
    </xf>
    <xf borderId="1" fillId="0" fontId="40" numFmtId="0" xfId="0" applyAlignment="1" applyBorder="1" applyFont="1">
      <alignment horizontal="center" vertical="bottom"/>
    </xf>
    <xf borderId="18" fillId="0" fontId="11" numFmtId="0" xfId="0" applyAlignment="1" applyBorder="1" applyFont="1">
      <alignment horizontal="center" vertical="bottom"/>
    </xf>
    <xf borderId="4" fillId="4" fontId="12" numFmtId="0" xfId="0" applyAlignment="1" applyBorder="1" applyFont="1">
      <alignment horizontal="center" shrinkToFit="0" wrapText="1"/>
    </xf>
    <xf borderId="4" fillId="4" fontId="49" numFmtId="0" xfId="0" applyAlignment="1" applyBorder="1" applyFont="1">
      <alignment vertical="top"/>
    </xf>
    <xf borderId="0" fillId="4" fontId="18" numFmtId="165" xfId="0" applyAlignment="1" applyFont="1" applyNumberFormat="1">
      <alignment horizontal="center"/>
    </xf>
    <xf borderId="0" fillId="4" fontId="28" numFmtId="165" xfId="0" applyAlignment="1" applyFont="1" applyNumberFormat="1">
      <alignment horizontal="center" shrinkToFit="0" wrapText="0"/>
    </xf>
    <xf borderId="1" fillId="19" fontId="8" numFmtId="49" xfId="0" applyAlignment="1" applyBorder="1" applyFont="1" applyNumberFormat="1">
      <alignment horizontal="center" shrinkToFit="0" vertical="center" wrapText="1"/>
    </xf>
    <xf borderId="1" fillId="5" fontId="50" numFmtId="49" xfId="0" applyAlignment="1" applyBorder="1" applyFont="1" applyNumberFormat="1">
      <alignment horizontal="center" shrinkToFit="0" wrapText="1"/>
    </xf>
    <xf borderId="4" fillId="5" fontId="11" numFmtId="49" xfId="0" applyBorder="1" applyFont="1" applyNumberFormat="1"/>
    <xf borderId="4" fillId="5" fontId="22" numFmtId="164" xfId="0" applyAlignment="1" applyBorder="1" applyFont="1" applyNumberFormat="1">
      <alignment horizontal="center"/>
    </xf>
    <xf borderId="4" fillId="5" fontId="22" numFmtId="0" xfId="0" applyAlignment="1" applyBorder="1" applyFont="1">
      <alignment horizontal="center" shrinkToFit="0" wrapText="1"/>
    </xf>
    <xf borderId="4" fillId="5" fontId="22" numFmtId="0" xfId="0" applyAlignment="1" applyBorder="1" applyFont="1">
      <alignment horizontal="center"/>
    </xf>
    <xf borderId="4" fillId="5" fontId="22" numFmtId="0" xfId="0" applyBorder="1" applyFont="1"/>
    <xf borderId="4" fillId="5" fontId="22" numFmtId="165" xfId="0" applyAlignment="1" applyBorder="1" applyFont="1" applyNumberFormat="1">
      <alignment horizontal="center" shrinkToFit="0" wrapText="1"/>
    </xf>
    <xf borderId="4" fillId="5" fontId="40" numFmtId="0" xfId="0" applyAlignment="1" applyBorder="1" applyFont="1">
      <alignment horizontal="center" shrinkToFit="0" vertical="bottom" wrapText="1"/>
    </xf>
    <xf borderId="4" fillId="4" fontId="32" numFmtId="49" xfId="0" applyAlignment="1" applyBorder="1" applyFont="1" applyNumberFormat="1">
      <alignment horizontal="center" vertical="bottom"/>
    </xf>
    <xf borderId="4" fillId="0" fontId="11" numFmtId="49" xfId="0" applyAlignment="1" applyBorder="1" applyFont="1" applyNumberFormat="1">
      <alignment horizontal="center" vertical="bottom"/>
    </xf>
    <xf borderId="4" fillId="4" fontId="11" numFmtId="49" xfId="0" applyAlignment="1" applyBorder="1" applyFont="1" applyNumberFormat="1">
      <alignment horizontal="center"/>
    </xf>
    <xf borderId="4" fillId="4" fontId="11" numFmtId="49" xfId="0" applyAlignment="1" applyBorder="1" applyFont="1" applyNumberFormat="1">
      <alignment horizontal="center" vertical="bottom"/>
    </xf>
    <xf borderId="0" fillId="20" fontId="18" numFmtId="0" xfId="0" applyFill="1" applyFont="1"/>
    <xf borderId="4" fillId="0" fontId="11" numFmtId="49" xfId="0" applyAlignment="1" applyBorder="1" applyFont="1" applyNumberFormat="1">
      <alignment vertical="bottom"/>
    </xf>
    <xf borderId="4" fillId="0" fontId="11" numFmtId="0" xfId="0" applyAlignment="1" applyBorder="1" applyFont="1">
      <alignment vertical="bottom"/>
    </xf>
    <xf borderId="4" fillId="4" fontId="11" numFmtId="165" xfId="0" applyAlignment="1" applyBorder="1" applyFont="1" applyNumberFormat="1">
      <alignment vertical="bottom"/>
    </xf>
    <xf borderId="4" fillId="4" fontId="15" numFmtId="0" xfId="0" applyAlignment="1" applyBorder="1" applyFont="1">
      <alignment horizontal="center" shrinkToFit="0" vertical="bottom" wrapText="1"/>
    </xf>
    <xf borderId="4" fillId="5" fontId="9" numFmtId="164" xfId="0" applyAlignment="1" applyBorder="1" applyFont="1" applyNumberFormat="1">
      <alignment horizontal="left" vertical="center"/>
    </xf>
    <xf borderId="0" fillId="4" fontId="11" numFmtId="0" xfId="0" applyAlignment="1" applyFont="1">
      <alignment vertical="bottom"/>
    </xf>
    <xf borderId="0" fillId="4" fontId="11" numFmtId="165" xfId="0" applyAlignment="1" applyFont="1" applyNumberFormat="1">
      <alignment vertical="bottom"/>
    </xf>
    <xf borderId="0" fillId="4" fontId="12" numFmtId="164" xfId="0" applyAlignment="1" applyFont="1" applyNumberFormat="1">
      <alignment horizontal="center" vertical="bottom"/>
    </xf>
    <xf borderId="0" fillId="4" fontId="12" numFmtId="0" xfId="0" applyAlignment="1" applyFont="1">
      <alignment vertical="bottom"/>
    </xf>
    <xf borderId="4" fillId="4" fontId="11" numFmtId="165" xfId="0" applyBorder="1" applyFont="1" applyNumberFormat="1"/>
    <xf borderId="4" fillId="4" fontId="12" numFmtId="164" xfId="0" applyAlignment="1" applyBorder="1" applyFont="1" applyNumberFormat="1">
      <alignment horizontal="center" vertical="bottom"/>
    </xf>
    <xf borderId="4" fillId="4" fontId="12" numFmtId="0" xfId="0" applyAlignment="1" applyBorder="1" applyFont="1">
      <alignment horizontal="left" shrinkToFit="0" wrapText="1"/>
    </xf>
    <xf borderId="0" fillId="21" fontId="18" numFmtId="0" xfId="0" applyAlignment="1" applyFill="1" applyFont="1">
      <alignment horizontal="center"/>
    </xf>
    <xf borderId="0" fillId="21" fontId="18" numFmtId="0" xfId="0" applyFont="1"/>
    <xf borderId="4" fillId="4" fontId="12" numFmtId="20" xfId="0" applyAlignment="1" applyBorder="1" applyFont="1" applyNumberFormat="1">
      <alignment horizontal="center" vertical="bottom"/>
    </xf>
    <xf borderId="4" fillId="4" fontId="15" numFmtId="164" xfId="0" applyAlignment="1" applyBorder="1" applyFont="1" applyNumberFormat="1">
      <alignment horizontal="center" shrinkToFit="0" vertical="bottom" wrapText="1"/>
    </xf>
    <xf borderId="0" fillId="4" fontId="5" numFmtId="49" xfId="0" applyAlignment="1" applyFont="1" applyNumberFormat="1">
      <alignment horizontal="center"/>
    </xf>
    <xf borderId="0" fillId="4" fontId="12" numFmtId="166" xfId="0" applyAlignment="1" applyFont="1" applyNumberFormat="1">
      <alignment horizontal="center"/>
    </xf>
    <xf borderId="0" fillId="4" fontId="15" numFmtId="0" xfId="0" applyAlignment="1" applyFont="1">
      <alignment horizontal="center"/>
    </xf>
    <xf borderId="0" fillId="0" fontId="15" numFmtId="0" xfId="0" applyAlignment="1" applyFont="1">
      <alignment horizontal="left"/>
    </xf>
    <xf borderId="0" fillId="4" fontId="12" numFmtId="0" xfId="0" applyAlignment="1" applyFont="1">
      <alignment horizontal="center" shrinkToFit="0" vertical="center" wrapText="1"/>
    </xf>
    <xf borderId="0" fillId="0" fontId="18" numFmtId="0" xfId="0" applyAlignment="1" applyFont="1">
      <alignment horizontal="center" shrinkToFit="0" vertical="bottom" wrapText="0"/>
    </xf>
    <xf borderId="1" fillId="13" fontId="8" numFmtId="49" xfId="0" applyAlignment="1" applyBorder="1" applyFont="1" applyNumberFormat="1">
      <alignment horizontal="center" shrinkToFit="0" vertical="center" wrapText="1"/>
    </xf>
    <xf borderId="4" fillId="6" fontId="12" numFmtId="166" xfId="0" applyAlignment="1" applyBorder="1" applyFont="1" applyNumberFormat="1">
      <alignment horizontal="center"/>
    </xf>
    <xf borderId="0" fillId="4" fontId="37" numFmtId="0" xfId="0" applyAlignment="1" applyFont="1">
      <alignment horizontal="center" vertical="bottom"/>
    </xf>
    <xf borderId="4" fillId="4" fontId="11" numFmtId="0" xfId="0" applyAlignment="1" applyBorder="1" applyFont="1">
      <alignment horizontal="left" vertical="bottom"/>
    </xf>
    <xf borderId="0" fillId="4" fontId="11" numFmtId="165" xfId="0" applyAlignment="1" applyFont="1" applyNumberFormat="1">
      <alignment horizontal="center" vertical="bottom"/>
    </xf>
    <xf borderId="21" fillId="0" fontId="11" numFmtId="0" xfId="0" applyAlignment="1" applyBorder="1" applyFont="1">
      <alignment horizontal="center"/>
    </xf>
    <xf borderId="0" fillId="4" fontId="8" numFmtId="49" xfId="0" applyAlignment="1" applyFont="1" applyNumberFormat="1">
      <alignment horizontal="center" shrinkToFit="0" vertical="center" wrapText="1"/>
    </xf>
    <xf borderId="4" fillId="4" fontId="11" numFmtId="165" xfId="0" applyAlignment="1" applyBorder="1" applyFont="1" applyNumberFormat="1">
      <alignment horizontal="center"/>
    </xf>
    <xf borderId="4" fillId="4" fontId="37" numFmtId="0" xfId="0" applyAlignment="1" applyBorder="1" applyFont="1">
      <alignment horizontal="center" vertical="bottom"/>
    </xf>
    <xf borderId="4" fillId="4" fontId="15" numFmtId="164" xfId="0" applyAlignment="1" applyBorder="1" applyFont="1" applyNumberFormat="1">
      <alignment horizontal="center" shrinkToFit="0" wrapText="0"/>
    </xf>
    <xf borderId="0" fillId="4" fontId="41" numFmtId="49" xfId="0" applyFont="1" applyNumberFormat="1"/>
    <xf borderId="4" fillId="4" fontId="15" numFmtId="167" xfId="0" applyAlignment="1" applyBorder="1" applyFont="1" applyNumberFormat="1">
      <alignment horizontal="center" shrinkToFit="0" wrapText="0"/>
    </xf>
    <xf borderId="4" fillId="11" fontId="28" numFmtId="49" xfId="0" applyAlignment="1" applyBorder="1" applyFont="1" applyNumberFormat="1">
      <alignment horizontal="center" shrinkToFit="0" wrapText="0"/>
    </xf>
    <xf borderId="4" fillId="0" fontId="11" numFmtId="0" xfId="0" applyAlignment="1" applyBorder="1" applyFont="1">
      <alignment horizontal="center" shrinkToFit="0" wrapText="1"/>
    </xf>
    <xf borderId="4" fillId="4" fontId="43" numFmtId="49" xfId="0" applyAlignment="1" applyBorder="1" applyFont="1" applyNumberFormat="1">
      <alignment horizontal="center"/>
    </xf>
    <xf borderId="4" fillId="4" fontId="43" numFmtId="0" xfId="0" applyAlignment="1" applyBorder="1" applyFont="1">
      <alignment horizontal="center"/>
    </xf>
    <xf borderId="0" fillId="4" fontId="43" numFmtId="165" xfId="0" applyAlignment="1" applyFont="1" applyNumberFormat="1">
      <alignment horizontal="center"/>
    </xf>
    <xf borderId="4" fillId="5" fontId="22" numFmtId="49" xfId="0" applyAlignment="1" applyBorder="1" applyFont="1" applyNumberFormat="1">
      <alignment horizontal="center"/>
    </xf>
    <xf borderId="4" fillId="4" fontId="11" numFmtId="165" xfId="0" applyAlignment="1" applyBorder="1" applyFont="1" applyNumberFormat="1">
      <alignment horizontal="center" vertical="bottom"/>
    </xf>
    <xf borderId="4" fillId="5" fontId="12" numFmtId="0" xfId="0" applyAlignment="1" applyBorder="1" applyFont="1">
      <alignment vertical="bottom"/>
    </xf>
    <xf borderId="4" fillId="22" fontId="51" numFmtId="49" xfId="0" applyAlignment="1" applyBorder="1" applyFill="1" applyFont="1" applyNumberFormat="1">
      <alignment horizontal="center"/>
    </xf>
    <xf borderId="4" fillId="22" fontId="21" numFmtId="0" xfId="0" applyAlignment="1" applyBorder="1" applyFont="1">
      <alignment horizontal="left" vertical="bottom"/>
    </xf>
    <xf borderId="4" fillId="22" fontId="21" numFmtId="0" xfId="0" applyAlignment="1" applyBorder="1" applyFont="1">
      <alignment horizontal="center"/>
    </xf>
    <xf borderId="4" fillId="22" fontId="21" numFmtId="166" xfId="0" applyAlignment="1" applyBorder="1" applyFont="1" applyNumberFormat="1">
      <alignment horizontal="center"/>
    </xf>
    <xf borderId="4" fillId="22" fontId="21" numFmtId="49" xfId="0" applyAlignment="1" applyBorder="1" applyFont="1" applyNumberFormat="1">
      <alignment horizontal="center"/>
    </xf>
    <xf borderId="4" fillId="22" fontId="3" numFmtId="0" xfId="0" applyAlignment="1" applyBorder="1" applyFont="1">
      <alignment horizontal="left"/>
    </xf>
    <xf borderId="4" fillId="22" fontId="21" numFmtId="165" xfId="0" applyAlignment="1" applyBorder="1" applyFont="1" applyNumberFormat="1">
      <alignment horizontal="center" shrinkToFit="0" wrapText="0"/>
    </xf>
    <xf borderId="4" fillId="22" fontId="21" numFmtId="0" xfId="0" applyAlignment="1" applyBorder="1" applyFont="1">
      <alignment horizontal="center" shrinkToFit="0" vertical="center" wrapText="1"/>
    </xf>
    <xf borderId="0" fillId="22" fontId="52" numFmtId="0" xfId="0" applyFont="1"/>
    <xf borderId="0" fillId="4" fontId="52" numFmtId="0" xfId="0" applyFont="1"/>
    <xf borderId="15" fillId="6" fontId="10" numFmtId="0" xfId="0" applyAlignment="1" applyBorder="1" applyFont="1">
      <alignment horizontal="center"/>
    </xf>
    <xf borderId="0" fillId="6" fontId="52" numFmtId="0" xfId="0" applyFont="1"/>
    <xf borderId="0" fillId="6" fontId="52" numFmtId="0" xfId="0" applyAlignment="1" applyFont="1">
      <alignment horizontal="center"/>
    </xf>
    <xf borderId="3" fillId="6" fontId="10" numFmtId="0" xfId="0" applyAlignment="1" applyBorder="1" applyFont="1">
      <alignment horizontal="center"/>
    </xf>
    <xf borderId="4" fillId="6" fontId="10" numFmtId="0" xfId="0" applyAlignment="1" applyBorder="1" applyFont="1">
      <alignment horizontal="center"/>
    </xf>
    <xf borderId="1" fillId="6" fontId="10" numFmtId="0" xfId="0" applyAlignment="1" applyBorder="1" applyFont="1">
      <alignment horizontal="center"/>
    </xf>
    <xf borderId="0" fillId="6" fontId="25" numFmtId="0" xfId="0" applyAlignment="1" applyFont="1">
      <alignment horizontal="center"/>
    </xf>
    <xf borderId="18" fillId="6" fontId="25" numFmtId="0" xfId="0" applyAlignment="1" applyBorder="1" applyFont="1">
      <alignment horizontal="center"/>
    </xf>
    <xf borderId="4" fillId="22" fontId="21" numFmtId="164" xfId="0" applyAlignment="1" applyBorder="1" applyFont="1" applyNumberFormat="1">
      <alignment horizontal="center"/>
    </xf>
    <xf borderId="2" fillId="6" fontId="4" numFmtId="0" xfId="0" applyAlignment="1" applyBorder="1" applyFont="1">
      <alignment horizontal="center"/>
    </xf>
    <xf borderId="0" fillId="4" fontId="52" numFmtId="0" xfId="0" applyAlignment="1" applyFont="1">
      <alignment horizontal="center"/>
    </xf>
    <xf borderId="4" fillId="22" fontId="21" numFmtId="0" xfId="0" applyAlignment="1" applyBorder="1" applyFont="1">
      <alignment horizontal="center" shrinkToFit="0" wrapText="1"/>
    </xf>
    <xf borderId="4" fillId="22" fontId="21" numFmtId="164" xfId="0" applyAlignment="1" applyBorder="1" applyFont="1" applyNumberFormat="1">
      <alignment horizontal="center" shrinkToFit="0" wrapText="0"/>
    </xf>
    <xf borderId="4" fillId="23" fontId="12" numFmtId="0" xfId="0" applyAlignment="1" applyBorder="1" applyFill="1" applyFont="1">
      <alignment horizontal="left"/>
    </xf>
    <xf borderId="4" fillId="22" fontId="21" numFmtId="0" xfId="0" applyAlignment="1" applyBorder="1" applyFont="1">
      <alignment vertical="bottom"/>
    </xf>
    <xf borderId="15" fillId="22" fontId="4" numFmtId="0" xfId="0" applyAlignment="1" applyBorder="1" applyFont="1">
      <alignment horizontal="center"/>
    </xf>
    <xf borderId="2" fillId="22" fontId="4" numFmtId="0" xfId="0" applyAlignment="1" applyBorder="1" applyFont="1">
      <alignment horizontal="center"/>
    </xf>
    <xf borderId="3" fillId="22" fontId="4" numFmtId="0" xfId="0" applyAlignment="1" applyBorder="1" applyFont="1">
      <alignment horizontal="center"/>
    </xf>
    <xf borderId="4" fillId="22" fontId="4" numFmtId="0" xfId="0" applyAlignment="1" applyBorder="1" applyFont="1">
      <alignment horizontal="center"/>
    </xf>
    <xf borderId="1" fillId="22" fontId="4" numFmtId="0" xfId="0" applyAlignment="1" applyBorder="1" applyFont="1">
      <alignment horizontal="center"/>
    </xf>
    <xf borderId="0" fillId="22" fontId="52" numFmtId="0" xfId="0" applyAlignment="1" applyFont="1">
      <alignment horizontal="center"/>
    </xf>
    <xf borderId="18" fillId="22" fontId="52" numFmtId="0" xfId="0" applyAlignment="1" applyBorder="1" applyFont="1">
      <alignment horizontal="center"/>
    </xf>
    <xf borderId="4" fillId="17" fontId="12" numFmtId="0" xfId="0" applyAlignment="1" applyBorder="1" applyFont="1">
      <alignment horizontal="left"/>
    </xf>
    <xf borderId="1" fillId="19" fontId="7" numFmtId="49" xfId="0" applyAlignment="1" applyBorder="1" applyFont="1" applyNumberFormat="1">
      <alignment horizontal="center" shrinkToFit="0" vertical="center" wrapText="1"/>
    </xf>
    <xf borderId="4" fillId="19" fontId="21" numFmtId="49" xfId="0" applyAlignment="1" applyBorder="1" applyFont="1" applyNumberFormat="1">
      <alignment horizontal="center"/>
    </xf>
    <xf borderId="4" fillId="19" fontId="21" numFmtId="0" xfId="0" applyAlignment="1" applyBorder="1" applyFont="1">
      <alignment horizontal="center"/>
    </xf>
    <xf borderId="4" fillId="19" fontId="3" numFmtId="0" xfId="0" applyAlignment="1" applyBorder="1" applyFont="1">
      <alignment horizontal="left"/>
    </xf>
    <xf borderId="4" fillId="19" fontId="21" numFmtId="165" xfId="0" applyAlignment="1" applyBorder="1" applyFont="1" applyNumberFormat="1">
      <alignment horizontal="center" shrinkToFit="0" wrapText="0"/>
    </xf>
    <xf borderId="4" fillId="19" fontId="21" numFmtId="164" xfId="0" applyAlignment="1" applyBorder="1" applyFont="1" applyNumberFormat="1">
      <alignment horizontal="center"/>
    </xf>
    <xf borderId="4" fillId="19" fontId="21" numFmtId="0" xfId="0" applyAlignment="1" applyBorder="1" applyFont="1">
      <alignment horizontal="center" shrinkToFit="0" wrapText="1"/>
    </xf>
    <xf borderId="4" fillId="19" fontId="21" numFmtId="164" xfId="0" applyAlignment="1" applyBorder="1" applyFont="1" applyNumberFormat="1">
      <alignment horizontal="center" shrinkToFit="0" wrapText="0"/>
    </xf>
    <xf borderId="0" fillId="4" fontId="7" numFmtId="49" xfId="0" applyAlignment="1" applyFont="1" applyNumberFormat="1">
      <alignment horizontal="center" shrinkToFit="0" vertical="center" wrapText="1"/>
    </xf>
    <xf borderId="1" fillId="24" fontId="7" numFmtId="49" xfId="0" applyAlignment="1" applyBorder="1" applyFill="1" applyFont="1" applyNumberFormat="1">
      <alignment horizontal="center" shrinkToFit="0" vertical="center" wrapText="1"/>
    </xf>
    <xf borderId="4" fillId="10" fontId="12" numFmtId="49" xfId="0" applyAlignment="1" applyBorder="1" applyFont="1" applyNumberFormat="1">
      <alignment horizontal="center"/>
    </xf>
    <xf borderId="4" fillId="10" fontId="15" numFmtId="165" xfId="0" applyAlignment="1" applyBorder="1" applyFont="1" applyNumberFormat="1">
      <alignment horizontal="center" shrinkToFit="0" wrapText="0"/>
    </xf>
    <xf borderId="4" fillId="10" fontId="12" numFmtId="164" xfId="0" applyAlignment="1" applyBorder="1" applyFont="1" applyNumberFormat="1">
      <alignment horizontal="center"/>
    </xf>
    <xf borderId="4" fillId="10" fontId="12" numFmtId="0" xfId="0" applyAlignment="1" applyBorder="1" applyFont="1">
      <alignment horizontal="center" shrinkToFit="0" wrapText="1"/>
    </xf>
    <xf borderId="4" fillId="10" fontId="15" numFmtId="164" xfId="0" applyAlignment="1" applyBorder="1" applyFont="1" applyNumberFormat="1">
      <alignment horizontal="center" shrinkToFit="0" wrapText="0"/>
    </xf>
    <xf borderId="4" fillId="4" fontId="15" numFmtId="167" xfId="0" applyAlignment="1" applyBorder="1" applyFont="1" applyNumberFormat="1">
      <alignment horizontal="center" shrinkToFit="0" vertical="center" wrapText="0"/>
    </xf>
    <xf borderId="0" fillId="10" fontId="11" numFmtId="164" xfId="0" applyAlignment="1" applyFont="1" applyNumberFormat="1">
      <alignment horizontal="center"/>
    </xf>
    <xf borderId="4" fillId="10" fontId="15" numFmtId="49" xfId="0" applyAlignment="1" applyBorder="1" applyFont="1" applyNumberFormat="1">
      <alignment horizontal="center" shrinkToFit="0" vertical="center" wrapText="0"/>
    </xf>
    <xf borderId="4" fillId="10" fontId="15" numFmtId="49" xfId="0" applyAlignment="1" applyBorder="1" applyFont="1" applyNumberFormat="1">
      <alignment horizontal="center"/>
    </xf>
    <xf borderId="0" fillId="3" fontId="4" numFmtId="0" xfId="0" applyAlignment="1" applyFont="1">
      <alignment horizontal="center"/>
    </xf>
    <xf borderId="4" fillId="3" fontId="4" numFmtId="0" xfId="0" applyAlignment="1" applyBorder="1" applyFont="1">
      <alignment horizontal="center"/>
    </xf>
    <xf borderId="22" fillId="4" fontId="11" numFmtId="0" xfId="0" applyAlignment="1" applyBorder="1" applyFont="1">
      <alignment vertical="bottom"/>
    </xf>
    <xf borderId="23" fillId="0" fontId="11" numFmtId="0" xfId="0" applyAlignment="1" applyBorder="1" applyFont="1">
      <alignment horizontal="center" vertical="bottom"/>
    </xf>
    <xf borderId="24" fillId="0" fontId="11" numFmtId="0" xfId="0" applyAlignment="1" applyBorder="1" applyFont="1">
      <alignment horizontal="center" vertical="bottom"/>
    </xf>
    <xf borderId="0" fillId="0" fontId="11" numFmtId="10" xfId="0" applyAlignment="1" applyFont="1" applyNumberFormat="1">
      <alignment horizontal="center"/>
    </xf>
    <xf borderId="0" fillId="0" fontId="11" numFmtId="1" xfId="0" applyAlignment="1" applyFont="1" applyNumberFormat="1">
      <alignment horizontal="center"/>
    </xf>
    <xf borderId="0" fillId="4" fontId="11" numFmtId="1" xfId="0" applyAlignment="1" applyFont="1" applyNumberFormat="1">
      <alignment horizontal="center" vertical="center"/>
    </xf>
    <xf borderId="0" fillId="25" fontId="11" numFmtId="0" xfId="0" applyAlignment="1" applyFill="1" applyFont="1">
      <alignment horizontal="center" vertical="center"/>
    </xf>
    <xf borderId="0" fillId="9" fontId="11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22" fillId="0" fontId="11" numFmtId="0" xfId="0" applyAlignment="1" applyBorder="1" applyFont="1">
      <alignment vertical="bottom"/>
    </xf>
    <xf borderId="4" fillId="0" fontId="11" numFmtId="0" xfId="0" applyAlignment="1" applyBorder="1" applyFont="1">
      <alignment horizontal="center" vertical="bottom"/>
    </xf>
    <xf borderId="4" fillId="0" fontId="11" numFmtId="10" xfId="0" applyAlignment="1" applyBorder="1" applyFont="1" applyNumberFormat="1">
      <alignment horizontal="center"/>
    </xf>
    <xf borderId="4" fillId="0" fontId="11" numFmtId="1" xfId="0" applyAlignment="1" applyBorder="1" applyFont="1" applyNumberFormat="1">
      <alignment horizontal="center"/>
    </xf>
    <xf borderId="4" fillId="4" fontId="11" numFmtId="1" xfId="0" applyAlignment="1" applyBorder="1" applyFont="1" applyNumberFormat="1">
      <alignment horizontal="center" vertical="center"/>
    </xf>
    <xf borderId="4" fillId="4" fontId="5" numFmtId="164" xfId="0" applyAlignment="1" applyBorder="1" applyFont="1" applyNumberFormat="1">
      <alignment horizontal="center" shrinkToFit="0" vertical="center" wrapText="1"/>
    </xf>
    <xf borderId="4" fillId="2" fontId="53" numFmtId="0" xfId="0" applyAlignment="1" applyBorder="1" applyFont="1">
      <alignment horizontal="center" vertical="center"/>
    </xf>
    <xf borderId="4" fillId="0" fontId="25" numFmtId="49" xfId="0" applyAlignment="1" applyBorder="1" applyFont="1" applyNumberFormat="1">
      <alignment horizontal="left"/>
    </xf>
    <xf borderId="4" fillId="0" fontId="11" numFmtId="0" xfId="0" applyAlignment="1" applyBorder="1" applyFont="1">
      <alignment horizontal="center" shrinkToFit="0" vertical="bottom" wrapText="0"/>
    </xf>
    <xf borderId="4" fillId="0" fontId="6" numFmtId="0" xfId="0" applyAlignment="1" applyBorder="1" applyFont="1">
      <alignment horizontal="left" shrinkToFit="0" vertical="center" wrapText="0"/>
    </xf>
    <xf borderId="4" fillId="0" fontId="11" numFmtId="165" xfId="0" applyAlignment="1" applyBorder="1" applyFont="1" applyNumberFormat="1">
      <alignment horizontal="center" shrinkToFit="0" vertical="bottom" wrapText="0"/>
    </xf>
    <xf borderId="4" fillId="0" fontId="11" numFmtId="0" xfId="0" applyAlignment="1" applyBorder="1" applyFont="1">
      <alignment shrinkToFit="0" vertical="bottom" wrapText="0"/>
    </xf>
    <xf borderId="4" fillId="11" fontId="14" numFmtId="49" xfId="0" applyAlignment="1" applyBorder="1" applyFont="1" applyNumberFormat="1">
      <alignment horizontal="left" shrinkToFit="0" wrapText="0"/>
    </xf>
    <xf borderId="4" fillId="0" fontId="6" numFmtId="165" xfId="0" applyAlignment="1" applyBorder="1" applyFont="1" applyNumberFormat="1">
      <alignment horizontal="center" shrinkToFit="0" vertical="center" wrapText="0"/>
    </xf>
    <xf borderId="4" fillId="0" fontId="6" numFmtId="0" xfId="0" applyAlignment="1" applyBorder="1" applyFont="1">
      <alignment horizontal="left" shrinkToFit="0" vertical="bottom" wrapText="0"/>
    </xf>
    <xf borderId="0" fillId="4" fontId="14" numFmtId="49" xfId="0" applyAlignment="1" applyFont="1" applyNumberFormat="1">
      <alignment horizontal="left" shrinkToFit="0" wrapText="0"/>
    </xf>
    <xf borderId="4" fillId="11" fontId="25" numFmtId="49" xfId="0" applyAlignment="1" applyBorder="1" applyFont="1" applyNumberFormat="1">
      <alignment horizontal="left" shrinkToFit="0" vertical="bottom" wrapText="0"/>
    </xf>
    <xf borderId="4" fillId="0" fontId="25" numFmtId="49" xfId="0" applyAlignment="1" applyBorder="1" applyFont="1" applyNumberFormat="1">
      <alignment horizontal="left" shrinkToFit="0" vertical="bottom" wrapText="0"/>
    </xf>
    <xf borderId="4" fillId="4" fontId="5" numFmtId="164" xfId="0" applyAlignment="1" applyBorder="1" applyFont="1" applyNumberFormat="1">
      <alignment horizontal="center" shrinkToFit="0" wrapText="1"/>
    </xf>
    <xf borderId="9" fillId="0" fontId="5" numFmtId="0" xfId="0" applyAlignment="1" applyBorder="1" applyFont="1">
      <alignment shrinkToFit="0" vertical="center" wrapText="1"/>
    </xf>
    <xf borderId="0" fillId="21" fontId="18" numFmtId="0" xfId="0" applyAlignment="1" applyFont="1">
      <alignment shrinkToFit="0" wrapText="1"/>
    </xf>
    <xf borderId="4" fillId="4" fontId="5" numFmtId="167" xfId="0" applyAlignment="1" applyBorder="1" applyFont="1" applyNumberFormat="1">
      <alignment horizontal="center"/>
    </xf>
    <xf borderId="4" fillId="4" fontId="5" numFmtId="167" xfId="0" applyAlignment="1" applyBorder="1" applyFont="1" applyNumberFormat="1">
      <alignment horizontal="center" shrinkToFit="0" wrapText="1"/>
    </xf>
    <xf borderId="4" fillId="0" fontId="6" numFmtId="0" xfId="0" applyAlignment="1" applyBorder="1" applyFont="1">
      <alignment horizontal="center" shrinkToFit="0" vertical="bottom" wrapText="0"/>
    </xf>
    <xf borderId="4" fillId="0" fontId="6" numFmtId="165" xfId="0" applyAlignment="1" applyBorder="1" applyFont="1" applyNumberFormat="1">
      <alignment horizontal="center" shrinkToFit="0" vertical="bottom" wrapText="0"/>
    </xf>
    <xf borderId="4" fillId="4" fontId="6" numFmtId="0" xfId="0" applyAlignment="1" applyBorder="1" applyFont="1">
      <alignment horizontal="center" shrinkToFit="0" vertical="bottom" wrapText="0"/>
    </xf>
    <xf borderId="0" fillId="0" fontId="32" numFmtId="0" xfId="0" applyFont="1"/>
    <xf borderId="4" fillId="0" fontId="32" numFmtId="164" xfId="0" applyAlignment="1" applyBorder="1" applyFont="1" applyNumberFormat="1">
      <alignment horizontal="center"/>
    </xf>
    <xf borderId="0" fillId="0" fontId="3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ubsmaraca@cejam.org.br" id="{9f59c283-0449-4623-97c1-4f7800176c8f}" userId="ubsmaraca@cejam.org.br" providerId="google-sheets"/>
  <x18tc:person displayName="tc={466c1b0a-dca2-4bc9-a9fb-b766be6ba8eb}" id="{c0d7f12f-e772-4161-b558-b7199bf71360}" providerId="google-sheets"/>
  <x18tc:person displayName="tc={9b3f4abb-9356-44f0-b475-c80283b343db}" id="{aafe06c3-f9e4-4626-9fe1-b2fa4f6d1780}" providerId="google-sheets"/>
  <x18tc:person displayName="ubs.santalucia@cejam.org.br" id="{f52fb283-5726-40f8-889c-4b3a153bab8c}" userId="ubs.santalucia@cejam.org.br" providerId="google-sheets"/>
  <x18tc:person displayName="tc={eefeaf76-4a17-4241-8f99-cfb79ec66aa4}" id="{9ae21afa-60bd-4f84-a0b5-099729da0c57}" providerId="google-sheets"/>
  <x18tc:person displayName="tc={92fccb4c-e34e-44fc-bb58-1c192cc6ea3f}" id="{c3f46180-41ac-4e32-9cf7-855372d53e88}" providerId="google-sheets"/>
  <x18tc:person displayName="tc={f89014aa-6cde-411a-9cd2-be667f541129}" id="{87ce7ff2-3571-4b11-bc83-e9165b0a80cb}" providerId="google-sheets"/>
  <x18tc:person displayName="tc={289a169f-afbe-45f6-a332-46c77eb4c15d}" id="{3b70eec2-e2ff-421e-b726-48546199bade}" providerId="google-sheets"/>
  <x18tc:person displayName="tc={dfc88e71-77f9-4073-8dd3-5e98213ff684}" id="{d47ab3ec-8635-4aec-b16f-df2321a4b9e6}" providerId="google-sheets"/>
  <x18tc:person displayName="tc={124dea82-9e71-42c4-a1c1-647a6fc0265c}" id="{04121a71-7620-4f38-87eb-6ec10c23e81f}" providerId="google-sheets"/>
  <x18tc:person displayName="tc={8e7255aa-3976-45e8-abad-e97289bdf5c1}" id="{1b08196a-94d2-46bf-8082-5520c2839e0b}" providerId="google-sheets"/>
  <x18tc:person displayName="tc={a5bc8016-1530-4335-8de0-55cd8c5dd4e1}" id="{3d73af6a-c770-4212-9d62-c9f6f9a69ec6}" providerId="google-sheets"/>
  <x18tc:person displayName="tc={e9f15df1-5468-4419-896e-643e230a1ba7}" id="{dd489610-a224-4bb8-aac6-605384277256}" providerId="google-sheets"/>
  <x18tc:person displayName="tc={f257fcf6-1760-4553-83f6-aa1c4cb1bad4}" id="{d3940df7-9e88-4bdb-b1ac-09083fb8a4a1}" providerId="google-sheets"/>
  <x18tc:person displayName="tc={99f5b4a8-1d5c-4f00-9088-1358141474ba}" id="{e7bdc42a-f022-40a4-9c22-c22fc4993b91}" providerId="google-sheets"/>
  <x18tc:person displayName="ubs.vilacalu@cejam.org.brexpand" id="{3dc1b616-28e6-4580-ae40-97595a28228c}" userId="ubs.vilacalu@cejam.org.brexpand" providerId="google-sheets"/>
  <x18tc:person displayName="tc={2b907eaa-be9d-4199-a0db-b50b86741a66}" id="{d85d7ba7-3a89-4c6c-ad2a-a3be93366ca9}" providerId="google-sheets"/>
  <x18tc:person displayName="tc={71b73ee0-0e77-479f-b784-9ab7f7153b13}" id="{69896eb4-19f0-4e83-b2be-df028cf2590a}" providerId="google-sheets"/>
  <x18tc:person displayName="ubscomercial@cejam.org.br" id="{c33705b1-618e-42b8-a631-31062cb56cd7}" userId="ubscomercial@cejam.org.br" providerId="google-sheets"/>
  <x18tc:person displayName="tc={5c8366c9-698b-4640-9e1d-c1f99b23ff53}" id="{81cb789e-de88-4a96-ae52-826dd01bdb28}" providerId="google-sheets"/>
  <x18tc:person displayName="tc={d947795a-779a-4067-9086-572a2487ee97}" id="{46657d98-a11a-45dd-93e2-c77da3aed033}" providerId="google-sheets"/>
  <x18tc:person displayName="tc={17d8f59d-92f8-43c0-8bcb-0b10cbc73f61}" id="{8490ad31-9fb2-46ac-80ae-5d45e6789c97}" providerId="google-sheets"/>
  <x18tc:person displayName="ubs.paranapanema@cejam.org.br" id="{02037373-3d09-4fc8-b101-b40f7d86673b}" userId="ubs.paranapanema@cejam.org.br" providerId="google-sheets"/>
  <x18tc:person displayName="tc={2d6dac43-03ae-4515-b950-d7472e39d4f2}" id="{78f02512-4af9-47b3-aaf2-e3e5a44b3ba4}" providerId="google-sheets"/>
  <x18tc:person displayName="tc={9a6b5b1c-9003-4079-97c5-0d4fb7bce7ab}" id="{3528333b-2d7f-4c1b-b644-bd830ef70f66}" providerId="google-sheets"/>
  <x18tc:person displayName="tc={32f565bc-ae75-4ac0-b3e6-47969d4cb5fc}" id="{00c6eb08-72c0-4df9-9e7a-6ee6602b6d34}" providerId="google-sheets"/>
  <x18tc:person displayName="tc={3cdad7b7-4ca5-458a-9f28-a1482c6d67e6}" id="{00b99954-ddd3-4c62-9dce-1787e32b40a2}" providerId="google-sheets"/>
  <x18tc:person displayName="tc={1297b9d0-3f0f-4165-8565-4eb13464a16d}" id="{fd9174a3-6a62-4ebc-9378-5fbfabf879dc}" providerId="google-sheets"/>
  <x18tc:person displayName="tc={3b482e8c-f014-4806-bc6d-2b8d0721433c}" id="{5ef4dc2c-e8d9-432f-b56d-ff482be1e538}" providerId="google-sheets"/>
  <x18tc:person displayName="tc={c29f4398-f9eb-4b9e-a594-6773c7c15d86}" id="{a9386a9e-920b-46ba-bd13-0517d9cff28b}" providerId="google-sheets"/>
  <x18tc:person displayName="tc={81ca63b0-ec2c-4848-9f45-5487a5c574fc}" id="{cc91b947-0503-4da8-838f-a9f2d669baca}" providerId="google-sheets"/>
  <x18tc:person displayName="tc={51cc6ea0-229b-477d-9b5f-0ca8a37de5b3}" id="{ed2e7bf9-50d4-47e1-a044-3ae036468f4f}" providerId="google-sheets"/>
  <x18tc:person displayName="tc={a05f90ab-dbe6-43ae-91f1-a16cd4753239}" id="{bf876532-3717-44c9-b7b3-885156b6e36f}" providerId="google-sheets"/>
  <x18tc:person displayName="tc={34a7865f-664a-484f-8f3a-5bfce01ba671}" id="{a786e0d1-71ff-4fc1-8e86-2a71bb8e971a}" providerId="google-sheets"/>
  <x18tc:person displayName="tc={d08ee532-89ab-4ddb-9e8d-5615e6e7711e}" id="{108d6973-64d3-45a3-b941-305d33d13149}" providerId="google-sheets"/>
  <x18tc:person displayName="tc={13f9465c-144c-432c-94fa-96434b5a3e87}" id="{4b176ccc-32c2-4a10-b576-b6d7a9b26391}" providerId="google-sheets"/>
  <x18tc:person displayName="tc={e0dc2eb6-06d5-41eb-9984-91e45f71556e}" id="{d98eebe9-f093-4c9e-8d83-5dcc2d2d5846}" providerId="google-sheets"/>
  <x18tc:person displayName="taciana.caciano@cejam.org.br" id="{d99f35c0-bfcd-496f-9af1-d176a438c02f}" userId="taciana.caciano@cejam.org.br" providerId="google-sheets"/>
  <x18tc:person displayName="tc={cad3c52b-6fb0-4031-9aae-c78b5d145fad}" id="{9db700d0-cb04-4488-ac6a-1b5c7090c1a5}" providerId="google-sheets"/>
  <x18tc:person displayName="tc={55ba67b0-13bb-4dd9-a2a8-0420cc322f68}" id="{e6a317ef-6fc1-4a68-a3f6-41f0141ff383}" providerId="google-sheets"/>
  <x18tc:person displayName="tc={b4f7d7bc-4e25-454a-8a51-81f4b8ca9e05}" id="{08d1af43-7051-44de-b861-fcac572ba9b6}" providerId="google-sheets"/>
  <x18tc:person displayName="tc={a17d9d91-3f04-42d3-b2a5-924724db24b0}" id="{eb221eb0-f16f-470a-ac50-62ad7f5086b0}" providerId="google-sheets"/>
  <x18tc:person displayName="tc={b7ee8248-55a1-4a7e-a236-db3c1307de03}" id="{750dc19d-a9dc-4966-893b-b9fb50ee6c70}" providerId="google-sheets"/>
  <x18tc:person displayName="tc={89d9edc4-3cd2-4169-b996-52e1b3436690}" id="{f2cae823-476e-4239-859e-bea30e76010f}" providerId="google-sheets"/>
  <x18tc:person displayName="tc={e3b76376-2ed1-446d-b7cf-df57847117b1}" id="{4573f2a9-742d-4ecd-8056-e02e6c81d4fd}" providerId="google-sheets"/>
  <x18tc:person displayName="tc={c14ff17f-4cca-414b-9518-5e5d71173443}" id="{521a59e4-84c0-4db4-b897-831ca58589e2}" providerId="google-sheets"/>
  <x18tc:person displayName="tc={edefff0d-7822-448f-b2f4-0dcedb735a7e}" id="{59a44912-9497-4ff4-840f-18a3223fc737}" providerId="google-sheets"/>
  <x18tc:person displayName="tc={ca0792e0-a4bf-477f-81d0-5fffdbaf8722}" id="{0b39e302-3887-41eb-850a-9e4416602467}" providerId="google-sheets"/>
  <x18tc:person displayName="ubsmagdalena@cejam.org.br" id="{c1588634-0b69-455a-88df-0f0f5aa31a12}" userId="ubsmagdalena@cejam.org.br" providerId="google-sheets"/>
  <x18tc:person displayName="tc={70429719-e70c-430a-aceb-38c04c7f6efa}" id="{4a446c51-dab8-41a4-8721-2edfec9e5c62}" providerId="google-sheets"/>
  <x18tc:person displayName="ubsveracruz@cejam.org.br" id="{7450f187-38f0-4ca5-81d5-ba519abfa147}" userId="ubsveracruz@cejam.org.br" providerId="google-sheets"/>
  <x18tc:person displayName="ubsjardimcapela@cejam.org.br" id="{cad39b99-a7bb-409e-8c76-8cca9528d3ec}" userId="ubsjardimcapela@cejam.org.br" providerId="google-sheets"/>
  <x18tc:person displayName="tc={1f7c3c90-0953-49b1-a044-6eb3b74a8438}" id="{815c255e-3455-49ca-bc35-b2497dafa465}" providerId="google-sheets"/>
  <x18tc:person displayName="tc={88f962dc-6eff-4e08-a73e-c3258b907783}" id="{ca04530c-d613-4ec9-a7aa-bbdb96278d2c}" providerId="google-sheets"/>
  <x18tc:person displayName="tc={752d7d9b-15ee-46c2-9cf8-41be36ba22e2}" id="{ee3c4a05-bc89-4282-be41-627ee37f32ae}" providerId="google-sheets"/>
  <x18tc:person displayName="tc={a3c65a41-1066-4fda-bed4-b883cf922f42}" id="{dcfad0bf-8744-42f1-b0d0-854fa4a114b6}" providerId="google-sheets"/>
  <x18tc:person displayName="ubsgermania@cejam.org.br" id="{a43f4d7f-a36b-4f42-905d-bfae03efe307}" userId="ubsgermania@cejam.org.br" providerId="google-sheets"/>
  <x18tc:person displayName="tc={085f645d-dc6a-4db2-a718-d7d4fb88884d}" id="{dd92381f-8ea8-485f-a09a-61f5ea43e9ad}" providerId="google-sheets"/>
  <x18tc:person displayName="tc={6f202d53-31bf-4ca6-98eb-ef0d8b66c74b}" id="{976ea5ba-24f4-4471-bb5e-2d026c9be679}" providerId="google-sheets"/>
  <x18tc:person displayName="tc={38219987-aeed-4eea-bd9e-107817c587da}" id="{4d142280-152e-4c83-9a88-57a419a4c615}" providerId="google-sheets"/>
  <x18tc:person displayName="tc={8148a627-2bd1-40fd-9cde-19699e2ba621}" id="{47983893-2e2c-4cd3-8951-2b3e7a5d0e90}" providerId="google-sheets"/>
  <x18tc:person displayName="tc={82404021-a30a-4d19-b195-dd865f6f1a4d}" id="{e1f7f81c-d635-48ab-b969-1d83eb3d1de4}" providerId="google-sheets"/>
  <x18tc:person displayName="tc={cb4bf6c9-63b3-4da8-ae3b-922964d8c6b3}" id="{1d11aa98-8eea-42d9-9c6b-35b79962b373}" providerId="google-sheets"/>
  <x18tc:person displayName="tc={dc690af9-e0b2-4020-8614-64eeec3f7e64}" id="{391ffdd8-d5b2-4ffa-b21c-81f7d9323ab5}" providerId="google-sheets"/>
  <x18tc:person displayName="ubs.jdcaicara@cejam.org.br" id="{04d12291-2a23-4622-b356-902aebede6f9}" userId="ubs.jdcaicara@cejam.org.br" providerId="google-sheets"/>
  <x18tc:person displayName="tc={0c8ba595-91ab-49b3-af83-e8aba01e7581}" id="{e3c1cede-8ebe-40df-b47f-bd9a36656a9b}" providerId="google-sheets"/>
  <x18tc:person displayName="ubsluardosertao@cejam.org.br" id="{d4dfc9f9-3026-4884-975b-6e996cbc8e6b}" userId="ubsluardosertao@cejam.org.br" providerId="google-sheets"/>
  <x18tc:person displayName="tc={5eaa7fe6-5a01-4e5c-af75-fb8a63195810}" id="{61b22cfe-fff9-4961-a836-c13dec281894}" providerId="google-sheets"/>
  <x18tc:person displayName="tc={c122fe16-d3b7-4124-8146-8fe68d9435a9}" id="{01be53e8-dc54-4633-9dc9-b4ee6dd1647e}" providerId="google-sheets"/>
  <x18tc:person displayName="tc={dbcffbf9-6a92-4021-8452-a2852b57029a}" id="{c4c6c410-86f2-4e60-8816-5de2538740f8}" providerId="google-sheets"/>
  <x18tc:person displayName="tc={65e24015-7694-4daa-a6c3-ee550ede3b65}" id="{59b75387-441f-4fe0-8ca6-6285a0540d1b}" providerId="google-sheets"/>
  <x18tc:person displayName="tc={9b1d11aa-097a-4e4f-8470-18ab13abe233}" id="{6bcfb709-8c31-474f-a50c-7fda852fd12c}" providerId="google-sheets"/>
  <x18tc:person displayName="ubssaobento@cejam.org.br" id="{de64d1f3-3abf-4c68-968e-4f78fbc93562}" userId="ubssaobento@cejam.org.br" providerId="google-sheets"/>
  <x18tc:person displayName="tc={4d45bc5d-ebc1-4026-91e7-af5ada1e21ce}" id="{2fbdf94d-3743-48e5-968a-86ed02e432d1}" providerId="google-sheets"/>
  <x18tc:person displayName="tc={1b835061-5527-4792-8618-20ae6b39c3b7}" id="{7e72b23c-7a1d-4c3b-b4dc-8ac5e033bc3f}" providerId="google-sheets"/>
  <x18tc:person displayName="tc={2c9981c2-ce9e-4153-af76-c9fe6ea9ef49}" id="{74a9952a-9092-4621-886c-062be5741869}" providerId="google-sheets"/>
  <x18tc:person displayName="tc={665cfc3c-96ca-4226-808e-3aaee73944bb}" id="{696f8145-8fd4-4991-8896-ccc021384d6b}" providerId="google-sheets"/>
  <x18tc:person displayName="tc={75c9eef9-5c1b-448a-a503-31858e367568}" id="{994b1072-aa7f-4cfb-b0ca-9f4f5a3cd90f}" providerId="google-sheets"/>
  <x18tc:person displayName="tc={9b493b0a-393f-435e-8caa-b676f6f68d75}" id="{bb6218c7-4d03-4eeb-80ad-45725d0e1ded}" providerId="google-sheets"/>
  <x18tc:person displayName="tc={f0c04dc1-2418-4829-9db3-901c77768c0a}" id="{82f3c3c7-60bd-4c73-afe2-f673779a74de}" providerId="google-sheets"/>
  <x18tc:person displayName="tc={8f0256d8-35ad-462b-903c-7ae580da9b7d}" id="{98fe120e-490c-4633-8024-b65966b136de}" providerId="google-sheets"/>
  <x18tc:person displayName="tc={ac29dbf4-d2de-42c7-8e77-526edefd5c9b}" id="{bde40cc0-8481-469f-bbdd-be7e1fdd2747}" providerId="google-sheets"/>
  <x18tc:person displayName="tc={037fd17d-0a91-4282-bad7-b4c6a4e3f945}" id="{4cbc6b3f-25ef-479f-a255-52e7169c907e}" providerId="google-sheets"/>
  <x18tc:person displayName="tc={1b0db388-b106-4037-b1b1-3141df502a75}" id="{d7e8aeec-74be-408d-9247-dc9751aa3a5a}" providerId="google-sheets"/>
  <x18tc:person displayName="tc={60a07f4c-5a21-4d7e-b162-3c195ecf7f4a}" id="{f0f93aa1-27b1-414f-82ac-1e62467f9dce}" providerId="google-sheets"/>
  <x18tc:person displayName="tc={0ee311b8-7c8f-473d-9d01-d27ed3487bcb}" id="{34e8b69f-126e-4d4d-a426-57d20564d5b3}" providerId="google-sheets"/>
  <x18tc:person displayName="ubsvalquiria@cejam.org.br" id="{a2b4adfd-b20d-49c1-bd29-ad0030a3a091}" userId="ubsvalquiria@cejam.org.br" providerId="google-sheets"/>
  <x18tc:person displayName="tc={2ce3e1f8-cdd9-4d68-8e5d-57965095a694}" id="{8a386f3b-327e-4d9d-82a1-4fbe8303c83b}" providerId="google-sheets"/>
  <x18tc:person displayName="ubsmacedonia@cejam.org.br" id="{5f1fa98f-800c-4816-b81e-fe3e7315df21}" userId="ubsmacedonia@cejam.org.br" providerId="google-sheets"/>
  <x18tc:person displayName="tc={a4c00565-1d76-43de-84f6-09c42e3f417c}" id="{e0348709-7c53-4841-a5df-9b593da5ecba}" providerId="google-sheets"/>
  <x18tc:person displayName="tc={810cebbe-e862-4a42-a6ff-27801fa2f9b9}" id="{eae5bfef-0bfe-46a2-baf8-56b7e0201832}" providerId="google-sheets"/>
  <x18tc:person displayName="tc={3a526bf0-7b73-4994-ada6-4d0ed1390ba3}" id="{6ee57d78-45d3-4345-8637-61f78e6924e4}" providerId="google-sheets"/>
  <x18tc:person displayName="tc={bc5e9248-c48e-406c-bcd4-a3c1c25cd7ed}" id="{4b6ae82e-1c3a-49ff-9468-0c7399298e70}" providerId="google-sheets"/>
  <x18tc:person displayName="tc={b15dfc5c-12fb-4da9-86cc-ca011edd8220}" id="{f55053ca-a8ee-4f29-8b41-9fd88e5fd84f}" providerId="google-sheets"/>
  <x18tc:person displayName="tc={6168c3b0-8ee4-4293-a616-558811da4ef1}" id="{d5f872cc-957f-4fa0-a3df-a759f9feb42a}" providerId="google-sheets"/>
  <x18tc:person displayName="tc={25846a9f-b4bd-4acb-8a6c-3ac0917a23b1}" id="{6e6e6677-6acb-4d99-9075-86a97ef053b2}" providerId="google-sheets"/>
  <x18tc:person displayName="tc={11e94a2d-0660-4876-92d0-70372a79443e}" id="{c2ebd7e0-0008-4ca5-b45e-abf3d16bfc3e}" providerId="google-sheets"/>
  <x18tc:person displayName="tc={4a8448b1-a6b1-491f-937d-236b90aefbe2}" id="{8449839d-9732-4be9-bdbf-e2c87cdacf2f}" providerId="google-sheets"/>
  <x18tc:person displayName="tc={d5ac2800-c74d-4169-b688-425cb537f168}" id="{aeb1accd-9278-4f8d-9e41-5ca7da077a91}" providerId="google-sheets"/>
  <x18tc:person displayName="tc={72a6cbf9-5faf-440a-8397-9121282f5c09}" id="{1c19ddd5-326b-4d05-bdb0-197d7e4050d2}" providerId="google-sheets"/>
  <x18tc:person displayName="tc={05dbf12a-fd14-4b62-a729-6cfbe0502bbc}" id="{2fd7a71f-c9db-4f50-aaad-7021803e9c1d}" providerId="google-sheets"/>
  <x18tc:person displayName="ubseledy@cejam.org.br" id="{6ec1ae9b-8ee7-4ef8-bd26-a37161736b64}" userId="ubseledy@cejam.org.br" providerId="google-sheets"/>
  <x18tc:person displayName="tc={04cbb37e-2f30-4baf-8e0f-5ab2610367bc}" id="{41ef14f9-26a9-495f-846e-1d2d62797ae3}" providerId="google-sheets"/>
  <x18tc:person displayName="tc={3c29fee5-d84a-4b06-a76c-24947fabc787}" id="{3f4ff526-7d96-463b-bb54-f7ce68fe0305}" providerId="google-sheets"/>
  <x18tc:person displayName="tc={552cfd27-7860-4449-aec6-cc0274b44316}" id="{a5e83073-2982-402d-99d7-4fecf6dad13e}" providerId="google-sheets"/>
  <x18tc:person displayName="tc={685e62e3-bbc5-488e-aa14-2abca26452c8}" id="{a420ad5e-59b6-4853-bdf8-b58db3e876dd}" providerId="google-sheets"/>
  <x18tc:person displayName="tc={7a62e3db-b3ef-4954-a0ab-7763fb13df0e}" id="{f860783d-d1f2-4ad5-913e-ec52a78a828e}" providerId="google-sheets"/>
  <x18tc:person displayName="tc={f622819c-c0ad-4cb3-a802-54151a05ace7}" id="{d34ed3f6-c7da-47e6-bcd2-0df5c2ae2abc}" providerId="google-sheets"/>
  <x18tc:person displayName="tc={f45fff6d-3707-4e56-a589-8a70ee8bd8a2}" id="{cbab3366-9ad4-4e1f-9210-b0bc193c63cb}" providerId="google-sheets"/>
  <x18tc:person displayName="tc={812decdd-c8ff-4b73-a3a1-9c3de886d480}" id="{fe0727df-4f7c-4f27-b872-85bffe0bd2b2}" providerId="google-sheets"/>
  <x18tc:person displayName="ubs.sta.margarida@cejam.org.br" id="{d7317e02-9a97-4e96-bae2-b8ec92f317cc}" userId="ubs.sta.margarida@cejam.org.br" providerId="google-sheets"/>
  <x18tc:person displayName="tc={20a02829-5826-4a33-bf69-46ec8436192d}" id="{c38cb274-f20e-4f69-a1d9-ab8a6d9fb2c1}" providerId="google-sheets"/>
  <x18tc:person displayName="tc={aadb5471-167d-42c4-b55d-280f268b510e}" id="{2d985e6d-0283-484d-af5e-b66dc58e87da}" providerId="google-sheets"/>
  <x18tc:person displayName="tc={176a45c7-adcd-49fd-bfd7-3d31d5ce39cd}" id="{74fb4dbe-358d-4b47-ac61-ce5ef7e34268}" providerId="google-sheets"/>
  <x18tc:person displayName="ubs.vilacalu@cejam.org.br" id="{66ad3616-a5d3-4872-b2dd-08bf995e7777}" userId="ubs.vilacalu@cejam.org.br" providerId="google-sheets"/>
  <x18tc:person displayName="tc={29e202e5-c1f9-439a-b3ce-cb299bcfb036}" id="{c8499828-b2f9-46a8-a0c6-26aa8db5111a}" providerId="google-sheets"/>
  <x18tc:person displayName="tc={6140cc69-da8e-4881-adec-b7130f75ce19}" id="{fe165189-0f24-43ac-b03a-246418d71eb3}" providerId="google-sheets"/>
  <x18tc:person displayName="tc={5f066042-f423-487f-a4e8-09c3583d63dd}" id="{bc66fe3f-d4b1-41d7-8221-0a5c85192a9e}" providerId="google-sheets"/>
  <x18tc:person displayName="ubsparquedoengenho@cejam.org.br" id="{089e9d1f-74f5-4c23-a75f-d0125e142dce}" userId="ubsparquedoengenho@cejam.org.br" providerId="google-sheets"/>
  <x18tc:person displayName="tc={868ab31f-2971-4aef-be42-d1a8c9ea7da5}" id="{51cb3d29-3457-49d4-b6c7-91827d6fb95d}" providerId="google-sheets"/>
  <x18tc:person displayName="tc={e38b44d0-4fdb-4f68-a4a1-54163ee5668d}" id="{bb4decce-5cfc-40b6-a6b5-6b43443b9d99}" providerId="google-sheets"/>
  <x18tc:person displayName="tc={e1dd23f2-8009-4e88-bb40-acf695a6e4b4}" id="{14fa9e44-ce5c-4ba0-b22e-2cebb22bd6f1}" providerId="google-sheets"/>
  <x18tc:person displayName="tc={3c1c39c5-10dd-48fa-83c9-6054e8baaaa5}" id="{1d404a70-9c2f-4fff-aaae-b174907c6ed5}" providerId="google-sheets"/>
  <x18tc:person displayName="ubs.jdherculano@cejam.org.br" id="{fc9835fd-3a70-4bd6-b66c-cd6bf4212eac}" userId="ubs.jdherculano@cejam.org.br" providerId="google-sheets"/>
  <x18tc:person displayName="tc={780fc811-496e-4bb7-b733-ca7eb4bb1b6e}" id="{56382458-8ed7-4181-923e-20f667e73778}" providerId="google-sheets"/>
  <x18tc:person displayName="tc={7b839b97-4740-414a-91d4-1f11ed7ff8d1}" id="{0c52fa91-9f93-4ed0-a03a-d41658e1784f}" providerId="google-sheets"/>
  <x18tc:person displayName="tc={48aaf16f-349d-497e-a742-efda70298085}" id="{99101933-e188-4194-b59f-cdef2feb31a4}" providerId="google-sheets"/>
  <x18tc:person displayName="ubs.jdguaruja@cejam.org.br" id="{3afe426e-fed0-4426-866c-374c57c40aa9}" userId="ubs.jdguaruja@cejam.org.br" providerId="google-sheets"/>
  <x18tc:person displayName="tc={318a7dad-d221-45e1-bf47-8d04254c8bd7}" id="{d1af0d23-2000-4ce1-a079-8fb949fb7c89}" providerId="google-sheets"/>
  <x18tc:person displayName="tc={cd0a83b8-cf5a-45ad-8ab2-ce473aedda02}" id="{4e1abce6-3efd-4c9e-92a3-8f1bbc7716c8}" providerId="google-sheets"/>
  <x18tc:person displayName="tc={6470cc26-aa2d-437d-82c0-99e57e9171af}" id="{b0ec29a7-2279-488a-959d-ac52bd6c1d97}" providerId="google-sheets"/>
  <x18tc:person displayName="tc={c438b740-4717-4513-aa30-c933f4cd7324}" id="{f8b81a43-5085-4c2b-9104-48561f8ab938}" providerId="google-sheets"/>
  <x18tc:person displayName="tc={0d2b935f-f532-4466-9b52-0ede9b7e09b1}" id="{747277fa-ffd4-4374-ba4d-5531887eb8d5}" providerId="google-sheets"/>
  <x18tc:person displayName="tc={7960e8e0-a8cd-47eb-add7-4b09841d3a5a}" id="{ac7f4c49-f372-4cb0-84c2-11ed768e36d2}" providerId="google-sheets"/>
  <x18tc:person displayName="tc={2dfce3b3-76ac-4c2e-9ddf-ba908bf3d6a0}" id="{d22c3a07-c8b0-4b1d-90cc-d24a0c8e318a}" providerId="google-sheets"/>
  <x18tc:person displayName="tc={02e1b51e-ae6a-4b2b-b214-be0efc38cc1b}" id="{578c9ff7-e7e7-4230-a77f-8d9c2e6425b5}" providerId="google-sheets"/>
  <x18tc:person displayName="tc={75e51910-80eb-440f-877c-854c4e0f84de}" id="{0eecd3e6-eaa4-4098-8ebd-eedd1a4f6f6a}" providerId="google-sheets"/>
  <x18tc:person displayName="tc={b92ba8f0-050a-4bcf-82c7-d317f4004609}" id="{0c4cd2f6-ed6c-495a-a299-b619b11b2025}" providerId="google-sheets"/>
  <x18tc:person displayName="tc={0b365f13-d784-43b1-bab0-263aa6f7e13c}" id="{42629c76-fe9f-419c-bded-046cd1b0c623}" providerId="google-sheets"/>
  <x18tc:person displayName="tc={3aa83197-2ed9-4ee8-a018-8cbc744034aa}" id="{8072c2ae-368c-4b85-8e88-b571cb495132}" providerId="google-sheets"/>
  <x18tc:person displayName="ubshorizonteazul@cejam.org.br" id="{d682488b-da29-49f4-aad7-cfd37ae44472}" userId="ubshorizonteazul@cejam.org.br" providerId="google-sheets"/>
  <x18tc:person displayName="ubs.altodariviera@cejam.org.br" id="{e7c7f5d2-df52-4872-8684-7dfd39bfaeec}" userId="ubs.altodariviera@cejam.org.br" providerId="google-sheets"/>
  <x18tc:person displayName="tc={7195e737-6b9d-4db7-a864-2507b64cad2b}" id="{78b6e7eb-a1fd-435b-9538-e6363ee18b54}" providerId="google-sheets"/>
  <x18tc:person displayName="tc={a8373ed9-8975-44be-b6d4-cc4239f21a31}" id="{92b8a016-e606-4a52-8da0-bcfbbf11e6e4}" providerId="google-sheets"/>
  <x18tc:person displayName="amaubspqfernanda@cejam.org.br" id="{06d93602-e1b7-43a5-8eac-e0f56728196d}" userId="amaubspqfernanda@cejam.org.br" providerId="google-sheets"/>
  <x18tc:person displayName="tc={6348c128-5412-4c3b-ad19-010328799512}" id="{16552994-46b0-477b-8878-004357923265}" providerId="google-sheets"/>
  <x18tc:person displayName="ubsaracati@cejam.org.br" id="{18bb082b-cb94-4954-965c-041dfbe27024}" userId="ubsaracati@cejam.org.br" providerId="google-sheets"/>
  <x18tc:person displayName="tc={8a0bb2d1-b059-48d2-adb9-20efcaa762be}" id="{2ad34d51-1d25-44b2-9036-6da57bd55d5c}" providerId="google-sheets"/>
  <x18tc:person displayName="tc={f4091dab-ddd4-4634-bd97-fe3093e2f762}" id="{3c2731b1-34cc-46e8-a468-bf58fafd19f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87" dT="2026-07-01T17:07:29.00" personId="{cc91b947-0503-4da8-838f-a9f2d669baca}" id="{7a257a6f-7f92-4cac-b070-42a16e771da6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COLOCAR PACIENTE NA VAGA DO SIGA @ubscomercial@cejam.org.br</x18tc:text>
    <x18tc:mentions>
      <x18tc:mention mentionpersonId="{c33705b1-618e-42b8-a631-31062cb56cd7}" mentionId="{d341040f-75a1-455a-9509-b0adc72fbd8a}" startIndex="279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4" dT="2026-07-01T17:07:29.00" personId="{1d404a70-9c2f-4fff-aaae-b174907c6ed5}" id="{b54a8ded-b81a-44ae-8795-6222654ced4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Reply:
	bom dia! 
pacientes inseridos.
Reply:
	Obrigada</x18tc:text>
    <x18tc:mentions>
      <x18tc:mention mentionpersonId="{f52fb283-5726-40f8-889c-4b3a153bab8c}" mentionId="{80789d53-01da-4351-86f1-a95aca7dfbb1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84" dT="2026-07-01T17:07:29.00" personId="{fe165189-0f24-43ac-b03a-246418d71eb3}" id="{dd865ab7-fdda-4f79-b516-616c82f7fc4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COLOCAR PACIENTE NA VAGA DO SIGA. @ubscomercial@cejam.org.br</x18tc:text>
    <x18tc:mentions>
      <x18tc:mention mentionpersonId="{c33705b1-618e-42b8-a631-31062cb56cd7}" mentionId="{e12cbf7a-6fc1-4c76-8d80-6b0a6a22b252}" startIndex="280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E123" dT="2026-07-01T17:07:29.00" personId="{cbab3366-9ad4-4e1f-9210-b0bc193c63cb}" id="{7fa65256-254e-496e-bb5f-98b108d4af2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Atribuído a ubsjardimcapela@cejam.org.br</x18tc:text>
    <x18tc:mentions>
      <x18tc:mention mentionpersonId="{cad39b99-a7bb-409e-8c76-8cca9528d3ec}" mentionId="{9f10d005-0f1b-4af7-9c60-6e27bfd6e02d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230" dT="2026-07-01T17:07:29.00" personId="{a420ad5e-59b6-4853-bdf8-b58db3e876dd}" id="{071b3123-b1b9-4e20-a61f-cc3d3144599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@ubsparquedoengenho@cejam.org.br
Reply:
	Prezada, bom dia.
A paciente já esta agendada conforme solicitado.
Att: Taline Santos Reis
Aux.Tec.Administrativo</x18tc:text>
    <x18tc:mentions>
      <x18tc:mention mentionpersonId="{089e9d1f-74f5-4c23-a75f-d0125e142dce}" mentionId="{70711c64-060f-43e4-b273-d905dc381546}" startIndex="271" length="3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164" dT="2026-07-01T17:07:29.00" personId="{9db700d0-cb04-4488-ac6a-1b5c7090c1a5}" id="{6dcc75bb-f2c4-48b8-a7b3-f097f51e682c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@ubsgermania@cejam.org.br
Atribuído a ubsgermania@cejam.org.br</x18tc:text>
    <x18tc:mentions>
      <x18tc:mention mentionpersonId="{a43f4d7f-a36b-4f42-905d-bfae03efe307}" mentionId="{b1336c66-8876-4c08-9ffa-cd59ee36c0b7}" startIndex="271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1" dT="2026-07-01T17:07:29.00" personId="{ac7f4c49-f372-4cb0-84c2-11ed768e36d2}" id="{5ae3a6f9-8249-4abe-adf7-1212ddd8019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@ubsjardimcapela@cejam.org.br
Prezados, bom dia.
Pedimos a gentileza de inserir o paciente no SIGA.
Reply:
	Paciente inserido no SIGA
Reply:
	Marcada como resolvida</x18tc:text>
    <x18tc:mentions>
      <x18tc:mention mentionpersonId="{cad39b99-a7bb-409e-8c76-8cca9528d3ec}" mentionId="{683ce450-0683-4070-bc71-3dc801bf8882}" startIndex="246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4" dT="2026-07-01T17:07:29.00" personId="{391ffdd8-d5b2-4ffa-b21c-81f7d9323ab5}" id="{5cc113a9-f271-4f5a-9d37-f9bc237f88c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Atribuído a ubs.santalucia@cejam.org.br
Reply:
	Faremos a inserção. Obrigada</x18tc:text>
    <x18tc:mentions>
      <x18tc:mention mentionpersonId="{f52fb283-5726-40f8-889c-4b3a153bab8c}" mentionId="{4f6b8595-f749-429d-90be-0db55d820edb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4" dT="2026-07-01T17:07:29.00" personId="{1d404a70-9c2f-4fff-aaae-b174907c6ed5}" id="{06936379-3f8b-4f50-a7d1-daa28a6b495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
Reply:
	bom dia! 
pacientes inseridos.
Reply:
	Obrigada</x18tc:text>
    <x18tc:mentions>
      <x18tc:mention mentionpersonId="{f52fb283-5726-40f8-889c-4b3a153bab8c}" mentionId="{c7e1c1bc-6c72-49e9-ba53-77f32232299f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6" dT="2026-07-01T17:07:29.00" personId="{eae5bfef-0bfe-46a2-baf8-56b7e0201832}" id="{332c59d8-f510-4e9b-b6ee-e2584234ed5d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@ubsmagdalena@cejam.org.br 
Prezados, bom dia.
Pedimos a gentileza de inserir o paciente no SIGA.
Atribuído a ubsmagdalena@cejam.org.br</x18tc:text>
    <x18tc:mentions>
      <x18tc:mention mentionpersonId="{c1588634-0b69-455a-88df-0f0f5aa31a12}" mentionId="{20e3fe50-a0db-4074-8c9b-2ea9ee044792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11" dT="2026-07-01T17:07:29.00" personId="{a5e83073-2982-402d-99d7-4fecf6dad13e}" id="{84382053-006a-415a-9f20-0b6764f92d5c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Prezados, boa tarde.
Conforme alinhado na reunião de ontem, peço que realizem o agendamento dos pacientes no SIGA com a maior brevidade possível @ubsvalquiria@cejam.org.br</x18tc:text>
    <x18tc:mentions>
      <x18tc:mention mentionpersonId="{a2b4adfd-b20d-49c1-bd29-ad0030a3a091}" mentionId="{9c0806d1-282a-4067-b80d-a57bdb6eb0ae}" startIndex="392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5" dT="2026-07-01T17:07:29.00" personId="{e1f7f81c-d635-48ab-b969-1d83eb3d1de4}" id="{76ecc119-1474-4bb3-9aaf-da93476ca25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@ubseledy@cejam.org.br Pedimos a gentileza de inserir todas as informações do paciente em questão, o não preenchimento acarretará na liberação da vaga para as demais unidades. Aguardamos retorno. Atenciosamente.
Atribuído a ubseledy@cejam.org.br
Reply:
	Bom dia, Taci! Pode liberar a vaga, já apegamos as vagas pertinentes.</x18tc:text>
    <x18tc:mentions>
      <x18tc:mention mentionpersonId="{6ec1ae9b-8ee7-4ef8-bd26-a37161736b64}" mentionId="{59f921e3-f158-483e-98c0-be296ebba80f}" startIndex="246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F167" dT="2026-07-01T17:07:29.00" personId="{108d6973-64d3-45a3-b941-305d33d13149}" id="{c6df7390-4f40-4ef7-b5d5-feeea378cd4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</x18tc:text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8" dT="2026-07-01T17:07:29.00" personId="{d47ab3ec-8635-4aec-b16f-df2321a4b9e6}" id="{5db49ad7-0be2-4a00-8277-26980956e21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 
Prezados, bom dia.
Pedimos a gentileza de inserir o paciente no SIGA.</x18tc:text>
    <x18tc:mentions>
      <x18tc:mention mentionpersonId="{f52fb283-5726-40f8-889c-4b3a153bab8c}" mentionId="{cb3b94c8-ed24-4617-be46-156bc106982f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E167" dT="2026-07-01T17:07:29.00" personId="{2ad34d51-1d25-44b2-9036-6da57bd55d5c}" id="{1db11658-bc13-499f-b481-904eda221c4c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favor, preencher corretamente a planilha @ubsgermania@cejam.org.br
Atribuído a ubsgermania@cejam.org.br</x18tc:text>
    <x18tc:mentions>
      <x18tc:mention mentionpersonId="{a43f4d7f-a36b-4f42-905d-bfae03efe307}" mentionId="{4d08fba3-e4d0-456c-9106-60d48701d479}" startIndex="291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0" dT="2026-07-01T17:07:29.00" personId="{ed2e7bf9-50d4-47e1-a044-3ae036468f4f}" id="{155f3cb9-5147-4720-8616-756373d4127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@ubsmagdalena@cejam.org.br 
Prezados, bom dia.
Pedimos a gentileza de inserir o paciente no SIGA.
Atribuído a ubsmagdalena@cejam.org.br</x18tc:text>
    <x18tc:mentions>
      <x18tc:mention mentionpersonId="{c1588634-0b69-455a-88df-0f0f5aa31a12}" mentionId="{61158b6c-ca30-4b9c-8743-af43903b0237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5" dT="2026-07-01T17:07:29.00" personId="{e3c1cede-8ebe-40df-b47f-bd9a36656a9b}" id="{43ddbc26-c025-4adc-9cce-eae56104b270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@ubsaracati@cejam.org.br 
Prezados, bom dia.
Pedimos a gentileza de inserir o paciente no SIGA.
Atribuído a ubsaracati@cejam.org.br</x18tc:text>
    <x18tc:mentions>
      <x18tc:mention mentionpersonId="{18bb082b-cb94-4954-965c-041dfbe27024}" mentionId="{1f399b0a-c974-4148-9823-05bf611a153c}" startIndex="246" length="24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F162" dT="2026-07-01T17:07:29.00" personId="{fd9174a3-6a62-4ebc-9378-5fbfabf879dc}" id="{fb907bcf-713e-4a95-a37c-5125866e1c1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Prezados,
Solicito, por gentileza, que a planilha seja devidamente preenchida com os dados corretos do paciente.
@ubseledy@cejam.org.br
Atribuído a ubseledy@cejam.org.br
Reply:
	Bom dia Feito preenchimento correto.obrigada</x18tc:text>
    <x18tc:mentions>
      <x18tc:mention mentionpersonId="{6ec1ae9b-8ee7-4ef8-bd26-a37161736b64}" mentionId="{d03678d3-babe-4ac9-a6ed-48bc91383741}" startIndex="359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86" dT="2026-07-01T17:07:29.00" personId="{c0d7f12f-e772-4161-b558-b7199bf71360}" id="{6801a298-c85f-4acf-ba42-ec91521f7dd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COLOCAR PACIENTE NA VAGA DO SIGA. @ubsvalquiria@cejam.org.br</x18tc:text>
    <x18tc:mentions>
      <x18tc:mention mentionpersonId="{a2b4adfd-b20d-49c1-bd29-ad0030a3a091}" mentionId="{ef6592f4-98e3-4bc6-9205-97687fc7d893}" startIndex="280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231" dT="2026-07-01T17:07:29.00" personId="{04121a71-7620-4f38-87eb-6ec10c23e81f}" id="{6c6137c3-bc70-4aca-82f1-e6ae9c44dc5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@ubsparquedoengenho@cejam.org.br
Reply:
	Prezada, bom dia.
A paciente já esta agendada conforme solicitado.
Att: Taline Santos Reis
Aux.Tec.Administrativo</x18tc:text>
    <x18tc:mentions>
      <x18tc:mention mentionpersonId="{089e9d1f-74f5-4c23-a75f-d0125e142dce}" mentionId="{d0dc3ded-9dfb-422b-afb3-993f0408a24a}" startIndex="271" length="3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162" dT="2026-07-01T17:07:29.00" personId="{46657d98-a11a-45dd-93e2-c77da3aed033}" id="{9f2eab25-e0c1-433a-ba57-9f1399fadc8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@ubseledy@cejam.org.br
Reply:
	Paciente prefere atentedimento presencial</x18tc:text>
    <x18tc:mentions>
      <x18tc:mention mentionpersonId="{6ec1ae9b-8ee7-4ef8-bd26-a37161736b64}" mentionId="{10f040e4-4d11-4a06-a8df-503540d9514c}" startIndex="271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4" dT="2026-07-01T17:07:29.00" personId="{8a386f3b-327e-4d9d-82a1-4fbe8303c83b}" id="{7c70d67b-d7e7-4b28-aa7f-da5cf80719a7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Prezados, boa tarde.
Conforme alinhado na reunião de ontem, peço que realizem o agendamento dos pacientes no SIGA com a maior brevidade possível @ubscomercial@cejam.org.br</x18tc:text>
    <x18tc:mentions>
      <x18tc:mention mentionpersonId="{c33705b1-618e-42b8-a631-31062cb56cd7}" mentionId="{9728d53a-102b-4393-8577-ccdd80ab4291}" startIndex="392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3" dT="2026-07-01T17:07:29.00" personId="{c2ebd7e0-0008-4ca5-b45e-abf3d16bfc3e}" id="{a2aaa149-73d0-4d78-b75f-e9b76a95606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@ubsjardimcapela@cejam.org.br
Prezados, bom dia.
Pedimos a gentileza de inserir o paciente no SIGA.
Atribuído a ubsjardimcapela@cejam.org.br</x18tc:text>
    <x18tc:mentions>
      <x18tc:mention mentionpersonId="{cad39b99-a7bb-409e-8c76-8cca9528d3ec}" mentionId="{696d0c6c-228f-47ca-ac15-448400e82472}" startIndex="246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6" dT="2026-07-01T17:07:29.00" personId="{d3940df7-9e88-4bdb-b1ac-09083fb8a4a1}" id="{f95b3bdb-3da8-4a23-a8f4-cbf6e05a51c6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Prezados, boa tarde.
Conforme alinhado na reunião de ontem, peço que realizem o agendamento dos pacientes no SIGA com a maior brevidade possível @ubseledy@cejam.org.br
Reply:
	Marcada como resolvida
Reply:
	Pacientes agendados pelo Siga
Reaberta</x18tc:text>
    <x18tc:mentions>
      <x18tc:mention mentionpersonId="{6ec1ae9b-8ee7-4ef8-bd26-a37161736b64}" mentionId="{30a47b7f-2c47-4ea8-bc2f-20654c1a8083}" startIndex="392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2" dT="2026-07-01T17:07:29.00" personId="{4e1abce6-3efd-4c9e-92a3-8f1bbc7716c8}" id="{b584d276-8a0e-442e-b8eb-dd5bfd328da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 
Prezados, bom dia.
Pedimos a gentileza de inserir o paciente no SIGA.
Atribuído a amaubspqfernanda@cejam.org.br
Reply:
	Marcado como concluído
Reply:
	obrigado
Reaberta</x18tc:text>
    <x18tc:mentions>
      <x18tc:mention mentionpersonId="{06d93602-e1b7-43a5-8eac-e0f56728196d}" mentionId="{35b68654-a2e9-42d6-8ae3-be3f942c9987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234" dT="2026-07-01T17:07:29.00" personId="{6ee57d78-45d3-4345-8637-61f78e6924e4}" id="{96ee5d86-ef50-4b8b-a2a5-890fba404f6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@ubs.santalucia@cejam.org.br</x18tc:text>
    <x18tc:mentions>
      <x18tc:mention mentionpersonId="{f52fb283-5726-40f8-889c-4b3a153bab8c}" mentionId="{193beae9-08e9-4ded-8ca6-665627fed70b}" startIndex="271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236" dT="2026-07-01T17:07:29.00" personId="{e7bdc42a-f022-40a4-9c22-c22fc4993b91}" id="{a2c25c7c-ec84-4500-98a1-be49b57b588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@ubs.jdherculano@cejam.org.br</x18tc:text>
    <x18tc:mentions>
      <x18tc:mention mentionpersonId="{fc9835fd-3a70-4bd6-b66c-cd6bf4212eac}" mentionId="{82c3185e-f5f3-4d74-8a21-1f35106a6a03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6" dT="2026-07-01T17:07:29.00" personId="{82f3c3c7-60bd-4c73-afe2-f673779a74de}" id="{e99f38f6-d63d-4f3c-bdf6-b497baaf740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@ubs.jdherculano@cejam.org.br 
Prezados, bom dia.
Pedimos a gentileza de inserir o paciente no SIGA.
Atribuído a ubs.jdherculano@cejam.org.br
Reply:
	Inserindo.</x18tc:text>
    <x18tc:mentions>
      <x18tc:mention mentionpersonId="{fc9835fd-3a70-4bd6-b66c-cd6bf4212eac}" mentionId="{884b7d8b-d04f-45ad-a78e-13f10dc6d470}" startIndex="246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E126" dT="2026-07-01T17:07:29.00" personId="{42629c76-fe9f-419c-bded-046cd1b0c623}" id="{84afb4a3-45f6-4a04-83c0-7bfba89b2899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Atribuído a ubsjardimcapela@cejam.org.br
Reply:
	Pacientes inseridas no SIGA</x18tc:text>
    <x18tc:mentions>
      <x18tc:mention mentionpersonId="{cad39b99-a7bb-409e-8c76-8cca9528d3ec}" mentionId="{bb0b740f-6277-426d-b135-28c3fa6a7e19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N9" dT="2026-07-01T17:07:29.00" personId="{99101933-e188-4194-b59f-cdef2feb31a4}" id="{d69f6df8-ea9c-47d8-acc3-f0b2b8f573b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@ubsjardimcapela@cejam.org.br 
Favor inserir o motivo das faltas dos pacientes da especialidade
Atribuído a ubsjardimcapela@cejam.org.br
Reply:
	Marcado como concluído
Reply:
	Respondido
Reaberta</x18tc:text>
    <x18tc:mentions>
      <x18tc:mention mentionpersonId="{cad39b99-a7bb-409e-8c76-8cca9528d3ec}" mentionId="{8ceb3761-c073-43c3-b318-4f4d2ebae4bc}" startIndex="246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92" dT="2026-07-01T17:07:29.00" personId="{a9386a9e-920b-46ba-bd13-0517d9cff28b}" id="{21c0a8dc-bf29-45e1-8875-b6388f3f8b4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paciente na vaga do siga @ubs.jdguaruja@cejam.org.br
Reply:
	Agendado ás 11:13</x18tc:text>
    <x18tc:mentions>
      <x18tc:mention mentionpersonId="{3afe426e-fed0-4426-866c-374c57c40aa9}" mentionId="{ae871970-28fe-4ff3-bd4c-112cec71c800}" startIndex="278" length="27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4" dT="2026-07-01T17:07:29.00" personId="{d1af0d23-2000-4ce1-a079-8fb949fb7c89}" id="{b7210421-af76-4796-8cff-a45793fc75f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@ubs.santalucia@cejam.org.br
Reply:
	Boa tarde! Este paciente é da UBS Jd Aracati e não tem vaga no SIGA.</x18tc:text>
    <x18tc:mentions>
      <x18tc:mention mentionpersonId="{f52fb283-5726-40f8-889c-4b3a153bab8c}" mentionId="{3c3d85aa-1532-48cc-85ce-df15e767e495}" startIndex="311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49" dT="2026-07-01T17:07:29.00" personId="{87ce7ff2-3571-4b11-bc83-e9165b0a80cb}" id="{4218cfd9-bef8-404c-a8b8-ec222256f89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</x18tc:text>
    <x18tc:mentions>
      <x18tc:mention mentionpersonId="{cad39b99-a7bb-409e-8c76-8cca9528d3ec}" mentionId="{74f5e865-4df7-4e10-b5dd-925f0db9baea}" startIndex="285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5" dT="2026-07-01T17:07:29.00" personId="{f0f93aa1-27b1-414f-82ac-1e62467f9dce}" id="{51725943-098f-4a1a-92cc-b73c6db4e9b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</x18tc:text>
    <x18tc:mentions>
      <x18tc:mention mentionpersonId="{9f59c283-0449-4623-97c1-4f7800176c8f}" mentionId="{1d3244a1-3fde-49c8-bdd6-4d89e56b1b4f}" startIndex="26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96" dT="2026-07-01T17:07:29.00" personId="{59a44912-9497-4ff4-840f-18a3223fc737}" id="{8b8b977a-017e-4953-8a6b-c43fdae9aa3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@ubscomercial@cejam.org.br</x18tc:text>
    <x18tc:mentions>
      <x18tc:mention mentionpersonId="{c33705b1-618e-42b8-a631-31062cb56cd7}" mentionId="{430d4b5c-5e5f-4a23-8e21-241c1bd96a80}" startIndex="262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9" dT="2026-07-01T17:07:29.00" personId="{d85d7ba7-3a89-4c6c-ad2a-a3be93366ca9}" id="{f9de7dfe-601a-4b07-9258-c7da7534c17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@ubs.vilacalu@cejam.org.br 
Conforme orientação essas vagas são destinadas ao DA CAMPO LIMPO, pedimos que o paciente seja remanejado para os dias que correspondem ao DA M'BOI MIRIM.
Atribuído a ubs.vilacalu@cejam.org.br</x18tc:text>
    <x18tc:mentions>
      <x18tc:mention mentionpersonId="{66ad3616-a5d3-4872-b2dd-08bf995e7777}" mentionId="{cfe02c48-8779-4c49-8446-f913c26dc326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2" dT="2026-07-01T17:07:29.00" personId="{56382458-8ed7-4181-923e-20f667e73778}" id="{f91d9c1f-3861-400d-8a7e-b164981f29f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Atribuído a ubsmaraca@cejam.org.br</x18tc:text>
    <x18tc:mentions>
      <x18tc:mention mentionpersonId="{9f59c283-0449-4623-97c1-4f7800176c8f}" mentionId="{7f617632-32e5-4935-8ec1-010a1288bcb1}" startIndex="26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29" dT="2026-07-01T17:07:29.00" personId="{00c6eb08-72c0-4df9-9e7a-6ee6602b6d34}" id="{1385be96-dd92-4c18-9e78-c0fc8eea2f37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</x18tc:text>
    <x18tc:mentions>
      <x18tc:mention mentionpersonId="{de64d1f3-3abf-4c68-968e-4f78fbc93562}" mentionId="{4db5839b-37fc-42a2-a3a1-254f566ea589}" startIndex="271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8" dT="2026-07-01T17:07:29.00" personId="{578c9ff7-e7e7-4230-a77f-8d9c2e6425b5}" id="{f72a8dfd-8d6e-47d3-9455-bade88e2d23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@ubsmagdalena@cejam.org.br Agendar paciente no siga</x18tc:text>
    <x18tc:mentions>
      <x18tc:mention mentionpersonId="{c1588634-0b69-455a-88df-0f0f5aa31a12}" mentionId="{27762fa8-0e3a-41f8-af3e-6aeec89dff94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5" dT="2026-07-01T17:07:29.00" personId="{2fbdf94d-3743-48e5-968a-86ed02e432d1}" id="{64d5260a-29ec-4d5d-bece-875e4c6a988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@ubs.paranapanema@cejam.org.br
Atribuído a ubs.paranapanema@cejam.org.br
Reply:
	Paciente do dia 14/11 14:40 agendada.</x18tc:text>
    <x18tc:mentions>
      <x18tc:mention mentionpersonId="{02037373-3d09-4fc8-b101-b40f7d86673b}" mentionId="{752af4b7-13b0-4689-84da-ffd7531755c9}" startIndex="330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4" dT="2026-07-01T17:07:29.00" personId="{1c19ddd5-326b-4d05-bdb0-197d7e4050d2}" id="{7badd085-4fe1-4d7c-870f-1e064c64bbe6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
Conforme orientação essas vagas são destinadas ao DA M'BOI MIRIM, pedimos que o paciente seja remanejado para os dias que correspondem ao DA CAMPO LIMPO.
Atribuído a amaubspqfernanda@cejam.org.br</x18tc:text>
    <x18tc:mentions>
      <x18tc:mention mentionpersonId="{06d93602-e1b7-43a5-8eac-e0f56728196d}" mentionId="{2f90b9bf-42e9-4930-bc4b-cf794beef19e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232" dT="2026-07-01T17:07:29.00" personId="{d98eebe9-f093-4c9e-8d83-5dcc2d2d5846}" id="{c3d6d185-16aa-4123-b30c-6011d1625b3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Lançar paciente na planilha @amaubspqfernanda@cejam.org.br</x18tc:text>
    <x18tc:mentions>
      <x18tc:mention mentionpersonId="{06d93602-e1b7-43a5-8eac-e0f56728196d}" mentionId="{1201cdf9-e2ff-410e-9fe7-81ddee2fa3c5}" startIndex="274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8" dT="2026-07-01T17:07:29.00" personId="{e0348709-7c53-4841-a5df-9b593da5ecba}" id="{c160a926-c47a-4a68-8769-bc523b0ddd3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@ubsaracati@cejam.org.br</x18tc:text>
    <x18tc:mentions>
      <x18tc:mention mentionpersonId="{18bb082b-cb94-4954-965c-041dfbe27024}" mentionId="{2c1e51e6-6261-4597-8d51-af5a12d6c51b}" startIndex="271" length="24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4" dT="2026-07-01T17:07:29.00" personId="{d7e8aeec-74be-408d-9247-dc9751aa3a5a}" id="{c85f1f7a-19c7-4495-8fd5-d1e2a0fefff6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@ubs.altodariviera@cejam.org.br
Reply:
	Prezada, agendamento cancelado</x18tc:text>
    <x18tc:mentions>
      <x18tc:mention mentionpersonId="{e7c7f5d2-df52-4872-8684-7dfd39bfaeec}" mentionId="{25650b19-970b-4ee2-8505-c12ed63c88bd}" startIndex="311" length="31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1" dT="2026-07-01T17:07:29.00" personId="{dd92381f-8ea8-485f-a09a-61f5ea43e9ad}" id="{fb47ed8b-59fc-4540-9069-4757cc0e8e5d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 
Conforme orientação essas vagas são destinadas ao DA CAMPO LIMPO, pedimos que o paciente seja remanejado para os dias que correspondem ao DA M'BOI MIRIM.
Atribuído a ubs.santalucia@cejam.org.br</x18tc:text>
    <x18tc:mentions>
      <x18tc:mention mentionpersonId="{f52fb283-5726-40f8-889c-4b3a153bab8c}" mentionId="{f92b06ec-ba52-410b-ac35-3abde86ea4ef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79" dT="2026-07-01T17:07:29.00" personId="{d5f872cc-957f-4fa0-a3df-a759f9feb42a}" id="{2f07be09-7048-4a3f-9103-6a5c0392733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@ubscomercial@cejam.org.br 
Conforme orientação essas vagas são destinadas ao DA M'BOI MIRIM, pedimos que o paciente seja remanejado para os dias que correspondem ao DA CAMPO LIMPO.
Atenciosamente,
Atribuído a ubscomercial@cejam.org.br</x18tc:text>
    <x18tc:mentions>
      <x18tc:mention mentionpersonId="{c33705b1-618e-42b8-a631-31062cb56cd7}" mentionId="{7b8634ed-3893-4159-9771-ab37e53a05b7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4" dT="2026-07-01T17:07:29.00" personId="{d7e8aeec-74be-408d-9247-dc9751aa3a5a}" id="{8aa686a8-ab9a-4b9a-951d-80b3f05dc74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@ubs.altodariviera@cejam.org.br
Reply:
	Prezada, agendamento cancelado</x18tc:text>
    <x18tc:mentions>
      <x18tc:mention mentionpersonId="{e7c7f5d2-df52-4872-8684-7dfd39bfaeec}" mentionId="{07fd7250-f38a-47be-9a3b-796707b241f3}" startIndex="311" length="31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3" dT="2026-07-01T17:07:29.00" personId="{976ea5ba-24f4-4471-bb5e-2d026c9be679}" id="{efbbdf22-ad85-455a-a33e-365c6ec4b97c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@ubseledy@cejam.org.br 
Conforme orientação essas vagas são destinadas ao DA M'BOI MIRIM, pedimos que o paciente seja remanejado para os dias que correspondem ao DA CAMPO LIMPO.
Atribuído a ubseledy@cejam.org.br
Reply:
	Boa tarde paciente retirada da planilha destinada ao MBOI MIRIM</x18tc:text>
    <x18tc:mentions>
      <x18tc:mention mentionpersonId="{6ec1ae9b-8ee7-4ef8-bd26-a37161736b64}" mentionId="{eb7a929f-2a41-4483-b443-e80baaa085bb}" startIndex="246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3" dT="2026-07-01T17:07:29.00" personId="{521a59e4-84c0-4db4-b897-831ca58589e2}" id="{18c0329f-b5b6-47a2-be16-cdc89614f2e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Atribuído a ubsmaraca@cejam.org.br</x18tc:text>
    <x18tc:mentions>
      <x18tc:mention mentionpersonId="{9f59c283-0449-4623-97c1-4f7800176c8f}" mentionId="{8c2eb781-76da-4987-afd2-8c1f619add02}" startIndex="26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3" dT="2026-07-01T17:07:29.00" personId="{74fb4dbe-358d-4b47-ac61-ce5ef7e34268}" id="{7e5f070f-c31f-4005-9831-e4f6f8435ca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Atribuído a amaubspqfernanda@cejam.org.br</x18tc:text>
    <x18tc:mentions>
      <x18tc:mention mentionpersonId="{06d93602-e1b7-43a5-8eac-e0f56728196d}" mentionId="{d914855c-8089-435e-802e-1e786edc0958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" dT="2026-07-01T17:07:29.00" personId="{f8b81a43-5085-4c2b-9104-48561f8ab938}" id="{05b0a802-d8a1-49f1-9893-9c3a9130569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@ubseledy@cejam.org.br 
Conforme orientação essas vagas são destinadas ao DA M'BOI MIRIM, pedimos que o paciente seja remanejado para os dias que correspondem ao DA CAMPO LIMPO.
Atenciosamente,
Atribuído a ubseledy@cejam.org.br
Reply:
	Boa tarde paciente retirada da planilha destinada ao M BOI MIRIM,</x18tc:text>
    <x18tc:mentions>
      <x18tc:mention mentionpersonId="{6ec1ae9b-8ee7-4ef8-bd26-a37161736b64}" mentionId="{4858d3c2-38d8-4586-8d78-8e4c337ac493}" startIndex="246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8" dT="2026-07-01T17:07:29.00" personId="{ee3c4a05-bc89-4282-be41-627ee37f32ae}" id="{5cd3a79d-bdec-4611-9a0a-311f28e7281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</x18tc:text>
    <x18tc:mentions>
      <x18tc:mention mentionpersonId="{9f59c283-0449-4623-97c1-4f7800176c8f}" mentionId="{07f691a1-7cd4-4d49-922b-7f425425ec49}" startIndex="26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4" dT="2026-07-01T17:07:29.00" personId="{1c19ddd5-326b-4d05-bdb0-197d7e4050d2}" id="{d2df3b74-580c-48a2-9cd4-85d3e4cf290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
Conforme orientação essas vagas são destinadas ao DA M'BOI MIRIM, pedimos que o paciente seja remanejado para os dias que correspondem ao DA CAMPO LIMPO.
Atribuído a amaubspqfernanda@cejam.org.br</x18tc:text>
    <x18tc:mentions>
      <x18tc:mention mentionpersonId="{06d93602-e1b7-43a5-8eac-e0f56728196d}" mentionId="{e4415d7c-57cf-4254-8e9a-63170d7a0219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74" dT="2026-07-01T17:07:29.00" personId="{aeb1accd-9278-4f8d-9e41-5ca7da077a91}" id="{a351e812-9c6d-40bc-9778-ff32835905a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@amaubspqfernanda@cejam.org.br</x18tc:text>
    <x18tc:mentions>
      <x18tc:mention mentionpersonId="{06d93602-e1b7-43a5-8eac-e0f56728196d}" mentionId="{0817a294-e3db-49be-a48b-1715f12871f0}" startIndex="285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34" dT="2026-07-01T17:07:29.00" personId="{bb6218c7-4d03-4eeb-80ad-45725d0e1ded}" id="{f50ec452-69f1-42ae-a950-e672194541b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@ubsaracati@cejam.org.br</x18tc:text>
    <x18tc:mentions>
      <x18tc:mention mentionpersonId="{18bb082b-cb94-4954-965c-041dfbe27024}" mentionId="{6bc77b9a-a39e-4698-871c-ec6ed32ecc29}" startIndex="285" length="24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5" dT="2026-07-01T17:07:29.00" personId="{747277fa-ffd4-4374-ba4d-5531887eb8d5}" id="{5bc471d5-eff3-4221-8f92-93bf48e8ddbd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@ubs.vilacalu@cejam.org.br 
Conforme orientação essas vagas são destinadas ao DA CAMPO LIMPO, pedimos que o paciente seja remanejado para os dias que correspondem ao DA M'BOI MIRIM
Atribuído a ubs.vilacalu@cejam.org.br</x18tc:text>
    <x18tc:mentions>
      <x18tc:mention mentionpersonId="{66ad3616-a5d3-4872-b2dd-08bf995e7777}" mentionId="{e876e017-6243-48e5-9466-4783240fabf8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5" dT="2026-07-01T17:07:29.00" personId="{4573f2a9-742d-4ecd-8056-e02e6c81d4fd}" id="{fd6dde11-b588-4149-a7ce-f0c6df5adff9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vaga já está disponível no siga @ubsvalquiria@cejam.org.br
Atribuído a ubsvalquiria@cejam.org.br</x18tc:text>
    <x18tc:mentions>
      <x18tc:mention mentionpersonId="{a2b4adfd-b20d-49c1-bd29-ad0030a3a091}" mentionId="{41ef34e0-718d-4509-9cd9-653aefe725c2}" startIndex="278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94" dT="2026-07-01T17:07:29.00" personId="{e6a317ef-6fc1-4a68-a3f6-41f0141ff383}" id="{402b63ad-3905-4055-a8fd-d4fafcfe16e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Paciente agendado no siga por gentileza inserir na planilha tambem @ubs.altodariviera@cejam.org.br</x18tc:text>
    <x18tc:mentions>
      <x18tc:mention mentionpersonId="{e7c7f5d2-df52-4872-8684-7dfd39bfaeec}" mentionId="{17f0e2d4-28f8-476c-8bdc-5cd017f5dc4e}" startIndex="313" length="31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95" dT="2026-07-01T17:07:29.00" personId="{4b6ae82e-1c3a-49ff-9468-0c7399298e70}" id="{28e4d9c2-210f-4ab8-92d8-901f7c6a0f7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</x18tc:text>
    <x18tc:mentions>
      <x18tc:mention mentionpersonId="{cad39b99-a7bb-409e-8c76-8cca9528d3ec}" mentionId="{36d40c40-e13d-433b-bfbd-cc573409ba6d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7" dT="2026-07-01T17:07:29.00" personId="{a786e0d1-71ff-4fc1-8e86-2a71bb8e971a}" id="{0445e8e2-4a44-4a23-88f1-be64fdf35439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Reply:
	FEITO TODOS</x18tc:text>
    <x18tc:mentions>
      <x18tc:mention mentionpersonId="{06d93602-e1b7-43a5-8eac-e0f56728196d}" mentionId="{a4394b85-198c-4e8f-9661-aad85c23bedb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57" dT="2026-07-01T17:07:29.00" personId="{1b08196a-94d2-46bf-8082-5520c2839e0b}" id="{d4527984-9abe-44c5-a895-5a6905f613e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VAGA NÃO DISPONIVEL NO SIGA @taciana.caciano@cejam.org.br FICO NO AGUARDO DA LIBERAÇÃO DO SIGA PARA O AGENDAMENTO
Reply:
	Prezados, conforme orientado via e-mail, não foi possível criar agenda na plataforma SIGA, seguindo assim o agendamento via planilha Google Drive. 
Atenciosamente.</x18tc:text>
    <x18tc:mentions>
      <x18tc:mention mentionpersonId="{d99f35c0-bfcd-496f-9af1-d176a438c02f}" mentionId="{cc89cd3a-2ea1-4dce-aaa4-d659d2a3f5de}" startIndex="274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" dT="2026-07-01T17:07:29.00" personId="{92b8a016-e606-4a52-8da0-bcfbbf11e6e4}" id="{72c38a39-2086-4101-95e4-8198ed97a169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do siga na planilha
Reply:
	@ubsmacedonia@cejam.org.br</x18tc:text>
    <x18tc:mentions>
      <x18tc:mention mentionpersonId="{5f1fa98f-800c-4816-b81e-fe3e7315df21}" mentionId="{9bdaa124-2a66-4638-ad64-66c2e71d903d}" startIndex="29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8" dT="2026-07-01T17:07:29.00" personId="{ee3c4a05-bc89-4282-be41-627ee37f32ae}" id="{e5f5658e-4261-4db6-832f-35239eddafc5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</x18tc:text>
    <x18tc:mentions>
      <x18tc:mention mentionpersonId="{9f59c283-0449-4623-97c1-4f7800176c8f}" mentionId="{1092eca5-22a1-4c42-b9ed-48d7a93becd0}" startIndex="26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1" dT="2026-07-01T17:07:29.00" personId="{4d142280-152e-4c83-9a88-57a419a4c615}" id="{336eea42-6835-46c8-9562-4117d2c7cb5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VAGA NÃO DISPONIVEL NO SIGA @taciana.caciano@cejam.org.br FICO NO AGUARDO DA LIBERAÇÃO DO SIGA PARA O AGENDAMENTO
Atribuído a taciana.caciano@cejam.org.br
Reply:
	Informamos que não foi possível criar a agenda da Dra. no SIGA. Dessa forma, os agendamentos serão realizados na planilha @ubs.vilacalu@cejam.org.br
Reply:
	Marcado como concluído
Reply:
	Informamos que não foi possível criar a agenda da Dra. no SIGA. Dessa forma, os agendamentos serão realizados na planilha @ubs.vilacalu@cejam.org.brexpand_moreShow moreexpand_lessShow less
Reaberta</x18tc:text>
    <x18tc:mentions>
      <x18tc:mention mentionpersonId="{d99f35c0-bfcd-496f-9af1-d176a438c02f}" mentionId="{fa7c9f1f-24e1-47ab-8be1-4b2b6029312b}" startIndex="274" length="29"/>
      <x18tc:mention mentionpersonId="{66ad3616-a5d3-4872-b2dd-08bf995e7777}" mentionId="{f246b94c-fd1d-418d-a4d6-4376a19ccb6b}" startIndex="531" length="26"/>
      <x18tc:mention mentionpersonId="{3dc1b616-28e6-4580-ae40-97595a28228c}" mentionId="{df9aae71-d6b0-4291-8d14-9ffbcd6086ea}" startIndex="719" length="3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2" dT="2026-07-01T17:07:29.00" personId="{41ef14f9-26a9-495f-846e-1d2d62797ae3}" id="{67a61ab8-09cf-453a-be1e-d18054b88dd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drive @ubsvalquiria@cejam.org.br
Atribuído a ubsvalquiria@cejam.org.br</x18tc:text>
    <x18tc:mentions>
      <x18tc:mention mentionpersonId="{a2b4adfd-b20d-49c1-bd29-ad0030a3a091}" mentionId="{4e9d76e4-6dae-4acc-a5ca-65db870982fa}" startIndex="272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28" dT="2026-07-01T17:07:29.00" personId="{4a446c51-dab8-41a4-8721-2edfec9e5c62}" id="{fb32752d-90b4-4eac-bc58-564a4a073dd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@ubsmaraca@cejam.org.br
Reply:
	FEITO</x18tc:text>
    <x18tc:mentions>
      <x18tc:mention mentionpersonId="{9f59c283-0449-4623-97c1-4f7800176c8f}" mentionId="{e704bb2c-41ca-4cb2-9401-4bb2314be915}" startIndex="271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1" dT="2026-07-01T17:07:29.00" personId="{bb4decce-5cfc-40b6-a6b5-6b43443b9d99}" id="{5548d7f6-fcf1-4ded-9707-f63d8ff67d5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pacientes no siga @ubssaobento@cejam.org.br</x18tc:text>
    <x18tc:mentions>
      <x18tc:mention mentionpersonId="{de64d1f3-3abf-4c68-968e-4f78fbc93562}" mentionId="{beb2b619-c434-4d47-b2aa-db0907222af1}" startIndex="272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4" dT="2026-07-01T17:07:29.00" personId="{f860783d-d1f2-4ad5-913e-ec52a78a828e}" id="{afdc0e9f-9759-4281-9d64-821ac4347c9c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PACIENTE NA PLANILHA
@ubsluardosertao@cejam.org.br
Atribuído a ubsluardosertao@cejam.org.br</x18tc:text>
    <x18tc:mentions>
      <x18tc:mention mentionpersonId="{d4dfc9f9-3026-4884-975b-6e996cbc8e6b}" mentionId="{3c025991-d2df-4f65-b1f1-20174b7df807}" startIndex="274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185" dT="2026-07-01T17:07:29.00" personId="{98fe120e-490c-4633-8024-b65966b136de}" id="{e584b243-0489-4bc9-8d84-72f9a4fcf4a9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</x18tc:text>
    <x18tc:mentions>
      <x18tc:mention mentionpersonId="{c33705b1-618e-42b8-a631-31062cb56cd7}" mentionId="{559557df-758d-4616-99ad-071b04ad0ca1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4" dT="2026-07-01T17:07:29.00" personId="{d1af0d23-2000-4ce1-a079-8fb949fb7c89}" id="{b37c699f-77a9-4205-a65d-531a1df8b91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Paciente agendado apenas no siga, por favor colocar ele no drive @ubs.santalucia@cejam.org.br
Reply:
	Boa tarde! Este paciente é da UBS Jd Aracati e não tem vaga no SIGA.</x18tc:text>
    <x18tc:mentions>
      <x18tc:mention mentionpersonId="{f52fb283-5726-40f8-889c-4b3a153bab8c}" mentionId="{6eb20545-ee55-467d-b679-2b3d4beee781}" startIndex="311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84" dT="2026-07-01T17:07:29.00" personId="{815c255e-3455-49ca-bc35-b2497dafa465}" id="{72cb4ddf-d80e-4d7c-b319-463a466a77b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@ubscomercial@cejam.org.br</x18tc:text>
    <x18tc:mentions>
      <x18tc:mention mentionpersonId="{c33705b1-618e-42b8-a631-31062cb56cd7}" mentionId="{1653d404-18c4-4e0c-800c-4814e909171d}" startIndex="285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4" dT="2026-07-01T17:07:29.00" personId="{61b22cfe-fff9-4961-a836-c13dec281894}" id="{555ba447-855e-4299-ba56-4db3ea10fa9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 
Conforme orientação essas vagas são destinadas ao DA CAMPO LIMPO, pedimos que o paciente seja remanejado para os dias que correspondem ao DA M'BOI MIRIM.
Atribuído a ubs.santalucia@cejam.org.br
Reply:
	Boa tarde,
Já realizei a retirada das pacientes, porém uma delas está apresentando erro ao tentar remover no SIGA , não estou conseguindo concluir a exclusão.
Minha orientadora digital sai às 14h, e ela precisa de um tempo para se deslocar entre as casas. Há disponibilidade de horário no período da manhã?</x18tc:text>
    <x18tc:mentions>
      <x18tc:mention mentionpersonId="{f52fb283-5726-40f8-889c-4b3a153bab8c}" mentionId="{16bed164-6b66-4d3b-b1f8-65f3739c89fa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09" dT="2026-07-01T17:07:29.00" personId="{c4c6c410-86f2-4e60-8816-5de2538740f8}" id="{b590f002-224e-4403-ac2a-ced194f24f7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</x18tc:text>
    <x18tc:mentions>
      <x18tc:mention mentionpersonId="{cad39b99-a7bb-409e-8c76-8cca9528d3ec}" mentionId="{16747676-01b5-41ed-b2f5-00015a1e5fbc}" startIndex="285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6" dT="2026-07-01T17:07:29.00" personId="{34e8b69f-126e-4d4d-a426-57d20564d5b3}" id="{0b7658c7-8cc7-42f9-bdc1-d1c7e8ee2b96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@ubsmagdalena@cejam.org.br</x18tc:text>
    <x18tc:mentions>
      <x18tc:mention mentionpersonId="{c1588634-0b69-455a-88df-0f0f5aa31a12}" mentionId="{75e0e808-5ac9-4d12-a149-f4299261dfde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0" dT="2026-07-01T17:07:29.00" personId="{750dc19d-a9dc-4966-893b-b9fb50ee6c70}" id="{c24ad340-041e-4afb-b47b-686e6d1bc035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@amaubspqfernanda@cejam.org.br</x18tc:text>
    <x18tc:mentions>
      <x18tc:mention mentionpersonId="{06d93602-e1b7-43a5-8eac-e0f56728196d}" mentionId="{6e0564c7-81fa-4653-8fcd-4e26978d257f}" startIndex="285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3" dT="2026-07-01T17:07:29.00" personId="{c38cb274-f20e-4f69-a1d9-ab8a6d9fb2c1}" id="{6a95efdc-35fb-443b-8163-ac29419b7f4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</x18tc:text>
    <x18tc:mentions>
      <x18tc:mention mentionpersonId="{c33705b1-618e-42b8-a631-31062cb56cd7}" mentionId="{e2c6ef38-5e35-4c4a-a690-f2f5bf9e34be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82" dT="2026-07-01T17:07:29.00" personId="{c8499828-b2f9-46a8-a0c6-26aa8db5111a}" id="{126f9413-c2be-4c8a-b8da-7a264b17358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</x18tc:text>
    <x18tc:mentions>
      <x18tc:mention mentionpersonId="{c33705b1-618e-42b8-a631-31062cb56cd7}" mentionId="{3ad2970d-b24d-48a2-8c17-03839cbb65c3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99" dT="2026-07-01T17:07:29.00" personId="{bc66fe3f-d4b1-41d7-8221-0a5c85192a9e}" id="{369f5cde-3037-490c-87d7-b727db0215e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no siga @ubscomercial@cejam.org.br</x18tc:text>
    <x18tc:mentions>
      <x18tc:mention mentionpersonId="{c33705b1-618e-42b8-a631-31062cb56cd7}" mentionId="{97013238-a817-4aab-8b06-099b7cfab524}" startIndex="26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6" dT="2026-07-01T17:07:29.00" personId="{bf876532-3717-44c9-b7b3-885156b6e36f}" id="{c3433bfe-729f-4430-ac5d-d4fa8b7db3b0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NA PLANILHA
@ubscomercial@cejam.org.br
Atribuído a ubscomercial@cejam.org.br</x18tc:text>
    <x18tc:mentions>
      <x18tc:mention mentionpersonId="{c33705b1-618e-42b8-a631-31062cb56cd7}" mentionId="{189fb7aa-3963-48db-b67f-d4e480234964}" startIndex="275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03" dT="2026-07-01T17:07:29.00" personId="{7e72b23c-7a1d-4c3b-b4dc-8ac5e033bc3f}" id="{e066f2b9-a5f4-43b6-9627-25e7346ae62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@ubsveracruz@cejam.org.br por favor agendar no siga
Atribuído a ubsveracruz@cejam.org.br</x18tc:text>
    <x18tc:mentions>
      <x18tc:mention mentionpersonId="{7450f187-38f0-4ca5-81d5-ba519abfa147}" mentionId="{2b9de451-902e-408f-a42b-59236fae292a}" startIndex="246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309" dT="2026-07-01T17:07:29.00" personId="{ca04530c-d613-4ec9-a7aa-bbdb96278d2c}" id="{75453d79-5cd1-4074-bcca-05aafc5bd19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</x18tc:text>
    <x18tc:mentions>
      <x18tc:mention mentionpersonId="{c33705b1-618e-42b8-a631-31062cb56cd7}" mentionId="{272f3f44-a759-4ec8-a688-4e8b82229969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4" dT="2026-07-01T17:07:29.00" personId="{2fd7a71f-c9db-4f50-aaad-7021803e9c1d}" id="{47026556-c37a-4499-b006-7b445fe476f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PC NA PLANILHA
@ubsluardosertao@cejam.org.br</x18tc:text>
    <x18tc:mentions>
      <x18tc:mention mentionpersonId="{d4dfc9f9-3026-4884-975b-6e996cbc8e6b}" mentionId="{c49b89d3-ebb6-417e-8f6a-cd9ce0402f50}" startIndex="269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21" dT="2026-07-01T17:07:29.00" personId="{d22c3a07-c8b0-4b1d-90cc-d24a0c8e318a}" id="{0324e0a7-20c7-4b16-a099-cdf3bf050a97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@ubseledy@cejam.org.br
Atribuído a ubseledy@cejam.org.br
Reply:
	Boa tarde .
Paciente inserido na sistema SIGA</x18tc:text>
    <x18tc:mentions>
      <x18tc:mention mentionpersonId="{6ec1ae9b-8ee7-4ef8-bd26-a37161736b64}" mentionId="{2f23f7f2-fffd-42c3-b644-799eb1a6eb43}" startIndex="330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183" dT="2026-07-01T17:07:29.00" personId="{994b1072-aa7f-4cfb-b0ca-9f4f5a3cd90f}" id="{54b7473a-8228-4b0a-8cab-004a6442ebd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</x18tc:text>
    <x18tc:mentions>
      <x18tc:mention mentionpersonId="{c33705b1-618e-42b8-a631-31062cb56cd7}" mentionId="{108212d0-07d1-4fce-83d4-7c8be062bfa9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1" dT="2026-07-01T17:07:29.00" personId="{dd92381f-8ea8-485f-a09a-61f5ea43e9ad}" id="{2244bfcc-e754-4a32-8649-da33c6d0367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@ubs.santalucia@cejam.org.br 
Conforme orientação essas vagas são destinadas ao DA CAMPO LIMPO, pedimos que o paciente seja remanejado para os dias que correspondem ao DA M'BOI MIRIM.
Atribuído a ubs.santalucia@cejam.org.br</x18tc:text>
    <x18tc:mentions>
      <x18tc:mention mentionpersonId="{f52fb283-5726-40f8-889c-4b3a153bab8c}" mentionId="{e414bfa2-a270-4dc9-a413-ad78f33f0bb3}" startIndex="246" length="28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92" dT="2026-07-01T17:07:29.00" personId="{0c52fa91-9f93-4ed0-a03a-d41658e1784f}" id="{6fcd5502-a2d2-4fe4-a4b6-bda4d610ddb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@ubs.vilacalu@cejam.org.br conforme orientação essas vagas são destinadas ao DA CAMPO LIMPO, pedimos que o paciente seja remanejado para os dias que correspondem ao DA M'BOI MIRIM.
Atribuído a ubs.vilacalu@cejam.org.br</x18tc:text>
    <x18tc:mentions>
      <x18tc:mention mentionpersonId="{66ad3616-a5d3-4872-b2dd-08bf995e7777}" mentionId="{f3558109-3000-41a3-a10d-eecb90460674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5" dT="2026-07-01T17:07:29.00" personId="{eb221eb0-f16f-470a-ac50-62ad7f5086b0}" id="{34ed2cc8-2979-4222-b64f-b128df84fbb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@ubsmaraca@cejam.org.br
Reply:
	resolvido</x18tc:text>
    <x18tc:mentions>
      <x18tc:mention mentionpersonId="{9f59c283-0449-4623-97c1-4f7800176c8f}" mentionId="{da660eaa-d7b4-4eae-9e51-c822f8cc1308}" startIndex="271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09" dT="2026-07-01T17:07:29.00" personId="{6e6e6677-6acb-4d99-9075-86a97ef053b2}" id="{d74131aa-55a6-40ad-b2b8-a17b2dc7c9c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 
Conforme orientação essas vagas são destinadas ao DA M'BOI MIRIM, pedimos que o paciente seja remanejado para os dias que correspondem ao DA CAMPO LIMPO.
Atribuído a amaubspqfernanda@cejam.org.br</x18tc:text>
    <x18tc:mentions>
      <x18tc:mention mentionpersonId="{06d93602-e1b7-43a5-8eac-e0f56728196d}" mentionId="{49e3127b-0b8a-43e4-bc94-52649d4d9186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6" dT="2026-07-01T17:07:29.00" personId="{47983893-2e2c-4cd3-8951-2b3e7a5d0e90}" id="{60fcb840-c995-4af0-9c6d-a143b2efe24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@ubsmaraca@cejam.org.br
Atribuído a ubsmaraca@cejam.org.br</x18tc:text>
    <x18tc:mentions>
      <x18tc:mention mentionpersonId="{9f59c283-0449-4623-97c1-4f7800176c8f}" mentionId="{e559d1d1-55f7-4904-a293-824d10a86758}" startIndex="26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22" dT="2026-07-01T17:07:29.00" personId="{81cb789e-de88-4a96-ae52-826dd01bdb28}" id="{56e1419d-05c5-480f-96e1-441a05f30eb5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</x18tc:text>
    <x18tc:mentions>
      <x18tc:mention mentionpersonId="{06d93602-e1b7-43a5-8eac-e0f56728196d}" mentionId="{55947093-a66b-45c3-92c1-6df577e389d6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46" dT="2026-07-01T17:07:29.00" personId="{8490ad31-9fb2-46ac-80ae-5d45e6789c97}" id="{2a677b2e-8c12-4d8f-9b11-58bc0524c59d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</x18tc:text>
    <x18tc:mentions>
      <x18tc:mention mentionpersonId="{cad39b99-a7bb-409e-8c76-8cca9528d3ec}" mentionId="{818d0171-94fe-4e03-8c38-17a6ecd349a5}" startIndex="285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87" dT="2026-07-01T17:07:29.00" personId="{69896eb4-19f0-4e83-b2be-df028cf2590a}" id="{2a6b8e70-a1c2-4fc4-8ed3-d23c0cc9623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@ubsvalquiria@cejam.org.br</x18tc:text>
    <x18tc:mentions>
      <x18tc:mention mentionpersonId="{a2b4adfd-b20d-49c1-bd29-ad0030a3a091}" mentionId="{3b11ab93-22d7-40cf-af90-a4f6c21289a6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G182" dT="2026-07-01T17:07:29.00" personId="{16552994-46b0-477b-8878-004357923265}" id="{6cc3fcbc-871a-4572-81f6-ff7bd50bdd30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
Atribuído a ubscomercial@cejam.org.br</x18tc:text>
    <x18tc:mentions>
      <x18tc:mention mentionpersonId="{c33705b1-618e-42b8-a631-31062cb56cd7}" mentionId="{d322f126-5bed-40a7-aaee-9261b4065f85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96" dT="2026-07-01T17:07:29.00" personId="{bde40cc0-8481-469f-bbdd-be7e1fdd2747}" id="{76e5aa36-6a91-47ee-bc28-f0f15092983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@ubs.jdcaicara@cejam.org.br
Atribuído a ubs.jdcaicara@cejam.org.br</x18tc:text>
    <x18tc:mentions>
      <x18tc:mention mentionpersonId="{04d12291-2a23-4622-b356-902aebede6f9}" mentionId="{10a7d7ab-d212-4afa-90b2-e5c47a17199c}" startIndex="330" length="27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85" dT="2026-07-01T17:07:29.00" personId="{dcfad0bf-8744-42f1-b0d0-854fa4a114b6}" id="{30007a46-4adf-40bc-b0bb-03cf6a62c47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@ubscomercial@cejam.org.br</x18tc:text>
    <x18tc:mentions>
      <x18tc:mention mentionpersonId="{c33705b1-618e-42b8-a631-31062cb56cd7}" mentionId="{1b52c80d-f7ef-4639-bdb0-7507a77ebba0}" startIndex="271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55" dT="2026-07-01T17:07:29.00" personId="{d34ed3f6-c7da-47e6-bcd2-0df5c2ae2abc}" id="{25428e71-87f1-4780-b205-e92b4c1316dc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Inserir paciente na planilha @ubsmacedonia@cejam.org.br</x18tc:text>
    <x18tc:mentions>
      <x18tc:mention mentionpersonId="{5f1fa98f-800c-4816-b81e-fe3e7315df21}" mentionId="{861e86fd-98c6-4d6c-a489-d434327c2dff}" startIndex="275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3" dT="2026-07-01T17:07:29.00" personId="{2d985e6d-0283-484d-af5e-b66dc58e87da}" id="{b7aafe24-4351-4749-b2f5-a457c16068e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@ubscomercial@cejam.org.br 
Conforme orientação essas vagas são destinadas ao DA M'BOI MIRIM, pedimos que o paciente seja remanejado para os dias que correspondem ao DA CAMPO LIMPO.
Atenciosamente,
Atribuído a ubscomercial@cejam.org.br</x18tc:text>
    <x18tc:mentions>
      <x18tc:mention mentionpersonId="{c33705b1-618e-42b8-a631-31062cb56cd7}" mentionId="{0750a4e1-d4da-4e68-ac3b-2facc711f06d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35" dT="2026-07-01T17:07:29.00" personId="{dd489610-a224-4bb8-aac6-605384277256}" id="{72e10475-1fe5-4063-ab9e-e58c6e9e6df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@amaubspqfernanda@cejam.org.br</x18tc:text>
    <x18tc:mentions>
      <x18tc:mention mentionpersonId="{06d93602-e1b7-43a5-8eac-e0f56728196d}" mentionId="{af2c41e9-0665-4f29-930b-7a279ca14fc1}" startIndex="285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9" dT="2026-07-01T17:07:29.00" personId="{51cb3d29-3457-49d4-b6c7-91827d6fb95d}" id="{172cabe8-95ef-479c-b673-4b52a6eb8a41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</x18tc:text>
    <x18tc:mentions>
      <x18tc:mention mentionpersonId="{06d93602-e1b7-43a5-8eac-e0f56728196d}" mentionId="{807dada6-f1ac-467a-a072-5adfbb5d5052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79" dT="2026-07-01T17:07:29.00" personId="{3b70eec2-e2ff-421e-b726-48546199bade}" id="{b1cb96dd-1e65-431e-85b7-75e69b065bd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@ubscomercial@cejam.org.br</x18tc:text>
    <x18tc:mentions>
      <x18tc:mention mentionpersonId="{c33705b1-618e-42b8-a631-31062cb56cd7}" mentionId="{8ef47e2b-7b70-45e2-a158-a455101d6d1f}" startIndex="285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50" dT="2026-07-01T17:07:29.00" personId="{74a9952a-9092-4621-886c-062be5741869}" id="{f57bb6cd-da8f-46f2-99d6-5cb08e7a6f15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@ubs.paranapanema@cejam.org.br
Atribuído a ubs.paranapanema@cejam.org.br
Reply:
	Paciente do dia 13/11 15:20 agendada.</x18tc:text>
    <x18tc:mentions>
      <x18tc:mention mentionpersonId="{02037373-3d09-4fc8-b101-b40f7d86673b}" mentionId="{47eb9c1f-92ad-4496-a8fb-4562d95f4a1b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56" dT="2026-07-01T17:07:29.00" personId="{0b39e302-3887-41eb-850a-9e4416602467}" id="{f10de1ec-1640-41d7-b910-25364da2b7f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 
Conforme orientação essas vagas são destinadas ao DA M'BOI MIRIM, pedimos que o paciente seja remanejado para os dias que correspondem ao DA CAMPO LIMPO.
Atenciosamente,
Atribuído a amaubspqfernanda@cejam.org.br</x18tc:text>
    <x18tc:mentions>
      <x18tc:mention mentionpersonId="{06d93602-e1b7-43a5-8eac-e0f56728196d}" mentionId="{cdbd8a52-b27b-4bf2-aa90-23f96729b0a9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37" dT="2026-07-01T17:07:29.00" personId="{f2cae823-476e-4239-859e-bea30e76010f}" id="{7121feab-0013-46d9-9354-6cb686e8d404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@ubs.vilacalu@cejam.org.br 
Conforme orientação essas vagas são destinadas ao DA CAMPO LIMPO, pedimos que o paciente seja remanejado para os dias que correspondem ao DA M'BOI MIRIM
Atribuído a ubs.vilacalu@cejam.org.br</x18tc:text>
    <x18tc:mentions>
      <x18tc:mention mentionpersonId="{66ad3616-a5d3-4872-b2dd-08bf995e7777}" mentionId="{99ec31d2-3d66-4702-9d01-acee946a2a58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09" dT="2026-07-01T17:07:29.00" personId="{6e6e6677-6acb-4d99-9075-86a97ef053b2}" id="{6a385ce8-6b30-4acf-8375-c7e4404f1917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 
Conforme orientação essas vagas são destinadas ao DA M'BOI MIRIM, pedimos que o paciente seja remanejado para os dias que correspondem ao DA CAMPO LIMPO.
Atribuído a amaubspqfernanda@cejam.org.br</x18tc:text>
    <x18tc:mentions>
      <x18tc:mention mentionpersonId="{06d93602-e1b7-43a5-8eac-e0f56728196d}" mentionId="{f06ea322-5407-40ef-b739-eb1d819d996b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30" dT="2026-07-01T17:07:29.00" personId="{696f8145-8fd4-4991-8896-ccc021384d6b}" id="{aa7c8e72-b89e-4d5f-ad85-9647e0bc879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@ubsluardosertao@cejam.org.br</x18tc:text>
    <x18tc:mentions>
      <x18tc:mention mentionpersonId="{d4dfc9f9-3026-4884-975b-6e996cbc8e6b}" mentionId="{521cfc7f-12f2-431d-8d27-87cf61e855ce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91" dT="2026-07-01T17:07:29.00" personId="{59b75387-441f-4fe0-8ca6-6285a0540d1b}" id="{f1300b0d-c32a-47df-9c86-52a9c23b833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@ubsjardimcapela@cejam.org.br
Atribuído a ubsjardimcapela@cejam.org.br</x18tc:text>
    <x18tc:mentions>
      <x18tc:mention mentionpersonId="{cad39b99-a7bb-409e-8c76-8cca9528d3ec}" mentionId="{f2c32472-0773-416c-b329-f7b2f36b5820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32" dT="2026-07-01T17:07:29.00" personId="{1d11aa98-8eea-42d9-9c6b-35b79962b373}" id="{fd6f9ba5-eeb0-4abc-83a8-31fa6ac4767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@ubsluardosertao@cejam.org.br</x18tc:text>
    <x18tc:mentions>
      <x18tc:mention mentionpersonId="{d4dfc9f9-3026-4884-975b-6e996cbc8e6b}" mentionId="{8c7c1068-0301-479d-8927-9fc528af1a88}" startIndex="271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3" dT="2026-07-01T17:07:29.00" personId="{0c4cd2f6-ed6c-495a-a299-b619b11b2025}" id="{86270ed2-9786-4d10-8473-7b7cc92d247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@ubsjardimcapela@cejam.org.br
Reply:
	Agendar paciente no siga @ubsjardimcapela@cejam.org.br</x18tc:text>
    <x18tc:mentions>
      <x18tc:mention mentionpersonId="{cad39b99-a7bb-409e-8c76-8cca9528d3ec}" mentionId="{5f024b7e-5fd0-44e8-a1cd-71a38834bdcf}" startIndex="285" length="29"/>
      <x18tc:mention mentionpersonId="{cad39b99-a7bb-409e-8c76-8cca9528d3ec}" mentionId="{3690920e-acd2-453c-9c95-0ece344015c8}" startIndex="348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40" dT="2026-07-01T17:07:29.00" personId="{3528333b-2d7f-4c1b-b644-bd830ef70f66}" id="{067aff06-489d-41a6-8067-52a0a4959c9d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@ubsmaraca@cejam.org.br
Reply:
	Marcada como resolvida
Reply:
	resolvido
Reaberta</x18tc:text>
    <x18tc:mentions>
      <x18tc:mention mentionpersonId="{9f59c283-0449-4623-97c1-4f7800176c8f}" mentionId="{492f6006-ad09-40dc-a1e9-3ba9961cb732}" startIndex="271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80" dT="2026-07-01T17:07:29.00" personId="{8449839d-9732-4be9-bdbf-e2c87cdacf2f}" id="{7d4b676a-12a4-43e1-9ca0-c3801663edd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paciente no siga @ubsluardosertao@cejam.org.br</x18tc:text>
    <x18tc:mentions>
      <x18tc:mention mentionpersonId="{d4dfc9f9-3026-4884-975b-6e996cbc8e6b}" mentionId="{bb4f584e-56e6-45f5-8079-608af0cf355c}" startIndex="270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38" dT="2026-07-01T17:07:29.00" personId="{f55053ca-a8ee-4f29-8b41-9fd88e5fd84f}" id="{6717da5d-0ee9-4e9d-b767-989482d84fc0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@amaubspqfernanda@cejam.org.br
Atribuído a amaubspqfernanda@cejam.org.br</x18tc:text>
    <x18tc:mentions>
      <x18tc:mention mentionpersonId="{06d93602-e1b7-43a5-8eac-e0f56728196d}" mentionId="{ea0ec4fd-2752-4a4d-83e3-144437cca453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4" dT="2026-07-01T17:07:29.00" personId="{08d1af43-7051-44de-b861-fcac572ba9b6}" id="{07c3be86-5114-4468-8fef-4151a625976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@amaubspqfernanda@cejam.org.br 
Conforme orientação essas vagas são destinadas ao DA M'BOI MIRIM, pedimos que o paciente seja remanejado para os dias que correspondem ao DA CAMPO LIMPO.
Atribuído a amaubspqfernanda@cejam.org.br
Reply:
	OK! FAREI ISSO AGORA</x18tc:text>
    <x18tc:mentions>
      <x18tc:mention mentionpersonId="{06d93602-e1b7-43a5-8eac-e0f56728196d}" mentionId="{3b4b42c2-9d9a-4cc4-9279-e891b783ec8d}" startIndex="246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84" dT="2026-07-01T17:07:29.00" personId="{00b99954-ddd3-4c62-9dce-1787e32b40a2}" id="{53985850-bede-472e-8628-0dc29d76cfc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@ubshorizonteazul@cejam.org.br
Reply:
	Paciente já agendado</x18tc:text>
    <x18tc:mentions>
      <x18tc:mention mentionpersonId="{d682488b-da29-49f4-aad7-cfd37ae44472}" mentionId="{59d00a79-5007-4bba-9f64-d3bf376d9df8}" startIndex="271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4" dT="2026-07-01T17:07:29.00" personId="{2fd7a71f-c9db-4f50-aaad-7021803e9c1d}" id="{a0a7e8ba-29c8-4464-8fdc-9ac9279cf77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PC NA PLANILHA
@ubsluardosertao@cejam.org.br</x18tc:text>
    <x18tc:mentions>
      <x18tc:mention mentionpersonId="{d4dfc9f9-3026-4884-975b-6e996cbc8e6b}" mentionId="{82f1452c-c18f-42b7-a46f-582bf980c535}" startIndex="269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0" dT="2026-07-01T17:07:29.00" personId="{8072c2ae-368c-4b85-8e88-b571cb495132}" id="{03f381fc-2ade-417d-9cea-a5c294a82c1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@ubs.sta.margarida@cejam.org.br</x18tc:text>
    <x18tc:mentions>
      <x18tc:mention mentionpersonId="{d7317e02-9a97-4e96-bae2-b8ec92f317cc}" mentionId="{269e2052-ca4f-4b98-ad34-a3e2b130743f}" startIndex="271" length="31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66" dT="2026-07-01T17:07:29.00" personId="{5ef4dc2c-e8d9-432f-b56d-ff482be1e538}" id="{f59850f9-cf94-46e0-a15a-74549142327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Atribuído a ubssaobento@cejam.org.br</x18tc:text>
    <x18tc:mentions>
      <x18tc:mention mentionpersonId="{de64d1f3-3abf-4c68-968e-4f78fbc93562}" mentionId="{f7ecf50b-c79f-47cf-9755-1ed67f5ccfcd}" startIndex="271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92" dT="2026-07-01T17:07:29.00" personId="{0c52fa91-9f93-4ed0-a03a-d41658e1784f}" id="{d61c4c0c-f5a2-4066-89f4-898cead88aa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@ubs.vilacalu@cejam.org.br conforme orientação essas vagas são destinadas ao DA CAMPO LIMPO, pedimos que o paciente seja remanejado para os dias que correspondem ao DA M'BOI MIRIM.
Atribuído a ubs.vilacalu@cejam.org.br</x18tc:text>
    <x18tc:mentions>
      <x18tc:mention mentionpersonId="{66ad3616-a5d3-4872-b2dd-08bf995e7777}" mentionId="{1da1990c-59f5-4acd-901c-090ef30c8c71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3" dT="2026-07-01T17:07:29.00" personId="{976ea5ba-24f4-4471-bb5e-2d026c9be679}" id="{d6e981c1-a132-4953-a8f9-3890f97ef58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@ubseledy@cejam.org.br 
Conforme orientação essas vagas são destinadas ao DA M'BOI MIRIM, pedimos que o paciente seja remanejado para os dias que correspondem ao DA CAMPO LIMPO.
Atribuído a ubseledy@cejam.org.br
Reply:
	Boa tarde paciente retirada da planilha destinada ao MBOI MIRIM</x18tc:text>
    <x18tc:mentions>
      <x18tc:mention mentionpersonId="{6ec1ae9b-8ee7-4ef8-bd26-a37161736b64}" mentionId="{95e3c056-bc67-492d-9852-130f8ebe8774}" startIndex="246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7" dT="2026-07-01T17:07:29.00" personId="{4cbc6b3f-25ef-479f-a255-52e7169c907e}" id="{836144d9-e29e-418d-a649-996ca6d584da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no siga @ubsmaraca@cejam.org.br</x18tc:text>
    <x18tc:mentions>
      <x18tc:mention mentionpersonId="{9f59c283-0449-4623-97c1-4f7800176c8f}" mentionId="{810ab969-ce53-4616-92da-80daabd7de5c}" startIndex="261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43" dT="2026-07-01T17:07:29.00" personId="{3f4ff526-7d96-463b-bb54-f7ce68fe0305}" id="{ed7404cd-f5fc-448d-9694-c1473fdd2080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@ubs.jdcaicara@cejam.org.br
Reply:
	Pacientes inserido no siga.</x18tc:text>
    <x18tc:mentions>
      <x18tc:mention mentionpersonId="{04d12291-2a23-4622-b356-902aebede6f9}" mentionId="{108d1e68-6ba5-455c-b701-145026e30b51}" startIndex="271" length="27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68" dT="2026-07-01T17:07:29.00" personId="{fe0727df-4f7c-4f27-b872-85bffe0bd2b2}" id="{4fc4dbc6-fe18-4747-8677-f0c78c06ade3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Atribuído a ubssaobento@cejam.org.br</x18tc:text>
    <x18tc:mentions>
      <x18tc:mention mentionpersonId="{de64d1f3-3abf-4c68-968e-4f78fbc93562}" mentionId="{0f170b9d-4900-43f7-a1ab-706e433eae46}" startIndex="271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00" dT="2026-07-01T17:07:29.00" personId="{6bcfb709-8c31-474f-a50c-7fda852fd12c}" id="{6a352253-a641-4a11-a4d5-ec91304c631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Bom dia.
Poderia, verificar o agendamento no SIGA? Identificamos uma divergência: a paciente que consta na planilha é diferente da que está registrada no SIGA.
@ubsaracati@cejam.org.br
Atribuído a ubsaracati@cejam.org.br</x18tc:text>
    <x18tc:mentions>
      <x18tc:mention mentionpersonId="{18bb082b-cb94-4954-965c-041dfbe27024}" mentionId="{93252cf3-11c8-47af-a299-d2082ec6daa6}" startIndex="407" length="24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78" dT="2026-07-01T17:07:29.00" personId="{78b6e7eb-a1fd-435b-9538-e6363ee18b54}" id="{168508be-8807-4764-bbdd-44612b50d135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@ubs.vilacalu@cejam.org.br 
Conforme orientação essas vagas são destinadas ao DA CAMPO LIMPO, pedimos que o paciente seja remanejado para os dias que correspondem ao DA M'BOI MIRIM
Atribuído a ubs.vilacalu@cejam.org.br</x18tc:text>
    <x18tc:mentions>
      <x18tc:mention mentionpersonId="{66ad3616-a5d3-4872-b2dd-08bf995e7777}" mentionId="{91ca7668-158d-46ca-a14d-12e7f39b78c4}" startIndex="246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12" dT="2026-07-01T17:07:29.00" personId="{0eecd3e6-eaa4-4098-8ebd-eedd1a4f6f6a}" id="{f20488aa-d99b-4e19-abfc-d5adcc3cc7f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@ubsaracati@cejam.org.br</x18tc:text>
    <x18tc:mentions>
      <x18tc:mention mentionpersonId="{18bb082b-cb94-4954-965c-041dfbe27024}" mentionId="{18ae3bd6-b320-4ccf-a368-6c582caab5d8}" startIndex="271" length="24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65" dT="2026-07-01T17:07:29.00" personId="{aafe06c3-f9e4-4626-9fe1-b2fa4f6d1780}" id="{47ff2138-f01e-4ee8-8609-1ab51ba698d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PACIENTE NA PLANILHA
@ubsgermania@cejam.org.br
Atribuído a ubsgermania@cejam.org.br</x18tc:text>
    <x18tc:mentions>
      <x18tc:mention mentionpersonId="{a43f4d7f-a36b-4f42-905d-bfae03efe307}" mentionId="{81ee80e7-03d8-419c-8884-784516892ad6}" startIndex="274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79" dT="2026-07-01T17:07:29.00" personId="{3b70eec2-e2ff-421e-b726-48546199bade}" id="{10abfafa-7404-4f02-8f91-439211515ed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Por gentileza agendar paciente no siga @ubscomercial@cejam.org.br</x18tc:text>
    <x18tc:mentions>
      <x18tc:mention mentionpersonId="{c33705b1-618e-42b8-a631-31062cb56cd7}" mentionId="{cae92517-552e-4abe-b24d-a0cc3e94f04c}" startIndex="285" length="26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39" dT="2026-07-01T17:07:29.00" personId="{3c2731b1-34cc-46e8-a468-bf58fafd19f8}" id="{f28921b9-bef7-4fbf-be1a-0f33c084053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 no siga @ubssaobento@cejam.org.br
Reply:
	Feito!</x18tc:text>
    <x18tc:mentions>
      <x18tc:mention mentionpersonId="{de64d1f3-3abf-4c68-968e-4f78fbc93562}" mentionId="{ac738e16-667f-4cd9-8cbf-600ade1d2d0e}" startIndex="271" length="25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65" dT="2026-07-01T17:07:29.00" personId="{2fbdf94d-3743-48e5-968a-86ed02e432d1}" id="{b0633071-a8aa-4906-ac44-8e09df3a9692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Bom dia.
Por favor, solicito que seja realizado o agendamento da paciente no SIGA.
@ubs.paranapanema@cejam.org.br
Atribuído a ubs.paranapanema@cejam.org.br
Reply:
	Paciente do dia 14/11 14:40 agendada.</x18tc:text>
    <x18tc:mentions>
      <x18tc:mention mentionpersonId="{02037373-3d09-4fc8-b101-b40f7d86673b}" mentionId="{fd4967e7-e7ea-4f00-984f-77a9b6623d31}" startIndex="330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82" dT="2026-07-01T17:07:29.00" personId="{4b176ccc-32c2-4a10-b576-b6d7a9b26391}" id="{d31621ca-0b52-4f6b-9ba4-72ef1f912d9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no siga @ubsluardosertao@cejam.org.br</x18tc:text>
    <x18tc:mentions>
      <x18tc:mention mentionpersonId="{d4dfc9f9-3026-4884-975b-6e996cbc8e6b}" mentionId="{1443d619-b92b-4271-b678-1e09df8d7eb6}" startIndex="262" length="29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4" dT="2026-07-01T17:07:29.00" personId="{3d73af6a-c770-4212-9d62-c9f6f9a69ec6}" id="{0871bea5-9ea2-4010-8896-68668da86c1d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 no siga @ubsmaraca@cejam.org.br
Atribuído a ubsmaraca@cejam.org.br</x18tc:text>
    <x18tc:mentions>
      <x18tc:mention mentionpersonId="{9f59c283-0449-4623-97c1-4f7800176c8f}" mentionId="{f997106c-b86c-45ff-b7f7-4d946b2f56f6}" startIndex="261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177" dT="2026-07-01T17:07:29.00" personId="{c3f46180-41ac-4e32-9cf7-855372d53e88}" id="{53588039-a943-424b-977a-6ee71e7d206e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SUPERVISÃO DE MBOI SO PODE ULTILIZAR AS VAGAS DO MBOI POR FAVOR REAGENDAR PACIENTE  @ubs.paranapanema@cejam.org.br
Atribuído a ubs.paranapanema@cejam.org.br
Reply:
	Pedimos desculpas pelo equívoco o agendamento foi feito incorretamente no Campo Limpo. Já realizamos a correção e retiramos a paciente da agenda.</x18tc:text>
    <x18tc:mentions>
      <x18tc:mention mentionpersonId="{02037373-3d09-4fc8-b101-b40f7d86673b}" mentionId="{81710560-3306-4942-92c5-b6cf60643092}" startIndex="330" length="30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A228" dT="2026-07-01T17:07:29.00" personId="{9ae21afa-60bd-4f84-a0b5-099729da0c57}" id="{f22cdb01-10db-45d8-b6c2-949ff663dfe8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CAMPO LIMPO- CERTO?</x18tc:text>
    <x18tc:extLst>
      <ext uri="{F7C98A9C-CBB3-438F-8F68-D28B6AF4A901}">
        <xltc2:checksum/>
        <xltc2:hyperlink startIndex="189" length="46" url="https://go.microsoft.com/fwlink/?linkid=870924"/>
      </ext>
    </x18tc:extLst>
  </x18tc:threadedComment>
  <x18tc:threadedComment ref="B211" dT="2026-07-01T17:07:29.00" personId="{01be53e8-dc54-4633-9dc9-b4ee6dd1647e}" id="{be0ebf56-b782-4910-89df-50ea7d57d6f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Agendar pacientes no siga @ubsmaraca@cejam.org.br</x18tc:text>
    <x18tc:mentions>
      <x18tc:mention mentionpersonId="{9f59c283-0449-4623-97c1-4f7800176c8f}" mentionId="{866a7f80-1378-4c9c-9ea8-7169f549f698}" startIndex="272" length="23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0" dT="2026-07-01T17:07:29.00" personId="{b0ec29a7-2279-488a-959d-ac52bd6c1d97}" id="{05ee7518-8ddf-4b69-bb2e-be6ca0ba2ecf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Lançamento equivocado na UBS Aracati</x18tc:text>
    <x18tc:extLst>
      <ext uri="{F7C98A9C-CBB3-438F-8F68-D28B6AF4A901}">
        <xltc2:checksum/>
        <xltc2:hyperlink startIndex="189" length="46" url="https://go.microsoft.com/fwlink/?linkid=870924"/>
      </ext>
    </x18tc:extLs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1T17:07:29.00" personId="{78f02512-4af9-47b3-aaf2-e3e5a44b3ba4}" id="{e5cc8919-f923-42b2-836d-62d82f306f4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CAMPO LIMPO- CERTO?
Reply:
	Não terá atendimento devido ao feriado</x18tc:text>
    <x18tc:extLst>
      <ext uri="{F7C98A9C-CBB3-438F-8F68-D28B6AF4A901}">
        <xltc2:checksum/>
        <xltc2:hyperlink startIndex="189" length="46" url="https://go.microsoft.com/fwlink/?linkid=870924"/>
      </ext>
    </x18tc:extLs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4" dT="2026-07-01T17:07:29.00" personId="{14fa9e44-ce5c-4ba0-b22e-2cebb22bd6f1}" id="{8293c41f-7f58-458c-9b58-bad90a2e2c2b}" done="0">
    <x18tc:text xml:space="preserve">[Threaded comment]
 Your version of Excel allows you to read this threaded comment; however, any edits to it will get removed if the file is opened in a newer version of Excel. Learn more: https://go.microsoft.com/fwlink/?linkid=870924
Comment:
	@ubseledy@cejam.org.br Prezados, favor inserir os pacientes que foram atendidos e não atendidos na coluna status
Atribuído a ubseledy@cejam.org.br
Reply:
	Realizado
Marcado como concluído</x18tc:text>
    <x18tc:mentions>
      <x18tc:mention mentionpersonId="{6ec1ae9b-8ee7-4ef8-bd26-a37161736b64}" mentionId="{f15ac277-eaf2-4c06-9464-45f10bfb4f0c}" startIndex="246" length="22"/>
    </x18tc:mentions>
    <x18tc:extLst>
      <ext uri="{F7C98A9C-CBB3-438F-8F68-D28B6AF4A901}">
        <xltc2:checksum/>
        <xltc2:hyperlink startIndex="189" length="46" url="https://go.microsoft.com/fwlink/?linkid=870924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13.xml"/><Relationship Id="rId5" Type="http://schemas.openxmlformats.org/officeDocument/2006/relationships/vmlDrawing" Target="../drawings/vmlDrawing4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18.xml"/><Relationship Id="rId5" Type="http://schemas.openxmlformats.org/officeDocument/2006/relationships/vmlDrawing" Target="../drawings/vmlDrawing5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29.xml"/><Relationship Id="rId5" Type="http://schemas.openxmlformats.org/officeDocument/2006/relationships/vmlDrawing" Target="../drawings/vmlDrawing6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.88"/>
    <col customWidth="1" min="2" max="2" width="12.63"/>
    <col customWidth="1" min="3" max="3" width="16.25"/>
    <col customWidth="1" min="4" max="4" width="20.38"/>
    <col customWidth="1" min="5" max="5" width="24.88"/>
    <col customWidth="1" min="6" max="6" width="19.63"/>
    <col customWidth="1" min="7" max="7" width="45.5"/>
    <col customWidth="1" min="8" max="8" width="15.25"/>
    <col customWidth="1" min="9" max="9" width="18.0"/>
  </cols>
  <sheetData>
    <row r="1" ht="36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ht="15.75" customHeight="1">
      <c r="A2" s="4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10" t="s">
        <v>1</v>
      </c>
    </row>
    <row r="4" ht="15.75" customHeight="1">
      <c r="A4" s="11" t="s">
        <v>10</v>
      </c>
      <c r="B4" s="12"/>
      <c r="C4" s="13"/>
      <c r="D4" s="13"/>
      <c r="E4" s="13"/>
      <c r="F4" s="14"/>
      <c r="G4" s="15"/>
      <c r="H4" s="16"/>
      <c r="I4" s="17"/>
      <c r="J4" s="16"/>
      <c r="K4" s="18"/>
    </row>
    <row r="5" ht="15.75" customHeight="1">
      <c r="A5" s="11" t="s">
        <v>11</v>
      </c>
      <c r="B5" s="12"/>
      <c r="C5" s="13"/>
      <c r="D5" s="13"/>
      <c r="E5" s="13"/>
      <c r="F5" s="14"/>
      <c r="G5" s="15"/>
      <c r="H5" s="16"/>
      <c r="I5" s="17"/>
      <c r="J5" s="16"/>
      <c r="K5" s="18"/>
    </row>
    <row r="6" ht="15.75" customHeight="1">
      <c r="A6" s="11" t="s">
        <v>12</v>
      </c>
      <c r="B6" s="12"/>
      <c r="C6" s="13"/>
      <c r="D6" s="13"/>
      <c r="E6" s="13"/>
      <c r="F6" s="14"/>
      <c r="G6" s="15"/>
      <c r="H6" s="16"/>
      <c r="I6" s="17"/>
      <c r="J6" s="19"/>
      <c r="K6" s="18"/>
    </row>
    <row r="7" ht="15.75" customHeight="1">
      <c r="A7" s="11" t="s">
        <v>13</v>
      </c>
      <c r="B7" s="12"/>
      <c r="C7" s="13"/>
      <c r="D7" s="13"/>
      <c r="E7" s="13"/>
      <c r="F7" s="14"/>
      <c r="G7" s="15"/>
      <c r="H7" s="19"/>
      <c r="I7" s="17"/>
      <c r="J7" s="16"/>
      <c r="K7" s="18"/>
    </row>
    <row r="8" ht="15.75" customHeight="1">
      <c r="A8" s="11" t="s">
        <v>14</v>
      </c>
      <c r="B8" s="12"/>
      <c r="C8" s="13"/>
      <c r="D8" s="13"/>
      <c r="E8" s="13"/>
      <c r="F8" s="14"/>
      <c r="G8" s="15"/>
      <c r="H8" s="16"/>
      <c r="I8" s="17"/>
      <c r="J8" s="16"/>
      <c r="K8" s="18"/>
    </row>
    <row r="9" ht="15.75" customHeight="1">
      <c r="A9" s="11" t="s">
        <v>15</v>
      </c>
      <c r="B9" s="12"/>
      <c r="C9" s="13"/>
      <c r="D9" s="13"/>
      <c r="E9" s="13"/>
      <c r="F9" s="14"/>
      <c r="G9" s="15"/>
      <c r="H9" s="16"/>
      <c r="I9" s="17"/>
      <c r="J9" s="16"/>
      <c r="K9" s="18"/>
    </row>
    <row r="10" ht="15.75" customHeight="1">
      <c r="A10" s="11" t="s">
        <v>16</v>
      </c>
      <c r="B10" s="12"/>
      <c r="C10" s="13"/>
      <c r="D10" s="13"/>
      <c r="E10" s="13"/>
      <c r="F10" s="14"/>
      <c r="G10" s="15"/>
      <c r="H10" s="16"/>
      <c r="I10" s="17"/>
      <c r="J10" s="16"/>
      <c r="K10" s="18"/>
    </row>
    <row r="11" ht="15.75" customHeight="1">
      <c r="A11" s="11" t="s">
        <v>17</v>
      </c>
      <c r="B11" s="12"/>
      <c r="C11" s="13"/>
      <c r="D11" s="13"/>
      <c r="E11" s="13"/>
      <c r="F11" s="14"/>
      <c r="G11" s="15"/>
      <c r="H11" s="16"/>
      <c r="I11" s="17"/>
      <c r="J11" s="16"/>
      <c r="K11" s="18"/>
    </row>
    <row r="12" ht="15.75" customHeight="1"/>
    <row r="13" ht="15.75" customHeight="1"/>
    <row r="14" ht="15.75" customHeight="1"/>
    <row r="15" ht="36.0" customHeight="1">
      <c r="A15" s="20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3"/>
    </row>
    <row r="16" ht="15.75" customHeight="1">
      <c r="A16" s="21"/>
      <c r="B16" s="2"/>
      <c r="C16" s="2"/>
      <c r="D16" s="2"/>
      <c r="E16" s="2"/>
      <c r="F16" s="2"/>
      <c r="G16" s="2"/>
      <c r="H16" s="2"/>
      <c r="I16" s="2"/>
      <c r="J16" s="2"/>
      <c r="K16" s="3"/>
    </row>
    <row r="17" ht="15.75" customHeight="1">
      <c r="A17" s="22"/>
      <c r="B17" s="23" t="s">
        <v>3</v>
      </c>
      <c r="C17" s="24" t="s">
        <v>2</v>
      </c>
      <c r="D17" s="25" t="s">
        <v>5</v>
      </c>
      <c r="E17" s="26" t="s">
        <v>19</v>
      </c>
      <c r="F17" s="25" t="s">
        <v>6</v>
      </c>
      <c r="G17" s="25" t="s">
        <v>7</v>
      </c>
      <c r="H17" s="27" t="s">
        <v>8</v>
      </c>
      <c r="I17" s="28" t="s">
        <v>20</v>
      </c>
      <c r="J17" s="25" t="s">
        <v>21</v>
      </c>
      <c r="K17" s="25" t="s">
        <v>22</v>
      </c>
    </row>
    <row r="18" ht="15.75" customHeight="1">
      <c r="A18" s="11" t="s">
        <v>10</v>
      </c>
      <c r="B18" s="12"/>
      <c r="C18" s="29"/>
      <c r="D18" s="29"/>
      <c r="E18" s="29"/>
      <c r="F18" s="14"/>
      <c r="G18" s="15"/>
      <c r="H18" s="16"/>
      <c r="I18" s="30"/>
      <c r="J18" s="16"/>
      <c r="K18" s="18"/>
    </row>
    <row r="19" ht="15.75" customHeight="1">
      <c r="A19" s="11" t="s">
        <v>11</v>
      </c>
      <c r="B19" s="12"/>
      <c r="C19" s="29"/>
      <c r="D19" s="29"/>
      <c r="E19" s="29"/>
      <c r="F19" s="14"/>
      <c r="G19" s="15"/>
      <c r="H19" s="16"/>
      <c r="I19" s="30"/>
      <c r="J19" s="16"/>
      <c r="K19" s="18"/>
    </row>
    <row r="20" ht="15.75" customHeight="1">
      <c r="A20" s="11" t="s">
        <v>12</v>
      </c>
      <c r="B20" s="12"/>
      <c r="C20" s="29"/>
      <c r="D20" s="29"/>
      <c r="E20" s="29"/>
      <c r="F20" s="14"/>
      <c r="G20" s="15"/>
      <c r="H20" s="16"/>
      <c r="I20" s="30"/>
      <c r="J20" s="19"/>
      <c r="K20" s="18"/>
    </row>
    <row r="21" ht="15.75" customHeight="1">
      <c r="A21" s="11" t="s">
        <v>13</v>
      </c>
      <c r="B21" s="12"/>
      <c r="C21" s="29"/>
      <c r="D21" s="29"/>
      <c r="E21" s="29"/>
      <c r="F21" s="14"/>
      <c r="G21" s="15"/>
      <c r="H21" s="19"/>
      <c r="I21" s="30"/>
      <c r="J21" s="16"/>
      <c r="K21" s="18"/>
    </row>
    <row r="22" ht="15.75" customHeight="1">
      <c r="A22" s="11" t="s">
        <v>14</v>
      </c>
      <c r="B22" s="12"/>
      <c r="C22" s="29"/>
      <c r="D22" s="29"/>
      <c r="E22" s="29"/>
      <c r="F22" s="14"/>
      <c r="G22" s="15"/>
      <c r="H22" s="16"/>
      <c r="I22" s="30"/>
      <c r="J22" s="16"/>
      <c r="K22" s="18"/>
    </row>
    <row r="23" ht="15.75" customHeight="1">
      <c r="A23" s="11" t="s">
        <v>15</v>
      </c>
      <c r="B23" s="12"/>
      <c r="C23" s="29"/>
      <c r="D23" s="29"/>
      <c r="E23" s="29"/>
      <c r="F23" s="14"/>
      <c r="G23" s="15"/>
      <c r="H23" s="16"/>
      <c r="I23" s="30"/>
      <c r="J23" s="16"/>
      <c r="K23" s="18"/>
    </row>
    <row r="24" ht="15.75" customHeight="1">
      <c r="A24" s="11" t="s">
        <v>16</v>
      </c>
      <c r="B24" s="12"/>
      <c r="C24" s="29"/>
      <c r="D24" s="29"/>
      <c r="E24" s="29"/>
      <c r="F24" s="14"/>
      <c r="G24" s="15"/>
      <c r="H24" s="16"/>
      <c r="I24" s="30"/>
      <c r="J24" s="16"/>
      <c r="K24" s="18"/>
    </row>
    <row r="25" ht="15.75" customHeight="1">
      <c r="A25" s="11" t="s">
        <v>17</v>
      </c>
      <c r="B25" s="12"/>
      <c r="C25" s="29"/>
      <c r="D25" s="29"/>
      <c r="E25" s="29"/>
      <c r="F25" s="14"/>
      <c r="G25" s="15"/>
      <c r="H25" s="16"/>
      <c r="I25" s="30"/>
      <c r="J25" s="16"/>
      <c r="K25" s="18"/>
    </row>
    <row r="26" ht="15.75" customHeight="1"/>
    <row r="27" ht="15.75" customHeight="1"/>
    <row r="28" ht="15.75" customHeight="1"/>
    <row r="29" ht="36.0" customHeight="1">
      <c r="A29" s="1" t="s">
        <v>0</v>
      </c>
      <c r="B29" s="2"/>
      <c r="C29" s="2"/>
      <c r="D29" s="2"/>
      <c r="E29" s="2"/>
      <c r="F29" s="2"/>
      <c r="G29" s="2"/>
      <c r="H29" s="2"/>
      <c r="I29" s="2"/>
      <c r="J29" s="2"/>
      <c r="K29" s="3"/>
    </row>
    <row r="30" ht="15.75" customHeight="1">
      <c r="A30" s="4"/>
    </row>
    <row r="31" ht="15.75" customHeight="1">
      <c r="A31" s="5" t="s">
        <v>1</v>
      </c>
      <c r="B31" s="3"/>
      <c r="C31" s="6" t="s">
        <v>2</v>
      </c>
      <c r="D31" s="7" t="s">
        <v>3</v>
      </c>
      <c r="E31" s="6" t="s">
        <v>4</v>
      </c>
      <c r="F31" s="8" t="s">
        <v>5</v>
      </c>
      <c r="G31" s="8" t="s">
        <v>6</v>
      </c>
      <c r="H31" s="8" t="s">
        <v>7</v>
      </c>
      <c r="I31" s="9" t="s">
        <v>8</v>
      </c>
      <c r="J31" s="6" t="s">
        <v>9</v>
      </c>
      <c r="K31" s="10" t="s">
        <v>1</v>
      </c>
    </row>
    <row r="32" ht="15.75" customHeight="1">
      <c r="A32" s="11" t="s">
        <v>10</v>
      </c>
      <c r="B32" s="12"/>
      <c r="C32" s="13"/>
      <c r="D32" s="13"/>
      <c r="E32" s="13"/>
      <c r="F32" s="14"/>
      <c r="G32" s="15"/>
      <c r="H32" s="16"/>
      <c r="I32" s="17"/>
      <c r="J32" s="16"/>
      <c r="K32" s="18"/>
    </row>
    <row r="33" ht="15.75" customHeight="1">
      <c r="A33" s="11" t="s">
        <v>11</v>
      </c>
      <c r="B33" s="12"/>
      <c r="C33" s="13"/>
      <c r="D33" s="13"/>
      <c r="E33" s="13"/>
      <c r="F33" s="14"/>
      <c r="G33" s="15"/>
      <c r="H33" s="16"/>
      <c r="I33" s="17"/>
      <c r="J33" s="16"/>
      <c r="K33" s="18"/>
    </row>
    <row r="34" ht="15.75" customHeight="1">
      <c r="A34" s="11" t="s">
        <v>12</v>
      </c>
      <c r="B34" s="12"/>
      <c r="C34" s="13"/>
      <c r="D34" s="13"/>
      <c r="E34" s="13"/>
      <c r="F34" s="14"/>
      <c r="G34" s="15"/>
      <c r="H34" s="16"/>
      <c r="I34" s="17"/>
      <c r="J34" s="19"/>
      <c r="K34" s="18"/>
    </row>
    <row r="35" ht="15.75" customHeight="1">
      <c r="A35" s="11" t="s">
        <v>13</v>
      </c>
      <c r="B35" s="12"/>
      <c r="C35" s="13"/>
      <c r="D35" s="13"/>
      <c r="E35" s="13"/>
      <c r="F35" s="14"/>
      <c r="G35" s="15"/>
      <c r="H35" s="19"/>
      <c r="I35" s="17"/>
      <c r="J35" s="16"/>
      <c r="K35" s="18"/>
    </row>
    <row r="36" ht="15.75" customHeight="1">
      <c r="A36" s="11" t="s">
        <v>14</v>
      </c>
      <c r="B36" s="12"/>
      <c r="C36" s="13"/>
      <c r="D36" s="13"/>
      <c r="E36" s="13"/>
      <c r="F36" s="14"/>
      <c r="G36" s="15"/>
      <c r="H36" s="16"/>
      <c r="I36" s="17"/>
      <c r="J36" s="16"/>
      <c r="K36" s="18"/>
    </row>
    <row r="37" ht="15.75" customHeight="1">
      <c r="A37" s="11" t="s">
        <v>15</v>
      </c>
      <c r="B37" s="12"/>
      <c r="C37" s="13"/>
      <c r="D37" s="13"/>
      <c r="E37" s="13"/>
      <c r="F37" s="14"/>
      <c r="G37" s="15"/>
      <c r="H37" s="16"/>
      <c r="I37" s="17"/>
      <c r="J37" s="16"/>
      <c r="K37" s="18"/>
    </row>
    <row r="38" ht="15.75" customHeight="1">
      <c r="A38" s="11" t="s">
        <v>16</v>
      </c>
      <c r="B38" s="12"/>
      <c r="C38" s="13"/>
      <c r="D38" s="13"/>
      <c r="E38" s="13"/>
      <c r="F38" s="14"/>
      <c r="G38" s="15"/>
      <c r="H38" s="16"/>
      <c r="I38" s="17"/>
      <c r="J38" s="16"/>
      <c r="K38" s="18"/>
    </row>
    <row r="39" ht="15.75" customHeight="1">
      <c r="A39" s="11" t="s">
        <v>17</v>
      </c>
      <c r="B39" s="12"/>
      <c r="C39" s="13"/>
      <c r="D39" s="13"/>
      <c r="E39" s="13"/>
      <c r="F39" s="14"/>
      <c r="G39" s="15"/>
      <c r="H39" s="16"/>
      <c r="I39" s="17"/>
      <c r="J39" s="16"/>
      <c r="K39" s="18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K1"/>
    <mergeCell ref="A2:K2"/>
    <mergeCell ref="A3:B3"/>
    <mergeCell ref="A15:K15"/>
    <mergeCell ref="A16:K16"/>
    <mergeCell ref="A29:K29"/>
    <mergeCell ref="A30:K30"/>
    <mergeCell ref="A31:B31"/>
  </mergeCells>
  <dataValidations>
    <dataValidation type="list" allowBlank="1" showErrorMessage="1" sqref="D4:D11 D32:D39">
      <formula1>Keys!$A:$A</formula1>
    </dataValidation>
    <dataValidation type="list" allowBlank="1" showErrorMessage="1" sqref="E4:E11 E32:E39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Marin,Alice Peixoto da Silva Lobo"</formula1>
    </dataValidation>
    <dataValidation type="list" allowBlank="1" showErrorMessage="1" sqref="I18:I25">
      <formula1>"Não atendido,Atendido,Vagas livre,Desistência"</formula1>
    </dataValidation>
    <dataValidation type="list" allowBlank="1" showErrorMessage="1" sqref="C4:C11 C32:C39">
      <formula1>"Segunda,Terça,Quarta,Quinta,Sexta,Sábado"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.63"/>
    <col customWidth="1" min="2" max="2" width="12.63"/>
    <col customWidth="1" min="3" max="3" width="8.5"/>
    <col customWidth="1" min="4" max="4" width="24.5"/>
    <col customWidth="1" min="5" max="5" width="24.88"/>
    <col customWidth="1" min="6" max="6" width="12.63"/>
    <col customWidth="1" min="7" max="7" width="14.38"/>
    <col customWidth="1" min="8" max="8" width="32.5"/>
    <col customWidth="1" min="10" max="10" width="33.25"/>
    <col customWidth="1" min="11" max="11" width="15.25"/>
    <col customWidth="1" min="14" max="14" width="30.38"/>
  </cols>
  <sheetData>
    <row r="1" ht="36.0" customHeight="1">
      <c r="A1" s="31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</row>
    <row r="2" ht="31.5" customHeight="1">
      <c r="A2" s="32" t="s">
        <v>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10" t="s">
        <v>20</v>
      </c>
      <c r="L3" s="8" t="s">
        <v>25</v>
      </c>
      <c r="M3" s="8" t="s">
        <v>26</v>
      </c>
      <c r="N3" s="8" t="s">
        <v>27</v>
      </c>
      <c r="O3" s="9" t="s">
        <v>28</v>
      </c>
      <c r="P3" s="6" t="s">
        <v>29</v>
      </c>
      <c r="Q3" s="9" t="s">
        <v>30</v>
      </c>
    </row>
    <row r="4" ht="15.75" customHeight="1">
      <c r="A4" s="11" t="s">
        <v>10</v>
      </c>
      <c r="B4" s="12">
        <v>45919.0</v>
      </c>
      <c r="C4" s="13" t="s">
        <v>31</v>
      </c>
      <c r="D4" s="33" t="s">
        <v>32</v>
      </c>
      <c r="E4" s="13" t="s">
        <v>33</v>
      </c>
      <c r="F4" s="14">
        <v>0.3333333333333333</v>
      </c>
      <c r="G4" s="34">
        <v>8.01440496741239E14</v>
      </c>
      <c r="H4" s="35" t="s">
        <v>34</v>
      </c>
      <c r="I4" s="17">
        <v>16256.0</v>
      </c>
      <c r="J4" s="36" t="s">
        <v>35</v>
      </c>
      <c r="K4" s="18" t="s">
        <v>36</v>
      </c>
      <c r="L4" s="37" t="s">
        <v>37</v>
      </c>
      <c r="M4" s="38"/>
      <c r="N4" s="39" t="s">
        <v>38</v>
      </c>
      <c r="O4" s="40"/>
      <c r="P4" s="41"/>
      <c r="Q4" s="42"/>
    </row>
    <row r="5" ht="15.75" customHeight="1">
      <c r="A5" s="11" t="s">
        <v>11</v>
      </c>
      <c r="B5" s="12">
        <v>45919.0</v>
      </c>
      <c r="C5" s="13" t="s">
        <v>31</v>
      </c>
      <c r="D5" s="33" t="s">
        <v>32</v>
      </c>
      <c r="E5" s="13" t="s">
        <v>33</v>
      </c>
      <c r="F5" s="14">
        <v>0.3541666666666667</v>
      </c>
      <c r="G5" s="43">
        <v>7.02607241875341E14</v>
      </c>
      <c r="H5" s="44" t="s">
        <v>39</v>
      </c>
      <c r="I5" s="17">
        <v>16162.0</v>
      </c>
      <c r="J5" s="16" t="s">
        <v>40</v>
      </c>
      <c r="K5" s="18" t="s">
        <v>41</v>
      </c>
      <c r="L5" s="37" t="s">
        <v>42</v>
      </c>
      <c r="M5" s="45"/>
      <c r="N5" s="46"/>
      <c r="O5" s="47"/>
      <c r="P5" s="46"/>
      <c r="Q5" s="48"/>
    </row>
    <row r="6" ht="15.75" customHeight="1">
      <c r="A6" s="11" t="s">
        <v>12</v>
      </c>
      <c r="B6" s="12">
        <v>45919.0</v>
      </c>
      <c r="C6" s="13" t="s">
        <v>31</v>
      </c>
      <c r="D6" s="33" t="s">
        <v>32</v>
      </c>
      <c r="E6" s="13" t="s">
        <v>33</v>
      </c>
      <c r="F6" s="14">
        <v>0.375</v>
      </c>
      <c r="G6" s="43">
        <v>7.0840539469497E14</v>
      </c>
      <c r="H6" s="44" t="s">
        <v>43</v>
      </c>
      <c r="I6" s="17">
        <v>23582.0</v>
      </c>
      <c r="J6" s="19" t="s">
        <v>44</v>
      </c>
      <c r="K6" s="18" t="s">
        <v>41</v>
      </c>
      <c r="L6" s="37" t="s">
        <v>45</v>
      </c>
      <c r="M6" s="49"/>
      <c r="N6" s="50"/>
      <c r="O6" s="51"/>
      <c r="P6" s="50"/>
      <c r="Q6" s="52"/>
    </row>
    <row r="7" ht="15.75" customHeight="1">
      <c r="A7" s="11" t="s">
        <v>13</v>
      </c>
      <c r="B7" s="12">
        <v>45919.0</v>
      </c>
      <c r="C7" s="13" t="s">
        <v>31</v>
      </c>
      <c r="D7" s="33" t="s">
        <v>32</v>
      </c>
      <c r="E7" s="13" t="s">
        <v>33</v>
      </c>
      <c r="F7" s="14">
        <v>0.3958333333333333</v>
      </c>
      <c r="G7" s="53">
        <v>2.06882539240008E14</v>
      </c>
      <c r="H7" s="54" t="s">
        <v>46</v>
      </c>
      <c r="I7" s="17">
        <v>19518.0</v>
      </c>
      <c r="J7" s="55" t="s">
        <v>47</v>
      </c>
      <c r="K7" s="18" t="s">
        <v>41</v>
      </c>
      <c r="L7" s="37" t="s">
        <v>48</v>
      </c>
      <c r="M7" s="45"/>
      <c r="N7" s="56"/>
      <c r="O7" s="57"/>
      <c r="P7" s="56"/>
      <c r="Q7" s="48"/>
    </row>
    <row r="8" ht="15.75" customHeight="1">
      <c r="A8" s="11" t="s">
        <v>14</v>
      </c>
      <c r="B8" s="12">
        <v>45919.0</v>
      </c>
      <c r="C8" s="13" t="s">
        <v>31</v>
      </c>
      <c r="D8" s="33" t="s">
        <v>32</v>
      </c>
      <c r="E8" s="13" t="s">
        <v>33</v>
      </c>
      <c r="F8" s="14">
        <v>0.4166666666666667</v>
      </c>
      <c r="G8" s="53">
        <v>1.25455019580005E14</v>
      </c>
      <c r="H8" s="54" t="s">
        <v>49</v>
      </c>
      <c r="I8" s="17">
        <v>19175.0</v>
      </c>
      <c r="J8" s="55" t="s">
        <v>50</v>
      </c>
      <c r="K8" s="18" t="s">
        <v>36</v>
      </c>
      <c r="L8" s="37" t="s">
        <v>51</v>
      </c>
      <c r="M8" s="58"/>
      <c r="N8" s="59" t="s">
        <v>52</v>
      </c>
      <c r="O8" s="51"/>
      <c r="P8" s="59"/>
      <c r="Q8" s="60"/>
    </row>
    <row r="9" ht="15.75" customHeight="1">
      <c r="A9" s="11" t="s">
        <v>15</v>
      </c>
      <c r="B9" s="12">
        <v>45919.0</v>
      </c>
      <c r="C9" s="13" t="s">
        <v>31</v>
      </c>
      <c r="D9" s="33" t="s">
        <v>32</v>
      </c>
      <c r="E9" s="13" t="s">
        <v>33</v>
      </c>
      <c r="F9" s="14">
        <v>0.4375</v>
      </c>
      <c r="G9" s="53">
        <v>8.01440493365155E14</v>
      </c>
      <c r="H9" s="54" t="s">
        <v>53</v>
      </c>
      <c r="I9" s="17">
        <v>12510.0</v>
      </c>
      <c r="J9" s="55" t="s">
        <v>54</v>
      </c>
      <c r="K9" s="18" t="s">
        <v>41</v>
      </c>
      <c r="L9" s="18" t="s">
        <v>55</v>
      </c>
      <c r="M9" s="45"/>
      <c r="N9" s="56"/>
      <c r="O9" s="57"/>
      <c r="P9" s="56"/>
      <c r="Q9" s="48"/>
    </row>
    <row r="10" ht="15.75" customHeight="1">
      <c r="A10" s="11" t="s">
        <v>16</v>
      </c>
      <c r="B10" s="12">
        <v>45919.0</v>
      </c>
      <c r="C10" s="13" t="s">
        <v>31</v>
      </c>
      <c r="D10" s="33" t="s">
        <v>32</v>
      </c>
      <c r="E10" s="13" t="s">
        <v>33</v>
      </c>
      <c r="F10" s="14">
        <v>0.4583333333333333</v>
      </c>
      <c r="G10" s="53">
        <v>2.06882030480007E14</v>
      </c>
      <c r="H10" s="54" t="s">
        <v>56</v>
      </c>
      <c r="I10" s="17">
        <v>21475.0</v>
      </c>
      <c r="J10" s="55" t="s">
        <v>57</v>
      </c>
      <c r="K10" s="18" t="s">
        <v>41</v>
      </c>
      <c r="L10" s="37" t="s">
        <v>58</v>
      </c>
      <c r="M10" s="58"/>
      <c r="N10" s="59"/>
      <c r="O10" s="51"/>
      <c r="P10" s="59"/>
      <c r="Q10" s="60"/>
    </row>
    <row r="11" ht="15.75" customHeight="1">
      <c r="A11" s="11" t="s">
        <v>17</v>
      </c>
      <c r="B11" s="12">
        <v>45919.0</v>
      </c>
      <c r="C11" s="13" t="s">
        <v>31</v>
      </c>
      <c r="D11" s="33" t="s">
        <v>32</v>
      </c>
      <c r="E11" s="13" t="s">
        <v>33</v>
      </c>
      <c r="F11" s="14">
        <v>0.4791666666666667</v>
      </c>
      <c r="G11" s="61">
        <v>1.05612898480004E14</v>
      </c>
      <c r="H11" s="54" t="s">
        <v>59</v>
      </c>
      <c r="I11" s="17">
        <v>17552.0</v>
      </c>
      <c r="J11" s="55" t="s">
        <v>60</v>
      </c>
      <c r="K11" s="18" t="s">
        <v>36</v>
      </c>
      <c r="L11" s="37" t="s">
        <v>61</v>
      </c>
      <c r="M11" s="45"/>
      <c r="N11" s="56" t="s">
        <v>62</v>
      </c>
      <c r="O11" s="57"/>
      <c r="P11" s="56"/>
      <c r="Q11" s="48"/>
    </row>
    <row r="12" ht="15.75" customHeight="1">
      <c r="D12" s="62"/>
    </row>
    <row r="13" ht="15.75" customHeight="1">
      <c r="D13" s="62"/>
    </row>
    <row r="14" ht="15.75" customHeight="1">
      <c r="D14" s="62"/>
      <c r="H14" s="63"/>
    </row>
    <row r="15" ht="15.75" customHeight="1">
      <c r="D15" s="62"/>
    </row>
    <row r="16" ht="15.75" customHeight="1">
      <c r="D16" s="62"/>
    </row>
    <row r="17" ht="15.75" customHeight="1">
      <c r="D17" s="62"/>
    </row>
    <row r="18" ht="15.75" customHeight="1">
      <c r="D18" s="62"/>
    </row>
    <row r="19" ht="15.75" customHeight="1">
      <c r="D19" s="62"/>
    </row>
    <row r="20" ht="15.75" customHeight="1">
      <c r="D20" s="62"/>
    </row>
    <row r="21" ht="15.75" customHeight="1">
      <c r="D21" s="62"/>
    </row>
    <row r="22" ht="15.75" customHeight="1">
      <c r="D22" s="62"/>
    </row>
    <row r="23" ht="15.75" customHeight="1">
      <c r="D23" s="62"/>
    </row>
    <row r="24" ht="15.75" customHeight="1">
      <c r="D24" s="62"/>
    </row>
    <row r="25" ht="15.75" customHeight="1">
      <c r="D25" s="62"/>
    </row>
    <row r="26" ht="15.75" customHeight="1">
      <c r="D26" s="62"/>
    </row>
    <row r="27" ht="15.75" customHeight="1">
      <c r="D27" s="62"/>
    </row>
    <row r="28" ht="15.75" customHeight="1">
      <c r="D28" s="62"/>
    </row>
    <row r="29" ht="15.75" customHeight="1">
      <c r="D29" s="62"/>
    </row>
    <row r="30" ht="15.75" customHeight="1">
      <c r="D30" s="62"/>
    </row>
    <row r="31" ht="15.75" customHeight="1">
      <c r="D31" s="62"/>
    </row>
    <row r="32" ht="15.75" customHeight="1">
      <c r="D32" s="62"/>
    </row>
    <row r="33" ht="15.75" customHeight="1">
      <c r="D33" s="62"/>
    </row>
    <row r="34" ht="15.75" customHeight="1">
      <c r="D34" s="62"/>
    </row>
    <row r="35" ht="15.75" customHeight="1">
      <c r="D35" s="62"/>
    </row>
    <row r="36" ht="15.75" customHeight="1">
      <c r="D36" s="62"/>
    </row>
    <row r="37" ht="15.75" customHeight="1">
      <c r="D37" s="62"/>
    </row>
    <row r="38" ht="15.75" customHeight="1">
      <c r="D38" s="62"/>
    </row>
    <row r="39" ht="15.75" customHeight="1">
      <c r="D39" s="62"/>
    </row>
    <row r="40" ht="15.75" customHeight="1">
      <c r="D40" s="62"/>
    </row>
    <row r="41" ht="15.75" customHeight="1">
      <c r="D41" s="62"/>
    </row>
    <row r="42" ht="15.75" customHeight="1">
      <c r="D42" s="62"/>
    </row>
    <row r="43" ht="15.75" customHeight="1">
      <c r="D43" s="62"/>
    </row>
    <row r="44" ht="15.75" customHeight="1">
      <c r="D44" s="62"/>
    </row>
    <row r="45" ht="15.75" customHeight="1">
      <c r="D45" s="62"/>
    </row>
    <row r="46" ht="15.75" customHeight="1">
      <c r="D46" s="62"/>
    </row>
    <row r="47" ht="15.75" customHeight="1">
      <c r="D47" s="62"/>
    </row>
    <row r="48" ht="15.75" customHeight="1">
      <c r="D48" s="62"/>
    </row>
    <row r="49" ht="15.75" customHeight="1">
      <c r="D49" s="62"/>
    </row>
    <row r="50" ht="15.75" customHeight="1">
      <c r="D50" s="62"/>
    </row>
    <row r="51" ht="15.75" customHeight="1">
      <c r="D51" s="62"/>
    </row>
    <row r="52" ht="15.75" customHeight="1">
      <c r="D52" s="62"/>
    </row>
    <row r="53" ht="15.75" customHeight="1">
      <c r="D53" s="62"/>
    </row>
    <row r="54" ht="15.75" customHeight="1">
      <c r="D54" s="62"/>
    </row>
    <row r="55" ht="15.75" customHeight="1">
      <c r="D55" s="62"/>
    </row>
    <row r="56" ht="15.75" customHeight="1">
      <c r="D56" s="62"/>
    </row>
    <row r="57" ht="15.75" customHeight="1">
      <c r="D57" s="62"/>
    </row>
    <row r="58" ht="15.75" customHeight="1">
      <c r="D58" s="62"/>
    </row>
    <row r="59" ht="15.75" customHeight="1">
      <c r="D59" s="62"/>
    </row>
    <row r="60" ht="15.75" customHeight="1">
      <c r="D60" s="62"/>
    </row>
    <row r="61" ht="15.75" customHeight="1">
      <c r="D61" s="62"/>
    </row>
    <row r="62" ht="15.75" customHeight="1">
      <c r="D62" s="62"/>
    </row>
    <row r="63" ht="15.75" customHeight="1">
      <c r="D63" s="62"/>
    </row>
    <row r="64" ht="15.75" customHeight="1">
      <c r="D64" s="62"/>
    </row>
    <row r="65" ht="15.75" customHeight="1">
      <c r="D65" s="62"/>
    </row>
    <row r="66" ht="15.75" customHeight="1">
      <c r="D66" s="62"/>
    </row>
    <row r="67" ht="15.75" customHeight="1">
      <c r="D67" s="62"/>
    </row>
    <row r="68" ht="15.75" customHeight="1">
      <c r="D68" s="62"/>
    </row>
    <row r="69" ht="15.75" customHeight="1">
      <c r="D69" s="62"/>
    </row>
    <row r="70" ht="15.75" customHeight="1">
      <c r="D70" s="62"/>
    </row>
    <row r="71" ht="15.75" customHeight="1">
      <c r="D71" s="62"/>
    </row>
    <row r="72" ht="15.75" customHeight="1">
      <c r="D72" s="62"/>
    </row>
    <row r="73" ht="15.75" customHeight="1">
      <c r="D73" s="62"/>
    </row>
    <row r="74" ht="15.75" customHeight="1">
      <c r="D74" s="62"/>
    </row>
    <row r="75" ht="15.75" customHeight="1">
      <c r="D75" s="62"/>
    </row>
    <row r="76" ht="15.75" customHeight="1">
      <c r="D76" s="62"/>
    </row>
    <row r="77" ht="15.75" customHeight="1">
      <c r="D77" s="62"/>
    </row>
    <row r="78" ht="15.75" customHeight="1">
      <c r="D78" s="62"/>
    </row>
    <row r="79" ht="15.75" customHeight="1">
      <c r="D79" s="62"/>
    </row>
    <row r="80" ht="15.75" customHeight="1">
      <c r="D80" s="62"/>
    </row>
    <row r="81" ht="15.75" customHeight="1">
      <c r="D81" s="62"/>
    </row>
    <row r="82" ht="15.75" customHeight="1">
      <c r="D82" s="62"/>
    </row>
    <row r="83" ht="15.75" customHeight="1">
      <c r="D83" s="62"/>
    </row>
    <row r="84" ht="15.75" customHeight="1">
      <c r="D84" s="62"/>
    </row>
    <row r="85" ht="15.75" customHeight="1">
      <c r="D85" s="62"/>
    </row>
    <row r="86" ht="15.75" customHeight="1">
      <c r="D86" s="62"/>
    </row>
    <row r="87" ht="15.75" customHeight="1">
      <c r="D87" s="62"/>
    </row>
    <row r="88" ht="15.75" customHeight="1">
      <c r="D88" s="62"/>
    </row>
    <row r="89" ht="15.75" customHeight="1">
      <c r="D89" s="62"/>
    </row>
    <row r="90" ht="15.75" customHeight="1">
      <c r="D90" s="62"/>
    </row>
    <row r="91" ht="15.75" customHeight="1">
      <c r="D91" s="62"/>
    </row>
    <row r="92" ht="15.75" customHeight="1">
      <c r="D92" s="62"/>
    </row>
    <row r="93" ht="15.75" customHeight="1">
      <c r="D93" s="62"/>
    </row>
    <row r="94" ht="15.75" customHeight="1">
      <c r="D94" s="62"/>
    </row>
    <row r="95" ht="15.75" customHeight="1">
      <c r="D95" s="62"/>
    </row>
    <row r="96" ht="15.75" customHeight="1">
      <c r="D96" s="62"/>
    </row>
    <row r="97" ht="15.75" customHeight="1">
      <c r="D97" s="62"/>
    </row>
    <row r="98" ht="15.75" customHeight="1">
      <c r="D98" s="62"/>
    </row>
    <row r="99" ht="15.75" customHeight="1">
      <c r="D99" s="62"/>
    </row>
    <row r="100" ht="15.75" customHeight="1">
      <c r="D100" s="62"/>
    </row>
    <row r="101" ht="15.75" customHeight="1">
      <c r="D101" s="62"/>
    </row>
    <row r="102" ht="15.75" customHeight="1">
      <c r="D102" s="62"/>
    </row>
    <row r="103" ht="15.75" customHeight="1">
      <c r="D103" s="62"/>
    </row>
    <row r="104" ht="15.75" customHeight="1">
      <c r="D104" s="62"/>
    </row>
    <row r="105" ht="15.75" customHeight="1">
      <c r="D105" s="62"/>
    </row>
    <row r="106" ht="15.75" customHeight="1">
      <c r="D106" s="62"/>
    </row>
    <row r="107" ht="15.75" customHeight="1">
      <c r="D107" s="62"/>
    </row>
    <row r="108" ht="15.75" customHeight="1">
      <c r="D108" s="62"/>
    </row>
    <row r="109" ht="15.75" customHeight="1">
      <c r="D109" s="62"/>
    </row>
    <row r="110" ht="15.75" customHeight="1">
      <c r="D110" s="62"/>
    </row>
    <row r="111" ht="15.75" customHeight="1">
      <c r="D111" s="62"/>
    </row>
    <row r="112" ht="15.75" customHeight="1">
      <c r="D112" s="62"/>
    </row>
    <row r="113" ht="15.75" customHeight="1">
      <c r="D113" s="62"/>
    </row>
    <row r="114" ht="15.75" customHeight="1">
      <c r="D114" s="62"/>
    </row>
    <row r="115" ht="15.75" customHeight="1">
      <c r="D115" s="62"/>
    </row>
    <row r="116" ht="15.75" customHeight="1">
      <c r="D116" s="62"/>
    </row>
    <row r="117" ht="15.75" customHeight="1">
      <c r="D117" s="62"/>
    </row>
    <row r="118" ht="15.75" customHeight="1">
      <c r="D118" s="62"/>
    </row>
    <row r="119" ht="15.75" customHeight="1">
      <c r="D119" s="62"/>
    </row>
    <row r="120" ht="15.75" customHeight="1">
      <c r="D120" s="62"/>
    </row>
    <row r="121" ht="15.75" customHeight="1">
      <c r="D121" s="62"/>
    </row>
    <row r="122" ht="15.75" customHeight="1">
      <c r="D122" s="62"/>
    </row>
    <row r="123" ht="15.75" customHeight="1">
      <c r="D123" s="62"/>
    </row>
    <row r="124" ht="15.75" customHeight="1">
      <c r="D124" s="62"/>
    </row>
    <row r="125" ht="15.75" customHeight="1">
      <c r="D125" s="62"/>
    </row>
    <row r="126" ht="15.75" customHeight="1">
      <c r="D126" s="62"/>
    </row>
    <row r="127" ht="15.75" customHeight="1">
      <c r="D127" s="62"/>
    </row>
    <row r="128" ht="15.75" customHeight="1">
      <c r="D128" s="62"/>
    </row>
    <row r="129" ht="15.75" customHeight="1">
      <c r="D129" s="62"/>
    </row>
    <row r="130" ht="15.75" customHeight="1">
      <c r="D130" s="62"/>
    </row>
    <row r="131" ht="15.75" customHeight="1">
      <c r="D131" s="62"/>
    </row>
    <row r="132" ht="15.75" customHeight="1">
      <c r="D132" s="62"/>
    </row>
    <row r="133" ht="15.75" customHeight="1">
      <c r="D133" s="62"/>
    </row>
    <row r="134" ht="15.75" customHeight="1">
      <c r="D134" s="62"/>
    </row>
    <row r="135" ht="15.75" customHeight="1">
      <c r="D135" s="62"/>
    </row>
    <row r="136" ht="15.75" customHeight="1">
      <c r="D136" s="62"/>
    </row>
    <row r="137" ht="15.75" customHeight="1">
      <c r="D137" s="62"/>
    </row>
    <row r="138" ht="15.75" customHeight="1">
      <c r="D138" s="62"/>
    </row>
    <row r="139" ht="15.75" customHeight="1">
      <c r="D139" s="62"/>
    </row>
    <row r="140" ht="15.75" customHeight="1">
      <c r="D140" s="62"/>
    </row>
    <row r="141" ht="15.75" customHeight="1">
      <c r="D141" s="62"/>
    </row>
    <row r="142" ht="15.75" customHeight="1">
      <c r="D142" s="62"/>
    </row>
    <row r="143" ht="15.75" customHeight="1">
      <c r="D143" s="62"/>
    </row>
    <row r="144" ht="15.75" customHeight="1">
      <c r="D144" s="62"/>
    </row>
    <row r="145" ht="15.75" customHeight="1">
      <c r="D145" s="62"/>
    </row>
    <row r="146" ht="15.75" customHeight="1">
      <c r="D146" s="62"/>
    </row>
    <row r="147" ht="15.75" customHeight="1">
      <c r="D147" s="62"/>
    </row>
    <row r="148" ht="15.75" customHeight="1">
      <c r="D148" s="62"/>
    </row>
    <row r="149" ht="15.75" customHeight="1">
      <c r="D149" s="62"/>
    </row>
    <row r="150" ht="15.75" customHeight="1">
      <c r="D150" s="62"/>
    </row>
    <row r="151" ht="15.75" customHeight="1">
      <c r="D151" s="62"/>
    </row>
    <row r="152" ht="15.75" customHeight="1">
      <c r="D152" s="62"/>
    </row>
    <row r="153" ht="15.75" customHeight="1">
      <c r="D153" s="62"/>
    </row>
    <row r="154" ht="15.75" customHeight="1">
      <c r="D154" s="62"/>
    </row>
    <row r="155" ht="15.75" customHeight="1">
      <c r="D155" s="62"/>
    </row>
    <row r="156" ht="15.75" customHeight="1">
      <c r="D156" s="62"/>
    </row>
    <row r="157" ht="15.75" customHeight="1">
      <c r="D157" s="62"/>
    </row>
    <row r="158" ht="15.75" customHeight="1">
      <c r="D158" s="62"/>
    </row>
    <row r="159" ht="15.75" customHeight="1">
      <c r="D159" s="62"/>
    </row>
    <row r="160" ht="15.75" customHeight="1">
      <c r="D160" s="62"/>
    </row>
    <row r="161" ht="15.75" customHeight="1">
      <c r="D161" s="62"/>
    </row>
    <row r="162" ht="15.75" customHeight="1">
      <c r="D162" s="62"/>
    </row>
    <row r="163" ht="15.75" customHeight="1">
      <c r="D163" s="62"/>
    </row>
    <row r="164" ht="15.75" customHeight="1">
      <c r="D164" s="62"/>
    </row>
    <row r="165" ht="15.75" customHeight="1">
      <c r="D165" s="62"/>
    </row>
    <row r="166" ht="15.75" customHeight="1">
      <c r="D166" s="62"/>
    </row>
    <row r="167" ht="15.75" customHeight="1">
      <c r="D167" s="62"/>
    </row>
    <row r="168" ht="15.75" customHeight="1">
      <c r="D168" s="62"/>
    </row>
    <row r="169" ht="15.75" customHeight="1">
      <c r="D169" s="62"/>
    </row>
    <row r="170" ht="15.75" customHeight="1">
      <c r="D170" s="62"/>
    </row>
    <row r="171" ht="15.75" customHeight="1">
      <c r="D171" s="62"/>
    </row>
    <row r="172" ht="15.75" customHeight="1">
      <c r="D172" s="62"/>
    </row>
    <row r="173" ht="15.75" customHeight="1">
      <c r="D173" s="62"/>
    </row>
    <row r="174" ht="15.75" customHeight="1">
      <c r="D174" s="62"/>
    </row>
    <row r="175" ht="15.75" customHeight="1">
      <c r="D175" s="62"/>
    </row>
    <row r="176" ht="15.75" customHeight="1">
      <c r="D176" s="62"/>
    </row>
    <row r="177" ht="15.75" customHeight="1">
      <c r="D177" s="62"/>
    </row>
    <row r="178" ht="15.75" customHeight="1">
      <c r="D178" s="62"/>
    </row>
    <row r="179" ht="15.75" customHeight="1">
      <c r="D179" s="62"/>
    </row>
    <row r="180" ht="15.75" customHeight="1">
      <c r="D180" s="62"/>
    </row>
    <row r="181" ht="15.75" customHeight="1">
      <c r="D181" s="62"/>
    </row>
    <row r="182" ht="15.75" customHeight="1">
      <c r="D182" s="62"/>
    </row>
    <row r="183" ht="15.75" customHeight="1">
      <c r="D183" s="62"/>
    </row>
    <row r="184" ht="15.75" customHeight="1">
      <c r="D184" s="62"/>
    </row>
    <row r="185" ht="15.75" customHeight="1">
      <c r="D185" s="62"/>
    </row>
    <row r="186" ht="15.75" customHeight="1">
      <c r="D186" s="62"/>
    </row>
    <row r="187" ht="15.75" customHeight="1">
      <c r="D187" s="62"/>
    </row>
    <row r="188" ht="15.75" customHeight="1">
      <c r="D188" s="62"/>
    </row>
    <row r="189" ht="15.75" customHeight="1">
      <c r="D189" s="62"/>
    </row>
    <row r="190" ht="15.75" customHeight="1">
      <c r="D190" s="62"/>
    </row>
    <row r="191" ht="15.75" customHeight="1">
      <c r="D191" s="62"/>
    </row>
    <row r="192" ht="15.75" customHeight="1">
      <c r="D192" s="62"/>
    </row>
    <row r="193" ht="15.75" customHeight="1">
      <c r="D193" s="62"/>
    </row>
    <row r="194" ht="15.75" customHeight="1">
      <c r="D194" s="62"/>
    </row>
    <row r="195" ht="15.75" customHeight="1">
      <c r="D195" s="62"/>
    </row>
    <row r="196" ht="15.75" customHeight="1">
      <c r="D196" s="62"/>
    </row>
    <row r="197" ht="15.75" customHeight="1">
      <c r="D197" s="62"/>
    </row>
    <row r="198" ht="15.75" customHeight="1">
      <c r="D198" s="62"/>
    </row>
    <row r="199" ht="15.75" customHeight="1">
      <c r="D199" s="62"/>
    </row>
    <row r="200" ht="15.75" customHeight="1">
      <c r="D200" s="62"/>
    </row>
    <row r="201" ht="15.75" customHeight="1">
      <c r="D201" s="62"/>
    </row>
    <row r="202" ht="15.75" customHeight="1">
      <c r="D202" s="62"/>
    </row>
    <row r="203" ht="15.75" customHeight="1">
      <c r="D203" s="62"/>
    </row>
    <row r="204" ht="15.75" customHeight="1">
      <c r="D204" s="62"/>
    </row>
    <row r="205" ht="15.75" customHeight="1">
      <c r="D205" s="62"/>
    </row>
    <row r="206" ht="15.75" customHeight="1">
      <c r="D206" s="62"/>
    </row>
    <row r="207" ht="15.75" customHeight="1">
      <c r="D207" s="62"/>
    </row>
    <row r="208" ht="15.75" customHeight="1">
      <c r="D208" s="62"/>
    </row>
    <row r="209" ht="15.75" customHeight="1">
      <c r="D209" s="62"/>
    </row>
    <row r="210" ht="15.75" customHeight="1">
      <c r="D210" s="62"/>
    </row>
    <row r="211" ht="15.75" customHeight="1">
      <c r="D211" s="62"/>
    </row>
    <row r="212" ht="15.75" customHeight="1">
      <c r="D212" s="62"/>
    </row>
    <row r="213" ht="15.75" customHeight="1">
      <c r="D213" s="62"/>
    </row>
    <row r="214" ht="15.75" customHeight="1">
      <c r="D214" s="62"/>
    </row>
    <row r="215" ht="15.75" customHeight="1">
      <c r="D215" s="62"/>
    </row>
    <row r="216" ht="15.75" customHeight="1">
      <c r="D216" s="62"/>
    </row>
    <row r="217" ht="15.75" customHeight="1">
      <c r="D217" s="62"/>
    </row>
    <row r="218" ht="15.75" customHeight="1">
      <c r="D218" s="62"/>
    </row>
    <row r="219" ht="15.75" customHeight="1">
      <c r="D219" s="62"/>
    </row>
    <row r="220" ht="15.75" customHeight="1">
      <c r="D220" s="6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Q1"/>
    <mergeCell ref="A2:Q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Marin,ALICE PEIXOTO DA SILVA LOBO"</formula1>
    </dataValidation>
    <dataValidation type="list" allowBlank="1" showErrorMessage="1" sqref="K4:K11">
      <formula1>"Atendido,Não atendindo"</formula1>
    </dataValidation>
    <dataValidation type="list" allowBlank="1" showErrorMessage="1" sqref="C4:C11">
      <formula1>"Segunda,Terça,Quarta,Quinta,Sexta,Sábado"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5"/>
    <col customWidth="1" min="2" max="2" width="30.0"/>
    <col customWidth="1" min="3" max="3" width="11.63"/>
    <col customWidth="1" min="4" max="4" width="8.75"/>
    <col customWidth="1" min="5" max="6" width="18.63"/>
    <col customWidth="1" min="7" max="7" width="33.38"/>
    <col customWidth="1" min="8" max="8" width="13.88"/>
    <col customWidth="1" min="9" max="9" width="18.63"/>
    <col customWidth="1" min="10" max="10" width="15.13"/>
    <col customWidth="1" min="11" max="11" width="23.13"/>
    <col customWidth="1" min="13" max="13" width="17.75"/>
    <col customWidth="1" min="14" max="14" width="31.63"/>
  </cols>
  <sheetData>
    <row r="1" ht="15.75" customHeight="1">
      <c r="A1" s="31" t="s">
        <v>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15.75" customHeight="1">
      <c r="A2" s="64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</row>
    <row r="3" ht="15.75" customHeight="1">
      <c r="A3" s="65"/>
      <c r="B3" s="7" t="s">
        <v>3</v>
      </c>
      <c r="C3" s="6" t="s">
        <v>2</v>
      </c>
      <c r="D3" s="8" t="s">
        <v>5</v>
      </c>
      <c r="E3" s="8"/>
      <c r="F3" s="8" t="s">
        <v>6</v>
      </c>
      <c r="G3" s="66" t="s">
        <v>7</v>
      </c>
      <c r="H3" s="9" t="s">
        <v>8</v>
      </c>
      <c r="I3" s="67" t="s">
        <v>20</v>
      </c>
      <c r="J3" s="8" t="s">
        <v>25</v>
      </c>
      <c r="K3" s="8" t="s">
        <v>26</v>
      </c>
      <c r="L3" s="9" t="s">
        <v>28</v>
      </c>
      <c r="M3" s="6" t="s">
        <v>29</v>
      </c>
      <c r="N3" s="9" t="s">
        <v>30</v>
      </c>
    </row>
    <row r="4" ht="15.75" customHeight="1">
      <c r="A4" s="11" t="s">
        <v>10</v>
      </c>
      <c r="B4" s="68" t="s">
        <v>65</v>
      </c>
      <c r="C4" s="69" t="s">
        <v>66</v>
      </c>
      <c r="D4" s="70">
        <v>0.3333333333333333</v>
      </c>
      <c r="E4" s="71"/>
      <c r="F4" s="71">
        <v>7.08203652384642E14</v>
      </c>
      <c r="G4" s="44" t="s">
        <v>67</v>
      </c>
      <c r="H4" s="72">
        <v>18690.0</v>
      </c>
      <c r="I4" s="18" t="s">
        <v>36</v>
      </c>
      <c r="J4" s="37" t="s">
        <v>68</v>
      </c>
      <c r="K4" s="38"/>
      <c r="L4" s="73"/>
      <c r="M4" s="41"/>
      <c r="N4" s="42"/>
    </row>
    <row r="5" ht="17.25" customHeight="1">
      <c r="A5" s="11" t="s">
        <v>11</v>
      </c>
      <c r="B5" s="68" t="s">
        <v>69</v>
      </c>
      <c r="C5" s="69" t="s">
        <v>66</v>
      </c>
      <c r="D5" s="70">
        <v>0.3472222222222222</v>
      </c>
      <c r="E5" s="71"/>
      <c r="F5" s="71">
        <v>7.0260225167534E14</v>
      </c>
      <c r="G5" s="74" t="s">
        <v>70</v>
      </c>
      <c r="H5" s="72">
        <v>29657.0</v>
      </c>
      <c r="I5" s="18" t="s">
        <v>36</v>
      </c>
      <c r="J5" s="37" t="s">
        <v>71</v>
      </c>
      <c r="K5" s="45"/>
      <c r="L5" s="47"/>
      <c r="M5" s="46"/>
      <c r="N5" s="48"/>
    </row>
    <row r="6" ht="18.75" customHeight="1">
      <c r="A6" s="11" t="s">
        <v>12</v>
      </c>
      <c r="B6" s="68" t="s">
        <v>72</v>
      </c>
      <c r="C6" s="69" t="s">
        <v>66</v>
      </c>
      <c r="D6" s="70">
        <v>0.3611111111111111</v>
      </c>
      <c r="E6" s="75"/>
      <c r="F6" s="75">
        <v>7.0270867739076E14</v>
      </c>
      <c r="G6" s="76" t="s">
        <v>73</v>
      </c>
      <c r="H6" s="77">
        <v>26535.0</v>
      </c>
      <c r="I6" s="18" t="s">
        <v>41</v>
      </c>
      <c r="J6" s="37"/>
      <c r="K6" s="49"/>
      <c r="L6" s="51"/>
      <c r="M6" s="50"/>
      <c r="N6" s="52"/>
    </row>
    <row r="7" ht="15.75" customHeight="1">
      <c r="A7" s="11" t="s">
        <v>13</v>
      </c>
      <c r="B7" s="68" t="s">
        <v>65</v>
      </c>
      <c r="C7" s="69" t="s">
        <v>66</v>
      </c>
      <c r="D7" s="70">
        <v>0.375</v>
      </c>
      <c r="E7" s="71"/>
      <c r="F7" s="71">
        <v>2.0687732268E14</v>
      </c>
      <c r="G7" s="74" t="s">
        <v>74</v>
      </c>
      <c r="H7" s="78">
        <v>22434.0</v>
      </c>
      <c r="I7" s="18" t="s">
        <v>41</v>
      </c>
      <c r="J7" s="37" t="s">
        <v>75</v>
      </c>
      <c r="K7" s="45"/>
      <c r="L7" s="57"/>
      <c r="M7" s="56"/>
      <c r="N7" s="48"/>
    </row>
    <row r="8" ht="15.75" customHeight="1">
      <c r="A8" s="11" t="s">
        <v>14</v>
      </c>
      <c r="B8" s="68" t="s">
        <v>69</v>
      </c>
      <c r="C8" s="69" t="s">
        <v>66</v>
      </c>
      <c r="D8" s="70">
        <v>0.3888888888888889</v>
      </c>
      <c r="E8" s="79"/>
      <c r="F8" s="79">
        <v>1.24093223970006E14</v>
      </c>
      <c r="G8" s="74" t="s">
        <v>76</v>
      </c>
      <c r="H8" s="72">
        <v>23453.0</v>
      </c>
      <c r="I8" s="18"/>
      <c r="J8" s="37" t="s">
        <v>77</v>
      </c>
      <c r="K8" s="58"/>
      <c r="L8" s="51"/>
      <c r="M8" s="59"/>
      <c r="N8" s="60"/>
    </row>
    <row r="9" ht="15.75" customHeight="1">
      <c r="A9" s="11" t="s">
        <v>15</v>
      </c>
      <c r="B9" s="68" t="s">
        <v>72</v>
      </c>
      <c r="C9" s="69" t="s">
        <v>66</v>
      </c>
      <c r="D9" s="70">
        <v>0.4027777777777778</v>
      </c>
      <c r="E9" s="79"/>
      <c r="F9" s="79">
        <v>7.0500901060145E14</v>
      </c>
      <c r="G9" s="74" t="s">
        <v>78</v>
      </c>
      <c r="H9" s="78">
        <v>25096.0</v>
      </c>
      <c r="I9" s="18" t="s">
        <v>36</v>
      </c>
      <c r="J9" s="37"/>
      <c r="K9" s="45" t="s">
        <v>79</v>
      </c>
      <c r="L9" s="57">
        <v>45944.0</v>
      </c>
      <c r="M9" s="56" t="s">
        <v>80</v>
      </c>
      <c r="N9" s="48"/>
    </row>
    <row r="10" ht="15.75" customHeight="1">
      <c r="A10" s="11" t="s">
        <v>16</v>
      </c>
      <c r="B10" s="68" t="s">
        <v>65</v>
      </c>
      <c r="C10" s="69" t="s">
        <v>66</v>
      </c>
      <c r="D10" s="70">
        <v>0.4166666666666667</v>
      </c>
      <c r="E10" s="71"/>
      <c r="F10" s="71">
        <v>7.02507344720937E14</v>
      </c>
      <c r="G10" s="74" t="s">
        <v>81</v>
      </c>
      <c r="H10" s="72">
        <v>21065.0</v>
      </c>
      <c r="I10" s="18" t="s">
        <v>41</v>
      </c>
      <c r="J10" s="37" t="s">
        <v>82</v>
      </c>
      <c r="K10" s="58"/>
      <c r="L10" s="51"/>
      <c r="M10" s="59"/>
      <c r="N10" s="60"/>
    </row>
    <row r="11" ht="15.75" customHeight="1">
      <c r="A11" s="11" t="s">
        <v>17</v>
      </c>
      <c r="B11" s="68" t="s">
        <v>32</v>
      </c>
      <c r="C11" s="69" t="s">
        <v>66</v>
      </c>
      <c r="D11" s="70">
        <v>0.4305555555555556</v>
      </c>
      <c r="E11" s="80"/>
      <c r="F11" s="80">
        <v>8.01440407477123E14</v>
      </c>
      <c r="G11" s="74" t="s">
        <v>83</v>
      </c>
      <c r="H11" s="78">
        <v>30591.0</v>
      </c>
      <c r="I11" s="18"/>
      <c r="J11" s="37" t="s">
        <v>84</v>
      </c>
      <c r="K11" s="81"/>
      <c r="L11" s="82"/>
      <c r="M11" s="83"/>
      <c r="N11" s="84"/>
    </row>
    <row r="12" ht="15.75" customHeight="1">
      <c r="A12" s="11" t="s">
        <v>85</v>
      </c>
      <c r="B12" s="68" t="s">
        <v>72</v>
      </c>
      <c r="C12" s="69" t="s">
        <v>66</v>
      </c>
      <c r="D12" s="70">
        <v>0.4444444444444444</v>
      </c>
      <c r="E12" s="80"/>
      <c r="F12" s="80">
        <v>8.98002999524082E14</v>
      </c>
      <c r="G12" s="74" t="s">
        <v>86</v>
      </c>
      <c r="H12" s="78">
        <v>30174.0</v>
      </c>
      <c r="I12" s="18" t="s">
        <v>41</v>
      </c>
      <c r="J12" s="37"/>
      <c r="K12" s="58"/>
      <c r="L12" s="51"/>
      <c r="M12" s="59"/>
      <c r="N12" s="60"/>
    </row>
    <row r="13" ht="15.75" customHeight="1">
      <c r="A13" s="11" t="s">
        <v>87</v>
      </c>
      <c r="B13" s="68" t="s">
        <v>32</v>
      </c>
      <c r="C13" s="69" t="s">
        <v>66</v>
      </c>
      <c r="D13" s="70">
        <v>0.4583333333333333</v>
      </c>
      <c r="E13" s="80"/>
      <c r="F13" s="80">
        <v>7.08004885075122E14</v>
      </c>
      <c r="G13" s="85" t="s">
        <v>88</v>
      </c>
      <c r="H13" s="86">
        <v>16117.0</v>
      </c>
      <c r="I13" s="18"/>
      <c r="J13" s="37" t="s">
        <v>89</v>
      </c>
      <c r="K13" s="81"/>
      <c r="L13" s="82"/>
      <c r="M13" s="83"/>
      <c r="N13" s="84"/>
    </row>
    <row r="14" ht="15.75" customHeight="1">
      <c r="A14" s="11" t="s">
        <v>90</v>
      </c>
      <c r="B14" s="68" t="s">
        <v>69</v>
      </c>
      <c r="C14" s="69" t="s">
        <v>66</v>
      </c>
      <c r="D14" s="70">
        <v>0.4722222222222222</v>
      </c>
      <c r="E14" s="80"/>
      <c r="F14" s="80">
        <v>8.98003986634594E14</v>
      </c>
      <c r="G14" s="85" t="s">
        <v>91</v>
      </c>
      <c r="H14" s="86">
        <v>25660.0</v>
      </c>
      <c r="I14" s="18"/>
      <c r="J14" s="37" t="s">
        <v>92</v>
      </c>
      <c r="K14" s="58"/>
      <c r="L14" s="51"/>
      <c r="M14" s="59"/>
      <c r="N14" s="60"/>
    </row>
    <row r="15" ht="15.75" customHeight="1">
      <c r="A15" s="11" t="s">
        <v>93</v>
      </c>
      <c r="B15" s="68" t="s">
        <v>32</v>
      </c>
      <c r="C15" s="69" t="s">
        <v>66</v>
      </c>
      <c r="D15" s="70">
        <v>0.4861111111111111</v>
      </c>
      <c r="E15" s="80"/>
      <c r="F15" s="80">
        <v>7.05401401267493E14</v>
      </c>
      <c r="G15" s="85" t="s">
        <v>94</v>
      </c>
      <c r="H15" s="86">
        <v>20428.0</v>
      </c>
      <c r="I15" s="18" t="s">
        <v>36</v>
      </c>
      <c r="J15" s="37" t="s">
        <v>95</v>
      </c>
      <c r="K15" s="81"/>
      <c r="L15" s="82"/>
      <c r="M15" s="83"/>
      <c r="N15" s="84"/>
    </row>
    <row r="16" ht="15.75" customHeight="1">
      <c r="A16" s="87"/>
      <c r="B16" s="88"/>
      <c r="C16" s="88"/>
      <c r="D16" s="88"/>
      <c r="E16" s="88"/>
      <c r="F16" s="88"/>
      <c r="G16" s="89"/>
      <c r="H16" s="90"/>
      <c r="I16" s="87"/>
      <c r="J16" s="87"/>
      <c r="K16" s="87"/>
      <c r="L16" s="87"/>
      <c r="M16" s="87"/>
      <c r="N16" s="87"/>
      <c r="O16" s="63"/>
      <c r="P16" s="63"/>
      <c r="Q16" s="63"/>
      <c r="R16" s="63"/>
      <c r="S16" s="63"/>
      <c r="T16" s="63"/>
      <c r="U16" s="63"/>
      <c r="V16" s="63"/>
    </row>
    <row r="17" ht="15.75" customHeight="1">
      <c r="A17" s="87"/>
      <c r="B17" s="88"/>
      <c r="C17" s="88"/>
      <c r="D17" s="91"/>
      <c r="E17" s="91"/>
      <c r="F17" s="91"/>
      <c r="G17" s="92"/>
      <c r="H17" s="93"/>
      <c r="I17" s="87"/>
      <c r="J17" s="87"/>
      <c r="K17" s="87"/>
      <c r="L17" s="87"/>
      <c r="M17" s="87"/>
      <c r="N17" s="87"/>
      <c r="O17" s="63"/>
      <c r="P17" s="63"/>
      <c r="Q17" s="63"/>
      <c r="R17" s="63"/>
      <c r="S17" s="63"/>
      <c r="T17" s="63"/>
      <c r="U17" s="63"/>
      <c r="V17" s="63"/>
    </row>
    <row r="18" ht="15.75" customHeight="1">
      <c r="A18" s="87"/>
      <c r="B18" s="88"/>
      <c r="C18" s="88"/>
      <c r="D18" s="88"/>
      <c r="E18" s="88"/>
      <c r="F18" s="88"/>
      <c r="G18" s="89"/>
      <c r="H18" s="90"/>
      <c r="I18" s="87"/>
      <c r="J18" s="87"/>
      <c r="K18" s="87"/>
      <c r="L18" s="87"/>
      <c r="M18" s="87"/>
      <c r="N18" s="87"/>
      <c r="O18" s="63"/>
      <c r="P18" s="63"/>
      <c r="Q18" s="63"/>
      <c r="R18" s="63"/>
      <c r="S18" s="63"/>
      <c r="T18" s="63"/>
      <c r="U18" s="63"/>
      <c r="V18" s="63"/>
    </row>
    <row r="19" ht="15.75" customHeight="1">
      <c r="A19" s="87"/>
      <c r="B19" s="88"/>
      <c r="C19" s="88"/>
      <c r="D19" s="88"/>
      <c r="E19" s="88"/>
      <c r="F19" s="88"/>
      <c r="G19" s="89"/>
      <c r="H19" s="90"/>
      <c r="I19" s="87"/>
      <c r="J19" s="87"/>
      <c r="K19" s="87"/>
      <c r="L19" s="87"/>
      <c r="M19" s="87"/>
      <c r="N19" s="87"/>
      <c r="O19" s="63"/>
      <c r="P19" s="63"/>
      <c r="Q19" s="63"/>
      <c r="R19" s="63"/>
      <c r="S19" s="63"/>
      <c r="T19" s="63"/>
      <c r="U19" s="63"/>
      <c r="V19" s="63"/>
    </row>
    <row r="20" ht="15.75" customHeight="1">
      <c r="A20" s="94" t="s">
        <v>96</v>
      </c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6"/>
    </row>
    <row r="21" ht="15.75" customHeight="1">
      <c r="A21" s="64" t="s">
        <v>97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3"/>
    </row>
    <row r="22" ht="15.75" customHeight="1">
      <c r="A22" s="65"/>
      <c r="B22" s="7" t="s">
        <v>3</v>
      </c>
      <c r="C22" s="6" t="s">
        <v>2</v>
      </c>
      <c r="D22" s="8" t="s">
        <v>5</v>
      </c>
      <c r="E22" s="8"/>
      <c r="F22" s="8" t="s">
        <v>6</v>
      </c>
      <c r="G22" s="66" t="s">
        <v>7</v>
      </c>
      <c r="H22" s="9" t="s">
        <v>8</v>
      </c>
      <c r="I22" s="67" t="s">
        <v>20</v>
      </c>
      <c r="J22" s="8" t="s">
        <v>25</v>
      </c>
      <c r="K22" s="8" t="s">
        <v>26</v>
      </c>
      <c r="L22" s="9" t="s">
        <v>28</v>
      </c>
      <c r="M22" s="6" t="s">
        <v>29</v>
      </c>
      <c r="N22" s="9" t="s">
        <v>30</v>
      </c>
    </row>
    <row r="23" ht="15.75" customHeight="1">
      <c r="A23" s="11" t="s">
        <v>10</v>
      </c>
      <c r="B23" s="68" t="s">
        <v>98</v>
      </c>
      <c r="C23" s="69" t="s">
        <v>66</v>
      </c>
      <c r="D23" s="70">
        <v>0.5416666666666666</v>
      </c>
      <c r="E23" s="79"/>
      <c r="F23" s="79">
        <v>2.01538096090018E14</v>
      </c>
      <c r="G23" s="74" t="s">
        <v>99</v>
      </c>
      <c r="H23" s="78">
        <v>22133.0</v>
      </c>
      <c r="I23" s="18" t="s">
        <v>41</v>
      </c>
      <c r="J23" s="97"/>
      <c r="K23" s="38"/>
      <c r="L23" s="73"/>
      <c r="M23" s="41"/>
      <c r="N23" s="42"/>
    </row>
    <row r="24" ht="15.75" customHeight="1">
      <c r="A24" s="11" t="s">
        <v>11</v>
      </c>
      <c r="B24" s="68" t="s">
        <v>65</v>
      </c>
      <c r="C24" s="69" t="s">
        <v>66</v>
      </c>
      <c r="D24" s="70">
        <v>0.5555555555555556</v>
      </c>
      <c r="E24" s="71"/>
      <c r="F24" s="71">
        <v>7.0310530509356E14</v>
      </c>
      <c r="G24" s="74" t="s">
        <v>100</v>
      </c>
      <c r="H24" s="72">
        <v>18225.0</v>
      </c>
      <c r="I24" s="18" t="s">
        <v>41</v>
      </c>
      <c r="J24" s="37" t="s">
        <v>101</v>
      </c>
      <c r="K24" s="45"/>
      <c r="L24" s="47"/>
      <c r="M24" s="46"/>
      <c r="N24" s="48"/>
    </row>
    <row r="25" ht="15.75" customHeight="1">
      <c r="A25" s="11" t="s">
        <v>12</v>
      </c>
      <c r="B25" s="68" t="s">
        <v>102</v>
      </c>
      <c r="C25" s="69" t="s">
        <v>66</v>
      </c>
      <c r="D25" s="70">
        <v>0.5694444444444444</v>
      </c>
      <c r="E25" s="80"/>
      <c r="F25" s="80">
        <v>8.01440470964877E14</v>
      </c>
      <c r="G25" s="85" t="s">
        <v>103</v>
      </c>
      <c r="H25" s="86">
        <v>25409.0</v>
      </c>
      <c r="I25" s="18"/>
      <c r="J25" s="37"/>
      <c r="K25" s="49"/>
      <c r="L25" s="51"/>
      <c r="M25" s="50"/>
      <c r="N25" s="52"/>
    </row>
    <row r="26" ht="15.75" customHeight="1">
      <c r="A26" s="11" t="s">
        <v>13</v>
      </c>
      <c r="B26" s="68" t="s">
        <v>98</v>
      </c>
      <c r="C26" s="69" t="s">
        <v>66</v>
      </c>
      <c r="D26" s="70">
        <v>0.5833333333333334</v>
      </c>
      <c r="E26" s="79"/>
      <c r="F26" s="79">
        <v>7.05000668870155E14</v>
      </c>
      <c r="G26" s="74" t="s">
        <v>104</v>
      </c>
      <c r="H26" s="78">
        <v>16255.0</v>
      </c>
      <c r="I26" s="18" t="s">
        <v>41</v>
      </c>
      <c r="J26" s="98" t="s">
        <v>105</v>
      </c>
      <c r="K26" s="45"/>
      <c r="L26" s="57"/>
      <c r="M26" s="56"/>
      <c r="N26" s="48"/>
    </row>
    <row r="27" ht="15.75" customHeight="1">
      <c r="A27" s="11" t="s">
        <v>14</v>
      </c>
      <c r="B27" s="68" t="s">
        <v>102</v>
      </c>
      <c r="C27" s="69" t="s">
        <v>66</v>
      </c>
      <c r="D27" s="70">
        <v>0.5972222222222222</v>
      </c>
      <c r="E27" s="99"/>
      <c r="F27" s="99">
        <v>7.03605099240333E14</v>
      </c>
      <c r="G27" s="85" t="s">
        <v>106</v>
      </c>
      <c r="H27" s="72">
        <v>17940.0</v>
      </c>
      <c r="I27" s="18"/>
      <c r="J27" s="37"/>
      <c r="K27" s="58"/>
      <c r="L27" s="51"/>
      <c r="M27" s="59"/>
      <c r="N27" s="60"/>
    </row>
    <row r="28" ht="15.75" customHeight="1">
      <c r="A28" s="11" t="s">
        <v>15</v>
      </c>
      <c r="B28" s="68" t="s">
        <v>65</v>
      </c>
      <c r="C28" s="69" t="s">
        <v>66</v>
      </c>
      <c r="D28" s="70">
        <v>0.6111111111111112</v>
      </c>
      <c r="E28" s="79"/>
      <c r="F28" s="79">
        <v>2.01152572890003E14</v>
      </c>
      <c r="G28" s="74" t="s">
        <v>107</v>
      </c>
      <c r="H28" s="78">
        <v>19035.0</v>
      </c>
      <c r="I28" s="18" t="s">
        <v>41</v>
      </c>
      <c r="J28" s="37" t="s">
        <v>108</v>
      </c>
      <c r="K28" s="45"/>
      <c r="L28" s="57"/>
      <c r="M28" s="56"/>
      <c r="N28" s="48"/>
    </row>
    <row r="29" ht="15.75" customHeight="1">
      <c r="A29" s="11" t="s">
        <v>16</v>
      </c>
      <c r="B29" s="68" t="s">
        <v>109</v>
      </c>
      <c r="C29" s="69" t="s">
        <v>66</v>
      </c>
      <c r="D29" s="70">
        <v>0.625</v>
      </c>
      <c r="E29" s="79"/>
      <c r="F29" s="79">
        <v>2.1014056685E14</v>
      </c>
      <c r="G29" s="74" t="s">
        <v>110</v>
      </c>
      <c r="H29" s="78">
        <v>15184.0</v>
      </c>
      <c r="I29" s="18" t="s">
        <v>36</v>
      </c>
      <c r="J29" s="98">
        <v>1.158956608E9</v>
      </c>
      <c r="K29" s="58"/>
      <c r="L29" s="51"/>
      <c r="M29" s="59"/>
      <c r="N29" s="60"/>
    </row>
    <row r="30" ht="15.75" customHeight="1">
      <c r="A30" s="11" t="s">
        <v>17</v>
      </c>
      <c r="B30" s="68"/>
      <c r="C30" s="69" t="s">
        <v>66</v>
      </c>
      <c r="D30" s="70">
        <v>0.6388888888888888</v>
      </c>
      <c r="E30" s="79"/>
      <c r="F30" s="79"/>
      <c r="G30" s="100" t="s">
        <v>111</v>
      </c>
      <c r="H30" s="78"/>
      <c r="I30" s="18" t="s">
        <v>112</v>
      </c>
      <c r="J30" s="37"/>
      <c r="K30" s="81"/>
      <c r="L30" s="82"/>
      <c r="M30" s="83"/>
      <c r="N30" s="84"/>
    </row>
    <row r="31" ht="15.75" customHeight="1">
      <c r="A31" s="11" t="s">
        <v>85</v>
      </c>
      <c r="B31" s="68" t="s">
        <v>102</v>
      </c>
      <c r="C31" s="69" t="s">
        <v>66</v>
      </c>
      <c r="D31" s="70">
        <v>0.6527777777777778</v>
      </c>
      <c r="E31" s="80"/>
      <c r="F31" s="80"/>
      <c r="G31" s="100" t="s">
        <v>111</v>
      </c>
      <c r="H31" s="86"/>
      <c r="I31" s="18" t="s">
        <v>112</v>
      </c>
      <c r="J31" s="37"/>
      <c r="K31" s="58"/>
      <c r="L31" s="51"/>
      <c r="M31" s="59"/>
      <c r="N31" s="60"/>
    </row>
    <row r="32" ht="15.75" customHeight="1">
      <c r="A32" s="101" t="s">
        <v>87</v>
      </c>
      <c r="B32" s="102" t="s">
        <v>65</v>
      </c>
      <c r="C32" s="69" t="s">
        <v>66</v>
      </c>
      <c r="D32" s="103">
        <v>0.6666666666666666</v>
      </c>
      <c r="E32" s="104"/>
      <c r="F32" s="104">
        <v>8.0144047890306E14</v>
      </c>
      <c r="G32" s="105" t="s">
        <v>113</v>
      </c>
      <c r="H32" s="106">
        <v>17507.0</v>
      </c>
      <c r="I32" s="107" t="s">
        <v>36</v>
      </c>
      <c r="J32" s="108" t="s">
        <v>114</v>
      </c>
      <c r="K32" s="109"/>
      <c r="L32" s="110"/>
      <c r="M32" s="111"/>
      <c r="N32" s="112" t="s">
        <v>115</v>
      </c>
      <c r="O32" s="113"/>
      <c r="P32" s="113"/>
      <c r="Q32" s="113"/>
      <c r="R32" s="113"/>
      <c r="S32" s="113"/>
      <c r="T32" s="113"/>
      <c r="U32" s="113"/>
      <c r="V32" s="113"/>
    </row>
    <row r="33" ht="15.75" customHeight="1">
      <c r="A33" s="101" t="s">
        <v>90</v>
      </c>
      <c r="B33" s="102" t="s">
        <v>109</v>
      </c>
      <c r="C33" s="69" t="s">
        <v>66</v>
      </c>
      <c r="D33" s="103">
        <v>0.6805555555555556</v>
      </c>
      <c r="E33" s="114"/>
      <c r="F33" s="114">
        <v>8.98001437786032E14</v>
      </c>
      <c r="G33" s="115" t="s">
        <v>116</v>
      </c>
      <c r="H33" s="106">
        <v>33751.0</v>
      </c>
      <c r="I33" s="107" t="s">
        <v>36</v>
      </c>
      <c r="J33" s="108" t="s">
        <v>117</v>
      </c>
      <c r="K33" s="116"/>
      <c r="L33" s="117"/>
      <c r="M33" s="118"/>
      <c r="N33" s="112" t="s">
        <v>115</v>
      </c>
      <c r="O33" s="113"/>
      <c r="P33" s="113"/>
      <c r="Q33" s="113"/>
      <c r="R33" s="113"/>
      <c r="S33" s="113"/>
      <c r="T33" s="113"/>
      <c r="U33" s="113"/>
      <c r="V33" s="113"/>
    </row>
    <row r="34" ht="15.75" customHeight="1">
      <c r="A34" s="101" t="s">
        <v>93</v>
      </c>
      <c r="B34" s="102" t="s">
        <v>109</v>
      </c>
      <c r="C34" s="69" t="s">
        <v>66</v>
      </c>
      <c r="D34" s="103">
        <v>0.6944444444444444</v>
      </c>
      <c r="E34" s="114"/>
      <c r="F34" s="114">
        <v>8.01440497037268E14</v>
      </c>
      <c r="G34" s="119" t="s">
        <v>118</v>
      </c>
      <c r="H34" s="106">
        <v>22715.0</v>
      </c>
      <c r="I34" s="107" t="s">
        <v>36</v>
      </c>
      <c r="J34" s="120" t="s">
        <v>119</v>
      </c>
      <c r="K34" s="109"/>
      <c r="L34" s="110"/>
      <c r="M34" s="111"/>
      <c r="N34" s="112" t="s">
        <v>115</v>
      </c>
      <c r="O34" s="113"/>
      <c r="P34" s="113"/>
      <c r="Q34" s="113"/>
      <c r="R34" s="113"/>
      <c r="S34" s="113"/>
      <c r="T34" s="113"/>
      <c r="U34" s="113"/>
      <c r="V34" s="113"/>
    </row>
    <row r="35" ht="15.75" customHeight="1">
      <c r="B35" s="121"/>
      <c r="C35" s="121"/>
      <c r="D35" s="121"/>
      <c r="E35" s="99"/>
      <c r="F35" s="99"/>
      <c r="G35" s="122"/>
      <c r="H35" s="123"/>
    </row>
    <row r="36" ht="15.75" customHeight="1">
      <c r="B36" s="121"/>
      <c r="C36" s="121"/>
      <c r="D36" s="121"/>
      <c r="E36" s="99"/>
      <c r="F36" s="99"/>
      <c r="G36" s="122"/>
      <c r="H36" s="123"/>
    </row>
    <row r="37" ht="15.75" customHeight="1">
      <c r="B37" s="121"/>
      <c r="C37" s="121"/>
      <c r="D37" s="121"/>
      <c r="E37" s="99"/>
      <c r="F37" s="99"/>
      <c r="G37" s="122"/>
      <c r="H37" s="123"/>
    </row>
    <row r="38" ht="15.75" customHeight="1">
      <c r="B38" s="121"/>
      <c r="C38" s="121"/>
      <c r="D38" s="121"/>
      <c r="E38" s="99"/>
      <c r="F38" s="99"/>
      <c r="G38" s="122"/>
      <c r="H38" s="123"/>
    </row>
    <row r="39" ht="15.75" customHeight="1">
      <c r="B39" s="121"/>
      <c r="C39" s="121"/>
      <c r="D39" s="121"/>
      <c r="E39" s="99"/>
      <c r="F39" s="99"/>
      <c r="G39" s="122"/>
      <c r="H39" s="123"/>
    </row>
    <row r="40" ht="15.75" customHeight="1">
      <c r="B40" s="121"/>
      <c r="C40" s="121"/>
      <c r="D40" s="121"/>
      <c r="E40" s="99"/>
      <c r="F40" s="99"/>
      <c r="G40" s="122"/>
      <c r="H40" s="123"/>
    </row>
    <row r="41" ht="15.75" customHeight="1">
      <c r="A41" s="31" t="s">
        <v>120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3"/>
    </row>
    <row r="42" ht="15.75" customHeight="1">
      <c r="A42" s="64" t="s">
        <v>121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3"/>
    </row>
    <row r="43" ht="15.75" customHeight="1">
      <c r="A43" s="65"/>
      <c r="B43" s="7" t="s">
        <v>3</v>
      </c>
      <c r="C43" s="6" t="s">
        <v>2</v>
      </c>
      <c r="D43" s="8" t="s">
        <v>5</v>
      </c>
      <c r="E43" s="8"/>
      <c r="F43" s="8" t="s">
        <v>6</v>
      </c>
      <c r="G43" s="66" t="s">
        <v>7</v>
      </c>
      <c r="H43" s="9" t="s">
        <v>8</v>
      </c>
      <c r="I43" s="67" t="s">
        <v>20</v>
      </c>
      <c r="J43" s="8" t="s">
        <v>25</v>
      </c>
      <c r="K43" s="8" t="s">
        <v>26</v>
      </c>
      <c r="L43" s="9" t="s">
        <v>28</v>
      </c>
      <c r="M43" s="6" t="s">
        <v>29</v>
      </c>
      <c r="N43" s="9" t="s">
        <v>30</v>
      </c>
    </row>
    <row r="44" ht="15.75" customHeight="1">
      <c r="A44" s="11" t="s">
        <v>10</v>
      </c>
      <c r="B44" s="68"/>
      <c r="C44" s="69" t="s">
        <v>122</v>
      </c>
      <c r="D44" s="70">
        <v>0.3333333333333333</v>
      </c>
      <c r="E44" s="71"/>
      <c r="F44" s="71"/>
      <c r="G44" s="100" t="s">
        <v>111</v>
      </c>
      <c r="H44" s="72"/>
      <c r="I44" s="18" t="s">
        <v>112</v>
      </c>
      <c r="J44" s="37"/>
      <c r="K44" s="38"/>
      <c r="L44" s="73"/>
      <c r="M44" s="41"/>
      <c r="N44" s="42"/>
    </row>
    <row r="45" ht="15.75" customHeight="1">
      <c r="A45" s="11" t="s">
        <v>11</v>
      </c>
      <c r="B45" s="68"/>
      <c r="C45" s="69" t="s">
        <v>122</v>
      </c>
      <c r="D45" s="70">
        <v>0.3472222222222222</v>
      </c>
      <c r="E45" s="71"/>
      <c r="F45" s="71"/>
      <c r="G45" s="100" t="s">
        <v>111</v>
      </c>
      <c r="H45" s="72"/>
      <c r="I45" s="18" t="s">
        <v>112</v>
      </c>
      <c r="J45" s="37"/>
      <c r="K45" s="45"/>
      <c r="L45" s="47"/>
      <c r="M45" s="46"/>
      <c r="N45" s="48"/>
    </row>
    <row r="46" ht="15.75" customHeight="1">
      <c r="A46" s="11" t="s">
        <v>12</v>
      </c>
      <c r="B46" s="68"/>
      <c r="C46" s="69" t="s">
        <v>122</v>
      </c>
      <c r="D46" s="70">
        <v>0.3611111111111111</v>
      </c>
      <c r="E46" s="79"/>
      <c r="F46" s="79"/>
      <c r="G46" s="100" t="s">
        <v>111</v>
      </c>
      <c r="H46" s="78"/>
      <c r="I46" s="18" t="s">
        <v>112</v>
      </c>
      <c r="J46" s="37"/>
      <c r="K46" s="49"/>
      <c r="L46" s="51"/>
      <c r="M46" s="50"/>
      <c r="N46" s="52"/>
    </row>
    <row r="47" ht="15.75" customHeight="1">
      <c r="A47" s="11" t="s">
        <v>13</v>
      </c>
      <c r="B47" s="68" t="s">
        <v>72</v>
      </c>
      <c r="C47" s="69" t="s">
        <v>122</v>
      </c>
      <c r="D47" s="70">
        <v>0.375</v>
      </c>
      <c r="E47" s="124"/>
      <c r="F47" s="124">
        <v>8.01440403115618E14</v>
      </c>
      <c r="G47" s="125" t="s">
        <v>123</v>
      </c>
      <c r="H47" s="126">
        <v>21816.0</v>
      </c>
      <c r="I47" s="18" t="s">
        <v>36</v>
      </c>
      <c r="J47" s="37">
        <v>1.1990088346E10</v>
      </c>
      <c r="K47" s="45" t="s">
        <v>124</v>
      </c>
      <c r="L47" s="57">
        <v>45944.0</v>
      </c>
      <c r="M47" s="56" t="s">
        <v>80</v>
      </c>
      <c r="N47" s="48"/>
    </row>
    <row r="48" ht="15.75" customHeight="1">
      <c r="A48" s="11" t="s">
        <v>14</v>
      </c>
      <c r="B48" s="68" t="s">
        <v>65</v>
      </c>
      <c r="C48" s="69" t="s">
        <v>122</v>
      </c>
      <c r="D48" s="70">
        <v>0.3888888888888889</v>
      </c>
      <c r="E48" s="79"/>
      <c r="F48" s="79">
        <v>7.034029548254E14</v>
      </c>
      <c r="G48" s="74" t="s">
        <v>125</v>
      </c>
      <c r="H48" s="72">
        <v>17572.0</v>
      </c>
      <c r="I48" s="18" t="s">
        <v>41</v>
      </c>
      <c r="J48" s="37" t="s">
        <v>126</v>
      </c>
      <c r="K48" s="58"/>
      <c r="L48" s="51"/>
      <c r="M48" s="59"/>
      <c r="N48" s="60"/>
    </row>
    <row r="49" ht="15.75" customHeight="1">
      <c r="A49" s="11" t="s">
        <v>15</v>
      </c>
      <c r="B49" s="68"/>
      <c r="C49" s="69" t="s">
        <v>122</v>
      </c>
      <c r="D49" s="70">
        <v>0.4027777777777778</v>
      </c>
      <c r="E49" s="79"/>
      <c r="F49" s="79"/>
      <c r="G49" s="100" t="s">
        <v>111</v>
      </c>
      <c r="H49" s="78"/>
      <c r="I49" s="18"/>
      <c r="J49" s="37"/>
      <c r="K49" s="45"/>
      <c r="L49" s="57"/>
      <c r="M49" s="56"/>
      <c r="N49" s="48"/>
    </row>
    <row r="50" ht="15.75" customHeight="1">
      <c r="A50" s="11" t="s">
        <v>16</v>
      </c>
      <c r="B50" s="68" t="s">
        <v>32</v>
      </c>
      <c r="C50" s="69" t="s">
        <v>122</v>
      </c>
      <c r="D50" s="70">
        <v>0.4166666666666667</v>
      </c>
      <c r="E50" s="127"/>
      <c r="F50" s="127">
        <v>2.04161006560003E14</v>
      </c>
      <c r="G50" s="54" t="s">
        <v>127</v>
      </c>
      <c r="H50" s="78">
        <v>26915.0</v>
      </c>
      <c r="I50" s="18"/>
      <c r="J50" s="37" t="s">
        <v>128</v>
      </c>
      <c r="K50" s="58"/>
      <c r="L50" s="51"/>
      <c r="M50" s="59"/>
      <c r="N50" s="60"/>
    </row>
    <row r="51" ht="15.75" customHeight="1">
      <c r="A51" s="11" t="s">
        <v>17</v>
      </c>
      <c r="B51" s="68" t="s">
        <v>65</v>
      </c>
      <c r="C51" s="69" t="s">
        <v>122</v>
      </c>
      <c r="D51" s="70">
        <v>0.4305555555555556</v>
      </c>
      <c r="E51" s="79"/>
      <c r="F51" s="79">
        <v>2.01152823130004E14</v>
      </c>
      <c r="G51" s="74" t="s">
        <v>129</v>
      </c>
      <c r="H51" s="78">
        <v>21205.0</v>
      </c>
      <c r="I51" s="18" t="s">
        <v>41</v>
      </c>
      <c r="J51" s="37" t="s">
        <v>130</v>
      </c>
      <c r="K51" s="45"/>
      <c r="L51" s="57"/>
      <c r="M51" s="56"/>
      <c r="N51" s="48"/>
    </row>
    <row r="52" ht="15.75" customHeight="1">
      <c r="A52" s="11" t="s">
        <v>85</v>
      </c>
      <c r="B52" s="68"/>
      <c r="C52" s="69" t="s">
        <v>122</v>
      </c>
      <c r="D52" s="70">
        <v>0.4444444444444444</v>
      </c>
      <c r="E52" s="80"/>
      <c r="F52" s="80"/>
      <c r="G52" s="100" t="s">
        <v>111</v>
      </c>
      <c r="H52" s="86"/>
      <c r="I52" s="18" t="s">
        <v>112</v>
      </c>
      <c r="J52" s="128"/>
      <c r="K52" s="58"/>
      <c r="L52" s="51"/>
      <c r="M52" s="59"/>
      <c r="N52" s="60"/>
    </row>
    <row r="53" ht="15.75" customHeight="1">
      <c r="A53" s="11" t="s">
        <v>87</v>
      </c>
      <c r="B53" s="68" t="s">
        <v>98</v>
      </c>
      <c r="C53" s="69" t="s">
        <v>122</v>
      </c>
      <c r="D53" s="70">
        <v>0.4583333333333333</v>
      </c>
      <c r="E53" s="129"/>
      <c r="F53" s="129">
        <v>7.04705741609733E14</v>
      </c>
      <c r="G53" s="74" t="s">
        <v>131</v>
      </c>
      <c r="H53" s="78">
        <v>24443.0</v>
      </c>
      <c r="I53" s="18" t="s">
        <v>41</v>
      </c>
      <c r="J53" s="97"/>
      <c r="K53" s="45"/>
      <c r="L53" s="57"/>
      <c r="M53" s="56"/>
      <c r="N53" s="48"/>
    </row>
    <row r="54" ht="15.75" customHeight="1">
      <c r="A54" s="11" t="s">
        <v>90</v>
      </c>
      <c r="B54" s="68" t="s">
        <v>65</v>
      </c>
      <c r="C54" s="69" t="s">
        <v>122</v>
      </c>
      <c r="D54" s="70">
        <v>0.4722222222222222</v>
      </c>
      <c r="E54" s="80"/>
      <c r="F54" s="80">
        <v>8.01440406560574E14</v>
      </c>
      <c r="G54" s="85" t="s">
        <v>132</v>
      </c>
      <c r="H54" s="86">
        <v>25673.0</v>
      </c>
      <c r="I54" s="18" t="s">
        <v>41</v>
      </c>
      <c r="J54" s="128" t="s">
        <v>133</v>
      </c>
      <c r="K54" s="58"/>
      <c r="L54" s="51"/>
      <c r="M54" s="59"/>
      <c r="N54" s="60"/>
    </row>
    <row r="55" ht="15.75" customHeight="1">
      <c r="A55" s="11" t="s">
        <v>93</v>
      </c>
      <c r="B55" s="68" t="s">
        <v>109</v>
      </c>
      <c r="C55" s="69" t="s">
        <v>122</v>
      </c>
      <c r="D55" s="70">
        <v>0.4861111111111111</v>
      </c>
      <c r="E55" s="80"/>
      <c r="F55" s="80">
        <v>8.01440412497609E14</v>
      </c>
      <c r="G55" s="85" t="s">
        <v>134</v>
      </c>
      <c r="H55" s="86">
        <v>23435.0</v>
      </c>
      <c r="I55" s="18" t="s">
        <v>41</v>
      </c>
      <c r="J55" s="128">
        <v>9.59313154E8</v>
      </c>
      <c r="K55" s="45"/>
      <c r="L55" s="57"/>
      <c r="M55" s="56"/>
      <c r="N55" s="48"/>
    </row>
    <row r="56" ht="15.75" customHeight="1">
      <c r="B56" s="121"/>
      <c r="C56" s="121"/>
      <c r="D56" s="121"/>
      <c r="E56" s="99"/>
      <c r="F56" s="99"/>
      <c r="G56" s="122"/>
      <c r="H56" s="123"/>
    </row>
    <row r="57" ht="15.75" customHeight="1">
      <c r="B57" s="121"/>
      <c r="C57" s="121"/>
      <c r="D57" s="121"/>
      <c r="E57" s="99"/>
      <c r="F57" s="99"/>
      <c r="G57" s="122"/>
      <c r="H57" s="123"/>
    </row>
    <row r="58" ht="15.75" customHeight="1">
      <c r="B58" s="121"/>
      <c r="C58" s="121"/>
      <c r="D58" s="121"/>
      <c r="E58" s="99"/>
      <c r="F58" s="99"/>
      <c r="G58" s="130"/>
    </row>
    <row r="59" ht="15.75" customHeight="1">
      <c r="B59" s="121"/>
      <c r="C59" s="121"/>
      <c r="D59" s="121"/>
      <c r="E59" s="99"/>
      <c r="F59" s="99"/>
      <c r="G59" s="122"/>
      <c r="H59" s="123"/>
    </row>
    <row r="60" ht="15.75" customHeight="1">
      <c r="A60" s="31" t="s">
        <v>135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3"/>
    </row>
    <row r="61" ht="15.75" customHeight="1">
      <c r="A61" s="64" t="s">
        <v>136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3"/>
    </row>
    <row r="62" ht="15.75" customHeight="1">
      <c r="A62" s="65"/>
      <c r="B62" s="7" t="s">
        <v>3</v>
      </c>
      <c r="C62" s="6" t="s">
        <v>2</v>
      </c>
      <c r="D62" s="8" t="s">
        <v>5</v>
      </c>
      <c r="E62" s="8"/>
      <c r="F62" s="8" t="s">
        <v>6</v>
      </c>
      <c r="G62" s="66" t="s">
        <v>7</v>
      </c>
      <c r="H62" s="9" t="s">
        <v>8</v>
      </c>
      <c r="I62" s="67" t="s">
        <v>20</v>
      </c>
      <c r="J62" s="8" t="s">
        <v>25</v>
      </c>
      <c r="K62" s="8" t="s">
        <v>26</v>
      </c>
      <c r="L62" s="9" t="s">
        <v>28</v>
      </c>
      <c r="M62" s="6" t="s">
        <v>29</v>
      </c>
      <c r="N62" s="9" t="s">
        <v>30</v>
      </c>
    </row>
    <row r="63" ht="15.75" customHeight="1">
      <c r="A63" s="11" t="s">
        <v>10</v>
      </c>
      <c r="B63" s="68" t="s">
        <v>98</v>
      </c>
      <c r="C63" s="69" t="s">
        <v>137</v>
      </c>
      <c r="D63" s="70">
        <v>0.5416666666666666</v>
      </c>
      <c r="E63" s="79"/>
      <c r="F63" s="79">
        <v>8.01440473346325E14</v>
      </c>
      <c r="G63" s="74" t="s">
        <v>138</v>
      </c>
      <c r="H63" s="78">
        <v>18334.0</v>
      </c>
      <c r="I63" s="131"/>
      <c r="J63" s="79" t="s">
        <v>139</v>
      </c>
      <c r="K63" s="38"/>
      <c r="L63" s="73"/>
      <c r="M63" s="41"/>
      <c r="N63" s="42"/>
    </row>
    <row r="64" ht="15.75" customHeight="1">
      <c r="A64" s="11" t="s">
        <v>11</v>
      </c>
      <c r="B64" s="68"/>
      <c r="C64" s="69" t="s">
        <v>137</v>
      </c>
      <c r="D64" s="70">
        <v>0.5555555555555556</v>
      </c>
      <c r="E64" s="71"/>
      <c r="F64" s="71"/>
      <c r="G64" s="100" t="s">
        <v>111</v>
      </c>
      <c r="H64" s="72"/>
      <c r="I64" s="131" t="s">
        <v>112</v>
      </c>
      <c r="J64" s="132"/>
      <c r="K64" s="45"/>
      <c r="L64" s="47"/>
      <c r="M64" s="46"/>
      <c r="N64" s="48"/>
    </row>
    <row r="65" ht="15.75" customHeight="1">
      <c r="A65" s="11" t="s">
        <v>12</v>
      </c>
      <c r="B65" s="68"/>
      <c r="C65" s="69" t="s">
        <v>137</v>
      </c>
      <c r="D65" s="70">
        <v>0.5694444444444444</v>
      </c>
      <c r="E65" s="79"/>
      <c r="F65" s="79"/>
      <c r="G65" s="100" t="s">
        <v>111</v>
      </c>
      <c r="H65" s="78"/>
      <c r="I65" s="131" t="s">
        <v>112</v>
      </c>
      <c r="J65" s="132"/>
      <c r="K65" s="49"/>
      <c r="L65" s="51"/>
      <c r="M65" s="50"/>
      <c r="N65" s="52"/>
    </row>
    <row r="66" ht="15.75" customHeight="1">
      <c r="A66" s="11" t="s">
        <v>13</v>
      </c>
      <c r="B66" s="68" t="s">
        <v>98</v>
      </c>
      <c r="C66" s="69" t="s">
        <v>137</v>
      </c>
      <c r="D66" s="70">
        <v>0.5833333333333334</v>
      </c>
      <c r="E66" s="133"/>
      <c r="F66" s="133">
        <v>8.01440497047832E14</v>
      </c>
      <c r="G66" s="134" t="s">
        <v>140</v>
      </c>
      <c r="H66" s="135">
        <v>18401.0</v>
      </c>
      <c r="I66" s="136"/>
      <c r="J66" s="137" t="s">
        <v>141</v>
      </c>
      <c r="K66" s="45"/>
      <c r="L66" s="57"/>
      <c r="M66" s="56"/>
      <c r="N66" s="48"/>
    </row>
    <row r="67" ht="15.75" customHeight="1">
      <c r="A67" s="11" t="s">
        <v>14</v>
      </c>
      <c r="B67" s="68" t="s">
        <v>109</v>
      </c>
      <c r="C67" s="69" t="s">
        <v>137</v>
      </c>
      <c r="D67" s="70">
        <v>0.5972222222222222</v>
      </c>
      <c r="E67" s="138"/>
      <c r="F67" s="138">
        <v>7.0340321344101E14</v>
      </c>
      <c r="G67" s="139" t="s">
        <v>142</v>
      </c>
      <c r="H67" s="140">
        <v>35587.0</v>
      </c>
      <c r="I67" s="136" t="s">
        <v>41</v>
      </c>
      <c r="J67" s="137" t="s">
        <v>143</v>
      </c>
      <c r="K67" s="58"/>
      <c r="L67" s="51"/>
      <c r="M67" s="59"/>
      <c r="N67" s="60"/>
    </row>
    <row r="68" ht="15.75" customHeight="1">
      <c r="A68" s="11" t="s">
        <v>15</v>
      </c>
      <c r="B68" s="68"/>
      <c r="C68" s="69" t="s">
        <v>137</v>
      </c>
      <c r="D68" s="70">
        <v>0.6111111111111112</v>
      </c>
      <c r="E68" s="141"/>
      <c r="F68" s="141"/>
      <c r="G68" s="100" t="s">
        <v>111</v>
      </c>
      <c r="H68" s="142"/>
      <c r="I68" s="136" t="s">
        <v>112</v>
      </c>
      <c r="J68" s="137"/>
      <c r="K68" s="45"/>
      <c r="L68" s="57"/>
      <c r="M68" s="56"/>
      <c r="N68" s="48"/>
    </row>
    <row r="69" ht="15.75" customHeight="1">
      <c r="A69" s="11" t="s">
        <v>16</v>
      </c>
      <c r="B69" s="68" t="s">
        <v>109</v>
      </c>
      <c r="C69" s="69" t="s">
        <v>137</v>
      </c>
      <c r="D69" s="70">
        <v>0.625</v>
      </c>
      <c r="E69" s="137"/>
      <c r="F69" s="137">
        <v>1.24154687990005E14</v>
      </c>
      <c r="G69" s="139" t="s">
        <v>144</v>
      </c>
      <c r="H69" s="143">
        <v>20278.0</v>
      </c>
      <c r="I69" s="136" t="s">
        <v>36</v>
      </c>
      <c r="J69" s="141" t="s">
        <v>145</v>
      </c>
      <c r="K69" s="144" t="s">
        <v>146</v>
      </c>
      <c r="L69" s="51">
        <v>45945.0</v>
      </c>
      <c r="M69" s="59" t="s">
        <v>147</v>
      </c>
      <c r="N69" s="145" t="s">
        <v>148</v>
      </c>
    </row>
    <row r="70" ht="15.75" customHeight="1">
      <c r="A70" s="11" t="s">
        <v>17</v>
      </c>
      <c r="B70" s="68" t="s">
        <v>65</v>
      </c>
      <c r="C70" s="69" t="s">
        <v>137</v>
      </c>
      <c r="D70" s="70">
        <v>0.6388888888888888</v>
      </c>
      <c r="E70" s="146"/>
      <c r="F70" s="146">
        <v>8.01440407031079E14</v>
      </c>
      <c r="G70" s="100" t="s">
        <v>149</v>
      </c>
      <c r="H70" s="147">
        <v>23047.0</v>
      </c>
      <c r="I70" s="131"/>
      <c r="J70" s="146" t="s">
        <v>150</v>
      </c>
      <c r="K70" s="45"/>
      <c r="L70" s="57"/>
      <c r="M70" s="56"/>
      <c r="N70" s="48"/>
    </row>
    <row r="71" ht="15.75" customHeight="1">
      <c r="A71" s="11" t="s">
        <v>85</v>
      </c>
      <c r="B71" s="68"/>
      <c r="C71" s="69" t="s">
        <v>137</v>
      </c>
      <c r="D71" s="70">
        <v>0.6527777777777778</v>
      </c>
      <c r="E71" s="146"/>
      <c r="F71" s="146"/>
      <c r="G71" s="100" t="s">
        <v>111</v>
      </c>
      <c r="H71" s="147"/>
      <c r="I71" s="131" t="s">
        <v>112</v>
      </c>
      <c r="J71" s="146"/>
      <c r="K71" s="58"/>
      <c r="L71" s="51"/>
      <c r="M71" s="59"/>
      <c r="N71" s="60"/>
    </row>
    <row r="72" ht="15.75" customHeight="1">
      <c r="A72" s="11" t="s">
        <v>87</v>
      </c>
      <c r="B72" s="68" t="s">
        <v>65</v>
      </c>
      <c r="C72" s="69" t="s">
        <v>137</v>
      </c>
      <c r="D72" s="70">
        <v>0.6666666666666666</v>
      </c>
      <c r="E72" s="146"/>
      <c r="F72" s="146">
        <v>8.98001420209614E14</v>
      </c>
      <c r="G72" s="100" t="s">
        <v>151</v>
      </c>
      <c r="H72" s="147">
        <v>32274.0</v>
      </c>
      <c r="I72" s="131"/>
      <c r="J72" s="146" t="s">
        <v>152</v>
      </c>
      <c r="K72" s="45"/>
      <c r="L72" s="57"/>
      <c r="M72" s="56"/>
      <c r="N72" s="48"/>
    </row>
    <row r="73" ht="15.75" customHeight="1">
      <c r="A73" s="11" t="s">
        <v>90</v>
      </c>
      <c r="B73" s="68"/>
      <c r="C73" s="69" t="s">
        <v>137</v>
      </c>
      <c r="D73" s="70">
        <v>0.6805555555555556</v>
      </c>
      <c r="E73" s="146"/>
      <c r="F73" s="146"/>
      <c r="G73" s="100" t="s">
        <v>111</v>
      </c>
      <c r="H73" s="147"/>
      <c r="I73" s="131" t="s">
        <v>112</v>
      </c>
      <c r="J73" s="146"/>
      <c r="K73" s="58"/>
      <c r="L73" s="51"/>
      <c r="M73" s="59"/>
      <c r="N73" s="60"/>
    </row>
    <row r="74" ht="15.75" customHeight="1">
      <c r="A74" s="11" t="s">
        <v>93</v>
      </c>
      <c r="B74" s="68"/>
      <c r="C74" s="69" t="s">
        <v>137</v>
      </c>
      <c r="D74" s="70">
        <v>0.6944444444444444</v>
      </c>
      <c r="E74" s="146"/>
      <c r="F74" s="146"/>
      <c r="G74" s="100" t="s">
        <v>111</v>
      </c>
      <c r="H74" s="147"/>
      <c r="I74" s="131" t="s">
        <v>112</v>
      </c>
      <c r="J74" s="146"/>
      <c r="K74" s="45"/>
      <c r="L74" s="57"/>
      <c r="M74" s="56"/>
      <c r="N74" s="48"/>
    </row>
    <row r="75" ht="15.0" customHeight="1">
      <c r="B75" s="121"/>
      <c r="C75" s="121"/>
      <c r="D75" s="121"/>
      <c r="E75" s="99"/>
      <c r="F75" s="99"/>
      <c r="G75" s="122"/>
      <c r="H75" s="123"/>
    </row>
    <row r="76" ht="15.75" customHeight="1">
      <c r="B76" s="121"/>
      <c r="C76" s="121" t="s">
        <v>153</v>
      </c>
      <c r="D76" s="121"/>
      <c r="E76" s="99"/>
      <c r="F76" s="99"/>
      <c r="G76" s="122"/>
      <c r="H76" s="123"/>
    </row>
    <row r="77" ht="15.75" customHeight="1">
      <c r="B77" s="121"/>
      <c r="C77" s="121"/>
      <c r="D77" s="121"/>
      <c r="E77" s="99"/>
      <c r="F77" s="99"/>
      <c r="G77" s="122"/>
      <c r="H77" s="123"/>
    </row>
    <row r="78" ht="15.75" customHeight="1">
      <c r="B78" s="121"/>
      <c r="C78" s="121"/>
      <c r="D78" s="121"/>
      <c r="E78" s="99"/>
      <c r="F78" s="99"/>
      <c r="G78" s="122"/>
      <c r="H78" s="123"/>
    </row>
    <row r="79" ht="15.75" customHeight="1">
      <c r="A79" s="31" t="s">
        <v>154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3"/>
    </row>
    <row r="80" ht="15.75" customHeight="1">
      <c r="A80" s="64" t="s">
        <v>155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3"/>
    </row>
    <row r="81" ht="15.75" customHeight="1">
      <c r="A81" s="65"/>
      <c r="B81" s="7" t="s">
        <v>3</v>
      </c>
      <c r="C81" s="6" t="s">
        <v>2</v>
      </c>
      <c r="D81" s="8" t="s">
        <v>5</v>
      </c>
      <c r="E81" s="8"/>
      <c r="F81" s="8" t="s">
        <v>6</v>
      </c>
      <c r="G81" s="66" t="s">
        <v>7</v>
      </c>
      <c r="H81" s="9" t="s">
        <v>8</v>
      </c>
      <c r="I81" s="67" t="s">
        <v>20</v>
      </c>
      <c r="J81" s="8" t="s">
        <v>25</v>
      </c>
      <c r="K81" s="8" t="s">
        <v>26</v>
      </c>
      <c r="L81" s="9" t="s">
        <v>28</v>
      </c>
      <c r="M81" s="6" t="s">
        <v>29</v>
      </c>
      <c r="N81" s="9" t="s">
        <v>30</v>
      </c>
    </row>
    <row r="82" ht="15.75" customHeight="1">
      <c r="A82" s="11" t="s">
        <v>10</v>
      </c>
      <c r="B82" s="68"/>
      <c r="C82" s="69" t="s">
        <v>137</v>
      </c>
      <c r="D82" s="70">
        <v>0.3333333333333333</v>
      </c>
      <c r="E82" s="71"/>
      <c r="F82" s="71"/>
      <c r="G82" s="148" t="s">
        <v>112</v>
      </c>
      <c r="H82" s="72"/>
      <c r="I82" s="18" t="s">
        <v>112</v>
      </c>
      <c r="J82" s="37"/>
      <c r="K82" s="38"/>
      <c r="L82" s="73"/>
      <c r="M82" s="41"/>
      <c r="N82" s="42"/>
    </row>
    <row r="83" ht="15.75" customHeight="1">
      <c r="A83" s="11" t="s">
        <v>11</v>
      </c>
      <c r="B83" s="68"/>
      <c r="C83" s="69" t="s">
        <v>137</v>
      </c>
      <c r="D83" s="70">
        <v>0.3472222222222222</v>
      </c>
      <c r="E83" s="71"/>
      <c r="F83" s="71"/>
      <c r="G83" s="148" t="s">
        <v>112</v>
      </c>
      <c r="H83" s="72"/>
      <c r="I83" s="18" t="s">
        <v>112</v>
      </c>
      <c r="J83" s="37"/>
      <c r="K83" s="45"/>
      <c r="L83" s="47"/>
      <c r="M83" s="46"/>
      <c r="N83" s="48"/>
    </row>
    <row r="84" ht="15.75" customHeight="1">
      <c r="A84" s="11" t="s">
        <v>12</v>
      </c>
      <c r="B84" s="68" t="s">
        <v>65</v>
      </c>
      <c r="C84" s="69" t="s">
        <v>137</v>
      </c>
      <c r="D84" s="70">
        <v>0.3611111111111111</v>
      </c>
      <c r="E84" s="149"/>
      <c r="F84" s="149">
        <v>8.01440450791705E14</v>
      </c>
      <c r="G84" s="148" t="s">
        <v>156</v>
      </c>
      <c r="H84" s="150">
        <v>28821.0</v>
      </c>
      <c r="I84" s="18" t="s">
        <v>41</v>
      </c>
      <c r="J84" s="132" t="s">
        <v>157</v>
      </c>
      <c r="K84" s="49"/>
      <c r="L84" s="51"/>
      <c r="M84" s="50"/>
      <c r="N84" s="52"/>
    </row>
    <row r="85" ht="15.75" customHeight="1">
      <c r="A85" s="11" t="s">
        <v>13</v>
      </c>
      <c r="B85" s="68" t="s">
        <v>72</v>
      </c>
      <c r="C85" s="69" t="s">
        <v>137</v>
      </c>
      <c r="D85" s="70">
        <v>0.375</v>
      </c>
      <c r="E85" s="149"/>
      <c r="F85" s="149">
        <v>7.08505305299379E14</v>
      </c>
      <c r="G85" s="151" t="s">
        <v>158</v>
      </c>
      <c r="H85" s="150">
        <v>18621.0</v>
      </c>
      <c r="I85" s="18" t="s">
        <v>41</v>
      </c>
      <c r="J85" s="132">
        <v>1.1954676137E10</v>
      </c>
      <c r="K85" s="45"/>
      <c r="L85" s="57"/>
      <c r="M85" s="56"/>
      <c r="N85" s="48"/>
    </row>
    <row r="86" ht="15.75" customHeight="1">
      <c r="A86" s="11" t="s">
        <v>14</v>
      </c>
      <c r="B86" s="68" t="s">
        <v>32</v>
      </c>
      <c r="C86" s="69" t="s">
        <v>137</v>
      </c>
      <c r="D86" s="70">
        <v>0.3888888888888889</v>
      </c>
      <c r="E86" s="80"/>
      <c r="F86" s="80">
        <v>7.05401401267493E14</v>
      </c>
      <c r="G86" s="85" t="s">
        <v>94</v>
      </c>
      <c r="H86" s="86">
        <v>20428.0</v>
      </c>
      <c r="I86" s="18"/>
      <c r="J86" s="132" t="s">
        <v>159</v>
      </c>
      <c r="K86" s="58"/>
      <c r="L86" s="51"/>
      <c r="M86" s="59"/>
      <c r="N86" s="60"/>
    </row>
    <row r="87" ht="15.75" customHeight="1">
      <c r="A87" s="11" t="s">
        <v>15</v>
      </c>
      <c r="B87" s="68" t="s">
        <v>65</v>
      </c>
      <c r="C87" s="69" t="s">
        <v>137</v>
      </c>
      <c r="D87" s="70">
        <v>0.4027777777777778</v>
      </c>
      <c r="E87" s="149"/>
      <c r="F87" s="149">
        <v>1.24144982870007E14</v>
      </c>
      <c r="G87" s="148" t="s">
        <v>160</v>
      </c>
      <c r="H87" s="150">
        <v>20555.0</v>
      </c>
      <c r="I87" s="18" t="s">
        <v>41</v>
      </c>
      <c r="J87" s="132" t="s">
        <v>161</v>
      </c>
      <c r="K87" s="45"/>
      <c r="L87" s="57"/>
      <c r="M87" s="56"/>
      <c r="N87" s="48"/>
    </row>
    <row r="88" ht="15.75" customHeight="1">
      <c r="A88" s="11" t="s">
        <v>16</v>
      </c>
      <c r="B88" s="68" t="s">
        <v>72</v>
      </c>
      <c r="C88" s="69" t="s">
        <v>137</v>
      </c>
      <c r="D88" s="70">
        <v>0.4166666666666667</v>
      </c>
      <c r="E88" s="124"/>
      <c r="F88" s="124">
        <v>7.00003673639409E14</v>
      </c>
      <c r="G88" s="148" t="s">
        <v>162</v>
      </c>
      <c r="H88" s="152">
        <v>25418.0</v>
      </c>
      <c r="I88" s="18" t="s">
        <v>41</v>
      </c>
      <c r="J88" s="146">
        <v>1.1986031584E10</v>
      </c>
      <c r="K88" s="58"/>
      <c r="L88" s="51"/>
      <c r="M88" s="59"/>
      <c r="N88" s="60"/>
    </row>
    <row r="89" ht="15.75" customHeight="1">
      <c r="A89" s="11" t="s">
        <v>17</v>
      </c>
      <c r="B89" s="68" t="s">
        <v>32</v>
      </c>
      <c r="C89" s="69" t="s">
        <v>137</v>
      </c>
      <c r="D89" s="70">
        <v>0.4305555555555556</v>
      </c>
      <c r="E89" s="127"/>
      <c r="F89" s="127">
        <v>1.05612898480004E14</v>
      </c>
      <c r="G89" s="148" t="s">
        <v>59</v>
      </c>
      <c r="H89" s="150">
        <v>17552.0</v>
      </c>
      <c r="I89" s="18"/>
      <c r="J89" s="132" t="s">
        <v>163</v>
      </c>
      <c r="K89" s="45"/>
      <c r="L89" s="57"/>
      <c r="M89" s="56"/>
      <c r="N89" s="48"/>
    </row>
    <row r="90" ht="15.75" customHeight="1">
      <c r="A90" s="11" t="s">
        <v>85</v>
      </c>
      <c r="B90" s="68" t="s">
        <v>65</v>
      </c>
      <c r="C90" s="69" t="s">
        <v>137</v>
      </c>
      <c r="D90" s="70">
        <v>0.4444444444444444</v>
      </c>
      <c r="E90" s="79"/>
      <c r="F90" s="79">
        <v>8.0144047890306E14</v>
      </c>
      <c r="G90" s="74" t="s">
        <v>113</v>
      </c>
      <c r="H90" s="78">
        <v>17507.0</v>
      </c>
      <c r="I90" s="18" t="s">
        <v>36</v>
      </c>
      <c r="J90" s="132" t="s">
        <v>114</v>
      </c>
      <c r="K90" s="58" t="s">
        <v>164</v>
      </c>
      <c r="L90" s="51"/>
      <c r="M90" s="59"/>
      <c r="N90" s="60" t="s">
        <v>165</v>
      </c>
    </row>
    <row r="91" ht="15.75" customHeight="1">
      <c r="A91" s="11" t="s">
        <v>87</v>
      </c>
      <c r="B91" s="68" t="s">
        <v>72</v>
      </c>
      <c r="C91" s="69" t="s">
        <v>137</v>
      </c>
      <c r="D91" s="70">
        <v>0.4583333333333333</v>
      </c>
      <c r="E91" s="146"/>
      <c r="F91" s="146">
        <v>7.0030840468144E14</v>
      </c>
      <c r="G91" s="100" t="s">
        <v>166</v>
      </c>
      <c r="H91" s="153">
        <v>14732.0</v>
      </c>
      <c r="I91" s="18" t="s">
        <v>41</v>
      </c>
      <c r="J91" s="80">
        <v>1.1986031584E10</v>
      </c>
      <c r="K91" s="45"/>
      <c r="L91" s="57"/>
      <c r="M91" s="56"/>
      <c r="N91" s="48"/>
    </row>
    <row r="92" ht="15.75" customHeight="1">
      <c r="A92" s="11" t="s">
        <v>90</v>
      </c>
      <c r="B92" s="68" t="s">
        <v>32</v>
      </c>
      <c r="C92" s="69" t="s">
        <v>137</v>
      </c>
      <c r="D92" s="70">
        <v>0.4722222222222222</v>
      </c>
      <c r="E92" s="69"/>
      <c r="F92" s="69">
        <v>7.00007245355708E14</v>
      </c>
      <c r="G92" s="154" t="s">
        <v>167</v>
      </c>
      <c r="H92" s="153">
        <v>21490.0</v>
      </c>
      <c r="I92" s="18"/>
      <c r="J92" s="155" t="s">
        <v>168</v>
      </c>
      <c r="K92" s="58"/>
      <c r="L92" s="51"/>
      <c r="M92" s="59"/>
      <c r="N92" s="60"/>
    </row>
    <row r="93" ht="15.75" customHeight="1">
      <c r="A93" s="11" t="s">
        <v>93</v>
      </c>
      <c r="B93" s="68"/>
      <c r="C93" s="69" t="s">
        <v>137</v>
      </c>
      <c r="D93" s="70">
        <v>0.4861111111111111</v>
      </c>
      <c r="E93" s="156"/>
      <c r="F93" s="156"/>
      <c r="G93" s="148" t="s">
        <v>112</v>
      </c>
      <c r="H93" s="153"/>
      <c r="I93" s="18" t="s">
        <v>112</v>
      </c>
      <c r="J93" s="29"/>
      <c r="K93" s="45"/>
      <c r="L93" s="57"/>
      <c r="M93" s="56"/>
      <c r="N93" s="48"/>
    </row>
    <row r="94" ht="15.75" customHeight="1">
      <c r="B94" s="121"/>
      <c r="C94" s="121"/>
      <c r="D94" s="121"/>
      <c r="E94" s="99"/>
      <c r="F94" s="99"/>
      <c r="G94" s="122"/>
      <c r="H94" s="123"/>
    </row>
    <row r="95" ht="15.75" customHeight="1">
      <c r="B95" s="121"/>
      <c r="C95" s="121"/>
      <c r="D95" s="121"/>
      <c r="E95" s="99"/>
      <c r="F95" s="99"/>
      <c r="G95" s="122"/>
      <c r="H95" s="123"/>
    </row>
    <row r="96" ht="15.75" customHeight="1">
      <c r="B96" s="121"/>
      <c r="C96" s="121"/>
      <c r="D96" s="121"/>
      <c r="E96" s="99"/>
      <c r="F96" s="99"/>
      <c r="G96" s="122"/>
      <c r="H96" s="123"/>
    </row>
    <row r="97" ht="15.75" customHeight="1">
      <c r="A97" s="31" t="s">
        <v>169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3"/>
    </row>
    <row r="98" ht="15.75" customHeight="1">
      <c r="A98" s="64" t="s">
        <v>170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3"/>
    </row>
    <row r="99" ht="15.75" customHeight="1">
      <c r="A99" s="65"/>
      <c r="B99" s="7" t="s">
        <v>3</v>
      </c>
      <c r="C99" s="6" t="s">
        <v>2</v>
      </c>
      <c r="D99" s="8" t="s">
        <v>5</v>
      </c>
      <c r="E99" s="8" t="s">
        <v>19</v>
      </c>
      <c r="F99" s="8" t="s">
        <v>6</v>
      </c>
      <c r="G99" s="66" t="s">
        <v>7</v>
      </c>
      <c r="H99" s="9" t="s">
        <v>8</v>
      </c>
      <c r="I99" s="67" t="s">
        <v>20</v>
      </c>
      <c r="J99" s="8" t="s">
        <v>25</v>
      </c>
      <c r="K99" s="8" t="s">
        <v>26</v>
      </c>
      <c r="L99" s="9" t="s">
        <v>28</v>
      </c>
      <c r="M99" s="6" t="s">
        <v>29</v>
      </c>
      <c r="N99" s="9" t="s">
        <v>30</v>
      </c>
    </row>
    <row r="100" ht="15.75" customHeight="1">
      <c r="A100" s="11" t="s">
        <v>10</v>
      </c>
      <c r="B100" s="68"/>
      <c r="C100" s="69" t="s">
        <v>66</v>
      </c>
      <c r="D100" s="70">
        <v>0.3333333333333333</v>
      </c>
      <c r="E100" s="71"/>
      <c r="F100" s="71"/>
      <c r="G100" s="157" t="s">
        <v>171</v>
      </c>
      <c r="H100" s="72"/>
      <c r="I100" s="18" t="s">
        <v>172</v>
      </c>
      <c r="J100" s="37"/>
      <c r="K100" s="38"/>
      <c r="L100" s="73"/>
      <c r="M100" s="41"/>
      <c r="N100" s="42"/>
    </row>
    <row r="101" ht="15.75" customHeight="1">
      <c r="A101" s="11" t="s">
        <v>11</v>
      </c>
      <c r="B101" s="68"/>
      <c r="C101" s="69" t="s">
        <v>66</v>
      </c>
      <c r="D101" s="70">
        <v>0.3472222222222222</v>
      </c>
      <c r="E101" s="71"/>
      <c r="F101" s="71"/>
      <c r="G101" s="157" t="s">
        <v>171</v>
      </c>
      <c r="H101" s="72"/>
      <c r="I101" s="18" t="s">
        <v>172</v>
      </c>
      <c r="J101" s="37"/>
      <c r="K101" s="45"/>
      <c r="L101" s="47"/>
      <c r="M101" s="46"/>
      <c r="N101" s="48"/>
    </row>
    <row r="102" ht="15.75" customHeight="1">
      <c r="A102" s="11" t="s">
        <v>12</v>
      </c>
      <c r="B102" s="158"/>
      <c r="C102" s="69" t="s">
        <v>66</v>
      </c>
      <c r="D102" s="70">
        <v>0.3611111111111111</v>
      </c>
      <c r="E102" s="159"/>
      <c r="F102" s="159"/>
      <c r="G102" s="157" t="s">
        <v>171</v>
      </c>
      <c r="H102" s="160"/>
      <c r="I102" s="18" t="s">
        <v>172</v>
      </c>
      <c r="J102" s="161"/>
      <c r="K102" s="49"/>
      <c r="L102" s="51"/>
      <c r="M102" s="50"/>
      <c r="N102" s="52"/>
    </row>
    <row r="103" ht="15.75" customHeight="1">
      <c r="A103" s="11" t="s">
        <v>13</v>
      </c>
      <c r="B103" s="162"/>
      <c r="C103" s="69" t="s">
        <v>66</v>
      </c>
      <c r="D103" s="70">
        <v>0.375</v>
      </c>
      <c r="E103" s="159"/>
      <c r="F103" s="159"/>
      <c r="G103" s="157" t="s">
        <v>171</v>
      </c>
      <c r="H103" s="160"/>
      <c r="I103" s="18" t="s">
        <v>172</v>
      </c>
      <c r="J103" s="161"/>
      <c r="K103" s="45"/>
      <c r="L103" s="57"/>
      <c r="M103" s="56"/>
      <c r="N103" s="48"/>
    </row>
    <row r="104" ht="15.75" customHeight="1">
      <c r="A104" s="11" t="s">
        <v>14</v>
      </c>
      <c r="B104" s="163"/>
      <c r="C104" s="69" t="s">
        <v>66</v>
      </c>
      <c r="D104" s="70">
        <v>0.3888888888888889</v>
      </c>
      <c r="E104" s="159"/>
      <c r="F104" s="159"/>
      <c r="G104" s="157" t="s">
        <v>171</v>
      </c>
      <c r="H104" s="164"/>
      <c r="I104" s="18" t="s">
        <v>172</v>
      </c>
      <c r="J104" s="159"/>
      <c r="K104" s="58"/>
      <c r="L104" s="51"/>
      <c r="M104" s="59"/>
      <c r="N104" s="60"/>
    </row>
    <row r="105" ht="15.75" customHeight="1">
      <c r="A105" s="11" t="s">
        <v>15</v>
      </c>
      <c r="B105" s="154" t="s">
        <v>65</v>
      </c>
      <c r="C105" s="69" t="s">
        <v>66</v>
      </c>
      <c r="D105" s="70">
        <v>0.4027777777777778</v>
      </c>
      <c r="E105" s="159"/>
      <c r="F105" s="159" t="s">
        <v>173</v>
      </c>
      <c r="G105" s="165" t="s">
        <v>174</v>
      </c>
      <c r="H105" s="160">
        <v>20879.0</v>
      </c>
      <c r="I105" s="18" t="s">
        <v>172</v>
      </c>
      <c r="J105" s="161"/>
      <c r="K105" s="45"/>
      <c r="L105" s="57"/>
      <c r="M105" s="56"/>
      <c r="N105" s="48"/>
    </row>
    <row r="106" ht="15.75" customHeight="1">
      <c r="A106" s="11" t="s">
        <v>16</v>
      </c>
      <c r="B106" s="162"/>
      <c r="C106" s="69" t="s">
        <v>66</v>
      </c>
      <c r="D106" s="70">
        <v>0.4166666666666667</v>
      </c>
      <c r="E106" s="159"/>
      <c r="F106" s="159"/>
      <c r="G106" s="157" t="s">
        <v>171</v>
      </c>
      <c r="H106" s="160"/>
      <c r="I106" s="18" t="s">
        <v>172</v>
      </c>
      <c r="J106" s="161"/>
      <c r="K106" s="58"/>
      <c r="L106" s="51"/>
      <c r="M106" s="59"/>
      <c r="N106" s="60"/>
    </row>
    <row r="107" ht="15.75" customHeight="1">
      <c r="A107" s="11" t="s">
        <v>17</v>
      </c>
      <c r="B107" s="163"/>
      <c r="C107" s="69" t="s">
        <v>66</v>
      </c>
      <c r="D107" s="70">
        <v>0.4305555555555556</v>
      </c>
      <c r="E107" s="159"/>
      <c r="F107" s="159"/>
      <c r="G107" s="157" t="s">
        <v>171</v>
      </c>
      <c r="H107" s="160"/>
      <c r="I107" s="18" t="s">
        <v>172</v>
      </c>
      <c r="J107" s="159"/>
      <c r="K107" s="45"/>
      <c r="L107" s="57"/>
      <c r="M107" s="56"/>
      <c r="N107" s="48"/>
    </row>
    <row r="108" ht="15.75" customHeight="1">
      <c r="A108" s="11" t="s">
        <v>85</v>
      </c>
      <c r="B108" s="154" t="s">
        <v>65</v>
      </c>
      <c r="C108" s="69" t="s">
        <v>66</v>
      </c>
      <c r="D108" s="70">
        <v>0.4444444444444444</v>
      </c>
      <c r="E108" s="159"/>
      <c r="F108" s="159" t="s">
        <v>175</v>
      </c>
      <c r="G108" s="85" t="s">
        <v>176</v>
      </c>
      <c r="H108" s="160">
        <v>21221.0</v>
      </c>
      <c r="I108" s="18" t="s">
        <v>172</v>
      </c>
      <c r="J108" s="161"/>
      <c r="K108" s="58"/>
      <c r="L108" s="51"/>
      <c r="M108" s="59"/>
      <c r="N108" s="60"/>
    </row>
    <row r="109" ht="15.75" customHeight="1">
      <c r="A109" s="11" t="s">
        <v>87</v>
      </c>
      <c r="B109" s="162"/>
      <c r="C109" s="69" t="s">
        <v>66</v>
      </c>
      <c r="D109" s="70">
        <v>0.4583333333333333</v>
      </c>
      <c r="E109" s="159"/>
      <c r="F109" s="159"/>
      <c r="G109" s="166" t="s">
        <v>177</v>
      </c>
      <c r="H109" s="160"/>
      <c r="I109" s="18" t="s">
        <v>172</v>
      </c>
      <c r="J109" s="161"/>
      <c r="K109" s="45"/>
      <c r="L109" s="57"/>
      <c r="M109" s="56"/>
      <c r="N109" s="48"/>
    </row>
    <row r="110" ht="15.75" customHeight="1">
      <c r="A110" s="11" t="s">
        <v>90</v>
      </c>
      <c r="B110" s="162"/>
      <c r="C110" s="69" t="s">
        <v>66</v>
      </c>
      <c r="D110" s="70">
        <v>0.4722222222222222</v>
      </c>
      <c r="E110" s="159"/>
      <c r="F110" s="159"/>
      <c r="G110" s="166" t="s">
        <v>177</v>
      </c>
      <c r="H110" s="160"/>
      <c r="I110" s="18" t="s">
        <v>172</v>
      </c>
      <c r="J110" s="161"/>
      <c r="K110" s="58"/>
      <c r="L110" s="51"/>
      <c r="M110" s="59"/>
      <c r="N110" s="60"/>
    </row>
    <row r="111" ht="15.75" customHeight="1">
      <c r="A111" s="11" t="s">
        <v>93</v>
      </c>
      <c r="B111" s="158"/>
      <c r="C111" s="69" t="s">
        <v>66</v>
      </c>
      <c r="D111" s="70">
        <v>0.4861111111111111</v>
      </c>
      <c r="E111" s="159"/>
      <c r="F111" s="159"/>
      <c r="G111" s="166" t="s">
        <v>177</v>
      </c>
      <c r="H111" s="160"/>
      <c r="I111" s="18" t="s">
        <v>172</v>
      </c>
      <c r="J111" s="161"/>
      <c r="K111" s="45"/>
      <c r="L111" s="57"/>
      <c r="M111" s="56"/>
      <c r="N111" s="48"/>
    </row>
    <row r="112" ht="15.75" customHeight="1">
      <c r="A112" s="87"/>
      <c r="B112" s="88"/>
      <c r="C112" s="88"/>
      <c r="D112" s="88"/>
      <c r="E112" s="88"/>
      <c r="F112" s="88"/>
      <c r="G112" s="89"/>
      <c r="H112" s="90"/>
      <c r="I112" s="87"/>
      <c r="J112" s="87"/>
      <c r="K112" s="87"/>
      <c r="L112" s="87"/>
      <c r="M112" s="87"/>
      <c r="N112" s="87"/>
    </row>
    <row r="113" ht="15.75" customHeight="1">
      <c r="A113" s="87"/>
      <c r="B113" s="88"/>
      <c r="C113" s="88"/>
      <c r="D113" s="88"/>
      <c r="E113" s="88"/>
      <c r="F113" s="88"/>
      <c r="G113" s="89"/>
      <c r="H113" s="90"/>
      <c r="I113" s="87"/>
      <c r="J113" s="87"/>
      <c r="K113" s="87"/>
      <c r="L113" s="87"/>
      <c r="M113" s="87"/>
      <c r="N113" s="87"/>
    </row>
    <row r="114" ht="15.75" customHeight="1">
      <c r="A114" s="87"/>
      <c r="B114" s="88"/>
      <c r="C114" s="88"/>
      <c r="D114" s="88"/>
      <c r="E114" s="88" t="s">
        <v>178</v>
      </c>
      <c r="F114" s="88"/>
      <c r="G114" s="89"/>
      <c r="H114" s="90"/>
      <c r="I114" s="87"/>
      <c r="J114" s="87"/>
      <c r="K114" s="87"/>
      <c r="L114" s="87"/>
      <c r="M114" s="87"/>
      <c r="N114" s="87"/>
    </row>
    <row r="115" ht="15.75" customHeight="1">
      <c r="G115" s="167"/>
      <c r="H115" s="168"/>
    </row>
    <row r="116" ht="15.75" customHeight="1">
      <c r="G116" s="167"/>
      <c r="H116" s="168"/>
    </row>
    <row r="117" ht="15.75" customHeight="1">
      <c r="G117" s="167"/>
      <c r="H117" s="168"/>
    </row>
    <row r="118" ht="15.75" customHeight="1">
      <c r="A118" s="31" t="s">
        <v>154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3"/>
    </row>
    <row r="119" ht="15.75" customHeight="1">
      <c r="A119" s="64" t="s">
        <v>179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3"/>
    </row>
    <row r="120" ht="15.75" customHeight="1">
      <c r="A120" s="65"/>
      <c r="B120" s="7" t="s">
        <v>3</v>
      </c>
      <c r="C120" s="6" t="s">
        <v>2</v>
      </c>
      <c r="D120" s="8" t="s">
        <v>5</v>
      </c>
      <c r="E120" s="8" t="s">
        <v>19</v>
      </c>
      <c r="F120" s="8" t="s">
        <v>6</v>
      </c>
      <c r="G120" s="66" t="s">
        <v>7</v>
      </c>
      <c r="H120" s="9" t="s">
        <v>8</v>
      </c>
      <c r="I120" s="67" t="s">
        <v>20</v>
      </c>
      <c r="J120" s="8" t="s">
        <v>25</v>
      </c>
      <c r="K120" s="8" t="s">
        <v>26</v>
      </c>
      <c r="L120" s="9" t="s">
        <v>28</v>
      </c>
      <c r="M120" s="6" t="s">
        <v>29</v>
      </c>
      <c r="N120" s="9" t="s">
        <v>30</v>
      </c>
    </row>
    <row r="121" ht="15.75" customHeight="1">
      <c r="A121" s="11" t="s">
        <v>10</v>
      </c>
      <c r="B121" s="68"/>
      <c r="C121" s="69" t="s">
        <v>66</v>
      </c>
      <c r="D121" s="70">
        <v>0.5416666666666666</v>
      </c>
      <c r="E121" s="79"/>
      <c r="F121" s="79"/>
      <c r="G121" s="169" t="s">
        <v>112</v>
      </c>
      <c r="H121" s="78"/>
      <c r="I121" s="18" t="s">
        <v>180</v>
      </c>
      <c r="J121" s="97"/>
      <c r="K121" s="38"/>
      <c r="L121" s="73"/>
      <c r="M121" s="41"/>
      <c r="N121" s="42"/>
    </row>
    <row r="122" ht="15.75" customHeight="1">
      <c r="A122" s="11" t="s">
        <v>11</v>
      </c>
      <c r="B122" s="68" t="s">
        <v>72</v>
      </c>
      <c r="C122" s="69" t="s">
        <v>66</v>
      </c>
      <c r="D122" s="70">
        <v>0.5555555555555556</v>
      </c>
      <c r="E122" s="71">
        <v>3.2092565869E10</v>
      </c>
      <c r="F122" s="170">
        <v>7.04205206763484E14</v>
      </c>
      <c r="G122" s="171" t="s">
        <v>181</v>
      </c>
      <c r="H122" s="72">
        <v>19978.0</v>
      </c>
      <c r="I122" s="18" t="s">
        <v>182</v>
      </c>
      <c r="J122" s="37">
        <v>1.1962630527E10</v>
      </c>
      <c r="K122" s="45"/>
      <c r="L122" s="47"/>
      <c r="M122" s="46"/>
      <c r="N122" s="48"/>
    </row>
    <row r="123" ht="15.75" customHeight="1">
      <c r="A123" s="11" t="s">
        <v>12</v>
      </c>
      <c r="B123" s="68" t="s">
        <v>109</v>
      </c>
      <c r="C123" s="69" t="s">
        <v>66</v>
      </c>
      <c r="D123" s="70">
        <v>0.5694444444444444</v>
      </c>
      <c r="E123" s="79">
        <v>4.130704087E10</v>
      </c>
      <c r="F123" s="79">
        <v>2.06869326620004E14</v>
      </c>
      <c r="G123" s="74" t="s">
        <v>183</v>
      </c>
      <c r="H123" s="78">
        <v>33538.0</v>
      </c>
      <c r="I123" s="18" t="s">
        <v>182</v>
      </c>
      <c r="J123" s="97" t="s">
        <v>184</v>
      </c>
      <c r="K123" s="49"/>
      <c r="L123" s="51"/>
      <c r="M123" s="50"/>
      <c r="N123" s="52"/>
    </row>
    <row r="124" ht="15.75" customHeight="1">
      <c r="A124" s="11" t="s">
        <v>13</v>
      </c>
      <c r="B124" s="68"/>
      <c r="C124" s="69" t="s">
        <v>66</v>
      </c>
      <c r="D124" s="70">
        <v>0.5833333333333334</v>
      </c>
      <c r="E124" s="79"/>
      <c r="F124" s="79"/>
      <c r="G124" s="169" t="s">
        <v>112</v>
      </c>
      <c r="H124" s="78"/>
      <c r="I124" s="18" t="s">
        <v>180</v>
      </c>
      <c r="J124" s="97"/>
      <c r="K124" s="45"/>
      <c r="L124" s="57"/>
      <c r="M124" s="56"/>
      <c r="N124" s="48"/>
    </row>
    <row r="125" ht="15.75" customHeight="1">
      <c r="A125" s="11" t="s">
        <v>14</v>
      </c>
      <c r="B125" s="68" t="s">
        <v>72</v>
      </c>
      <c r="C125" s="69" t="s">
        <v>66</v>
      </c>
      <c r="D125" s="70">
        <v>0.5972222222222222</v>
      </c>
      <c r="E125" s="146">
        <v>4.227631874E9</v>
      </c>
      <c r="F125" s="146">
        <v>8.9800145562202E13</v>
      </c>
      <c r="G125" s="172" t="s">
        <v>185</v>
      </c>
      <c r="H125" s="72">
        <v>18633.0</v>
      </c>
      <c r="I125" s="18" t="s">
        <v>182</v>
      </c>
      <c r="J125" s="37">
        <v>1.1966601918E10</v>
      </c>
      <c r="K125" s="58"/>
      <c r="L125" s="51"/>
      <c r="M125" s="59"/>
      <c r="N125" s="60"/>
    </row>
    <row r="126" ht="15.75" customHeight="1">
      <c r="A126" s="11" t="s">
        <v>15</v>
      </c>
      <c r="B126" s="68" t="s">
        <v>109</v>
      </c>
      <c r="C126" s="69" t="s">
        <v>66</v>
      </c>
      <c r="D126" s="70">
        <v>0.6111111111111112</v>
      </c>
      <c r="E126" s="79">
        <v>1.709153784E10</v>
      </c>
      <c r="F126" s="79">
        <v>7.00109943194816E14</v>
      </c>
      <c r="G126" s="74" t="s">
        <v>186</v>
      </c>
      <c r="H126" s="78">
        <v>23145.0</v>
      </c>
      <c r="I126" s="18" t="s">
        <v>182</v>
      </c>
      <c r="J126" s="37" t="s">
        <v>187</v>
      </c>
      <c r="K126" s="45"/>
      <c r="L126" s="57"/>
      <c r="M126" s="56"/>
      <c r="N126" s="48"/>
    </row>
    <row r="127" ht="15.75" customHeight="1">
      <c r="A127" s="11" t="s">
        <v>16</v>
      </c>
      <c r="B127" s="68" t="s">
        <v>188</v>
      </c>
      <c r="C127" s="69" t="s">
        <v>66</v>
      </c>
      <c r="D127" s="70">
        <v>0.625</v>
      </c>
      <c r="E127" s="79">
        <v>1.5203854807E10</v>
      </c>
      <c r="F127" s="79">
        <v>8.01440401876557E14</v>
      </c>
      <c r="G127" s="74" t="s">
        <v>189</v>
      </c>
      <c r="H127" s="78">
        <v>27315.0</v>
      </c>
      <c r="I127" s="18"/>
      <c r="J127" s="97">
        <v>9.5226379E8</v>
      </c>
      <c r="K127" s="58"/>
      <c r="L127" s="51"/>
      <c r="M127" s="59"/>
      <c r="N127" s="60"/>
    </row>
    <row r="128" ht="15.75" customHeight="1">
      <c r="A128" s="11" t="s">
        <v>17</v>
      </c>
      <c r="B128" s="68" t="s">
        <v>72</v>
      </c>
      <c r="C128" s="69" t="s">
        <v>66</v>
      </c>
      <c r="D128" s="70">
        <v>0.6388888888888888</v>
      </c>
      <c r="E128" s="79">
        <v>2.3775602534E10</v>
      </c>
      <c r="F128" s="79">
        <v>8.98002756332382E14</v>
      </c>
      <c r="G128" s="74" t="s">
        <v>190</v>
      </c>
      <c r="H128" s="78">
        <v>14921.0</v>
      </c>
      <c r="I128" s="18" t="s">
        <v>182</v>
      </c>
      <c r="J128" s="37">
        <v>1.1941193889E10</v>
      </c>
      <c r="K128" s="81"/>
      <c r="L128" s="82"/>
      <c r="M128" s="83"/>
      <c r="N128" s="84"/>
    </row>
    <row r="129" ht="15.75" customHeight="1">
      <c r="A129" s="11" t="s">
        <v>85</v>
      </c>
      <c r="B129" s="68"/>
      <c r="C129" s="69" t="s">
        <v>66</v>
      </c>
      <c r="D129" s="70">
        <v>0.6527777777777778</v>
      </c>
      <c r="E129" s="146"/>
      <c r="F129" s="146"/>
      <c r="G129" s="169" t="s">
        <v>112</v>
      </c>
      <c r="H129" s="86"/>
      <c r="I129" s="18" t="s">
        <v>180</v>
      </c>
      <c r="J129" s="37"/>
      <c r="K129" s="58"/>
      <c r="L129" s="51"/>
      <c r="M129" s="59"/>
      <c r="N129" s="60"/>
    </row>
    <row r="130" ht="15.75" customHeight="1">
      <c r="A130" s="11" t="s">
        <v>87</v>
      </c>
      <c r="B130" s="68"/>
      <c r="C130" s="69" t="s">
        <v>66</v>
      </c>
      <c r="D130" s="70">
        <v>0.6666666666666666</v>
      </c>
      <c r="E130" s="149"/>
      <c r="F130" s="149"/>
      <c r="G130" s="173" t="s">
        <v>177</v>
      </c>
      <c r="H130" s="153"/>
      <c r="I130" s="18"/>
      <c r="J130" s="37"/>
      <c r="K130" s="174"/>
      <c r="L130" s="82"/>
      <c r="M130" s="175"/>
      <c r="N130" s="176"/>
      <c r="O130" s="63"/>
      <c r="P130" s="63"/>
      <c r="Q130" s="63"/>
      <c r="R130" s="63"/>
      <c r="S130" s="63"/>
      <c r="T130" s="63"/>
      <c r="U130" s="63"/>
      <c r="V130" s="63"/>
    </row>
    <row r="131" ht="15.75" customHeight="1">
      <c r="A131" s="11" t="s">
        <v>90</v>
      </c>
      <c r="B131" s="68"/>
      <c r="C131" s="69" t="s">
        <v>66</v>
      </c>
      <c r="D131" s="70">
        <v>0.6805555555555556</v>
      </c>
      <c r="E131" s="127"/>
      <c r="F131" s="127"/>
      <c r="G131" s="173" t="s">
        <v>177</v>
      </c>
      <c r="H131" s="153"/>
      <c r="I131" s="18"/>
      <c r="J131" s="37"/>
      <c r="K131" s="177"/>
      <c r="L131" s="57"/>
      <c r="M131" s="178"/>
      <c r="N131" s="176"/>
      <c r="O131" s="63"/>
      <c r="P131" s="63"/>
      <c r="Q131" s="63"/>
      <c r="R131" s="63"/>
      <c r="S131" s="63"/>
      <c r="T131" s="63"/>
      <c r="U131" s="63"/>
      <c r="V131" s="63"/>
    </row>
    <row r="132" ht="15.75" customHeight="1">
      <c r="A132" s="11" t="s">
        <v>93</v>
      </c>
      <c r="B132" s="68"/>
      <c r="C132" s="69" t="s">
        <v>66</v>
      </c>
      <c r="D132" s="70">
        <v>0.6944444444444444</v>
      </c>
      <c r="E132" s="127"/>
      <c r="F132" s="127"/>
      <c r="G132" s="166" t="s">
        <v>177</v>
      </c>
      <c r="H132" s="153"/>
      <c r="I132" s="18"/>
      <c r="J132" s="179"/>
      <c r="K132" s="174"/>
      <c r="L132" s="82"/>
      <c r="M132" s="175"/>
      <c r="N132" s="176"/>
      <c r="O132" s="63"/>
      <c r="P132" s="63"/>
      <c r="Q132" s="63"/>
      <c r="R132" s="63"/>
      <c r="S132" s="63"/>
      <c r="T132" s="63"/>
      <c r="U132" s="63"/>
      <c r="V132" s="63"/>
    </row>
    <row r="133" ht="15.75" customHeight="1">
      <c r="B133" s="121"/>
      <c r="C133" s="121"/>
      <c r="D133" s="121"/>
      <c r="E133" s="99"/>
      <c r="F133" s="99"/>
      <c r="G133" s="122"/>
      <c r="H133" s="123"/>
    </row>
    <row r="134" ht="15.75" customHeight="1">
      <c r="B134" s="121"/>
      <c r="C134" s="121"/>
      <c r="D134" s="121"/>
      <c r="E134" s="99"/>
      <c r="F134" s="99"/>
      <c r="G134" s="122"/>
      <c r="H134" s="123"/>
    </row>
    <row r="135" ht="15.75" customHeight="1">
      <c r="B135" s="121"/>
      <c r="C135" s="121"/>
      <c r="D135" s="121"/>
      <c r="E135" s="99"/>
      <c r="F135" s="99"/>
      <c r="G135" s="122"/>
      <c r="H135" s="123"/>
    </row>
    <row r="136" ht="15.75" customHeight="1">
      <c r="B136" s="121"/>
      <c r="C136" s="121"/>
      <c r="D136" s="121"/>
      <c r="E136" s="99"/>
      <c r="F136" s="99"/>
      <c r="G136" s="122"/>
      <c r="H136" s="123"/>
    </row>
    <row r="137" ht="15.75" customHeight="1">
      <c r="B137" s="121"/>
      <c r="C137" s="121"/>
      <c r="D137" s="121"/>
      <c r="E137" s="99"/>
      <c r="F137" s="99"/>
      <c r="G137" s="122"/>
      <c r="H137" s="123"/>
    </row>
    <row r="138" ht="15.75" customHeight="1">
      <c r="B138" s="121"/>
      <c r="C138" s="121"/>
      <c r="D138" s="121"/>
      <c r="E138" s="99"/>
      <c r="F138" s="99"/>
      <c r="G138" s="122"/>
      <c r="H138" s="123"/>
    </row>
    <row r="139" ht="15.75" customHeight="1">
      <c r="A139" s="31" t="s">
        <v>169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3"/>
    </row>
    <row r="140" ht="15.75" customHeight="1">
      <c r="A140" s="64" t="s">
        <v>191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3"/>
    </row>
    <row r="141" ht="15.75" customHeight="1">
      <c r="A141" s="65"/>
      <c r="B141" s="7" t="s">
        <v>3</v>
      </c>
      <c r="C141" s="6" t="s">
        <v>2</v>
      </c>
      <c r="D141" s="8" t="s">
        <v>5</v>
      </c>
      <c r="E141" s="8" t="s">
        <v>19</v>
      </c>
      <c r="F141" s="8" t="s">
        <v>6</v>
      </c>
      <c r="G141" s="66" t="s">
        <v>7</v>
      </c>
      <c r="H141" s="9" t="s">
        <v>8</v>
      </c>
      <c r="I141" s="67" t="s">
        <v>20</v>
      </c>
      <c r="J141" s="8" t="s">
        <v>25</v>
      </c>
      <c r="K141" s="8" t="s">
        <v>26</v>
      </c>
      <c r="L141" s="9" t="s">
        <v>28</v>
      </c>
      <c r="M141" s="6" t="s">
        <v>29</v>
      </c>
      <c r="N141" s="9" t="s">
        <v>30</v>
      </c>
    </row>
    <row r="142" ht="15.75" customHeight="1">
      <c r="A142" s="11" t="s">
        <v>10</v>
      </c>
      <c r="B142" s="68"/>
      <c r="C142" s="69" t="s">
        <v>122</v>
      </c>
      <c r="D142" s="70">
        <v>0.3333333333333333</v>
      </c>
      <c r="E142" s="71"/>
      <c r="F142" s="71"/>
      <c r="G142" s="169" t="s">
        <v>112</v>
      </c>
      <c r="H142" s="72"/>
      <c r="I142" s="18" t="s">
        <v>180</v>
      </c>
      <c r="J142" s="37"/>
      <c r="K142" s="38"/>
      <c r="L142" s="73"/>
      <c r="M142" s="41"/>
      <c r="N142" s="42"/>
    </row>
    <row r="143" ht="15.75" customHeight="1">
      <c r="A143" s="11" t="s">
        <v>11</v>
      </c>
      <c r="B143" s="68"/>
      <c r="C143" s="69" t="s">
        <v>122</v>
      </c>
      <c r="D143" s="70">
        <v>0.3472222222222222</v>
      </c>
      <c r="E143" s="71"/>
      <c r="F143" s="71"/>
      <c r="G143" s="169" t="s">
        <v>112</v>
      </c>
      <c r="H143" s="72"/>
      <c r="I143" s="18" t="s">
        <v>180</v>
      </c>
      <c r="J143" s="37"/>
      <c r="K143" s="45"/>
      <c r="L143" s="47"/>
      <c r="M143" s="46"/>
      <c r="N143" s="48"/>
    </row>
    <row r="144" ht="15.75" customHeight="1">
      <c r="A144" s="11" t="s">
        <v>12</v>
      </c>
      <c r="B144" s="68" t="s">
        <v>192</v>
      </c>
      <c r="C144" s="69" t="s">
        <v>122</v>
      </c>
      <c r="D144" s="70">
        <v>0.3611111111111111</v>
      </c>
      <c r="E144" s="137">
        <v>4.4291870884E10</v>
      </c>
      <c r="F144" s="137">
        <v>8.01440498036575E14</v>
      </c>
      <c r="G144" s="134" t="s">
        <v>193</v>
      </c>
      <c r="H144" s="142">
        <v>35482.0</v>
      </c>
      <c r="I144" s="131" t="s">
        <v>194</v>
      </c>
      <c r="J144" s="180" t="s">
        <v>195</v>
      </c>
      <c r="K144" s="49" t="s">
        <v>196</v>
      </c>
      <c r="L144" s="51"/>
      <c r="M144" s="50"/>
      <c r="N144" s="52"/>
    </row>
    <row r="145" ht="15.75" customHeight="1">
      <c r="A145" s="11" t="s">
        <v>13</v>
      </c>
      <c r="B145" s="68" t="s">
        <v>197</v>
      </c>
      <c r="C145" s="69" t="s">
        <v>122</v>
      </c>
      <c r="D145" s="70">
        <v>0.375</v>
      </c>
      <c r="E145" s="53">
        <v>9.9460912834E10</v>
      </c>
      <c r="F145" s="124">
        <v>7.08507372552171E14</v>
      </c>
      <c r="G145" s="181" t="s">
        <v>198</v>
      </c>
      <c r="H145" s="126">
        <v>20297.0</v>
      </c>
      <c r="I145" s="18" t="s">
        <v>194</v>
      </c>
      <c r="J145" s="37" t="s">
        <v>199</v>
      </c>
      <c r="K145" s="45" t="s">
        <v>200</v>
      </c>
      <c r="L145" s="57"/>
      <c r="M145" s="56"/>
      <c r="N145" s="48"/>
    </row>
    <row r="146" ht="15.75" customHeight="1">
      <c r="A146" s="11" t="s">
        <v>14</v>
      </c>
      <c r="B146" s="68" t="s">
        <v>201</v>
      </c>
      <c r="C146" s="69" t="s">
        <v>122</v>
      </c>
      <c r="D146" s="70">
        <v>0.3888888888888889</v>
      </c>
      <c r="E146" s="182">
        <v>9.345717838E9</v>
      </c>
      <c r="F146" s="183">
        <v>2.03930005020009E14</v>
      </c>
      <c r="G146" s="151" t="s">
        <v>202</v>
      </c>
      <c r="H146" s="72">
        <v>23970.0</v>
      </c>
      <c r="I146" s="18" t="s">
        <v>182</v>
      </c>
      <c r="J146" s="184" t="s">
        <v>203</v>
      </c>
      <c r="K146" s="58"/>
      <c r="L146" s="51"/>
      <c r="M146" s="59"/>
      <c r="N146" s="60"/>
    </row>
    <row r="147" ht="15.75" customHeight="1">
      <c r="A147" s="11" t="s">
        <v>15</v>
      </c>
      <c r="B147" s="68"/>
      <c r="C147" s="69" t="s">
        <v>122</v>
      </c>
      <c r="D147" s="70">
        <v>0.4027777777777778</v>
      </c>
      <c r="E147" s="79"/>
      <c r="F147" s="79"/>
      <c r="G147" s="169" t="s">
        <v>112</v>
      </c>
      <c r="H147" s="78"/>
      <c r="I147" s="18" t="s">
        <v>180</v>
      </c>
      <c r="J147" s="37"/>
      <c r="K147" s="45"/>
      <c r="L147" s="57"/>
      <c r="M147" s="56"/>
      <c r="N147" s="48"/>
    </row>
    <row r="148" ht="15.75" customHeight="1">
      <c r="A148" s="11" t="s">
        <v>16</v>
      </c>
      <c r="B148" s="68" t="s">
        <v>197</v>
      </c>
      <c r="C148" s="69" t="s">
        <v>122</v>
      </c>
      <c r="D148" s="70">
        <v>0.4166666666666667</v>
      </c>
      <c r="E148" s="53">
        <v>4.293011897E9</v>
      </c>
      <c r="F148" s="127">
        <v>7.07609210050793E14</v>
      </c>
      <c r="G148" s="54" t="s">
        <v>204</v>
      </c>
      <c r="H148" s="78">
        <v>22227.0</v>
      </c>
      <c r="I148" s="18" t="s">
        <v>194</v>
      </c>
      <c r="J148" s="37" t="s">
        <v>205</v>
      </c>
      <c r="K148" s="58" t="s">
        <v>206</v>
      </c>
      <c r="L148" s="51"/>
      <c r="M148" s="59"/>
      <c r="N148" s="60"/>
    </row>
    <row r="149" ht="15.75" customHeight="1">
      <c r="A149" s="11" t="s">
        <v>17</v>
      </c>
      <c r="B149" s="68" t="s">
        <v>201</v>
      </c>
      <c r="C149" s="69" t="s">
        <v>122</v>
      </c>
      <c r="D149" s="70">
        <v>0.4305555555555556</v>
      </c>
      <c r="E149" s="182">
        <v>5.5215114587E10</v>
      </c>
      <c r="F149" s="185">
        <v>7.00509766942757E14</v>
      </c>
      <c r="G149" s="186" t="s">
        <v>207</v>
      </c>
      <c r="H149" s="78">
        <v>25003.0</v>
      </c>
      <c r="I149" s="18" t="s">
        <v>182</v>
      </c>
      <c r="J149" s="187" t="s">
        <v>208</v>
      </c>
      <c r="K149" s="45"/>
      <c r="L149" s="57"/>
      <c r="M149" s="56"/>
      <c r="N149" s="48"/>
    </row>
    <row r="150" ht="15.75" customHeight="1">
      <c r="A150" s="11" t="s">
        <v>85</v>
      </c>
      <c r="B150" s="68" t="s">
        <v>72</v>
      </c>
      <c r="C150" s="69" t="s">
        <v>122</v>
      </c>
      <c r="D150" s="70">
        <v>0.4444444444444444</v>
      </c>
      <c r="E150" s="53">
        <v>1.277067384E10</v>
      </c>
      <c r="F150" s="53">
        <v>7.05004023696256E14</v>
      </c>
      <c r="G150" s="54" t="s">
        <v>209</v>
      </c>
      <c r="H150" s="188">
        <v>23469.0</v>
      </c>
      <c r="I150" s="18" t="s">
        <v>182</v>
      </c>
      <c r="J150" s="53"/>
      <c r="K150" s="58"/>
      <c r="L150" s="51"/>
      <c r="M150" s="59"/>
      <c r="N150" s="60"/>
    </row>
    <row r="151" ht="15.75" customHeight="1">
      <c r="A151" s="11" t="s">
        <v>87</v>
      </c>
      <c r="B151" s="68"/>
      <c r="C151" s="69" t="s">
        <v>122</v>
      </c>
      <c r="D151" s="70">
        <v>0.4583333333333333</v>
      </c>
      <c r="E151" s="129"/>
      <c r="F151" s="189"/>
      <c r="G151" s="166" t="s">
        <v>177</v>
      </c>
      <c r="H151" s="78"/>
      <c r="I151" s="18"/>
      <c r="J151" s="97"/>
      <c r="K151" s="45"/>
      <c r="L151" s="57"/>
      <c r="M151" s="56"/>
      <c r="N151" s="48"/>
    </row>
    <row r="152" ht="15.75" customHeight="1">
      <c r="A152" s="11" t="s">
        <v>90</v>
      </c>
      <c r="B152" s="68"/>
      <c r="C152" s="69" t="s">
        <v>122</v>
      </c>
      <c r="D152" s="70">
        <v>0.4722222222222222</v>
      </c>
      <c r="E152" s="80"/>
      <c r="F152" s="80"/>
      <c r="G152" s="166" t="s">
        <v>177</v>
      </c>
      <c r="H152" s="86"/>
      <c r="I152" s="18"/>
      <c r="J152" s="29"/>
      <c r="K152" s="58"/>
      <c r="L152" s="51"/>
      <c r="M152" s="59"/>
      <c r="N152" s="60"/>
    </row>
    <row r="153" ht="15.75" customHeight="1">
      <c r="A153" s="11" t="s">
        <v>93</v>
      </c>
      <c r="B153" s="68"/>
      <c r="C153" s="69" t="s">
        <v>122</v>
      </c>
      <c r="D153" s="70">
        <v>0.4861111111111111</v>
      </c>
      <c r="E153" s="80"/>
      <c r="F153" s="80"/>
      <c r="G153" s="166" t="s">
        <v>177</v>
      </c>
      <c r="H153" s="86"/>
      <c r="I153" s="18"/>
      <c r="J153" s="29"/>
      <c r="K153" s="45"/>
      <c r="L153" s="57"/>
      <c r="M153" s="56"/>
      <c r="N153" s="48"/>
    </row>
    <row r="154" ht="15.75" customHeight="1">
      <c r="B154" s="121"/>
      <c r="C154" s="121"/>
      <c r="D154" s="121"/>
      <c r="E154" s="99"/>
      <c r="F154" s="99"/>
      <c r="G154" s="122"/>
      <c r="H154" s="123"/>
    </row>
    <row r="155" ht="15.75" customHeight="1">
      <c r="B155" s="121"/>
      <c r="C155" s="121"/>
      <c r="D155" s="121"/>
      <c r="E155" s="99"/>
      <c r="F155" s="99"/>
      <c r="G155" s="122"/>
      <c r="H155" s="123"/>
    </row>
    <row r="156" ht="15.75" customHeight="1">
      <c r="B156" s="121"/>
      <c r="C156" s="121"/>
      <c r="D156" s="121"/>
      <c r="E156" s="99"/>
      <c r="F156" s="99"/>
      <c r="G156" s="130"/>
    </row>
    <row r="157" ht="15.75" customHeight="1">
      <c r="B157" s="121"/>
      <c r="C157" s="121"/>
      <c r="D157" s="121"/>
      <c r="E157" s="99"/>
      <c r="F157" s="99"/>
      <c r="G157" s="122"/>
      <c r="H157" s="123"/>
    </row>
    <row r="158" ht="37.5" customHeight="1">
      <c r="A158" s="31" t="s">
        <v>210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3"/>
    </row>
    <row r="159" ht="30.0" customHeight="1">
      <c r="A159" s="190" t="s">
        <v>211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3"/>
    </row>
    <row r="160" ht="15.75" customHeight="1">
      <c r="A160" s="65"/>
      <c r="B160" s="7" t="s">
        <v>3</v>
      </c>
      <c r="C160" s="6" t="s">
        <v>2</v>
      </c>
      <c r="D160" s="8" t="s">
        <v>5</v>
      </c>
      <c r="E160" s="8" t="s">
        <v>19</v>
      </c>
      <c r="F160" s="8" t="s">
        <v>6</v>
      </c>
      <c r="G160" s="66" t="s">
        <v>7</v>
      </c>
      <c r="H160" s="9" t="s">
        <v>8</v>
      </c>
      <c r="I160" s="67" t="s">
        <v>20</v>
      </c>
      <c r="J160" s="8" t="s">
        <v>25</v>
      </c>
      <c r="K160" s="8" t="s">
        <v>26</v>
      </c>
      <c r="L160" s="9" t="s">
        <v>28</v>
      </c>
      <c r="M160" s="6" t="s">
        <v>29</v>
      </c>
      <c r="N160" s="9" t="s">
        <v>30</v>
      </c>
    </row>
    <row r="161" ht="15.75" customHeight="1">
      <c r="A161" s="11" t="s">
        <v>10</v>
      </c>
      <c r="B161" s="68"/>
      <c r="C161" s="69" t="s">
        <v>137</v>
      </c>
      <c r="D161" s="70">
        <v>0.5416666666666666</v>
      </c>
      <c r="E161" s="79"/>
      <c r="F161" s="79"/>
      <c r="G161" s="191" t="s">
        <v>212</v>
      </c>
      <c r="H161" s="78"/>
      <c r="I161" s="18"/>
      <c r="J161" s="79"/>
      <c r="K161" s="38"/>
      <c r="L161" s="73"/>
      <c r="M161" s="41"/>
      <c r="N161" s="42"/>
    </row>
    <row r="162" ht="15.75" customHeight="1">
      <c r="A162" s="11" t="s">
        <v>11</v>
      </c>
      <c r="B162" s="68"/>
      <c r="C162" s="69" t="s">
        <v>137</v>
      </c>
      <c r="D162" s="70">
        <v>0.5555555555555556</v>
      </c>
      <c r="E162" s="192"/>
      <c r="F162" s="71"/>
      <c r="G162" s="191" t="s">
        <v>212</v>
      </c>
      <c r="H162" s="193"/>
      <c r="I162" s="18"/>
      <c r="J162" s="132">
        <v>1.1960343886E10</v>
      </c>
      <c r="K162" s="45"/>
      <c r="L162" s="47"/>
      <c r="M162" s="46"/>
      <c r="N162" s="48"/>
    </row>
    <row r="163" ht="15.75" customHeight="1">
      <c r="A163" s="11" t="s">
        <v>12</v>
      </c>
      <c r="B163" s="68" t="s">
        <v>213</v>
      </c>
      <c r="C163" s="69" t="s">
        <v>137</v>
      </c>
      <c r="D163" s="70">
        <v>0.5694444444444444</v>
      </c>
      <c r="E163" s="79">
        <v>3.1620082802E10</v>
      </c>
      <c r="F163" s="79">
        <v>7.01402649558031E14</v>
      </c>
      <c r="G163" s="194" t="s">
        <v>214</v>
      </c>
      <c r="H163" s="78">
        <v>29787.0</v>
      </c>
      <c r="I163" s="18"/>
      <c r="J163" s="132" t="s">
        <v>215</v>
      </c>
      <c r="K163" s="49"/>
      <c r="L163" s="51"/>
      <c r="M163" s="50"/>
      <c r="N163" s="52"/>
    </row>
    <row r="164" ht="15.75" customHeight="1">
      <c r="A164" s="11" t="s">
        <v>13</v>
      </c>
      <c r="B164" s="68" t="s">
        <v>216</v>
      </c>
      <c r="C164" s="69" t="s">
        <v>137</v>
      </c>
      <c r="D164" s="70">
        <v>0.5833333333333334</v>
      </c>
      <c r="E164" s="133">
        <v>1.5715836883E10</v>
      </c>
      <c r="F164" s="133">
        <v>7.04009368662662E14</v>
      </c>
      <c r="G164" s="134" t="s">
        <v>217</v>
      </c>
      <c r="H164" s="135">
        <v>16277.0</v>
      </c>
      <c r="I164" s="18"/>
      <c r="J164" s="170" t="s">
        <v>218</v>
      </c>
      <c r="K164" s="45"/>
      <c r="L164" s="57"/>
      <c r="M164" s="56"/>
      <c r="N164" s="48"/>
    </row>
    <row r="165" ht="15.75" customHeight="1">
      <c r="A165" s="11" t="s">
        <v>14</v>
      </c>
      <c r="B165" s="68"/>
      <c r="C165" s="69" t="s">
        <v>137</v>
      </c>
      <c r="D165" s="70">
        <v>0.5972222222222222</v>
      </c>
      <c r="E165" s="137"/>
      <c r="F165" s="137"/>
      <c r="G165" s="191" t="s">
        <v>212</v>
      </c>
      <c r="H165" s="142"/>
      <c r="I165" s="18"/>
      <c r="J165" s="170"/>
      <c r="K165" s="58"/>
      <c r="L165" s="51"/>
      <c r="M165" s="59"/>
      <c r="N165" s="60"/>
    </row>
    <row r="166" ht="15.75" customHeight="1">
      <c r="A166" s="11" t="s">
        <v>15</v>
      </c>
      <c r="B166" s="154" t="s">
        <v>219</v>
      </c>
      <c r="C166" s="69" t="s">
        <v>137</v>
      </c>
      <c r="D166" s="70">
        <v>0.6111111111111112</v>
      </c>
      <c r="E166" s="99">
        <v>3.0810531887E10</v>
      </c>
      <c r="F166" s="137">
        <v>2.01151097780007E14</v>
      </c>
      <c r="G166" s="139" t="s">
        <v>220</v>
      </c>
      <c r="H166" s="142">
        <v>15049.0</v>
      </c>
      <c r="I166" s="18"/>
      <c r="J166" s="170" t="s">
        <v>221</v>
      </c>
      <c r="K166" s="45"/>
      <c r="L166" s="57"/>
      <c r="M166" s="56"/>
      <c r="N166" s="48"/>
    </row>
    <row r="167" ht="15.75" customHeight="1">
      <c r="A167" s="11" t="s">
        <v>16</v>
      </c>
      <c r="B167" s="68" t="s">
        <v>216</v>
      </c>
      <c r="C167" s="69" t="s">
        <v>137</v>
      </c>
      <c r="D167" s="70">
        <v>0.625</v>
      </c>
      <c r="E167" s="137">
        <v>2.7222803882E10</v>
      </c>
      <c r="F167" s="137">
        <v>7.02809600514767E14</v>
      </c>
      <c r="G167" s="139" t="s">
        <v>222</v>
      </c>
      <c r="H167" s="142">
        <v>16786.0</v>
      </c>
      <c r="I167" s="18"/>
      <c r="J167" s="149" t="s">
        <v>223</v>
      </c>
      <c r="K167" s="58"/>
      <c r="L167" s="51"/>
      <c r="M167" s="59"/>
      <c r="N167" s="60"/>
    </row>
    <row r="168" ht="15.75" customHeight="1">
      <c r="A168" s="11" t="s">
        <v>17</v>
      </c>
      <c r="B168" s="68" t="s">
        <v>213</v>
      </c>
      <c r="C168" s="69" t="s">
        <v>137</v>
      </c>
      <c r="D168" s="70">
        <v>0.6388888888888888</v>
      </c>
      <c r="E168" s="80">
        <v>1.1599531801E10</v>
      </c>
      <c r="F168" s="192">
        <v>7.08005383684522E14</v>
      </c>
      <c r="G168" s="54" t="s">
        <v>224</v>
      </c>
      <c r="H168" s="193">
        <v>23721.0</v>
      </c>
      <c r="I168" s="18"/>
      <c r="J168" s="170" t="s">
        <v>225</v>
      </c>
      <c r="K168" s="45"/>
      <c r="L168" s="57"/>
      <c r="M168" s="56"/>
      <c r="N168" s="48"/>
    </row>
    <row r="169" ht="15.75" customHeight="1">
      <c r="A169" s="11" t="s">
        <v>85</v>
      </c>
      <c r="B169" s="68" t="s">
        <v>219</v>
      </c>
      <c r="C169" s="69" t="s">
        <v>137</v>
      </c>
      <c r="D169" s="70">
        <v>0.6527777777777778</v>
      </c>
      <c r="E169" s="99">
        <v>2.5837294899E10</v>
      </c>
      <c r="F169" s="80">
        <v>7.04003338034064E14</v>
      </c>
      <c r="G169" s="186" t="s">
        <v>226</v>
      </c>
      <c r="H169" s="195">
        <v>14946.0</v>
      </c>
      <c r="I169" s="18"/>
      <c r="J169" s="170" t="s">
        <v>227</v>
      </c>
      <c r="K169" s="58"/>
      <c r="L169" s="51"/>
      <c r="M169" s="59"/>
      <c r="N169" s="60"/>
    </row>
    <row r="170" ht="15.75" customHeight="1">
      <c r="A170" s="11" t="s">
        <v>87</v>
      </c>
      <c r="B170" s="68"/>
      <c r="C170" s="69" t="s">
        <v>137</v>
      </c>
      <c r="D170" s="70">
        <v>0.6666666666666666</v>
      </c>
      <c r="E170" s="80"/>
      <c r="F170" s="80"/>
      <c r="G170" s="166" t="s">
        <v>177</v>
      </c>
      <c r="H170" s="86"/>
      <c r="I170" s="18"/>
      <c r="J170" s="170"/>
      <c r="K170" s="45"/>
      <c r="L170" s="57"/>
      <c r="M170" s="56"/>
      <c r="N170" s="48"/>
    </row>
    <row r="171" ht="15.75" customHeight="1">
      <c r="A171" s="11" t="s">
        <v>90</v>
      </c>
      <c r="B171" s="68"/>
      <c r="C171" s="69" t="s">
        <v>137</v>
      </c>
      <c r="D171" s="70">
        <v>0.6805555555555556</v>
      </c>
      <c r="E171" s="80"/>
      <c r="F171" s="80"/>
      <c r="G171" s="166" t="s">
        <v>177</v>
      </c>
      <c r="H171" s="86"/>
      <c r="I171" s="18"/>
      <c r="J171" s="170"/>
      <c r="K171" s="58"/>
      <c r="L171" s="51"/>
      <c r="M171" s="59"/>
      <c r="N171" s="60"/>
    </row>
    <row r="172" ht="15.75" customHeight="1">
      <c r="A172" s="11" t="s">
        <v>93</v>
      </c>
      <c r="B172" s="68"/>
      <c r="C172" s="69" t="s">
        <v>137</v>
      </c>
      <c r="D172" s="70">
        <v>0.6944444444444444</v>
      </c>
      <c r="E172" s="80"/>
      <c r="F172" s="80"/>
      <c r="G172" s="166" t="s">
        <v>177</v>
      </c>
      <c r="H172" s="86"/>
      <c r="I172" s="18"/>
      <c r="J172" s="196"/>
      <c r="K172" s="45"/>
      <c r="L172" s="57"/>
      <c r="M172" s="56"/>
      <c r="N172" s="48"/>
    </row>
    <row r="173" ht="15.75" customHeight="1">
      <c r="B173" s="121"/>
      <c r="C173" s="121"/>
      <c r="D173" s="121"/>
      <c r="E173" s="99"/>
      <c r="F173" s="99"/>
      <c r="G173" s="122"/>
      <c r="H173" s="123"/>
    </row>
    <row r="174" ht="15.75" customHeight="1">
      <c r="B174" s="121"/>
      <c r="C174" s="121" t="s">
        <v>153</v>
      </c>
      <c r="D174" s="121"/>
      <c r="E174" s="99"/>
      <c r="F174" s="99"/>
      <c r="G174" s="122"/>
      <c r="H174" s="123"/>
    </row>
    <row r="175" ht="15.75" customHeight="1">
      <c r="B175" s="121"/>
      <c r="C175" s="121"/>
      <c r="D175" s="121"/>
      <c r="E175" s="99"/>
      <c r="F175" s="99"/>
      <c r="G175" s="122"/>
      <c r="H175" s="123"/>
    </row>
    <row r="176" ht="15.75" customHeight="1">
      <c r="B176" s="121"/>
      <c r="C176" s="121"/>
      <c r="D176" s="121"/>
      <c r="E176" s="99"/>
      <c r="F176" s="99"/>
      <c r="G176" s="122"/>
      <c r="H176" s="123"/>
    </row>
    <row r="177" ht="15.75" customHeight="1">
      <c r="A177" s="31" t="s">
        <v>154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3"/>
    </row>
    <row r="178" ht="15.75" customHeight="1">
      <c r="A178" s="64" t="s">
        <v>228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3"/>
    </row>
    <row r="179" ht="15.75" customHeight="1">
      <c r="A179" s="65"/>
      <c r="B179" s="7" t="s">
        <v>3</v>
      </c>
      <c r="C179" s="6" t="s">
        <v>2</v>
      </c>
      <c r="D179" s="8" t="s">
        <v>5</v>
      </c>
      <c r="E179" s="8" t="s">
        <v>19</v>
      </c>
      <c r="F179" s="8" t="s">
        <v>6</v>
      </c>
      <c r="G179" s="66" t="s">
        <v>7</v>
      </c>
      <c r="H179" s="9" t="s">
        <v>8</v>
      </c>
      <c r="I179" s="67" t="s">
        <v>20</v>
      </c>
      <c r="J179" s="8" t="s">
        <v>25</v>
      </c>
      <c r="K179" s="8" t="s">
        <v>26</v>
      </c>
      <c r="L179" s="9" t="s">
        <v>28</v>
      </c>
      <c r="M179" s="6" t="s">
        <v>29</v>
      </c>
      <c r="N179" s="9" t="s">
        <v>30</v>
      </c>
    </row>
    <row r="180" ht="15.75" customHeight="1">
      <c r="A180" s="11" t="s">
        <v>10</v>
      </c>
      <c r="B180" s="197" t="s">
        <v>229</v>
      </c>
      <c r="C180" s="69" t="s">
        <v>137</v>
      </c>
      <c r="D180" s="70">
        <v>0.3333333333333333</v>
      </c>
      <c r="E180" s="71">
        <v>4.245895837E9</v>
      </c>
      <c r="F180" s="71">
        <v>2.04302288260001E14</v>
      </c>
      <c r="G180" s="44" t="s">
        <v>230</v>
      </c>
      <c r="H180" s="72">
        <v>19846.0</v>
      </c>
      <c r="I180" s="18" t="s">
        <v>172</v>
      </c>
      <c r="J180" s="37">
        <v>9.81710039E8</v>
      </c>
      <c r="K180" s="38"/>
      <c r="L180" s="73"/>
      <c r="M180" s="41"/>
      <c r="N180" s="42" t="s">
        <v>231</v>
      </c>
    </row>
    <row r="181" ht="15.75" customHeight="1">
      <c r="A181" s="11" t="s">
        <v>11</v>
      </c>
      <c r="B181" s="68" t="s">
        <v>232</v>
      </c>
      <c r="C181" s="69" t="s">
        <v>137</v>
      </c>
      <c r="D181" s="70">
        <v>0.3472222222222222</v>
      </c>
      <c r="E181" s="149">
        <v>1.0719225809E10</v>
      </c>
      <c r="F181" s="149">
        <v>8.01440400272364E14</v>
      </c>
      <c r="G181" s="148" t="s">
        <v>233</v>
      </c>
      <c r="H181" s="150">
        <v>19871.0</v>
      </c>
      <c r="I181" s="18" t="s">
        <v>182</v>
      </c>
      <c r="J181" s="132">
        <v>1.1953924453E10</v>
      </c>
      <c r="K181" s="45"/>
      <c r="L181" s="47"/>
      <c r="M181" s="46"/>
      <c r="N181" s="48"/>
    </row>
    <row r="182" ht="15.75" customHeight="1">
      <c r="A182" s="11" t="s">
        <v>12</v>
      </c>
      <c r="B182" s="68" t="s">
        <v>234</v>
      </c>
      <c r="C182" s="69" t="s">
        <v>137</v>
      </c>
      <c r="D182" s="70">
        <v>0.3611111111111111</v>
      </c>
      <c r="E182" s="149">
        <v>2.9143526896E10</v>
      </c>
      <c r="F182" s="149">
        <v>8.01440453794462E14</v>
      </c>
      <c r="G182" s="19" t="s">
        <v>235</v>
      </c>
      <c r="H182" s="150">
        <v>29640.0</v>
      </c>
      <c r="I182" s="18" t="s">
        <v>182</v>
      </c>
      <c r="J182" s="132">
        <v>9.77012474E8</v>
      </c>
      <c r="K182" s="49"/>
      <c r="L182" s="51"/>
      <c r="M182" s="50"/>
      <c r="N182" s="52"/>
    </row>
    <row r="183" ht="15.75" customHeight="1">
      <c r="A183" s="11" t="s">
        <v>13</v>
      </c>
      <c r="B183" s="68" t="s">
        <v>232</v>
      </c>
      <c r="C183" s="69" t="s">
        <v>137</v>
      </c>
      <c r="D183" s="70">
        <v>0.375</v>
      </c>
      <c r="E183" s="149">
        <v>3.20059383E8</v>
      </c>
      <c r="F183" s="149">
        <v>7.02104752053594E14</v>
      </c>
      <c r="G183" s="198" t="s">
        <v>236</v>
      </c>
      <c r="H183" s="150">
        <v>30047.0</v>
      </c>
      <c r="I183" s="18" t="s">
        <v>194</v>
      </c>
      <c r="J183" s="132" t="s">
        <v>237</v>
      </c>
      <c r="K183" s="45"/>
      <c r="L183" s="57"/>
      <c r="M183" s="56"/>
      <c r="N183" s="48"/>
    </row>
    <row r="184" ht="15.75" customHeight="1">
      <c r="A184" s="11" t="s">
        <v>14</v>
      </c>
      <c r="B184" s="68" t="s">
        <v>238</v>
      </c>
      <c r="C184" s="69" t="s">
        <v>137</v>
      </c>
      <c r="D184" s="70">
        <v>0.3888888888888889</v>
      </c>
      <c r="E184" s="80">
        <v>4.7809876791E10</v>
      </c>
      <c r="F184" s="80">
        <v>8.01440468370094E14</v>
      </c>
      <c r="G184" s="85" t="s">
        <v>239</v>
      </c>
      <c r="H184" s="86">
        <v>18757.0</v>
      </c>
      <c r="I184" s="18" t="s">
        <v>194</v>
      </c>
      <c r="J184" s="132">
        <v>9.57357692E8</v>
      </c>
      <c r="K184" s="58"/>
      <c r="L184" s="51"/>
      <c r="M184" s="59"/>
      <c r="N184" s="60"/>
    </row>
    <row r="185" ht="15.75" customHeight="1">
      <c r="A185" s="11" t="s">
        <v>15</v>
      </c>
      <c r="B185" s="68" t="s">
        <v>65</v>
      </c>
      <c r="C185" s="69" t="s">
        <v>137</v>
      </c>
      <c r="D185" s="70">
        <v>0.4027777777777778</v>
      </c>
      <c r="E185" s="149"/>
      <c r="F185" s="80">
        <v>7.0600633496734E14</v>
      </c>
      <c r="G185" s="85" t="s">
        <v>174</v>
      </c>
      <c r="H185" s="86">
        <v>20879.0</v>
      </c>
      <c r="I185" s="18" t="s">
        <v>182</v>
      </c>
      <c r="J185" s="132"/>
      <c r="K185" s="45"/>
      <c r="L185" s="57"/>
      <c r="M185" s="56"/>
      <c r="N185" s="48"/>
    </row>
    <row r="186" ht="15.75" customHeight="1">
      <c r="A186" s="11" t="s">
        <v>16</v>
      </c>
      <c r="B186" s="68" t="s">
        <v>240</v>
      </c>
      <c r="C186" s="69" t="s">
        <v>137</v>
      </c>
      <c r="D186" s="70">
        <v>0.4166666666666667</v>
      </c>
      <c r="E186" s="124">
        <v>8.434440881E9</v>
      </c>
      <c r="F186" s="124">
        <v>7.07808609448716E14</v>
      </c>
      <c r="G186" s="148" t="s">
        <v>241</v>
      </c>
      <c r="H186" s="152">
        <v>18324.0</v>
      </c>
      <c r="I186" s="18" t="s">
        <v>194</v>
      </c>
      <c r="J186" s="146">
        <v>9.96977755E8</v>
      </c>
      <c r="K186" s="58"/>
      <c r="L186" s="51"/>
      <c r="M186" s="59"/>
      <c r="N186" s="60"/>
    </row>
    <row r="187" ht="15.75" customHeight="1">
      <c r="A187" s="11" t="s">
        <v>17</v>
      </c>
      <c r="B187" s="68" t="s">
        <v>242</v>
      </c>
      <c r="C187" s="69" t="s">
        <v>137</v>
      </c>
      <c r="D187" s="70">
        <v>0.4305555555555556</v>
      </c>
      <c r="E187" s="71">
        <v>2.4895630846E10</v>
      </c>
      <c r="F187" s="71">
        <v>2.01155718540004E14</v>
      </c>
      <c r="G187" s="44" t="s">
        <v>243</v>
      </c>
      <c r="H187" s="150">
        <v>27841.0</v>
      </c>
      <c r="I187" s="18" t="s">
        <v>182</v>
      </c>
      <c r="J187" s="132">
        <v>1.1917197185E10</v>
      </c>
      <c r="K187" s="45"/>
      <c r="L187" s="57"/>
      <c r="M187" s="56"/>
      <c r="N187" s="48"/>
    </row>
    <row r="188" ht="15.75" customHeight="1">
      <c r="A188" s="11" t="s">
        <v>85</v>
      </c>
      <c r="B188" s="68" t="s">
        <v>65</v>
      </c>
      <c r="C188" s="69" t="s">
        <v>137</v>
      </c>
      <c r="D188" s="70">
        <v>0.4444444444444444</v>
      </c>
      <c r="E188" s="79"/>
      <c r="F188" s="71" t="s">
        <v>175</v>
      </c>
      <c r="G188" s="44" t="s">
        <v>176</v>
      </c>
      <c r="H188" s="150">
        <v>21221.0</v>
      </c>
      <c r="I188" s="18" t="s">
        <v>182</v>
      </c>
      <c r="J188" s="132"/>
      <c r="K188" s="58"/>
      <c r="L188" s="51"/>
      <c r="M188" s="59"/>
      <c r="N188" s="60"/>
    </row>
    <row r="189" ht="15.75" customHeight="1">
      <c r="A189" s="11" t="s">
        <v>87</v>
      </c>
      <c r="B189" s="68"/>
      <c r="C189" s="69" t="s">
        <v>137</v>
      </c>
      <c r="D189" s="70">
        <v>0.4583333333333333</v>
      </c>
      <c r="E189" s="146"/>
      <c r="F189" s="146"/>
      <c r="G189" s="166" t="s">
        <v>177</v>
      </c>
      <c r="H189" s="153"/>
      <c r="I189" s="18"/>
      <c r="J189" s="80"/>
      <c r="K189" s="45"/>
      <c r="L189" s="57"/>
      <c r="M189" s="56"/>
      <c r="N189" s="48"/>
    </row>
    <row r="190" ht="15.75" customHeight="1">
      <c r="A190" s="11" t="s">
        <v>90</v>
      </c>
      <c r="B190" s="68"/>
      <c r="C190" s="69" t="s">
        <v>137</v>
      </c>
      <c r="D190" s="70">
        <v>0.4722222222222222</v>
      </c>
      <c r="E190" s="69"/>
      <c r="F190" s="69"/>
      <c r="G190" s="166" t="s">
        <v>177</v>
      </c>
      <c r="H190" s="153"/>
      <c r="I190" s="18"/>
      <c r="J190" s="155"/>
      <c r="K190" s="58"/>
      <c r="L190" s="51"/>
      <c r="M190" s="59"/>
      <c r="N190" s="60"/>
    </row>
    <row r="191" ht="15.75" customHeight="1">
      <c r="A191" s="11" t="s">
        <v>93</v>
      </c>
      <c r="B191" s="68"/>
      <c r="C191" s="69" t="s">
        <v>137</v>
      </c>
      <c r="D191" s="70">
        <v>0.4861111111111111</v>
      </c>
      <c r="E191" s="156"/>
      <c r="F191" s="156"/>
      <c r="G191" s="166" t="s">
        <v>177</v>
      </c>
      <c r="H191" s="153"/>
      <c r="I191" s="18"/>
      <c r="J191" s="29"/>
      <c r="K191" s="45"/>
      <c r="L191" s="57"/>
      <c r="M191" s="56"/>
      <c r="N191" s="48"/>
    </row>
    <row r="192" ht="15.75" customHeight="1">
      <c r="B192" s="121"/>
      <c r="C192" s="121"/>
      <c r="D192" s="121"/>
      <c r="E192" s="99"/>
      <c r="F192" s="99"/>
      <c r="G192" s="122"/>
      <c r="H192" s="123"/>
    </row>
    <row r="193" ht="15.0" customHeight="1">
      <c r="B193" s="121"/>
      <c r="C193" s="121"/>
      <c r="D193" s="121"/>
      <c r="E193" s="99"/>
      <c r="F193" s="99"/>
      <c r="G193" s="122"/>
      <c r="H193" s="123"/>
    </row>
    <row r="194" ht="15.0" customHeight="1">
      <c r="B194" s="121"/>
      <c r="C194" s="121"/>
      <c r="D194" s="121"/>
      <c r="E194" s="99"/>
      <c r="F194" s="99"/>
      <c r="G194" s="122"/>
      <c r="H194" s="123"/>
    </row>
    <row r="195" ht="59.25" hidden="1" customHeight="1">
      <c r="B195" s="121"/>
      <c r="C195" s="121"/>
      <c r="D195" s="121"/>
      <c r="E195" s="99"/>
      <c r="F195" s="99"/>
      <c r="G195" s="122"/>
      <c r="H195" s="123"/>
    </row>
    <row r="196" ht="15.75" hidden="1" customHeight="1">
      <c r="B196" s="121"/>
      <c r="C196" s="121"/>
      <c r="D196" s="121"/>
      <c r="E196" s="99"/>
      <c r="F196" s="99"/>
      <c r="G196" s="122"/>
      <c r="H196" s="123"/>
    </row>
    <row r="197" ht="15.75" hidden="1" customHeight="1">
      <c r="B197" s="121"/>
      <c r="C197" s="121"/>
      <c r="D197" s="121"/>
      <c r="E197" s="99"/>
      <c r="F197" s="99"/>
      <c r="G197" s="122"/>
      <c r="H197" s="123"/>
    </row>
    <row r="198" ht="15.75" hidden="1" customHeight="1">
      <c r="B198" s="121"/>
      <c r="C198" s="121"/>
      <c r="D198" s="121"/>
      <c r="E198" s="99"/>
      <c r="F198" s="99"/>
      <c r="G198" s="122"/>
      <c r="H198" s="123"/>
    </row>
    <row r="199" ht="15.75" hidden="1" customHeight="1">
      <c r="B199" s="121"/>
      <c r="C199" s="121"/>
      <c r="D199" s="121"/>
      <c r="E199" s="99"/>
      <c r="F199" s="99"/>
      <c r="G199" s="122"/>
      <c r="H199" s="123"/>
    </row>
    <row r="200" ht="15.75" hidden="1" customHeight="1">
      <c r="B200" s="121"/>
      <c r="C200" s="121"/>
      <c r="D200" s="121"/>
      <c r="E200" s="99"/>
      <c r="F200" s="99"/>
      <c r="G200" s="122"/>
      <c r="H200" s="123"/>
    </row>
    <row r="201" ht="15.75" hidden="1" customHeight="1">
      <c r="B201" s="121"/>
      <c r="C201" s="121"/>
      <c r="D201" s="121"/>
      <c r="E201" s="99"/>
      <c r="F201" s="99"/>
      <c r="G201" s="122"/>
      <c r="H201" s="123"/>
    </row>
    <row r="202" ht="15.75" customHeight="1">
      <c r="B202" s="121"/>
      <c r="C202" s="121"/>
      <c r="D202" s="121"/>
      <c r="E202" s="99"/>
      <c r="F202" s="99"/>
      <c r="G202" s="122"/>
      <c r="H202" s="123"/>
    </row>
    <row r="203" ht="15.75" customHeight="1">
      <c r="B203" s="121"/>
      <c r="C203" s="121"/>
      <c r="D203" s="121"/>
      <c r="E203" s="99"/>
      <c r="F203" s="99"/>
      <c r="G203" s="122"/>
      <c r="H203" s="123"/>
    </row>
    <row r="204" ht="15.75" customHeight="1">
      <c r="B204" s="121"/>
      <c r="C204" s="121"/>
      <c r="D204" s="121"/>
      <c r="E204" s="99"/>
      <c r="F204" s="99"/>
      <c r="G204" s="122"/>
      <c r="H204" s="123"/>
    </row>
    <row r="205" ht="15.75" customHeight="1">
      <c r="A205" s="197" t="s">
        <v>178</v>
      </c>
      <c r="B205" s="121"/>
      <c r="C205" s="121"/>
      <c r="D205" s="121"/>
      <c r="E205" s="99"/>
      <c r="F205" s="99"/>
      <c r="G205" s="122"/>
      <c r="H205" s="123"/>
    </row>
    <row r="206" ht="15.75" customHeight="1">
      <c r="B206" s="121"/>
      <c r="C206" s="121"/>
      <c r="D206" s="121"/>
      <c r="E206" s="99"/>
      <c r="F206" s="99"/>
      <c r="G206" s="122"/>
      <c r="H206" s="123"/>
    </row>
    <row r="207" ht="15.75" customHeight="1">
      <c r="B207" s="121"/>
      <c r="C207" s="121"/>
      <c r="D207" s="121"/>
      <c r="E207" s="99"/>
      <c r="F207" s="99"/>
      <c r="G207" s="122"/>
      <c r="H207" s="123"/>
    </row>
    <row r="208" ht="37.5" customHeight="1">
      <c r="A208" s="31" t="s">
        <v>244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3"/>
    </row>
    <row r="209" ht="30.0" customHeight="1">
      <c r="A209" s="199" t="s">
        <v>245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3"/>
    </row>
    <row r="210" ht="15.75" customHeight="1">
      <c r="A210" s="65"/>
      <c r="B210" s="7" t="s">
        <v>3</v>
      </c>
      <c r="C210" s="6" t="s">
        <v>2</v>
      </c>
      <c r="D210" s="8" t="s">
        <v>5</v>
      </c>
      <c r="E210" s="8" t="s">
        <v>19</v>
      </c>
      <c r="F210" s="8" t="s">
        <v>6</v>
      </c>
      <c r="G210" s="66" t="s">
        <v>7</v>
      </c>
      <c r="H210" s="9" t="s">
        <v>8</v>
      </c>
      <c r="I210" s="67" t="s">
        <v>20</v>
      </c>
      <c r="J210" s="8" t="s">
        <v>25</v>
      </c>
      <c r="K210" s="8" t="s">
        <v>26</v>
      </c>
      <c r="L210" s="9" t="s">
        <v>28</v>
      </c>
      <c r="M210" s="6" t="s">
        <v>29</v>
      </c>
      <c r="N210" s="9" t="s">
        <v>30</v>
      </c>
    </row>
    <row r="211" ht="15.75" customHeight="1">
      <c r="A211" s="11" t="s">
        <v>10</v>
      </c>
      <c r="B211" s="68" t="s">
        <v>246</v>
      </c>
      <c r="C211" s="69" t="s">
        <v>31</v>
      </c>
      <c r="D211" s="70">
        <v>0.5416666666666666</v>
      </c>
      <c r="E211" s="79">
        <v>3.180565683E10</v>
      </c>
      <c r="F211" s="79">
        <v>8.01440478917126E14</v>
      </c>
      <c r="G211" s="74" t="s">
        <v>247</v>
      </c>
      <c r="H211" s="78">
        <v>33465.0</v>
      </c>
      <c r="I211" s="18" t="s">
        <v>182</v>
      </c>
      <c r="J211" s="79" t="s">
        <v>248</v>
      </c>
      <c r="K211" s="38"/>
      <c r="L211" s="73"/>
      <c r="M211" s="41"/>
      <c r="N211" s="42"/>
    </row>
    <row r="212" ht="15.75" customHeight="1">
      <c r="A212" s="11" t="s">
        <v>11</v>
      </c>
      <c r="B212" s="68" t="s">
        <v>249</v>
      </c>
      <c r="C212" s="69" t="s">
        <v>31</v>
      </c>
      <c r="D212" s="70">
        <v>0.5555555555555556</v>
      </c>
      <c r="E212" s="192">
        <v>4.891303484E9</v>
      </c>
      <c r="F212" s="71">
        <v>7.0000995213541E14</v>
      </c>
      <c r="G212" s="74" t="s">
        <v>250</v>
      </c>
      <c r="H212" s="193">
        <v>28485.0</v>
      </c>
      <c r="I212" s="18" t="s">
        <v>172</v>
      </c>
      <c r="J212" s="132">
        <v>1.1967857743E10</v>
      </c>
      <c r="K212" s="45"/>
      <c r="L212" s="47"/>
      <c r="M212" s="46"/>
      <c r="N212" s="48"/>
    </row>
    <row r="213" ht="15.75" customHeight="1">
      <c r="A213" s="11" t="s">
        <v>12</v>
      </c>
      <c r="B213" s="68" t="s">
        <v>251</v>
      </c>
      <c r="C213" s="69" t="s">
        <v>31</v>
      </c>
      <c r="D213" s="70">
        <v>0.5694444444444444</v>
      </c>
      <c r="E213" s="79">
        <v>3.987968664E9</v>
      </c>
      <c r="F213" s="79">
        <v>1.60386272010009E14</v>
      </c>
      <c r="G213" s="194" t="s">
        <v>252</v>
      </c>
      <c r="H213" s="78">
        <v>21663.0</v>
      </c>
      <c r="I213" s="18" t="s">
        <v>182</v>
      </c>
      <c r="J213" s="132" t="s">
        <v>253</v>
      </c>
      <c r="K213" s="49"/>
      <c r="L213" s="51"/>
      <c r="M213" s="50"/>
      <c r="N213" s="52"/>
    </row>
    <row r="214" ht="15.75" customHeight="1">
      <c r="A214" s="11" t="s">
        <v>13</v>
      </c>
      <c r="B214" s="68" t="s">
        <v>216</v>
      </c>
      <c r="C214" s="69" t="s">
        <v>31</v>
      </c>
      <c r="D214" s="70">
        <v>0.5833333333333334</v>
      </c>
      <c r="E214" s="133">
        <v>2.7317892807E10</v>
      </c>
      <c r="F214" s="133">
        <v>7.04308584371898E14</v>
      </c>
      <c r="G214" s="134" t="s">
        <v>254</v>
      </c>
      <c r="H214" s="135">
        <v>28911.0</v>
      </c>
      <c r="I214" s="18" t="s">
        <v>182</v>
      </c>
      <c r="J214" s="170" t="s">
        <v>255</v>
      </c>
      <c r="K214" s="45"/>
      <c r="L214" s="57"/>
      <c r="M214" s="56"/>
      <c r="N214" s="48"/>
    </row>
    <row r="215" ht="15.75" customHeight="1">
      <c r="A215" s="11" t="s">
        <v>14</v>
      </c>
      <c r="B215" s="68" t="s">
        <v>234</v>
      </c>
      <c r="C215" s="69" t="s">
        <v>31</v>
      </c>
      <c r="D215" s="70">
        <v>0.5972222222222222</v>
      </c>
      <c r="E215" s="69">
        <v>6.308990442E10</v>
      </c>
      <c r="F215" s="137">
        <v>8.01440468653045E14</v>
      </c>
      <c r="G215" s="154" t="s">
        <v>256</v>
      </c>
      <c r="H215" s="142">
        <v>25006.0</v>
      </c>
      <c r="I215" s="18" t="s">
        <v>172</v>
      </c>
      <c r="J215" s="170" t="s">
        <v>257</v>
      </c>
      <c r="K215" s="58"/>
      <c r="L215" s="51"/>
      <c r="M215" s="59"/>
      <c r="N215" s="60"/>
    </row>
    <row r="216" ht="15.75" customHeight="1">
      <c r="A216" s="11" t="s">
        <v>15</v>
      </c>
      <c r="B216" s="154" t="s">
        <v>219</v>
      </c>
      <c r="C216" s="69" t="s">
        <v>31</v>
      </c>
      <c r="D216" s="70">
        <v>0.6111111111111112</v>
      </c>
      <c r="E216" s="99">
        <v>3.0810531887E10</v>
      </c>
      <c r="F216" s="137">
        <v>2.01151097780007E14</v>
      </c>
      <c r="G216" s="139" t="s">
        <v>220</v>
      </c>
      <c r="H216" s="142">
        <v>15049.0</v>
      </c>
      <c r="I216" s="18" t="s">
        <v>182</v>
      </c>
      <c r="J216" s="170" t="s">
        <v>221</v>
      </c>
      <c r="K216" s="45"/>
      <c r="L216" s="57"/>
      <c r="M216" s="56"/>
      <c r="N216" s="48"/>
    </row>
    <row r="217" ht="15.75" customHeight="1">
      <c r="A217" s="11" t="s">
        <v>16</v>
      </c>
      <c r="B217" s="68" t="s">
        <v>216</v>
      </c>
      <c r="C217" s="69" t="s">
        <v>31</v>
      </c>
      <c r="D217" s="70">
        <v>0.625</v>
      </c>
      <c r="E217" s="137">
        <v>2.7222803882E10</v>
      </c>
      <c r="F217" s="137">
        <v>7.02809600514767E14</v>
      </c>
      <c r="G217" s="139" t="s">
        <v>222</v>
      </c>
      <c r="H217" s="142">
        <v>16786.0</v>
      </c>
      <c r="I217" s="18" t="s">
        <v>182</v>
      </c>
      <c r="J217" s="149" t="s">
        <v>223</v>
      </c>
      <c r="K217" s="58"/>
      <c r="L217" s="51"/>
      <c r="M217" s="59"/>
      <c r="N217" s="60"/>
    </row>
    <row r="218" ht="15.75" customHeight="1">
      <c r="A218" s="11" t="s">
        <v>17</v>
      </c>
      <c r="B218" s="68" t="s">
        <v>258</v>
      </c>
      <c r="C218" s="69" t="s">
        <v>31</v>
      </c>
      <c r="D218" s="70">
        <v>0.6388888888888888</v>
      </c>
      <c r="E218" s="80">
        <v>7.318117041E10</v>
      </c>
      <c r="F218" s="192">
        <v>7.00008762234409E14</v>
      </c>
      <c r="G218" s="54" t="s">
        <v>259</v>
      </c>
      <c r="H218" s="193">
        <v>15234.0</v>
      </c>
      <c r="I218" s="18" t="s">
        <v>182</v>
      </c>
      <c r="J218" s="170" t="s">
        <v>260</v>
      </c>
      <c r="K218" s="45"/>
      <c r="L218" s="57"/>
      <c r="M218" s="56"/>
      <c r="N218" s="48"/>
    </row>
    <row r="219" ht="15.75" customHeight="1">
      <c r="A219" s="11" t="s">
        <v>85</v>
      </c>
      <c r="B219" s="68" t="s">
        <v>219</v>
      </c>
      <c r="C219" s="69" t="s">
        <v>31</v>
      </c>
      <c r="D219" s="70">
        <v>0.6527777777777778</v>
      </c>
      <c r="E219" s="99">
        <v>2.5837294899E10</v>
      </c>
      <c r="F219" s="80">
        <v>7.04003338034064E14</v>
      </c>
      <c r="G219" s="186" t="s">
        <v>226</v>
      </c>
      <c r="H219" s="195">
        <v>14946.0</v>
      </c>
      <c r="I219" s="18" t="s">
        <v>182</v>
      </c>
      <c r="J219" s="170" t="s">
        <v>227</v>
      </c>
      <c r="K219" s="58"/>
      <c r="L219" s="51"/>
      <c r="M219" s="59"/>
      <c r="N219" s="60"/>
    </row>
    <row r="220" ht="15.75" customHeight="1">
      <c r="A220" s="11" t="s">
        <v>87</v>
      </c>
      <c r="B220" s="68"/>
      <c r="C220" s="69" t="s">
        <v>31</v>
      </c>
      <c r="D220" s="70">
        <v>0.6666666666666666</v>
      </c>
      <c r="E220" s="80"/>
      <c r="F220" s="80"/>
      <c r="G220" s="166" t="s">
        <v>177</v>
      </c>
      <c r="H220" s="86"/>
      <c r="I220" s="18"/>
      <c r="J220" s="170"/>
      <c r="K220" s="45"/>
      <c r="L220" s="57"/>
      <c r="M220" s="56"/>
      <c r="N220" s="48"/>
    </row>
    <row r="221" ht="15.75" customHeight="1">
      <c r="A221" s="11" t="s">
        <v>90</v>
      </c>
      <c r="B221" s="68"/>
      <c r="C221" s="69" t="s">
        <v>31</v>
      </c>
      <c r="D221" s="70">
        <v>0.6805555555555556</v>
      </c>
      <c r="E221" s="80"/>
      <c r="F221" s="80"/>
      <c r="G221" s="166" t="s">
        <v>177</v>
      </c>
      <c r="H221" s="86"/>
      <c r="I221" s="18"/>
      <c r="J221" s="170"/>
      <c r="K221" s="58"/>
      <c r="L221" s="51"/>
      <c r="M221" s="59"/>
      <c r="N221" s="60"/>
    </row>
    <row r="222" ht="15.75" customHeight="1">
      <c r="A222" s="11" t="s">
        <v>93</v>
      </c>
      <c r="B222" s="68"/>
      <c r="C222" s="69" t="s">
        <v>31</v>
      </c>
      <c r="D222" s="70">
        <v>0.6944444444444444</v>
      </c>
      <c r="E222" s="80"/>
      <c r="F222" s="80"/>
      <c r="G222" s="166" t="s">
        <v>177</v>
      </c>
      <c r="H222" s="86"/>
      <c r="I222" s="18"/>
      <c r="J222" s="196"/>
      <c r="K222" s="45"/>
      <c r="L222" s="57"/>
      <c r="M222" s="56"/>
      <c r="N222" s="48"/>
    </row>
    <row r="223" ht="15.75" customHeight="1">
      <c r="B223" s="121"/>
      <c r="C223" s="121"/>
      <c r="D223" s="121"/>
      <c r="E223" s="99"/>
      <c r="F223" s="99"/>
      <c r="G223" s="122"/>
      <c r="H223" s="123"/>
    </row>
    <row r="224" ht="15.75" customHeight="1">
      <c r="B224" s="121"/>
      <c r="C224" s="121"/>
      <c r="D224" s="121"/>
      <c r="E224" s="99"/>
      <c r="F224" s="99"/>
      <c r="G224" s="122"/>
      <c r="H224" s="123"/>
    </row>
    <row r="225" ht="15.75" customHeight="1">
      <c r="B225" s="121"/>
      <c r="C225" s="121"/>
      <c r="D225" s="121"/>
      <c r="E225" s="99"/>
      <c r="F225" s="99"/>
      <c r="G225" s="122"/>
      <c r="H225" s="123"/>
    </row>
    <row r="226" ht="15.75" customHeight="1">
      <c r="B226" s="121"/>
      <c r="C226" s="121"/>
      <c r="D226" s="121"/>
      <c r="E226" s="99"/>
      <c r="F226" s="99"/>
      <c r="G226" s="122"/>
      <c r="H226" s="123"/>
    </row>
    <row r="227" ht="33.75" customHeight="1">
      <c r="A227" s="31" t="s">
        <v>261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3"/>
    </row>
    <row r="228" ht="15.75" customHeight="1">
      <c r="A228" s="64" t="s">
        <v>262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3"/>
    </row>
    <row r="229" ht="15.75" customHeight="1">
      <c r="A229" s="65"/>
      <c r="B229" s="7" t="s">
        <v>3</v>
      </c>
      <c r="C229" s="6" t="s">
        <v>2</v>
      </c>
      <c r="D229" s="8" t="s">
        <v>5</v>
      </c>
      <c r="E229" s="8" t="s">
        <v>19</v>
      </c>
      <c r="F229" s="8" t="s">
        <v>6</v>
      </c>
      <c r="G229" s="66" t="s">
        <v>7</v>
      </c>
      <c r="H229" s="9" t="s">
        <v>8</v>
      </c>
      <c r="I229" s="67" t="s">
        <v>20</v>
      </c>
      <c r="J229" s="8" t="s">
        <v>25</v>
      </c>
      <c r="K229" s="8" t="s">
        <v>26</v>
      </c>
      <c r="L229" s="9" t="s">
        <v>28</v>
      </c>
      <c r="M229" s="6" t="s">
        <v>29</v>
      </c>
      <c r="N229" s="9" t="s">
        <v>30</v>
      </c>
    </row>
    <row r="230" ht="15.75" customHeight="1">
      <c r="A230" s="11" t="s">
        <v>10</v>
      </c>
      <c r="B230" s="68" t="s">
        <v>263</v>
      </c>
      <c r="C230" s="69" t="s">
        <v>122</v>
      </c>
      <c r="D230" s="70">
        <v>0.3333333333333333</v>
      </c>
      <c r="E230" s="71">
        <v>8.886186894E9</v>
      </c>
      <c r="F230" s="71">
        <v>7.0470306663924E14</v>
      </c>
      <c r="G230" s="44" t="s">
        <v>264</v>
      </c>
      <c r="H230" s="72">
        <v>17080.0</v>
      </c>
      <c r="I230" s="18"/>
      <c r="J230" s="37" t="s">
        <v>265</v>
      </c>
      <c r="K230" s="38"/>
      <c r="L230" s="73"/>
      <c r="M230" s="41"/>
      <c r="N230" s="42"/>
    </row>
    <row r="231" ht="15.75" customHeight="1">
      <c r="A231" s="11" t="s">
        <v>11</v>
      </c>
      <c r="B231" s="68" t="s">
        <v>263</v>
      </c>
      <c r="C231" s="69" t="s">
        <v>122</v>
      </c>
      <c r="D231" s="70">
        <v>0.3472222222222222</v>
      </c>
      <c r="E231" s="71">
        <v>1.1253229856E10</v>
      </c>
      <c r="F231" s="71">
        <v>2.01154538940003E14</v>
      </c>
      <c r="G231" s="74" t="s">
        <v>266</v>
      </c>
      <c r="H231" s="72">
        <v>24752.0</v>
      </c>
      <c r="I231" s="18"/>
      <c r="J231" s="37" t="s">
        <v>267</v>
      </c>
      <c r="K231" s="45"/>
      <c r="L231" s="47"/>
      <c r="M231" s="46"/>
      <c r="N231" s="48"/>
    </row>
    <row r="232" ht="15.75" customHeight="1">
      <c r="A232" s="11" t="s">
        <v>12</v>
      </c>
      <c r="B232" s="68" t="s">
        <v>268</v>
      </c>
      <c r="C232" s="69" t="s">
        <v>122</v>
      </c>
      <c r="D232" s="70">
        <v>0.3611111111111111</v>
      </c>
      <c r="E232" s="79">
        <v>1.8613918549E10</v>
      </c>
      <c r="F232" s="79">
        <v>7.00206913959624E14</v>
      </c>
      <c r="G232" s="74" t="s">
        <v>269</v>
      </c>
      <c r="H232" s="78">
        <v>18341.0</v>
      </c>
      <c r="I232" s="18"/>
      <c r="J232" s="37">
        <v>9.45888502E8</v>
      </c>
      <c r="K232" s="49"/>
      <c r="L232" s="51"/>
      <c r="M232" s="50"/>
      <c r="N232" s="52"/>
    </row>
    <row r="233" ht="15.75" customHeight="1">
      <c r="A233" s="11" t="s">
        <v>13</v>
      </c>
      <c r="B233" s="68" t="s">
        <v>270</v>
      </c>
      <c r="C233" s="69" t="s">
        <v>122</v>
      </c>
      <c r="D233" s="70">
        <v>0.375</v>
      </c>
      <c r="E233" s="124">
        <v>6.03132685E9</v>
      </c>
      <c r="F233" s="124">
        <v>8.01440483580223E14</v>
      </c>
      <c r="G233" s="125" t="s">
        <v>271</v>
      </c>
      <c r="H233" s="200">
        <v>17741.0</v>
      </c>
      <c r="I233" s="18" t="s">
        <v>182</v>
      </c>
      <c r="J233" s="37" t="s">
        <v>272</v>
      </c>
      <c r="K233" s="45"/>
      <c r="L233" s="57"/>
      <c r="M233" s="56"/>
      <c r="N233" s="48"/>
    </row>
    <row r="234" ht="15.75" customHeight="1">
      <c r="A234" s="11" t="s">
        <v>14</v>
      </c>
      <c r="B234" s="68" t="s">
        <v>273</v>
      </c>
      <c r="C234" s="69" t="s">
        <v>122</v>
      </c>
      <c r="D234" s="70">
        <v>0.3888888888888889</v>
      </c>
      <c r="E234" s="71">
        <v>4.9105567882E10</v>
      </c>
      <c r="F234" s="201">
        <v>2.04302307660006E14</v>
      </c>
      <c r="G234" s="202" t="s">
        <v>274</v>
      </c>
      <c r="H234" s="203">
        <v>37639.0</v>
      </c>
      <c r="I234" s="18"/>
      <c r="J234" s="201">
        <v>9.33017538E8</v>
      </c>
      <c r="K234" s="58"/>
      <c r="L234" s="51"/>
      <c r="M234" s="59"/>
      <c r="N234" s="60"/>
    </row>
    <row r="235" ht="15.75" customHeight="1">
      <c r="A235" s="11" t="s">
        <v>15</v>
      </c>
      <c r="B235" s="68" t="s">
        <v>275</v>
      </c>
      <c r="C235" s="69" t="s">
        <v>122</v>
      </c>
      <c r="D235" s="70">
        <v>0.4027777777777778</v>
      </c>
      <c r="E235" s="71">
        <v>7.4093495491E10</v>
      </c>
      <c r="F235" s="36">
        <v>8.01440413192194E14</v>
      </c>
      <c r="G235" s="186" t="s">
        <v>276</v>
      </c>
      <c r="H235" s="204">
        <v>24199.0</v>
      </c>
      <c r="I235" s="18" t="s">
        <v>182</v>
      </c>
      <c r="J235" s="37"/>
      <c r="K235" s="45"/>
      <c r="L235" s="57"/>
      <c r="M235" s="56"/>
      <c r="N235" s="48"/>
    </row>
    <row r="236" ht="15.75" customHeight="1">
      <c r="A236" s="11" t="s">
        <v>16</v>
      </c>
      <c r="B236" s="205" t="s">
        <v>277</v>
      </c>
      <c r="C236" s="69" t="s">
        <v>122</v>
      </c>
      <c r="D236" s="70">
        <v>0.4166666666666667</v>
      </c>
      <c r="E236" s="71">
        <v>3.4739122472E10</v>
      </c>
      <c r="F236" s="206">
        <v>7.06201048653767E14</v>
      </c>
      <c r="G236" s="125" t="s">
        <v>278</v>
      </c>
      <c r="H236" s="207">
        <v>12485.0</v>
      </c>
      <c r="I236" s="29"/>
      <c r="J236" s="208" t="s">
        <v>279</v>
      </c>
      <c r="K236" s="58"/>
      <c r="L236" s="51"/>
      <c r="M236" s="59"/>
      <c r="N236" s="60"/>
    </row>
    <row r="237" ht="15.75" customHeight="1">
      <c r="A237" s="11" t="s">
        <v>17</v>
      </c>
      <c r="B237" s="205" t="s">
        <v>280</v>
      </c>
      <c r="C237" s="69" t="s">
        <v>122</v>
      </c>
      <c r="D237" s="70">
        <v>0.4305555555555556</v>
      </c>
      <c r="E237" s="71">
        <v>3.6156421807E10</v>
      </c>
      <c r="F237" s="79">
        <v>7.034023330319E14</v>
      </c>
      <c r="G237" s="74" t="s">
        <v>281</v>
      </c>
      <c r="H237" s="209" t="s">
        <v>282</v>
      </c>
      <c r="I237" s="18"/>
      <c r="J237" s="37">
        <v>1.1985947829E10</v>
      </c>
      <c r="K237" s="45"/>
      <c r="L237" s="57"/>
      <c r="M237" s="56"/>
      <c r="N237" s="48"/>
    </row>
    <row r="238" ht="15.75" customHeight="1">
      <c r="A238" s="11" t="s">
        <v>85</v>
      </c>
      <c r="B238" s="68" t="s">
        <v>273</v>
      </c>
      <c r="C238" s="69" t="s">
        <v>122</v>
      </c>
      <c r="D238" s="70">
        <v>0.4444444444444444</v>
      </c>
      <c r="E238" s="34">
        <v>5.7530336878E10</v>
      </c>
      <c r="F238" s="201">
        <v>7.04203221249085E14</v>
      </c>
      <c r="G238" s="210" t="s">
        <v>283</v>
      </c>
      <c r="H238" s="211">
        <v>37130.0</v>
      </c>
      <c r="I238" s="18"/>
      <c r="J238" s="201">
        <v>9.8036554E8</v>
      </c>
      <c r="K238" s="58"/>
      <c r="L238" s="51"/>
      <c r="M238" s="59"/>
      <c r="N238" s="60"/>
    </row>
    <row r="239" ht="15.75" customHeight="1">
      <c r="A239" s="11" t="s">
        <v>87</v>
      </c>
      <c r="B239" s="68"/>
      <c r="C239" s="69" t="s">
        <v>122</v>
      </c>
      <c r="D239" s="70">
        <v>0.4583333333333333</v>
      </c>
      <c r="E239" s="129"/>
      <c r="F239" s="129"/>
      <c r="G239" s="166" t="s">
        <v>177</v>
      </c>
      <c r="H239" s="78"/>
      <c r="I239" s="18"/>
      <c r="J239" s="212"/>
      <c r="K239" s="45"/>
      <c r="L239" s="57"/>
      <c r="M239" s="56"/>
      <c r="N239" s="48"/>
    </row>
    <row r="240" ht="15.75" customHeight="1">
      <c r="A240" s="11" t="s">
        <v>90</v>
      </c>
      <c r="B240" s="68"/>
      <c r="C240" s="69" t="s">
        <v>122</v>
      </c>
      <c r="D240" s="70">
        <v>0.4722222222222222</v>
      </c>
      <c r="E240" s="80"/>
      <c r="F240" s="80"/>
      <c r="G240" s="166" t="s">
        <v>177</v>
      </c>
      <c r="H240" s="86"/>
      <c r="I240" s="18"/>
      <c r="J240" s="29"/>
      <c r="K240" s="58"/>
      <c r="L240" s="51"/>
      <c r="M240" s="59"/>
      <c r="N240" s="60"/>
    </row>
    <row r="241" ht="15.75" customHeight="1">
      <c r="A241" s="11" t="s">
        <v>93</v>
      </c>
      <c r="B241" s="68"/>
      <c r="C241" s="69" t="s">
        <v>122</v>
      </c>
      <c r="D241" s="70">
        <v>0.4861111111111111</v>
      </c>
      <c r="E241" s="80"/>
      <c r="F241" s="80"/>
      <c r="G241" s="166" t="s">
        <v>177</v>
      </c>
      <c r="H241" s="86"/>
      <c r="I241" s="18"/>
      <c r="J241" s="29"/>
      <c r="K241" s="45"/>
      <c r="L241" s="57"/>
      <c r="M241" s="56"/>
      <c r="N241" s="48"/>
    </row>
    <row r="242" ht="15.75" customHeight="1">
      <c r="B242" s="121"/>
      <c r="C242" s="121"/>
      <c r="D242" s="121"/>
      <c r="E242" s="99"/>
      <c r="F242" s="99"/>
      <c r="G242" s="122"/>
      <c r="H242" s="123"/>
    </row>
    <row r="243" ht="15.75" customHeight="1">
      <c r="B243" s="121"/>
      <c r="C243" s="121"/>
      <c r="D243" s="121"/>
      <c r="E243" s="99"/>
      <c r="F243" s="99"/>
      <c r="G243" s="122"/>
      <c r="H243" s="123"/>
    </row>
    <row r="244" ht="15.75" customHeight="1">
      <c r="B244" s="121"/>
      <c r="C244" s="121"/>
      <c r="D244" s="121"/>
      <c r="E244" s="99"/>
      <c r="F244" s="99"/>
      <c r="G244" s="130"/>
    </row>
    <row r="245" ht="15.75" customHeight="1">
      <c r="B245" s="121"/>
      <c r="C245" s="121"/>
      <c r="D245" s="121"/>
      <c r="E245" s="99"/>
      <c r="F245" s="99"/>
      <c r="G245" s="213"/>
      <c r="H245" s="123"/>
    </row>
    <row r="246" ht="15.75" customHeight="1">
      <c r="A246" s="31" t="s">
        <v>284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3"/>
    </row>
    <row r="247" ht="15.75" customHeight="1">
      <c r="A247" s="64" t="s">
        <v>285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3"/>
    </row>
    <row r="248" ht="15.75" customHeight="1">
      <c r="A248" s="65"/>
      <c r="B248" s="7" t="s">
        <v>3</v>
      </c>
      <c r="C248" s="6" t="s">
        <v>2</v>
      </c>
      <c r="D248" s="8" t="s">
        <v>5</v>
      </c>
      <c r="E248" s="8" t="s">
        <v>19</v>
      </c>
      <c r="F248" s="8" t="s">
        <v>6</v>
      </c>
      <c r="G248" s="66" t="s">
        <v>7</v>
      </c>
      <c r="H248" s="9" t="s">
        <v>8</v>
      </c>
      <c r="I248" s="10" t="s">
        <v>20</v>
      </c>
      <c r="J248" s="8" t="s">
        <v>25</v>
      </c>
      <c r="K248" s="8" t="s">
        <v>26</v>
      </c>
      <c r="L248" s="9" t="s">
        <v>28</v>
      </c>
      <c r="M248" s="6" t="s">
        <v>29</v>
      </c>
      <c r="N248" s="9" t="s">
        <v>30</v>
      </c>
    </row>
    <row r="249" ht="15.75" customHeight="1">
      <c r="A249" s="11" t="s">
        <v>10</v>
      </c>
      <c r="B249" s="68" t="s">
        <v>286</v>
      </c>
      <c r="C249" s="69" t="s">
        <v>137</v>
      </c>
      <c r="D249" s="70">
        <v>0.5416666666666666</v>
      </c>
      <c r="E249" s="214" t="s">
        <v>287</v>
      </c>
      <c r="F249" s="71">
        <v>7.0820815633914E14</v>
      </c>
      <c r="G249" s="74" t="s">
        <v>288</v>
      </c>
      <c r="H249" s="72">
        <v>11774.0</v>
      </c>
      <c r="I249" s="18" t="s">
        <v>182</v>
      </c>
      <c r="J249" s="132" t="s">
        <v>289</v>
      </c>
      <c r="K249" s="38"/>
      <c r="L249" s="73"/>
      <c r="M249" s="41"/>
      <c r="N249" s="42"/>
    </row>
    <row r="250" ht="15.75" customHeight="1">
      <c r="A250" s="11" t="s">
        <v>11</v>
      </c>
      <c r="B250" s="68" t="s">
        <v>290</v>
      </c>
      <c r="C250" s="69" t="s">
        <v>137</v>
      </c>
      <c r="D250" s="70">
        <v>0.5555555555555556</v>
      </c>
      <c r="E250" s="215" t="s">
        <v>291</v>
      </c>
      <c r="F250" s="71">
        <v>7.08200115407349E14</v>
      </c>
      <c r="G250" s="44" t="s">
        <v>292</v>
      </c>
      <c r="H250" s="72">
        <v>25345.0</v>
      </c>
      <c r="I250" s="18" t="s">
        <v>182</v>
      </c>
      <c r="J250" s="132" t="s">
        <v>293</v>
      </c>
      <c r="K250" s="45"/>
      <c r="L250" s="47"/>
      <c r="M250" s="46"/>
      <c r="N250" s="48"/>
    </row>
    <row r="251" ht="15.75" customHeight="1">
      <c r="A251" s="11" t="s">
        <v>12</v>
      </c>
      <c r="B251" s="68"/>
      <c r="C251" s="69"/>
      <c r="D251" s="70"/>
      <c r="E251" s="215"/>
      <c r="F251" s="71"/>
      <c r="G251" s="44"/>
      <c r="H251" s="72"/>
      <c r="I251" s="18" t="s">
        <v>172</v>
      </c>
      <c r="J251" s="216"/>
      <c r="K251" s="49"/>
      <c r="L251" s="51"/>
      <c r="M251" s="50"/>
      <c r="N251" s="217"/>
    </row>
    <row r="252" ht="15.75" customHeight="1">
      <c r="A252" s="11" t="s">
        <v>13</v>
      </c>
      <c r="B252" s="68" t="s">
        <v>294</v>
      </c>
      <c r="C252" s="69" t="s">
        <v>137</v>
      </c>
      <c r="D252" s="70">
        <v>0.5833333333333334</v>
      </c>
      <c r="E252" s="215" t="s">
        <v>295</v>
      </c>
      <c r="F252" s="71">
        <v>8.98002994541426E14</v>
      </c>
      <c r="G252" s="44" t="s">
        <v>296</v>
      </c>
      <c r="H252" s="72">
        <v>27802.0</v>
      </c>
      <c r="I252" s="18" t="s">
        <v>182</v>
      </c>
      <c r="J252" s="80" t="s">
        <v>297</v>
      </c>
      <c r="K252" s="45"/>
      <c r="L252" s="57"/>
      <c r="M252" s="56"/>
      <c r="N252" s="48" t="s">
        <v>298</v>
      </c>
    </row>
    <row r="253" ht="15.75" customHeight="1">
      <c r="A253" s="11" t="s">
        <v>14</v>
      </c>
      <c r="B253" s="68" t="s">
        <v>258</v>
      </c>
      <c r="C253" s="69" t="s">
        <v>137</v>
      </c>
      <c r="D253" s="70">
        <v>0.5972222222222222</v>
      </c>
      <c r="E253" s="215" t="s">
        <v>299</v>
      </c>
      <c r="F253" s="71">
        <v>7.07409072673679E14</v>
      </c>
      <c r="G253" s="44" t="s">
        <v>300</v>
      </c>
      <c r="H253" s="72">
        <v>14596.0</v>
      </c>
      <c r="I253" s="18" t="s">
        <v>182</v>
      </c>
      <c r="J253" s="132" t="s">
        <v>301</v>
      </c>
      <c r="K253" s="58"/>
      <c r="L253" s="51"/>
      <c r="M253" s="59"/>
      <c r="N253" s="60"/>
    </row>
    <row r="254" ht="15.75" customHeight="1">
      <c r="A254" s="11" t="s">
        <v>15</v>
      </c>
      <c r="B254" s="68" t="s">
        <v>286</v>
      </c>
      <c r="C254" s="69" t="s">
        <v>137</v>
      </c>
      <c r="D254" s="70">
        <v>0.6111111111111112</v>
      </c>
      <c r="E254" s="215" t="s">
        <v>302</v>
      </c>
      <c r="F254" s="71">
        <v>7.00201436743926E14</v>
      </c>
      <c r="G254" s="44" t="s">
        <v>303</v>
      </c>
      <c r="H254" s="72">
        <v>14091.0</v>
      </c>
      <c r="I254" s="18" t="s">
        <v>182</v>
      </c>
      <c r="J254" s="132" t="s">
        <v>304</v>
      </c>
      <c r="K254" s="45"/>
      <c r="L254" s="57"/>
      <c r="M254" s="56"/>
      <c r="N254" s="48"/>
    </row>
    <row r="255" ht="15.75" customHeight="1">
      <c r="A255" s="11" t="s">
        <v>16</v>
      </c>
      <c r="B255" s="68" t="s">
        <v>305</v>
      </c>
      <c r="C255" s="69" t="s">
        <v>137</v>
      </c>
      <c r="D255" s="70">
        <v>0.625</v>
      </c>
      <c r="E255" s="215" t="s">
        <v>306</v>
      </c>
      <c r="F255" s="71">
        <v>7.0780867801091E14</v>
      </c>
      <c r="G255" s="44" t="s">
        <v>307</v>
      </c>
      <c r="H255" s="72">
        <v>21358.0</v>
      </c>
      <c r="I255" s="18" t="s">
        <v>182</v>
      </c>
      <c r="J255" s="141" t="s">
        <v>308</v>
      </c>
      <c r="K255" s="58"/>
      <c r="L255" s="51"/>
      <c r="M255" s="59"/>
      <c r="N255" s="60" t="s">
        <v>309</v>
      </c>
    </row>
    <row r="256" ht="15.75" customHeight="1">
      <c r="A256" s="11" t="s">
        <v>17</v>
      </c>
      <c r="B256" s="68" t="s">
        <v>290</v>
      </c>
      <c r="C256" s="69" t="s">
        <v>137</v>
      </c>
      <c r="D256" s="70">
        <v>0.6388888888888888</v>
      </c>
      <c r="E256" s="215" t="s">
        <v>310</v>
      </c>
      <c r="F256" s="71">
        <v>7.07804616872117E14</v>
      </c>
      <c r="G256" s="44" t="s">
        <v>311</v>
      </c>
      <c r="H256" s="72">
        <v>28804.0</v>
      </c>
      <c r="I256" s="18" t="s">
        <v>182</v>
      </c>
      <c r="J256" s="80" t="s">
        <v>312</v>
      </c>
      <c r="K256" s="45"/>
      <c r="L256" s="57"/>
      <c r="M256" s="56"/>
      <c r="N256" s="48"/>
    </row>
    <row r="257" ht="15.75" customHeight="1">
      <c r="A257" s="11" t="s">
        <v>85</v>
      </c>
      <c r="B257" s="68" t="s">
        <v>313</v>
      </c>
      <c r="C257" s="69" t="s">
        <v>137</v>
      </c>
      <c r="D257" s="70">
        <v>0.6527777777777778</v>
      </c>
      <c r="E257" s="218" t="s">
        <v>314</v>
      </c>
      <c r="F257" s="149">
        <v>7.05405422875593E14</v>
      </c>
      <c r="G257" s="148" t="s">
        <v>315</v>
      </c>
      <c r="H257" s="150">
        <v>21221.0</v>
      </c>
      <c r="I257" s="18" t="s">
        <v>182</v>
      </c>
      <c r="J257" s="132" t="s">
        <v>316</v>
      </c>
      <c r="K257" s="58"/>
      <c r="L257" s="51"/>
      <c r="M257" s="59"/>
      <c r="N257" s="60"/>
    </row>
    <row r="258" ht="15.75" customHeight="1">
      <c r="A258" s="11" t="s">
        <v>87</v>
      </c>
      <c r="B258" s="68"/>
      <c r="C258" s="69" t="s">
        <v>137</v>
      </c>
      <c r="D258" s="70">
        <v>0.6666666666666666</v>
      </c>
      <c r="E258" s="219"/>
      <c r="F258" s="80"/>
      <c r="G258" s="166" t="s">
        <v>177</v>
      </c>
      <c r="H258" s="86"/>
      <c r="I258" s="18"/>
      <c r="J258" s="155"/>
      <c r="K258" s="45"/>
      <c r="L258" s="57"/>
      <c r="M258" s="56"/>
      <c r="N258" s="48"/>
    </row>
    <row r="259" ht="15.75" customHeight="1">
      <c r="A259" s="11" t="s">
        <v>90</v>
      </c>
      <c r="B259" s="68"/>
      <c r="C259" s="69" t="s">
        <v>137</v>
      </c>
      <c r="D259" s="70">
        <v>0.6805555555555556</v>
      </c>
      <c r="E259" s="80"/>
      <c r="F259" s="80"/>
      <c r="G259" s="166" t="s">
        <v>177</v>
      </c>
      <c r="H259" s="86"/>
      <c r="I259" s="18"/>
      <c r="J259" s="155"/>
      <c r="K259" s="58"/>
      <c r="L259" s="51"/>
      <c r="M259" s="59"/>
      <c r="N259" s="60"/>
    </row>
    <row r="260" ht="15.75" customHeight="1">
      <c r="A260" s="11" t="s">
        <v>93</v>
      </c>
      <c r="B260" s="68"/>
      <c r="C260" s="69" t="s">
        <v>137</v>
      </c>
      <c r="D260" s="70">
        <v>0.6944444444444444</v>
      </c>
      <c r="E260" s="80"/>
      <c r="F260" s="80"/>
      <c r="G260" s="166" t="s">
        <v>177</v>
      </c>
      <c r="H260" s="86"/>
      <c r="I260" s="18"/>
      <c r="J260" s="220"/>
      <c r="K260" s="45"/>
      <c r="L260" s="57"/>
      <c r="M260" s="56"/>
      <c r="N260" s="48"/>
    </row>
    <row r="261" ht="15.75" customHeight="1">
      <c r="B261" s="121"/>
      <c r="C261" s="121"/>
      <c r="D261" s="121"/>
      <c r="E261" s="99"/>
      <c r="F261" s="99"/>
      <c r="G261" s="122"/>
      <c r="H261" s="123"/>
    </row>
    <row r="262" ht="20.25" customHeight="1">
      <c r="B262" s="121"/>
      <c r="C262" s="121"/>
      <c r="D262" s="121"/>
      <c r="E262" s="99"/>
      <c r="F262" s="99"/>
      <c r="G262" s="122"/>
      <c r="H262" s="123"/>
    </row>
    <row r="263" ht="15.75" customHeight="1">
      <c r="A263" s="11" t="s">
        <v>12</v>
      </c>
      <c r="B263" s="68" t="s">
        <v>317</v>
      </c>
      <c r="C263" s="69" t="s">
        <v>137</v>
      </c>
      <c r="D263" s="70">
        <v>0.5694444444444444</v>
      </c>
      <c r="E263" s="71">
        <v>1.7459691879E10</v>
      </c>
      <c r="F263" s="71">
        <v>7.08407221744161E14</v>
      </c>
      <c r="G263" s="44" t="s">
        <v>318</v>
      </c>
      <c r="H263" s="72">
        <v>13473.0</v>
      </c>
      <c r="I263" s="18" t="s">
        <v>172</v>
      </c>
      <c r="J263" s="216" t="s">
        <v>319</v>
      </c>
      <c r="K263" s="49" t="s">
        <v>320</v>
      </c>
      <c r="L263" s="51">
        <v>45958.0</v>
      </c>
      <c r="M263" s="50" t="s">
        <v>147</v>
      </c>
      <c r="N263" s="217" t="s">
        <v>321</v>
      </c>
    </row>
    <row r="264" ht="15.75" customHeight="1">
      <c r="B264" s="121"/>
      <c r="C264" s="121"/>
      <c r="D264" s="121"/>
      <c r="E264" s="99"/>
      <c r="F264" s="99"/>
      <c r="G264" s="122"/>
      <c r="H264" s="123"/>
    </row>
    <row r="265" ht="15.75" customHeight="1">
      <c r="B265" s="121"/>
      <c r="C265" s="121"/>
      <c r="D265" s="121"/>
      <c r="E265" s="99"/>
      <c r="F265" s="99"/>
      <c r="G265" s="122"/>
      <c r="H265" s="123"/>
    </row>
    <row r="266" ht="15.75" customHeight="1">
      <c r="A266" s="31" t="s">
        <v>154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3"/>
    </row>
    <row r="267" ht="15.75" customHeight="1">
      <c r="A267" s="64" t="s">
        <v>322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3"/>
    </row>
    <row r="268" ht="15.75" customHeight="1">
      <c r="A268" s="65"/>
      <c r="B268" s="7" t="s">
        <v>3</v>
      </c>
      <c r="C268" s="6" t="s">
        <v>2</v>
      </c>
      <c r="D268" s="8" t="s">
        <v>5</v>
      </c>
      <c r="E268" s="8" t="s">
        <v>19</v>
      </c>
      <c r="F268" s="8" t="s">
        <v>6</v>
      </c>
      <c r="G268" s="66" t="s">
        <v>7</v>
      </c>
      <c r="H268" s="9" t="s">
        <v>8</v>
      </c>
      <c r="I268" s="10" t="s">
        <v>20</v>
      </c>
      <c r="J268" s="8" t="s">
        <v>25</v>
      </c>
      <c r="K268" s="8" t="s">
        <v>26</v>
      </c>
      <c r="L268" s="9" t="s">
        <v>28</v>
      </c>
      <c r="M268" s="6" t="s">
        <v>29</v>
      </c>
      <c r="N268" s="9" t="s">
        <v>30</v>
      </c>
    </row>
    <row r="269" ht="15.75" customHeight="1">
      <c r="A269" s="11" t="s">
        <v>10</v>
      </c>
      <c r="B269" s="68"/>
      <c r="C269" s="69" t="s">
        <v>137</v>
      </c>
      <c r="D269" s="70">
        <v>0.3333333333333333</v>
      </c>
      <c r="E269" s="71"/>
      <c r="F269" s="71"/>
      <c r="G269" s="44"/>
      <c r="H269" s="72"/>
      <c r="I269" s="18" t="s">
        <v>180</v>
      </c>
      <c r="J269" s="37"/>
      <c r="K269" s="38"/>
      <c r="L269" s="73"/>
      <c r="M269" s="41"/>
      <c r="N269" s="42"/>
    </row>
    <row r="270" ht="15.75" customHeight="1">
      <c r="A270" s="11" t="s">
        <v>11</v>
      </c>
      <c r="B270" s="68" t="s">
        <v>323</v>
      </c>
      <c r="C270" s="69" t="s">
        <v>137</v>
      </c>
      <c r="D270" s="70">
        <v>0.3472222222222222</v>
      </c>
      <c r="E270" s="71">
        <v>1.6492581865E10</v>
      </c>
      <c r="F270" s="71">
        <v>2.1014642223E14</v>
      </c>
      <c r="G270" s="148" t="s">
        <v>324</v>
      </c>
      <c r="H270" s="72">
        <v>24540.0</v>
      </c>
      <c r="I270" s="18" t="s">
        <v>172</v>
      </c>
      <c r="J270" s="37" t="s">
        <v>325</v>
      </c>
      <c r="K270" s="45" t="s">
        <v>326</v>
      </c>
      <c r="L270" s="47"/>
      <c r="M270" s="46"/>
      <c r="N270" s="48"/>
    </row>
    <row r="271" ht="15.75" customHeight="1">
      <c r="A271" s="11" t="s">
        <v>12</v>
      </c>
      <c r="B271" s="68" t="s">
        <v>234</v>
      </c>
      <c r="C271" s="69" t="s">
        <v>137</v>
      </c>
      <c r="D271" s="70">
        <v>0.3611111111111111</v>
      </c>
      <c r="E271" s="149">
        <v>9.1367107849E10</v>
      </c>
      <c r="F271" s="149">
        <v>1.03821666600001E14</v>
      </c>
      <c r="G271" s="148" t="s">
        <v>327</v>
      </c>
      <c r="H271" s="150">
        <v>19628.0</v>
      </c>
      <c r="I271" s="18" t="s">
        <v>172</v>
      </c>
      <c r="J271" s="132" t="s">
        <v>328</v>
      </c>
      <c r="K271" s="49"/>
      <c r="L271" s="51"/>
      <c r="M271" s="50"/>
      <c r="N271" s="52"/>
    </row>
    <row r="272" ht="15.75" customHeight="1">
      <c r="A272" s="11" t="s">
        <v>13</v>
      </c>
      <c r="B272" s="68" t="s">
        <v>329</v>
      </c>
      <c r="C272" s="69" t="s">
        <v>137</v>
      </c>
      <c r="D272" s="70">
        <v>0.375</v>
      </c>
      <c r="E272" s="149">
        <v>7.691221835E9</v>
      </c>
      <c r="F272" s="149">
        <v>8.01440481850436E14</v>
      </c>
      <c r="G272" s="151" t="s">
        <v>330</v>
      </c>
      <c r="H272" s="150">
        <v>16330.0</v>
      </c>
      <c r="I272" s="18" t="s">
        <v>182</v>
      </c>
      <c r="J272" s="132" t="s">
        <v>331</v>
      </c>
      <c r="K272" s="45"/>
      <c r="L272" s="57"/>
      <c r="M272" s="56"/>
      <c r="N272" s="48"/>
    </row>
    <row r="273" ht="15.75" customHeight="1">
      <c r="A273" s="11" t="s">
        <v>14</v>
      </c>
      <c r="B273" s="205" t="s">
        <v>332</v>
      </c>
      <c r="C273" s="69" t="s">
        <v>137</v>
      </c>
      <c r="D273" s="70">
        <v>0.3888888888888889</v>
      </c>
      <c r="E273" s="80">
        <v>1.0697966895E10</v>
      </c>
      <c r="F273" s="80">
        <v>2.0153552179E14</v>
      </c>
      <c r="G273" s="85" t="s">
        <v>333</v>
      </c>
      <c r="H273" s="86">
        <v>24355.0</v>
      </c>
      <c r="I273" s="18" t="s">
        <v>182</v>
      </c>
      <c r="J273" s="132" t="s">
        <v>334</v>
      </c>
      <c r="K273" s="58"/>
      <c r="L273" s="51"/>
      <c r="M273" s="59"/>
      <c r="N273" s="60"/>
    </row>
    <row r="274" ht="15.75" customHeight="1">
      <c r="A274" s="11" t="s">
        <v>15</v>
      </c>
      <c r="B274" s="205" t="s">
        <v>332</v>
      </c>
      <c r="C274" s="69" t="s">
        <v>137</v>
      </c>
      <c r="D274" s="70">
        <v>0.4027777777777778</v>
      </c>
      <c r="E274" s="149">
        <v>2.3144085863E10</v>
      </c>
      <c r="F274" s="149">
        <v>7.034033634216E14</v>
      </c>
      <c r="G274" s="148" t="s">
        <v>335</v>
      </c>
      <c r="H274" s="150">
        <v>18174.0</v>
      </c>
      <c r="I274" s="18" t="s">
        <v>194</v>
      </c>
      <c r="J274" s="132" t="s">
        <v>336</v>
      </c>
      <c r="K274" s="45" t="s">
        <v>337</v>
      </c>
      <c r="L274" s="57"/>
      <c r="M274" s="56"/>
      <c r="N274" s="48"/>
    </row>
    <row r="275" ht="15.75" customHeight="1">
      <c r="A275" s="11" t="s">
        <v>16</v>
      </c>
      <c r="B275" s="205" t="s">
        <v>258</v>
      </c>
      <c r="C275" s="69" t="s">
        <v>137</v>
      </c>
      <c r="D275" s="70">
        <v>0.4166666666666667</v>
      </c>
      <c r="E275" s="124">
        <v>4.8808342387E10</v>
      </c>
      <c r="F275" s="124">
        <v>7.04001821457363E14</v>
      </c>
      <c r="G275" s="148" t="s">
        <v>338</v>
      </c>
      <c r="H275" s="221">
        <v>21604.0</v>
      </c>
      <c r="I275" s="18" t="s">
        <v>182</v>
      </c>
      <c r="J275" s="146" t="s">
        <v>339</v>
      </c>
      <c r="K275" s="58"/>
      <c r="L275" s="51"/>
      <c r="M275" s="59"/>
      <c r="N275" s="60"/>
    </row>
    <row r="276" ht="15.75" customHeight="1">
      <c r="A276" s="11" t="s">
        <v>17</v>
      </c>
      <c r="B276" s="205" t="s">
        <v>340</v>
      </c>
      <c r="C276" s="69" t="s">
        <v>137</v>
      </c>
      <c r="D276" s="70">
        <v>0.4305555555555556</v>
      </c>
      <c r="E276" s="124">
        <v>2.7908176852E10</v>
      </c>
      <c r="F276" s="124">
        <v>2.07262911900004E14</v>
      </c>
      <c r="G276" s="125" t="s">
        <v>341</v>
      </c>
      <c r="H276" s="222">
        <v>11617.0</v>
      </c>
      <c r="I276" s="18" t="s">
        <v>182</v>
      </c>
      <c r="J276" s="132" t="s">
        <v>342</v>
      </c>
      <c r="K276" s="45"/>
      <c r="L276" s="57"/>
      <c r="M276" s="56"/>
      <c r="N276" s="48"/>
    </row>
    <row r="277" ht="15.75" customHeight="1">
      <c r="A277" s="11" t="s">
        <v>85</v>
      </c>
      <c r="B277" s="68" t="s">
        <v>294</v>
      </c>
      <c r="C277" s="69" t="s">
        <v>137</v>
      </c>
      <c r="D277" s="70">
        <v>0.4444444444444444</v>
      </c>
      <c r="E277" s="79">
        <v>5.160128867E9</v>
      </c>
      <c r="F277" s="79">
        <v>8.01434192919287E14</v>
      </c>
      <c r="G277" s="74" t="s">
        <v>343</v>
      </c>
      <c r="H277" s="78">
        <v>21942.0</v>
      </c>
      <c r="I277" s="18" t="s">
        <v>182</v>
      </c>
      <c r="J277" s="132" t="s">
        <v>344</v>
      </c>
      <c r="K277" s="58"/>
      <c r="L277" s="51"/>
      <c r="M277" s="59"/>
      <c r="N277" s="60" t="s">
        <v>345</v>
      </c>
    </row>
    <row r="278" ht="15.75" customHeight="1">
      <c r="A278" s="11" t="s">
        <v>87</v>
      </c>
      <c r="B278" s="68"/>
      <c r="C278" s="69" t="s">
        <v>137</v>
      </c>
      <c r="D278" s="70">
        <v>0.4583333333333333</v>
      </c>
      <c r="E278" s="146"/>
      <c r="F278" s="146"/>
      <c r="G278" s="166" t="s">
        <v>177</v>
      </c>
      <c r="H278" s="153"/>
      <c r="I278" s="18"/>
      <c r="J278" s="80"/>
      <c r="K278" s="45"/>
      <c r="L278" s="57"/>
      <c r="M278" s="56"/>
      <c r="N278" s="48"/>
    </row>
    <row r="279" ht="15.75" customHeight="1">
      <c r="A279" s="11" t="s">
        <v>90</v>
      </c>
      <c r="B279" s="68"/>
      <c r="C279" s="69" t="s">
        <v>137</v>
      </c>
      <c r="D279" s="70">
        <v>0.4722222222222222</v>
      </c>
      <c r="E279" s="69"/>
      <c r="F279" s="69"/>
      <c r="G279" s="166" t="s">
        <v>177</v>
      </c>
      <c r="H279" s="153"/>
      <c r="I279" s="18"/>
      <c r="J279" s="155"/>
      <c r="K279" s="58"/>
      <c r="L279" s="51"/>
      <c r="M279" s="59"/>
      <c r="N279" s="60"/>
    </row>
    <row r="280" ht="15.75" customHeight="1">
      <c r="A280" s="11" t="s">
        <v>93</v>
      </c>
      <c r="B280" s="68"/>
      <c r="C280" s="69" t="s">
        <v>137</v>
      </c>
      <c r="D280" s="70">
        <v>0.4861111111111111</v>
      </c>
      <c r="E280" s="156"/>
      <c r="F280" s="156"/>
      <c r="G280" s="166" t="s">
        <v>177</v>
      </c>
      <c r="H280" s="153"/>
      <c r="I280" s="18"/>
      <c r="J280" s="29"/>
      <c r="K280" s="45"/>
      <c r="L280" s="57"/>
      <c r="M280" s="56"/>
      <c r="N280" s="48"/>
    </row>
    <row r="281" ht="15.75" customHeight="1">
      <c r="B281" s="121"/>
      <c r="C281" s="121"/>
      <c r="D281" s="121"/>
      <c r="E281" s="99"/>
      <c r="F281" s="99"/>
      <c r="G281" s="122"/>
      <c r="H281" s="123"/>
    </row>
    <row r="282" ht="15.75" customHeight="1">
      <c r="B282" s="121"/>
      <c r="C282" s="121"/>
      <c r="D282" s="121"/>
      <c r="E282" s="99"/>
      <c r="F282" s="99"/>
      <c r="G282" s="122"/>
      <c r="H282" s="123"/>
    </row>
    <row r="283" ht="15.75" customHeight="1">
      <c r="B283" s="121"/>
      <c r="C283" s="121"/>
      <c r="D283" s="121"/>
      <c r="E283" s="99"/>
      <c r="F283" s="99"/>
      <c r="G283" s="122"/>
      <c r="H283" s="123"/>
    </row>
    <row r="284" ht="15.75" customHeight="1">
      <c r="B284" s="121"/>
      <c r="C284" s="121"/>
      <c r="D284" s="121"/>
      <c r="E284" s="99"/>
      <c r="F284" s="99"/>
      <c r="G284" s="122"/>
      <c r="H284" s="123"/>
    </row>
    <row r="285" ht="15.75" customHeight="1">
      <c r="G285" s="167"/>
    </row>
    <row r="286" ht="15.75" customHeight="1">
      <c r="B286" s="121"/>
      <c r="C286" s="121"/>
      <c r="D286" s="121"/>
      <c r="E286" s="99"/>
      <c r="F286" s="99"/>
      <c r="G286" s="122"/>
      <c r="H286" s="123"/>
    </row>
    <row r="287" ht="15.75" customHeight="1">
      <c r="B287" s="121"/>
      <c r="C287" s="121"/>
      <c r="D287" s="121"/>
      <c r="E287" s="99"/>
      <c r="F287" s="99"/>
      <c r="G287" s="122"/>
      <c r="H287" s="123"/>
    </row>
    <row r="288" ht="15.75" customHeight="1">
      <c r="B288" s="121"/>
      <c r="C288" s="121"/>
      <c r="D288" s="121"/>
      <c r="E288" s="99"/>
      <c r="F288" s="99"/>
      <c r="G288" s="122"/>
      <c r="H288" s="123"/>
    </row>
    <row r="289" ht="15.75" customHeight="1">
      <c r="B289" s="121"/>
      <c r="C289" s="121"/>
      <c r="D289" s="121"/>
      <c r="E289" s="99"/>
      <c r="F289" s="99"/>
      <c r="G289" s="122"/>
      <c r="H289" s="123"/>
    </row>
    <row r="290" ht="15.75" customHeight="1">
      <c r="B290" s="121"/>
      <c r="C290" s="121"/>
      <c r="D290" s="121"/>
      <c r="E290" s="99"/>
      <c r="F290" s="99"/>
      <c r="G290" s="122"/>
      <c r="H290" s="123"/>
    </row>
    <row r="291" ht="15.75" customHeight="1">
      <c r="B291" s="121"/>
      <c r="C291" s="121"/>
      <c r="D291" s="121"/>
      <c r="E291" s="99"/>
      <c r="F291" s="99"/>
      <c r="G291" s="122"/>
      <c r="H291" s="123"/>
    </row>
    <row r="292" ht="15.75" customHeight="1">
      <c r="B292" s="121"/>
      <c r="C292" s="121"/>
      <c r="D292" s="121"/>
      <c r="E292" s="99"/>
      <c r="F292" s="99"/>
      <c r="G292" s="122"/>
      <c r="H292" s="123"/>
    </row>
    <row r="293" ht="15.75" customHeight="1">
      <c r="B293" s="121"/>
      <c r="C293" s="121"/>
      <c r="D293" s="121"/>
      <c r="E293" s="99"/>
      <c r="F293" s="99"/>
      <c r="G293" s="122"/>
      <c r="H293" s="123"/>
    </row>
    <row r="294" ht="15.75" customHeight="1">
      <c r="B294" s="121"/>
      <c r="C294" s="121"/>
      <c r="D294" s="121"/>
      <c r="E294" s="99"/>
      <c r="F294" s="99"/>
      <c r="G294" s="122"/>
      <c r="H294" s="123"/>
    </row>
    <row r="295" ht="15.75" customHeight="1">
      <c r="B295" s="121"/>
      <c r="C295" s="121"/>
      <c r="D295" s="121"/>
      <c r="E295" s="99"/>
      <c r="F295" s="99"/>
      <c r="G295" s="122"/>
      <c r="H295" s="123"/>
    </row>
    <row r="296" ht="15.75" customHeight="1">
      <c r="B296" s="121"/>
      <c r="C296" s="121"/>
      <c r="D296" s="121"/>
      <c r="E296" s="99"/>
      <c r="F296" s="99"/>
      <c r="G296" s="122"/>
      <c r="H296" s="123"/>
    </row>
    <row r="297" ht="15.75" customHeight="1">
      <c r="B297" s="121"/>
      <c r="C297" s="121"/>
      <c r="D297" s="121"/>
      <c r="E297" s="99"/>
      <c r="F297" s="99"/>
      <c r="G297" s="122"/>
      <c r="H297" s="123"/>
    </row>
    <row r="298" ht="15.75" customHeight="1">
      <c r="B298" s="121"/>
      <c r="C298" s="121"/>
      <c r="D298" s="121"/>
      <c r="E298" s="99"/>
      <c r="F298" s="99"/>
      <c r="G298" s="122"/>
      <c r="H298" s="123"/>
    </row>
    <row r="299" ht="15.75" customHeight="1">
      <c r="B299" s="121"/>
      <c r="C299" s="121"/>
      <c r="D299" s="121"/>
      <c r="E299" s="99"/>
      <c r="F299" s="99"/>
      <c r="G299" s="122"/>
      <c r="H299" s="123"/>
    </row>
    <row r="300" ht="15.75" customHeight="1">
      <c r="B300" s="121"/>
      <c r="C300" s="121"/>
      <c r="D300" s="121"/>
      <c r="E300" s="99"/>
      <c r="F300" s="99"/>
      <c r="G300" s="122"/>
      <c r="H300" s="123"/>
    </row>
    <row r="301" ht="15.75" customHeight="1">
      <c r="B301" s="121"/>
      <c r="C301" s="121"/>
      <c r="D301" s="121"/>
      <c r="E301" s="99"/>
      <c r="F301" s="99"/>
      <c r="G301" s="122"/>
      <c r="H301" s="123"/>
    </row>
    <row r="302" ht="15.75" customHeight="1">
      <c r="B302" s="121"/>
      <c r="C302" s="121"/>
      <c r="D302" s="121"/>
      <c r="E302" s="99"/>
      <c r="F302" s="99"/>
      <c r="G302" s="122"/>
      <c r="H302" s="123"/>
    </row>
    <row r="303" ht="15.75" customHeight="1">
      <c r="B303" s="121"/>
      <c r="C303" s="121"/>
      <c r="D303" s="121"/>
      <c r="E303" s="99"/>
      <c r="F303" s="99"/>
      <c r="G303" s="122"/>
      <c r="H303" s="123"/>
    </row>
    <row r="304" ht="15.75" customHeight="1">
      <c r="B304" s="121"/>
      <c r="C304" s="121"/>
      <c r="D304" s="121"/>
      <c r="E304" s="99"/>
      <c r="F304" s="99"/>
      <c r="G304" s="122"/>
      <c r="H304" s="123"/>
    </row>
    <row r="305" ht="15.75" customHeight="1">
      <c r="B305" s="121"/>
      <c r="C305" s="121"/>
      <c r="D305" s="121"/>
      <c r="E305" s="99"/>
      <c r="F305" s="99"/>
      <c r="G305" s="122"/>
      <c r="H305" s="123"/>
    </row>
    <row r="306" ht="15.75" customHeight="1">
      <c r="B306" s="121"/>
      <c r="C306" s="121"/>
      <c r="D306" s="121"/>
      <c r="E306" s="99"/>
      <c r="F306" s="99"/>
      <c r="G306" s="122"/>
      <c r="H306" s="123"/>
    </row>
    <row r="307" ht="15.75" customHeight="1">
      <c r="B307" s="121"/>
      <c r="C307" s="121"/>
      <c r="D307" s="121"/>
      <c r="E307" s="99"/>
      <c r="F307" s="99"/>
      <c r="G307" s="122"/>
      <c r="H307" s="123"/>
    </row>
    <row r="308" ht="15.75" customHeight="1">
      <c r="B308" s="121"/>
      <c r="C308" s="121"/>
      <c r="D308" s="121"/>
      <c r="E308" s="99"/>
      <c r="F308" s="99"/>
      <c r="G308" s="122"/>
      <c r="H308" s="123"/>
    </row>
    <row r="309" ht="15.75" customHeight="1">
      <c r="B309" s="121"/>
      <c r="C309" s="121"/>
      <c r="D309" s="121"/>
      <c r="E309" s="99"/>
      <c r="F309" s="99"/>
      <c r="G309" s="122"/>
      <c r="H309" s="123"/>
    </row>
    <row r="310" ht="15.75" customHeight="1">
      <c r="B310" s="121"/>
      <c r="C310" s="121"/>
      <c r="D310" s="121"/>
      <c r="E310" s="99"/>
      <c r="F310" s="99"/>
      <c r="G310" s="122"/>
      <c r="H310" s="123"/>
    </row>
    <row r="311" ht="15.75" customHeight="1">
      <c r="B311" s="121"/>
      <c r="C311" s="121"/>
      <c r="D311" s="121"/>
      <c r="E311" s="99"/>
      <c r="F311" s="99"/>
      <c r="G311" s="122"/>
      <c r="H311" s="123"/>
    </row>
    <row r="312" ht="15.75" customHeight="1">
      <c r="B312" s="121"/>
      <c r="C312" s="121"/>
      <c r="D312" s="121"/>
      <c r="E312" s="99"/>
      <c r="F312" s="99"/>
      <c r="G312" s="122"/>
      <c r="H312" s="123"/>
    </row>
    <row r="313" ht="15.75" customHeight="1">
      <c r="B313" s="121"/>
      <c r="C313" s="121"/>
      <c r="D313" s="121"/>
      <c r="E313" s="99"/>
      <c r="F313" s="99"/>
      <c r="G313" s="122"/>
      <c r="H313" s="123"/>
    </row>
    <row r="314" ht="15.75" customHeight="1">
      <c r="B314" s="121"/>
      <c r="C314" s="121"/>
      <c r="D314" s="121"/>
      <c r="E314" s="99"/>
      <c r="F314" s="99"/>
      <c r="G314" s="122"/>
      <c r="H314" s="123"/>
    </row>
    <row r="315" ht="15.75" customHeight="1">
      <c r="B315" s="121"/>
      <c r="C315" s="121"/>
      <c r="D315" s="121"/>
      <c r="E315" s="99"/>
      <c r="F315" s="99"/>
      <c r="G315" s="122"/>
      <c r="H315" s="123"/>
    </row>
    <row r="316" ht="15.75" customHeight="1">
      <c r="B316" s="121"/>
      <c r="C316" s="121"/>
      <c r="D316" s="121"/>
      <c r="E316" s="99"/>
      <c r="F316" s="99"/>
      <c r="G316" s="122"/>
      <c r="H316" s="123"/>
    </row>
    <row r="317" ht="15.75" customHeight="1">
      <c r="B317" s="121"/>
      <c r="C317" s="121"/>
      <c r="D317" s="121"/>
      <c r="E317" s="99"/>
      <c r="F317" s="99"/>
      <c r="G317" s="122"/>
      <c r="H317" s="123"/>
    </row>
    <row r="318" ht="15.75" customHeight="1">
      <c r="B318" s="121"/>
      <c r="C318" s="121"/>
      <c r="D318" s="121"/>
      <c r="E318" s="99"/>
      <c r="F318" s="99"/>
      <c r="G318" s="122"/>
      <c r="H318" s="123"/>
    </row>
    <row r="319" ht="15.75" customHeight="1">
      <c r="B319" s="121"/>
      <c r="C319" s="121"/>
      <c r="D319" s="121"/>
      <c r="E319" s="99"/>
      <c r="F319" s="99"/>
      <c r="G319" s="122"/>
      <c r="H319" s="123"/>
    </row>
    <row r="320" ht="15.75" customHeight="1">
      <c r="B320" s="121"/>
      <c r="C320" s="121"/>
      <c r="D320" s="121"/>
      <c r="E320" s="99"/>
      <c r="F320" s="99"/>
      <c r="G320" s="122"/>
      <c r="H320" s="123"/>
    </row>
    <row r="321" ht="15.75" customHeight="1">
      <c r="B321" s="121"/>
      <c r="C321" s="121"/>
      <c r="D321" s="121"/>
      <c r="E321" s="99"/>
      <c r="F321" s="99"/>
      <c r="G321" s="122"/>
      <c r="H321" s="123"/>
    </row>
    <row r="322" ht="15.75" customHeight="1">
      <c r="B322" s="121"/>
      <c r="C322" s="121"/>
      <c r="D322" s="121"/>
      <c r="E322" s="99"/>
      <c r="F322" s="99"/>
      <c r="G322" s="122"/>
      <c r="H322" s="123"/>
    </row>
    <row r="323" ht="15.75" customHeight="1">
      <c r="B323" s="121"/>
      <c r="C323" s="121"/>
      <c r="D323" s="121"/>
      <c r="E323" s="99"/>
      <c r="F323" s="99"/>
      <c r="G323" s="122"/>
      <c r="H323" s="123"/>
    </row>
    <row r="324" ht="15.75" customHeight="1">
      <c r="B324" s="121"/>
      <c r="C324" s="121"/>
      <c r="D324" s="121"/>
      <c r="E324" s="99"/>
      <c r="F324" s="99"/>
      <c r="G324" s="122"/>
      <c r="H324" s="123"/>
    </row>
    <row r="325" ht="15.75" customHeight="1">
      <c r="B325" s="121"/>
      <c r="C325" s="121"/>
      <c r="D325" s="121"/>
      <c r="E325" s="99"/>
      <c r="F325" s="99"/>
      <c r="G325" s="122"/>
      <c r="H325" s="123"/>
    </row>
    <row r="326" ht="15.75" customHeight="1">
      <c r="B326" s="121"/>
      <c r="C326" s="121"/>
      <c r="D326" s="121"/>
      <c r="E326" s="99"/>
      <c r="F326" s="99"/>
      <c r="G326" s="122"/>
      <c r="H326" s="123"/>
    </row>
    <row r="327" ht="15.75" customHeight="1">
      <c r="B327" s="121"/>
      <c r="C327" s="121"/>
      <c r="D327" s="121"/>
      <c r="E327" s="99"/>
      <c r="F327" s="99"/>
      <c r="G327" s="122"/>
      <c r="H327" s="123"/>
    </row>
    <row r="328" ht="15.75" customHeight="1">
      <c r="B328" s="121"/>
      <c r="C328" s="121"/>
      <c r="D328" s="121"/>
      <c r="E328" s="99"/>
      <c r="F328" s="99"/>
      <c r="G328" s="122"/>
      <c r="H328" s="123"/>
    </row>
    <row r="329" ht="15.75" customHeight="1">
      <c r="B329" s="121"/>
      <c r="C329" s="121"/>
      <c r="D329" s="121"/>
      <c r="E329" s="99"/>
      <c r="F329" s="99"/>
      <c r="G329" s="122"/>
      <c r="H329" s="123"/>
    </row>
    <row r="330" ht="15.75" customHeight="1">
      <c r="B330" s="121"/>
      <c r="C330" s="121"/>
      <c r="D330" s="121"/>
      <c r="E330" s="99"/>
      <c r="F330" s="99"/>
      <c r="G330" s="122"/>
      <c r="H330" s="123"/>
    </row>
    <row r="331" ht="15.75" customHeight="1">
      <c r="B331" s="121"/>
      <c r="C331" s="121"/>
      <c r="D331" s="121"/>
      <c r="E331" s="99"/>
      <c r="F331" s="99"/>
      <c r="G331" s="122"/>
      <c r="H331" s="123"/>
    </row>
    <row r="332" ht="15.75" customHeight="1">
      <c r="B332" s="121"/>
      <c r="C332" s="121"/>
      <c r="D332" s="121"/>
      <c r="E332" s="99"/>
      <c r="F332" s="99"/>
      <c r="G332" s="122"/>
      <c r="H332" s="123"/>
    </row>
    <row r="333" ht="15.75" customHeight="1">
      <c r="B333" s="121"/>
      <c r="C333" s="121"/>
      <c r="D333" s="121"/>
      <c r="E333" s="99"/>
      <c r="F333" s="99"/>
      <c r="G333" s="122"/>
      <c r="H333" s="123"/>
    </row>
    <row r="334" ht="15.75" customHeight="1">
      <c r="B334" s="121"/>
      <c r="C334" s="121"/>
      <c r="D334" s="121"/>
      <c r="E334" s="99"/>
      <c r="F334" s="99"/>
      <c r="G334" s="122"/>
      <c r="H334" s="123"/>
    </row>
    <row r="335" ht="15.75" customHeight="1">
      <c r="B335" s="121"/>
      <c r="C335" s="121"/>
      <c r="D335" s="121"/>
      <c r="E335" s="99"/>
      <c r="F335" s="99"/>
      <c r="G335" s="122"/>
      <c r="H335" s="123"/>
    </row>
    <row r="336" ht="15.75" customHeight="1">
      <c r="B336" s="121"/>
      <c r="C336" s="121"/>
      <c r="D336" s="121"/>
      <c r="E336" s="99"/>
      <c r="F336" s="99"/>
      <c r="G336" s="122"/>
      <c r="H336" s="123"/>
    </row>
    <row r="337" ht="15.75" customHeight="1">
      <c r="B337" s="121"/>
      <c r="C337" s="121"/>
      <c r="D337" s="121"/>
      <c r="E337" s="99"/>
      <c r="F337" s="99"/>
      <c r="G337" s="122"/>
      <c r="H337" s="123"/>
    </row>
    <row r="338" ht="15.75" customHeight="1">
      <c r="B338" s="121"/>
      <c r="C338" s="121"/>
      <c r="D338" s="121"/>
      <c r="E338" s="99"/>
      <c r="F338" s="99"/>
      <c r="G338" s="122"/>
      <c r="H338" s="123"/>
    </row>
    <row r="339" ht="15.75" customHeight="1">
      <c r="B339" s="121"/>
      <c r="C339" s="121"/>
      <c r="D339" s="121"/>
      <c r="E339" s="99"/>
      <c r="F339" s="99"/>
      <c r="G339" s="122"/>
      <c r="H339" s="123"/>
    </row>
    <row r="340" ht="15.75" customHeight="1">
      <c r="B340" s="121"/>
      <c r="C340" s="121"/>
      <c r="D340" s="121"/>
      <c r="E340" s="99"/>
      <c r="F340" s="99"/>
      <c r="G340" s="122"/>
      <c r="H340" s="123"/>
    </row>
    <row r="341" ht="15.75" customHeight="1">
      <c r="B341" s="121"/>
      <c r="C341" s="121"/>
      <c r="D341" s="121"/>
      <c r="E341" s="99"/>
      <c r="F341" s="99"/>
      <c r="G341" s="122"/>
      <c r="H341" s="123"/>
    </row>
    <row r="342" ht="15.75" customHeight="1">
      <c r="B342" s="121"/>
      <c r="C342" s="121"/>
      <c r="D342" s="121"/>
      <c r="E342" s="99"/>
      <c r="F342" s="99"/>
      <c r="G342" s="122"/>
      <c r="H342" s="123"/>
    </row>
    <row r="343" ht="15.75" customHeight="1">
      <c r="B343" s="121"/>
      <c r="C343" s="121"/>
      <c r="D343" s="121"/>
      <c r="E343" s="99"/>
      <c r="F343" s="99"/>
      <c r="G343" s="122"/>
      <c r="H343" s="123"/>
    </row>
    <row r="344" ht="15.75" customHeight="1">
      <c r="B344" s="121"/>
      <c r="C344" s="121"/>
      <c r="D344" s="121"/>
      <c r="E344" s="99"/>
      <c r="F344" s="99"/>
      <c r="G344" s="122"/>
      <c r="H344" s="123"/>
    </row>
    <row r="345" ht="15.75" customHeight="1">
      <c r="B345" s="121"/>
      <c r="C345" s="121"/>
      <c r="D345" s="121"/>
      <c r="E345" s="99"/>
      <c r="F345" s="99"/>
      <c r="G345" s="122"/>
      <c r="H345" s="123"/>
    </row>
    <row r="346" ht="15.75" customHeight="1">
      <c r="B346" s="121"/>
      <c r="C346" s="121"/>
      <c r="D346" s="121"/>
      <c r="E346" s="99"/>
      <c r="F346" s="99"/>
      <c r="G346" s="122"/>
      <c r="H346" s="123"/>
    </row>
    <row r="347" ht="15.75" customHeight="1">
      <c r="B347" s="121"/>
      <c r="C347" s="121"/>
      <c r="D347" s="121"/>
      <c r="E347" s="99"/>
      <c r="F347" s="99"/>
      <c r="G347" s="122"/>
      <c r="H347" s="123"/>
    </row>
    <row r="348" ht="15.75" customHeight="1">
      <c r="B348" s="121"/>
      <c r="C348" s="121"/>
      <c r="D348" s="121"/>
      <c r="E348" s="99"/>
      <c r="F348" s="99"/>
      <c r="G348" s="122"/>
      <c r="H348" s="123"/>
    </row>
    <row r="349" ht="15.75" customHeight="1">
      <c r="B349" s="121"/>
      <c r="C349" s="121"/>
      <c r="D349" s="121"/>
      <c r="E349" s="99"/>
      <c r="F349" s="99"/>
      <c r="G349" s="122"/>
      <c r="H349" s="123"/>
    </row>
    <row r="350" ht="15.75" customHeight="1">
      <c r="B350" s="121"/>
      <c r="C350" s="121"/>
      <c r="D350" s="121"/>
      <c r="E350" s="99"/>
      <c r="F350" s="99"/>
      <c r="G350" s="122"/>
      <c r="H350" s="123"/>
    </row>
    <row r="351" ht="15.75" customHeight="1">
      <c r="B351" s="121"/>
      <c r="C351" s="121"/>
      <c r="D351" s="121"/>
      <c r="E351" s="99"/>
      <c r="F351" s="99"/>
      <c r="G351" s="122"/>
      <c r="H351" s="123"/>
    </row>
    <row r="352" ht="15.75" customHeight="1">
      <c r="B352" s="121"/>
      <c r="C352" s="121"/>
      <c r="D352" s="121"/>
      <c r="E352" s="99"/>
      <c r="F352" s="99"/>
      <c r="G352" s="122"/>
      <c r="H352" s="123"/>
    </row>
    <row r="353" ht="15.75" customHeight="1">
      <c r="B353" s="121"/>
      <c r="C353" s="121"/>
      <c r="D353" s="121"/>
      <c r="E353" s="99"/>
      <c r="F353" s="99"/>
      <c r="G353" s="122"/>
      <c r="H353" s="123"/>
    </row>
    <row r="354" ht="15.75" customHeight="1">
      <c r="B354" s="121"/>
      <c r="C354" s="121"/>
      <c r="D354" s="121"/>
      <c r="E354" s="99"/>
      <c r="F354" s="99"/>
      <c r="G354" s="122"/>
      <c r="H354" s="123"/>
    </row>
    <row r="355" ht="15.75" customHeight="1">
      <c r="B355" s="121"/>
      <c r="C355" s="121"/>
      <c r="D355" s="121"/>
      <c r="E355" s="99"/>
      <c r="F355" s="99"/>
      <c r="G355" s="122"/>
      <c r="H355" s="123"/>
    </row>
    <row r="356" ht="15.75" customHeight="1">
      <c r="B356" s="121"/>
      <c r="C356" s="121"/>
      <c r="D356" s="121"/>
      <c r="E356" s="99"/>
      <c r="F356" s="99"/>
      <c r="G356" s="122"/>
      <c r="H356" s="123"/>
    </row>
    <row r="357" ht="15.75" customHeight="1">
      <c r="B357" s="121"/>
      <c r="C357" s="121"/>
      <c r="D357" s="121"/>
      <c r="E357" s="99"/>
      <c r="F357" s="99"/>
      <c r="G357" s="122"/>
      <c r="H357" s="123"/>
    </row>
    <row r="358" ht="15.75" customHeight="1">
      <c r="B358" s="121"/>
      <c r="C358" s="121"/>
      <c r="D358" s="121"/>
      <c r="E358" s="99"/>
      <c r="F358" s="99"/>
      <c r="G358" s="122"/>
      <c r="H358" s="123"/>
    </row>
    <row r="359" ht="15.75" customHeight="1">
      <c r="B359" s="121"/>
      <c r="C359" s="121"/>
      <c r="D359" s="121"/>
      <c r="E359" s="99"/>
      <c r="F359" s="99"/>
      <c r="G359" s="122"/>
      <c r="H359" s="123"/>
    </row>
    <row r="360" ht="15.75" customHeight="1">
      <c r="B360" s="121"/>
      <c r="C360" s="121"/>
      <c r="D360" s="121"/>
      <c r="E360" s="99"/>
      <c r="F360" s="99"/>
      <c r="G360" s="122"/>
      <c r="H360" s="123"/>
    </row>
    <row r="361" ht="15.75" customHeight="1">
      <c r="B361" s="121"/>
      <c r="C361" s="121"/>
      <c r="D361" s="121"/>
      <c r="E361" s="99"/>
      <c r="F361" s="99"/>
      <c r="G361" s="122"/>
      <c r="H361" s="123"/>
    </row>
    <row r="362" ht="15.75" customHeight="1">
      <c r="B362" s="121"/>
      <c r="C362" s="121"/>
      <c r="D362" s="121"/>
      <c r="E362" s="99"/>
      <c r="F362" s="99"/>
      <c r="G362" s="122"/>
      <c r="H362" s="123"/>
    </row>
    <row r="363" ht="15.75" customHeight="1">
      <c r="B363" s="121"/>
      <c r="C363" s="121"/>
      <c r="D363" s="121"/>
      <c r="E363" s="99"/>
      <c r="F363" s="99"/>
      <c r="G363" s="122"/>
      <c r="H363" s="123"/>
    </row>
    <row r="364" ht="15.75" customHeight="1">
      <c r="B364" s="121"/>
      <c r="C364" s="121"/>
      <c r="D364" s="121"/>
      <c r="E364" s="99"/>
      <c r="F364" s="99"/>
      <c r="G364" s="122"/>
      <c r="H364" s="123"/>
    </row>
    <row r="365" ht="15.75" customHeight="1">
      <c r="B365" s="121"/>
      <c r="C365" s="121"/>
      <c r="D365" s="121"/>
      <c r="E365" s="99"/>
      <c r="F365" s="99"/>
      <c r="G365" s="122"/>
      <c r="H365" s="123"/>
    </row>
    <row r="366" ht="15.75" customHeight="1">
      <c r="B366" s="121"/>
      <c r="C366" s="121"/>
      <c r="D366" s="121"/>
      <c r="E366" s="99"/>
      <c r="F366" s="99"/>
      <c r="G366" s="122"/>
      <c r="H366" s="123"/>
    </row>
    <row r="367" ht="15.75" customHeight="1">
      <c r="B367" s="121"/>
      <c r="C367" s="121"/>
      <c r="D367" s="121"/>
      <c r="E367" s="99"/>
      <c r="F367" s="99"/>
      <c r="G367" s="122"/>
      <c r="H367" s="123"/>
    </row>
    <row r="368" ht="15.75" customHeight="1">
      <c r="B368" s="121"/>
      <c r="C368" s="121"/>
      <c r="D368" s="121"/>
      <c r="E368" s="99"/>
      <c r="F368" s="99"/>
      <c r="G368" s="122"/>
      <c r="H368" s="123"/>
    </row>
    <row r="369" ht="15.75" customHeight="1">
      <c r="B369" s="121"/>
      <c r="C369" s="121"/>
      <c r="D369" s="121"/>
      <c r="E369" s="99"/>
      <c r="F369" s="99"/>
      <c r="G369" s="122"/>
      <c r="H369" s="123"/>
    </row>
    <row r="370" ht="15.75" customHeight="1">
      <c r="B370" s="121"/>
      <c r="C370" s="121"/>
      <c r="D370" s="121"/>
      <c r="E370" s="99"/>
      <c r="F370" s="99"/>
      <c r="G370" s="122"/>
      <c r="H370" s="123"/>
    </row>
    <row r="371" ht="15.75" customHeight="1">
      <c r="B371" s="121"/>
      <c r="C371" s="121"/>
      <c r="D371" s="121"/>
      <c r="E371" s="99"/>
      <c r="F371" s="99"/>
      <c r="G371" s="122"/>
      <c r="H371" s="123"/>
    </row>
    <row r="372" ht="15.75" customHeight="1">
      <c r="B372" s="121"/>
      <c r="C372" s="121"/>
      <c r="D372" s="121"/>
      <c r="E372" s="99"/>
      <c r="F372" s="99"/>
      <c r="G372" s="122"/>
      <c r="H372" s="123"/>
    </row>
    <row r="373" ht="15.75" customHeight="1">
      <c r="B373" s="121"/>
      <c r="C373" s="121"/>
      <c r="D373" s="121"/>
      <c r="E373" s="99"/>
      <c r="F373" s="99"/>
      <c r="G373" s="122"/>
      <c r="H373" s="123"/>
    </row>
    <row r="374" ht="15.75" customHeight="1">
      <c r="B374" s="121"/>
      <c r="C374" s="121"/>
      <c r="D374" s="121"/>
      <c r="E374" s="99"/>
      <c r="F374" s="99"/>
      <c r="G374" s="122"/>
      <c r="H374" s="123"/>
    </row>
    <row r="375" ht="15.75" customHeight="1">
      <c r="B375" s="121"/>
      <c r="C375" s="121"/>
      <c r="D375" s="121"/>
      <c r="E375" s="99"/>
      <c r="F375" s="99"/>
      <c r="G375" s="122"/>
      <c r="H375" s="123"/>
    </row>
    <row r="376" ht="15.75" customHeight="1">
      <c r="B376" s="121"/>
      <c r="C376" s="121"/>
      <c r="D376" s="121"/>
      <c r="E376" s="99"/>
      <c r="F376" s="99"/>
      <c r="G376" s="122"/>
      <c r="H376" s="123"/>
    </row>
    <row r="377" ht="15.75" customHeight="1">
      <c r="B377" s="121"/>
      <c r="C377" s="121"/>
      <c r="D377" s="121"/>
      <c r="E377" s="99"/>
      <c r="F377" s="99"/>
      <c r="G377" s="122"/>
      <c r="H377" s="123"/>
    </row>
    <row r="378" ht="15.75" customHeight="1">
      <c r="B378" s="121"/>
      <c r="C378" s="121"/>
      <c r="D378" s="121"/>
      <c r="E378" s="99"/>
      <c r="F378" s="99"/>
      <c r="G378" s="122"/>
      <c r="H378" s="123"/>
    </row>
    <row r="379" ht="15.75" customHeight="1">
      <c r="B379" s="121"/>
      <c r="C379" s="121"/>
      <c r="D379" s="121"/>
      <c r="E379" s="99"/>
      <c r="F379" s="99"/>
      <c r="G379" s="122"/>
      <c r="H379" s="123"/>
    </row>
    <row r="380" ht="15.75" customHeight="1">
      <c r="B380" s="121"/>
      <c r="C380" s="121"/>
      <c r="D380" s="121"/>
      <c r="E380" s="99"/>
      <c r="F380" s="99"/>
      <c r="G380" s="122"/>
      <c r="H380" s="123"/>
    </row>
    <row r="381" ht="15.75" customHeight="1">
      <c r="B381" s="121"/>
      <c r="C381" s="121"/>
      <c r="D381" s="121"/>
      <c r="E381" s="99"/>
      <c r="F381" s="99"/>
      <c r="G381" s="122"/>
      <c r="H381" s="123"/>
    </row>
    <row r="382" ht="15.75" customHeight="1">
      <c r="B382" s="121"/>
      <c r="C382" s="121"/>
      <c r="D382" s="121"/>
      <c r="E382" s="99"/>
      <c r="F382" s="99"/>
      <c r="G382" s="122"/>
      <c r="H382" s="123"/>
    </row>
    <row r="383" ht="15.75" customHeight="1">
      <c r="B383" s="121"/>
      <c r="C383" s="121"/>
      <c r="D383" s="121"/>
      <c r="E383" s="99"/>
      <c r="F383" s="99"/>
      <c r="G383" s="122"/>
      <c r="H383" s="123"/>
    </row>
    <row r="384" ht="15.75" customHeight="1">
      <c r="B384" s="121"/>
      <c r="C384" s="121"/>
      <c r="D384" s="121"/>
      <c r="E384" s="99"/>
      <c r="F384" s="99"/>
      <c r="G384" s="122"/>
      <c r="H384" s="123"/>
    </row>
    <row r="385" ht="15.75" customHeight="1">
      <c r="B385" s="121"/>
      <c r="C385" s="121"/>
      <c r="D385" s="121"/>
      <c r="E385" s="99"/>
      <c r="F385" s="99"/>
      <c r="G385" s="122"/>
      <c r="H385" s="123"/>
    </row>
    <row r="386" ht="15.75" customHeight="1">
      <c r="B386" s="121"/>
      <c r="C386" s="121"/>
      <c r="D386" s="121"/>
      <c r="E386" s="99"/>
      <c r="F386" s="99"/>
      <c r="G386" s="122"/>
      <c r="H386" s="123"/>
    </row>
    <row r="387" ht="15.75" customHeight="1">
      <c r="B387" s="121"/>
      <c r="C387" s="121"/>
      <c r="D387" s="121"/>
      <c r="E387" s="99"/>
      <c r="F387" s="99"/>
      <c r="G387" s="122"/>
      <c r="H387" s="123"/>
    </row>
    <row r="388" ht="15.75" customHeight="1">
      <c r="B388" s="121"/>
      <c r="C388" s="121"/>
      <c r="D388" s="121"/>
      <c r="E388" s="99"/>
      <c r="F388" s="99"/>
      <c r="G388" s="122"/>
      <c r="H388" s="123"/>
    </row>
    <row r="389" ht="15.75" customHeight="1">
      <c r="B389" s="121"/>
      <c r="C389" s="121"/>
      <c r="D389" s="121"/>
      <c r="E389" s="99"/>
      <c r="F389" s="99"/>
      <c r="G389" s="122"/>
      <c r="H389" s="123"/>
    </row>
    <row r="390" ht="15.75" customHeight="1">
      <c r="B390" s="121"/>
      <c r="C390" s="121"/>
      <c r="D390" s="121"/>
      <c r="E390" s="99"/>
      <c r="F390" s="99"/>
      <c r="G390" s="122"/>
      <c r="H390" s="123"/>
    </row>
    <row r="391" ht="15.75" customHeight="1">
      <c r="B391" s="121"/>
      <c r="C391" s="121"/>
      <c r="D391" s="121"/>
      <c r="E391" s="99"/>
      <c r="F391" s="99"/>
      <c r="G391" s="122"/>
      <c r="H391" s="123"/>
    </row>
    <row r="392" ht="15.75" customHeight="1">
      <c r="B392" s="121"/>
      <c r="C392" s="121"/>
      <c r="D392" s="121"/>
      <c r="E392" s="99"/>
      <c r="F392" s="99"/>
      <c r="G392" s="122"/>
      <c r="H392" s="123"/>
    </row>
    <row r="393" ht="15.75" customHeight="1">
      <c r="B393" s="121"/>
      <c r="C393" s="121"/>
      <c r="D393" s="121"/>
      <c r="E393" s="99"/>
      <c r="F393" s="99"/>
      <c r="G393" s="122"/>
      <c r="H393" s="123"/>
    </row>
    <row r="394" ht="15.75" customHeight="1">
      <c r="B394" s="121"/>
      <c r="C394" s="121"/>
      <c r="D394" s="121"/>
      <c r="E394" s="99"/>
      <c r="F394" s="99"/>
      <c r="G394" s="122"/>
      <c r="H394" s="123"/>
    </row>
    <row r="395" ht="15.75" customHeight="1">
      <c r="B395" s="121"/>
      <c r="C395" s="121"/>
      <c r="D395" s="121"/>
      <c r="E395" s="99"/>
      <c r="F395" s="99"/>
      <c r="G395" s="122"/>
      <c r="H395" s="123"/>
    </row>
    <row r="396" ht="15.75" customHeight="1">
      <c r="B396" s="121"/>
      <c r="C396" s="121"/>
      <c r="D396" s="121"/>
      <c r="E396" s="99"/>
      <c r="F396" s="99"/>
      <c r="G396" s="122"/>
      <c r="H396" s="123"/>
    </row>
    <row r="397" ht="15.75" customHeight="1">
      <c r="B397" s="121"/>
      <c r="C397" s="121"/>
      <c r="D397" s="121"/>
      <c r="E397" s="99"/>
      <c r="F397" s="99"/>
      <c r="G397" s="122"/>
      <c r="H397" s="123"/>
    </row>
    <row r="398" ht="15.75" customHeight="1">
      <c r="B398" s="121"/>
      <c r="C398" s="121"/>
      <c r="D398" s="121"/>
      <c r="E398" s="99"/>
      <c r="F398" s="99"/>
      <c r="G398" s="122"/>
      <c r="H398" s="123"/>
    </row>
    <row r="399" ht="15.75" customHeight="1">
      <c r="B399" s="121"/>
      <c r="C399" s="121"/>
      <c r="D399" s="121"/>
      <c r="E399" s="99"/>
      <c r="F399" s="99"/>
      <c r="G399" s="122"/>
      <c r="H399" s="123"/>
    </row>
    <row r="400" ht="15.75" customHeight="1">
      <c r="B400" s="121"/>
      <c r="C400" s="121"/>
      <c r="D400" s="121"/>
      <c r="E400" s="99"/>
      <c r="F400" s="99"/>
      <c r="G400" s="122"/>
      <c r="H400" s="123"/>
    </row>
    <row r="401" ht="15.75" customHeight="1">
      <c r="B401" s="121"/>
      <c r="C401" s="121"/>
      <c r="D401" s="121"/>
      <c r="E401" s="99"/>
      <c r="F401" s="99"/>
      <c r="G401" s="122"/>
      <c r="H401" s="123"/>
    </row>
    <row r="402" ht="15.75" customHeight="1">
      <c r="B402" s="121"/>
      <c r="C402" s="121"/>
      <c r="D402" s="121"/>
      <c r="E402" s="99"/>
      <c r="F402" s="99"/>
      <c r="G402" s="122"/>
      <c r="H402" s="123"/>
    </row>
    <row r="403" ht="15.75" customHeight="1">
      <c r="B403" s="121"/>
      <c r="C403" s="121"/>
      <c r="D403" s="121"/>
      <c r="E403" s="99"/>
      <c r="F403" s="99"/>
      <c r="G403" s="122"/>
      <c r="H403" s="123"/>
    </row>
    <row r="404" ht="15.75" customHeight="1">
      <c r="B404" s="121"/>
      <c r="C404" s="121"/>
      <c r="D404" s="121"/>
      <c r="E404" s="99"/>
      <c r="F404" s="99"/>
      <c r="G404" s="122"/>
      <c r="H404" s="123"/>
    </row>
    <row r="405" ht="15.75" customHeight="1">
      <c r="B405" s="121"/>
      <c r="C405" s="121"/>
      <c r="D405" s="121"/>
      <c r="E405" s="99"/>
      <c r="F405" s="99"/>
      <c r="G405" s="122"/>
      <c r="H405" s="123"/>
    </row>
    <row r="406" ht="15.75" customHeight="1">
      <c r="B406" s="121"/>
      <c r="C406" s="121"/>
      <c r="D406" s="121"/>
      <c r="E406" s="99"/>
      <c r="F406" s="99"/>
      <c r="G406" s="122"/>
      <c r="H406" s="123"/>
    </row>
    <row r="407" ht="15.75" customHeight="1">
      <c r="B407" s="121"/>
      <c r="C407" s="121"/>
      <c r="D407" s="121"/>
      <c r="E407" s="99"/>
      <c r="F407" s="99"/>
      <c r="G407" s="122"/>
      <c r="H407" s="123"/>
    </row>
    <row r="408" ht="15.75" customHeight="1">
      <c r="B408" s="121"/>
      <c r="C408" s="121"/>
      <c r="D408" s="121"/>
      <c r="E408" s="99"/>
      <c r="F408" s="99"/>
      <c r="G408" s="122"/>
      <c r="H408" s="123"/>
    </row>
    <row r="409" ht="15.75" customHeight="1">
      <c r="B409" s="121"/>
      <c r="C409" s="121"/>
      <c r="D409" s="121"/>
      <c r="E409" s="99"/>
      <c r="F409" s="99"/>
      <c r="G409" s="122"/>
      <c r="H409" s="123"/>
    </row>
    <row r="410" ht="15.75" customHeight="1">
      <c r="B410" s="121"/>
      <c r="C410" s="121"/>
      <c r="D410" s="121"/>
      <c r="E410" s="99"/>
      <c r="F410" s="99"/>
      <c r="G410" s="122"/>
      <c r="H410" s="123"/>
    </row>
    <row r="411" ht="15.75" customHeight="1">
      <c r="B411" s="121"/>
      <c r="C411" s="121"/>
      <c r="D411" s="121"/>
      <c r="E411" s="99"/>
      <c r="F411" s="99"/>
      <c r="G411" s="122"/>
      <c r="H411" s="123"/>
    </row>
    <row r="412" ht="15.75" customHeight="1">
      <c r="B412" s="121"/>
      <c r="C412" s="121"/>
      <c r="D412" s="121"/>
      <c r="E412" s="99"/>
      <c r="F412" s="99"/>
      <c r="G412" s="122"/>
      <c r="H412" s="123"/>
    </row>
    <row r="413" ht="15.75" customHeight="1">
      <c r="B413" s="121"/>
      <c r="C413" s="121"/>
      <c r="D413" s="121"/>
      <c r="E413" s="99"/>
      <c r="F413" s="99"/>
      <c r="G413" s="122"/>
      <c r="H413" s="123"/>
    </row>
    <row r="414" ht="15.75" customHeight="1">
      <c r="B414" s="121"/>
      <c r="C414" s="121"/>
      <c r="D414" s="121"/>
      <c r="E414" s="99"/>
      <c r="F414" s="99"/>
      <c r="G414" s="122"/>
      <c r="H414" s="123"/>
    </row>
    <row r="415" ht="15.75" customHeight="1">
      <c r="B415" s="121"/>
      <c r="C415" s="121"/>
      <c r="D415" s="121"/>
      <c r="E415" s="99"/>
      <c r="F415" s="99"/>
      <c r="G415" s="122"/>
      <c r="H415" s="123"/>
    </row>
    <row r="416" ht="15.75" customHeight="1">
      <c r="B416" s="121"/>
      <c r="C416" s="121"/>
      <c r="D416" s="121"/>
      <c r="E416" s="99"/>
      <c r="F416" s="99"/>
      <c r="G416" s="122"/>
      <c r="H416" s="123"/>
    </row>
    <row r="417" ht="15.75" customHeight="1">
      <c r="B417" s="121"/>
      <c r="C417" s="121"/>
      <c r="D417" s="121"/>
      <c r="E417" s="99"/>
      <c r="F417" s="99"/>
      <c r="G417" s="122"/>
      <c r="H417" s="123"/>
    </row>
    <row r="418" ht="15.75" customHeight="1">
      <c r="B418" s="121"/>
      <c r="C418" s="121"/>
      <c r="D418" s="121"/>
      <c r="E418" s="99"/>
      <c r="F418" s="99"/>
      <c r="G418" s="122"/>
      <c r="H418" s="123"/>
    </row>
    <row r="419" ht="15.75" customHeight="1">
      <c r="B419" s="121"/>
      <c r="C419" s="121"/>
      <c r="D419" s="121"/>
      <c r="E419" s="99"/>
      <c r="F419" s="99"/>
      <c r="G419" s="122"/>
      <c r="H419" s="123"/>
    </row>
    <row r="420" ht="15.75" customHeight="1">
      <c r="B420" s="121"/>
      <c r="C420" s="121"/>
      <c r="D420" s="121"/>
      <c r="E420" s="99"/>
      <c r="F420" s="99"/>
      <c r="G420" s="122"/>
      <c r="H420" s="123"/>
    </row>
    <row r="421" ht="15.75" customHeight="1">
      <c r="B421" s="121"/>
      <c r="C421" s="121"/>
      <c r="D421" s="121"/>
      <c r="E421" s="99"/>
      <c r="F421" s="99"/>
      <c r="G421" s="122"/>
      <c r="H421" s="123"/>
    </row>
    <row r="422" ht="15.75" customHeight="1">
      <c r="B422" s="121"/>
      <c r="C422" s="121"/>
      <c r="D422" s="121"/>
      <c r="E422" s="99"/>
      <c r="F422" s="99"/>
      <c r="G422" s="122"/>
      <c r="H422" s="123"/>
    </row>
    <row r="423" ht="15.75" customHeight="1">
      <c r="B423" s="121"/>
      <c r="C423" s="121"/>
      <c r="D423" s="121"/>
      <c r="E423" s="99"/>
      <c r="F423" s="99"/>
      <c r="G423" s="122"/>
      <c r="H423" s="123"/>
    </row>
    <row r="424" ht="15.75" customHeight="1">
      <c r="B424" s="121"/>
      <c r="C424" s="121"/>
      <c r="D424" s="121"/>
      <c r="E424" s="99"/>
      <c r="F424" s="99"/>
      <c r="G424" s="122"/>
      <c r="H424" s="123"/>
    </row>
    <row r="425" ht="15.75" customHeight="1">
      <c r="B425" s="121"/>
      <c r="C425" s="121"/>
      <c r="D425" s="121"/>
      <c r="E425" s="99"/>
      <c r="F425" s="99"/>
      <c r="G425" s="122"/>
      <c r="H425" s="123"/>
    </row>
    <row r="426" ht="15.75" customHeight="1">
      <c r="B426" s="121"/>
      <c r="C426" s="121"/>
      <c r="D426" s="121"/>
      <c r="E426" s="99"/>
      <c r="F426" s="99"/>
      <c r="G426" s="122"/>
      <c r="H426" s="123"/>
    </row>
    <row r="427" ht="15.75" customHeight="1">
      <c r="B427" s="121"/>
      <c r="C427" s="121"/>
      <c r="D427" s="121"/>
      <c r="E427" s="99"/>
      <c r="F427" s="99"/>
      <c r="G427" s="122"/>
      <c r="H427" s="123"/>
    </row>
    <row r="428" ht="15.75" customHeight="1">
      <c r="B428" s="121"/>
      <c r="C428" s="121"/>
      <c r="D428" s="121"/>
      <c r="E428" s="99"/>
      <c r="F428" s="99"/>
      <c r="G428" s="122"/>
      <c r="H428" s="123"/>
    </row>
    <row r="429" ht="15.75" customHeight="1">
      <c r="B429" s="121"/>
      <c r="C429" s="121"/>
      <c r="D429" s="121"/>
      <c r="E429" s="99"/>
      <c r="F429" s="99"/>
      <c r="G429" s="122"/>
      <c r="H429" s="123"/>
    </row>
    <row r="430" ht="15.75" customHeight="1">
      <c r="B430" s="121"/>
      <c r="C430" s="121"/>
      <c r="D430" s="121"/>
      <c r="E430" s="99"/>
      <c r="F430" s="99"/>
      <c r="G430" s="122"/>
      <c r="H430" s="123"/>
    </row>
    <row r="431" ht="15.75" customHeight="1">
      <c r="B431" s="121"/>
      <c r="C431" s="121"/>
      <c r="D431" s="121"/>
      <c r="E431" s="99"/>
      <c r="F431" s="99"/>
      <c r="G431" s="122"/>
      <c r="H431" s="123"/>
    </row>
    <row r="432" ht="15.75" customHeight="1">
      <c r="B432" s="121"/>
      <c r="C432" s="121"/>
      <c r="D432" s="121"/>
      <c r="E432" s="99"/>
      <c r="F432" s="99"/>
      <c r="G432" s="122"/>
      <c r="H432" s="123"/>
    </row>
    <row r="433" ht="15.75" customHeight="1">
      <c r="B433" s="121"/>
      <c r="C433" s="121"/>
      <c r="D433" s="121"/>
      <c r="E433" s="99"/>
      <c r="F433" s="99"/>
      <c r="G433" s="122"/>
      <c r="H433" s="123"/>
    </row>
    <row r="434" ht="15.75" customHeight="1">
      <c r="B434" s="121"/>
      <c r="C434" s="121"/>
      <c r="D434" s="121"/>
      <c r="E434" s="99"/>
      <c r="F434" s="99"/>
      <c r="G434" s="122"/>
      <c r="H434" s="123"/>
    </row>
    <row r="435" ht="15.75" customHeight="1">
      <c r="B435" s="121"/>
      <c r="C435" s="121"/>
      <c r="D435" s="121"/>
      <c r="E435" s="99"/>
      <c r="F435" s="99"/>
      <c r="G435" s="122"/>
      <c r="H435" s="123"/>
    </row>
    <row r="436" ht="15.75" customHeight="1">
      <c r="B436" s="121"/>
      <c r="C436" s="121"/>
      <c r="D436" s="121"/>
      <c r="E436" s="99"/>
      <c r="F436" s="99"/>
      <c r="G436" s="122"/>
      <c r="H436" s="123"/>
    </row>
    <row r="437" ht="15.75" customHeight="1">
      <c r="B437" s="121"/>
      <c r="C437" s="121"/>
      <c r="D437" s="121"/>
      <c r="E437" s="99"/>
      <c r="F437" s="99"/>
      <c r="G437" s="122"/>
      <c r="H437" s="123"/>
    </row>
    <row r="438" ht="15.75" customHeight="1">
      <c r="B438" s="121"/>
      <c r="C438" s="121"/>
      <c r="D438" s="121"/>
      <c r="E438" s="99"/>
      <c r="F438" s="99"/>
      <c r="G438" s="122"/>
      <c r="H438" s="123"/>
    </row>
    <row r="439" ht="15.75" customHeight="1">
      <c r="B439" s="121"/>
      <c r="C439" s="121"/>
      <c r="D439" s="121"/>
      <c r="E439" s="99"/>
      <c r="F439" s="99"/>
      <c r="G439" s="122"/>
      <c r="H439" s="123"/>
    </row>
    <row r="440" ht="15.75" customHeight="1">
      <c r="B440" s="121"/>
      <c r="C440" s="121"/>
      <c r="D440" s="121"/>
      <c r="E440" s="99"/>
      <c r="F440" s="99"/>
      <c r="G440" s="122"/>
      <c r="H440" s="123"/>
    </row>
    <row r="441" ht="15.75" customHeight="1">
      <c r="B441" s="121"/>
      <c r="C441" s="121"/>
      <c r="D441" s="121"/>
      <c r="E441" s="99"/>
      <c r="F441" s="99"/>
      <c r="G441" s="122"/>
      <c r="H441" s="123"/>
    </row>
    <row r="442" ht="15.75" customHeight="1">
      <c r="B442" s="121"/>
      <c r="C442" s="121"/>
      <c r="D442" s="121"/>
      <c r="E442" s="99"/>
      <c r="F442" s="99"/>
      <c r="G442" s="122"/>
      <c r="H442" s="123"/>
    </row>
    <row r="443" ht="15.75" customHeight="1">
      <c r="B443" s="121"/>
      <c r="C443" s="121"/>
      <c r="D443" s="121"/>
      <c r="E443" s="99"/>
      <c r="F443" s="99"/>
      <c r="G443" s="122"/>
      <c r="H443" s="123"/>
    </row>
    <row r="444" ht="15.75" customHeight="1">
      <c r="B444" s="121"/>
      <c r="C444" s="121"/>
      <c r="D444" s="121"/>
      <c r="E444" s="99"/>
      <c r="F444" s="99"/>
      <c r="G444" s="122"/>
      <c r="H444" s="123"/>
    </row>
    <row r="445" ht="15.75" customHeight="1">
      <c r="B445" s="121"/>
      <c r="C445" s="121"/>
      <c r="D445" s="121"/>
      <c r="E445" s="99"/>
      <c r="F445" s="99"/>
      <c r="G445" s="122"/>
      <c r="H445" s="123"/>
    </row>
    <row r="446" ht="15.75" customHeight="1">
      <c r="B446" s="121"/>
      <c r="C446" s="121"/>
      <c r="D446" s="121"/>
      <c r="E446" s="99"/>
      <c r="F446" s="99"/>
      <c r="G446" s="122"/>
      <c r="H446" s="123"/>
    </row>
    <row r="447" ht="15.75" customHeight="1">
      <c r="B447" s="121"/>
      <c r="C447" s="121"/>
      <c r="D447" s="121"/>
      <c r="E447" s="99"/>
      <c r="F447" s="99"/>
      <c r="G447" s="122"/>
      <c r="H447" s="123"/>
    </row>
    <row r="448" ht="15.75" customHeight="1">
      <c r="B448" s="121"/>
      <c r="C448" s="121"/>
      <c r="D448" s="121"/>
      <c r="E448" s="99"/>
      <c r="F448" s="99"/>
      <c r="G448" s="122"/>
      <c r="H448" s="123"/>
    </row>
    <row r="449" ht="15.75" customHeight="1">
      <c r="B449" s="121"/>
      <c r="C449" s="121"/>
      <c r="D449" s="121"/>
      <c r="E449" s="99"/>
      <c r="F449" s="99"/>
      <c r="G449" s="122"/>
      <c r="H449" s="123"/>
    </row>
    <row r="450" ht="15.75" customHeight="1">
      <c r="B450" s="121"/>
      <c r="C450" s="121"/>
      <c r="D450" s="121"/>
      <c r="E450" s="99"/>
      <c r="F450" s="99"/>
      <c r="G450" s="122"/>
      <c r="H450" s="123"/>
    </row>
    <row r="451" ht="15.75" customHeight="1">
      <c r="B451" s="121"/>
      <c r="C451" s="121"/>
      <c r="D451" s="121"/>
      <c r="E451" s="99"/>
      <c r="F451" s="99"/>
      <c r="G451" s="122"/>
      <c r="H451" s="123"/>
    </row>
    <row r="452" ht="15.75" customHeight="1">
      <c r="B452" s="121"/>
      <c r="C452" s="121"/>
      <c r="D452" s="121"/>
      <c r="E452" s="99"/>
      <c r="F452" s="99"/>
      <c r="G452" s="122"/>
      <c r="H452" s="123"/>
    </row>
    <row r="453" ht="15.75" customHeight="1">
      <c r="B453" s="121"/>
      <c r="C453" s="121"/>
      <c r="D453" s="121"/>
      <c r="E453" s="99"/>
      <c r="F453" s="99"/>
      <c r="G453" s="122"/>
      <c r="H453" s="123"/>
    </row>
    <row r="454" ht="15.75" customHeight="1">
      <c r="B454" s="121"/>
      <c r="C454" s="121"/>
      <c r="D454" s="121"/>
      <c r="E454" s="99"/>
      <c r="F454" s="99"/>
      <c r="G454" s="122"/>
      <c r="H454" s="123"/>
    </row>
    <row r="455" ht="15.75" customHeight="1">
      <c r="B455" s="121"/>
      <c r="C455" s="121"/>
      <c r="D455" s="121"/>
      <c r="E455" s="99"/>
      <c r="F455" s="99"/>
      <c r="G455" s="122"/>
      <c r="H455" s="123"/>
    </row>
    <row r="456" ht="15.75" customHeight="1">
      <c r="B456" s="121"/>
      <c r="C456" s="121"/>
      <c r="D456" s="121"/>
      <c r="E456" s="99"/>
      <c r="F456" s="99"/>
      <c r="G456" s="122"/>
      <c r="H456" s="123"/>
    </row>
    <row r="457" ht="15.75" customHeight="1">
      <c r="B457" s="121"/>
      <c r="C457" s="121"/>
      <c r="D457" s="121"/>
      <c r="E457" s="99"/>
      <c r="F457" s="99"/>
      <c r="G457" s="122"/>
      <c r="H457" s="123"/>
    </row>
    <row r="458" ht="15.75" customHeight="1">
      <c r="B458" s="121"/>
      <c r="C458" s="121"/>
      <c r="D458" s="121"/>
      <c r="E458" s="99"/>
      <c r="F458" s="99"/>
      <c r="G458" s="122"/>
      <c r="H458" s="123"/>
    </row>
    <row r="459" ht="15.75" customHeight="1">
      <c r="B459" s="121"/>
      <c r="C459" s="121"/>
      <c r="D459" s="121"/>
      <c r="E459" s="99"/>
      <c r="F459" s="99"/>
      <c r="G459" s="122"/>
      <c r="H459" s="123"/>
    </row>
    <row r="460" ht="15.75" customHeight="1">
      <c r="B460" s="121"/>
      <c r="C460" s="121"/>
      <c r="D460" s="121"/>
      <c r="E460" s="99"/>
      <c r="F460" s="99"/>
      <c r="G460" s="122"/>
      <c r="H460" s="123"/>
    </row>
    <row r="461" ht="15.75" customHeight="1">
      <c r="B461" s="121"/>
      <c r="C461" s="121"/>
      <c r="D461" s="121"/>
      <c r="E461" s="99"/>
      <c r="F461" s="99"/>
      <c r="G461" s="122"/>
      <c r="H461" s="123"/>
    </row>
    <row r="462" ht="15.75" customHeight="1">
      <c r="B462" s="121"/>
      <c r="C462" s="121"/>
      <c r="D462" s="121"/>
      <c r="E462" s="99"/>
      <c r="F462" s="99"/>
      <c r="G462" s="122"/>
      <c r="H462" s="123"/>
    </row>
    <row r="463" ht="15.75" customHeight="1">
      <c r="B463" s="121"/>
      <c r="C463" s="121"/>
      <c r="D463" s="121"/>
      <c r="E463" s="99"/>
      <c r="F463" s="99"/>
      <c r="G463" s="122"/>
      <c r="H463" s="123"/>
    </row>
    <row r="464" ht="15.75" customHeight="1">
      <c r="B464" s="121"/>
      <c r="C464" s="121"/>
      <c r="D464" s="121"/>
      <c r="E464" s="99"/>
      <c r="F464" s="99"/>
      <c r="G464" s="122"/>
      <c r="H464" s="123"/>
    </row>
    <row r="465" ht="15.75" customHeight="1">
      <c r="B465" s="121"/>
      <c r="C465" s="121"/>
      <c r="D465" s="121"/>
      <c r="E465" s="99"/>
      <c r="F465" s="99"/>
      <c r="G465" s="122"/>
      <c r="H465" s="123"/>
    </row>
    <row r="466" ht="15.75" customHeight="1">
      <c r="B466" s="121"/>
      <c r="C466" s="121"/>
      <c r="D466" s="121"/>
      <c r="E466" s="99"/>
      <c r="F466" s="99"/>
      <c r="G466" s="122"/>
      <c r="H466" s="123"/>
    </row>
    <row r="467" ht="15.75" customHeight="1">
      <c r="B467" s="121"/>
      <c r="C467" s="121"/>
      <c r="D467" s="121"/>
      <c r="E467" s="99"/>
      <c r="F467" s="99"/>
      <c r="G467" s="122"/>
      <c r="H467" s="123"/>
    </row>
    <row r="468" ht="15.75" customHeight="1">
      <c r="B468" s="121"/>
      <c r="C468" s="121"/>
      <c r="D468" s="121"/>
      <c r="E468" s="99"/>
      <c r="F468" s="99"/>
      <c r="G468" s="122"/>
      <c r="H468" s="123"/>
    </row>
    <row r="469" ht="15.75" customHeight="1">
      <c r="B469" s="121"/>
      <c r="C469" s="121"/>
      <c r="D469" s="121"/>
      <c r="E469" s="99"/>
      <c r="F469" s="99"/>
      <c r="G469" s="122"/>
      <c r="H469" s="123"/>
    </row>
    <row r="470" ht="15.75" customHeight="1">
      <c r="B470" s="121"/>
      <c r="C470" s="121"/>
      <c r="D470" s="121"/>
      <c r="E470" s="99"/>
      <c r="F470" s="99"/>
      <c r="G470" s="122"/>
      <c r="H470" s="123"/>
    </row>
    <row r="471" ht="15.75" customHeight="1">
      <c r="B471" s="121"/>
      <c r="C471" s="121"/>
      <c r="D471" s="121"/>
      <c r="E471" s="99"/>
      <c r="F471" s="99"/>
      <c r="G471" s="122"/>
      <c r="H471" s="123"/>
    </row>
    <row r="472" ht="15.75" customHeight="1">
      <c r="B472" s="121"/>
      <c r="C472" s="121"/>
      <c r="D472" s="121"/>
      <c r="E472" s="99"/>
      <c r="F472" s="99"/>
      <c r="G472" s="122"/>
      <c r="H472" s="123"/>
    </row>
    <row r="473" ht="15.75" customHeight="1">
      <c r="B473" s="121"/>
      <c r="C473" s="121"/>
      <c r="D473" s="121"/>
      <c r="E473" s="99"/>
      <c r="F473" s="99"/>
      <c r="G473" s="122"/>
      <c r="H473" s="123"/>
    </row>
    <row r="474" ht="15.75" customHeight="1">
      <c r="B474" s="121"/>
      <c r="C474" s="121"/>
      <c r="D474" s="121"/>
      <c r="E474" s="99"/>
      <c r="F474" s="99"/>
      <c r="G474" s="122"/>
      <c r="H474" s="123"/>
    </row>
    <row r="475" ht="15.75" customHeight="1">
      <c r="B475" s="121"/>
      <c r="C475" s="121"/>
      <c r="D475" s="121"/>
      <c r="E475" s="99"/>
      <c r="F475" s="99"/>
      <c r="G475" s="122"/>
      <c r="H475" s="123"/>
    </row>
    <row r="476" ht="15.75" customHeight="1">
      <c r="B476" s="121"/>
      <c r="C476" s="121"/>
      <c r="D476" s="121"/>
      <c r="E476" s="99"/>
      <c r="F476" s="99"/>
      <c r="G476" s="122"/>
      <c r="H476" s="123"/>
    </row>
    <row r="477" ht="15.75" customHeight="1">
      <c r="B477" s="121"/>
      <c r="C477" s="121"/>
      <c r="D477" s="121"/>
      <c r="E477" s="99"/>
      <c r="F477" s="99"/>
      <c r="G477" s="122"/>
      <c r="H477" s="123"/>
    </row>
    <row r="478" ht="15.75" customHeight="1">
      <c r="B478" s="121"/>
      <c r="C478" s="121"/>
      <c r="D478" s="121"/>
      <c r="E478" s="99"/>
      <c r="F478" s="99"/>
      <c r="G478" s="122"/>
      <c r="H478" s="123"/>
    </row>
    <row r="479" ht="15.75" customHeight="1">
      <c r="B479" s="121"/>
      <c r="C479" s="121"/>
      <c r="D479" s="121"/>
      <c r="E479" s="99"/>
      <c r="F479" s="99"/>
      <c r="G479" s="122"/>
      <c r="H479" s="123"/>
    </row>
    <row r="480" ht="15.75" customHeight="1">
      <c r="B480" s="121"/>
      <c r="C480" s="121"/>
      <c r="D480" s="121"/>
      <c r="E480" s="99"/>
      <c r="F480" s="99"/>
      <c r="G480" s="122"/>
      <c r="H480" s="123"/>
    </row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A1:N1"/>
    <mergeCell ref="A2:N2"/>
    <mergeCell ref="A20:N20"/>
    <mergeCell ref="A21:N21"/>
    <mergeCell ref="A41:N41"/>
    <mergeCell ref="A42:N42"/>
    <mergeCell ref="G58:H58"/>
    <mergeCell ref="A60:N60"/>
    <mergeCell ref="A61:N61"/>
    <mergeCell ref="A79:N79"/>
    <mergeCell ref="A80:N80"/>
    <mergeCell ref="A97:N97"/>
    <mergeCell ref="A98:N98"/>
    <mergeCell ref="A118:N118"/>
    <mergeCell ref="A119:N119"/>
    <mergeCell ref="A139:N139"/>
    <mergeCell ref="A140:N140"/>
    <mergeCell ref="G156:H156"/>
    <mergeCell ref="A158:N158"/>
    <mergeCell ref="A159:N159"/>
    <mergeCell ref="A177:N177"/>
    <mergeCell ref="A247:N247"/>
    <mergeCell ref="A266:N266"/>
    <mergeCell ref="A267:N267"/>
    <mergeCell ref="A178:N178"/>
    <mergeCell ref="A208:N208"/>
    <mergeCell ref="A209:N209"/>
    <mergeCell ref="A227:N227"/>
    <mergeCell ref="A228:N228"/>
    <mergeCell ref="G244:H244"/>
    <mergeCell ref="A246:N246"/>
  </mergeCells>
  <dataValidations>
    <dataValidation type="list" allowBlank="1" showErrorMessage="1" sqref="I100:I111 I121:I132 I142:I153 I161:I172 I180:I191 I211:I222 I230:I241 I249:I260 I263 I269:I280">
      <formula1>"Não atendido,Atendido,Cancelado,Vagas livres"</formula1>
    </dataValidation>
  </dataValidations>
  <printOptions gridLines="1" horizontalCentered="1"/>
  <pageMargins bottom="0.75" footer="0.0" header="0.0" left="0.7" right="0.7" top="0.75"/>
  <pageSetup paperSize="8" cellComments="atEnd" orientation="landscape" pageOrder="overThenDown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12.63"/>
    <col customWidth="1" min="3" max="3" width="8.5"/>
    <col customWidth="1" min="4" max="4" width="24.5"/>
    <col customWidth="1" min="5" max="5" width="24.88"/>
    <col customWidth="1" min="6" max="6" width="12.63"/>
    <col customWidth="1" min="7" max="7" width="18.63"/>
    <col customWidth="1" min="8" max="8" width="35.88"/>
    <col customWidth="1" min="10" max="10" width="24.63"/>
    <col customWidth="1" min="12" max="12" width="15.25"/>
    <col customWidth="1" min="15" max="15" width="65.25"/>
    <col customWidth="1" min="17" max="17" width="16.63"/>
  </cols>
  <sheetData>
    <row r="1" ht="36.0" customHeight="1">
      <c r="A1" s="1" t="s">
        <v>346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31.5" customHeight="1">
      <c r="A2" s="32" t="s">
        <v>347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10" t="s">
        <v>1</v>
      </c>
      <c r="L3" s="10" t="s">
        <v>20</v>
      </c>
      <c r="M3" s="8" t="s">
        <v>25</v>
      </c>
      <c r="N3" s="8" t="s">
        <v>26</v>
      </c>
      <c r="O3" s="6" t="s">
        <v>27</v>
      </c>
      <c r="P3" s="9" t="s">
        <v>28</v>
      </c>
      <c r="Q3" s="6" t="s">
        <v>29</v>
      </c>
      <c r="R3" s="9" t="s">
        <v>30</v>
      </c>
    </row>
    <row r="4" ht="15.75" customHeight="1">
      <c r="A4" s="11" t="s">
        <v>10</v>
      </c>
      <c r="B4" s="12">
        <v>45917.0</v>
      </c>
      <c r="C4" s="13" t="s">
        <v>348</v>
      </c>
      <c r="D4" s="33" t="s">
        <v>109</v>
      </c>
      <c r="E4" s="13" t="s">
        <v>349</v>
      </c>
      <c r="F4" s="14">
        <v>0.3333333333333333</v>
      </c>
      <c r="G4" s="16">
        <v>8.01440484279683E14</v>
      </c>
      <c r="H4" s="16" t="s">
        <v>350</v>
      </c>
      <c r="I4" s="223">
        <v>15745.0</v>
      </c>
      <c r="J4" s="16" t="s">
        <v>351</v>
      </c>
      <c r="K4" s="224">
        <v>45917.0</v>
      </c>
      <c r="L4" s="225" t="s">
        <v>41</v>
      </c>
      <c r="M4" s="179" t="s">
        <v>352</v>
      </c>
      <c r="N4" s="38"/>
      <c r="O4" s="41"/>
      <c r="P4" s="40"/>
      <c r="Q4" s="41"/>
      <c r="R4" s="42"/>
    </row>
    <row r="5" ht="15.75" customHeight="1">
      <c r="A5" s="11" t="s">
        <v>11</v>
      </c>
      <c r="B5" s="12">
        <v>45917.0</v>
      </c>
      <c r="C5" s="13" t="s">
        <v>348</v>
      </c>
      <c r="D5" s="33" t="s">
        <v>109</v>
      </c>
      <c r="E5" s="13" t="s">
        <v>349</v>
      </c>
      <c r="F5" s="14">
        <v>0.3541666666666667</v>
      </c>
      <c r="G5" s="226">
        <v>8.98001468690134E14</v>
      </c>
      <c r="H5" s="16" t="s">
        <v>353</v>
      </c>
      <c r="I5" s="227">
        <v>15685.0</v>
      </c>
      <c r="J5" s="16" t="s">
        <v>351</v>
      </c>
      <c r="K5" s="224">
        <v>45917.0</v>
      </c>
      <c r="L5" s="225" t="s">
        <v>41</v>
      </c>
      <c r="M5" s="179" t="s">
        <v>352</v>
      </c>
      <c r="N5" s="45"/>
      <c r="O5" s="46"/>
      <c r="P5" s="47"/>
      <c r="Q5" s="46"/>
      <c r="R5" s="48"/>
    </row>
    <row r="6" ht="15.75" customHeight="1">
      <c r="A6" s="11" t="s">
        <v>12</v>
      </c>
      <c r="B6" s="12">
        <v>45917.0</v>
      </c>
      <c r="C6" s="13" t="s">
        <v>348</v>
      </c>
      <c r="D6" s="33" t="s">
        <v>109</v>
      </c>
      <c r="E6" s="13" t="s">
        <v>349</v>
      </c>
      <c r="F6" s="14">
        <v>0.375</v>
      </c>
      <c r="G6" s="228">
        <v>7.06807749109028E14</v>
      </c>
      <c r="H6" s="228" t="s">
        <v>354</v>
      </c>
      <c r="I6" s="227">
        <v>27739.0</v>
      </c>
      <c r="J6" s="16" t="s">
        <v>355</v>
      </c>
      <c r="K6" s="224">
        <v>45917.0</v>
      </c>
      <c r="L6" s="225" t="s">
        <v>41</v>
      </c>
      <c r="M6" s="179" t="s">
        <v>356</v>
      </c>
      <c r="N6" s="49"/>
      <c r="O6" s="50"/>
      <c r="P6" s="51"/>
      <c r="Q6" s="50"/>
      <c r="R6" s="52"/>
    </row>
    <row r="7" ht="15.75" customHeight="1">
      <c r="A7" s="11" t="s">
        <v>13</v>
      </c>
      <c r="B7" s="12">
        <v>45917.0</v>
      </c>
      <c r="C7" s="13" t="s">
        <v>348</v>
      </c>
      <c r="D7" s="33" t="s">
        <v>109</v>
      </c>
      <c r="E7" s="13" t="s">
        <v>349</v>
      </c>
      <c r="F7" s="14">
        <v>0.3958333333333333</v>
      </c>
      <c r="G7" s="228">
        <v>2.04296386090008E14</v>
      </c>
      <c r="H7" s="228" t="s">
        <v>357</v>
      </c>
      <c r="I7" s="227">
        <v>23292.0</v>
      </c>
      <c r="J7" s="16" t="s">
        <v>358</v>
      </c>
      <c r="K7" s="224">
        <v>45917.0</v>
      </c>
      <c r="L7" s="225" t="s">
        <v>41</v>
      </c>
      <c r="M7" s="179" t="s">
        <v>359</v>
      </c>
      <c r="N7" s="45"/>
      <c r="O7" s="56"/>
      <c r="P7" s="57"/>
      <c r="Q7" s="56"/>
      <c r="R7" s="48"/>
    </row>
    <row r="8" ht="15.75" customHeight="1">
      <c r="A8" s="11" t="s">
        <v>14</v>
      </c>
      <c r="B8" s="12">
        <v>45917.0</v>
      </c>
      <c r="C8" s="13" t="s">
        <v>348</v>
      </c>
      <c r="D8" s="33" t="s">
        <v>109</v>
      </c>
      <c r="E8" s="13" t="s">
        <v>349</v>
      </c>
      <c r="F8" s="14">
        <v>0.4166666666666667</v>
      </c>
      <c r="G8" s="35">
        <v>7.0600931546554E14</v>
      </c>
      <c r="H8" s="35" t="s">
        <v>360</v>
      </c>
      <c r="I8" s="227">
        <v>17431.0</v>
      </c>
      <c r="J8" s="16" t="s">
        <v>361</v>
      </c>
      <c r="K8" s="224">
        <v>45917.0</v>
      </c>
      <c r="L8" s="225" t="s">
        <v>41</v>
      </c>
      <c r="M8" s="179" t="s">
        <v>362</v>
      </c>
      <c r="N8" s="58"/>
      <c r="O8" s="59"/>
      <c r="P8" s="51"/>
      <c r="Q8" s="59"/>
      <c r="R8" s="60"/>
    </row>
    <row r="9" ht="15.75" customHeight="1">
      <c r="A9" s="11" t="s">
        <v>15</v>
      </c>
      <c r="B9" s="12">
        <v>45917.0</v>
      </c>
      <c r="C9" s="13" t="s">
        <v>348</v>
      </c>
      <c r="D9" s="33" t="s">
        <v>109</v>
      </c>
      <c r="E9" s="13" t="s">
        <v>349</v>
      </c>
      <c r="F9" s="14">
        <v>0.4375</v>
      </c>
      <c r="G9" s="35">
        <v>2.1014056685E14</v>
      </c>
      <c r="H9" s="35" t="s">
        <v>363</v>
      </c>
      <c r="I9" s="227">
        <v>15184.0</v>
      </c>
      <c r="J9" s="16" t="s">
        <v>364</v>
      </c>
      <c r="K9" s="224">
        <v>45917.0</v>
      </c>
      <c r="L9" s="225" t="s">
        <v>36</v>
      </c>
      <c r="M9" s="179" t="s">
        <v>365</v>
      </c>
      <c r="N9" s="45"/>
      <c r="O9" s="229" t="s">
        <v>366</v>
      </c>
      <c r="P9" s="57"/>
      <c r="Q9" s="56"/>
      <c r="R9" s="48"/>
    </row>
    <row r="10" ht="15.75" customHeight="1">
      <c r="A10" s="11" t="s">
        <v>16</v>
      </c>
      <c r="B10" s="12">
        <v>45917.0</v>
      </c>
      <c r="C10" s="13" t="s">
        <v>348</v>
      </c>
      <c r="D10" s="33" t="s">
        <v>109</v>
      </c>
      <c r="E10" s="13" t="s">
        <v>349</v>
      </c>
      <c r="F10" s="14">
        <v>0.4583333333333333</v>
      </c>
      <c r="G10" s="35">
        <v>8.01440497037268E14</v>
      </c>
      <c r="H10" s="35" t="s">
        <v>118</v>
      </c>
      <c r="I10" s="227">
        <v>22715.0</v>
      </c>
      <c r="J10" s="16" t="s">
        <v>367</v>
      </c>
      <c r="K10" s="224">
        <v>45917.0</v>
      </c>
      <c r="L10" s="225" t="s">
        <v>36</v>
      </c>
      <c r="M10" s="179" t="s">
        <v>119</v>
      </c>
      <c r="N10" s="58"/>
      <c r="O10" s="229" t="s">
        <v>368</v>
      </c>
      <c r="P10" s="51"/>
      <c r="Q10" s="59"/>
      <c r="R10" s="60"/>
    </row>
    <row r="11" ht="15.75" customHeight="1">
      <c r="A11" s="11" t="s">
        <v>17</v>
      </c>
      <c r="B11" s="12">
        <v>45917.0</v>
      </c>
      <c r="C11" s="13" t="s">
        <v>348</v>
      </c>
      <c r="D11" s="33" t="s">
        <v>109</v>
      </c>
      <c r="E11" s="13" t="s">
        <v>349</v>
      </c>
      <c r="F11" s="14">
        <v>0.4791666666666667</v>
      </c>
      <c r="G11" s="35">
        <v>8.98001437786032E14</v>
      </c>
      <c r="H11" s="35" t="s">
        <v>116</v>
      </c>
      <c r="I11" s="227">
        <v>33751.0</v>
      </c>
      <c r="J11" s="16" t="s">
        <v>369</v>
      </c>
      <c r="K11" s="224">
        <v>45917.0</v>
      </c>
      <c r="L11" s="225" t="s">
        <v>36</v>
      </c>
      <c r="M11" s="179" t="s">
        <v>370</v>
      </c>
      <c r="N11" s="45"/>
      <c r="O11" s="229" t="s">
        <v>368</v>
      </c>
      <c r="P11" s="57"/>
      <c r="Q11" s="56"/>
      <c r="R11" s="48"/>
    </row>
    <row r="12" ht="15.75" customHeight="1">
      <c r="D12" s="62"/>
    </row>
    <row r="13" ht="15.75" customHeight="1">
      <c r="D13" s="62"/>
    </row>
    <row r="14" ht="15.75" customHeight="1">
      <c r="D14" s="62"/>
    </row>
    <row r="15" ht="15.75" customHeight="1">
      <c r="D15" s="62"/>
    </row>
    <row r="16" ht="15.75" customHeight="1">
      <c r="D16" s="62"/>
    </row>
    <row r="17" ht="15.75" customHeight="1">
      <c r="D17" s="62"/>
    </row>
    <row r="18" ht="15.75" customHeight="1">
      <c r="D18" s="62"/>
    </row>
    <row r="19" ht="15.75" customHeight="1">
      <c r="D19" s="62"/>
    </row>
    <row r="20" ht="15.75" customHeight="1">
      <c r="D20" s="62"/>
    </row>
    <row r="21" ht="15.75" customHeight="1">
      <c r="D21" s="62"/>
    </row>
    <row r="22" ht="15.75" customHeight="1">
      <c r="D22" s="62"/>
    </row>
    <row r="23" ht="15.75" customHeight="1">
      <c r="D23" s="62"/>
    </row>
    <row r="24" ht="15.75" customHeight="1">
      <c r="D24" s="62"/>
    </row>
    <row r="25" ht="15.75" customHeight="1">
      <c r="D25" s="62"/>
    </row>
    <row r="26" ht="15.75" customHeight="1">
      <c r="D26" s="62"/>
    </row>
    <row r="27" ht="15.75" customHeight="1">
      <c r="D27" s="62"/>
    </row>
    <row r="28" ht="15.75" customHeight="1">
      <c r="D28" s="62"/>
    </row>
    <row r="29" ht="15.75" customHeight="1">
      <c r="D29" s="62"/>
    </row>
    <row r="30" ht="15.75" customHeight="1">
      <c r="D30" s="62"/>
    </row>
    <row r="31" ht="15.75" customHeight="1">
      <c r="D31" s="62"/>
    </row>
    <row r="32" ht="15.75" customHeight="1">
      <c r="D32" s="62"/>
    </row>
    <row r="33" ht="15.75" customHeight="1">
      <c r="D33" s="62"/>
    </row>
    <row r="34" ht="15.75" customHeight="1">
      <c r="D34" s="62"/>
    </row>
    <row r="35" ht="15.75" customHeight="1">
      <c r="D35" s="62"/>
    </row>
    <row r="36" ht="15.75" customHeight="1">
      <c r="D36" s="62"/>
    </row>
    <row r="37" ht="15.75" customHeight="1">
      <c r="D37" s="62"/>
    </row>
    <row r="38" ht="15.75" customHeight="1">
      <c r="D38" s="62"/>
    </row>
    <row r="39" ht="15.75" customHeight="1">
      <c r="D39" s="62"/>
    </row>
    <row r="40" ht="15.75" customHeight="1">
      <c r="D40" s="62"/>
    </row>
    <row r="41" ht="15.75" customHeight="1">
      <c r="D41" s="62"/>
    </row>
    <row r="42" ht="15.75" customHeight="1">
      <c r="D42" s="62"/>
    </row>
    <row r="43" ht="15.75" customHeight="1">
      <c r="D43" s="62"/>
    </row>
    <row r="44" ht="15.75" customHeight="1">
      <c r="D44" s="62"/>
    </row>
    <row r="45" ht="15.75" customHeight="1">
      <c r="D45" s="62"/>
    </row>
    <row r="46" ht="15.75" customHeight="1">
      <c r="D46" s="62"/>
    </row>
    <row r="47" ht="15.75" customHeight="1">
      <c r="D47" s="62"/>
    </row>
    <row r="48" ht="15.75" customHeight="1">
      <c r="D48" s="62"/>
    </row>
    <row r="49" ht="15.75" customHeight="1">
      <c r="D49" s="62"/>
    </row>
    <row r="50" ht="15.75" customHeight="1">
      <c r="D50" s="62"/>
    </row>
    <row r="51" ht="15.75" customHeight="1">
      <c r="D51" s="62"/>
    </row>
    <row r="52" ht="15.75" customHeight="1">
      <c r="D52" s="62"/>
    </row>
    <row r="53" ht="15.75" customHeight="1">
      <c r="D53" s="62"/>
    </row>
    <row r="54" ht="15.75" customHeight="1">
      <c r="D54" s="62"/>
    </row>
    <row r="55" ht="15.75" customHeight="1">
      <c r="D55" s="62"/>
    </row>
    <row r="56" ht="15.75" customHeight="1">
      <c r="D56" s="62"/>
    </row>
    <row r="57" ht="15.75" customHeight="1">
      <c r="D57" s="62"/>
    </row>
    <row r="58" ht="15.75" customHeight="1">
      <c r="D58" s="62"/>
    </row>
    <row r="59" ht="15.75" customHeight="1">
      <c r="D59" s="62"/>
    </row>
    <row r="60" ht="15.75" customHeight="1">
      <c r="D60" s="62"/>
    </row>
    <row r="61" ht="15.75" customHeight="1">
      <c r="D61" s="62"/>
    </row>
    <row r="62" ht="15.75" customHeight="1">
      <c r="D62" s="62"/>
    </row>
    <row r="63" ht="15.75" customHeight="1">
      <c r="D63" s="62"/>
    </row>
    <row r="64" ht="15.75" customHeight="1">
      <c r="D64" s="62"/>
    </row>
    <row r="65" ht="15.75" customHeight="1">
      <c r="D65" s="62"/>
    </row>
    <row r="66" ht="15.75" customHeight="1">
      <c r="D66" s="62"/>
    </row>
    <row r="67" ht="15.75" customHeight="1">
      <c r="D67" s="62"/>
    </row>
    <row r="68" ht="15.75" customHeight="1">
      <c r="D68" s="62"/>
    </row>
    <row r="69" ht="15.75" customHeight="1">
      <c r="D69" s="62"/>
    </row>
    <row r="70" ht="15.75" customHeight="1">
      <c r="D70" s="62"/>
    </row>
    <row r="71" ht="15.75" customHeight="1">
      <c r="D71" s="62"/>
    </row>
    <row r="72" ht="15.75" customHeight="1">
      <c r="D72" s="62"/>
    </row>
    <row r="73" ht="15.75" customHeight="1">
      <c r="D73" s="62"/>
    </row>
    <row r="74" ht="15.75" customHeight="1">
      <c r="D74" s="62"/>
    </row>
    <row r="75" ht="15.75" customHeight="1">
      <c r="D75" s="62"/>
    </row>
    <row r="76" ht="15.75" customHeight="1">
      <c r="D76" s="62"/>
    </row>
    <row r="77" ht="15.75" customHeight="1">
      <c r="D77" s="62"/>
    </row>
    <row r="78" ht="15.75" customHeight="1">
      <c r="D78" s="62"/>
    </row>
    <row r="79" ht="15.75" customHeight="1">
      <c r="D79" s="62"/>
    </row>
    <row r="80" ht="15.75" customHeight="1">
      <c r="D80" s="62"/>
    </row>
    <row r="81" ht="15.75" customHeight="1">
      <c r="D81" s="62"/>
    </row>
    <row r="82" ht="15.75" customHeight="1">
      <c r="D82" s="62"/>
    </row>
    <row r="83" ht="15.75" customHeight="1">
      <c r="D83" s="62"/>
    </row>
    <row r="84" ht="15.75" customHeight="1">
      <c r="D84" s="62"/>
    </row>
    <row r="85" ht="15.75" customHeight="1">
      <c r="D85" s="62"/>
    </row>
    <row r="86" ht="15.75" customHeight="1">
      <c r="D86" s="62"/>
    </row>
    <row r="87" ht="15.75" customHeight="1">
      <c r="D87" s="62"/>
    </row>
    <row r="88" ht="15.75" customHeight="1">
      <c r="D88" s="62"/>
    </row>
    <row r="89" ht="15.75" customHeight="1">
      <c r="D89" s="62"/>
    </row>
    <row r="90" ht="15.75" customHeight="1">
      <c r="D90" s="62"/>
    </row>
    <row r="91" ht="15.75" customHeight="1">
      <c r="D91" s="62"/>
    </row>
    <row r="92" ht="15.75" customHeight="1">
      <c r="D92" s="62"/>
    </row>
    <row r="93" ht="15.75" customHeight="1">
      <c r="D93" s="62"/>
    </row>
    <row r="94" ht="15.75" customHeight="1">
      <c r="D94" s="62"/>
    </row>
    <row r="95" ht="15.75" customHeight="1">
      <c r="D95" s="62"/>
    </row>
    <row r="96" ht="15.75" customHeight="1">
      <c r="D96" s="62"/>
    </row>
    <row r="97" ht="15.75" customHeight="1">
      <c r="D97" s="62"/>
    </row>
    <row r="98" ht="15.75" customHeight="1">
      <c r="D98" s="62"/>
    </row>
    <row r="99" ht="15.75" customHeight="1">
      <c r="D99" s="62"/>
    </row>
    <row r="100" ht="15.75" customHeight="1">
      <c r="D100" s="62"/>
    </row>
    <row r="101" ht="15.75" customHeight="1">
      <c r="D101" s="62"/>
    </row>
    <row r="102" ht="15.75" customHeight="1">
      <c r="D102" s="62"/>
    </row>
    <row r="103" ht="15.75" customHeight="1">
      <c r="D103" s="62"/>
    </row>
    <row r="104" ht="15.75" customHeight="1">
      <c r="D104" s="62"/>
    </row>
    <row r="105" ht="15.75" customHeight="1">
      <c r="D105" s="62"/>
    </row>
    <row r="106" ht="15.75" customHeight="1">
      <c r="D106" s="62"/>
    </row>
    <row r="107" ht="15.75" customHeight="1">
      <c r="D107" s="62"/>
    </row>
    <row r="108" ht="15.75" customHeight="1">
      <c r="D108" s="62"/>
    </row>
    <row r="109" ht="15.75" customHeight="1">
      <c r="D109" s="62"/>
    </row>
    <row r="110" ht="15.75" customHeight="1">
      <c r="D110" s="62"/>
    </row>
    <row r="111" ht="15.75" customHeight="1">
      <c r="D111" s="62"/>
    </row>
    <row r="112" ht="15.75" customHeight="1">
      <c r="D112" s="62"/>
    </row>
    <row r="113" ht="15.75" customHeight="1">
      <c r="D113" s="62"/>
    </row>
    <row r="114" ht="15.75" customHeight="1">
      <c r="D114" s="62"/>
    </row>
    <row r="115" ht="15.75" customHeight="1">
      <c r="D115" s="62"/>
    </row>
    <row r="116" ht="15.75" customHeight="1">
      <c r="D116" s="62"/>
    </row>
    <row r="117" ht="15.75" customHeight="1">
      <c r="D117" s="62"/>
    </row>
    <row r="118" ht="15.75" customHeight="1">
      <c r="D118" s="62"/>
    </row>
    <row r="119" ht="15.75" customHeight="1">
      <c r="D119" s="62"/>
    </row>
    <row r="120" ht="15.75" customHeight="1">
      <c r="D120" s="62"/>
    </row>
    <row r="121" ht="15.75" customHeight="1">
      <c r="D121" s="62"/>
    </row>
    <row r="122" ht="15.75" customHeight="1">
      <c r="D122" s="62"/>
    </row>
    <row r="123" ht="15.75" customHeight="1">
      <c r="D123" s="62"/>
    </row>
    <row r="124" ht="15.75" customHeight="1">
      <c r="D124" s="62"/>
    </row>
    <row r="125" ht="15.75" customHeight="1">
      <c r="D125" s="62"/>
    </row>
    <row r="126" ht="15.75" customHeight="1">
      <c r="D126" s="62"/>
    </row>
    <row r="127" ht="15.75" customHeight="1">
      <c r="D127" s="62"/>
    </row>
    <row r="128" ht="15.75" customHeight="1">
      <c r="D128" s="62"/>
    </row>
    <row r="129" ht="15.75" customHeight="1">
      <c r="D129" s="62"/>
    </row>
    <row r="130" ht="15.75" customHeight="1">
      <c r="D130" s="62"/>
    </row>
    <row r="131" ht="15.75" customHeight="1">
      <c r="D131" s="62"/>
    </row>
    <row r="132" ht="15.75" customHeight="1">
      <c r="D132" s="62"/>
    </row>
    <row r="133" ht="15.75" customHeight="1">
      <c r="D133" s="62"/>
    </row>
    <row r="134" ht="15.75" customHeight="1">
      <c r="D134" s="62"/>
    </row>
    <row r="135" ht="15.75" customHeight="1">
      <c r="D135" s="62"/>
    </row>
    <row r="136" ht="15.75" customHeight="1">
      <c r="D136" s="62"/>
    </row>
    <row r="137" ht="15.75" customHeight="1">
      <c r="D137" s="62"/>
    </row>
    <row r="138" ht="15.75" customHeight="1">
      <c r="D138" s="62"/>
    </row>
    <row r="139" ht="15.75" customHeight="1">
      <c r="D139" s="62"/>
    </row>
    <row r="140" ht="15.75" customHeight="1">
      <c r="D140" s="62"/>
    </row>
    <row r="141" ht="15.75" customHeight="1">
      <c r="D141" s="62"/>
    </row>
    <row r="142" ht="15.75" customHeight="1">
      <c r="D142" s="62"/>
    </row>
    <row r="143" ht="15.75" customHeight="1">
      <c r="D143" s="62"/>
    </row>
    <row r="144" ht="15.75" customHeight="1">
      <c r="D144" s="62"/>
    </row>
    <row r="145" ht="15.75" customHeight="1">
      <c r="D145" s="62"/>
    </row>
    <row r="146" ht="15.75" customHeight="1">
      <c r="D146" s="62"/>
    </row>
    <row r="147" ht="15.75" customHeight="1">
      <c r="D147" s="62"/>
    </row>
    <row r="148" ht="15.75" customHeight="1">
      <c r="D148" s="62"/>
    </row>
    <row r="149" ht="15.75" customHeight="1">
      <c r="D149" s="62"/>
    </row>
    <row r="150" ht="15.75" customHeight="1">
      <c r="D150" s="62"/>
    </row>
    <row r="151" ht="15.75" customHeight="1">
      <c r="D151" s="62"/>
    </row>
    <row r="152" ht="15.75" customHeight="1">
      <c r="D152" s="62"/>
    </row>
    <row r="153" ht="15.75" customHeight="1">
      <c r="D153" s="62"/>
    </row>
    <row r="154" ht="15.75" customHeight="1">
      <c r="D154" s="62"/>
    </row>
    <row r="155" ht="15.75" customHeight="1">
      <c r="D155" s="62"/>
    </row>
    <row r="156" ht="15.75" customHeight="1">
      <c r="D156" s="62"/>
    </row>
    <row r="157" ht="15.75" customHeight="1">
      <c r="D157" s="62"/>
    </row>
    <row r="158" ht="15.75" customHeight="1">
      <c r="D158" s="62"/>
    </row>
    <row r="159" ht="15.75" customHeight="1">
      <c r="D159" s="62"/>
    </row>
    <row r="160" ht="15.75" customHeight="1">
      <c r="D160" s="62"/>
    </row>
    <row r="161" ht="15.75" customHeight="1">
      <c r="D161" s="62"/>
    </row>
    <row r="162" ht="15.75" customHeight="1">
      <c r="D162" s="62"/>
    </row>
    <row r="163" ht="15.75" customHeight="1">
      <c r="D163" s="62"/>
    </row>
    <row r="164" ht="15.75" customHeight="1">
      <c r="D164" s="62"/>
    </row>
    <row r="165" ht="15.75" customHeight="1">
      <c r="D165" s="62"/>
    </row>
    <row r="166" ht="15.75" customHeight="1">
      <c r="D166" s="62"/>
    </row>
    <row r="167" ht="15.75" customHeight="1">
      <c r="D167" s="62"/>
    </row>
    <row r="168" ht="15.75" customHeight="1">
      <c r="D168" s="62"/>
    </row>
    <row r="169" ht="15.75" customHeight="1">
      <c r="D169" s="62"/>
    </row>
    <row r="170" ht="15.75" customHeight="1">
      <c r="D170" s="62"/>
    </row>
    <row r="171" ht="15.75" customHeight="1">
      <c r="D171" s="62"/>
    </row>
    <row r="172" ht="15.75" customHeight="1">
      <c r="D172" s="62"/>
    </row>
    <row r="173" ht="15.75" customHeight="1">
      <c r="D173" s="62"/>
    </row>
    <row r="174" ht="15.75" customHeight="1">
      <c r="D174" s="62"/>
    </row>
    <row r="175" ht="15.75" customHeight="1">
      <c r="D175" s="62"/>
    </row>
    <row r="176" ht="15.75" customHeight="1">
      <c r="D176" s="62"/>
    </row>
    <row r="177" ht="15.75" customHeight="1">
      <c r="D177" s="62"/>
    </row>
    <row r="178" ht="15.75" customHeight="1">
      <c r="D178" s="62"/>
    </row>
    <row r="179" ht="15.75" customHeight="1">
      <c r="D179" s="62"/>
    </row>
    <row r="180" ht="15.75" customHeight="1">
      <c r="D180" s="62"/>
    </row>
    <row r="181" ht="15.75" customHeight="1">
      <c r="D181" s="62"/>
    </row>
    <row r="182" ht="15.75" customHeight="1">
      <c r="D182" s="62"/>
    </row>
    <row r="183" ht="15.75" customHeight="1">
      <c r="D183" s="62"/>
    </row>
    <row r="184" ht="15.75" customHeight="1">
      <c r="D184" s="62"/>
    </row>
    <row r="185" ht="15.75" customHeight="1">
      <c r="D185" s="62"/>
    </row>
    <row r="186" ht="15.75" customHeight="1">
      <c r="D186" s="62"/>
    </row>
    <row r="187" ht="15.75" customHeight="1">
      <c r="D187" s="62"/>
    </row>
    <row r="188" ht="15.75" customHeight="1">
      <c r="D188" s="62"/>
    </row>
    <row r="189" ht="15.75" customHeight="1">
      <c r="D189" s="62"/>
    </row>
    <row r="190" ht="15.75" customHeight="1">
      <c r="D190" s="62"/>
    </row>
    <row r="191" ht="15.75" customHeight="1">
      <c r="D191" s="62"/>
    </row>
    <row r="192" ht="15.75" customHeight="1">
      <c r="D192" s="62"/>
    </row>
    <row r="193" ht="15.75" customHeight="1">
      <c r="D193" s="62"/>
    </row>
    <row r="194" ht="15.75" customHeight="1">
      <c r="D194" s="62"/>
    </row>
    <row r="195" ht="15.75" customHeight="1">
      <c r="D195" s="62"/>
    </row>
    <row r="196" ht="15.75" customHeight="1">
      <c r="D196" s="62"/>
    </row>
    <row r="197" ht="15.75" customHeight="1">
      <c r="D197" s="62"/>
    </row>
    <row r="198" ht="15.75" customHeight="1">
      <c r="D198" s="62"/>
    </row>
    <row r="199" ht="15.75" customHeight="1">
      <c r="D199" s="62"/>
    </row>
    <row r="200" ht="15.75" customHeight="1">
      <c r="D200" s="62"/>
    </row>
    <row r="201" ht="15.75" customHeight="1">
      <c r="D201" s="62"/>
    </row>
    <row r="202" ht="15.75" customHeight="1">
      <c r="D202" s="62"/>
    </row>
    <row r="203" ht="15.75" customHeight="1">
      <c r="D203" s="62"/>
    </row>
    <row r="204" ht="15.75" customHeight="1">
      <c r="D204" s="62"/>
    </row>
    <row r="205" ht="15.75" customHeight="1">
      <c r="D205" s="62"/>
    </row>
    <row r="206" ht="15.75" customHeight="1">
      <c r="D206" s="62"/>
    </row>
    <row r="207" ht="15.75" customHeight="1">
      <c r="D207" s="62"/>
    </row>
    <row r="208" ht="15.75" customHeight="1">
      <c r="D208" s="62"/>
    </row>
    <row r="209" ht="15.75" customHeight="1">
      <c r="D209" s="62"/>
    </row>
    <row r="210" ht="15.75" customHeight="1">
      <c r="D210" s="62"/>
    </row>
    <row r="211" ht="15.75" customHeight="1">
      <c r="D211" s="62"/>
    </row>
    <row r="212" ht="15.75" customHeight="1">
      <c r="D212" s="62"/>
    </row>
    <row r="213" ht="15.75" customHeight="1">
      <c r="D213" s="62"/>
    </row>
    <row r="214" ht="15.75" customHeight="1">
      <c r="D214" s="62"/>
    </row>
    <row r="215" ht="15.75" customHeight="1">
      <c r="D215" s="62"/>
    </row>
    <row r="216" ht="15.75" customHeight="1">
      <c r="D216" s="62"/>
    </row>
    <row r="217" ht="15.75" customHeight="1">
      <c r="D217" s="62"/>
    </row>
    <row r="218" ht="15.75" customHeight="1">
      <c r="D218" s="62"/>
    </row>
    <row r="219" ht="15.75" customHeight="1">
      <c r="D219" s="62"/>
    </row>
    <row r="220" ht="15.75" customHeight="1">
      <c r="D220" s="6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R1"/>
    <mergeCell ref="A2:R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Marin,Alice Peixoto da Silva Lobo,Bar"&amp;"bara Cavalheiro Locks"</formula1>
    </dataValidation>
    <dataValidation type="list" allowBlank="1" showErrorMessage="1" sqref="L4:L11">
      <formula1>"Atendido,Não atendindo"</formula1>
    </dataValidation>
    <dataValidation type="list" allowBlank="1" showErrorMessage="1" sqref="C4:C11">
      <formula1>"Segunda,Terça,Quarta,Quinta,Sexta,Sábado"</formula1>
    </dataValidation>
  </dataValidation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.75"/>
    <col customWidth="1" min="2" max="2" width="12.63"/>
    <col customWidth="1" min="3" max="3" width="20.38"/>
    <col customWidth="1" min="4" max="4" width="14.88"/>
    <col customWidth="1" min="5" max="5" width="12.63"/>
    <col customWidth="1" min="6" max="6" width="13.0"/>
    <col customWidth="1" min="7" max="7" width="15.0"/>
    <col customWidth="1" min="12" max="12" width="51.13"/>
    <col customWidth="1" min="13" max="13" width="17.38"/>
  </cols>
  <sheetData>
    <row r="1" ht="15.75" customHeight="1">
      <c r="A1" s="31" t="s">
        <v>371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15.75" customHeight="1">
      <c r="A2" s="64" t="s">
        <v>372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</row>
    <row r="3" ht="15.75" customHeight="1">
      <c r="A3" s="230" t="s">
        <v>1</v>
      </c>
      <c r="B3" s="3"/>
      <c r="C3" s="7" t="s">
        <v>3</v>
      </c>
      <c r="D3" s="6" t="s">
        <v>4</v>
      </c>
      <c r="E3" s="8" t="s">
        <v>5</v>
      </c>
      <c r="F3" s="8" t="s">
        <v>6</v>
      </c>
      <c r="G3" s="8" t="s">
        <v>7</v>
      </c>
      <c r="H3" s="9" t="s">
        <v>8</v>
      </c>
      <c r="I3" s="6" t="s">
        <v>9</v>
      </c>
      <c r="J3" s="10" t="s">
        <v>20</v>
      </c>
      <c r="K3" s="8" t="s">
        <v>25</v>
      </c>
      <c r="L3" s="8" t="s">
        <v>26</v>
      </c>
      <c r="M3" s="8" t="s">
        <v>27</v>
      </c>
      <c r="N3" s="9" t="s">
        <v>28</v>
      </c>
      <c r="O3" s="6" t="s">
        <v>29</v>
      </c>
      <c r="P3" s="9" t="s">
        <v>30</v>
      </c>
    </row>
    <row r="4" ht="15.75" customHeight="1">
      <c r="A4" s="11" t="s">
        <v>10</v>
      </c>
      <c r="B4" s="12">
        <v>45913.0</v>
      </c>
      <c r="C4" s="33"/>
      <c r="D4" s="13"/>
      <c r="E4" s="14"/>
      <c r="F4" s="15"/>
      <c r="G4" s="16"/>
      <c r="H4" s="17"/>
      <c r="I4" s="16"/>
      <c r="J4" s="18"/>
      <c r="K4" s="37"/>
      <c r="L4" s="38"/>
      <c r="M4" s="41"/>
      <c r="N4" s="40"/>
      <c r="O4" s="41"/>
      <c r="P4" s="42"/>
    </row>
    <row r="5" ht="15.75" customHeight="1">
      <c r="A5" s="11" t="s">
        <v>11</v>
      </c>
      <c r="B5" s="12">
        <v>45913.0</v>
      </c>
      <c r="C5" s="33"/>
      <c r="D5" s="13"/>
      <c r="E5" s="14"/>
      <c r="F5" s="15"/>
      <c r="G5" s="16"/>
      <c r="H5" s="17"/>
      <c r="I5" s="19"/>
      <c r="J5" s="18"/>
      <c r="K5" s="37"/>
      <c r="L5" s="45"/>
      <c r="M5" s="46"/>
      <c r="N5" s="47"/>
      <c r="O5" s="46"/>
      <c r="P5" s="48"/>
    </row>
    <row r="6" ht="15.75" customHeight="1">
      <c r="A6" s="11" t="s">
        <v>12</v>
      </c>
      <c r="B6" s="12">
        <v>45913.0</v>
      </c>
      <c r="C6" s="33"/>
      <c r="D6" s="13"/>
      <c r="E6" s="14"/>
      <c r="F6" s="15"/>
      <c r="G6" s="19"/>
      <c r="H6" s="17"/>
      <c r="I6" s="16"/>
      <c r="J6" s="18"/>
      <c r="K6" s="37"/>
      <c r="L6" s="49"/>
      <c r="M6" s="50"/>
      <c r="N6" s="51"/>
      <c r="O6" s="50"/>
      <c r="P6" s="52"/>
    </row>
    <row r="7" ht="15.75" customHeight="1">
      <c r="A7" s="11" t="s">
        <v>13</v>
      </c>
      <c r="B7" s="12">
        <v>45913.0</v>
      </c>
      <c r="C7" s="33"/>
      <c r="D7" s="13"/>
      <c r="E7" s="14"/>
      <c r="F7" s="15"/>
      <c r="G7" s="16"/>
      <c r="H7" s="17"/>
      <c r="I7" s="16"/>
      <c r="J7" s="18"/>
      <c r="K7" s="37"/>
      <c r="L7" s="45"/>
      <c r="M7" s="56"/>
      <c r="N7" s="57"/>
      <c r="O7" s="56"/>
      <c r="P7" s="48"/>
    </row>
    <row r="8" ht="15.75" customHeight="1">
      <c r="A8" s="11" t="s">
        <v>14</v>
      </c>
      <c r="B8" s="12">
        <v>45913.0</v>
      </c>
      <c r="C8" s="33"/>
      <c r="D8" s="13"/>
      <c r="E8" s="29"/>
      <c r="F8" s="29"/>
      <c r="G8" s="29"/>
      <c r="H8" s="29"/>
      <c r="I8" s="29"/>
      <c r="J8" s="18"/>
      <c r="K8" s="37"/>
      <c r="L8" s="58"/>
      <c r="M8" s="59"/>
      <c r="N8" s="51"/>
      <c r="O8" s="59"/>
      <c r="P8" s="60"/>
    </row>
    <row r="9" ht="15.75" customHeight="1">
      <c r="A9" s="11" t="s">
        <v>15</v>
      </c>
      <c r="B9" s="12">
        <v>45913.0</v>
      </c>
      <c r="C9" s="33"/>
      <c r="D9" s="13"/>
      <c r="E9" s="14"/>
      <c r="F9" s="15"/>
      <c r="G9" s="16"/>
      <c r="H9" s="17"/>
      <c r="I9" s="16"/>
      <c r="J9" s="18"/>
      <c r="K9" s="37"/>
      <c r="L9" s="45"/>
      <c r="M9" s="56"/>
      <c r="N9" s="57"/>
      <c r="O9" s="56"/>
      <c r="P9" s="48"/>
    </row>
    <row r="10" ht="15.75" customHeight="1">
      <c r="A10" s="11" t="s">
        <v>16</v>
      </c>
      <c r="B10" s="12">
        <v>45913.0</v>
      </c>
      <c r="C10" s="33"/>
      <c r="D10" s="13"/>
      <c r="E10" s="14"/>
      <c r="F10" s="15"/>
      <c r="G10" s="16"/>
      <c r="H10" s="17"/>
      <c r="I10" s="16"/>
      <c r="J10" s="18"/>
      <c r="K10" s="37"/>
      <c r="L10" s="58"/>
      <c r="M10" s="59"/>
      <c r="N10" s="51"/>
      <c r="O10" s="59"/>
      <c r="P10" s="60"/>
    </row>
    <row r="11" ht="15.75" customHeight="1">
      <c r="A11" s="11" t="s">
        <v>17</v>
      </c>
      <c r="B11" s="12">
        <v>45913.0</v>
      </c>
      <c r="C11" s="33"/>
      <c r="D11" s="13"/>
      <c r="E11" s="14"/>
      <c r="F11" s="15"/>
      <c r="G11" s="16"/>
      <c r="H11" s="17"/>
      <c r="I11" s="16"/>
      <c r="J11" s="18"/>
      <c r="K11" s="37"/>
      <c r="L11" s="45"/>
      <c r="M11" s="56"/>
      <c r="N11" s="57"/>
      <c r="O11" s="56"/>
      <c r="P11" s="48"/>
    </row>
    <row r="12" ht="15.75" customHeight="1">
      <c r="A12" s="231"/>
    </row>
    <row r="13" ht="15.75" customHeight="1">
      <c r="A13" s="231"/>
    </row>
    <row r="14" ht="15.75" customHeight="1">
      <c r="A14" s="231"/>
    </row>
    <row r="15" ht="15.75" customHeight="1">
      <c r="A15" s="231"/>
    </row>
    <row r="16" ht="15.75" customHeight="1">
      <c r="A16" s="231"/>
    </row>
    <row r="17" ht="15.75" customHeight="1">
      <c r="A17" s="31" t="s">
        <v>373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3"/>
    </row>
    <row r="18" ht="15.75" customHeight="1">
      <c r="A18" s="64" t="s">
        <v>374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3"/>
    </row>
    <row r="19" ht="15.75" customHeight="1">
      <c r="A19" s="230" t="s">
        <v>1</v>
      </c>
      <c r="B19" s="3"/>
      <c r="C19" s="7" t="s">
        <v>3</v>
      </c>
      <c r="D19" s="6" t="s">
        <v>4</v>
      </c>
      <c r="E19" s="8" t="s">
        <v>5</v>
      </c>
      <c r="F19" s="8" t="s">
        <v>6</v>
      </c>
      <c r="G19" s="8" t="s">
        <v>7</v>
      </c>
      <c r="H19" s="9" t="s">
        <v>8</v>
      </c>
      <c r="I19" s="6" t="s">
        <v>9</v>
      </c>
      <c r="J19" s="10" t="s">
        <v>20</v>
      </c>
      <c r="K19" s="8" t="s">
        <v>25</v>
      </c>
      <c r="L19" s="8" t="s">
        <v>26</v>
      </c>
      <c r="M19" s="8" t="s">
        <v>27</v>
      </c>
      <c r="N19" s="9" t="s">
        <v>28</v>
      </c>
      <c r="O19" s="6" t="s">
        <v>29</v>
      </c>
      <c r="P19" s="9" t="s">
        <v>30</v>
      </c>
    </row>
    <row r="20" ht="15.75" customHeight="1">
      <c r="A20" s="11" t="s">
        <v>10</v>
      </c>
      <c r="B20" s="12">
        <v>45913.0</v>
      </c>
      <c r="C20" s="33"/>
      <c r="D20" s="13"/>
      <c r="E20" s="14"/>
      <c r="F20" s="15"/>
      <c r="G20" s="16"/>
      <c r="H20" s="17"/>
      <c r="I20" s="16"/>
      <c r="J20" s="18"/>
      <c r="K20" s="37"/>
      <c r="L20" s="38"/>
      <c r="M20" s="41"/>
      <c r="N20" s="40"/>
      <c r="O20" s="41"/>
      <c r="P20" s="42"/>
    </row>
    <row r="21" ht="15.75" customHeight="1">
      <c r="A21" s="11" t="s">
        <v>11</v>
      </c>
      <c r="B21" s="12">
        <v>45913.0</v>
      </c>
      <c r="C21" s="33"/>
      <c r="D21" s="13"/>
      <c r="E21" s="14"/>
      <c r="F21" s="15"/>
      <c r="G21" s="16"/>
      <c r="H21" s="17"/>
      <c r="I21" s="19"/>
      <c r="J21" s="18"/>
      <c r="K21" s="37"/>
      <c r="L21" s="45"/>
      <c r="M21" s="46"/>
      <c r="N21" s="47"/>
      <c r="O21" s="46"/>
      <c r="P21" s="48"/>
    </row>
    <row r="22" ht="15.75" customHeight="1">
      <c r="A22" s="11" t="s">
        <v>12</v>
      </c>
      <c r="B22" s="12">
        <v>45913.0</v>
      </c>
      <c r="C22" s="33"/>
      <c r="D22" s="13"/>
      <c r="E22" s="14"/>
      <c r="F22" s="15"/>
      <c r="G22" s="19"/>
      <c r="H22" s="17"/>
      <c r="I22" s="16"/>
      <c r="J22" s="18"/>
      <c r="K22" s="37"/>
      <c r="L22" s="49"/>
      <c r="M22" s="50"/>
      <c r="N22" s="51"/>
      <c r="O22" s="50"/>
      <c r="P22" s="52"/>
    </row>
    <row r="23" ht="15.75" customHeight="1">
      <c r="A23" s="11" t="s">
        <v>13</v>
      </c>
      <c r="B23" s="12">
        <v>45913.0</v>
      </c>
      <c r="C23" s="33"/>
      <c r="D23" s="13"/>
      <c r="E23" s="14"/>
      <c r="F23" s="15"/>
      <c r="G23" s="16"/>
      <c r="H23" s="17"/>
      <c r="I23" s="16"/>
      <c r="J23" s="18"/>
      <c r="K23" s="37"/>
      <c r="L23" s="45"/>
      <c r="M23" s="56"/>
      <c r="N23" s="57"/>
      <c r="O23" s="56"/>
      <c r="P23" s="48"/>
    </row>
    <row r="24" ht="15.75" customHeight="1">
      <c r="A24" s="11" t="s">
        <v>14</v>
      </c>
      <c r="B24" s="12">
        <v>45913.0</v>
      </c>
      <c r="C24" s="33"/>
      <c r="D24" s="13"/>
      <c r="E24" s="29"/>
      <c r="F24" s="29"/>
      <c r="G24" s="29"/>
      <c r="H24" s="29"/>
      <c r="I24" s="29"/>
      <c r="J24" s="18"/>
      <c r="K24" s="37"/>
      <c r="L24" s="58"/>
      <c r="M24" s="59"/>
      <c r="N24" s="51"/>
      <c r="O24" s="59"/>
      <c r="P24" s="60"/>
    </row>
    <row r="25" ht="15.75" customHeight="1">
      <c r="A25" s="11" t="s">
        <v>15</v>
      </c>
      <c r="B25" s="12">
        <v>45913.0</v>
      </c>
      <c r="C25" s="33"/>
      <c r="D25" s="13"/>
      <c r="E25" s="14"/>
      <c r="F25" s="15"/>
      <c r="G25" s="16"/>
      <c r="H25" s="17"/>
      <c r="I25" s="16"/>
      <c r="J25" s="18"/>
      <c r="K25" s="37"/>
      <c r="L25" s="45"/>
      <c r="M25" s="56"/>
      <c r="N25" s="57"/>
      <c r="O25" s="56"/>
      <c r="P25" s="48"/>
    </row>
    <row r="26" ht="15.75" customHeight="1">
      <c r="A26" s="11" t="s">
        <v>16</v>
      </c>
      <c r="B26" s="12">
        <v>45913.0</v>
      </c>
      <c r="C26" s="33"/>
      <c r="D26" s="13"/>
      <c r="E26" s="14"/>
      <c r="F26" s="15"/>
      <c r="G26" s="16"/>
      <c r="H26" s="17"/>
      <c r="I26" s="16"/>
      <c r="J26" s="18"/>
      <c r="K26" s="37"/>
      <c r="L26" s="58"/>
      <c r="M26" s="59"/>
      <c r="N26" s="51"/>
      <c r="O26" s="59"/>
      <c r="P26" s="60"/>
    </row>
    <row r="27" ht="15.75" customHeight="1">
      <c r="A27" s="11" t="s">
        <v>17</v>
      </c>
      <c r="B27" s="12">
        <v>45913.0</v>
      </c>
      <c r="C27" s="33"/>
      <c r="D27" s="13"/>
      <c r="E27" s="14"/>
      <c r="F27" s="15"/>
      <c r="G27" s="16"/>
      <c r="H27" s="17"/>
      <c r="I27" s="16"/>
      <c r="J27" s="18"/>
      <c r="K27" s="37"/>
      <c r="L27" s="45"/>
      <c r="M27" s="56"/>
      <c r="N27" s="57"/>
      <c r="O27" s="56"/>
      <c r="P27" s="48"/>
    </row>
    <row r="28" ht="15.75" customHeight="1">
      <c r="A28" s="231"/>
    </row>
    <row r="29" ht="15.75" customHeight="1">
      <c r="A29" s="231"/>
    </row>
    <row r="30" ht="15.75" customHeight="1">
      <c r="A30" s="231"/>
    </row>
    <row r="31" ht="15.75" customHeight="1">
      <c r="A31" s="231"/>
    </row>
    <row r="32" ht="15.75" customHeight="1">
      <c r="A32" s="31" t="s">
        <v>375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3"/>
    </row>
    <row r="33" ht="15.75" customHeight="1">
      <c r="A33" s="64" t="s">
        <v>376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3"/>
    </row>
    <row r="34" ht="15.75" customHeight="1">
      <c r="A34" s="230" t="s">
        <v>1</v>
      </c>
      <c r="B34" s="3"/>
      <c r="C34" s="7" t="s">
        <v>3</v>
      </c>
      <c r="D34" s="6" t="s">
        <v>4</v>
      </c>
      <c r="E34" s="8" t="s">
        <v>5</v>
      </c>
      <c r="F34" s="8" t="s">
        <v>6</v>
      </c>
      <c r="G34" s="8" t="s">
        <v>7</v>
      </c>
      <c r="H34" s="9" t="s">
        <v>8</v>
      </c>
      <c r="I34" s="6" t="s">
        <v>9</v>
      </c>
      <c r="J34" s="10" t="s">
        <v>20</v>
      </c>
      <c r="K34" s="8" t="s">
        <v>25</v>
      </c>
      <c r="L34" s="8" t="s">
        <v>26</v>
      </c>
      <c r="M34" s="8" t="s">
        <v>27</v>
      </c>
      <c r="N34" s="9" t="s">
        <v>28</v>
      </c>
      <c r="O34" s="6" t="s">
        <v>29</v>
      </c>
      <c r="P34" s="9" t="s">
        <v>30</v>
      </c>
    </row>
    <row r="35" ht="15.75" customHeight="1">
      <c r="A35" s="11" t="s">
        <v>10</v>
      </c>
      <c r="B35" s="12">
        <v>45913.0</v>
      </c>
      <c r="C35" s="33"/>
      <c r="D35" s="13"/>
      <c r="E35" s="14"/>
      <c r="F35" s="15"/>
      <c r="G35" s="16"/>
      <c r="H35" s="17"/>
      <c r="I35" s="16"/>
      <c r="J35" s="18"/>
      <c r="K35" s="37"/>
      <c r="L35" s="38"/>
      <c r="M35" s="41"/>
      <c r="N35" s="40"/>
      <c r="O35" s="41"/>
      <c r="P35" s="42"/>
    </row>
    <row r="36" ht="15.75" customHeight="1">
      <c r="A36" s="11" t="s">
        <v>11</v>
      </c>
      <c r="B36" s="12">
        <v>45913.0</v>
      </c>
      <c r="C36" s="33"/>
      <c r="D36" s="13"/>
      <c r="E36" s="14"/>
      <c r="F36" s="15"/>
      <c r="G36" s="16"/>
      <c r="H36" s="17"/>
      <c r="I36" s="19"/>
      <c r="J36" s="18"/>
      <c r="K36" s="37"/>
      <c r="L36" s="45"/>
      <c r="M36" s="46"/>
      <c r="N36" s="47"/>
      <c r="O36" s="46"/>
      <c r="P36" s="48"/>
    </row>
    <row r="37" ht="15.75" customHeight="1">
      <c r="A37" s="11" t="s">
        <v>12</v>
      </c>
      <c r="B37" s="12">
        <v>45913.0</v>
      </c>
      <c r="C37" s="33"/>
      <c r="D37" s="13"/>
      <c r="E37" s="14"/>
      <c r="F37" s="15"/>
      <c r="G37" s="19"/>
      <c r="H37" s="17"/>
      <c r="I37" s="16"/>
      <c r="J37" s="18"/>
      <c r="K37" s="37"/>
      <c r="L37" s="49"/>
      <c r="M37" s="50"/>
      <c r="N37" s="51"/>
      <c r="O37" s="50"/>
      <c r="P37" s="52"/>
    </row>
    <row r="38" ht="15.75" customHeight="1">
      <c r="A38" s="11" t="s">
        <v>13</v>
      </c>
      <c r="B38" s="12">
        <v>45913.0</v>
      </c>
      <c r="C38" s="33"/>
      <c r="D38" s="13"/>
      <c r="E38" s="14"/>
      <c r="F38" s="15"/>
      <c r="G38" s="16"/>
      <c r="H38" s="17"/>
      <c r="I38" s="16"/>
      <c r="J38" s="18"/>
      <c r="K38" s="37"/>
      <c r="L38" s="45"/>
      <c r="M38" s="56"/>
      <c r="N38" s="57"/>
      <c r="O38" s="56"/>
      <c r="P38" s="48"/>
    </row>
    <row r="39" ht="15.75" customHeight="1">
      <c r="A39" s="11" t="s">
        <v>14</v>
      </c>
      <c r="B39" s="12">
        <v>45913.0</v>
      </c>
      <c r="C39" s="33"/>
      <c r="D39" s="13"/>
      <c r="E39" s="29"/>
      <c r="F39" s="29"/>
      <c r="G39" s="29"/>
      <c r="H39" s="29"/>
      <c r="I39" s="29"/>
      <c r="J39" s="18"/>
      <c r="K39" s="37"/>
      <c r="L39" s="58"/>
      <c r="M39" s="59"/>
      <c r="N39" s="51"/>
      <c r="O39" s="59"/>
      <c r="P39" s="60"/>
    </row>
    <row r="40" ht="15.75" customHeight="1">
      <c r="A40" s="11" t="s">
        <v>15</v>
      </c>
      <c r="B40" s="12">
        <v>45913.0</v>
      </c>
      <c r="C40" s="33"/>
      <c r="D40" s="13"/>
      <c r="E40" s="14"/>
      <c r="F40" s="15"/>
      <c r="G40" s="16"/>
      <c r="H40" s="17"/>
      <c r="I40" s="16"/>
      <c r="J40" s="18"/>
      <c r="K40" s="37"/>
      <c r="L40" s="45"/>
      <c r="M40" s="56"/>
      <c r="N40" s="57"/>
      <c r="O40" s="56"/>
      <c r="P40" s="48"/>
    </row>
    <row r="41" ht="15.75" customHeight="1">
      <c r="A41" s="11" t="s">
        <v>16</v>
      </c>
      <c r="B41" s="12">
        <v>45913.0</v>
      </c>
      <c r="C41" s="33"/>
      <c r="D41" s="13"/>
      <c r="E41" s="14"/>
      <c r="F41" s="15"/>
      <c r="G41" s="16"/>
      <c r="H41" s="17"/>
      <c r="I41" s="16"/>
      <c r="J41" s="18"/>
      <c r="K41" s="37"/>
      <c r="L41" s="58"/>
      <c r="M41" s="59"/>
      <c r="N41" s="51"/>
      <c r="O41" s="59"/>
      <c r="P41" s="60"/>
    </row>
    <row r="42" ht="15.75" customHeight="1">
      <c r="A42" s="11" t="s">
        <v>17</v>
      </c>
      <c r="B42" s="12">
        <v>45913.0</v>
      </c>
      <c r="C42" s="33"/>
      <c r="D42" s="13"/>
      <c r="E42" s="14"/>
      <c r="F42" s="15"/>
      <c r="G42" s="16"/>
      <c r="H42" s="17"/>
      <c r="I42" s="16"/>
      <c r="J42" s="18"/>
      <c r="K42" s="37"/>
      <c r="L42" s="45"/>
      <c r="M42" s="56"/>
      <c r="N42" s="57"/>
      <c r="O42" s="56"/>
      <c r="P42" s="48"/>
    </row>
    <row r="43" ht="15.75" customHeight="1">
      <c r="A43" s="231"/>
    </row>
    <row r="44" ht="15.75" customHeight="1">
      <c r="A44" s="231"/>
    </row>
    <row r="45" ht="15.75" customHeight="1">
      <c r="A45" s="231"/>
      <c r="F45" s="232"/>
    </row>
    <row r="46" ht="15.75" customHeight="1">
      <c r="A46" s="231"/>
      <c r="F46" s="232"/>
    </row>
    <row r="47" ht="15.75" customHeight="1">
      <c r="A47" s="231"/>
      <c r="F47" s="232"/>
    </row>
    <row r="48" ht="15.75" customHeight="1">
      <c r="A48" s="231"/>
      <c r="F48" s="232"/>
    </row>
    <row r="49" ht="15.75" customHeight="1">
      <c r="A49" s="231"/>
      <c r="F49" s="232"/>
    </row>
    <row r="50" ht="15.75" customHeight="1">
      <c r="A50" s="231"/>
      <c r="F50" s="232"/>
    </row>
    <row r="51" ht="15.75" customHeight="1">
      <c r="A51" s="231"/>
      <c r="F51" s="232"/>
    </row>
    <row r="52" ht="15.75" customHeight="1">
      <c r="A52" s="231"/>
      <c r="F52" s="232"/>
    </row>
    <row r="53" ht="15.75" customHeight="1">
      <c r="A53" s="231"/>
      <c r="F53" s="232"/>
    </row>
    <row r="54" ht="15.75" customHeight="1">
      <c r="A54" s="231"/>
    </row>
    <row r="55" ht="15.75" customHeight="1">
      <c r="A55" s="231"/>
    </row>
    <row r="56" ht="15.75" customHeight="1">
      <c r="A56" s="231"/>
    </row>
    <row r="57" ht="15.75" customHeight="1">
      <c r="A57" s="231"/>
    </row>
    <row r="58" ht="15.75" customHeight="1">
      <c r="A58" s="231"/>
    </row>
    <row r="59" ht="15.75" customHeight="1">
      <c r="A59" s="231"/>
    </row>
    <row r="60" ht="15.75" customHeight="1">
      <c r="A60" s="231"/>
    </row>
    <row r="61" ht="15.75" customHeight="1">
      <c r="A61" s="231"/>
    </row>
    <row r="62" ht="15.75" customHeight="1">
      <c r="A62" s="231"/>
    </row>
    <row r="63" ht="15.75" customHeight="1">
      <c r="A63" s="231"/>
    </row>
    <row r="64" ht="15.75" customHeight="1">
      <c r="A64" s="231"/>
    </row>
    <row r="65" ht="15.75" customHeight="1">
      <c r="A65" s="231"/>
    </row>
    <row r="66" ht="15.75" customHeight="1">
      <c r="A66" s="231"/>
    </row>
    <row r="67" ht="15.75" customHeight="1">
      <c r="A67" s="231"/>
    </row>
    <row r="68" ht="15.75" customHeight="1">
      <c r="A68" s="231"/>
    </row>
    <row r="69" ht="15.75" customHeight="1">
      <c r="A69" s="231"/>
    </row>
    <row r="70" ht="15.75" customHeight="1">
      <c r="A70" s="231"/>
    </row>
    <row r="71" ht="15.75" customHeight="1">
      <c r="A71" s="231"/>
    </row>
    <row r="72" ht="15.75" customHeight="1">
      <c r="A72" s="231"/>
    </row>
    <row r="73" ht="15.75" customHeight="1">
      <c r="A73" s="231"/>
    </row>
    <row r="74" ht="15.75" customHeight="1">
      <c r="A74" s="231"/>
    </row>
    <row r="75" ht="15.75" customHeight="1">
      <c r="A75" s="231"/>
    </row>
    <row r="76" ht="15.75" customHeight="1">
      <c r="A76" s="231"/>
    </row>
    <row r="77" ht="15.75" customHeight="1">
      <c r="A77" s="231"/>
    </row>
    <row r="78" ht="15.75" customHeight="1">
      <c r="A78" s="231"/>
    </row>
    <row r="79" ht="15.75" customHeight="1">
      <c r="A79" s="231"/>
    </row>
    <row r="80" ht="15.75" customHeight="1">
      <c r="A80" s="231"/>
    </row>
    <row r="81" ht="15.75" customHeight="1">
      <c r="A81" s="231"/>
    </row>
    <row r="82" ht="15.75" customHeight="1">
      <c r="A82" s="231"/>
    </row>
    <row r="83" ht="15.75" customHeight="1">
      <c r="A83" s="231"/>
    </row>
    <row r="84" ht="15.75" customHeight="1">
      <c r="A84" s="231"/>
    </row>
    <row r="85" ht="15.75" customHeight="1">
      <c r="A85" s="231"/>
    </row>
    <row r="86" ht="15.75" customHeight="1">
      <c r="A86" s="231"/>
    </row>
    <row r="87" ht="15.75" customHeight="1">
      <c r="A87" s="231"/>
    </row>
    <row r="88" ht="15.75" customHeight="1">
      <c r="A88" s="231"/>
    </row>
    <row r="89" ht="15.75" customHeight="1">
      <c r="A89" s="231"/>
    </row>
    <row r="90" ht="15.75" customHeight="1">
      <c r="A90" s="231"/>
    </row>
    <row r="91" ht="15.75" customHeight="1">
      <c r="A91" s="231"/>
    </row>
    <row r="92" ht="15.75" customHeight="1">
      <c r="A92" s="231"/>
    </row>
    <row r="93" ht="15.75" customHeight="1">
      <c r="A93" s="231"/>
    </row>
    <row r="94" ht="15.75" customHeight="1">
      <c r="A94" s="231"/>
    </row>
    <row r="95" ht="15.75" customHeight="1">
      <c r="A95" s="231"/>
    </row>
    <row r="96" ht="15.75" customHeight="1">
      <c r="A96" s="231"/>
    </row>
    <row r="97" ht="15.75" customHeight="1">
      <c r="A97" s="231"/>
    </row>
    <row r="98" ht="15.75" customHeight="1">
      <c r="A98" s="231"/>
    </row>
    <row r="99" ht="15.75" customHeight="1">
      <c r="A99" s="231"/>
    </row>
    <row r="100" ht="15.75" customHeight="1">
      <c r="A100" s="231"/>
    </row>
    <row r="101" ht="15.75" customHeight="1">
      <c r="A101" s="231"/>
    </row>
    <row r="102" ht="15.75" customHeight="1">
      <c r="A102" s="231"/>
    </row>
    <row r="103" ht="15.75" customHeight="1">
      <c r="A103" s="231"/>
    </row>
    <row r="104" ht="15.75" customHeight="1">
      <c r="A104" s="231"/>
    </row>
    <row r="105" ht="15.75" customHeight="1">
      <c r="A105" s="231"/>
    </row>
    <row r="106" ht="15.75" customHeight="1">
      <c r="A106" s="231"/>
    </row>
    <row r="107" ht="15.75" customHeight="1">
      <c r="A107" s="231"/>
    </row>
    <row r="108" ht="15.75" customHeight="1">
      <c r="A108" s="231"/>
    </row>
    <row r="109" ht="15.75" customHeight="1">
      <c r="A109" s="231"/>
    </row>
    <row r="110" ht="15.75" customHeight="1">
      <c r="A110" s="231"/>
    </row>
    <row r="111" ht="15.75" customHeight="1">
      <c r="A111" s="231"/>
    </row>
    <row r="112" ht="15.75" customHeight="1">
      <c r="A112" s="231"/>
    </row>
    <row r="113" ht="15.75" customHeight="1">
      <c r="A113" s="231"/>
    </row>
    <row r="114" ht="15.75" customHeight="1">
      <c r="A114" s="231"/>
    </row>
    <row r="115" ht="15.75" customHeight="1">
      <c r="A115" s="231"/>
    </row>
    <row r="116" ht="15.75" customHeight="1">
      <c r="A116" s="231"/>
    </row>
    <row r="117" ht="15.75" customHeight="1">
      <c r="A117" s="231"/>
    </row>
    <row r="118" ht="15.75" customHeight="1">
      <c r="A118" s="231"/>
    </row>
    <row r="119" ht="15.75" customHeight="1">
      <c r="A119" s="231"/>
    </row>
    <row r="120" ht="15.75" customHeight="1">
      <c r="A120" s="231"/>
    </row>
    <row r="121" ht="15.75" customHeight="1">
      <c r="A121" s="231"/>
    </row>
    <row r="122" ht="15.75" customHeight="1">
      <c r="A122" s="231"/>
    </row>
    <row r="123" ht="15.75" customHeight="1">
      <c r="A123" s="231"/>
    </row>
    <row r="124" ht="15.75" customHeight="1">
      <c r="A124" s="231"/>
    </row>
    <row r="125" ht="15.75" customHeight="1">
      <c r="A125" s="231"/>
    </row>
    <row r="126" ht="15.75" customHeight="1">
      <c r="A126" s="231"/>
    </row>
    <row r="127" ht="15.75" customHeight="1">
      <c r="A127" s="231"/>
    </row>
    <row r="128" ht="15.75" customHeight="1">
      <c r="A128" s="231"/>
    </row>
    <row r="129" ht="15.75" customHeight="1">
      <c r="A129" s="231"/>
    </row>
    <row r="130" ht="15.75" customHeight="1">
      <c r="A130" s="231"/>
    </row>
    <row r="131" ht="15.75" customHeight="1">
      <c r="A131" s="231"/>
    </row>
    <row r="132" ht="15.75" customHeight="1">
      <c r="A132" s="231"/>
    </row>
    <row r="133" ht="15.75" customHeight="1">
      <c r="A133" s="231"/>
    </row>
    <row r="134" ht="15.75" customHeight="1">
      <c r="A134" s="231"/>
    </row>
    <row r="135" ht="15.75" customHeight="1">
      <c r="A135" s="231"/>
    </row>
    <row r="136" ht="15.75" customHeight="1">
      <c r="A136" s="231"/>
    </row>
    <row r="137" ht="15.75" customHeight="1">
      <c r="A137" s="231"/>
    </row>
    <row r="138" ht="15.75" customHeight="1">
      <c r="A138" s="231"/>
    </row>
    <row r="139" ht="15.75" customHeight="1">
      <c r="A139" s="231"/>
    </row>
    <row r="140" ht="15.75" customHeight="1">
      <c r="A140" s="231"/>
    </row>
    <row r="141" ht="15.75" customHeight="1">
      <c r="A141" s="231"/>
    </row>
    <row r="142" ht="15.75" customHeight="1">
      <c r="A142" s="231"/>
    </row>
    <row r="143" ht="15.75" customHeight="1">
      <c r="A143" s="231"/>
    </row>
    <row r="144" ht="15.75" customHeight="1">
      <c r="A144" s="231"/>
    </row>
    <row r="145" ht="15.75" customHeight="1">
      <c r="A145" s="231"/>
    </row>
    <row r="146" ht="15.75" customHeight="1">
      <c r="A146" s="231"/>
    </row>
    <row r="147" ht="15.75" customHeight="1">
      <c r="A147" s="231"/>
    </row>
    <row r="148" ht="15.75" customHeight="1">
      <c r="A148" s="231"/>
    </row>
    <row r="149" ht="15.75" customHeight="1">
      <c r="A149" s="231"/>
    </row>
    <row r="150" ht="15.75" customHeight="1">
      <c r="A150" s="231"/>
    </row>
    <row r="151" ht="15.75" customHeight="1">
      <c r="A151" s="231"/>
    </row>
    <row r="152" ht="15.75" customHeight="1">
      <c r="A152" s="231"/>
    </row>
    <row r="153" ht="15.75" customHeight="1">
      <c r="A153" s="231"/>
    </row>
    <row r="154" ht="15.75" customHeight="1">
      <c r="A154" s="231"/>
    </row>
    <row r="155" ht="15.75" customHeight="1">
      <c r="A155" s="231"/>
    </row>
    <row r="156" ht="15.75" customHeight="1">
      <c r="A156" s="231"/>
    </row>
    <row r="157" ht="15.75" customHeight="1">
      <c r="A157" s="231"/>
    </row>
    <row r="158" ht="15.75" customHeight="1">
      <c r="A158" s="231"/>
    </row>
    <row r="159" ht="15.75" customHeight="1">
      <c r="A159" s="231"/>
    </row>
    <row r="160" ht="15.75" customHeight="1">
      <c r="A160" s="231"/>
    </row>
    <row r="161" ht="15.75" customHeight="1">
      <c r="A161" s="231"/>
    </row>
    <row r="162" ht="15.75" customHeight="1">
      <c r="A162" s="231"/>
    </row>
    <row r="163" ht="15.75" customHeight="1">
      <c r="A163" s="231"/>
    </row>
    <row r="164" ht="15.75" customHeight="1">
      <c r="A164" s="231"/>
    </row>
    <row r="165" ht="15.75" customHeight="1">
      <c r="A165" s="231"/>
    </row>
    <row r="166" ht="15.75" customHeight="1">
      <c r="A166" s="231"/>
    </row>
    <row r="167" ht="15.75" customHeight="1">
      <c r="A167" s="231"/>
    </row>
    <row r="168" ht="15.75" customHeight="1">
      <c r="A168" s="231"/>
    </row>
    <row r="169" ht="15.75" customHeight="1">
      <c r="A169" s="231"/>
    </row>
    <row r="170" ht="15.75" customHeight="1">
      <c r="A170" s="231"/>
    </row>
    <row r="171" ht="15.75" customHeight="1">
      <c r="A171" s="231"/>
    </row>
    <row r="172" ht="15.75" customHeight="1">
      <c r="A172" s="231"/>
    </row>
    <row r="173" ht="15.75" customHeight="1">
      <c r="A173" s="231"/>
    </row>
    <row r="174" ht="15.75" customHeight="1">
      <c r="A174" s="231"/>
    </row>
    <row r="175" ht="15.75" customHeight="1">
      <c r="A175" s="231"/>
    </row>
    <row r="176" ht="15.75" customHeight="1">
      <c r="A176" s="231"/>
    </row>
    <row r="177" ht="15.75" customHeight="1">
      <c r="A177" s="231"/>
    </row>
    <row r="178" ht="15.75" customHeight="1">
      <c r="A178" s="231"/>
    </row>
    <row r="179" ht="15.75" customHeight="1">
      <c r="A179" s="231"/>
    </row>
    <row r="180" ht="15.75" customHeight="1">
      <c r="A180" s="231"/>
    </row>
    <row r="181" ht="15.75" customHeight="1">
      <c r="A181" s="231"/>
    </row>
    <row r="182" ht="15.75" customHeight="1">
      <c r="A182" s="231"/>
    </row>
    <row r="183" ht="15.75" customHeight="1">
      <c r="A183" s="231"/>
    </row>
    <row r="184" ht="15.75" customHeight="1">
      <c r="A184" s="231"/>
    </row>
    <row r="185" ht="15.75" customHeight="1">
      <c r="A185" s="231"/>
    </row>
    <row r="186" ht="15.75" customHeight="1">
      <c r="A186" s="231"/>
    </row>
    <row r="187" ht="15.75" customHeight="1">
      <c r="A187" s="231"/>
    </row>
    <row r="188" ht="15.75" customHeight="1">
      <c r="A188" s="231"/>
    </row>
    <row r="189" ht="15.75" customHeight="1">
      <c r="A189" s="231"/>
    </row>
    <row r="190" ht="15.75" customHeight="1">
      <c r="A190" s="231"/>
    </row>
    <row r="191" ht="15.75" customHeight="1">
      <c r="A191" s="231"/>
    </row>
    <row r="192" ht="15.75" customHeight="1">
      <c r="A192" s="231"/>
    </row>
    <row r="193" ht="15.75" customHeight="1">
      <c r="A193" s="231"/>
    </row>
    <row r="194" ht="15.75" customHeight="1">
      <c r="A194" s="231"/>
    </row>
    <row r="195" ht="15.75" customHeight="1">
      <c r="A195" s="231"/>
    </row>
    <row r="196" ht="15.75" customHeight="1">
      <c r="A196" s="231"/>
    </row>
    <row r="197" ht="15.75" customHeight="1">
      <c r="A197" s="231"/>
    </row>
    <row r="198" ht="15.75" customHeight="1">
      <c r="A198" s="231"/>
    </row>
    <row r="199" ht="15.75" customHeight="1">
      <c r="A199" s="231"/>
    </row>
    <row r="200" ht="15.75" customHeight="1">
      <c r="A200" s="231"/>
    </row>
    <row r="201" ht="15.75" customHeight="1">
      <c r="A201" s="231"/>
    </row>
    <row r="202" ht="15.75" customHeight="1">
      <c r="A202" s="231"/>
    </row>
    <row r="203" ht="15.75" customHeight="1">
      <c r="A203" s="231"/>
    </row>
    <row r="204" ht="15.75" customHeight="1">
      <c r="A204" s="231"/>
    </row>
    <row r="205" ht="15.75" customHeight="1">
      <c r="A205" s="231"/>
    </row>
    <row r="206" ht="15.75" customHeight="1">
      <c r="A206" s="231"/>
    </row>
    <row r="207" ht="15.75" customHeight="1">
      <c r="A207" s="231"/>
    </row>
    <row r="208" ht="15.75" customHeight="1">
      <c r="A208" s="231"/>
    </row>
    <row r="209" ht="15.75" customHeight="1">
      <c r="A209" s="231"/>
    </row>
    <row r="210" ht="15.75" customHeight="1">
      <c r="A210" s="231"/>
    </row>
    <row r="211" ht="15.75" customHeight="1">
      <c r="A211" s="231"/>
    </row>
    <row r="212" ht="15.75" customHeight="1">
      <c r="A212" s="231"/>
    </row>
    <row r="213" ht="15.75" customHeight="1">
      <c r="A213" s="231"/>
    </row>
    <row r="214" ht="15.75" customHeight="1">
      <c r="A214" s="231"/>
    </row>
    <row r="215" ht="15.75" customHeight="1">
      <c r="A215" s="231"/>
    </row>
    <row r="216" ht="15.75" customHeight="1">
      <c r="A216" s="231"/>
    </row>
    <row r="217" ht="15.75" customHeight="1">
      <c r="A217" s="231"/>
    </row>
    <row r="218" ht="15.75" customHeight="1">
      <c r="A218" s="231"/>
    </row>
    <row r="219" ht="15.75" customHeight="1">
      <c r="A219" s="231"/>
    </row>
    <row r="220" ht="15.75" customHeight="1">
      <c r="A220" s="231"/>
    </row>
    <row r="221" ht="15.75" customHeight="1">
      <c r="A221" s="231"/>
    </row>
    <row r="222" ht="15.75" customHeight="1">
      <c r="A222" s="231"/>
    </row>
    <row r="223" ht="15.75" customHeight="1">
      <c r="A223" s="231"/>
    </row>
    <row r="224" ht="15.75" customHeight="1">
      <c r="A224" s="231"/>
    </row>
    <row r="225" ht="15.75" customHeight="1">
      <c r="A225" s="231"/>
    </row>
    <row r="226" ht="15.75" customHeight="1">
      <c r="A226" s="231"/>
    </row>
    <row r="227" ht="15.75" customHeight="1">
      <c r="A227" s="231"/>
    </row>
    <row r="228" ht="15.75" customHeight="1">
      <c r="A228" s="231"/>
    </row>
    <row r="229" ht="15.75" customHeight="1">
      <c r="A229" s="231"/>
    </row>
    <row r="230" ht="15.75" customHeight="1">
      <c r="A230" s="231"/>
    </row>
    <row r="231" ht="15.75" customHeight="1">
      <c r="A231" s="231"/>
    </row>
    <row r="232" ht="15.75" customHeight="1">
      <c r="A232" s="231"/>
    </row>
    <row r="233" ht="15.75" customHeight="1">
      <c r="A233" s="231"/>
    </row>
    <row r="234" ht="15.75" customHeight="1">
      <c r="A234" s="231"/>
    </row>
    <row r="235" ht="15.75" customHeight="1">
      <c r="A235" s="231"/>
    </row>
    <row r="236" ht="15.75" customHeight="1">
      <c r="A236" s="231"/>
    </row>
    <row r="237" ht="15.75" customHeight="1">
      <c r="A237" s="231"/>
    </row>
    <row r="238" ht="15.75" customHeight="1">
      <c r="A238" s="231"/>
    </row>
    <row r="239" ht="15.75" customHeight="1">
      <c r="A239" s="231"/>
    </row>
    <row r="240" ht="15.75" customHeight="1">
      <c r="A240" s="231"/>
    </row>
    <row r="241" ht="15.75" customHeight="1">
      <c r="A241" s="231"/>
    </row>
    <row r="242" ht="15.75" customHeight="1">
      <c r="A242" s="231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33:P33"/>
    <mergeCell ref="A34:B34"/>
    <mergeCell ref="A1:P1"/>
    <mergeCell ref="A2:P2"/>
    <mergeCell ref="A3:B3"/>
    <mergeCell ref="A17:P17"/>
    <mergeCell ref="A18:P18"/>
    <mergeCell ref="A19:B19"/>
    <mergeCell ref="A32:P32"/>
  </mergeCells>
  <dataValidations>
    <dataValidation type="list" allowBlank="1" showErrorMessage="1" sqref="C4:C11 C20:C27 C35:C42">
      <formula1>"Ama/UBS Jardim Capela,UBS Jardim Comercial,UBS Cidade Ipava,UBS Jardim Paranapanema,UBS Parque Novo Santo Amaro,UBS Jardim Eledy,UBS Jardim Valquiria"</formula1>
    </dataValidation>
    <dataValidation type="list" allowBlank="1" showErrorMessage="1" sqref="J4:J11 J20:J27 J35:J42">
      <formula1>"Atendido,Não atendindo"</formula1>
    </dataValidation>
    <dataValidation type="list" allowBlank="1" showErrorMessage="1" sqref="D4:D11 D20:D27 D35:D42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23.75"/>
    <col customWidth="1" min="3" max="3" width="12.88"/>
    <col customWidth="1" min="4" max="4" width="8.25"/>
    <col customWidth="1" min="5" max="5" width="16.0"/>
    <col customWidth="1" min="6" max="6" width="19.88"/>
    <col customWidth="1" min="7" max="7" width="38.25"/>
    <col customWidth="1" min="8" max="8" width="16.38"/>
    <col customWidth="1" min="9" max="9" width="20.38"/>
    <col customWidth="1" min="10" max="10" width="18.13"/>
    <col customWidth="1" min="11" max="11" width="17.25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33" t="s">
        <v>378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5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68" t="s">
        <v>379</v>
      </c>
      <c r="C4" s="69" t="s">
        <v>380</v>
      </c>
      <c r="D4" s="70">
        <v>0.5416666666666666</v>
      </c>
      <c r="E4" s="218" t="s">
        <v>381</v>
      </c>
      <c r="F4" s="149">
        <v>8.01440427929062E14</v>
      </c>
      <c r="G4" s="148" t="s">
        <v>382</v>
      </c>
      <c r="H4" s="150">
        <v>25657.0</v>
      </c>
      <c r="I4" s="18" t="s">
        <v>182</v>
      </c>
      <c r="J4" s="97" t="s">
        <v>383</v>
      </c>
      <c r="K4" s="97" t="s">
        <v>384</v>
      </c>
      <c r="L4" s="235" t="s">
        <v>385</v>
      </c>
      <c r="M4" s="236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68"/>
      <c r="C5" s="69" t="s">
        <v>380</v>
      </c>
      <c r="D5" s="70">
        <v>0.5555555555555556</v>
      </c>
      <c r="E5" s="215"/>
      <c r="F5" s="170"/>
      <c r="G5" s="238"/>
      <c r="H5" s="72"/>
      <c r="I5" s="18" t="s">
        <v>180</v>
      </c>
      <c r="J5" s="37"/>
      <c r="K5" s="37"/>
      <c r="M5" s="236"/>
      <c r="N5" s="239" t="s">
        <v>387</v>
      </c>
      <c r="O5" s="2"/>
      <c r="P5" s="2"/>
      <c r="Q5" s="2"/>
      <c r="R5" s="62"/>
    </row>
    <row r="6" ht="15.75" customHeight="1">
      <c r="A6" s="11" t="s">
        <v>12</v>
      </c>
      <c r="B6" s="68" t="s">
        <v>388</v>
      </c>
      <c r="C6" s="69" t="s">
        <v>380</v>
      </c>
      <c r="D6" s="70">
        <v>0.5694444444444444</v>
      </c>
      <c r="E6" s="218" t="s">
        <v>389</v>
      </c>
      <c r="F6" s="149">
        <v>8.01440444337607E14</v>
      </c>
      <c r="G6" s="148" t="s">
        <v>390</v>
      </c>
      <c r="H6" s="150">
        <v>21808.0</v>
      </c>
      <c r="I6" s="18" t="s">
        <v>182</v>
      </c>
      <c r="J6" s="97" t="s">
        <v>391</v>
      </c>
      <c r="K6" s="97" t="s">
        <v>392</v>
      </c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/>
    </row>
    <row r="7" ht="15.75" customHeight="1">
      <c r="A7" s="11" t="s">
        <v>13</v>
      </c>
      <c r="B7" s="68" t="s">
        <v>394</v>
      </c>
      <c r="C7" s="69" t="s">
        <v>380</v>
      </c>
      <c r="D7" s="70">
        <v>0.5833333333333334</v>
      </c>
      <c r="E7" s="243" t="s">
        <v>395</v>
      </c>
      <c r="F7" s="192">
        <v>7.0260722026914E14</v>
      </c>
      <c r="G7" s="148" t="s">
        <v>396</v>
      </c>
      <c r="H7" s="78">
        <v>22168.0</v>
      </c>
      <c r="I7" s="18" t="s">
        <v>182</v>
      </c>
      <c r="J7" s="97" t="s">
        <v>397</v>
      </c>
      <c r="K7" s="97"/>
      <c r="M7" s="62"/>
      <c r="N7" s="244">
        <f t="shared" ref="N7:Q7" si="1">COUNTIFS($I$4:$I$15, N6)</f>
        <v>10</v>
      </c>
      <c r="O7" s="245">
        <f t="shared" si="1"/>
        <v>1</v>
      </c>
      <c r="P7" s="245">
        <f t="shared" si="1"/>
        <v>1</v>
      </c>
      <c r="Q7" s="246">
        <f t="shared" si="1"/>
        <v>0</v>
      </c>
      <c r="R7" s="62"/>
    </row>
    <row r="8" ht="15.75" customHeight="1">
      <c r="A8" s="11" t="s">
        <v>14</v>
      </c>
      <c r="B8" s="68" t="s">
        <v>398</v>
      </c>
      <c r="C8" s="69" t="s">
        <v>380</v>
      </c>
      <c r="D8" s="70">
        <v>0.5972222222222222</v>
      </c>
      <c r="E8" s="247" t="s">
        <v>399</v>
      </c>
      <c r="F8" s="146">
        <v>2.01154325520007E14</v>
      </c>
      <c r="G8" s="172" t="s">
        <v>400</v>
      </c>
      <c r="H8" s="72">
        <v>15752.0</v>
      </c>
      <c r="I8" s="18" t="s">
        <v>182</v>
      </c>
      <c r="J8" s="37" t="s">
        <v>401</v>
      </c>
      <c r="K8" s="37"/>
      <c r="L8" s="197" t="s">
        <v>402</v>
      </c>
      <c r="M8" s="62"/>
      <c r="N8" s="62"/>
      <c r="O8" s="62"/>
      <c r="P8" s="62"/>
      <c r="Q8" s="62"/>
      <c r="R8" s="62"/>
    </row>
    <row r="9" ht="15.75" customHeight="1">
      <c r="A9" s="11" t="s">
        <v>15</v>
      </c>
      <c r="B9" s="68" t="s">
        <v>388</v>
      </c>
      <c r="C9" s="69" t="s">
        <v>380</v>
      </c>
      <c r="D9" s="70">
        <v>0.6111111111111112</v>
      </c>
      <c r="E9" s="218" t="s">
        <v>403</v>
      </c>
      <c r="F9" s="149">
        <v>7.00603950632769E14</v>
      </c>
      <c r="G9" s="148" t="s">
        <v>404</v>
      </c>
      <c r="H9" s="150">
        <v>21263.0</v>
      </c>
      <c r="I9" s="18" t="s">
        <v>194</v>
      </c>
      <c r="J9" s="37" t="s">
        <v>405</v>
      </c>
      <c r="K9" s="37" t="s">
        <v>405</v>
      </c>
      <c r="L9" s="197" t="s">
        <v>393</v>
      </c>
      <c r="R9" s="62"/>
    </row>
    <row r="10" ht="15.75" customHeight="1">
      <c r="A10" s="11" t="s">
        <v>16</v>
      </c>
      <c r="B10" s="68" t="s">
        <v>388</v>
      </c>
      <c r="C10" s="69" t="s">
        <v>380</v>
      </c>
      <c r="D10" s="70">
        <v>0.625</v>
      </c>
      <c r="E10" s="215" t="s">
        <v>406</v>
      </c>
      <c r="F10" s="170">
        <v>7.00004199047608E14</v>
      </c>
      <c r="G10" s="238" t="s">
        <v>407</v>
      </c>
      <c r="H10" s="72">
        <v>39625.0</v>
      </c>
      <c r="I10" s="18" t="s">
        <v>182</v>
      </c>
      <c r="J10" s="97" t="s">
        <v>408</v>
      </c>
      <c r="K10" s="97" t="s">
        <v>409</v>
      </c>
      <c r="L10" s="197" t="s">
        <v>393</v>
      </c>
      <c r="R10" s="62"/>
    </row>
    <row r="11" ht="15.75" customHeight="1">
      <c r="A11" s="11" t="s">
        <v>17</v>
      </c>
      <c r="B11" s="68" t="s">
        <v>388</v>
      </c>
      <c r="C11" s="69" t="s">
        <v>380</v>
      </c>
      <c r="D11" s="70">
        <v>0.6388888888888888</v>
      </c>
      <c r="E11" s="218" t="s">
        <v>410</v>
      </c>
      <c r="F11" s="149">
        <v>2.03923706670002E14</v>
      </c>
      <c r="G11" s="148" t="s">
        <v>411</v>
      </c>
      <c r="H11" s="150">
        <v>20672.0</v>
      </c>
      <c r="I11" s="18" t="s">
        <v>182</v>
      </c>
      <c r="J11" s="37" t="s">
        <v>412</v>
      </c>
      <c r="K11" s="37" t="s">
        <v>413</v>
      </c>
      <c r="L11" s="197" t="s">
        <v>393</v>
      </c>
      <c r="R11" s="62"/>
    </row>
    <row r="12" ht="15.75" customHeight="1">
      <c r="A12" s="11" t="s">
        <v>85</v>
      </c>
      <c r="B12" s="68" t="s">
        <v>388</v>
      </c>
      <c r="C12" s="69" t="s">
        <v>380</v>
      </c>
      <c r="D12" s="70">
        <v>0.6527777777777778</v>
      </c>
      <c r="E12" s="218" t="s">
        <v>414</v>
      </c>
      <c r="F12" s="149">
        <v>2.03923309830003E14</v>
      </c>
      <c r="G12" s="148" t="s">
        <v>415</v>
      </c>
      <c r="H12" s="150">
        <v>26446.0</v>
      </c>
      <c r="I12" s="18" t="s">
        <v>182</v>
      </c>
      <c r="J12" s="37" t="s">
        <v>416</v>
      </c>
      <c r="K12" s="37"/>
      <c r="L12" s="197" t="s">
        <v>393</v>
      </c>
      <c r="R12" s="62"/>
    </row>
    <row r="13" ht="15.75" customHeight="1">
      <c r="A13" s="11" t="s">
        <v>87</v>
      </c>
      <c r="B13" s="68" t="s">
        <v>388</v>
      </c>
      <c r="C13" s="69" t="s">
        <v>380</v>
      </c>
      <c r="D13" s="70">
        <v>0.6666666666666666</v>
      </c>
      <c r="E13" s="215" t="s">
        <v>417</v>
      </c>
      <c r="F13" s="170">
        <v>1.25009411500007E14</v>
      </c>
      <c r="G13" s="186" t="s">
        <v>418</v>
      </c>
      <c r="H13" s="72">
        <v>22799.0</v>
      </c>
      <c r="I13" s="18" t="s">
        <v>182</v>
      </c>
      <c r="J13" s="37" t="s">
        <v>419</v>
      </c>
      <c r="K13" s="37" t="s">
        <v>420</v>
      </c>
      <c r="L13" s="197" t="s">
        <v>393</v>
      </c>
      <c r="R13" s="62"/>
    </row>
    <row r="14" ht="15.75" customHeight="1">
      <c r="A14" s="11" t="s">
        <v>90</v>
      </c>
      <c r="B14" s="68" t="s">
        <v>388</v>
      </c>
      <c r="C14" s="69" t="s">
        <v>380</v>
      </c>
      <c r="D14" s="70">
        <v>0.6805555555555556</v>
      </c>
      <c r="E14" s="218" t="s">
        <v>421</v>
      </c>
      <c r="F14" s="149">
        <v>2.07002284320007E14</v>
      </c>
      <c r="G14" s="148" t="s">
        <v>422</v>
      </c>
      <c r="H14" s="150">
        <v>27015.0</v>
      </c>
      <c r="I14" s="18" t="s">
        <v>182</v>
      </c>
      <c r="J14" s="37" t="s">
        <v>423</v>
      </c>
      <c r="K14" s="37"/>
      <c r="L14" s="197" t="s">
        <v>393</v>
      </c>
      <c r="R14" s="62"/>
    </row>
    <row r="15" ht="15.75" customHeight="1">
      <c r="A15" s="11" t="s">
        <v>93</v>
      </c>
      <c r="B15" s="68" t="s">
        <v>388</v>
      </c>
      <c r="C15" s="69" t="s">
        <v>380</v>
      </c>
      <c r="D15" s="70">
        <v>0.6944444444444444</v>
      </c>
      <c r="E15" s="215" t="s">
        <v>424</v>
      </c>
      <c r="F15" s="170">
        <v>8.01440401073535E14</v>
      </c>
      <c r="G15" s="186" t="s">
        <v>425</v>
      </c>
      <c r="H15" s="72">
        <v>19316.0</v>
      </c>
      <c r="I15" s="18" t="s">
        <v>182</v>
      </c>
      <c r="J15" s="179"/>
      <c r="K15" s="179"/>
      <c r="L15" s="197" t="s">
        <v>393</v>
      </c>
      <c r="R15" s="62"/>
    </row>
    <row r="16" ht="15.75" customHeight="1">
      <c r="R16" s="62"/>
    </row>
    <row r="17" ht="15.75" customHeight="1">
      <c r="R17" s="62"/>
    </row>
    <row r="18" ht="15.75" customHeight="1">
      <c r="A18" s="20" t="s">
        <v>426</v>
      </c>
      <c r="B18" s="2"/>
      <c r="C18" s="2"/>
      <c r="D18" s="2"/>
      <c r="E18" s="2"/>
      <c r="F18" s="2"/>
      <c r="G18" s="2"/>
      <c r="H18" s="2"/>
      <c r="I18" s="2"/>
      <c r="J18" s="2"/>
      <c r="K18" s="3"/>
      <c r="R18" s="62"/>
    </row>
    <row r="19" ht="15.75" customHeight="1">
      <c r="A19" s="233" t="s">
        <v>427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2"/>
      <c r="B20" s="23" t="s">
        <v>3</v>
      </c>
      <c r="C20" s="24" t="s">
        <v>2</v>
      </c>
      <c r="D20" s="25" t="s">
        <v>5</v>
      </c>
      <c r="E20" s="25" t="s">
        <v>19</v>
      </c>
      <c r="F20" s="25" t="s">
        <v>6</v>
      </c>
      <c r="G20" s="25" t="s">
        <v>7</v>
      </c>
      <c r="H20" s="27" t="s">
        <v>8</v>
      </c>
      <c r="I20" s="28" t="s">
        <v>20</v>
      </c>
      <c r="J20" s="25" t="s">
        <v>21</v>
      </c>
      <c r="K20" s="25" t="s">
        <v>22</v>
      </c>
      <c r="R20" s="62"/>
    </row>
    <row r="21" ht="15.75" customHeight="1">
      <c r="A21" s="11" t="s">
        <v>10</v>
      </c>
      <c r="B21" s="69" t="s">
        <v>428</v>
      </c>
      <c r="C21" s="69" t="s">
        <v>429</v>
      </c>
      <c r="D21" s="70">
        <v>0.5416666666666666</v>
      </c>
      <c r="E21" s="248" t="s">
        <v>430</v>
      </c>
      <c r="F21" s="75">
        <v>8.01440495060203E14</v>
      </c>
      <c r="G21" s="75" t="s">
        <v>431</v>
      </c>
      <c r="H21" s="77">
        <v>33039.0</v>
      </c>
      <c r="I21" s="18" t="s">
        <v>182</v>
      </c>
      <c r="J21" s="97"/>
      <c r="K21" s="97"/>
      <c r="N21" s="237" t="s">
        <v>386</v>
      </c>
      <c r="O21" s="95"/>
      <c r="P21" s="95"/>
      <c r="Q21" s="95"/>
      <c r="R21" s="62"/>
    </row>
    <row r="22" ht="15.75" customHeight="1">
      <c r="A22" s="11" t="s">
        <v>11</v>
      </c>
      <c r="B22" s="69" t="s">
        <v>432</v>
      </c>
      <c r="C22" s="69" t="s">
        <v>429</v>
      </c>
      <c r="D22" s="70">
        <v>0.5555555555555556</v>
      </c>
      <c r="E22" s="249" t="s">
        <v>433</v>
      </c>
      <c r="F22" s="250">
        <v>1.06508855190009E14</v>
      </c>
      <c r="G22" s="251" t="s">
        <v>434</v>
      </c>
      <c r="H22" s="252">
        <v>17970.0</v>
      </c>
      <c r="I22" s="18" t="s">
        <v>182</v>
      </c>
      <c r="J22" s="37"/>
      <c r="K22" s="37"/>
      <c r="N22" s="239" t="s">
        <v>435</v>
      </c>
      <c r="O22" s="2"/>
      <c r="P22" s="2"/>
      <c r="Q22" s="2"/>
      <c r="R22" s="62"/>
    </row>
    <row r="23" ht="15.75" customHeight="1">
      <c r="A23" s="11" t="s">
        <v>12</v>
      </c>
      <c r="B23" s="62" t="s">
        <v>428</v>
      </c>
      <c r="C23" s="69" t="s">
        <v>429</v>
      </c>
      <c r="D23" s="70">
        <v>0.5694444444444444</v>
      </c>
      <c r="E23" s="253" t="s">
        <v>436</v>
      </c>
      <c r="F23" s="69">
        <v>2.04302288260001E14</v>
      </c>
      <c r="G23" s="69" t="s">
        <v>437</v>
      </c>
      <c r="H23" s="153">
        <v>19846.0</v>
      </c>
      <c r="I23" s="18" t="s">
        <v>182</v>
      </c>
      <c r="J23" s="97"/>
      <c r="K23" s="97"/>
      <c r="N23" s="240" t="s">
        <v>182</v>
      </c>
      <c r="O23" s="241" t="s">
        <v>194</v>
      </c>
      <c r="P23" s="241" t="s">
        <v>180</v>
      </c>
      <c r="Q23" s="242" t="s">
        <v>172</v>
      </c>
      <c r="R23" s="62" t="s">
        <v>438</v>
      </c>
    </row>
    <row r="24" ht="15.75" customHeight="1">
      <c r="A24" s="11" t="s">
        <v>13</v>
      </c>
      <c r="B24" s="69" t="s">
        <v>432</v>
      </c>
      <c r="C24" s="69" t="s">
        <v>429</v>
      </c>
      <c r="D24" s="70">
        <v>0.5833333333333334</v>
      </c>
      <c r="E24" s="254" t="s">
        <v>439</v>
      </c>
      <c r="F24" s="71">
        <v>2.04296387060005E14</v>
      </c>
      <c r="G24" s="138" t="s">
        <v>440</v>
      </c>
      <c r="H24" s="255">
        <v>20781.0</v>
      </c>
      <c r="I24" s="18" t="s">
        <v>182</v>
      </c>
      <c r="J24" s="97"/>
      <c r="K24" s="97"/>
      <c r="L24" s="197" t="s">
        <v>441</v>
      </c>
      <c r="N24" s="244">
        <f>COUNTIFS(I$21:I$32,N23)</f>
        <v>9</v>
      </c>
      <c r="O24" s="244">
        <f t="shared" ref="O24:R24" si="2">COUNTIFS($I$21:$I$32,O23)</f>
        <v>0</v>
      </c>
      <c r="P24" s="244">
        <f t="shared" si="2"/>
        <v>0</v>
      </c>
      <c r="Q24" s="244">
        <f t="shared" si="2"/>
        <v>0</v>
      </c>
      <c r="R24" s="62">
        <f t="shared" si="2"/>
        <v>3</v>
      </c>
    </row>
    <row r="25" ht="15.75" customHeight="1">
      <c r="A25" s="11" t="s">
        <v>14</v>
      </c>
      <c r="B25" s="69" t="s">
        <v>442</v>
      </c>
      <c r="C25" s="69" t="s">
        <v>429</v>
      </c>
      <c r="D25" s="70">
        <v>0.5972222222222222</v>
      </c>
      <c r="E25" s="247" t="s">
        <v>443</v>
      </c>
      <c r="F25" s="146">
        <v>7.00501500697559E14</v>
      </c>
      <c r="G25" s="192" t="s">
        <v>444</v>
      </c>
      <c r="H25" s="72">
        <v>32465.0</v>
      </c>
      <c r="I25" s="18" t="s">
        <v>182</v>
      </c>
      <c r="J25" s="37"/>
      <c r="K25" s="37"/>
      <c r="L25" s="197" t="s">
        <v>441</v>
      </c>
      <c r="R25" s="62"/>
    </row>
    <row r="26" ht="15.75" customHeight="1">
      <c r="A26" s="11" t="s">
        <v>15</v>
      </c>
      <c r="B26" s="69" t="s">
        <v>432</v>
      </c>
      <c r="C26" s="69" t="s">
        <v>429</v>
      </c>
      <c r="D26" s="70">
        <v>0.6111111111111112</v>
      </c>
      <c r="E26" s="256" t="s">
        <v>445</v>
      </c>
      <c r="F26" s="79">
        <v>8.01440406110773E14</v>
      </c>
      <c r="G26" s="79" t="s">
        <v>446</v>
      </c>
      <c r="H26" s="257">
        <v>17381.0</v>
      </c>
      <c r="I26" s="18" t="s">
        <v>182</v>
      </c>
      <c r="J26" s="37"/>
      <c r="K26" s="37"/>
      <c r="L26" s="197" t="s">
        <v>441</v>
      </c>
      <c r="R26" s="62"/>
    </row>
    <row r="27" ht="15.75" customHeight="1">
      <c r="A27" s="11" t="s">
        <v>16</v>
      </c>
      <c r="B27" s="69" t="s">
        <v>447</v>
      </c>
      <c r="C27" s="69" t="s">
        <v>429</v>
      </c>
      <c r="D27" s="70">
        <v>0.625</v>
      </c>
      <c r="E27" s="214" t="s">
        <v>448</v>
      </c>
      <c r="F27" s="79">
        <v>8.01440407196973E14</v>
      </c>
      <c r="G27" s="79" t="s">
        <v>449</v>
      </c>
      <c r="H27" s="78">
        <v>17546.0</v>
      </c>
      <c r="I27" s="18" t="s">
        <v>182</v>
      </c>
      <c r="J27" s="97"/>
      <c r="K27" s="97"/>
      <c r="L27" s="197" t="s">
        <v>441</v>
      </c>
      <c r="R27" s="62"/>
    </row>
    <row r="28" ht="15.75" customHeight="1">
      <c r="A28" s="11" t="s">
        <v>17</v>
      </c>
      <c r="B28" s="69" t="s">
        <v>442</v>
      </c>
      <c r="C28" s="69" t="s">
        <v>429</v>
      </c>
      <c r="D28" s="70">
        <v>0.6388888888888888</v>
      </c>
      <c r="E28" s="214" t="s">
        <v>450</v>
      </c>
      <c r="F28" s="79">
        <v>8.01440469458815E14</v>
      </c>
      <c r="G28" s="79" t="s">
        <v>451</v>
      </c>
      <c r="H28" s="78">
        <v>17810.0</v>
      </c>
      <c r="I28" s="18" t="s">
        <v>182</v>
      </c>
      <c r="J28" s="37"/>
      <c r="K28" s="37"/>
      <c r="L28" s="197" t="s">
        <v>441</v>
      </c>
      <c r="R28" s="62"/>
    </row>
    <row r="29" ht="15.75" customHeight="1">
      <c r="A29" s="11" t="s">
        <v>85</v>
      </c>
      <c r="B29" s="69"/>
      <c r="C29" s="69" t="s">
        <v>429</v>
      </c>
      <c r="D29" s="70">
        <v>0.6527777777777778</v>
      </c>
      <c r="E29" s="247"/>
      <c r="F29" s="146"/>
      <c r="G29" s="166" t="s">
        <v>438</v>
      </c>
      <c r="H29" s="86"/>
      <c r="I29" s="18" t="s">
        <v>438</v>
      </c>
      <c r="J29" s="37"/>
      <c r="K29" s="37"/>
      <c r="R29" s="62"/>
    </row>
    <row r="30" ht="15.75" customHeight="1">
      <c r="A30" s="11" t="s">
        <v>87</v>
      </c>
      <c r="B30" s="69" t="s">
        <v>447</v>
      </c>
      <c r="C30" s="69" t="s">
        <v>429</v>
      </c>
      <c r="D30" s="70">
        <v>0.6666666666666666</v>
      </c>
      <c r="E30" s="218" t="s">
        <v>452</v>
      </c>
      <c r="F30" s="127">
        <v>1.65497385050007E14</v>
      </c>
      <c r="G30" s="100" t="s">
        <v>453</v>
      </c>
      <c r="H30" s="153">
        <v>16990.0</v>
      </c>
      <c r="I30" s="18" t="s">
        <v>182</v>
      </c>
      <c r="J30" s="37"/>
      <c r="K30" s="37"/>
      <c r="L30" s="197" t="s">
        <v>454</v>
      </c>
      <c r="R30" s="62"/>
    </row>
    <row r="31" ht="15.75" customHeight="1">
      <c r="A31" s="11" t="s">
        <v>90</v>
      </c>
      <c r="B31" s="68"/>
      <c r="C31" s="69" t="s">
        <v>429</v>
      </c>
      <c r="D31" s="70">
        <v>0.6805555555555556</v>
      </c>
      <c r="E31" s="258"/>
      <c r="G31" s="166" t="s">
        <v>438</v>
      </c>
      <c r="H31" s="153"/>
      <c r="I31" s="18" t="s">
        <v>438</v>
      </c>
      <c r="J31" s="37"/>
      <c r="K31" s="37"/>
      <c r="R31" s="62"/>
    </row>
    <row r="32" ht="15.75" customHeight="1">
      <c r="A32" s="11" t="s">
        <v>93</v>
      </c>
      <c r="B32" s="68"/>
      <c r="C32" s="69" t="s">
        <v>429</v>
      </c>
      <c r="D32" s="70">
        <v>0.6944444444444444</v>
      </c>
      <c r="E32" s="258"/>
      <c r="F32" s="127"/>
      <c r="G32" s="166" t="s">
        <v>438</v>
      </c>
      <c r="H32" s="153"/>
      <c r="I32" s="18" t="s">
        <v>438</v>
      </c>
      <c r="J32" s="179"/>
      <c r="K32" s="179"/>
      <c r="R32" s="62"/>
    </row>
    <row r="33" ht="15.75" customHeight="1">
      <c r="R33" s="62"/>
    </row>
    <row r="34" ht="15.75" customHeight="1">
      <c r="R34" s="62"/>
    </row>
    <row r="35" ht="15.75" customHeight="1">
      <c r="A35" s="20" t="s">
        <v>455</v>
      </c>
      <c r="B35" s="2"/>
      <c r="C35" s="2"/>
      <c r="D35" s="2"/>
      <c r="E35" s="2"/>
      <c r="F35" s="2"/>
      <c r="G35" s="2"/>
      <c r="H35" s="2"/>
      <c r="I35" s="2"/>
      <c r="J35" s="2"/>
      <c r="K35" s="3"/>
      <c r="R35" s="62"/>
    </row>
    <row r="36" ht="15.75" customHeight="1">
      <c r="A36" s="233" t="s">
        <v>456</v>
      </c>
      <c r="B36" s="2"/>
      <c r="C36" s="2"/>
      <c r="D36" s="2"/>
      <c r="E36" s="2"/>
      <c r="F36" s="2"/>
      <c r="G36" s="2"/>
      <c r="H36" s="2"/>
      <c r="I36" s="2"/>
      <c r="J36" s="2"/>
      <c r="K36" s="3"/>
      <c r="R36" s="62"/>
    </row>
    <row r="37" ht="15.75" customHeight="1">
      <c r="A37" s="22"/>
      <c r="B37" s="23" t="s">
        <v>3</v>
      </c>
      <c r="C37" s="24" t="s">
        <v>2</v>
      </c>
      <c r="D37" s="25" t="s">
        <v>5</v>
      </c>
      <c r="E37" s="25" t="s">
        <v>19</v>
      </c>
      <c r="F37" s="25" t="s">
        <v>6</v>
      </c>
      <c r="G37" s="234" t="s">
        <v>7</v>
      </c>
      <c r="H37" s="27" t="s">
        <v>8</v>
      </c>
      <c r="I37" s="28" t="s">
        <v>20</v>
      </c>
      <c r="J37" s="25" t="s">
        <v>21</v>
      </c>
      <c r="K37" s="25" t="s">
        <v>22</v>
      </c>
      <c r="R37" s="62"/>
    </row>
    <row r="38" ht="15.75" customHeight="1">
      <c r="A38" s="11" t="s">
        <v>10</v>
      </c>
      <c r="B38" s="68"/>
      <c r="C38" s="69" t="s">
        <v>429</v>
      </c>
      <c r="D38" s="70">
        <v>0.3333333333333333</v>
      </c>
      <c r="E38" s="214"/>
      <c r="F38" s="79"/>
      <c r="G38" s="166" t="s">
        <v>438</v>
      </c>
      <c r="H38" s="78"/>
      <c r="I38" s="18" t="s">
        <v>438</v>
      </c>
      <c r="J38" s="97"/>
      <c r="K38" s="97"/>
      <c r="N38" s="237" t="s">
        <v>386</v>
      </c>
      <c r="O38" s="95"/>
      <c r="P38" s="95"/>
      <c r="Q38" s="95"/>
      <c r="R38" s="62"/>
    </row>
    <row r="39" ht="15.75" customHeight="1">
      <c r="A39" s="11" t="s">
        <v>11</v>
      </c>
      <c r="B39" s="68" t="s">
        <v>457</v>
      </c>
      <c r="C39" s="69" t="s">
        <v>429</v>
      </c>
      <c r="D39" s="70">
        <v>0.3472222222222222</v>
      </c>
      <c r="E39" s="215" t="s">
        <v>458</v>
      </c>
      <c r="F39" s="170">
        <v>7.06409148448885E14</v>
      </c>
      <c r="G39" s="259" t="s">
        <v>459</v>
      </c>
      <c r="H39" s="72">
        <v>17848.0</v>
      </c>
      <c r="I39" s="18" t="s">
        <v>182</v>
      </c>
      <c r="J39" s="37"/>
      <c r="K39" s="37"/>
      <c r="N39" s="239" t="s">
        <v>460</v>
      </c>
      <c r="O39" s="2"/>
      <c r="P39" s="2"/>
      <c r="Q39" s="2"/>
      <c r="R39" s="62"/>
    </row>
    <row r="40" ht="15.75" customHeight="1">
      <c r="A40" s="11" t="s">
        <v>12</v>
      </c>
      <c r="B40" s="68"/>
      <c r="C40" s="69" t="s">
        <v>429</v>
      </c>
      <c r="D40" s="70">
        <v>0.3611111111111111</v>
      </c>
      <c r="E40" s="214"/>
      <c r="F40" s="79"/>
      <c r="G40" s="74"/>
      <c r="H40" s="78"/>
      <c r="I40" s="18" t="s">
        <v>180</v>
      </c>
      <c r="J40" s="97"/>
      <c r="K40" s="97"/>
      <c r="N40" s="240" t="s">
        <v>182</v>
      </c>
      <c r="O40" s="241" t="s">
        <v>194</v>
      </c>
      <c r="P40" s="241" t="s">
        <v>180</v>
      </c>
      <c r="Q40" s="242" t="s">
        <v>172</v>
      </c>
      <c r="R40" s="62" t="s">
        <v>438</v>
      </c>
    </row>
    <row r="41" ht="15.75" customHeight="1">
      <c r="A41" s="11" t="s">
        <v>13</v>
      </c>
      <c r="B41" s="68" t="s">
        <v>457</v>
      </c>
      <c r="C41" s="69" t="s">
        <v>429</v>
      </c>
      <c r="D41" s="70">
        <v>0.375</v>
      </c>
      <c r="E41" s="214" t="s">
        <v>461</v>
      </c>
      <c r="F41" s="79">
        <v>8.98001423621702E14</v>
      </c>
      <c r="G41" s="74" t="s">
        <v>462</v>
      </c>
      <c r="H41" s="78">
        <v>19924.0</v>
      </c>
      <c r="I41" s="18" t="s">
        <v>194</v>
      </c>
      <c r="J41" s="97"/>
      <c r="K41" s="97"/>
      <c r="N41" s="244">
        <f t="shared" ref="N41:Q41" si="3">COUNTIFS($I$38:$I$49,N40)</f>
        <v>7</v>
      </c>
      <c r="O41" s="244">
        <f t="shared" si="3"/>
        <v>1</v>
      </c>
      <c r="P41" s="244">
        <f t="shared" si="3"/>
        <v>1</v>
      </c>
      <c r="Q41" s="244">
        <f t="shared" si="3"/>
        <v>0</v>
      </c>
      <c r="R41" s="62">
        <f>COUNTIFS(I38:I49,R40)</f>
        <v>3</v>
      </c>
    </row>
    <row r="42" ht="15.75" customHeight="1">
      <c r="A42" s="11" t="s">
        <v>14</v>
      </c>
      <c r="B42" s="68" t="s">
        <v>463</v>
      </c>
      <c r="C42" s="69" t="s">
        <v>429</v>
      </c>
      <c r="D42" s="70">
        <v>0.3888888888888889</v>
      </c>
      <c r="E42" s="260" t="s">
        <v>464</v>
      </c>
      <c r="F42" s="146">
        <v>8.01440468370094E14</v>
      </c>
      <c r="G42" s="172" t="s">
        <v>239</v>
      </c>
      <c r="H42" s="72">
        <v>18757.0</v>
      </c>
      <c r="I42" s="18" t="s">
        <v>182</v>
      </c>
      <c r="J42" s="37" t="s">
        <v>465</v>
      </c>
      <c r="K42" s="37"/>
      <c r="R42" s="62"/>
    </row>
    <row r="43" ht="15.75" customHeight="1">
      <c r="A43" s="11" t="s">
        <v>15</v>
      </c>
      <c r="B43" s="68" t="s">
        <v>466</v>
      </c>
      <c r="C43" s="69" t="s">
        <v>429</v>
      </c>
      <c r="D43" s="70">
        <v>0.4027777777777778</v>
      </c>
      <c r="E43" s="247" t="s">
        <v>467</v>
      </c>
      <c r="F43" s="79">
        <v>7.00500186776357E14</v>
      </c>
      <c r="G43" s="74" t="s">
        <v>468</v>
      </c>
      <c r="H43" s="78" t="s">
        <v>469</v>
      </c>
      <c r="I43" s="18" t="s">
        <v>182</v>
      </c>
      <c r="J43" s="37">
        <v>1.1954311621E10</v>
      </c>
      <c r="K43" s="37"/>
      <c r="R43" s="62"/>
    </row>
    <row r="44" ht="15.75" customHeight="1">
      <c r="A44" s="11" t="s">
        <v>16</v>
      </c>
      <c r="B44" s="68"/>
      <c r="C44" s="69" t="s">
        <v>429</v>
      </c>
      <c r="D44" s="70">
        <v>0.4166666666666667</v>
      </c>
      <c r="E44" s="215"/>
      <c r="F44" s="71"/>
      <c r="G44" s="166" t="s">
        <v>438</v>
      </c>
      <c r="H44" s="261"/>
      <c r="I44" s="18" t="s">
        <v>438</v>
      </c>
      <c r="J44" s="97"/>
      <c r="K44" s="97"/>
      <c r="R44" s="62"/>
    </row>
    <row r="45" ht="15.75" customHeight="1">
      <c r="A45" s="11" t="s">
        <v>17</v>
      </c>
      <c r="B45" s="68" t="s">
        <v>286</v>
      </c>
      <c r="C45" s="69" t="s">
        <v>429</v>
      </c>
      <c r="D45" s="70">
        <v>0.4305555555555556</v>
      </c>
      <c r="E45" s="214" t="s">
        <v>470</v>
      </c>
      <c r="F45" s="79">
        <v>7.08403788599967E14</v>
      </c>
      <c r="G45" s="74" t="s">
        <v>471</v>
      </c>
      <c r="H45" s="78">
        <v>16248.0</v>
      </c>
      <c r="I45" s="18" t="s">
        <v>182</v>
      </c>
      <c r="J45" s="37" t="s">
        <v>472</v>
      </c>
      <c r="K45" s="37"/>
      <c r="R45" s="62"/>
    </row>
    <row r="46" ht="15.75" customHeight="1">
      <c r="A46" s="11" t="s">
        <v>85</v>
      </c>
      <c r="B46" s="68" t="s">
        <v>398</v>
      </c>
      <c r="C46" s="69" t="s">
        <v>429</v>
      </c>
      <c r="D46" s="70">
        <v>0.4444444444444444</v>
      </c>
      <c r="E46" s="247" t="s">
        <v>473</v>
      </c>
      <c r="F46" s="146">
        <v>8.01440403429973E14</v>
      </c>
      <c r="G46" s="74" t="s">
        <v>474</v>
      </c>
      <c r="H46" s="86">
        <v>16115.0</v>
      </c>
      <c r="I46" s="18" t="s">
        <v>182</v>
      </c>
      <c r="J46" s="37" t="s">
        <v>475</v>
      </c>
      <c r="K46" s="37"/>
      <c r="R46" s="62"/>
    </row>
    <row r="47" ht="15.75" customHeight="1">
      <c r="A47" s="11" t="s">
        <v>87</v>
      </c>
      <c r="B47" s="68" t="s">
        <v>294</v>
      </c>
      <c r="C47" s="69" t="s">
        <v>429</v>
      </c>
      <c r="D47" s="70">
        <v>0.4583333333333333</v>
      </c>
      <c r="E47" s="218" t="s">
        <v>476</v>
      </c>
      <c r="F47" s="149">
        <v>7.01402649558031E14</v>
      </c>
      <c r="G47" s="100" t="s">
        <v>214</v>
      </c>
      <c r="H47" s="153">
        <v>29787.0</v>
      </c>
      <c r="I47" s="18" t="s">
        <v>182</v>
      </c>
      <c r="J47" s="37" t="s">
        <v>215</v>
      </c>
      <c r="K47" s="37"/>
      <c r="R47" s="62"/>
    </row>
    <row r="48" ht="15.75" customHeight="1">
      <c r="A48" s="11" t="s">
        <v>90</v>
      </c>
      <c r="B48" s="68" t="s">
        <v>463</v>
      </c>
      <c r="C48" s="69" t="s">
        <v>429</v>
      </c>
      <c r="D48" s="70">
        <v>0.4722222222222222</v>
      </c>
      <c r="E48" s="262" t="s">
        <v>477</v>
      </c>
      <c r="F48" s="127">
        <v>1.05623367420001E14</v>
      </c>
      <c r="G48" s="100" t="s">
        <v>241</v>
      </c>
      <c r="H48" s="153">
        <v>18324.0</v>
      </c>
      <c r="I48" s="18" t="s">
        <v>182</v>
      </c>
      <c r="J48" s="37" t="s">
        <v>478</v>
      </c>
      <c r="K48" s="37"/>
      <c r="R48" s="62"/>
    </row>
    <row r="49" ht="15.75" customHeight="1">
      <c r="A49" s="11" t="s">
        <v>93</v>
      </c>
      <c r="B49" s="68"/>
      <c r="C49" s="69" t="s">
        <v>429</v>
      </c>
      <c r="D49" s="70">
        <v>0.4861111111111111</v>
      </c>
      <c r="E49" s="258"/>
      <c r="F49" s="127"/>
      <c r="G49" s="166" t="s">
        <v>438</v>
      </c>
      <c r="H49" s="153"/>
      <c r="I49" s="18" t="s">
        <v>438</v>
      </c>
      <c r="J49" s="179"/>
      <c r="K49" s="179"/>
      <c r="R49" s="62"/>
    </row>
    <row r="50" ht="15.75" customHeight="1">
      <c r="E50" s="263"/>
      <c r="R50" s="62"/>
    </row>
    <row r="51" ht="15.75" customHeight="1">
      <c r="R51" s="62"/>
    </row>
    <row r="52" ht="15.75" customHeight="1">
      <c r="R52" s="62"/>
    </row>
    <row r="53" ht="15.75" customHeight="1">
      <c r="A53" s="20" t="s">
        <v>479</v>
      </c>
      <c r="B53" s="2"/>
      <c r="C53" s="2"/>
      <c r="D53" s="2"/>
      <c r="E53" s="2"/>
      <c r="F53" s="2"/>
      <c r="G53" s="2"/>
      <c r="H53" s="2"/>
      <c r="I53" s="2"/>
      <c r="J53" s="2"/>
      <c r="K53" s="3"/>
      <c r="R53" s="62"/>
    </row>
    <row r="54" ht="15.75" customHeight="1">
      <c r="A54" s="233" t="s">
        <v>480</v>
      </c>
      <c r="B54" s="2"/>
      <c r="C54" s="2"/>
      <c r="D54" s="2"/>
      <c r="E54" s="2"/>
      <c r="F54" s="2"/>
      <c r="G54" s="2"/>
      <c r="H54" s="2"/>
      <c r="I54" s="2"/>
      <c r="J54" s="2"/>
      <c r="K54" s="3"/>
      <c r="R54" s="62"/>
    </row>
    <row r="55" ht="15.75" customHeight="1">
      <c r="A55" s="22"/>
      <c r="B55" s="23" t="s">
        <v>3</v>
      </c>
      <c r="C55" s="24" t="s">
        <v>2</v>
      </c>
      <c r="D55" s="25" t="s">
        <v>5</v>
      </c>
      <c r="E55" s="25" t="s">
        <v>19</v>
      </c>
      <c r="F55" s="25" t="s">
        <v>6</v>
      </c>
      <c r="G55" s="234" t="s">
        <v>7</v>
      </c>
      <c r="H55" s="27" t="s">
        <v>8</v>
      </c>
      <c r="I55" s="28" t="s">
        <v>20</v>
      </c>
      <c r="J55" s="25" t="s">
        <v>21</v>
      </c>
      <c r="K55" s="25" t="s">
        <v>22</v>
      </c>
      <c r="R55" s="62"/>
    </row>
    <row r="56" ht="15.75" customHeight="1">
      <c r="A56" s="11" t="s">
        <v>10</v>
      </c>
      <c r="B56" s="69" t="s">
        <v>323</v>
      </c>
      <c r="C56" s="69" t="s">
        <v>481</v>
      </c>
      <c r="D56" s="70">
        <v>0.5416666666666666</v>
      </c>
      <c r="E56" s="219" t="s">
        <v>482</v>
      </c>
      <c r="F56" s="192">
        <v>2.1014642223E14</v>
      </c>
      <c r="G56" s="54" t="s">
        <v>324</v>
      </c>
      <c r="H56" s="193">
        <v>24550.0</v>
      </c>
      <c r="I56" s="18" t="s">
        <v>182</v>
      </c>
      <c r="J56" s="97" t="s">
        <v>483</v>
      </c>
      <c r="K56" s="97"/>
      <c r="N56" s="237" t="s">
        <v>386</v>
      </c>
      <c r="O56" s="95"/>
      <c r="P56" s="95"/>
      <c r="Q56" s="95"/>
      <c r="R56" s="62"/>
    </row>
    <row r="57" ht="15.75" customHeight="1">
      <c r="A57" s="11" t="s">
        <v>11</v>
      </c>
      <c r="B57" s="206" t="s">
        <v>258</v>
      </c>
      <c r="C57" s="206" t="s">
        <v>481</v>
      </c>
      <c r="D57" s="264">
        <v>0.5555555555555556</v>
      </c>
      <c r="E57" s="253" t="s">
        <v>484</v>
      </c>
      <c r="F57" s="206">
        <v>7.0570248206823E14</v>
      </c>
      <c r="G57" s="265" t="s">
        <v>485</v>
      </c>
      <c r="H57" s="153">
        <v>20830.0</v>
      </c>
      <c r="I57" s="18" t="s">
        <v>182</v>
      </c>
      <c r="J57" s="37" t="s">
        <v>486</v>
      </c>
      <c r="K57" s="37" t="s">
        <v>487</v>
      </c>
      <c r="N57" s="239" t="s">
        <v>488</v>
      </c>
      <c r="O57" s="2"/>
      <c r="P57" s="2"/>
      <c r="Q57" s="2"/>
      <c r="R57" s="62"/>
    </row>
    <row r="58" ht="15.75" customHeight="1">
      <c r="A58" s="11" t="s">
        <v>12</v>
      </c>
      <c r="B58" s="69" t="s">
        <v>489</v>
      </c>
      <c r="C58" s="69" t="s">
        <v>481</v>
      </c>
      <c r="D58" s="70">
        <v>0.5694444444444444</v>
      </c>
      <c r="E58" s="214" t="s">
        <v>490</v>
      </c>
      <c r="F58" s="79">
        <v>2.04296718350005E14</v>
      </c>
      <c r="G58" s="74" t="s">
        <v>491</v>
      </c>
      <c r="H58" s="78">
        <v>16215.0</v>
      </c>
      <c r="I58" s="18" t="s">
        <v>182</v>
      </c>
      <c r="J58" s="97"/>
      <c r="K58" s="97"/>
      <c r="N58" s="240" t="s">
        <v>182</v>
      </c>
      <c r="O58" s="241" t="s">
        <v>194</v>
      </c>
      <c r="P58" s="241" t="s">
        <v>180</v>
      </c>
      <c r="Q58" s="242" t="s">
        <v>172</v>
      </c>
      <c r="R58" s="62"/>
    </row>
    <row r="59" ht="15.75" customHeight="1">
      <c r="A59" s="11" t="s">
        <v>13</v>
      </c>
      <c r="B59" s="69" t="s">
        <v>492</v>
      </c>
      <c r="C59" s="69" t="s">
        <v>481</v>
      </c>
      <c r="D59" s="70">
        <v>0.5833333333333334</v>
      </c>
      <c r="E59" s="214" t="s">
        <v>493</v>
      </c>
      <c r="F59" s="79">
        <v>8.01440492054075E14</v>
      </c>
      <c r="G59" s="74" t="s">
        <v>494</v>
      </c>
      <c r="H59" s="78">
        <v>45806.0</v>
      </c>
      <c r="I59" s="18" t="s">
        <v>182</v>
      </c>
      <c r="J59" s="266">
        <v>9.92080483E8</v>
      </c>
      <c r="K59" s="266">
        <v>9.76111075E8</v>
      </c>
      <c r="N59" s="244">
        <f t="shared" ref="N59:Q59" si="4">COUNTIFS($I$56:$I$67,N58)</f>
        <v>11</v>
      </c>
      <c r="O59" s="244">
        <f t="shared" si="4"/>
        <v>0</v>
      </c>
      <c r="P59" s="244">
        <f t="shared" si="4"/>
        <v>1</v>
      </c>
      <c r="Q59" s="244">
        <f t="shared" si="4"/>
        <v>0</v>
      </c>
      <c r="R59" s="62"/>
    </row>
    <row r="60" ht="15.75" customHeight="1">
      <c r="A60" s="11" t="s">
        <v>14</v>
      </c>
      <c r="B60" s="62" t="s">
        <v>489</v>
      </c>
      <c r="C60" s="69" t="s">
        <v>481</v>
      </c>
      <c r="D60" s="70">
        <v>0.5972222222222222</v>
      </c>
      <c r="E60" s="267" t="s">
        <v>495</v>
      </c>
      <c r="F60" s="128">
        <v>8.014404622457E14</v>
      </c>
      <c r="G60" s="268" t="s">
        <v>496</v>
      </c>
      <c r="H60" s="269">
        <v>19937.0</v>
      </c>
      <c r="I60" s="18" t="s">
        <v>182</v>
      </c>
      <c r="J60" s="128"/>
      <c r="K60" s="128"/>
      <c r="R60" s="62"/>
    </row>
    <row r="61" ht="15.75" customHeight="1">
      <c r="A61" s="11" t="s">
        <v>15</v>
      </c>
      <c r="B61" s="69" t="s">
        <v>258</v>
      </c>
      <c r="C61" s="69" t="s">
        <v>481</v>
      </c>
      <c r="D61" s="70">
        <v>0.6111111111111112</v>
      </c>
      <c r="E61" s="215" t="s">
        <v>497</v>
      </c>
      <c r="F61" s="170">
        <v>7.06406140617189E14</v>
      </c>
      <c r="G61" s="186" t="s">
        <v>498</v>
      </c>
      <c r="H61" s="72">
        <v>23434.0</v>
      </c>
      <c r="I61" s="18" t="s">
        <v>182</v>
      </c>
      <c r="J61" s="37" t="s">
        <v>499</v>
      </c>
      <c r="K61" s="37" t="s">
        <v>500</v>
      </c>
      <c r="R61" s="62"/>
    </row>
    <row r="62" ht="15.75" customHeight="1">
      <c r="A62" s="11" t="s">
        <v>16</v>
      </c>
      <c r="B62" s="69" t="s">
        <v>492</v>
      </c>
      <c r="C62" s="69" t="s">
        <v>481</v>
      </c>
      <c r="D62" s="70">
        <v>0.625</v>
      </c>
      <c r="E62" s="214" t="s">
        <v>501</v>
      </c>
      <c r="F62" s="79">
        <v>2.07261255840003E14</v>
      </c>
      <c r="G62" s="74" t="s">
        <v>502</v>
      </c>
      <c r="H62" s="78">
        <v>19140.0</v>
      </c>
      <c r="I62" s="18" t="s">
        <v>182</v>
      </c>
      <c r="J62" s="270" t="s">
        <v>503</v>
      </c>
      <c r="K62" s="266">
        <v>5.8312373E7</v>
      </c>
      <c r="R62" s="62"/>
    </row>
    <row r="63" ht="15.75" customHeight="1">
      <c r="A63" s="11" t="s">
        <v>17</v>
      </c>
      <c r="B63" s="69"/>
      <c r="C63" s="69" t="s">
        <v>481</v>
      </c>
      <c r="D63" s="70">
        <v>0.6388888888888888</v>
      </c>
      <c r="E63" s="214"/>
      <c r="F63" s="79"/>
      <c r="G63" s="74"/>
      <c r="H63" s="78">
        <v>36383.0</v>
      </c>
      <c r="I63" s="18" t="s">
        <v>180</v>
      </c>
      <c r="J63" s="271"/>
      <c r="K63" s="271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</row>
    <row r="64" ht="15.75" customHeight="1">
      <c r="A64" s="11" t="s">
        <v>85</v>
      </c>
      <c r="B64" s="68" t="s">
        <v>65</v>
      </c>
      <c r="C64" s="69" t="s">
        <v>481</v>
      </c>
      <c r="D64" s="70">
        <v>0.6527777777777778</v>
      </c>
      <c r="E64" s="247" t="s">
        <v>504</v>
      </c>
      <c r="F64" s="146">
        <v>8.0144043559796E14</v>
      </c>
      <c r="G64" s="74" t="s">
        <v>505</v>
      </c>
      <c r="H64" s="86">
        <v>21655.0</v>
      </c>
      <c r="I64" s="18" t="s">
        <v>182</v>
      </c>
      <c r="J64" s="37" t="s">
        <v>506</v>
      </c>
      <c r="K64" s="37"/>
      <c r="R64" s="62"/>
    </row>
    <row r="65" ht="15.75" customHeight="1">
      <c r="A65" s="11" t="s">
        <v>87</v>
      </c>
      <c r="B65" s="68" t="s">
        <v>65</v>
      </c>
      <c r="C65" s="69" t="s">
        <v>481</v>
      </c>
      <c r="D65" s="70">
        <v>0.6666666666666666</v>
      </c>
      <c r="E65" s="218" t="s">
        <v>507</v>
      </c>
      <c r="F65" s="146">
        <v>8.01440447569312E14</v>
      </c>
      <c r="G65" s="74" t="s">
        <v>508</v>
      </c>
      <c r="H65" s="86">
        <v>26441.0</v>
      </c>
      <c r="I65" s="18" t="s">
        <v>182</v>
      </c>
      <c r="J65" s="37" t="s">
        <v>509</v>
      </c>
      <c r="K65" s="37"/>
      <c r="R65" s="62"/>
    </row>
    <row r="66" ht="15.75" customHeight="1">
      <c r="A66" s="11" t="s">
        <v>90</v>
      </c>
      <c r="B66" s="68" t="s">
        <v>65</v>
      </c>
      <c r="C66" s="69" t="s">
        <v>481</v>
      </c>
      <c r="D66" s="70">
        <v>0.6805555555555556</v>
      </c>
      <c r="E66" s="258" t="s">
        <v>510</v>
      </c>
      <c r="F66" s="127">
        <v>1.07796167710004E14</v>
      </c>
      <c r="G66" s="74" t="s">
        <v>511</v>
      </c>
      <c r="H66" s="153">
        <v>22300.0</v>
      </c>
      <c r="I66" s="18" t="s">
        <v>182</v>
      </c>
      <c r="J66" s="37" t="s">
        <v>512</v>
      </c>
      <c r="K66" s="37"/>
      <c r="R66" s="62"/>
    </row>
    <row r="67" ht="15.75" customHeight="1">
      <c r="A67" s="11" t="s">
        <v>93</v>
      </c>
      <c r="B67" s="68" t="s">
        <v>65</v>
      </c>
      <c r="C67" s="69" t="s">
        <v>481</v>
      </c>
      <c r="D67" s="70">
        <v>0.6944444444444444</v>
      </c>
      <c r="E67" s="258" t="s">
        <v>513</v>
      </c>
      <c r="F67" s="127">
        <v>1.26515440530008E14</v>
      </c>
      <c r="G67" s="74" t="s">
        <v>514</v>
      </c>
      <c r="H67" s="153">
        <v>27007.0</v>
      </c>
      <c r="I67" s="18" t="s">
        <v>182</v>
      </c>
      <c r="J67" s="37" t="s">
        <v>515</v>
      </c>
      <c r="K67" s="179"/>
      <c r="R67" s="62"/>
    </row>
    <row r="68" ht="15.75" customHeight="1">
      <c r="R68" s="62"/>
    </row>
    <row r="69" ht="15.75" customHeight="1">
      <c r="R69" s="62"/>
    </row>
    <row r="70" ht="15.0" customHeight="1">
      <c r="R70" s="62"/>
    </row>
    <row r="71" ht="15.75" customHeight="1">
      <c r="A71" s="20" t="s">
        <v>455</v>
      </c>
      <c r="B71" s="2"/>
      <c r="C71" s="2"/>
      <c r="D71" s="2"/>
      <c r="E71" s="2"/>
      <c r="F71" s="2"/>
      <c r="G71" s="2"/>
      <c r="H71" s="2"/>
      <c r="I71" s="2"/>
      <c r="J71" s="2"/>
      <c r="K71" s="3"/>
      <c r="R71" s="62"/>
    </row>
    <row r="72" ht="15.75" customHeight="1">
      <c r="A72" s="233" t="s">
        <v>516</v>
      </c>
      <c r="B72" s="2"/>
      <c r="C72" s="2"/>
      <c r="D72" s="2"/>
      <c r="E72" s="2"/>
      <c r="F72" s="2"/>
      <c r="G72" s="2"/>
      <c r="H72" s="2"/>
      <c r="I72" s="2"/>
      <c r="J72" s="2"/>
      <c r="K72" s="3"/>
      <c r="R72" s="62"/>
    </row>
    <row r="73" ht="15.75" customHeight="1">
      <c r="A73" s="22"/>
      <c r="B73" s="23" t="s">
        <v>3</v>
      </c>
      <c r="C73" s="24" t="s">
        <v>2</v>
      </c>
      <c r="D73" s="25" t="s">
        <v>5</v>
      </c>
      <c r="E73" s="25" t="s">
        <v>19</v>
      </c>
      <c r="F73" s="25" t="s">
        <v>6</v>
      </c>
      <c r="G73" s="234" t="s">
        <v>7</v>
      </c>
      <c r="H73" s="27" t="s">
        <v>8</v>
      </c>
      <c r="I73" s="28" t="s">
        <v>20</v>
      </c>
      <c r="J73" s="25" t="s">
        <v>21</v>
      </c>
      <c r="K73" s="25" t="s">
        <v>22</v>
      </c>
      <c r="R73" s="62"/>
    </row>
    <row r="74" ht="15.75" customHeight="1">
      <c r="A74" s="11" t="s">
        <v>10</v>
      </c>
      <c r="B74" s="68" t="s">
        <v>294</v>
      </c>
      <c r="C74" s="69" t="s">
        <v>517</v>
      </c>
      <c r="D74" s="70">
        <v>0.5416666666666666</v>
      </c>
      <c r="E74" s="219" t="s">
        <v>518</v>
      </c>
      <c r="F74" s="127">
        <v>7.08005383684522E14</v>
      </c>
      <c r="G74" s="54" t="s">
        <v>224</v>
      </c>
      <c r="H74" s="193">
        <v>23721.0</v>
      </c>
      <c r="I74" s="18" t="s">
        <v>182</v>
      </c>
      <c r="J74" s="97" t="s">
        <v>225</v>
      </c>
      <c r="K74" s="97" t="s">
        <v>519</v>
      </c>
      <c r="L74" s="197" t="s">
        <v>520</v>
      </c>
      <c r="N74" s="237" t="s">
        <v>386</v>
      </c>
      <c r="O74" s="95"/>
      <c r="P74" s="95"/>
      <c r="Q74" s="95"/>
      <c r="R74" s="62"/>
    </row>
    <row r="75" ht="15.75" customHeight="1">
      <c r="A75" s="11" t="s">
        <v>11</v>
      </c>
      <c r="B75" s="68"/>
      <c r="C75" s="69" t="s">
        <v>517</v>
      </c>
      <c r="D75" s="70">
        <v>0.5555555555555556</v>
      </c>
      <c r="E75" s="215"/>
      <c r="F75" s="170"/>
      <c r="G75" s="54"/>
      <c r="H75" s="72"/>
      <c r="I75" s="18" t="s">
        <v>180</v>
      </c>
      <c r="J75" s="37"/>
      <c r="K75" s="37"/>
      <c r="N75" s="239" t="s">
        <v>521</v>
      </c>
      <c r="O75" s="2"/>
      <c r="P75" s="2"/>
      <c r="Q75" s="2"/>
      <c r="R75" s="62"/>
    </row>
    <row r="76" ht="15.75" customHeight="1">
      <c r="A76" s="11" t="s">
        <v>12</v>
      </c>
      <c r="B76" s="68" t="s">
        <v>275</v>
      </c>
      <c r="C76" s="69" t="s">
        <v>517</v>
      </c>
      <c r="D76" s="70">
        <v>0.5694444444444444</v>
      </c>
      <c r="E76" s="215" t="s">
        <v>522</v>
      </c>
      <c r="F76" s="170">
        <v>2.06882325950004E14</v>
      </c>
      <c r="G76" s="197" t="s">
        <v>523</v>
      </c>
      <c r="H76" s="78">
        <v>26670.0</v>
      </c>
      <c r="I76" s="18" t="s">
        <v>182</v>
      </c>
      <c r="J76" s="97">
        <v>1.197029393E10</v>
      </c>
      <c r="K76" s="97"/>
      <c r="L76" s="197" t="s">
        <v>520</v>
      </c>
      <c r="N76" s="240" t="s">
        <v>182</v>
      </c>
      <c r="O76" s="241" t="s">
        <v>194</v>
      </c>
      <c r="P76" s="241" t="s">
        <v>180</v>
      </c>
      <c r="Q76" s="242" t="s">
        <v>172</v>
      </c>
      <c r="R76" s="62"/>
    </row>
    <row r="77" ht="15.75" customHeight="1">
      <c r="A77" s="11" t="s">
        <v>13</v>
      </c>
      <c r="B77" s="68" t="s">
        <v>275</v>
      </c>
      <c r="C77" s="69" t="s">
        <v>517</v>
      </c>
      <c r="D77" s="70">
        <v>0.5833333333333334</v>
      </c>
      <c r="E77" s="214" t="s">
        <v>524</v>
      </c>
      <c r="F77" s="192">
        <v>7.00505324690058E14</v>
      </c>
      <c r="G77" s="54" t="s">
        <v>525</v>
      </c>
      <c r="H77" s="78">
        <v>20976.0</v>
      </c>
      <c r="I77" s="18" t="s">
        <v>182</v>
      </c>
      <c r="J77" s="97"/>
      <c r="K77" s="97"/>
      <c r="L77" s="197" t="s">
        <v>520</v>
      </c>
      <c r="N77" s="244">
        <f t="shared" ref="N77:Q77" si="5">COUNTIFS($I$74:$I$85,N76)</f>
        <v>10</v>
      </c>
      <c r="O77" s="244">
        <f t="shared" si="5"/>
        <v>0</v>
      </c>
      <c r="P77" s="244">
        <f t="shared" si="5"/>
        <v>2</v>
      </c>
      <c r="Q77" s="244">
        <f t="shared" si="5"/>
        <v>0</v>
      </c>
      <c r="R77" s="62"/>
    </row>
    <row r="78" ht="15.75" customHeight="1">
      <c r="A78" s="11" t="s">
        <v>14</v>
      </c>
      <c r="B78" s="68" t="s">
        <v>526</v>
      </c>
      <c r="C78" s="69" t="s">
        <v>517</v>
      </c>
      <c r="D78" s="70">
        <v>0.5972222222222222</v>
      </c>
      <c r="E78" s="247" t="s">
        <v>527</v>
      </c>
      <c r="F78" s="146">
        <v>8.01440497015E14</v>
      </c>
      <c r="G78" s="172" t="s">
        <v>528</v>
      </c>
      <c r="H78" s="72">
        <v>18469.0</v>
      </c>
      <c r="I78" s="18" t="s">
        <v>182</v>
      </c>
      <c r="J78" s="37" t="s">
        <v>529</v>
      </c>
      <c r="K78" s="37"/>
      <c r="L78" s="197" t="s">
        <v>520</v>
      </c>
      <c r="R78" s="62"/>
    </row>
    <row r="79" ht="15.75" customHeight="1">
      <c r="A79" s="11" t="s">
        <v>15</v>
      </c>
      <c r="B79" s="68" t="s">
        <v>65</v>
      </c>
      <c r="C79" s="69" t="s">
        <v>517</v>
      </c>
      <c r="D79" s="70">
        <v>0.6111111111111112</v>
      </c>
      <c r="E79" s="247" t="s">
        <v>530</v>
      </c>
      <c r="F79" s="146">
        <v>8.01440407031079E14</v>
      </c>
      <c r="G79" s="54" t="s">
        <v>531</v>
      </c>
      <c r="H79" s="72">
        <v>23047.0</v>
      </c>
      <c r="I79" s="18" t="s">
        <v>182</v>
      </c>
      <c r="J79" s="37" t="s">
        <v>532</v>
      </c>
      <c r="K79" s="37" t="s">
        <v>533</v>
      </c>
      <c r="L79" s="197" t="s">
        <v>520</v>
      </c>
      <c r="R79" s="62"/>
    </row>
    <row r="80" ht="15.75" customHeight="1">
      <c r="A80" s="11" t="s">
        <v>16</v>
      </c>
      <c r="B80" s="68" t="s">
        <v>201</v>
      </c>
      <c r="C80" s="69" t="s">
        <v>517</v>
      </c>
      <c r="D80" s="70">
        <v>0.625</v>
      </c>
      <c r="E80" s="258" t="s">
        <v>534</v>
      </c>
      <c r="F80" s="170">
        <v>7.05006856799654E14</v>
      </c>
      <c r="G80" s="74" t="s">
        <v>535</v>
      </c>
      <c r="H80" s="78">
        <v>16436.0</v>
      </c>
      <c r="I80" s="18" t="s">
        <v>182</v>
      </c>
      <c r="J80" s="272" t="s">
        <v>536</v>
      </c>
      <c r="K80" s="272" t="s">
        <v>537</v>
      </c>
      <c r="L80" s="197" t="s">
        <v>520</v>
      </c>
      <c r="R80" s="62"/>
    </row>
    <row r="81" ht="15.75" customHeight="1">
      <c r="A81" s="11" t="s">
        <v>178</v>
      </c>
      <c r="B81" s="68" t="s">
        <v>398</v>
      </c>
      <c r="C81" s="69" t="s">
        <v>517</v>
      </c>
      <c r="D81" s="70">
        <v>0.6388888888888888</v>
      </c>
      <c r="E81" s="215" t="s">
        <v>538</v>
      </c>
      <c r="F81" s="170">
        <v>2.07117075150005E14</v>
      </c>
      <c r="G81" s="238" t="s">
        <v>539</v>
      </c>
      <c r="H81" s="72">
        <v>24177.0</v>
      </c>
      <c r="I81" s="18" t="s">
        <v>182</v>
      </c>
      <c r="J81" s="37">
        <v>9.63659854E8</v>
      </c>
      <c r="K81" s="37"/>
      <c r="L81" s="197" t="s">
        <v>520</v>
      </c>
      <c r="R81" s="62"/>
    </row>
    <row r="82" ht="15.75" customHeight="1">
      <c r="A82" s="11" t="s">
        <v>85</v>
      </c>
      <c r="B82" s="68" t="s">
        <v>201</v>
      </c>
      <c r="C82" s="69" t="s">
        <v>517</v>
      </c>
      <c r="D82" s="70">
        <v>0.6527777777777778</v>
      </c>
      <c r="E82" s="258" t="s">
        <v>540</v>
      </c>
      <c r="F82" s="146">
        <v>8.01440477916924E14</v>
      </c>
      <c r="G82" s="74" t="s">
        <v>541</v>
      </c>
      <c r="H82" s="86">
        <v>25471.0</v>
      </c>
      <c r="I82" s="18" t="s">
        <v>182</v>
      </c>
      <c r="J82" s="132" t="s">
        <v>542</v>
      </c>
      <c r="K82" s="37"/>
      <c r="L82" s="197" t="s">
        <v>520</v>
      </c>
      <c r="R82" s="62"/>
    </row>
    <row r="83" ht="15.75" customHeight="1">
      <c r="A83" s="11" t="s">
        <v>87</v>
      </c>
      <c r="B83" s="68" t="s">
        <v>526</v>
      </c>
      <c r="C83" s="69" t="s">
        <v>517</v>
      </c>
      <c r="D83" s="70">
        <v>0.6666666666666666</v>
      </c>
      <c r="E83" s="218" t="s">
        <v>543</v>
      </c>
      <c r="F83" s="149">
        <v>8.01440497015E14</v>
      </c>
      <c r="G83" s="74" t="s">
        <v>544</v>
      </c>
      <c r="H83" s="153">
        <v>29861.0</v>
      </c>
      <c r="I83" s="18" t="s">
        <v>182</v>
      </c>
      <c r="J83" s="37" t="s">
        <v>545</v>
      </c>
      <c r="K83" s="37"/>
      <c r="L83" s="197" t="s">
        <v>520</v>
      </c>
      <c r="R83" s="62"/>
    </row>
    <row r="84" ht="15.75" customHeight="1">
      <c r="A84" s="11" t="s">
        <v>90</v>
      </c>
      <c r="B84" s="68" t="s">
        <v>65</v>
      </c>
      <c r="C84" s="69" t="s">
        <v>517</v>
      </c>
      <c r="D84" s="70">
        <v>0.6805555555555556</v>
      </c>
      <c r="E84" s="258" t="s">
        <v>546</v>
      </c>
      <c r="F84" s="127">
        <v>7.00003781365705E14</v>
      </c>
      <c r="G84" s="54" t="s">
        <v>547</v>
      </c>
      <c r="H84" s="153">
        <v>23766.0</v>
      </c>
      <c r="I84" s="18" t="s">
        <v>182</v>
      </c>
      <c r="J84" s="37" t="s">
        <v>548</v>
      </c>
      <c r="K84" s="37"/>
      <c r="L84" s="197" t="s">
        <v>520</v>
      </c>
      <c r="R84" s="62"/>
    </row>
    <row r="85" ht="15.75" customHeight="1">
      <c r="A85" s="11" t="s">
        <v>93</v>
      </c>
      <c r="B85" s="68"/>
      <c r="C85" s="69" t="s">
        <v>517</v>
      </c>
      <c r="D85" s="70">
        <v>0.6944444444444444</v>
      </c>
      <c r="E85" s="258"/>
      <c r="F85" s="127"/>
      <c r="G85" s="166"/>
      <c r="H85" s="153"/>
      <c r="I85" s="18" t="s">
        <v>180</v>
      </c>
      <c r="J85" s="179"/>
      <c r="K85" s="179"/>
      <c r="R85" s="62"/>
    </row>
    <row r="86" ht="15.75" customHeight="1">
      <c r="R86" s="62"/>
    </row>
    <row r="87" ht="15.75" customHeight="1">
      <c r="R87" s="62"/>
    </row>
    <row r="88" ht="15.75" customHeight="1">
      <c r="A88" s="20" t="s">
        <v>455</v>
      </c>
      <c r="B88" s="2"/>
      <c r="C88" s="2"/>
      <c r="D88" s="2"/>
      <c r="E88" s="2"/>
      <c r="F88" s="2"/>
      <c r="G88" s="2"/>
      <c r="H88" s="2"/>
      <c r="I88" s="2"/>
      <c r="J88" s="2"/>
      <c r="K88" s="3"/>
      <c r="R88" s="62"/>
    </row>
    <row r="89" ht="15.75" customHeight="1">
      <c r="A89" s="233" t="s">
        <v>549</v>
      </c>
      <c r="B89" s="2"/>
      <c r="C89" s="2"/>
      <c r="D89" s="2"/>
      <c r="E89" s="2"/>
      <c r="F89" s="2"/>
      <c r="G89" s="2"/>
      <c r="H89" s="2"/>
      <c r="I89" s="2"/>
      <c r="J89" s="2"/>
      <c r="K89" s="3"/>
      <c r="R89" s="62"/>
    </row>
    <row r="90" ht="15.75" customHeight="1">
      <c r="A90" s="22"/>
      <c r="B90" s="23" t="s">
        <v>3</v>
      </c>
      <c r="C90" s="24" t="s">
        <v>2</v>
      </c>
      <c r="D90" s="25" t="s">
        <v>5</v>
      </c>
      <c r="E90" s="25" t="s">
        <v>19</v>
      </c>
      <c r="F90" s="25" t="s">
        <v>6</v>
      </c>
      <c r="G90" s="234" t="s">
        <v>7</v>
      </c>
      <c r="H90" s="27" t="s">
        <v>8</v>
      </c>
      <c r="I90" s="28" t="s">
        <v>20</v>
      </c>
      <c r="J90" s="25" t="s">
        <v>21</v>
      </c>
      <c r="K90" s="25" t="s">
        <v>22</v>
      </c>
      <c r="R90" s="62"/>
    </row>
    <row r="91" ht="15.75" customHeight="1">
      <c r="A91" s="11" t="s">
        <v>10</v>
      </c>
      <c r="B91" s="68" t="s">
        <v>398</v>
      </c>
      <c r="C91" s="69" t="s">
        <v>380</v>
      </c>
      <c r="D91" s="70">
        <v>0.5416666666666666</v>
      </c>
      <c r="E91" s="214" t="s">
        <v>550</v>
      </c>
      <c r="F91" s="79">
        <v>1.23837825580018E14</v>
      </c>
      <c r="G91" s="74" t="s">
        <v>551</v>
      </c>
      <c r="H91" s="273">
        <v>24396.0</v>
      </c>
      <c r="I91" s="18" t="s">
        <v>182</v>
      </c>
      <c r="J91" s="97">
        <v>9.94346339E8</v>
      </c>
      <c r="K91" s="97"/>
      <c r="L91" s="197" t="s">
        <v>520</v>
      </c>
      <c r="N91" s="237" t="s">
        <v>386</v>
      </c>
      <c r="O91" s="95"/>
      <c r="P91" s="95"/>
      <c r="Q91" s="95"/>
      <c r="R91" s="62"/>
    </row>
    <row r="92" ht="15.75" customHeight="1">
      <c r="A92" s="11" t="s">
        <v>11</v>
      </c>
      <c r="B92" s="68" t="s">
        <v>552</v>
      </c>
      <c r="C92" s="69" t="s">
        <v>380</v>
      </c>
      <c r="D92" s="70">
        <v>0.5555555555555556</v>
      </c>
      <c r="E92" s="215" t="s">
        <v>553</v>
      </c>
      <c r="F92" s="170">
        <v>8.0144047601196E14</v>
      </c>
      <c r="G92" s="238" t="s">
        <v>554</v>
      </c>
      <c r="H92" s="274">
        <v>22011.0</v>
      </c>
      <c r="I92" s="18" t="s">
        <v>182</v>
      </c>
      <c r="J92" s="37" t="s">
        <v>555</v>
      </c>
      <c r="K92" s="37"/>
      <c r="N92" s="239" t="s">
        <v>556</v>
      </c>
      <c r="O92" s="2"/>
      <c r="P92" s="2"/>
      <c r="Q92" s="2"/>
      <c r="R92" s="62"/>
    </row>
    <row r="93" ht="15.75" customHeight="1">
      <c r="A93" s="11" t="s">
        <v>12</v>
      </c>
      <c r="B93" s="68" t="s">
        <v>275</v>
      </c>
      <c r="C93" s="69" t="s">
        <v>380</v>
      </c>
      <c r="D93" s="70">
        <v>0.5694444444444444</v>
      </c>
      <c r="E93" s="214" t="s">
        <v>557</v>
      </c>
      <c r="F93" s="275">
        <v>1.07547557780018E14</v>
      </c>
      <c r="G93" s="74" t="s">
        <v>558</v>
      </c>
      <c r="H93" s="276">
        <v>14643.0</v>
      </c>
      <c r="I93" s="18" t="s">
        <v>182</v>
      </c>
      <c r="J93" s="97"/>
      <c r="K93" s="97"/>
      <c r="L93" s="197" t="s">
        <v>520</v>
      </c>
      <c r="N93" s="240" t="s">
        <v>182</v>
      </c>
      <c r="O93" s="241" t="s">
        <v>194</v>
      </c>
      <c r="P93" s="241" t="s">
        <v>180</v>
      </c>
      <c r="Q93" s="242" t="s">
        <v>172</v>
      </c>
      <c r="R93" s="62" t="s">
        <v>438</v>
      </c>
    </row>
    <row r="94" ht="15.75" customHeight="1">
      <c r="A94" s="11" t="s">
        <v>13</v>
      </c>
      <c r="B94" s="68" t="s">
        <v>275</v>
      </c>
      <c r="C94" s="69" t="s">
        <v>380</v>
      </c>
      <c r="D94" s="70">
        <v>0.5833333333333334</v>
      </c>
      <c r="E94" s="214" t="s">
        <v>559</v>
      </c>
      <c r="F94" s="79">
        <v>8.01440401126809E14</v>
      </c>
      <c r="G94" s="74" t="s">
        <v>560</v>
      </c>
      <c r="H94" s="276">
        <v>23472.0</v>
      </c>
      <c r="I94" s="18" t="s">
        <v>182</v>
      </c>
      <c r="J94" s="97"/>
      <c r="K94" s="97"/>
      <c r="L94" s="197" t="s">
        <v>520</v>
      </c>
      <c r="N94" s="244">
        <f t="shared" ref="N94:Q94" si="6">COUNTIFS($I$91:$I$102,N93)</f>
        <v>8</v>
      </c>
      <c r="O94" s="244">
        <f t="shared" si="6"/>
        <v>0</v>
      </c>
      <c r="P94" s="244">
        <f t="shared" si="6"/>
        <v>2</v>
      </c>
      <c r="Q94" s="244">
        <f t="shared" si="6"/>
        <v>0</v>
      </c>
      <c r="R94" s="62">
        <f>COUNTIFS(I91:I102,R93)</f>
        <v>2</v>
      </c>
    </row>
    <row r="95" ht="15.75" customHeight="1">
      <c r="A95" s="11" t="s">
        <v>14</v>
      </c>
      <c r="B95" s="68" t="s">
        <v>561</v>
      </c>
      <c r="C95" s="69" t="s">
        <v>380</v>
      </c>
      <c r="D95" s="70">
        <v>0.5972222222222222</v>
      </c>
      <c r="E95" s="214" t="s">
        <v>562</v>
      </c>
      <c r="F95" s="146">
        <v>7.00603453192167E14</v>
      </c>
      <c r="G95" s="172" t="s">
        <v>563</v>
      </c>
      <c r="H95" s="274">
        <v>23391.0</v>
      </c>
      <c r="I95" s="18" t="s">
        <v>182</v>
      </c>
      <c r="J95" s="37"/>
      <c r="K95" s="37"/>
      <c r="L95" s="197" t="s">
        <v>520</v>
      </c>
      <c r="R95" s="62"/>
    </row>
    <row r="96" ht="15.75" customHeight="1">
      <c r="A96" s="11" t="s">
        <v>15</v>
      </c>
      <c r="B96" s="68" t="s">
        <v>564</v>
      </c>
      <c r="C96" s="69" t="s">
        <v>380</v>
      </c>
      <c r="D96" s="70">
        <v>0.6111111111111112</v>
      </c>
      <c r="E96" s="277" t="s">
        <v>565</v>
      </c>
      <c r="F96" s="278">
        <v>7.0770262190741E14</v>
      </c>
      <c r="G96" s="74" t="s">
        <v>566</v>
      </c>
      <c r="H96" s="279">
        <v>27178.0</v>
      </c>
      <c r="I96" s="18" t="s">
        <v>182</v>
      </c>
      <c r="J96" s="278" t="s">
        <v>567</v>
      </c>
      <c r="K96" s="278" t="s">
        <v>568</v>
      </c>
      <c r="L96" s="197" t="s">
        <v>520</v>
      </c>
      <c r="R96" s="62"/>
    </row>
    <row r="97" ht="15.75" customHeight="1">
      <c r="A97" s="11" t="s">
        <v>16</v>
      </c>
      <c r="B97" s="68" t="s">
        <v>569</v>
      </c>
      <c r="C97" s="69" t="s">
        <v>380</v>
      </c>
      <c r="D97" s="70">
        <v>0.625</v>
      </c>
      <c r="E97" s="214" t="s">
        <v>570</v>
      </c>
      <c r="F97" s="79">
        <v>7.00908912309095E14</v>
      </c>
      <c r="G97" s="74" t="s">
        <v>571</v>
      </c>
      <c r="H97" s="78">
        <v>31468.0</v>
      </c>
      <c r="I97" s="18" t="s">
        <v>182</v>
      </c>
      <c r="J97" s="97">
        <v>9.85007706E8</v>
      </c>
      <c r="K97" s="97"/>
      <c r="R97" s="62"/>
    </row>
    <row r="98" ht="15.75" customHeight="1">
      <c r="A98" s="11" t="s">
        <v>17</v>
      </c>
      <c r="B98" s="68"/>
      <c r="C98" s="69" t="s">
        <v>380</v>
      </c>
      <c r="D98" s="70">
        <v>0.6388888888888888</v>
      </c>
      <c r="E98" s="214"/>
      <c r="F98" s="79"/>
      <c r="G98" s="74"/>
      <c r="H98" s="78"/>
      <c r="I98" s="18" t="s">
        <v>180</v>
      </c>
      <c r="J98" s="37"/>
      <c r="K98" s="37"/>
      <c r="R98" s="62"/>
    </row>
    <row r="99" ht="15.75" customHeight="1">
      <c r="A99" s="11" t="s">
        <v>85</v>
      </c>
      <c r="B99" s="68" t="s">
        <v>572</v>
      </c>
      <c r="C99" s="69" t="s">
        <v>380</v>
      </c>
      <c r="D99" s="70">
        <v>0.6527777777777778</v>
      </c>
      <c r="E99" s="277" t="s">
        <v>573</v>
      </c>
      <c r="F99" s="280">
        <v>7.00503177502056E14</v>
      </c>
      <c r="G99" s="74" t="s">
        <v>574</v>
      </c>
      <c r="H99" s="86">
        <v>32226.0</v>
      </c>
      <c r="I99" s="18" t="s">
        <v>182</v>
      </c>
      <c r="J99" s="280" t="s">
        <v>575</v>
      </c>
      <c r="K99" s="37"/>
      <c r="L99" s="197" t="s">
        <v>576</v>
      </c>
      <c r="R99" s="62"/>
    </row>
    <row r="100" ht="15.75" customHeight="1">
      <c r="A100" s="11" t="s">
        <v>87</v>
      </c>
      <c r="B100" s="68"/>
      <c r="C100" s="69" t="s">
        <v>380</v>
      </c>
      <c r="D100" s="70">
        <v>0.6666666666666666</v>
      </c>
      <c r="E100" s="218"/>
      <c r="F100" s="149"/>
      <c r="G100" s="173" t="s">
        <v>178</v>
      </c>
      <c r="H100" s="153"/>
      <c r="I100" s="18" t="s">
        <v>180</v>
      </c>
      <c r="J100" s="37"/>
      <c r="K100" s="37"/>
      <c r="R100" s="62"/>
    </row>
    <row r="101" ht="15.75" customHeight="1">
      <c r="A101" s="11" t="s">
        <v>90</v>
      </c>
      <c r="B101" s="68"/>
      <c r="C101" s="69"/>
      <c r="D101" s="70"/>
      <c r="E101" s="258"/>
      <c r="F101" s="127"/>
      <c r="G101" s="173" t="s">
        <v>577</v>
      </c>
      <c r="H101" s="153"/>
      <c r="I101" s="18" t="s">
        <v>438</v>
      </c>
      <c r="J101" s="37"/>
      <c r="K101" s="37"/>
      <c r="R101" s="62"/>
    </row>
    <row r="102" ht="15.75" customHeight="1">
      <c r="A102" s="11" t="s">
        <v>93</v>
      </c>
      <c r="B102" s="68"/>
      <c r="C102" s="69"/>
      <c r="D102" s="70"/>
      <c r="E102" s="258"/>
      <c r="F102" s="127"/>
      <c r="G102" s="173" t="s">
        <v>577</v>
      </c>
      <c r="H102" s="153"/>
      <c r="I102" s="18" t="s">
        <v>438</v>
      </c>
      <c r="J102" s="179"/>
      <c r="K102" s="179"/>
      <c r="R102" s="62"/>
    </row>
    <row r="103" ht="15.75" customHeight="1">
      <c r="R103" s="62"/>
    </row>
    <row r="104" ht="15.75" customHeight="1">
      <c r="R104" s="62"/>
    </row>
    <row r="105" ht="15.75" customHeight="1">
      <c r="R105" s="62"/>
    </row>
    <row r="106" ht="15.75" customHeight="1">
      <c r="A106" s="20" t="s">
        <v>578</v>
      </c>
      <c r="B106" s="2"/>
      <c r="C106" s="2"/>
      <c r="D106" s="2"/>
      <c r="E106" s="2"/>
      <c r="F106" s="2"/>
      <c r="G106" s="2"/>
      <c r="H106" s="2"/>
      <c r="I106" s="2"/>
      <c r="J106" s="2"/>
      <c r="K106" s="3"/>
      <c r="R106" s="62"/>
    </row>
    <row r="107" ht="15.75" customHeight="1">
      <c r="A107" s="233" t="s">
        <v>579</v>
      </c>
      <c r="B107" s="2"/>
      <c r="C107" s="2"/>
      <c r="D107" s="2"/>
      <c r="E107" s="2"/>
      <c r="F107" s="2"/>
      <c r="G107" s="2"/>
      <c r="H107" s="2"/>
      <c r="I107" s="2"/>
      <c r="J107" s="2"/>
      <c r="K107" s="3"/>
      <c r="R107" s="62"/>
    </row>
    <row r="108" ht="15.75" customHeight="1">
      <c r="A108" s="22"/>
      <c r="B108" s="23" t="s">
        <v>3</v>
      </c>
      <c r="C108" s="24" t="s">
        <v>2</v>
      </c>
      <c r="D108" s="25" t="s">
        <v>5</v>
      </c>
      <c r="E108" s="25" t="s">
        <v>19</v>
      </c>
      <c r="F108" s="25" t="s">
        <v>6</v>
      </c>
      <c r="G108" s="234" t="s">
        <v>7</v>
      </c>
      <c r="H108" s="27" t="s">
        <v>8</v>
      </c>
      <c r="I108" s="28" t="s">
        <v>20</v>
      </c>
      <c r="J108" s="25" t="s">
        <v>21</v>
      </c>
      <c r="K108" s="25" t="s">
        <v>22</v>
      </c>
      <c r="R108" s="62"/>
    </row>
    <row r="109" ht="15.75" customHeight="1">
      <c r="A109" s="11" t="s">
        <v>10</v>
      </c>
      <c r="B109" s="154" t="s">
        <v>432</v>
      </c>
      <c r="C109" s="69" t="s">
        <v>580</v>
      </c>
      <c r="D109" s="70">
        <v>0.5416666666666666</v>
      </c>
      <c r="E109" s="214" t="s">
        <v>581</v>
      </c>
      <c r="F109" s="79">
        <v>7.05206435773673E14</v>
      </c>
      <c r="G109" s="74" t="s">
        <v>582</v>
      </c>
      <c r="H109" s="78">
        <v>17158.0</v>
      </c>
      <c r="I109" s="18" t="s">
        <v>182</v>
      </c>
      <c r="J109" s="97"/>
      <c r="K109" s="97"/>
      <c r="L109" s="197" t="s">
        <v>520</v>
      </c>
      <c r="N109" s="237" t="s">
        <v>386</v>
      </c>
      <c r="O109" s="95"/>
      <c r="P109" s="95"/>
      <c r="Q109" s="95"/>
      <c r="R109" s="62"/>
    </row>
    <row r="110" ht="15.75" customHeight="1">
      <c r="A110" s="11" t="s">
        <v>11</v>
      </c>
      <c r="B110" s="154" t="s">
        <v>192</v>
      </c>
      <c r="C110" s="69" t="s">
        <v>580</v>
      </c>
      <c r="D110" s="70">
        <v>0.5555555555555556</v>
      </c>
      <c r="E110" s="215" t="s">
        <v>583</v>
      </c>
      <c r="F110" s="170">
        <v>8.01440498036575E14</v>
      </c>
      <c r="G110" s="238" t="s">
        <v>193</v>
      </c>
      <c r="H110" s="72">
        <v>35482.0</v>
      </c>
      <c r="I110" s="18" t="s">
        <v>182</v>
      </c>
      <c r="J110" s="37"/>
      <c r="K110" s="37"/>
      <c r="N110" s="239" t="s">
        <v>584</v>
      </c>
      <c r="O110" s="2"/>
      <c r="P110" s="2"/>
      <c r="Q110" s="2"/>
      <c r="R110" s="62"/>
    </row>
    <row r="111" ht="15.75" customHeight="1">
      <c r="A111" s="11" t="s">
        <v>12</v>
      </c>
      <c r="B111" s="154" t="s">
        <v>447</v>
      </c>
      <c r="C111" s="69" t="s">
        <v>580</v>
      </c>
      <c r="D111" s="70">
        <v>0.5694444444444444</v>
      </c>
      <c r="E111" s="214" t="s">
        <v>585</v>
      </c>
      <c r="F111" s="79">
        <v>7.01002876530999E14</v>
      </c>
      <c r="G111" s="74" t="s">
        <v>586</v>
      </c>
      <c r="H111" s="78">
        <v>22419.0</v>
      </c>
      <c r="I111" s="18" t="s">
        <v>182</v>
      </c>
      <c r="J111" s="97"/>
      <c r="K111" s="97"/>
      <c r="L111" s="197" t="s">
        <v>520</v>
      </c>
      <c r="N111" s="240" t="s">
        <v>182</v>
      </c>
      <c r="O111" s="241" t="s">
        <v>194</v>
      </c>
      <c r="P111" s="241" t="s">
        <v>180</v>
      </c>
      <c r="Q111" s="242" t="s">
        <v>172</v>
      </c>
      <c r="R111" s="62"/>
    </row>
    <row r="112" ht="15.75" customHeight="1">
      <c r="A112" s="11" t="s">
        <v>13</v>
      </c>
      <c r="B112" s="154" t="s">
        <v>587</v>
      </c>
      <c r="C112" s="69" t="s">
        <v>580</v>
      </c>
      <c r="D112" s="70">
        <v>0.5833333333333334</v>
      </c>
      <c r="E112" s="214" t="s">
        <v>588</v>
      </c>
      <c r="F112" s="79">
        <v>8.98001435359005E14</v>
      </c>
      <c r="G112" s="74" t="s">
        <v>589</v>
      </c>
      <c r="H112" s="78">
        <v>23751.0</v>
      </c>
      <c r="I112" s="18" t="s">
        <v>182</v>
      </c>
      <c r="J112" s="29" t="s">
        <v>590</v>
      </c>
      <c r="K112" s="97"/>
      <c r="L112" s="197" t="s">
        <v>520</v>
      </c>
      <c r="N112" s="244">
        <f t="shared" ref="N112:Q112" si="7">COUNTIFS($I$109:$I$120,N111)</f>
        <v>9</v>
      </c>
      <c r="O112" s="244">
        <f t="shared" si="7"/>
        <v>0</v>
      </c>
      <c r="P112" s="244">
        <f t="shared" si="7"/>
        <v>0</v>
      </c>
      <c r="Q112" s="244">
        <f t="shared" si="7"/>
        <v>1</v>
      </c>
      <c r="R112" s="62"/>
    </row>
    <row r="113" ht="15.75" customHeight="1">
      <c r="A113" s="11" t="s">
        <v>14</v>
      </c>
      <c r="B113" s="154" t="s">
        <v>489</v>
      </c>
      <c r="C113" s="69" t="s">
        <v>580</v>
      </c>
      <c r="D113" s="70">
        <v>0.5972222222222222</v>
      </c>
      <c r="E113" s="247" t="s">
        <v>591</v>
      </c>
      <c r="F113" s="146">
        <v>2.04291768770003E14</v>
      </c>
      <c r="G113" s="281" t="s">
        <v>592</v>
      </c>
      <c r="H113" s="72">
        <v>35940.0</v>
      </c>
      <c r="I113" s="18" t="s">
        <v>182</v>
      </c>
      <c r="J113" s="37"/>
      <c r="K113" s="37"/>
      <c r="R113" s="62"/>
    </row>
    <row r="114" ht="15.75" customHeight="1">
      <c r="A114" s="11" t="s">
        <v>15</v>
      </c>
      <c r="B114" s="154" t="s">
        <v>332</v>
      </c>
      <c r="C114" s="69" t="s">
        <v>580</v>
      </c>
      <c r="D114" s="70">
        <v>0.6111111111111112</v>
      </c>
      <c r="E114" s="214" t="s">
        <v>593</v>
      </c>
      <c r="F114" s="79">
        <v>7.00506984202655E14</v>
      </c>
      <c r="G114" s="169" t="s">
        <v>594</v>
      </c>
      <c r="H114" s="78">
        <v>23335.0</v>
      </c>
      <c r="I114" s="18" t="s">
        <v>182</v>
      </c>
      <c r="J114" s="37">
        <v>1.1985476053E10</v>
      </c>
      <c r="K114" s="37"/>
      <c r="L114" s="197" t="s">
        <v>520</v>
      </c>
      <c r="R114" s="62"/>
    </row>
    <row r="115" ht="15.75" customHeight="1">
      <c r="A115" s="11" t="s">
        <v>16</v>
      </c>
      <c r="B115" s="154" t="s">
        <v>595</v>
      </c>
      <c r="C115" s="69" t="s">
        <v>580</v>
      </c>
      <c r="D115" s="70">
        <v>0.625</v>
      </c>
      <c r="E115" s="214" t="s">
        <v>596</v>
      </c>
      <c r="F115" s="79">
        <v>8.9800146986819E14</v>
      </c>
      <c r="G115" s="74" t="s">
        <v>597</v>
      </c>
      <c r="H115" s="78">
        <v>13256.0</v>
      </c>
      <c r="I115" s="18" t="s">
        <v>182</v>
      </c>
      <c r="J115" s="271" t="s">
        <v>598</v>
      </c>
      <c r="K115" s="271" t="s">
        <v>599</v>
      </c>
      <c r="L115" s="197" t="s">
        <v>520</v>
      </c>
      <c r="R115" s="62"/>
    </row>
    <row r="116" ht="15.75" customHeight="1">
      <c r="A116" s="11" t="s">
        <v>17</v>
      </c>
      <c r="B116" s="154" t="s">
        <v>587</v>
      </c>
      <c r="C116" s="69" t="s">
        <v>580</v>
      </c>
      <c r="D116" s="70">
        <v>0.6388888888888888</v>
      </c>
      <c r="E116" s="282" t="s">
        <v>600</v>
      </c>
      <c r="F116" s="79">
        <v>7.04202729762081E14</v>
      </c>
      <c r="G116" s="74" t="s">
        <v>601</v>
      </c>
      <c r="H116" s="78">
        <v>17465.0</v>
      </c>
      <c r="I116" s="18" t="s">
        <v>182</v>
      </c>
      <c r="J116" s="97" t="s">
        <v>602</v>
      </c>
      <c r="K116" s="37"/>
      <c r="L116" s="197" t="s">
        <v>520</v>
      </c>
      <c r="R116" s="62"/>
    </row>
    <row r="117" ht="15.75" customHeight="1">
      <c r="A117" s="11" t="s">
        <v>85</v>
      </c>
      <c r="B117" s="154" t="s">
        <v>428</v>
      </c>
      <c r="C117" s="69" t="s">
        <v>580</v>
      </c>
      <c r="D117" s="70">
        <v>0.6527777777777778</v>
      </c>
      <c r="E117" s="247" t="s">
        <v>603</v>
      </c>
      <c r="F117" s="146">
        <v>7.0600686949384E14</v>
      </c>
      <c r="G117" s="74" t="s">
        <v>604</v>
      </c>
      <c r="H117" s="86">
        <v>18725.0</v>
      </c>
      <c r="I117" s="18" t="s">
        <v>182</v>
      </c>
      <c r="J117" s="37">
        <v>1.1967022235E10</v>
      </c>
      <c r="K117" s="37"/>
      <c r="R117" s="62"/>
    </row>
    <row r="118" ht="15.75" customHeight="1">
      <c r="A118" s="11" t="s">
        <v>87</v>
      </c>
      <c r="B118" s="154" t="s">
        <v>595</v>
      </c>
      <c r="C118" s="69" t="s">
        <v>580</v>
      </c>
      <c r="D118" s="70">
        <v>0.6666666666666666</v>
      </c>
      <c r="E118" s="218" t="s">
        <v>605</v>
      </c>
      <c r="F118" s="149">
        <v>7.02607204227846E14</v>
      </c>
      <c r="G118" s="100" t="s">
        <v>606</v>
      </c>
      <c r="H118" s="153">
        <v>18188.0</v>
      </c>
      <c r="I118" s="18" t="s">
        <v>172</v>
      </c>
      <c r="J118" s="37" t="s">
        <v>607</v>
      </c>
      <c r="K118" s="37"/>
      <c r="L118" s="197" t="s">
        <v>520</v>
      </c>
      <c r="R118" s="62"/>
    </row>
    <row r="119" ht="15.75" customHeight="1">
      <c r="A119" s="11" t="s">
        <v>90</v>
      </c>
      <c r="B119" s="154"/>
      <c r="C119" s="69"/>
      <c r="D119" s="70">
        <v>0.6805555555555556</v>
      </c>
      <c r="E119" s="258"/>
      <c r="F119" s="127"/>
      <c r="G119" s="173" t="s">
        <v>608</v>
      </c>
      <c r="H119" s="153"/>
      <c r="I119" s="18" t="s">
        <v>438</v>
      </c>
      <c r="J119" s="37"/>
      <c r="K119" s="37"/>
      <c r="R119" s="62"/>
    </row>
    <row r="120" ht="15.75" customHeight="1">
      <c r="A120" s="11" t="s">
        <v>93</v>
      </c>
      <c r="B120" s="68"/>
      <c r="C120" s="69"/>
      <c r="D120" s="70">
        <v>0.6944444444444444</v>
      </c>
      <c r="E120" s="258"/>
      <c r="F120" s="127"/>
      <c r="G120" s="173" t="s">
        <v>608</v>
      </c>
      <c r="H120" s="153"/>
      <c r="I120" s="18" t="s">
        <v>438</v>
      </c>
      <c r="J120" s="179"/>
      <c r="K120" s="179"/>
      <c r="R120" s="62"/>
    </row>
    <row r="121" ht="15.75" customHeight="1">
      <c r="R121" s="62"/>
    </row>
    <row r="122" ht="15.75" customHeight="1">
      <c r="R122" s="62"/>
    </row>
    <row r="123" ht="15.75" customHeight="1">
      <c r="A123" s="20" t="s">
        <v>455</v>
      </c>
      <c r="B123" s="2"/>
      <c r="C123" s="2"/>
      <c r="D123" s="2"/>
      <c r="E123" s="2"/>
      <c r="F123" s="2"/>
      <c r="G123" s="2"/>
      <c r="H123" s="2"/>
      <c r="I123" s="2"/>
      <c r="J123" s="2"/>
      <c r="K123" s="3"/>
      <c r="R123" s="62"/>
    </row>
    <row r="124" ht="15.75" customHeight="1">
      <c r="A124" s="233" t="s">
        <v>609</v>
      </c>
      <c r="B124" s="2"/>
      <c r="C124" s="2"/>
      <c r="D124" s="2"/>
      <c r="E124" s="2"/>
      <c r="F124" s="2"/>
      <c r="G124" s="2"/>
      <c r="H124" s="2"/>
      <c r="I124" s="2"/>
      <c r="J124" s="2"/>
      <c r="K124" s="3"/>
      <c r="R124" s="62"/>
    </row>
    <row r="125" ht="15.75" customHeight="1">
      <c r="A125" s="22"/>
      <c r="B125" s="23" t="s">
        <v>3</v>
      </c>
      <c r="C125" s="24" t="s">
        <v>2</v>
      </c>
      <c r="D125" s="25" t="s">
        <v>5</v>
      </c>
      <c r="E125" s="25" t="s">
        <v>19</v>
      </c>
      <c r="F125" s="25" t="s">
        <v>6</v>
      </c>
      <c r="G125" s="234" t="s">
        <v>7</v>
      </c>
      <c r="H125" s="27" t="s">
        <v>8</v>
      </c>
      <c r="I125" s="28" t="s">
        <v>20</v>
      </c>
      <c r="J125" s="25" t="s">
        <v>21</v>
      </c>
      <c r="K125" s="25" t="s">
        <v>22</v>
      </c>
      <c r="R125" s="62"/>
    </row>
    <row r="126" ht="15.75" customHeight="1">
      <c r="A126" s="11" t="s">
        <v>10</v>
      </c>
      <c r="B126" s="68"/>
      <c r="C126" s="69" t="s">
        <v>429</v>
      </c>
      <c r="D126" s="70">
        <v>0.3333333333333333</v>
      </c>
      <c r="E126" s="214"/>
      <c r="F126" s="79"/>
      <c r="G126" s="169"/>
      <c r="H126" s="78"/>
      <c r="I126" s="18" t="s">
        <v>180</v>
      </c>
      <c r="J126" s="97"/>
      <c r="K126" s="97"/>
      <c r="N126" s="237" t="s">
        <v>386</v>
      </c>
      <c r="O126" s="95"/>
      <c r="P126" s="95"/>
      <c r="Q126" s="95"/>
      <c r="R126" s="62"/>
    </row>
    <row r="127" ht="15.75" customHeight="1">
      <c r="A127" s="11" t="s">
        <v>11</v>
      </c>
      <c r="B127" s="68"/>
      <c r="C127" s="69" t="s">
        <v>429</v>
      </c>
      <c r="D127" s="70">
        <v>0.3472222222222222</v>
      </c>
      <c r="E127" s="215"/>
      <c r="F127" s="170"/>
      <c r="G127" s="171"/>
      <c r="H127" s="72"/>
      <c r="I127" s="18" t="s">
        <v>180</v>
      </c>
      <c r="J127" s="179"/>
      <c r="K127" s="37"/>
      <c r="N127" s="239" t="s">
        <v>610</v>
      </c>
      <c r="O127" s="2"/>
      <c r="P127" s="2"/>
      <c r="Q127" s="2"/>
      <c r="R127" s="62"/>
    </row>
    <row r="128" ht="15.75" customHeight="1">
      <c r="A128" s="11" t="s">
        <v>12</v>
      </c>
      <c r="B128" s="68" t="s">
        <v>286</v>
      </c>
      <c r="C128" s="69" t="s">
        <v>429</v>
      </c>
      <c r="D128" s="70">
        <v>0.3611111111111111</v>
      </c>
      <c r="E128" s="214" t="s">
        <v>611</v>
      </c>
      <c r="F128" s="79">
        <v>8.01440482879608E14</v>
      </c>
      <c r="G128" s="74" t="s">
        <v>612</v>
      </c>
      <c r="H128" s="78">
        <v>23072.0</v>
      </c>
      <c r="I128" s="18" t="s">
        <v>182</v>
      </c>
      <c r="J128" s="283" t="s">
        <v>613</v>
      </c>
      <c r="K128" s="97"/>
      <c r="N128" s="240" t="s">
        <v>182</v>
      </c>
      <c r="O128" s="241" t="s">
        <v>194</v>
      </c>
      <c r="P128" s="241" t="s">
        <v>180</v>
      </c>
      <c r="Q128" s="242" t="s">
        <v>172</v>
      </c>
      <c r="R128" s="62"/>
    </row>
    <row r="129" ht="15.75" customHeight="1">
      <c r="A129" s="11" t="s">
        <v>13</v>
      </c>
      <c r="B129" s="68" t="s">
        <v>614</v>
      </c>
      <c r="C129" s="69" t="s">
        <v>429</v>
      </c>
      <c r="D129" s="70">
        <v>0.375</v>
      </c>
      <c r="E129" s="214" t="s">
        <v>615</v>
      </c>
      <c r="F129" s="79">
        <v>7.0760128004199E14</v>
      </c>
      <c r="G129" s="29" t="s">
        <v>616</v>
      </c>
      <c r="H129" s="78">
        <v>32587.0</v>
      </c>
      <c r="I129" s="18" t="s">
        <v>182</v>
      </c>
      <c r="J129" s="283" t="s">
        <v>617</v>
      </c>
      <c r="K129" s="97"/>
      <c r="N129" s="244">
        <f t="shared" ref="N129:Q129" si="8">COUNTIFS($I$126:$I$137,N128)</f>
        <v>4</v>
      </c>
      <c r="O129" s="244">
        <f t="shared" si="8"/>
        <v>0</v>
      </c>
      <c r="P129" s="244">
        <f t="shared" si="8"/>
        <v>3</v>
      </c>
      <c r="Q129" s="244">
        <f t="shared" si="8"/>
        <v>3</v>
      </c>
      <c r="R129" s="62"/>
    </row>
    <row r="130" ht="15.75" customHeight="1">
      <c r="A130" s="11" t="s">
        <v>14</v>
      </c>
      <c r="B130" s="68"/>
      <c r="C130" s="69" t="s">
        <v>429</v>
      </c>
      <c r="D130" s="70">
        <v>0.3888888888888889</v>
      </c>
      <c r="E130" s="284"/>
      <c r="F130" s="285"/>
      <c r="G130" s="54"/>
      <c r="H130" s="72"/>
      <c r="I130" s="18"/>
      <c r="J130" s="202"/>
      <c r="K130" s="37"/>
      <c r="R130" s="62"/>
    </row>
    <row r="131" ht="15.75" customHeight="1">
      <c r="A131" s="11" t="s">
        <v>15</v>
      </c>
      <c r="B131" s="68" t="s">
        <v>618</v>
      </c>
      <c r="C131" s="69" t="s">
        <v>429</v>
      </c>
      <c r="D131" s="70">
        <v>0.4027777777777778</v>
      </c>
      <c r="E131" s="284" t="s">
        <v>619</v>
      </c>
      <c r="F131" s="285">
        <v>7.09604636389673E14</v>
      </c>
      <c r="G131" s="54" t="s">
        <v>620</v>
      </c>
      <c r="H131" s="72">
        <v>22504.0</v>
      </c>
      <c r="I131" s="18" t="s">
        <v>172</v>
      </c>
      <c r="J131" s="202" t="s">
        <v>621</v>
      </c>
      <c r="K131" s="37"/>
      <c r="R131" s="62"/>
    </row>
    <row r="132" ht="15.75" customHeight="1">
      <c r="A132" s="11" t="s">
        <v>16</v>
      </c>
      <c r="B132" s="68" t="s">
        <v>622</v>
      </c>
      <c r="C132" s="69" t="s">
        <v>429</v>
      </c>
      <c r="D132" s="70">
        <v>0.4166666666666667</v>
      </c>
      <c r="E132" s="284" t="s">
        <v>623</v>
      </c>
      <c r="F132" s="183">
        <v>7.02306197088418E14</v>
      </c>
      <c r="G132" s="286" t="s">
        <v>624</v>
      </c>
      <c r="H132" s="78">
        <v>23996.0</v>
      </c>
      <c r="I132" s="18" t="s">
        <v>182</v>
      </c>
      <c r="J132" s="210" t="s">
        <v>625</v>
      </c>
      <c r="K132" s="97"/>
      <c r="R132" s="62"/>
    </row>
    <row r="133" ht="15.75" customHeight="1">
      <c r="A133" s="11" t="s">
        <v>17</v>
      </c>
      <c r="B133" s="68"/>
      <c r="C133" s="69" t="s">
        <v>429</v>
      </c>
      <c r="D133" s="70">
        <v>0.4305555555555556</v>
      </c>
      <c r="E133" s="284"/>
      <c r="F133" s="285"/>
      <c r="G133" s="54"/>
      <c r="H133" s="72"/>
      <c r="I133" s="18" t="s">
        <v>180</v>
      </c>
      <c r="J133" s="202"/>
      <c r="K133" s="37"/>
      <c r="R133" s="62"/>
    </row>
    <row r="134" ht="15.75" customHeight="1">
      <c r="A134" s="11" t="s">
        <v>85</v>
      </c>
      <c r="B134" s="68" t="s">
        <v>552</v>
      </c>
      <c r="C134" s="69" t="s">
        <v>429</v>
      </c>
      <c r="D134" s="70">
        <v>0.4444444444444444</v>
      </c>
      <c r="E134" s="214" t="s">
        <v>626</v>
      </c>
      <c r="F134" s="146">
        <v>8.01440446501161E14</v>
      </c>
      <c r="G134" s="74" t="s">
        <v>627</v>
      </c>
      <c r="H134" s="86">
        <v>28021.0</v>
      </c>
      <c r="I134" s="18" t="s">
        <v>172</v>
      </c>
      <c r="J134" s="179" t="s">
        <v>628</v>
      </c>
      <c r="K134" s="37"/>
      <c r="R134" s="62"/>
    </row>
    <row r="135" ht="15.75" customHeight="1">
      <c r="A135" s="11" t="s">
        <v>87</v>
      </c>
      <c r="B135" s="68" t="s">
        <v>294</v>
      </c>
      <c r="C135" s="69" t="s">
        <v>429</v>
      </c>
      <c r="D135" s="70">
        <v>0.4583333333333333</v>
      </c>
      <c r="E135" s="214" t="s">
        <v>629</v>
      </c>
      <c r="F135" s="79">
        <v>7.08903755850518E14</v>
      </c>
      <c r="G135" s="74" t="s">
        <v>630</v>
      </c>
      <c r="H135" s="78">
        <v>21859.0</v>
      </c>
      <c r="I135" s="18" t="s">
        <v>182</v>
      </c>
      <c r="J135" s="179" t="s">
        <v>631</v>
      </c>
      <c r="K135" s="37"/>
      <c r="L135" s="197" t="s">
        <v>520</v>
      </c>
      <c r="R135" s="62"/>
    </row>
    <row r="136" ht="15.75" customHeight="1">
      <c r="A136" s="11" t="s">
        <v>90</v>
      </c>
      <c r="B136" s="68" t="s">
        <v>466</v>
      </c>
      <c r="C136" s="69" t="s">
        <v>429</v>
      </c>
      <c r="D136" s="70">
        <v>0.4722222222222222</v>
      </c>
      <c r="E136" s="258" t="s">
        <v>632</v>
      </c>
      <c r="F136" s="127">
        <v>7.01206014777513E14</v>
      </c>
      <c r="G136" s="173" t="s">
        <v>633</v>
      </c>
      <c r="H136" s="153">
        <v>27812.0</v>
      </c>
      <c r="I136" s="18" t="s">
        <v>172</v>
      </c>
      <c r="J136" s="179">
        <v>1.1913182365E10</v>
      </c>
      <c r="K136" s="37"/>
      <c r="R136" s="62"/>
    </row>
    <row r="137" ht="15.75" customHeight="1">
      <c r="A137" s="11" t="s">
        <v>93</v>
      </c>
      <c r="B137" s="68"/>
      <c r="C137" s="69"/>
      <c r="D137" s="70">
        <v>0.4861111111111111</v>
      </c>
      <c r="E137" s="258"/>
      <c r="F137" s="127"/>
      <c r="G137" s="173" t="s">
        <v>608</v>
      </c>
      <c r="H137" s="153"/>
      <c r="I137" s="18" t="s">
        <v>438</v>
      </c>
      <c r="J137" s="179"/>
      <c r="K137" s="179"/>
      <c r="R137" s="62"/>
    </row>
    <row r="138" ht="15.75" customHeight="1">
      <c r="R138" s="62"/>
    </row>
    <row r="139" ht="15.75" customHeight="1">
      <c r="R139" s="62"/>
    </row>
    <row r="140" ht="15.75" customHeight="1">
      <c r="A140" s="20" t="s">
        <v>578</v>
      </c>
      <c r="B140" s="2"/>
      <c r="C140" s="2"/>
      <c r="D140" s="2"/>
      <c r="E140" s="2"/>
      <c r="F140" s="2"/>
      <c r="G140" s="2"/>
      <c r="H140" s="2"/>
      <c r="I140" s="2"/>
      <c r="J140" s="2"/>
      <c r="K140" s="3"/>
      <c r="R140" s="62"/>
    </row>
    <row r="141" ht="15.75" customHeight="1">
      <c r="A141" s="233" t="s">
        <v>634</v>
      </c>
      <c r="B141" s="2"/>
      <c r="C141" s="2"/>
      <c r="D141" s="2"/>
      <c r="E141" s="2"/>
      <c r="F141" s="2"/>
      <c r="G141" s="2"/>
      <c r="H141" s="2"/>
      <c r="I141" s="2"/>
      <c r="J141" s="2"/>
      <c r="K141" s="3"/>
      <c r="R141" s="62"/>
    </row>
    <row r="142" ht="15.75" customHeight="1">
      <c r="A142" s="22"/>
      <c r="B142" s="23" t="s">
        <v>3</v>
      </c>
      <c r="C142" s="24" t="s">
        <v>2</v>
      </c>
      <c r="D142" s="25" t="s">
        <v>5</v>
      </c>
      <c r="E142" s="25" t="s">
        <v>19</v>
      </c>
      <c r="F142" s="25" t="s">
        <v>6</v>
      </c>
      <c r="G142" s="234" t="s">
        <v>7</v>
      </c>
      <c r="H142" s="27" t="s">
        <v>8</v>
      </c>
      <c r="I142" s="28" t="s">
        <v>20</v>
      </c>
      <c r="J142" s="25" t="s">
        <v>21</v>
      </c>
      <c r="K142" s="25" t="s">
        <v>22</v>
      </c>
      <c r="R142" s="62"/>
    </row>
    <row r="143" ht="15.75" customHeight="1">
      <c r="A143" s="11" t="s">
        <v>10</v>
      </c>
      <c r="B143" s="68" t="s">
        <v>635</v>
      </c>
      <c r="C143" s="69" t="s">
        <v>481</v>
      </c>
      <c r="D143" s="70">
        <v>0.5416666666666666</v>
      </c>
      <c r="E143" s="214" t="s">
        <v>636</v>
      </c>
      <c r="F143" s="79">
        <v>2.04302262890008E14</v>
      </c>
      <c r="G143" s="287" t="s">
        <v>637</v>
      </c>
      <c r="H143" s="288">
        <v>19249.0</v>
      </c>
      <c r="I143" s="18" t="s">
        <v>182</v>
      </c>
      <c r="J143" s="97" t="s">
        <v>638</v>
      </c>
      <c r="K143" s="97"/>
      <c r="N143" s="237" t="s">
        <v>386</v>
      </c>
      <c r="O143" s="95"/>
      <c r="P143" s="95"/>
      <c r="Q143" s="95"/>
      <c r="R143" s="62"/>
    </row>
    <row r="144" ht="15.75" customHeight="1">
      <c r="A144" s="11" t="s">
        <v>11</v>
      </c>
      <c r="B144" s="68" t="s">
        <v>489</v>
      </c>
      <c r="C144" s="69" t="s">
        <v>481</v>
      </c>
      <c r="D144" s="70">
        <v>0.5555555555555556</v>
      </c>
      <c r="E144" s="214" t="s">
        <v>639</v>
      </c>
      <c r="F144" s="79">
        <v>8.98001411236396E14</v>
      </c>
      <c r="G144" s="74" t="s">
        <v>640</v>
      </c>
      <c r="H144" s="79"/>
      <c r="I144" s="18" t="s">
        <v>182</v>
      </c>
      <c r="J144" s="37"/>
      <c r="K144" s="37"/>
      <c r="N144" s="239" t="s">
        <v>641</v>
      </c>
      <c r="O144" s="2"/>
      <c r="P144" s="2"/>
      <c r="Q144" s="2"/>
      <c r="R144" s="62"/>
    </row>
    <row r="145" ht="15.75" customHeight="1">
      <c r="A145" s="11" t="s">
        <v>12</v>
      </c>
      <c r="B145" s="205" t="s">
        <v>258</v>
      </c>
      <c r="C145" s="206" t="s">
        <v>481</v>
      </c>
      <c r="D145" s="264">
        <v>0.5694444444444444</v>
      </c>
      <c r="E145" s="289" t="s">
        <v>642</v>
      </c>
      <c r="F145" s="206">
        <v>7.05608469061518E14</v>
      </c>
      <c r="G145" s="290" t="s">
        <v>643</v>
      </c>
      <c r="H145" s="126">
        <v>22952.0</v>
      </c>
      <c r="I145" s="18" t="s">
        <v>182</v>
      </c>
      <c r="J145" s="97" t="s">
        <v>644</v>
      </c>
      <c r="K145" s="97" t="s">
        <v>645</v>
      </c>
      <c r="N145" s="240" t="s">
        <v>182</v>
      </c>
      <c r="O145" s="241" t="s">
        <v>194</v>
      </c>
      <c r="P145" s="241" t="s">
        <v>180</v>
      </c>
      <c r="Q145" s="242" t="s">
        <v>172</v>
      </c>
      <c r="R145" s="62"/>
    </row>
    <row r="146" ht="15.75" customHeight="1">
      <c r="A146" s="11" t="s">
        <v>13</v>
      </c>
      <c r="B146" s="68" t="s">
        <v>489</v>
      </c>
      <c r="C146" s="69" t="s">
        <v>481</v>
      </c>
      <c r="D146" s="70">
        <v>0.5833333333333334</v>
      </c>
      <c r="E146" s="214" t="s">
        <v>646</v>
      </c>
      <c r="F146" s="291">
        <v>1.08677770330005E14</v>
      </c>
      <c r="G146" s="74" t="s">
        <v>647</v>
      </c>
      <c r="H146" s="78">
        <v>22829.0</v>
      </c>
      <c r="I146" s="18" t="s">
        <v>182</v>
      </c>
      <c r="J146" s="97" t="s">
        <v>648</v>
      </c>
      <c r="K146" s="97" t="s">
        <v>649</v>
      </c>
      <c r="N146" s="244">
        <f t="shared" ref="N146:Q146" si="9">COUNTIFS($I$143:$I$154,N145)</f>
        <v>9</v>
      </c>
      <c r="O146" s="244">
        <f t="shared" si="9"/>
        <v>0</v>
      </c>
      <c r="P146" s="244">
        <f t="shared" si="9"/>
        <v>1</v>
      </c>
      <c r="Q146" s="244">
        <f t="shared" si="9"/>
        <v>0</v>
      </c>
      <c r="R146" s="62"/>
    </row>
    <row r="147" ht="15.75" customHeight="1">
      <c r="A147" s="11" t="s">
        <v>14</v>
      </c>
      <c r="B147" s="205" t="s">
        <v>258</v>
      </c>
      <c r="C147" s="206" t="s">
        <v>481</v>
      </c>
      <c r="D147" s="264">
        <v>0.5972222222222222</v>
      </c>
      <c r="E147" s="253" t="s">
        <v>650</v>
      </c>
      <c r="F147" s="206">
        <v>7.04003322471168E14</v>
      </c>
      <c r="G147" s="205" t="s">
        <v>651</v>
      </c>
      <c r="H147" s="153">
        <v>14045.0</v>
      </c>
      <c r="I147" s="18" t="s">
        <v>182</v>
      </c>
      <c r="J147" s="37" t="s">
        <v>652</v>
      </c>
      <c r="K147" s="37" t="s">
        <v>653</v>
      </c>
      <c r="R147" s="62"/>
    </row>
    <row r="148" ht="15.75" customHeight="1">
      <c r="A148" s="11" t="s">
        <v>15</v>
      </c>
      <c r="B148" s="68" t="s">
        <v>332</v>
      </c>
      <c r="C148" s="69" t="s">
        <v>481</v>
      </c>
      <c r="D148" s="70">
        <v>0.6111111111111112</v>
      </c>
      <c r="E148" s="214" t="s">
        <v>654</v>
      </c>
      <c r="F148" s="79">
        <v>8.98001412145726E14</v>
      </c>
      <c r="G148" s="74" t="s">
        <v>655</v>
      </c>
      <c r="H148" s="78">
        <v>33057.0</v>
      </c>
      <c r="I148" s="18" t="s">
        <v>182</v>
      </c>
      <c r="J148" s="37">
        <v>1.1968499175E10</v>
      </c>
      <c r="K148" s="37">
        <v>1.1943383042E10</v>
      </c>
      <c r="R148" s="62"/>
    </row>
    <row r="149" ht="15.75" customHeight="1">
      <c r="A149" s="11" t="s">
        <v>16</v>
      </c>
      <c r="B149" s="68" t="s">
        <v>489</v>
      </c>
      <c r="C149" s="69" t="s">
        <v>481</v>
      </c>
      <c r="D149" s="70">
        <v>0.625</v>
      </c>
      <c r="E149" s="214" t="s">
        <v>656</v>
      </c>
      <c r="F149" s="79">
        <v>2.04291775040007E14</v>
      </c>
      <c r="G149" s="74" t="s">
        <v>657</v>
      </c>
      <c r="H149" s="78">
        <v>14110.0</v>
      </c>
      <c r="I149" s="18" t="s">
        <v>182</v>
      </c>
      <c r="J149" s="97"/>
      <c r="K149" s="97"/>
      <c r="R149" s="62"/>
    </row>
    <row r="150" ht="15.75" customHeight="1">
      <c r="A150" s="11" t="s">
        <v>17</v>
      </c>
      <c r="B150" s="68" t="s">
        <v>323</v>
      </c>
      <c r="C150" s="69" t="s">
        <v>481</v>
      </c>
      <c r="D150" s="70">
        <v>0.6388888888888888</v>
      </c>
      <c r="E150" s="214" t="s">
        <v>658</v>
      </c>
      <c r="F150" s="79">
        <v>7.00700998339073E14</v>
      </c>
      <c r="G150" s="74" t="s">
        <v>659</v>
      </c>
      <c r="H150" s="78">
        <v>27108.0</v>
      </c>
      <c r="I150" s="18" t="s">
        <v>182</v>
      </c>
      <c r="J150" s="37" t="s">
        <v>660</v>
      </c>
      <c r="K150" s="37"/>
      <c r="R150" s="62"/>
    </row>
    <row r="151" ht="15.75" customHeight="1">
      <c r="A151" s="11" t="s">
        <v>85</v>
      </c>
      <c r="B151" s="68" t="s">
        <v>428</v>
      </c>
      <c r="C151" s="69" t="s">
        <v>481</v>
      </c>
      <c r="D151" s="70">
        <v>0.6527777777777778</v>
      </c>
      <c r="E151" s="248" t="s">
        <v>661</v>
      </c>
      <c r="F151" s="75">
        <v>7.00008896619909E14</v>
      </c>
      <c r="G151" s="290" t="s">
        <v>662</v>
      </c>
      <c r="H151" s="77">
        <v>21340.0</v>
      </c>
      <c r="I151" s="18" t="s">
        <v>182</v>
      </c>
      <c r="J151" s="208">
        <v>1.1970115924E10</v>
      </c>
      <c r="K151" s="37"/>
      <c r="R151" s="62"/>
      <c r="V151" s="292"/>
    </row>
    <row r="152" ht="15.75" customHeight="1">
      <c r="A152" s="11" t="s">
        <v>87</v>
      </c>
      <c r="B152" s="68"/>
      <c r="C152" s="69" t="s">
        <v>481</v>
      </c>
      <c r="D152" s="70">
        <v>0.6666666666666666</v>
      </c>
      <c r="E152" s="218"/>
      <c r="F152" s="149"/>
      <c r="G152" s="173"/>
      <c r="H152" s="153"/>
      <c r="I152" s="18" t="s">
        <v>180</v>
      </c>
      <c r="J152" s="37"/>
      <c r="K152" s="37"/>
      <c r="R152" s="62"/>
    </row>
    <row r="153" ht="15.75" customHeight="1">
      <c r="A153" s="11" t="s">
        <v>90</v>
      </c>
      <c r="B153" s="68"/>
      <c r="C153" s="69" t="s">
        <v>481</v>
      </c>
      <c r="D153" s="70">
        <v>0.6805555555555556</v>
      </c>
      <c r="E153" s="258"/>
      <c r="F153" s="127"/>
      <c r="G153" s="173" t="s">
        <v>608</v>
      </c>
      <c r="H153" s="153"/>
      <c r="I153" s="18" t="s">
        <v>438</v>
      </c>
      <c r="J153" s="37"/>
      <c r="K153" s="37"/>
      <c r="R153" s="62"/>
    </row>
    <row r="154" ht="15.75" customHeight="1">
      <c r="A154" s="11" t="s">
        <v>93</v>
      </c>
      <c r="B154" s="68"/>
      <c r="C154" s="69" t="s">
        <v>481</v>
      </c>
      <c r="D154" s="70">
        <v>0.6944444444444444</v>
      </c>
      <c r="E154" s="258"/>
      <c r="F154" s="127"/>
      <c r="G154" s="173" t="s">
        <v>608</v>
      </c>
      <c r="H154" s="153"/>
      <c r="I154" s="18" t="s">
        <v>438</v>
      </c>
      <c r="J154" s="179"/>
      <c r="K154" s="179"/>
      <c r="R154" s="62"/>
    </row>
    <row r="155" ht="15.75" customHeight="1">
      <c r="R155" s="62"/>
    </row>
    <row r="156" ht="15.75" customHeight="1">
      <c r="R156" s="62"/>
    </row>
    <row r="157" ht="15.75" customHeight="1">
      <c r="A157" s="20" t="s">
        <v>455</v>
      </c>
      <c r="B157" s="2"/>
      <c r="C157" s="2"/>
      <c r="D157" s="2"/>
      <c r="E157" s="2"/>
      <c r="F157" s="2"/>
      <c r="G157" s="2"/>
      <c r="H157" s="2"/>
      <c r="I157" s="2"/>
      <c r="J157" s="2"/>
      <c r="K157" s="3"/>
      <c r="R157" s="62"/>
    </row>
    <row r="158" ht="15.75" customHeight="1">
      <c r="A158" s="233" t="s">
        <v>663</v>
      </c>
      <c r="B158" s="2"/>
      <c r="C158" s="2"/>
      <c r="D158" s="2"/>
      <c r="E158" s="2"/>
      <c r="F158" s="2"/>
      <c r="G158" s="2"/>
      <c r="H158" s="2"/>
      <c r="I158" s="2"/>
      <c r="J158" s="2"/>
      <c r="K158" s="3"/>
      <c r="R158" s="62"/>
    </row>
    <row r="159" ht="15.75" customHeight="1">
      <c r="A159" s="22"/>
      <c r="B159" s="23" t="s">
        <v>3</v>
      </c>
      <c r="C159" s="24" t="s">
        <v>2</v>
      </c>
      <c r="D159" s="25" t="s">
        <v>5</v>
      </c>
      <c r="E159" s="25" t="s">
        <v>19</v>
      </c>
      <c r="F159" s="25" t="s">
        <v>6</v>
      </c>
      <c r="G159" s="234" t="s">
        <v>7</v>
      </c>
      <c r="H159" s="27" t="s">
        <v>8</v>
      </c>
      <c r="I159" s="28" t="s">
        <v>20</v>
      </c>
      <c r="J159" s="25" t="s">
        <v>21</v>
      </c>
      <c r="K159" s="25" t="s">
        <v>22</v>
      </c>
      <c r="R159" s="62"/>
    </row>
    <row r="160" ht="15.75" customHeight="1">
      <c r="A160" s="11" t="s">
        <v>10</v>
      </c>
      <c r="B160" s="68" t="s">
        <v>294</v>
      </c>
      <c r="C160" s="69" t="s">
        <v>580</v>
      </c>
      <c r="D160" s="70">
        <v>0.5416666666666666</v>
      </c>
      <c r="E160" s="214" t="s">
        <v>664</v>
      </c>
      <c r="F160" s="79">
        <v>7.0050546638116E14</v>
      </c>
      <c r="G160" s="74" t="s">
        <v>665</v>
      </c>
      <c r="H160" s="78">
        <v>23470.0</v>
      </c>
      <c r="I160" s="18" t="s">
        <v>182</v>
      </c>
      <c r="J160" s="97" t="s">
        <v>666</v>
      </c>
      <c r="K160" s="97"/>
      <c r="L160" s="197" t="s">
        <v>520</v>
      </c>
      <c r="N160" s="237" t="s">
        <v>386</v>
      </c>
      <c r="O160" s="95"/>
      <c r="P160" s="95"/>
      <c r="Q160" s="95"/>
      <c r="R160" s="62"/>
    </row>
    <row r="161" ht="15.75" customHeight="1">
      <c r="A161" s="11" t="s">
        <v>11</v>
      </c>
      <c r="B161" s="68" t="s">
        <v>667</v>
      </c>
      <c r="C161" s="69" t="s">
        <v>517</v>
      </c>
      <c r="D161" s="70">
        <v>0.5555555555555556</v>
      </c>
      <c r="E161" s="215" t="s">
        <v>668</v>
      </c>
      <c r="F161" s="170">
        <v>8.98000063218625E14</v>
      </c>
      <c r="G161" s="238" t="s">
        <v>669</v>
      </c>
      <c r="H161" s="72">
        <v>23678.0</v>
      </c>
      <c r="I161" s="18" t="s">
        <v>182</v>
      </c>
      <c r="J161" s="37"/>
      <c r="K161" s="37"/>
      <c r="N161" s="239" t="s">
        <v>670</v>
      </c>
      <c r="O161" s="2"/>
      <c r="P161" s="2"/>
      <c r="Q161" s="2"/>
      <c r="R161" s="62"/>
    </row>
    <row r="162" ht="15.75" customHeight="1">
      <c r="A162" s="11" t="s">
        <v>12</v>
      </c>
      <c r="B162" s="68"/>
      <c r="C162" s="69" t="s">
        <v>517</v>
      </c>
      <c r="D162" s="70">
        <v>0.5694444444444444</v>
      </c>
      <c r="E162" s="214"/>
      <c r="F162" s="79"/>
      <c r="G162" s="74"/>
      <c r="H162" s="78"/>
      <c r="I162" s="18" t="s">
        <v>182</v>
      </c>
      <c r="J162" s="97"/>
      <c r="K162" s="97"/>
      <c r="N162" s="240" t="s">
        <v>182</v>
      </c>
      <c r="O162" s="241" t="s">
        <v>194</v>
      </c>
      <c r="P162" s="241" t="s">
        <v>180</v>
      </c>
      <c r="Q162" s="242" t="s">
        <v>172</v>
      </c>
      <c r="R162" s="62"/>
    </row>
    <row r="163" ht="15.75" customHeight="1">
      <c r="A163" s="11" t="s">
        <v>13</v>
      </c>
      <c r="B163" s="68" t="s">
        <v>564</v>
      </c>
      <c r="C163" s="69" t="s">
        <v>517</v>
      </c>
      <c r="D163" s="70">
        <v>0.5833333333333334</v>
      </c>
      <c r="E163" s="243" t="s">
        <v>671</v>
      </c>
      <c r="F163" s="293">
        <v>7.00106904414115E14</v>
      </c>
      <c r="G163" s="74" t="s">
        <v>672</v>
      </c>
      <c r="H163" s="294">
        <v>19766.0</v>
      </c>
      <c r="I163" s="18" t="s">
        <v>182</v>
      </c>
      <c r="J163" s="97" t="s">
        <v>673</v>
      </c>
      <c r="K163" s="97"/>
      <c r="N163" s="244">
        <f t="shared" ref="N163:Q163" si="10">COUNTIFS($I$160:$I$171,N162)</f>
        <v>8</v>
      </c>
      <c r="O163" s="244">
        <f t="shared" si="10"/>
        <v>0</v>
      </c>
      <c r="P163" s="244">
        <f t="shared" si="10"/>
        <v>0</v>
      </c>
      <c r="Q163" s="244">
        <f t="shared" si="10"/>
        <v>2</v>
      </c>
      <c r="R163" s="62"/>
    </row>
    <row r="164" ht="15.75" customHeight="1">
      <c r="A164" s="11" t="s">
        <v>14</v>
      </c>
      <c r="B164" s="68" t="s">
        <v>201</v>
      </c>
      <c r="C164" s="69" t="s">
        <v>517</v>
      </c>
      <c r="D164" s="70">
        <v>0.5972222222222222</v>
      </c>
      <c r="E164" s="284" t="s">
        <v>674</v>
      </c>
      <c r="F164" s="295">
        <v>8.01440480119509E14</v>
      </c>
      <c r="G164" s="296" t="s">
        <v>675</v>
      </c>
      <c r="H164" s="72">
        <v>23464.0</v>
      </c>
      <c r="I164" s="18" t="s">
        <v>182</v>
      </c>
      <c r="J164" s="297" t="s">
        <v>676</v>
      </c>
      <c r="K164" s="37"/>
      <c r="R164" s="62"/>
    </row>
    <row r="165" ht="15.75" customHeight="1">
      <c r="A165" s="11" t="s">
        <v>15</v>
      </c>
      <c r="B165" s="68" t="s">
        <v>667</v>
      </c>
      <c r="C165" s="69" t="s">
        <v>517</v>
      </c>
      <c r="D165" s="70">
        <v>0.6111111111111112</v>
      </c>
      <c r="E165" s="214" t="s">
        <v>677</v>
      </c>
      <c r="F165" s="79">
        <v>8.01440401173491E14</v>
      </c>
      <c r="G165" s="74" t="s">
        <v>678</v>
      </c>
      <c r="H165" s="78">
        <v>21908.0</v>
      </c>
      <c r="I165" s="18" t="s">
        <v>182</v>
      </c>
      <c r="J165" s="37"/>
      <c r="K165" s="37"/>
      <c r="R165" s="62"/>
    </row>
    <row r="166" ht="15.75" customHeight="1">
      <c r="A166" s="11" t="s">
        <v>16</v>
      </c>
      <c r="B166" s="68" t="s">
        <v>201</v>
      </c>
      <c r="C166" s="69" t="s">
        <v>517</v>
      </c>
      <c r="D166" s="70">
        <v>0.625</v>
      </c>
      <c r="E166" s="284" t="s">
        <v>679</v>
      </c>
      <c r="F166" s="183">
        <v>8.01440448832033E14</v>
      </c>
      <c r="G166" s="298" t="s">
        <v>680</v>
      </c>
      <c r="H166" s="299">
        <v>24031.0</v>
      </c>
      <c r="I166" s="18" t="s">
        <v>172</v>
      </c>
      <c r="J166" s="97" t="s">
        <v>681</v>
      </c>
      <c r="K166" s="97"/>
      <c r="R166" s="62"/>
    </row>
    <row r="167" ht="15.75" customHeight="1">
      <c r="A167" s="11" t="s">
        <v>17</v>
      </c>
      <c r="B167" s="68" t="s">
        <v>682</v>
      </c>
      <c r="C167" s="69" t="s">
        <v>517</v>
      </c>
      <c r="D167" s="70">
        <v>0.6388888888888888</v>
      </c>
      <c r="E167" s="214" t="s">
        <v>683</v>
      </c>
      <c r="F167" s="79">
        <v>2.03910088910007E14</v>
      </c>
      <c r="G167" s="74" t="s">
        <v>684</v>
      </c>
      <c r="H167" s="78"/>
      <c r="I167" s="18" t="s">
        <v>182</v>
      </c>
      <c r="J167" s="37"/>
      <c r="K167" s="37"/>
      <c r="R167" s="62"/>
    </row>
    <row r="168" ht="15.75" customHeight="1">
      <c r="A168" s="11" t="s">
        <v>85</v>
      </c>
      <c r="B168" s="68" t="s">
        <v>572</v>
      </c>
      <c r="C168" s="69" t="s">
        <v>517</v>
      </c>
      <c r="D168" s="70">
        <v>0.6527777777777778</v>
      </c>
      <c r="E168" s="243" t="s">
        <v>685</v>
      </c>
      <c r="F168" s="53">
        <v>2.01152283000009E14</v>
      </c>
      <c r="G168" s="74" t="s">
        <v>686</v>
      </c>
      <c r="H168" s="188">
        <v>22577.0</v>
      </c>
      <c r="I168" s="18" t="s">
        <v>172</v>
      </c>
      <c r="J168" s="37" t="s">
        <v>687</v>
      </c>
      <c r="K168" s="37" t="s">
        <v>688</v>
      </c>
      <c r="L168" s="197" t="s">
        <v>576</v>
      </c>
      <c r="R168" s="62"/>
    </row>
    <row r="169" ht="15.75" customHeight="1">
      <c r="A169" s="11" t="s">
        <v>87</v>
      </c>
      <c r="B169" s="68" t="s">
        <v>682</v>
      </c>
      <c r="C169" s="69" t="s">
        <v>517</v>
      </c>
      <c r="D169" s="70">
        <v>0.6666666666666666</v>
      </c>
      <c r="E169" s="218" t="s">
        <v>689</v>
      </c>
      <c r="F169" s="149">
        <v>7.05009059275158E14</v>
      </c>
      <c r="G169" s="100" t="s">
        <v>690</v>
      </c>
      <c r="H169" s="153">
        <v>20910.0</v>
      </c>
      <c r="I169" s="18" t="s">
        <v>182</v>
      </c>
      <c r="J169" s="37" t="s">
        <v>691</v>
      </c>
      <c r="K169" s="29"/>
      <c r="R169" s="62"/>
    </row>
    <row r="170" ht="15.75" customHeight="1">
      <c r="A170" s="11" t="s">
        <v>90</v>
      </c>
      <c r="B170" s="68"/>
      <c r="C170" s="69"/>
      <c r="D170" s="70">
        <v>0.6805555555555556</v>
      </c>
      <c r="E170" s="258"/>
      <c r="F170" s="127"/>
      <c r="G170" s="173" t="s">
        <v>608</v>
      </c>
      <c r="H170" s="153"/>
      <c r="I170" s="18" t="s">
        <v>438</v>
      </c>
      <c r="J170" s="37"/>
      <c r="K170" s="37"/>
      <c r="R170" s="62"/>
    </row>
    <row r="171" ht="15.75" customHeight="1">
      <c r="A171" s="11" t="s">
        <v>93</v>
      </c>
      <c r="B171" s="68"/>
      <c r="C171" s="69"/>
      <c r="D171" s="70">
        <v>0.6944444444444444</v>
      </c>
      <c r="E171" s="258"/>
      <c r="F171" s="127"/>
      <c r="G171" s="173" t="s">
        <v>608</v>
      </c>
      <c r="H171" s="153"/>
      <c r="I171" s="18" t="s">
        <v>438</v>
      </c>
      <c r="J171" s="179"/>
      <c r="K171" s="179"/>
      <c r="R171" s="62"/>
    </row>
    <row r="172" ht="15.75" customHeight="1">
      <c r="R172" s="62"/>
    </row>
    <row r="173" ht="15.75" customHeight="1">
      <c r="R173" s="62"/>
    </row>
    <row r="174" ht="15.75" customHeight="1">
      <c r="A174" s="20" t="s">
        <v>455</v>
      </c>
      <c r="B174" s="2"/>
      <c r="C174" s="2"/>
      <c r="D174" s="2"/>
      <c r="E174" s="2"/>
      <c r="F174" s="2"/>
      <c r="G174" s="2"/>
      <c r="H174" s="2"/>
      <c r="I174" s="2"/>
      <c r="J174" s="2"/>
      <c r="K174" s="3"/>
      <c r="R174" s="62"/>
    </row>
    <row r="175" ht="15.75" customHeight="1">
      <c r="A175" s="233" t="s">
        <v>692</v>
      </c>
      <c r="B175" s="2"/>
      <c r="C175" s="2"/>
      <c r="D175" s="2"/>
      <c r="E175" s="2"/>
      <c r="F175" s="2"/>
      <c r="G175" s="2"/>
      <c r="H175" s="2"/>
      <c r="I175" s="2"/>
      <c r="J175" s="2"/>
      <c r="K175" s="3"/>
      <c r="R175" s="62"/>
    </row>
    <row r="176" ht="15.75" customHeight="1">
      <c r="A176" s="22"/>
      <c r="B176" s="23" t="s">
        <v>3</v>
      </c>
      <c r="C176" s="24" t="s">
        <v>2</v>
      </c>
      <c r="D176" s="25" t="s">
        <v>5</v>
      </c>
      <c r="E176" s="25" t="s">
        <v>19</v>
      </c>
      <c r="F176" s="25" t="s">
        <v>6</v>
      </c>
      <c r="G176" s="234" t="s">
        <v>7</v>
      </c>
      <c r="H176" s="27" t="s">
        <v>8</v>
      </c>
      <c r="I176" s="28" t="s">
        <v>20</v>
      </c>
      <c r="J176" s="25" t="s">
        <v>21</v>
      </c>
      <c r="K176" s="25" t="s">
        <v>22</v>
      </c>
      <c r="R176" s="62"/>
    </row>
    <row r="177" ht="15.75" customHeight="1">
      <c r="A177" s="11" t="s">
        <v>10</v>
      </c>
      <c r="B177" s="68" t="s">
        <v>572</v>
      </c>
      <c r="C177" s="69" t="s">
        <v>380</v>
      </c>
      <c r="D177" s="70">
        <v>0.5416666666666666</v>
      </c>
      <c r="E177" s="258" t="s">
        <v>693</v>
      </c>
      <c r="F177" s="300">
        <v>8.01440488803247E14</v>
      </c>
      <c r="G177" s="280" t="s">
        <v>694</v>
      </c>
      <c r="H177" s="301">
        <v>24546.0</v>
      </c>
      <c r="I177" s="18" t="s">
        <v>172</v>
      </c>
      <c r="J177" s="37" t="s">
        <v>695</v>
      </c>
      <c r="K177" s="97" t="s">
        <v>696</v>
      </c>
      <c r="N177" s="237" t="s">
        <v>386</v>
      </c>
      <c r="O177" s="95"/>
      <c r="P177" s="95"/>
      <c r="Q177" s="95"/>
      <c r="R177" s="62"/>
    </row>
    <row r="178" ht="15.75" customHeight="1">
      <c r="A178" s="11" t="s">
        <v>11</v>
      </c>
      <c r="B178" s="68" t="s">
        <v>572</v>
      </c>
      <c r="C178" s="69" t="s">
        <v>380</v>
      </c>
      <c r="D178" s="70">
        <v>0.5555555555555556</v>
      </c>
      <c r="E178" s="258" t="s">
        <v>697</v>
      </c>
      <c r="F178" s="300">
        <v>7.02906592118175E14</v>
      </c>
      <c r="G178" s="280" t="s">
        <v>698</v>
      </c>
      <c r="H178" s="279">
        <v>18684.0</v>
      </c>
      <c r="I178" s="18" t="s">
        <v>182</v>
      </c>
      <c r="J178" s="280" t="s">
        <v>699</v>
      </c>
      <c r="K178" s="37"/>
      <c r="N178" s="239" t="s">
        <v>700</v>
      </c>
      <c r="O178" s="2"/>
      <c r="P178" s="2"/>
      <c r="Q178" s="2"/>
      <c r="R178" s="62"/>
    </row>
    <row r="179" ht="15.75" customHeight="1">
      <c r="A179" s="11" t="s">
        <v>12</v>
      </c>
      <c r="B179" s="68" t="s">
        <v>572</v>
      </c>
      <c r="C179" s="69" t="s">
        <v>380</v>
      </c>
      <c r="D179" s="70">
        <v>0.5694444444444444</v>
      </c>
      <c r="E179" s="258" t="s">
        <v>701</v>
      </c>
      <c r="F179" s="300">
        <v>2.10148395660005E14</v>
      </c>
      <c r="G179" s="280" t="s">
        <v>702</v>
      </c>
      <c r="H179" s="294">
        <v>23699.0</v>
      </c>
      <c r="I179" s="18" t="s">
        <v>182</v>
      </c>
      <c r="J179" s="97" t="s">
        <v>703</v>
      </c>
      <c r="K179" s="97"/>
      <c r="N179" s="240" t="s">
        <v>182</v>
      </c>
      <c r="O179" s="241" t="s">
        <v>194</v>
      </c>
      <c r="P179" s="241" t="s">
        <v>180</v>
      </c>
      <c r="Q179" s="242" t="s">
        <v>172</v>
      </c>
      <c r="R179" s="62"/>
    </row>
    <row r="180" ht="15.75" customHeight="1">
      <c r="A180" s="11" t="s">
        <v>13</v>
      </c>
      <c r="B180" s="68" t="s">
        <v>704</v>
      </c>
      <c r="C180" s="69" t="s">
        <v>380</v>
      </c>
      <c r="D180" s="70">
        <v>0.5833333333333334</v>
      </c>
      <c r="E180" s="258">
        <v>2.7293954824E10</v>
      </c>
      <c r="F180" s="300">
        <v>7.034093431188E14</v>
      </c>
      <c r="G180" s="280" t="s">
        <v>705</v>
      </c>
      <c r="H180" s="301">
        <v>28172.0</v>
      </c>
      <c r="I180" s="18" t="s">
        <v>182</v>
      </c>
      <c r="J180" s="37" t="s">
        <v>706</v>
      </c>
      <c r="K180" s="97"/>
      <c r="N180" s="244">
        <f t="shared" ref="N180:Q180" si="11">COUNTIFS($I$177:$I$188,$N$179)</f>
        <v>7</v>
      </c>
      <c r="O180" s="244">
        <f t="shared" si="11"/>
        <v>7</v>
      </c>
      <c r="P180" s="244">
        <f t="shared" si="11"/>
        <v>7</v>
      </c>
      <c r="Q180" s="244">
        <f t="shared" si="11"/>
        <v>7</v>
      </c>
      <c r="R180" s="62"/>
    </row>
    <row r="181" ht="15.75" customHeight="1">
      <c r="A181" s="11" t="s">
        <v>14</v>
      </c>
      <c r="B181" s="68" t="s">
        <v>707</v>
      </c>
      <c r="C181" s="69" t="s">
        <v>380</v>
      </c>
      <c r="D181" s="70">
        <v>0.5972222222222222</v>
      </c>
      <c r="E181" s="258" t="s">
        <v>708</v>
      </c>
      <c r="F181" s="300">
        <v>7.00005748390307E14</v>
      </c>
      <c r="G181" s="280" t="s">
        <v>709</v>
      </c>
      <c r="H181" s="279">
        <v>24760.0</v>
      </c>
      <c r="I181" s="18" t="s">
        <v>182</v>
      </c>
      <c r="J181" s="37">
        <v>1.1913412968E10</v>
      </c>
      <c r="K181" s="37"/>
      <c r="R181" s="62"/>
    </row>
    <row r="182" ht="15.75" customHeight="1">
      <c r="A182" s="11" t="s">
        <v>15</v>
      </c>
      <c r="B182" s="68" t="s">
        <v>572</v>
      </c>
      <c r="C182" s="69" t="s">
        <v>380</v>
      </c>
      <c r="D182" s="70">
        <v>0.6111111111111112</v>
      </c>
      <c r="E182" s="258" t="s">
        <v>710</v>
      </c>
      <c r="F182" s="300">
        <v>8.01440479988477E14</v>
      </c>
      <c r="G182" s="280" t="s">
        <v>711</v>
      </c>
      <c r="H182" s="294">
        <v>19286.0</v>
      </c>
      <c r="I182" s="18" t="s">
        <v>182</v>
      </c>
      <c r="J182" s="37" t="s">
        <v>712</v>
      </c>
      <c r="K182" s="37" t="s">
        <v>713</v>
      </c>
      <c r="R182" s="62"/>
    </row>
    <row r="183" ht="15.75" customHeight="1">
      <c r="A183" s="11" t="s">
        <v>16</v>
      </c>
      <c r="B183" s="68" t="s">
        <v>704</v>
      </c>
      <c r="C183" s="69" t="s">
        <v>380</v>
      </c>
      <c r="D183" s="70">
        <v>0.625</v>
      </c>
      <c r="E183" s="258">
        <v>2.6951158819E10</v>
      </c>
      <c r="F183" s="300">
        <v>7.04605675580125E14</v>
      </c>
      <c r="G183" s="280" t="s">
        <v>714</v>
      </c>
      <c r="H183" s="301">
        <v>21180.0</v>
      </c>
      <c r="I183" s="18" t="s">
        <v>182</v>
      </c>
      <c r="J183" s="97" t="s">
        <v>715</v>
      </c>
      <c r="K183" s="97" t="s">
        <v>716</v>
      </c>
      <c r="R183" s="62"/>
    </row>
    <row r="184" ht="15.75" customHeight="1">
      <c r="A184" s="11" t="s">
        <v>17</v>
      </c>
      <c r="B184" s="68" t="s">
        <v>717</v>
      </c>
      <c r="C184" s="69" t="s">
        <v>380</v>
      </c>
      <c r="D184" s="70">
        <v>0.6388888888888888</v>
      </c>
      <c r="E184" s="258" t="s">
        <v>718</v>
      </c>
      <c r="F184" s="300">
        <v>8.98002346832881E14</v>
      </c>
      <c r="G184" s="280" t="s">
        <v>719</v>
      </c>
      <c r="H184" s="279">
        <v>32507.0</v>
      </c>
      <c r="I184" s="18" t="s">
        <v>194</v>
      </c>
      <c r="J184" s="37" t="s">
        <v>720</v>
      </c>
      <c r="K184" s="37"/>
      <c r="R184" s="62"/>
    </row>
    <row r="185" ht="15.75" customHeight="1">
      <c r="A185" s="11" t="s">
        <v>85</v>
      </c>
      <c r="B185" s="68" t="s">
        <v>572</v>
      </c>
      <c r="C185" s="69" t="s">
        <v>380</v>
      </c>
      <c r="D185" s="70">
        <v>0.6527777777777778</v>
      </c>
      <c r="E185" s="243" t="s">
        <v>721</v>
      </c>
      <c r="F185" s="293">
        <v>8.01440419600766E14</v>
      </c>
      <c r="G185" s="53" t="s">
        <v>722</v>
      </c>
      <c r="H185" s="294">
        <v>31618.0</v>
      </c>
      <c r="I185" s="18" t="s">
        <v>182</v>
      </c>
      <c r="J185" s="127" t="s">
        <v>723</v>
      </c>
      <c r="K185" s="37"/>
      <c r="R185" s="62"/>
    </row>
    <row r="186" ht="15.75" customHeight="1">
      <c r="A186" s="11" t="s">
        <v>87</v>
      </c>
      <c r="B186" s="68" t="s">
        <v>572</v>
      </c>
      <c r="C186" s="69" t="s">
        <v>380</v>
      </c>
      <c r="D186" s="70">
        <v>0.6666666666666666</v>
      </c>
      <c r="E186" s="258" t="s">
        <v>724</v>
      </c>
      <c r="F186" s="300">
        <v>2.0687732268E14</v>
      </c>
      <c r="G186" s="280" t="s">
        <v>725</v>
      </c>
      <c r="H186" s="153">
        <v>22434.0</v>
      </c>
      <c r="I186" s="18" t="s">
        <v>194</v>
      </c>
      <c r="J186" s="127" t="s">
        <v>726</v>
      </c>
      <c r="K186" s="37"/>
      <c r="R186" s="62"/>
    </row>
    <row r="187" ht="15.75" customHeight="1">
      <c r="A187" s="11" t="s">
        <v>90</v>
      </c>
      <c r="B187" s="68"/>
      <c r="C187" s="69"/>
      <c r="D187" s="70">
        <v>0.6805555555555556</v>
      </c>
      <c r="E187" s="258"/>
      <c r="F187" s="127"/>
      <c r="G187" s="173" t="s">
        <v>608</v>
      </c>
      <c r="H187" s="153"/>
      <c r="I187" s="18" t="s">
        <v>438</v>
      </c>
      <c r="J187" s="37"/>
      <c r="K187" s="37"/>
      <c r="R187" s="62"/>
    </row>
    <row r="188" ht="15.75" customHeight="1">
      <c r="A188" s="11" t="s">
        <v>93</v>
      </c>
      <c r="B188" s="68"/>
      <c r="C188" s="69"/>
      <c r="D188" s="70">
        <v>0.6944444444444444</v>
      </c>
      <c r="E188" s="258"/>
      <c r="F188" s="127"/>
      <c r="G188" s="173" t="s">
        <v>608</v>
      </c>
      <c r="H188" s="153"/>
      <c r="I188" s="18" t="s">
        <v>438</v>
      </c>
      <c r="J188" s="179"/>
      <c r="K188" s="179"/>
      <c r="R188" s="62"/>
    </row>
    <row r="189" ht="15.75" customHeight="1">
      <c r="R189" s="62"/>
    </row>
    <row r="190" ht="15.75" customHeight="1">
      <c r="R190" s="62"/>
    </row>
    <row r="191" ht="15.75" customHeight="1">
      <c r="A191" s="20" t="s">
        <v>578</v>
      </c>
      <c r="B191" s="2"/>
      <c r="C191" s="2"/>
      <c r="D191" s="2"/>
      <c r="E191" s="2"/>
      <c r="F191" s="2"/>
      <c r="G191" s="2"/>
      <c r="H191" s="2"/>
      <c r="I191" s="2"/>
      <c r="J191" s="2"/>
      <c r="K191" s="3"/>
      <c r="R191" s="62"/>
    </row>
    <row r="192" ht="15.75" customHeight="1">
      <c r="A192" s="233" t="s">
        <v>727</v>
      </c>
      <c r="B192" s="2"/>
      <c r="C192" s="2"/>
      <c r="D192" s="2"/>
      <c r="E192" s="2"/>
      <c r="F192" s="2"/>
      <c r="G192" s="2"/>
      <c r="H192" s="2"/>
      <c r="I192" s="2"/>
      <c r="J192" s="2"/>
      <c r="K192" s="3"/>
      <c r="R192" s="62"/>
    </row>
    <row r="193" ht="15.75" customHeight="1">
      <c r="A193" s="22"/>
      <c r="B193" s="23" t="s">
        <v>3</v>
      </c>
      <c r="C193" s="24" t="s">
        <v>2</v>
      </c>
      <c r="D193" s="25" t="s">
        <v>5</v>
      </c>
      <c r="E193" s="25" t="s">
        <v>19</v>
      </c>
      <c r="F193" s="25" t="s">
        <v>6</v>
      </c>
      <c r="G193" s="234" t="s">
        <v>7</v>
      </c>
      <c r="H193" s="27" t="s">
        <v>8</v>
      </c>
      <c r="I193" s="28" t="s">
        <v>20</v>
      </c>
      <c r="J193" s="25" t="s">
        <v>21</v>
      </c>
      <c r="K193" s="25" t="s">
        <v>22</v>
      </c>
      <c r="R193" s="62"/>
    </row>
    <row r="194" ht="15.75" customHeight="1">
      <c r="A194" s="11" t="s">
        <v>10</v>
      </c>
      <c r="B194" s="68" t="s">
        <v>442</v>
      </c>
      <c r="C194" s="69" t="s">
        <v>580</v>
      </c>
      <c r="D194" s="70">
        <v>0.5416666666666666</v>
      </c>
      <c r="E194" s="214" t="s">
        <v>728</v>
      </c>
      <c r="F194" s="149">
        <v>8.01440484182612E14</v>
      </c>
      <c r="G194" s="148" t="s">
        <v>729</v>
      </c>
      <c r="H194" s="150">
        <v>22873.0</v>
      </c>
      <c r="I194" s="18" t="s">
        <v>172</v>
      </c>
      <c r="J194" s="97"/>
      <c r="K194" s="97"/>
      <c r="N194" s="237" t="s">
        <v>386</v>
      </c>
      <c r="O194" s="95"/>
      <c r="P194" s="95"/>
      <c r="Q194" s="95"/>
      <c r="R194" s="62"/>
    </row>
    <row r="195" ht="15.75" customHeight="1">
      <c r="A195" s="11" t="s">
        <v>11</v>
      </c>
      <c r="B195" s="68" t="s">
        <v>489</v>
      </c>
      <c r="C195" s="69" t="s">
        <v>580</v>
      </c>
      <c r="D195" s="70">
        <v>0.5555555555555556</v>
      </c>
      <c r="E195" s="215" t="s">
        <v>730</v>
      </c>
      <c r="F195" s="170">
        <v>8.01440417541614E14</v>
      </c>
      <c r="G195" s="186" t="s">
        <v>731</v>
      </c>
      <c r="H195" s="72">
        <v>17998.0</v>
      </c>
      <c r="I195" s="18" t="s">
        <v>182</v>
      </c>
      <c r="J195" s="37" t="s">
        <v>732</v>
      </c>
      <c r="K195" s="37"/>
      <c r="N195" s="239" t="s">
        <v>733</v>
      </c>
      <c r="O195" s="2"/>
      <c r="P195" s="2"/>
      <c r="Q195" s="2"/>
      <c r="R195" s="62"/>
    </row>
    <row r="196" ht="15.75" customHeight="1">
      <c r="A196" s="11" t="s">
        <v>12</v>
      </c>
      <c r="B196" s="68" t="s">
        <v>734</v>
      </c>
      <c r="C196" s="69" t="s">
        <v>580</v>
      </c>
      <c r="D196" s="70">
        <v>0.5694444444444444</v>
      </c>
      <c r="E196" s="214" t="s">
        <v>735</v>
      </c>
      <c r="F196" s="149">
        <v>8.35503001084293E14</v>
      </c>
      <c r="G196" s="148" t="s">
        <v>736</v>
      </c>
      <c r="H196" s="150">
        <v>17825.0</v>
      </c>
      <c r="I196" s="18" t="s">
        <v>182</v>
      </c>
      <c r="J196" s="97"/>
      <c r="K196" s="97"/>
      <c r="N196" s="240" t="s">
        <v>182</v>
      </c>
      <c r="O196" s="241" t="s">
        <v>194</v>
      </c>
      <c r="P196" s="241" t="s">
        <v>180</v>
      </c>
      <c r="Q196" s="242" t="s">
        <v>172</v>
      </c>
      <c r="R196" s="62"/>
    </row>
    <row r="197" ht="15.75" customHeight="1">
      <c r="A197" s="11" t="s">
        <v>13</v>
      </c>
      <c r="B197" s="68" t="s">
        <v>737</v>
      </c>
      <c r="C197" s="69" t="s">
        <v>580</v>
      </c>
      <c r="D197" s="70">
        <v>0.5833333333333334</v>
      </c>
      <c r="E197" s="214" t="s">
        <v>738</v>
      </c>
      <c r="F197" s="149">
        <v>7.02602295195549E14</v>
      </c>
      <c r="G197" s="148" t="s">
        <v>739</v>
      </c>
      <c r="H197" s="150">
        <v>22760.0</v>
      </c>
      <c r="I197" s="18" t="s">
        <v>182</v>
      </c>
      <c r="J197" s="97" t="s">
        <v>740</v>
      </c>
      <c r="K197" s="97" t="s">
        <v>520</v>
      </c>
      <c r="N197" s="244">
        <f t="shared" ref="N197:Q197" si="12">COUNTIFS($I$194:$I$205,$N$196)</f>
        <v>7</v>
      </c>
      <c r="O197" s="244">
        <f t="shared" si="12"/>
        <v>7</v>
      </c>
      <c r="P197" s="244">
        <f t="shared" si="12"/>
        <v>7</v>
      </c>
      <c r="Q197" s="244">
        <f t="shared" si="12"/>
        <v>7</v>
      </c>
      <c r="R197" s="62"/>
    </row>
    <row r="198" ht="15.75" customHeight="1">
      <c r="A198" s="11" t="s">
        <v>14</v>
      </c>
      <c r="B198" s="68" t="s">
        <v>447</v>
      </c>
      <c r="C198" s="69" t="s">
        <v>580</v>
      </c>
      <c r="D198" s="70">
        <v>0.5972222222222222</v>
      </c>
      <c r="E198" s="247"/>
      <c r="F198" s="185">
        <v>8.98001430410355E14</v>
      </c>
      <c r="G198" s="302" t="s">
        <v>741</v>
      </c>
      <c r="H198" s="211">
        <v>40086.0</v>
      </c>
      <c r="I198" s="18" t="s">
        <v>182</v>
      </c>
      <c r="J198" s="37"/>
      <c r="K198" s="37"/>
      <c r="L198" s="197" t="s">
        <v>520</v>
      </c>
      <c r="R198" s="62"/>
    </row>
    <row r="199" ht="15.75" customHeight="1">
      <c r="A199" s="11" t="s">
        <v>15</v>
      </c>
      <c r="B199" s="68" t="s">
        <v>428</v>
      </c>
      <c r="C199" s="69" t="s">
        <v>580</v>
      </c>
      <c r="D199" s="70">
        <v>0.6111111111111112</v>
      </c>
      <c r="E199" s="214" t="s">
        <v>742</v>
      </c>
      <c r="F199" s="149">
        <v>2.01543920940004E14</v>
      </c>
      <c r="G199" s="148" t="s">
        <v>743</v>
      </c>
      <c r="H199" s="150">
        <v>19539.0</v>
      </c>
      <c r="I199" s="18" t="s">
        <v>172</v>
      </c>
      <c r="J199" s="37">
        <v>1.1973828502E10</v>
      </c>
      <c r="K199" s="37"/>
      <c r="R199" s="62"/>
    </row>
    <row r="200" ht="16.5" customHeight="1">
      <c r="A200" s="11" t="s">
        <v>16</v>
      </c>
      <c r="B200" s="68" t="s">
        <v>737</v>
      </c>
      <c r="C200" s="69" t="s">
        <v>580</v>
      </c>
      <c r="D200" s="70">
        <v>0.625</v>
      </c>
      <c r="E200" s="214" t="s">
        <v>744</v>
      </c>
      <c r="F200" s="149">
        <v>7.06007868301744E14</v>
      </c>
      <c r="G200" s="148" t="s">
        <v>745</v>
      </c>
      <c r="H200" s="150">
        <v>19677.0</v>
      </c>
      <c r="I200" s="18" t="s">
        <v>182</v>
      </c>
      <c r="J200" s="97" t="s">
        <v>746</v>
      </c>
      <c r="K200" s="97" t="s">
        <v>520</v>
      </c>
      <c r="R200" s="62"/>
    </row>
    <row r="201" ht="15.75" customHeight="1">
      <c r="A201" s="11" t="s">
        <v>17</v>
      </c>
      <c r="B201" s="68" t="s">
        <v>428</v>
      </c>
      <c r="C201" s="69" t="s">
        <v>580</v>
      </c>
      <c r="D201" s="70">
        <v>0.6388888888888888</v>
      </c>
      <c r="E201" s="214" t="s">
        <v>747</v>
      </c>
      <c r="F201" s="149">
        <v>8.98001462757202E14</v>
      </c>
      <c r="G201" s="148" t="s">
        <v>748</v>
      </c>
      <c r="H201" s="150">
        <v>20484.0</v>
      </c>
      <c r="I201" s="18" t="s">
        <v>182</v>
      </c>
      <c r="J201" s="37">
        <v>9.69118749E8</v>
      </c>
      <c r="K201" s="37"/>
      <c r="R201" s="62"/>
    </row>
    <row r="202" ht="15.75" customHeight="1">
      <c r="A202" s="11" t="s">
        <v>85</v>
      </c>
      <c r="B202" s="68" t="s">
        <v>749</v>
      </c>
      <c r="C202" s="69" t="s">
        <v>580</v>
      </c>
      <c r="D202" s="70">
        <v>0.6527777777777778</v>
      </c>
      <c r="E202" s="277" t="s">
        <v>750</v>
      </c>
      <c r="F202" s="170">
        <v>7.09006893085514E14</v>
      </c>
      <c r="G202" s="303" t="s">
        <v>751</v>
      </c>
      <c r="H202" s="153">
        <v>23482.0</v>
      </c>
      <c r="I202" s="18" t="s">
        <v>172</v>
      </c>
      <c r="J202" s="37">
        <v>1.1933758494E10</v>
      </c>
      <c r="K202" s="37" t="s">
        <v>520</v>
      </c>
      <c r="R202" s="62"/>
    </row>
    <row r="203" ht="15.75" customHeight="1">
      <c r="A203" s="11" t="s">
        <v>87</v>
      </c>
      <c r="B203" s="68" t="s">
        <v>752</v>
      </c>
      <c r="C203" s="69" t="s">
        <v>580</v>
      </c>
      <c r="D203" s="70">
        <v>0.6666666666666666</v>
      </c>
      <c r="E203" s="218" t="s">
        <v>753</v>
      </c>
      <c r="F203" s="149">
        <v>7.08402787274966E14</v>
      </c>
      <c r="G203" s="186" t="s">
        <v>754</v>
      </c>
      <c r="H203" s="153">
        <v>21377.0</v>
      </c>
      <c r="I203" s="18" t="s">
        <v>182</v>
      </c>
      <c r="J203" s="304" t="s">
        <v>755</v>
      </c>
      <c r="K203" s="37" t="s">
        <v>520</v>
      </c>
      <c r="R203" s="62"/>
    </row>
    <row r="204" ht="15.75" customHeight="1">
      <c r="A204" s="11" t="s">
        <v>90</v>
      </c>
      <c r="B204" s="68"/>
      <c r="C204" s="69" t="s">
        <v>580</v>
      </c>
      <c r="D204" s="70">
        <v>0.6805555555555556</v>
      </c>
      <c r="E204" s="258"/>
      <c r="F204" s="127"/>
      <c r="G204" s="173" t="s">
        <v>608</v>
      </c>
      <c r="H204" s="153"/>
      <c r="I204" s="18"/>
      <c r="J204" s="37"/>
      <c r="K204" s="37"/>
      <c r="R204" s="62"/>
    </row>
    <row r="205" ht="15.75" customHeight="1">
      <c r="A205" s="11" t="s">
        <v>93</v>
      </c>
      <c r="B205" s="68"/>
      <c r="C205" s="69" t="s">
        <v>580</v>
      </c>
      <c r="D205" s="70">
        <v>0.6944444444444444</v>
      </c>
      <c r="E205" s="258"/>
      <c r="F205" s="127"/>
      <c r="G205" s="173" t="s">
        <v>608</v>
      </c>
      <c r="H205" s="153"/>
      <c r="I205" s="18"/>
      <c r="J205" s="179"/>
      <c r="K205" s="179"/>
      <c r="R205" s="62"/>
    </row>
    <row r="206" ht="15.75" customHeight="1">
      <c r="R206" s="62"/>
    </row>
    <row r="207" ht="15.75" customHeight="1">
      <c r="R207" s="62"/>
    </row>
    <row r="208" ht="15.75" customHeight="1">
      <c r="A208" s="20" t="s">
        <v>455</v>
      </c>
      <c r="B208" s="2"/>
      <c r="C208" s="2"/>
      <c r="D208" s="2"/>
      <c r="E208" s="2"/>
      <c r="F208" s="2"/>
      <c r="G208" s="2"/>
      <c r="H208" s="2"/>
      <c r="I208" s="2"/>
      <c r="J208" s="2"/>
      <c r="K208" s="3"/>
      <c r="R208" s="62"/>
    </row>
    <row r="209" ht="15.75" customHeight="1">
      <c r="A209" s="233" t="s">
        <v>756</v>
      </c>
      <c r="B209" s="2"/>
      <c r="C209" s="2"/>
      <c r="D209" s="2"/>
      <c r="E209" s="2"/>
      <c r="F209" s="2"/>
      <c r="G209" s="2"/>
      <c r="H209" s="2"/>
      <c r="I209" s="2"/>
      <c r="J209" s="2"/>
      <c r="K209" s="3"/>
      <c r="R209" s="62"/>
    </row>
    <row r="210" ht="15.75" customHeight="1">
      <c r="A210" s="22"/>
      <c r="B210" s="23" t="s">
        <v>3</v>
      </c>
      <c r="C210" s="24" t="s">
        <v>2</v>
      </c>
      <c r="D210" s="25" t="s">
        <v>5</v>
      </c>
      <c r="E210" s="25" t="s">
        <v>19</v>
      </c>
      <c r="F210" s="25" t="s">
        <v>6</v>
      </c>
      <c r="G210" s="234" t="s">
        <v>7</v>
      </c>
      <c r="H210" s="27" t="s">
        <v>8</v>
      </c>
      <c r="I210" s="28" t="s">
        <v>20</v>
      </c>
      <c r="J210" s="25" t="s">
        <v>21</v>
      </c>
      <c r="K210" s="25" t="s">
        <v>22</v>
      </c>
      <c r="R210" s="62"/>
    </row>
    <row r="211" ht="15.75" customHeight="1">
      <c r="A211" s="11" t="s">
        <v>10</v>
      </c>
      <c r="B211" s="68" t="s">
        <v>757</v>
      </c>
      <c r="C211" s="69" t="s">
        <v>429</v>
      </c>
      <c r="D211" s="70">
        <v>0.3333333333333333</v>
      </c>
      <c r="E211" s="214" t="s">
        <v>758</v>
      </c>
      <c r="F211" s="79">
        <v>7.0020396272982E14</v>
      </c>
      <c r="G211" s="74" t="s">
        <v>759</v>
      </c>
      <c r="H211" s="78">
        <v>21730.0</v>
      </c>
      <c r="I211" s="18" t="s">
        <v>182</v>
      </c>
      <c r="J211" s="97" t="s">
        <v>760</v>
      </c>
      <c r="K211" s="97"/>
      <c r="N211" s="237" t="s">
        <v>386</v>
      </c>
      <c r="O211" s="95"/>
      <c r="P211" s="95"/>
      <c r="Q211" s="95"/>
      <c r="R211" s="62"/>
    </row>
    <row r="212" ht="15.75" customHeight="1">
      <c r="A212" s="11" t="s">
        <v>11</v>
      </c>
      <c r="B212" s="68" t="s">
        <v>757</v>
      </c>
      <c r="C212" s="69" t="s">
        <v>429</v>
      </c>
      <c r="D212" s="70">
        <v>0.3472222222222222</v>
      </c>
      <c r="E212" s="215" t="s">
        <v>761</v>
      </c>
      <c r="F212" s="170">
        <v>1.25439810570005E14</v>
      </c>
      <c r="G212" s="238" t="s">
        <v>762</v>
      </c>
      <c r="H212" s="72">
        <v>27905.0</v>
      </c>
      <c r="I212" s="18" t="s">
        <v>182</v>
      </c>
      <c r="J212" s="37"/>
      <c r="K212" s="37"/>
      <c r="N212" s="239" t="s">
        <v>763</v>
      </c>
      <c r="O212" s="2"/>
      <c r="P212" s="2"/>
      <c r="Q212" s="2"/>
      <c r="R212" s="62"/>
    </row>
    <row r="213" ht="15.75" customHeight="1">
      <c r="A213" s="11" t="s">
        <v>12</v>
      </c>
      <c r="B213" s="68" t="s">
        <v>757</v>
      </c>
      <c r="C213" s="69" t="s">
        <v>429</v>
      </c>
      <c r="D213" s="70">
        <v>0.3611111111111111</v>
      </c>
      <c r="E213" s="214" t="s">
        <v>764</v>
      </c>
      <c r="F213" s="79">
        <v>7.07800651258213E14</v>
      </c>
      <c r="G213" s="74" t="s">
        <v>765</v>
      </c>
      <c r="H213" s="78">
        <v>18538.0</v>
      </c>
      <c r="I213" s="18" t="s">
        <v>182</v>
      </c>
      <c r="J213" s="97" t="s">
        <v>766</v>
      </c>
      <c r="K213" s="97"/>
      <c r="N213" s="240" t="s">
        <v>182</v>
      </c>
      <c r="O213" s="241" t="s">
        <v>194</v>
      </c>
      <c r="P213" s="241" t="s">
        <v>180</v>
      </c>
      <c r="Q213" s="242" t="s">
        <v>172</v>
      </c>
      <c r="R213" s="62"/>
    </row>
    <row r="214" ht="15.75" customHeight="1">
      <c r="A214" s="11" t="s">
        <v>13</v>
      </c>
      <c r="B214" s="68" t="s">
        <v>757</v>
      </c>
      <c r="C214" s="69" t="s">
        <v>429</v>
      </c>
      <c r="D214" s="70">
        <v>0.375</v>
      </c>
      <c r="E214" s="214" t="s">
        <v>767</v>
      </c>
      <c r="F214" s="79">
        <v>7.00804441675388E14</v>
      </c>
      <c r="G214" s="74" t="s">
        <v>768</v>
      </c>
      <c r="H214" s="78">
        <v>21359.0</v>
      </c>
      <c r="I214" s="18" t="s">
        <v>194</v>
      </c>
      <c r="J214" s="97"/>
      <c r="K214" s="97"/>
      <c r="N214" s="244">
        <f t="shared" ref="N214:Q214" si="13">COUNTIFS($I$211:$I$222,$N$213)</f>
        <v>8</v>
      </c>
      <c r="O214" s="244">
        <f t="shared" si="13"/>
        <v>8</v>
      </c>
      <c r="P214" s="244">
        <f t="shared" si="13"/>
        <v>8</v>
      </c>
      <c r="Q214" s="244">
        <f t="shared" si="13"/>
        <v>8</v>
      </c>
      <c r="R214" s="62"/>
    </row>
    <row r="215" ht="15.75" customHeight="1">
      <c r="A215" s="11" t="s">
        <v>14</v>
      </c>
      <c r="B215" s="68" t="s">
        <v>757</v>
      </c>
      <c r="C215" s="69" t="s">
        <v>429</v>
      </c>
      <c r="D215" s="70">
        <v>0.3888888888888889</v>
      </c>
      <c r="E215" s="247" t="s">
        <v>769</v>
      </c>
      <c r="F215" s="146">
        <v>7.07800641532215E14</v>
      </c>
      <c r="G215" s="172" t="s">
        <v>770</v>
      </c>
      <c r="H215" s="72">
        <v>22553.0</v>
      </c>
      <c r="I215" s="18" t="s">
        <v>194</v>
      </c>
      <c r="J215" s="37"/>
      <c r="K215" s="37"/>
      <c r="R215" s="62"/>
    </row>
    <row r="216" ht="15.75" customHeight="1">
      <c r="A216" s="11" t="s">
        <v>15</v>
      </c>
      <c r="B216" s="68" t="s">
        <v>757</v>
      </c>
      <c r="C216" s="69" t="s">
        <v>429</v>
      </c>
      <c r="D216" s="70">
        <v>0.4027777777777778</v>
      </c>
      <c r="E216" s="214" t="s">
        <v>771</v>
      </c>
      <c r="F216" s="79">
        <v>7.0820014011054E14</v>
      </c>
      <c r="G216" s="74" t="s">
        <v>772</v>
      </c>
      <c r="H216" s="78">
        <v>16299.0</v>
      </c>
      <c r="I216" s="18" t="s">
        <v>194</v>
      </c>
      <c r="J216" s="37"/>
      <c r="K216" s="37"/>
      <c r="R216" s="62"/>
    </row>
    <row r="217" ht="15.75" customHeight="1">
      <c r="A217" s="11" t="s">
        <v>16</v>
      </c>
      <c r="B217" s="68" t="s">
        <v>757</v>
      </c>
      <c r="C217" s="69" t="s">
        <v>429</v>
      </c>
      <c r="D217" s="70">
        <v>0.4166666666666667</v>
      </c>
      <c r="E217" s="214" t="s">
        <v>773</v>
      </c>
      <c r="F217" s="79">
        <v>2.01151332100007E14</v>
      </c>
      <c r="G217" s="74" t="s">
        <v>774</v>
      </c>
      <c r="H217" s="78">
        <v>26285.0</v>
      </c>
      <c r="I217" s="18" t="s">
        <v>182</v>
      </c>
      <c r="J217" s="97" t="s">
        <v>775</v>
      </c>
      <c r="K217" s="97"/>
      <c r="R217" s="62"/>
    </row>
    <row r="218" ht="15.75" customHeight="1">
      <c r="A218" s="11" t="s">
        <v>17</v>
      </c>
      <c r="B218" s="68" t="s">
        <v>757</v>
      </c>
      <c r="C218" s="69" t="s">
        <v>429</v>
      </c>
      <c r="D218" s="70">
        <v>0.4305555555555556</v>
      </c>
      <c r="E218" s="214" t="s">
        <v>776</v>
      </c>
      <c r="F218" s="79">
        <v>2.03923185840002E14</v>
      </c>
      <c r="G218" s="74" t="s">
        <v>777</v>
      </c>
      <c r="H218" s="78">
        <v>26899.0</v>
      </c>
      <c r="I218" s="18" t="s">
        <v>182</v>
      </c>
      <c r="J218" s="37" t="s">
        <v>778</v>
      </c>
      <c r="K218" s="37"/>
      <c r="R218" s="62"/>
    </row>
    <row r="219" ht="15.75" customHeight="1">
      <c r="A219" s="11" t="s">
        <v>85</v>
      </c>
      <c r="B219" s="68" t="s">
        <v>294</v>
      </c>
      <c r="C219" s="69" t="s">
        <v>429</v>
      </c>
      <c r="D219" s="70">
        <v>0.4444444444444444</v>
      </c>
      <c r="E219" s="247" t="s">
        <v>779</v>
      </c>
      <c r="F219" s="146">
        <v>7.02800187387064E14</v>
      </c>
      <c r="G219" s="74" t="s">
        <v>780</v>
      </c>
      <c r="H219" s="86">
        <v>21107.0</v>
      </c>
      <c r="I219" s="18" t="s">
        <v>182</v>
      </c>
      <c r="J219" s="37">
        <v>9.87065427E8</v>
      </c>
      <c r="K219" s="37"/>
      <c r="L219" s="197" t="s">
        <v>520</v>
      </c>
      <c r="R219" s="62"/>
    </row>
    <row r="220" ht="15.75" customHeight="1">
      <c r="A220" s="11" t="s">
        <v>87</v>
      </c>
      <c r="B220" s="68" t="s">
        <v>275</v>
      </c>
      <c r="C220" s="69" t="s">
        <v>429</v>
      </c>
      <c r="D220" s="70">
        <v>0.4583333333333333</v>
      </c>
      <c r="E220" s="218" t="s">
        <v>781</v>
      </c>
      <c r="F220" s="149">
        <v>7.04203737001885E14</v>
      </c>
      <c r="G220" s="100" t="s">
        <v>782</v>
      </c>
      <c r="H220" s="153">
        <v>26966.0</v>
      </c>
      <c r="I220" s="18" t="s">
        <v>182</v>
      </c>
      <c r="J220" s="37"/>
      <c r="K220" s="37"/>
      <c r="R220" s="62"/>
    </row>
    <row r="221" ht="15.75" customHeight="1">
      <c r="A221" s="11" t="s">
        <v>90</v>
      </c>
      <c r="B221" s="68" t="s">
        <v>275</v>
      </c>
      <c r="C221" s="69" t="s">
        <v>429</v>
      </c>
      <c r="D221" s="70">
        <v>0.4722222222222222</v>
      </c>
      <c r="E221" s="258" t="s">
        <v>783</v>
      </c>
      <c r="F221" s="127">
        <v>8.01440401122382E14</v>
      </c>
      <c r="G221" s="100" t="s">
        <v>784</v>
      </c>
      <c r="H221" s="153"/>
      <c r="I221" s="18" t="s">
        <v>182</v>
      </c>
      <c r="J221" s="37"/>
      <c r="K221" s="37"/>
      <c r="R221" s="62"/>
    </row>
    <row r="222" ht="15.75" customHeight="1">
      <c r="A222" s="11" t="s">
        <v>93</v>
      </c>
      <c r="B222" s="68" t="s">
        <v>294</v>
      </c>
      <c r="C222" s="69" t="s">
        <v>429</v>
      </c>
      <c r="D222" s="70">
        <v>0.4861111111111111</v>
      </c>
      <c r="E222" s="258" t="s">
        <v>785</v>
      </c>
      <c r="F222" s="127">
        <v>2.0115502283E14</v>
      </c>
      <c r="G222" s="85" t="s">
        <v>786</v>
      </c>
      <c r="H222" s="153">
        <v>20184.0</v>
      </c>
      <c r="I222" s="18" t="s">
        <v>194</v>
      </c>
      <c r="J222" s="179" t="s">
        <v>787</v>
      </c>
      <c r="K222" s="179">
        <v>5.8211045E7</v>
      </c>
      <c r="L222" s="197" t="s">
        <v>520</v>
      </c>
      <c r="R222" s="62"/>
    </row>
    <row r="223" ht="15.75" customHeight="1">
      <c r="R223" s="62"/>
    </row>
    <row r="224" ht="15.75" customHeight="1">
      <c r="R224" s="62"/>
    </row>
    <row r="225" ht="15.75" customHeight="1">
      <c r="R225" s="62"/>
    </row>
    <row r="226" ht="15.75" customHeight="1">
      <c r="R226" s="62"/>
    </row>
    <row r="227" ht="15.75" customHeight="1">
      <c r="R227" s="62"/>
    </row>
    <row r="228" ht="15.75" customHeight="1">
      <c r="A228" s="20" t="s">
        <v>455</v>
      </c>
      <c r="B228" s="2"/>
      <c r="C228" s="2"/>
      <c r="D228" s="2"/>
      <c r="E228" s="2"/>
      <c r="F228" s="2"/>
      <c r="G228" s="2"/>
      <c r="H228" s="2"/>
      <c r="I228" s="2"/>
      <c r="J228" s="2"/>
      <c r="K228" s="3"/>
      <c r="R228" s="62"/>
    </row>
    <row r="229" ht="15.75" customHeight="1">
      <c r="A229" s="233" t="s">
        <v>788</v>
      </c>
      <c r="B229" s="2"/>
      <c r="C229" s="2"/>
      <c r="D229" s="2"/>
      <c r="E229" s="2"/>
      <c r="F229" s="2"/>
      <c r="G229" s="2"/>
      <c r="H229" s="2"/>
      <c r="I229" s="2"/>
      <c r="J229" s="2"/>
      <c r="K229" s="3"/>
      <c r="R229" s="62"/>
    </row>
    <row r="230" ht="15.75" customHeight="1">
      <c r="A230" s="22"/>
      <c r="B230" s="23" t="s">
        <v>3</v>
      </c>
      <c r="C230" s="24" t="s">
        <v>2</v>
      </c>
      <c r="D230" s="25" t="s">
        <v>5</v>
      </c>
      <c r="E230" s="25" t="s">
        <v>19</v>
      </c>
      <c r="F230" s="25" t="s">
        <v>6</v>
      </c>
      <c r="G230" s="234" t="s">
        <v>7</v>
      </c>
      <c r="H230" s="27" t="s">
        <v>8</v>
      </c>
      <c r="I230" s="28" t="s">
        <v>20</v>
      </c>
      <c r="J230" s="25" t="s">
        <v>21</v>
      </c>
      <c r="K230" s="25" t="s">
        <v>22</v>
      </c>
      <c r="R230" s="62"/>
    </row>
    <row r="231" ht="15.75" customHeight="1">
      <c r="A231" s="11" t="s">
        <v>10</v>
      </c>
      <c r="B231" s="68" t="s">
        <v>789</v>
      </c>
      <c r="C231" s="69" t="s">
        <v>380</v>
      </c>
      <c r="D231" s="70">
        <v>0.5416666666666666</v>
      </c>
      <c r="E231" s="79">
        <v>1.145843883E10</v>
      </c>
      <c r="F231" s="79">
        <v>7.07001899592336E14</v>
      </c>
      <c r="G231" s="68" t="s">
        <v>790</v>
      </c>
      <c r="H231" s="78">
        <v>26895.0</v>
      </c>
      <c r="I231" s="18" t="s">
        <v>182</v>
      </c>
      <c r="J231" s="97">
        <v>1.1987766428E10</v>
      </c>
      <c r="K231" s="97"/>
      <c r="R231" s="62"/>
    </row>
    <row r="232" ht="15.75" customHeight="1">
      <c r="A232" s="11" t="s">
        <v>11</v>
      </c>
      <c r="B232" s="68"/>
      <c r="C232" s="69" t="s">
        <v>380</v>
      </c>
      <c r="D232" s="70">
        <v>0.5555555555555556</v>
      </c>
      <c r="E232" s="71"/>
      <c r="F232" s="170"/>
      <c r="G232" s="171"/>
      <c r="H232" s="72"/>
      <c r="I232" s="18"/>
      <c r="J232" s="37"/>
      <c r="K232" s="37"/>
      <c r="R232" s="62"/>
    </row>
    <row r="233" ht="15.75" customHeight="1">
      <c r="A233" s="11" t="s">
        <v>12</v>
      </c>
      <c r="B233" s="68" t="s">
        <v>294</v>
      </c>
      <c r="C233" s="69" t="s">
        <v>380</v>
      </c>
      <c r="D233" s="70">
        <v>0.5694444444444444</v>
      </c>
      <c r="E233" s="79">
        <v>1.6414033812E10</v>
      </c>
      <c r="F233" s="79">
        <v>7.0410568707245E14</v>
      </c>
      <c r="G233" s="74" t="s">
        <v>791</v>
      </c>
      <c r="H233" s="78">
        <v>19321.0</v>
      </c>
      <c r="I233" s="18" t="s">
        <v>194</v>
      </c>
      <c r="J233" s="97"/>
      <c r="K233" s="97"/>
      <c r="R233" s="62"/>
    </row>
    <row r="234" ht="15.75" customHeight="1">
      <c r="A234" s="11" t="s">
        <v>13</v>
      </c>
      <c r="B234" s="68" t="s">
        <v>275</v>
      </c>
      <c r="C234" s="69" t="s">
        <v>380</v>
      </c>
      <c r="D234" s="70">
        <v>0.5833333333333334</v>
      </c>
      <c r="E234" s="79">
        <v>5.5833659434E10</v>
      </c>
      <c r="F234" s="305">
        <v>8.0144040828803E14</v>
      </c>
      <c r="G234" s="74" t="s">
        <v>792</v>
      </c>
      <c r="H234" s="78">
        <v>16977.0</v>
      </c>
      <c r="I234" s="18" t="s">
        <v>194</v>
      </c>
      <c r="J234" s="97"/>
      <c r="K234" s="97"/>
      <c r="R234" s="62"/>
    </row>
    <row r="235" ht="15.75" customHeight="1">
      <c r="A235" s="11" t="s">
        <v>14</v>
      </c>
      <c r="B235" s="68" t="s">
        <v>667</v>
      </c>
      <c r="C235" s="69" t="s">
        <v>380</v>
      </c>
      <c r="D235" s="70">
        <v>0.5972222222222222</v>
      </c>
      <c r="E235" s="53">
        <v>3.0102822816E10</v>
      </c>
      <c r="F235" s="61">
        <v>8.01440496741239E14</v>
      </c>
      <c r="G235" s="54" t="s">
        <v>34</v>
      </c>
      <c r="H235" s="261">
        <v>16256.0</v>
      </c>
      <c r="I235" s="18" t="s">
        <v>182</v>
      </c>
      <c r="J235" s="37"/>
      <c r="K235" s="37"/>
      <c r="R235" s="62"/>
    </row>
    <row r="236" ht="15.75" customHeight="1">
      <c r="A236" s="11" t="s">
        <v>15</v>
      </c>
      <c r="B236" s="68"/>
      <c r="C236" s="69" t="s">
        <v>380</v>
      </c>
      <c r="D236" s="70">
        <v>0.6111111111111112</v>
      </c>
      <c r="E236" s="79"/>
      <c r="F236" s="305"/>
      <c r="G236" s="74"/>
      <c r="H236" s="78"/>
      <c r="I236" s="18"/>
      <c r="J236" s="37"/>
      <c r="K236" s="37"/>
      <c r="R236" s="62"/>
    </row>
    <row r="237" ht="15.75" customHeight="1">
      <c r="A237" s="11" t="s">
        <v>16</v>
      </c>
      <c r="B237" s="68" t="s">
        <v>275</v>
      </c>
      <c r="C237" s="69" t="s">
        <v>380</v>
      </c>
      <c r="D237" s="70">
        <v>0.625</v>
      </c>
      <c r="E237" s="79">
        <v>8.741198808E9</v>
      </c>
      <c r="F237" s="79">
        <v>8.01440410105797E14</v>
      </c>
      <c r="G237" s="74" t="s">
        <v>793</v>
      </c>
      <c r="H237" s="78">
        <v>15862.0</v>
      </c>
      <c r="I237" s="18" t="s">
        <v>182</v>
      </c>
      <c r="J237" s="97"/>
      <c r="K237" s="97"/>
      <c r="P237" s="197" t="s">
        <v>794</v>
      </c>
      <c r="R237" s="62"/>
    </row>
    <row r="238" ht="15.75" customHeight="1">
      <c r="A238" s="11" t="s">
        <v>17</v>
      </c>
      <c r="B238" s="68" t="s">
        <v>294</v>
      </c>
      <c r="C238" s="69" t="s">
        <v>380</v>
      </c>
      <c r="D238" s="70">
        <v>0.6388888888888888</v>
      </c>
      <c r="E238" s="79">
        <v>1.2747981835E10</v>
      </c>
      <c r="F238" s="79">
        <v>7.05204440601379E14</v>
      </c>
      <c r="G238" s="68" t="s">
        <v>795</v>
      </c>
      <c r="H238" s="78">
        <v>27257.0</v>
      </c>
      <c r="I238" s="18" t="s">
        <v>182</v>
      </c>
      <c r="J238" s="37"/>
      <c r="K238" s="37"/>
      <c r="R238" s="62"/>
    </row>
    <row r="239" ht="15.75" customHeight="1">
      <c r="A239" s="11" t="s">
        <v>85</v>
      </c>
      <c r="B239" s="68" t="s">
        <v>290</v>
      </c>
      <c r="C239" s="69" t="s">
        <v>380</v>
      </c>
      <c r="D239" s="70">
        <v>0.6527777777777778</v>
      </c>
      <c r="E239" s="247" t="s">
        <v>796</v>
      </c>
      <c r="F239" s="146">
        <v>7.09602619659577E14</v>
      </c>
      <c r="G239" s="169" t="s">
        <v>797</v>
      </c>
      <c r="H239" s="86">
        <v>29185.0</v>
      </c>
      <c r="I239" s="18" t="s">
        <v>182</v>
      </c>
      <c r="J239" s="37"/>
      <c r="K239" s="37"/>
      <c r="R239" s="62"/>
    </row>
    <row r="240" ht="15.75" customHeight="1">
      <c r="A240" s="11" t="s">
        <v>87</v>
      </c>
      <c r="B240" s="68"/>
      <c r="C240" s="69" t="s">
        <v>380</v>
      </c>
      <c r="D240" s="70">
        <v>0.6666666666666666</v>
      </c>
      <c r="E240" s="149"/>
      <c r="F240" s="149"/>
      <c r="G240" s="173"/>
      <c r="H240" s="153"/>
      <c r="I240" s="18"/>
      <c r="J240" s="37"/>
      <c r="K240" s="37"/>
      <c r="R240" s="62"/>
    </row>
    <row r="241" ht="15.75" customHeight="1">
      <c r="A241" s="11" t="s">
        <v>90</v>
      </c>
      <c r="B241" s="68"/>
      <c r="C241" s="69" t="s">
        <v>380</v>
      </c>
      <c r="D241" s="70">
        <v>0.6805555555555556</v>
      </c>
      <c r="E241" s="127"/>
      <c r="F241" s="127"/>
      <c r="G241" s="173"/>
      <c r="H241" s="153"/>
      <c r="I241" s="18"/>
      <c r="J241" s="37"/>
      <c r="K241" s="37"/>
      <c r="R241" s="62"/>
    </row>
    <row r="242" ht="15.75" customHeight="1">
      <c r="A242" s="11" t="s">
        <v>93</v>
      </c>
      <c r="B242" s="68"/>
      <c r="C242" s="69" t="s">
        <v>380</v>
      </c>
      <c r="D242" s="70">
        <v>0.6944444444444444</v>
      </c>
      <c r="E242" s="127"/>
      <c r="F242" s="127"/>
      <c r="G242" s="173"/>
      <c r="H242" s="153"/>
      <c r="I242" s="18"/>
      <c r="J242" s="179"/>
      <c r="K242" s="179"/>
      <c r="R242" s="62"/>
    </row>
    <row r="243" ht="15.75" customHeight="1">
      <c r="R243" s="62"/>
    </row>
    <row r="244" ht="15.75" customHeight="1">
      <c r="R244" s="62"/>
    </row>
    <row r="245" ht="15.75" customHeight="1">
      <c r="A245" s="20" t="s">
        <v>578</v>
      </c>
      <c r="B245" s="2"/>
      <c r="C245" s="2"/>
      <c r="D245" s="2"/>
      <c r="E245" s="2"/>
      <c r="F245" s="2"/>
      <c r="G245" s="2"/>
      <c r="H245" s="2"/>
      <c r="I245" s="2"/>
      <c r="J245" s="2"/>
      <c r="K245" s="3"/>
      <c r="R245" s="62"/>
    </row>
    <row r="246" ht="15.75" customHeight="1">
      <c r="A246" s="233" t="s">
        <v>798</v>
      </c>
      <c r="B246" s="2"/>
      <c r="C246" s="2"/>
      <c r="D246" s="2"/>
      <c r="E246" s="2"/>
      <c r="F246" s="2"/>
      <c r="G246" s="2"/>
      <c r="H246" s="2"/>
      <c r="I246" s="2"/>
      <c r="J246" s="2"/>
      <c r="K246" s="3"/>
      <c r="R246" s="62"/>
    </row>
    <row r="247" ht="15.75" customHeight="1">
      <c r="A247" s="22"/>
      <c r="B247" s="23" t="s">
        <v>3</v>
      </c>
      <c r="C247" s="24" t="s">
        <v>2</v>
      </c>
      <c r="D247" s="25" t="s">
        <v>5</v>
      </c>
      <c r="E247" s="25" t="s">
        <v>19</v>
      </c>
      <c r="F247" s="25" t="s">
        <v>6</v>
      </c>
      <c r="G247" s="234" t="s">
        <v>7</v>
      </c>
      <c r="H247" s="27" t="s">
        <v>8</v>
      </c>
      <c r="I247" s="28" t="s">
        <v>20</v>
      </c>
      <c r="J247" s="25" t="s">
        <v>21</v>
      </c>
      <c r="K247" s="25" t="s">
        <v>22</v>
      </c>
      <c r="R247" s="62"/>
    </row>
    <row r="248" ht="15.75" customHeight="1">
      <c r="A248" s="11" t="s">
        <v>10</v>
      </c>
      <c r="B248" s="68" t="s">
        <v>428</v>
      </c>
      <c r="C248" s="69" t="s">
        <v>580</v>
      </c>
      <c r="D248" s="70">
        <v>0.5416666666666666</v>
      </c>
      <c r="E248" s="79">
        <v>4.906369332E10</v>
      </c>
      <c r="F248" s="79">
        <v>8.01440425175982E14</v>
      </c>
      <c r="G248" s="74" t="s">
        <v>799</v>
      </c>
      <c r="H248" s="78">
        <v>22950.0</v>
      </c>
      <c r="I248" s="18" t="s">
        <v>194</v>
      </c>
      <c r="J248" s="97">
        <v>9.87429935E8</v>
      </c>
      <c r="K248" s="97"/>
      <c r="R248" s="62"/>
    </row>
    <row r="249" ht="15.75" customHeight="1">
      <c r="A249" s="11" t="s">
        <v>11</v>
      </c>
      <c r="B249" s="68" t="s">
        <v>749</v>
      </c>
      <c r="C249" s="69" t="s">
        <v>580</v>
      </c>
      <c r="D249" s="70">
        <v>0.5555555555555556</v>
      </c>
      <c r="E249" s="79">
        <v>8.586222623E9</v>
      </c>
      <c r="F249" s="79">
        <v>8.98001407887248E14</v>
      </c>
      <c r="G249" s="74" t="s">
        <v>800</v>
      </c>
      <c r="H249" s="78">
        <v>31602.0</v>
      </c>
      <c r="I249" s="18" t="s">
        <v>182</v>
      </c>
      <c r="J249" s="97" t="s">
        <v>801</v>
      </c>
      <c r="K249" s="37"/>
      <c r="R249" s="62"/>
    </row>
    <row r="250" ht="15.75" customHeight="1">
      <c r="A250" s="11" t="s">
        <v>12</v>
      </c>
      <c r="B250" s="68" t="s">
        <v>258</v>
      </c>
      <c r="C250" s="69" t="s">
        <v>580</v>
      </c>
      <c r="D250" s="70">
        <v>0.5694444444444444</v>
      </c>
      <c r="E250" s="79">
        <v>6.488867865E9</v>
      </c>
      <c r="F250" s="79">
        <v>7.02908587630779E14</v>
      </c>
      <c r="G250" s="74" t="s">
        <v>802</v>
      </c>
      <c r="H250" s="78">
        <v>20427.0</v>
      </c>
      <c r="I250" s="18" t="s">
        <v>194</v>
      </c>
      <c r="J250" s="97" t="s">
        <v>803</v>
      </c>
      <c r="K250" s="97" t="s">
        <v>804</v>
      </c>
      <c r="R250" s="62"/>
    </row>
    <row r="251" ht="15.75" customHeight="1">
      <c r="A251" s="11" t="s">
        <v>13</v>
      </c>
      <c r="B251" s="68" t="s">
        <v>595</v>
      </c>
      <c r="C251" s="69" t="s">
        <v>580</v>
      </c>
      <c r="D251" s="70">
        <v>0.5833333333333334</v>
      </c>
      <c r="E251" s="79">
        <v>2.612939804E9</v>
      </c>
      <c r="F251" s="79">
        <v>8.01440472273456E14</v>
      </c>
      <c r="G251" s="74" t="s">
        <v>805</v>
      </c>
      <c r="H251" s="78">
        <v>26308.0</v>
      </c>
      <c r="I251" s="18" t="s">
        <v>182</v>
      </c>
      <c r="J251" s="97">
        <v>1.1951934223E10</v>
      </c>
      <c r="K251" s="97"/>
      <c r="R251" s="62"/>
    </row>
    <row r="252" ht="15.75" customHeight="1">
      <c r="A252" s="11" t="s">
        <v>14</v>
      </c>
      <c r="B252" s="68" t="s">
        <v>749</v>
      </c>
      <c r="C252" s="69" t="s">
        <v>580</v>
      </c>
      <c r="D252" s="70">
        <v>0.5972222222222222</v>
      </c>
      <c r="E252" s="79">
        <v>2.5057519867E10</v>
      </c>
      <c r="F252" s="79">
        <v>7.01803231892878E14</v>
      </c>
      <c r="G252" s="74" t="s">
        <v>806</v>
      </c>
      <c r="H252" s="78">
        <v>21047.0</v>
      </c>
      <c r="I252" s="18" t="s">
        <v>182</v>
      </c>
      <c r="J252" s="97" t="s">
        <v>807</v>
      </c>
      <c r="K252" s="37"/>
      <c r="R252" s="62"/>
    </row>
    <row r="253" ht="15.75" customHeight="1">
      <c r="A253" s="11" t="s">
        <v>15</v>
      </c>
      <c r="B253" s="68" t="s">
        <v>258</v>
      </c>
      <c r="C253" s="69" t="s">
        <v>580</v>
      </c>
      <c r="D253" s="70">
        <v>0.6111111111111112</v>
      </c>
      <c r="E253" s="79">
        <v>6.9058059472E10</v>
      </c>
      <c r="F253" s="79">
        <v>8.98001401965271E14</v>
      </c>
      <c r="G253" s="74" t="s">
        <v>808</v>
      </c>
      <c r="H253" s="78">
        <v>22595.0</v>
      </c>
      <c r="I253" s="18" t="s">
        <v>182</v>
      </c>
      <c r="J253" s="37" t="s">
        <v>809</v>
      </c>
      <c r="K253" s="37" t="s">
        <v>810</v>
      </c>
      <c r="R253" s="62"/>
    </row>
    <row r="254" ht="15.75" customHeight="1">
      <c r="A254" s="11" t="s">
        <v>16</v>
      </c>
      <c r="B254" s="68" t="s">
        <v>595</v>
      </c>
      <c r="C254" s="69" t="s">
        <v>580</v>
      </c>
      <c r="D254" s="70">
        <v>0.625</v>
      </c>
      <c r="E254" s="79">
        <v>1.2808365802E10</v>
      </c>
      <c r="F254" s="79">
        <v>8.0144047069335E14</v>
      </c>
      <c r="G254" s="74" t="s">
        <v>811</v>
      </c>
      <c r="H254" s="78">
        <v>18456.0</v>
      </c>
      <c r="I254" s="18" t="s">
        <v>182</v>
      </c>
      <c r="J254" s="97">
        <v>1.194831445E10</v>
      </c>
      <c r="K254" s="97"/>
      <c r="R254" s="62"/>
    </row>
    <row r="255" ht="15.75" customHeight="1">
      <c r="A255" s="11" t="s">
        <v>17</v>
      </c>
      <c r="B255" s="68"/>
      <c r="C255" s="69" t="s">
        <v>580</v>
      </c>
      <c r="D255" s="70">
        <v>0.6388888888888888</v>
      </c>
      <c r="E255" s="79"/>
      <c r="F255" s="79"/>
      <c r="G255" s="74"/>
      <c r="H255" s="78"/>
      <c r="I255" s="18"/>
      <c r="J255" s="37"/>
      <c r="K255" s="37"/>
      <c r="R255" s="62"/>
    </row>
    <row r="256" ht="15.75" customHeight="1">
      <c r="A256" s="11" t="s">
        <v>85</v>
      </c>
      <c r="B256" s="68" t="s">
        <v>749</v>
      </c>
      <c r="C256" s="69" t="s">
        <v>580</v>
      </c>
      <c r="D256" s="70">
        <v>0.6527777777777778</v>
      </c>
      <c r="E256" s="146">
        <v>1.2858689865E10</v>
      </c>
      <c r="F256" s="146">
        <v>8.01440430613607E14</v>
      </c>
      <c r="G256" s="297" t="s">
        <v>812</v>
      </c>
      <c r="H256" s="86">
        <v>24860.0</v>
      </c>
      <c r="I256" s="18" t="s">
        <v>172</v>
      </c>
      <c r="J256" s="37" t="s">
        <v>813</v>
      </c>
      <c r="K256" s="37"/>
      <c r="R256" s="62"/>
    </row>
    <row r="257" ht="15.75" customHeight="1">
      <c r="A257" s="11" t="s">
        <v>87</v>
      </c>
      <c r="B257" s="68" t="s">
        <v>432</v>
      </c>
      <c r="C257" s="69" t="s">
        <v>580</v>
      </c>
      <c r="D257" s="70">
        <v>0.6666666666666666</v>
      </c>
      <c r="E257" s="149">
        <v>5.762214818E9</v>
      </c>
      <c r="F257" s="149">
        <v>8.98001406683797E14</v>
      </c>
      <c r="G257" s="100" t="s">
        <v>814</v>
      </c>
      <c r="H257" s="153">
        <v>23444.0</v>
      </c>
      <c r="I257" s="18" t="s">
        <v>182</v>
      </c>
      <c r="J257" s="37" t="s">
        <v>815</v>
      </c>
      <c r="K257" s="37"/>
      <c r="R257" s="62"/>
    </row>
    <row r="258" ht="15.75" customHeight="1">
      <c r="A258" s="11" t="s">
        <v>90</v>
      </c>
      <c r="B258" s="68" t="s">
        <v>752</v>
      </c>
      <c r="C258" s="69" t="s">
        <v>580</v>
      </c>
      <c r="D258" s="70">
        <v>0.6805555555555556</v>
      </c>
      <c r="E258" s="127">
        <v>9.1939020506E10</v>
      </c>
      <c r="F258" s="127">
        <v>8.01440487359238E14</v>
      </c>
      <c r="G258" s="100" t="s">
        <v>816</v>
      </c>
      <c r="H258" s="153">
        <v>27261.0</v>
      </c>
      <c r="I258" s="18" t="s">
        <v>182</v>
      </c>
      <c r="J258" s="37">
        <v>1.1951781667E10</v>
      </c>
      <c r="K258" s="37">
        <v>1.1987387688E10</v>
      </c>
      <c r="R258" s="62"/>
    </row>
    <row r="259" ht="15.75" customHeight="1">
      <c r="A259" s="11" t="s">
        <v>93</v>
      </c>
      <c r="B259" s="68"/>
      <c r="C259" s="69" t="s">
        <v>580</v>
      </c>
      <c r="D259" s="70">
        <v>0.6944444444444444</v>
      </c>
      <c r="E259" s="127"/>
      <c r="F259" s="127"/>
      <c r="G259" s="166"/>
      <c r="H259" s="153"/>
      <c r="I259" s="18" t="s">
        <v>180</v>
      </c>
      <c r="J259" s="179"/>
      <c r="K259" s="179"/>
      <c r="R259" s="62"/>
    </row>
    <row r="260" ht="15.75" customHeight="1">
      <c r="R260" s="62"/>
    </row>
    <row r="261" ht="15.75" customHeight="1">
      <c r="R261" s="62"/>
    </row>
    <row r="262" ht="15.75" customHeight="1">
      <c r="A262" s="20" t="s">
        <v>455</v>
      </c>
      <c r="B262" s="2"/>
      <c r="C262" s="2"/>
      <c r="D262" s="2"/>
      <c r="E262" s="2"/>
      <c r="F262" s="2"/>
      <c r="G262" s="2"/>
      <c r="H262" s="2"/>
      <c r="I262" s="2"/>
      <c r="J262" s="2"/>
      <c r="K262" s="3"/>
      <c r="R262" s="62"/>
    </row>
    <row r="263" ht="15.75" customHeight="1">
      <c r="A263" s="233" t="s">
        <v>817</v>
      </c>
      <c r="B263" s="2"/>
      <c r="C263" s="2"/>
      <c r="D263" s="2"/>
      <c r="E263" s="2"/>
      <c r="F263" s="2"/>
      <c r="G263" s="2"/>
      <c r="H263" s="2"/>
      <c r="I263" s="2"/>
      <c r="J263" s="2"/>
      <c r="K263" s="3"/>
      <c r="R263" s="62"/>
    </row>
    <row r="264" ht="15.75" customHeight="1">
      <c r="A264" s="22"/>
      <c r="B264" s="23" t="s">
        <v>3</v>
      </c>
      <c r="C264" s="24" t="s">
        <v>2</v>
      </c>
      <c r="D264" s="25" t="s">
        <v>5</v>
      </c>
      <c r="E264" s="25" t="s">
        <v>19</v>
      </c>
      <c r="F264" s="25" t="s">
        <v>6</v>
      </c>
      <c r="G264" s="234" t="s">
        <v>7</v>
      </c>
      <c r="H264" s="27" t="s">
        <v>8</v>
      </c>
      <c r="I264" s="28" t="s">
        <v>20</v>
      </c>
      <c r="J264" s="25" t="s">
        <v>21</v>
      </c>
      <c r="K264" s="25" t="s">
        <v>22</v>
      </c>
      <c r="R264" s="62"/>
    </row>
    <row r="265" ht="15.75" customHeight="1">
      <c r="A265" s="11" t="s">
        <v>10</v>
      </c>
      <c r="B265" s="68" t="s">
        <v>818</v>
      </c>
      <c r="C265" s="69" t="s">
        <v>429</v>
      </c>
      <c r="D265" s="70">
        <v>0.3333333333333333</v>
      </c>
      <c r="E265" s="79">
        <v>1.1606977873E10</v>
      </c>
      <c r="F265" s="79">
        <v>7.08904734779513E14</v>
      </c>
      <c r="G265" s="220" t="s">
        <v>819</v>
      </c>
      <c r="H265" s="78">
        <v>20748.0</v>
      </c>
      <c r="I265" s="18" t="s">
        <v>182</v>
      </c>
      <c r="J265" s="97" t="s">
        <v>820</v>
      </c>
      <c r="K265" s="97"/>
      <c r="R265" s="62"/>
    </row>
    <row r="266" ht="15.75" customHeight="1">
      <c r="A266" s="11" t="s">
        <v>11</v>
      </c>
      <c r="B266" s="68" t="s">
        <v>821</v>
      </c>
      <c r="C266" s="69" t="s">
        <v>429</v>
      </c>
      <c r="D266" s="70">
        <v>0.3472222222222222</v>
      </c>
      <c r="E266" s="71">
        <v>3.7843460659E10</v>
      </c>
      <c r="F266" s="170">
        <v>8.0144049602269E14</v>
      </c>
      <c r="G266" s="186" t="s">
        <v>822</v>
      </c>
      <c r="H266" s="72">
        <v>21544.0</v>
      </c>
      <c r="I266" s="18" t="s">
        <v>182</v>
      </c>
      <c r="J266" s="37"/>
      <c r="K266" s="37"/>
      <c r="R266" s="62"/>
    </row>
    <row r="267" ht="15.75" customHeight="1">
      <c r="A267" s="11" t="s">
        <v>12</v>
      </c>
      <c r="B267" s="68" t="s">
        <v>818</v>
      </c>
      <c r="C267" s="69" t="s">
        <v>429</v>
      </c>
      <c r="D267" s="70">
        <v>0.3611111111111111</v>
      </c>
      <c r="E267" s="79">
        <v>9.520641882E10</v>
      </c>
      <c r="F267" s="79">
        <v>7.0070994643398E14</v>
      </c>
      <c r="G267" s="306" t="s">
        <v>823</v>
      </c>
      <c r="H267" s="78">
        <v>16585.0</v>
      </c>
      <c r="I267" s="18" t="s">
        <v>182</v>
      </c>
      <c r="J267" s="97" t="s">
        <v>824</v>
      </c>
      <c r="K267" s="97"/>
      <c r="R267" s="62"/>
    </row>
    <row r="268" ht="15.75" customHeight="1">
      <c r="A268" s="11" t="s">
        <v>13</v>
      </c>
      <c r="B268" s="68" t="s">
        <v>821</v>
      </c>
      <c r="C268" s="69" t="s">
        <v>429</v>
      </c>
      <c r="D268" s="70">
        <v>0.375</v>
      </c>
      <c r="E268" s="79">
        <v>1.0546741835E10</v>
      </c>
      <c r="F268" s="79">
        <v>8.01440436028927E14</v>
      </c>
      <c r="G268" s="74" t="s">
        <v>825</v>
      </c>
      <c r="H268" s="78">
        <v>21561.0</v>
      </c>
      <c r="I268" s="18" t="s">
        <v>182</v>
      </c>
      <c r="J268" s="97" t="s">
        <v>826</v>
      </c>
      <c r="K268" s="97"/>
      <c r="R268" s="62"/>
    </row>
    <row r="269" ht="15.75" customHeight="1">
      <c r="A269" s="11" t="s">
        <v>14</v>
      </c>
      <c r="B269" s="68" t="s">
        <v>818</v>
      </c>
      <c r="C269" s="69" t="s">
        <v>429</v>
      </c>
      <c r="D269" s="70">
        <v>0.3888888888888889</v>
      </c>
      <c r="E269" s="146">
        <v>6.3439670872E10</v>
      </c>
      <c r="F269" s="146">
        <v>7.034014318784E14</v>
      </c>
      <c r="G269" s="307" t="s">
        <v>827</v>
      </c>
      <c r="H269" s="72">
        <v>17969.0</v>
      </c>
      <c r="I269" s="18" t="s">
        <v>182</v>
      </c>
      <c r="J269" s="37" t="s">
        <v>828</v>
      </c>
      <c r="K269" s="37" t="s">
        <v>829</v>
      </c>
      <c r="R269" s="62"/>
    </row>
    <row r="270" ht="15.75" customHeight="1">
      <c r="A270" s="11" t="s">
        <v>15</v>
      </c>
      <c r="B270" s="68" t="s">
        <v>818</v>
      </c>
      <c r="C270" s="69" t="s">
        <v>429</v>
      </c>
      <c r="D270" s="70">
        <v>0.4027777777777778</v>
      </c>
      <c r="E270" s="79">
        <v>2.236922809E9</v>
      </c>
      <c r="F270" s="79">
        <v>2.0392348351E14</v>
      </c>
      <c r="G270" s="307" t="s">
        <v>830</v>
      </c>
      <c r="H270" s="78">
        <v>20920.0</v>
      </c>
      <c r="I270" s="18" t="s">
        <v>182</v>
      </c>
      <c r="J270" s="37" t="s">
        <v>831</v>
      </c>
      <c r="K270" s="37" t="s">
        <v>832</v>
      </c>
      <c r="R270" s="62"/>
    </row>
    <row r="271" ht="15.75" customHeight="1">
      <c r="A271" s="11" t="s">
        <v>16</v>
      </c>
      <c r="B271" s="68" t="s">
        <v>818</v>
      </c>
      <c r="C271" s="69" t="s">
        <v>429</v>
      </c>
      <c r="D271" s="70">
        <v>0.4166666666666667</v>
      </c>
      <c r="E271" s="79">
        <v>2.5805354896E10</v>
      </c>
      <c r="F271" s="79">
        <v>8.01440490431653E14</v>
      </c>
      <c r="G271" s="307" t="s">
        <v>833</v>
      </c>
      <c r="H271" s="78">
        <v>25305.0</v>
      </c>
      <c r="I271" s="18" t="s">
        <v>194</v>
      </c>
      <c r="J271" s="97" t="s">
        <v>834</v>
      </c>
      <c r="K271" s="97" t="s">
        <v>835</v>
      </c>
      <c r="R271" s="62"/>
    </row>
    <row r="272" ht="15.75" customHeight="1">
      <c r="A272" s="11" t="s">
        <v>17</v>
      </c>
      <c r="B272" s="68" t="s">
        <v>818</v>
      </c>
      <c r="C272" s="69" t="s">
        <v>429</v>
      </c>
      <c r="D272" s="70">
        <v>0.4305555555555556</v>
      </c>
      <c r="E272" s="79">
        <v>7.412820893E9</v>
      </c>
      <c r="F272" s="79">
        <v>7.00902959551393E14</v>
      </c>
      <c r="G272" s="307" t="s">
        <v>836</v>
      </c>
      <c r="H272" s="78">
        <v>21504.0</v>
      </c>
      <c r="I272" s="18" t="s">
        <v>182</v>
      </c>
      <c r="J272" s="37" t="s">
        <v>837</v>
      </c>
      <c r="K272" s="37" t="s">
        <v>838</v>
      </c>
      <c r="R272" s="62"/>
    </row>
    <row r="273" ht="15.75" customHeight="1">
      <c r="A273" s="11" t="s">
        <v>85</v>
      </c>
      <c r="B273" s="68" t="s">
        <v>818</v>
      </c>
      <c r="C273" s="69" t="s">
        <v>429</v>
      </c>
      <c r="D273" s="70">
        <v>0.4444444444444444</v>
      </c>
      <c r="E273" s="146">
        <v>6.6817455804E10</v>
      </c>
      <c r="F273" s="146">
        <v>7.0820014011054E14</v>
      </c>
      <c r="G273" s="307" t="s">
        <v>839</v>
      </c>
      <c r="H273" s="86">
        <v>16299.0</v>
      </c>
      <c r="I273" s="18" t="s">
        <v>182</v>
      </c>
      <c r="J273" s="37" t="s">
        <v>840</v>
      </c>
      <c r="K273" s="37" t="s">
        <v>840</v>
      </c>
      <c r="R273" s="62"/>
    </row>
    <row r="274" ht="15.75" customHeight="1">
      <c r="A274" s="11" t="s">
        <v>87</v>
      </c>
      <c r="B274" s="68" t="s">
        <v>818</v>
      </c>
      <c r="C274" s="69" t="s">
        <v>429</v>
      </c>
      <c r="D274" s="70">
        <v>0.4583333333333333</v>
      </c>
      <c r="E274" s="149">
        <v>8.874473842E9</v>
      </c>
      <c r="F274" s="149">
        <v>2.01151133330002E14</v>
      </c>
      <c r="G274" s="307" t="s">
        <v>841</v>
      </c>
      <c r="H274" s="153">
        <v>24536.0</v>
      </c>
      <c r="I274" s="18" t="s">
        <v>182</v>
      </c>
      <c r="J274" s="37" t="s">
        <v>842</v>
      </c>
      <c r="K274" s="37" t="s">
        <v>843</v>
      </c>
      <c r="R274" s="62"/>
    </row>
    <row r="275" ht="15.75" customHeight="1">
      <c r="A275" s="11" t="s">
        <v>90</v>
      </c>
      <c r="B275" s="68" t="s">
        <v>818</v>
      </c>
      <c r="C275" s="69" t="s">
        <v>429</v>
      </c>
      <c r="D275" s="70">
        <v>0.4722222222222222</v>
      </c>
      <c r="E275" s="127">
        <v>2.6191347812E10</v>
      </c>
      <c r="F275" s="127">
        <v>2.0392308481E14</v>
      </c>
      <c r="G275" s="307" t="s">
        <v>844</v>
      </c>
      <c r="H275" s="153">
        <v>14996.0</v>
      </c>
      <c r="I275" s="18" t="s">
        <v>182</v>
      </c>
      <c r="J275" s="37" t="s">
        <v>845</v>
      </c>
      <c r="K275" s="37" t="s">
        <v>846</v>
      </c>
      <c r="R275" s="62"/>
    </row>
    <row r="276" ht="15.75" customHeight="1">
      <c r="A276" s="11" t="s">
        <v>93</v>
      </c>
      <c r="B276" s="68" t="s">
        <v>818</v>
      </c>
      <c r="C276" s="69" t="s">
        <v>429</v>
      </c>
      <c r="D276" s="70">
        <v>0.4861111111111111</v>
      </c>
      <c r="E276" s="127">
        <v>1.5367166857E10</v>
      </c>
      <c r="F276" s="127">
        <v>7.01202024439811E14</v>
      </c>
      <c r="G276" s="307" t="s">
        <v>847</v>
      </c>
      <c r="H276" s="153">
        <v>14899.0</v>
      </c>
      <c r="I276" s="18" t="s">
        <v>182</v>
      </c>
      <c r="J276" s="37" t="s">
        <v>848</v>
      </c>
      <c r="K276" s="37" t="s">
        <v>849</v>
      </c>
      <c r="R276" s="62"/>
    </row>
    <row r="277" ht="15.75" customHeight="1">
      <c r="R277" s="62"/>
    </row>
    <row r="278" ht="15.75" customHeight="1">
      <c r="R278" s="62"/>
    </row>
    <row r="279" ht="15.75" customHeight="1">
      <c r="A279" s="20" t="s">
        <v>850</v>
      </c>
      <c r="B279" s="2"/>
      <c r="C279" s="2"/>
      <c r="D279" s="2"/>
      <c r="E279" s="2"/>
      <c r="F279" s="2"/>
      <c r="G279" s="2"/>
      <c r="H279" s="2"/>
      <c r="I279" s="2"/>
      <c r="J279" s="2"/>
      <c r="K279" s="3"/>
      <c r="R279" s="62"/>
    </row>
    <row r="280" ht="15.75" customHeight="1">
      <c r="A280" s="233" t="s">
        <v>851</v>
      </c>
      <c r="B280" s="2"/>
      <c r="C280" s="2"/>
      <c r="D280" s="2"/>
      <c r="E280" s="2"/>
      <c r="F280" s="2"/>
      <c r="G280" s="2"/>
      <c r="H280" s="2"/>
      <c r="I280" s="2"/>
      <c r="J280" s="2"/>
      <c r="K280" s="3"/>
      <c r="R280" s="62"/>
    </row>
    <row r="281" ht="15.75" customHeight="1">
      <c r="A281" s="22"/>
      <c r="B281" s="23" t="s">
        <v>3</v>
      </c>
      <c r="C281" s="24" t="s">
        <v>2</v>
      </c>
      <c r="D281" s="25" t="s">
        <v>5</v>
      </c>
      <c r="E281" s="25" t="s">
        <v>19</v>
      </c>
      <c r="F281" s="25" t="s">
        <v>6</v>
      </c>
      <c r="G281" s="234" t="s">
        <v>7</v>
      </c>
      <c r="H281" s="27" t="s">
        <v>8</v>
      </c>
      <c r="I281" s="28" t="s">
        <v>20</v>
      </c>
      <c r="J281" s="25" t="s">
        <v>21</v>
      </c>
      <c r="K281" s="25" t="s">
        <v>22</v>
      </c>
      <c r="R281" s="62"/>
    </row>
    <row r="282" ht="15.75" customHeight="1">
      <c r="A282" s="11" t="s">
        <v>10</v>
      </c>
      <c r="B282" s="68" t="s">
        <v>273</v>
      </c>
      <c r="C282" s="69" t="s">
        <v>481</v>
      </c>
      <c r="D282" s="70">
        <v>0.5416666666666666</v>
      </c>
      <c r="E282" s="79">
        <v>3.639701852E9</v>
      </c>
      <c r="F282" s="79">
        <v>7.00000733555106E14</v>
      </c>
      <c r="G282" s="74" t="s">
        <v>852</v>
      </c>
      <c r="H282" s="78">
        <v>17982.0</v>
      </c>
      <c r="I282" s="18" t="s">
        <v>182</v>
      </c>
      <c r="J282" s="97">
        <v>9.59233842E8</v>
      </c>
      <c r="K282" s="97"/>
      <c r="R282" s="62"/>
    </row>
    <row r="283" ht="15.75" customHeight="1">
      <c r="A283" s="11" t="s">
        <v>11</v>
      </c>
      <c r="B283" s="68" t="s">
        <v>192</v>
      </c>
      <c r="C283" s="69" t="s">
        <v>481</v>
      </c>
      <c r="D283" s="70">
        <v>0.5555555555555556</v>
      </c>
      <c r="E283" s="71">
        <v>8.7080362504E10</v>
      </c>
      <c r="F283" s="170">
        <v>1.25181355390002E14</v>
      </c>
      <c r="G283" s="186" t="s">
        <v>853</v>
      </c>
      <c r="H283" s="72">
        <v>27545.0</v>
      </c>
      <c r="I283" s="18" t="s">
        <v>182</v>
      </c>
      <c r="J283" s="37" t="s">
        <v>854</v>
      </c>
      <c r="K283" s="37"/>
      <c r="R283" s="62"/>
    </row>
    <row r="284" ht="15.75" customHeight="1">
      <c r="A284" s="11" t="s">
        <v>12</v>
      </c>
      <c r="B284" s="68" t="s">
        <v>855</v>
      </c>
      <c r="C284" s="69" t="s">
        <v>481</v>
      </c>
      <c r="D284" s="70">
        <v>0.5694444444444444</v>
      </c>
      <c r="E284" s="79">
        <v>3.8772057807E10</v>
      </c>
      <c r="F284" s="79">
        <v>8.01440403511734E14</v>
      </c>
      <c r="G284" s="74" t="s">
        <v>856</v>
      </c>
      <c r="H284" s="78">
        <v>34351.0</v>
      </c>
      <c r="I284" s="18" t="s">
        <v>182</v>
      </c>
      <c r="J284" s="97">
        <v>1.194813928E10</v>
      </c>
      <c r="K284" s="97">
        <v>1.1954761183E10</v>
      </c>
      <c r="R284" s="62"/>
    </row>
    <row r="285" ht="15.75" customHeight="1">
      <c r="A285" s="11" t="s">
        <v>13</v>
      </c>
      <c r="B285" s="68" t="s">
        <v>432</v>
      </c>
      <c r="C285" s="69" t="s">
        <v>481</v>
      </c>
      <c r="D285" s="70">
        <v>0.5833333333333334</v>
      </c>
      <c r="E285" s="149">
        <v>8.5202339887E10</v>
      </c>
      <c r="F285" s="149">
        <v>8.3550304386122E14</v>
      </c>
      <c r="G285" s="148" t="s">
        <v>857</v>
      </c>
      <c r="H285" s="153">
        <v>17655.0</v>
      </c>
      <c r="I285" s="18" t="s">
        <v>182</v>
      </c>
      <c r="J285" s="97"/>
      <c r="K285" s="97"/>
      <c r="R285" s="62"/>
    </row>
    <row r="286" ht="15.75" customHeight="1">
      <c r="A286" s="11" t="s">
        <v>14</v>
      </c>
      <c r="B286" s="68" t="s">
        <v>749</v>
      </c>
      <c r="C286" s="69" t="s">
        <v>481</v>
      </c>
      <c r="D286" s="70">
        <v>0.5972222222222222</v>
      </c>
      <c r="E286" s="79">
        <v>1.319085881E9</v>
      </c>
      <c r="F286" s="79">
        <v>7.02106707267094E14</v>
      </c>
      <c r="G286" s="74" t="s">
        <v>858</v>
      </c>
      <c r="H286" s="78">
        <v>21186.0</v>
      </c>
      <c r="I286" s="18" t="s">
        <v>182</v>
      </c>
      <c r="J286" s="97" t="s">
        <v>859</v>
      </c>
      <c r="K286" s="97"/>
      <c r="R286" s="62"/>
    </row>
    <row r="287" ht="15.75" customHeight="1">
      <c r="A287" s="11" t="s">
        <v>15</v>
      </c>
      <c r="B287" s="68" t="s">
        <v>860</v>
      </c>
      <c r="C287" s="69" t="s">
        <v>481</v>
      </c>
      <c r="D287" s="70">
        <v>0.6111111111111112</v>
      </c>
      <c r="E287" s="79">
        <v>5.04698869E9</v>
      </c>
      <c r="F287" s="308">
        <v>8.98003965989032E14</v>
      </c>
      <c r="G287" s="186" t="s">
        <v>861</v>
      </c>
      <c r="H287" s="309">
        <v>28625.0</v>
      </c>
      <c r="I287" s="18" t="s">
        <v>194</v>
      </c>
      <c r="J287" s="37" t="s">
        <v>862</v>
      </c>
      <c r="K287" s="37"/>
      <c r="R287" s="62"/>
    </row>
    <row r="288" ht="15.75" customHeight="1">
      <c r="A288" s="11" t="s">
        <v>16</v>
      </c>
      <c r="B288" s="68" t="s">
        <v>752</v>
      </c>
      <c r="C288" s="69" t="s">
        <v>481</v>
      </c>
      <c r="D288" s="70">
        <v>0.625</v>
      </c>
      <c r="E288" s="79">
        <v>3.646220589E10</v>
      </c>
      <c r="F288" s="79">
        <v>8.01440477878283E14</v>
      </c>
      <c r="G288" s="74" t="s">
        <v>863</v>
      </c>
      <c r="H288" s="78">
        <v>19709.0</v>
      </c>
      <c r="I288" s="18" t="s">
        <v>194</v>
      </c>
      <c r="J288" s="97">
        <v>1.1951085497E10</v>
      </c>
      <c r="K288" s="97"/>
      <c r="R288" s="62"/>
    </row>
    <row r="289" ht="15.75" customHeight="1">
      <c r="A289" s="11" t="s">
        <v>17</v>
      </c>
      <c r="B289" s="68" t="s">
        <v>749</v>
      </c>
      <c r="C289" s="69" t="s">
        <v>481</v>
      </c>
      <c r="D289" s="70">
        <v>0.6388888888888888</v>
      </c>
      <c r="E289" s="79">
        <v>1.7087695878E10</v>
      </c>
      <c r="F289" s="79">
        <v>2.0429640409E14</v>
      </c>
      <c r="G289" s="74" t="s">
        <v>864</v>
      </c>
      <c r="H289" s="78">
        <v>28568.0</v>
      </c>
      <c r="I289" s="18" t="s">
        <v>182</v>
      </c>
      <c r="J289" s="37" t="s">
        <v>865</v>
      </c>
      <c r="K289" s="37"/>
      <c r="R289" s="62"/>
    </row>
    <row r="290" ht="15.75" customHeight="1">
      <c r="A290" s="11" t="s">
        <v>85</v>
      </c>
      <c r="B290" s="68"/>
      <c r="C290" s="69" t="s">
        <v>481</v>
      </c>
      <c r="D290" s="70">
        <v>0.6527777777777778</v>
      </c>
      <c r="E290" s="146"/>
      <c r="F290" s="146"/>
      <c r="G290" s="74"/>
      <c r="H290" s="86"/>
      <c r="I290" s="18" t="s">
        <v>180</v>
      </c>
      <c r="J290" s="37"/>
      <c r="K290" s="37"/>
      <c r="O290" s="310"/>
      <c r="R290" s="62"/>
    </row>
    <row r="291" ht="15.75" customHeight="1">
      <c r="A291" s="11" t="s">
        <v>87</v>
      </c>
      <c r="B291" s="311" t="s">
        <v>866</v>
      </c>
      <c r="C291" s="312" t="s">
        <v>481</v>
      </c>
      <c r="D291" s="313">
        <v>0.6666666666666666</v>
      </c>
      <c r="E291" s="314">
        <v>3.83021538E10</v>
      </c>
      <c r="F291" s="314">
        <v>8.01440433622054E14</v>
      </c>
      <c r="G291" s="315" t="s">
        <v>867</v>
      </c>
      <c r="H291" s="316">
        <v>33174.0</v>
      </c>
      <c r="I291" s="317" t="s">
        <v>182</v>
      </c>
      <c r="J291" s="318" t="s">
        <v>868</v>
      </c>
      <c r="K291" s="37"/>
      <c r="R291" s="62"/>
    </row>
    <row r="292" ht="15.75" customHeight="1">
      <c r="A292" s="11" t="s">
        <v>90</v>
      </c>
      <c r="B292" s="68" t="s">
        <v>869</v>
      </c>
      <c r="C292" s="69" t="s">
        <v>481</v>
      </c>
      <c r="D292" s="70">
        <v>0.6805555555555556</v>
      </c>
      <c r="E292" s="127">
        <v>2.8008188839E10</v>
      </c>
      <c r="F292" s="127">
        <v>2.04303270770009E14</v>
      </c>
      <c r="G292" s="166" t="s">
        <v>870</v>
      </c>
      <c r="H292" s="153">
        <v>14855.0</v>
      </c>
      <c r="I292" s="18" t="s">
        <v>182</v>
      </c>
      <c r="J292" s="37" t="s">
        <v>871</v>
      </c>
      <c r="K292" s="37"/>
      <c r="R292" s="62"/>
    </row>
    <row r="293" ht="15.75" customHeight="1">
      <c r="A293" s="11" t="s">
        <v>93</v>
      </c>
      <c r="B293" s="68"/>
      <c r="C293" s="69" t="s">
        <v>481</v>
      </c>
      <c r="D293" s="70">
        <v>0.6944444444444444</v>
      </c>
      <c r="E293" s="127"/>
      <c r="F293" s="127"/>
      <c r="G293" s="29"/>
      <c r="H293" s="153"/>
      <c r="I293" s="18" t="s">
        <v>180</v>
      </c>
      <c r="J293" s="179"/>
      <c r="K293" s="179"/>
      <c r="R293" s="62"/>
    </row>
    <row r="294" ht="15.75" customHeight="1">
      <c r="R294" s="62"/>
    </row>
    <row r="295" ht="15.75" customHeight="1">
      <c r="R295" s="62"/>
    </row>
    <row r="296" ht="15.75" customHeight="1">
      <c r="A296" s="20" t="s">
        <v>872</v>
      </c>
      <c r="B296" s="2"/>
      <c r="C296" s="2"/>
      <c r="D296" s="2"/>
      <c r="E296" s="2"/>
      <c r="F296" s="2"/>
      <c r="G296" s="2"/>
      <c r="H296" s="2"/>
      <c r="I296" s="2"/>
      <c r="J296" s="2"/>
      <c r="K296" s="3"/>
      <c r="R296" s="62"/>
    </row>
    <row r="297" ht="15.75" customHeight="1">
      <c r="A297" s="233" t="s">
        <v>873</v>
      </c>
      <c r="B297" s="2"/>
      <c r="C297" s="2"/>
      <c r="D297" s="2"/>
      <c r="E297" s="2"/>
      <c r="F297" s="2"/>
      <c r="G297" s="2"/>
      <c r="H297" s="2"/>
      <c r="I297" s="2"/>
      <c r="J297" s="2"/>
      <c r="K297" s="3"/>
      <c r="R297" s="62"/>
    </row>
    <row r="298" ht="15.75" customHeight="1">
      <c r="A298" s="22"/>
      <c r="B298" s="23" t="s">
        <v>3</v>
      </c>
      <c r="C298" s="24" t="s">
        <v>2</v>
      </c>
      <c r="D298" s="25" t="s">
        <v>5</v>
      </c>
      <c r="E298" s="25" t="s">
        <v>19</v>
      </c>
      <c r="F298" s="25" t="s">
        <v>6</v>
      </c>
      <c r="G298" s="234" t="s">
        <v>7</v>
      </c>
      <c r="H298" s="27" t="s">
        <v>8</v>
      </c>
      <c r="I298" s="28" t="s">
        <v>20</v>
      </c>
      <c r="J298" s="25" t="s">
        <v>21</v>
      </c>
      <c r="K298" s="25" t="s">
        <v>22</v>
      </c>
      <c r="R298" s="62"/>
    </row>
    <row r="299" ht="15.75" customHeight="1">
      <c r="A299" s="11" t="s">
        <v>10</v>
      </c>
      <c r="B299" s="68" t="s">
        <v>388</v>
      </c>
      <c r="C299" s="69" t="s">
        <v>517</v>
      </c>
      <c r="D299" s="70">
        <v>0.5416666666666666</v>
      </c>
      <c r="E299" s="79">
        <v>1.7424543806E10</v>
      </c>
      <c r="F299" s="79">
        <v>8.01440498130237E14</v>
      </c>
      <c r="G299" s="220" t="s">
        <v>874</v>
      </c>
      <c r="H299" s="78">
        <v>27623.0</v>
      </c>
      <c r="I299" s="18" t="s">
        <v>182</v>
      </c>
      <c r="J299" s="97" t="s">
        <v>875</v>
      </c>
      <c r="K299" s="97"/>
      <c r="R299" s="62"/>
    </row>
    <row r="300" ht="15.75" customHeight="1">
      <c r="A300" s="11" t="s">
        <v>11</v>
      </c>
      <c r="B300" s="68" t="s">
        <v>388</v>
      </c>
      <c r="C300" s="69" t="s">
        <v>517</v>
      </c>
      <c r="D300" s="70">
        <v>0.5555555555555556</v>
      </c>
      <c r="E300" s="71">
        <v>3.7559725813E10</v>
      </c>
      <c r="F300" s="170">
        <v>8.98004847932333E14</v>
      </c>
      <c r="G300" s="220" t="s">
        <v>876</v>
      </c>
      <c r="H300" s="72">
        <v>30167.0</v>
      </c>
      <c r="I300" s="18" t="s">
        <v>182</v>
      </c>
      <c r="J300" s="37" t="s">
        <v>877</v>
      </c>
      <c r="K300" s="37"/>
      <c r="R300" s="62"/>
    </row>
    <row r="301" ht="15.75" customHeight="1">
      <c r="A301" s="11" t="s">
        <v>12</v>
      </c>
      <c r="B301" s="68" t="s">
        <v>388</v>
      </c>
      <c r="C301" s="69" t="s">
        <v>517</v>
      </c>
      <c r="D301" s="70">
        <v>0.5694444444444444</v>
      </c>
      <c r="E301" s="79">
        <v>1.4230594844E10</v>
      </c>
      <c r="F301" s="79">
        <v>7.00005254876802E14</v>
      </c>
      <c r="G301" s="220" t="s">
        <v>878</v>
      </c>
      <c r="H301" s="78">
        <v>25580.0</v>
      </c>
      <c r="I301" s="18" t="s">
        <v>182</v>
      </c>
      <c r="J301" s="97" t="s">
        <v>879</v>
      </c>
      <c r="K301" s="97"/>
      <c r="R301" s="62"/>
    </row>
    <row r="302" ht="15.75" customHeight="1">
      <c r="A302" s="11" t="s">
        <v>13</v>
      </c>
      <c r="B302" s="68" t="s">
        <v>388</v>
      </c>
      <c r="C302" s="69" t="s">
        <v>517</v>
      </c>
      <c r="D302" s="70">
        <v>0.5833333333333334</v>
      </c>
      <c r="E302" s="79">
        <v>2.1263555861E10</v>
      </c>
      <c r="F302" s="79">
        <v>8.014404053905E14</v>
      </c>
      <c r="G302" s="220" t="s">
        <v>880</v>
      </c>
      <c r="H302" s="78">
        <v>28202.0</v>
      </c>
      <c r="I302" s="18" t="s">
        <v>182</v>
      </c>
      <c r="J302" s="97" t="s">
        <v>881</v>
      </c>
      <c r="K302" s="97"/>
      <c r="R302" s="62"/>
    </row>
    <row r="303" ht="15.75" customHeight="1">
      <c r="A303" s="11" t="s">
        <v>14</v>
      </c>
      <c r="B303" s="68" t="s">
        <v>882</v>
      </c>
      <c r="C303" s="69" t="s">
        <v>517</v>
      </c>
      <c r="D303" s="70">
        <v>0.5972222222222222</v>
      </c>
      <c r="E303" s="146">
        <v>9.333463879E9</v>
      </c>
      <c r="F303" s="146">
        <v>2.01157371910001E14</v>
      </c>
      <c r="G303" s="54" t="s">
        <v>883</v>
      </c>
      <c r="H303" s="72">
        <v>24096.0</v>
      </c>
      <c r="I303" s="18" t="s">
        <v>182</v>
      </c>
      <c r="J303" s="37" t="s">
        <v>884</v>
      </c>
      <c r="K303" s="37"/>
      <c r="R303" s="62"/>
    </row>
    <row r="304" ht="15.75" customHeight="1">
      <c r="A304" s="11" t="s">
        <v>15</v>
      </c>
      <c r="B304" s="68" t="s">
        <v>388</v>
      </c>
      <c r="C304" s="69" t="s">
        <v>517</v>
      </c>
      <c r="D304" s="70">
        <v>0.6111111111111112</v>
      </c>
      <c r="E304" s="79">
        <v>3.5841377809E10</v>
      </c>
      <c r="F304" s="79">
        <v>7.04701704189439E14</v>
      </c>
      <c r="G304" s="220" t="s">
        <v>885</v>
      </c>
      <c r="H304" s="78">
        <v>20935.0</v>
      </c>
      <c r="I304" s="18" t="s">
        <v>182</v>
      </c>
      <c r="J304" s="37" t="s">
        <v>886</v>
      </c>
      <c r="K304" s="37"/>
      <c r="R304" s="62"/>
    </row>
    <row r="305" ht="15.75" customHeight="1">
      <c r="A305" s="11" t="s">
        <v>16</v>
      </c>
      <c r="B305" s="68" t="s">
        <v>882</v>
      </c>
      <c r="C305" s="69" t="s">
        <v>517</v>
      </c>
      <c r="D305" s="70">
        <v>0.625</v>
      </c>
      <c r="E305" s="79">
        <v>1.2124435E7</v>
      </c>
      <c r="F305" s="79">
        <v>1.60592594140002E14</v>
      </c>
      <c r="G305" s="74" t="s">
        <v>887</v>
      </c>
      <c r="H305" s="78">
        <v>26499.0</v>
      </c>
      <c r="I305" s="18" t="s">
        <v>182</v>
      </c>
      <c r="J305" s="97" t="s">
        <v>888</v>
      </c>
      <c r="K305" s="97"/>
      <c r="R305" s="62"/>
    </row>
    <row r="306" ht="15.75" customHeight="1">
      <c r="A306" s="11" t="s">
        <v>17</v>
      </c>
      <c r="B306" s="68" t="s">
        <v>388</v>
      </c>
      <c r="C306" s="69" t="s">
        <v>517</v>
      </c>
      <c r="D306" s="70">
        <v>0.6388888888888888</v>
      </c>
      <c r="E306" s="79">
        <v>7.8635730925E10</v>
      </c>
      <c r="F306" s="79">
        <v>7.02805131299164E14</v>
      </c>
      <c r="G306" s="220" t="s">
        <v>889</v>
      </c>
      <c r="H306" s="78">
        <v>25899.0</v>
      </c>
      <c r="I306" s="18" t="s">
        <v>182</v>
      </c>
      <c r="J306" s="37" t="s">
        <v>890</v>
      </c>
      <c r="K306" s="37"/>
      <c r="R306" s="62"/>
    </row>
    <row r="307" ht="15.75" customHeight="1">
      <c r="A307" s="11" t="s">
        <v>85</v>
      </c>
      <c r="B307" s="68" t="s">
        <v>388</v>
      </c>
      <c r="C307" s="69" t="s">
        <v>517</v>
      </c>
      <c r="D307" s="70">
        <v>0.6527777777777778</v>
      </c>
      <c r="E307" s="146">
        <v>1.6410100884E10</v>
      </c>
      <c r="F307" s="146">
        <v>7.00005902614605E14</v>
      </c>
      <c r="G307" s="220" t="s">
        <v>891</v>
      </c>
      <c r="H307" s="86">
        <v>26376.0</v>
      </c>
      <c r="I307" s="18" t="s">
        <v>182</v>
      </c>
      <c r="J307" s="37" t="s">
        <v>892</v>
      </c>
      <c r="K307" s="37" t="s">
        <v>893</v>
      </c>
      <c r="R307" s="62"/>
    </row>
    <row r="308" ht="15.75" customHeight="1">
      <c r="A308" s="11" t="s">
        <v>87</v>
      </c>
      <c r="B308" s="68" t="s">
        <v>388</v>
      </c>
      <c r="C308" s="69" t="s">
        <v>517</v>
      </c>
      <c r="D308" s="70">
        <v>0.6666666666666666</v>
      </c>
      <c r="E308" s="149">
        <v>3.7233496846E10</v>
      </c>
      <c r="F308" s="149">
        <v>7.02609213618641E14</v>
      </c>
      <c r="G308" s="220" t="s">
        <v>894</v>
      </c>
      <c r="H308" s="153">
        <v>29713.0</v>
      </c>
      <c r="I308" s="18" t="s">
        <v>182</v>
      </c>
      <c r="J308" s="37" t="s">
        <v>895</v>
      </c>
      <c r="K308" s="37" t="s">
        <v>896</v>
      </c>
      <c r="R308" s="62"/>
    </row>
    <row r="309" ht="15.75" customHeight="1">
      <c r="A309" s="11" t="s">
        <v>90</v>
      </c>
      <c r="B309" s="68" t="s">
        <v>897</v>
      </c>
      <c r="C309" s="69" t="s">
        <v>517</v>
      </c>
      <c r="D309" s="70">
        <v>0.6805555555555556</v>
      </c>
      <c r="E309" s="243" t="s">
        <v>685</v>
      </c>
      <c r="F309" s="53">
        <v>2.01152283000009E14</v>
      </c>
      <c r="G309" s="220" t="s">
        <v>686</v>
      </c>
      <c r="H309" s="319">
        <v>22577.0</v>
      </c>
      <c r="I309" s="18" t="s">
        <v>194</v>
      </c>
      <c r="J309" s="37" t="s">
        <v>687</v>
      </c>
      <c r="K309" s="37"/>
      <c r="R309" s="62"/>
    </row>
    <row r="310" ht="15.75" customHeight="1">
      <c r="A310" s="11" t="s">
        <v>93</v>
      </c>
      <c r="B310" s="68" t="s">
        <v>388</v>
      </c>
      <c r="C310" s="69" t="s">
        <v>517</v>
      </c>
      <c r="D310" s="70">
        <v>0.6944444444444444</v>
      </c>
      <c r="E310" s="127">
        <v>8.6757679434E10</v>
      </c>
      <c r="F310" s="127">
        <v>7.08909791878511E14</v>
      </c>
      <c r="G310" s="220" t="s">
        <v>898</v>
      </c>
      <c r="H310" s="153">
        <v>26242.0</v>
      </c>
      <c r="I310" s="18" t="s">
        <v>182</v>
      </c>
      <c r="J310" s="37" t="s">
        <v>899</v>
      </c>
      <c r="K310" s="179"/>
      <c r="R310" s="62"/>
    </row>
    <row r="311" ht="15.75" customHeight="1">
      <c r="R311" s="62"/>
    </row>
    <row r="312" ht="15.75" customHeight="1">
      <c r="R312" s="62"/>
    </row>
    <row r="313" ht="15.75" customHeight="1">
      <c r="R313" s="62"/>
    </row>
    <row r="314" ht="15.75" customHeight="1">
      <c r="R314" s="62"/>
    </row>
    <row r="315" ht="15.75" customHeight="1">
      <c r="R315" s="62"/>
    </row>
    <row r="316" ht="15.75" customHeight="1">
      <c r="R316" s="62"/>
    </row>
    <row r="317" ht="15.75" customHeight="1">
      <c r="R317" s="62"/>
    </row>
    <row r="318" ht="15.75" customHeight="1">
      <c r="R318" s="62"/>
    </row>
    <row r="319" ht="15.75" customHeight="1">
      <c r="R319" s="62"/>
    </row>
    <row r="320" ht="15.75" customHeight="1">
      <c r="R320" s="62"/>
    </row>
    <row r="321" ht="15.75" customHeight="1">
      <c r="R321" s="62"/>
    </row>
    <row r="322" ht="15.75" customHeight="1">
      <c r="R322" s="62"/>
    </row>
    <row r="323" ht="15.75" customHeight="1">
      <c r="R323" s="62"/>
    </row>
    <row r="324" ht="15.75" customHeight="1">
      <c r="R324" s="62"/>
    </row>
    <row r="325" ht="15.75" customHeight="1">
      <c r="R325" s="62"/>
    </row>
    <row r="326" ht="15.75" customHeight="1">
      <c r="R326" s="62"/>
    </row>
    <row r="327" ht="15.75" customHeight="1">
      <c r="R327" s="62"/>
    </row>
    <row r="328" ht="15.75" customHeight="1">
      <c r="R328" s="62"/>
    </row>
    <row r="329" ht="15.75" customHeight="1">
      <c r="F329" s="320"/>
      <c r="R329" s="62"/>
    </row>
    <row r="330" ht="15.75" customHeight="1">
      <c r="F330" s="320"/>
      <c r="R330" s="62"/>
    </row>
    <row r="331" ht="15.75" customHeight="1">
      <c r="F331" s="320"/>
      <c r="R331" s="62"/>
    </row>
    <row r="332" ht="15.75" customHeight="1">
      <c r="F332" s="320"/>
      <c r="R332" s="62"/>
    </row>
    <row r="333" ht="15.75" customHeight="1">
      <c r="F333" s="320"/>
      <c r="R333" s="62"/>
    </row>
    <row r="334" ht="15.75" customHeight="1">
      <c r="F334" s="320"/>
      <c r="R334" s="62"/>
    </row>
    <row r="335" ht="15.75" customHeight="1">
      <c r="F335" s="320"/>
      <c r="R335" s="62"/>
    </row>
    <row r="336" ht="15.75" customHeight="1">
      <c r="F336" s="320"/>
      <c r="R336" s="62"/>
    </row>
    <row r="337" ht="15.75" customHeight="1">
      <c r="F337" s="320"/>
      <c r="R337" s="62"/>
    </row>
    <row r="338" ht="15.75" customHeight="1">
      <c r="F338" s="320"/>
      <c r="R338" s="62"/>
    </row>
    <row r="339" ht="15.75" customHeight="1">
      <c r="F339" s="320"/>
      <c r="R339" s="62"/>
    </row>
    <row r="340" ht="15.75" customHeight="1">
      <c r="F340" s="320"/>
      <c r="R340" s="62"/>
    </row>
    <row r="341" ht="15.75" customHeight="1">
      <c r="F341" s="320"/>
      <c r="R341" s="62"/>
    </row>
    <row r="342" ht="15.75" customHeight="1">
      <c r="F342" s="320"/>
      <c r="R342" s="62"/>
    </row>
    <row r="343" ht="15.75" customHeight="1">
      <c r="F343" s="320"/>
      <c r="R343" s="62"/>
    </row>
    <row r="344" ht="15.75" customHeight="1">
      <c r="F344" s="320"/>
      <c r="R344" s="62"/>
    </row>
    <row r="345" ht="15.75" customHeight="1">
      <c r="F345" s="320"/>
      <c r="R345" s="62"/>
    </row>
    <row r="346" ht="15.75" customHeight="1">
      <c r="F346" s="320"/>
      <c r="R346" s="62"/>
    </row>
    <row r="347" ht="15.75" customHeight="1">
      <c r="F347" s="320"/>
      <c r="R347" s="62"/>
    </row>
    <row r="348" ht="15.75" customHeight="1">
      <c r="F348" s="320"/>
      <c r="R348" s="62"/>
    </row>
    <row r="349" ht="15.75" customHeight="1">
      <c r="F349" s="320"/>
      <c r="R349" s="62"/>
    </row>
    <row r="350" ht="15.75" customHeight="1">
      <c r="F350" s="320"/>
      <c r="R350" s="62"/>
    </row>
    <row r="351" ht="15.75" customHeight="1">
      <c r="F351" s="320"/>
      <c r="R351" s="62"/>
    </row>
    <row r="352" ht="15.75" customHeight="1">
      <c r="F352" s="320"/>
      <c r="R352" s="62"/>
    </row>
    <row r="353" ht="15.75" customHeight="1">
      <c r="F353" s="320"/>
      <c r="R353" s="62"/>
    </row>
    <row r="354" ht="15.75" customHeight="1">
      <c r="F354" s="320"/>
      <c r="R354" s="62"/>
    </row>
    <row r="355" ht="15.75" customHeight="1">
      <c r="F355" s="320"/>
      <c r="R355" s="62"/>
    </row>
    <row r="356" ht="15.75" customHeight="1">
      <c r="F356" s="320"/>
      <c r="R356" s="62"/>
    </row>
    <row r="357" ht="15.75" customHeight="1">
      <c r="F357" s="320"/>
      <c r="R357" s="62"/>
    </row>
    <row r="358" ht="15.75" customHeight="1">
      <c r="F358" s="320"/>
      <c r="R358" s="62"/>
    </row>
    <row r="359" ht="15.75" customHeight="1">
      <c r="F359" s="320"/>
      <c r="R359" s="62"/>
    </row>
    <row r="360" ht="15.75" customHeight="1">
      <c r="F360" s="320"/>
      <c r="R360" s="62"/>
    </row>
    <row r="361" ht="15.75" customHeight="1">
      <c r="F361" s="320"/>
      <c r="R361" s="62"/>
    </row>
    <row r="362" ht="15.75" customHeight="1">
      <c r="F362" s="320"/>
      <c r="R362" s="62"/>
    </row>
    <row r="363" ht="15.75" customHeight="1">
      <c r="F363" s="320"/>
      <c r="R363" s="62"/>
    </row>
    <row r="364" ht="15.75" customHeight="1">
      <c r="F364" s="320"/>
      <c r="R364" s="62"/>
    </row>
    <row r="365" ht="15.75" customHeight="1">
      <c r="F365" s="320"/>
      <c r="R365" s="62"/>
    </row>
    <row r="366" ht="15.75" customHeight="1">
      <c r="R366" s="62"/>
    </row>
    <row r="367" ht="15.75" customHeight="1">
      <c r="R367" s="62"/>
    </row>
    <row r="368" ht="15.75" customHeight="1">
      <c r="R368" s="62"/>
    </row>
    <row r="369" ht="15.75" customHeight="1">
      <c r="R369" s="62"/>
    </row>
    <row r="370" ht="15.75" customHeight="1">
      <c r="R370" s="62"/>
    </row>
    <row r="371" ht="15.75" customHeight="1">
      <c r="R371" s="62"/>
    </row>
    <row r="372" ht="15.75" customHeight="1">
      <c r="R372" s="62"/>
    </row>
    <row r="373" ht="15.75" customHeight="1">
      <c r="R373" s="62"/>
    </row>
    <row r="374" ht="15.75" customHeight="1">
      <c r="R374" s="62"/>
    </row>
    <row r="375" ht="15.75" customHeight="1">
      <c r="R375" s="62"/>
    </row>
    <row r="376" ht="15.75" customHeight="1">
      <c r="R376" s="62"/>
    </row>
    <row r="377" ht="15.75" customHeight="1">
      <c r="R377" s="62"/>
    </row>
    <row r="378" ht="15.75" customHeight="1">
      <c r="R378" s="62"/>
    </row>
    <row r="379" ht="15.75" customHeight="1">
      <c r="R379" s="62"/>
    </row>
    <row r="380" ht="15.75" customHeight="1">
      <c r="R380" s="62"/>
    </row>
    <row r="381" ht="15.75" customHeight="1">
      <c r="R381" s="62"/>
    </row>
    <row r="382" ht="15.75" customHeight="1">
      <c r="R382" s="62"/>
    </row>
    <row r="383" ht="15.75" customHeight="1">
      <c r="R383" s="62"/>
    </row>
    <row r="384" ht="15.75" customHeight="1">
      <c r="R384" s="62"/>
    </row>
    <row r="385" ht="15.75" customHeight="1">
      <c r="R385" s="62"/>
    </row>
    <row r="386" ht="15.75" customHeight="1">
      <c r="R386" s="62"/>
    </row>
    <row r="387" ht="15.75" customHeight="1">
      <c r="R387" s="62"/>
    </row>
    <row r="388" ht="15.75" customHeight="1">
      <c r="R388" s="62"/>
    </row>
    <row r="389" ht="15.75" customHeight="1">
      <c r="R389" s="62"/>
    </row>
    <row r="390" ht="15.75" customHeight="1">
      <c r="R390" s="62"/>
    </row>
    <row r="391" ht="15.75" customHeight="1">
      <c r="R391" s="62"/>
    </row>
    <row r="392" ht="15.75" customHeight="1">
      <c r="R392" s="62"/>
    </row>
    <row r="393" ht="15.75" customHeight="1">
      <c r="R393" s="62"/>
    </row>
    <row r="394" ht="15.75" customHeight="1">
      <c r="R394" s="62"/>
    </row>
    <row r="395" ht="15.75" customHeight="1">
      <c r="R395" s="62"/>
    </row>
    <row r="396" ht="15.75" customHeight="1">
      <c r="R396" s="62"/>
    </row>
    <row r="397" ht="15.75" customHeight="1">
      <c r="R397" s="62"/>
    </row>
    <row r="398" ht="15.75" customHeight="1">
      <c r="R398" s="62"/>
    </row>
    <row r="399" ht="15.75" customHeight="1">
      <c r="R399" s="62"/>
    </row>
    <row r="400" ht="15.75" customHeight="1">
      <c r="R400" s="62"/>
    </row>
    <row r="401" ht="15.75" customHeight="1">
      <c r="R401" s="62"/>
    </row>
    <row r="402" ht="15.75" customHeight="1">
      <c r="R402" s="62"/>
    </row>
    <row r="403" ht="15.75" customHeight="1">
      <c r="R403" s="62"/>
    </row>
    <row r="404" ht="15.75" customHeight="1">
      <c r="R404" s="62"/>
    </row>
    <row r="405" ht="15.75" customHeight="1">
      <c r="R405" s="62"/>
    </row>
    <row r="406" ht="15.75" customHeight="1">
      <c r="R406" s="62"/>
    </row>
    <row r="407" ht="15.75" customHeight="1">
      <c r="R407" s="62"/>
    </row>
    <row r="408" ht="15.75" customHeight="1">
      <c r="R408" s="62"/>
    </row>
    <row r="409" ht="15.75" customHeight="1">
      <c r="R409" s="62"/>
    </row>
    <row r="410" ht="15.75" customHeight="1">
      <c r="R410" s="62"/>
    </row>
    <row r="411" ht="15.75" customHeight="1">
      <c r="R411" s="62"/>
    </row>
    <row r="412" ht="15.75" customHeight="1">
      <c r="R412" s="62"/>
    </row>
    <row r="413" ht="15.75" customHeight="1">
      <c r="R413" s="62"/>
    </row>
    <row r="414" ht="15.75" customHeight="1">
      <c r="R414" s="62"/>
    </row>
    <row r="415" ht="15.75" customHeight="1">
      <c r="R415" s="62"/>
    </row>
    <row r="416" ht="15.75" customHeight="1">
      <c r="R416" s="62"/>
    </row>
    <row r="417" ht="15.75" customHeight="1">
      <c r="R417" s="62"/>
    </row>
    <row r="418" ht="15.75" customHeight="1">
      <c r="R418" s="62"/>
    </row>
    <row r="419" ht="15.75" customHeight="1">
      <c r="R419" s="62"/>
    </row>
    <row r="420" ht="15.75" customHeight="1">
      <c r="R420" s="62"/>
    </row>
    <row r="421" ht="15.75" customHeight="1">
      <c r="R421" s="62"/>
    </row>
    <row r="422" ht="15.75" customHeight="1">
      <c r="R422" s="62"/>
    </row>
    <row r="423" ht="15.75" customHeight="1">
      <c r="R423" s="62"/>
    </row>
    <row r="424" ht="15.75" customHeight="1">
      <c r="R424" s="62"/>
    </row>
    <row r="425" ht="15.75" customHeight="1">
      <c r="R425" s="62"/>
    </row>
    <row r="426" ht="15.75" customHeight="1">
      <c r="R426" s="62"/>
    </row>
    <row r="427" ht="15.75" customHeight="1">
      <c r="R427" s="62"/>
    </row>
    <row r="428" ht="15.75" customHeight="1">
      <c r="R428" s="62"/>
    </row>
    <row r="429" ht="15.75" customHeight="1">
      <c r="R429" s="62"/>
    </row>
    <row r="430" ht="15.75" customHeight="1">
      <c r="R430" s="62"/>
    </row>
    <row r="431" ht="15.75" customHeight="1">
      <c r="R431" s="62"/>
    </row>
    <row r="432" ht="15.75" customHeight="1">
      <c r="R432" s="62"/>
    </row>
    <row r="433" ht="15.75" customHeight="1">
      <c r="R433" s="62"/>
    </row>
    <row r="434" ht="15.75" customHeight="1">
      <c r="R434" s="62"/>
    </row>
    <row r="435" ht="15.75" customHeight="1">
      <c r="R435" s="62"/>
    </row>
    <row r="436" ht="15.75" customHeight="1">
      <c r="R436" s="62"/>
    </row>
    <row r="437" ht="15.75" customHeight="1">
      <c r="R437" s="62"/>
    </row>
    <row r="438" ht="15.75" customHeight="1">
      <c r="R438" s="62"/>
    </row>
    <row r="439" ht="15.75" customHeight="1">
      <c r="R439" s="62"/>
    </row>
    <row r="440" ht="15.75" customHeight="1">
      <c r="R440" s="62"/>
    </row>
    <row r="441" ht="15.75" customHeight="1">
      <c r="R441" s="62"/>
    </row>
    <row r="442" ht="15.75" customHeight="1">
      <c r="R442" s="62"/>
    </row>
    <row r="443" ht="15.75" customHeight="1">
      <c r="R443" s="62"/>
    </row>
    <row r="444" ht="15.75" customHeight="1">
      <c r="R444" s="62"/>
    </row>
    <row r="445" ht="15.75" customHeight="1">
      <c r="R445" s="62"/>
    </row>
    <row r="446" ht="15.75" customHeight="1">
      <c r="R446" s="62"/>
    </row>
    <row r="447" ht="15.75" customHeight="1">
      <c r="R447" s="62"/>
    </row>
    <row r="448" ht="15.75" customHeight="1">
      <c r="R448" s="62"/>
    </row>
    <row r="449" ht="15.75" customHeight="1">
      <c r="R449" s="62"/>
    </row>
    <row r="450" ht="15.75" customHeight="1">
      <c r="R450" s="62"/>
    </row>
    <row r="451" ht="15.75" customHeight="1">
      <c r="R451" s="62"/>
    </row>
    <row r="452" ht="15.75" customHeight="1">
      <c r="R452" s="62"/>
    </row>
    <row r="453" ht="15.75" customHeight="1">
      <c r="R453" s="62"/>
    </row>
    <row r="454" ht="15.75" customHeight="1">
      <c r="R454" s="62"/>
    </row>
    <row r="455" ht="15.75" customHeight="1">
      <c r="R455" s="62"/>
    </row>
    <row r="456" ht="15.75" customHeight="1">
      <c r="R456" s="62"/>
    </row>
    <row r="457" ht="15.75" customHeight="1">
      <c r="R457" s="62"/>
    </row>
    <row r="458" ht="15.75" customHeight="1">
      <c r="R458" s="62"/>
    </row>
    <row r="459" ht="15.75" customHeight="1">
      <c r="R459" s="62"/>
    </row>
    <row r="460" ht="15.75" customHeight="1">
      <c r="R460" s="62"/>
    </row>
    <row r="461" ht="15.75" customHeight="1">
      <c r="R461" s="62"/>
    </row>
    <row r="462" ht="15.75" customHeight="1">
      <c r="R462" s="62"/>
    </row>
    <row r="463" ht="15.75" customHeight="1">
      <c r="R463" s="62"/>
    </row>
    <row r="464" ht="15.75" customHeight="1">
      <c r="R464" s="62"/>
    </row>
    <row r="465" ht="15.75" customHeight="1">
      <c r="R465" s="62"/>
    </row>
    <row r="466" ht="15.75" customHeight="1">
      <c r="R466" s="62"/>
    </row>
    <row r="467" ht="15.75" customHeight="1">
      <c r="R467" s="62"/>
    </row>
    <row r="468" ht="15.75" customHeight="1">
      <c r="R468" s="62"/>
    </row>
    <row r="469" ht="15.75" customHeight="1">
      <c r="R469" s="62"/>
    </row>
    <row r="470" ht="15.75" customHeight="1">
      <c r="R470" s="62"/>
    </row>
    <row r="471" ht="15.75" customHeight="1">
      <c r="R471" s="62"/>
    </row>
    <row r="472" ht="15.75" customHeight="1">
      <c r="R472" s="62"/>
    </row>
    <row r="473" ht="15.75" customHeight="1">
      <c r="R473" s="62"/>
    </row>
    <row r="474" ht="15.75" customHeight="1">
      <c r="R474" s="62"/>
    </row>
    <row r="475" ht="15.75" customHeight="1">
      <c r="R475" s="62"/>
    </row>
    <row r="476" ht="15.75" customHeight="1">
      <c r="R476" s="62"/>
    </row>
    <row r="477" ht="15.75" customHeight="1">
      <c r="R477" s="62"/>
    </row>
    <row r="478" ht="15.75" customHeight="1">
      <c r="R478" s="62"/>
    </row>
    <row r="479" ht="15.75" customHeight="1">
      <c r="R479" s="62"/>
    </row>
    <row r="480" ht="15.75" customHeight="1">
      <c r="R480" s="62"/>
    </row>
    <row r="481" ht="15.75" customHeight="1">
      <c r="R481" s="62"/>
    </row>
    <row r="482" ht="15.75" customHeight="1">
      <c r="R482" s="62"/>
    </row>
    <row r="483" ht="15.75" customHeight="1">
      <c r="R483" s="62"/>
    </row>
    <row r="484" ht="15.75" customHeight="1">
      <c r="R484" s="62"/>
    </row>
    <row r="485" ht="15.75" customHeight="1">
      <c r="R485" s="62"/>
    </row>
    <row r="486" ht="15.75" customHeight="1">
      <c r="R486" s="62"/>
    </row>
    <row r="487" ht="15.75" customHeight="1">
      <c r="R487" s="62"/>
    </row>
    <row r="488" ht="15.75" customHeight="1">
      <c r="R488" s="62"/>
    </row>
    <row r="489" ht="15.75" customHeight="1">
      <c r="R489" s="62"/>
    </row>
    <row r="490" ht="15.75" customHeight="1">
      <c r="R490" s="62"/>
    </row>
    <row r="491" ht="15.75" customHeight="1">
      <c r="R491" s="62"/>
    </row>
    <row r="492" ht="15.75" customHeight="1">
      <c r="R492" s="62"/>
    </row>
    <row r="493" ht="15.75" customHeight="1">
      <c r="R493" s="62"/>
    </row>
    <row r="494" ht="15.75" customHeight="1">
      <c r="R494" s="62"/>
    </row>
    <row r="495" ht="15.75" customHeight="1">
      <c r="R495" s="62"/>
    </row>
    <row r="496" ht="15.75" customHeight="1">
      <c r="R496" s="62"/>
    </row>
    <row r="497" ht="15.75" customHeight="1">
      <c r="R497" s="62"/>
    </row>
    <row r="498" ht="15.75" customHeight="1">
      <c r="R498" s="62"/>
    </row>
    <row r="499" ht="15.75" customHeight="1">
      <c r="R499" s="62"/>
    </row>
    <row r="500" ht="15.75" customHeight="1">
      <c r="R500" s="62"/>
    </row>
    <row r="501" ht="15.75" customHeight="1">
      <c r="R501" s="62"/>
    </row>
    <row r="502" ht="15.75" customHeight="1">
      <c r="R502" s="62"/>
    </row>
    <row r="503" ht="15.75" customHeight="1">
      <c r="R503" s="62"/>
    </row>
    <row r="504" ht="15.75" customHeight="1">
      <c r="R504" s="62"/>
    </row>
    <row r="505" ht="15.75" customHeight="1">
      <c r="R505" s="62"/>
    </row>
    <row r="506" ht="15.75" customHeight="1">
      <c r="R506" s="62"/>
    </row>
    <row r="507" ht="15.75" customHeight="1">
      <c r="R507" s="62"/>
    </row>
    <row r="508" ht="15.75" customHeight="1">
      <c r="R508" s="62"/>
    </row>
    <row r="509" ht="15.75" customHeight="1">
      <c r="R509" s="62"/>
    </row>
    <row r="510" ht="15.75" customHeight="1">
      <c r="R510" s="62"/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N177:Q177"/>
    <mergeCell ref="N178:Q178"/>
    <mergeCell ref="A191:K191"/>
    <mergeCell ref="A192:K192"/>
    <mergeCell ref="N194:Q194"/>
    <mergeCell ref="N195:Q195"/>
    <mergeCell ref="A208:K208"/>
    <mergeCell ref="A209:K209"/>
    <mergeCell ref="N211:Q211"/>
    <mergeCell ref="N212:Q212"/>
    <mergeCell ref="A228:K228"/>
    <mergeCell ref="A229:K229"/>
    <mergeCell ref="A245:K245"/>
    <mergeCell ref="A246:K246"/>
    <mergeCell ref="A1:K1"/>
    <mergeCell ref="A2:K2"/>
    <mergeCell ref="N4:Q4"/>
    <mergeCell ref="N5:Q5"/>
    <mergeCell ref="A18:K18"/>
    <mergeCell ref="N21:Q21"/>
    <mergeCell ref="N22:Q22"/>
    <mergeCell ref="A19:K19"/>
    <mergeCell ref="A35:K35"/>
    <mergeCell ref="A36:K36"/>
    <mergeCell ref="N38:Q38"/>
    <mergeCell ref="N39:Q39"/>
    <mergeCell ref="A53:K53"/>
    <mergeCell ref="A54:K54"/>
    <mergeCell ref="N56:Q56"/>
    <mergeCell ref="N57:Q57"/>
    <mergeCell ref="A71:K71"/>
    <mergeCell ref="A72:K72"/>
    <mergeCell ref="N74:Q74"/>
    <mergeCell ref="N75:Q75"/>
    <mergeCell ref="A88:K88"/>
    <mergeCell ref="A89:K89"/>
    <mergeCell ref="N91:Q91"/>
    <mergeCell ref="N92:Q92"/>
    <mergeCell ref="A106:K106"/>
    <mergeCell ref="A107:K107"/>
    <mergeCell ref="N109:Q109"/>
    <mergeCell ref="N110:Q110"/>
    <mergeCell ref="A123:K123"/>
    <mergeCell ref="A124:K124"/>
    <mergeCell ref="N126:Q126"/>
    <mergeCell ref="N127:Q127"/>
    <mergeCell ref="A140:K140"/>
    <mergeCell ref="N143:Q143"/>
    <mergeCell ref="N144:Q144"/>
    <mergeCell ref="A141:K141"/>
    <mergeCell ref="A157:K157"/>
    <mergeCell ref="A158:K158"/>
    <mergeCell ref="N160:Q160"/>
    <mergeCell ref="N161:Q161"/>
    <mergeCell ref="A174:K174"/>
    <mergeCell ref="A175:K175"/>
    <mergeCell ref="A262:K262"/>
    <mergeCell ref="A263:K263"/>
    <mergeCell ref="A279:K279"/>
    <mergeCell ref="A280:K280"/>
    <mergeCell ref="A296:K296"/>
    <mergeCell ref="A297:K297"/>
  </mergeCells>
  <dataValidations>
    <dataValidation type="list" allowBlank="1" showErrorMessage="1" sqref="I4:I15 I21:I32 I38:I49 I56:I67 I74:I85 I91:I102 I109:I120 I126:I129 I131:I137 I143:I154 I160:I171 I177:I188 I194:I205 I211:I222 I231:I242 I248:I259 I265:I276 I282:I293 I299:I310">
      <formula1>"Não atendido,Atendido,Cancelado,Vagas livres,Bloqueada"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22.88"/>
    <col customWidth="1" min="3" max="3" width="15.5"/>
    <col customWidth="1" min="4" max="4" width="11.88"/>
    <col customWidth="1" min="5" max="5" width="16.0"/>
    <col customWidth="1" min="6" max="6" width="17.0"/>
    <col customWidth="1" min="7" max="7" width="31.75"/>
    <col customWidth="1" min="8" max="8" width="19.63"/>
    <col customWidth="1" min="9" max="9" width="20.38"/>
    <col customWidth="1" min="10" max="10" width="18.13"/>
    <col customWidth="1" min="11" max="11" width="17.25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33" t="s">
        <v>900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5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69"/>
      <c r="C4" s="69"/>
      <c r="D4" s="70">
        <v>0.3333333333333333</v>
      </c>
      <c r="E4" s="69"/>
      <c r="F4" s="69"/>
      <c r="G4" s="69"/>
      <c r="H4" s="69"/>
      <c r="I4" s="321"/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69"/>
      <c r="C5" s="69"/>
      <c r="D5" s="70">
        <v>0.3472222222222222</v>
      </c>
      <c r="E5" s="69"/>
      <c r="F5" s="69"/>
      <c r="G5" s="69"/>
      <c r="H5" s="69"/>
      <c r="I5" s="321"/>
      <c r="J5" s="69"/>
      <c r="K5" s="69"/>
      <c r="M5" s="236"/>
      <c r="N5" s="239" t="s">
        <v>387</v>
      </c>
      <c r="O5" s="2"/>
      <c r="P5" s="2"/>
      <c r="Q5" s="2"/>
      <c r="R5" s="62"/>
    </row>
    <row r="6" ht="15.75" customHeight="1">
      <c r="A6" s="11" t="s">
        <v>12</v>
      </c>
      <c r="B6" s="69"/>
      <c r="C6" s="69"/>
      <c r="D6" s="70">
        <v>0.3611111111111111</v>
      </c>
      <c r="E6" s="69"/>
      <c r="F6" s="69"/>
      <c r="G6" s="69"/>
      <c r="H6" s="69"/>
      <c r="I6" s="321"/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/>
    </row>
    <row r="7" ht="15.75" customHeight="1">
      <c r="A7" s="11" t="s">
        <v>13</v>
      </c>
      <c r="B7" s="69"/>
      <c r="D7" s="70">
        <v>0.375</v>
      </c>
      <c r="E7" s="69"/>
      <c r="F7" s="69"/>
      <c r="G7" s="69"/>
      <c r="H7" s="69"/>
      <c r="I7" s="321"/>
      <c r="J7" s="69"/>
      <c r="K7" s="69"/>
      <c r="M7" s="62"/>
      <c r="N7" s="244">
        <f t="shared" ref="N7:Q7" si="1">COUNTIFS($I$4:$I$15, N6)</f>
        <v>0</v>
      </c>
      <c r="O7" s="245">
        <f t="shared" si="1"/>
        <v>0</v>
      </c>
      <c r="P7" s="245">
        <f t="shared" si="1"/>
        <v>0</v>
      </c>
      <c r="Q7" s="246">
        <f t="shared" si="1"/>
        <v>0</v>
      </c>
      <c r="R7" s="62"/>
    </row>
    <row r="8" ht="15.75" customHeight="1">
      <c r="A8" s="11" t="s">
        <v>14</v>
      </c>
      <c r="B8" s="69"/>
      <c r="C8" s="69"/>
      <c r="D8" s="70">
        <v>0.3888888888888889</v>
      </c>
      <c r="E8" s="69"/>
      <c r="F8" s="69"/>
      <c r="G8" s="69"/>
      <c r="H8" s="69"/>
      <c r="I8" s="321"/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customHeight="1">
      <c r="A9" s="11" t="s">
        <v>15</v>
      </c>
      <c r="B9" s="69"/>
      <c r="C9" s="69"/>
      <c r="D9" s="322">
        <v>0.4027777777777778</v>
      </c>
      <c r="E9" s="69"/>
      <c r="F9" s="69"/>
      <c r="G9" s="69"/>
      <c r="H9" s="69"/>
      <c r="I9" s="321"/>
      <c r="J9" s="69"/>
      <c r="K9" s="69"/>
      <c r="L9" s="197" t="s">
        <v>393</v>
      </c>
      <c r="R9" s="62"/>
    </row>
    <row r="10" ht="15.75" customHeight="1">
      <c r="A10" s="11" t="s">
        <v>16</v>
      </c>
      <c r="B10" s="69"/>
      <c r="C10" s="69"/>
      <c r="D10" s="70">
        <v>0.4166666666666667</v>
      </c>
      <c r="E10" s="69"/>
      <c r="F10" s="69"/>
      <c r="G10" s="69"/>
      <c r="H10" s="69"/>
      <c r="I10" s="321"/>
      <c r="J10" s="69"/>
      <c r="K10" s="69"/>
      <c r="L10" s="197" t="s">
        <v>393</v>
      </c>
      <c r="R10" s="62"/>
    </row>
    <row r="11" ht="15.75" customHeight="1">
      <c r="A11" s="11" t="s">
        <v>17</v>
      </c>
      <c r="B11" s="69"/>
      <c r="C11" s="69"/>
      <c r="D11" s="70">
        <v>0.4305555555555556</v>
      </c>
      <c r="E11" s="69"/>
      <c r="F11" s="69"/>
      <c r="G11" s="69"/>
      <c r="H11" s="69"/>
      <c r="I11" s="321"/>
      <c r="J11" s="69"/>
      <c r="K11" s="69"/>
      <c r="L11" s="197" t="s">
        <v>393</v>
      </c>
      <c r="R11" s="62"/>
    </row>
    <row r="12" ht="15.75" customHeight="1">
      <c r="A12" s="11" t="s">
        <v>85</v>
      </c>
      <c r="B12" s="69"/>
      <c r="C12" s="69"/>
      <c r="D12" s="70">
        <v>0.4444444444444444</v>
      </c>
      <c r="E12" s="69"/>
      <c r="F12" s="69"/>
      <c r="G12" s="69"/>
      <c r="H12" s="69"/>
      <c r="I12" s="321"/>
      <c r="J12" s="69"/>
      <c r="K12" s="69"/>
      <c r="L12" s="197" t="s">
        <v>393</v>
      </c>
      <c r="R12" s="62"/>
    </row>
    <row r="13" ht="15.75" customHeight="1">
      <c r="A13" s="11" t="s">
        <v>87</v>
      </c>
      <c r="B13" s="69"/>
      <c r="C13" s="69"/>
      <c r="D13" s="70"/>
      <c r="E13" s="69"/>
      <c r="F13" s="69"/>
      <c r="G13" s="69"/>
      <c r="H13" s="69"/>
      <c r="I13" s="321"/>
      <c r="J13" s="69"/>
      <c r="K13" s="69"/>
      <c r="L13" s="197" t="s">
        <v>393</v>
      </c>
      <c r="R13" s="62"/>
    </row>
    <row r="14" ht="15.75" customHeight="1">
      <c r="A14" s="11" t="s">
        <v>90</v>
      </c>
      <c r="B14" s="69"/>
      <c r="C14" s="69"/>
      <c r="D14" s="70">
        <v>0.4722222222222222</v>
      </c>
      <c r="E14" s="69"/>
      <c r="F14" s="69"/>
      <c r="G14" s="69"/>
      <c r="H14" s="69"/>
      <c r="I14" s="321"/>
      <c r="J14" s="69"/>
      <c r="K14" s="69"/>
      <c r="L14" s="197" t="s">
        <v>393</v>
      </c>
      <c r="R14" s="62"/>
    </row>
    <row r="15" ht="15.75" customHeight="1">
      <c r="A15" s="11" t="s">
        <v>93</v>
      </c>
      <c r="B15" s="69"/>
      <c r="C15" s="69"/>
      <c r="D15" s="70"/>
      <c r="E15" s="69"/>
      <c r="F15" s="69"/>
      <c r="G15" s="69"/>
      <c r="H15" s="69"/>
      <c r="I15" s="321"/>
      <c r="J15" s="69"/>
      <c r="K15" s="69"/>
      <c r="L15" s="197" t="s">
        <v>393</v>
      </c>
      <c r="R15" s="62"/>
    </row>
    <row r="16" ht="15.75" customHeight="1">
      <c r="J16" s="62"/>
      <c r="K16" s="62"/>
      <c r="R16" s="62"/>
    </row>
    <row r="17" ht="15.75" customHeight="1">
      <c r="J17" s="62"/>
      <c r="K17" s="62"/>
      <c r="R17" s="62"/>
    </row>
    <row r="18" ht="15.75" customHeight="1">
      <c r="A18" s="20" t="s">
        <v>901</v>
      </c>
      <c r="B18" s="2"/>
      <c r="C18" s="2"/>
      <c r="D18" s="2"/>
      <c r="E18" s="2"/>
      <c r="F18" s="2"/>
      <c r="G18" s="2"/>
      <c r="H18" s="2"/>
      <c r="I18" s="2"/>
      <c r="J18" s="2"/>
      <c r="K18" s="3"/>
      <c r="R18" s="62"/>
    </row>
    <row r="19" ht="15.75" customHeight="1">
      <c r="A19" s="233" t="s">
        <v>902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2"/>
      <c r="B20" s="23" t="s">
        <v>3</v>
      </c>
      <c r="C20" s="24" t="s">
        <v>2</v>
      </c>
      <c r="D20" s="25" t="s">
        <v>5</v>
      </c>
      <c r="E20" s="25" t="s">
        <v>19</v>
      </c>
      <c r="F20" s="25" t="s">
        <v>6</v>
      </c>
      <c r="G20" s="25" t="s">
        <v>7</v>
      </c>
      <c r="H20" s="27" t="s">
        <v>8</v>
      </c>
      <c r="I20" s="28" t="s">
        <v>20</v>
      </c>
      <c r="J20" s="25" t="s">
        <v>21</v>
      </c>
      <c r="K20" s="25" t="s">
        <v>22</v>
      </c>
      <c r="R20" s="62"/>
    </row>
    <row r="21" ht="15.75" customHeight="1">
      <c r="A21" s="11" t="s">
        <v>10</v>
      </c>
      <c r="B21" s="69"/>
      <c r="C21" s="69" t="s">
        <v>580</v>
      </c>
      <c r="D21" s="70">
        <v>0.5416666666666666</v>
      </c>
      <c r="E21" s="248"/>
      <c r="F21" s="75"/>
      <c r="G21" s="75"/>
      <c r="H21" s="77"/>
      <c r="I21" s="18"/>
      <c r="J21" s="97"/>
      <c r="K21" s="97"/>
      <c r="N21" s="237" t="s">
        <v>386</v>
      </c>
      <c r="O21" s="95"/>
      <c r="P21" s="95"/>
      <c r="Q21" s="95"/>
      <c r="R21" s="62"/>
    </row>
    <row r="22" ht="15.75" customHeight="1">
      <c r="A22" s="11" t="s">
        <v>11</v>
      </c>
      <c r="B22" s="69" t="s">
        <v>903</v>
      </c>
      <c r="C22" s="69" t="s">
        <v>580</v>
      </c>
      <c r="D22" s="70">
        <v>0.5555555555555556</v>
      </c>
      <c r="E22" s="249" t="s">
        <v>904</v>
      </c>
      <c r="F22" s="250">
        <v>2.01163884680005E14</v>
      </c>
      <c r="G22" s="251" t="s">
        <v>905</v>
      </c>
      <c r="H22" s="252">
        <v>17277.0</v>
      </c>
      <c r="I22" s="18" t="s">
        <v>194</v>
      </c>
      <c r="J22" s="37" t="s">
        <v>906</v>
      </c>
      <c r="K22" s="37" t="s">
        <v>907</v>
      </c>
      <c r="N22" s="239" t="s">
        <v>435</v>
      </c>
      <c r="O22" s="2"/>
      <c r="P22" s="2"/>
      <c r="Q22" s="2"/>
      <c r="R22" s="62"/>
    </row>
    <row r="23" ht="15.75" customHeight="1">
      <c r="A23" s="11" t="s">
        <v>12</v>
      </c>
      <c r="B23" s="323" t="s">
        <v>258</v>
      </c>
      <c r="C23" s="324" t="s">
        <v>580</v>
      </c>
      <c r="D23" s="325">
        <v>0.5694444444444444</v>
      </c>
      <c r="E23" s="326" t="s">
        <v>908</v>
      </c>
      <c r="F23" s="324">
        <v>2.0116833925E14</v>
      </c>
      <c r="G23" s="324" t="s">
        <v>909</v>
      </c>
      <c r="H23" s="327">
        <v>27594.0</v>
      </c>
      <c r="I23" s="18" t="s">
        <v>194</v>
      </c>
      <c r="J23" s="97" t="s">
        <v>910</v>
      </c>
      <c r="K23" s="97"/>
      <c r="N23" s="240" t="s">
        <v>182</v>
      </c>
      <c r="O23" s="241" t="s">
        <v>194</v>
      </c>
      <c r="P23" s="241" t="s">
        <v>180</v>
      </c>
      <c r="Q23" s="242" t="s">
        <v>172</v>
      </c>
      <c r="R23" s="62" t="s">
        <v>438</v>
      </c>
    </row>
    <row r="24" ht="15.75" customHeight="1">
      <c r="A24" s="11" t="s">
        <v>13</v>
      </c>
      <c r="B24" s="69"/>
      <c r="C24" s="69" t="s">
        <v>580</v>
      </c>
      <c r="D24" s="70">
        <v>0.5833333333333334</v>
      </c>
      <c r="E24" s="254"/>
      <c r="F24" s="71"/>
      <c r="G24" s="138"/>
      <c r="H24" s="255"/>
      <c r="I24" s="18"/>
      <c r="J24" s="97"/>
      <c r="K24" s="97"/>
      <c r="L24" s="197" t="s">
        <v>441</v>
      </c>
      <c r="N24" s="244">
        <f>COUNTIFS(I$21:I$32,N23)</f>
        <v>4</v>
      </c>
      <c r="O24" s="244">
        <f t="shared" ref="O24:R24" si="2">COUNTIFS($I$21:$I$32,O23)</f>
        <v>3</v>
      </c>
      <c r="P24" s="244">
        <f t="shared" si="2"/>
        <v>0</v>
      </c>
      <c r="Q24" s="244">
        <f t="shared" si="2"/>
        <v>0</v>
      </c>
      <c r="R24" s="62">
        <f t="shared" si="2"/>
        <v>0</v>
      </c>
    </row>
    <row r="25" ht="15.75" customHeight="1">
      <c r="A25" s="11" t="s">
        <v>14</v>
      </c>
      <c r="B25" s="69" t="s">
        <v>903</v>
      </c>
      <c r="C25" s="69" t="s">
        <v>580</v>
      </c>
      <c r="D25" s="70">
        <v>0.5972222222222222</v>
      </c>
      <c r="E25" s="247" t="s">
        <v>911</v>
      </c>
      <c r="F25" s="146">
        <v>7.03004805701276E14</v>
      </c>
      <c r="G25" s="192" t="s">
        <v>912</v>
      </c>
      <c r="H25" s="72">
        <v>14365.0</v>
      </c>
      <c r="I25" s="18" t="s">
        <v>182</v>
      </c>
      <c r="J25" s="37" t="s">
        <v>913</v>
      </c>
      <c r="K25" s="37" t="s">
        <v>914</v>
      </c>
      <c r="L25" s="197" t="s">
        <v>441</v>
      </c>
      <c r="R25" s="62"/>
    </row>
    <row r="26" ht="15.75" customHeight="1">
      <c r="A26" s="11" t="s">
        <v>15</v>
      </c>
      <c r="B26" s="62" t="s">
        <v>258</v>
      </c>
      <c r="C26" s="69" t="s">
        <v>580</v>
      </c>
      <c r="D26" s="70">
        <v>0.6111111111111112</v>
      </c>
      <c r="E26" s="256" t="s">
        <v>915</v>
      </c>
      <c r="F26" s="79">
        <v>7.03005885125774E14</v>
      </c>
      <c r="G26" s="79" t="s">
        <v>916</v>
      </c>
      <c r="H26" s="257">
        <v>22801.0</v>
      </c>
      <c r="I26" s="18" t="s">
        <v>182</v>
      </c>
      <c r="J26" s="37" t="s">
        <v>917</v>
      </c>
      <c r="K26" s="37"/>
      <c r="L26" s="197" t="s">
        <v>441</v>
      </c>
      <c r="R26" s="62"/>
    </row>
    <row r="27" ht="15.75" customHeight="1">
      <c r="A27" s="11" t="s">
        <v>16</v>
      </c>
      <c r="B27" s="69"/>
      <c r="C27" s="69" t="s">
        <v>580</v>
      </c>
      <c r="D27" s="70">
        <v>0.625</v>
      </c>
      <c r="E27" s="214"/>
      <c r="F27" s="79"/>
      <c r="G27" s="79"/>
      <c r="H27" s="78"/>
      <c r="I27" s="18"/>
      <c r="J27" s="97"/>
      <c r="K27" s="97"/>
      <c r="L27" s="197" t="s">
        <v>441</v>
      </c>
      <c r="R27" s="62"/>
    </row>
    <row r="28" ht="15.75" customHeight="1">
      <c r="A28" s="11" t="s">
        <v>17</v>
      </c>
      <c r="B28" s="69" t="s">
        <v>903</v>
      </c>
      <c r="C28" s="69" t="s">
        <v>580</v>
      </c>
      <c r="D28" s="70">
        <v>0.6388888888888888</v>
      </c>
      <c r="E28" s="214" t="s">
        <v>918</v>
      </c>
      <c r="F28" s="79">
        <v>7.06801766211026E14</v>
      </c>
      <c r="G28" s="79" t="s">
        <v>919</v>
      </c>
      <c r="H28" s="78">
        <v>15079.0</v>
      </c>
      <c r="I28" s="18" t="s">
        <v>182</v>
      </c>
      <c r="J28" s="37" t="s">
        <v>920</v>
      </c>
      <c r="K28" s="37"/>
      <c r="L28" s="197" t="s">
        <v>441</v>
      </c>
      <c r="R28" s="62"/>
    </row>
    <row r="29" ht="15.75" customHeight="1">
      <c r="A29" s="11" t="s">
        <v>85</v>
      </c>
      <c r="B29" s="69" t="s">
        <v>258</v>
      </c>
      <c r="C29" s="69" t="s">
        <v>580</v>
      </c>
      <c r="D29" s="70">
        <v>0.6527777777777778</v>
      </c>
      <c r="E29" s="247" t="s">
        <v>921</v>
      </c>
      <c r="F29" s="146">
        <v>7.00005275323101E14</v>
      </c>
      <c r="G29" s="79" t="s">
        <v>922</v>
      </c>
      <c r="H29" s="86">
        <v>21813.0</v>
      </c>
      <c r="I29" s="18" t="s">
        <v>194</v>
      </c>
      <c r="J29" s="37" t="s">
        <v>923</v>
      </c>
      <c r="K29" s="37"/>
      <c r="R29" s="62"/>
    </row>
    <row r="30" ht="15.75" customHeight="1">
      <c r="A30" s="11" t="s">
        <v>87</v>
      </c>
      <c r="B30" s="69"/>
      <c r="C30" s="69" t="s">
        <v>580</v>
      </c>
      <c r="D30" s="70">
        <v>0.6666666666666666</v>
      </c>
      <c r="E30" s="218"/>
      <c r="F30" s="127"/>
      <c r="G30" s="79"/>
      <c r="H30" s="153"/>
      <c r="I30" s="18"/>
      <c r="J30" s="37"/>
      <c r="K30" s="37"/>
      <c r="L30" s="197" t="s">
        <v>454</v>
      </c>
      <c r="R30" s="62"/>
    </row>
    <row r="31" ht="15.75" customHeight="1">
      <c r="A31" s="11" t="s">
        <v>90</v>
      </c>
      <c r="B31" s="68"/>
      <c r="C31" s="69" t="s">
        <v>580</v>
      </c>
      <c r="D31" s="70">
        <v>0.6805555555555556</v>
      </c>
      <c r="E31" s="258"/>
      <c r="G31" s="79"/>
      <c r="H31" s="153"/>
      <c r="I31" s="18"/>
      <c r="J31" s="37"/>
      <c r="K31" s="37"/>
      <c r="R31" s="62"/>
    </row>
    <row r="32" ht="15.75" customHeight="1">
      <c r="A32" s="11" t="s">
        <v>93</v>
      </c>
      <c r="B32" s="69" t="s">
        <v>258</v>
      </c>
      <c r="C32" s="69" t="s">
        <v>580</v>
      </c>
      <c r="D32" s="70">
        <v>0.6944444444444444</v>
      </c>
      <c r="E32" s="258" t="s">
        <v>924</v>
      </c>
      <c r="F32" s="127">
        <v>7.06403624573489E14</v>
      </c>
      <c r="G32" s="79" t="s">
        <v>925</v>
      </c>
      <c r="H32" s="153">
        <v>24978.0</v>
      </c>
      <c r="I32" s="18" t="s">
        <v>182</v>
      </c>
      <c r="J32" s="37" t="s">
        <v>926</v>
      </c>
      <c r="K32" s="37"/>
      <c r="R32" s="62"/>
    </row>
    <row r="33" ht="15.75" customHeight="1">
      <c r="J33" s="62"/>
      <c r="K33" s="62"/>
      <c r="R33" s="62"/>
    </row>
    <row r="34" ht="15.75" customHeight="1">
      <c r="J34" s="62"/>
      <c r="K34" s="62"/>
      <c r="R34" s="62"/>
    </row>
    <row r="35" ht="15.75" customHeight="1">
      <c r="A35" s="20" t="s">
        <v>455</v>
      </c>
      <c r="B35" s="2"/>
      <c r="C35" s="2"/>
      <c r="D35" s="2"/>
      <c r="E35" s="2"/>
      <c r="F35" s="2"/>
      <c r="G35" s="2"/>
      <c r="H35" s="2"/>
      <c r="I35" s="2"/>
      <c r="J35" s="2"/>
      <c r="K35" s="3"/>
      <c r="R35" s="62"/>
    </row>
    <row r="36" ht="15.75" customHeight="1">
      <c r="A36" s="233" t="s">
        <v>927</v>
      </c>
      <c r="B36" s="2"/>
      <c r="C36" s="2"/>
      <c r="D36" s="2"/>
      <c r="E36" s="2"/>
      <c r="F36" s="2"/>
      <c r="G36" s="2"/>
      <c r="H36" s="2"/>
      <c r="I36" s="2"/>
      <c r="J36" s="2"/>
      <c r="K36" s="3"/>
      <c r="R36" s="62"/>
    </row>
    <row r="37" ht="15.75" customHeight="1">
      <c r="A37" s="22"/>
      <c r="B37" s="23" t="s">
        <v>3</v>
      </c>
      <c r="C37" s="24" t="s">
        <v>2</v>
      </c>
      <c r="D37" s="25" t="s">
        <v>5</v>
      </c>
      <c r="E37" s="25" t="s">
        <v>19</v>
      </c>
      <c r="F37" s="25" t="s">
        <v>6</v>
      </c>
      <c r="G37" s="234" t="s">
        <v>7</v>
      </c>
      <c r="H37" s="27" t="s">
        <v>8</v>
      </c>
      <c r="I37" s="28" t="s">
        <v>20</v>
      </c>
      <c r="J37" s="25" t="s">
        <v>21</v>
      </c>
      <c r="K37" s="25" t="s">
        <v>22</v>
      </c>
      <c r="R37" s="62"/>
    </row>
    <row r="38" ht="15.75" customHeight="1">
      <c r="A38" s="11" t="s">
        <v>10</v>
      </c>
      <c r="B38" s="68" t="s">
        <v>928</v>
      </c>
      <c r="C38" s="69" t="s">
        <v>429</v>
      </c>
      <c r="D38" s="70">
        <v>0.3333333333333333</v>
      </c>
      <c r="E38" s="214" t="s">
        <v>929</v>
      </c>
      <c r="F38" s="79">
        <v>7.00504556306655E14</v>
      </c>
      <c r="G38" s="74" t="s">
        <v>930</v>
      </c>
      <c r="H38" s="78">
        <v>18876.0</v>
      </c>
      <c r="I38" s="18" t="s">
        <v>182</v>
      </c>
      <c r="J38" s="97" t="s">
        <v>931</v>
      </c>
      <c r="K38" s="97" t="s">
        <v>932</v>
      </c>
      <c r="N38" s="237" t="s">
        <v>386</v>
      </c>
      <c r="O38" s="95"/>
      <c r="P38" s="95"/>
      <c r="Q38" s="95"/>
      <c r="R38" s="62"/>
    </row>
    <row r="39" ht="15.75" customHeight="1">
      <c r="A39" s="11" t="s">
        <v>11</v>
      </c>
      <c r="B39" s="68" t="s">
        <v>928</v>
      </c>
      <c r="C39" s="69" t="s">
        <v>429</v>
      </c>
      <c r="D39" s="70">
        <v>0.3472222222222222</v>
      </c>
      <c r="E39" s="215" t="s">
        <v>933</v>
      </c>
      <c r="F39" s="170">
        <v>8.98001411799935E14</v>
      </c>
      <c r="G39" s="259" t="s">
        <v>934</v>
      </c>
      <c r="H39" s="72">
        <v>23757.0</v>
      </c>
      <c r="I39" s="18" t="s">
        <v>172</v>
      </c>
      <c r="J39" s="37" t="s">
        <v>935</v>
      </c>
      <c r="K39" s="37"/>
      <c r="N39" s="239" t="s">
        <v>460</v>
      </c>
      <c r="O39" s="2"/>
      <c r="P39" s="2"/>
      <c r="Q39" s="2"/>
      <c r="R39" s="62"/>
    </row>
    <row r="40" ht="15.75" customHeight="1">
      <c r="A40" s="11" t="s">
        <v>12</v>
      </c>
      <c r="B40" s="68" t="s">
        <v>936</v>
      </c>
      <c r="C40" s="69" t="s">
        <v>429</v>
      </c>
      <c r="D40" s="70">
        <v>0.3611111111111111</v>
      </c>
      <c r="E40" s="214" t="s">
        <v>937</v>
      </c>
      <c r="F40" s="79">
        <v>2.03909766300002E14</v>
      </c>
      <c r="G40" s="74" t="s">
        <v>938</v>
      </c>
      <c r="H40" s="78">
        <v>12943.0</v>
      </c>
      <c r="I40" s="18" t="s">
        <v>182</v>
      </c>
      <c r="J40" s="97">
        <v>1.194739094E10</v>
      </c>
      <c r="K40" s="97">
        <v>1.158719484E9</v>
      </c>
      <c r="N40" s="240" t="s">
        <v>182</v>
      </c>
      <c r="O40" s="241" t="s">
        <v>194</v>
      </c>
      <c r="P40" s="241" t="s">
        <v>180</v>
      </c>
      <c r="Q40" s="242" t="s">
        <v>172</v>
      </c>
      <c r="R40" s="62" t="s">
        <v>438</v>
      </c>
    </row>
    <row r="41" ht="15.75" customHeight="1">
      <c r="A41" s="11" t="s">
        <v>13</v>
      </c>
      <c r="B41" s="68" t="s">
        <v>928</v>
      </c>
      <c r="C41" s="69" t="s">
        <v>429</v>
      </c>
      <c r="D41" s="70">
        <v>0.375</v>
      </c>
      <c r="E41" s="214" t="s">
        <v>939</v>
      </c>
      <c r="F41" s="79">
        <v>7.00100962913514E14</v>
      </c>
      <c r="G41" s="74" t="s">
        <v>940</v>
      </c>
      <c r="H41" s="78">
        <v>17433.0</v>
      </c>
      <c r="I41" s="18" t="s">
        <v>182</v>
      </c>
      <c r="J41" s="97" t="s">
        <v>941</v>
      </c>
      <c r="K41" s="97"/>
      <c r="N41" s="244">
        <f t="shared" ref="N41:Q41" si="3">COUNTIFS($I$38:$I$49,N40)</f>
        <v>8</v>
      </c>
      <c r="O41" s="244">
        <f t="shared" si="3"/>
        <v>0</v>
      </c>
      <c r="P41" s="244">
        <f t="shared" si="3"/>
        <v>2</v>
      </c>
      <c r="Q41" s="244">
        <f t="shared" si="3"/>
        <v>1</v>
      </c>
      <c r="R41" s="62">
        <f>COUNTIFS(I38:I49,R40)</f>
        <v>0</v>
      </c>
    </row>
    <row r="42" ht="15.75" customHeight="1">
      <c r="A42" s="11" t="s">
        <v>14</v>
      </c>
      <c r="B42" s="68" t="s">
        <v>622</v>
      </c>
      <c r="C42" s="69" t="s">
        <v>429</v>
      </c>
      <c r="D42" s="70">
        <v>0.3888888888888889</v>
      </c>
      <c r="E42" s="260" t="s">
        <v>942</v>
      </c>
      <c r="F42" s="146">
        <v>8.01440410751869E14</v>
      </c>
      <c r="G42" s="172" t="s">
        <v>943</v>
      </c>
      <c r="H42" s="72">
        <v>18663.0</v>
      </c>
      <c r="I42" s="18" t="s">
        <v>182</v>
      </c>
      <c r="J42" s="37">
        <v>1.199169052E10</v>
      </c>
      <c r="K42" s="37">
        <v>1.1914839739E10</v>
      </c>
      <c r="R42" s="62"/>
    </row>
    <row r="43" ht="15.75" customHeight="1">
      <c r="A43" s="11" t="s">
        <v>15</v>
      </c>
      <c r="B43" s="328" t="s">
        <v>928</v>
      </c>
      <c r="C43" s="329" t="s">
        <v>429</v>
      </c>
      <c r="D43" s="322">
        <v>0.4027777777777778</v>
      </c>
      <c r="E43" s="330" t="s">
        <v>944</v>
      </c>
      <c r="F43" s="331">
        <v>7.0620951174196E14</v>
      </c>
      <c r="G43" s="332" t="s">
        <v>945</v>
      </c>
      <c r="H43" s="333">
        <v>20069.0</v>
      </c>
      <c r="I43" s="18"/>
      <c r="J43" s="334" t="s">
        <v>946</v>
      </c>
      <c r="K43" s="334" t="s">
        <v>947</v>
      </c>
      <c r="R43" s="62"/>
    </row>
    <row r="44" ht="15.75" customHeight="1">
      <c r="A44" s="11" t="s">
        <v>16</v>
      </c>
      <c r="B44" s="68" t="s">
        <v>622</v>
      </c>
      <c r="C44" s="69" t="s">
        <v>429</v>
      </c>
      <c r="D44" s="70">
        <v>0.4166666666666667</v>
      </c>
      <c r="E44" s="215" t="s">
        <v>948</v>
      </c>
      <c r="F44" s="71">
        <v>7.06209531559564E14</v>
      </c>
      <c r="G44" s="85" t="s">
        <v>949</v>
      </c>
      <c r="H44" s="261">
        <v>18233.0</v>
      </c>
      <c r="I44" s="18" t="s">
        <v>182</v>
      </c>
      <c r="J44" s="97">
        <v>1.15874619E9</v>
      </c>
      <c r="K44" s="97"/>
      <c r="R44" s="62"/>
    </row>
    <row r="45" ht="15.75" customHeight="1">
      <c r="A45" s="11" t="s">
        <v>17</v>
      </c>
      <c r="B45" s="68" t="s">
        <v>928</v>
      </c>
      <c r="C45" s="69" t="s">
        <v>429</v>
      </c>
      <c r="D45" s="70">
        <v>0.4305555555555556</v>
      </c>
      <c r="E45" s="214" t="s">
        <v>950</v>
      </c>
      <c r="F45" s="79">
        <v>7.08902730803019E14</v>
      </c>
      <c r="G45" s="74" t="s">
        <v>951</v>
      </c>
      <c r="H45" s="78">
        <v>24071.0</v>
      </c>
      <c r="I45" s="18" t="s">
        <v>182</v>
      </c>
      <c r="J45" s="37" t="s">
        <v>952</v>
      </c>
      <c r="K45" s="37"/>
      <c r="R45" s="62"/>
    </row>
    <row r="46" ht="15.75" customHeight="1">
      <c r="A46" s="11" t="s">
        <v>85</v>
      </c>
      <c r="B46" s="68" t="s">
        <v>622</v>
      </c>
      <c r="C46" s="69" t="s">
        <v>429</v>
      </c>
      <c r="D46" s="70">
        <v>0.4444444444444444</v>
      </c>
      <c r="E46" s="247" t="s">
        <v>953</v>
      </c>
      <c r="F46" s="146">
        <v>2.01155796770004E14</v>
      </c>
      <c r="G46" s="85" t="s">
        <v>954</v>
      </c>
      <c r="H46" s="86">
        <v>21305.0</v>
      </c>
      <c r="I46" s="18" t="s">
        <v>182</v>
      </c>
      <c r="J46" s="37">
        <v>1.1989162756E10</v>
      </c>
      <c r="K46" s="37">
        <v>1.158270575E9</v>
      </c>
      <c r="R46" s="62"/>
    </row>
    <row r="47" ht="15.75" customHeight="1">
      <c r="A47" s="11" t="s">
        <v>87</v>
      </c>
      <c r="B47" s="68"/>
      <c r="C47" s="69"/>
      <c r="D47" s="70"/>
      <c r="E47" s="218"/>
      <c r="F47" s="149"/>
      <c r="G47" s="100"/>
      <c r="H47" s="153"/>
      <c r="I47" s="18" t="s">
        <v>180</v>
      </c>
      <c r="J47" s="37"/>
      <c r="K47" s="37"/>
      <c r="R47" s="62"/>
    </row>
    <row r="48" ht="15.75" customHeight="1">
      <c r="A48" s="11" t="s">
        <v>90</v>
      </c>
      <c r="B48" s="68" t="s">
        <v>398</v>
      </c>
      <c r="C48" s="69" t="s">
        <v>429</v>
      </c>
      <c r="D48" s="70">
        <v>0.4722222222222222</v>
      </c>
      <c r="E48" s="262" t="s">
        <v>955</v>
      </c>
      <c r="F48" s="127">
        <v>7.06005365548241E14</v>
      </c>
      <c r="G48" s="100" t="s">
        <v>956</v>
      </c>
      <c r="H48" s="153">
        <v>30957.0</v>
      </c>
      <c r="I48" s="18" t="s">
        <v>182</v>
      </c>
      <c r="J48" s="37">
        <v>1.1958858764E10</v>
      </c>
      <c r="K48" s="37"/>
      <c r="R48" s="62"/>
    </row>
    <row r="49" ht="15.75" customHeight="1">
      <c r="A49" s="11" t="s">
        <v>93</v>
      </c>
      <c r="B49" s="68"/>
      <c r="C49" s="69"/>
      <c r="D49" s="70"/>
      <c r="E49" s="258"/>
      <c r="F49" s="127"/>
      <c r="G49" s="166"/>
      <c r="H49" s="153"/>
      <c r="I49" s="18" t="s">
        <v>180</v>
      </c>
      <c r="J49" s="37"/>
      <c r="K49" s="37"/>
      <c r="R49" s="62"/>
    </row>
    <row r="50" ht="15.75" customHeight="1">
      <c r="E50" s="263"/>
      <c r="J50" s="62"/>
      <c r="K50" s="62"/>
      <c r="R50" s="62"/>
    </row>
    <row r="51" ht="15.75" customHeight="1">
      <c r="J51" s="62"/>
      <c r="K51" s="62"/>
      <c r="R51" s="62"/>
    </row>
    <row r="52" ht="15.75" customHeight="1">
      <c r="J52" s="62"/>
      <c r="K52" s="62"/>
      <c r="R52" s="62"/>
    </row>
    <row r="53" ht="15.75" customHeight="1">
      <c r="A53" s="20" t="s">
        <v>901</v>
      </c>
      <c r="B53" s="2"/>
      <c r="C53" s="2"/>
      <c r="D53" s="2"/>
      <c r="E53" s="2"/>
      <c r="F53" s="2"/>
      <c r="G53" s="2"/>
      <c r="H53" s="2"/>
      <c r="I53" s="2"/>
      <c r="J53" s="2"/>
      <c r="K53" s="3"/>
      <c r="R53" s="62"/>
    </row>
    <row r="54" ht="15.75" customHeight="1">
      <c r="A54" s="233" t="s">
        <v>957</v>
      </c>
      <c r="B54" s="2"/>
      <c r="C54" s="2"/>
      <c r="D54" s="2"/>
      <c r="E54" s="2"/>
      <c r="F54" s="2"/>
      <c r="G54" s="2"/>
      <c r="H54" s="2"/>
      <c r="I54" s="2"/>
      <c r="J54" s="2"/>
      <c r="K54" s="3"/>
      <c r="R54" s="62"/>
    </row>
    <row r="55" ht="15.75" customHeight="1">
      <c r="A55" s="22"/>
      <c r="B55" s="23" t="s">
        <v>3</v>
      </c>
      <c r="C55" s="24" t="s">
        <v>2</v>
      </c>
      <c r="D55" s="25" t="s">
        <v>5</v>
      </c>
      <c r="E55" s="25" t="s">
        <v>19</v>
      </c>
      <c r="F55" s="25" t="s">
        <v>6</v>
      </c>
      <c r="G55" s="234" t="s">
        <v>7</v>
      </c>
      <c r="H55" s="27" t="s">
        <v>8</v>
      </c>
      <c r="I55" s="28" t="s">
        <v>20</v>
      </c>
      <c r="J55" s="25" t="s">
        <v>21</v>
      </c>
      <c r="K55" s="25" t="s">
        <v>22</v>
      </c>
      <c r="R55" s="62"/>
    </row>
    <row r="56" ht="15.75" customHeight="1">
      <c r="A56" s="11" t="s">
        <v>10</v>
      </c>
      <c r="B56" s="69" t="s">
        <v>958</v>
      </c>
      <c r="C56" s="69" t="s">
        <v>481</v>
      </c>
      <c r="D56" s="70">
        <v>0.5416666666666666</v>
      </c>
      <c r="E56" s="219" t="s">
        <v>959</v>
      </c>
      <c r="F56" s="192">
        <v>8.3550302345212E14</v>
      </c>
      <c r="G56" s="127" t="s">
        <v>960</v>
      </c>
      <c r="H56" s="193">
        <v>29113.0</v>
      </c>
      <c r="I56" s="18" t="s">
        <v>194</v>
      </c>
      <c r="J56" s="97" t="s">
        <v>961</v>
      </c>
      <c r="K56" s="97" t="s">
        <v>962</v>
      </c>
      <c r="N56" s="237" t="s">
        <v>386</v>
      </c>
      <c r="O56" s="95"/>
      <c r="P56" s="95"/>
      <c r="Q56" s="95"/>
      <c r="R56" s="62"/>
    </row>
    <row r="57" ht="15.75" customHeight="1">
      <c r="A57" s="11" t="s">
        <v>11</v>
      </c>
      <c r="B57" s="206" t="s">
        <v>273</v>
      </c>
      <c r="C57" s="69" t="s">
        <v>481</v>
      </c>
      <c r="D57" s="264">
        <v>0.5555555555555556</v>
      </c>
      <c r="E57" s="253" t="s">
        <v>963</v>
      </c>
      <c r="F57" s="206">
        <v>8.98000064685782E14</v>
      </c>
      <c r="G57" s="206" t="s">
        <v>964</v>
      </c>
      <c r="H57" s="153">
        <v>17729.0</v>
      </c>
      <c r="I57" s="18" t="s">
        <v>182</v>
      </c>
      <c r="J57" s="37" t="s">
        <v>965</v>
      </c>
      <c r="K57" s="37" t="s">
        <v>966</v>
      </c>
      <c r="N57" s="239" t="s">
        <v>488</v>
      </c>
      <c r="O57" s="2"/>
      <c r="P57" s="2"/>
      <c r="Q57" s="2"/>
      <c r="R57" s="62"/>
    </row>
    <row r="58" ht="15.75" customHeight="1">
      <c r="A58" s="11" t="s">
        <v>12</v>
      </c>
      <c r="B58" s="69" t="s">
        <v>447</v>
      </c>
      <c r="C58" s="69" t="s">
        <v>481</v>
      </c>
      <c r="D58" s="70">
        <v>0.5694444444444444</v>
      </c>
      <c r="E58" s="253" t="s">
        <v>967</v>
      </c>
      <c r="F58" s="206">
        <v>7.05003847748756E14</v>
      </c>
      <c r="G58" s="206" t="s">
        <v>968</v>
      </c>
      <c r="H58" s="153">
        <v>25802.0</v>
      </c>
      <c r="I58" s="18" t="s">
        <v>182</v>
      </c>
      <c r="J58" s="37" t="s">
        <v>969</v>
      </c>
      <c r="K58" s="97"/>
      <c r="N58" s="240" t="s">
        <v>182</v>
      </c>
      <c r="O58" s="241" t="s">
        <v>194</v>
      </c>
      <c r="P58" s="241" t="s">
        <v>180</v>
      </c>
      <c r="Q58" s="242" t="s">
        <v>172</v>
      </c>
      <c r="R58" s="62"/>
    </row>
    <row r="59" ht="15.75" customHeight="1">
      <c r="A59" s="11" t="s">
        <v>13</v>
      </c>
      <c r="B59" s="69" t="s">
        <v>258</v>
      </c>
      <c r="C59" s="69" t="s">
        <v>481</v>
      </c>
      <c r="D59" s="264">
        <v>0.5833333333333334</v>
      </c>
      <c r="E59" s="214" t="s">
        <v>970</v>
      </c>
      <c r="F59" s="79">
        <v>6.5719824804E10</v>
      </c>
      <c r="G59" s="79" t="s">
        <v>971</v>
      </c>
      <c r="H59" s="78">
        <v>15324.0</v>
      </c>
      <c r="I59" s="18" t="s">
        <v>182</v>
      </c>
      <c r="J59" s="266" t="s">
        <v>972</v>
      </c>
      <c r="K59" s="266" t="s">
        <v>973</v>
      </c>
      <c r="N59" s="244">
        <f t="shared" ref="N59:Q59" si="4">COUNTIFS($I$56:$I$67,N58)</f>
        <v>7</v>
      </c>
      <c r="O59" s="244">
        <f t="shared" si="4"/>
        <v>2</v>
      </c>
      <c r="P59" s="244">
        <f t="shared" si="4"/>
        <v>3</v>
      </c>
      <c r="Q59" s="244">
        <f t="shared" si="4"/>
        <v>0</v>
      </c>
      <c r="R59" s="62"/>
    </row>
    <row r="60" ht="15.75" customHeight="1">
      <c r="A60" s="11" t="s">
        <v>14</v>
      </c>
      <c r="B60" s="62" t="s">
        <v>974</v>
      </c>
      <c r="C60" s="69" t="s">
        <v>481</v>
      </c>
      <c r="D60" s="70">
        <v>0.5972222222222222</v>
      </c>
      <c r="E60" s="267" t="s">
        <v>975</v>
      </c>
      <c r="F60" s="128">
        <v>7.00403473724743E14</v>
      </c>
      <c r="G60" s="128" t="s">
        <v>976</v>
      </c>
      <c r="H60" s="269">
        <v>15671.0</v>
      </c>
      <c r="I60" s="18" t="s">
        <v>194</v>
      </c>
      <c r="J60" s="128" t="s">
        <v>977</v>
      </c>
      <c r="K60" s="128" t="s">
        <v>978</v>
      </c>
      <c r="R60" s="62"/>
    </row>
    <row r="61" ht="15.75" customHeight="1">
      <c r="A61" s="11" t="s">
        <v>15</v>
      </c>
      <c r="B61" s="69" t="s">
        <v>332</v>
      </c>
      <c r="C61" s="69" t="s">
        <v>481</v>
      </c>
      <c r="D61" s="264">
        <v>0.6111111111111112</v>
      </c>
      <c r="E61" s="215" t="s">
        <v>979</v>
      </c>
      <c r="F61" s="170">
        <v>7.08200682052742E14</v>
      </c>
      <c r="G61" s="170" t="s">
        <v>980</v>
      </c>
      <c r="H61" s="72">
        <v>27399.0</v>
      </c>
      <c r="I61" s="18" t="s">
        <v>182</v>
      </c>
      <c r="J61" s="37" t="s">
        <v>981</v>
      </c>
      <c r="K61" s="37"/>
      <c r="R61" s="62"/>
    </row>
    <row r="62" ht="15.75" customHeight="1">
      <c r="A62" s="11" t="s">
        <v>16</v>
      </c>
      <c r="B62" s="69" t="s">
        <v>258</v>
      </c>
      <c r="C62" s="69" t="s">
        <v>481</v>
      </c>
      <c r="D62" s="70">
        <v>0.625</v>
      </c>
      <c r="E62" s="214" t="s">
        <v>982</v>
      </c>
      <c r="F62" s="79">
        <v>7.0400732137336E14</v>
      </c>
      <c r="G62" s="79" t="s">
        <v>983</v>
      </c>
      <c r="H62" s="78">
        <v>22069.0</v>
      </c>
      <c r="I62" s="18" t="s">
        <v>182</v>
      </c>
      <c r="J62" s="266" t="s">
        <v>972</v>
      </c>
      <c r="K62" s="266" t="s">
        <v>984</v>
      </c>
      <c r="R62" s="62"/>
    </row>
    <row r="63" ht="15.75" customHeight="1">
      <c r="A63" s="11" t="s">
        <v>17</v>
      </c>
      <c r="B63" s="69"/>
      <c r="C63" s="69" t="s">
        <v>481</v>
      </c>
      <c r="D63" s="264">
        <v>0.6388888888888888</v>
      </c>
      <c r="E63" s="214"/>
      <c r="F63" s="79"/>
      <c r="G63" s="79"/>
      <c r="H63" s="78"/>
      <c r="I63" s="18" t="s">
        <v>180</v>
      </c>
      <c r="J63" s="271"/>
      <c r="K63" s="271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</row>
    <row r="64" ht="15.75" customHeight="1">
      <c r="A64" s="11" t="s">
        <v>85</v>
      </c>
      <c r="B64" s="69" t="s">
        <v>258</v>
      </c>
      <c r="C64" s="69" t="s">
        <v>481</v>
      </c>
      <c r="D64" s="70">
        <v>0.6527777777777778</v>
      </c>
      <c r="E64" s="247" t="s">
        <v>985</v>
      </c>
      <c r="F64" s="146">
        <v>7.03204609723295E14</v>
      </c>
      <c r="G64" s="79" t="s">
        <v>986</v>
      </c>
      <c r="H64" s="86">
        <v>14860.0</v>
      </c>
      <c r="I64" s="18" t="s">
        <v>182</v>
      </c>
      <c r="J64" s="37" t="s">
        <v>987</v>
      </c>
      <c r="K64" s="37" t="s">
        <v>988</v>
      </c>
      <c r="R64" s="62"/>
    </row>
    <row r="65" ht="15.75" customHeight="1">
      <c r="A65" s="11" t="s">
        <v>87</v>
      </c>
      <c r="B65" s="69"/>
      <c r="C65" s="69" t="s">
        <v>481</v>
      </c>
      <c r="D65" s="264">
        <v>0.6666666666666666</v>
      </c>
      <c r="E65" s="218"/>
      <c r="F65" s="146"/>
      <c r="G65" s="79"/>
      <c r="H65" s="86"/>
      <c r="I65" s="18" t="s">
        <v>180</v>
      </c>
      <c r="J65" s="37"/>
      <c r="K65" s="37"/>
      <c r="R65" s="62"/>
    </row>
    <row r="66" ht="15.75" customHeight="1">
      <c r="A66" s="11" t="s">
        <v>90</v>
      </c>
      <c r="B66" s="69"/>
      <c r="C66" s="69" t="s">
        <v>481</v>
      </c>
      <c r="D66" s="70">
        <v>0.6805555555555556</v>
      </c>
      <c r="E66" s="258"/>
      <c r="F66" s="127"/>
      <c r="G66" s="79"/>
      <c r="H66" s="153"/>
      <c r="I66" s="18" t="s">
        <v>180</v>
      </c>
      <c r="J66" s="37"/>
      <c r="K66" s="37"/>
      <c r="R66" s="62"/>
    </row>
    <row r="67" ht="15.75" customHeight="1">
      <c r="A67" s="11" t="s">
        <v>93</v>
      </c>
      <c r="B67" s="69" t="s">
        <v>258</v>
      </c>
      <c r="C67" s="69" t="s">
        <v>481</v>
      </c>
      <c r="D67" s="264">
        <v>0.6944444444444444</v>
      </c>
      <c r="E67" s="258" t="s">
        <v>989</v>
      </c>
      <c r="F67" s="127">
        <v>8.98001409006931E14</v>
      </c>
      <c r="G67" s="79" t="s">
        <v>990</v>
      </c>
      <c r="H67" s="153">
        <v>15324.0</v>
      </c>
      <c r="I67" s="18" t="s">
        <v>182</v>
      </c>
      <c r="J67" s="37" t="s">
        <v>991</v>
      </c>
      <c r="K67" s="37" t="s">
        <v>992</v>
      </c>
      <c r="R67" s="62"/>
    </row>
    <row r="68" ht="15.75" customHeight="1">
      <c r="J68" s="62"/>
      <c r="K68" s="62"/>
      <c r="R68" s="62"/>
    </row>
    <row r="69" ht="15.75" customHeight="1">
      <c r="J69" s="62"/>
      <c r="K69" s="62"/>
      <c r="R69" s="62"/>
    </row>
    <row r="70" ht="15.0" customHeight="1">
      <c r="J70" s="62"/>
      <c r="K70" s="62"/>
      <c r="R70" s="62"/>
    </row>
    <row r="71" ht="15.75" customHeight="1">
      <c r="A71" s="20" t="s">
        <v>455</v>
      </c>
      <c r="B71" s="2"/>
      <c r="C71" s="2"/>
      <c r="D71" s="2"/>
      <c r="E71" s="2"/>
      <c r="F71" s="2"/>
      <c r="G71" s="2"/>
      <c r="H71" s="2"/>
      <c r="I71" s="2"/>
      <c r="J71" s="2"/>
      <c r="K71" s="3"/>
      <c r="R71" s="62"/>
    </row>
    <row r="72" ht="15.75" customHeight="1">
      <c r="A72" s="233" t="s">
        <v>957</v>
      </c>
      <c r="B72" s="2"/>
      <c r="C72" s="2"/>
      <c r="D72" s="2"/>
      <c r="E72" s="2"/>
      <c r="F72" s="2"/>
      <c r="G72" s="2"/>
      <c r="H72" s="2"/>
      <c r="I72" s="2"/>
      <c r="J72" s="2"/>
      <c r="K72" s="3"/>
      <c r="R72" s="62"/>
    </row>
    <row r="73" ht="15.75" customHeight="1">
      <c r="A73" s="22"/>
      <c r="B73" s="23" t="s">
        <v>3</v>
      </c>
      <c r="C73" s="24" t="s">
        <v>2</v>
      </c>
      <c r="D73" s="25" t="s">
        <v>5</v>
      </c>
      <c r="E73" s="25" t="s">
        <v>19</v>
      </c>
      <c r="F73" s="25" t="s">
        <v>6</v>
      </c>
      <c r="G73" s="234" t="s">
        <v>7</v>
      </c>
      <c r="H73" s="27" t="s">
        <v>8</v>
      </c>
      <c r="I73" s="28" t="s">
        <v>20</v>
      </c>
      <c r="J73" s="25" t="s">
        <v>21</v>
      </c>
      <c r="K73" s="25" t="s">
        <v>22</v>
      </c>
      <c r="R73" s="62"/>
    </row>
    <row r="74" ht="15.75" customHeight="1">
      <c r="A74" s="11" t="s">
        <v>10</v>
      </c>
      <c r="B74" s="68" t="s">
        <v>622</v>
      </c>
      <c r="C74" s="69" t="s">
        <v>517</v>
      </c>
      <c r="D74" s="70">
        <v>0.5416666666666666</v>
      </c>
      <c r="E74" s="219" t="s">
        <v>993</v>
      </c>
      <c r="F74" s="127">
        <v>2.01156898550004E14</v>
      </c>
      <c r="G74" s="54" t="s">
        <v>994</v>
      </c>
      <c r="H74" s="193">
        <v>20740.0</v>
      </c>
      <c r="I74" s="30" t="s">
        <v>182</v>
      </c>
      <c r="J74" s="97">
        <v>1.1992542959E10</v>
      </c>
      <c r="K74" s="97">
        <v>1.158211339E9</v>
      </c>
      <c r="L74" s="197" t="s">
        <v>520</v>
      </c>
      <c r="N74" s="237" t="s">
        <v>386</v>
      </c>
      <c r="O74" s="95"/>
      <c r="P74" s="95"/>
      <c r="Q74" s="95"/>
      <c r="R74" s="62"/>
    </row>
    <row r="75" ht="15.75" customHeight="1">
      <c r="A75" s="11" t="s">
        <v>11</v>
      </c>
      <c r="B75" s="68" t="s">
        <v>398</v>
      </c>
      <c r="C75" s="69" t="s">
        <v>517</v>
      </c>
      <c r="D75" s="264">
        <v>0.5555555555555556</v>
      </c>
      <c r="E75" s="215" t="s">
        <v>995</v>
      </c>
      <c r="F75" s="170">
        <v>7.0400838043236E14</v>
      </c>
      <c r="G75" s="54" t="s">
        <v>996</v>
      </c>
      <c r="H75" s="72">
        <v>19853.0</v>
      </c>
      <c r="I75" s="30" t="s">
        <v>182</v>
      </c>
      <c r="J75" s="37" t="s">
        <v>997</v>
      </c>
      <c r="K75" s="37">
        <v>1.1959697864E10</v>
      </c>
      <c r="N75" s="239" t="s">
        <v>521</v>
      </c>
      <c r="O75" s="2"/>
      <c r="P75" s="2"/>
      <c r="Q75" s="2"/>
      <c r="R75" s="62"/>
    </row>
    <row r="76" ht="15.75" customHeight="1">
      <c r="A76" s="11" t="s">
        <v>12</v>
      </c>
      <c r="B76" s="68" t="s">
        <v>622</v>
      </c>
      <c r="C76" s="69" t="s">
        <v>517</v>
      </c>
      <c r="D76" s="70">
        <v>0.5694444444444444</v>
      </c>
      <c r="E76" s="215" t="s">
        <v>998</v>
      </c>
      <c r="F76" s="170">
        <v>7.00208460008323E14</v>
      </c>
      <c r="G76" s="197" t="s">
        <v>999</v>
      </c>
      <c r="H76" s="78">
        <v>20321.0</v>
      </c>
      <c r="I76" s="30" t="s">
        <v>194</v>
      </c>
      <c r="J76" s="97">
        <v>1.1940471353E10</v>
      </c>
      <c r="K76" s="97">
        <v>1.158736811E9</v>
      </c>
      <c r="L76" s="197" t="s">
        <v>520</v>
      </c>
      <c r="N76" s="240" t="s">
        <v>182</v>
      </c>
      <c r="O76" s="241" t="s">
        <v>194</v>
      </c>
      <c r="P76" s="241" t="s">
        <v>180</v>
      </c>
      <c r="Q76" s="242" t="s">
        <v>172</v>
      </c>
      <c r="R76" s="62"/>
    </row>
    <row r="77" ht="15.75" customHeight="1">
      <c r="A77" s="11" t="s">
        <v>13</v>
      </c>
      <c r="B77" s="68" t="s">
        <v>280</v>
      </c>
      <c r="C77" s="69" t="s">
        <v>517</v>
      </c>
      <c r="D77" s="264">
        <v>0.5833333333333334</v>
      </c>
      <c r="E77" s="214" t="s">
        <v>1000</v>
      </c>
      <c r="F77" s="192">
        <v>7.034033737956E14</v>
      </c>
      <c r="G77" s="54" t="s">
        <v>1001</v>
      </c>
      <c r="H77" s="78">
        <v>20986.0</v>
      </c>
      <c r="I77" s="30" t="s">
        <v>182</v>
      </c>
      <c r="J77" s="97">
        <v>1.1983202057E10</v>
      </c>
      <c r="K77" s="97">
        <v>1.1977657127E10</v>
      </c>
      <c r="L77" s="197" t="s">
        <v>520</v>
      </c>
      <c r="N77" s="244">
        <f t="shared" ref="N77:Q77" si="5">COUNTIFS($I$74:$I$85,N76)</f>
        <v>6</v>
      </c>
      <c r="O77" s="244">
        <f t="shared" si="5"/>
        <v>2</v>
      </c>
      <c r="P77" s="244">
        <f t="shared" si="5"/>
        <v>3</v>
      </c>
      <c r="Q77" s="244">
        <f t="shared" si="5"/>
        <v>0</v>
      </c>
      <c r="R77" s="62"/>
    </row>
    <row r="78" ht="18.0" customHeight="1">
      <c r="A78" s="11" t="s">
        <v>14</v>
      </c>
      <c r="B78" s="68" t="s">
        <v>1002</v>
      </c>
      <c r="C78" s="69" t="s">
        <v>517</v>
      </c>
      <c r="D78" s="70">
        <v>0.5972222222222222</v>
      </c>
      <c r="E78" s="247" t="s">
        <v>1003</v>
      </c>
      <c r="F78" s="146">
        <v>2.09794295490008E14</v>
      </c>
      <c r="G78" s="172" t="s">
        <v>1004</v>
      </c>
      <c r="H78" s="72">
        <v>19310.0</v>
      </c>
      <c r="I78" s="30" t="s">
        <v>182</v>
      </c>
      <c r="J78" s="37"/>
      <c r="K78" s="37"/>
      <c r="L78" s="197" t="s">
        <v>520</v>
      </c>
      <c r="R78" s="62"/>
    </row>
    <row r="79" ht="15.75" customHeight="1">
      <c r="A79" s="11" t="s">
        <v>15</v>
      </c>
      <c r="B79" s="68" t="s">
        <v>275</v>
      </c>
      <c r="C79" s="69" t="s">
        <v>517</v>
      </c>
      <c r="D79" s="264">
        <v>0.6111111111111112</v>
      </c>
      <c r="E79" s="247" t="s">
        <v>1005</v>
      </c>
      <c r="F79" s="146">
        <v>8.98001417690552E14</v>
      </c>
      <c r="G79" s="54" t="s">
        <v>1006</v>
      </c>
      <c r="H79" s="335">
        <v>28001.0</v>
      </c>
      <c r="I79" s="30" t="s">
        <v>182</v>
      </c>
      <c r="J79" s="37">
        <v>1.1995210811E10</v>
      </c>
      <c r="K79" s="37"/>
      <c r="L79" s="197" t="s">
        <v>520</v>
      </c>
      <c r="R79" s="62"/>
    </row>
    <row r="80" ht="15.75" customHeight="1">
      <c r="A80" s="11" t="s">
        <v>16</v>
      </c>
      <c r="B80" s="68" t="s">
        <v>928</v>
      </c>
      <c r="C80" s="69" t="s">
        <v>517</v>
      </c>
      <c r="D80" s="70">
        <v>0.625</v>
      </c>
      <c r="E80" s="258" t="s">
        <v>1007</v>
      </c>
      <c r="F80" s="170">
        <v>7.0700783326873E14</v>
      </c>
      <c r="G80" s="74" t="s">
        <v>1008</v>
      </c>
      <c r="H80" s="78">
        <v>20027.0</v>
      </c>
      <c r="I80" s="30" t="s">
        <v>194</v>
      </c>
      <c r="J80" s="272"/>
      <c r="K80" s="272"/>
      <c r="L80" s="197" t="s">
        <v>520</v>
      </c>
      <c r="R80" s="62"/>
    </row>
    <row r="81" ht="15.75" customHeight="1">
      <c r="A81" s="11" t="s">
        <v>178</v>
      </c>
      <c r="B81" s="68" t="s">
        <v>928</v>
      </c>
      <c r="C81" s="69" t="s">
        <v>517</v>
      </c>
      <c r="D81" s="264">
        <v>0.6388888888888888</v>
      </c>
      <c r="E81" s="215"/>
      <c r="F81" s="170"/>
      <c r="G81" s="238"/>
      <c r="H81" s="72"/>
      <c r="I81" s="30" t="s">
        <v>180</v>
      </c>
      <c r="J81" s="37"/>
      <c r="K81" s="37"/>
      <c r="L81" s="197" t="s">
        <v>520</v>
      </c>
      <c r="R81" s="62"/>
    </row>
    <row r="82" ht="15.75" customHeight="1">
      <c r="A82" s="11" t="s">
        <v>85</v>
      </c>
      <c r="C82" s="69" t="s">
        <v>517</v>
      </c>
      <c r="D82" s="70">
        <v>0.6527777777777778</v>
      </c>
      <c r="E82" s="258" t="s">
        <v>1009</v>
      </c>
      <c r="F82" s="146">
        <v>7.09603688348772E14</v>
      </c>
      <c r="G82" s="74" t="s">
        <v>1010</v>
      </c>
      <c r="H82" s="78">
        <v>28469.0</v>
      </c>
      <c r="I82" s="30" t="s">
        <v>182</v>
      </c>
      <c r="J82" s="132">
        <v>1.1965774895E10</v>
      </c>
      <c r="K82" s="37">
        <v>1.158275548E9</v>
      </c>
      <c r="L82" s="197" t="s">
        <v>520</v>
      </c>
      <c r="R82" s="62"/>
    </row>
    <row r="83" ht="15.75" customHeight="1">
      <c r="A83" s="11" t="s">
        <v>87</v>
      </c>
      <c r="B83" s="68"/>
      <c r="C83" s="69"/>
      <c r="D83" s="264"/>
      <c r="E83" s="218"/>
      <c r="F83" s="149"/>
      <c r="G83" s="74"/>
      <c r="H83" s="153"/>
      <c r="I83" s="18"/>
      <c r="J83" s="37"/>
      <c r="K83" s="37"/>
      <c r="L83" s="197" t="s">
        <v>520</v>
      </c>
      <c r="R83" s="62"/>
    </row>
    <row r="84" ht="15.75" customHeight="1">
      <c r="A84" s="11" t="s">
        <v>90</v>
      </c>
      <c r="B84" s="68"/>
      <c r="C84" s="69" t="s">
        <v>517</v>
      </c>
      <c r="D84" s="70">
        <v>0.6805555555555556</v>
      </c>
      <c r="E84" s="258"/>
      <c r="F84" s="127"/>
      <c r="G84" s="54"/>
      <c r="H84" s="153"/>
      <c r="I84" s="30" t="s">
        <v>180</v>
      </c>
      <c r="J84" s="37"/>
      <c r="K84" s="37"/>
      <c r="L84" s="197" t="s">
        <v>520</v>
      </c>
      <c r="R84" s="62"/>
    </row>
    <row r="85" ht="15.75" customHeight="1">
      <c r="A85" s="11" t="s">
        <v>93</v>
      </c>
      <c r="B85" s="68"/>
      <c r="C85" s="69" t="s">
        <v>517</v>
      </c>
      <c r="D85" s="264">
        <v>0.6944444444444444</v>
      </c>
      <c r="E85" s="258"/>
      <c r="F85" s="127"/>
      <c r="G85" s="166"/>
      <c r="H85" s="153"/>
      <c r="I85" s="30" t="s">
        <v>180</v>
      </c>
      <c r="J85" s="37"/>
      <c r="K85" s="37"/>
      <c r="R85" s="62"/>
    </row>
    <row r="86" ht="15.75" customHeight="1">
      <c r="J86" s="62"/>
      <c r="K86" s="62"/>
      <c r="R86" s="62"/>
    </row>
    <row r="87" ht="15.75" customHeight="1">
      <c r="J87" s="62"/>
      <c r="K87" s="62"/>
      <c r="R87" s="62"/>
    </row>
    <row r="88" ht="15.75" customHeight="1">
      <c r="A88" s="20" t="s">
        <v>455</v>
      </c>
      <c r="B88" s="2"/>
      <c r="C88" s="2"/>
      <c r="D88" s="2"/>
      <c r="E88" s="2"/>
      <c r="F88" s="2"/>
      <c r="G88" s="2"/>
      <c r="H88" s="2"/>
      <c r="I88" s="2"/>
      <c r="J88" s="2"/>
      <c r="K88" s="3"/>
      <c r="R88" s="62"/>
    </row>
    <row r="89" ht="15.75" customHeight="1">
      <c r="A89" s="233" t="s">
        <v>1011</v>
      </c>
      <c r="B89" s="2"/>
      <c r="C89" s="2"/>
      <c r="D89" s="2"/>
      <c r="E89" s="2"/>
      <c r="F89" s="2"/>
      <c r="G89" s="2"/>
      <c r="H89" s="2"/>
      <c r="I89" s="2"/>
      <c r="J89" s="2"/>
      <c r="K89" s="3"/>
      <c r="R89" s="62"/>
    </row>
    <row r="90" ht="15.75" customHeight="1">
      <c r="A90" s="22"/>
      <c r="B90" s="23" t="s">
        <v>3</v>
      </c>
      <c r="C90" s="24" t="s">
        <v>2</v>
      </c>
      <c r="D90" s="25" t="s">
        <v>5</v>
      </c>
      <c r="E90" s="25" t="s">
        <v>19</v>
      </c>
      <c r="F90" s="25" t="s">
        <v>6</v>
      </c>
      <c r="G90" s="234" t="s">
        <v>7</v>
      </c>
      <c r="H90" s="27" t="s">
        <v>8</v>
      </c>
      <c r="I90" s="28" t="s">
        <v>20</v>
      </c>
      <c r="J90" s="25" t="s">
        <v>21</v>
      </c>
      <c r="K90" s="25" t="s">
        <v>22</v>
      </c>
      <c r="R90" s="62"/>
    </row>
    <row r="91" ht="15.75" customHeight="1">
      <c r="A91" s="11" t="s">
        <v>10</v>
      </c>
      <c r="B91" s="68" t="s">
        <v>622</v>
      </c>
      <c r="C91" s="69" t="s">
        <v>380</v>
      </c>
      <c r="D91" s="70">
        <v>0.5416666666666666</v>
      </c>
      <c r="E91" s="214" t="s">
        <v>1012</v>
      </c>
      <c r="F91" s="79">
        <v>2.01156895960007E14</v>
      </c>
      <c r="G91" s="74" t="s">
        <v>1013</v>
      </c>
      <c r="H91" s="274">
        <v>21030.0</v>
      </c>
      <c r="I91" s="30" t="s">
        <v>194</v>
      </c>
      <c r="J91" s="274">
        <v>1.1947756141E10</v>
      </c>
      <c r="K91" s="274">
        <v>1.1968256077E10</v>
      </c>
      <c r="L91" s="197" t="s">
        <v>520</v>
      </c>
      <c r="N91" s="237" t="s">
        <v>386</v>
      </c>
      <c r="O91" s="95"/>
      <c r="P91" s="95"/>
      <c r="Q91" s="95"/>
      <c r="R91" s="62"/>
    </row>
    <row r="92" ht="15.75" customHeight="1">
      <c r="A92" s="11" t="s">
        <v>11</v>
      </c>
      <c r="B92" s="68" t="s">
        <v>622</v>
      </c>
      <c r="C92" s="69" t="s">
        <v>380</v>
      </c>
      <c r="D92" s="70">
        <v>0.5555555555555556</v>
      </c>
      <c r="E92" s="214" t="s">
        <v>1014</v>
      </c>
      <c r="F92" s="79">
        <v>8.01440457237789E14</v>
      </c>
      <c r="G92" s="74" t="s">
        <v>1015</v>
      </c>
      <c r="H92" s="274" t="s">
        <v>1016</v>
      </c>
      <c r="I92" s="30" t="s">
        <v>194</v>
      </c>
      <c r="J92" s="274">
        <v>1.1942979438E10</v>
      </c>
      <c r="K92" s="274">
        <v>1.1988733466E10</v>
      </c>
      <c r="N92" s="239" t="s">
        <v>556</v>
      </c>
      <c r="O92" s="2"/>
      <c r="P92" s="2"/>
      <c r="Q92" s="2"/>
      <c r="R92" s="62"/>
    </row>
    <row r="93" ht="15.75" customHeight="1">
      <c r="A93" s="11" t="s">
        <v>12</v>
      </c>
      <c r="B93" s="68" t="s">
        <v>622</v>
      </c>
      <c r="C93" s="69" t="s">
        <v>380</v>
      </c>
      <c r="D93" s="70">
        <v>0.5694444444444444</v>
      </c>
      <c r="E93" s="214" t="s">
        <v>1017</v>
      </c>
      <c r="F93" s="79">
        <v>7.06405605732587E14</v>
      </c>
      <c r="G93" s="74" t="s">
        <v>1018</v>
      </c>
      <c r="H93" s="274">
        <v>21436.0</v>
      </c>
      <c r="I93" s="30" t="s">
        <v>182</v>
      </c>
      <c r="J93" s="274">
        <v>1.1960542065E10</v>
      </c>
      <c r="K93" s="274">
        <v>1.1967347077E10</v>
      </c>
      <c r="L93" s="197" t="s">
        <v>520</v>
      </c>
      <c r="N93" s="240" t="s">
        <v>182</v>
      </c>
      <c r="O93" s="241" t="s">
        <v>194</v>
      </c>
      <c r="P93" s="241" t="s">
        <v>180</v>
      </c>
      <c r="Q93" s="242" t="s">
        <v>172</v>
      </c>
      <c r="R93" s="62" t="s">
        <v>438</v>
      </c>
    </row>
    <row r="94" ht="15.75" customHeight="1">
      <c r="A94" s="11" t="s">
        <v>13</v>
      </c>
      <c r="B94" s="68" t="s">
        <v>622</v>
      </c>
      <c r="C94" s="69" t="s">
        <v>380</v>
      </c>
      <c r="D94" s="70">
        <v>0.5833333333333334</v>
      </c>
      <c r="E94" s="214" t="s">
        <v>1019</v>
      </c>
      <c r="F94" s="79">
        <v>7.00401433265843E14</v>
      </c>
      <c r="G94" s="74" t="s">
        <v>1020</v>
      </c>
      <c r="H94" s="274">
        <v>17546.0</v>
      </c>
      <c r="I94" s="30" t="s">
        <v>182</v>
      </c>
      <c r="J94" s="274">
        <v>1.1960542065E10</v>
      </c>
      <c r="K94" s="274">
        <v>1.15872603E9</v>
      </c>
      <c r="L94" s="197" t="s">
        <v>520</v>
      </c>
      <c r="N94" s="244">
        <f t="shared" ref="N94:Q94" si="6">COUNTIFS($I$91:$I$102,N93)</f>
        <v>5</v>
      </c>
      <c r="O94" s="244">
        <f t="shared" si="6"/>
        <v>3</v>
      </c>
      <c r="P94" s="244">
        <f t="shared" si="6"/>
        <v>2</v>
      </c>
      <c r="Q94" s="244">
        <f t="shared" si="6"/>
        <v>1</v>
      </c>
      <c r="R94" s="62">
        <f>COUNTIFS(I91:I102,R93)</f>
        <v>0</v>
      </c>
    </row>
    <row r="95" ht="15.75" customHeight="1">
      <c r="A95" s="11" t="s">
        <v>14</v>
      </c>
      <c r="B95" s="68" t="s">
        <v>622</v>
      </c>
      <c r="C95" s="69" t="s">
        <v>380</v>
      </c>
      <c r="D95" s="70">
        <v>0.5972222222222222</v>
      </c>
      <c r="E95" s="214" t="s">
        <v>1021</v>
      </c>
      <c r="F95" s="79">
        <v>2.01156873720003E14</v>
      </c>
      <c r="G95" s="74" t="s">
        <v>1022</v>
      </c>
      <c r="H95" s="274">
        <v>18396.0</v>
      </c>
      <c r="I95" s="30" t="s">
        <v>194</v>
      </c>
      <c r="J95" s="274">
        <v>1.1962887089E10</v>
      </c>
      <c r="K95" s="274">
        <v>1.158252026E9</v>
      </c>
      <c r="L95" s="197" t="s">
        <v>520</v>
      </c>
      <c r="R95" s="62"/>
    </row>
    <row r="96" ht="15.75" customHeight="1">
      <c r="A96" s="11" t="s">
        <v>15</v>
      </c>
      <c r="B96" s="68" t="s">
        <v>667</v>
      </c>
      <c r="C96" s="69" t="s">
        <v>380</v>
      </c>
      <c r="D96" s="70">
        <v>0.6111111111111112</v>
      </c>
      <c r="E96" s="214" t="s">
        <v>1023</v>
      </c>
      <c r="F96" s="79">
        <v>7.00500550770054E14</v>
      </c>
      <c r="G96" s="74" t="s">
        <v>1024</v>
      </c>
      <c r="H96" s="274">
        <v>28625.0</v>
      </c>
      <c r="I96" s="30" t="s">
        <v>172</v>
      </c>
      <c r="J96" s="274">
        <v>1.1940455463E10</v>
      </c>
      <c r="K96" s="274">
        <v>1.199638726E9</v>
      </c>
      <c r="L96" s="197" t="s">
        <v>520</v>
      </c>
      <c r="R96" s="62"/>
    </row>
    <row r="97" ht="15.75" customHeight="1">
      <c r="A97" s="11" t="s">
        <v>16</v>
      </c>
      <c r="B97" s="68"/>
      <c r="C97" s="69" t="s">
        <v>380</v>
      </c>
      <c r="D97" s="70">
        <v>0.625</v>
      </c>
      <c r="E97" s="214"/>
      <c r="F97" s="79"/>
      <c r="G97" s="74"/>
      <c r="H97" s="274"/>
      <c r="I97" s="18"/>
      <c r="J97" s="274"/>
      <c r="K97" s="274"/>
      <c r="R97" s="62"/>
    </row>
    <row r="98" ht="15.75" customHeight="1">
      <c r="A98" s="11" t="s">
        <v>17</v>
      </c>
      <c r="B98" s="68" t="s">
        <v>280</v>
      </c>
      <c r="C98" s="69" t="s">
        <v>380</v>
      </c>
      <c r="D98" s="70">
        <v>0.6388888888888888</v>
      </c>
      <c r="E98" s="214" t="s">
        <v>1025</v>
      </c>
      <c r="F98" s="79">
        <v>8.0144047991958E14</v>
      </c>
      <c r="G98" s="74" t="s">
        <v>1026</v>
      </c>
      <c r="H98" s="274">
        <v>18485.0</v>
      </c>
      <c r="I98" s="30" t="s">
        <v>182</v>
      </c>
      <c r="J98" s="274">
        <v>1.1952153617E10</v>
      </c>
      <c r="K98" s="336">
        <v>1.1996484976E10</v>
      </c>
      <c r="R98" s="62"/>
    </row>
    <row r="99" ht="15.75" customHeight="1">
      <c r="A99" s="11" t="s">
        <v>85</v>
      </c>
      <c r="B99" s="68" t="s">
        <v>667</v>
      </c>
      <c r="C99" s="69" t="s">
        <v>380</v>
      </c>
      <c r="D99" s="70">
        <v>0.6527777777777778</v>
      </c>
      <c r="E99" s="214" t="s">
        <v>1027</v>
      </c>
      <c r="F99" s="79">
        <v>8.0144040117098E14</v>
      </c>
      <c r="G99" s="74" t="s">
        <v>1028</v>
      </c>
      <c r="H99" s="274">
        <v>19839.0</v>
      </c>
      <c r="I99" s="30" t="s">
        <v>182</v>
      </c>
      <c r="J99" s="274">
        <v>1.1990242229E10</v>
      </c>
      <c r="K99" s="274">
        <v>1.1998801629E10</v>
      </c>
      <c r="L99" s="197" t="s">
        <v>576</v>
      </c>
      <c r="R99" s="62"/>
    </row>
    <row r="100" ht="15.75" customHeight="1">
      <c r="A100" s="11" t="s">
        <v>87</v>
      </c>
      <c r="B100" s="68"/>
      <c r="C100" s="69" t="s">
        <v>380</v>
      </c>
      <c r="D100" s="70">
        <v>0.6666666666666666</v>
      </c>
      <c r="E100" s="214"/>
      <c r="F100" s="79"/>
      <c r="G100" s="74"/>
      <c r="H100" s="274"/>
      <c r="I100" s="18" t="s">
        <v>180</v>
      </c>
      <c r="J100" s="274"/>
      <c r="K100" s="274"/>
      <c r="R100" s="62"/>
    </row>
    <row r="101" ht="15.75" customHeight="1">
      <c r="A101" s="11" t="s">
        <v>90</v>
      </c>
      <c r="B101" s="68"/>
      <c r="C101" s="69" t="s">
        <v>380</v>
      </c>
      <c r="D101" s="70">
        <v>0.6805555555555556</v>
      </c>
      <c r="E101" s="214"/>
      <c r="F101" s="79"/>
      <c r="G101" s="74"/>
      <c r="H101" s="274"/>
      <c r="I101" s="18" t="s">
        <v>180</v>
      </c>
      <c r="J101" s="274"/>
      <c r="K101" s="274"/>
      <c r="R101" s="62"/>
    </row>
    <row r="102" ht="15.75" customHeight="1">
      <c r="A102" s="11" t="s">
        <v>93</v>
      </c>
      <c r="B102" s="68" t="s">
        <v>928</v>
      </c>
      <c r="C102" s="69" t="s">
        <v>380</v>
      </c>
      <c r="D102" s="70">
        <v>0.6944444444444444</v>
      </c>
      <c r="E102" s="214" t="s">
        <v>1029</v>
      </c>
      <c r="F102" s="79">
        <v>7.02404004388225E14</v>
      </c>
      <c r="G102" s="74" t="s">
        <v>1030</v>
      </c>
      <c r="H102" s="274">
        <v>25911.0</v>
      </c>
      <c r="I102" s="30" t="s">
        <v>182</v>
      </c>
      <c r="J102" s="274">
        <v>1.1988175505E10</v>
      </c>
      <c r="K102" s="274"/>
      <c r="R102" s="62"/>
    </row>
    <row r="103" ht="15.75" customHeight="1">
      <c r="J103" s="62"/>
      <c r="K103" s="62"/>
      <c r="R103" s="62"/>
    </row>
    <row r="104" ht="15.75" customHeight="1">
      <c r="J104" s="62"/>
      <c r="K104" s="62"/>
      <c r="R104" s="62"/>
    </row>
    <row r="105" ht="15.75" customHeight="1">
      <c r="J105" s="62"/>
      <c r="K105" s="62"/>
      <c r="R105" s="62"/>
    </row>
    <row r="106" ht="15.75" customHeight="1">
      <c r="A106" s="20" t="s">
        <v>578</v>
      </c>
      <c r="B106" s="2"/>
      <c r="C106" s="2"/>
      <c r="D106" s="2"/>
      <c r="E106" s="2"/>
      <c r="F106" s="2"/>
      <c r="G106" s="2"/>
      <c r="H106" s="2"/>
      <c r="I106" s="2"/>
      <c r="J106" s="2"/>
      <c r="K106" s="3"/>
      <c r="R106" s="62"/>
    </row>
    <row r="107" ht="15.75" customHeight="1">
      <c r="A107" s="233" t="s">
        <v>1031</v>
      </c>
      <c r="B107" s="2"/>
      <c r="C107" s="2"/>
      <c r="D107" s="2"/>
      <c r="E107" s="2"/>
      <c r="F107" s="2"/>
      <c r="G107" s="2"/>
      <c r="H107" s="2"/>
      <c r="I107" s="2"/>
      <c r="J107" s="2"/>
      <c r="K107" s="3"/>
      <c r="R107" s="62"/>
    </row>
    <row r="108" ht="15.75" customHeight="1">
      <c r="A108" s="22"/>
      <c r="B108" s="23" t="s">
        <v>3</v>
      </c>
      <c r="C108" s="24" t="s">
        <v>2</v>
      </c>
      <c r="D108" s="25" t="s">
        <v>5</v>
      </c>
      <c r="E108" s="25" t="s">
        <v>19</v>
      </c>
      <c r="F108" s="25" t="s">
        <v>6</v>
      </c>
      <c r="G108" s="234" t="s">
        <v>7</v>
      </c>
      <c r="H108" s="27" t="s">
        <v>8</v>
      </c>
      <c r="I108" s="28" t="s">
        <v>20</v>
      </c>
      <c r="J108" s="25" t="s">
        <v>21</v>
      </c>
      <c r="K108" s="25" t="s">
        <v>22</v>
      </c>
      <c r="R108" s="62"/>
    </row>
    <row r="109" ht="15.75" customHeight="1">
      <c r="A109" s="11" t="s">
        <v>10</v>
      </c>
      <c r="B109" s="154" t="s">
        <v>447</v>
      </c>
      <c r="C109" s="69" t="s">
        <v>580</v>
      </c>
      <c r="D109" s="70">
        <v>0.5416666666666666</v>
      </c>
      <c r="E109" s="289" t="s">
        <v>1032</v>
      </c>
      <c r="F109" s="206">
        <v>8.98001411480823E14</v>
      </c>
      <c r="G109" s="148" t="s">
        <v>1033</v>
      </c>
      <c r="H109" s="150">
        <v>24782.0</v>
      </c>
      <c r="I109" s="18" t="s">
        <v>182</v>
      </c>
      <c r="J109" s="212" t="s">
        <v>1034</v>
      </c>
      <c r="K109" s="212" t="s">
        <v>1035</v>
      </c>
      <c r="L109" s="197" t="s">
        <v>520</v>
      </c>
      <c r="N109" s="237" t="s">
        <v>386</v>
      </c>
      <c r="O109" s="95"/>
      <c r="P109" s="95"/>
      <c r="Q109" s="95"/>
      <c r="R109" s="62"/>
    </row>
    <row r="110" ht="15.75" customHeight="1">
      <c r="A110" s="11" t="s">
        <v>11</v>
      </c>
      <c r="B110" s="154" t="s">
        <v>442</v>
      </c>
      <c r="C110" s="69" t="s">
        <v>580</v>
      </c>
      <c r="D110" s="70">
        <v>0.5555555555555556</v>
      </c>
      <c r="E110" s="253" t="s">
        <v>1036</v>
      </c>
      <c r="F110" s="206">
        <v>7.00109961516714E14</v>
      </c>
      <c r="G110" s="238" t="s">
        <v>1037</v>
      </c>
      <c r="H110" s="72">
        <v>15404.0</v>
      </c>
      <c r="I110" s="18" t="s">
        <v>182</v>
      </c>
      <c r="J110" s="37" t="s">
        <v>1038</v>
      </c>
      <c r="K110" s="37" t="s">
        <v>1039</v>
      </c>
      <c r="N110" s="239" t="s">
        <v>584</v>
      </c>
      <c r="O110" s="2"/>
      <c r="P110" s="2"/>
      <c r="Q110" s="2"/>
      <c r="R110" s="62"/>
    </row>
    <row r="111" ht="15.75" customHeight="1">
      <c r="A111" s="11" t="s">
        <v>12</v>
      </c>
      <c r="B111" s="154" t="s">
        <v>447</v>
      </c>
      <c r="C111" s="69" t="s">
        <v>580</v>
      </c>
      <c r="D111" s="70">
        <v>0.5694444444444444</v>
      </c>
      <c r="E111" s="289" t="s">
        <v>1040</v>
      </c>
      <c r="F111" s="206">
        <v>8.98001437075543E14</v>
      </c>
      <c r="G111" s="148" t="s">
        <v>1041</v>
      </c>
      <c r="H111" s="150">
        <v>20464.0</v>
      </c>
      <c r="I111" s="18" t="s">
        <v>182</v>
      </c>
      <c r="J111" s="212" t="s">
        <v>1042</v>
      </c>
      <c r="K111" s="212" t="s">
        <v>1043</v>
      </c>
      <c r="L111" s="197" t="s">
        <v>520</v>
      </c>
      <c r="N111" s="240" t="s">
        <v>182</v>
      </c>
      <c r="O111" s="241" t="s">
        <v>194</v>
      </c>
      <c r="P111" s="241" t="s">
        <v>180</v>
      </c>
      <c r="Q111" s="242" t="s">
        <v>172</v>
      </c>
      <c r="R111" s="62"/>
    </row>
    <row r="112" ht="15.75" customHeight="1">
      <c r="A112" s="11" t="s">
        <v>13</v>
      </c>
      <c r="B112" s="154" t="s">
        <v>974</v>
      </c>
      <c r="C112" s="69" t="s">
        <v>580</v>
      </c>
      <c r="D112" s="70">
        <v>0.5833333333333334</v>
      </c>
      <c r="E112" s="289" t="s">
        <v>1044</v>
      </c>
      <c r="F112" s="206">
        <v>7.0250778358624E14</v>
      </c>
      <c r="G112" s="148" t="s">
        <v>1045</v>
      </c>
      <c r="H112" s="150">
        <v>24714.0</v>
      </c>
      <c r="I112" s="18" t="s">
        <v>172</v>
      </c>
      <c r="J112" s="337" t="s">
        <v>1046</v>
      </c>
      <c r="K112" s="212"/>
      <c r="L112" s="197" t="s">
        <v>520</v>
      </c>
      <c r="N112" s="244">
        <f t="shared" ref="N112:Q112" si="7">COUNTIFS($I$109:$I$120,N111)</f>
        <v>4</v>
      </c>
      <c r="O112" s="244">
        <f t="shared" si="7"/>
        <v>2</v>
      </c>
      <c r="P112" s="244">
        <f t="shared" si="7"/>
        <v>4</v>
      </c>
      <c r="Q112" s="244">
        <f t="shared" si="7"/>
        <v>2</v>
      </c>
      <c r="R112" s="62"/>
    </row>
    <row r="113" ht="15.75" customHeight="1">
      <c r="A113" s="11" t="s">
        <v>14</v>
      </c>
      <c r="B113" s="154" t="s">
        <v>635</v>
      </c>
      <c r="C113" s="69" t="s">
        <v>580</v>
      </c>
      <c r="D113" s="70">
        <v>0.5972222222222222</v>
      </c>
      <c r="E113" s="289" t="s">
        <v>1047</v>
      </c>
      <c r="F113" s="206">
        <v>7.06304772055879E14</v>
      </c>
      <c r="G113" s="54" t="s">
        <v>1048</v>
      </c>
      <c r="H113" s="72">
        <v>22323.0</v>
      </c>
      <c r="I113" s="18" t="s">
        <v>194</v>
      </c>
      <c r="J113" s="37" t="s">
        <v>1049</v>
      </c>
      <c r="K113" s="37" t="s">
        <v>1050</v>
      </c>
      <c r="R113" s="62"/>
    </row>
    <row r="114" ht="15.75" customHeight="1">
      <c r="A114" s="11" t="s">
        <v>15</v>
      </c>
      <c r="B114" s="154"/>
      <c r="C114" s="69" t="s">
        <v>580</v>
      </c>
      <c r="D114" s="70">
        <v>0.6111111111111112</v>
      </c>
      <c r="E114" s="338"/>
      <c r="F114" s="339"/>
      <c r="G114" s="54"/>
      <c r="H114" s="150"/>
      <c r="I114" s="18" t="s">
        <v>180</v>
      </c>
      <c r="J114" s="37"/>
      <c r="K114" s="37"/>
      <c r="L114" s="197" t="s">
        <v>520</v>
      </c>
      <c r="R114" s="62"/>
    </row>
    <row r="115" ht="15.75" customHeight="1">
      <c r="A115" s="11" t="s">
        <v>16</v>
      </c>
      <c r="B115" s="154" t="s">
        <v>273</v>
      </c>
      <c r="C115" s="69" t="s">
        <v>580</v>
      </c>
      <c r="D115" s="70">
        <v>0.625</v>
      </c>
      <c r="E115" s="289" t="s">
        <v>1051</v>
      </c>
      <c r="F115" s="206">
        <v>7.05405433639497E14</v>
      </c>
      <c r="G115" s="148" t="s">
        <v>1052</v>
      </c>
      <c r="H115" s="150">
        <v>19163.0</v>
      </c>
      <c r="I115" s="18" t="s">
        <v>182</v>
      </c>
      <c r="J115" s="271" t="s">
        <v>1053</v>
      </c>
      <c r="K115" s="271"/>
      <c r="L115" s="197" t="s">
        <v>520</v>
      </c>
      <c r="R115" s="62"/>
    </row>
    <row r="116" ht="15.75" customHeight="1">
      <c r="A116" s="11" t="s">
        <v>17</v>
      </c>
      <c r="B116" s="154" t="s">
        <v>1054</v>
      </c>
      <c r="C116" s="69" t="s">
        <v>580</v>
      </c>
      <c r="D116" s="70">
        <v>0.6388888888888888</v>
      </c>
      <c r="E116" s="340" t="s">
        <v>1055</v>
      </c>
      <c r="F116" s="206">
        <v>2.01535884590004E14</v>
      </c>
      <c r="G116" s="148" t="s">
        <v>1056</v>
      </c>
      <c r="H116" s="150">
        <v>21412.0</v>
      </c>
      <c r="I116" s="18" t="s">
        <v>194</v>
      </c>
      <c r="J116" s="212">
        <v>1.1968812182E10</v>
      </c>
      <c r="K116" s="37"/>
      <c r="L116" s="197" t="s">
        <v>520</v>
      </c>
      <c r="R116" s="62"/>
    </row>
    <row r="117" ht="15.75" customHeight="1">
      <c r="A117" s="11" t="s">
        <v>85</v>
      </c>
      <c r="B117" s="154" t="s">
        <v>258</v>
      </c>
      <c r="C117" s="69" t="s">
        <v>580</v>
      </c>
      <c r="D117" s="70">
        <v>0.6527777777777778</v>
      </c>
      <c r="E117" s="289" t="s">
        <v>1057</v>
      </c>
      <c r="F117" s="206">
        <v>8.01440407382777E14</v>
      </c>
      <c r="G117" s="148" t="s">
        <v>1058</v>
      </c>
      <c r="H117" s="153">
        <v>24509.0</v>
      </c>
      <c r="I117" s="18" t="s">
        <v>172</v>
      </c>
      <c r="J117" s="37">
        <v>9.85108125E8</v>
      </c>
      <c r="K117" s="37"/>
      <c r="R117" s="62"/>
    </row>
    <row r="118" ht="15.75" customHeight="1">
      <c r="A118" s="11" t="s">
        <v>87</v>
      </c>
      <c r="B118" s="154"/>
      <c r="C118" s="69" t="s">
        <v>580</v>
      </c>
      <c r="D118" s="70">
        <v>0.6666666666666666</v>
      </c>
      <c r="E118" s="218"/>
      <c r="F118" s="149"/>
      <c r="G118" s="186"/>
      <c r="H118" s="153"/>
      <c r="I118" s="18" t="s">
        <v>180</v>
      </c>
      <c r="J118" s="37"/>
      <c r="K118" s="37"/>
      <c r="L118" s="197" t="s">
        <v>520</v>
      </c>
      <c r="R118" s="62"/>
    </row>
    <row r="119" ht="15.75" customHeight="1">
      <c r="A119" s="11" t="s">
        <v>90</v>
      </c>
      <c r="B119" s="154"/>
      <c r="C119" s="69" t="s">
        <v>580</v>
      </c>
      <c r="D119" s="70">
        <v>0.6805555555555556</v>
      </c>
      <c r="E119" s="258"/>
      <c r="F119" s="127"/>
      <c r="G119" s="341"/>
      <c r="H119" s="153"/>
      <c r="I119" s="18" t="s">
        <v>180</v>
      </c>
      <c r="J119" s="37"/>
      <c r="K119" s="37"/>
      <c r="R119" s="62"/>
    </row>
    <row r="120" ht="15.75" customHeight="1">
      <c r="A120" s="11" t="s">
        <v>93</v>
      </c>
      <c r="B120" s="68"/>
      <c r="C120" s="69" t="s">
        <v>580</v>
      </c>
      <c r="D120" s="70">
        <v>0.6944444444444444</v>
      </c>
      <c r="E120" s="258"/>
      <c r="F120" s="127"/>
      <c r="G120" s="341"/>
      <c r="H120" s="153"/>
      <c r="I120" s="18" t="s">
        <v>180</v>
      </c>
      <c r="J120" s="37"/>
      <c r="K120" s="37"/>
      <c r="R120" s="62"/>
    </row>
    <row r="121" ht="15.75" customHeight="1">
      <c r="J121" s="62"/>
      <c r="K121" s="62"/>
      <c r="R121" s="62"/>
    </row>
    <row r="122" ht="15.75" customHeight="1">
      <c r="J122" s="62"/>
      <c r="K122" s="62"/>
      <c r="R122" s="62"/>
    </row>
    <row r="123" ht="15.75" customHeight="1">
      <c r="A123" s="20" t="s">
        <v>455</v>
      </c>
      <c r="B123" s="2"/>
      <c r="C123" s="2"/>
      <c r="D123" s="2"/>
      <c r="E123" s="2"/>
      <c r="F123" s="2"/>
      <c r="G123" s="2"/>
      <c r="H123" s="2"/>
      <c r="I123" s="2"/>
      <c r="J123" s="2"/>
      <c r="K123" s="3"/>
      <c r="R123" s="62"/>
    </row>
    <row r="124" ht="15.75" customHeight="1">
      <c r="A124" s="233" t="s">
        <v>1059</v>
      </c>
      <c r="B124" s="2"/>
      <c r="C124" s="2"/>
      <c r="D124" s="2"/>
      <c r="E124" s="2"/>
      <c r="F124" s="2"/>
      <c r="G124" s="2"/>
      <c r="H124" s="2"/>
      <c r="I124" s="2"/>
      <c r="J124" s="2"/>
      <c r="K124" s="3"/>
      <c r="R124" s="62"/>
    </row>
    <row r="125" ht="15.75" customHeight="1">
      <c r="A125" s="22"/>
      <c r="B125" s="23" t="s">
        <v>3</v>
      </c>
      <c r="C125" s="24" t="s">
        <v>2</v>
      </c>
      <c r="D125" s="25" t="s">
        <v>5</v>
      </c>
      <c r="E125" s="25" t="s">
        <v>19</v>
      </c>
      <c r="F125" s="25" t="s">
        <v>6</v>
      </c>
      <c r="G125" s="234" t="s">
        <v>7</v>
      </c>
      <c r="H125" s="27" t="s">
        <v>8</v>
      </c>
      <c r="I125" s="28" t="s">
        <v>20</v>
      </c>
      <c r="J125" s="25" t="s">
        <v>21</v>
      </c>
      <c r="K125" s="25" t="s">
        <v>22</v>
      </c>
      <c r="R125" s="62"/>
    </row>
    <row r="126" ht="15.75" customHeight="1">
      <c r="A126" s="11" t="s">
        <v>10</v>
      </c>
      <c r="B126" s="68" t="s">
        <v>219</v>
      </c>
      <c r="C126" s="69" t="s">
        <v>429</v>
      </c>
      <c r="D126" s="70">
        <v>0.3333333333333333</v>
      </c>
      <c r="E126" s="214" t="s">
        <v>1060</v>
      </c>
      <c r="F126" s="170">
        <v>8.98004830560829E14</v>
      </c>
      <c r="G126" s="74" t="s">
        <v>1061</v>
      </c>
      <c r="H126" s="78">
        <v>23605.0</v>
      </c>
      <c r="I126" s="30" t="s">
        <v>182</v>
      </c>
      <c r="J126" s="79"/>
      <c r="K126" s="79"/>
      <c r="N126" s="237" t="s">
        <v>386</v>
      </c>
      <c r="O126" s="95"/>
      <c r="P126" s="95"/>
      <c r="Q126" s="95"/>
      <c r="R126" s="62"/>
    </row>
    <row r="127" ht="15.75" customHeight="1">
      <c r="A127" s="11" t="s">
        <v>11</v>
      </c>
      <c r="B127" s="68" t="s">
        <v>219</v>
      </c>
      <c r="C127" s="69" t="s">
        <v>429</v>
      </c>
      <c r="D127" s="70">
        <v>0.3472222222222222</v>
      </c>
      <c r="E127" s="215" t="s">
        <v>1062</v>
      </c>
      <c r="F127" s="170">
        <v>7.00503579575252E14</v>
      </c>
      <c r="G127" s="74" t="s">
        <v>1063</v>
      </c>
      <c r="H127" s="72">
        <v>29364.0</v>
      </c>
      <c r="I127" s="30" t="s">
        <v>182</v>
      </c>
      <c r="J127" s="132"/>
      <c r="K127" s="132"/>
      <c r="N127" s="239" t="s">
        <v>610</v>
      </c>
      <c r="O127" s="2"/>
      <c r="P127" s="2"/>
      <c r="Q127" s="2"/>
      <c r="R127" s="62"/>
    </row>
    <row r="128" ht="15.75" customHeight="1">
      <c r="A128" s="11" t="s">
        <v>12</v>
      </c>
      <c r="B128" s="68" t="s">
        <v>219</v>
      </c>
      <c r="C128" s="69" t="s">
        <v>429</v>
      </c>
      <c r="D128" s="70">
        <v>0.3611111111111111</v>
      </c>
      <c r="E128" s="214" t="s">
        <v>1064</v>
      </c>
      <c r="F128" s="170">
        <v>8.98001447315148E14</v>
      </c>
      <c r="G128" s="74" t="s">
        <v>1065</v>
      </c>
      <c r="H128" s="78">
        <v>21549.0</v>
      </c>
      <c r="I128" s="30" t="s">
        <v>182</v>
      </c>
      <c r="J128" s="79"/>
      <c r="K128" s="79"/>
      <c r="N128" s="240" t="s">
        <v>182</v>
      </c>
      <c r="O128" s="241" t="s">
        <v>194</v>
      </c>
      <c r="P128" s="241" t="s">
        <v>180</v>
      </c>
      <c r="Q128" s="242" t="s">
        <v>172</v>
      </c>
      <c r="R128" s="62"/>
    </row>
    <row r="129" ht="15.75" customHeight="1">
      <c r="A129" s="11" t="s">
        <v>13</v>
      </c>
      <c r="B129" s="68" t="s">
        <v>936</v>
      </c>
      <c r="C129" s="69" t="s">
        <v>429</v>
      </c>
      <c r="D129" s="70">
        <v>0.375</v>
      </c>
      <c r="E129" s="214" t="s">
        <v>1066</v>
      </c>
      <c r="F129" s="170">
        <v>8.98001400656909E14</v>
      </c>
      <c r="G129" s="74" t="s">
        <v>1067</v>
      </c>
      <c r="H129" s="78">
        <v>27995.0</v>
      </c>
      <c r="I129" s="18" t="s">
        <v>194</v>
      </c>
      <c r="J129" s="79">
        <v>1.1991753363E10</v>
      </c>
      <c r="K129" s="79"/>
      <c r="N129" s="244">
        <f t="shared" ref="N129:Q129" si="8">COUNTIFS($I$126:$I$137,N128)</f>
        <v>10</v>
      </c>
      <c r="O129" s="244">
        <f t="shared" si="8"/>
        <v>2</v>
      </c>
      <c r="P129" s="244">
        <f t="shared" si="8"/>
        <v>0</v>
      </c>
      <c r="Q129" s="244">
        <f t="shared" si="8"/>
        <v>0</v>
      </c>
      <c r="R129" s="62"/>
    </row>
    <row r="130" ht="15.75" customHeight="1">
      <c r="A130" s="11" t="s">
        <v>14</v>
      </c>
      <c r="B130" s="68" t="s">
        <v>1068</v>
      </c>
      <c r="C130" s="69" t="s">
        <v>429</v>
      </c>
      <c r="D130" s="70">
        <v>0.3888888888888889</v>
      </c>
      <c r="E130" s="284" t="s">
        <v>1069</v>
      </c>
      <c r="F130" s="170">
        <v>8.01440401135964E14</v>
      </c>
      <c r="G130" s="74" t="s">
        <v>1070</v>
      </c>
      <c r="H130" s="72">
        <v>29331.0</v>
      </c>
      <c r="I130" s="30" t="s">
        <v>182</v>
      </c>
      <c r="J130" s="124" t="s">
        <v>1071</v>
      </c>
      <c r="K130" s="132"/>
      <c r="R130" s="62"/>
    </row>
    <row r="131" ht="15.75" customHeight="1">
      <c r="A131" s="11" t="s">
        <v>15</v>
      </c>
      <c r="B131" s="68" t="s">
        <v>219</v>
      </c>
      <c r="C131" s="69" t="s">
        <v>429</v>
      </c>
      <c r="D131" s="70">
        <v>0.4027777777777778</v>
      </c>
      <c r="E131" s="284" t="s">
        <v>1072</v>
      </c>
      <c r="F131" s="170">
        <v>7.07600259314494E14</v>
      </c>
      <c r="G131" s="74" t="s">
        <v>1073</v>
      </c>
      <c r="H131" s="72">
        <v>19762.0</v>
      </c>
      <c r="I131" s="30" t="s">
        <v>182</v>
      </c>
      <c r="J131" s="124"/>
      <c r="K131" s="132"/>
      <c r="R131" s="62"/>
    </row>
    <row r="132" ht="15.75" customHeight="1">
      <c r="A132" s="11" t="s">
        <v>16</v>
      </c>
      <c r="B132" s="68" t="s">
        <v>219</v>
      </c>
      <c r="C132" s="69" t="s">
        <v>429</v>
      </c>
      <c r="D132" s="70">
        <v>0.4166666666666667</v>
      </c>
      <c r="E132" s="284" t="s">
        <v>1074</v>
      </c>
      <c r="F132" s="170">
        <v>7.0500429713985E14</v>
      </c>
      <c r="G132" s="74" t="s">
        <v>1075</v>
      </c>
      <c r="H132" s="78">
        <v>21468.0</v>
      </c>
      <c r="I132" s="30" t="s">
        <v>182</v>
      </c>
      <c r="J132" s="170"/>
      <c r="K132" s="79"/>
      <c r="R132" s="62"/>
    </row>
    <row r="133" ht="15.75" customHeight="1">
      <c r="A133" s="11" t="s">
        <v>17</v>
      </c>
      <c r="B133" s="68" t="s">
        <v>219</v>
      </c>
      <c r="C133" s="69" t="s">
        <v>429</v>
      </c>
      <c r="D133" s="70">
        <v>0.4305555555555556</v>
      </c>
      <c r="E133" s="342" t="s">
        <v>1076</v>
      </c>
      <c r="F133" s="170">
        <v>8.01440499152978E14</v>
      </c>
      <c r="G133" s="74" t="s">
        <v>1077</v>
      </c>
      <c r="H133" s="72">
        <v>23048.0</v>
      </c>
      <c r="I133" s="30" t="s">
        <v>182</v>
      </c>
      <c r="J133" s="124"/>
      <c r="K133" s="132"/>
      <c r="L133" s="63"/>
      <c r="M133" s="63"/>
      <c r="N133" s="63"/>
      <c r="O133" s="63"/>
      <c r="P133" s="63"/>
      <c r="Q133" s="63"/>
      <c r="R133" s="343"/>
      <c r="S133" s="63"/>
      <c r="T133" s="63"/>
      <c r="U133" s="63"/>
      <c r="V133" s="63"/>
      <c r="W133" s="63"/>
    </row>
    <row r="134" ht="15.75" customHeight="1">
      <c r="A134" s="11" t="s">
        <v>85</v>
      </c>
      <c r="B134" s="68" t="s">
        <v>1078</v>
      </c>
      <c r="C134" s="69" t="s">
        <v>429</v>
      </c>
      <c r="D134" s="70">
        <v>0.4444444444444444</v>
      </c>
      <c r="E134" s="218" t="s">
        <v>1079</v>
      </c>
      <c r="F134" s="170">
        <v>7.04009319714069E14</v>
      </c>
      <c r="G134" s="74" t="s">
        <v>1080</v>
      </c>
      <c r="H134" s="153">
        <v>22236.0</v>
      </c>
      <c r="I134" s="30" t="s">
        <v>182</v>
      </c>
      <c r="J134" s="132"/>
      <c r="K134" s="132"/>
      <c r="L134" s="63"/>
      <c r="M134" s="63"/>
      <c r="N134" s="63"/>
      <c r="O134" s="63"/>
      <c r="P134" s="63"/>
      <c r="Q134" s="63"/>
      <c r="R134" s="343"/>
      <c r="S134" s="63"/>
      <c r="T134" s="63"/>
      <c r="U134" s="63"/>
      <c r="V134" s="63"/>
      <c r="W134" s="63"/>
    </row>
    <row r="135" ht="15.75" customHeight="1">
      <c r="A135" s="11" t="s">
        <v>87</v>
      </c>
      <c r="B135" s="68" t="s">
        <v>219</v>
      </c>
      <c r="C135" s="69" t="s">
        <v>429</v>
      </c>
      <c r="D135" s="70">
        <v>0.4583333333333333</v>
      </c>
      <c r="E135" s="214" t="s">
        <v>1081</v>
      </c>
      <c r="F135" s="170">
        <v>7.06307733148678E14</v>
      </c>
      <c r="G135" s="74" t="s">
        <v>1082</v>
      </c>
      <c r="H135" s="78">
        <v>18443.0</v>
      </c>
      <c r="I135" s="30" t="s">
        <v>182</v>
      </c>
      <c r="J135" s="79">
        <v>1.1993285809E10</v>
      </c>
      <c r="K135" s="79"/>
      <c r="L135" s="197" t="s">
        <v>520</v>
      </c>
      <c r="R135" s="62"/>
    </row>
    <row r="136" ht="15.75" customHeight="1">
      <c r="A136" s="11" t="s">
        <v>90</v>
      </c>
      <c r="B136" s="68" t="s">
        <v>280</v>
      </c>
      <c r="C136" s="69" t="s">
        <v>429</v>
      </c>
      <c r="D136" s="70">
        <v>0.4722222222222222</v>
      </c>
      <c r="E136" s="258" t="s">
        <v>1083</v>
      </c>
      <c r="F136" s="170">
        <v>7.08604507096884E14</v>
      </c>
      <c r="G136" s="74" t="s">
        <v>1084</v>
      </c>
      <c r="H136" s="153">
        <v>17719.0</v>
      </c>
      <c r="I136" s="30" t="s">
        <v>194</v>
      </c>
      <c r="J136" s="79">
        <v>1.1981421454E10</v>
      </c>
      <c r="K136" s="79"/>
      <c r="R136" s="62"/>
    </row>
    <row r="137" ht="15.75" customHeight="1">
      <c r="A137" s="11" t="s">
        <v>93</v>
      </c>
      <c r="B137" s="68" t="s">
        <v>219</v>
      </c>
      <c r="C137" s="69" t="s">
        <v>429</v>
      </c>
      <c r="D137" s="70">
        <v>0.4861111111111111</v>
      </c>
      <c r="E137" s="258" t="s">
        <v>1085</v>
      </c>
      <c r="F137" s="170">
        <v>8.98002390878646E14</v>
      </c>
      <c r="G137" s="74" t="s">
        <v>1086</v>
      </c>
      <c r="H137" s="153">
        <v>28581.0</v>
      </c>
      <c r="I137" s="30" t="s">
        <v>182</v>
      </c>
      <c r="J137" s="149"/>
      <c r="K137" s="149"/>
      <c r="L137" s="63"/>
      <c r="M137" s="63"/>
      <c r="N137" s="63"/>
      <c r="O137" s="63"/>
      <c r="P137" s="63"/>
      <c r="Q137" s="63"/>
      <c r="R137" s="343"/>
      <c r="S137" s="63"/>
      <c r="T137" s="63"/>
      <c r="U137" s="63"/>
      <c r="V137" s="63"/>
      <c r="W137" s="63"/>
    </row>
    <row r="138" ht="15.75" customHeight="1">
      <c r="J138" s="62"/>
      <c r="K138" s="62"/>
      <c r="R138" s="62"/>
    </row>
    <row r="139" ht="15.75" customHeight="1">
      <c r="J139" s="62"/>
      <c r="K139" s="62"/>
      <c r="R139" s="62"/>
    </row>
    <row r="140" ht="15.75" customHeight="1">
      <c r="A140" s="20" t="s">
        <v>578</v>
      </c>
      <c r="B140" s="2"/>
      <c r="C140" s="2"/>
      <c r="D140" s="2"/>
      <c r="E140" s="2"/>
      <c r="F140" s="2"/>
      <c r="G140" s="2"/>
      <c r="H140" s="2"/>
      <c r="I140" s="2"/>
      <c r="J140" s="2"/>
      <c r="K140" s="3"/>
      <c r="R140" s="62"/>
    </row>
    <row r="141" ht="15.75" customHeight="1">
      <c r="A141" s="233" t="s">
        <v>1087</v>
      </c>
      <c r="B141" s="2"/>
      <c r="C141" s="2"/>
      <c r="D141" s="2"/>
      <c r="E141" s="2"/>
      <c r="F141" s="2"/>
      <c r="G141" s="2"/>
      <c r="H141" s="2"/>
      <c r="I141" s="2"/>
      <c r="J141" s="2"/>
      <c r="K141" s="3"/>
      <c r="R141" s="62"/>
    </row>
    <row r="142" ht="15.75" customHeight="1">
      <c r="A142" s="22"/>
      <c r="B142" s="23" t="s">
        <v>3</v>
      </c>
      <c r="C142" s="24" t="s">
        <v>2</v>
      </c>
      <c r="D142" s="25" t="s">
        <v>5</v>
      </c>
      <c r="E142" s="25" t="s">
        <v>19</v>
      </c>
      <c r="F142" s="25" t="s">
        <v>6</v>
      </c>
      <c r="G142" s="234" t="s">
        <v>7</v>
      </c>
      <c r="H142" s="27" t="s">
        <v>8</v>
      </c>
      <c r="I142" s="28" t="s">
        <v>20</v>
      </c>
      <c r="J142" s="25" t="s">
        <v>21</v>
      </c>
      <c r="K142" s="25" t="s">
        <v>22</v>
      </c>
      <c r="R142" s="62"/>
    </row>
    <row r="143" ht="15.75" customHeight="1">
      <c r="A143" s="11" t="s">
        <v>10</v>
      </c>
      <c r="B143" s="154" t="s">
        <v>974</v>
      </c>
      <c r="C143" s="69" t="s">
        <v>481</v>
      </c>
      <c r="D143" s="70">
        <v>0.5416666666666666</v>
      </c>
      <c r="E143" s="218" t="s">
        <v>1088</v>
      </c>
      <c r="F143" s="149">
        <v>7.00802451494082E14</v>
      </c>
      <c r="G143" s="148" t="s">
        <v>1089</v>
      </c>
      <c r="H143" s="344">
        <v>14774.0</v>
      </c>
      <c r="I143" s="18" t="s">
        <v>194</v>
      </c>
      <c r="J143" s="212" t="s">
        <v>1090</v>
      </c>
      <c r="K143" s="212"/>
      <c r="N143" s="237" t="s">
        <v>386</v>
      </c>
      <c r="O143" s="95"/>
      <c r="P143" s="95"/>
      <c r="Q143" s="95"/>
      <c r="R143" s="62"/>
    </row>
    <row r="144" ht="15.75" customHeight="1">
      <c r="A144" s="11" t="s">
        <v>11</v>
      </c>
      <c r="B144" s="154" t="s">
        <v>323</v>
      </c>
      <c r="C144" s="69" t="s">
        <v>481</v>
      </c>
      <c r="D144" s="264">
        <v>0.5555555555555556</v>
      </c>
      <c r="E144" s="218" t="s">
        <v>1091</v>
      </c>
      <c r="F144" s="149">
        <v>8.98001422452966E14</v>
      </c>
      <c r="G144" s="148" t="s">
        <v>1092</v>
      </c>
      <c r="H144" s="344">
        <v>22158.0</v>
      </c>
      <c r="I144" s="18" t="s">
        <v>182</v>
      </c>
      <c r="J144" s="37" t="s">
        <v>1093</v>
      </c>
      <c r="K144" s="37"/>
      <c r="N144" s="239" t="s">
        <v>641</v>
      </c>
      <c r="O144" s="2"/>
      <c r="P144" s="2"/>
      <c r="Q144" s="2"/>
      <c r="R144" s="62"/>
    </row>
    <row r="145" ht="15.75" customHeight="1">
      <c r="A145" s="11" t="s">
        <v>12</v>
      </c>
      <c r="B145" s="205"/>
      <c r="C145" s="69" t="s">
        <v>481</v>
      </c>
      <c r="D145" s="70">
        <v>0.5694444444444444</v>
      </c>
      <c r="E145" s="289"/>
      <c r="F145" s="206"/>
      <c r="G145" s="205"/>
      <c r="H145" s="126"/>
      <c r="I145" s="18" t="s">
        <v>180</v>
      </c>
      <c r="J145" s="212"/>
      <c r="K145" s="212"/>
      <c r="N145" s="240" t="s">
        <v>182</v>
      </c>
      <c r="O145" s="241" t="s">
        <v>194</v>
      </c>
      <c r="P145" s="241" t="s">
        <v>180</v>
      </c>
      <c r="Q145" s="242" t="s">
        <v>172</v>
      </c>
      <c r="R145" s="62"/>
    </row>
    <row r="146" ht="15.75" customHeight="1">
      <c r="A146" s="11" t="s">
        <v>13</v>
      </c>
      <c r="B146" s="68" t="s">
        <v>273</v>
      </c>
      <c r="C146" s="69" t="s">
        <v>481</v>
      </c>
      <c r="D146" s="264">
        <v>0.5833333333333334</v>
      </c>
      <c r="E146" s="218" t="s">
        <v>1094</v>
      </c>
      <c r="F146" s="345">
        <v>7.00009767338807E14</v>
      </c>
      <c r="G146" s="148" t="s">
        <v>1095</v>
      </c>
      <c r="H146" s="150">
        <v>16409.0</v>
      </c>
      <c r="I146" s="18" t="s">
        <v>172</v>
      </c>
      <c r="J146" s="212">
        <v>9.59947088E8</v>
      </c>
      <c r="K146" s="212"/>
      <c r="N146" s="244">
        <f t="shared" ref="N146:Q146" si="9">COUNTIFS($I$143:$I$154,N145)</f>
        <v>4</v>
      </c>
      <c r="O146" s="244">
        <f t="shared" si="9"/>
        <v>1</v>
      </c>
      <c r="P146" s="244">
        <f t="shared" si="9"/>
        <v>1</v>
      </c>
      <c r="Q146" s="244">
        <f t="shared" si="9"/>
        <v>2</v>
      </c>
      <c r="R146" s="62"/>
    </row>
    <row r="147" ht="15.75" customHeight="1">
      <c r="A147" s="11" t="s">
        <v>14</v>
      </c>
      <c r="B147" s="154" t="s">
        <v>974</v>
      </c>
      <c r="C147" s="69" t="s">
        <v>481</v>
      </c>
      <c r="D147" s="70">
        <v>0.5972222222222222</v>
      </c>
      <c r="E147" s="253" t="s">
        <v>918</v>
      </c>
      <c r="F147" s="206">
        <v>7.06801766211026E14</v>
      </c>
      <c r="G147" s="205" t="s">
        <v>1096</v>
      </c>
      <c r="H147" s="153">
        <v>15079.0</v>
      </c>
      <c r="I147" s="18" t="s">
        <v>172</v>
      </c>
      <c r="J147" s="37">
        <v>1.1911123061E10</v>
      </c>
      <c r="K147" s="37">
        <v>1.1971266379E10</v>
      </c>
      <c r="R147" s="62"/>
    </row>
    <row r="148" ht="15.75" customHeight="1">
      <c r="A148" s="11" t="s">
        <v>15</v>
      </c>
      <c r="B148" s="68" t="s">
        <v>855</v>
      </c>
      <c r="C148" s="69" t="s">
        <v>481</v>
      </c>
      <c r="D148" s="264">
        <v>0.6111111111111112</v>
      </c>
      <c r="E148" s="218" t="s">
        <v>1097</v>
      </c>
      <c r="F148" s="149">
        <v>7.03005836729378E14</v>
      </c>
      <c r="G148" s="148" t="s">
        <v>1098</v>
      </c>
      <c r="H148" s="150">
        <v>26103.0</v>
      </c>
      <c r="I148" s="18" t="s">
        <v>182</v>
      </c>
      <c r="J148" s="37">
        <v>1.19833028E10</v>
      </c>
      <c r="K148" s="37"/>
      <c r="R148" s="62"/>
    </row>
    <row r="149" ht="15.75" customHeight="1">
      <c r="A149" s="11" t="s">
        <v>16</v>
      </c>
      <c r="B149" s="68" t="s">
        <v>258</v>
      </c>
      <c r="C149" s="69" t="s">
        <v>481</v>
      </c>
      <c r="D149" s="70">
        <v>0.625</v>
      </c>
      <c r="E149" s="218" t="s">
        <v>1099</v>
      </c>
      <c r="F149" s="149">
        <v>7.08405728584663E14</v>
      </c>
      <c r="G149" s="148" t="s">
        <v>1100</v>
      </c>
      <c r="H149" s="344">
        <v>29922.0</v>
      </c>
      <c r="I149" s="18" t="s">
        <v>182</v>
      </c>
      <c r="J149" s="149">
        <v>9.30168441E8</v>
      </c>
      <c r="K149" s="212"/>
      <c r="R149" s="62"/>
    </row>
    <row r="150" ht="15.75" customHeight="1">
      <c r="A150" s="11" t="s">
        <v>17</v>
      </c>
      <c r="B150" s="154" t="s">
        <v>323</v>
      </c>
      <c r="C150" s="69" t="s">
        <v>481</v>
      </c>
      <c r="D150" s="264">
        <v>0.6388888888888888</v>
      </c>
      <c r="E150" s="218" t="s">
        <v>1101</v>
      </c>
      <c r="F150" s="149">
        <v>7.00006152062904E14</v>
      </c>
      <c r="G150" s="148" t="s">
        <v>1102</v>
      </c>
      <c r="H150" s="150">
        <v>26037.0</v>
      </c>
      <c r="I150" s="18" t="s">
        <v>182</v>
      </c>
      <c r="J150" s="37" t="s">
        <v>1103</v>
      </c>
      <c r="K150" s="37" t="s">
        <v>1104</v>
      </c>
      <c r="R150" s="62"/>
    </row>
    <row r="151" ht="15.75" customHeight="1">
      <c r="A151" s="11" t="s">
        <v>85</v>
      </c>
      <c r="B151" s="68"/>
      <c r="C151" s="69" t="s">
        <v>481</v>
      </c>
      <c r="D151" s="70">
        <v>0.6527777777777778</v>
      </c>
      <c r="E151" s="289"/>
      <c r="F151" s="206"/>
      <c r="G151" s="205"/>
      <c r="H151" s="126"/>
      <c r="I151" s="18"/>
      <c r="J151" s="208"/>
      <c r="K151" s="37"/>
      <c r="R151" s="62"/>
      <c r="V151" s="292"/>
    </row>
    <row r="152" ht="15.75" customHeight="1">
      <c r="A152" s="11" t="s">
        <v>87</v>
      </c>
      <c r="B152" s="68"/>
      <c r="C152" s="69" t="s">
        <v>481</v>
      </c>
      <c r="D152" s="264">
        <v>0.6666666666666666</v>
      </c>
      <c r="E152" s="218"/>
      <c r="F152" s="149"/>
      <c r="G152" s="341"/>
      <c r="H152" s="153"/>
      <c r="I152" s="18"/>
      <c r="J152" s="37"/>
      <c r="K152" s="37"/>
      <c r="R152" s="62"/>
    </row>
    <row r="153" ht="15.75" customHeight="1">
      <c r="A153" s="11" t="s">
        <v>90</v>
      </c>
      <c r="B153" s="68"/>
      <c r="C153" s="69" t="s">
        <v>481</v>
      </c>
      <c r="D153" s="70">
        <v>0.6805555555555556</v>
      </c>
      <c r="E153" s="258"/>
      <c r="F153" s="127"/>
      <c r="G153" s="341"/>
      <c r="H153" s="153"/>
      <c r="I153" s="18"/>
      <c r="J153" s="37"/>
      <c r="K153" s="37"/>
      <c r="R153" s="62"/>
    </row>
    <row r="154" ht="15.75" customHeight="1">
      <c r="A154" s="11" t="s">
        <v>93</v>
      </c>
      <c r="B154" s="68"/>
      <c r="C154" s="69" t="s">
        <v>481</v>
      </c>
      <c r="D154" s="264">
        <v>0.6944444444444444</v>
      </c>
      <c r="E154" s="258"/>
      <c r="F154" s="127"/>
      <c r="G154" s="341"/>
      <c r="H154" s="153"/>
      <c r="I154" s="18"/>
      <c r="J154" s="37"/>
      <c r="K154" s="37"/>
      <c r="R154" s="62"/>
    </row>
    <row r="155" ht="15.75" customHeight="1">
      <c r="J155" s="62"/>
      <c r="K155" s="62"/>
      <c r="R155" s="62"/>
    </row>
    <row r="156" ht="15.75" customHeight="1">
      <c r="J156" s="62"/>
      <c r="K156" s="62"/>
      <c r="R156" s="62"/>
    </row>
    <row r="157" ht="15.75" customHeight="1">
      <c r="J157" s="62"/>
      <c r="K157" s="62"/>
      <c r="R157" s="62"/>
    </row>
    <row r="158" ht="15.75" customHeight="1">
      <c r="A158" s="20" t="s">
        <v>455</v>
      </c>
      <c r="B158" s="2"/>
      <c r="C158" s="2"/>
      <c r="D158" s="2"/>
      <c r="E158" s="2"/>
      <c r="F158" s="2"/>
      <c r="G158" s="2"/>
      <c r="H158" s="2"/>
      <c r="I158" s="2"/>
      <c r="J158" s="2"/>
      <c r="K158" s="3"/>
      <c r="R158" s="62"/>
    </row>
    <row r="159" ht="15.75" customHeight="1">
      <c r="A159" s="233" t="s">
        <v>1105</v>
      </c>
      <c r="B159" s="2"/>
      <c r="C159" s="2"/>
      <c r="D159" s="2"/>
      <c r="E159" s="2"/>
      <c r="F159" s="2"/>
      <c r="G159" s="2"/>
      <c r="H159" s="2"/>
      <c r="I159" s="2"/>
      <c r="J159" s="2"/>
      <c r="K159" s="3"/>
      <c r="R159" s="62"/>
    </row>
    <row r="160" ht="15.75" customHeight="1">
      <c r="A160" s="22"/>
      <c r="B160" s="23" t="s">
        <v>3</v>
      </c>
      <c r="C160" s="24" t="s">
        <v>2</v>
      </c>
      <c r="D160" s="25" t="s">
        <v>5</v>
      </c>
      <c r="E160" s="25" t="s">
        <v>19</v>
      </c>
      <c r="F160" s="25" t="s">
        <v>6</v>
      </c>
      <c r="G160" s="234" t="s">
        <v>7</v>
      </c>
      <c r="H160" s="27" t="s">
        <v>8</v>
      </c>
      <c r="I160" s="28" t="s">
        <v>20</v>
      </c>
      <c r="J160" s="25" t="s">
        <v>21</v>
      </c>
      <c r="K160" s="25" t="s">
        <v>22</v>
      </c>
      <c r="R160" s="62"/>
    </row>
    <row r="161" ht="15.75" customHeight="1">
      <c r="A161" s="11" t="s">
        <v>10</v>
      </c>
      <c r="B161" s="68" t="s">
        <v>1078</v>
      </c>
      <c r="C161" s="69" t="s">
        <v>517</v>
      </c>
      <c r="D161" s="70">
        <v>0.5416666666666666</v>
      </c>
      <c r="E161" s="214" t="s">
        <v>1106</v>
      </c>
      <c r="F161" s="170">
        <v>8.01440463579432E14</v>
      </c>
      <c r="G161" s="100" t="s">
        <v>1107</v>
      </c>
      <c r="H161" s="78">
        <v>34695.0</v>
      </c>
      <c r="I161" s="30" t="s">
        <v>182</v>
      </c>
      <c r="J161" s="97"/>
      <c r="K161" s="97"/>
      <c r="R161" s="62"/>
    </row>
    <row r="162" ht="15.75" customHeight="1">
      <c r="A162" s="11" t="s">
        <v>11</v>
      </c>
      <c r="B162" s="68" t="s">
        <v>928</v>
      </c>
      <c r="C162" s="69" t="s">
        <v>517</v>
      </c>
      <c r="D162" s="70">
        <v>0.5555555555555556</v>
      </c>
      <c r="E162" s="215" t="s">
        <v>1108</v>
      </c>
      <c r="F162" s="170">
        <v>7.0250331931683E14</v>
      </c>
      <c r="G162" s="100" t="s">
        <v>1109</v>
      </c>
      <c r="H162" s="78">
        <v>27377.0</v>
      </c>
      <c r="I162" s="30" t="s">
        <v>182</v>
      </c>
      <c r="J162" s="37">
        <v>1.1945499108E10</v>
      </c>
      <c r="K162" s="37">
        <v>1.158166593E9</v>
      </c>
      <c r="R162" s="62"/>
    </row>
    <row r="163" ht="15.75" customHeight="1">
      <c r="A163" s="11" t="s">
        <v>12</v>
      </c>
      <c r="B163" s="68" t="s">
        <v>275</v>
      </c>
      <c r="C163" s="69" t="s">
        <v>517</v>
      </c>
      <c r="D163" s="70">
        <v>0.5694444444444444</v>
      </c>
      <c r="E163" s="214" t="s">
        <v>1110</v>
      </c>
      <c r="F163" s="170">
        <v>8.01440401122102E14</v>
      </c>
      <c r="G163" s="100" t="s">
        <v>1111</v>
      </c>
      <c r="H163" s="78">
        <v>19164.0</v>
      </c>
      <c r="I163" s="30" t="s">
        <v>182</v>
      </c>
      <c r="J163" s="97">
        <v>5.827067E7</v>
      </c>
      <c r="K163" s="97"/>
      <c r="R163" s="62"/>
    </row>
    <row r="164" ht="15.75" customHeight="1">
      <c r="A164" s="11" t="s">
        <v>13</v>
      </c>
      <c r="B164" s="197" t="s">
        <v>398</v>
      </c>
      <c r="C164" s="69" t="s">
        <v>517</v>
      </c>
      <c r="D164" s="70">
        <v>0.5833333333333334</v>
      </c>
      <c r="E164" s="258" t="s">
        <v>1112</v>
      </c>
      <c r="F164" s="170">
        <v>8.98001403073335E14</v>
      </c>
      <c r="G164" s="100" t="s">
        <v>1113</v>
      </c>
      <c r="H164" s="78">
        <v>22601.0</v>
      </c>
      <c r="I164" s="30" t="s">
        <v>182</v>
      </c>
      <c r="J164" s="97">
        <v>1.1966468806E10</v>
      </c>
      <c r="K164" s="97">
        <v>1.1959888038E10</v>
      </c>
      <c r="R164" s="62"/>
    </row>
    <row r="165" ht="15.75" customHeight="1">
      <c r="A165" s="11" t="s">
        <v>14</v>
      </c>
      <c r="B165" s="68" t="s">
        <v>275</v>
      </c>
      <c r="C165" s="69" t="s">
        <v>517</v>
      </c>
      <c r="D165" s="70">
        <v>0.6111111111111112</v>
      </c>
      <c r="E165" s="214" t="s">
        <v>1114</v>
      </c>
      <c r="F165" s="170">
        <v>8.01440425330295E14</v>
      </c>
      <c r="G165" s="100" t="s">
        <v>1115</v>
      </c>
      <c r="H165" s="78">
        <v>20742.0</v>
      </c>
      <c r="I165" s="30" t="s">
        <v>172</v>
      </c>
      <c r="J165" s="346">
        <v>1.1951643221E10</v>
      </c>
      <c r="K165" s="37"/>
      <c r="R165" s="62"/>
    </row>
    <row r="166" ht="15.75" customHeight="1">
      <c r="A166" s="11" t="s">
        <v>15</v>
      </c>
      <c r="B166" s="68" t="s">
        <v>928</v>
      </c>
      <c r="C166" s="69" t="s">
        <v>517</v>
      </c>
      <c r="D166" s="70">
        <v>0.6111111111111112</v>
      </c>
      <c r="E166" s="214" t="s">
        <v>1116</v>
      </c>
      <c r="F166" s="170">
        <v>7.01807288524677E14</v>
      </c>
      <c r="G166" s="100" t="s">
        <v>1117</v>
      </c>
      <c r="H166" s="78">
        <v>16163.0</v>
      </c>
      <c r="I166" s="30" t="s">
        <v>182</v>
      </c>
      <c r="J166" s="37">
        <v>1.1982905872E10</v>
      </c>
      <c r="K166" s="37">
        <v>1.1941246771E10</v>
      </c>
      <c r="R166" s="62"/>
    </row>
    <row r="167" ht="15.75" customHeight="1">
      <c r="A167" s="11" t="s">
        <v>16</v>
      </c>
      <c r="B167" s="68"/>
      <c r="C167" s="69" t="s">
        <v>517</v>
      </c>
      <c r="D167" s="70">
        <v>0.625</v>
      </c>
      <c r="E167" s="284"/>
      <c r="F167" s="170"/>
      <c r="G167" s="100"/>
      <c r="H167" s="78"/>
      <c r="I167" s="18" t="s">
        <v>180</v>
      </c>
      <c r="J167" s="97"/>
      <c r="K167" s="97"/>
      <c r="R167" s="62"/>
    </row>
    <row r="168" ht="15.75" customHeight="1">
      <c r="A168" s="11" t="s">
        <v>17</v>
      </c>
      <c r="B168" s="68" t="s">
        <v>526</v>
      </c>
      <c r="C168" s="69" t="s">
        <v>517</v>
      </c>
      <c r="D168" s="70">
        <v>0.6388888888888888</v>
      </c>
      <c r="E168" s="214" t="s">
        <v>1118</v>
      </c>
      <c r="F168" s="170">
        <v>7.00008377601804E14</v>
      </c>
      <c r="G168" s="100" t="s">
        <v>1119</v>
      </c>
      <c r="H168" s="78">
        <v>37354.0</v>
      </c>
      <c r="I168" s="30" t="s">
        <v>172</v>
      </c>
      <c r="J168" s="37">
        <v>1.1930286231E10</v>
      </c>
      <c r="K168" s="37"/>
      <c r="R168" s="62"/>
    </row>
    <row r="169" ht="15.75" customHeight="1">
      <c r="A169" s="11" t="s">
        <v>85</v>
      </c>
      <c r="B169" s="68" t="s">
        <v>280</v>
      </c>
      <c r="C169" s="69" t="s">
        <v>517</v>
      </c>
      <c r="D169" s="70">
        <v>0.6527777777777778</v>
      </c>
      <c r="E169" s="214" t="s">
        <v>1120</v>
      </c>
      <c r="F169" s="170">
        <v>7.04607693674022E14</v>
      </c>
      <c r="G169" s="74" t="s">
        <v>1121</v>
      </c>
      <c r="H169" s="78">
        <v>23660.0</v>
      </c>
      <c r="I169" s="30" t="s">
        <v>172</v>
      </c>
      <c r="J169" s="37">
        <v>1.1961455121E10</v>
      </c>
      <c r="K169" s="37"/>
      <c r="R169" s="62"/>
    </row>
    <row r="170" ht="15.75" customHeight="1">
      <c r="A170" s="11" t="s">
        <v>87</v>
      </c>
      <c r="B170" s="68" t="s">
        <v>526</v>
      </c>
      <c r="C170" s="69" t="s">
        <v>517</v>
      </c>
      <c r="D170" s="70">
        <v>0.6666666666666666</v>
      </c>
      <c r="E170" s="218" t="s">
        <v>1122</v>
      </c>
      <c r="F170" s="170">
        <v>8.98006171124305E14</v>
      </c>
      <c r="G170" s="100" t="s">
        <v>1123</v>
      </c>
      <c r="H170" s="78">
        <v>37597.0</v>
      </c>
      <c r="I170" s="30" t="s">
        <v>172</v>
      </c>
      <c r="J170" s="37">
        <v>1.198093187E10</v>
      </c>
      <c r="K170" s="128"/>
      <c r="R170" s="62"/>
    </row>
    <row r="171" ht="15.75" customHeight="1">
      <c r="A171" s="11" t="s">
        <v>90</v>
      </c>
      <c r="B171" s="68"/>
      <c r="C171" s="69" t="s">
        <v>517</v>
      </c>
      <c r="D171" s="70">
        <v>0.6805555555555556</v>
      </c>
      <c r="E171" s="258"/>
      <c r="F171" s="127"/>
      <c r="G171" s="173"/>
      <c r="H171" s="153"/>
      <c r="I171" s="18" t="s">
        <v>180</v>
      </c>
      <c r="J171" s="37"/>
      <c r="K171" s="37"/>
      <c r="R171" s="62"/>
    </row>
    <row r="172" ht="15.75" customHeight="1">
      <c r="A172" s="11" t="s">
        <v>93</v>
      </c>
      <c r="B172" s="68"/>
      <c r="C172" s="69" t="s">
        <v>517</v>
      </c>
      <c r="D172" s="70">
        <v>0.6944444444444444</v>
      </c>
      <c r="E172" s="258"/>
      <c r="F172" s="127"/>
      <c r="G172" s="173"/>
      <c r="H172" s="153"/>
      <c r="I172" s="18" t="s">
        <v>180</v>
      </c>
      <c r="J172" s="37"/>
      <c r="K172" s="37"/>
      <c r="R172" s="62"/>
    </row>
    <row r="173" ht="15.75" customHeight="1">
      <c r="J173" s="62"/>
      <c r="K173" s="62"/>
      <c r="R173" s="62"/>
    </row>
    <row r="174" ht="15.75" customHeight="1">
      <c r="J174" s="62"/>
      <c r="K174" s="62"/>
      <c r="R174" s="62"/>
    </row>
    <row r="175" ht="15.75" customHeight="1">
      <c r="J175" s="62"/>
      <c r="K175" s="62"/>
      <c r="R175" s="62"/>
    </row>
    <row r="176" ht="15.75" customHeight="1">
      <c r="J176" s="62"/>
      <c r="K176" s="62"/>
      <c r="R176" s="62"/>
    </row>
    <row r="177" ht="15.75" customHeight="1">
      <c r="A177" s="20" t="s">
        <v>1124</v>
      </c>
      <c r="B177" s="2"/>
      <c r="C177" s="2"/>
      <c r="D177" s="2"/>
      <c r="E177" s="2"/>
      <c r="F177" s="2"/>
      <c r="G177" s="2"/>
      <c r="H177" s="2"/>
      <c r="I177" s="2"/>
      <c r="J177" s="2"/>
      <c r="K177" s="3"/>
      <c r="R177" s="62"/>
    </row>
    <row r="178" ht="15.75" customHeight="1">
      <c r="A178" s="233" t="s">
        <v>1125</v>
      </c>
      <c r="B178" s="2"/>
      <c r="C178" s="2"/>
      <c r="D178" s="2"/>
      <c r="E178" s="2"/>
      <c r="F178" s="2"/>
      <c r="G178" s="2"/>
      <c r="H178" s="2"/>
      <c r="I178" s="2"/>
      <c r="J178" s="2"/>
      <c r="K178" s="3"/>
      <c r="R178" s="62"/>
    </row>
    <row r="179" ht="15.75" customHeight="1">
      <c r="A179" s="22"/>
      <c r="B179" s="23" t="s">
        <v>3</v>
      </c>
      <c r="C179" s="24" t="s">
        <v>2</v>
      </c>
      <c r="D179" s="25" t="s">
        <v>5</v>
      </c>
      <c r="E179" s="25" t="s">
        <v>19</v>
      </c>
      <c r="F179" s="25" t="s">
        <v>6</v>
      </c>
      <c r="G179" s="234" t="s">
        <v>7</v>
      </c>
      <c r="H179" s="27" t="s">
        <v>8</v>
      </c>
      <c r="I179" s="28" t="s">
        <v>20</v>
      </c>
      <c r="J179" s="25" t="s">
        <v>21</v>
      </c>
      <c r="K179" s="25" t="s">
        <v>22</v>
      </c>
      <c r="R179" s="62"/>
    </row>
    <row r="180" ht="15.75" customHeight="1">
      <c r="A180" s="11" t="s">
        <v>10</v>
      </c>
      <c r="B180" s="68" t="s">
        <v>1054</v>
      </c>
      <c r="C180" s="69" t="s">
        <v>380</v>
      </c>
      <c r="D180" s="70">
        <v>0.5416666666666666</v>
      </c>
      <c r="E180" s="214" t="s">
        <v>1126</v>
      </c>
      <c r="F180" s="79">
        <v>7.0120509499901E14</v>
      </c>
      <c r="G180" s="74" t="s">
        <v>1127</v>
      </c>
      <c r="H180" s="78">
        <v>30522.0</v>
      </c>
      <c r="I180" s="18"/>
      <c r="J180" s="79">
        <v>1.1948079629E10</v>
      </c>
      <c r="K180" s="97"/>
      <c r="L180" s="197" t="s">
        <v>520</v>
      </c>
      <c r="N180" s="237" t="s">
        <v>386</v>
      </c>
      <c r="O180" s="95"/>
      <c r="P180" s="95"/>
      <c r="Q180" s="95"/>
      <c r="R180" s="62"/>
    </row>
    <row r="181" ht="15.75" customHeight="1">
      <c r="A181" s="11" t="s">
        <v>11</v>
      </c>
      <c r="B181" s="68" t="s">
        <v>1054</v>
      </c>
      <c r="C181" s="69" t="s">
        <v>380</v>
      </c>
      <c r="D181" s="70">
        <v>0.5555555555555556</v>
      </c>
      <c r="E181" s="214" t="s">
        <v>1128</v>
      </c>
      <c r="F181" s="79">
        <v>8.01440437517913E14</v>
      </c>
      <c r="G181" s="238" t="s">
        <v>1129</v>
      </c>
      <c r="H181" s="72">
        <v>24502.0</v>
      </c>
      <c r="I181" s="18"/>
      <c r="J181" s="79">
        <v>1.1979977452E10</v>
      </c>
      <c r="K181" s="37"/>
      <c r="N181" s="239" t="s">
        <v>670</v>
      </c>
      <c r="O181" s="2"/>
      <c r="P181" s="2"/>
      <c r="Q181" s="2"/>
      <c r="R181" s="62"/>
    </row>
    <row r="182" ht="15.75" customHeight="1">
      <c r="A182" s="11" t="s">
        <v>12</v>
      </c>
      <c r="B182" s="68" t="s">
        <v>1054</v>
      </c>
      <c r="C182" s="69" t="s">
        <v>380</v>
      </c>
      <c r="D182" s="70">
        <v>0.5694444444444444</v>
      </c>
      <c r="E182" s="214" t="s">
        <v>1130</v>
      </c>
      <c r="F182" s="79">
        <v>8.01440463490997E14</v>
      </c>
      <c r="G182" s="74" t="s">
        <v>1131</v>
      </c>
      <c r="H182" s="78">
        <v>35282.0</v>
      </c>
      <c r="I182" s="18"/>
      <c r="J182" s="79">
        <v>1.1963612801E10</v>
      </c>
      <c r="K182" s="97"/>
      <c r="N182" s="240" t="s">
        <v>182</v>
      </c>
      <c r="O182" s="241" t="s">
        <v>194</v>
      </c>
      <c r="P182" s="241" t="s">
        <v>180</v>
      </c>
      <c r="Q182" s="242" t="s">
        <v>172</v>
      </c>
      <c r="R182" s="62"/>
    </row>
    <row r="183" ht="15.75" customHeight="1">
      <c r="A183" s="11" t="s">
        <v>13</v>
      </c>
      <c r="B183" s="68" t="s">
        <v>1054</v>
      </c>
      <c r="C183" s="69" t="s">
        <v>380</v>
      </c>
      <c r="D183" s="70">
        <v>0.5833333333333334</v>
      </c>
      <c r="E183" s="214" t="s">
        <v>1132</v>
      </c>
      <c r="F183" s="79">
        <v>7.06002315361048E14</v>
      </c>
      <c r="G183" s="74" t="s">
        <v>1133</v>
      </c>
      <c r="H183" s="294">
        <v>28933.0</v>
      </c>
      <c r="I183" s="18"/>
      <c r="J183" s="79">
        <v>1.1996382538E10</v>
      </c>
      <c r="K183" s="97"/>
      <c r="N183" s="244">
        <f t="shared" ref="N183:Q183" si="10">COUNTIFS($I$180:$I$191,N182)</f>
        <v>0</v>
      </c>
      <c r="O183" s="244">
        <f t="shared" si="10"/>
        <v>0</v>
      </c>
      <c r="P183" s="244">
        <f t="shared" si="10"/>
        <v>0</v>
      </c>
      <c r="Q183" s="244">
        <f t="shared" si="10"/>
        <v>0</v>
      </c>
      <c r="R183" s="62"/>
    </row>
    <row r="184" ht="15.75" customHeight="1">
      <c r="A184" s="11" t="s">
        <v>14</v>
      </c>
      <c r="B184" s="68" t="s">
        <v>1054</v>
      </c>
      <c r="C184" s="69" t="s">
        <v>380</v>
      </c>
      <c r="D184" s="70">
        <v>0.5972222222222222</v>
      </c>
      <c r="E184" s="214" t="s">
        <v>1134</v>
      </c>
      <c r="F184" s="79">
        <v>7.00006713252308E14</v>
      </c>
      <c r="G184" s="296" t="s">
        <v>1135</v>
      </c>
      <c r="H184" s="72">
        <v>25299.0</v>
      </c>
      <c r="I184" s="18"/>
      <c r="J184" s="79">
        <v>1.1997281116E10</v>
      </c>
      <c r="K184" s="37"/>
      <c r="R184" s="62"/>
    </row>
    <row r="185" ht="15.75" customHeight="1">
      <c r="A185" s="11" t="s">
        <v>15</v>
      </c>
      <c r="B185" s="68" t="s">
        <v>1054</v>
      </c>
      <c r="C185" s="69" t="s">
        <v>380</v>
      </c>
      <c r="D185" s="70">
        <v>0.6111111111111112</v>
      </c>
      <c r="E185" s="214" t="s">
        <v>1136</v>
      </c>
      <c r="F185" s="79">
        <v>7.02501358007434E14</v>
      </c>
      <c r="G185" s="74" t="s">
        <v>1137</v>
      </c>
      <c r="H185" s="78">
        <v>23749.0</v>
      </c>
      <c r="I185" s="18"/>
      <c r="J185" s="79">
        <v>1.1979904043E10</v>
      </c>
      <c r="K185" s="37"/>
      <c r="R185" s="62"/>
    </row>
    <row r="186" ht="15.75" customHeight="1">
      <c r="A186" s="11" t="s">
        <v>16</v>
      </c>
      <c r="B186" s="68" t="s">
        <v>1054</v>
      </c>
      <c r="C186" s="69" t="s">
        <v>380</v>
      </c>
      <c r="D186" s="70">
        <v>0.625</v>
      </c>
      <c r="E186" s="214" t="s">
        <v>1138</v>
      </c>
      <c r="F186" s="79">
        <v>7.00503960949553E14</v>
      </c>
      <c r="G186" s="74" t="s">
        <v>1139</v>
      </c>
      <c r="H186" s="299">
        <v>31617.0</v>
      </c>
      <c r="I186" s="18"/>
      <c r="J186" s="79">
        <v>1.1980668806E10</v>
      </c>
      <c r="K186" s="97"/>
      <c r="R186" s="62"/>
    </row>
    <row r="187" ht="15.75" customHeight="1">
      <c r="A187" s="11" t="s">
        <v>17</v>
      </c>
      <c r="B187" s="68" t="s">
        <v>1054</v>
      </c>
      <c r="C187" s="69" t="s">
        <v>380</v>
      </c>
      <c r="D187" s="70">
        <v>0.6388888888888888</v>
      </c>
      <c r="E187" s="214" t="s">
        <v>1140</v>
      </c>
      <c r="F187" s="79">
        <v>8.01440406453972E14</v>
      </c>
      <c r="G187" s="74" t="s">
        <v>1141</v>
      </c>
      <c r="H187" s="78">
        <v>38287.0</v>
      </c>
      <c r="I187" s="18"/>
      <c r="J187" s="79">
        <v>1.1960943148E10</v>
      </c>
      <c r="K187" s="37"/>
      <c r="R187" s="62"/>
    </row>
    <row r="188" ht="15.75" customHeight="1">
      <c r="A188" s="11" t="s">
        <v>85</v>
      </c>
      <c r="B188" s="68" t="s">
        <v>1054</v>
      </c>
      <c r="C188" s="69" t="s">
        <v>380</v>
      </c>
      <c r="D188" s="70">
        <v>0.6527777777777778</v>
      </c>
      <c r="E188" s="243" t="s">
        <v>1142</v>
      </c>
      <c r="F188" s="79">
        <v>8.01440488013467E14</v>
      </c>
      <c r="G188" s="74" t="s">
        <v>1143</v>
      </c>
      <c r="H188" s="78">
        <v>16728.0</v>
      </c>
      <c r="I188" s="18"/>
      <c r="J188" s="79">
        <v>1.1957452565E10</v>
      </c>
      <c r="K188" s="37"/>
      <c r="L188" s="197" t="s">
        <v>576</v>
      </c>
      <c r="R188" s="62"/>
    </row>
    <row r="189" ht="15.75" customHeight="1">
      <c r="A189" s="11" t="s">
        <v>87</v>
      </c>
      <c r="B189" s="68" t="s">
        <v>1054</v>
      </c>
      <c r="C189" s="69" t="s">
        <v>380</v>
      </c>
      <c r="D189" s="70">
        <v>0.6666666666666666</v>
      </c>
      <c r="E189" s="218" t="s">
        <v>1144</v>
      </c>
      <c r="F189" s="149">
        <v>7.04005853338568E14</v>
      </c>
      <c r="G189" s="100" t="s">
        <v>1145</v>
      </c>
      <c r="H189" s="153">
        <v>27371.0</v>
      </c>
      <c r="I189" s="18"/>
      <c r="J189" s="79">
        <v>1.1948275621E10</v>
      </c>
      <c r="K189" s="128">
        <v>1.1988667889E10</v>
      </c>
      <c r="R189" s="62"/>
    </row>
    <row r="190" ht="15.75" customHeight="1">
      <c r="A190" s="11" t="s">
        <v>90</v>
      </c>
      <c r="B190" s="68" t="s">
        <v>1054</v>
      </c>
      <c r="C190" s="69" t="s">
        <v>380</v>
      </c>
      <c r="D190" s="70">
        <v>0.6805555555555556</v>
      </c>
      <c r="E190" s="258" t="s">
        <v>1146</v>
      </c>
      <c r="F190" s="127">
        <v>7.06701553974511E14</v>
      </c>
      <c r="G190" s="100" t="s">
        <v>1147</v>
      </c>
      <c r="H190" s="153">
        <v>25133.0</v>
      </c>
      <c r="I190" s="18"/>
      <c r="J190" s="79">
        <v>1.1954251148E10</v>
      </c>
      <c r="K190" s="37"/>
      <c r="R190" s="62"/>
    </row>
    <row r="191" ht="15.75" customHeight="1">
      <c r="A191" s="11" t="s">
        <v>93</v>
      </c>
      <c r="B191" s="68" t="s">
        <v>1054</v>
      </c>
      <c r="C191" s="69" t="s">
        <v>380</v>
      </c>
      <c r="D191" s="70">
        <v>0.6944444444444444</v>
      </c>
      <c r="E191" s="258" t="s">
        <v>1148</v>
      </c>
      <c r="F191" s="127">
        <v>7.05000295362052E14</v>
      </c>
      <c r="G191" s="100" t="s">
        <v>1149</v>
      </c>
      <c r="H191" s="153">
        <v>29950.0</v>
      </c>
      <c r="I191" s="18"/>
      <c r="J191" s="79">
        <v>1.1954337245E10</v>
      </c>
      <c r="K191" s="79">
        <v>1.1985371918E10</v>
      </c>
      <c r="R191" s="62"/>
    </row>
    <row r="192" ht="15.75" customHeight="1">
      <c r="J192" s="62"/>
      <c r="K192" s="62"/>
      <c r="R192" s="62"/>
    </row>
    <row r="193" ht="15.75" customHeight="1">
      <c r="J193" s="62"/>
      <c r="K193" s="62"/>
      <c r="R193" s="62"/>
    </row>
    <row r="194" ht="15.75" customHeight="1">
      <c r="A194" s="20" t="s">
        <v>1150</v>
      </c>
      <c r="B194" s="2"/>
      <c r="C194" s="2"/>
      <c r="D194" s="2"/>
      <c r="E194" s="2"/>
      <c r="F194" s="2"/>
      <c r="G194" s="2"/>
      <c r="H194" s="2"/>
      <c r="I194" s="2"/>
      <c r="J194" s="2"/>
      <c r="K194" s="3"/>
      <c r="R194" s="62"/>
    </row>
    <row r="195" ht="15.75" customHeight="1">
      <c r="A195" s="233" t="s">
        <v>1151</v>
      </c>
      <c r="B195" s="2"/>
      <c r="C195" s="2"/>
      <c r="D195" s="2"/>
      <c r="E195" s="2"/>
      <c r="F195" s="2"/>
      <c r="G195" s="2"/>
      <c r="H195" s="2"/>
      <c r="I195" s="2"/>
      <c r="J195" s="2"/>
      <c r="K195" s="3"/>
      <c r="R195" s="62"/>
    </row>
    <row r="196" ht="15.75" customHeight="1">
      <c r="A196" s="22"/>
      <c r="B196" s="23" t="s">
        <v>3</v>
      </c>
      <c r="C196" s="24" t="s">
        <v>2</v>
      </c>
      <c r="D196" s="25" t="s">
        <v>5</v>
      </c>
      <c r="E196" s="25" t="s">
        <v>19</v>
      </c>
      <c r="F196" s="25" t="s">
        <v>6</v>
      </c>
      <c r="G196" s="234" t="s">
        <v>7</v>
      </c>
      <c r="H196" s="27" t="s">
        <v>8</v>
      </c>
      <c r="I196" s="28" t="s">
        <v>20</v>
      </c>
      <c r="J196" s="25" t="s">
        <v>21</v>
      </c>
      <c r="K196" s="25" t="s">
        <v>22</v>
      </c>
      <c r="R196" s="62"/>
    </row>
    <row r="197" ht="15.75" customHeight="1">
      <c r="A197" s="11" t="s">
        <v>10</v>
      </c>
      <c r="B197" s="68" t="s">
        <v>447</v>
      </c>
      <c r="C197" s="69" t="s">
        <v>1152</v>
      </c>
      <c r="D197" s="70">
        <v>0.5416666666666666</v>
      </c>
      <c r="E197" s="347" t="s">
        <v>1153</v>
      </c>
      <c r="F197" s="300">
        <v>7.08404254596061E14</v>
      </c>
      <c r="G197" s="100" t="s">
        <v>1154</v>
      </c>
      <c r="H197" s="301">
        <v>25683.0</v>
      </c>
      <c r="I197" s="18" t="s">
        <v>172</v>
      </c>
      <c r="J197" s="280">
        <v>1.1947375204E10</v>
      </c>
      <c r="K197" s="97"/>
      <c r="N197" s="237" t="s">
        <v>386</v>
      </c>
      <c r="O197" s="95"/>
      <c r="P197" s="95"/>
      <c r="Q197" s="95"/>
      <c r="R197" s="62"/>
    </row>
    <row r="198" ht="15.75" customHeight="1">
      <c r="A198" s="11" t="s">
        <v>11</v>
      </c>
      <c r="B198" s="68" t="s">
        <v>323</v>
      </c>
      <c r="C198" s="69" t="s">
        <v>1152</v>
      </c>
      <c r="D198" s="70">
        <v>0.5555555555555556</v>
      </c>
      <c r="E198" s="347" t="s">
        <v>1155</v>
      </c>
      <c r="F198" s="300">
        <v>7.00200457542929E14</v>
      </c>
      <c r="G198" s="100" t="s">
        <v>1156</v>
      </c>
      <c r="H198" s="279">
        <v>25108.0</v>
      </c>
      <c r="I198" s="18" t="s">
        <v>182</v>
      </c>
      <c r="J198" s="280">
        <v>1.1949018384E10</v>
      </c>
      <c r="K198" s="37"/>
      <c r="N198" s="239" t="s">
        <v>700</v>
      </c>
      <c r="O198" s="2"/>
      <c r="P198" s="2"/>
      <c r="Q198" s="2"/>
      <c r="R198" s="62"/>
    </row>
    <row r="199" ht="15.75" customHeight="1">
      <c r="A199" s="11" t="s">
        <v>12</v>
      </c>
      <c r="B199" s="68" t="s">
        <v>447</v>
      </c>
      <c r="C199" s="69" t="s">
        <v>1152</v>
      </c>
      <c r="D199" s="70">
        <v>0.5694444444444444</v>
      </c>
      <c r="E199" s="347" t="s">
        <v>1157</v>
      </c>
      <c r="F199" s="300">
        <v>7.00200992404625E14</v>
      </c>
      <c r="G199" s="100" t="s">
        <v>1158</v>
      </c>
      <c r="H199" s="294">
        <v>30847.0</v>
      </c>
      <c r="I199" s="18" t="s">
        <v>182</v>
      </c>
      <c r="J199" s="280">
        <v>1.1970976545E10</v>
      </c>
      <c r="K199" s="97"/>
      <c r="N199" s="240" t="s">
        <v>182</v>
      </c>
      <c r="O199" s="241" t="s">
        <v>194</v>
      </c>
      <c r="P199" s="241" t="s">
        <v>180</v>
      </c>
      <c r="Q199" s="242" t="s">
        <v>172</v>
      </c>
      <c r="R199" s="62"/>
    </row>
    <row r="200" ht="15.75" customHeight="1">
      <c r="A200" s="11" t="s">
        <v>13</v>
      </c>
      <c r="B200" s="68" t="s">
        <v>258</v>
      </c>
      <c r="C200" s="69" t="s">
        <v>1152</v>
      </c>
      <c r="D200" s="70">
        <v>0.5833333333333334</v>
      </c>
      <c r="E200" s="347" t="s">
        <v>1159</v>
      </c>
      <c r="F200" s="300">
        <v>7.06704553220218E14</v>
      </c>
      <c r="G200" s="100" t="s">
        <v>1160</v>
      </c>
      <c r="H200" s="301">
        <v>16481.0</v>
      </c>
      <c r="I200" s="18" t="s">
        <v>182</v>
      </c>
      <c r="J200" s="280">
        <v>1.19740131E10</v>
      </c>
      <c r="K200" s="280">
        <v>1.1967078392E10</v>
      </c>
      <c r="N200" s="244">
        <f t="shared" ref="N200:Q200" si="11">COUNTIFS($I$197:$I$208,$N$199)</f>
        <v>9</v>
      </c>
      <c r="O200" s="244">
        <f t="shared" si="11"/>
        <v>9</v>
      </c>
      <c r="P200" s="244">
        <f t="shared" si="11"/>
        <v>9</v>
      </c>
      <c r="Q200" s="244">
        <f t="shared" si="11"/>
        <v>9</v>
      </c>
      <c r="R200" s="62"/>
    </row>
    <row r="201" ht="15.75" customHeight="1">
      <c r="A201" s="11" t="s">
        <v>14</v>
      </c>
      <c r="B201" s="68" t="s">
        <v>442</v>
      </c>
      <c r="C201" s="69" t="s">
        <v>1152</v>
      </c>
      <c r="D201" s="70">
        <v>0.5972222222222222</v>
      </c>
      <c r="E201" s="347" t="s">
        <v>1161</v>
      </c>
      <c r="F201" s="300">
        <v>7.06002834328149E14</v>
      </c>
      <c r="G201" s="100" t="s">
        <v>1162</v>
      </c>
      <c r="H201" s="279">
        <v>14595.0</v>
      </c>
      <c r="I201" s="18" t="s">
        <v>182</v>
      </c>
      <c r="J201" s="280">
        <v>1.1941972198E10</v>
      </c>
      <c r="K201" s="280">
        <v>1.1942348701E10</v>
      </c>
      <c r="R201" s="62"/>
    </row>
    <row r="202" ht="15.75" customHeight="1">
      <c r="A202" s="11" t="s">
        <v>15</v>
      </c>
      <c r="B202" s="68" t="s">
        <v>332</v>
      </c>
      <c r="C202" s="69" t="s">
        <v>1152</v>
      </c>
      <c r="D202" s="70">
        <v>0.6111111111111112</v>
      </c>
      <c r="E202" s="347" t="s">
        <v>1163</v>
      </c>
      <c r="F202" s="300">
        <v>7.08608020091887E14</v>
      </c>
      <c r="G202" s="100" t="s">
        <v>1164</v>
      </c>
      <c r="H202" s="294">
        <v>25907.0</v>
      </c>
      <c r="I202" s="18" t="s">
        <v>182</v>
      </c>
      <c r="J202" s="280">
        <v>1.1968905362E10</v>
      </c>
      <c r="K202" s="280"/>
      <c r="R202" s="62"/>
    </row>
    <row r="203" ht="15.75" customHeight="1">
      <c r="A203" s="11" t="s">
        <v>16</v>
      </c>
      <c r="B203" s="68" t="s">
        <v>442</v>
      </c>
      <c r="C203" s="69" t="s">
        <v>1152</v>
      </c>
      <c r="D203" s="70">
        <v>0.625</v>
      </c>
      <c r="E203" s="347" t="s">
        <v>1165</v>
      </c>
      <c r="F203" s="300">
        <v>7.00504747433554E14</v>
      </c>
      <c r="G203" s="100" t="s">
        <v>1166</v>
      </c>
      <c r="H203" s="301">
        <v>15395.0</v>
      </c>
      <c r="I203" s="18" t="s">
        <v>182</v>
      </c>
      <c r="J203" s="280">
        <v>1.1991712609E10</v>
      </c>
      <c r="K203" s="280">
        <v>1.1918553E10</v>
      </c>
      <c r="R203" s="62"/>
    </row>
    <row r="204" ht="15.75" customHeight="1">
      <c r="A204" s="11" t="s">
        <v>17</v>
      </c>
      <c r="B204" s="68" t="s">
        <v>323</v>
      </c>
      <c r="C204" s="69" t="s">
        <v>1152</v>
      </c>
      <c r="D204" s="70">
        <v>0.6388888888888888</v>
      </c>
      <c r="E204" s="347" t="s">
        <v>1167</v>
      </c>
      <c r="F204" s="300">
        <v>8.01440409897545E14</v>
      </c>
      <c r="G204" s="100" t="s">
        <v>1168</v>
      </c>
      <c r="H204" s="279">
        <v>29437.0</v>
      </c>
      <c r="I204" s="18" t="s">
        <v>182</v>
      </c>
      <c r="J204" s="280">
        <v>1.1960157738E10</v>
      </c>
      <c r="K204" s="280">
        <v>1.1960157738E10</v>
      </c>
      <c r="R204" s="62"/>
    </row>
    <row r="205" ht="15.75" customHeight="1">
      <c r="A205" s="11" t="s">
        <v>85</v>
      </c>
      <c r="B205" s="68" t="s">
        <v>273</v>
      </c>
      <c r="C205" s="69" t="s">
        <v>1152</v>
      </c>
      <c r="D205" s="70">
        <v>0.6527777777777778</v>
      </c>
      <c r="E205" s="347" t="s">
        <v>1169</v>
      </c>
      <c r="F205" s="293">
        <v>2.04303306200002E14</v>
      </c>
      <c r="G205" s="100" t="s">
        <v>1170</v>
      </c>
      <c r="H205" s="294">
        <v>15966.0</v>
      </c>
      <c r="I205" s="18" t="s">
        <v>182</v>
      </c>
      <c r="J205" s="280">
        <v>1.1949673384E10</v>
      </c>
      <c r="K205" s="280">
        <v>1.158313955E9</v>
      </c>
      <c r="R205" s="62"/>
    </row>
    <row r="206" ht="15.75" customHeight="1">
      <c r="A206" s="11" t="s">
        <v>87</v>
      </c>
      <c r="B206" s="68" t="s">
        <v>587</v>
      </c>
      <c r="C206" s="69" t="s">
        <v>1152</v>
      </c>
      <c r="D206" s="70">
        <v>0.6666666666666666</v>
      </c>
      <c r="E206" s="347" t="s">
        <v>1171</v>
      </c>
      <c r="F206" s="300">
        <v>8.01440422924704E14</v>
      </c>
      <c r="G206" s="100" t="s">
        <v>1172</v>
      </c>
      <c r="H206" s="153">
        <v>25826.0</v>
      </c>
      <c r="I206" s="18" t="s">
        <v>172</v>
      </c>
      <c r="J206" s="127">
        <v>1.1985833441E10</v>
      </c>
      <c r="K206" s="37"/>
      <c r="R206" s="62"/>
    </row>
    <row r="207" ht="15.75" customHeight="1">
      <c r="A207" s="11" t="s">
        <v>90</v>
      </c>
      <c r="B207" s="68"/>
      <c r="C207" s="69" t="s">
        <v>1152</v>
      </c>
      <c r="D207" s="70">
        <v>0.6805555555555556</v>
      </c>
      <c r="E207" s="284"/>
      <c r="F207" s="127"/>
      <c r="G207" s="100"/>
      <c r="H207" s="153"/>
      <c r="I207" s="18" t="s">
        <v>180</v>
      </c>
      <c r="J207" s="37"/>
      <c r="K207" s="37"/>
      <c r="R207" s="62"/>
    </row>
    <row r="208" ht="15.75" customHeight="1">
      <c r="A208" s="11" t="s">
        <v>93</v>
      </c>
      <c r="B208" s="68" t="s">
        <v>587</v>
      </c>
      <c r="C208" s="69" t="s">
        <v>1152</v>
      </c>
      <c r="D208" s="70">
        <v>0.6944444444444444</v>
      </c>
      <c r="E208" s="347" t="s">
        <v>1173</v>
      </c>
      <c r="F208" s="127">
        <v>7.00006014784904E14</v>
      </c>
      <c r="G208" s="100" t="s">
        <v>1174</v>
      </c>
      <c r="H208" s="153">
        <v>25675.0</v>
      </c>
      <c r="I208" s="18" t="s">
        <v>182</v>
      </c>
      <c r="J208" s="37">
        <v>1.1985833441E10</v>
      </c>
      <c r="K208" s="37"/>
      <c r="R208" s="62"/>
    </row>
    <row r="209" ht="15.75" customHeight="1">
      <c r="J209" s="62"/>
      <c r="K209" s="62"/>
      <c r="R209" s="62"/>
    </row>
    <row r="210" ht="15.75" customHeight="1">
      <c r="J210" s="62"/>
      <c r="K210" s="62"/>
      <c r="R210" s="62"/>
    </row>
    <row r="211" ht="15.75" customHeight="1">
      <c r="A211" s="20" t="s">
        <v>1175</v>
      </c>
      <c r="B211" s="2"/>
      <c r="C211" s="2"/>
      <c r="D211" s="2"/>
      <c r="E211" s="2"/>
      <c r="F211" s="2"/>
      <c r="G211" s="2"/>
      <c r="H211" s="2"/>
      <c r="I211" s="2"/>
      <c r="J211" s="2"/>
      <c r="K211" s="3"/>
      <c r="R211" s="62"/>
    </row>
    <row r="212" ht="15.75" customHeight="1">
      <c r="A212" s="233" t="s">
        <v>1176</v>
      </c>
      <c r="B212" s="2"/>
      <c r="C212" s="2"/>
      <c r="D212" s="2"/>
      <c r="E212" s="2"/>
      <c r="F212" s="2"/>
      <c r="G212" s="2"/>
      <c r="H212" s="2"/>
      <c r="I212" s="2"/>
      <c r="J212" s="2"/>
      <c r="K212" s="3"/>
      <c r="R212" s="62"/>
    </row>
    <row r="213" ht="15.75" customHeight="1">
      <c r="A213" s="22"/>
      <c r="B213" s="23" t="s">
        <v>3</v>
      </c>
      <c r="C213" s="24" t="s">
        <v>2</v>
      </c>
      <c r="D213" s="25" t="s">
        <v>5</v>
      </c>
      <c r="E213" s="25" t="s">
        <v>19</v>
      </c>
      <c r="F213" s="25" t="s">
        <v>6</v>
      </c>
      <c r="G213" s="234" t="s">
        <v>7</v>
      </c>
      <c r="H213" s="27" t="s">
        <v>8</v>
      </c>
      <c r="I213" s="28" t="s">
        <v>20</v>
      </c>
      <c r="J213" s="25" t="s">
        <v>21</v>
      </c>
      <c r="K213" s="25" t="s">
        <v>22</v>
      </c>
      <c r="R213" s="62"/>
    </row>
    <row r="214" ht="15.75" customHeight="1">
      <c r="A214" s="11" t="s">
        <v>10</v>
      </c>
      <c r="B214" s="68" t="s">
        <v>219</v>
      </c>
      <c r="C214" s="69" t="s">
        <v>1177</v>
      </c>
      <c r="D214" s="70">
        <v>0.3333333333333333</v>
      </c>
      <c r="E214" s="214" t="s">
        <v>1178</v>
      </c>
      <c r="F214" s="149">
        <v>8.01440414441198E14</v>
      </c>
      <c r="G214" s="148" t="s">
        <v>1179</v>
      </c>
      <c r="H214" s="150">
        <v>22867.0</v>
      </c>
      <c r="I214" s="30" t="s">
        <v>182</v>
      </c>
      <c r="J214" s="280">
        <v>1.1961497206E10</v>
      </c>
      <c r="K214" s="280">
        <v>1.1957297118E10</v>
      </c>
      <c r="N214" s="237" t="s">
        <v>386</v>
      </c>
      <c r="O214" s="95"/>
      <c r="P214" s="95"/>
      <c r="Q214" s="95"/>
      <c r="R214" s="62"/>
    </row>
    <row r="215" ht="15.75" customHeight="1">
      <c r="A215" s="11" t="s">
        <v>11</v>
      </c>
      <c r="B215" s="68" t="s">
        <v>219</v>
      </c>
      <c r="C215" s="69" t="s">
        <v>1177</v>
      </c>
      <c r="D215" s="70">
        <v>0.3472222222222222</v>
      </c>
      <c r="E215" s="215" t="s">
        <v>1180</v>
      </c>
      <c r="F215" s="170">
        <v>7.04802534306243E14</v>
      </c>
      <c r="G215" s="186" t="s">
        <v>1181</v>
      </c>
      <c r="H215" s="72">
        <v>21244.0</v>
      </c>
      <c r="I215" s="30" t="s">
        <v>182</v>
      </c>
      <c r="J215" s="280">
        <v>1.1976542176E10</v>
      </c>
      <c r="K215" s="280">
        <v>1.1992485719E10</v>
      </c>
      <c r="N215" s="239" t="s">
        <v>733</v>
      </c>
      <c r="O215" s="2"/>
      <c r="P215" s="2"/>
      <c r="Q215" s="2"/>
      <c r="R215" s="62"/>
    </row>
    <row r="216" ht="15.75" customHeight="1">
      <c r="A216" s="11" t="s">
        <v>12</v>
      </c>
      <c r="B216" s="68" t="s">
        <v>219</v>
      </c>
      <c r="C216" s="69" t="s">
        <v>1177</v>
      </c>
      <c r="D216" s="70">
        <v>0.3611111111111111</v>
      </c>
      <c r="E216" s="214" t="s">
        <v>1182</v>
      </c>
      <c r="F216" s="149">
        <v>7.00207939547928E14</v>
      </c>
      <c r="G216" s="148" t="s">
        <v>1183</v>
      </c>
      <c r="H216" s="150">
        <v>27426.0</v>
      </c>
      <c r="I216" s="30" t="s">
        <v>194</v>
      </c>
      <c r="J216" s="280">
        <v>1.1948107713E10</v>
      </c>
      <c r="K216" s="280">
        <v>1.1989969291E10</v>
      </c>
      <c r="N216" s="240" t="s">
        <v>182</v>
      </c>
      <c r="O216" s="241" t="s">
        <v>194</v>
      </c>
      <c r="P216" s="241" t="s">
        <v>180</v>
      </c>
      <c r="Q216" s="242" t="s">
        <v>172</v>
      </c>
      <c r="R216" s="62"/>
    </row>
    <row r="217" ht="15.75" customHeight="1">
      <c r="A217" s="11" t="s">
        <v>13</v>
      </c>
      <c r="B217" s="68" t="s">
        <v>219</v>
      </c>
      <c r="C217" s="69" t="s">
        <v>1177</v>
      </c>
      <c r="D217" s="70">
        <v>0.375</v>
      </c>
      <c r="E217" s="214" t="s">
        <v>1184</v>
      </c>
      <c r="F217" s="149">
        <v>7.0420777355428E14</v>
      </c>
      <c r="G217" s="148" t="s">
        <v>1185</v>
      </c>
      <c r="H217" s="150">
        <v>21252.0</v>
      </c>
      <c r="I217" s="30" t="s">
        <v>182</v>
      </c>
      <c r="J217" s="280">
        <v>1.19499185E10</v>
      </c>
      <c r="K217" s="280">
        <v>1.1949078739E10</v>
      </c>
      <c r="N217" s="244">
        <f t="shared" ref="N217:Q217" si="12">COUNTIFS($I$214:$I$225,$N$216)</f>
        <v>10</v>
      </c>
      <c r="O217" s="244">
        <f t="shared" si="12"/>
        <v>10</v>
      </c>
      <c r="P217" s="244">
        <f t="shared" si="12"/>
        <v>10</v>
      </c>
      <c r="Q217" s="244">
        <f t="shared" si="12"/>
        <v>10</v>
      </c>
      <c r="R217" s="62"/>
    </row>
    <row r="218" ht="15.75" customHeight="1">
      <c r="A218" s="11" t="s">
        <v>14</v>
      </c>
      <c r="B218" s="68" t="s">
        <v>219</v>
      </c>
      <c r="C218" s="69" t="s">
        <v>1177</v>
      </c>
      <c r="D218" s="70">
        <v>0.3888888888888889</v>
      </c>
      <c r="E218" s="247" t="s">
        <v>1186</v>
      </c>
      <c r="F218" s="185">
        <v>7.08203659519241E14</v>
      </c>
      <c r="G218" s="302" t="s">
        <v>1187</v>
      </c>
      <c r="H218" s="150">
        <v>18395.0</v>
      </c>
      <c r="I218" s="30" t="s">
        <v>182</v>
      </c>
      <c r="J218" s="280">
        <v>1.1953964092E10</v>
      </c>
      <c r="K218" s="280"/>
      <c r="L218" s="197" t="s">
        <v>520</v>
      </c>
      <c r="R218" s="62"/>
    </row>
    <row r="219" ht="15.75" customHeight="1">
      <c r="A219" s="11" t="s">
        <v>15</v>
      </c>
      <c r="B219" s="68" t="s">
        <v>219</v>
      </c>
      <c r="C219" s="69" t="s">
        <v>1177</v>
      </c>
      <c r="D219" s="70">
        <v>0.4027777777777778</v>
      </c>
      <c r="E219" s="214" t="s">
        <v>1188</v>
      </c>
      <c r="F219" s="149">
        <v>7.02607787085946E14</v>
      </c>
      <c r="G219" s="148" t="s">
        <v>1189</v>
      </c>
      <c r="H219" s="150">
        <v>29950.0</v>
      </c>
      <c r="I219" s="30" t="s">
        <v>182</v>
      </c>
      <c r="J219" s="280">
        <v>1.196196629E10</v>
      </c>
      <c r="K219" s="280"/>
      <c r="R219" s="62"/>
    </row>
    <row r="220" ht="16.5" customHeight="1">
      <c r="A220" s="11" t="s">
        <v>16</v>
      </c>
      <c r="B220" s="68" t="s">
        <v>219</v>
      </c>
      <c r="C220" s="69" t="s">
        <v>1177</v>
      </c>
      <c r="D220" s="70">
        <v>0.4166666666666667</v>
      </c>
      <c r="E220" s="214" t="s">
        <v>1190</v>
      </c>
      <c r="F220" s="149">
        <v>7.0420952947889E14</v>
      </c>
      <c r="G220" s="148" t="s">
        <v>1191</v>
      </c>
      <c r="H220" s="150">
        <v>17562.0</v>
      </c>
      <c r="I220" s="30" t="s">
        <v>182</v>
      </c>
      <c r="J220" s="280">
        <v>1.195271799E10</v>
      </c>
      <c r="K220" s="280">
        <v>1.1957082197E10</v>
      </c>
      <c r="R220" s="62"/>
    </row>
    <row r="221" ht="15.75" customHeight="1">
      <c r="A221" s="11" t="s">
        <v>17</v>
      </c>
      <c r="B221" s="68" t="s">
        <v>219</v>
      </c>
      <c r="C221" s="69" t="s">
        <v>1177</v>
      </c>
      <c r="D221" s="70">
        <v>0.4305555555555556</v>
      </c>
      <c r="E221" s="214" t="s">
        <v>1192</v>
      </c>
      <c r="F221" s="149">
        <v>7.000095521099E14</v>
      </c>
      <c r="G221" s="148" t="s">
        <v>1193</v>
      </c>
      <c r="H221" s="150">
        <v>13383.0</v>
      </c>
      <c r="I221" s="30" t="s">
        <v>182</v>
      </c>
      <c r="J221" s="280">
        <v>1.1987107717E10</v>
      </c>
      <c r="K221" s="280">
        <v>1.1997470016E10</v>
      </c>
      <c r="R221" s="62"/>
    </row>
    <row r="222" ht="15.75" customHeight="1">
      <c r="A222" s="11" t="s">
        <v>85</v>
      </c>
      <c r="B222" s="68" t="s">
        <v>219</v>
      </c>
      <c r="C222" s="69" t="s">
        <v>1177</v>
      </c>
      <c r="D222" s="70">
        <v>0.4444444444444444</v>
      </c>
      <c r="E222" s="214" t="s">
        <v>1194</v>
      </c>
      <c r="F222" s="149">
        <v>7.0920524012183E14</v>
      </c>
      <c r="G222" s="148" t="s">
        <v>1195</v>
      </c>
      <c r="H222" s="150">
        <v>24382.0</v>
      </c>
      <c r="I222" s="30" t="s">
        <v>194</v>
      </c>
      <c r="J222" s="280">
        <v>1.1960517925E10</v>
      </c>
      <c r="K222" s="280">
        <v>1.1949578142E10</v>
      </c>
      <c r="R222" s="62"/>
    </row>
    <row r="223" ht="15.75" customHeight="1">
      <c r="A223" s="11" t="s">
        <v>87</v>
      </c>
      <c r="B223" s="68" t="s">
        <v>219</v>
      </c>
      <c r="C223" s="69" t="s">
        <v>1177</v>
      </c>
      <c r="D223" s="70">
        <v>0.4583333333333333</v>
      </c>
      <c r="E223" s="218" t="s">
        <v>1196</v>
      </c>
      <c r="F223" s="149">
        <v>1.20168795900004E14</v>
      </c>
      <c r="G223" s="148" t="s">
        <v>1197</v>
      </c>
      <c r="H223" s="150">
        <v>20775.0</v>
      </c>
      <c r="I223" s="30" t="s">
        <v>182</v>
      </c>
      <c r="J223" s="280">
        <v>1.1958394218E10</v>
      </c>
      <c r="K223" s="37"/>
      <c r="R223" s="62"/>
    </row>
    <row r="224" ht="15.75" customHeight="1">
      <c r="A224" s="11" t="s">
        <v>90</v>
      </c>
      <c r="B224" s="68" t="s">
        <v>219</v>
      </c>
      <c r="C224" s="69" t="s">
        <v>1177</v>
      </c>
      <c r="D224" s="70">
        <v>0.4722222222222222</v>
      </c>
      <c r="E224" s="258" t="s">
        <v>1198</v>
      </c>
      <c r="F224" s="149">
        <v>8.01440490689464E14</v>
      </c>
      <c r="G224" s="148" t="s">
        <v>1199</v>
      </c>
      <c r="H224" s="150">
        <v>21325.0</v>
      </c>
      <c r="I224" s="30" t="s">
        <v>182</v>
      </c>
      <c r="J224" s="280">
        <v>1.1998152101E10</v>
      </c>
      <c r="K224" s="37"/>
      <c r="R224" s="62"/>
    </row>
    <row r="225" ht="15.75" customHeight="1">
      <c r="A225" s="11" t="s">
        <v>93</v>
      </c>
      <c r="B225" s="68" t="s">
        <v>219</v>
      </c>
      <c r="C225" s="69" t="s">
        <v>1177</v>
      </c>
      <c r="D225" s="70">
        <v>0.4861111111111111</v>
      </c>
      <c r="E225" s="258" t="s">
        <v>1200</v>
      </c>
      <c r="F225" s="149">
        <v>7.0050991293225E14</v>
      </c>
      <c r="G225" s="148" t="s">
        <v>1201</v>
      </c>
      <c r="H225" s="150">
        <v>21831.0</v>
      </c>
      <c r="I225" s="30" t="s">
        <v>182</v>
      </c>
      <c r="J225" s="280">
        <v>1.1990144493E10</v>
      </c>
      <c r="K225" s="37"/>
      <c r="R225" s="62"/>
    </row>
    <row r="226" ht="15.75" customHeight="1">
      <c r="J226" s="62"/>
      <c r="K226" s="62"/>
      <c r="R226" s="62"/>
    </row>
    <row r="227" ht="15.75" customHeight="1">
      <c r="J227" s="62"/>
      <c r="K227" s="62"/>
      <c r="R227" s="62"/>
    </row>
    <row r="228" ht="15.75" customHeight="1">
      <c r="A228" s="20" t="s">
        <v>1202</v>
      </c>
      <c r="B228" s="2"/>
      <c r="C228" s="2"/>
      <c r="D228" s="2"/>
      <c r="E228" s="2"/>
      <c r="F228" s="2"/>
      <c r="G228" s="2"/>
      <c r="H228" s="2"/>
      <c r="I228" s="2"/>
      <c r="J228" s="2"/>
      <c r="K228" s="3"/>
      <c r="R228" s="62"/>
    </row>
    <row r="229" ht="15.75" customHeight="1">
      <c r="A229" s="233" t="s">
        <v>1203</v>
      </c>
      <c r="B229" s="2"/>
      <c r="C229" s="2"/>
      <c r="D229" s="2"/>
      <c r="E229" s="2"/>
      <c r="F229" s="2"/>
      <c r="G229" s="2"/>
      <c r="H229" s="2"/>
      <c r="I229" s="2"/>
      <c r="J229" s="2"/>
      <c r="K229" s="3"/>
      <c r="R229" s="62"/>
    </row>
    <row r="230" ht="15.75" customHeight="1">
      <c r="A230" s="22"/>
      <c r="B230" s="23" t="s">
        <v>3</v>
      </c>
      <c r="C230" s="24" t="s">
        <v>2</v>
      </c>
      <c r="D230" s="25" t="s">
        <v>5</v>
      </c>
      <c r="E230" s="25" t="s">
        <v>19</v>
      </c>
      <c r="F230" s="25" t="s">
        <v>6</v>
      </c>
      <c r="G230" s="234" t="s">
        <v>7</v>
      </c>
      <c r="H230" s="27" t="s">
        <v>8</v>
      </c>
      <c r="I230" s="28" t="s">
        <v>20</v>
      </c>
      <c r="J230" s="25" t="s">
        <v>21</v>
      </c>
      <c r="K230" s="25" t="s">
        <v>22</v>
      </c>
      <c r="R230" s="62"/>
    </row>
    <row r="231" ht="15.75" customHeight="1">
      <c r="A231" s="11" t="s">
        <v>10</v>
      </c>
      <c r="B231" s="68" t="s">
        <v>192</v>
      </c>
      <c r="C231" s="69" t="s">
        <v>1204</v>
      </c>
      <c r="D231" s="70">
        <v>0.5416666666666666</v>
      </c>
      <c r="E231" s="214" t="s">
        <v>1205</v>
      </c>
      <c r="F231" s="79">
        <v>1.24255329100005E14</v>
      </c>
      <c r="G231" s="74" t="s">
        <v>1206</v>
      </c>
      <c r="H231" s="78">
        <v>27726.0</v>
      </c>
      <c r="I231" s="18" t="s">
        <v>182</v>
      </c>
      <c r="J231" s="97"/>
      <c r="K231" s="97"/>
      <c r="N231" s="237" t="s">
        <v>386</v>
      </c>
      <c r="O231" s="95"/>
      <c r="P231" s="95"/>
      <c r="Q231" s="95"/>
      <c r="R231" s="62"/>
    </row>
    <row r="232" ht="15.75" customHeight="1">
      <c r="A232" s="11" t="s">
        <v>11</v>
      </c>
      <c r="B232" s="68" t="s">
        <v>447</v>
      </c>
      <c r="C232" s="69" t="s">
        <v>1204</v>
      </c>
      <c r="D232" s="70">
        <v>0.5555555555555556</v>
      </c>
      <c r="E232" s="215" t="s">
        <v>1207</v>
      </c>
      <c r="F232" s="170">
        <v>7.00005404939502E14</v>
      </c>
      <c r="G232" s="238" t="s">
        <v>1208</v>
      </c>
      <c r="H232" s="72">
        <v>19139.0</v>
      </c>
      <c r="I232" s="18" t="s">
        <v>182</v>
      </c>
      <c r="J232" s="37">
        <v>1.1944497195E10</v>
      </c>
      <c r="K232" s="37">
        <v>1.158963582E9</v>
      </c>
      <c r="N232" s="239" t="s">
        <v>763</v>
      </c>
      <c r="O232" s="2"/>
      <c r="P232" s="2"/>
      <c r="Q232" s="2"/>
      <c r="R232" s="62"/>
    </row>
    <row r="233" ht="15.75" customHeight="1">
      <c r="A233" s="11" t="s">
        <v>12</v>
      </c>
      <c r="B233" s="68" t="s">
        <v>258</v>
      </c>
      <c r="C233" s="69" t="s">
        <v>1204</v>
      </c>
      <c r="D233" s="70">
        <v>0.5694444444444444</v>
      </c>
      <c r="E233" s="214" t="s">
        <v>1209</v>
      </c>
      <c r="F233" s="79">
        <v>7.08505346907578E14</v>
      </c>
      <c r="G233" s="74" t="s">
        <v>1210</v>
      </c>
      <c r="H233" s="78">
        <v>18732.0</v>
      </c>
      <c r="I233" s="18" t="s">
        <v>182</v>
      </c>
      <c r="J233" s="97">
        <v>1.1962298611E10</v>
      </c>
      <c r="K233" s="97">
        <v>1.1966524975E10</v>
      </c>
      <c r="N233" s="240" t="s">
        <v>182</v>
      </c>
      <c r="O233" s="241" t="s">
        <v>194</v>
      </c>
      <c r="P233" s="241" t="s">
        <v>180</v>
      </c>
      <c r="Q233" s="242" t="s">
        <v>172</v>
      </c>
      <c r="R233" s="62"/>
    </row>
    <row r="234" ht="15.75" customHeight="1">
      <c r="A234" s="11" t="s">
        <v>13</v>
      </c>
      <c r="B234" s="68" t="s">
        <v>447</v>
      </c>
      <c r="C234" s="69" t="s">
        <v>1204</v>
      </c>
      <c r="D234" s="70">
        <v>0.5833333333333334</v>
      </c>
      <c r="E234" s="214" t="s">
        <v>959</v>
      </c>
      <c r="F234" s="79">
        <v>8.3550302345212E14</v>
      </c>
      <c r="G234" s="74" t="s">
        <v>960</v>
      </c>
      <c r="H234" s="78">
        <v>29113.0</v>
      </c>
      <c r="I234" s="18" t="s">
        <v>182</v>
      </c>
      <c r="J234" s="97">
        <v>1.1937326467E10</v>
      </c>
      <c r="K234" s="97">
        <v>1.15895679E9</v>
      </c>
      <c r="N234" s="244">
        <f t="shared" ref="N234:Q234" si="13">COUNTIFS($I$231:$I$242,$N$233)</f>
        <v>11</v>
      </c>
      <c r="O234" s="244">
        <f t="shared" si="13"/>
        <v>11</v>
      </c>
      <c r="P234" s="244">
        <f t="shared" si="13"/>
        <v>11</v>
      </c>
      <c r="Q234" s="244">
        <f t="shared" si="13"/>
        <v>11</v>
      </c>
      <c r="R234" s="62"/>
    </row>
    <row r="235" ht="15.75" customHeight="1">
      <c r="A235" s="11" t="s">
        <v>14</v>
      </c>
      <c r="B235" s="68" t="s">
        <v>442</v>
      </c>
      <c r="C235" s="69" t="s">
        <v>1204</v>
      </c>
      <c r="D235" s="70">
        <v>0.5972222222222222</v>
      </c>
      <c r="E235" s="247" t="s">
        <v>1211</v>
      </c>
      <c r="F235" s="146">
        <v>7.06803715212825E14</v>
      </c>
      <c r="G235" s="172" t="s">
        <v>1212</v>
      </c>
      <c r="H235" s="72">
        <v>17899.0</v>
      </c>
      <c r="I235" s="18" t="s">
        <v>182</v>
      </c>
      <c r="J235" s="37">
        <v>1.1993842292E10</v>
      </c>
      <c r="K235" s="37">
        <v>1.1988246333E10</v>
      </c>
      <c r="R235" s="62"/>
    </row>
    <row r="236" ht="15.75" customHeight="1">
      <c r="A236" s="11" t="s">
        <v>15</v>
      </c>
      <c r="B236" s="68" t="s">
        <v>258</v>
      </c>
      <c r="C236" s="69" t="s">
        <v>1204</v>
      </c>
      <c r="D236" s="70">
        <v>0.6111111111111112</v>
      </c>
      <c r="E236" s="214" t="s">
        <v>1057</v>
      </c>
      <c r="F236" s="79">
        <v>8.01440407382777E14</v>
      </c>
      <c r="G236" s="74" t="s">
        <v>1058</v>
      </c>
      <c r="H236" s="78">
        <v>24509.0</v>
      </c>
      <c r="I236" s="18" t="s">
        <v>182</v>
      </c>
      <c r="J236" s="37">
        <v>1.1985108125E10</v>
      </c>
      <c r="K236" s="37">
        <v>1.1951947625E10</v>
      </c>
      <c r="R236" s="62"/>
    </row>
    <row r="237" ht="15.75" customHeight="1">
      <c r="A237" s="11" t="s">
        <v>16</v>
      </c>
      <c r="B237" s="68" t="s">
        <v>273</v>
      </c>
      <c r="C237" s="69" t="s">
        <v>1204</v>
      </c>
      <c r="D237" s="70">
        <v>0.625</v>
      </c>
      <c r="E237" s="214" t="s">
        <v>1213</v>
      </c>
      <c r="F237" s="79">
        <v>7.04604671906823E14</v>
      </c>
      <c r="G237" s="74" t="s">
        <v>1214</v>
      </c>
      <c r="H237" s="78">
        <v>15430.0</v>
      </c>
      <c r="I237" s="18" t="s">
        <v>182</v>
      </c>
      <c r="J237" s="97">
        <v>1.1981114946E10</v>
      </c>
      <c r="K237" s="97">
        <v>1.15831274E9</v>
      </c>
      <c r="R237" s="62"/>
    </row>
    <row r="238" ht="15.75" customHeight="1">
      <c r="A238" s="11" t="s">
        <v>17</v>
      </c>
      <c r="B238" s="68" t="s">
        <v>855</v>
      </c>
      <c r="C238" s="69" t="s">
        <v>1204</v>
      </c>
      <c r="D238" s="70">
        <v>0.6388888888888888</v>
      </c>
      <c r="E238" s="214" t="s">
        <v>1215</v>
      </c>
      <c r="F238" s="79">
        <v>2.04299503190006E14</v>
      </c>
      <c r="G238" s="74" t="s">
        <v>1216</v>
      </c>
      <c r="H238" s="78">
        <v>18360.0</v>
      </c>
      <c r="I238" s="18" t="s">
        <v>182</v>
      </c>
      <c r="J238" s="37">
        <v>1.1998753149E10</v>
      </c>
      <c r="K238" s="37"/>
      <c r="R238" s="62"/>
    </row>
    <row r="239" ht="15.75" customHeight="1">
      <c r="A239" s="11" t="s">
        <v>85</v>
      </c>
      <c r="B239" s="68" t="s">
        <v>442</v>
      </c>
      <c r="C239" s="69" t="s">
        <v>1204</v>
      </c>
      <c r="D239" s="70">
        <v>0.6527777777777778</v>
      </c>
      <c r="E239" s="247" t="s">
        <v>1217</v>
      </c>
      <c r="F239" s="146">
        <v>7.0080692987189E14</v>
      </c>
      <c r="G239" s="74" t="s">
        <v>1218</v>
      </c>
      <c r="H239" s="86">
        <v>27288.0</v>
      </c>
      <c r="I239" s="18" t="s">
        <v>182</v>
      </c>
      <c r="J239" s="37">
        <v>1.1983645382E10</v>
      </c>
      <c r="K239" s="37">
        <v>1.1983668736E10</v>
      </c>
      <c r="L239" s="197" t="s">
        <v>520</v>
      </c>
      <c r="R239" s="62"/>
    </row>
    <row r="240" ht="15.75" customHeight="1">
      <c r="A240" s="11" t="s">
        <v>87</v>
      </c>
      <c r="B240" s="68" t="s">
        <v>974</v>
      </c>
      <c r="C240" s="69" t="s">
        <v>1204</v>
      </c>
      <c r="D240" s="70">
        <v>0.6666666666666666</v>
      </c>
      <c r="E240" s="218" t="s">
        <v>1219</v>
      </c>
      <c r="F240" s="149">
        <v>7.02303133015018E14</v>
      </c>
      <c r="G240" s="100" t="s">
        <v>1220</v>
      </c>
      <c r="H240" s="153">
        <v>13298.0</v>
      </c>
      <c r="I240" s="18" t="s">
        <v>182</v>
      </c>
      <c r="J240" s="37">
        <v>1.1965008625E10</v>
      </c>
      <c r="K240" s="37"/>
      <c r="R240" s="62"/>
    </row>
    <row r="241" ht="15.75" customHeight="1">
      <c r="A241" s="11" t="s">
        <v>90</v>
      </c>
      <c r="B241" s="68" t="s">
        <v>974</v>
      </c>
      <c r="C241" s="69" t="s">
        <v>1204</v>
      </c>
      <c r="D241" s="70">
        <v>0.6805555555555556</v>
      </c>
      <c r="E241" s="258" t="s">
        <v>918</v>
      </c>
      <c r="F241" s="127">
        <v>7.06801766211026E14</v>
      </c>
      <c r="G241" s="100" t="s">
        <v>1096</v>
      </c>
      <c r="H241" s="153">
        <v>15079.0</v>
      </c>
      <c r="I241" s="18" t="s">
        <v>182</v>
      </c>
      <c r="J241" s="37">
        <v>1.1911123061E10</v>
      </c>
      <c r="K241" s="37">
        <v>1.1971266379E10</v>
      </c>
      <c r="R241" s="62"/>
    </row>
    <row r="242" ht="15.75" customHeight="1">
      <c r="A242" s="11" t="s">
        <v>93</v>
      </c>
      <c r="B242" s="68"/>
      <c r="C242" s="69" t="s">
        <v>1204</v>
      </c>
      <c r="D242" s="70">
        <v>0.6944444444444444</v>
      </c>
      <c r="E242" s="258"/>
      <c r="F242" s="127"/>
      <c r="G242" s="85"/>
      <c r="H242" s="153"/>
      <c r="I242" s="18"/>
      <c r="J242" s="37"/>
      <c r="K242" s="37"/>
      <c r="L242" s="197" t="s">
        <v>520</v>
      </c>
      <c r="R242" s="62"/>
    </row>
    <row r="243" ht="15.75" customHeight="1">
      <c r="J243" s="62"/>
      <c r="K243" s="62"/>
      <c r="R243" s="62"/>
    </row>
    <row r="244" ht="15.75" customHeight="1">
      <c r="J244" s="62"/>
      <c r="K244" s="62"/>
      <c r="R244" s="62"/>
    </row>
    <row r="245" ht="15.75" customHeight="1">
      <c r="J245" s="62"/>
      <c r="K245" s="62"/>
      <c r="R245" s="62"/>
    </row>
    <row r="246" ht="15.75" customHeight="1">
      <c r="A246" s="20" t="s">
        <v>455</v>
      </c>
      <c r="B246" s="2"/>
      <c r="C246" s="2"/>
      <c r="D246" s="2"/>
      <c r="E246" s="2"/>
      <c r="F246" s="2"/>
      <c r="G246" s="2"/>
      <c r="H246" s="2"/>
      <c r="I246" s="2"/>
      <c r="J246" s="2"/>
      <c r="K246" s="3"/>
      <c r="R246" s="62"/>
    </row>
    <row r="247" ht="15.75" customHeight="1">
      <c r="A247" s="233" t="s">
        <v>1221</v>
      </c>
      <c r="B247" s="2"/>
      <c r="C247" s="2"/>
      <c r="D247" s="2"/>
      <c r="E247" s="2"/>
      <c r="F247" s="2"/>
      <c r="G247" s="2"/>
      <c r="H247" s="2"/>
      <c r="I247" s="2"/>
      <c r="J247" s="2"/>
      <c r="K247" s="3"/>
      <c r="R247" s="62"/>
    </row>
    <row r="248" ht="15.75" customHeight="1">
      <c r="A248" s="22"/>
      <c r="B248" s="23" t="s">
        <v>3</v>
      </c>
      <c r="C248" s="24" t="s">
        <v>2</v>
      </c>
      <c r="D248" s="25" t="s">
        <v>5</v>
      </c>
      <c r="E248" s="25" t="s">
        <v>19</v>
      </c>
      <c r="F248" s="25" t="s">
        <v>6</v>
      </c>
      <c r="G248" s="234" t="s">
        <v>7</v>
      </c>
      <c r="H248" s="27" t="s">
        <v>8</v>
      </c>
      <c r="I248" s="28" t="s">
        <v>20</v>
      </c>
      <c r="J248" s="25" t="s">
        <v>21</v>
      </c>
      <c r="K248" s="25" t="s">
        <v>22</v>
      </c>
      <c r="R248" s="62"/>
    </row>
    <row r="249" ht="15.75" customHeight="1">
      <c r="A249" s="11" t="s">
        <v>10</v>
      </c>
      <c r="B249" s="68" t="s">
        <v>219</v>
      </c>
      <c r="C249" s="348" t="s">
        <v>1222</v>
      </c>
      <c r="D249" s="70">
        <v>0.5416666666666666</v>
      </c>
      <c r="E249" s="79">
        <v>1.8671589811E10</v>
      </c>
      <c r="F249" s="79">
        <v>7.00006125903103E14</v>
      </c>
      <c r="G249" s="68" t="s">
        <v>1223</v>
      </c>
      <c r="H249" s="78">
        <v>19580.0</v>
      </c>
      <c r="I249" s="30" t="s">
        <v>182</v>
      </c>
      <c r="J249" s="97">
        <v>1.1954545188E10</v>
      </c>
      <c r="K249" s="97">
        <v>1.1949564834E10</v>
      </c>
      <c r="R249" s="62"/>
    </row>
    <row r="250" ht="15.75" customHeight="1">
      <c r="A250" s="11" t="s">
        <v>11</v>
      </c>
      <c r="B250" s="68" t="s">
        <v>219</v>
      </c>
      <c r="C250" s="348" t="s">
        <v>1222</v>
      </c>
      <c r="D250" s="70">
        <v>0.5555555555555556</v>
      </c>
      <c r="E250" s="71">
        <v>8.527901803E9</v>
      </c>
      <c r="F250" s="170">
        <v>8.35503006029827E14</v>
      </c>
      <c r="G250" s="68" t="s">
        <v>1224</v>
      </c>
      <c r="H250" s="72">
        <v>26284.0</v>
      </c>
      <c r="I250" s="30" t="s">
        <v>182</v>
      </c>
      <c r="J250" s="37">
        <v>1.1946425941E10</v>
      </c>
      <c r="K250" s="37">
        <v>5.8709404E7</v>
      </c>
      <c r="R250" s="62"/>
    </row>
    <row r="251" ht="15.75" customHeight="1">
      <c r="A251" s="11" t="s">
        <v>12</v>
      </c>
      <c r="B251" s="68" t="s">
        <v>1225</v>
      </c>
      <c r="C251" s="348" t="s">
        <v>1222</v>
      </c>
      <c r="D251" s="70">
        <v>0.5694444444444444</v>
      </c>
      <c r="E251" s="79">
        <v>1.0561842809E10</v>
      </c>
      <c r="F251" s="79">
        <v>8.98001402026317E14</v>
      </c>
      <c r="G251" s="74" t="s">
        <v>1226</v>
      </c>
      <c r="H251" s="78">
        <v>23364.0</v>
      </c>
      <c r="I251" s="18" t="s">
        <v>172</v>
      </c>
      <c r="J251" s="97">
        <v>1.1948616003E10</v>
      </c>
      <c r="K251" s="97">
        <v>1.1981989226E10</v>
      </c>
      <c r="R251" s="62"/>
    </row>
    <row r="252" ht="15.75" customHeight="1">
      <c r="A252" s="11" t="s">
        <v>13</v>
      </c>
      <c r="B252" s="68" t="s">
        <v>219</v>
      </c>
      <c r="C252" s="348" t="s">
        <v>1222</v>
      </c>
      <c r="D252" s="70">
        <v>0.5833333333333334</v>
      </c>
      <c r="E252" s="79">
        <v>4.1348168668E10</v>
      </c>
      <c r="F252" s="305">
        <v>7.02806106190465E14</v>
      </c>
      <c r="G252" s="74" t="s">
        <v>1227</v>
      </c>
      <c r="H252" s="78">
        <v>22460.0</v>
      </c>
      <c r="I252" s="30" t="s">
        <v>194</v>
      </c>
      <c r="J252" s="97">
        <v>1.1930160141E10</v>
      </c>
      <c r="K252" s="97">
        <v>1.1968032224E10</v>
      </c>
      <c r="R252" s="62"/>
    </row>
    <row r="253" ht="15.75" customHeight="1">
      <c r="A253" s="11" t="s">
        <v>14</v>
      </c>
      <c r="B253" s="68" t="s">
        <v>280</v>
      </c>
      <c r="C253" s="348" t="s">
        <v>1222</v>
      </c>
      <c r="D253" s="70">
        <v>0.5972222222222222</v>
      </c>
      <c r="E253" s="53">
        <v>2.4085375504E10</v>
      </c>
      <c r="F253" s="61">
        <v>7.08604507096884E14</v>
      </c>
      <c r="G253" s="54" t="s">
        <v>1084</v>
      </c>
      <c r="H253" s="261">
        <v>17719.0</v>
      </c>
      <c r="I253" s="30" t="s">
        <v>182</v>
      </c>
      <c r="J253" s="37">
        <v>1.1981421454E10</v>
      </c>
      <c r="K253" s="37"/>
      <c r="R253" s="62"/>
    </row>
    <row r="254" ht="15.75" customHeight="1">
      <c r="A254" s="11" t="s">
        <v>15</v>
      </c>
      <c r="B254" s="68" t="s">
        <v>219</v>
      </c>
      <c r="C254" s="348" t="s">
        <v>1222</v>
      </c>
      <c r="D254" s="70">
        <v>0.6111111111111112</v>
      </c>
      <c r="E254" s="79">
        <v>1.0035617802E10</v>
      </c>
      <c r="F254" s="305">
        <v>7.0240957480042E14</v>
      </c>
      <c r="G254" s="74" t="s">
        <v>1228</v>
      </c>
      <c r="H254" s="78">
        <v>24657.0</v>
      </c>
      <c r="I254" s="30" t="s">
        <v>182</v>
      </c>
      <c r="J254" s="37">
        <v>1.1984728472E10</v>
      </c>
      <c r="K254" s="37"/>
      <c r="R254" s="62"/>
    </row>
    <row r="255" ht="15.75" customHeight="1">
      <c r="A255" s="11" t="s">
        <v>16</v>
      </c>
      <c r="B255" s="68" t="s">
        <v>219</v>
      </c>
      <c r="C255" s="348" t="s">
        <v>1222</v>
      </c>
      <c r="D255" s="70">
        <v>0.625</v>
      </c>
      <c r="E255" s="79">
        <v>3.630111289E10</v>
      </c>
      <c r="F255" s="79">
        <v>8.01440414436364E14</v>
      </c>
      <c r="G255" s="74" t="s">
        <v>1229</v>
      </c>
      <c r="H255" s="78">
        <v>31506.0</v>
      </c>
      <c r="I255" s="30" t="s">
        <v>182</v>
      </c>
      <c r="J255" s="97">
        <v>1.1992922191E10</v>
      </c>
      <c r="K255" s="97"/>
      <c r="P255" s="197" t="s">
        <v>794</v>
      </c>
      <c r="R255" s="62"/>
    </row>
    <row r="256" ht="15.75" customHeight="1">
      <c r="A256" s="11" t="s">
        <v>17</v>
      </c>
      <c r="B256" s="68" t="s">
        <v>219</v>
      </c>
      <c r="C256" s="348" t="s">
        <v>1222</v>
      </c>
      <c r="D256" s="70">
        <v>0.6388888888888888</v>
      </c>
      <c r="E256" s="79">
        <v>1.025235843E9</v>
      </c>
      <c r="F256" s="79">
        <v>7.02804176548065E14</v>
      </c>
      <c r="G256" s="68" t="s">
        <v>1230</v>
      </c>
      <c r="H256" s="78">
        <v>18545.0</v>
      </c>
      <c r="I256" s="30" t="s">
        <v>182</v>
      </c>
      <c r="J256" s="37">
        <v>1.1977678464E10</v>
      </c>
      <c r="K256" s="37"/>
      <c r="R256" s="62"/>
    </row>
    <row r="257" ht="15.75" customHeight="1">
      <c r="A257" s="11" t="s">
        <v>85</v>
      </c>
      <c r="B257" s="68" t="s">
        <v>219</v>
      </c>
      <c r="C257" s="348" t="s">
        <v>1222</v>
      </c>
      <c r="D257" s="70">
        <v>0.6527777777777778</v>
      </c>
      <c r="E257" s="247" t="s">
        <v>1231</v>
      </c>
      <c r="F257" s="146">
        <v>7.06201513186169E14</v>
      </c>
      <c r="G257" s="169" t="s">
        <v>1232</v>
      </c>
      <c r="H257" s="349">
        <v>15995.0</v>
      </c>
      <c r="I257" s="30" t="s">
        <v>194</v>
      </c>
      <c r="J257" s="80">
        <v>1.1965779615E10</v>
      </c>
      <c r="K257" s="37">
        <v>1.1982763291E10</v>
      </c>
      <c r="R257" s="62"/>
    </row>
    <row r="258" ht="15.75" customHeight="1">
      <c r="A258" s="11" t="s">
        <v>87</v>
      </c>
      <c r="B258" s="68" t="s">
        <v>219</v>
      </c>
      <c r="C258" s="348" t="s">
        <v>1222</v>
      </c>
      <c r="D258" s="70">
        <v>0.6666666666666666</v>
      </c>
      <c r="E258" s="149">
        <v>1.2468878E7</v>
      </c>
      <c r="F258" s="149">
        <v>7.03009848782175E14</v>
      </c>
      <c r="G258" s="173" t="s">
        <v>1233</v>
      </c>
      <c r="H258" s="153">
        <v>20637.0</v>
      </c>
      <c r="I258" s="30" t="s">
        <v>182</v>
      </c>
      <c r="J258" s="37">
        <v>1.1958756494E10</v>
      </c>
      <c r="K258" s="37">
        <v>1.158721814E9</v>
      </c>
      <c r="R258" s="62"/>
    </row>
    <row r="259" ht="15.75" customHeight="1">
      <c r="A259" s="11" t="s">
        <v>90</v>
      </c>
      <c r="B259" s="68" t="s">
        <v>219</v>
      </c>
      <c r="C259" s="348" t="s">
        <v>1222</v>
      </c>
      <c r="D259" s="70">
        <v>0.6805555555555556</v>
      </c>
      <c r="E259" s="127">
        <v>9.9000393868E10</v>
      </c>
      <c r="F259" s="127">
        <v>8.01440405389693E14</v>
      </c>
      <c r="G259" s="173" t="s">
        <v>1234</v>
      </c>
      <c r="H259" s="153">
        <v>19960.0</v>
      </c>
      <c r="I259" s="30" t="s">
        <v>182</v>
      </c>
      <c r="J259" s="37">
        <v>1.1965045146E10</v>
      </c>
      <c r="K259" s="37">
        <v>1.155141807E9</v>
      </c>
      <c r="R259" s="62"/>
    </row>
    <row r="260" ht="15.75" customHeight="1">
      <c r="A260" s="11" t="s">
        <v>93</v>
      </c>
      <c r="B260" s="68" t="s">
        <v>219</v>
      </c>
      <c r="C260" s="348" t="s">
        <v>1222</v>
      </c>
      <c r="D260" s="70">
        <v>0.6944444444444444</v>
      </c>
      <c r="E260" s="127"/>
      <c r="F260" s="127">
        <v>2.01152801750018E14</v>
      </c>
      <c r="G260" s="173" t="s">
        <v>1235</v>
      </c>
      <c r="H260" s="153">
        <v>25693.0</v>
      </c>
      <c r="I260" s="30" t="s">
        <v>182</v>
      </c>
      <c r="J260" s="37">
        <v>1.1953823567E10</v>
      </c>
      <c r="K260" s="37">
        <v>5.8719886E7</v>
      </c>
      <c r="R260" s="62"/>
    </row>
    <row r="261" ht="15.75" customHeight="1">
      <c r="J261" s="62"/>
      <c r="K261" s="62"/>
      <c r="R261" s="62"/>
    </row>
    <row r="262" ht="15.75" customHeight="1">
      <c r="J262" s="62"/>
      <c r="K262" s="62"/>
      <c r="R262" s="62"/>
    </row>
    <row r="263" ht="15.75" customHeight="1">
      <c r="A263" s="350" t="s">
        <v>455</v>
      </c>
      <c r="B263" s="2"/>
      <c r="C263" s="2"/>
      <c r="D263" s="2"/>
      <c r="E263" s="2"/>
      <c r="F263" s="2"/>
      <c r="G263" s="2"/>
      <c r="H263" s="2"/>
      <c r="I263" s="2"/>
      <c r="J263" s="2"/>
      <c r="K263" s="3"/>
      <c r="R263" s="62"/>
    </row>
    <row r="264" ht="15.75" customHeight="1">
      <c r="A264" s="233" t="s">
        <v>1236</v>
      </c>
      <c r="B264" s="2"/>
      <c r="C264" s="2"/>
      <c r="D264" s="2"/>
      <c r="E264" s="2"/>
      <c r="F264" s="2"/>
      <c r="G264" s="2"/>
      <c r="H264" s="2"/>
      <c r="I264" s="2"/>
      <c r="J264" s="2"/>
      <c r="K264" s="3"/>
      <c r="R264" s="62"/>
    </row>
    <row r="265" ht="15.75" customHeight="1">
      <c r="A265" s="22"/>
      <c r="B265" s="23" t="s">
        <v>3</v>
      </c>
      <c r="C265" s="24" t="s">
        <v>2</v>
      </c>
      <c r="D265" s="25" t="s">
        <v>5</v>
      </c>
      <c r="E265" s="25" t="s">
        <v>19</v>
      </c>
      <c r="F265" s="25" t="s">
        <v>6</v>
      </c>
      <c r="G265" s="234" t="s">
        <v>7</v>
      </c>
      <c r="H265" s="27" t="s">
        <v>8</v>
      </c>
      <c r="I265" s="28" t="s">
        <v>20</v>
      </c>
      <c r="J265" s="25" t="s">
        <v>21</v>
      </c>
      <c r="K265" s="25" t="s">
        <v>22</v>
      </c>
      <c r="R265" s="62"/>
    </row>
    <row r="266" ht="15.75" customHeight="1">
      <c r="A266" s="11" t="s">
        <v>10</v>
      </c>
      <c r="B266" s="68" t="s">
        <v>398</v>
      </c>
      <c r="C266" s="69" t="s">
        <v>380</v>
      </c>
      <c r="D266" s="70">
        <v>0.5416666666666666</v>
      </c>
      <c r="E266" s="79">
        <v>2.6399039851E10</v>
      </c>
      <c r="F266" s="79">
        <v>7.05209481313275E14</v>
      </c>
      <c r="G266" s="74" t="s">
        <v>1237</v>
      </c>
      <c r="H266" s="78">
        <v>19989.0</v>
      </c>
      <c r="I266" s="30" t="s">
        <v>182</v>
      </c>
      <c r="J266" s="97">
        <v>1.1960173884E10</v>
      </c>
      <c r="K266" s="97"/>
      <c r="R266" s="62"/>
    </row>
    <row r="267" ht="15.75" customHeight="1">
      <c r="A267" s="11" t="s">
        <v>11</v>
      </c>
      <c r="B267" s="68" t="s">
        <v>275</v>
      </c>
      <c r="C267" s="69" t="s">
        <v>380</v>
      </c>
      <c r="D267" s="70">
        <v>0.5555555555555556</v>
      </c>
      <c r="E267" s="79">
        <v>2.3398095844E10</v>
      </c>
      <c r="F267" s="79">
        <v>7.06504364489696E14</v>
      </c>
      <c r="G267" s="74" t="s">
        <v>1238</v>
      </c>
      <c r="H267" s="78">
        <v>28043.0</v>
      </c>
      <c r="I267" s="30" t="s">
        <v>182</v>
      </c>
      <c r="J267" s="97">
        <v>1.1965471448E10</v>
      </c>
      <c r="K267" s="37"/>
      <c r="R267" s="62"/>
    </row>
    <row r="268" ht="15.75" customHeight="1">
      <c r="A268" s="11" t="s">
        <v>12</v>
      </c>
      <c r="B268" s="68" t="s">
        <v>275</v>
      </c>
      <c r="C268" s="69" t="s">
        <v>380</v>
      </c>
      <c r="D268" s="70">
        <v>0.5694444444444444</v>
      </c>
      <c r="E268" s="79">
        <v>9.4255873534E10</v>
      </c>
      <c r="F268" s="79">
        <v>7.06308744086173E14</v>
      </c>
      <c r="G268" s="74" t="s">
        <v>1239</v>
      </c>
      <c r="H268" s="78">
        <v>18838.0</v>
      </c>
      <c r="I268" s="30" t="s">
        <v>182</v>
      </c>
      <c r="J268" s="97">
        <v>9.58075284E8</v>
      </c>
      <c r="K268" s="97">
        <v>1.1964489816E10</v>
      </c>
      <c r="R268" s="62"/>
    </row>
    <row r="269" ht="15.75" customHeight="1">
      <c r="A269" s="11" t="s">
        <v>13</v>
      </c>
      <c r="B269" s="68" t="s">
        <v>928</v>
      </c>
      <c r="C269" s="69" t="s">
        <v>380</v>
      </c>
      <c r="D269" s="70">
        <v>0.5833333333333334</v>
      </c>
      <c r="E269" s="79">
        <v>2.2021152855E10</v>
      </c>
      <c r="F269" s="79">
        <v>8.98002347889895E14</v>
      </c>
      <c r="G269" s="74" t="s">
        <v>1240</v>
      </c>
      <c r="H269" s="78">
        <v>17458.0</v>
      </c>
      <c r="I269" s="30" t="s">
        <v>182</v>
      </c>
      <c r="J269" s="97">
        <v>1.1976831375E10</v>
      </c>
      <c r="K269" s="97">
        <v>1.1911217278E10</v>
      </c>
      <c r="R269" s="62"/>
    </row>
    <row r="270" ht="15.75" customHeight="1">
      <c r="A270" s="11" t="s">
        <v>14</v>
      </c>
      <c r="B270" s="68" t="s">
        <v>667</v>
      </c>
      <c r="C270" s="69" t="s">
        <v>380</v>
      </c>
      <c r="D270" s="70">
        <v>0.5972222222222222</v>
      </c>
      <c r="E270" s="79">
        <v>7.594017803E9</v>
      </c>
      <c r="F270" s="79">
        <v>7.0310589677016E14</v>
      </c>
      <c r="G270" s="74" t="s">
        <v>1241</v>
      </c>
      <c r="H270" s="78">
        <v>19429.0</v>
      </c>
      <c r="I270" s="30" t="s">
        <v>182</v>
      </c>
      <c r="J270" s="97">
        <v>1.1993050173E10</v>
      </c>
      <c r="K270" s="37">
        <v>1.1976924214E10</v>
      </c>
      <c r="R270" s="62"/>
    </row>
    <row r="271" ht="15.75" customHeight="1">
      <c r="A271" s="11" t="s">
        <v>15</v>
      </c>
      <c r="B271" s="68" t="s">
        <v>280</v>
      </c>
      <c r="C271" s="69" t="s">
        <v>380</v>
      </c>
      <c r="D271" s="70">
        <v>0.6111111111111112</v>
      </c>
      <c r="E271" s="79">
        <v>6.9422885868E10</v>
      </c>
      <c r="F271" s="79">
        <v>8.01440487416681E14</v>
      </c>
      <c r="G271" s="74" t="s">
        <v>1242</v>
      </c>
      <c r="H271" s="78">
        <v>18564.0</v>
      </c>
      <c r="I271" s="30" t="s">
        <v>194</v>
      </c>
      <c r="J271" s="37">
        <v>1.1954753579E10</v>
      </c>
      <c r="K271" s="37">
        <v>1.1989160116E10</v>
      </c>
      <c r="R271" s="62"/>
    </row>
    <row r="272" ht="15.75" customHeight="1">
      <c r="A272" s="11" t="s">
        <v>16</v>
      </c>
      <c r="B272" s="68" t="s">
        <v>928</v>
      </c>
      <c r="C272" s="69" t="s">
        <v>380</v>
      </c>
      <c r="D272" s="70">
        <v>0.625</v>
      </c>
      <c r="E272" s="79">
        <v>3.76123788E9</v>
      </c>
      <c r="F272" s="79">
        <v>7.02400526742426E14</v>
      </c>
      <c r="G272" s="74" t="s">
        <v>1243</v>
      </c>
      <c r="H272" s="78">
        <v>21303.0</v>
      </c>
      <c r="I272" s="30" t="s">
        <v>194</v>
      </c>
      <c r="J272" s="97">
        <v>1.1977110573E10</v>
      </c>
      <c r="K272" s="97"/>
      <c r="R272" s="62"/>
    </row>
    <row r="273" ht="15.75" customHeight="1">
      <c r="A273" s="11" t="s">
        <v>17</v>
      </c>
      <c r="B273" s="68" t="s">
        <v>667</v>
      </c>
      <c r="C273" s="69" t="s">
        <v>380</v>
      </c>
      <c r="D273" s="70">
        <v>0.6388888888888888</v>
      </c>
      <c r="E273" s="79">
        <v>9.8643215872E10</v>
      </c>
      <c r="F273" s="79">
        <v>7.00005715859802E14</v>
      </c>
      <c r="G273" s="74" t="s">
        <v>1244</v>
      </c>
      <c r="H273" s="78">
        <v>21491.0</v>
      </c>
      <c r="I273" s="30" t="s">
        <v>182</v>
      </c>
      <c r="J273" s="37">
        <v>1.1957872444E10</v>
      </c>
      <c r="K273" s="37">
        <v>1.158211067E9</v>
      </c>
      <c r="R273" s="62"/>
    </row>
    <row r="274" ht="15.75" customHeight="1">
      <c r="A274" s="11" t="s">
        <v>85</v>
      </c>
      <c r="B274" s="68"/>
      <c r="C274" s="69" t="s">
        <v>380</v>
      </c>
      <c r="D274" s="70">
        <v>0.6527777777777778</v>
      </c>
      <c r="E274" s="146"/>
      <c r="F274" s="146"/>
      <c r="G274" s="297"/>
      <c r="H274" s="86"/>
      <c r="I274" s="18"/>
      <c r="J274" s="37"/>
      <c r="K274" s="37"/>
      <c r="R274" s="62"/>
    </row>
    <row r="275" ht="15.75" customHeight="1">
      <c r="A275" s="11" t="s">
        <v>87</v>
      </c>
      <c r="B275" s="68"/>
      <c r="C275" s="69" t="s">
        <v>380</v>
      </c>
      <c r="D275" s="70">
        <v>0.6666666666666666</v>
      </c>
      <c r="E275" s="149"/>
      <c r="F275" s="149"/>
      <c r="G275" s="100"/>
      <c r="H275" s="153"/>
      <c r="I275" s="18"/>
      <c r="J275" s="37"/>
      <c r="K275" s="37"/>
      <c r="R275" s="62"/>
    </row>
    <row r="276" ht="15.75" customHeight="1">
      <c r="A276" s="11" t="s">
        <v>90</v>
      </c>
      <c r="B276" s="68"/>
      <c r="C276" s="69" t="s">
        <v>380</v>
      </c>
      <c r="D276" s="70">
        <v>0.6805555555555556</v>
      </c>
      <c r="E276" s="127"/>
      <c r="F276" s="127"/>
      <c r="G276" s="100"/>
      <c r="H276" s="153"/>
      <c r="I276" s="18"/>
      <c r="J276" s="37"/>
      <c r="K276" s="37"/>
      <c r="R276" s="62"/>
    </row>
    <row r="277" ht="15.75" customHeight="1">
      <c r="A277" s="11" t="s">
        <v>93</v>
      </c>
      <c r="B277" s="68"/>
      <c r="C277" s="69" t="s">
        <v>380</v>
      </c>
      <c r="D277" s="70">
        <v>0.6944444444444444</v>
      </c>
      <c r="E277" s="127"/>
      <c r="F277" s="127"/>
      <c r="G277" s="166"/>
      <c r="H277" s="153"/>
      <c r="I277" s="18"/>
      <c r="J277" s="37"/>
      <c r="K277" s="37"/>
      <c r="R277" s="62"/>
    </row>
    <row r="278" ht="15.75" customHeight="1">
      <c r="J278" s="62"/>
      <c r="K278" s="62"/>
      <c r="R278" s="62"/>
    </row>
    <row r="279" ht="15.75" customHeight="1">
      <c r="J279" s="62"/>
      <c r="K279" s="62"/>
      <c r="R279" s="62"/>
    </row>
    <row r="280" ht="15.75" customHeight="1">
      <c r="J280" s="62"/>
      <c r="K280" s="62"/>
      <c r="R280" s="62"/>
    </row>
    <row r="281" ht="15.75" customHeight="1">
      <c r="J281" s="62"/>
      <c r="K281" s="62"/>
      <c r="R281" s="62"/>
    </row>
    <row r="282" ht="15.75" customHeight="1">
      <c r="A282" s="20" t="s">
        <v>1245</v>
      </c>
      <c r="B282" s="2"/>
      <c r="C282" s="2"/>
      <c r="D282" s="2"/>
      <c r="E282" s="2"/>
      <c r="F282" s="2"/>
      <c r="G282" s="2"/>
      <c r="H282" s="2"/>
      <c r="I282" s="2"/>
      <c r="J282" s="2"/>
      <c r="K282" s="3"/>
      <c r="R282" s="62"/>
    </row>
    <row r="283" ht="15.75" customHeight="1">
      <c r="A283" s="233" t="s">
        <v>1236</v>
      </c>
      <c r="B283" s="2"/>
      <c r="C283" s="2"/>
      <c r="D283" s="2"/>
      <c r="E283" s="2"/>
      <c r="F283" s="2"/>
      <c r="G283" s="2"/>
      <c r="H283" s="2"/>
      <c r="I283" s="2"/>
      <c r="J283" s="2"/>
      <c r="K283" s="3"/>
      <c r="R283" s="62"/>
    </row>
    <row r="284" ht="15.75" customHeight="1">
      <c r="A284" s="22"/>
      <c r="B284" s="23" t="s">
        <v>3</v>
      </c>
      <c r="C284" s="24" t="s">
        <v>2</v>
      </c>
      <c r="D284" s="25" t="s">
        <v>5</v>
      </c>
      <c r="E284" s="25" t="s">
        <v>19</v>
      </c>
      <c r="F284" s="25" t="s">
        <v>6</v>
      </c>
      <c r="G284" s="234" t="s">
        <v>7</v>
      </c>
      <c r="H284" s="27" t="s">
        <v>8</v>
      </c>
      <c r="I284" s="28" t="s">
        <v>20</v>
      </c>
      <c r="J284" s="25" t="s">
        <v>21</v>
      </c>
      <c r="K284" s="25" t="s">
        <v>22</v>
      </c>
      <c r="R284" s="62"/>
    </row>
    <row r="285" ht="15.75" customHeight="1">
      <c r="A285" s="11" t="s">
        <v>10</v>
      </c>
      <c r="B285" s="68" t="s">
        <v>1246</v>
      </c>
      <c r="C285" s="351" t="s">
        <v>1247</v>
      </c>
      <c r="D285" s="70">
        <v>0.5416666666666666</v>
      </c>
      <c r="E285" s="79">
        <v>2.6237598553E10</v>
      </c>
      <c r="F285" s="79">
        <v>7.00209478090626E14</v>
      </c>
      <c r="G285" s="220" t="s">
        <v>1248</v>
      </c>
      <c r="H285" s="78">
        <v>17925.0</v>
      </c>
      <c r="I285" s="18" t="s">
        <v>182</v>
      </c>
      <c r="J285" s="97">
        <v>1.1957607927E10</v>
      </c>
      <c r="K285" s="97">
        <v>1.194914212E10</v>
      </c>
      <c r="R285" s="62"/>
    </row>
    <row r="286" ht="15.75" customHeight="1">
      <c r="A286" s="11" t="s">
        <v>11</v>
      </c>
      <c r="B286" s="68" t="s">
        <v>432</v>
      </c>
      <c r="C286" s="351" t="s">
        <v>1247</v>
      </c>
      <c r="D286" s="70">
        <v>0.5555555555555556</v>
      </c>
      <c r="E286" s="71">
        <v>5.7921946453E10</v>
      </c>
      <c r="F286" s="170">
        <v>7.01205026168117E14</v>
      </c>
      <c r="G286" s="186" t="s">
        <v>1249</v>
      </c>
      <c r="H286" s="72">
        <v>16442.0</v>
      </c>
      <c r="I286" s="18" t="s">
        <v>182</v>
      </c>
      <c r="J286" s="37">
        <v>1.1957671039E10</v>
      </c>
      <c r="K286" s="37">
        <v>1.158963193E9</v>
      </c>
      <c r="R286" s="62"/>
    </row>
    <row r="287" ht="15.75" customHeight="1">
      <c r="A287" s="11" t="s">
        <v>12</v>
      </c>
      <c r="B287" s="206" t="s">
        <v>273</v>
      </c>
      <c r="C287" s="351" t="s">
        <v>1247</v>
      </c>
      <c r="D287" s="70">
        <v>0.5694444444444444</v>
      </c>
      <c r="E287" s="79">
        <v>6.3693615853E10</v>
      </c>
      <c r="F287" s="79">
        <v>7.00009767338807E14</v>
      </c>
      <c r="G287" s="306" t="s">
        <v>1095</v>
      </c>
      <c r="H287" s="78">
        <v>16409.0</v>
      </c>
      <c r="I287" s="18" t="s">
        <v>194</v>
      </c>
      <c r="J287" s="97">
        <v>1.1959947088E10</v>
      </c>
      <c r="K287" s="97">
        <v>5.8348828E7</v>
      </c>
      <c r="R287" s="62"/>
    </row>
    <row r="288" ht="15.75" customHeight="1">
      <c r="A288" s="11" t="s">
        <v>13</v>
      </c>
      <c r="B288" s="68" t="s">
        <v>587</v>
      </c>
      <c r="C288" s="351" t="s">
        <v>1247</v>
      </c>
      <c r="D288" s="70">
        <v>0.5833333333333334</v>
      </c>
      <c r="E288" s="79">
        <v>3.4408476838E10</v>
      </c>
      <c r="F288" s="79">
        <v>8.01440422924704E14</v>
      </c>
      <c r="G288" s="74" t="s">
        <v>1172</v>
      </c>
      <c r="H288" s="78">
        <v>25826.0</v>
      </c>
      <c r="I288" s="18" t="s">
        <v>182</v>
      </c>
      <c r="J288" s="97">
        <v>1.1985833441E10</v>
      </c>
      <c r="K288" s="97">
        <v>1.1981461925E10</v>
      </c>
      <c r="R288" s="62"/>
    </row>
    <row r="289" ht="15.75" customHeight="1">
      <c r="A289" s="11" t="s">
        <v>14</v>
      </c>
      <c r="B289" s="68"/>
      <c r="C289" s="351" t="s">
        <v>1247</v>
      </c>
      <c r="D289" s="70">
        <v>0.5972222222222222</v>
      </c>
      <c r="E289" s="146"/>
      <c r="F289" s="146"/>
      <c r="G289" s="307"/>
      <c r="H289" s="72"/>
      <c r="I289" s="18"/>
      <c r="J289" s="37"/>
      <c r="K289" s="37"/>
      <c r="R289" s="62"/>
    </row>
    <row r="290" ht="15.75" customHeight="1">
      <c r="A290" s="11" t="s">
        <v>15</v>
      </c>
      <c r="B290" s="68" t="s">
        <v>1054</v>
      </c>
      <c r="C290" s="351" t="s">
        <v>1247</v>
      </c>
      <c r="D290" s="70">
        <v>0.6111111111111112</v>
      </c>
      <c r="E290" s="79">
        <v>2.3507029871E10</v>
      </c>
      <c r="F290" s="79">
        <v>8.01440437517913E14</v>
      </c>
      <c r="G290" s="307" t="s">
        <v>1129</v>
      </c>
      <c r="H290" s="78">
        <v>24502.0</v>
      </c>
      <c r="I290" s="18" t="s">
        <v>182</v>
      </c>
      <c r="J290" s="37">
        <v>1.1979977452E10</v>
      </c>
      <c r="K290" s="37">
        <v>1.1948106443E10</v>
      </c>
      <c r="R290" s="62"/>
    </row>
    <row r="291" ht="15.75" customHeight="1">
      <c r="A291" s="11" t="s">
        <v>16</v>
      </c>
      <c r="B291" s="68" t="s">
        <v>432</v>
      </c>
      <c r="C291" s="351" t="s">
        <v>1247</v>
      </c>
      <c r="D291" s="70">
        <v>0.625</v>
      </c>
      <c r="E291" s="79">
        <v>4.8203799841E10</v>
      </c>
      <c r="F291" s="79">
        <v>8.98000082143813E14</v>
      </c>
      <c r="G291" s="307" t="s">
        <v>142</v>
      </c>
      <c r="H291" s="78">
        <v>35587.0</v>
      </c>
      <c r="I291" s="18" t="s">
        <v>182</v>
      </c>
      <c r="J291" s="97">
        <v>1.1958679154E10</v>
      </c>
      <c r="K291" s="97">
        <v>1.1957220863E10</v>
      </c>
      <c r="R291" s="62"/>
    </row>
    <row r="292" ht="15.75" customHeight="1">
      <c r="A292" s="11" t="s">
        <v>17</v>
      </c>
      <c r="B292" s="68"/>
      <c r="C292" s="351" t="s">
        <v>1247</v>
      </c>
      <c r="D292" s="70">
        <v>0.6388888888888888</v>
      </c>
      <c r="E292" s="79"/>
      <c r="F292" s="79"/>
      <c r="G292" s="307"/>
      <c r="H292" s="78"/>
      <c r="I292" s="18"/>
      <c r="J292" s="37"/>
      <c r="K292" s="37"/>
      <c r="R292" s="62"/>
    </row>
    <row r="293" ht="15.75" customHeight="1">
      <c r="A293" s="11" t="s">
        <v>85</v>
      </c>
      <c r="B293" s="68"/>
      <c r="C293" s="351" t="s">
        <v>1247</v>
      </c>
      <c r="D293" s="70">
        <v>0.6527777777777778</v>
      </c>
      <c r="E293" s="146"/>
      <c r="F293" s="146"/>
      <c r="G293" s="307"/>
      <c r="H293" s="86"/>
      <c r="I293" s="18"/>
      <c r="J293" s="37"/>
      <c r="K293" s="37"/>
      <c r="R293" s="62"/>
    </row>
    <row r="294" ht="15.75" customHeight="1">
      <c r="A294" s="11" t="s">
        <v>87</v>
      </c>
      <c r="B294" s="68"/>
      <c r="C294" s="351" t="s">
        <v>1247</v>
      </c>
      <c r="D294" s="70">
        <v>0.6666666666666666</v>
      </c>
      <c r="E294" s="149"/>
      <c r="F294" s="149"/>
      <c r="G294" s="307"/>
      <c r="H294" s="153"/>
      <c r="I294" s="18"/>
      <c r="J294" s="37"/>
      <c r="K294" s="37"/>
      <c r="R294" s="62"/>
    </row>
    <row r="295" ht="15.75" customHeight="1">
      <c r="A295" s="11" t="s">
        <v>90</v>
      </c>
      <c r="B295" s="68"/>
      <c r="C295" s="351" t="s">
        <v>1247</v>
      </c>
      <c r="D295" s="70">
        <v>0.6805555555555556</v>
      </c>
      <c r="E295" s="127"/>
      <c r="F295" s="127"/>
      <c r="G295" s="307"/>
      <c r="H295" s="153"/>
      <c r="I295" s="18"/>
      <c r="J295" s="37"/>
      <c r="K295" s="37"/>
      <c r="R295" s="62"/>
    </row>
    <row r="296" ht="15.75" customHeight="1">
      <c r="A296" s="11" t="s">
        <v>93</v>
      </c>
      <c r="B296" s="68"/>
      <c r="C296" s="351" t="s">
        <v>1247</v>
      </c>
      <c r="D296" s="70">
        <v>0.6944444444444444</v>
      </c>
      <c r="E296" s="127"/>
      <c r="F296" s="127"/>
      <c r="G296" s="307"/>
      <c r="H296" s="153"/>
      <c r="I296" s="18"/>
      <c r="J296" s="37"/>
      <c r="K296" s="37"/>
      <c r="R296" s="62"/>
    </row>
    <row r="297" ht="15.75" customHeight="1">
      <c r="J297" s="62"/>
      <c r="K297" s="62"/>
      <c r="R297" s="62"/>
    </row>
    <row r="298" ht="15.75" customHeight="1">
      <c r="J298" s="62"/>
      <c r="K298" s="62"/>
      <c r="R298" s="62"/>
    </row>
    <row r="299" ht="15.75" customHeight="1">
      <c r="J299" s="62"/>
      <c r="K299" s="62"/>
      <c r="R299" s="62"/>
    </row>
    <row r="300" ht="15.75" customHeight="1">
      <c r="J300" s="62"/>
      <c r="K300" s="62"/>
      <c r="R300" s="62"/>
    </row>
    <row r="301" ht="15.75" customHeight="1">
      <c r="A301" s="20" t="s">
        <v>1245</v>
      </c>
      <c r="B301" s="2"/>
      <c r="C301" s="2"/>
      <c r="D301" s="2"/>
      <c r="E301" s="2"/>
      <c r="F301" s="2"/>
      <c r="G301" s="2"/>
      <c r="H301" s="2"/>
      <c r="I301" s="2"/>
      <c r="J301" s="2"/>
      <c r="K301" s="3"/>
      <c r="R301" s="62"/>
    </row>
    <row r="302" ht="15.75" customHeight="1">
      <c r="A302" s="233" t="s">
        <v>1250</v>
      </c>
      <c r="B302" s="2"/>
      <c r="C302" s="2"/>
      <c r="D302" s="2"/>
      <c r="E302" s="2"/>
      <c r="F302" s="2"/>
      <c r="G302" s="2"/>
      <c r="H302" s="2"/>
      <c r="I302" s="2"/>
      <c r="J302" s="2"/>
      <c r="K302" s="3"/>
      <c r="R302" s="62"/>
    </row>
    <row r="303" ht="15.75" customHeight="1">
      <c r="A303" s="22"/>
      <c r="B303" s="23" t="s">
        <v>3</v>
      </c>
      <c r="C303" s="24" t="s">
        <v>2</v>
      </c>
      <c r="D303" s="25" t="s">
        <v>5</v>
      </c>
      <c r="E303" s="25" t="s">
        <v>19</v>
      </c>
      <c r="F303" s="25" t="s">
        <v>6</v>
      </c>
      <c r="G303" s="234" t="s">
        <v>7</v>
      </c>
      <c r="H303" s="27" t="s">
        <v>8</v>
      </c>
      <c r="I303" s="28" t="s">
        <v>20</v>
      </c>
      <c r="J303" s="25" t="s">
        <v>21</v>
      </c>
      <c r="K303" s="25" t="s">
        <v>22</v>
      </c>
      <c r="R303" s="62"/>
    </row>
    <row r="304" ht="15.75" customHeight="1">
      <c r="A304" s="11" t="s">
        <v>13</v>
      </c>
      <c r="B304" s="68" t="s">
        <v>270</v>
      </c>
      <c r="C304" s="351" t="s">
        <v>1152</v>
      </c>
      <c r="D304" s="352">
        <v>0.5416666666666666</v>
      </c>
      <c r="E304" s="79">
        <v>2.3092075862E10</v>
      </c>
      <c r="F304" s="79">
        <v>7.00704970842777E14</v>
      </c>
      <c r="G304" s="220" t="s">
        <v>1251</v>
      </c>
      <c r="H304" s="78">
        <v>13386.0</v>
      </c>
      <c r="I304" s="18" t="s">
        <v>182</v>
      </c>
      <c r="J304" s="97">
        <v>1.1949845044E10</v>
      </c>
      <c r="K304" s="97"/>
      <c r="R304" s="62"/>
    </row>
    <row r="305" ht="15.75" customHeight="1">
      <c r="A305" s="11" t="s">
        <v>11</v>
      </c>
      <c r="B305" s="68" t="s">
        <v>270</v>
      </c>
      <c r="C305" s="351" t="s">
        <v>1152</v>
      </c>
      <c r="D305" s="352">
        <v>0.5555555555555556</v>
      </c>
      <c r="E305" s="71">
        <v>1.1194589863E10</v>
      </c>
      <c r="F305" s="170">
        <v>7.0250778358624E14</v>
      </c>
      <c r="G305" s="220" t="s">
        <v>1045</v>
      </c>
      <c r="H305" s="78">
        <v>24714.0</v>
      </c>
      <c r="I305" s="18" t="s">
        <v>182</v>
      </c>
      <c r="J305" s="37">
        <v>1.1983616166E10</v>
      </c>
      <c r="K305" s="37">
        <v>1.1980537535E10</v>
      </c>
      <c r="R305" s="62"/>
    </row>
    <row r="306" ht="15.75" customHeight="1">
      <c r="A306" s="11" t="s">
        <v>12</v>
      </c>
      <c r="B306" s="68" t="s">
        <v>1252</v>
      </c>
      <c r="C306" s="351" t="s">
        <v>1152</v>
      </c>
      <c r="D306" s="352">
        <v>0.5694444444444444</v>
      </c>
      <c r="E306" s="79">
        <v>7.396479894E9</v>
      </c>
      <c r="F306" s="79">
        <v>8.01440407026229E14</v>
      </c>
      <c r="G306" s="220" t="s">
        <v>1253</v>
      </c>
      <c r="H306" s="78">
        <v>23063.0</v>
      </c>
      <c r="I306" s="18" t="s">
        <v>172</v>
      </c>
      <c r="J306" s="97">
        <v>1.1976752184E10</v>
      </c>
      <c r="K306" s="97">
        <v>1.1968166799E10</v>
      </c>
      <c r="R306" s="62"/>
    </row>
    <row r="307" ht="15.75" customHeight="1">
      <c r="A307" s="11" t="s">
        <v>14</v>
      </c>
      <c r="B307" s="353" t="s">
        <v>69</v>
      </c>
      <c r="C307" s="351" t="s">
        <v>1152</v>
      </c>
      <c r="D307" s="352">
        <v>0.5972222222222222</v>
      </c>
      <c r="E307" s="146">
        <v>2.8393848415E10</v>
      </c>
      <c r="F307" s="146">
        <v>7.04006859561669E14</v>
      </c>
      <c r="G307" s="220" t="s">
        <v>1254</v>
      </c>
      <c r="H307" s="78">
        <v>17448.0</v>
      </c>
      <c r="I307" s="18" t="s">
        <v>182</v>
      </c>
      <c r="J307" s="37">
        <v>1.1952536813E10</v>
      </c>
      <c r="K307" s="37">
        <v>1.1998156068E10</v>
      </c>
      <c r="R307" s="62"/>
    </row>
    <row r="308" ht="15.75" customHeight="1">
      <c r="A308" s="11" t="s">
        <v>15</v>
      </c>
      <c r="B308" s="68" t="s">
        <v>270</v>
      </c>
      <c r="C308" s="351" t="s">
        <v>1152</v>
      </c>
      <c r="D308" s="352">
        <v>0.6111111111111112</v>
      </c>
      <c r="E308" s="79">
        <v>6.1281875872E10</v>
      </c>
      <c r="F308" s="79">
        <v>7.08909785921117E14</v>
      </c>
      <c r="G308" s="220" t="s">
        <v>1255</v>
      </c>
      <c r="H308" s="78">
        <v>15751.0</v>
      </c>
      <c r="I308" s="18" t="s">
        <v>182</v>
      </c>
      <c r="J308" s="37">
        <v>1.1991856084E10</v>
      </c>
      <c r="K308" s="37">
        <v>1.1970512347E10</v>
      </c>
      <c r="R308" s="62"/>
    </row>
    <row r="309" ht="15.75" customHeight="1">
      <c r="A309" s="11" t="s">
        <v>16</v>
      </c>
      <c r="B309" s="68" t="s">
        <v>1256</v>
      </c>
      <c r="C309" s="351" t="s">
        <v>1152</v>
      </c>
      <c r="D309" s="352">
        <v>0.625</v>
      </c>
      <c r="E309" s="79">
        <v>2.4750083852E10</v>
      </c>
      <c r="F309" s="79">
        <v>8.01440472223629E14</v>
      </c>
      <c r="G309" s="220" t="s">
        <v>1257</v>
      </c>
      <c r="H309" s="78">
        <v>27502.0</v>
      </c>
      <c r="I309" s="18" t="s">
        <v>182</v>
      </c>
      <c r="J309" s="97">
        <v>1.1953135953E10</v>
      </c>
      <c r="K309" s="97">
        <v>1.198194082E10</v>
      </c>
      <c r="R309" s="62"/>
    </row>
    <row r="310" ht="15.75" customHeight="1">
      <c r="A310" s="11" t="s">
        <v>17</v>
      </c>
      <c r="B310" s="68" t="s">
        <v>270</v>
      </c>
      <c r="C310" s="351" t="s">
        <v>1152</v>
      </c>
      <c r="D310" s="352">
        <v>0.6388888888888888</v>
      </c>
      <c r="E310" s="79">
        <v>6.1102644404E10</v>
      </c>
      <c r="F310" s="79">
        <v>8.98000293934497E14</v>
      </c>
      <c r="G310" s="220" t="s">
        <v>1258</v>
      </c>
      <c r="H310" s="78">
        <v>19899.0</v>
      </c>
      <c r="I310" s="18" t="s">
        <v>182</v>
      </c>
      <c r="J310" s="37">
        <v>9.76428587E8</v>
      </c>
      <c r="K310" s="37">
        <v>9.65141009E8</v>
      </c>
      <c r="R310" s="62"/>
    </row>
    <row r="311" ht="15.75" customHeight="1">
      <c r="A311" s="11" t="s">
        <v>10</v>
      </c>
      <c r="B311" s="68" t="s">
        <v>270</v>
      </c>
      <c r="C311" s="351" t="s">
        <v>1152</v>
      </c>
      <c r="D311" s="352">
        <v>0.6527777777777778</v>
      </c>
      <c r="E311" s="79">
        <v>3.2896654615E10</v>
      </c>
      <c r="F311" s="79">
        <v>7.09600670515372E14</v>
      </c>
      <c r="G311" s="220" t="s">
        <v>1259</v>
      </c>
      <c r="H311" s="78">
        <v>20145.0</v>
      </c>
      <c r="I311" s="18" t="s">
        <v>172</v>
      </c>
      <c r="J311" s="97">
        <v>1.1973963991E10</v>
      </c>
      <c r="K311" s="97"/>
      <c r="R311" s="62"/>
    </row>
    <row r="312" ht="15.75" customHeight="1">
      <c r="A312" s="11" t="s">
        <v>85</v>
      </c>
      <c r="B312" s="68"/>
      <c r="C312" s="351" t="s">
        <v>1152</v>
      </c>
      <c r="D312" s="352">
        <v>0.6527777777777778</v>
      </c>
      <c r="E312" s="146"/>
      <c r="F312" s="146"/>
      <c r="G312" s="220"/>
      <c r="H312" s="78"/>
      <c r="I312" s="18"/>
      <c r="J312" s="37"/>
      <c r="K312" s="37"/>
      <c r="R312" s="62"/>
    </row>
    <row r="313" ht="15.75" customHeight="1">
      <c r="A313" s="11" t="s">
        <v>87</v>
      </c>
      <c r="B313" s="68"/>
      <c r="C313" s="351" t="s">
        <v>1152</v>
      </c>
      <c r="D313" s="352">
        <v>0.6666666666666666</v>
      </c>
      <c r="E313" s="149"/>
      <c r="F313" s="149"/>
      <c r="G313" s="307"/>
      <c r="H313" s="78"/>
      <c r="I313" s="18"/>
      <c r="J313" s="37"/>
      <c r="K313" s="37"/>
      <c r="R313" s="62"/>
    </row>
    <row r="314" ht="15.75" customHeight="1">
      <c r="A314" s="11" t="s">
        <v>90</v>
      </c>
      <c r="B314" s="68"/>
      <c r="C314" s="351" t="s">
        <v>1152</v>
      </c>
      <c r="D314" s="352">
        <v>0.6805555555555556</v>
      </c>
      <c r="E314" s="127"/>
      <c r="F314" s="127"/>
      <c r="G314" s="307"/>
      <c r="H314" s="153"/>
      <c r="I314" s="18"/>
      <c r="J314" s="37"/>
      <c r="K314" s="37"/>
      <c r="R314" s="62"/>
    </row>
    <row r="315" ht="15.75" customHeight="1">
      <c r="A315" s="11" t="s">
        <v>93</v>
      </c>
      <c r="B315" s="68"/>
      <c r="C315" s="351" t="s">
        <v>1152</v>
      </c>
      <c r="D315" s="352">
        <v>0.6944444444444444</v>
      </c>
      <c r="E315" s="127"/>
      <c r="F315" s="127"/>
      <c r="G315" s="307"/>
      <c r="H315" s="153"/>
      <c r="I315" s="18"/>
      <c r="J315" s="37"/>
      <c r="K315" s="37"/>
      <c r="R315" s="62"/>
    </row>
    <row r="316" ht="15.75" customHeight="1">
      <c r="J316" s="62"/>
      <c r="K316" s="62"/>
      <c r="R316" s="62"/>
    </row>
    <row r="317" ht="15.75" customHeight="1">
      <c r="J317" s="62"/>
      <c r="K317" s="62"/>
      <c r="R317" s="62"/>
    </row>
    <row r="318" ht="15.75" customHeight="1">
      <c r="A318" s="20" t="s">
        <v>872</v>
      </c>
      <c r="B318" s="2"/>
      <c r="C318" s="2"/>
      <c r="D318" s="2"/>
      <c r="E318" s="2"/>
      <c r="F318" s="2"/>
      <c r="G318" s="2"/>
      <c r="H318" s="2"/>
      <c r="I318" s="2"/>
      <c r="J318" s="2"/>
      <c r="K318" s="3"/>
      <c r="R318" s="62"/>
    </row>
    <row r="319" ht="15.75" customHeight="1">
      <c r="A319" s="233" t="s">
        <v>1260</v>
      </c>
      <c r="B319" s="2"/>
      <c r="C319" s="2"/>
      <c r="D319" s="2"/>
      <c r="E319" s="2"/>
      <c r="F319" s="2"/>
      <c r="G319" s="2"/>
      <c r="H319" s="2"/>
      <c r="I319" s="2"/>
      <c r="J319" s="2"/>
      <c r="K319" s="3"/>
      <c r="R319" s="62"/>
    </row>
    <row r="320" ht="15.75" customHeight="1">
      <c r="A320" s="22"/>
      <c r="B320" s="23" t="s">
        <v>3</v>
      </c>
      <c r="C320" s="24" t="s">
        <v>2</v>
      </c>
      <c r="D320" s="25" t="s">
        <v>5</v>
      </c>
      <c r="E320" s="25" t="s">
        <v>19</v>
      </c>
      <c r="F320" s="25" t="s">
        <v>6</v>
      </c>
      <c r="G320" s="234" t="s">
        <v>7</v>
      </c>
      <c r="H320" s="27" t="s">
        <v>8</v>
      </c>
      <c r="I320" s="28" t="s">
        <v>20</v>
      </c>
      <c r="J320" s="25" t="s">
        <v>21</v>
      </c>
      <c r="K320" s="25" t="s">
        <v>22</v>
      </c>
      <c r="R320" s="62"/>
    </row>
    <row r="321" ht="15.75" customHeight="1">
      <c r="A321" s="11" t="s">
        <v>10</v>
      </c>
      <c r="B321" s="68"/>
      <c r="C321" s="348" t="s">
        <v>1222</v>
      </c>
      <c r="D321" s="352">
        <v>0.5416666666666666</v>
      </c>
      <c r="E321" s="149"/>
      <c r="F321" s="149"/>
      <c r="G321" s="148"/>
      <c r="H321" s="150"/>
      <c r="I321" s="18"/>
      <c r="J321" s="212"/>
      <c r="K321" s="212"/>
      <c r="R321" s="62"/>
    </row>
    <row r="322" ht="15.75" customHeight="1">
      <c r="A322" s="11" t="s">
        <v>11</v>
      </c>
      <c r="B322" s="68"/>
      <c r="C322" s="348" t="s">
        <v>1222</v>
      </c>
      <c r="D322" s="352">
        <v>0.5555555555555556</v>
      </c>
      <c r="E322" s="71"/>
      <c r="F322" s="170"/>
      <c r="G322" s="186"/>
      <c r="H322" s="72"/>
      <c r="I322" s="18"/>
      <c r="J322" s="37"/>
      <c r="K322" s="37"/>
      <c r="R322" s="62"/>
    </row>
    <row r="323" ht="15.75" customHeight="1">
      <c r="A323" s="11" t="s">
        <v>12</v>
      </c>
      <c r="B323" s="68"/>
      <c r="C323" s="348" t="s">
        <v>1222</v>
      </c>
      <c r="D323" s="352">
        <v>0.5694444444444444</v>
      </c>
      <c r="E323" s="149"/>
      <c r="F323" s="149"/>
      <c r="G323" s="148"/>
      <c r="H323" s="150"/>
      <c r="I323" s="18"/>
      <c r="J323" s="212"/>
      <c r="K323" s="212"/>
      <c r="R323" s="62"/>
    </row>
    <row r="324" ht="15.75" customHeight="1">
      <c r="A324" s="11" t="s">
        <v>13</v>
      </c>
      <c r="B324" s="68" t="s">
        <v>398</v>
      </c>
      <c r="C324" s="348" t="s">
        <v>1222</v>
      </c>
      <c r="D324" s="352">
        <v>0.5833333333333334</v>
      </c>
      <c r="E324" s="149">
        <v>8.438465854E9</v>
      </c>
      <c r="F324" s="149">
        <v>7.0470870778953E14</v>
      </c>
      <c r="G324" s="148" t="s">
        <v>1261</v>
      </c>
      <c r="H324" s="72">
        <v>23873.0</v>
      </c>
      <c r="I324" s="18" t="s">
        <v>172</v>
      </c>
      <c r="J324" s="212">
        <v>1.1918332088E10</v>
      </c>
      <c r="K324" s="212">
        <v>1.1965530767E10</v>
      </c>
      <c r="R324" s="62"/>
    </row>
    <row r="325" ht="15.75" customHeight="1">
      <c r="A325" s="11" t="s">
        <v>14</v>
      </c>
      <c r="B325" s="68" t="s">
        <v>936</v>
      </c>
      <c r="C325" s="348" t="s">
        <v>1222</v>
      </c>
      <c r="D325" s="352">
        <v>0.5972222222222222</v>
      </c>
      <c r="E325" s="149">
        <v>7.6038360859E10</v>
      </c>
      <c r="F325" s="149">
        <v>7.07408074145075E14</v>
      </c>
      <c r="G325" s="148" t="s">
        <v>1262</v>
      </c>
      <c r="H325" s="72">
        <v>18171.0</v>
      </c>
      <c r="I325" s="18" t="s">
        <v>172</v>
      </c>
      <c r="J325" s="212">
        <v>1.1987770698E10</v>
      </c>
      <c r="K325" s="212">
        <v>1.1587337E9</v>
      </c>
      <c r="R325" s="62"/>
    </row>
    <row r="326" ht="15.75" customHeight="1">
      <c r="A326" s="11" t="s">
        <v>15</v>
      </c>
      <c r="B326" s="68"/>
      <c r="C326" s="348" t="s">
        <v>1222</v>
      </c>
      <c r="D326" s="352">
        <v>0.6111111111111112</v>
      </c>
      <c r="E326" s="149"/>
      <c r="F326" s="308"/>
      <c r="G326" s="186"/>
      <c r="H326" s="309"/>
      <c r="I326" s="18"/>
      <c r="J326" s="37"/>
      <c r="K326" s="37"/>
      <c r="R326" s="62"/>
    </row>
    <row r="327" ht="15.75" customHeight="1">
      <c r="A327" s="11" t="s">
        <v>16</v>
      </c>
      <c r="B327" s="68"/>
      <c r="C327" s="348" t="s">
        <v>1222</v>
      </c>
      <c r="D327" s="352">
        <v>0.625</v>
      </c>
      <c r="E327" s="149"/>
      <c r="F327" s="149"/>
      <c r="G327" s="148"/>
      <c r="H327" s="150"/>
      <c r="I327" s="18"/>
      <c r="J327" s="212"/>
      <c r="K327" s="212"/>
      <c r="R327" s="62"/>
    </row>
    <row r="328" ht="15.75" customHeight="1">
      <c r="A328" s="11" t="s">
        <v>17</v>
      </c>
      <c r="B328" s="68"/>
      <c r="C328" s="348" t="s">
        <v>1222</v>
      </c>
      <c r="D328" s="352">
        <v>0.6388888888888888</v>
      </c>
      <c r="E328" s="149"/>
      <c r="F328" s="149"/>
      <c r="G328" s="148"/>
      <c r="H328" s="150"/>
      <c r="I328" s="18"/>
      <c r="J328" s="37"/>
      <c r="K328" s="37"/>
      <c r="R328" s="62"/>
    </row>
    <row r="329" ht="15.75" customHeight="1">
      <c r="A329" s="11" t="s">
        <v>85</v>
      </c>
      <c r="B329" s="68"/>
      <c r="C329" s="348" t="s">
        <v>1222</v>
      </c>
      <c r="D329" s="352">
        <v>0.6527777777777778</v>
      </c>
      <c r="E329" s="170"/>
      <c r="F329" s="170"/>
      <c r="G329" s="148"/>
      <c r="H329" s="153"/>
      <c r="I329" s="18"/>
      <c r="J329" s="37"/>
      <c r="K329" s="37"/>
      <c r="O329" s="310"/>
      <c r="R329" s="62"/>
    </row>
    <row r="330" ht="15.75" customHeight="1">
      <c r="A330" s="11" t="s">
        <v>87</v>
      </c>
      <c r="B330" s="68"/>
      <c r="C330" s="348" t="s">
        <v>1222</v>
      </c>
      <c r="D330" s="352">
        <v>0.6666666666666666</v>
      </c>
      <c r="E330" s="149"/>
      <c r="F330" s="149"/>
      <c r="G330" s="148"/>
      <c r="H330" s="153"/>
      <c r="I330" s="18"/>
      <c r="J330" s="37"/>
      <c r="K330" s="37"/>
      <c r="R330" s="62"/>
    </row>
    <row r="331" ht="15.75" customHeight="1">
      <c r="A331" s="11" t="s">
        <v>90</v>
      </c>
      <c r="B331" s="68"/>
      <c r="C331" s="348" t="s">
        <v>1222</v>
      </c>
      <c r="D331" s="352">
        <v>0.6805555555555556</v>
      </c>
      <c r="E331" s="127"/>
      <c r="F331" s="127"/>
      <c r="G331" s="354"/>
      <c r="H331" s="153"/>
      <c r="I331" s="18"/>
      <c r="J331" s="37"/>
      <c r="K331" s="37"/>
      <c r="R331" s="62"/>
    </row>
    <row r="332" ht="15.75" customHeight="1">
      <c r="A332" s="11" t="s">
        <v>93</v>
      </c>
      <c r="B332" s="68"/>
      <c r="C332" s="348" t="s">
        <v>1222</v>
      </c>
      <c r="D332" s="352">
        <v>0.6944444444444444</v>
      </c>
      <c r="E332" s="127"/>
      <c r="F332" s="127"/>
      <c r="G332" s="355"/>
      <c r="H332" s="153"/>
      <c r="I332" s="18"/>
      <c r="J332" s="37"/>
      <c r="K332" s="37"/>
      <c r="R332" s="62"/>
    </row>
    <row r="333" ht="15.75" customHeight="1">
      <c r="J333" s="62"/>
      <c r="K333" s="62"/>
      <c r="R333" s="62"/>
    </row>
    <row r="334" ht="15.75" customHeight="1">
      <c r="J334" s="62"/>
      <c r="K334" s="62"/>
      <c r="R334" s="62"/>
    </row>
    <row r="335" ht="15.75" customHeight="1">
      <c r="A335" s="20" t="s">
        <v>872</v>
      </c>
      <c r="B335" s="2"/>
      <c r="C335" s="2"/>
      <c r="D335" s="2"/>
      <c r="E335" s="2"/>
      <c r="F335" s="2"/>
      <c r="G335" s="2"/>
      <c r="H335" s="2"/>
      <c r="I335" s="2"/>
      <c r="J335" s="2"/>
      <c r="K335" s="3"/>
      <c r="R335" s="62"/>
    </row>
    <row r="336" ht="15.75" customHeight="1">
      <c r="A336" s="233" t="s">
        <v>1263</v>
      </c>
      <c r="B336" s="2"/>
      <c r="C336" s="2"/>
      <c r="D336" s="2"/>
      <c r="E336" s="2"/>
      <c r="F336" s="2"/>
      <c r="G336" s="2"/>
      <c r="H336" s="2"/>
      <c r="I336" s="2"/>
      <c r="J336" s="2"/>
      <c r="K336" s="3"/>
      <c r="R336" s="62"/>
    </row>
    <row r="337" ht="15.75" customHeight="1">
      <c r="A337" s="22"/>
      <c r="B337" s="23" t="s">
        <v>3</v>
      </c>
      <c r="C337" s="24" t="s">
        <v>2</v>
      </c>
      <c r="D337" s="25" t="s">
        <v>5</v>
      </c>
      <c r="E337" s="25" t="s">
        <v>19</v>
      </c>
      <c r="F337" s="25" t="s">
        <v>6</v>
      </c>
      <c r="G337" s="234" t="s">
        <v>7</v>
      </c>
      <c r="H337" s="27" t="s">
        <v>8</v>
      </c>
      <c r="I337" s="28" t="s">
        <v>20</v>
      </c>
      <c r="J337" s="25" t="s">
        <v>21</v>
      </c>
      <c r="K337" s="25" t="s">
        <v>22</v>
      </c>
      <c r="R337" s="62"/>
    </row>
    <row r="338" ht="15.75" customHeight="1">
      <c r="A338" s="11" t="s">
        <v>10</v>
      </c>
      <c r="B338" s="68" t="s">
        <v>263</v>
      </c>
      <c r="C338" s="69" t="s">
        <v>380</v>
      </c>
      <c r="D338" s="70">
        <v>0.5416666666666666</v>
      </c>
      <c r="E338" s="356"/>
      <c r="F338" s="79">
        <v>7.00008349454304E14</v>
      </c>
      <c r="G338" s="220" t="s">
        <v>1264</v>
      </c>
      <c r="H338" s="78">
        <v>16812.0</v>
      </c>
      <c r="I338" s="30" t="s">
        <v>182</v>
      </c>
      <c r="J338" s="78">
        <v>1.1988938941E10</v>
      </c>
      <c r="K338" s="78">
        <v>1.1991913316E10</v>
      </c>
      <c r="R338" s="62"/>
    </row>
    <row r="339" ht="15.75" customHeight="1">
      <c r="A339" s="11" t="s">
        <v>11</v>
      </c>
      <c r="B339" s="68" t="s">
        <v>275</v>
      </c>
      <c r="C339" s="69" t="s">
        <v>380</v>
      </c>
      <c r="D339" s="70">
        <v>0.5555555555555556</v>
      </c>
      <c r="E339" s="356">
        <v>3.1598284843E10</v>
      </c>
      <c r="F339" s="170">
        <v>7.04605665986129E14</v>
      </c>
      <c r="G339" s="220" t="s">
        <v>1265</v>
      </c>
      <c r="H339" s="72">
        <v>18670.0</v>
      </c>
      <c r="I339" s="30" t="s">
        <v>182</v>
      </c>
      <c r="J339" s="78">
        <v>1.1966230426E10</v>
      </c>
      <c r="K339" s="78">
        <v>1.1997570914E10</v>
      </c>
      <c r="R339" s="62"/>
    </row>
    <row r="340" ht="15.75" customHeight="1">
      <c r="A340" s="11" t="s">
        <v>12</v>
      </c>
      <c r="B340" s="68" t="s">
        <v>263</v>
      </c>
      <c r="C340" s="69" t="s">
        <v>380</v>
      </c>
      <c r="D340" s="70">
        <v>0.5694444444444444</v>
      </c>
      <c r="E340" s="356">
        <v>2.455684083E10</v>
      </c>
      <c r="F340" s="79">
        <v>7.00203406668723E14</v>
      </c>
      <c r="G340" s="220" t="s">
        <v>1266</v>
      </c>
      <c r="H340" s="78">
        <v>16365.0</v>
      </c>
      <c r="I340" s="30" t="s">
        <v>182</v>
      </c>
      <c r="J340" s="78">
        <v>1.1946091389E10</v>
      </c>
      <c r="K340" s="78">
        <v>1.194990345E10</v>
      </c>
      <c r="R340" s="62"/>
    </row>
    <row r="341" ht="15.75" customHeight="1">
      <c r="A341" s="11" t="s">
        <v>13</v>
      </c>
      <c r="B341" s="68" t="s">
        <v>219</v>
      </c>
      <c r="C341" s="69" t="s">
        <v>380</v>
      </c>
      <c r="D341" s="70">
        <v>0.5833333333333334</v>
      </c>
      <c r="E341" s="357"/>
      <c r="F341" s="79">
        <v>8.01440492110439E14</v>
      </c>
      <c r="G341" s="220" t="s">
        <v>1267</v>
      </c>
      <c r="H341" s="78">
        <v>18811.0</v>
      </c>
      <c r="I341" s="30" t="s">
        <v>182</v>
      </c>
      <c r="J341" s="78">
        <v>1.1948277196E10</v>
      </c>
      <c r="K341" s="78">
        <v>1.1996400129E10</v>
      </c>
      <c r="R341" s="62"/>
    </row>
    <row r="342" ht="15.75" customHeight="1">
      <c r="A342" s="11" t="s">
        <v>14</v>
      </c>
      <c r="B342" s="68" t="s">
        <v>275</v>
      </c>
      <c r="C342" s="69" t="s">
        <v>380</v>
      </c>
      <c r="D342" s="70">
        <v>0.5972222222222222</v>
      </c>
      <c r="E342" s="356">
        <v>7.3401447572E10</v>
      </c>
      <c r="F342" s="146">
        <v>2.03910444640001E14</v>
      </c>
      <c r="G342" s="54" t="s">
        <v>1268</v>
      </c>
      <c r="H342" s="72">
        <v>27030.0</v>
      </c>
      <c r="I342" s="30" t="s">
        <v>194</v>
      </c>
      <c r="J342" s="78">
        <v>1.1966995816E10</v>
      </c>
      <c r="K342" s="78">
        <v>1.1996538542E10</v>
      </c>
      <c r="R342" s="62"/>
    </row>
    <row r="343" ht="15.75" customHeight="1">
      <c r="A343" s="11" t="s">
        <v>15</v>
      </c>
      <c r="B343" s="68" t="s">
        <v>219</v>
      </c>
      <c r="C343" s="69" t="s">
        <v>380</v>
      </c>
      <c r="D343" s="70">
        <v>0.6111111111111112</v>
      </c>
      <c r="E343" s="357">
        <v>2.8337514434E10</v>
      </c>
      <c r="F343" s="79">
        <v>7.0220010107881E14</v>
      </c>
      <c r="G343" s="220" t="s">
        <v>1269</v>
      </c>
      <c r="H343" s="78">
        <v>20497.0</v>
      </c>
      <c r="I343" s="30" t="s">
        <v>194</v>
      </c>
      <c r="J343" s="78">
        <v>1.1946221059E10</v>
      </c>
      <c r="K343" s="78"/>
      <c r="R343" s="62"/>
    </row>
    <row r="344" ht="15.75" customHeight="1">
      <c r="A344" s="11" t="s">
        <v>16</v>
      </c>
      <c r="B344" s="68" t="s">
        <v>219</v>
      </c>
      <c r="C344" s="69" t="s">
        <v>380</v>
      </c>
      <c r="D344" s="70">
        <v>0.625</v>
      </c>
      <c r="E344" s="358" t="s">
        <v>1270</v>
      </c>
      <c r="F344" s="79">
        <v>2.01151081940018E14</v>
      </c>
      <c r="G344" s="74" t="s">
        <v>1271</v>
      </c>
      <c r="H344" s="78">
        <v>19768.0</v>
      </c>
      <c r="I344" s="30" t="s">
        <v>182</v>
      </c>
      <c r="J344" s="78">
        <v>1.1982459699E10</v>
      </c>
      <c r="K344" s="78">
        <v>1.1981574164E10</v>
      </c>
      <c r="R344" s="62"/>
    </row>
    <row r="345" ht="15.75" customHeight="1">
      <c r="A345" s="11" t="s">
        <v>17</v>
      </c>
      <c r="B345" s="68"/>
      <c r="C345" s="69" t="s">
        <v>380</v>
      </c>
      <c r="D345" s="70">
        <v>0.6388888888888888</v>
      </c>
      <c r="E345" s="357"/>
      <c r="F345" s="79"/>
      <c r="G345" s="220"/>
      <c r="H345" s="78"/>
      <c r="I345" s="18"/>
      <c r="J345" s="37"/>
      <c r="K345" s="37"/>
      <c r="R345" s="62"/>
    </row>
    <row r="346" ht="15.75" customHeight="1">
      <c r="A346" s="11" t="s">
        <v>85</v>
      </c>
      <c r="B346" s="68" t="s">
        <v>928</v>
      </c>
      <c r="C346" s="69" t="s">
        <v>380</v>
      </c>
      <c r="D346" s="70">
        <v>0.6527777777777778</v>
      </c>
      <c r="E346" s="356">
        <v>5.2596095572E10</v>
      </c>
      <c r="F346" s="79">
        <v>2.00961188270006E14</v>
      </c>
      <c r="G346" s="220" t="s">
        <v>1272</v>
      </c>
      <c r="H346" s="78">
        <v>24914.0</v>
      </c>
      <c r="I346" s="30" t="s">
        <v>194</v>
      </c>
      <c r="J346" s="78">
        <v>1.1971712988E10</v>
      </c>
      <c r="K346" s="78"/>
      <c r="R346" s="62"/>
    </row>
    <row r="347" ht="15.75" customHeight="1">
      <c r="A347" s="11" t="s">
        <v>87</v>
      </c>
      <c r="B347" s="68" t="s">
        <v>928</v>
      </c>
      <c r="C347" s="69" t="s">
        <v>380</v>
      </c>
      <c r="D347" s="70">
        <v>0.6666666666666666</v>
      </c>
      <c r="E347" s="356">
        <v>3.78289675E10</v>
      </c>
      <c r="F347" s="79">
        <v>7.02000379834384E14</v>
      </c>
      <c r="G347" s="220" t="s">
        <v>1273</v>
      </c>
      <c r="H347" s="78">
        <v>24181.0</v>
      </c>
      <c r="I347" s="30" t="s">
        <v>194</v>
      </c>
      <c r="J347" s="78">
        <v>1.1949277655E10</v>
      </c>
      <c r="K347" s="78">
        <v>1.1948831971E10</v>
      </c>
      <c r="R347" s="62"/>
    </row>
    <row r="348" ht="15.75" customHeight="1">
      <c r="A348" s="11" t="s">
        <v>90</v>
      </c>
      <c r="B348" s="68" t="s">
        <v>928</v>
      </c>
      <c r="C348" s="69" t="s">
        <v>380</v>
      </c>
      <c r="D348" s="70">
        <v>0.6805555555555556</v>
      </c>
      <c r="E348" s="358" t="s">
        <v>1274</v>
      </c>
      <c r="F348" s="79">
        <v>7.08705141927591E14</v>
      </c>
      <c r="G348" s="220" t="s">
        <v>1275</v>
      </c>
      <c r="H348" s="78">
        <v>24154.0</v>
      </c>
      <c r="I348" s="30" t="s">
        <v>194</v>
      </c>
      <c r="J348" s="78">
        <v>1.1973650684E10</v>
      </c>
      <c r="K348" s="78"/>
      <c r="R348" s="62"/>
    </row>
    <row r="349" ht="15.75" customHeight="1">
      <c r="A349" s="11" t="s">
        <v>93</v>
      </c>
      <c r="B349" s="68" t="s">
        <v>928</v>
      </c>
      <c r="C349" s="69" t="s">
        <v>380</v>
      </c>
      <c r="D349" s="70">
        <v>0.6944444444444444</v>
      </c>
      <c r="E349" s="356">
        <v>2.052043683E10</v>
      </c>
      <c r="F349" s="79">
        <v>7.0770262190741E14</v>
      </c>
      <c r="G349" s="220" t="s">
        <v>1276</v>
      </c>
      <c r="H349" s="153">
        <v>27178.0</v>
      </c>
      <c r="I349" s="30" t="s">
        <v>194</v>
      </c>
      <c r="J349" s="78">
        <v>1.1982037549E10</v>
      </c>
      <c r="K349" s="78">
        <v>1.1949041441E10</v>
      </c>
      <c r="R349" s="62"/>
    </row>
    <row r="350" ht="15.75" customHeight="1">
      <c r="J350" s="62"/>
      <c r="K350" s="62"/>
      <c r="R350" s="62"/>
    </row>
    <row r="351" ht="15.75" customHeight="1">
      <c r="J351" s="62"/>
      <c r="K351" s="62"/>
      <c r="R351" s="62"/>
    </row>
    <row r="352" ht="15.75" hidden="1" customHeight="1">
      <c r="B352" s="20" t="s">
        <v>850</v>
      </c>
      <c r="C352" s="2"/>
      <c r="D352" s="2"/>
      <c r="E352" s="2"/>
      <c r="F352" s="2"/>
      <c r="G352" s="2"/>
      <c r="H352" s="2"/>
      <c r="I352" s="2"/>
      <c r="J352" s="2"/>
      <c r="K352" s="2"/>
      <c r="L352" s="3"/>
      <c r="R352" s="62"/>
    </row>
    <row r="353" ht="15.75" hidden="1" customHeight="1">
      <c r="B353" s="359" t="s">
        <v>1277</v>
      </c>
      <c r="C353" s="2"/>
      <c r="D353" s="2"/>
      <c r="E353" s="2"/>
      <c r="F353" s="2"/>
      <c r="G353" s="2"/>
      <c r="H353" s="2"/>
      <c r="I353" s="2"/>
      <c r="J353" s="2"/>
      <c r="K353" s="2"/>
      <c r="L353" s="3"/>
      <c r="R353" s="62"/>
    </row>
    <row r="354" ht="15.75" hidden="1" customHeight="1">
      <c r="B354" s="360" t="s">
        <v>3</v>
      </c>
      <c r="C354" s="3"/>
      <c r="D354" s="25" t="s">
        <v>5</v>
      </c>
      <c r="E354" s="25" t="s">
        <v>19</v>
      </c>
      <c r="F354" s="25" t="s">
        <v>6</v>
      </c>
      <c r="G354" s="234" t="s">
        <v>7</v>
      </c>
      <c r="H354" s="27" t="s">
        <v>8</v>
      </c>
      <c r="I354" s="28" t="s">
        <v>20</v>
      </c>
      <c r="J354" s="25" t="s">
        <v>21</v>
      </c>
      <c r="K354" s="25" t="s">
        <v>21</v>
      </c>
      <c r="L354" s="25" t="s">
        <v>22</v>
      </c>
      <c r="R354" s="62"/>
    </row>
    <row r="355" ht="15.75" hidden="1" customHeight="1">
      <c r="A355" s="11" t="s">
        <v>10</v>
      </c>
      <c r="B355" s="11" t="s">
        <v>1278</v>
      </c>
      <c r="C355" s="351" t="s">
        <v>1152</v>
      </c>
      <c r="D355" s="264">
        <v>0.5416666666666666</v>
      </c>
      <c r="E355" s="264"/>
      <c r="F355" s="79">
        <v>7.01205026168117E14</v>
      </c>
      <c r="G355" s="220" t="s">
        <v>1249</v>
      </c>
      <c r="H355" s="78">
        <v>16442.0</v>
      </c>
      <c r="I355" s="18"/>
      <c r="J355" s="18">
        <v>1.1957671039E10</v>
      </c>
      <c r="K355" s="97"/>
      <c r="L355" s="97"/>
      <c r="R355" s="62"/>
    </row>
    <row r="356" ht="15.75" hidden="1" customHeight="1">
      <c r="A356" s="11" t="s">
        <v>11</v>
      </c>
      <c r="B356" s="11"/>
      <c r="C356" s="351" t="s">
        <v>1152</v>
      </c>
      <c r="D356" s="264">
        <v>0.5555555555555556</v>
      </c>
      <c r="E356" s="264"/>
      <c r="F356" s="71"/>
      <c r="G356" s="170"/>
      <c r="H356" s="220"/>
      <c r="I356" s="18"/>
      <c r="J356" s="18"/>
      <c r="K356" s="37"/>
      <c r="L356" s="37"/>
      <c r="R356" s="62"/>
    </row>
    <row r="357" ht="15.75" hidden="1" customHeight="1">
      <c r="A357" s="11" t="s">
        <v>12</v>
      </c>
      <c r="B357" s="11"/>
      <c r="C357" s="351" t="s">
        <v>1152</v>
      </c>
      <c r="D357" s="264">
        <v>0.5694444444444444</v>
      </c>
      <c r="E357" s="264"/>
      <c r="F357" s="79"/>
      <c r="G357" s="79"/>
      <c r="H357" s="361"/>
      <c r="I357" s="18"/>
      <c r="J357" s="18"/>
      <c r="K357" s="97"/>
      <c r="L357" s="97"/>
      <c r="R357" s="62"/>
    </row>
    <row r="358" ht="15.75" hidden="1" customHeight="1">
      <c r="A358" s="11" t="s">
        <v>13</v>
      </c>
      <c r="B358" s="11"/>
      <c r="C358" s="351" t="s">
        <v>1152</v>
      </c>
      <c r="D358" s="264">
        <v>0.5833333333333334</v>
      </c>
      <c r="E358" s="264"/>
      <c r="F358" s="79"/>
      <c r="G358" s="79"/>
      <c r="H358" s="361"/>
      <c r="I358" s="18"/>
      <c r="J358" s="18"/>
      <c r="K358" s="97"/>
      <c r="L358" s="97"/>
      <c r="R358" s="62"/>
    </row>
    <row r="359" ht="15.75" hidden="1" customHeight="1">
      <c r="A359" s="11" t="s">
        <v>14</v>
      </c>
      <c r="B359" s="11"/>
      <c r="C359" s="351" t="s">
        <v>1152</v>
      </c>
      <c r="D359" s="264">
        <v>0.5972222222222222</v>
      </c>
      <c r="E359" s="264"/>
      <c r="F359" s="146"/>
      <c r="G359" s="146"/>
      <c r="H359" s="71"/>
      <c r="I359" s="18"/>
      <c r="J359" s="18"/>
      <c r="K359" s="37"/>
      <c r="L359" s="37"/>
      <c r="R359" s="62"/>
    </row>
    <row r="360" ht="15.75" hidden="1" customHeight="1">
      <c r="A360" s="11" t="s">
        <v>15</v>
      </c>
      <c r="B360" s="11"/>
      <c r="C360" s="351" t="s">
        <v>1152</v>
      </c>
      <c r="D360" s="264">
        <v>0.6111111111111112</v>
      </c>
      <c r="E360" s="264"/>
      <c r="F360" s="79"/>
      <c r="G360" s="79"/>
      <c r="H360" s="361"/>
      <c r="I360" s="18"/>
      <c r="J360" s="18"/>
      <c r="K360" s="37"/>
      <c r="L360" s="37"/>
      <c r="R360" s="62"/>
    </row>
    <row r="361" ht="15.75" hidden="1" customHeight="1">
      <c r="A361" s="11" t="s">
        <v>16</v>
      </c>
      <c r="B361" s="11" t="s">
        <v>1278</v>
      </c>
      <c r="C361" s="351" t="s">
        <v>1152</v>
      </c>
      <c r="D361" s="264">
        <v>0.625</v>
      </c>
      <c r="E361" s="264"/>
      <c r="F361" s="79">
        <v>8.98000082143813E14</v>
      </c>
      <c r="G361" s="79" t="s">
        <v>142</v>
      </c>
      <c r="H361" s="362">
        <v>35587.0</v>
      </c>
      <c r="I361" s="18"/>
      <c r="J361" s="18">
        <v>1.1958679154E10</v>
      </c>
      <c r="K361" s="97">
        <v>1.1957220863E10</v>
      </c>
      <c r="L361" s="97"/>
      <c r="R361" s="62"/>
    </row>
    <row r="362" ht="15.75" hidden="1" customHeight="1">
      <c r="A362" s="11" t="s">
        <v>17</v>
      </c>
      <c r="B362" s="11"/>
      <c r="C362" s="351" t="s">
        <v>1152</v>
      </c>
      <c r="D362" s="264">
        <v>0.6388888888888888</v>
      </c>
      <c r="E362" s="264"/>
      <c r="F362" s="79"/>
      <c r="G362" s="79"/>
      <c r="H362" s="361"/>
      <c r="I362" s="18"/>
      <c r="J362" s="18"/>
      <c r="K362" s="37"/>
      <c r="L362" s="37"/>
      <c r="R362" s="62"/>
    </row>
    <row r="363" ht="15.75" hidden="1" customHeight="1">
      <c r="A363" s="11" t="s">
        <v>85</v>
      </c>
      <c r="B363" s="11"/>
      <c r="C363" s="351" t="s">
        <v>1152</v>
      </c>
      <c r="D363" s="264">
        <v>0.6527777777777778</v>
      </c>
      <c r="E363" s="264"/>
      <c r="F363" s="146"/>
      <c r="G363" s="146"/>
      <c r="H363" s="361"/>
      <c r="I363" s="18"/>
      <c r="J363" s="18"/>
      <c r="K363" s="37"/>
      <c r="L363" s="37"/>
      <c r="R363" s="62"/>
    </row>
    <row r="364" ht="15.75" hidden="1" customHeight="1">
      <c r="A364" s="11" t="s">
        <v>87</v>
      </c>
      <c r="B364" s="11"/>
      <c r="C364" s="351" t="s">
        <v>1152</v>
      </c>
      <c r="D364" s="264">
        <v>0.6666666666666666</v>
      </c>
      <c r="E364" s="264"/>
      <c r="F364" s="149"/>
      <c r="G364" s="149"/>
      <c r="H364" s="361"/>
      <c r="I364" s="18"/>
      <c r="J364" s="18"/>
      <c r="K364" s="37"/>
      <c r="L364" s="37"/>
      <c r="R364" s="62"/>
    </row>
    <row r="365" ht="15.75" hidden="1" customHeight="1">
      <c r="A365" s="11" t="s">
        <v>90</v>
      </c>
      <c r="B365" s="11"/>
      <c r="C365" s="351" t="s">
        <v>1152</v>
      </c>
      <c r="D365" s="264">
        <v>0.6805555555555556</v>
      </c>
      <c r="E365" s="264"/>
      <c r="F365" s="243"/>
      <c r="G365" s="53"/>
      <c r="H365" s="361"/>
      <c r="I365" s="18"/>
      <c r="J365" s="18"/>
      <c r="K365" s="37"/>
      <c r="L365" s="37"/>
      <c r="R365" s="62"/>
    </row>
    <row r="366" ht="15.75" hidden="1" customHeight="1">
      <c r="A366" s="11" t="s">
        <v>93</v>
      </c>
      <c r="B366" s="11"/>
      <c r="C366" s="351" t="s">
        <v>1152</v>
      </c>
      <c r="D366" s="264">
        <v>0.6944444444444444</v>
      </c>
      <c r="E366" s="264"/>
      <c r="F366" s="127"/>
      <c r="G366" s="127"/>
      <c r="H366" s="220"/>
      <c r="I366" s="18"/>
      <c r="J366" s="18"/>
      <c r="K366" s="37"/>
      <c r="L366" s="179"/>
      <c r="R366" s="62"/>
    </row>
    <row r="367" ht="15.75" hidden="1" customHeight="1">
      <c r="J367" s="62"/>
      <c r="K367" s="62"/>
      <c r="R367" s="62"/>
    </row>
    <row r="368" ht="15.75" customHeight="1">
      <c r="F368" s="320"/>
      <c r="J368" s="62"/>
      <c r="K368" s="62"/>
      <c r="R368" s="62"/>
    </row>
    <row r="369" ht="15.75" customHeight="1">
      <c r="F369" s="320"/>
      <c r="J369" s="62"/>
      <c r="K369" s="62"/>
      <c r="R369" s="62"/>
    </row>
    <row r="370" ht="15.75" customHeight="1">
      <c r="F370" s="320"/>
      <c r="J370" s="62"/>
      <c r="K370" s="62"/>
      <c r="R370" s="62"/>
    </row>
    <row r="371" ht="15.75" customHeight="1">
      <c r="F371" s="320"/>
      <c r="J371" s="62"/>
      <c r="K371" s="62"/>
      <c r="R371" s="62"/>
    </row>
    <row r="372" ht="15.75" customHeight="1">
      <c r="F372" s="320"/>
      <c r="J372" s="62"/>
      <c r="K372" s="62"/>
      <c r="R372" s="62"/>
    </row>
    <row r="373" ht="15.75" customHeight="1">
      <c r="F373" s="320"/>
      <c r="J373" s="62"/>
      <c r="K373" s="62"/>
      <c r="R373" s="62"/>
    </row>
    <row r="374" ht="15.75" customHeight="1">
      <c r="F374" s="320"/>
      <c r="J374" s="62"/>
      <c r="K374" s="62"/>
      <c r="R374" s="62"/>
    </row>
    <row r="375" ht="15.75" customHeight="1">
      <c r="F375" s="320"/>
      <c r="J375" s="62"/>
      <c r="K375" s="62"/>
      <c r="R375" s="62"/>
    </row>
    <row r="376" ht="15.75" customHeight="1">
      <c r="F376" s="320"/>
      <c r="J376" s="62"/>
      <c r="K376" s="62"/>
      <c r="R376" s="62"/>
    </row>
    <row r="377" ht="15.75" customHeight="1">
      <c r="F377" s="320"/>
      <c r="J377" s="62"/>
      <c r="K377" s="62"/>
      <c r="R377" s="62"/>
    </row>
    <row r="378" ht="15.75" customHeight="1">
      <c r="F378" s="320"/>
      <c r="J378" s="62"/>
      <c r="K378" s="62"/>
      <c r="R378" s="62"/>
    </row>
    <row r="379" ht="15.75" customHeight="1">
      <c r="F379" s="320"/>
      <c r="J379" s="62"/>
      <c r="K379" s="62"/>
      <c r="R379" s="62"/>
    </row>
    <row r="380" ht="15.75" customHeight="1">
      <c r="F380" s="320"/>
      <c r="J380" s="62"/>
      <c r="K380" s="62"/>
      <c r="R380" s="62"/>
    </row>
    <row r="381" ht="15.75" customHeight="1">
      <c r="F381" s="320"/>
      <c r="J381" s="62"/>
      <c r="K381" s="62"/>
      <c r="R381" s="62"/>
    </row>
    <row r="382" ht="15.75" customHeight="1">
      <c r="F382" s="320"/>
      <c r="J382" s="62"/>
      <c r="K382" s="62"/>
      <c r="R382" s="62"/>
    </row>
    <row r="383" ht="15.75" customHeight="1">
      <c r="F383" s="320"/>
      <c r="J383" s="62"/>
      <c r="K383" s="62"/>
      <c r="R383" s="62"/>
    </row>
    <row r="384" ht="15.75" customHeight="1">
      <c r="F384" s="320"/>
      <c r="J384" s="62"/>
      <c r="K384" s="62"/>
      <c r="R384" s="62"/>
    </row>
    <row r="385" ht="15.75" customHeight="1">
      <c r="F385" s="320"/>
      <c r="J385" s="62"/>
      <c r="K385" s="62"/>
      <c r="R385" s="62"/>
    </row>
    <row r="386" ht="15.75" customHeight="1">
      <c r="F386" s="320"/>
      <c r="J386" s="62"/>
      <c r="K386" s="62"/>
      <c r="R386" s="62"/>
    </row>
    <row r="387" ht="15.75" customHeight="1">
      <c r="F387" s="320"/>
      <c r="J387" s="62"/>
      <c r="K387" s="62"/>
      <c r="R387" s="62"/>
    </row>
    <row r="388" ht="15.75" customHeight="1">
      <c r="F388" s="320"/>
      <c r="J388" s="62"/>
      <c r="K388" s="62"/>
      <c r="R388" s="62"/>
    </row>
    <row r="389" ht="15.75" customHeight="1">
      <c r="F389" s="320"/>
      <c r="J389" s="62"/>
      <c r="K389" s="62"/>
      <c r="R389" s="62"/>
    </row>
    <row r="390" ht="15.75" customHeight="1">
      <c r="F390" s="320"/>
      <c r="J390" s="62"/>
      <c r="K390" s="62"/>
      <c r="R390" s="62"/>
    </row>
    <row r="391" ht="15.75" customHeight="1">
      <c r="F391" s="320"/>
      <c r="J391" s="62"/>
      <c r="K391" s="62"/>
      <c r="R391" s="62"/>
    </row>
    <row r="392" ht="15.75" customHeight="1">
      <c r="F392" s="320"/>
      <c r="J392" s="62"/>
      <c r="K392" s="62"/>
      <c r="R392" s="62"/>
    </row>
    <row r="393" ht="15.75" customHeight="1">
      <c r="F393" s="320"/>
      <c r="J393" s="62"/>
      <c r="K393" s="62"/>
      <c r="R393" s="62"/>
    </row>
    <row r="394" ht="15.75" customHeight="1">
      <c r="F394" s="320"/>
      <c r="J394" s="62"/>
      <c r="K394" s="62"/>
      <c r="R394" s="62"/>
    </row>
    <row r="395" ht="15.75" customHeight="1">
      <c r="F395" s="320"/>
      <c r="J395" s="62"/>
      <c r="K395" s="62"/>
      <c r="R395" s="62"/>
    </row>
    <row r="396" ht="15.75" customHeight="1">
      <c r="F396" s="320"/>
      <c r="J396" s="62"/>
      <c r="K396" s="62"/>
      <c r="R396" s="62"/>
    </row>
    <row r="397" ht="15.75" customHeight="1">
      <c r="F397" s="320"/>
      <c r="J397" s="62"/>
      <c r="K397" s="62"/>
      <c r="R397" s="62"/>
    </row>
    <row r="398" ht="15.75" customHeight="1">
      <c r="F398" s="320"/>
      <c r="J398" s="62"/>
      <c r="K398" s="62"/>
      <c r="R398" s="62"/>
    </row>
    <row r="399" ht="15.75" customHeight="1">
      <c r="F399" s="320"/>
      <c r="J399" s="62"/>
      <c r="K399" s="62"/>
      <c r="R399" s="62"/>
    </row>
    <row r="400" ht="15.75" customHeight="1">
      <c r="F400" s="320"/>
      <c r="J400" s="62"/>
      <c r="K400" s="62"/>
      <c r="R400" s="62"/>
    </row>
    <row r="401" ht="15.75" customHeight="1">
      <c r="F401" s="320"/>
      <c r="J401" s="62"/>
      <c r="K401" s="62"/>
      <c r="R401" s="62"/>
    </row>
    <row r="402" ht="15.75" customHeight="1">
      <c r="F402" s="320"/>
      <c r="J402" s="62"/>
      <c r="K402" s="62"/>
      <c r="R402" s="62"/>
    </row>
    <row r="403" ht="15.75" customHeight="1">
      <c r="F403" s="320"/>
      <c r="J403" s="62"/>
      <c r="K403" s="62"/>
      <c r="R403" s="62"/>
    </row>
    <row r="404" ht="15.75" customHeight="1">
      <c r="F404" s="320"/>
      <c r="J404" s="62"/>
      <c r="K404" s="62"/>
      <c r="R404" s="62"/>
    </row>
    <row r="405" ht="15.75" customHeight="1">
      <c r="J405" s="62"/>
      <c r="K405" s="62"/>
      <c r="R405" s="62"/>
    </row>
    <row r="406" ht="15.75" customHeight="1">
      <c r="J406" s="62"/>
      <c r="K406" s="62"/>
      <c r="R406" s="62"/>
    </row>
    <row r="407" ht="15.75" customHeight="1">
      <c r="J407" s="62"/>
      <c r="K407" s="62"/>
      <c r="R407" s="62"/>
    </row>
    <row r="408" ht="15.75" customHeight="1">
      <c r="J408" s="62"/>
      <c r="K408" s="62"/>
      <c r="R408" s="62"/>
    </row>
    <row r="409" ht="15.75" customHeight="1">
      <c r="J409" s="62"/>
      <c r="K409" s="62"/>
      <c r="R409" s="62"/>
    </row>
    <row r="410" ht="15.75" customHeight="1">
      <c r="J410" s="62"/>
      <c r="K410" s="62"/>
      <c r="R410" s="62"/>
    </row>
    <row r="411" ht="15.75" customHeight="1">
      <c r="J411" s="62"/>
      <c r="K411" s="62"/>
      <c r="R411" s="62"/>
    </row>
    <row r="412" ht="15.75" customHeight="1">
      <c r="J412" s="62"/>
      <c r="K412" s="62"/>
      <c r="R412" s="62"/>
    </row>
    <row r="413" ht="15.75" customHeight="1">
      <c r="J413" s="62"/>
      <c r="K413" s="62"/>
      <c r="R413" s="62"/>
    </row>
    <row r="414" ht="15.75" customHeight="1">
      <c r="J414" s="62"/>
      <c r="K414" s="62"/>
      <c r="R414" s="62"/>
    </row>
    <row r="415" ht="15.75" customHeight="1">
      <c r="J415" s="62"/>
      <c r="K415" s="62"/>
      <c r="R415" s="62"/>
    </row>
    <row r="416" ht="15.75" customHeight="1">
      <c r="J416" s="62"/>
      <c r="K416" s="62"/>
      <c r="R416" s="62"/>
    </row>
    <row r="417" ht="15.75" customHeight="1">
      <c r="J417" s="62"/>
      <c r="K417" s="62"/>
      <c r="R417" s="62"/>
    </row>
    <row r="418" ht="15.75" customHeight="1">
      <c r="J418" s="62"/>
      <c r="K418" s="62"/>
      <c r="R418" s="62"/>
    </row>
    <row r="419" ht="15.75" customHeight="1">
      <c r="J419" s="62"/>
      <c r="K419" s="62"/>
      <c r="R419" s="62"/>
    </row>
    <row r="420" ht="15.75" customHeight="1">
      <c r="J420" s="62"/>
      <c r="K420" s="62"/>
      <c r="R420" s="62"/>
    </row>
    <row r="421" ht="15.75" customHeight="1">
      <c r="J421" s="62"/>
      <c r="K421" s="62"/>
      <c r="R421" s="62"/>
    </row>
    <row r="422" ht="15.75" customHeight="1">
      <c r="J422" s="62"/>
      <c r="K422" s="62"/>
      <c r="R422" s="62"/>
    </row>
    <row r="423" ht="15.75" customHeight="1">
      <c r="J423" s="62"/>
      <c r="K423" s="62"/>
      <c r="R423" s="62"/>
    </row>
    <row r="424" ht="15.75" customHeight="1">
      <c r="J424" s="62"/>
      <c r="K424" s="62"/>
      <c r="R424" s="62"/>
    </row>
    <row r="425" ht="15.75" customHeight="1">
      <c r="J425" s="62"/>
      <c r="K425" s="62"/>
      <c r="R425" s="62"/>
    </row>
    <row r="426" ht="15.75" customHeight="1">
      <c r="J426" s="62"/>
      <c r="K426" s="62"/>
      <c r="R426" s="62"/>
    </row>
    <row r="427" ht="15.75" customHeight="1">
      <c r="J427" s="62"/>
      <c r="K427" s="62"/>
      <c r="R427" s="62"/>
    </row>
    <row r="428" ht="15.75" customHeight="1">
      <c r="J428" s="62"/>
      <c r="K428" s="62"/>
      <c r="R428" s="62"/>
    </row>
    <row r="429" ht="15.75" customHeight="1">
      <c r="J429" s="62"/>
      <c r="K429" s="62"/>
      <c r="R429" s="62"/>
    </row>
    <row r="430" ht="15.75" customHeight="1">
      <c r="J430" s="62"/>
      <c r="K430" s="62"/>
      <c r="R430" s="62"/>
    </row>
    <row r="431" ht="15.75" customHeight="1">
      <c r="J431" s="62"/>
      <c r="K431" s="62"/>
      <c r="R431" s="62"/>
    </row>
    <row r="432" ht="15.75" customHeight="1">
      <c r="J432" s="62"/>
      <c r="K432" s="62"/>
      <c r="R432" s="62"/>
    </row>
    <row r="433" ht="15.75" customHeight="1">
      <c r="J433" s="62"/>
      <c r="K433" s="62"/>
      <c r="R433" s="62"/>
    </row>
    <row r="434" ht="15.75" customHeight="1">
      <c r="J434" s="62"/>
      <c r="K434" s="62"/>
      <c r="R434" s="62"/>
    </row>
    <row r="435" ht="15.75" customHeight="1">
      <c r="J435" s="62"/>
      <c r="K435" s="62"/>
      <c r="R435" s="62"/>
    </row>
    <row r="436" ht="15.75" customHeight="1">
      <c r="J436" s="62"/>
      <c r="K436" s="62"/>
      <c r="R436" s="62"/>
    </row>
    <row r="437" ht="15.75" customHeight="1">
      <c r="J437" s="62"/>
      <c r="K437" s="62"/>
      <c r="R437" s="62"/>
    </row>
    <row r="438" ht="15.75" customHeight="1">
      <c r="J438" s="62"/>
      <c r="K438" s="62"/>
      <c r="R438" s="62"/>
    </row>
    <row r="439" ht="15.75" customHeight="1">
      <c r="J439" s="62"/>
      <c r="K439" s="62"/>
      <c r="R439" s="62"/>
    </row>
    <row r="440" ht="15.75" customHeight="1">
      <c r="J440" s="62"/>
      <c r="K440" s="62"/>
      <c r="R440" s="62"/>
    </row>
    <row r="441" ht="15.75" customHeight="1">
      <c r="J441" s="62"/>
      <c r="K441" s="62"/>
      <c r="R441" s="62"/>
    </row>
    <row r="442" ht="15.75" customHeight="1">
      <c r="J442" s="62"/>
      <c r="K442" s="62"/>
      <c r="R442" s="62"/>
    </row>
    <row r="443" ht="15.75" customHeight="1">
      <c r="J443" s="62"/>
      <c r="K443" s="62"/>
      <c r="R443" s="62"/>
    </row>
    <row r="444" ht="15.75" customHeight="1">
      <c r="J444" s="62"/>
      <c r="K444" s="62"/>
      <c r="R444" s="62"/>
    </row>
    <row r="445" ht="15.75" customHeight="1">
      <c r="J445" s="62"/>
      <c r="K445" s="62"/>
      <c r="R445" s="62"/>
    </row>
    <row r="446" ht="15.75" customHeight="1">
      <c r="J446" s="62"/>
      <c r="K446" s="62"/>
      <c r="R446" s="62"/>
    </row>
    <row r="447" ht="15.75" customHeight="1">
      <c r="J447" s="62"/>
      <c r="K447" s="62"/>
      <c r="R447" s="62"/>
    </row>
    <row r="448" ht="15.75" customHeight="1">
      <c r="J448" s="62"/>
      <c r="K448" s="62"/>
      <c r="R448" s="62"/>
    </row>
    <row r="449" ht="15.75" customHeight="1">
      <c r="J449" s="62"/>
      <c r="K449" s="62"/>
      <c r="R449" s="62"/>
    </row>
    <row r="450" ht="15.75" customHeight="1">
      <c r="J450" s="62"/>
      <c r="K450" s="62"/>
      <c r="R450" s="62"/>
    </row>
    <row r="451" ht="15.75" customHeight="1">
      <c r="J451" s="62"/>
      <c r="K451" s="62"/>
      <c r="R451" s="62"/>
    </row>
    <row r="452" ht="15.75" customHeight="1">
      <c r="J452" s="62"/>
      <c r="K452" s="62"/>
      <c r="R452" s="62"/>
    </row>
    <row r="453" ht="15.75" customHeight="1">
      <c r="J453" s="62"/>
      <c r="K453" s="62"/>
      <c r="R453" s="62"/>
    </row>
    <row r="454" ht="15.75" customHeight="1">
      <c r="J454" s="62"/>
      <c r="K454" s="62"/>
      <c r="R454" s="62"/>
    </row>
    <row r="455" ht="15.75" customHeight="1">
      <c r="J455" s="62"/>
      <c r="K455" s="62"/>
      <c r="R455" s="62"/>
    </row>
    <row r="456" ht="15.75" customHeight="1">
      <c r="J456" s="62"/>
      <c r="K456" s="62"/>
      <c r="R456" s="62"/>
    </row>
    <row r="457" ht="15.75" customHeight="1">
      <c r="J457" s="62"/>
      <c r="K457" s="62"/>
      <c r="R457" s="62"/>
    </row>
    <row r="458" ht="15.75" customHeight="1">
      <c r="J458" s="62"/>
      <c r="K458" s="62"/>
      <c r="R458" s="62"/>
    </row>
    <row r="459" ht="15.75" customHeight="1">
      <c r="J459" s="62"/>
      <c r="K459" s="62"/>
      <c r="R459" s="62"/>
    </row>
    <row r="460" ht="15.75" customHeight="1">
      <c r="J460" s="62"/>
      <c r="K460" s="62"/>
      <c r="R460" s="62"/>
    </row>
    <row r="461" ht="15.75" customHeight="1">
      <c r="J461" s="62"/>
      <c r="K461" s="62"/>
      <c r="R461" s="62"/>
    </row>
    <row r="462" ht="15.75" customHeight="1">
      <c r="J462" s="62"/>
      <c r="K462" s="62"/>
      <c r="R462" s="62"/>
    </row>
    <row r="463" ht="15.75" customHeight="1">
      <c r="J463" s="62"/>
      <c r="K463" s="62"/>
      <c r="R463" s="62"/>
    </row>
    <row r="464" ht="15.75" customHeight="1">
      <c r="J464" s="62"/>
      <c r="K464" s="62"/>
      <c r="R464" s="62"/>
    </row>
    <row r="465" ht="15.75" customHeight="1">
      <c r="J465" s="62"/>
      <c r="K465" s="62"/>
      <c r="R465" s="62"/>
    </row>
    <row r="466" ht="15.75" customHeight="1">
      <c r="J466" s="62"/>
      <c r="K466" s="62"/>
      <c r="R466" s="62"/>
    </row>
    <row r="467" ht="15.75" customHeight="1">
      <c r="J467" s="62"/>
      <c r="K467" s="62"/>
      <c r="R467" s="62"/>
    </row>
    <row r="468" ht="15.75" customHeight="1">
      <c r="J468" s="62"/>
      <c r="K468" s="62"/>
      <c r="R468" s="62"/>
    </row>
    <row r="469" ht="15.75" customHeight="1">
      <c r="J469" s="62"/>
      <c r="K469" s="62"/>
      <c r="R469" s="62"/>
    </row>
    <row r="470" ht="15.75" customHeight="1">
      <c r="J470" s="62"/>
      <c r="K470" s="62"/>
      <c r="R470" s="62"/>
    </row>
    <row r="471" ht="15.75" customHeight="1">
      <c r="J471" s="62"/>
      <c r="K471" s="62"/>
      <c r="R471" s="62"/>
    </row>
    <row r="472" ht="15.75" customHeight="1">
      <c r="J472" s="62"/>
      <c r="K472" s="62"/>
      <c r="R472" s="62"/>
    </row>
    <row r="473" ht="15.75" customHeight="1">
      <c r="J473" s="62"/>
      <c r="K473" s="62"/>
      <c r="R473" s="62"/>
    </row>
    <row r="474" ht="15.75" customHeight="1">
      <c r="J474" s="62"/>
      <c r="K474" s="62"/>
      <c r="R474" s="62"/>
    </row>
    <row r="475" ht="15.75" customHeight="1">
      <c r="J475" s="62"/>
      <c r="K475" s="62"/>
      <c r="R475" s="62"/>
    </row>
    <row r="476" ht="15.75" customHeight="1">
      <c r="J476" s="62"/>
      <c r="K476" s="62"/>
      <c r="R476" s="62"/>
    </row>
    <row r="477" ht="15.75" customHeight="1">
      <c r="J477" s="62"/>
      <c r="K477" s="62"/>
      <c r="R477" s="62"/>
    </row>
    <row r="478" ht="15.75" customHeight="1">
      <c r="J478" s="62"/>
      <c r="K478" s="62"/>
      <c r="R478" s="62"/>
    </row>
    <row r="479" ht="15.75" customHeight="1">
      <c r="J479" s="62"/>
      <c r="K479" s="62"/>
      <c r="R479" s="62"/>
    </row>
    <row r="480" ht="15.75" customHeight="1">
      <c r="J480" s="62"/>
      <c r="K480" s="62"/>
      <c r="R480" s="62"/>
    </row>
    <row r="481" ht="15.75" customHeight="1">
      <c r="J481" s="62"/>
      <c r="K481" s="62"/>
      <c r="R481" s="62"/>
    </row>
    <row r="482" ht="15.75" customHeight="1">
      <c r="J482" s="62"/>
      <c r="K482" s="62"/>
      <c r="R482" s="62"/>
    </row>
    <row r="483" ht="15.75" customHeight="1">
      <c r="J483" s="62"/>
      <c r="K483" s="62"/>
      <c r="R483" s="62"/>
    </row>
    <row r="484" ht="15.75" customHeight="1">
      <c r="J484" s="62"/>
      <c r="K484" s="62"/>
      <c r="R484" s="62"/>
    </row>
    <row r="485" ht="15.75" customHeight="1">
      <c r="J485" s="62"/>
      <c r="K485" s="62"/>
      <c r="R485" s="62"/>
    </row>
    <row r="486" ht="15.75" customHeight="1">
      <c r="J486" s="62"/>
      <c r="K486" s="62"/>
      <c r="R486" s="62"/>
    </row>
    <row r="487" ht="15.75" customHeight="1">
      <c r="J487" s="62"/>
      <c r="K487" s="62"/>
      <c r="R487" s="62"/>
    </row>
    <row r="488" ht="15.75" customHeight="1">
      <c r="J488" s="62"/>
      <c r="K488" s="62"/>
      <c r="R488" s="62"/>
    </row>
    <row r="489" ht="15.75" customHeight="1">
      <c r="J489" s="62"/>
      <c r="K489" s="62"/>
      <c r="R489" s="62"/>
    </row>
    <row r="490" ht="15.75" customHeight="1">
      <c r="J490" s="62"/>
      <c r="K490" s="62"/>
      <c r="R490" s="62"/>
    </row>
    <row r="491" ht="15.75" customHeight="1">
      <c r="J491" s="62"/>
      <c r="K491" s="62"/>
      <c r="R491" s="62"/>
    </row>
    <row r="492" ht="15.75" customHeight="1">
      <c r="J492" s="62"/>
      <c r="K492" s="62"/>
      <c r="R492" s="62"/>
    </row>
    <row r="493" ht="15.75" customHeight="1">
      <c r="J493" s="62"/>
      <c r="K493" s="62"/>
      <c r="R493" s="62"/>
    </row>
    <row r="494" ht="15.75" customHeight="1">
      <c r="J494" s="62"/>
      <c r="K494" s="62"/>
      <c r="R494" s="62"/>
    </row>
    <row r="495" ht="15.75" customHeight="1">
      <c r="J495" s="62"/>
      <c r="K495" s="62"/>
      <c r="R495" s="62"/>
    </row>
    <row r="496" ht="15.75" customHeight="1">
      <c r="J496" s="62"/>
      <c r="K496" s="62"/>
      <c r="R496" s="62"/>
    </row>
    <row r="497" ht="15.75" customHeight="1">
      <c r="J497" s="62"/>
      <c r="K497" s="62"/>
      <c r="R497" s="62"/>
    </row>
    <row r="498" ht="15.75" customHeight="1">
      <c r="J498" s="62"/>
      <c r="K498" s="62"/>
      <c r="R498" s="62"/>
    </row>
    <row r="499" ht="15.75" customHeight="1">
      <c r="J499" s="62"/>
      <c r="K499" s="62"/>
      <c r="R499" s="62"/>
    </row>
    <row r="500" ht="15.75" customHeight="1">
      <c r="J500" s="62"/>
      <c r="K500" s="62"/>
      <c r="R500" s="62"/>
    </row>
    <row r="501" ht="15.75" customHeight="1">
      <c r="J501" s="62"/>
      <c r="K501" s="62"/>
      <c r="R501" s="62"/>
    </row>
    <row r="502" ht="15.75" customHeight="1">
      <c r="J502" s="62"/>
      <c r="K502" s="62"/>
      <c r="R502" s="62"/>
    </row>
    <row r="503" ht="15.75" customHeight="1">
      <c r="J503" s="62"/>
      <c r="K503" s="62"/>
      <c r="R503" s="62"/>
    </row>
    <row r="504" ht="15.75" customHeight="1">
      <c r="J504" s="62"/>
      <c r="K504" s="62"/>
      <c r="R504" s="62"/>
    </row>
    <row r="505" ht="15.75" customHeight="1">
      <c r="J505" s="62"/>
      <c r="K505" s="62"/>
      <c r="R505" s="62"/>
    </row>
    <row r="506" ht="15.75" customHeight="1">
      <c r="J506" s="62"/>
      <c r="K506" s="62"/>
      <c r="R506" s="62"/>
    </row>
    <row r="507" ht="15.75" customHeight="1">
      <c r="J507" s="62"/>
      <c r="K507" s="62"/>
      <c r="R507" s="62"/>
    </row>
    <row r="508" ht="15.75" customHeight="1">
      <c r="J508" s="62"/>
      <c r="K508" s="62"/>
      <c r="R508" s="62"/>
    </row>
    <row r="509" ht="15.75" customHeight="1">
      <c r="J509" s="62"/>
      <c r="K509" s="62"/>
      <c r="R509" s="62"/>
    </row>
    <row r="510" ht="15.75" customHeight="1">
      <c r="J510" s="62"/>
      <c r="K510" s="62"/>
      <c r="R510" s="62"/>
    </row>
    <row r="511" ht="15.75" customHeight="1">
      <c r="J511" s="62"/>
      <c r="K511" s="62"/>
      <c r="R511" s="62"/>
    </row>
    <row r="512" ht="15.75" customHeight="1">
      <c r="J512" s="62"/>
      <c r="K512" s="62"/>
      <c r="R512" s="62"/>
    </row>
    <row r="513" ht="15.75" customHeight="1">
      <c r="J513" s="62"/>
      <c r="K513" s="62"/>
      <c r="R513" s="62"/>
    </row>
    <row r="514" ht="15.75" customHeight="1">
      <c r="J514" s="62"/>
      <c r="K514" s="62"/>
      <c r="R514" s="62"/>
    </row>
    <row r="515" ht="15.75" customHeight="1">
      <c r="J515" s="62"/>
      <c r="K515" s="62"/>
      <c r="R515" s="62"/>
    </row>
    <row r="516" ht="15.75" customHeight="1">
      <c r="J516" s="62"/>
      <c r="K516" s="62"/>
      <c r="R516" s="62"/>
    </row>
    <row r="517" ht="15.75" customHeight="1">
      <c r="J517" s="62"/>
      <c r="K517" s="62"/>
      <c r="R517" s="62"/>
    </row>
    <row r="518" ht="15.75" customHeight="1">
      <c r="J518" s="62"/>
      <c r="K518" s="62"/>
      <c r="R518" s="62"/>
    </row>
    <row r="519" ht="15.75" customHeight="1">
      <c r="J519" s="62"/>
      <c r="K519" s="62"/>
      <c r="R519" s="62"/>
    </row>
    <row r="520" ht="15.75" customHeight="1">
      <c r="J520" s="62"/>
      <c r="K520" s="62"/>
      <c r="R520" s="62"/>
    </row>
    <row r="521" ht="15.75" customHeight="1">
      <c r="J521" s="62"/>
      <c r="K521" s="62"/>
      <c r="R521" s="62"/>
    </row>
    <row r="522" ht="15.75" customHeight="1">
      <c r="J522" s="62"/>
      <c r="K522" s="62"/>
      <c r="R522" s="62"/>
    </row>
    <row r="523" ht="15.75" customHeight="1">
      <c r="J523" s="62"/>
      <c r="K523" s="62"/>
      <c r="R523" s="62"/>
    </row>
    <row r="524" ht="15.75" customHeight="1">
      <c r="J524" s="62"/>
      <c r="K524" s="62"/>
      <c r="R524" s="62"/>
    </row>
    <row r="525" ht="15.75" customHeight="1">
      <c r="J525" s="62"/>
      <c r="K525" s="62"/>
      <c r="R525" s="62"/>
    </row>
    <row r="526" ht="15.75" customHeight="1">
      <c r="J526" s="62"/>
      <c r="K526" s="62"/>
      <c r="R526" s="62"/>
    </row>
    <row r="527" ht="15.75" customHeight="1">
      <c r="J527" s="62"/>
      <c r="K527" s="62"/>
      <c r="R527" s="62"/>
    </row>
    <row r="528" ht="15.75" customHeight="1">
      <c r="J528" s="62"/>
      <c r="K528" s="62"/>
      <c r="R528" s="62"/>
    </row>
    <row r="529" ht="15.75" customHeight="1">
      <c r="J529" s="62"/>
      <c r="K529" s="62"/>
      <c r="R529" s="62"/>
    </row>
    <row r="530" ht="15.75" customHeight="1">
      <c r="J530" s="62"/>
      <c r="K530" s="62"/>
      <c r="R530" s="62"/>
    </row>
    <row r="531" ht="15.75" customHeight="1">
      <c r="J531" s="62"/>
      <c r="K531" s="62"/>
      <c r="R531" s="62"/>
    </row>
    <row r="532" ht="15.75" customHeight="1">
      <c r="J532" s="62"/>
      <c r="K532" s="62"/>
      <c r="R532" s="62"/>
    </row>
    <row r="533" ht="15.75" customHeight="1">
      <c r="J533" s="62"/>
      <c r="K533" s="62"/>
      <c r="R533" s="62"/>
    </row>
    <row r="534" ht="15.75" customHeight="1">
      <c r="J534" s="62"/>
      <c r="K534" s="62"/>
      <c r="R534" s="62"/>
    </row>
    <row r="535" ht="15.75" customHeight="1">
      <c r="J535" s="62"/>
      <c r="K535" s="62"/>
      <c r="R535" s="62"/>
    </row>
    <row r="536" ht="15.75" customHeight="1">
      <c r="J536" s="62"/>
      <c r="K536" s="62"/>
      <c r="R536" s="62"/>
    </row>
    <row r="537" ht="15.75" customHeight="1">
      <c r="J537" s="62"/>
      <c r="K537" s="62"/>
      <c r="R537" s="62"/>
    </row>
    <row r="538" ht="15.75" customHeight="1">
      <c r="J538" s="62"/>
      <c r="K538" s="62"/>
      <c r="R538" s="62"/>
    </row>
    <row r="539" ht="15.75" customHeight="1">
      <c r="J539" s="62"/>
      <c r="K539" s="62"/>
      <c r="R539" s="62"/>
    </row>
    <row r="540" ht="15.75" customHeight="1">
      <c r="J540" s="62"/>
      <c r="K540" s="62"/>
      <c r="R540" s="62"/>
    </row>
    <row r="541" ht="15.75" customHeight="1">
      <c r="J541" s="62"/>
      <c r="K541" s="62"/>
      <c r="R541" s="62"/>
    </row>
    <row r="542" ht="15.75" customHeight="1">
      <c r="J542" s="62"/>
      <c r="K542" s="62"/>
      <c r="R542" s="62"/>
    </row>
    <row r="543" ht="15.75" customHeight="1">
      <c r="J543" s="62"/>
      <c r="K543" s="62"/>
      <c r="R543" s="62"/>
    </row>
    <row r="544" ht="15.75" customHeight="1">
      <c r="J544" s="62"/>
      <c r="K544" s="62"/>
      <c r="R544" s="62"/>
    </row>
    <row r="545" ht="15.75" customHeight="1">
      <c r="J545" s="62"/>
      <c r="K545" s="62"/>
      <c r="R545" s="62"/>
    </row>
    <row r="546" ht="15.75" customHeight="1">
      <c r="J546" s="62"/>
      <c r="K546" s="62"/>
      <c r="R546" s="62"/>
    </row>
    <row r="547" ht="15.75" customHeight="1">
      <c r="J547" s="62"/>
      <c r="K547" s="62"/>
      <c r="R547" s="62"/>
    </row>
    <row r="548" ht="15.75" customHeight="1">
      <c r="J548" s="62"/>
      <c r="K548" s="62"/>
      <c r="R548" s="62"/>
    </row>
    <row r="549" ht="15.75" customHeight="1">
      <c r="J549" s="62"/>
      <c r="K549" s="62"/>
      <c r="R549" s="62"/>
    </row>
    <row r="550" ht="15.75" customHeight="1">
      <c r="J550" s="62"/>
      <c r="K550" s="62"/>
      <c r="R550" s="62"/>
    </row>
    <row r="551" ht="15.75" customHeight="1">
      <c r="J551" s="62"/>
      <c r="K551" s="62"/>
      <c r="R551" s="62"/>
    </row>
    <row r="552" ht="15.75" customHeight="1">
      <c r="J552" s="62"/>
      <c r="K552" s="62"/>
      <c r="R552" s="62"/>
    </row>
    <row r="553" ht="15.75" customHeight="1">
      <c r="J553" s="62"/>
      <c r="K553" s="62"/>
      <c r="R553" s="62"/>
    </row>
    <row r="554" ht="15.75" customHeight="1">
      <c r="J554" s="62"/>
      <c r="K554" s="62"/>
      <c r="R554" s="62"/>
    </row>
    <row r="555" ht="15.75" customHeight="1">
      <c r="J555" s="62"/>
      <c r="K555" s="62"/>
      <c r="R555" s="62"/>
    </row>
    <row r="556" ht="15.75" customHeight="1">
      <c r="J556" s="62"/>
      <c r="K556" s="62"/>
      <c r="R556" s="62"/>
    </row>
    <row r="557" ht="15.75" customHeight="1">
      <c r="J557" s="62"/>
      <c r="K557" s="62"/>
      <c r="R557" s="62"/>
    </row>
    <row r="558" ht="15.75" customHeight="1">
      <c r="J558" s="62"/>
      <c r="K558" s="62"/>
      <c r="R558" s="62"/>
    </row>
    <row r="559" ht="15.75" customHeight="1">
      <c r="J559" s="62"/>
      <c r="K559" s="62"/>
      <c r="R559" s="62"/>
    </row>
    <row r="560" ht="15.75" customHeight="1">
      <c r="J560" s="62"/>
      <c r="K560" s="62"/>
      <c r="R560" s="62"/>
    </row>
    <row r="561" ht="15.75" customHeight="1">
      <c r="J561" s="62"/>
      <c r="K561" s="62"/>
      <c r="R561" s="62"/>
    </row>
    <row r="562" ht="15.75" customHeight="1">
      <c r="J562" s="62"/>
      <c r="K562" s="62"/>
      <c r="R562" s="62"/>
    </row>
    <row r="563" ht="15.75" customHeight="1">
      <c r="J563" s="62"/>
      <c r="K563" s="62"/>
      <c r="R563" s="62"/>
    </row>
    <row r="564" ht="15.75" customHeight="1">
      <c r="J564" s="62"/>
      <c r="K564" s="62"/>
      <c r="R564" s="62"/>
    </row>
    <row r="565" ht="15.75" customHeight="1">
      <c r="J565" s="62"/>
      <c r="K565" s="62"/>
      <c r="R565" s="62"/>
    </row>
    <row r="566" ht="15.75" customHeight="1">
      <c r="J566" s="62"/>
      <c r="K566" s="62"/>
      <c r="R566" s="62"/>
    </row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9">
    <mergeCell ref="A194:K194"/>
    <mergeCell ref="A195:K195"/>
    <mergeCell ref="N197:Q197"/>
    <mergeCell ref="N198:Q198"/>
    <mergeCell ref="A211:K211"/>
    <mergeCell ref="N214:Q214"/>
    <mergeCell ref="N215:Q215"/>
    <mergeCell ref="A212:K212"/>
    <mergeCell ref="A228:K228"/>
    <mergeCell ref="A229:K229"/>
    <mergeCell ref="N231:Q231"/>
    <mergeCell ref="N232:Q232"/>
    <mergeCell ref="A246:K246"/>
    <mergeCell ref="A247:K247"/>
    <mergeCell ref="A1:K1"/>
    <mergeCell ref="A2:K2"/>
    <mergeCell ref="N4:Q4"/>
    <mergeCell ref="N5:Q5"/>
    <mergeCell ref="A18:K18"/>
    <mergeCell ref="N21:Q21"/>
    <mergeCell ref="N22:Q22"/>
    <mergeCell ref="A19:K19"/>
    <mergeCell ref="A35:K35"/>
    <mergeCell ref="A36:K36"/>
    <mergeCell ref="N38:Q38"/>
    <mergeCell ref="N39:Q39"/>
    <mergeCell ref="A53:K53"/>
    <mergeCell ref="A54:K54"/>
    <mergeCell ref="N56:Q56"/>
    <mergeCell ref="N57:Q57"/>
    <mergeCell ref="A71:K71"/>
    <mergeCell ref="A72:K72"/>
    <mergeCell ref="N74:Q74"/>
    <mergeCell ref="N75:Q75"/>
    <mergeCell ref="A88:K88"/>
    <mergeCell ref="A89:K89"/>
    <mergeCell ref="N91:Q91"/>
    <mergeCell ref="N92:Q92"/>
    <mergeCell ref="A106:K106"/>
    <mergeCell ref="A107:K107"/>
    <mergeCell ref="N109:Q109"/>
    <mergeCell ref="N110:Q110"/>
    <mergeCell ref="A123:K123"/>
    <mergeCell ref="A124:K124"/>
    <mergeCell ref="N126:Q126"/>
    <mergeCell ref="N127:Q127"/>
    <mergeCell ref="A140:K140"/>
    <mergeCell ref="N143:Q143"/>
    <mergeCell ref="N144:Q144"/>
    <mergeCell ref="A141:K141"/>
    <mergeCell ref="A158:K158"/>
    <mergeCell ref="A159:K159"/>
    <mergeCell ref="A177:K177"/>
    <mergeCell ref="A178:K178"/>
    <mergeCell ref="N180:Q180"/>
    <mergeCell ref="N181:Q181"/>
    <mergeCell ref="A319:K319"/>
    <mergeCell ref="A335:K335"/>
    <mergeCell ref="A336:K336"/>
    <mergeCell ref="B352:L352"/>
    <mergeCell ref="B353:L353"/>
    <mergeCell ref="B354:C354"/>
    <mergeCell ref="A263:K263"/>
    <mergeCell ref="A264:K264"/>
    <mergeCell ref="A282:K282"/>
    <mergeCell ref="A283:K283"/>
    <mergeCell ref="A301:K301"/>
    <mergeCell ref="A302:K302"/>
    <mergeCell ref="A318:K318"/>
  </mergeCells>
  <dataValidations>
    <dataValidation type="list" allowBlank="1" showErrorMessage="1" sqref="I4:I15 I21:I32 I38:I49 I56:I67 I74:I82 I84:I85 I91:I102 I109:I120 I126:I137 I143:I154 I161:I172 I180:I191 I197:I208 I214:I225 I231:I242 I249:I260 I266:I277 I285:I296 I304:I315 I321:I332 I338:I349 I355:I366">
      <formula1>"Não atendido,Atendido,Cancelado,Vagas livres,Bloqueada"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22.0"/>
    <col customWidth="1" min="3" max="3" width="15.5"/>
    <col customWidth="1" min="4" max="4" width="11.88"/>
    <col customWidth="1" min="5" max="5" width="16.0"/>
    <col customWidth="1" min="6" max="6" width="17.0"/>
    <col customWidth="1" min="7" max="7" width="31.75"/>
    <col customWidth="1" min="8" max="8" width="19.63"/>
    <col customWidth="1" min="9" max="9" width="20.38"/>
    <col customWidth="1" min="10" max="10" width="22.13"/>
    <col customWidth="1" min="11" max="11" width="22.3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33" t="s">
        <v>1279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5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69" t="s">
        <v>757</v>
      </c>
      <c r="C4" s="69" t="s">
        <v>1280</v>
      </c>
      <c r="D4" s="70">
        <v>0.5416666666666666</v>
      </c>
      <c r="E4" s="69">
        <v>8.1563965887E10</v>
      </c>
      <c r="F4" s="69">
        <v>7.00101911793415E14</v>
      </c>
      <c r="G4" s="69" t="s">
        <v>1281</v>
      </c>
      <c r="H4" s="193">
        <v>20145.0</v>
      </c>
      <c r="I4" s="30" t="s">
        <v>182</v>
      </c>
      <c r="J4" s="69">
        <v>1.19769351377E11</v>
      </c>
      <c r="K4" s="69"/>
      <c r="L4" s="235" t="s">
        <v>385</v>
      </c>
      <c r="M4" s="236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69" t="s">
        <v>757</v>
      </c>
      <c r="C5" s="69" t="s">
        <v>1280</v>
      </c>
      <c r="D5" s="70">
        <v>0.5555555555555556</v>
      </c>
      <c r="E5" s="69">
        <v>8.996616885E9</v>
      </c>
      <c r="F5" s="69">
        <v>7.04802598386043E14</v>
      </c>
      <c r="G5" s="69" t="s">
        <v>1282</v>
      </c>
      <c r="H5" s="72">
        <v>24481.0</v>
      </c>
      <c r="I5" s="30" t="s">
        <v>182</v>
      </c>
      <c r="J5" s="69">
        <v>1.1984881152E10</v>
      </c>
      <c r="K5" s="69">
        <v>1.1918644795E10</v>
      </c>
      <c r="M5" s="236"/>
      <c r="N5" s="239" t="s">
        <v>387</v>
      </c>
      <c r="O5" s="2"/>
      <c r="P5" s="2"/>
      <c r="Q5" s="2"/>
      <c r="R5" s="62"/>
    </row>
    <row r="6" ht="15.75" customHeight="1">
      <c r="A6" s="11" t="s">
        <v>12</v>
      </c>
      <c r="B6" s="69" t="s">
        <v>757</v>
      </c>
      <c r="C6" s="69" t="s">
        <v>1280</v>
      </c>
      <c r="D6" s="70">
        <v>0.5694444444444444</v>
      </c>
      <c r="E6" s="69">
        <v>4.2617979504E10</v>
      </c>
      <c r="F6" s="69">
        <v>7.07601240036791E14</v>
      </c>
      <c r="G6" s="69" t="s">
        <v>1283</v>
      </c>
      <c r="H6" s="78">
        <v>24685.0</v>
      </c>
      <c r="I6" s="30" t="s">
        <v>194</v>
      </c>
      <c r="J6" s="69">
        <v>1.1954325573E10</v>
      </c>
      <c r="K6" s="69">
        <v>1.1981761321E10</v>
      </c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/>
    </row>
    <row r="7" ht="15.75" customHeight="1">
      <c r="A7" s="11" t="s">
        <v>13</v>
      </c>
      <c r="B7" s="69" t="s">
        <v>757</v>
      </c>
      <c r="C7" s="69" t="s">
        <v>1280</v>
      </c>
      <c r="D7" s="70">
        <v>0.5833333333333334</v>
      </c>
      <c r="E7" s="69">
        <v>6.39455921E10</v>
      </c>
      <c r="F7" s="69">
        <v>7.08105544074835E14</v>
      </c>
      <c r="G7" s="69" t="s">
        <v>1284</v>
      </c>
      <c r="H7" s="78">
        <v>20304.0</v>
      </c>
      <c r="I7" s="30" t="s">
        <v>182</v>
      </c>
      <c r="J7" s="69">
        <v>1.1970465146E10</v>
      </c>
      <c r="K7" s="69">
        <v>1.1945816158E10</v>
      </c>
      <c r="M7" s="62"/>
      <c r="N7" s="244">
        <f t="shared" ref="N7:Q7" si="1">COUNTIFS($I$4:$I$15, N6)</f>
        <v>9</v>
      </c>
      <c r="O7" s="245">
        <f t="shared" si="1"/>
        <v>3</v>
      </c>
      <c r="P7" s="245">
        <f t="shared" si="1"/>
        <v>0</v>
      </c>
      <c r="Q7" s="246">
        <f t="shared" si="1"/>
        <v>0</v>
      </c>
      <c r="R7" s="62"/>
    </row>
    <row r="8" ht="15.75" customHeight="1">
      <c r="A8" s="11" t="s">
        <v>14</v>
      </c>
      <c r="B8" s="69" t="s">
        <v>757</v>
      </c>
      <c r="C8" s="69" t="s">
        <v>1280</v>
      </c>
      <c r="D8" s="70">
        <v>0.5972222222222222</v>
      </c>
      <c r="E8" s="69">
        <v>4.5620170829E10</v>
      </c>
      <c r="F8" s="69">
        <v>2.0392295053E14</v>
      </c>
      <c r="G8" s="69" t="s">
        <v>1285</v>
      </c>
      <c r="H8" s="78">
        <v>32855.0</v>
      </c>
      <c r="I8" s="30" t="s">
        <v>182</v>
      </c>
      <c r="J8" s="69">
        <v>1.1987498722E10</v>
      </c>
      <c r="K8" s="69"/>
      <c r="L8" s="197" t="s">
        <v>402</v>
      </c>
      <c r="M8" s="62"/>
      <c r="N8" s="62"/>
      <c r="O8" s="62"/>
      <c r="P8" s="62"/>
      <c r="Q8" s="62"/>
      <c r="R8" s="62"/>
    </row>
    <row r="9" ht="15.75" customHeight="1">
      <c r="A9" s="11" t="s">
        <v>15</v>
      </c>
      <c r="B9" s="69" t="s">
        <v>757</v>
      </c>
      <c r="C9" s="69" t="s">
        <v>1280</v>
      </c>
      <c r="D9" s="70">
        <v>0.6111111111111112</v>
      </c>
      <c r="E9" s="69">
        <v>2.1263555861E10</v>
      </c>
      <c r="F9" s="69">
        <v>8.014404053905E14</v>
      </c>
      <c r="G9" s="69" t="s">
        <v>1286</v>
      </c>
      <c r="H9" s="78">
        <v>28202.0</v>
      </c>
      <c r="I9" s="30" t="s">
        <v>182</v>
      </c>
      <c r="J9" s="69">
        <v>1.1989892014E10</v>
      </c>
      <c r="K9" s="69">
        <v>1.158945071E9</v>
      </c>
      <c r="L9" s="197" t="s">
        <v>393</v>
      </c>
      <c r="R9" s="62"/>
    </row>
    <row r="10" ht="15.75" customHeight="1">
      <c r="A10" s="11" t="s">
        <v>16</v>
      </c>
      <c r="B10" s="69" t="s">
        <v>757</v>
      </c>
      <c r="C10" s="69" t="s">
        <v>1280</v>
      </c>
      <c r="D10" s="70">
        <v>0.625</v>
      </c>
      <c r="E10" s="69">
        <v>2.7815421806E10</v>
      </c>
      <c r="F10" s="69">
        <v>7.02906540383978E14</v>
      </c>
      <c r="G10" s="69" t="s">
        <v>1287</v>
      </c>
      <c r="H10" s="78">
        <v>28581.0</v>
      </c>
      <c r="I10" s="30" t="s">
        <v>182</v>
      </c>
      <c r="J10" s="69">
        <v>1.1952173235E10</v>
      </c>
      <c r="K10" s="69">
        <v>1.158744996E9</v>
      </c>
      <c r="L10" s="197" t="s">
        <v>393</v>
      </c>
      <c r="R10" s="62"/>
    </row>
    <row r="11" ht="15.75" customHeight="1">
      <c r="A11" s="11" t="s">
        <v>17</v>
      </c>
      <c r="B11" s="69" t="s">
        <v>757</v>
      </c>
      <c r="C11" s="69" t="s">
        <v>1280</v>
      </c>
      <c r="D11" s="70">
        <v>0.6388888888888888</v>
      </c>
      <c r="E11" s="69">
        <v>1.2768659886E10</v>
      </c>
      <c r="F11" s="69">
        <v>1.21688160440018E14</v>
      </c>
      <c r="G11" s="69" t="s">
        <v>1288</v>
      </c>
      <c r="H11" s="72">
        <v>22881.0</v>
      </c>
      <c r="I11" s="30" t="s">
        <v>182</v>
      </c>
      <c r="J11" s="69">
        <v>1.1984378581E10</v>
      </c>
      <c r="K11" s="69">
        <v>5.8736797E7</v>
      </c>
      <c r="L11" s="197" t="s">
        <v>393</v>
      </c>
      <c r="R11" s="62"/>
    </row>
    <row r="12" ht="15.75" customHeight="1">
      <c r="A12" s="11" t="s">
        <v>85</v>
      </c>
      <c r="B12" s="69" t="s">
        <v>757</v>
      </c>
      <c r="C12" s="69" t="s">
        <v>1280</v>
      </c>
      <c r="D12" s="70">
        <v>0.6527777777777778</v>
      </c>
      <c r="E12" s="69">
        <v>3.2779413883E10</v>
      </c>
      <c r="F12" s="69">
        <v>7.00002400598104E14</v>
      </c>
      <c r="G12" s="69" t="s">
        <v>1289</v>
      </c>
      <c r="H12" s="78">
        <v>31299.0</v>
      </c>
      <c r="I12" s="30" t="s">
        <v>194</v>
      </c>
      <c r="J12" s="69">
        <v>9.73358998E8</v>
      </c>
      <c r="K12" s="69">
        <v>5.5144872E7</v>
      </c>
      <c r="L12" s="197" t="s">
        <v>393</v>
      </c>
      <c r="R12" s="62"/>
    </row>
    <row r="13" ht="15.75" customHeight="1">
      <c r="A13" s="11" t="s">
        <v>87</v>
      </c>
      <c r="B13" s="69" t="s">
        <v>757</v>
      </c>
      <c r="C13" s="69" t="s">
        <v>1280</v>
      </c>
      <c r="D13" s="70">
        <v>0.6666666666666666</v>
      </c>
      <c r="E13" s="69">
        <v>1.43226681E9</v>
      </c>
      <c r="F13" s="69">
        <v>7.06803738951721E14</v>
      </c>
      <c r="G13" s="69" t="s">
        <v>1290</v>
      </c>
      <c r="H13" s="153">
        <v>22335.0</v>
      </c>
      <c r="I13" s="30" t="s">
        <v>182</v>
      </c>
      <c r="J13" s="69">
        <v>1.1986163811E10</v>
      </c>
      <c r="K13" s="69">
        <v>1.1985259288E10</v>
      </c>
      <c r="L13" s="197" t="s">
        <v>393</v>
      </c>
      <c r="R13" s="62"/>
    </row>
    <row r="14" ht="15.75" customHeight="1">
      <c r="A14" s="11" t="s">
        <v>90</v>
      </c>
      <c r="B14" s="69" t="s">
        <v>757</v>
      </c>
      <c r="C14" s="69" t="s">
        <v>1280</v>
      </c>
      <c r="D14" s="70">
        <v>0.6805555555555556</v>
      </c>
      <c r="E14" s="69">
        <v>1.597819573E9</v>
      </c>
      <c r="F14" s="69">
        <v>7.05002206442359E14</v>
      </c>
      <c r="G14" s="69" t="s">
        <v>1291</v>
      </c>
      <c r="H14" s="153">
        <v>32555.0</v>
      </c>
      <c r="I14" s="30" t="s">
        <v>194</v>
      </c>
      <c r="J14" s="69">
        <v>1.1974105999E10</v>
      </c>
      <c r="K14" s="69">
        <v>1.1956470838E10</v>
      </c>
      <c r="L14" s="197" t="s">
        <v>393</v>
      </c>
      <c r="R14" s="62"/>
    </row>
    <row r="15" ht="15.75" customHeight="1">
      <c r="A15" s="11" t="s">
        <v>93</v>
      </c>
      <c r="B15" s="69" t="s">
        <v>757</v>
      </c>
      <c r="C15" s="69" t="s">
        <v>1280</v>
      </c>
      <c r="D15" s="70">
        <v>0.6944444444444444</v>
      </c>
      <c r="E15" s="69">
        <v>1.0371844835E10</v>
      </c>
      <c r="F15" s="69">
        <v>8.01440482147038E14</v>
      </c>
      <c r="G15" s="69" t="s">
        <v>1292</v>
      </c>
      <c r="H15" s="153">
        <v>25338.0</v>
      </c>
      <c r="I15" s="30" t="s">
        <v>182</v>
      </c>
      <c r="J15" s="69">
        <v>1.1939458715E10</v>
      </c>
      <c r="K15" s="69">
        <v>5.8162452E7</v>
      </c>
      <c r="L15" s="197" t="s">
        <v>393</v>
      </c>
      <c r="R15" s="62"/>
    </row>
    <row r="16" ht="15.75" customHeight="1">
      <c r="J16" s="62"/>
      <c r="K16" s="62"/>
      <c r="R16" s="62"/>
    </row>
    <row r="17" ht="15.75" customHeight="1">
      <c r="J17" s="62"/>
      <c r="K17" s="62"/>
      <c r="R17" s="62"/>
    </row>
    <row r="18" ht="15.75" customHeight="1">
      <c r="A18" s="20" t="s">
        <v>377</v>
      </c>
      <c r="B18" s="2"/>
      <c r="C18" s="2"/>
      <c r="D18" s="2"/>
      <c r="E18" s="2"/>
      <c r="F18" s="2"/>
      <c r="G18" s="2"/>
      <c r="H18" s="2"/>
      <c r="I18" s="2"/>
      <c r="J18" s="2"/>
      <c r="K18" s="3"/>
      <c r="R18" s="62"/>
    </row>
    <row r="19" ht="20.25" customHeight="1">
      <c r="A19" s="233" t="s">
        <v>1293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2"/>
      <c r="B20" s="23" t="s">
        <v>3</v>
      </c>
      <c r="C20" s="24" t="s">
        <v>2</v>
      </c>
      <c r="D20" s="25" t="s">
        <v>5</v>
      </c>
      <c r="E20" s="25" t="s">
        <v>19</v>
      </c>
      <c r="F20" s="25" t="s">
        <v>6</v>
      </c>
      <c r="G20" s="25" t="s">
        <v>7</v>
      </c>
      <c r="H20" s="27" t="s">
        <v>8</v>
      </c>
      <c r="I20" s="28" t="s">
        <v>20</v>
      </c>
      <c r="J20" s="25" t="s">
        <v>21</v>
      </c>
      <c r="K20" s="25" t="s">
        <v>22</v>
      </c>
      <c r="R20" s="62"/>
    </row>
    <row r="21" ht="15.75" customHeight="1">
      <c r="A21" s="11" t="s">
        <v>10</v>
      </c>
      <c r="B21" s="69" t="s">
        <v>936</v>
      </c>
      <c r="C21" s="69" t="s">
        <v>1294</v>
      </c>
      <c r="D21" s="70">
        <v>0.5416666666666666</v>
      </c>
      <c r="E21" s="289"/>
      <c r="F21" s="206">
        <v>2.01536171570008E14</v>
      </c>
      <c r="G21" s="206" t="s">
        <v>1295</v>
      </c>
      <c r="H21" s="126">
        <v>28780.0</v>
      </c>
      <c r="I21" s="30" t="s">
        <v>194</v>
      </c>
      <c r="J21" s="97" t="s">
        <v>1296</v>
      </c>
      <c r="K21" s="97" t="s">
        <v>1297</v>
      </c>
      <c r="N21" s="237" t="s">
        <v>386</v>
      </c>
      <c r="O21" s="95"/>
      <c r="P21" s="95"/>
      <c r="Q21" s="95"/>
      <c r="R21" s="62"/>
    </row>
    <row r="22" ht="15.75" customHeight="1">
      <c r="A22" s="11" t="s">
        <v>11</v>
      </c>
      <c r="B22" s="69" t="s">
        <v>280</v>
      </c>
      <c r="C22" s="69" t="s">
        <v>1294</v>
      </c>
      <c r="D22" s="70">
        <v>0.5555555555555556</v>
      </c>
      <c r="E22" s="363"/>
      <c r="F22" s="346">
        <v>7.02309181081713E14</v>
      </c>
      <c r="G22" s="364" t="s">
        <v>1298</v>
      </c>
      <c r="H22" s="365">
        <v>23744.0</v>
      </c>
      <c r="I22" s="30" t="s">
        <v>182</v>
      </c>
      <c r="J22" s="37" t="s">
        <v>1299</v>
      </c>
      <c r="K22" s="37" t="s">
        <v>1300</v>
      </c>
      <c r="N22" s="239" t="s">
        <v>435</v>
      </c>
      <c r="O22" s="2"/>
      <c r="P22" s="2"/>
      <c r="Q22" s="2"/>
      <c r="R22" s="62"/>
    </row>
    <row r="23" ht="15.75" customHeight="1">
      <c r="A23" s="11" t="s">
        <v>12</v>
      </c>
      <c r="B23" s="343"/>
      <c r="C23" s="69" t="s">
        <v>1294</v>
      </c>
      <c r="D23" s="70">
        <v>0.5694444444444444</v>
      </c>
      <c r="E23" s="253"/>
      <c r="F23" s="69"/>
      <c r="G23" s="69"/>
      <c r="H23" s="153"/>
      <c r="I23" s="18" t="s">
        <v>180</v>
      </c>
      <c r="J23" s="97"/>
      <c r="K23" s="97"/>
      <c r="N23" s="240" t="s">
        <v>182</v>
      </c>
      <c r="O23" s="241" t="s">
        <v>194</v>
      </c>
      <c r="P23" s="241" t="s">
        <v>180</v>
      </c>
      <c r="Q23" s="242" t="s">
        <v>172</v>
      </c>
      <c r="R23" s="62" t="s">
        <v>438</v>
      </c>
    </row>
    <row r="24" ht="15.75" customHeight="1">
      <c r="A24" s="11" t="s">
        <v>13</v>
      </c>
      <c r="B24" s="69" t="s">
        <v>398</v>
      </c>
      <c r="C24" s="69" t="s">
        <v>1294</v>
      </c>
      <c r="D24" s="70">
        <v>0.5833333333333334</v>
      </c>
      <c r="E24" s="366"/>
      <c r="F24" s="71">
        <v>7.0470870778953E14</v>
      </c>
      <c r="G24" s="127" t="s">
        <v>1261</v>
      </c>
      <c r="H24" s="367">
        <v>23873.0</v>
      </c>
      <c r="I24" s="30" t="s">
        <v>182</v>
      </c>
      <c r="J24" s="97" t="s">
        <v>1301</v>
      </c>
      <c r="K24" s="97" t="s">
        <v>1302</v>
      </c>
      <c r="L24" s="197" t="s">
        <v>441</v>
      </c>
      <c r="N24" s="244">
        <f>COUNTIFS(I$21:I$32,N23)</f>
        <v>4</v>
      </c>
      <c r="O24" s="244">
        <f t="shared" ref="O24:R24" si="2">COUNTIFS($I$21:$I$32,O23)</f>
        <v>2</v>
      </c>
      <c r="P24" s="244">
        <f t="shared" si="2"/>
        <v>6</v>
      </c>
      <c r="Q24" s="244">
        <f t="shared" si="2"/>
        <v>0</v>
      </c>
      <c r="R24" s="62">
        <f t="shared" si="2"/>
        <v>0</v>
      </c>
    </row>
    <row r="25" ht="15.75" customHeight="1">
      <c r="A25" s="11" t="s">
        <v>14</v>
      </c>
      <c r="B25" s="69"/>
      <c r="C25" s="69" t="s">
        <v>1294</v>
      </c>
      <c r="D25" s="70">
        <v>0.5972222222222222</v>
      </c>
      <c r="E25" s="368"/>
      <c r="F25" s="170"/>
      <c r="G25" s="192"/>
      <c r="H25" s="72"/>
      <c r="I25" s="18" t="s">
        <v>180</v>
      </c>
      <c r="J25" s="37"/>
      <c r="K25" s="37"/>
      <c r="L25" s="197" t="s">
        <v>441</v>
      </c>
      <c r="R25" s="62"/>
    </row>
    <row r="26" ht="15.75" customHeight="1">
      <c r="A26" s="11" t="s">
        <v>15</v>
      </c>
      <c r="B26" s="343"/>
      <c r="C26" s="69" t="s">
        <v>1294</v>
      </c>
      <c r="D26" s="70">
        <v>0.6111111111111112</v>
      </c>
      <c r="E26" s="369"/>
      <c r="F26" s="149"/>
      <c r="G26" s="149"/>
      <c r="H26" s="370"/>
      <c r="I26" s="18" t="s">
        <v>180</v>
      </c>
      <c r="J26" s="37"/>
      <c r="K26" s="37"/>
      <c r="L26" s="197" t="s">
        <v>441</v>
      </c>
      <c r="R26" s="62"/>
    </row>
    <row r="27" ht="15.75" customHeight="1">
      <c r="A27" s="11" t="s">
        <v>16</v>
      </c>
      <c r="B27" s="69"/>
      <c r="C27" s="69" t="s">
        <v>1294</v>
      </c>
      <c r="D27" s="70">
        <v>0.625</v>
      </c>
      <c r="E27" s="218"/>
      <c r="F27" s="149"/>
      <c r="G27" s="149"/>
      <c r="H27" s="150"/>
      <c r="I27" s="18" t="s">
        <v>180</v>
      </c>
      <c r="J27" s="97"/>
      <c r="K27" s="97"/>
      <c r="L27" s="197" t="s">
        <v>441</v>
      </c>
      <c r="R27" s="62"/>
    </row>
    <row r="28" ht="15.75" customHeight="1">
      <c r="A28" s="11" t="s">
        <v>17</v>
      </c>
      <c r="B28" s="69" t="s">
        <v>398</v>
      </c>
      <c r="C28" s="69" t="s">
        <v>1294</v>
      </c>
      <c r="D28" s="70">
        <v>0.6388888888888888</v>
      </c>
      <c r="E28" s="218"/>
      <c r="F28" s="149"/>
      <c r="G28" s="149" t="s">
        <v>1303</v>
      </c>
      <c r="H28" s="150">
        <v>28804.0</v>
      </c>
      <c r="I28" s="30" t="s">
        <v>182</v>
      </c>
      <c r="J28" s="37" t="s">
        <v>1304</v>
      </c>
      <c r="K28" s="37" t="s">
        <v>1305</v>
      </c>
      <c r="L28" s="197" t="s">
        <v>441</v>
      </c>
      <c r="R28" s="62"/>
    </row>
    <row r="29" ht="15.75" customHeight="1">
      <c r="A29" s="11" t="s">
        <v>85</v>
      </c>
      <c r="B29" s="69" t="s">
        <v>936</v>
      </c>
      <c r="C29" s="69" t="s">
        <v>1294</v>
      </c>
      <c r="D29" s="70">
        <v>0.6527777777777778</v>
      </c>
      <c r="E29" s="247"/>
      <c r="F29" s="146">
        <v>7.05006856799654E14</v>
      </c>
      <c r="G29" s="79" t="s">
        <v>1306</v>
      </c>
      <c r="H29" s="86">
        <v>16436.0</v>
      </c>
      <c r="I29" s="30" t="s">
        <v>194</v>
      </c>
      <c r="J29" s="37" t="s">
        <v>1307</v>
      </c>
      <c r="K29" s="37" t="s">
        <v>1308</v>
      </c>
      <c r="R29" s="62"/>
    </row>
    <row r="30" ht="15.75" customHeight="1">
      <c r="A30" s="11" t="s">
        <v>87</v>
      </c>
      <c r="B30" s="69" t="s">
        <v>280</v>
      </c>
      <c r="C30" s="69" t="s">
        <v>1294</v>
      </c>
      <c r="D30" s="70">
        <v>0.6666666666666666</v>
      </c>
      <c r="E30" s="218"/>
      <c r="F30" s="127">
        <v>7.07002856523139E14</v>
      </c>
      <c r="G30" s="79" t="s">
        <v>1309</v>
      </c>
      <c r="H30" s="153">
        <v>22512.0</v>
      </c>
      <c r="I30" s="30" t="s">
        <v>182</v>
      </c>
      <c r="J30" s="37" t="s">
        <v>1310</v>
      </c>
      <c r="K30" s="37" t="s">
        <v>1311</v>
      </c>
      <c r="L30" s="197" t="s">
        <v>454</v>
      </c>
      <c r="R30" s="62"/>
    </row>
    <row r="31" ht="15.75" customHeight="1">
      <c r="A31" s="11" t="s">
        <v>90</v>
      </c>
      <c r="B31" s="68"/>
      <c r="C31" s="69" t="s">
        <v>1294</v>
      </c>
      <c r="D31" s="70">
        <v>0.6805555555555556</v>
      </c>
      <c r="E31" s="258"/>
      <c r="G31" s="79"/>
      <c r="H31" s="153"/>
      <c r="I31" s="18" t="s">
        <v>180</v>
      </c>
      <c r="J31" s="37"/>
      <c r="K31" s="37"/>
      <c r="R31" s="62"/>
    </row>
    <row r="32" ht="15.75" customHeight="1">
      <c r="A32" s="11" t="s">
        <v>93</v>
      </c>
      <c r="B32" s="69"/>
      <c r="C32" s="69" t="s">
        <v>1294</v>
      </c>
      <c r="D32" s="70">
        <v>0.6944444444444444</v>
      </c>
      <c r="E32" s="258"/>
      <c r="F32" s="127"/>
      <c r="G32" s="79"/>
      <c r="H32" s="153"/>
      <c r="I32" s="18" t="s">
        <v>180</v>
      </c>
      <c r="J32" s="37"/>
      <c r="K32" s="37"/>
      <c r="R32" s="62"/>
    </row>
    <row r="33" ht="15.75" customHeight="1">
      <c r="J33" s="62"/>
      <c r="K33" s="62"/>
      <c r="R33" s="62"/>
    </row>
    <row r="34" ht="15.75" customHeight="1">
      <c r="J34" s="62"/>
      <c r="K34" s="62"/>
      <c r="R34" s="62"/>
    </row>
    <row r="35" ht="15.75" customHeight="1">
      <c r="A35" s="20" t="s">
        <v>377</v>
      </c>
      <c r="B35" s="2"/>
      <c r="C35" s="2"/>
      <c r="D35" s="2"/>
      <c r="E35" s="2"/>
      <c r="F35" s="2"/>
      <c r="G35" s="2"/>
      <c r="H35" s="2"/>
      <c r="I35" s="2"/>
      <c r="J35" s="2"/>
      <c r="K35" s="3"/>
      <c r="R35" s="62"/>
    </row>
    <row r="36" ht="15.75" customHeight="1">
      <c r="A36" s="233" t="s">
        <v>1312</v>
      </c>
      <c r="B36" s="2"/>
      <c r="C36" s="2"/>
      <c r="D36" s="2"/>
      <c r="E36" s="2"/>
      <c r="F36" s="2"/>
      <c r="G36" s="2"/>
      <c r="H36" s="2"/>
      <c r="I36" s="2"/>
      <c r="J36" s="2"/>
      <c r="K36" s="3"/>
      <c r="R36" s="62"/>
    </row>
    <row r="37" ht="15.75" customHeight="1">
      <c r="A37" s="22"/>
      <c r="B37" s="23" t="s">
        <v>3</v>
      </c>
      <c r="C37" s="24" t="s">
        <v>2</v>
      </c>
      <c r="D37" s="25" t="s">
        <v>5</v>
      </c>
      <c r="E37" s="25" t="s">
        <v>19</v>
      </c>
      <c r="F37" s="25" t="s">
        <v>6</v>
      </c>
      <c r="G37" s="234" t="s">
        <v>7</v>
      </c>
      <c r="H37" s="27" t="s">
        <v>8</v>
      </c>
      <c r="I37" s="28" t="s">
        <v>20</v>
      </c>
      <c r="J37" s="25" t="s">
        <v>21</v>
      </c>
      <c r="K37" s="25" t="s">
        <v>22</v>
      </c>
      <c r="R37" s="62"/>
    </row>
    <row r="38" ht="15.75" customHeight="1">
      <c r="A38" s="11" t="s">
        <v>10</v>
      </c>
      <c r="B38" s="68" t="s">
        <v>928</v>
      </c>
      <c r="C38" s="69" t="s">
        <v>1313</v>
      </c>
      <c r="D38" s="70">
        <v>0.3333333333333333</v>
      </c>
      <c r="E38" s="214" t="s">
        <v>1314</v>
      </c>
      <c r="F38" s="79">
        <v>8.98001413037137E14</v>
      </c>
      <c r="G38" s="74" t="s">
        <v>1315</v>
      </c>
      <c r="H38" s="78">
        <v>19805.0</v>
      </c>
      <c r="I38" s="30" t="s">
        <v>182</v>
      </c>
      <c r="J38" s="79">
        <v>1.1958837421E10</v>
      </c>
      <c r="K38" s="78">
        <v>1.1982872687E10</v>
      </c>
      <c r="N38" s="237" t="s">
        <v>386</v>
      </c>
      <c r="O38" s="95"/>
      <c r="P38" s="95"/>
      <c r="Q38" s="95"/>
      <c r="R38" s="62"/>
    </row>
    <row r="39" ht="15.75" customHeight="1">
      <c r="A39" s="11" t="s">
        <v>11</v>
      </c>
      <c r="B39" s="68" t="s">
        <v>622</v>
      </c>
      <c r="C39" s="69" t="s">
        <v>1313</v>
      </c>
      <c r="D39" s="70">
        <v>0.3472222222222222</v>
      </c>
      <c r="E39" s="214" t="s">
        <v>1316</v>
      </c>
      <c r="F39" s="79">
        <v>8.01440431514742E14</v>
      </c>
      <c r="G39" s="74" t="s">
        <v>1317</v>
      </c>
      <c r="H39" s="78">
        <v>20421.0</v>
      </c>
      <c r="I39" s="30" t="s">
        <v>182</v>
      </c>
      <c r="J39" s="79">
        <v>1.1968513663E10</v>
      </c>
      <c r="K39" s="78">
        <v>1.1934422926E10</v>
      </c>
      <c r="N39" s="239" t="s">
        <v>460</v>
      </c>
      <c r="O39" s="2"/>
      <c r="P39" s="2"/>
      <c r="Q39" s="2"/>
      <c r="R39" s="62"/>
    </row>
    <row r="40" ht="15.75" customHeight="1">
      <c r="A40" s="11" t="s">
        <v>12</v>
      </c>
      <c r="B40" s="68" t="s">
        <v>294</v>
      </c>
      <c r="C40" s="69" t="s">
        <v>1313</v>
      </c>
      <c r="D40" s="70">
        <v>0.3611111111111111</v>
      </c>
      <c r="E40" s="214" t="s">
        <v>1318</v>
      </c>
      <c r="F40" s="79">
        <v>2.01155000000005E14</v>
      </c>
      <c r="G40" s="74" t="s">
        <v>1319</v>
      </c>
      <c r="H40" s="78">
        <v>29630.0</v>
      </c>
      <c r="I40" s="30" t="s">
        <v>194</v>
      </c>
      <c r="J40" s="78">
        <v>1.1946673678E10</v>
      </c>
      <c r="K40" s="78"/>
      <c r="N40" s="240" t="s">
        <v>182</v>
      </c>
      <c r="O40" s="241" t="s">
        <v>194</v>
      </c>
      <c r="P40" s="241" t="s">
        <v>180</v>
      </c>
      <c r="Q40" s="242" t="s">
        <v>172</v>
      </c>
      <c r="R40" s="62" t="s">
        <v>438</v>
      </c>
    </row>
    <row r="41" ht="15.75" customHeight="1">
      <c r="A41" s="11" t="s">
        <v>13</v>
      </c>
      <c r="B41" s="68" t="s">
        <v>1320</v>
      </c>
      <c r="C41" s="69" t="s">
        <v>1313</v>
      </c>
      <c r="D41" s="70">
        <v>0.375</v>
      </c>
      <c r="E41" s="214"/>
      <c r="F41" s="79">
        <v>1.07864410860018E14</v>
      </c>
      <c r="G41" s="74" t="s">
        <v>1321</v>
      </c>
      <c r="H41" s="78"/>
      <c r="I41" s="30" t="s">
        <v>182</v>
      </c>
      <c r="J41" s="78"/>
      <c r="K41" s="78"/>
      <c r="N41" s="244">
        <f t="shared" ref="N41:Q41" si="3">COUNTIFS($I$38:$I$49,N40)</f>
        <v>8</v>
      </c>
      <c r="O41" s="244">
        <f t="shared" si="3"/>
        <v>3</v>
      </c>
      <c r="P41" s="244">
        <f t="shared" si="3"/>
        <v>1</v>
      </c>
      <c r="Q41" s="244">
        <f t="shared" si="3"/>
        <v>0</v>
      </c>
      <c r="R41" s="62">
        <f>COUNTIFS(I38:I49,R40)</f>
        <v>0</v>
      </c>
    </row>
    <row r="42" ht="15.75" customHeight="1">
      <c r="A42" s="11" t="s">
        <v>14</v>
      </c>
      <c r="B42" s="68" t="s">
        <v>622</v>
      </c>
      <c r="C42" s="69" t="s">
        <v>1313</v>
      </c>
      <c r="D42" s="70">
        <v>0.3888888888888889</v>
      </c>
      <c r="E42" s="214" t="s">
        <v>1322</v>
      </c>
      <c r="F42" s="79">
        <v>7.06703545634318E14</v>
      </c>
      <c r="G42" s="74" t="s">
        <v>1323</v>
      </c>
      <c r="H42" s="78">
        <v>16145.0</v>
      </c>
      <c r="I42" s="30" t="s">
        <v>182</v>
      </c>
      <c r="J42" s="78">
        <v>1.1946877951E10</v>
      </c>
      <c r="K42" s="78">
        <v>1.1986020764E10</v>
      </c>
      <c r="R42" s="62"/>
    </row>
    <row r="43" ht="15.75" customHeight="1">
      <c r="A43" s="11" t="s">
        <v>15</v>
      </c>
      <c r="B43" s="68" t="s">
        <v>622</v>
      </c>
      <c r="C43" s="69" t="s">
        <v>1313</v>
      </c>
      <c r="D43" s="70">
        <v>0.4027777777777778</v>
      </c>
      <c r="E43" s="214" t="s">
        <v>1324</v>
      </c>
      <c r="F43" s="79">
        <v>1.2105483455E14</v>
      </c>
      <c r="G43" s="74" t="s">
        <v>1325</v>
      </c>
      <c r="H43" s="78">
        <v>22783.0</v>
      </c>
      <c r="I43" s="30" t="s">
        <v>194</v>
      </c>
      <c r="J43" s="78">
        <v>1.198738522E10</v>
      </c>
      <c r="K43" s="78"/>
      <c r="R43" s="62"/>
    </row>
    <row r="44" ht="15.75" customHeight="1">
      <c r="A44" s="11" t="s">
        <v>16</v>
      </c>
      <c r="B44" s="68" t="s">
        <v>928</v>
      </c>
      <c r="C44" s="69" t="s">
        <v>1313</v>
      </c>
      <c r="D44" s="70">
        <v>0.4166666666666667</v>
      </c>
      <c r="E44" s="214" t="s">
        <v>1326</v>
      </c>
      <c r="F44" s="79">
        <v>8.9800147416703E14</v>
      </c>
      <c r="G44" s="74" t="s">
        <v>1327</v>
      </c>
      <c r="H44" s="78">
        <v>17835.0</v>
      </c>
      <c r="I44" s="30" t="s">
        <v>182</v>
      </c>
      <c r="J44" s="78">
        <v>1.1989399118E10</v>
      </c>
      <c r="K44" s="78">
        <v>1.1982872687E10</v>
      </c>
      <c r="R44" s="62"/>
    </row>
    <row r="45" ht="15.75" customHeight="1">
      <c r="A45" s="11" t="s">
        <v>17</v>
      </c>
      <c r="B45" s="68" t="s">
        <v>622</v>
      </c>
      <c r="C45" s="69" t="s">
        <v>1313</v>
      </c>
      <c r="D45" s="70">
        <v>0.4305555555555556</v>
      </c>
      <c r="E45" s="214" t="s">
        <v>623</v>
      </c>
      <c r="F45" s="371" t="s">
        <v>1328</v>
      </c>
      <c r="G45" s="74" t="s">
        <v>1329</v>
      </c>
      <c r="H45" s="78">
        <v>22765.0</v>
      </c>
      <c r="I45" s="30" t="s">
        <v>182</v>
      </c>
      <c r="J45" s="78">
        <v>1.1982540781E10</v>
      </c>
      <c r="K45" s="78"/>
      <c r="R45" s="62"/>
    </row>
    <row r="46" ht="15.75" customHeight="1">
      <c r="A46" s="11" t="s">
        <v>85</v>
      </c>
      <c r="B46" s="68" t="s">
        <v>1320</v>
      </c>
      <c r="C46" s="69" t="s">
        <v>1313</v>
      </c>
      <c r="D46" s="70">
        <v>0.4444444444444444</v>
      </c>
      <c r="E46" s="214"/>
      <c r="F46" s="79">
        <v>7.0410927092845E14</v>
      </c>
      <c r="G46" s="74" t="s">
        <v>1330</v>
      </c>
      <c r="H46" s="78">
        <v>30797.0</v>
      </c>
      <c r="I46" s="30" t="s">
        <v>182</v>
      </c>
      <c r="J46" s="78"/>
      <c r="K46" s="78"/>
      <c r="R46" s="62"/>
    </row>
    <row r="47" ht="15.75" customHeight="1">
      <c r="A47" s="11" t="s">
        <v>87</v>
      </c>
      <c r="B47" s="68" t="s">
        <v>622</v>
      </c>
      <c r="C47" s="69" t="s">
        <v>1313</v>
      </c>
      <c r="D47" s="70">
        <v>0.4583333333333333</v>
      </c>
      <c r="E47" s="214" t="s">
        <v>1331</v>
      </c>
      <c r="F47" s="79">
        <v>7.00005429412702E14</v>
      </c>
      <c r="G47" s="74" t="s">
        <v>1332</v>
      </c>
      <c r="H47" s="78">
        <v>24921.0</v>
      </c>
      <c r="I47" s="30" t="s">
        <v>194</v>
      </c>
      <c r="J47" s="78">
        <v>1.1959082124E10</v>
      </c>
      <c r="K47" s="78"/>
      <c r="R47" s="62"/>
    </row>
    <row r="48" ht="15.75" customHeight="1">
      <c r="A48" s="11" t="s">
        <v>90</v>
      </c>
      <c r="B48" s="68"/>
      <c r="C48" s="69" t="s">
        <v>1313</v>
      </c>
      <c r="D48" s="70">
        <v>0.4722222222222222</v>
      </c>
      <c r="E48" s="214"/>
      <c r="F48" s="79"/>
      <c r="G48" s="74"/>
      <c r="H48" s="78"/>
      <c r="I48" s="18" t="s">
        <v>180</v>
      </c>
      <c r="J48" s="78"/>
      <c r="K48" s="78"/>
      <c r="R48" s="62"/>
    </row>
    <row r="49" ht="15.75" customHeight="1">
      <c r="A49" s="11" t="s">
        <v>93</v>
      </c>
      <c r="B49" s="68" t="s">
        <v>928</v>
      </c>
      <c r="C49" s="69" t="s">
        <v>1313</v>
      </c>
      <c r="D49" s="70">
        <v>0.4861111111111111</v>
      </c>
      <c r="E49" s="214" t="s">
        <v>1333</v>
      </c>
      <c r="F49" s="79">
        <v>8.01440489527758E14</v>
      </c>
      <c r="G49" s="74" t="s">
        <v>1334</v>
      </c>
      <c r="H49" s="78">
        <v>23777.0</v>
      </c>
      <c r="I49" s="30" t="s">
        <v>182</v>
      </c>
      <c r="J49" s="78">
        <v>1.1959225504E10</v>
      </c>
      <c r="K49" s="78">
        <v>1.1982872687E10</v>
      </c>
      <c r="R49" s="62"/>
    </row>
    <row r="50" ht="15.75" customHeight="1">
      <c r="E50" s="263"/>
      <c r="J50" s="62"/>
      <c r="K50" s="62"/>
      <c r="R50" s="62"/>
    </row>
    <row r="51" ht="15.75" customHeight="1">
      <c r="J51" s="62"/>
      <c r="K51" s="62"/>
      <c r="R51" s="62"/>
    </row>
    <row r="52" ht="15.75" customHeight="1">
      <c r="J52" s="62"/>
      <c r="K52" s="62"/>
      <c r="R52" s="62"/>
    </row>
    <row r="53" ht="15.75" customHeight="1">
      <c r="A53" s="20" t="s">
        <v>377</v>
      </c>
      <c r="B53" s="2"/>
      <c r="C53" s="2"/>
      <c r="D53" s="2"/>
      <c r="E53" s="2"/>
      <c r="F53" s="2"/>
      <c r="G53" s="2"/>
      <c r="H53" s="2"/>
      <c r="I53" s="2"/>
      <c r="J53" s="2"/>
      <c r="K53" s="3"/>
      <c r="R53" s="62"/>
    </row>
    <row r="54" ht="15.75" customHeight="1">
      <c r="A54" s="233" t="s">
        <v>1335</v>
      </c>
      <c r="B54" s="2"/>
      <c r="C54" s="2"/>
      <c r="D54" s="2"/>
      <c r="E54" s="2"/>
      <c r="F54" s="2"/>
      <c r="G54" s="2"/>
      <c r="H54" s="2"/>
      <c r="I54" s="2"/>
      <c r="J54" s="2"/>
      <c r="K54" s="3"/>
      <c r="R54" s="62"/>
    </row>
    <row r="55" ht="15.75" customHeight="1">
      <c r="A55" s="22"/>
      <c r="B55" s="23" t="s">
        <v>3</v>
      </c>
      <c r="C55" s="24" t="s">
        <v>2</v>
      </c>
      <c r="D55" s="25" t="s">
        <v>5</v>
      </c>
      <c r="E55" s="25" t="s">
        <v>19</v>
      </c>
      <c r="F55" s="25" t="s">
        <v>6</v>
      </c>
      <c r="G55" s="234" t="s">
        <v>7</v>
      </c>
      <c r="H55" s="27" t="s">
        <v>8</v>
      </c>
      <c r="I55" s="28" t="s">
        <v>20</v>
      </c>
      <c r="J55" s="25" t="s">
        <v>21</v>
      </c>
      <c r="K55" s="25" t="s">
        <v>22</v>
      </c>
      <c r="R55" s="62"/>
    </row>
    <row r="56" ht="18.75" customHeight="1">
      <c r="A56" s="11" t="s">
        <v>10</v>
      </c>
      <c r="B56" s="69" t="s">
        <v>219</v>
      </c>
      <c r="C56" s="69" t="s">
        <v>1280</v>
      </c>
      <c r="D56" s="70">
        <v>0.5416666666666666</v>
      </c>
      <c r="E56" s="219" t="s">
        <v>1336</v>
      </c>
      <c r="F56" s="372">
        <v>2.039233502E14</v>
      </c>
      <c r="G56" s="54" t="s">
        <v>1337</v>
      </c>
      <c r="H56" s="373">
        <v>18619.0</v>
      </c>
      <c r="I56" s="30" t="s">
        <v>182</v>
      </c>
      <c r="J56" s="271"/>
      <c r="K56" s="271"/>
      <c r="N56" s="237" t="s">
        <v>386</v>
      </c>
      <c r="O56" s="95"/>
      <c r="P56" s="95"/>
      <c r="Q56" s="95"/>
      <c r="R56" s="62"/>
    </row>
    <row r="57" ht="15.75" customHeight="1">
      <c r="A57" s="11" t="s">
        <v>11</v>
      </c>
      <c r="B57" s="206"/>
      <c r="C57" s="69"/>
      <c r="D57" s="70"/>
      <c r="E57" s="253"/>
      <c r="F57" s="206"/>
      <c r="G57" s="125"/>
      <c r="H57" s="374"/>
      <c r="I57" s="18" t="s">
        <v>180</v>
      </c>
      <c r="J57" s="271"/>
      <c r="K57" s="271"/>
      <c r="N57" s="239" t="s">
        <v>488</v>
      </c>
      <c r="O57" s="2"/>
      <c r="P57" s="2"/>
      <c r="Q57" s="2"/>
      <c r="R57" s="62"/>
    </row>
    <row r="58" ht="15.75" customHeight="1">
      <c r="A58" s="11" t="s">
        <v>12</v>
      </c>
      <c r="B58" s="69" t="s">
        <v>526</v>
      </c>
      <c r="C58" s="69" t="s">
        <v>1280</v>
      </c>
      <c r="D58" s="70">
        <v>0.5694444444444444</v>
      </c>
      <c r="E58" s="253" t="s">
        <v>1338</v>
      </c>
      <c r="F58" s="375" t="s">
        <v>1339</v>
      </c>
      <c r="G58" s="54" t="s">
        <v>1340</v>
      </c>
      <c r="H58" s="193">
        <v>17048.0</v>
      </c>
      <c r="I58" s="30" t="s">
        <v>182</v>
      </c>
      <c r="J58" s="271">
        <v>1.1994349676E10</v>
      </c>
      <c r="K58" s="271"/>
      <c r="N58" s="240" t="s">
        <v>182</v>
      </c>
      <c r="O58" s="241" t="s">
        <v>194</v>
      </c>
      <c r="P58" s="241" t="s">
        <v>180</v>
      </c>
      <c r="Q58" s="242" t="s">
        <v>172</v>
      </c>
      <c r="R58" s="62"/>
    </row>
    <row r="59" ht="15.75" customHeight="1">
      <c r="A59" s="11" t="s">
        <v>13</v>
      </c>
      <c r="B59" s="69" t="s">
        <v>667</v>
      </c>
      <c r="C59" s="69" t="s">
        <v>1280</v>
      </c>
      <c r="D59" s="70">
        <v>0.5833333333333334</v>
      </c>
      <c r="E59" s="253" t="s">
        <v>1341</v>
      </c>
      <c r="F59" s="79">
        <v>7.034011219233E14</v>
      </c>
      <c r="G59" s="74" t="s">
        <v>1342</v>
      </c>
      <c r="H59" s="78">
        <v>19960.0</v>
      </c>
      <c r="I59" s="30" t="s">
        <v>182</v>
      </c>
      <c r="J59" s="271">
        <v>1.1966912808E10</v>
      </c>
      <c r="K59" s="271">
        <v>1.195855477E10</v>
      </c>
      <c r="N59" s="244">
        <f t="shared" ref="N59:Q59" si="4">COUNTIFS($I$56:$I$67,N58)</f>
        <v>8</v>
      </c>
      <c r="O59" s="244">
        <f t="shared" si="4"/>
        <v>0</v>
      </c>
      <c r="P59" s="244">
        <f t="shared" si="4"/>
        <v>2</v>
      </c>
      <c r="Q59" s="244">
        <f t="shared" si="4"/>
        <v>1</v>
      </c>
      <c r="R59" s="62"/>
    </row>
    <row r="60" ht="15.75" customHeight="1">
      <c r="A60" s="11" t="s">
        <v>14</v>
      </c>
      <c r="B60" s="69" t="s">
        <v>219</v>
      </c>
      <c r="C60" s="69" t="s">
        <v>1280</v>
      </c>
      <c r="D60" s="70">
        <v>0.5972222222222222</v>
      </c>
      <c r="E60" s="219" t="s">
        <v>1343</v>
      </c>
      <c r="F60" s="79">
        <v>7.00803441326889E14</v>
      </c>
      <c r="G60" s="74" t="s">
        <v>1344</v>
      </c>
      <c r="H60" s="78">
        <v>18819.0</v>
      </c>
      <c r="I60" s="30" t="s">
        <v>182</v>
      </c>
      <c r="J60" s="271">
        <v>1.197224087E10</v>
      </c>
      <c r="K60" s="271"/>
      <c r="R60" s="62"/>
    </row>
    <row r="61" ht="15.75" customHeight="1">
      <c r="A61" s="11" t="s">
        <v>15</v>
      </c>
      <c r="B61" s="206"/>
      <c r="C61" s="69"/>
      <c r="D61" s="70"/>
      <c r="E61" s="219"/>
      <c r="F61" s="170"/>
      <c r="G61" s="186"/>
      <c r="H61" s="72"/>
      <c r="I61" s="18" t="s">
        <v>180</v>
      </c>
      <c r="J61" s="271"/>
      <c r="K61" s="271"/>
      <c r="R61" s="62"/>
    </row>
    <row r="62" ht="15.75" customHeight="1">
      <c r="A62" s="11" t="s">
        <v>16</v>
      </c>
      <c r="B62" s="69" t="s">
        <v>526</v>
      </c>
      <c r="C62" s="69" t="s">
        <v>1280</v>
      </c>
      <c r="D62" s="70">
        <v>0.625</v>
      </c>
      <c r="E62" s="219" t="s">
        <v>1345</v>
      </c>
      <c r="F62" s="79">
        <v>7.00205911705225E14</v>
      </c>
      <c r="G62" s="74" t="s">
        <v>1346</v>
      </c>
      <c r="H62" s="78">
        <v>19960.0</v>
      </c>
      <c r="I62" s="30" t="s">
        <v>182</v>
      </c>
      <c r="J62" s="271">
        <v>1.1948496867E10</v>
      </c>
      <c r="K62" s="271">
        <v>1.1980603172E10</v>
      </c>
      <c r="R62" s="62"/>
    </row>
    <row r="63" ht="15.75" customHeight="1">
      <c r="A63" s="11" t="s">
        <v>17</v>
      </c>
      <c r="B63" s="69" t="s">
        <v>667</v>
      </c>
      <c r="C63" s="69" t="s">
        <v>1280</v>
      </c>
      <c r="D63" s="70">
        <v>0.6388888888888888</v>
      </c>
      <c r="E63" s="219" t="s">
        <v>1347</v>
      </c>
      <c r="F63" s="127">
        <v>1.63948556940001E14</v>
      </c>
      <c r="G63" s="74" t="s">
        <v>1348</v>
      </c>
      <c r="H63" s="153">
        <v>27804.0</v>
      </c>
      <c r="I63" s="30" t="s">
        <v>182</v>
      </c>
      <c r="J63" s="271">
        <v>1.1959894295E10</v>
      </c>
      <c r="K63" s="271">
        <v>1.1987996288E10</v>
      </c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</row>
    <row r="64" ht="15.75" customHeight="1">
      <c r="A64" s="11" t="s">
        <v>85</v>
      </c>
      <c r="B64" s="69" t="s">
        <v>219</v>
      </c>
      <c r="C64" s="69" t="s">
        <v>1280</v>
      </c>
      <c r="D64" s="70">
        <v>0.6666666666666666</v>
      </c>
      <c r="E64" s="219" t="s">
        <v>1349</v>
      </c>
      <c r="F64" s="376" t="s">
        <v>1350</v>
      </c>
      <c r="G64" s="74" t="s">
        <v>1351</v>
      </c>
      <c r="H64" s="86">
        <v>26370.0</v>
      </c>
      <c r="I64" s="30" t="s">
        <v>182</v>
      </c>
      <c r="J64" s="271"/>
      <c r="K64" s="271"/>
      <c r="R64" s="62"/>
    </row>
    <row r="65" ht="15.75" customHeight="1">
      <c r="A65" s="11" t="s">
        <v>87</v>
      </c>
      <c r="B65" s="69" t="s">
        <v>219</v>
      </c>
      <c r="C65" s="69" t="s">
        <v>1280</v>
      </c>
      <c r="D65" s="70">
        <v>0.6944444444444444</v>
      </c>
      <c r="E65" s="219">
        <v>9.0582080878E10</v>
      </c>
      <c r="F65" s="127">
        <v>8.0144040109079E14</v>
      </c>
      <c r="G65" s="54" t="s">
        <v>1352</v>
      </c>
      <c r="H65" s="86">
        <v>19282.0</v>
      </c>
      <c r="I65" s="30" t="s">
        <v>182</v>
      </c>
      <c r="J65" s="271">
        <v>1.1954974673E10</v>
      </c>
      <c r="K65" s="271"/>
      <c r="R65" s="62"/>
    </row>
    <row r="66" ht="15.75" customHeight="1">
      <c r="A66" s="377" t="s">
        <v>90</v>
      </c>
      <c r="B66" s="324" t="s">
        <v>667</v>
      </c>
      <c r="C66" s="324" t="s">
        <v>1280</v>
      </c>
      <c r="D66" s="325">
        <v>0.7083333333333334</v>
      </c>
      <c r="E66" s="326" t="s">
        <v>1353</v>
      </c>
      <c r="F66" s="378" t="s">
        <v>1354</v>
      </c>
      <c r="G66" s="379" t="s">
        <v>1355</v>
      </c>
      <c r="H66" s="380">
        <v>16668.0</v>
      </c>
      <c r="I66" s="381" t="s">
        <v>172</v>
      </c>
      <c r="J66" s="382">
        <v>1.1983301957E10</v>
      </c>
      <c r="K66" s="383"/>
      <c r="R66" s="62"/>
    </row>
    <row r="67" ht="15.75" customHeight="1">
      <c r="A67" s="11" t="s">
        <v>93</v>
      </c>
      <c r="B67" s="69"/>
      <c r="C67" s="69"/>
      <c r="D67" s="70"/>
      <c r="E67" s="219"/>
      <c r="F67" s="127"/>
      <c r="G67" s="74"/>
      <c r="H67" s="153"/>
      <c r="I67" s="18"/>
      <c r="J67" s="37"/>
      <c r="K67" s="37"/>
      <c r="R67" s="62"/>
    </row>
    <row r="68" ht="15.75" customHeight="1">
      <c r="J68" s="62"/>
      <c r="K68" s="62"/>
      <c r="R68" s="62"/>
    </row>
    <row r="69" ht="15.75" customHeight="1">
      <c r="J69" s="62"/>
      <c r="K69" s="62"/>
      <c r="R69" s="62"/>
    </row>
    <row r="70" ht="15.0" customHeight="1">
      <c r="J70" s="62"/>
      <c r="K70" s="62"/>
      <c r="R70" s="62"/>
    </row>
    <row r="71" ht="15.75" customHeight="1">
      <c r="A71" s="20" t="s">
        <v>377</v>
      </c>
      <c r="B71" s="2"/>
      <c r="C71" s="2"/>
      <c r="D71" s="2"/>
      <c r="E71" s="2"/>
      <c r="F71" s="2"/>
      <c r="G71" s="2"/>
      <c r="H71" s="2"/>
      <c r="I71" s="2"/>
      <c r="J71" s="2"/>
      <c r="K71" s="3"/>
      <c r="R71" s="62"/>
    </row>
    <row r="72" ht="15.75" customHeight="1">
      <c r="A72" s="233" t="s">
        <v>1356</v>
      </c>
      <c r="B72" s="2"/>
      <c r="C72" s="2"/>
      <c r="D72" s="2"/>
      <c r="E72" s="2"/>
      <c r="F72" s="2"/>
      <c r="G72" s="2"/>
      <c r="H72" s="2"/>
      <c r="I72" s="2"/>
      <c r="J72" s="2"/>
      <c r="K72" s="3"/>
      <c r="R72" s="62"/>
    </row>
    <row r="73" ht="15.75" customHeight="1">
      <c r="A73" s="22"/>
      <c r="B73" s="23" t="s">
        <v>3</v>
      </c>
      <c r="C73" s="24" t="s">
        <v>2</v>
      </c>
      <c r="D73" s="25" t="s">
        <v>5</v>
      </c>
      <c r="E73" s="25" t="s">
        <v>19</v>
      </c>
      <c r="F73" s="25" t="s">
        <v>6</v>
      </c>
      <c r="G73" s="234" t="s">
        <v>7</v>
      </c>
      <c r="H73" s="27" t="s">
        <v>8</v>
      </c>
      <c r="I73" s="28" t="s">
        <v>20</v>
      </c>
      <c r="J73" s="25" t="s">
        <v>21</v>
      </c>
      <c r="K73" s="25" t="s">
        <v>22</v>
      </c>
      <c r="R73" s="62"/>
    </row>
    <row r="74" ht="15.75" customHeight="1">
      <c r="A74" s="11" t="s">
        <v>10</v>
      </c>
      <c r="B74" s="384" t="s">
        <v>1357</v>
      </c>
      <c r="C74" s="69" t="s">
        <v>1294</v>
      </c>
      <c r="D74" s="70">
        <v>0.5416666666666666</v>
      </c>
      <c r="E74" s="219"/>
      <c r="F74" s="29"/>
      <c r="G74" s="29"/>
      <c r="H74" s="193"/>
      <c r="I74" s="30" t="s">
        <v>180</v>
      </c>
      <c r="J74" s="97"/>
      <c r="K74" s="97"/>
      <c r="L74" s="197" t="s">
        <v>520</v>
      </c>
      <c r="N74" s="237" t="s">
        <v>386</v>
      </c>
      <c r="O74" s="95"/>
      <c r="P74" s="95"/>
      <c r="Q74" s="95"/>
      <c r="R74" s="62"/>
    </row>
    <row r="75" ht="15.75" customHeight="1">
      <c r="A75" s="11" t="s">
        <v>11</v>
      </c>
      <c r="B75" s="125" t="s">
        <v>1358</v>
      </c>
      <c r="C75" s="69" t="s">
        <v>1294</v>
      </c>
      <c r="D75" s="70">
        <v>0.5555555555555556</v>
      </c>
      <c r="E75" s="215"/>
      <c r="F75" s="127">
        <v>7.00104989417015E14</v>
      </c>
      <c r="G75" s="54" t="s">
        <v>1359</v>
      </c>
      <c r="H75" s="72">
        <v>21292.0</v>
      </c>
      <c r="I75" s="30" t="s">
        <v>182</v>
      </c>
      <c r="J75" s="37">
        <v>1.1911413239E10</v>
      </c>
      <c r="K75" s="37"/>
      <c r="N75" s="239" t="s">
        <v>521</v>
      </c>
      <c r="O75" s="2"/>
      <c r="P75" s="2"/>
      <c r="Q75" s="2"/>
      <c r="R75" s="62"/>
    </row>
    <row r="76" ht="15.75" customHeight="1">
      <c r="A76" s="11" t="s">
        <v>12</v>
      </c>
      <c r="B76" s="125" t="s">
        <v>1360</v>
      </c>
      <c r="C76" s="69" t="s">
        <v>1294</v>
      </c>
      <c r="D76" s="70">
        <v>0.5694444444444444</v>
      </c>
      <c r="E76" s="215"/>
      <c r="F76" s="127">
        <v>7.05601404326715E14</v>
      </c>
      <c r="G76" s="54" t="s">
        <v>1361</v>
      </c>
      <c r="H76" s="72">
        <v>25315.0</v>
      </c>
      <c r="I76" s="30" t="s">
        <v>182</v>
      </c>
      <c r="J76" s="97">
        <v>1.1980497158E10</v>
      </c>
      <c r="K76" s="97"/>
      <c r="L76" s="197" t="s">
        <v>520</v>
      </c>
      <c r="N76" s="240" t="s">
        <v>182</v>
      </c>
      <c r="O76" s="241" t="s">
        <v>194</v>
      </c>
      <c r="P76" s="241" t="s">
        <v>180</v>
      </c>
      <c r="Q76" s="242" t="s">
        <v>172</v>
      </c>
      <c r="R76" s="62"/>
    </row>
    <row r="77" ht="15.75" customHeight="1">
      <c r="A77" s="11" t="s">
        <v>13</v>
      </c>
      <c r="B77" s="125" t="s">
        <v>1362</v>
      </c>
      <c r="C77" s="69" t="s">
        <v>1294</v>
      </c>
      <c r="D77" s="70">
        <v>0.5833333333333334</v>
      </c>
      <c r="E77" s="214"/>
      <c r="F77" s="127">
        <v>7.07407072980979E14</v>
      </c>
      <c r="G77" s="54" t="s">
        <v>1363</v>
      </c>
      <c r="H77" s="72">
        <v>27306.0</v>
      </c>
      <c r="I77" s="30" t="s">
        <v>182</v>
      </c>
      <c r="J77" s="97">
        <v>1.1958720838E10</v>
      </c>
      <c r="K77" s="97">
        <v>1.1982711748E10</v>
      </c>
      <c r="L77" s="197" t="s">
        <v>520</v>
      </c>
      <c r="N77" s="244">
        <f t="shared" ref="N77:Q77" si="5">COUNTIFS($I$74:$I$85,N76)</f>
        <v>7</v>
      </c>
      <c r="O77" s="244">
        <f t="shared" si="5"/>
        <v>0</v>
      </c>
      <c r="P77" s="244">
        <f t="shared" si="5"/>
        <v>4</v>
      </c>
      <c r="Q77" s="244">
        <f t="shared" si="5"/>
        <v>1</v>
      </c>
      <c r="R77" s="62"/>
    </row>
    <row r="78" ht="18.0" customHeight="1">
      <c r="A78" s="11" t="s">
        <v>14</v>
      </c>
      <c r="B78" s="384" t="s">
        <v>1357</v>
      </c>
      <c r="C78" s="69" t="s">
        <v>1294</v>
      </c>
      <c r="D78" s="70">
        <v>0.5972222222222222</v>
      </c>
      <c r="E78" s="247"/>
      <c r="F78" s="127"/>
      <c r="G78" s="54"/>
      <c r="H78" s="72"/>
      <c r="I78" s="30" t="s">
        <v>180</v>
      </c>
      <c r="J78" s="37"/>
      <c r="K78" s="37"/>
      <c r="L78" s="197" t="s">
        <v>520</v>
      </c>
      <c r="R78" s="62"/>
    </row>
    <row r="79" ht="15.75" customHeight="1">
      <c r="A79" s="11" t="s">
        <v>15</v>
      </c>
      <c r="B79" s="125" t="s">
        <v>1358</v>
      </c>
      <c r="C79" s="69" t="s">
        <v>1294</v>
      </c>
      <c r="D79" s="70">
        <v>0.6111111111111112</v>
      </c>
      <c r="E79" s="247"/>
      <c r="F79" s="127">
        <v>7.00500331576457E14</v>
      </c>
      <c r="G79" s="54" t="s">
        <v>1364</v>
      </c>
      <c r="H79" s="72">
        <v>14193.0</v>
      </c>
      <c r="I79" s="30" t="s">
        <v>182</v>
      </c>
      <c r="J79" s="37">
        <v>1.1939409595E10</v>
      </c>
      <c r="K79" s="37">
        <v>1.1993084036E10</v>
      </c>
      <c r="L79" s="197" t="s">
        <v>520</v>
      </c>
      <c r="R79" s="62"/>
    </row>
    <row r="80" ht="15.75" customHeight="1">
      <c r="A80" s="11" t="s">
        <v>16</v>
      </c>
      <c r="B80" s="125" t="s">
        <v>1360</v>
      </c>
      <c r="C80" s="69" t="s">
        <v>1294</v>
      </c>
      <c r="D80" s="70">
        <v>0.625</v>
      </c>
      <c r="E80" s="258"/>
      <c r="F80" s="127">
        <v>7.0170124740597E14</v>
      </c>
      <c r="G80" s="54" t="s">
        <v>1365</v>
      </c>
      <c r="H80" s="72">
        <v>17844.0</v>
      </c>
      <c r="I80" s="30" t="s">
        <v>182</v>
      </c>
      <c r="J80" s="272">
        <v>1.1977114581E10</v>
      </c>
      <c r="K80" s="272"/>
      <c r="L80" s="197" t="s">
        <v>520</v>
      </c>
      <c r="R80" s="62"/>
    </row>
    <row r="81" ht="15.75" customHeight="1">
      <c r="A81" s="11" t="s">
        <v>178</v>
      </c>
      <c r="B81" s="125" t="s">
        <v>1362</v>
      </c>
      <c r="C81" s="69" t="s">
        <v>1294</v>
      </c>
      <c r="D81" s="70">
        <v>0.6388888888888888</v>
      </c>
      <c r="E81" s="215"/>
      <c r="F81" s="127">
        <v>7.02501386546735E14</v>
      </c>
      <c r="G81" s="54" t="s">
        <v>1366</v>
      </c>
      <c r="H81" s="72">
        <v>19852.0</v>
      </c>
      <c r="I81" s="30" t="s">
        <v>182</v>
      </c>
      <c r="J81" s="37">
        <v>1.198762877E10</v>
      </c>
      <c r="K81" s="37">
        <v>1.1958887571E10</v>
      </c>
      <c r="L81" s="197" t="s">
        <v>520</v>
      </c>
      <c r="R81" s="62"/>
    </row>
    <row r="82" ht="15.75" customHeight="1">
      <c r="A82" s="11" t="s">
        <v>85</v>
      </c>
      <c r="B82" s="384" t="s">
        <v>1357</v>
      </c>
      <c r="C82" s="69" t="s">
        <v>1294</v>
      </c>
      <c r="D82" s="70">
        <v>0.6527777777777778</v>
      </c>
      <c r="E82" s="258"/>
      <c r="F82" s="127"/>
      <c r="G82" s="54"/>
      <c r="H82" s="72"/>
      <c r="I82" s="30" t="s">
        <v>180</v>
      </c>
      <c r="J82" s="132"/>
      <c r="K82" s="37"/>
      <c r="L82" s="197" t="s">
        <v>520</v>
      </c>
      <c r="R82" s="62"/>
    </row>
    <row r="83" ht="15.75" customHeight="1">
      <c r="A83" s="11" t="s">
        <v>87</v>
      </c>
      <c r="B83" s="385" t="s">
        <v>1358</v>
      </c>
      <c r="C83" s="69" t="s">
        <v>1294</v>
      </c>
      <c r="D83" s="70">
        <v>0.6666666666666666</v>
      </c>
      <c r="E83" s="218"/>
      <c r="F83" s="127"/>
      <c r="G83" s="54"/>
      <c r="H83" s="72"/>
      <c r="I83" s="30" t="s">
        <v>180</v>
      </c>
      <c r="J83" s="37"/>
      <c r="K83" s="37"/>
      <c r="L83" s="197" t="s">
        <v>520</v>
      </c>
      <c r="R83" s="62"/>
    </row>
    <row r="84" ht="15.75" customHeight="1">
      <c r="A84" s="11" t="s">
        <v>90</v>
      </c>
      <c r="B84" s="125" t="s">
        <v>1360</v>
      </c>
      <c r="C84" s="69" t="s">
        <v>1294</v>
      </c>
      <c r="D84" s="70">
        <v>0.6805555555555556</v>
      </c>
      <c r="E84" s="258"/>
      <c r="F84" s="127">
        <v>7.06308744086173E14</v>
      </c>
      <c r="G84" s="54" t="s">
        <v>1239</v>
      </c>
      <c r="H84" s="72">
        <v>18838.0</v>
      </c>
      <c r="I84" s="30" t="s">
        <v>172</v>
      </c>
      <c r="J84" s="37">
        <v>1.1958075284E10</v>
      </c>
      <c r="K84" s="37">
        <v>1.1964489816E10</v>
      </c>
      <c r="L84" s="197" t="s">
        <v>520</v>
      </c>
      <c r="R84" s="62"/>
    </row>
    <row r="85" ht="15.75" customHeight="1">
      <c r="A85" s="11" t="s">
        <v>93</v>
      </c>
      <c r="B85" s="125" t="s">
        <v>1362</v>
      </c>
      <c r="C85" s="69" t="s">
        <v>1294</v>
      </c>
      <c r="D85" s="70">
        <v>0.6944444444444444</v>
      </c>
      <c r="E85" s="258"/>
      <c r="F85" s="127">
        <v>7.02405542912521E14</v>
      </c>
      <c r="G85" s="54" t="s">
        <v>1367</v>
      </c>
      <c r="H85" s="72">
        <v>19783.0</v>
      </c>
      <c r="I85" s="30" t="s">
        <v>182</v>
      </c>
      <c r="J85" s="37">
        <v>1.1997772782E10</v>
      </c>
      <c r="K85" s="37">
        <v>1.1983888691E10</v>
      </c>
      <c r="R85" s="62"/>
    </row>
    <row r="86" ht="15.75" customHeight="1">
      <c r="J86" s="62"/>
      <c r="K86" s="62"/>
      <c r="R86" s="62"/>
    </row>
    <row r="87" ht="15.75" customHeight="1">
      <c r="J87" s="62"/>
      <c r="K87" s="62"/>
      <c r="R87" s="62"/>
    </row>
    <row r="88" ht="15.75" customHeight="1">
      <c r="A88" s="20" t="s">
        <v>377</v>
      </c>
      <c r="B88" s="2"/>
      <c r="C88" s="2"/>
      <c r="D88" s="2"/>
      <c r="E88" s="2"/>
      <c r="F88" s="2"/>
      <c r="G88" s="2"/>
      <c r="H88" s="2"/>
      <c r="I88" s="2"/>
      <c r="J88" s="2"/>
      <c r="K88" s="3"/>
      <c r="R88" s="62"/>
    </row>
    <row r="89" ht="15.75" customHeight="1">
      <c r="A89" s="233" t="s">
        <v>1368</v>
      </c>
      <c r="B89" s="2"/>
      <c r="C89" s="2"/>
      <c r="D89" s="2"/>
      <c r="E89" s="2"/>
      <c r="F89" s="2"/>
      <c r="G89" s="2"/>
      <c r="H89" s="2"/>
      <c r="I89" s="2"/>
      <c r="J89" s="2"/>
      <c r="K89" s="3"/>
      <c r="R89" s="62"/>
    </row>
    <row r="90" ht="15.75" customHeight="1">
      <c r="A90" s="22"/>
      <c r="B90" s="23" t="s">
        <v>3</v>
      </c>
      <c r="C90" s="24" t="s">
        <v>2</v>
      </c>
      <c r="D90" s="25" t="s">
        <v>5</v>
      </c>
      <c r="E90" s="25" t="s">
        <v>19</v>
      </c>
      <c r="F90" s="25" t="s">
        <v>6</v>
      </c>
      <c r="G90" s="234" t="s">
        <v>7</v>
      </c>
      <c r="H90" s="27" t="s">
        <v>8</v>
      </c>
      <c r="I90" s="28" t="s">
        <v>20</v>
      </c>
      <c r="J90" s="25" t="s">
        <v>21</v>
      </c>
      <c r="K90" s="25" t="s">
        <v>22</v>
      </c>
      <c r="R90" s="62"/>
    </row>
    <row r="91" ht="15.75" customHeight="1">
      <c r="A91" s="11" t="s">
        <v>10</v>
      </c>
      <c r="B91" s="386" t="s">
        <v>928</v>
      </c>
      <c r="C91" s="69" t="s">
        <v>1313</v>
      </c>
      <c r="D91" s="70">
        <v>0.3333333333333333</v>
      </c>
      <c r="E91" s="79" t="s">
        <v>1369</v>
      </c>
      <c r="F91" s="79">
        <v>7.02600737406742E14</v>
      </c>
      <c r="G91" s="74" t="s">
        <v>1370</v>
      </c>
      <c r="H91" s="274">
        <v>33816.0</v>
      </c>
      <c r="I91" s="30" t="s">
        <v>182</v>
      </c>
      <c r="J91" s="274"/>
      <c r="K91" s="274"/>
      <c r="L91" s="197" t="s">
        <v>520</v>
      </c>
      <c r="N91" s="237" t="s">
        <v>386</v>
      </c>
      <c r="O91" s="95"/>
      <c r="P91" s="95"/>
      <c r="Q91" s="95"/>
      <c r="R91" s="62"/>
    </row>
    <row r="92" ht="15.75" customHeight="1">
      <c r="A92" s="11" t="s">
        <v>11</v>
      </c>
      <c r="B92" s="386" t="s">
        <v>622</v>
      </c>
      <c r="C92" s="69" t="s">
        <v>1313</v>
      </c>
      <c r="D92" s="70">
        <v>0.3472222222222222</v>
      </c>
      <c r="E92" s="79" t="s">
        <v>674</v>
      </c>
      <c r="F92" s="79">
        <v>8.01440480119509E14</v>
      </c>
      <c r="G92" s="74" t="s">
        <v>675</v>
      </c>
      <c r="H92" s="274">
        <v>23464.0</v>
      </c>
      <c r="I92" s="30" t="s">
        <v>172</v>
      </c>
      <c r="J92" s="274"/>
      <c r="K92" s="274"/>
      <c r="N92" s="239" t="s">
        <v>556</v>
      </c>
      <c r="O92" s="2"/>
      <c r="P92" s="2"/>
      <c r="Q92" s="2"/>
      <c r="R92" s="62"/>
    </row>
    <row r="93" ht="15.75" customHeight="1">
      <c r="A93" s="11" t="s">
        <v>12</v>
      </c>
      <c r="B93" s="386" t="s">
        <v>294</v>
      </c>
      <c r="C93" s="69" t="s">
        <v>1313</v>
      </c>
      <c r="D93" s="70">
        <v>0.3611111111111111</v>
      </c>
      <c r="E93" s="79" t="s">
        <v>1371</v>
      </c>
      <c r="F93" s="79">
        <v>2.01154959290005E14</v>
      </c>
      <c r="G93" s="74" t="s">
        <v>1372</v>
      </c>
      <c r="H93" s="274">
        <v>34179.0</v>
      </c>
      <c r="I93" s="30" t="s">
        <v>182</v>
      </c>
      <c r="J93" s="274"/>
      <c r="K93" s="274"/>
      <c r="L93" s="197" t="s">
        <v>520</v>
      </c>
      <c r="N93" s="240" t="s">
        <v>182</v>
      </c>
      <c r="O93" s="241" t="s">
        <v>194</v>
      </c>
      <c r="P93" s="241" t="s">
        <v>180</v>
      </c>
      <c r="Q93" s="242" t="s">
        <v>172</v>
      </c>
      <c r="R93" s="62" t="s">
        <v>438</v>
      </c>
    </row>
    <row r="94" ht="15.75" customHeight="1">
      <c r="A94" s="11" t="s">
        <v>13</v>
      </c>
      <c r="B94" s="386" t="s">
        <v>1320</v>
      </c>
      <c r="C94" s="69" t="s">
        <v>1313</v>
      </c>
      <c r="D94" s="70">
        <v>0.375</v>
      </c>
      <c r="E94" s="79" t="s">
        <v>1373</v>
      </c>
      <c r="F94" s="79">
        <v>1.2408957798E14</v>
      </c>
      <c r="G94" s="74" t="s">
        <v>1374</v>
      </c>
      <c r="H94" s="274">
        <v>25431.0</v>
      </c>
      <c r="I94" s="30" t="s">
        <v>182</v>
      </c>
      <c r="J94" s="274"/>
      <c r="K94" s="274"/>
      <c r="L94" s="197" t="s">
        <v>520</v>
      </c>
      <c r="N94" s="244">
        <f t="shared" ref="N94:Q94" si="6">COUNTIFS($I$91:$I$102,N93)</f>
        <v>8</v>
      </c>
      <c r="O94" s="244">
        <f t="shared" si="6"/>
        <v>0</v>
      </c>
      <c r="P94" s="244">
        <f t="shared" si="6"/>
        <v>1</v>
      </c>
      <c r="Q94" s="244">
        <f t="shared" si="6"/>
        <v>3</v>
      </c>
      <c r="R94" s="62">
        <f>COUNTIFS(I91:I102,R93)</f>
        <v>0</v>
      </c>
    </row>
    <row r="95" ht="15.75" customHeight="1">
      <c r="A95" s="11" t="s">
        <v>14</v>
      </c>
      <c r="B95" s="386" t="s">
        <v>622</v>
      </c>
      <c r="C95" s="69" t="s">
        <v>1313</v>
      </c>
      <c r="D95" s="70">
        <v>0.3888888888888889</v>
      </c>
      <c r="E95" s="79" t="s">
        <v>1375</v>
      </c>
      <c r="F95" s="79">
        <v>7.00505900226352E14</v>
      </c>
      <c r="G95" s="74" t="s">
        <v>1376</v>
      </c>
      <c r="H95" s="274">
        <v>22768.0</v>
      </c>
      <c r="I95" s="30" t="s">
        <v>182</v>
      </c>
      <c r="J95" s="274"/>
      <c r="K95" s="274"/>
      <c r="L95" s="197" t="s">
        <v>520</v>
      </c>
      <c r="R95" s="62"/>
    </row>
    <row r="96" ht="15.75" customHeight="1">
      <c r="A96" s="11" t="s">
        <v>15</v>
      </c>
      <c r="B96" s="386" t="s">
        <v>294</v>
      </c>
      <c r="C96" s="69" t="s">
        <v>1313</v>
      </c>
      <c r="D96" s="70">
        <v>0.4027777777777778</v>
      </c>
      <c r="E96" s="79" t="s">
        <v>1377</v>
      </c>
      <c r="F96" s="79">
        <v>2.06117248680002E14</v>
      </c>
      <c r="G96" s="74" t="s">
        <v>1378</v>
      </c>
      <c r="H96" s="274">
        <v>36306.0</v>
      </c>
      <c r="I96" s="30" t="s">
        <v>172</v>
      </c>
      <c r="J96" s="274"/>
      <c r="K96" s="274"/>
      <c r="L96" s="197" t="s">
        <v>520</v>
      </c>
      <c r="R96" s="62"/>
    </row>
    <row r="97" ht="15.75" customHeight="1">
      <c r="A97" s="11" t="s">
        <v>16</v>
      </c>
      <c r="B97" s="386" t="s">
        <v>928</v>
      </c>
      <c r="C97" s="69" t="s">
        <v>1313</v>
      </c>
      <c r="D97" s="70">
        <v>0.4166666666666667</v>
      </c>
      <c r="E97" s="79" t="s">
        <v>1379</v>
      </c>
      <c r="F97" s="79">
        <v>7.02501316152533E14</v>
      </c>
      <c r="G97" s="74" t="s">
        <v>1380</v>
      </c>
      <c r="H97" s="274">
        <v>24398.0</v>
      </c>
      <c r="I97" s="30" t="s">
        <v>182</v>
      </c>
      <c r="J97" s="274"/>
      <c r="K97" s="274"/>
      <c r="R97" s="62"/>
    </row>
    <row r="98" ht="15.75" customHeight="1">
      <c r="A98" s="11" t="s">
        <v>17</v>
      </c>
      <c r="B98" s="386" t="s">
        <v>622</v>
      </c>
      <c r="C98" s="69" t="s">
        <v>1313</v>
      </c>
      <c r="D98" s="70">
        <v>0.4305555555555556</v>
      </c>
      <c r="E98" s="79" t="s">
        <v>1381</v>
      </c>
      <c r="F98" s="79">
        <v>7.034040203189E14</v>
      </c>
      <c r="G98" s="74" t="s">
        <v>1382</v>
      </c>
      <c r="H98" s="274">
        <v>22360.0</v>
      </c>
      <c r="I98" s="30" t="s">
        <v>182</v>
      </c>
      <c r="J98" s="274"/>
      <c r="K98" s="336"/>
      <c r="R98" s="62"/>
    </row>
    <row r="99" ht="15.75" customHeight="1">
      <c r="A99" s="11" t="s">
        <v>85</v>
      </c>
      <c r="B99" s="386" t="s">
        <v>294</v>
      </c>
      <c r="C99" s="69" t="s">
        <v>1313</v>
      </c>
      <c r="D99" s="70">
        <v>0.4444444444444444</v>
      </c>
      <c r="E99" s="79" t="s">
        <v>1383</v>
      </c>
      <c r="F99" s="79">
        <v>7.00002770556902E14</v>
      </c>
      <c r="G99" s="74" t="s">
        <v>1384</v>
      </c>
      <c r="H99" s="274">
        <v>36535.0</v>
      </c>
      <c r="I99" s="30" t="s">
        <v>182</v>
      </c>
      <c r="J99" s="274"/>
      <c r="K99" s="274"/>
      <c r="L99" s="197" t="s">
        <v>576</v>
      </c>
      <c r="R99" s="62"/>
    </row>
    <row r="100" ht="15.75" customHeight="1">
      <c r="A100" s="11" t="s">
        <v>87</v>
      </c>
      <c r="B100" s="386"/>
      <c r="C100" s="69" t="s">
        <v>1313</v>
      </c>
      <c r="D100" s="70">
        <v>0.4583333333333333</v>
      </c>
      <c r="E100" s="79"/>
      <c r="F100" s="79"/>
      <c r="G100" s="74"/>
      <c r="H100" s="274"/>
      <c r="I100" s="18" t="s">
        <v>180</v>
      </c>
      <c r="J100" s="274"/>
      <c r="K100" s="274"/>
      <c r="R100" s="62"/>
    </row>
    <row r="101" ht="15.75" customHeight="1">
      <c r="A101" s="11" t="s">
        <v>90</v>
      </c>
      <c r="B101" s="386" t="s">
        <v>1320</v>
      </c>
      <c r="C101" s="69" t="s">
        <v>1313</v>
      </c>
      <c r="D101" s="70">
        <v>0.4722222222222222</v>
      </c>
      <c r="E101" s="79" t="s">
        <v>1385</v>
      </c>
      <c r="F101" s="79">
        <v>2.09043395260018E14</v>
      </c>
      <c r="G101" s="74" t="s">
        <v>1386</v>
      </c>
      <c r="H101" s="274">
        <v>25807.0</v>
      </c>
      <c r="I101" s="30" t="s">
        <v>182</v>
      </c>
      <c r="J101" s="274"/>
      <c r="K101" s="274"/>
      <c r="R101" s="62"/>
    </row>
    <row r="102" ht="15.75" customHeight="1">
      <c r="A102" s="11" t="s">
        <v>93</v>
      </c>
      <c r="B102" s="386" t="s">
        <v>928</v>
      </c>
      <c r="C102" s="69" t="s">
        <v>1313</v>
      </c>
      <c r="D102" s="70">
        <v>0.4861111111111111</v>
      </c>
      <c r="E102" s="79" t="s">
        <v>1387</v>
      </c>
      <c r="F102" s="79">
        <v>7.06803219885221E14</v>
      </c>
      <c r="G102" s="74" t="s">
        <v>1388</v>
      </c>
      <c r="H102" s="274">
        <v>22968.0</v>
      </c>
      <c r="I102" s="30" t="s">
        <v>172</v>
      </c>
      <c r="J102" s="274"/>
      <c r="K102" s="274"/>
      <c r="R102" s="62"/>
    </row>
    <row r="103" ht="15.75" customHeight="1">
      <c r="J103" s="62"/>
      <c r="K103" s="62"/>
      <c r="R103" s="62"/>
    </row>
    <row r="104" ht="15.75" customHeight="1">
      <c r="J104" s="62"/>
      <c r="K104" s="62"/>
      <c r="R104" s="62"/>
    </row>
    <row r="105" ht="15.75" customHeight="1">
      <c r="J105" s="62"/>
      <c r="K105" s="62"/>
      <c r="R105" s="62"/>
    </row>
    <row r="106" ht="15.75" customHeight="1">
      <c r="A106" s="20" t="s">
        <v>377</v>
      </c>
      <c r="B106" s="2"/>
      <c r="C106" s="2"/>
      <c r="D106" s="2"/>
      <c r="E106" s="2"/>
      <c r="F106" s="2"/>
      <c r="G106" s="2"/>
      <c r="H106" s="2"/>
      <c r="I106" s="2"/>
      <c r="J106" s="2"/>
      <c r="K106" s="3"/>
      <c r="R106" s="62"/>
    </row>
    <row r="107" ht="15.75" customHeight="1">
      <c r="A107" s="233" t="s">
        <v>1389</v>
      </c>
      <c r="B107" s="2"/>
      <c r="C107" s="2"/>
      <c r="D107" s="2"/>
      <c r="E107" s="2"/>
      <c r="F107" s="2"/>
      <c r="G107" s="2"/>
      <c r="H107" s="2"/>
      <c r="I107" s="2"/>
      <c r="J107" s="2"/>
      <c r="K107" s="3"/>
      <c r="R107" s="62"/>
    </row>
    <row r="108" ht="15.75" customHeight="1">
      <c r="A108" s="22"/>
      <c r="B108" s="23" t="s">
        <v>3</v>
      </c>
      <c r="C108" s="24" t="s">
        <v>2</v>
      </c>
      <c r="D108" s="25" t="s">
        <v>5</v>
      </c>
      <c r="E108" s="25" t="s">
        <v>19</v>
      </c>
      <c r="F108" s="25" t="s">
        <v>6</v>
      </c>
      <c r="G108" s="234" t="s">
        <v>7</v>
      </c>
      <c r="H108" s="27" t="s">
        <v>8</v>
      </c>
      <c r="I108" s="28" t="s">
        <v>20</v>
      </c>
      <c r="J108" s="25" t="s">
        <v>21</v>
      </c>
      <c r="K108" s="25" t="s">
        <v>22</v>
      </c>
      <c r="R108" s="62"/>
    </row>
    <row r="109" ht="15.75" customHeight="1">
      <c r="A109" s="11" t="s">
        <v>10</v>
      </c>
      <c r="B109" s="386" t="s">
        <v>219</v>
      </c>
      <c r="C109" s="69" t="s">
        <v>1280</v>
      </c>
      <c r="D109" s="70">
        <v>0.5416666666666666</v>
      </c>
      <c r="E109" s="206" t="s">
        <v>1390</v>
      </c>
      <c r="F109" s="206">
        <v>7.00807975812983E14</v>
      </c>
      <c r="G109" s="148" t="s">
        <v>1391</v>
      </c>
      <c r="H109" s="150">
        <v>19170.0</v>
      </c>
      <c r="I109" s="30" t="s">
        <v>182</v>
      </c>
      <c r="J109" s="37">
        <v>1.1982004462E10</v>
      </c>
      <c r="K109" s="212"/>
      <c r="L109" s="197" t="s">
        <v>520</v>
      </c>
      <c r="N109" s="237" t="s">
        <v>386</v>
      </c>
      <c r="O109" s="95"/>
      <c r="P109" s="95"/>
      <c r="Q109" s="95"/>
      <c r="R109" s="62"/>
    </row>
    <row r="110" ht="15.75" customHeight="1">
      <c r="A110" s="11" t="s">
        <v>11</v>
      </c>
      <c r="B110" s="386" t="s">
        <v>1392</v>
      </c>
      <c r="C110" s="69" t="s">
        <v>1280</v>
      </c>
      <c r="D110" s="70">
        <v>0.5555555555555556</v>
      </c>
      <c r="E110" s="206" t="s">
        <v>1393</v>
      </c>
      <c r="F110" s="206">
        <v>8.35503029008168E14</v>
      </c>
      <c r="G110" s="148" t="s">
        <v>1394</v>
      </c>
      <c r="H110" s="150">
        <v>35660.0</v>
      </c>
      <c r="I110" s="30" t="s">
        <v>172</v>
      </c>
      <c r="J110" s="37">
        <v>1.1910325563E10</v>
      </c>
      <c r="K110" s="212"/>
      <c r="N110" s="239" t="s">
        <v>584</v>
      </c>
      <c r="O110" s="2"/>
      <c r="P110" s="2"/>
      <c r="Q110" s="2"/>
      <c r="R110" s="62"/>
    </row>
    <row r="111" ht="15.75" customHeight="1">
      <c r="A111" s="11" t="s">
        <v>12</v>
      </c>
      <c r="B111" s="386" t="s">
        <v>1392</v>
      </c>
      <c r="C111" s="69" t="s">
        <v>1280</v>
      </c>
      <c r="D111" s="70">
        <v>0.5694444444444444</v>
      </c>
      <c r="E111" s="206" t="s">
        <v>1395</v>
      </c>
      <c r="F111" s="387" t="s">
        <v>1396</v>
      </c>
      <c r="G111" s="148" t="s">
        <v>1397</v>
      </c>
      <c r="H111" s="150">
        <v>18889.0</v>
      </c>
      <c r="I111" s="30" t="s">
        <v>172</v>
      </c>
      <c r="J111" s="37">
        <v>1.1989445845E10</v>
      </c>
      <c r="K111" s="212">
        <v>1.1952659217E10</v>
      </c>
      <c r="L111" s="197" t="s">
        <v>520</v>
      </c>
      <c r="N111" s="240" t="s">
        <v>182</v>
      </c>
      <c r="O111" s="241" t="s">
        <v>194</v>
      </c>
      <c r="P111" s="241" t="s">
        <v>180</v>
      </c>
      <c r="Q111" s="242" t="s">
        <v>172</v>
      </c>
      <c r="R111" s="62"/>
    </row>
    <row r="112" ht="15.75" customHeight="1">
      <c r="A112" s="11" t="s">
        <v>13</v>
      </c>
      <c r="B112" s="386" t="s">
        <v>219</v>
      </c>
      <c r="C112" s="69" t="s">
        <v>1280</v>
      </c>
      <c r="D112" s="70">
        <v>0.5833333333333334</v>
      </c>
      <c r="E112" s="289" t="s">
        <v>1398</v>
      </c>
      <c r="F112" s="387" t="s">
        <v>1399</v>
      </c>
      <c r="G112" s="148" t="s">
        <v>1400</v>
      </c>
      <c r="H112" s="150">
        <v>19507.0</v>
      </c>
      <c r="I112" s="30" t="s">
        <v>182</v>
      </c>
      <c r="J112" s="37"/>
      <c r="K112" s="212"/>
      <c r="L112" s="197" t="s">
        <v>520</v>
      </c>
      <c r="N112" s="244">
        <f t="shared" ref="N112:Q112" si="7">COUNTIFS($I$109:$I$120,N111)</f>
        <v>9</v>
      </c>
      <c r="O112" s="244">
        <f t="shared" si="7"/>
        <v>0</v>
      </c>
      <c r="P112" s="244">
        <f t="shared" si="7"/>
        <v>1</v>
      </c>
      <c r="Q112" s="244">
        <f t="shared" si="7"/>
        <v>2</v>
      </c>
      <c r="R112" s="62"/>
    </row>
    <row r="113" ht="15.75" customHeight="1">
      <c r="A113" s="11" t="s">
        <v>14</v>
      </c>
      <c r="B113" s="386" t="s">
        <v>667</v>
      </c>
      <c r="C113" s="69" t="s">
        <v>1280</v>
      </c>
      <c r="D113" s="70">
        <v>0.5972222222222222</v>
      </c>
      <c r="E113" s="289" t="s">
        <v>1401</v>
      </c>
      <c r="F113" s="387" t="s">
        <v>1402</v>
      </c>
      <c r="G113" s="148" t="s">
        <v>1403</v>
      </c>
      <c r="H113" s="150">
        <v>30234.0</v>
      </c>
      <c r="I113" s="30" t="s">
        <v>182</v>
      </c>
      <c r="J113" s="37">
        <v>1.1947124226E10</v>
      </c>
      <c r="K113" s="212"/>
      <c r="R113" s="62"/>
    </row>
    <row r="114" ht="15.75" customHeight="1">
      <c r="A114" s="11" t="s">
        <v>15</v>
      </c>
      <c r="B114" s="386" t="s">
        <v>526</v>
      </c>
      <c r="C114" s="69" t="s">
        <v>1280</v>
      </c>
      <c r="D114" s="70">
        <v>0.6111111111111112</v>
      </c>
      <c r="E114" s="289" t="s">
        <v>1404</v>
      </c>
      <c r="F114" s="206">
        <v>7.04302589564095E14</v>
      </c>
      <c r="G114" s="148" t="s">
        <v>1405</v>
      </c>
      <c r="H114" s="150">
        <v>17156.0</v>
      </c>
      <c r="I114" s="30" t="s">
        <v>182</v>
      </c>
      <c r="J114" s="37">
        <v>1.198072437E9</v>
      </c>
      <c r="K114" s="212"/>
      <c r="L114" s="197" t="s">
        <v>520</v>
      </c>
      <c r="R114" s="62"/>
    </row>
    <row r="115" ht="15.75" customHeight="1">
      <c r="A115" s="11" t="s">
        <v>16</v>
      </c>
      <c r="B115" s="386"/>
      <c r="C115" s="69" t="s">
        <v>1280</v>
      </c>
      <c r="D115" s="70">
        <v>0.625</v>
      </c>
      <c r="E115" s="289"/>
      <c r="F115" s="206"/>
      <c r="G115" s="148"/>
      <c r="H115" s="150"/>
      <c r="I115" s="18" t="s">
        <v>180</v>
      </c>
      <c r="J115" s="37"/>
      <c r="K115" s="212"/>
      <c r="L115" s="197" t="s">
        <v>520</v>
      </c>
      <c r="R115" s="62"/>
    </row>
    <row r="116" ht="15.75" customHeight="1">
      <c r="A116" s="11" t="s">
        <v>17</v>
      </c>
      <c r="B116" s="386" t="s">
        <v>667</v>
      </c>
      <c r="C116" s="69" t="s">
        <v>1280</v>
      </c>
      <c r="D116" s="70">
        <v>0.6388888888888888</v>
      </c>
      <c r="E116" s="289" t="s">
        <v>1406</v>
      </c>
      <c r="F116" s="206">
        <v>2.06882356240009E14</v>
      </c>
      <c r="G116" s="148" t="s">
        <v>1407</v>
      </c>
      <c r="H116" s="150">
        <v>22536.0</v>
      </c>
      <c r="I116" s="30" t="s">
        <v>182</v>
      </c>
      <c r="J116" s="37">
        <v>1.1961310491E10</v>
      </c>
      <c r="K116" s="212">
        <v>1.196873833E10</v>
      </c>
      <c r="L116" s="197" t="s">
        <v>520</v>
      </c>
      <c r="R116" s="62"/>
    </row>
    <row r="117" ht="15.75" customHeight="1">
      <c r="A117" s="11" t="s">
        <v>85</v>
      </c>
      <c r="B117" s="386" t="s">
        <v>526</v>
      </c>
      <c r="C117" s="69" t="s">
        <v>1280</v>
      </c>
      <c r="D117" s="70">
        <v>0.6527777777777778</v>
      </c>
      <c r="E117" s="289" t="s">
        <v>1408</v>
      </c>
      <c r="F117" s="206">
        <v>8.98001433075069E14</v>
      </c>
      <c r="G117" s="148" t="s">
        <v>1409</v>
      </c>
      <c r="H117" s="150">
        <v>17989.0</v>
      </c>
      <c r="I117" s="30" t="s">
        <v>182</v>
      </c>
      <c r="J117" s="37">
        <v>1.1948840015E10</v>
      </c>
      <c r="K117" s="212">
        <v>1.1958808571E10</v>
      </c>
      <c r="R117" s="62"/>
    </row>
    <row r="118" ht="15.75" customHeight="1">
      <c r="A118" s="11" t="s">
        <v>87</v>
      </c>
      <c r="B118" s="386" t="s">
        <v>219</v>
      </c>
      <c r="C118" s="69" t="s">
        <v>1280</v>
      </c>
      <c r="D118" s="70">
        <v>0.6666666666666666</v>
      </c>
      <c r="E118" s="218" t="s">
        <v>1410</v>
      </c>
      <c r="F118" s="206">
        <v>7.0680722986582E14</v>
      </c>
      <c r="G118" s="148" t="s">
        <v>1411</v>
      </c>
      <c r="H118" s="150">
        <v>37284.0</v>
      </c>
      <c r="I118" s="30" t="s">
        <v>182</v>
      </c>
      <c r="J118" s="37">
        <v>1.1955553233E10</v>
      </c>
      <c r="K118" s="212">
        <v>1.1998139887E10</v>
      </c>
      <c r="L118" s="197" t="s">
        <v>520</v>
      </c>
      <c r="R118" s="62"/>
    </row>
    <row r="119" ht="15.75" customHeight="1">
      <c r="A119" s="11" t="s">
        <v>90</v>
      </c>
      <c r="B119" s="386" t="s">
        <v>219</v>
      </c>
      <c r="C119" s="69" t="s">
        <v>1280</v>
      </c>
      <c r="D119" s="70">
        <v>0.6805555555555556</v>
      </c>
      <c r="E119" s="258" t="s">
        <v>1412</v>
      </c>
      <c r="F119" s="206">
        <v>8.980014935962E14</v>
      </c>
      <c r="G119" s="148" t="s">
        <v>1413</v>
      </c>
      <c r="H119" s="150">
        <v>42477.0</v>
      </c>
      <c r="I119" s="30" t="s">
        <v>182</v>
      </c>
      <c r="J119" s="37">
        <v>1.1960334697E10</v>
      </c>
      <c r="K119" s="212">
        <v>1.1964663583E10</v>
      </c>
      <c r="R119" s="62"/>
    </row>
    <row r="120" ht="15.75" customHeight="1">
      <c r="A120" s="11" t="s">
        <v>93</v>
      </c>
      <c r="B120" s="386" t="s">
        <v>219</v>
      </c>
      <c r="C120" s="69" t="s">
        <v>1280</v>
      </c>
      <c r="D120" s="70">
        <v>0.6944444444444444</v>
      </c>
      <c r="E120" s="258" t="s">
        <v>1414</v>
      </c>
      <c r="F120" s="206">
        <v>7.03206625130491E14</v>
      </c>
      <c r="G120" s="148" t="s">
        <v>1415</v>
      </c>
      <c r="H120" s="150">
        <v>10818.0</v>
      </c>
      <c r="I120" s="30" t="s">
        <v>182</v>
      </c>
      <c r="J120" s="37">
        <v>1.1993413915E10</v>
      </c>
      <c r="K120" s="212"/>
      <c r="R120" s="62"/>
    </row>
    <row r="121" ht="15.75" customHeight="1">
      <c r="B121" s="197">
        <v>7.5747561634E10</v>
      </c>
      <c r="J121" s="62"/>
      <c r="K121" s="62"/>
      <c r="R121" s="62"/>
    </row>
    <row r="122" ht="15.75" customHeight="1">
      <c r="J122" s="62"/>
      <c r="K122" s="62"/>
      <c r="R122" s="62"/>
    </row>
    <row r="123" ht="15.75" customHeight="1">
      <c r="A123" s="20" t="s">
        <v>377</v>
      </c>
      <c r="B123" s="2"/>
      <c r="C123" s="2"/>
      <c r="D123" s="2"/>
      <c r="E123" s="2"/>
      <c r="F123" s="2"/>
      <c r="G123" s="2"/>
      <c r="H123" s="2"/>
      <c r="I123" s="2"/>
      <c r="J123" s="2"/>
      <c r="K123" s="3"/>
      <c r="R123" s="62"/>
    </row>
    <row r="124" ht="15.75" customHeight="1">
      <c r="A124" s="233" t="s">
        <v>1416</v>
      </c>
      <c r="B124" s="2"/>
      <c r="C124" s="2"/>
      <c r="D124" s="2"/>
      <c r="E124" s="2"/>
      <c r="F124" s="2"/>
      <c r="G124" s="2"/>
      <c r="H124" s="2"/>
      <c r="I124" s="2"/>
      <c r="J124" s="2"/>
      <c r="K124" s="3"/>
      <c r="R124" s="62"/>
    </row>
    <row r="125" ht="15.75" customHeight="1">
      <c r="A125" s="22"/>
      <c r="B125" s="23" t="s">
        <v>3</v>
      </c>
      <c r="C125" s="24" t="s">
        <v>2</v>
      </c>
      <c r="D125" s="25" t="s">
        <v>5</v>
      </c>
      <c r="E125" s="25" t="s">
        <v>19</v>
      </c>
      <c r="F125" s="25" t="s">
        <v>6</v>
      </c>
      <c r="G125" s="234" t="s">
        <v>7</v>
      </c>
      <c r="H125" s="27" t="s">
        <v>8</v>
      </c>
      <c r="I125" s="28" t="s">
        <v>20</v>
      </c>
      <c r="J125" s="25" t="s">
        <v>21</v>
      </c>
      <c r="K125" s="25" t="s">
        <v>22</v>
      </c>
      <c r="R125" s="62"/>
    </row>
    <row r="126" ht="15.75" customHeight="1">
      <c r="A126" s="11" t="s">
        <v>10</v>
      </c>
      <c r="B126" s="206" t="s">
        <v>1357</v>
      </c>
      <c r="C126" s="69" t="s">
        <v>1294</v>
      </c>
      <c r="D126" s="70">
        <v>0.5416666666666666</v>
      </c>
      <c r="E126" s="214" t="s">
        <v>1417</v>
      </c>
      <c r="F126" s="170">
        <v>8.01440428398028E14</v>
      </c>
      <c r="G126" s="74" t="s">
        <v>1418</v>
      </c>
      <c r="H126" s="153">
        <v>21825.0</v>
      </c>
      <c r="I126" s="30" t="s">
        <v>182</v>
      </c>
      <c r="J126" s="79">
        <v>1.1986805548E10</v>
      </c>
      <c r="K126" s="79">
        <v>1.1954760386E10</v>
      </c>
      <c r="N126" s="237" t="s">
        <v>386</v>
      </c>
      <c r="O126" s="95"/>
      <c r="P126" s="95"/>
      <c r="Q126" s="95"/>
      <c r="R126" s="62"/>
    </row>
    <row r="127" ht="15.75" customHeight="1">
      <c r="A127" s="11" t="s">
        <v>11</v>
      </c>
      <c r="B127" s="206" t="s">
        <v>1358</v>
      </c>
      <c r="C127" s="69" t="s">
        <v>1294</v>
      </c>
      <c r="D127" s="70">
        <v>0.5555555555555556</v>
      </c>
      <c r="E127" s="214" t="s">
        <v>1419</v>
      </c>
      <c r="F127" s="170">
        <v>7.03409250018814E14</v>
      </c>
      <c r="G127" s="74" t="s">
        <v>1420</v>
      </c>
      <c r="H127" s="153">
        <v>17063.0</v>
      </c>
      <c r="I127" s="30" t="s">
        <v>182</v>
      </c>
      <c r="J127" s="132">
        <v>1.1949564889E10</v>
      </c>
      <c r="K127" s="132"/>
      <c r="N127" s="239" t="s">
        <v>610</v>
      </c>
      <c r="O127" s="2"/>
      <c r="P127" s="2"/>
      <c r="Q127" s="2"/>
      <c r="R127" s="62"/>
    </row>
    <row r="128" ht="15.75" customHeight="1">
      <c r="A128" s="11" t="s">
        <v>12</v>
      </c>
      <c r="B128" s="206" t="s">
        <v>1360</v>
      </c>
      <c r="C128" s="69" t="s">
        <v>1294</v>
      </c>
      <c r="D128" s="70">
        <v>0.5694444444444444</v>
      </c>
      <c r="E128" s="214" t="s">
        <v>1421</v>
      </c>
      <c r="F128" s="170">
        <v>7.04008805909464E14</v>
      </c>
      <c r="G128" s="74" t="s">
        <v>1422</v>
      </c>
      <c r="H128" s="153">
        <v>22231.0</v>
      </c>
      <c r="I128" s="30" t="s">
        <v>182</v>
      </c>
      <c r="J128" s="79">
        <v>1.1966176735E10</v>
      </c>
      <c r="K128" s="79">
        <v>1.1964052123E10</v>
      </c>
      <c r="N128" s="240" t="s">
        <v>182</v>
      </c>
      <c r="O128" s="241" t="s">
        <v>194</v>
      </c>
      <c r="P128" s="241" t="s">
        <v>180</v>
      </c>
      <c r="Q128" s="242" t="s">
        <v>172</v>
      </c>
      <c r="R128" s="62"/>
    </row>
    <row r="129" ht="15.75" customHeight="1">
      <c r="A129" s="11" t="s">
        <v>13</v>
      </c>
      <c r="B129" s="206" t="s">
        <v>1362</v>
      </c>
      <c r="C129" s="69" t="s">
        <v>1294</v>
      </c>
      <c r="D129" s="70">
        <v>0.5833333333333334</v>
      </c>
      <c r="E129" s="214" t="s">
        <v>1423</v>
      </c>
      <c r="F129" s="170">
        <v>8.01440407421241E14</v>
      </c>
      <c r="G129" s="74" t="s">
        <v>1424</v>
      </c>
      <c r="H129" s="153">
        <v>11952.0</v>
      </c>
      <c r="I129" s="30" t="s">
        <v>182</v>
      </c>
      <c r="J129" s="79">
        <v>1.1967323234E10</v>
      </c>
      <c r="K129" s="79"/>
      <c r="N129" s="244">
        <f t="shared" ref="N129:Q129" si="8">COUNTIFS($I$126:$I$137,N128)</f>
        <v>11</v>
      </c>
      <c r="O129" s="244">
        <f t="shared" si="8"/>
        <v>0</v>
      </c>
      <c r="P129" s="244">
        <f t="shared" si="8"/>
        <v>0</v>
      </c>
      <c r="Q129" s="244">
        <f t="shared" si="8"/>
        <v>1</v>
      </c>
      <c r="R129" s="62"/>
    </row>
    <row r="130" ht="15.75" customHeight="1">
      <c r="A130" s="11" t="s">
        <v>14</v>
      </c>
      <c r="B130" s="206" t="s">
        <v>1357</v>
      </c>
      <c r="C130" s="69" t="s">
        <v>1294</v>
      </c>
      <c r="D130" s="70">
        <v>0.5972222222222222</v>
      </c>
      <c r="E130" s="214" t="s">
        <v>1425</v>
      </c>
      <c r="F130" s="170">
        <v>7.00006788077007E14</v>
      </c>
      <c r="G130" s="74" t="s">
        <v>1426</v>
      </c>
      <c r="H130" s="153">
        <v>28087.0</v>
      </c>
      <c r="I130" s="30" t="s">
        <v>182</v>
      </c>
      <c r="J130" s="124">
        <v>1.1952082375E10</v>
      </c>
      <c r="K130" s="132"/>
      <c r="R130" s="62"/>
    </row>
    <row r="131" ht="15.75" customHeight="1">
      <c r="A131" s="11" t="s">
        <v>15</v>
      </c>
      <c r="B131" s="206" t="s">
        <v>1358</v>
      </c>
      <c r="C131" s="69" t="s">
        <v>1294</v>
      </c>
      <c r="D131" s="70">
        <v>0.6111111111111112</v>
      </c>
      <c r="E131" s="214" t="s">
        <v>1427</v>
      </c>
      <c r="F131" s="170">
        <v>7.00003261233308E14</v>
      </c>
      <c r="G131" s="74" t="s">
        <v>1428</v>
      </c>
      <c r="H131" s="153">
        <v>24877.0</v>
      </c>
      <c r="I131" s="30" t="s">
        <v>182</v>
      </c>
      <c r="J131" s="124">
        <v>1.1960169727E10</v>
      </c>
      <c r="K131" s="132"/>
      <c r="R131" s="62"/>
    </row>
    <row r="132" ht="15.75" customHeight="1">
      <c r="A132" s="11" t="s">
        <v>16</v>
      </c>
      <c r="B132" s="206" t="s">
        <v>1360</v>
      </c>
      <c r="C132" s="69" t="s">
        <v>1294</v>
      </c>
      <c r="D132" s="70">
        <v>0.625</v>
      </c>
      <c r="E132" s="214" t="s">
        <v>1429</v>
      </c>
      <c r="F132" s="375" t="s">
        <v>1430</v>
      </c>
      <c r="G132" s="74" t="s">
        <v>1431</v>
      </c>
      <c r="H132" s="153">
        <v>22162.0</v>
      </c>
      <c r="I132" s="30" t="s">
        <v>182</v>
      </c>
      <c r="J132" s="170">
        <v>1.1983305531E10</v>
      </c>
      <c r="K132" s="79">
        <v>1.1964801468E10</v>
      </c>
      <c r="R132" s="62"/>
    </row>
    <row r="133" ht="15.75" customHeight="1">
      <c r="A133" s="11" t="s">
        <v>17</v>
      </c>
      <c r="B133" s="206" t="s">
        <v>1362</v>
      </c>
      <c r="C133" s="69" t="s">
        <v>1294</v>
      </c>
      <c r="D133" s="70">
        <v>0.6388888888888888</v>
      </c>
      <c r="E133" s="214" t="s">
        <v>1432</v>
      </c>
      <c r="F133" s="170">
        <v>7.04609607196823E14</v>
      </c>
      <c r="G133" s="74" t="s">
        <v>1433</v>
      </c>
      <c r="H133" s="153">
        <v>19586.0</v>
      </c>
      <c r="I133" s="30" t="s">
        <v>182</v>
      </c>
      <c r="J133" s="124">
        <v>1.1948194026E10</v>
      </c>
      <c r="K133" s="132">
        <v>1.197633791E10</v>
      </c>
      <c r="L133" s="63"/>
      <c r="M133" s="63"/>
      <c r="N133" s="63"/>
      <c r="O133" s="63"/>
      <c r="P133" s="63"/>
      <c r="Q133" s="63"/>
      <c r="R133" s="343"/>
      <c r="S133" s="63"/>
      <c r="T133" s="63"/>
      <c r="U133" s="63"/>
      <c r="V133" s="63"/>
      <c r="W133" s="63"/>
    </row>
    <row r="134" ht="15.75" customHeight="1">
      <c r="A134" s="11" t="s">
        <v>85</v>
      </c>
      <c r="B134" s="206" t="s">
        <v>1357</v>
      </c>
      <c r="C134" s="69" t="s">
        <v>1294</v>
      </c>
      <c r="D134" s="70">
        <v>0.6527777777777778</v>
      </c>
      <c r="E134" s="214" t="s">
        <v>1434</v>
      </c>
      <c r="F134" s="170">
        <v>7.03607044846738E14</v>
      </c>
      <c r="G134" s="74" t="s">
        <v>1435</v>
      </c>
      <c r="H134" s="153">
        <v>25188.0</v>
      </c>
      <c r="I134" s="30" t="s">
        <v>172</v>
      </c>
      <c r="J134" s="132">
        <v>1.195359397E10</v>
      </c>
      <c r="K134" s="132"/>
      <c r="L134" s="63"/>
      <c r="M134" s="63"/>
      <c r="N134" s="63"/>
      <c r="O134" s="63"/>
      <c r="P134" s="63"/>
      <c r="Q134" s="63"/>
      <c r="R134" s="343"/>
      <c r="S134" s="63"/>
      <c r="T134" s="63"/>
      <c r="U134" s="63"/>
      <c r="V134" s="63"/>
      <c r="W134" s="63"/>
    </row>
    <row r="135" ht="15.75" customHeight="1">
      <c r="A135" s="11" t="s">
        <v>87</v>
      </c>
      <c r="B135" s="206" t="s">
        <v>1358</v>
      </c>
      <c r="C135" s="69" t="s">
        <v>1294</v>
      </c>
      <c r="D135" s="70">
        <v>0.6666666666666666</v>
      </c>
      <c r="E135" s="214" t="s">
        <v>1436</v>
      </c>
      <c r="F135" s="170">
        <v>2.03909779630006E14</v>
      </c>
      <c r="G135" s="74" t="s">
        <v>1437</v>
      </c>
      <c r="H135" s="153">
        <v>17563.0</v>
      </c>
      <c r="I135" s="30" t="s">
        <v>182</v>
      </c>
      <c r="J135" s="79">
        <v>1.1946410672E10</v>
      </c>
      <c r="K135" s="79">
        <v>1.1984489597E10</v>
      </c>
      <c r="L135" s="197" t="s">
        <v>520</v>
      </c>
      <c r="R135" s="62"/>
    </row>
    <row r="136" ht="15.75" customHeight="1">
      <c r="A136" s="11" t="s">
        <v>90</v>
      </c>
      <c r="B136" s="206" t="s">
        <v>1360</v>
      </c>
      <c r="C136" s="69" t="s">
        <v>1294</v>
      </c>
      <c r="D136" s="70">
        <v>0.6805555555555556</v>
      </c>
      <c r="E136" s="214" t="s">
        <v>1438</v>
      </c>
      <c r="F136" s="170">
        <v>8.98001432999062E14</v>
      </c>
      <c r="G136" s="74" t="s">
        <v>1439</v>
      </c>
      <c r="H136" s="153">
        <v>40077.0</v>
      </c>
      <c r="I136" s="30" t="s">
        <v>182</v>
      </c>
      <c r="J136" s="79">
        <v>1.1954385993E10</v>
      </c>
      <c r="K136" s="79">
        <v>1.1961581897E10</v>
      </c>
      <c r="R136" s="62"/>
    </row>
    <row r="137" ht="15.75" customHeight="1">
      <c r="A137" s="11" t="s">
        <v>93</v>
      </c>
      <c r="B137" s="206" t="s">
        <v>1362</v>
      </c>
      <c r="C137" s="69" t="s">
        <v>1294</v>
      </c>
      <c r="D137" s="70">
        <v>0.6944444444444444</v>
      </c>
      <c r="E137" s="214" t="s">
        <v>1440</v>
      </c>
      <c r="F137" s="170">
        <v>7.02807193206765E14</v>
      </c>
      <c r="G137" s="74" t="s">
        <v>1441</v>
      </c>
      <c r="H137" s="153">
        <v>30359.0</v>
      </c>
      <c r="I137" s="30" t="s">
        <v>182</v>
      </c>
      <c r="J137" s="149">
        <v>1.1932094251E10</v>
      </c>
      <c r="K137" s="149"/>
      <c r="L137" s="63"/>
      <c r="M137" s="63"/>
      <c r="N137" s="63"/>
      <c r="O137" s="63"/>
      <c r="P137" s="63"/>
      <c r="Q137" s="63"/>
      <c r="R137" s="343"/>
      <c r="S137" s="63"/>
      <c r="T137" s="63"/>
      <c r="U137" s="63"/>
      <c r="V137" s="63"/>
      <c r="W137" s="63"/>
    </row>
    <row r="138" ht="15.75" customHeight="1">
      <c r="J138" s="62"/>
      <c r="K138" s="62"/>
      <c r="R138" s="62"/>
    </row>
    <row r="139" ht="15.75" customHeight="1">
      <c r="J139" s="62"/>
      <c r="K139" s="62"/>
      <c r="R139" s="62"/>
    </row>
    <row r="140" ht="15.75" customHeight="1">
      <c r="A140" s="20" t="s">
        <v>377</v>
      </c>
      <c r="B140" s="2"/>
      <c r="C140" s="2"/>
      <c r="D140" s="2"/>
      <c r="E140" s="2"/>
      <c r="F140" s="2"/>
      <c r="G140" s="2"/>
      <c r="H140" s="2"/>
      <c r="I140" s="2"/>
      <c r="J140" s="2"/>
      <c r="K140" s="3"/>
      <c r="R140" s="62"/>
    </row>
    <row r="141" ht="15.75" customHeight="1">
      <c r="A141" s="233" t="s">
        <v>1442</v>
      </c>
      <c r="B141" s="2"/>
      <c r="C141" s="2"/>
      <c r="D141" s="2"/>
      <c r="E141" s="2"/>
      <c r="F141" s="2"/>
      <c r="G141" s="2"/>
      <c r="H141" s="2"/>
      <c r="I141" s="2"/>
      <c r="J141" s="2"/>
      <c r="K141" s="3"/>
      <c r="R141" s="62"/>
    </row>
    <row r="142" ht="15.75" customHeight="1">
      <c r="A142" s="22"/>
      <c r="B142" s="23" t="s">
        <v>3</v>
      </c>
      <c r="C142" s="24" t="s">
        <v>2</v>
      </c>
      <c r="D142" s="25" t="s">
        <v>5</v>
      </c>
      <c r="E142" s="25" t="s">
        <v>19</v>
      </c>
      <c r="F142" s="25" t="s">
        <v>6</v>
      </c>
      <c r="G142" s="234" t="s">
        <v>7</v>
      </c>
      <c r="H142" s="27" t="s">
        <v>8</v>
      </c>
      <c r="I142" s="28" t="s">
        <v>20</v>
      </c>
      <c r="J142" s="25" t="s">
        <v>21</v>
      </c>
      <c r="K142" s="25" t="s">
        <v>22</v>
      </c>
      <c r="R142" s="62"/>
    </row>
    <row r="143" ht="15.75" customHeight="1">
      <c r="A143" s="11" t="s">
        <v>10</v>
      </c>
      <c r="B143" s="206" t="s">
        <v>65</v>
      </c>
      <c r="C143" s="69" t="s">
        <v>1313</v>
      </c>
      <c r="D143" s="70">
        <v>0.3333333333333333</v>
      </c>
      <c r="E143" s="218" t="s">
        <v>1443</v>
      </c>
      <c r="F143" s="149">
        <v>7.0700588833743E14</v>
      </c>
      <c r="G143" s="148" t="s">
        <v>1444</v>
      </c>
      <c r="H143" s="344">
        <v>19761.0</v>
      </c>
      <c r="I143" s="30" t="s">
        <v>182</v>
      </c>
      <c r="J143" s="212"/>
      <c r="K143" s="212"/>
      <c r="N143" s="237" t="s">
        <v>386</v>
      </c>
      <c r="O143" s="95"/>
      <c r="P143" s="95"/>
      <c r="Q143" s="95"/>
      <c r="R143" s="62"/>
    </row>
    <row r="144" ht="15.75" customHeight="1">
      <c r="A144" s="11" t="s">
        <v>11</v>
      </c>
      <c r="B144" s="206" t="s">
        <v>201</v>
      </c>
      <c r="C144" s="69" t="s">
        <v>1313</v>
      </c>
      <c r="D144" s="70">
        <v>0.3472222222222222</v>
      </c>
      <c r="E144" s="218" t="s">
        <v>1445</v>
      </c>
      <c r="F144" s="149">
        <v>7.04200213192182E14</v>
      </c>
      <c r="G144" s="148" t="s">
        <v>1446</v>
      </c>
      <c r="H144" s="344">
        <v>20390.0</v>
      </c>
      <c r="I144" s="30" t="s">
        <v>182</v>
      </c>
      <c r="J144" s="37"/>
      <c r="K144" s="37"/>
      <c r="N144" s="239" t="s">
        <v>641</v>
      </c>
      <c r="O144" s="2"/>
      <c r="P144" s="2"/>
      <c r="Q144" s="2"/>
      <c r="R144" s="62"/>
    </row>
    <row r="145" ht="15.75" customHeight="1">
      <c r="A145" s="11" t="s">
        <v>12</v>
      </c>
      <c r="B145" s="206" t="s">
        <v>1447</v>
      </c>
      <c r="C145" s="69" t="s">
        <v>1313</v>
      </c>
      <c r="D145" s="70">
        <v>0.3611111111111111</v>
      </c>
      <c r="E145" s="289" t="s">
        <v>1318</v>
      </c>
      <c r="F145" s="206">
        <v>2.01155000000005E14</v>
      </c>
      <c r="G145" s="205" t="s">
        <v>1319</v>
      </c>
      <c r="H145" s="126">
        <v>29630.0</v>
      </c>
      <c r="I145" s="30" t="s">
        <v>182</v>
      </c>
      <c r="J145" s="212"/>
      <c r="K145" s="212"/>
      <c r="N145" s="240" t="s">
        <v>182</v>
      </c>
      <c r="O145" s="241" t="s">
        <v>194</v>
      </c>
      <c r="P145" s="241" t="s">
        <v>180</v>
      </c>
      <c r="Q145" s="242" t="s">
        <v>172</v>
      </c>
      <c r="R145" s="62"/>
    </row>
    <row r="146" ht="15.75" customHeight="1">
      <c r="A146" s="11" t="s">
        <v>13</v>
      </c>
      <c r="B146" s="206" t="s">
        <v>821</v>
      </c>
      <c r="C146" s="69" t="s">
        <v>1313</v>
      </c>
      <c r="D146" s="70">
        <v>0.375</v>
      </c>
      <c r="E146" s="218" t="s">
        <v>1448</v>
      </c>
      <c r="F146" s="149">
        <v>7.06203581454361E14</v>
      </c>
      <c r="G146" s="148" t="s">
        <v>1449</v>
      </c>
      <c r="H146" s="344">
        <v>26680.0</v>
      </c>
      <c r="I146" s="30" t="s">
        <v>182</v>
      </c>
      <c r="J146" s="212"/>
      <c r="K146" s="212"/>
      <c r="N146" s="244">
        <f t="shared" ref="N146:Q146" si="9">COUNTIFS($I$143:$I$154,N145)</f>
        <v>10</v>
      </c>
      <c r="O146" s="244">
        <f t="shared" si="9"/>
        <v>0</v>
      </c>
      <c r="P146" s="244">
        <f t="shared" si="9"/>
        <v>0</v>
      </c>
      <c r="Q146" s="244">
        <f t="shared" si="9"/>
        <v>2</v>
      </c>
      <c r="R146" s="62"/>
    </row>
    <row r="147" ht="15.75" customHeight="1">
      <c r="A147" s="11" t="s">
        <v>14</v>
      </c>
      <c r="B147" s="206" t="s">
        <v>201</v>
      </c>
      <c r="C147" s="69" t="s">
        <v>1313</v>
      </c>
      <c r="D147" s="70">
        <v>0.3888888888888889</v>
      </c>
      <c r="E147" s="253" t="s">
        <v>1450</v>
      </c>
      <c r="F147" s="206">
        <v>7.00008398186806E14</v>
      </c>
      <c r="G147" s="205" t="s">
        <v>1451</v>
      </c>
      <c r="H147" s="153">
        <v>21484.0</v>
      </c>
      <c r="I147" s="30" t="s">
        <v>182</v>
      </c>
      <c r="J147" s="37"/>
      <c r="K147" s="37"/>
      <c r="R147" s="62"/>
    </row>
    <row r="148" ht="15.75" customHeight="1">
      <c r="A148" s="11" t="s">
        <v>15</v>
      </c>
      <c r="B148" s="388" t="s">
        <v>1447</v>
      </c>
      <c r="C148" s="389" t="s">
        <v>1313</v>
      </c>
      <c r="D148" s="103">
        <v>0.4027777777777778</v>
      </c>
      <c r="E148" s="390" t="s">
        <v>1452</v>
      </c>
      <c r="F148" s="104">
        <v>7.04804538146048E14</v>
      </c>
      <c r="G148" s="105" t="s">
        <v>1453</v>
      </c>
      <c r="H148" s="391">
        <v>27004.0</v>
      </c>
      <c r="I148" s="392" t="s">
        <v>172</v>
      </c>
      <c r="J148" s="37"/>
      <c r="K148" s="37"/>
      <c r="R148" s="62"/>
    </row>
    <row r="149" ht="15.75" customHeight="1">
      <c r="A149" s="11" t="s">
        <v>16</v>
      </c>
      <c r="B149" s="206" t="s">
        <v>65</v>
      </c>
      <c r="C149" s="69" t="s">
        <v>1313</v>
      </c>
      <c r="D149" s="70">
        <v>0.4166666666666667</v>
      </c>
      <c r="E149" s="218" t="s">
        <v>1454</v>
      </c>
      <c r="F149" s="149">
        <v>2.01152073540007E14</v>
      </c>
      <c r="G149" s="148" t="s">
        <v>1455</v>
      </c>
      <c r="H149" s="344">
        <v>14529.0</v>
      </c>
      <c r="I149" s="30" t="s">
        <v>182</v>
      </c>
      <c r="J149" s="149"/>
      <c r="K149" s="212"/>
      <c r="R149" s="62"/>
    </row>
    <row r="150" ht="15.75" customHeight="1">
      <c r="A150" s="11" t="s">
        <v>17</v>
      </c>
      <c r="B150" s="388" t="s">
        <v>201</v>
      </c>
      <c r="C150" s="389" t="s">
        <v>1313</v>
      </c>
      <c r="D150" s="103">
        <v>0.4305555555555556</v>
      </c>
      <c r="E150" s="390" t="s">
        <v>1324</v>
      </c>
      <c r="F150" s="104">
        <v>1.2105483455E14</v>
      </c>
      <c r="G150" s="105" t="s">
        <v>1325</v>
      </c>
      <c r="H150" s="391">
        <v>22783.0</v>
      </c>
      <c r="I150" s="392" t="s">
        <v>172</v>
      </c>
      <c r="J150" s="37"/>
      <c r="K150" s="37"/>
      <c r="R150" s="62"/>
    </row>
    <row r="151" ht="15.75" customHeight="1">
      <c r="A151" s="11" t="s">
        <v>85</v>
      </c>
      <c r="B151" s="206" t="s">
        <v>821</v>
      </c>
      <c r="C151" s="69" t="s">
        <v>1313</v>
      </c>
      <c r="D151" s="70">
        <v>0.4444444444444444</v>
      </c>
      <c r="E151" s="289" t="s">
        <v>1456</v>
      </c>
      <c r="F151" s="206">
        <v>8.35503014362823E14</v>
      </c>
      <c r="G151" s="205" t="s">
        <v>1457</v>
      </c>
      <c r="H151" s="126">
        <v>34742.0</v>
      </c>
      <c r="I151" s="30" t="s">
        <v>182</v>
      </c>
      <c r="J151" s="208"/>
      <c r="K151" s="37"/>
      <c r="R151" s="62"/>
      <c r="V151" s="292"/>
    </row>
    <row r="152" ht="15.75" customHeight="1">
      <c r="A152" s="11" t="s">
        <v>87</v>
      </c>
      <c r="B152" s="206" t="s">
        <v>1447</v>
      </c>
      <c r="C152" s="69" t="s">
        <v>1313</v>
      </c>
      <c r="D152" s="70">
        <v>0.4583333333333333</v>
      </c>
      <c r="E152" s="218" t="s">
        <v>1458</v>
      </c>
      <c r="F152" s="149">
        <v>7.0200238772738E14</v>
      </c>
      <c r="G152" s="186" t="s">
        <v>1459</v>
      </c>
      <c r="H152" s="153">
        <v>37818.0</v>
      </c>
      <c r="I152" s="30" t="s">
        <v>182</v>
      </c>
      <c r="J152" s="37"/>
      <c r="K152" s="37"/>
      <c r="R152" s="62"/>
    </row>
    <row r="153" ht="15.75" customHeight="1">
      <c r="A153" s="11" t="s">
        <v>90</v>
      </c>
      <c r="B153" s="206" t="s">
        <v>821</v>
      </c>
      <c r="C153" s="69" t="s">
        <v>1313</v>
      </c>
      <c r="D153" s="70">
        <v>0.4722222222222222</v>
      </c>
      <c r="E153" s="258" t="s">
        <v>1460</v>
      </c>
      <c r="F153" s="127">
        <v>7.0410610543267E14</v>
      </c>
      <c r="G153" s="148" t="s">
        <v>1461</v>
      </c>
      <c r="H153" s="153">
        <v>25807.0</v>
      </c>
      <c r="I153" s="30" t="s">
        <v>182</v>
      </c>
      <c r="J153" s="37"/>
      <c r="K153" s="37"/>
      <c r="R153" s="62"/>
    </row>
    <row r="154" ht="15.75" customHeight="1">
      <c r="A154" s="11" t="s">
        <v>93</v>
      </c>
      <c r="B154" s="206" t="s">
        <v>65</v>
      </c>
      <c r="C154" s="69" t="s">
        <v>1313</v>
      </c>
      <c r="D154" s="70">
        <v>0.4861111111111111</v>
      </c>
      <c r="E154" s="258" t="s">
        <v>1462</v>
      </c>
      <c r="F154" s="127">
        <v>8.98005838567696E14</v>
      </c>
      <c r="G154" s="186" t="s">
        <v>1463</v>
      </c>
      <c r="H154" s="153">
        <v>43132.0</v>
      </c>
      <c r="I154" s="30" t="s">
        <v>182</v>
      </c>
      <c r="J154" s="37"/>
      <c r="K154" s="37"/>
      <c r="R154" s="62"/>
    </row>
    <row r="155" ht="15.75" customHeight="1">
      <c r="J155" s="62"/>
      <c r="K155" s="62"/>
      <c r="R155" s="62"/>
    </row>
    <row r="156" ht="15.75" customHeight="1">
      <c r="J156" s="62"/>
      <c r="K156" s="62"/>
      <c r="R156" s="62"/>
    </row>
    <row r="157" ht="15.75" customHeight="1">
      <c r="J157" s="62"/>
      <c r="K157" s="62"/>
      <c r="R157" s="62"/>
    </row>
    <row r="158" ht="15.75" customHeight="1">
      <c r="A158" s="20" t="s">
        <v>377</v>
      </c>
      <c r="B158" s="2"/>
      <c r="C158" s="2"/>
      <c r="D158" s="2"/>
      <c r="E158" s="2"/>
      <c r="F158" s="2"/>
      <c r="G158" s="2"/>
      <c r="H158" s="2"/>
      <c r="I158" s="2"/>
      <c r="J158" s="2"/>
      <c r="K158" s="3"/>
      <c r="R158" s="62"/>
    </row>
    <row r="159" ht="15.75" customHeight="1">
      <c r="A159" s="233" t="s">
        <v>1464</v>
      </c>
      <c r="B159" s="2"/>
      <c r="C159" s="2"/>
      <c r="D159" s="2"/>
      <c r="E159" s="2"/>
      <c r="F159" s="2"/>
      <c r="G159" s="2"/>
      <c r="H159" s="2"/>
      <c r="I159" s="2"/>
      <c r="J159" s="2"/>
      <c r="K159" s="3"/>
      <c r="R159" s="62"/>
    </row>
    <row r="160" ht="15.75" customHeight="1">
      <c r="A160" s="22"/>
      <c r="B160" s="23" t="s">
        <v>3</v>
      </c>
      <c r="C160" s="24" t="s">
        <v>2</v>
      </c>
      <c r="D160" s="25" t="s">
        <v>5</v>
      </c>
      <c r="E160" s="25" t="s">
        <v>19</v>
      </c>
      <c r="F160" s="25" t="s">
        <v>6</v>
      </c>
      <c r="G160" s="234" t="s">
        <v>7</v>
      </c>
      <c r="H160" s="27" t="s">
        <v>8</v>
      </c>
      <c r="I160" s="28" t="s">
        <v>20</v>
      </c>
      <c r="J160" s="25" t="s">
        <v>21</v>
      </c>
      <c r="K160" s="25" t="s">
        <v>22</v>
      </c>
      <c r="N160" s="237" t="s">
        <v>386</v>
      </c>
      <c r="O160" s="95"/>
      <c r="P160" s="95"/>
      <c r="Q160" s="95"/>
      <c r="R160" s="62"/>
    </row>
    <row r="161" ht="15.75" customHeight="1">
      <c r="A161" s="11" t="s">
        <v>10</v>
      </c>
      <c r="B161" s="206" t="s">
        <v>757</v>
      </c>
      <c r="C161" s="69" t="s">
        <v>1280</v>
      </c>
      <c r="D161" s="70">
        <v>0.5416666666666666</v>
      </c>
      <c r="E161" s="214" t="s">
        <v>1465</v>
      </c>
      <c r="F161" s="258">
        <v>7.06004325006846E14</v>
      </c>
      <c r="G161" s="54" t="s">
        <v>1466</v>
      </c>
      <c r="H161" s="153">
        <v>20453.0</v>
      </c>
      <c r="I161" s="69" t="s">
        <v>194</v>
      </c>
      <c r="J161" s="37">
        <v>1.1973444122E10</v>
      </c>
      <c r="K161" s="97"/>
      <c r="N161" s="239" t="s">
        <v>641</v>
      </c>
      <c r="O161" s="2"/>
      <c r="P161" s="2"/>
      <c r="Q161" s="2"/>
      <c r="R161" s="62"/>
    </row>
    <row r="162" ht="15.75" customHeight="1">
      <c r="A162" s="11" t="s">
        <v>11</v>
      </c>
      <c r="B162" s="206" t="s">
        <v>1467</v>
      </c>
      <c r="C162" s="69" t="s">
        <v>1280</v>
      </c>
      <c r="D162" s="70">
        <v>0.5555555555555556</v>
      </c>
      <c r="E162" s="258" t="s">
        <v>1395</v>
      </c>
      <c r="F162" s="393" t="s">
        <v>1396</v>
      </c>
      <c r="G162" s="54" t="s">
        <v>1397</v>
      </c>
      <c r="H162" s="153">
        <v>18889.0</v>
      </c>
      <c r="I162" s="69" t="s">
        <v>182</v>
      </c>
      <c r="J162" s="37">
        <v>1.1989445845E10</v>
      </c>
      <c r="K162" s="37">
        <v>1.1952659217E10</v>
      </c>
      <c r="N162" s="240" t="s">
        <v>182</v>
      </c>
      <c r="O162" s="241" t="s">
        <v>194</v>
      </c>
      <c r="P162" s="241" t="s">
        <v>180</v>
      </c>
      <c r="Q162" s="242" t="s">
        <v>172</v>
      </c>
      <c r="R162" s="62"/>
    </row>
    <row r="163" ht="15.75" customHeight="1">
      <c r="A163" s="11" t="s">
        <v>12</v>
      </c>
      <c r="B163" s="206" t="s">
        <v>216</v>
      </c>
      <c r="C163" s="69" t="s">
        <v>1280</v>
      </c>
      <c r="D163" s="70">
        <v>0.5694444444444444</v>
      </c>
      <c r="E163" s="258" t="s">
        <v>1468</v>
      </c>
      <c r="F163" s="258">
        <v>7.07407063428975E14</v>
      </c>
      <c r="G163" s="54" t="s">
        <v>1469</v>
      </c>
      <c r="H163" s="153">
        <v>18371.0</v>
      </c>
      <c r="I163" s="69" t="s">
        <v>182</v>
      </c>
      <c r="J163" s="212">
        <v>1.195470766E10</v>
      </c>
      <c r="K163" s="212">
        <v>1.1984933199E10</v>
      </c>
      <c r="L163" s="63"/>
      <c r="M163" s="63"/>
      <c r="N163" s="244">
        <f t="shared" ref="N163:Q163" si="10">COUNTIFS($I$161:$I$172,N162)</f>
        <v>7</v>
      </c>
      <c r="O163" s="244">
        <f t="shared" si="10"/>
        <v>3</v>
      </c>
      <c r="P163" s="244">
        <f t="shared" si="10"/>
        <v>0</v>
      </c>
      <c r="Q163" s="244">
        <f t="shared" si="10"/>
        <v>2</v>
      </c>
      <c r="R163" s="343"/>
      <c r="S163" s="63"/>
      <c r="T163" s="63"/>
      <c r="U163" s="63"/>
      <c r="V163" s="63"/>
      <c r="W163" s="63"/>
    </row>
    <row r="164" ht="15.75" customHeight="1">
      <c r="A164" s="11" t="s">
        <v>13</v>
      </c>
      <c r="B164" s="206" t="s">
        <v>197</v>
      </c>
      <c r="C164" s="69" t="s">
        <v>1280</v>
      </c>
      <c r="D164" s="70">
        <v>0.5833333333333334</v>
      </c>
      <c r="E164" s="258" t="s">
        <v>1470</v>
      </c>
      <c r="F164" s="258">
        <v>7.07605252794797E14</v>
      </c>
      <c r="G164" s="54" t="s">
        <v>1471</v>
      </c>
      <c r="H164" s="153">
        <v>21311.0</v>
      </c>
      <c r="I164" s="69" t="s">
        <v>182</v>
      </c>
      <c r="J164" s="97">
        <v>1.1968711505E10</v>
      </c>
      <c r="K164" s="97">
        <v>1.1960151458E10</v>
      </c>
      <c r="R164" s="62"/>
    </row>
    <row r="165" ht="15.75" customHeight="1">
      <c r="A165" s="11" t="s">
        <v>14</v>
      </c>
      <c r="B165" s="206" t="s">
        <v>757</v>
      </c>
      <c r="C165" s="69" t="s">
        <v>1280</v>
      </c>
      <c r="D165" s="70">
        <v>0.5972222222222222</v>
      </c>
      <c r="E165" s="258" t="s">
        <v>1472</v>
      </c>
      <c r="F165" s="258">
        <v>7.08401258490567E14</v>
      </c>
      <c r="G165" s="54" t="s">
        <v>1473</v>
      </c>
      <c r="H165" s="153">
        <v>19007.0</v>
      </c>
      <c r="I165" s="69" t="s">
        <v>182</v>
      </c>
      <c r="J165" s="346">
        <v>1.1982468473E10</v>
      </c>
      <c r="K165" s="37"/>
      <c r="R165" s="62"/>
    </row>
    <row r="166" ht="15.75" customHeight="1">
      <c r="A166" s="11" t="s">
        <v>15</v>
      </c>
      <c r="B166" s="206" t="s">
        <v>1467</v>
      </c>
      <c r="C166" s="69" t="s">
        <v>1280</v>
      </c>
      <c r="D166" s="70">
        <v>0.6111111111111112</v>
      </c>
      <c r="E166" s="258" t="s">
        <v>1474</v>
      </c>
      <c r="F166" s="258">
        <v>8.98001434625429E14</v>
      </c>
      <c r="G166" s="54" t="s">
        <v>1475</v>
      </c>
      <c r="H166" s="153">
        <v>24721.0</v>
      </c>
      <c r="I166" s="69" t="s">
        <v>182</v>
      </c>
      <c r="J166" s="37"/>
      <c r="K166" s="37"/>
      <c r="R166" s="62"/>
    </row>
    <row r="167" ht="15.75" customHeight="1">
      <c r="A167" s="101" t="s">
        <v>16</v>
      </c>
      <c r="B167" s="388" t="s">
        <v>216</v>
      </c>
      <c r="C167" s="389" t="s">
        <v>1280</v>
      </c>
      <c r="D167" s="103">
        <v>0.625</v>
      </c>
      <c r="E167" s="394" t="s">
        <v>1476</v>
      </c>
      <c r="F167" s="394">
        <v>7.08605076844187E14</v>
      </c>
      <c r="G167" s="115" t="s">
        <v>1477</v>
      </c>
      <c r="H167" s="106">
        <v>20284.0</v>
      </c>
      <c r="I167" s="389" t="s">
        <v>172</v>
      </c>
      <c r="J167" s="395">
        <v>1.1949251086E10</v>
      </c>
      <c r="K167" s="395">
        <v>1.1982842721E10</v>
      </c>
      <c r="L167" s="113"/>
      <c r="M167" s="113"/>
      <c r="N167" s="113"/>
      <c r="O167" s="113"/>
      <c r="P167" s="113"/>
      <c r="Q167" s="113"/>
      <c r="R167" s="396"/>
      <c r="S167" s="113"/>
      <c r="T167" s="113"/>
      <c r="U167" s="113"/>
      <c r="V167" s="113"/>
      <c r="W167" s="113"/>
    </row>
    <row r="168" ht="15.75" customHeight="1">
      <c r="A168" s="11" t="s">
        <v>17</v>
      </c>
      <c r="B168" s="206" t="s">
        <v>197</v>
      </c>
      <c r="C168" s="69" t="s">
        <v>1280</v>
      </c>
      <c r="D168" s="70">
        <v>0.6388888888888888</v>
      </c>
      <c r="E168" s="258" t="s">
        <v>1478</v>
      </c>
      <c r="F168" s="258">
        <v>2.06882484830003E14</v>
      </c>
      <c r="G168" s="54" t="s">
        <v>1479</v>
      </c>
      <c r="H168" s="153">
        <v>15085.0</v>
      </c>
      <c r="I168" s="69" t="s">
        <v>182</v>
      </c>
      <c r="J168" s="37">
        <v>1.1988234047E10</v>
      </c>
      <c r="K168" s="37">
        <v>1.1982340472E10</v>
      </c>
      <c r="R168" s="62"/>
    </row>
    <row r="169" ht="15.75" customHeight="1">
      <c r="A169" s="11" t="s">
        <v>85</v>
      </c>
      <c r="B169" s="206" t="s">
        <v>1467</v>
      </c>
      <c r="C169" s="69" t="s">
        <v>1280</v>
      </c>
      <c r="D169" s="70">
        <v>0.6527777777777778</v>
      </c>
      <c r="E169" s="258" t="s">
        <v>1480</v>
      </c>
      <c r="F169" s="258">
        <v>7.08205675677842E14</v>
      </c>
      <c r="G169" s="54" t="s">
        <v>1481</v>
      </c>
      <c r="H169" s="153">
        <v>16867.0</v>
      </c>
      <c r="I169" s="69" t="s">
        <v>194</v>
      </c>
      <c r="J169" s="37">
        <v>1.1975325965E10</v>
      </c>
      <c r="K169" s="37"/>
      <c r="R169" s="62"/>
    </row>
    <row r="170" ht="15.75" customHeight="1">
      <c r="A170" s="11" t="s">
        <v>87</v>
      </c>
      <c r="B170" s="206" t="s">
        <v>757</v>
      </c>
      <c r="C170" s="69" t="s">
        <v>1280</v>
      </c>
      <c r="D170" s="70">
        <v>0.6666666666666666</v>
      </c>
      <c r="E170" s="258" t="s">
        <v>1482</v>
      </c>
      <c r="F170" s="258">
        <v>8.98001436630829E14</v>
      </c>
      <c r="G170" s="54" t="s">
        <v>1483</v>
      </c>
      <c r="H170" s="153">
        <v>19369.0</v>
      </c>
      <c r="I170" s="69" t="s">
        <v>194</v>
      </c>
      <c r="J170" s="37">
        <v>1.1972897849E10</v>
      </c>
      <c r="K170" s="128">
        <v>1.1983503562E10</v>
      </c>
      <c r="R170" s="62"/>
    </row>
    <row r="171" ht="15.75" customHeight="1">
      <c r="A171" s="11" t="s">
        <v>90</v>
      </c>
      <c r="B171" s="206" t="s">
        <v>757</v>
      </c>
      <c r="C171" s="69" t="s">
        <v>1280</v>
      </c>
      <c r="D171" s="70">
        <v>0.6805555555555556</v>
      </c>
      <c r="E171" s="258" t="s">
        <v>1484</v>
      </c>
      <c r="F171" s="258">
        <v>7.0260222880094E14</v>
      </c>
      <c r="G171" s="54" t="s">
        <v>1485</v>
      </c>
      <c r="H171" s="153">
        <v>27059.0</v>
      </c>
      <c r="I171" s="69" t="s">
        <v>182</v>
      </c>
      <c r="J171" s="37">
        <v>1.1985224637E10</v>
      </c>
      <c r="K171" s="37"/>
      <c r="R171" s="62"/>
    </row>
    <row r="172" ht="15.75" customHeight="1">
      <c r="A172" s="11" t="s">
        <v>93</v>
      </c>
      <c r="B172" s="206" t="s">
        <v>757</v>
      </c>
      <c r="C172" s="69" t="s">
        <v>1280</v>
      </c>
      <c r="D172" s="70">
        <v>0.6944444444444444</v>
      </c>
      <c r="E172" s="258" t="s">
        <v>1486</v>
      </c>
      <c r="F172" s="393" t="s">
        <v>1487</v>
      </c>
      <c r="G172" s="54" t="s">
        <v>1488</v>
      </c>
      <c r="H172" s="153">
        <v>21246.0</v>
      </c>
      <c r="I172" s="69" t="s">
        <v>172</v>
      </c>
      <c r="J172" s="37">
        <v>1.1976461555E10</v>
      </c>
      <c r="K172" s="37">
        <v>1.1992408633E10</v>
      </c>
      <c r="R172" s="62"/>
    </row>
    <row r="173" ht="15.75" customHeight="1">
      <c r="J173" s="62"/>
      <c r="K173" s="62"/>
      <c r="R173" s="62"/>
    </row>
    <row r="174" ht="15.75" customHeight="1">
      <c r="J174" s="62"/>
      <c r="K174" s="62"/>
      <c r="R174" s="62"/>
    </row>
    <row r="175" ht="15.75" customHeight="1">
      <c r="J175" s="62"/>
      <c r="K175" s="62"/>
      <c r="R175" s="62"/>
    </row>
    <row r="176" ht="15.75" customHeight="1">
      <c r="J176" s="62"/>
      <c r="K176" s="62"/>
      <c r="R176" s="62"/>
    </row>
    <row r="177" ht="15.75" customHeight="1">
      <c r="A177" s="20" t="s">
        <v>377</v>
      </c>
      <c r="B177" s="2"/>
      <c r="C177" s="2"/>
      <c r="D177" s="2"/>
      <c r="E177" s="2"/>
      <c r="F177" s="2"/>
      <c r="G177" s="2"/>
      <c r="H177" s="2"/>
      <c r="I177" s="2"/>
      <c r="J177" s="2"/>
      <c r="K177" s="3"/>
      <c r="R177" s="62"/>
    </row>
    <row r="178" ht="15.75" customHeight="1">
      <c r="A178" s="233" t="s">
        <v>1260</v>
      </c>
      <c r="B178" s="2"/>
      <c r="C178" s="2"/>
      <c r="D178" s="2"/>
      <c r="E178" s="2"/>
      <c r="F178" s="2"/>
      <c r="G178" s="2"/>
      <c r="H178" s="2"/>
      <c r="I178" s="2"/>
      <c r="J178" s="2"/>
      <c r="K178" s="3"/>
      <c r="R178" s="62"/>
    </row>
    <row r="179" ht="15.75" customHeight="1">
      <c r="A179" s="22"/>
      <c r="B179" s="23" t="s">
        <v>3</v>
      </c>
      <c r="C179" s="24" t="s">
        <v>2</v>
      </c>
      <c r="D179" s="25" t="s">
        <v>5</v>
      </c>
      <c r="E179" s="25" t="s">
        <v>19</v>
      </c>
      <c r="F179" s="25" t="s">
        <v>6</v>
      </c>
      <c r="G179" s="234" t="s">
        <v>7</v>
      </c>
      <c r="H179" s="27" t="s">
        <v>8</v>
      </c>
      <c r="I179" s="28" t="s">
        <v>20</v>
      </c>
      <c r="J179" s="25" t="s">
        <v>21</v>
      </c>
      <c r="K179" s="25" t="s">
        <v>22</v>
      </c>
      <c r="R179" s="62"/>
    </row>
    <row r="180" ht="15.75" customHeight="1">
      <c r="A180" s="11" t="s">
        <v>10</v>
      </c>
      <c r="B180" s="206" t="s">
        <v>1358</v>
      </c>
      <c r="C180" s="69" t="s">
        <v>1294</v>
      </c>
      <c r="D180" s="70">
        <v>0.5416666666666666</v>
      </c>
      <c r="E180" s="214" t="s">
        <v>1489</v>
      </c>
      <c r="F180" s="79">
        <v>8.98003015031297E14</v>
      </c>
      <c r="G180" s="74" t="s">
        <v>1490</v>
      </c>
      <c r="H180" s="78">
        <v>23921.0</v>
      </c>
      <c r="I180" s="30" t="s">
        <v>182</v>
      </c>
      <c r="J180" s="79" t="s">
        <v>1491</v>
      </c>
      <c r="K180" s="97" t="s">
        <v>1492</v>
      </c>
      <c r="L180" s="197" t="s">
        <v>520</v>
      </c>
      <c r="N180" s="237" t="s">
        <v>386</v>
      </c>
      <c r="O180" s="95"/>
      <c r="P180" s="95"/>
      <c r="Q180" s="95"/>
      <c r="R180" s="62"/>
    </row>
    <row r="181" ht="15.75" customHeight="1">
      <c r="A181" s="11" t="s">
        <v>11</v>
      </c>
      <c r="B181" s="206" t="s">
        <v>1357</v>
      </c>
      <c r="C181" s="69" t="s">
        <v>1294</v>
      </c>
      <c r="D181" s="70">
        <v>0.5555555555555556</v>
      </c>
      <c r="E181" s="214" t="s">
        <v>1434</v>
      </c>
      <c r="F181" s="79">
        <v>7.03607044846738E14</v>
      </c>
      <c r="G181" s="74" t="s">
        <v>1435</v>
      </c>
      <c r="H181" s="78">
        <v>25188.0</v>
      </c>
      <c r="I181" s="30" t="s">
        <v>182</v>
      </c>
      <c r="J181" s="79" t="s">
        <v>1493</v>
      </c>
      <c r="K181" s="97"/>
      <c r="N181" s="239" t="s">
        <v>670</v>
      </c>
      <c r="O181" s="2"/>
      <c r="P181" s="2"/>
      <c r="Q181" s="2"/>
      <c r="R181" s="62"/>
    </row>
    <row r="182" ht="15.75" customHeight="1">
      <c r="A182" s="11" t="s">
        <v>12</v>
      </c>
      <c r="B182" s="206" t="s">
        <v>1360</v>
      </c>
      <c r="C182" s="69" t="s">
        <v>1294</v>
      </c>
      <c r="D182" s="70">
        <v>0.5694444444444444</v>
      </c>
      <c r="E182" s="214" t="s">
        <v>1494</v>
      </c>
      <c r="F182" s="371" t="s">
        <v>1495</v>
      </c>
      <c r="G182" s="74" t="s">
        <v>1496</v>
      </c>
      <c r="H182" s="78">
        <v>30411.0</v>
      </c>
      <c r="I182" s="30" t="s">
        <v>182</v>
      </c>
      <c r="J182" s="79" t="s">
        <v>1497</v>
      </c>
      <c r="K182" s="97"/>
      <c r="N182" s="240" t="s">
        <v>182</v>
      </c>
      <c r="O182" s="241" t="s">
        <v>194</v>
      </c>
      <c r="P182" s="241" t="s">
        <v>180</v>
      </c>
      <c r="Q182" s="242" t="s">
        <v>172</v>
      </c>
      <c r="R182" s="62"/>
    </row>
    <row r="183" ht="15.75" customHeight="1">
      <c r="A183" s="11" t="s">
        <v>13</v>
      </c>
      <c r="B183" s="206" t="s">
        <v>1362</v>
      </c>
      <c r="C183" s="69" t="s">
        <v>1294</v>
      </c>
      <c r="D183" s="70">
        <v>0.5833333333333334</v>
      </c>
      <c r="E183" s="214" t="s">
        <v>1498</v>
      </c>
      <c r="F183" s="79">
        <v>2.01156319540001E14</v>
      </c>
      <c r="G183" s="74" t="s">
        <v>1499</v>
      </c>
      <c r="H183" s="78">
        <v>17015.0</v>
      </c>
      <c r="I183" s="30" t="s">
        <v>182</v>
      </c>
      <c r="J183" s="79" t="s">
        <v>1500</v>
      </c>
      <c r="K183" s="97" t="s">
        <v>1501</v>
      </c>
      <c r="N183" s="244">
        <f t="shared" ref="N183:Q183" si="11">COUNTIFS($I$180:$I$191,N182)</f>
        <v>9</v>
      </c>
      <c r="O183" s="244">
        <f t="shared" si="11"/>
        <v>0</v>
      </c>
      <c r="P183" s="244">
        <f t="shared" si="11"/>
        <v>2</v>
      </c>
      <c r="Q183" s="244">
        <f t="shared" si="11"/>
        <v>1</v>
      </c>
      <c r="R183" s="62"/>
    </row>
    <row r="184" ht="15.75" customHeight="1">
      <c r="A184" s="11" t="s">
        <v>14</v>
      </c>
      <c r="B184" s="206" t="s">
        <v>1357</v>
      </c>
      <c r="C184" s="69" t="s">
        <v>1294</v>
      </c>
      <c r="D184" s="70">
        <v>0.5972222222222222</v>
      </c>
      <c r="E184" s="214" t="s">
        <v>1502</v>
      </c>
      <c r="F184" s="79">
        <v>7.00002978120406E14</v>
      </c>
      <c r="G184" s="74" t="s">
        <v>1503</v>
      </c>
      <c r="H184" s="78">
        <v>20443.0</v>
      </c>
      <c r="I184" s="30" t="s">
        <v>182</v>
      </c>
      <c r="J184" s="79" t="s">
        <v>1504</v>
      </c>
      <c r="K184" s="97"/>
      <c r="R184" s="62"/>
    </row>
    <row r="185" ht="15.75" customHeight="1">
      <c r="A185" s="11" t="s">
        <v>15</v>
      </c>
      <c r="B185" s="206" t="s">
        <v>1358</v>
      </c>
      <c r="C185" s="69" t="s">
        <v>1294</v>
      </c>
      <c r="D185" s="70">
        <v>0.6111111111111112</v>
      </c>
      <c r="E185" s="214" t="s">
        <v>1505</v>
      </c>
      <c r="F185" s="79">
        <v>7.00008722919605E14</v>
      </c>
      <c r="G185" s="74" t="s">
        <v>1506</v>
      </c>
      <c r="H185" s="78">
        <v>29836.0</v>
      </c>
      <c r="I185" s="30" t="s">
        <v>182</v>
      </c>
      <c r="J185" s="79" t="s">
        <v>1507</v>
      </c>
      <c r="K185" s="97"/>
      <c r="R185" s="62"/>
    </row>
    <row r="186" ht="15.75" customHeight="1">
      <c r="A186" s="11" t="s">
        <v>16</v>
      </c>
      <c r="B186" s="206" t="s">
        <v>1360</v>
      </c>
      <c r="C186" s="69" t="s">
        <v>1294</v>
      </c>
      <c r="D186" s="70">
        <v>0.625</v>
      </c>
      <c r="E186" s="214" t="s">
        <v>1508</v>
      </c>
      <c r="F186" s="79">
        <v>7.01003866176891E14</v>
      </c>
      <c r="G186" s="74" t="s">
        <v>1509</v>
      </c>
      <c r="H186" s="78">
        <v>26629.0</v>
      </c>
      <c r="I186" s="30" t="s">
        <v>182</v>
      </c>
      <c r="J186" s="79" t="s">
        <v>1510</v>
      </c>
      <c r="K186" s="97"/>
      <c r="R186" s="62"/>
    </row>
    <row r="187" ht="15.75" customHeight="1">
      <c r="A187" s="11" t="s">
        <v>17</v>
      </c>
      <c r="B187" s="206" t="s">
        <v>1362</v>
      </c>
      <c r="C187" s="69" t="s">
        <v>1294</v>
      </c>
      <c r="D187" s="70">
        <v>0.6388888888888888</v>
      </c>
      <c r="E187" s="214" t="s">
        <v>1511</v>
      </c>
      <c r="F187" s="79">
        <v>7.00600942905767E14</v>
      </c>
      <c r="G187" s="74" t="s">
        <v>1512</v>
      </c>
      <c r="H187" s="78">
        <v>17900.0</v>
      </c>
      <c r="I187" s="30" t="s">
        <v>182</v>
      </c>
      <c r="J187" s="79"/>
      <c r="K187" s="97"/>
      <c r="R187" s="62"/>
    </row>
    <row r="188" ht="15.75" customHeight="1">
      <c r="A188" s="11" t="s">
        <v>85</v>
      </c>
      <c r="B188" s="206" t="s">
        <v>1358</v>
      </c>
      <c r="C188" s="69" t="s">
        <v>1294</v>
      </c>
      <c r="D188" s="70">
        <v>0.6527777777777778</v>
      </c>
      <c r="E188" s="214" t="s">
        <v>1513</v>
      </c>
      <c r="F188" s="79">
        <v>8.01440478700674E14</v>
      </c>
      <c r="G188" s="74" t="s">
        <v>1514</v>
      </c>
      <c r="H188" s="78">
        <v>17755.0</v>
      </c>
      <c r="I188" s="30" t="s">
        <v>172</v>
      </c>
      <c r="J188" s="79" t="s">
        <v>1515</v>
      </c>
      <c r="K188" s="97" t="s">
        <v>1516</v>
      </c>
      <c r="L188" s="197" t="s">
        <v>576</v>
      </c>
      <c r="R188" s="62"/>
    </row>
    <row r="189" ht="15.75" customHeight="1">
      <c r="A189" s="11" t="s">
        <v>87</v>
      </c>
      <c r="B189" s="206" t="s">
        <v>1357</v>
      </c>
      <c r="C189" s="69" t="s">
        <v>1294</v>
      </c>
      <c r="D189" s="70">
        <v>0.6666666666666666</v>
      </c>
      <c r="E189" s="214"/>
      <c r="F189" s="149"/>
      <c r="G189" s="100"/>
      <c r="H189" s="153"/>
      <c r="I189" s="18" t="s">
        <v>1517</v>
      </c>
      <c r="J189" s="79"/>
      <c r="K189" s="128"/>
      <c r="R189" s="62"/>
    </row>
    <row r="190" ht="15.75" customHeight="1">
      <c r="A190" s="11" t="s">
        <v>90</v>
      </c>
      <c r="B190" s="206" t="s">
        <v>1360</v>
      </c>
      <c r="C190" s="69" t="s">
        <v>1294</v>
      </c>
      <c r="D190" s="70">
        <v>0.6805555555555556</v>
      </c>
      <c r="E190" s="214" t="s">
        <v>1518</v>
      </c>
      <c r="F190" s="79">
        <v>7.06500346829894E14</v>
      </c>
      <c r="G190" s="74" t="s">
        <v>1519</v>
      </c>
      <c r="H190" s="78">
        <v>33344.0</v>
      </c>
      <c r="I190" s="30" t="s">
        <v>182</v>
      </c>
      <c r="J190" s="79" t="s">
        <v>1520</v>
      </c>
      <c r="K190" s="97"/>
      <c r="R190" s="62"/>
    </row>
    <row r="191" ht="15.75" customHeight="1">
      <c r="A191" s="11" t="s">
        <v>93</v>
      </c>
      <c r="B191" s="206" t="s">
        <v>1362</v>
      </c>
      <c r="C191" s="69" t="s">
        <v>1294</v>
      </c>
      <c r="D191" s="70">
        <v>0.6944444444444444</v>
      </c>
      <c r="E191" s="258"/>
      <c r="F191" s="127"/>
      <c r="G191" s="100"/>
      <c r="H191" s="153"/>
      <c r="I191" s="18" t="s">
        <v>1517</v>
      </c>
      <c r="J191" s="79"/>
      <c r="K191" s="79"/>
      <c r="R191" s="62"/>
    </row>
    <row r="192" ht="15.75" customHeight="1">
      <c r="J192" s="62"/>
      <c r="K192" s="62"/>
      <c r="R192" s="62"/>
    </row>
    <row r="193" ht="15.75" customHeight="1">
      <c r="J193" s="62"/>
      <c r="K193" s="62"/>
      <c r="R193" s="62"/>
    </row>
    <row r="194" ht="15.75" customHeight="1">
      <c r="A194" s="20" t="s">
        <v>377</v>
      </c>
      <c r="B194" s="2"/>
      <c r="C194" s="2"/>
      <c r="D194" s="2"/>
      <c r="E194" s="2"/>
      <c r="F194" s="2"/>
      <c r="G194" s="2"/>
      <c r="H194" s="2"/>
      <c r="I194" s="2"/>
      <c r="J194" s="2"/>
      <c r="K194" s="3"/>
      <c r="R194" s="62"/>
    </row>
    <row r="195" ht="15.75" customHeight="1">
      <c r="A195" s="233" t="s">
        <v>1521</v>
      </c>
      <c r="B195" s="2"/>
      <c r="C195" s="2"/>
      <c r="D195" s="2"/>
      <c r="E195" s="2"/>
      <c r="F195" s="2"/>
      <c r="G195" s="2"/>
      <c r="H195" s="2"/>
      <c r="I195" s="2"/>
      <c r="J195" s="2"/>
      <c r="K195" s="3"/>
      <c r="R195" s="62"/>
    </row>
    <row r="196" ht="15.75" customHeight="1">
      <c r="A196" s="22"/>
      <c r="B196" s="23" t="s">
        <v>3</v>
      </c>
      <c r="C196" s="24" t="s">
        <v>2</v>
      </c>
      <c r="D196" s="25" t="s">
        <v>5</v>
      </c>
      <c r="E196" s="25" t="s">
        <v>19</v>
      </c>
      <c r="F196" s="25" t="s">
        <v>6</v>
      </c>
      <c r="G196" s="234" t="s">
        <v>7</v>
      </c>
      <c r="H196" s="27" t="s">
        <v>8</v>
      </c>
      <c r="I196" s="28" t="s">
        <v>20</v>
      </c>
      <c r="J196" s="25" t="s">
        <v>21</v>
      </c>
      <c r="K196" s="25" t="s">
        <v>22</v>
      </c>
      <c r="R196" s="62"/>
    </row>
    <row r="197" ht="15.75" customHeight="1">
      <c r="A197" s="11" t="s">
        <v>10</v>
      </c>
      <c r="B197" s="206" t="s">
        <v>65</v>
      </c>
      <c r="C197" s="69" t="s">
        <v>1313</v>
      </c>
      <c r="D197" s="70">
        <v>0.3333333333333333</v>
      </c>
      <c r="E197" s="214" t="s">
        <v>1522</v>
      </c>
      <c r="F197" s="214">
        <v>7.0310530509356E14</v>
      </c>
      <c r="G197" s="74" t="s">
        <v>100</v>
      </c>
      <c r="H197" s="78">
        <v>18225.0</v>
      </c>
      <c r="I197" s="79" t="s">
        <v>172</v>
      </c>
      <c r="J197" s="79" t="s">
        <v>1523</v>
      </c>
      <c r="K197" s="79"/>
      <c r="N197" s="237" t="s">
        <v>386</v>
      </c>
      <c r="O197" s="95"/>
      <c r="P197" s="95"/>
      <c r="Q197" s="95"/>
      <c r="R197" s="62"/>
    </row>
    <row r="198" ht="15.75" customHeight="1">
      <c r="A198" s="11" t="s">
        <v>11</v>
      </c>
      <c r="B198" s="206" t="s">
        <v>201</v>
      </c>
      <c r="C198" s="69" t="s">
        <v>1313</v>
      </c>
      <c r="D198" s="70">
        <v>0.3472222222222222</v>
      </c>
      <c r="E198" s="214" t="s">
        <v>1524</v>
      </c>
      <c r="F198" s="214">
        <v>2.01156841360001E14</v>
      </c>
      <c r="G198" s="74" t="s">
        <v>1525</v>
      </c>
      <c r="H198" s="78">
        <v>18928.0</v>
      </c>
      <c r="I198" s="79" t="s">
        <v>172</v>
      </c>
      <c r="J198" s="79" t="s">
        <v>1526</v>
      </c>
      <c r="K198" s="79"/>
      <c r="N198" s="239" t="s">
        <v>700</v>
      </c>
      <c r="O198" s="2"/>
      <c r="P198" s="2"/>
      <c r="Q198" s="2"/>
      <c r="R198" s="62"/>
    </row>
    <row r="199" ht="15.75" customHeight="1">
      <c r="A199" s="11" t="s">
        <v>12</v>
      </c>
      <c r="B199" s="206" t="s">
        <v>1447</v>
      </c>
      <c r="C199" s="69" t="s">
        <v>1313</v>
      </c>
      <c r="D199" s="70">
        <v>0.3611111111111111</v>
      </c>
      <c r="E199" s="214" t="s">
        <v>1527</v>
      </c>
      <c r="F199" s="214">
        <v>7.05204440601379E14</v>
      </c>
      <c r="G199" s="74" t="s">
        <v>795</v>
      </c>
      <c r="H199" s="78">
        <v>27257.0</v>
      </c>
      <c r="I199" s="79" t="s">
        <v>182</v>
      </c>
      <c r="J199" s="79" t="s">
        <v>1528</v>
      </c>
      <c r="K199" s="79" t="s">
        <v>1529</v>
      </c>
      <c r="N199" s="240" t="s">
        <v>182</v>
      </c>
      <c r="O199" s="241" t="s">
        <v>194</v>
      </c>
      <c r="P199" s="241" t="s">
        <v>180</v>
      </c>
      <c r="Q199" s="242" t="s">
        <v>172</v>
      </c>
      <c r="R199" s="62"/>
    </row>
    <row r="200" ht="15.75" customHeight="1">
      <c r="A200" s="11" t="s">
        <v>13</v>
      </c>
      <c r="B200" s="206" t="s">
        <v>821</v>
      </c>
      <c r="C200" s="69" t="s">
        <v>1313</v>
      </c>
      <c r="D200" s="70">
        <v>0.375</v>
      </c>
      <c r="E200" s="214" t="s">
        <v>1530</v>
      </c>
      <c r="F200" s="214">
        <v>7.09804075838693E14</v>
      </c>
      <c r="G200" s="74" t="s">
        <v>1531</v>
      </c>
      <c r="H200" s="78">
        <v>18416.0</v>
      </c>
      <c r="I200" s="79" t="s">
        <v>182</v>
      </c>
      <c r="J200" s="79" t="s">
        <v>1532</v>
      </c>
      <c r="K200" s="79" t="s">
        <v>1533</v>
      </c>
      <c r="N200" s="244">
        <f t="shared" ref="N200:Q200" si="12">COUNTIFS($I$197:$I$208,$N$199)</f>
        <v>7</v>
      </c>
      <c r="O200" s="244">
        <f t="shared" si="12"/>
        <v>7</v>
      </c>
      <c r="P200" s="244">
        <f t="shared" si="12"/>
        <v>7</v>
      </c>
      <c r="Q200" s="244">
        <f t="shared" si="12"/>
        <v>7</v>
      </c>
      <c r="R200" s="62"/>
    </row>
    <row r="201" ht="15.75" customHeight="1">
      <c r="A201" s="11" t="s">
        <v>14</v>
      </c>
      <c r="B201" s="206" t="s">
        <v>201</v>
      </c>
      <c r="C201" s="69" t="s">
        <v>1313</v>
      </c>
      <c r="D201" s="70">
        <v>0.3888888888888889</v>
      </c>
      <c r="E201" s="214" t="s">
        <v>1534</v>
      </c>
      <c r="F201" s="214">
        <v>7.0050592594505E14</v>
      </c>
      <c r="G201" s="74" t="s">
        <v>1535</v>
      </c>
      <c r="H201" s="78">
        <v>22330.0</v>
      </c>
      <c r="I201" s="79" t="s">
        <v>172</v>
      </c>
      <c r="J201" s="79" t="s">
        <v>1536</v>
      </c>
      <c r="K201" s="79" t="s">
        <v>1537</v>
      </c>
      <c r="R201" s="62"/>
    </row>
    <row r="202" ht="15.75" customHeight="1">
      <c r="A202" s="11" t="s">
        <v>15</v>
      </c>
      <c r="B202" s="206" t="s">
        <v>1447</v>
      </c>
      <c r="C202" s="69" t="s">
        <v>1313</v>
      </c>
      <c r="D202" s="70">
        <v>0.4027777777777778</v>
      </c>
      <c r="E202" s="214" t="s">
        <v>1538</v>
      </c>
      <c r="F202" s="214">
        <v>7.06800753825623E14</v>
      </c>
      <c r="G202" s="74" t="s">
        <v>1539</v>
      </c>
      <c r="H202" s="78">
        <v>19973.0</v>
      </c>
      <c r="I202" s="79" t="s">
        <v>172</v>
      </c>
      <c r="J202" s="79" t="s">
        <v>1540</v>
      </c>
      <c r="K202" s="79" t="s">
        <v>1541</v>
      </c>
      <c r="R202" s="62"/>
    </row>
    <row r="203" ht="15.75" customHeight="1">
      <c r="A203" s="11" t="s">
        <v>16</v>
      </c>
      <c r="B203" s="206" t="s">
        <v>65</v>
      </c>
      <c r="C203" s="69" t="s">
        <v>1313</v>
      </c>
      <c r="D203" s="70">
        <v>0.4166666666666667</v>
      </c>
      <c r="E203" s="214" t="s">
        <v>1542</v>
      </c>
      <c r="F203" s="214">
        <v>8.98001491483867E14</v>
      </c>
      <c r="G203" s="74" t="s">
        <v>1543</v>
      </c>
      <c r="H203" s="78">
        <v>42373.0</v>
      </c>
      <c r="I203" s="79" t="s">
        <v>182</v>
      </c>
      <c r="J203" s="79" t="s">
        <v>1544</v>
      </c>
      <c r="K203" s="79"/>
      <c r="R203" s="62"/>
    </row>
    <row r="204" ht="15.75" customHeight="1">
      <c r="A204" s="11" t="s">
        <v>17</v>
      </c>
      <c r="B204" s="206" t="s">
        <v>201</v>
      </c>
      <c r="C204" s="69" t="s">
        <v>1313</v>
      </c>
      <c r="D204" s="70">
        <v>0.4305555555555556</v>
      </c>
      <c r="E204" s="214" t="s">
        <v>1545</v>
      </c>
      <c r="F204" s="214">
        <v>7.0010398616002E14</v>
      </c>
      <c r="G204" s="74" t="s">
        <v>1546</v>
      </c>
      <c r="H204" s="78">
        <v>44181.0</v>
      </c>
      <c r="I204" s="79" t="s">
        <v>172</v>
      </c>
      <c r="J204" s="79" t="s">
        <v>1547</v>
      </c>
      <c r="K204" s="79" t="s">
        <v>1548</v>
      </c>
      <c r="R204" s="62"/>
    </row>
    <row r="205" ht="15.75" customHeight="1">
      <c r="A205" s="11" t="s">
        <v>85</v>
      </c>
      <c r="B205" s="206" t="s">
        <v>821</v>
      </c>
      <c r="C205" s="69" t="s">
        <v>1313</v>
      </c>
      <c r="D205" s="70">
        <v>0.4444444444444444</v>
      </c>
      <c r="E205" s="214" t="s">
        <v>1549</v>
      </c>
      <c r="F205" s="214">
        <v>7.04607168560729E14</v>
      </c>
      <c r="G205" s="74" t="s">
        <v>1550</v>
      </c>
      <c r="H205" s="78">
        <v>20021.0</v>
      </c>
      <c r="I205" s="79" t="s">
        <v>182</v>
      </c>
      <c r="J205" s="79" t="s">
        <v>1551</v>
      </c>
      <c r="K205" s="79"/>
      <c r="R205" s="62"/>
    </row>
    <row r="206" ht="15.75" customHeight="1">
      <c r="A206" s="11" t="s">
        <v>87</v>
      </c>
      <c r="B206" s="206" t="s">
        <v>1447</v>
      </c>
      <c r="C206" s="69" t="s">
        <v>1313</v>
      </c>
      <c r="D206" s="70">
        <v>0.4583333333333333</v>
      </c>
      <c r="E206" s="214" t="s">
        <v>1552</v>
      </c>
      <c r="F206" s="214">
        <v>7.08000822222825E14</v>
      </c>
      <c r="G206" s="74" t="s">
        <v>1553</v>
      </c>
      <c r="H206" s="78">
        <v>31471.0</v>
      </c>
      <c r="I206" s="79" t="s">
        <v>182</v>
      </c>
      <c r="J206" s="79" t="s">
        <v>1554</v>
      </c>
      <c r="K206" s="79"/>
      <c r="R206" s="62"/>
    </row>
    <row r="207" ht="15.75" customHeight="1">
      <c r="A207" s="11" t="s">
        <v>90</v>
      </c>
      <c r="B207" s="206" t="s">
        <v>821</v>
      </c>
      <c r="C207" s="69" t="s">
        <v>1313</v>
      </c>
      <c r="D207" s="70">
        <v>0.4722222222222222</v>
      </c>
      <c r="E207" s="214" t="s">
        <v>1555</v>
      </c>
      <c r="F207" s="214">
        <v>8.9800146760876E14</v>
      </c>
      <c r="G207" s="74" t="s">
        <v>1556</v>
      </c>
      <c r="H207" s="78">
        <v>41281.0</v>
      </c>
      <c r="I207" s="79" t="s">
        <v>182</v>
      </c>
      <c r="J207" s="79" t="s">
        <v>1557</v>
      </c>
      <c r="K207" s="79"/>
      <c r="R207" s="62"/>
    </row>
    <row r="208" ht="15.75" customHeight="1">
      <c r="A208" s="11" t="s">
        <v>93</v>
      </c>
      <c r="B208" s="206" t="s">
        <v>65</v>
      </c>
      <c r="C208" s="69" t="s">
        <v>1313</v>
      </c>
      <c r="D208" s="70">
        <v>0.4861111111111111</v>
      </c>
      <c r="E208" s="214" t="s">
        <v>1558</v>
      </c>
      <c r="F208" s="214">
        <v>7.0010983167369E14</v>
      </c>
      <c r="G208" s="74" t="s">
        <v>1559</v>
      </c>
      <c r="H208" s="78">
        <v>14392.0</v>
      </c>
      <c r="I208" s="79" t="s">
        <v>182</v>
      </c>
      <c r="J208" s="79" t="s">
        <v>1560</v>
      </c>
      <c r="K208" s="79"/>
      <c r="R208" s="62"/>
    </row>
    <row r="209" ht="15.75" customHeight="1">
      <c r="J209" s="62"/>
      <c r="K209" s="62"/>
      <c r="R209" s="62"/>
    </row>
    <row r="210" ht="15.75" customHeight="1">
      <c r="J210" s="62"/>
      <c r="K210" s="62"/>
      <c r="R210" s="62"/>
    </row>
    <row r="211" ht="15.75" customHeight="1">
      <c r="J211" s="62"/>
      <c r="K211" s="62"/>
      <c r="R211" s="62"/>
    </row>
    <row r="212" ht="15.75" customHeight="1">
      <c r="A212" s="20" t="s">
        <v>377</v>
      </c>
      <c r="B212" s="2"/>
      <c r="C212" s="2"/>
      <c r="D212" s="2"/>
      <c r="E212" s="2"/>
      <c r="F212" s="2"/>
      <c r="G212" s="2"/>
      <c r="H212" s="2"/>
      <c r="I212" s="2"/>
      <c r="J212" s="2"/>
      <c r="K212" s="3"/>
      <c r="R212" s="62"/>
    </row>
    <row r="213" ht="15.75" customHeight="1">
      <c r="A213" s="233" t="s">
        <v>1561</v>
      </c>
      <c r="B213" s="2"/>
      <c r="C213" s="2"/>
      <c r="D213" s="2"/>
      <c r="E213" s="2"/>
      <c r="F213" s="2"/>
      <c r="G213" s="2"/>
      <c r="H213" s="2"/>
      <c r="I213" s="2"/>
      <c r="J213" s="2"/>
      <c r="K213" s="3"/>
      <c r="R213" s="62"/>
    </row>
    <row r="214" ht="15.75" customHeight="1">
      <c r="A214" s="22"/>
      <c r="B214" s="23" t="s">
        <v>3</v>
      </c>
      <c r="C214" s="24" t="s">
        <v>2</v>
      </c>
      <c r="D214" s="25" t="s">
        <v>5</v>
      </c>
      <c r="E214" s="25" t="s">
        <v>19</v>
      </c>
      <c r="F214" s="25" t="s">
        <v>6</v>
      </c>
      <c r="G214" s="234" t="s">
        <v>7</v>
      </c>
      <c r="H214" s="27" t="s">
        <v>8</v>
      </c>
      <c r="I214" s="28" t="s">
        <v>20</v>
      </c>
      <c r="J214" s="25" t="s">
        <v>21</v>
      </c>
      <c r="K214" s="25" t="s">
        <v>22</v>
      </c>
      <c r="R214" s="62"/>
    </row>
    <row r="215" ht="15.75" customHeight="1">
      <c r="A215" s="11" t="s">
        <v>10</v>
      </c>
      <c r="B215" s="206" t="s">
        <v>757</v>
      </c>
      <c r="C215" s="69" t="s">
        <v>1280</v>
      </c>
      <c r="D215" s="70">
        <v>0.5416666666666666</v>
      </c>
      <c r="E215" s="214"/>
      <c r="F215" s="170"/>
      <c r="G215" s="100"/>
      <c r="H215" s="78"/>
      <c r="I215" s="30" t="s">
        <v>180</v>
      </c>
      <c r="J215" s="97"/>
      <c r="K215" s="97"/>
      <c r="N215" s="397" t="s">
        <v>386</v>
      </c>
      <c r="O215" s="95"/>
      <c r="P215" s="95"/>
      <c r="Q215" s="95"/>
      <c r="R215" s="62"/>
    </row>
    <row r="216" ht="15.75" customHeight="1">
      <c r="A216" s="11" t="s">
        <v>11</v>
      </c>
      <c r="B216" s="206" t="s">
        <v>1467</v>
      </c>
      <c r="C216" s="69" t="s">
        <v>1280</v>
      </c>
      <c r="D216" s="70">
        <v>0.5555555555555556</v>
      </c>
      <c r="E216" s="215" t="s">
        <v>1562</v>
      </c>
      <c r="F216" s="170">
        <v>7.06302704466379E14</v>
      </c>
      <c r="G216" s="398" t="s">
        <v>1563</v>
      </c>
      <c r="H216" s="288">
        <v>18811.0</v>
      </c>
      <c r="I216" s="30" t="s">
        <v>182</v>
      </c>
      <c r="J216" s="37" t="s">
        <v>1564</v>
      </c>
      <c r="K216" s="37"/>
      <c r="N216" s="399" t="s">
        <v>641</v>
      </c>
      <c r="O216" s="2"/>
      <c r="P216" s="2"/>
      <c r="Q216" s="2"/>
      <c r="R216" s="62"/>
    </row>
    <row r="217" ht="15.75" customHeight="1">
      <c r="A217" s="11" t="s">
        <v>12</v>
      </c>
      <c r="B217" s="206" t="s">
        <v>216</v>
      </c>
      <c r="C217" s="69" t="s">
        <v>1280</v>
      </c>
      <c r="D217" s="70">
        <v>0.5694444444444444</v>
      </c>
      <c r="E217" s="214"/>
      <c r="F217" s="170"/>
      <c r="G217" s="100"/>
      <c r="H217" s="78"/>
      <c r="I217" s="30" t="s">
        <v>180</v>
      </c>
      <c r="J217" s="97"/>
      <c r="K217" s="97"/>
      <c r="N217" s="400" t="s">
        <v>182</v>
      </c>
      <c r="O217" s="401" t="s">
        <v>194</v>
      </c>
      <c r="P217" s="401" t="s">
        <v>180</v>
      </c>
      <c r="Q217" s="402" t="s">
        <v>172</v>
      </c>
      <c r="R217" s="62"/>
    </row>
    <row r="218" ht="15.75" customHeight="1">
      <c r="A218" s="11" t="s">
        <v>13</v>
      </c>
      <c r="B218" s="206" t="s">
        <v>197</v>
      </c>
      <c r="C218" s="69" t="s">
        <v>1280</v>
      </c>
      <c r="D218" s="70">
        <v>0.5833333333333334</v>
      </c>
      <c r="E218" s="258" t="s">
        <v>1565</v>
      </c>
      <c r="F218" s="375" t="s">
        <v>1566</v>
      </c>
      <c r="G218" s="100" t="s">
        <v>1244</v>
      </c>
      <c r="H218" s="78">
        <v>21491.0</v>
      </c>
      <c r="I218" s="30" t="s">
        <v>182</v>
      </c>
      <c r="J218" s="97" t="s">
        <v>1567</v>
      </c>
      <c r="K218" s="97"/>
      <c r="N218" s="403">
        <f t="shared" ref="N218:Q218" si="13">COUNTIFS($I$215:$I$226,N217)</f>
        <v>9</v>
      </c>
      <c r="O218" s="403">
        <f t="shared" si="13"/>
        <v>0</v>
      </c>
      <c r="P218" s="403">
        <f t="shared" si="13"/>
        <v>3</v>
      </c>
      <c r="Q218" s="403">
        <f t="shared" si="13"/>
        <v>0</v>
      </c>
      <c r="R218" s="62"/>
    </row>
    <row r="219" ht="15.75" customHeight="1">
      <c r="A219" s="11" t="s">
        <v>14</v>
      </c>
      <c r="B219" s="206" t="s">
        <v>757</v>
      </c>
      <c r="C219" s="69" t="s">
        <v>1280</v>
      </c>
      <c r="D219" s="70">
        <v>0.5972222222222222</v>
      </c>
      <c r="E219" s="214"/>
      <c r="F219" s="170"/>
      <c r="G219" s="100"/>
      <c r="H219" s="78"/>
      <c r="I219" s="30" t="s">
        <v>180</v>
      </c>
      <c r="J219" s="346"/>
      <c r="K219" s="37"/>
      <c r="R219" s="62"/>
    </row>
    <row r="220" ht="15.75" customHeight="1">
      <c r="A220" s="11" t="s">
        <v>15</v>
      </c>
      <c r="B220" s="206" t="s">
        <v>1467</v>
      </c>
      <c r="C220" s="69" t="s">
        <v>1280</v>
      </c>
      <c r="D220" s="70">
        <v>0.6111111111111112</v>
      </c>
      <c r="E220" s="214" t="s">
        <v>1568</v>
      </c>
      <c r="F220" s="170">
        <v>2.03909617810009E14</v>
      </c>
      <c r="G220" s="100" t="s">
        <v>1569</v>
      </c>
      <c r="H220" s="78">
        <v>17770.0</v>
      </c>
      <c r="I220" s="30" t="s">
        <v>182</v>
      </c>
      <c r="J220" s="37" t="s">
        <v>1570</v>
      </c>
      <c r="K220" s="37"/>
      <c r="R220" s="62"/>
    </row>
    <row r="221" ht="15.75" customHeight="1">
      <c r="A221" s="11" t="s">
        <v>16</v>
      </c>
      <c r="B221" s="206" t="s">
        <v>216</v>
      </c>
      <c r="C221" s="69" t="s">
        <v>1280</v>
      </c>
      <c r="D221" s="70">
        <v>0.625</v>
      </c>
      <c r="E221" s="214" t="s">
        <v>1571</v>
      </c>
      <c r="F221" s="170">
        <v>7.09005896230514E14</v>
      </c>
      <c r="G221" s="100" t="s">
        <v>1572</v>
      </c>
      <c r="H221" s="78">
        <v>27425.0</v>
      </c>
      <c r="I221" s="30" t="s">
        <v>182</v>
      </c>
      <c r="J221" s="97" t="s">
        <v>1573</v>
      </c>
      <c r="K221" s="97"/>
      <c r="N221" s="197">
        <f t="shared" ref="N221:Q221" si="14">SUM(N218,N200,N183,N163,N146,N129,N112,N94,N77,N59,N41,N24,N7)</f>
        <v>106</v>
      </c>
      <c r="O221" s="197">
        <f t="shared" si="14"/>
        <v>18</v>
      </c>
      <c r="P221" s="197">
        <f t="shared" si="14"/>
        <v>27</v>
      </c>
      <c r="Q221" s="197">
        <f t="shared" si="14"/>
        <v>20</v>
      </c>
      <c r="R221" s="62"/>
    </row>
    <row r="222" ht="15.75" customHeight="1">
      <c r="A222" s="11" t="s">
        <v>17</v>
      </c>
      <c r="B222" s="206" t="s">
        <v>197</v>
      </c>
      <c r="C222" s="69" t="s">
        <v>1280</v>
      </c>
      <c r="D222" s="70">
        <v>0.6388888888888888</v>
      </c>
      <c r="E222" s="214" t="s">
        <v>1574</v>
      </c>
      <c r="F222" s="170">
        <v>7.0260171015954E14</v>
      </c>
      <c r="G222" s="100" t="s">
        <v>1575</v>
      </c>
      <c r="H222" s="78">
        <v>24906.0</v>
      </c>
      <c r="I222" s="30" t="s">
        <v>182</v>
      </c>
      <c r="J222" s="37" t="s">
        <v>1576</v>
      </c>
      <c r="K222" s="37"/>
      <c r="R222" s="62"/>
    </row>
    <row r="223" ht="15.75" customHeight="1">
      <c r="A223" s="11" t="s">
        <v>85</v>
      </c>
      <c r="B223" s="206" t="s">
        <v>1467</v>
      </c>
      <c r="C223" s="69" t="s">
        <v>1280</v>
      </c>
      <c r="D223" s="70">
        <v>0.6527777777777778</v>
      </c>
      <c r="E223" s="214" t="s">
        <v>1577</v>
      </c>
      <c r="F223" s="170">
        <v>7.04707726907437E14</v>
      </c>
      <c r="G223" s="74" t="s">
        <v>1578</v>
      </c>
      <c r="H223" s="78">
        <v>18592.0</v>
      </c>
      <c r="I223" s="30" t="s">
        <v>182</v>
      </c>
      <c r="J223" s="37" t="s">
        <v>1579</v>
      </c>
      <c r="K223" s="37" t="s">
        <v>1580</v>
      </c>
      <c r="R223" s="62"/>
    </row>
    <row r="224" ht="15.75" customHeight="1">
      <c r="A224" s="11" t="s">
        <v>87</v>
      </c>
      <c r="B224" s="206" t="s">
        <v>757</v>
      </c>
      <c r="C224" s="69" t="s">
        <v>1280</v>
      </c>
      <c r="D224" s="70">
        <v>0.6666666666666666</v>
      </c>
      <c r="E224" s="214" t="s">
        <v>1482</v>
      </c>
      <c r="F224" s="170">
        <v>8.98001436630829E14</v>
      </c>
      <c r="G224" s="100" t="s">
        <v>1483</v>
      </c>
      <c r="H224" s="78">
        <v>19369.0</v>
      </c>
      <c r="I224" s="30" t="s">
        <v>182</v>
      </c>
      <c r="J224" s="37" t="s">
        <v>1581</v>
      </c>
      <c r="K224" s="128" t="s">
        <v>1582</v>
      </c>
      <c r="R224" s="62"/>
    </row>
    <row r="225" ht="15.75" customHeight="1">
      <c r="A225" s="11" t="s">
        <v>90</v>
      </c>
      <c r="B225" s="206" t="s">
        <v>757</v>
      </c>
      <c r="C225" s="69" t="s">
        <v>1280</v>
      </c>
      <c r="D225" s="70">
        <v>0.6805555555555556</v>
      </c>
      <c r="E225" s="214" t="s">
        <v>1583</v>
      </c>
      <c r="F225" s="127">
        <v>7.03606068384032E14</v>
      </c>
      <c r="G225" s="100" t="s">
        <v>1584</v>
      </c>
      <c r="H225" s="153">
        <v>15500.0</v>
      </c>
      <c r="I225" s="30" t="s">
        <v>182</v>
      </c>
      <c r="J225" s="37" t="s">
        <v>1585</v>
      </c>
      <c r="K225" s="37" t="s">
        <v>1586</v>
      </c>
      <c r="R225" s="62"/>
    </row>
    <row r="226" ht="15.75" customHeight="1">
      <c r="A226" s="11" t="s">
        <v>93</v>
      </c>
      <c r="B226" s="206" t="s">
        <v>757</v>
      </c>
      <c r="C226" s="69" t="s">
        <v>1280</v>
      </c>
      <c r="D226" s="70">
        <v>0.6944444444444444</v>
      </c>
      <c r="E226" s="258" t="s">
        <v>1486</v>
      </c>
      <c r="F226" s="375" t="s">
        <v>1487</v>
      </c>
      <c r="G226" s="100" t="s">
        <v>1488</v>
      </c>
      <c r="H226" s="153">
        <v>21246.0</v>
      </c>
      <c r="I226" s="30" t="s">
        <v>182</v>
      </c>
      <c r="J226" s="37" t="s">
        <v>1587</v>
      </c>
      <c r="K226" s="37" t="s">
        <v>1588</v>
      </c>
      <c r="R226" s="62"/>
    </row>
    <row r="227" ht="15.75" customHeight="1">
      <c r="J227" s="62"/>
      <c r="K227" s="62"/>
      <c r="R227" s="62"/>
    </row>
    <row r="228" ht="15.75" customHeight="1">
      <c r="J228" s="62"/>
      <c r="K228" s="62"/>
      <c r="R228" s="62"/>
    </row>
    <row r="229" ht="15.75" customHeight="1">
      <c r="J229" s="62"/>
      <c r="K229" s="62"/>
      <c r="R229" s="62"/>
    </row>
    <row r="230" ht="15.75" customHeight="1">
      <c r="A230" s="20" t="s">
        <v>377</v>
      </c>
      <c r="B230" s="2"/>
      <c r="C230" s="2"/>
      <c r="D230" s="2"/>
      <c r="E230" s="2"/>
      <c r="F230" s="2"/>
      <c r="G230" s="2"/>
      <c r="H230" s="2"/>
      <c r="I230" s="2"/>
      <c r="J230" s="2"/>
      <c r="K230" s="3"/>
      <c r="R230" s="62"/>
    </row>
    <row r="231" ht="15.75" customHeight="1">
      <c r="A231" s="233" t="s">
        <v>1589</v>
      </c>
      <c r="B231" s="2"/>
      <c r="C231" s="2"/>
      <c r="D231" s="2"/>
      <c r="E231" s="2"/>
      <c r="F231" s="2"/>
      <c r="G231" s="2"/>
      <c r="H231" s="2"/>
      <c r="I231" s="2"/>
      <c r="J231" s="2"/>
      <c r="K231" s="3"/>
      <c r="R231" s="62"/>
    </row>
    <row r="232" ht="15.75" customHeight="1">
      <c r="A232" s="22"/>
      <c r="B232" s="23" t="s">
        <v>3</v>
      </c>
      <c r="C232" s="24" t="s">
        <v>2</v>
      </c>
      <c r="D232" s="25" t="s">
        <v>5</v>
      </c>
      <c r="E232" s="25" t="s">
        <v>19</v>
      </c>
      <c r="F232" s="25" t="s">
        <v>6</v>
      </c>
      <c r="G232" s="25" t="s">
        <v>7</v>
      </c>
      <c r="H232" s="27" t="s">
        <v>8</v>
      </c>
      <c r="I232" s="28" t="s">
        <v>20</v>
      </c>
      <c r="J232" s="25" t="s">
        <v>21</v>
      </c>
      <c r="K232" s="25" t="s">
        <v>22</v>
      </c>
      <c r="R232" s="62"/>
    </row>
    <row r="233" ht="15.75" customHeight="1">
      <c r="A233" s="11" t="s">
        <v>10</v>
      </c>
      <c r="B233" s="69"/>
      <c r="C233" s="69" t="s">
        <v>1294</v>
      </c>
      <c r="D233" s="70">
        <v>0.5416666666666666</v>
      </c>
      <c r="E233" s="289"/>
      <c r="F233" s="206"/>
      <c r="G233" s="206"/>
      <c r="H233" s="126"/>
      <c r="I233" s="30"/>
      <c r="J233" s="97"/>
      <c r="K233" s="97"/>
      <c r="R233" s="62"/>
    </row>
    <row r="234" ht="15.75" customHeight="1">
      <c r="A234" s="11" t="s">
        <v>11</v>
      </c>
      <c r="B234" s="69"/>
      <c r="C234" s="69" t="s">
        <v>1294</v>
      </c>
      <c r="D234" s="70">
        <v>0.5555555555555556</v>
      </c>
      <c r="E234" s="363"/>
      <c r="F234" s="346"/>
      <c r="G234" s="364"/>
      <c r="H234" s="365"/>
      <c r="I234" s="30"/>
      <c r="J234" s="37"/>
      <c r="K234" s="37"/>
      <c r="R234" s="62"/>
    </row>
    <row r="235" ht="15.75" customHeight="1">
      <c r="A235" s="11" t="s">
        <v>12</v>
      </c>
      <c r="B235" s="343"/>
      <c r="C235" s="69" t="s">
        <v>1294</v>
      </c>
      <c r="D235" s="70">
        <v>0.5694444444444444</v>
      </c>
      <c r="E235" s="253"/>
      <c r="F235" s="69"/>
      <c r="G235" s="69"/>
      <c r="H235" s="153"/>
      <c r="I235" s="18"/>
      <c r="J235" s="97"/>
      <c r="K235" s="97"/>
      <c r="N235" s="237" t="s">
        <v>386</v>
      </c>
      <c r="O235" s="95"/>
      <c r="P235" s="95"/>
      <c r="Q235" s="95"/>
      <c r="R235" s="62"/>
    </row>
    <row r="236" ht="15.75" customHeight="1">
      <c r="A236" s="11" t="s">
        <v>13</v>
      </c>
      <c r="B236" s="69"/>
      <c r="C236" s="69" t="s">
        <v>1294</v>
      </c>
      <c r="D236" s="70">
        <v>0.5833333333333334</v>
      </c>
      <c r="E236" s="366"/>
      <c r="F236" s="71"/>
      <c r="G236" s="127"/>
      <c r="H236" s="367"/>
      <c r="I236" s="30"/>
      <c r="J236" s="97"/>
      <c r="K236" s="97"/>
      <c r="N236" s="239" t="s">
        <v>700</v>
      </c>
      <c r="O236" s="2"/>
      <c r="P236" s="2"/>
      <c r="Q236" s="2"/>
      <c r="R236" s="62"/>
    </row>
    <row r="237" ht="15.75" customHeight="1">
      <c r="A237" s="11" t="s">
        <v>14</v>
      </c>
      <c r="B237" s="69"/>
      <c r="C237" s="69" t="s">
        <v>1294</v>
      </c>
      <c r="D237" s="70">
        <v>0.5972222222222222</v>
      </c>
      <c r="E237" s="368"/>
      <c r="F237" s="170"/>
      <c r="G237" s="192"/>
      <c r="H237" s="72"/>
      <c r="I237" s="18"/>
      <c r="J237" s="37"/>
      <c r="K237" s="37"/>
      <c r="N237" s="240" t="s">
        <v>182</v>
      </c>
      <c r="O237" s="241" t="s">
        <v>194</v>
      </c>
      <c r="P237" s="241" t="s">
        <v>180</v>
      </c>
      <c r="Q237" s="242" t="s">
        <v>172</v>
      </c>
      <c r="R237" s="62"/>
    </row>
    <row r="238" ht="15.75" customHeight="1">
      <c r="A238" s="11" t="s">
        <v>15</v>
      </c>
      <c r="B238" s="343"/>
      <c r="C238" s="69" t="s">
        <v>1294</v>
      </c>
      <c r="D238" s="70">
        <v>0.6111111111111112</v>
      </c>
      <c r="E238" s="369"/>
      <c r="F238" s="149"/>
      <c r="G238" s="149"/>
      <c r="H238" s="370"/>
      <c r="I238" s="18"/>
      <c r="J238" s="37"/>
      <c r="K238" s="37"/>
      <c r="N238" s="244">
        <f t="shared" ref="N238:Q238" si="15">COUNTIFS($I$208:$I$223,$N$244)</f>
        <v>0</v>
      </c>
      <c r="O238" s="244">
        <f t="shared" si="15"/>
        <v>0</v>
      </c>
      <c r="P238" s="244">
        <f t="shared" si="15"/>
        <v>0</v>
      </c>
      <c r="Q238" s="244">
        <f t="shared" si="15"/>
        <v>0</v>
      </c>
      <c r="R238" s="62"/>
    </row>
    <row r="239" ht="15.75" customHeight="1">
      <c r="A239" s="11" t="s">
        <v>16</v>
      </c>
      <c r="B239" s="69"/>
      <c r="C239" s="69" t="s">
        <v>1294</v>
      </c>
      <c r="D239" s="70">
        <v>0.625</v>
      </c>
      <c r="E239" s="218"/>
      <c r="F239" s="149"/>
      <c r="G239" s="149"/>
      <c r="H239" s="150"/>
      <c r="I239" s="18"/>
      <c r="J239" s="97"/>
      <c r="K239" s="97"/>
      <c r="R239" s="62"/>
    </row>
    <row r="240" ht="15.75" customHeight="1">
      <c r="A240" s="11" t="s">
        <v>17</v>
      </c>
      <c r="B240" s="69"/>
      <c r="C240" s="69" t="s">
        <v>1294</v>
      </c>
      <c r="D240" s="70">
        <v>0.6388888888888888</v>
      </c>
      <c r="E240" s="218"/>
      <c r="F240" s="149"/>
      <c r="G240" s="149"/>
      <c r="H240" s="150"/>
      <c r="I240" s="30"/>
      <c r="J240" s="37"/>
      <c r="K240" s="37"/>
      <c r="R240" s="62"/>
    </row>
    <row r="241" ht="15.75" customHeight="1">
      <c r="A241" s="11" t="s">
        <v>85</v>
      </c>
      <c r="B241" s="69"/>
      <c r="C241" s="69" t="s">
        <v>1294</v>
      </c>
      <c r="D241" s="70">
        <v>0.6527777777777778</v>
      </c>
      <c r="E241" s="247"/>
      <c r="F241" s="146"/>
      <c r="G241" s="79"/>
      <c r="H241" s="86"/>
      <c r="I241" s="30"/>
      <c r="J241" s="37"/>
      <c r="K241" s="37"/>
      <c r="R241" s="62"/>
    </row>
    <row r="242" ht="15.75" customHeight="1">
      <c r="A242" s="11" t="s">
        <v>87</v>
      </c>
      <c r="B242" s="69"/>
      <c r="C242" s="69" t="s">
        <v>1294</v>
      </c>
      <c r="D242" s="70">
        <v>0.6666666666666666</v>
      </c>
      <c r="E242" s="218"/>
      <c r="F242" s="127"/>
      <c r="G242" s="79"/>
      <c r="H242" s="153"/>
      <c r="I242" s="30"/>
      <c r="J242" s="37"/>
      <c r="K242" s="37"/>
      <c r="R242" s="62"/>
    </row>
    <row r="243" ht="15.75" customHeight="1">
      <c r="A243" s="11" t="s">
        <v>90</v>
      </c>
      <c r="B243" s="68"/>
      <c r="C243" s="69" t="s">
        <v>1294</v>
      </c>
      <c r="D243" s="70">
        <v>0.6805555555555556</v>
      </c>
      <c r="E243" s="258"/>
      <c r="G243" s="79"/>
      <c r="H243" s="153"/>
      <c r="I243" s="18"/>
      <c r="J243" s="37"/>
      <c r="K243" s="37"/>
      <c r="R243" s="62"/>
    </row>
    <row r="244" ht="15.75" customHeight="1">
      <c r="A244" s="11" t="s">
        <v>93</v>
      </c>
      <c r="B244" s="69"/>
      <c r="C244" s="69" t="s">
        <v>1294</v>
      </c>
      <c r="D244" s="70">
        <v>0.6944444444444444</v>
      </c>
      <c r="E244" s="258"/>
      <c r="F244" s="127"/>
      <c r="G244" s="79"/>
      <c r="H244" s="153"/>
      <c r="I244" s="18"/>
      <c r="J244" s="37"/>
      <c r="K244" s="37"/>
      <c r="R244" s="62"/>
    </row>
    <row r="245" ht="15.75" customHeight="1">
      <c r="J245" s="62"/>
      <c r="K245" s="62"/>
      <c r="R245" s="62"/>
    </row>
    <row r="246" ht="15.75" customHeight="1">
      <c r="J246" s="62"/>
      <c r="K246" s="62"/>
      <c r="R246" s="62"/>
    </row>
    <row r="247" ht="15.75" customHeight="1">
      <c r="J247" s="62"/>
      <c r="K247" s="62"/>
      <c r="R247" s="62"/>
    </row>
    <row r="248" ht="15.75" customHeight="1">
      <c r="J248" s="62"/>
      <c r="K248" s="62"/>
      <c r="R248" s="62"/>
    </row>
    <row r="249" ht="15.75" customHeight="1">
      <c r="J249" s="62"/>
      <c r="K249" s="62"/>
      <c r="R249" s="62"/>
    </row>
    <row r="250" ht="15.75" customHeight="1">
      <c r="J250" s="62"/>
      <c r="K250" s="62"/>
      <c r="R250" s="62"/>
    </row>
    <row r="251" ht="15.75" customHeight="1">
      <c r="J251" s="62"/>
      <c r="K251" s="62"/>
      <c r="R251" s="62"/>
    </row>
    <row r="252" ht="15.75" customHeight="1">
      <c r="J252" s="62"/>
      <c r="K252" s="62"/>
      <c r="R252" s="62"/>
    </row>
    <row r="253" ht="15.75" customHeight="1">
      <c r="J253" s="62"/>
      <c r="K253" s="62"/>
      <c r="R253" s="62"/>
    </row>
    <row r="254" ht="15.75" customHeight="1">
      <c r="J254" s="62"/>
      <c r="K254" s="62"/>
      <c r="R254" s="62"/>
    </row>
    <row r="255" ht="15.75" customHeight="1">
      <c r="J255" s="62"/>
      <c r="K255" s="62"/>
      <c r="R255" s="62"/>
    </row>
    <row r="256" ht="15.75" customHeight="1">
      <c r="J256" s="62"/>
      <c r="K256" s="62"/>
      <c r="R256" s="62"/>
    </row>
    <row r="257" ht="15.75" customHeight="1">
      <c r="J257" s="62"/>
      <c r="K257" s="62"/>
      <c r="R257" s="62"/>
    </row>
    <row r="258" ht="15.75" customHeight="1">
      <c r="J258" s="62"/>
      <c r="K258" s="62"/>
      <c r="R258" s="62"/>
    </row>
    <row r="259" ht="15.75" customHeight="1">
      <c r="J259" s="62"/>
      <c r="K259" s="62"/>
      <c r="R259" s="62"/>
    </row>
    <row r="260" ht="15.75" customHeight="1">
      <c r="J260" s="62"/>
      <c r="K260" s="62"/>
      <c r="R260" s="62"/>
    </row>
    <row r="261" ht="15.75" customHeight="1">
      <c r="J261" s="62"/>
      <c r="K261" s="62"/>
      <c r="R261" s="62"/>
    </row>
    <row r="262" ht="15.75" customHeight="1">
      <c r="J262" s="62"/>
      <c r="K262" s="62"/>
      <c r="R262" s="62"/>
    </row>
    <row r="263" ht="15.75" customHeight="1">
      <c r="J263" s="62"/>
      <c r="K263" s="62"/>
      <c r="R263" s="62"/>
    </row>
    <row r="264" ht="15.75" customHeight="1">
      <c r="J264" s="62"/>
      <c r="K264" s="62"/>
      <c r="R264" s="62"/>
    </row>
    <row r="265" ht="15.75" customHeight="1">
      <c r="J265" s="62"/>
      <c r="K265" s="62"/>
      <c r="R265" s="62"/>
    </row>
    <row r="266" ht="15.75" customHeight="1">
      <c r="J266" s="62"/>
      <c r="K266" s="62"/>
      <c r="R266" s="62"/>
    </row>
    <row r="267" ht="15.75" customHeight="1">
      <c r="J267" s="62"/>
      <c r="K267" s="62"/>
      <c r="R267" s="62"/>
    </row>
    <row r="268" ht="15.75" customHeight="1">
      <c r="J268" s="62"/>
      <c r="K268" s="62"/>
      <c r="R268" s="62"/>
    </row>
    <row r="269" ht="15.75" customHeight="1">
      <c r="J269" s="62"/>
      <c r="K269" s="62"/>
      <c r="R269" s="62"/>
    </row>
    <row r="270" ht="15.75" customHeight="1">
      <c r="J270" s="62"/>
      <c r="K270" s="62"/>
      <c r="R270" s="62"/>
    </row>
    <row r="271" ht="15.75" customHeight="1">
      <c r="J271" s="62"/>
      <c r="K271" s="62"/>
      <c r="R271" s="62"/>
    </row>
    <row r="272" ht="15.75" customHeight="1">
      <c r="J272" s="62"/>
      <c r="K272" s="62"/>
      <c r="R272" s="62"/>
    </row>
    <row r="273" ht="15.75" customHeight="1">
      <c r="J273" s="62"/>
      <c r="K273" s="62"/>
      <c r="R273" s="62"/>
    </row>
    <row r="274" ht="15.75" customHeight="1">
      <c r="J274" s="62"/>
      <c r="K274" s="62"/>
      <c r="R274" s="62"/>
    </row>
    <row r="275" ht="15.75" customHeight="1">
      <c r="J275" s="62"/>
      <c r="K275" s="62"/>
      <c r="R275" s="62"/>
    </row>
    <row r="276" ht="15.75" customHeight="1">
      <c r="J276" s="62"/>
      <c r="K276" s="62"/>
      <c r="R276" s="62"/>
    </row>
    <row r="277" ht="15.75" customHeight="1">
      <c r="J277" s="62"/>
      <c r="K277" s="62"/>
      <c r="R277" s="62"/>
    </row>
    <row r="278" ht="15.75" customHeight="1">
      <c r="J278" s="62"/>
      <c r="K278" s="62"/>
      <c r="R278" s="62"/>
    </row>
    <row r="279" ht="15.75" customHeight="1">
      <c r="J279" s="62"/>
      <c r="K279" s="62"/>
      <c r="R279" s="62"/>
    </row>
    <row r="280" ht="15.75" customHeight="1">
      <c r="J280" s="62"/>
      <c r="K280" s="62"/>
      <c r="R280" s="62"/>
    </row>
    <row r="281" ht="15.75" customHeight="1">
      <c r="J281" s="62"/>
      <c r="K281" s="62"/>
      <c r="R281" s="62"/>
    </row>
    <row r="282" ht="15.75" customHeight="1">
      <c r="J282" s="62"/>
      <c r="K282" s="62"/>
      <c r="R282" s="62"/>
    </row>
    <row r="283" ht="15.75" customHeight="1">
      <c r="J283" s="62"/>
      <c r="K283" s="62"/>
      <c r="R283" s="62"/>
    </row>
    <row r="284" ht="15.75" customHeight="1">
      <c r="J284" s="62"/>
      <c r="K284" s="62"/>
      <c r="R284" s="62"/>
    </row>
    <row r="285" ht="15.75" customHeight="1">
      <c r="J285" s="62"/>
      <c r="K285" s="62"/>
      <c r="R285" s="62"/>
    </row>
    <row r="286" ht="15.75" customHeight="1">
      <c r="J286" s="62"/>
      <c r="K286" s="62"/>
      <c r="R286" s="62"/>
    </row>
    <row r="287" ht="15.75" customHeight="1">
      <c r="J287" s="62"/>
      <c r="K287" s="62"/>
      <c r="R287" s="62"/>
    </row>
    <row r="288" ht="15.75" customHeight="1">
      <c r="J288" s="62"/>
      <c r="K288" s="62"/>
      <c r="R288" s="62"/>
    </row>
    <row r="289" ht="15.75" customHeight="1">
      <c r="J289" s="62"/>
      <c r="K289" s="62"/>
      <c r="R289" s="62"/>
    </row>
    <row r="290" ht="15.75" customHeight="1">
      <c r="J290" s="62"/>
      <c r="K290" s="62"/>
      <c r="R290" s="62"/>
    </row>
    <row r="291" ht="15.75" customHeight="1">
      <c r="J291" s="62"/>
      <c r="K291" s="62"/>
      <c r="R291" s="62"/>
    </row>
    <row r="292" ht="15.75" customHeight="1">
      <c r="J292" s="62"/>
      <c r="K292" s="62"/>
      <c r="R292" s="62"/>
    </row>
    <row r="293" ht="15.75" customHeight="1">
      <c r="J293" s="62"/>
      <c r="K293" s="62"/>
      <c r="R293" s="62"/>
    </row>
    <row r="294" ht="15.75" customHeight="1">
      <c r="J294" s="62"/>
      <c r="K294" s="62"/>
      <c r="R294" s="62"/>
    </row>
    <row r="295" ht="15.75" customHeight="1">
      <c r="J295" s="62"/>
      <c r="K295" s="62"/>
      <c r="R295" s="62"/>
    </row>
    <row r="296" ht="15.75" customHeight="1">
      <c r="J296" s="62"/>
      <c r="K296" s="62"/>
      <c r="R296" s="62"/>
    </row>
    <row r="297" ht="15.75" customHeight="1">
      <c r="J297" s="62"/>
      <c r="K297" s="62"/>
      <c r="R297" s="62"/>
    </row>
    <row r="298" ht="15.75" customHeight="1">
      <c r="J298" s="62"/>
      <c r="K298" s="62"/>
      <c r="R298" s="62"/>
    </row>
    <row r="299" ht="15.75" customHeight="1">
      <c r="J299" s="62"/>
      <c r="K299" s="62"/>
      <c r="R299" s="62"/>
    </row>
    <row r="300" ht="15.75" customHeight="1">
      <c r="J300" s="62"/>
      <c r="K300" s="62"/>
      <c r="R300" s="62"/>
    </row>
    <row r="301" ht="15.75" customHeight="1">
      <c r="J301" s="62"/>
      <c r="K301" s="62"/>
      <c r="R301" s="62"/>
    </row>
    <row r="302" ht="15.75" customHeight="1">
      <c r="J302" s="62"/>
      <c r="K302" s="62"/>
      <c r="R302" s="62"/>
    </row>
    <row r="303" ht="15.75" customHeight="1">
      <c r="J303" s="62"/>
      <c r="K303" s="62"/>
      <c r="R303" s="62"/>
    </row>
    <row r="304" ht="15.75" customHeight="1">
      <c r="J304" s="62"/>
      <c r="K304" s="62"/>
      <c r="R304" s="62"/>
    </row>
    <row r="305" ht="15.75" customHeight="1">
      <c r="J305" s="62"/>
      <c r="K305" s="62"/>
      <c r="R305" s="62"/>
    </row>
    <row r="306" ht="15.75" customHeight="1">
      <c r="J306" s="62"/>
      <c r="K306" s="62"/>
      <c r="R306" s="62"/>
    </row>
    <row r="307" ht="15.75" customHeight="1">
      <c r="J307" s="62"/>
      <c r="K307" s="62"/>
      <c r="R307" s="62"/>
    </row>
    <row r="308" ht="15.75" customHeight="1">
      <c r="J308" s="62"/>
      <c r="K308" s="62"/>
      <c r="R308" s="62"/>
    </row>
    <row r="309" ht="15.75" customHeight="1">
      <c r="J309" s="62"/>
      <c r="K309" s="62"/>
      <c r="R309" s="62"/>
    </row>
    <row r="310" ht="15.75" customHeight="1">
      <c r="J310" s="62"/>
      <c r="K310" s="62"/>
      <c r="R310" s="62"/>
    </row>
    <row r="311" ht="15.75" customHeight="1">
      <c r="J311" s="62"/>
      <c r="K311" s="62"/>
      <c r="R311" s="62"/>
    </row>
    <row r="312" ht="15.75" customHeight="1">
      <c r="J312" s="62"/>
      <c r="K312" s="62"/>
      <c r="R312" s="62"/>
    </row>
    <row r="313" ht="15.75" customHeight="1">
      <c r="J313" s="62"/>
      <c r="K313" s="62"/>
      <c r="R313" s="62"/>
    </row>
    <row r="314" ht="15.75" customHeight="1">
      <c r="J314" s="62"/>
      <c r="K314" s="62"/>
      <c r="R314" s="62"/>
    </row>
    <row r="315" ht="15.75" customHeight="1">
      <c r="J315" s="62"/>
      <c r="K315" s="62"/>
      <c r="R315" s="62"/>
    </row>
    <row r="316" ht="15.75" customHeight="1">
      <c r="J316" s="62"/>
      <c r="K316" s="62"/>
      <c r="R316" s="62"/>
    </row>
    <row r="317" ht="15.75" customHeight="1">
      <c r="J317" s="62"/>
      <c r="K317" s="62"/>
      <c r="R317" s="62"/>
    </row>
    <row r="318" ht="15.75" customHeight="1">
      <c r="J318" s="62"/>
      <c r="K318" s="62"/>
      <c r="R318" s="62"/>
    </row>
    <row r="319" ht="15.75" customHeight="1">
      <c r="J319" s="62"/>
      <c r="K319" s="62"/>
      <c r="R319" s="62"/>
    </row>
    <row r="320" ht="15.75" customHeight="1">
      <c r="J320" s="62"/>
      <c r="K320" s="62"/>
      <c r="R320" s="62"/>
    </row>
    <row r="321" ht="15.75" customHeight="1">
      <c r="J321" s="62"/>
      <c r="K321" s="62"/>
      <c r="R321" s="62"/>
    </row>
    <row r="322" ht="15.75" customHeight="1">
      <c r="J322" s="62"/>
      <c r="K322" s="62"/>
      <c r="R322" s="62"/>
    </row>
    <row r="323" ht="15.75" customHeight="1">
      <c r="J323" s="62"/>
      <c r="K323" s="62"/>
      <c r="R323" s="62"/>
    </row>
    <row r="324" ht="15.75" customHeight="1">
      <c r="J324" s="62"/>
      <c r="K324" s="62"/>
      <c r="R324" s="62"/>
    </row>
    <row r="325" ht="15.75" customHeight="1">
      <c r="J325" s="62"/>
      <c r="K325" s="62"/>
      <c r="R325" s="62"/>
    </row>
    <row r="326" ht="15.75" customHeight="1">
      <c r="J326" s="62"/>
      <c r="K326" s="62"/>
      <c r="R326" s="62"/>
    </row>
    <row r="327" ht="15.75" customHeight="1">
      <c r="J327" s="62"/>
      <c r="K327" s="62"/>
      <c r="R327" s="62"/>
    </row>
    <row r="328" ht="15.75" customHeight="1">
      <c r="J328" s="62"/>
      <c r="K328" s="62"/>
      <c r="R328" s="62"/>
    </row>
    <row r="329" ht="15.75" customHeight="1">
      <c r="J329" s="62"/>
      <c r="K329" s="62"/>
      <c r="R329" s="62"/>
    </row>
    <row r="330" ht="15.75" customHeight="1">
      <c r="J330" s="62"/>
      <c r="K330" s="62"/>
      <c r="R330" s="62"/>
    </row>
    <row r="331" ht="15.75" customHeight="1">
      <c r="J331" s="62"/>
      <c r="K331" s="62"/>
      <c r="R331" s="62"/>
    </row>
    <row r="332" ht="15.75" customHeight="1">
      <c r="J332" s="62"/>
      <c r="K332" s="62"/>
      <c r="R332" s="62"/>
    </row>
    <row r="333" ht="15.75" customHeight="1">
      <c r="J333" s="62"/>
      <c r="K333" s="62"/>
      <c r="R333" s="62"/>
    </row>
    <row r="334" ht="15.75" customHeight="1">
      <c r="J334" s="62"/>
      <c r="K334" s="62"/>
      <c r="R334" s="62"/>
    </row>
    <row r="335" ht="15.75" customHeight="1">
      <c r="J335" s="62"/>
      <c r="K335" s="62"/>
      <c r="R335" s="62"/>
    </row>
    <row r="336" ht="15.75" customHeight="1">
      <c r="J336" s="62"/>
      <c r="K336" s="62"/>
      <c r="R336" s="62"/>
    </row>
    <row r="337" ht="15.75" customHeight="1">
      <c r="J337" s="62"/>
      <c r="K337" s="62"/>
      <c r="R337" s="62"/>
    </row>
    <row r="338" ht="15.75" customHeight="1">
      <c r="J338" s="62"/>
      <c r="K338" s="62"/>
      <c r="R338" s="62"/>
    </row>
    <row r="339" ht="15.75" customHeight="1">
      <c r="J339" s="62"/>
      <c r="K339" s="62"/>
      <c r="R339" s="62"/>
    </row>
    <row r="340" ht="15.75" customHeight="1">
      <c r="J340" s="62"/>
      <c r="K340" s="62"/>
      <c r="R340" s="62"/>
    </row>
    <row r="341" ht="15.75" customHeight="1">
      <c r="J341" s="62"/>
      <c r="K341" s="62"/>
      <c r="R341" s="62"/>
    </row>
    <row r="342" ht="15.75" customHeight="1">
      <c r="J342" s="62"/>
      <c r="K342" s="62"/>
      <c r="R342" s="62"/>
    </row>
    <row r="343" ht="15.75" customHeight="1">
      <c r="J343" s="62"/>
      <c r="K343" s="62"/>
      <c r="R343" s="62"/>
    </row>
    <row r="344" ht="15.75" customHeight="1">
      <c r="J344" s="62"/>
      <c r="K344" s="62"/>
      <c r="R344" s="62"/>
    </row>
    <row r="345" ht="15.75" customHeight="1">
      <c r="J345" s="62"/>
      <c r="K345" s="62"/>
      <c r="R345" s="62"/>
    </row>
    <row r="346" ht="15.75" customHeight="1">
      <c r="J346" s="62"/>
      <c r="K346" s="62"/>
      <c r="R346" s="62"/>
    </row>
    <row r="347" ht="15.75" customHeight="1">
      <c r="J347" s="62"/>
      <c r="K347" s="62"/>
      <c r="R347" s="62"/>
    </row>
    <row r="348" ht="15.75" customHeight="1">
      <c r="J348" s="62"/>
      <c r="K348" s="62"/>
      <c r="R348" s="62"/>
    </row>
    <row r="349" ht="15.75" customHeight="1">
      <c r="J349" s="62"/>
      <c r="K349" s="62"/>
      <c r="R349" s="62"/>
    </row>
    <row r="350" ht="15.75" customHeight="1">
      <c r="J350" s="62"/>
      <c r="K350" s="62"/>
      <c r="R350" s="62"/>
    </row>
    <row r="351" ht="15.75" customHeight="1">
      <c r="J351" s="62"/>
      <c r="K351" s="62"/>
      <c r="R351" s="62"/>
    </row>
    <row r="352" ht="15.75" customHeight="1">
      <c r="J352" s="62"/>
      <c r="K352" s="62"/>
      <c r="R352" s="62"/>
    </row>
    <row r="353" ht="15.75" customHeight="1">
      <c r="J353" s="62"/>
      <c r="K353" s="62"/>
      <c r="R353" s="62"/>
    </row>
    <row r="354" ht="15.75" customHeight="1">
      <c r="J354" s="62"/>
      <c r="K354" s="62"/>
      <c r="R354" s="62"/>
    </row>
    <row r="355" ht="15.75" customHeight="1">
      <c r="J355" s="62"/>
      <c r="K355" s="62"/>
      <c r="R355" s="62"/>
    </row>
    <row r="356" ht="15.75" customHeight="1">
      <c r="J356" s="62"/>
      <c r="K356" s="62"/>
      <c r="R356" s="62"/>
    </row>
    <row r="357" ht="15.75" customHeight="1">
      <c r="J357" s="62"/>
      <c r="K357" s="62"/>
      <c r="R357" s="62"/>
    </row>
    <row r="358" ht="15.75" customHeight="1">
      <c r="J358" s="62"/>
      <c r="K358" s="62"/>
      <c r="R358" s="62"/>
    </row>
    <row r="359" ht="15.75" customHeight="1">
      <c r="J359" s="62"/>
      <c r="K359" s="62"/>
      <c r="R359" s="62"/>
    </row>
    <row r="360" ht="15.75" customHeight="1">
      <c r="J360" s="62"/>
      <c r="K360" s="62"/>
      <c r="R360" s="62"/>
    </row>
    <row r="361" ht="15.75" customHeight="1">
      <c r="J361" s="62"/>
      <c r="K361" s="62"/>
      <c r="R361" s="62"/>
    </row>
    <row r="362" ht="15.75" customHeight="1">
      <c r="J362" s="62"/>
      <c r="K362" s="62"/>
      <c r="R362" s="62"/>
    </row>
    <row r="363" ht="15.75" customHeight="1">
      <c r="J363" s="62"/>
      <c r="K363" s="62"/>
      <c r="R363" s="62"/>
    </row>
    <row r="364" ht="15.75" customHeight="1">
      <c r="J364" s="62"/>
      <c r="K364" s="62"/>
      <c r="R364" s="62"/>
    </row>
    <row r="365" ht="15.75" customHeight="1">
      <c r="J365" s="62"/>
      <c r="K365" s="62"/>
      <c r="R365" s="62"/>
    </row>
    <row r="366" ht="15.75" customHeight="1">
      <c r="J366" s="62"/>
      <c r="K366" s="62"/>
      <c r="R366" s="62"/>
    </row>
    <row r="367" ht="15.75" customHeight="1">
      <c r="J367" s="62"/>
      <c r="K367" s="62"/>
      <c r="R367" s="62"/>
    </row>
    <row r="368" ht="15.75" customHeight="1">
      <c r="J368" s="62"/>
      <c r="K368" s="62"/>
      <c r="R368" s="62"/>
    </row>
    <row r="369" ht="15.75" customHeight="1">
      <c r="J369" s="62"/>
      <c r="K369" s="62"/>
      <c r="R369" s="62"/>
    </row>
    <row r="370" ht="15.75" customHeight="1">
      <c r="J370" s="62"/>
      <c r="K370" s="62"/>
      <c r="R370" s="62"/>
    </row>
    <row r="371" ht="15.75" customHeight="1">
      <c r="J371" s="62"/>
      <c r="K371" s="62"/>
      <c r="R371" s="62"/>
    </row>
    <row r="372" ht="15.75" customHeight="1">
      <c r="J372" s="62"/>
      <c r="K372" s="62"/>
      <c r="R372" s="62"/>
    </row>
    <row r="373" ht="15.75" customHeight="1">
      <c r="J373" s="62"/>
      <c r="K373" s="62"/>
      <c r="R373" s="62"/>
    </row>
    <row r="374" ht="15.75" customHeight="1">
      <c r="J374" s="62"/>
      <c r="K374" s="62"/>
      <c r="R374" s="62"/>
    </row>
    <row r="375" ht="15.75" customHeight="1">
      <c r="J375" s="62"/>
      <c r="K375" s="62"/>
      <c r="R375" s="62"/>
    </row>
    <row r="376" ht="15.75" customHeight="1">
      <c r="J376" s="62"/>
      <c r="K376" s="62"/>
      <c r="R376" s="62"/>
    </row>
    <row r="377" ht="15.75" customHeight="1">
      <c r="J377" s="62"/>
      <c r="K377" s="62"/>
      <c r="R377" s="62"/>
    </row>
    <row r="378" ht="15.75" customHeight="1">
      <c r="J378" s="62"/>
      <c r="K378" s="62"/>
      <c r="R378" s="62"/>
    </row>
    <row r="379" ht="15.75" customHeight="1">
      <c r="J379" s="62"/>
      <c r="K379" s="62"/>
      <c r="R379" s="62"/>
    </row>
    <row r="380" ht="15.75" customHeight="1">
      <c r="J380" s="62"/>
      <c r="K380" s="62"/>
      <c r="R380" s="62"/>
    </row>
    <row r="381" ht="15.75" customHeight="1">
      <c r="J381" s="62"/>
      <c r="K381" s="62"/>
      <c r="R381" s="62"/>
    </row>
    <row r="382" ht="15.75" customHeight="1">
      <c r="J382" s="62"/>
      <c r="K382" s="62"/>
      <c r="R382" s="62"/>
    </row>
    <row r="383" ht="15.75" customHeight="1">
      <c r="J383" s="62"/>
      <c r="K383" s="62"/>
      <c r="R383" s="62"/>
    </row>
    <row r="384" ht="15.75" customHeight="1">
      <c r="J384" s="62"/>
      <c r="K384" s="62"/>
      <c r="R384" s="62"/>
    </row>
    <row r="385" ht="15.75" customHeight="1">
      <c r="J385" s="62"/>
      <c r="K385" s="62"/>
      <c r="R385" s="62"/>
    </row>
    <row r="386" ht="15.75" customHeight="1">
      <c r="J386" s="62"/>
      <c r="K386" s="62"/>
      <c r="R386" s="62"/>
    </row>
    <row r="387" ht="15.75" customHeight="1">
      <c r="J387" s="62"/>
      <c r="K387" s="62"/>
      <c r="R387" s="62"/>
    </row>
    <row r="388" ht="15.75" customHeight="1">
      <c r="J388" s="62"/>
      <c r="K388" s="62"/>
      <c r="R388" s="62"/>
    </row>
    <row r="389" ht="15.75" customHeight="1">
      <c r="J389" s="62"/>
      <c r="K389" s="62"/>
      <c r="R389" s="62"/>
    </row>
    <row r="390" ht="15.75" customHeight="1">
      <c r="J390" s="62"/>
      <c r="K390" s="62"/>
      <c r="R390" s="62"/>
    </row>
    <row r="391" ht="15.75" customHeight="1">
      <c r="J391" s="62"/>
      <c r="K391" s="62"/>
      <c r="R391" s="62"/>
    </row>
    <row r="392" ht="15.75" customHeight="1">
      <c r="J392" s="62"/>
      <c r="K392" s="62"/>
      <c r="R392" s="62"/>
    </row>
    <row r="393" ht="15.75" customHeight="1">
      <c r="J393" s="62"/>
      <c r="K393" s="62"/>
      <c r="R393" s="62"/>
    </row>
    <row r="394" ht="15.75" customHeight="1">
      <c r="J394" s="62"/>
      <c r="K394" s="62"/>
      <c r="R394" s="62"/>
    </row>
    <row r="395" ht="15.75" customHeight="1">
      <c r="J395" s="62"/>
      <c r="K395" s="62"/>
      <c r="R395" s="62"/>
    </row>
    <row r="396" ht="15.75" customHeight="1">
      <c r="J396" s="62"/>
      <c r="K396" s="62"/>
      <c r="R396" s="62"/>
    </row>
    <row r="397" ht="15.75" customHeight="1">
      <c r="J397" s="62"/>
      <c r="K397" s="62"/>
      <c r="R397" s="62"/>
    </row>
    <row r="398" ht="15.75" customHeight="1">
      <c r="J398" s="62"/>
      <c r="K398" s="62"/>
      <c r="R398" s="62"/>
    </row>
    <row r="399" ht="15.75" customHeight="1">
      <c r="J399" s="62"/>
      <c r="K399" s="62"/>
      <c r="R399" s="62"/>
    </row>
    <row r="400" ht="15.75" customHeight="1">
      <c r="J400" s="62"/>
      <c r="K400" s="62"/>
      <c r="R400" s="62"/>
    </row>
    <row r="401" ht="15.75" customHeight="1">
      <c r="J401" s="62"/>
      <c r="K401" s="62"/>
      <c r="R401" s="62"/>
    </row>
    <row r="402" ht="15.75" customHeight="1">
      <c r="J402" s="62"/>
      <c r="K402" s="62"/>
      <c r="R402" s="62"/>
    </row>
    <row r="403" ht="15.75" customHeight="1">
      <c r="J403" s="62"/>
      <c r="K403" s="62"/>
      <c r="R403" s="62"/>
    </row>
    <row r="404" ht="15.75" customHeight="1">
      <c r="J404" s="62"/>
      <c r="K404" s="62"/>
      <c r="R404" s="62"/>
    </row>
    <row r="405" ht="15.75" customHeight="1">
      <c r="J405" s="62"/>
      <c r="K405" s="62"/>
      <c r="R405" s="62"/>
    </row>
    <row r="406" ht="15.75" customHeight="1">
      <c r="J406" s="62"/>
      <c r="K406" s="62"/>
      <c r="R406" s="62"/>
    </row>
    <row r="407" ht="15.75" customHeight="1">
      <c r="J407" s="62"/>
      <c r="K407" s="62"/>
      <c r="R407" s="62"/>
    </row>
    <row r="408" ht="15.75" customHeight="1">
      <c r="J408" s="62"/>
      <c r="K408" s="62"/>
      <c r="R408" s="62"/>
    </row>
    <row r="409" ht="15.75" customHeight="1">
      <c r="J409" s="62"/>
      <c r="K409" s="62"/>
      <c r="R409" s="62"/>
    </row>
    <row r="410" ht="15.75" customHeight="1">
      <c r="J410" s="62"/>
      <c r="K410" s="62"/>
      <c r="R410" s="62"/>
    </row>
    <row r="411" ht="15.75" customHeight="1">
      <c r="J411" s="62"/>
      <c r="K411" s="62"/>
      <c r="R411" s="62"/>
    </row>
    <row r="412" ht="15.75" customHeight="1">
      <c r="J412" s="62"/>
      <c r="K412" s="62"/>
      <c r="R412" s="62"/>
    </row>
    <row r="413" ht="15.75" customHeight="1">
      <c r="J413" s="62"/>
      <c r="K413" s="62"/>
      <c r="R413" s="62"/>
    </row>
    <row r="414" ht="15.75" customHeight="1">
      <c r="J414" s="62"/>
      <c r="K414" s="62"/>
      <c r="R414" s="62"/>
    </row>
    <row r="415" ht="15.75" customHeight="1">
      <c r="J415" s="62"/>
      <c r="K415" s="62"/>
      <c r="R415" s="62"/>
    </row>
    <row r="416" ht="15.75" customHeight="1">
      <c r="J416" s="62"/>
      <c r="K416" s="62"/>
      <c r="R416" s="62"/>
    </row>
    <row r="417" ht="15.75" customHeight="1">
      <c r="J417" s="62"/>
      <c r="K417" s="62"/>
      <c r="R417" s="62"/>
    </row>
    <row r="418" ht="15.75" customHeight="1">
      <c r="J418" s="62"/>
      <c r="K418" s="62"/>
      <c r="R418" s="62"/>
    </row>
    <row r="419" ht="15.75" customHeight="1">
      <c r="J419" s="62"/>
      <c r="K419" s="62"/>
      <c r="R419" s="62"/>
    </row>
    <row r="420" ht="15.75" customHeight="1">
      <c r="J420" s="62"/>
      <c r="K420" s="62"/>
      <c r="R420" s="62"/>
    </row>
    <row r="421" ht="15.75" customHeight="1">
      <c r="J421" s="62"/>
      <c r="K421" s="62"/>
      <c r="R421" s="62"/>
    </row>
    <row r="422" ht="15.75" customHeight="1">
      <c r="J422" s="62"/>
      <c r="K422" s="62"/>
      <c r="R422" s="62"/>
    </row>
    <row r="423" ht="15.75" customHeight="1">
      <c r="J423" s="62"/>
      <c r="K423" s="62"/>
      <c r="R423" s="62"/>
    </row>
    <row r="424" ht="15.75" customHeight="1">
      <c r="J424" s="62"/>
      <c r="K424" s="62"/>
      <c r="R424" s="62"/>
    </row>
    <row r="425" ht="15.75" customHeight="1">
      <c r="J425" s="62"/>
      <c r="K425" s="62"/>
      <c r="R425" s="62"/>
    </row>
    <row r="426" ht="15.75" customHeight="1">
      <c r="J426" s="62"/>
      <c r="K426" s="62"/>
      <c r="R426" s="62"/>
    </row>
    <row r="427" ht="15.75" customHeight="1">
      <c r="J427" s="62"/>
      <c r="K427" s="62"/>
      <c r="R427" s="62"/>
    </row>
    <row r="428" ht="15.75" customHeight="1">
      <c r="J428" s="62"/>
      <c r="K428" s="62"/>
      <c r="R428" s="62"/>
    </row>
    <row r="429" ht="15.75" customHeight="1">
      <c r="J429" s="62"/>
      <c r="K429" s="62"/>
      <c r="R429" s="62"/>
    </row>
    <row r="430" ht="15.75" customHeight="1">
      <c r="J430" s="62"/>
      <c r="K430" s="62"/>
      <c r="R430" s="62"/>
    </row>
    <row r="431" ht="15.75" customHeight="1">
      <c r="J431" s="62"/>
      <c r="K431" s="62"/>
      <c r="R431" s="62"/>
    </row>
    <row r="432" ht="15.75" customHeight="1">
      <c r="J432" s="62"/>
      <c r="K432" s="62"/>
      <c r="R432" s="62"/>
    </row>
    <row r="433" ht="15.75" customHeight="1">
      <c r="J433" s="62"/>
      <c r="K433" s="62"/>
      <c r="R433" s="62"/>
    </row>
    <row r="434" ht="15.75" customHeight="1">
      <c r="J434" s="62"/>
      <c r="K434" s="62"/>
      <c r="R434" s="62"/>
    </row>
    <row r="435" ht="15.75" customHeight="1">
      <c r="J435" s="62"/>
      <c r="K435" s="62"/>
      <c r="R435" s="62"/>
    </row>
    <row r="436" ht="15.75" customHeight="1">
      <c r="J436" s="62"/>
      <c r="K436" s="62"/>
      <c r="R436" s="62"/>
    </row>
    <row r="437" ht="15.75" customHeight="1">
      <c r="J437" s="62"/>
      <c r="K437" s="62"/>
      <c r="R437" s="62"/>
    </row>
    <row r="438" ht="15.75" customHeight="1">
      <c r="J438" s="62"/>
      <c r="K438" s="62"/>
      <c r="R438" s="62"/>
    </row>
    <row r="439" ht="15.75" customHeight="1">
      <c r="J439" s="62"/>
      <c r="K439" s="62"/>
      <c r="R439" s="62"/>
    </row>
    <row r="440" ht="15.75" customHeight="1">
      <c r="J440" s="62"/>
      <c r="K440" s="62"/>
      <c r="R440" s="62"/>
    </row>
    <row r="441" ht="15.75" customHeight="1">
      <c r="J441" s="62"/>
      <c r="K441" s="62"/>
      <c r="R441" s="62"/>
    </row>
    <row r="442" ht="15.75" customHeight="1">
      <c r="J442" s="62"/>
      <c r="K442" s="62"/>
      <c r="R442" s="62"/>
    </row>
    <row r="443" ht="15.75" customHeight="1">
      <c r="J443" s="62"/>
      <c r="K443" s="62"/>
      <c r="R443" s="62"/>
    </row>
    <row r="444" ht="15.75" customHeight="1">
      <c r="J444" s="62"/>
      <c r="K444" s="62"/>
      <c r="R444" s="62"/>
    </row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6">
    <mergeCell ref="A1:K1"/>
    <mergeCell ref="A2:K2"/>
    <mergeCell ref="N4:Q4"/>
    <mergeCell ref="N5:Q5"/>
    <mergeCell ref="A18:K18"/>
    <mergeCell ref="N21:Q21"/>
    <mergeCell ref="N22:Q22"/>
    <mergeCell ref="A19:K19"/>
    <mergeCell ref="A35:K35"/>
    <mergeCell ref="A36:K36"/>
    <mergeCell ref="N38:Q38"/>
    <mergeCell ref="N39:Q39"/>
    <mergeCell ref="A53:K53"/>
    <mergeCell ref="A54:K54"/>
    <mergeCell ref="N56:Q56"/>
    <mergeCell ref="N57:Q57"/>
    <mergeCell ref="A71:K71"/>
    <mergeCell ref="A72:K72"/>
    <mergeCell ref="N74:Q74"/>
    <mergeCell ref="N75:Q75"/>
    <mergeCell ref="A88:K88"/>
    <mergeCell ref="A89:K89"/>
    <mergeCell ref="N91:Q91"/>
    <mergeCell ref="N92:Q92"/>
    <mergeCell ref="A106:K106"/>
    <mergeCell ref="A107:K107"/>
    <mergeCell ref="N109:Q109"/>
    <mergeCell ref="N110:Q110"/>
    <mergeCell ref="A123:K123"/>
    <mergeCell ref="A124:K124"/>
    <mergeCell ref="N126:Q126"/>
    <mergeCell ref="N127:Q127"/>
    <mergeCell ref="A140:K140"/>
    <mergeCell ref="N143:Q143"/>
    <mergeCell ref="N144:Q144"/>
    <mergeCell ref="A141:K141"/>
    <mergeCell ref="A158:K158"/>
    <mergeCell ref="A159:K159"/>
    <mergeCell ref="N160:Q160"/>
    <mergeCell ref="N161:Q161"/>
    <mergeCell ref="A177:K177"/>
    <mergeCell ref="A178:K178"/>
    <mergeCell ref="A213:K213"/>
    <mergeCell ref="N215:Q215"/>
    <mergeCell ref="N216:Q216"/>
    <mergeCell ref="A230:K230"/>
    <mergeCell ref="A231:K231"/>
    <mergeCell ref="N235:Q235"/>
    <mergeCell ref="N236:Q236"/>
    <mergeCell ref="N180:Q180"/>
    <mergeCell ref="N181:Q181"/>
    <mergeCell ref="A194:K194"/>
    <mergeCell ref="A195:K195"/>
    <mergeCell ref="N197:Q197"/>
    <mergeCell ref="N198:Q198"/>
    <mergeCell ref="A212:K212"/>
  </mergeCells>
  <dataValidations>
    <dataValidation type="list" allowBlank="1" showErrorMessage="1" sqref="I4:I15 I21:I32 I38:I49 I56:I66 I74:I85 I91:I102 I109:I120 I126:I137 I143:I154 I161:I172 I197:I208 I215:I226 I233:I244">
      <formula1>"Não atendido,Atendido,Cancelado,Vagas livres,Bloqueada"</formula1>
    </dataValidation>
    <dataValidation type="list" allowBlank="1" showErrorMessage="1" sqref="I180:I191">
      <formula1>"Não atendido,Atendido,Cancelado,Vagas Livres"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5.5"/>
    <col customWidth="1" min="4" max="4" width="11.88"/>
    <col customWidth="1" min="5" max="5" width="16.0"/>
    <col customWidth="1" min="6" max="6" width="17.0"/>
    <col customWidth="1" min="7" max="7" width="31.75"/>
    <col customWidth="1" min="8" max="8" width="19.63"/>
    <col customWidth="1" min="9" max="9" width="20.38"/>
    <col customWidth="1" min="10" max="10" width="18.13"/>
    <col customWidth="1" min="11" max="11" width="17.25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33" t="s">
        <v>1590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5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69" t="s">
        <v>332</v>
      </c>
      <c r="C4" s="69" t="s">
        <v>1591</v>
      </c>
      <c r="D4" s="70">
        <v>0.5416666666666666</v>
      </c>
      <c r="E4" s="219" t="s">
        <v>1130</v>
      </c>
      <c r="F4" s="192" t="s">
        <v>1592</v>
      </c>
      <c r="G4" s="127" t="s">
        <v>1131</v>
      </c>
      <c r="H4" s="193">
        <v>35282.0</v>
      </c>
      <c r="I4" s="18" t="s">
        <v>182</v>
      </c>
      <c r="J4" s="97" t="s">
        <v>1593</v>
      </c>
      <c r="K4" s="97" t="s">
        <v>1594</v>
      </c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6" t="s">
        <v>258</v>
      </c>
      <c r="C5" s="69" t="s">
        <v>1591</v>
      </c>
      <c r="D5" s="70">
        <v>0.5555555555555556</v>
      </c>
      <c r="E5" s="253" t="s">
        <v>921</v>
      </c>
      <c r="F5" s="206">
        <v>8.98000081671239E14</v>
      </c>
      <c r="G5" s="206" t="s">
        <v>922</v>
      </c>
      <c r="H5" s="153">
        <v>21813.0</v>
      </c>
      <c r="I5" s="18" t="s">
        <v>182</v>
      </c>
      <c r="J5" s="37" t="s">
        <v>923</v>
      </c>
      <c r="K5" s="37"/>
      <c r="N5" s="239" t="s">
        <v>488</v>
      </c>
      <c r="O5" s="2"/>
      <c r="P5" s="2"/>
      <c r="Q5" s="2"/>
      <c r="R5" s="62"/>
    </row>
    <row r="6" ht="26.25" customHeight="1">
      <c r="A6" s="11" t="s">
        <v>12</v>
      </c>
      <c r="B6" s="69" t="s">
        <v>1595</v>
      </c>
      <c r="C6" s="69" t="s">
        <v>1591</v>
      </c>
      <c r="D6" s="70">
        <v>0.5694444444444444</v>
      </c>
      <c r="E6" s="253" t="s">
        <v>918</v>
      </c>
      <c r="F6" s="206">
        <v>7.06801766211026E14</v>
      </c>
      <c r="G6" s="206" t="s">
        <v>1096</v>
      </c>
      <c r="H6" s="153">
        <v>15079.0</v>
      </c>
      <c r="I6" s="18" t="s">
        <v>182</v>
      </c>
      <c r="J6" s="37" t="s">
        <v>920</v>
      </c>
      <c r="K6" s="97" t="s">
        <v>1596</v>
      </c>
      <c r="N6" s="240" t="s">
        <v>182</v>
      </c>
      <c r="O6" s="241" t="s">
        <v>194</v>
      </c>
      <c r="P6" s="241" t="s">
        <v>180</v>
      </c>
      <c r="Q6" s="242" t="s">
        <v>172</v>
      </c>
      <c r="R6" s="62"/>
    </row>
    <row r="7" ht="15.75" customHeight="1">
      <c r="A7" s="11" t="s">
        <v>13</v>
      </c>
      <c r="B7" s="69" t="s">
        <v>1597</v>
      </c>
      <c r="C7" s="69" t="s">
        <v>1591</v>
      </c>
      <c r="D7" s="70">
        <v>0.5833333333333334</v>
      </c>
      <c r="E7" s="214" t="s">
        <v>1598</v>
      </c>
      <c r="F7" s="79" t="s">
        <v>1599</v>
      </c>
      <c r="G7" s="79" t="s">
        <v>1600</v>
      </c>
      <c r="H7" s="78">
        <v>22099.0</v>
      </c>
      <c r="I7" s="18" t="s">
        <v>182</v>
      </c>
      <c r="J7" s="266" t="s">
        <v>1601</v>
      </c>
      <c r="K7" s="266" t="s">
        <v>1602</v>
      </c>
      <c r="N7" s="244">
        <f t="shared" ref="N7:Q7" si="1">COUNTIFS($I$4:$I$15,N6)</f>
        <v>9</v>
      </c>
      <c r="O7" s="244">
        <f t="shared" si="1"/>
        <v>1</v>
      </c>
      <c r="P7" s="244">
        <f t="shared" si="1"/>
        <v>0</v>
      </c>
      <c r="Q7" s="244">
        <f t="shared" si="1"/>
        <v>1</v>
      </c>
      <c r="R7" s="62"/>
    </row>
    <row r="8" ht="15.75" customHeight="1">
      <c r="A8" s="11" t="s">
        <v>14</v>
      </c>
      <c r="B8" s="62" t="s">
        <v>1595</v>
      </c>
      <c r="C8" s="69" t="s">
        <v>1591</v>
      </c>
      <c r="D8" s="70">
        <v>0.5972222222222222</v>
      </c>
      <c r="E8" s="267" t="s">
        <v>1603</v>
      </c>
      <c r="F8" s="128">
        <v>2.04301495190008E14</v>
      </c>
      <c r="G8" s="128" t="s">
        <v>1604</v>
      </c>
      <c r="H8" s="269">
        <v>13351.0</v>
      </c>
      <c r="I8" s="18" t="s">
        <v>194</v>
      </c>
      <c r="J8" s="128" t="s">
        <v>1605</v>
      </c>
      <c r="K8" s="128"/>
      <c r="R8" s="62"/>
    </row>
    <row r="9" ht="15.75" customHeight="1">
      <c r="A9" s="11" t="s">
        <v>15</v>
      </c>
      <c r="B9" s="69" t="s">
        <v>855</v>
      </c>
      <c r="C9" s="69" t="s">
        <v>1591</v>
      </c>
      <c r="D9" s="70">
        <v>0.6111111111111112</v>
      </c>
      <c r="E9" s="215" t="s">
        <v>1606</v>
      </c>
      <c r="F9" s="170">
        <v>7.0250622274824E14</v>
      </c>
      <c r="G9" s="170" t="s">
        <v>1607</v>
      </c>
      <c r="H9" s="72">
        <v>19459.0</v>
      </c>
      <c r="I9" s="18" t="s">
        <v>182</v>
      </c>
      <c r="J9" s="37" t="s">
        <v>1608</v>
      </c>
      <c r="K9" s="37" t="s">
        <v>1609</v>
      </c>
      <c r="R9" s="62"/>
    </row>
    <row r="10" ht="15.75" customHeight="1">
      <c r="A10" s="11" t="s">
        <v>16</v>
      </c>
      <c r="B10" s="69" t="s">
        <v>258</v>
      </c>
      <c r="C10" s="69" t="s">
        <v>1591</v>
      </c>
      <c r="D10" s="70">
        <v>0.625</v>
      </c>
      <c r="E10" s="214" t="s">
        <v>908</v>
      </c>
      <c r="F10" s="79">
        <v>2.0116833925E14</v>
      </c>
      <c r="G10" s="79" t="s">
        <v>1610</v>
      </c>
      <c r="H10" s="78">
        <v>27594.0</v>
      </c>
      <c r="I10" s="18" t="s">
        <v>182</v>
      </c>
      <c r="J10" s="266" t="s">
        <v>1611</v>
      </c>
      <c r="K10" s="266" t="s">
        <v>1612</v>
      </c>
      <c r="R10" s="62"/>
    </row>
    <row r="11" ht="15.75" customHeight="1">
      <c r="A11" s="11" t="s">
        <v>17</v>
      </c>
      <c r="B11" s="69" t="s">
        <v>1613</v>
      </c>
      <c r="C11" s="69" t="s">
        <v>1591</v>
      </c>
      <c r="D11" s="70">
        <v>0.6388888888888888</v>
      </c>
      <c r="E11" s="214" t="s">
        <v>1614</v>
      </c>
      <c r="F11" s="79">
        <v>7.0540343538499E14</v>
      </c>
      <c r="G11" s="79" t="s">
        <v>1615</v>
      </c>
      <c r="H11" s="78">
        <v>30613.0</v>
      </c>
      <c r="I11" s="18" t="s">
        <v>182</v>
      </c>
      <c r="J11" s="271" t="s">
        <v>1616</v>
      </c>
      <c r="K11" s="37" t="s">
        <v>1617</v>
      </c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404" t="s">
        <v>1618</v>
      </c>
      <c r="C12" s="69" t="s">
        <v>1591</v>
      </c>
      <c r="D12" s="70">
        <v>0.6527777777777778</v>
      </c>
      <c r="E12" s="247" t="s">
        <v>1619</v>
      </c>
      <c r="F12" s="146">
        <v>8.98001441080297E14</v>
      </c>
      <c r="G12" s="79" t="s">
        <v>1620</v>
      </c>
      <c r="H12" s="86">
        <v>17697.0</v>
      </c>
      <c r="I12" s="18" t="s">
        <v>182</v>
      </c>
      <c r="J12" s="37" t="s">
        <v>1621</v>
      </c>
      <c r="R12" s="62"/>
    </row>
    <row r="13" ht="15.75" customHeight="1">
      <c r="A13" s="11" t="s">
        <v>87</v>
      </c>
      <c r="B13" s="69" t="s">
        <v>1622</v>
      </c>
      <c r="C13" s="69" t="s">
        <v>1591</v>
      </c>
      <c r="D13" s="70">
        <v>0.6666666666666666</v>
      </c>
      <c r="E13" s="218" t="s">
        <v>1623</v>
      </c>
      <c r="F13" s="146">
        <v>8.98001402134047E14</v>
      </c>
      <c r="G13" s="79" t="s">
        <v>1624</v>
      </c>
      <c r="H13" s="86">
        <v>16847.0</v>
      </c>
      <c r="I13" s="18" t="s">
        <v>172</v>
      </c>
      <c r="J13" s="37" t="s">
        <v>1625</v>
      </c>
      <c r="K13" s="37" t="s">
        <v>1626</v>
      </c>
      <c r="R13" s="62"/>
    </row>
    <row r="14" ht="15.75" customHeight="1">
      <c r="A14" s="11" t="s">
        <v>90</v>
      </c>
      <c r="B14" s="69" t="s">
        <v>1627</v>
      </c>
      <c r="C14" s="69" t="s">
        <v>1591</v>
      </c>
      <c r="D14" s="70">
        <v>0.6805555555555556</v>
      </c>
      <c r="E14" s="258" t="s">
        <v>1628</v>
      </c>
      <c r="F14" s="127">
        <v>8.01440435147884E14</v>
      </c>
      <c r="G14" s="79" t="s">
        <v>1629</v>
      </c>
      <c r="H14" s="153">
        <v>21621.0</v>
      </c>
      <c r="I14" s="18" t="s">
        <v>182</v>
      </c>
      <c r="J14" s="37" t="s">
        <v>1630</v>
      </c>
      <c r="K14" s="37"/>
      <c r="R14" s="62"/>
    </row>
    <row r="15" ht="15.75" customHeight="1">
      <c r="A15" s="11" t="s">
        <v>93</v>
      </c>
      <c r="B15" s="69"/>
      <c r="C15" s="69" t="s">
        <v>1591</v>
      </c>
      <c r="D15" s="70">
        <v>0.6944444444444444</v>
      </c>
      <c r="E15" s="258"/>
      <c r="F15" s="127"/>
      <c r="G15" s="79"/>
      <c r="H15" s="153"/>
      <c r="I15" s="18"/>
      <c r="J15" s="37"/>
      <c r="K15" s="37"/>
      <c r="R15" s="62"/>
    </row>
    <row r="16" ht="15.75" customHeight="1">
      <c r="J16" s="62"/>
      <c r="K16" s="62"/>
      <c r="R16" s="62"/>
    </row>
    <row r="17" ht="15.75" customHeight="1">
      <c r="J17" s="62"/>
      <c r="K17" s="62"/>
      <c r="R17" s="62"/>
    </row>
    <row r="18" ht="15.0" customHeight="1"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33" t="s">
        <v>1631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5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68"/>
      <c r="C22" s="69" t="s">
        <v>1632</v>
      </c>
      <c r="D22" s="70">
        <v>0.5416666666666666</v>
      </c>
      <c r="E22" s="219"/>
      <c r="F22" s="127"/>
      <c r="G22" s="54"/>
      <c r="H22" s="193"/>
      <c r="I22" s="30" t="s">
        <v>180</v>
      </c>
      <c r="J22" s="97"/>
      <c r="K22" s="9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405" t="s">
        <v>442</v>
      </c>
      <c r="C23" s="69" t="s">
        <v>1632</v>
      </c>
      <c r="D23" s="70">
        <v>0.5555555555555556</v>
      </c>
      <c r="E23" s="215" t="s">
        <v>1633</v>
      </c>
      <c r="F23" s="346">
        <v>2.07254493430018E14</v>
      </c>
      <c r="G23" s="54" t="s">
        <v>1634</v>
      </c>
      <c r="H23" s="406">
        <v>21300.0</v>
      </c>
      <c r="I23" s="30" t="s">
        <v>182</v>
      </c>
      <c r="J23" s="37"/>
      <c r="K23" s="37"/>
      <c r="N23" s="239" t="s">
        <v>521</v>
      </c>
      <c r="O23" s="2"/>
      <c r="P23" s="2"/>
      <c r="Q23" s="2"/>
      <c r="R23" s="62"/>
    </row>
    <row r="24" ht="15.75" customHeight="1">
      <c r="A24" s="11" t="s">
        <v>12</v>
      </c>
      <c r="B24" s="405" t="s">
        <v>492</v>
      </c>
      <c r="C24" s="69" t="s">
        <v>1632</v>
      </c>
      <c r="D24" s="70">
        <v>0.5694444444444444</v>
      </c>
      <c r="E24" s="215" t="s">
        <v>1635</v>
      </c>
      <c r="F24" s="170">
        <v>7.00001046903408E14</v>
      </c>
      <c r="G24" s="197" t="s">
        <v>1636</v>
      </c>
      <c r="H24" s="150">
        <v>22102.0</v>
      </c>
      <c r="I24" s="30" t="s">
        <v>182</v>
      </c>
      <c r="J24" s="97"/>
      <c r="K24" s="97"/>
      <c r="L24" s="197" t="s">
        <v>520</v>
      </c>
      <c r="N24" s="240" t="s">
        <v>182</v>
      </c>
      <c r="O24" s="241" t="s">
        <v>194</v>
      </c>
      <c r="P24" s="241" t="s">
        <v>180</v>
      </c>
      <c r="Q24" s="242" t="s">
        <v>172</v>
      </c>
      <c r="R24" s="62"/>
    </row>
    <row r="25" ht="15.75" customHeight="1">
      <c r="A25" s="11" t="s">
        <v>13</v>
      </c>
      <c r="B25" s="405" t="s">
        <v>273</v>
      </c>
      <c r="C25" s="69" t="s">
        <v>1632</v>
      </c>
      <c r="D25" s="70">
        <v>0.5833333333333334</v>
      </c>
      <c r="E25" s="214" t="s">
        <v>1637</v>
      </c>
      <c r="F25" s="192">
        <v>7.08202643636447E14</v>
      </c>
      <c r="G25" s="54" t="s">
        <v>1638</v>
      </c>
      <c r="H25" s="150">
        <v>16855.0</v>
      </c>
      <c r="I25" s="30" t="s">
        <v>182</v>
      </c>
      <c r="J25" s="97"/>
      <c r="K25" s="97"/>
      <c r="L25" s="197" t="s">
        <v>520</v>
      </c>
      <c r="N25" s="244">
        <f t="shared" ref="N25:Q25" si="2">COUNTIFS($I$22:$I$33,N24)</f>
        <v>9</v>
      </c>
      <c r="O25" s="244">
        <f t="shared" si="2"/>
        <v>1</v>
      </c>
      <c r="P25" s="244">
        <f t="shared" si="2"/>
        <v>2</v>
      </c>
      <c r="Q25" s="244">
        <f t="shared" si="2"/>
        <v>0</v>
      </c>
      <c r="R25" s="62"/>
    </row>
    <row r="26" ht="18.0" customHeight="1">
      <c r="A26" s="11" t="s">
        <v>14</v>
      </c>
      <c r="B26" s="405" t="s">
        <v>340</v>
      </c>
      <c r="C26" s="69" t="s">
        <v>1632</v>
      </c>
      <c r="D26" s="70">
        <v>0.5972222222222222</v>
      </c>
      <c r="E26" s="247" t="s">
        <v>1639</v>
      </c>
      <c r="F26" s="170">
        <v>7.06409182760381E14</v>
      </c>
      <c r="G26" s="172" t="s">
        <v>1640</v>
      </c>
      <c r="H26" s="72">
        <v>17307.0</v>
      </c>
      <c r="I26" s="30" t="s">
        <v>182</v>
      </c>
      <c r="J26" s="37"/>
      <c r="K26" s="37"/>
      <c r="L26" s="197" t="s">
        <v>520</v>
      </c>
      <c r="R26" s="62"/>
    </row>
    <row r="27" ht="15.75" customHeight="1">
      <c r="A27" s="11" t="s">
        <v>15</v>
      </c>
      <c r="B27" s="405" t="s">
        <v>492</v>
      </c>
      <c r="C27" s="69" t="s">
        <v>1632</v>
      </c>
      <c r="D27" s="70">
        <v>0.6111111111111112</v>
      </c>
      <c r="E27" s="247" t="s">
        <v>1641</v>
      </c>
      <c r="F27" s="170">
        <v>8.98001408757259E14</v>
      </c>
      <c r="G27" s="54" t="s">
        <v>1642</v>
      </c>
      <c r="H27" s="407">
        <v>15560.0</v>
      </c>
      <c r="I27" s="30" t="s">
        <v>182</v>
      </c>
      <c r="J27" s="37"/>
      <c r="K27" s="37"/>
      <c r="L27" s="197" t="s">
        <v>520</v>
      </c>
      <c r="R27" s="62"/>
    </row>
    <row r="28" ht="15.75" customHeight="1">
      <c r="A28" s="11" t="s">
        <v>16</v>
      </c>
      <c r="B28" s="405" t="s">
        <v>587</v>
      </c>
      <c r="C28" s="69" t="s">
        <v>1632</v>
      </c>
      <c r="D28" s="70">
        <v>0.625</v>
      </c>
      <c r="E28" s="258" t="s">
        <v>1643</v>
      </c>
      <c r="F28" s="170">
        <v>8.01440406128044E14</v>
      </c>
      <c r="G28" s="74" t="s">
        <v>1644</v>
      </c>
      <c r="H28" s="150">
        <v>24122.0</v>
      </c>
      <c r="I28" s="30" t="s">
        <v>182</v>
      </c>
      <c r="J28" s="272"/>
      <c r="K28" s="272"/>
      <c r="L28" s="197" t="s">
        <v>520</v>
      </c>
      <c r="R28" s="62"/>
    </row>
    <row r="29" ht="15.75" customHeight="1">
      <c r="A29" s="11" t="s">
        <v>178</v>
      </c>
      <c r="B29" s="68"/>
      <c r="C29" s="69" t="s">
        <v>1632</v>
      </c>
      <c r="D29" s="70">
        <v>0.6388888888888888</v>
      </c>
      <c r="E29" s="215"/>
      <c r="F29" s="170"/>
      <c r="G29" s="238"/>
      <c r="H29" s="72"/>
      <c r="I29" s="30" t="s">
        <v>180</v>
      </c>
      <c r="J29" s="37"/>
      <c r="K29" s="37"/>
      <c r="L29" s="197" t="s">
        <v>520</v>
      </c>
      <c r="R29" s="62"/>
    </row>
    <row r="30" ht="15.75" customHeight="1">
      <c r="A30" s="11" t="s">
        <v>85</v>
      </c>
      <c r="B30" s="405" t="s">
        <v>587</v>
      </c>
      <c r="C30" s="69" t="s">
        <v>1632</v>
      </c>
      <c r="D30" s="70">
        <v>0.6527777777777778</v>
      </c>
      <c r="E30" s="258" t="s">
        <v>1645</v>
      </c>
      <c r="F30" s="146">
        <v>1.07553186300001E14</v>
      </c>
      <c r="G30" s="74" t="s">
        <v>1646</v>
      </c>
      <c r="H30" s="150">
        <v>19428.0</v>
      </c>
      <c r="I30" s="30" t="s">
        <v>182</v>
      </c>
      <c r="J30" s="132"/>
      <c r="K30" s="37"/>
      <c r="L30" s="197" t="s">
        <v>520</v>
      </c>
      <c r="R30" s="62"/>
    </row>
    <row r="31" ht="15.75" customHeight="1">
      <c r="A31" s="11" t="s">
        <v>87</v>
      </c>
      <c r="B31" s="405" t="s">
        <v>447</v>
      </c>
      <c r="C31" s="69" t="s">
        <v>1632</v>
      </c>
      <c r="D31" s="70">
        <v>0.6666666666666666</v>
      </c>
      <c r="E31" s="218" t="s">
        <v>1647</v>
      </c>
      <c r="F31" s="149">
        <v>7.02407519766524E14</v>
      </c>
      <c r="G31" s="74" t="s">
        <v>1648</v>
      </c>
      <c r="H31" s="153">
        <v>16826.0</v>
      </c>
      <c r="I31" s="30" t="s">
        <v>182</v>
      </c>
      <c r="J31" s="37"/>
      <c r="K31" s="37"/>
      <c r="L31" s="197" t="s">
        <v>520</v>
      </c>
      <c r="R31" s="62"/>
    </row>
    <row r="32" ht="15.75" customHeight="1">
      <c r="A32" s="11" t="s">
        <v>90</v>
      </c>
      <c r="B32" s="405" t="s">
        <v>1597</v>
      </c>
      <c r="C32" s="69" t="s">
        <v>1632</v>
      </c>
      <c r="D32" s="70">
        <v>0.6805555555555556</v>
      </c>
      <c r="E32" s="258" t="s">
        <v>1649</v>
      </c>
      <c r="F32" s="127">
        <v>7.06408135778481E14</v>
      </c>
      <c r="G32" s="54" t="s">
        <v>1650</v>
      </c>
      <c r="H32" s="153">
        <v>16446.0</v>
      </c>
      <c r="I32" s="30" t="s">
        <v>182</v>
      </c>
      <c r="J32" s="37"/>
      <c r="K32" s="37"/>
      <c r="L32" s="197" t="s">
        <v>520</v>
      </c>
      <c r="R32" s="62"/>
    </row>
    <row r="33" ht="15.75" customHeight="1">
      <c r="A33" s="11" t="s">
        <v>93</v>
      </c>
      <c r="B33" s="405" t="s">
        <v>447</v>
      </c>
      <c r="C33" s="69" t="s">
        <v>1632</v>
      </c>
      <c r="D33" s="70">
        <v>0.6944444444444444</v>
      </c>
      <c r="E33" s="258" t="s">
        <v>1651</v>
      </c>
      <c r="F33" s="127">
        <v>8.01440405340171E14</v>
      </c>
      <c r="G33" s="85" t="s">
        <v>1652</v>
      </c>
      <c r="H33" s="153">
        <v>28730.0</v>
      </c>
      <c r="I33" s="30" t="s">
        <v>194</v>
      </c>
      <c r="J33" s="37"/>
      <c r="K33" s="37"/>
      <c r="R33" s="62"/>
    </row>
    <row r="34" ht="15.75" customHeight="1">
      <c r="J34" s="62"/>
      <c r="K34" s="62"/>
      <c r="R34" s="62"/>
    </row>
    <row r="35" ht="15.75" customHeight="1">
      <c r="J35" s="62"/>
      <c r="K35" s="62"/>
      <c r="R35" s="62"/>
    </row>
    <row r="36" ht="15.75" customHeight="1">
      <c r="A36" s="20" t="s">
        <v>18</v>
      </c>
      <c r="B36" s="2"/>
      <c r="C36" s="2"/>
      <c r="D36" s="2"/>
      <c r="E36" s="2"/>
      <c r="F36" s="2"/>
      <c r="G36" s="2"/>
      <c r="H36" s="2"/>
      <c r="I36" s="2"/>
      <c r="J36" s="2"/>
      <c r="K36" s="3"/>
      <c r="R36" s="62"/>
    </row>
    <row r="37" ht="15.75" customHeight="1">
      <c r="A37" s="408" t="s">
        <v>1653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2"/>
      <c r="B38" s="23" t="s">
        <v>3</v>
      </c>
      <c r="C38" s="24" t="s">
        <v>2</v>
      </c>
      <c r="D38" s="25" t="s">
        <v>5</v>
      </c>
      <c r="E38" s="25" t="s">
        <v>19</v>
      </c>
      <c r="F38" s="25" t="s">
        <v>6</v>
      </c>
      <c r="G38" s="234" t="s">
        <v>7</v>
      </c>
      <c r="H38" s="27" t="s">
        <v>8</v>
      </c>
      <c r="I38" s="28" t="s">
        <v>20</v>
      </c>
      <c r="J38" s="25" t="s">
        <v>21</v>
      </c>
      <c r="K38" s="25" t="s">
        <v>22</v>
      </c>
      <c r="R38" s="62"/>
    </row>
    <row r="39" ht="15.75" customHeight="1">
      <c r="A39" s="11" t="s">
        <v>10</v>
      </c>
      <c r="B39" s="68"/>
      <c r="C39" s="69" t="s">
        <v>1591</v>
      </c>
      <c r="D39" s="70">
        <v>0.5416666666666666</v>
      </c>
      <c r="E39" s="214"/>
      <c r="F39" s="79"/>
      <c r="G39" s="74"/>
      <c r="H39" s="274"/>
      <c r="I39" s="30"/>
      <c r="J39" s="274"/>
      <c r="K39" s="274"/>
      <c r="L39" s="197" t="s">
        <v>520</v>
      </c>
      <c r="N39" s="237" t="s">
        <v>386</v>
      </c>
      <c r="O39" s="95"/>
      <c r="P39" s="95"/>
      <c r="Q39" s="95"/>
      <c r="R39" s="62"/>
    </row>
    <row r="40" ht="15.75" customHeight="1">
      <c r="A40" s="11" t="s">
        <v>11</v>
      </c>
      <c r="B40" s="405"/>
      <c r="C40" s="69" t="s">
        <v>1591</v>
      </c>
      <c r="D40" s="70">
        <v>0.5555555555555556</v>
      </c>
      <c r="E40" s="214"/>
      <c r="F40" s="79"/>
      <c r="G40" s="74"/>
      <c r="H40" s="274"/>
      <c r="I40" s="30"/>
      <c r="J40" s="274"/>
      <c r="K40" s="274"/>
      <c r="N40" s="239" t="s">
        <v>556</v>
      </c>
      <c r="O40" s="2"/>
      <c r="P40" s="2"/>
      <c r="Q40" s="2"/>
      <c r="R40" s="62"/>
    </row>
    <row r="41" ht="15.75" customHeight="1">
      <c r="A41" s="11" t="s">
        <v>12</v>
      </c>
      <c r="B41" s="405"/>
      <c r="C41" s="69" t="s">
        <v>1591</v>
      </c>
      <c r="D41" s="70">
        <v>0.5694444444444444</v>
      </c>
      <c r="E41" s="214"/>
      <c r="F41" s="79"/>
      <c r="G41" s="74"/>
      <c r="H41" s="274"/>
      <c r="I41" s="30"/>
      <c r="J41" s="274"/>
      <c r="K41" s="274"/>
      <c r="L41" s="197" t="s">
        <v>520</v>
      </c>
      <c r="N41" s="240" t="s">
        <v>182</v>
      </c>
      <c r="O41" s="241" t="s">
        <v>194</v>
      </c>
      <c r="P41" s="241" t="s">
        <v>180</v>
      </c>
      <c r="Q41" s="242" t="s">
        <v>172</v>
      </c>
      <c r="R41" s="62" t="s">
        <v>438</v>
      </c>
    </row>
    <row r="42" ht="15.75" customHeight="1">
      <c r="A42" s="11" t="s">
        <v>13</v>
      </c>
      <c r="B42" s="405"/>
      <c r="C42" s="69" t="s">
        <v>1591</v>
      </c>
      <c r="D42" s="70">
        <v>0.5833333333333334</v>
      </c>
      <c r="E42" s="214"/>
      <c r="F42" s="79"/>
      <c r="G42" s="74"/>
      <c r="H42" s="274"/>
      <c r="I42" s="30"/>
      <c r="J42" s="274"/>
      <c r="K42" s="274"/>
      <c r="L42" s="197" t="s">
        <v>520</v>
      </c>
      <c r="N42" s="244">
        <f t="shared" ref="N42:Q42" si="3">COUNTIFS($I$39:$I$50,N41)</f>
        <v>0</v>
      </c>
      <c r="O42" s="244">
        <f t="shared" si="3"/>
        <v>0</v>
      </c>
      <c r="P42" s="244">
        <f t="shared" si="3"/>
        <v>0</v>
      </c>
      <c r="Q42" s="244">
        <f t="shared" si="3"/>
        <v>0</v>
      </c>
      <c r="R42" s="62">
        <f>COUNTIFS(I39:I50,R41)</f>
        <v>0</v>
      </c>
    </row>
    <row r="43" ht="15.75" customHeight="1">
      <c r="A43" s="11" t="s">
        <v>14</v>
      </c>
      <c r="B43" s="405"/>
      <c r="C43" s="69" t="s">
        <v>1591</v>
      </c>
      <c r="D43" s="70">
        <v>0.5972222222222222</v>
      </c>
      <c r="E43" s="214"/>
      <c r="F43" s="79"/>
      <c r="G43" s="74"/>
      <c r="H43" s="274"/>
      <c r="I43" s="30"/>
      <c r="J43" s="274"/>
      <c r="K43" s="274"/>
      <c r="L43" s="197" t="s">
        <v>520</v>
      </c>
      <c r="R43" s="62"/>
    </row>
    <row r="44" ht="15.75" customHeight="1">
      <c r="A44" s="11" t="s">
        <v>15</v>
      </c>
      <c r="B44" s="405"/>
      <c r="C44" s="69" t="s">
        <v>1591</v>
      </c>
      <c r="D44" s="70">
        <v>0.6111111111111112</v>
      </c>
      <c r="E44" s="214"/>
      <c r="F44" s="79"/>
      <c r="G44" s="74"/>
      <c r="H44" s="274"/>
      <c r="I44" s="30"/>
      <c r="J44" s="274"/>
      <c r="K44" s="274"/>
      <c r="L44" s="197" t="s">
        <v>520</v>
      </c>
      <c r="R44" s="62"/>
    </row>
    <row r="45" ht="15.75" customHeight="1">
      <c r="A45" s="11" t="s">
        <v>16</v>
      </c>
      <c r="B45" s="405"/>
      <c r="C45" s="69" t="s">
        <v>1591</v>
      </c>
      <c r="D45" s="70">
        <v>0.625</v>
      </c>
      <c r="E45" s="214"/>
      <c r="F45" s="79"/>
      <c r="G45" s="74"/>
      <c r="H45" s="274"/>
      <c r="I45" s="18"/>
      <c r="J45" s="274"/>
      <c r="K45" s="274"/>
      <c r="R45" s="62"/>
    </row>
    <row r="46" ht="15.75" customHeight="1">
      <c r="A46" s="11" t="s">
        <v>17</v>
      </c>
      <c r="B46" s="68"/>
      <c r="C46" s="69" t="s">
        <v>1591</v>
      </c>
      <c r="D46" s="70">
        <v>0.6388888888888888</v>
      </c>
      <c r="E46" s="214"/>
      <c r="F46" s="79"/>
      <c r="G46" s="74"/>
      <c r="H46" s="274"/>
      <c r="I46" s="30"/>
      <c r="J46" s="274"/>
      <c r="K46" s="336"/>
      <c r="R46" s="62"/>
    </row>
    <row r="47" ht="15.75" customHeight="1">
      <c r="A47" s="11" t="s">
        <v>85</v>
      </c>
      <c r="B47" s="405"/>
      <c r="C47" s="69" t="s">
        <v>1591</v>
      </c>
      <c r="D47" s="70">
        <v>0.6527777777777778</v>
      </c>
      <c r="E47" s="214"/>
      <c r="F47" s="79"/>
      <c r="G47" s="74"/>
      <c r="H47" s="274"/>
      <c r="I47" s="30"/>
      <c r="J47" s="274"/>
      <c r="K47" s="274"/>
      <c r="L47" s="197" t="s">
        <v>576</v>
      </c>
      <c r="R47" s="62"/>
    </row>
    <row r="48" ht="15.75" customHeight="1">
      <c r="A48" s="11" t="s">
        <v>87</v>
      </c>
      <c r="B48" s="405"/>
      <c r="C48" s="69" t="s">
        <v>1591</v>
      </c>
      <c r="D48" s="70">
        <v>0.6666666666666666</v>
      </c>
      <c r="E48" s="214"/>
      <c r="F48" s="79"/>
      <c r="G48" s="74"/>
      <c r="H48" s="274"/>
      <c r="I48" s="18"/>
      <c r="J48" s="274"/>
      <c r="K48" s="274"/>
      <c r="R48" s="62"/>
    </row>
    <row r="49" ht="15.75" customHeight="1">
      <c r="A49" s="11" t="s">
        <v>90</v>
      </c>
      <c r="B49" s="405"/>
      <c r="C49" s="69" t="s">
        <v>1591</v>
      </c>
      <c r="D49" s="70">
        <v>0.6805555555555556</v>
      </c>
      <c r="E49" s="214"/>
      <c r="F49" s="79"/>
      <c r="G49" s="74"/>
      <c r="H49" s="274"/>
      <c r="I49" s="18"/>
      <c r="J49" s="274"/>
      <c r="K49" s="274"/>
      <c r="R49" s="62"/>
    </row>
    <row r="50" ht="15.75" customHeight="1">
      <c r="A50" s="11" t="s">
        <v>93</v>
      </c>
      <c r="B50" s="405"/>
      <c r="C50" s="69" t="s">
        <v>1591</v>
      </c>
      <c r="D50" s="70">
        <v>0.6944444444444444</v>
      </c>
      <c r="E50" s="214"/>
      <c r="F50" s="79"/>
      <c r="G50" s="74"/>
      <c r="H50" s="274"/>
      <c r="I50" s="30"/>
      <c r="J50" s="274"/>
      <c r="K50" s="274"/>
      <c r="R50" s="62"/>
    </row>
    <row r="51" ht="15.75" customHeight="1">
      <c r="J51" s="62"/>
      <c r="K51" s="62"/>
      <c r="R51" s="62"/>
    </row>
    <row r="52" ht="15.75" customHeight="1">
      <c r="J52" s="62"/>
      <c r="K52" s="62"/>
      <c r="R52" s="62"/>
    </row>
    <row r="53" ht="15.75" customHeight="1">
      <c r="J53" s="62"/>
      <c r="K53" s="62"/>
      <c r="R53" s="62"/>
    </row>
    <row r="54" ht="15.75" customHeight="1">
      <c r="A54" s="20" t="s">
        <v>18</v>
      </c>
      <c r="B54" s="2"/>
      <c r="C54" s="2"/>
      <c r="D54" s="2"/>
      <c r="E54" s="2"/>
      <c r="F54" s="2"/>
      <c r="G54" s="2"/>
      <c r="H54" s="2"/>
      <c r="I54" s="2"/>
      <c r="J54" s="2"/>
      <c r="K54" s="3"/>
      <c r="R54" s="62"/>
    </row>
    <row r="55" ht="15.75" customHeight="1">
      <c r="A55" s="233" t="s">
        <v>1654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2"/>
      <c r="B56" s="23" t="s">
        <v>3</v>
      </c>
      <c r="C56" s="24" t="s">
        <v>2</v>
      </c>
      <c r="D56" s="25" t="s">
        <v>5</v>
      </c>
      <c r="E56" s="25" t="s">
        <v>19</v>
      </c>
      <c r="F56" s="25" t="s">
        <v>6</v>
      </c>
      <c r="G56" s="234" t="s">
        <v>7</v>
      </c>
      <c r="H56" s="27" t="s">
        <v>8</v>
      </c>
      <c r="I56" s="28" t="s">
        <v>20</v>
      </c>
      <c r="J56" s="25" t="s">
        <v>21</v>
      </c>
      <c r="K56" s="25" t="s">
        <v>22</v>
      </c>
      <c r="R56" s="62"/>
    </row>
    <row r="57" ht="15.75" customHeight="1">
      <c r="A57" s="11" t="s">
        <v>10</v>
      </c>
      <c r="B57" s="154"/>
      <c r="C57" s="69" t="s">
        <v>1313</v>
      </c>
      <c r="D57" s="70">
        <v>0.5416666666666666</v>
      </c>
      <c r="E57" s="289"/>
      <c r="F57" s="206"/>
      <c r="G57" s="148"/>
      <c r="H57" s="150"/>
      <c r="I57" s="18" t="s">
        <v>180</v>
      </c>
      <c r="J57" s="212"/>
      <c r="K57" s="212"/>
      <c r="L57" s="197" t="s">
        <v>520</v>
      </c>
      <c r="N57" s="237" t="s">
        <v>386</v>
      </c>
      <c r="O57" s="95"/>
      <c r="P57" s="95"/>
      <c r="Q57" s="95"/>
      <c r="R57" s="62"/>
    </row>
    <row r="58" ht="15.75" customHeight="1">
      <c r="A58" s="11" t="s">
        <v>11</v>
      </c>
      <c r="B58" s="405" t="s">
        <v>442</v>
      </c>
      <c r="C58" s="69" t="s">
        <v>1313</v>
      </c>
      <c r="D58" s="70">
        <v>0.5555555555555556</v>
      </c>
      <c r="E58" s="253" t="s">
        <v>1655</v>
      </c>
      <c r="F58" s="206">
        <v>7.08403210633769E14</v>
      </c>
      <c r="G58" s="238" t="s">
        <v>1656</v>
      </c>
      <c r="H58" s="72">
        <v>22995.0</v>
      </c>
      <c r="I58" s="18" t="s">
        <v>182</v>
      </c>
      <c r="J58" s="37"/>
      <c r="K58" s="37"/>
      <c r="N58" s="239" t="s">
        <v>584</v>
      </c>
      <c r="O58" s="2"/>
      <c r="P58" s="2"/>
      <c r="Q58" s="2"/>
      <c r="R58" s="62"/>
    </row>
    <row r="59" ht="15.75" customHeight="1">
      <c r="A59" s="11" t="s">
        <v>12</v>
      </c>
      <c r="B59" s="405"/>
      <c r="C59" s="69" t="s">
        <v>1313</v>
      </c>
      <c r="D59" s="70">
        <v>0.5694444444444444</v>
      </c>
      <c r="E59" s="289"/>
      <c r="F59" s="206"/>
      <c r="G59" s="148"/>
      <c r="H59" s="150"/>
      <c r="I59" s="18" t="s">
        <v>180</v>
      </c>
      <c r="J59" s="212"/>
      <c r="K59" s="212"/>
      <c r="L59" s="197" t="s">
        <v>520</v>
      </c>
      <c r="N59" s="240" t="s">
        <v>182</v>
      </c>
      <c r="O59" s="241" t="s">
        <v>194</v>
      </c>
      <c r="P59" s="241" t="s">
        <v>180</v>
      </c>
      <c r="Q59" s="242" t="s">
        <v>172</v>
      </c>
      <c r="R59" s="62"/>
    </row>
    <row r="60" ht="15.75" customHeight="1">
      <c r="A60" s="11" t="s">
        <v>13</v>
      </c>
      <c r="B60" s="405" t="s">
        <v>273</v>
      </c>
      <c r="C60" s="69" t="s">
        <v>1313</v>
      </c>
      <c r="D60" s="70">
        <v>0.5833333333333334</v>
      </c>
      <c r="E60" s="289" t="s">
        <v>1657</v>
      </c>
      <c r="F60" s="206">
        <v>7.04305582835991E14</v>
      </c>
      <c r="G60" s="148" t="s">
        <v>1658</v>
      </c>
      <c r="H60" s="150">
        <v>27965.0</v>
      </c>
      <c r="I60" s="18" t="s">
        <v>182</v>
      </c>
      <c r="J60" s="337"/>
      <c r="K60" s="212"/>
      <c r="L60" s="197" t="s">
        <v>520</v>
      </c>
      <c r="N60" s="244">
        <f t="shared" ref="N60:Q60" si="4">COUNTIFS($I$57:$I$68,N59)</f>
        <v>5</v>
      </c>
      <c r="O60" s="244">
        <f t="shared" si="4"/>
        <v>0</v>
      </c>
      <c r="P60" s="244">
        <f t="shared" si="4"/>
        <v>6</v>
      </c>
      <c r="Q60" s="244">
        <f t="shared" si="4"/>
        <v>1</v>
      </c>
      <c r="R60" s="62"/>
    </row>
    <row r="61" ht="15.75" customHeight="1">
      <c r="A61" s="11" t="s">
        <v>14</v>
      </c>
      <c r="B61" s="405"/>
      <c r="C61" s="69" t="s">
        <v>1313</v>
      </c>
      <c r="D61" s="70">
        <v>0.5972222222222222</v>
      </c>
      <c r="E61" s="289"/>
      <c r="F61" s="206"/>
      <c r="G61" s="54"/>
      <c r="H61" s="72"/>
      <c r="I61" s="18" t="s">
        <v>180</v>
      </c>
      <c r="J61" s="37"/>
      <c r="K61" s="37"/>
      <c r="R61" s="62"/>
    </row>
    <row r="62" ht="15.75" customHeight="1">
      <c r="A62" s="11" t="s">
        <v>15</v>
      </c>
      <c r="B62" s="405"/>
      <c r="C62" s="69" t="s">
        <v>1313</v>
      </c>
      <c r="D62" s="70">
        <v>0.6111111111111112</v>
      </c>
      <c r="E62" s="338"/>
      <c r="F62" s="339"/>
      <c r="G62" s="54"/>
      <c r="H62" s="150"/>
      <c r="I62" s="18" t="s">
        <v>180</v>
      </c>
      <c r="J62" s="37"/>
      <c r="K62" s="37"/>
      <c r="L62" s="197" t="s">
        <v>520</v>
      </c>
      <c r="R62" s="62"/>
    </row>
    <row r="63" ht="15.75" customHeight="1">
      <c r="A63" s="11" t="s">
        <v>16</v>
      </c>
      <c r="B63" s="405" t="s">
        <v>587</v>
      </c>
      <c r="C63" s="69" t="s">
        <v>1313</v>
      </c>
      <c r="D63" s="70">
        <v>0.625</v>
      </c>
      <c r="E63" s="289" t="s">
        <v>1659</v>
      </c>
      <c r="F63" s="206">
        <v>7.01000824590697E14</v>
      </c>
      <c r="G63" s="148" t="s">
        <v>1660</v>
      </c>
      <c r="H63" s="150">
        <v>24283.0</v>
      </c>
      <c r="I63" s="18" t="s">
        <v>182</v>
      </c>
      <c r="J63" s="271"/>
      <c r="K63" s="271"/>
      <c r="L63" s="197" t="s">
        <v>520</v>
      </c>
      <c r="R63" s="62"/>
    </row>
    <row r="64" ht="15.75" customHeight="1">
      <c r="A64" s="11" t="s">
        <v>17</v>
      </c>
      <c r="B64" s="405"/>
      <c r="C64" s="69" t="s">
        <v>1313</v>
      </c>
      <c r="D64" s="70">
        <v>0.6388888888888888</v>
      </c>
      <c r="E64" s="340"/>
      <c r="F64" s="206"/>
      <c r="G64" s="148"/>
      <c r="H64" s="150"/>
      <c r="I64" s="18" t="s">
        <v>180</v>
      </c>
      <c r="J64" s="212"/>
      <c r="K64" s="37"/>
      <c r="L64" s="197" t="s">
        <v>520</v>
      </c>
      <c r="R64" s="62"/>
    </row>
    <row r="65" ht="15.75" customHeight="1">
      <c r="A65" s="11" t="s">
        <v>85</v>
      </c>
      <c r="B65" s="405"/>
      <c r="C65" s="69" t="s">
        <v>1313</v>
      </c>
      <c r="D65" s="70">
        <v>0.6527777777777778</v>
      </c>
      <c r="E65" s="289"/>
      <c r="F65" s="206"/>
      <c r="G65" s="148"/>
      <c r="H65" s="153"/>
      <c r="I65" s="18" t="s">
        <v>180</v>
      </c>
      <c r="J65" s="37"/>
      <c r="K65" s="37"/>
      <c r="R65" s="62"/>
    </row>
    <row r="66" ht="15.75" customHeight="1">
      <c r="A66" s="11" t="s">
        <v>87</v>
      </c>
      <c r="B66" s="405" t="s">
        <v>447</v>
      </c>
      <c r="C66" s="69" t="s">
        <v>1313</v>
      </c>
      <c r="D66" s="70">
        <v>0.6666666666666666</v>
      </c>
      <c r="E66" s="218" t="s">
        <v>1661</v>
      </c>
      <c r="F66" s="149">
        <v>7.00406903648047E14</v>
      </c>
      <c r="G66" s="186" t="s">
        <v>1662</v>
      </c>
      <c r="H66" s="153">
        <v>38431.0</v>
      </c>
      <c r="I66" s="18" t="s">
        <v>182</v>
      </c>
      <c r="J66" s="37"/>
      <c r="K66" s="37"/>
      <c r="L66" s="197" t="s">
        <v>520</v>
      </c>
      <c r="R66" s="62"/>
    </row>
    <row r="67" ht="15.75" customHeight="1">
      <c r="A67" s="11" t="s">
        <v>90</v>
      </c>
      <c r="B67" s="405" t="s">
        <v>1597</v>
      </c>
      <c r="C67" s="69" t="s">
        <v>1313</v>
      </c>
      <c r="D67" s="70">
        <v>0.6805555555555556</v>
      </c>
      <c r="E67" s="258" t="s">
        <v>1663</v>
      </c>
      <c r="F67" s="127">
        <v>7.06302709091977E14</v>
      </c>
      <c r="G67" s="186" t="s">
        <v>1664</v>
      </c>
      <c r="H67" s="153">
        <v>21057.0</v>
      </c>
      <c r="I67" s="18" t="s">
        <v>182</v>
      </c>
      <c r="J67" s="37"/>
      <c r="K67" s="37"/>
      <c r="R67" s="62"/>
    </row>
    <row r="68" ht="15.75" customHeight="1">
      <c r="A68" s="11" t="s">
        <v>93</v>
      </c>
      <c r="B68" s="405" t="s">
        <v>974</v>
      </c>
      <c r="C68" s="69" t="s">
        <v>1313</v>
      </c>
      <c r="D68" s="70">
        <v>0.6944444444444444</v>
      </c>
      <c r="E68" s="258"/>
      <c r="F68" s="127">
        <v>7.03001864200773E14</v>
      </c>
      <c r="G68" s="186" t="s">
        <v>1665</v>
      </c>
      <c r="H68" s="153">
        <v>18508.0</v>
      </c>
      <c r="I68" s="18" t="s">
        <v>172</v>
      </c>
      <c r="J68" s="37"/>
      <c r="K68" s="37"/>
      <c r="R68" s="62"/>
    </row>
    <row r="69" ht="15.75" customHeight="1">
      <c r="G69" s="197"/>
      <c r="J69" s="62"/>
      <c r="K69" s="62"/>
      <c r="R69" s="62"/>
    </row>
    <row r="70" ht="15.75" customHeight="1">
      <c r="J70" s="62"/>
      <c r="K70" s="62"/>
      <c r="R70" s="62"/>
    </row>
    <row r="71" ht="15.75" customHeight="1">
      <c r="A71" s="20" t="s">
        <v>18</v>
      </c>
      <c r="B71" s="2"/>
      <c r="C71" s="2"/>
      <c r="D71" s="2"/>
      <c r="E71" s="2"/>
      <c r="F71" s="2"/>
      <c r="G71" s="2"/>
      <c r="H71" s="2"/>
      <c r="I71" s="2"/>
      <c r="J71" s="2"/>
      <c r="K71" s="3"/>
      <c r="R71" s="62"/>
    </row>
    <row r="72" ht="15.75" customHeight="1">
      <c r="A72" s="233" t="s">
        <v>1666</v>
      </c>
      <c r="B72" s="2"/>
      <c r="C72" s="2"/>
      <c r="D72" s="2"/>
      <c r="E72" s="2"/>
      <c r="F72" s="2"/>
      <c r="G72" s="2"/>
      <c r="H72" s="2"/>
      <c r="I72" s="2"/>
      <c r="J72" s="2"/>
      <c r="K72" s="3"/>
      <c r="R72" s="62"/>
    </row>
    <row r="73" ht="15.75" customHeight="1">
      <c r="A73" s="22"/>
      <c r="B73" s="23" t="s">
        <v>3</v>
      </c>
      <c r="C73" s="24" t="s">
        <v>2</v>
      </c>
      <c r="D73" s="25" t="s">
        <v>5</v>
      </c>
      <c r="E73" s="25" t="s">
        <v>19</v>
      </c>
      <c r="F73" s="25" t="s">
        <v>6</v>
      </c>
      <c r="G73" s="234" t="s">
        <v>7</v>
      </c>
      <c r="H73" s="27" t="s">
        <v>8</v>
      </c>
      <c r="I73" s="28" t="s">
        <v>20</v>
      </c>
      <c r="J73" s="25" t="s">
        <v>21</v>
      </c>
      <c r="K73" s="25" t="s">
        <v>22</v>
      </c>
      <c r="R73" s="62"/>
    </row>
    <row r="74" ht="15.75" customHeight="1">
      <c r="A74" s="11" t="s">
        <v>10</v>
      </c>
      <c r="B74" s="205" t="s">
        <v>1667</v>
      </c>
      <c r="C74" s="69" t="s">
        <v>1591</v>
      </c>
      <c r="D74" s="70">
        <v>0.5416666666666666</v>
      </c>
      <c r="E74" s="214" t="s">
        <v>1668</v>
      </c>
      <c r="F74" s="127">
        <v>2.01535995580007E14</v>
      </c>
      <c r="G74" s="74" t="s">
        <v>1669</v>
      </c>
      <c r="H74" s="72">
        <v>27729.0</v>
      </c>
      <c r="I74" s="30" t="s">
        <v>172</v>
      </c>
      <c r="J74" s="79">
        <v>1.1953611578E10</v>
      </c>
      <c r="K74" s="79">
        <v>1.1974923482E10</v>
      </c>
      <c r="N74" s="237" t="s">
        <v>386</v>
      </c>
      <c r="O74" s="95"/>
      <c r="P74" s="95"/>
      <c r="Q74" s="95"/>
      <c r="R74" s="62"/>
    </row>
    <row r="75" ht="15.75" customHeight="1">
      <c r="A75" s="11" t="s">
        <v>11</v>
      </c>
      <c r="B75" s="205" t="s">
        <v>1670</v>
      </c>
      <c r="C75" s="69" t="s">
        <v>1591</v>
      </c>
      <c r="D75" s="70">
        <v>0.5555555555555556</v>
      </c>
      <c r="E75" s="215" t="s">
        <v>1671</v>
      </c>
      <c r="F75" s="127">
        <v>7.0910323469153E14</v>
      </c>
      <c r="G75" s="74" t="s">
        <v>1672</v>
      </c>
      <c r="H75" s="72">
        <v>19192.0</v>
      </c>
      <c r="I75" s="30" t="s">
        <v>182</v>
      </c>
      <c r="J75" s="132">
        <v>1.1984884282E10</v>
      </c>
      <c r="K75" s="132"/>
      <c r="N75" s="239" t="s">
        <v>610</v>
      </c>
      <c r="O75" s="2"/>
      <c r="P75" s="2"/>
      <c r="Q75" s="2"/>
      <c r="R75" s="62"/>
    </row>
    <row r="76" ht="15.75" customHeight="1">
      <c r="A76" s="11" t="s">
        <v>12</v>
      </c>
      <c r="B76" s="205" t="s">
        <v>270</v>
      </c>
      <c r="C76" s="69" t="s">
        <v>1591</v>
      </c>
      <c r="D76" s="70">
        <v>0.5694444444444444</v>
      </c>
      <c r="E76" s="214" t="s">
        <v>1673</v>
      </c>
      <c r="F76" s="127">
        <v>1.20759346320006E14</v>
      </c>
      <c r="G76" s="74" t="s">
        <v>1674</v>
      </c>
      <c r="H76" s="72">
        <v>22477.0</v>
      </c>
      <c r="I76" s="30" t="s">
        <v>182</v>
      </c>
      <c r="J76" s="79">
        <v>1.1993602063E10</v>
      </c>
      <c r="K76" s="79"/>
      <c r="N76" s="240" t="s">
        <v>182</v>
      </c>
      <c r="O76" s="241" t="s">
        <v>194</v>
      </c>
      <c r="P76" s="241" t="s">
        <v>180</v>
      </c>
      <c r="Q76" s="242" t="s">
        <v>172</v>
      </c>
      <c r="R76" s="62"/>
    </row>
    <row r="77" ht="15.75" customHeight="1">
      <c r="A77" s="11" t="s">
        <v>13</v>
      </c>
      <c r="B77" s="205" t="s">
        <v>595</v>
      </c>
      <c r="C77" s="69" t="s">
        <v>1591</v>
      </c>
      <c r="D77" s="70">
        <v>0.5833333333333334</v>
      </c>
      <c r="E77" s="214" t="s">
        <v>1675</v>
      </c>
      <c r="F77" s="127">
        <v>8.01440477307545E14</v>
      </c>
      <c r="G77" s="74" t="s">
        <v>1676</v>
      </c>
      <c r="H77" s="72">
        <v>29677.0</v>
      </c>
      <c r="I77" s="18" t="s">
        <v>182</v>
      </c>
      <c r="J77" s="79">
        <v>1.1940045809E10</v>
      </c>
      <c r="K77" s="79">
        <v>1.1958089328E10</v>
      </c>
      <c r="N77" s="244">
        <f t="shared" ref="N77:Q77" si="5">COUNTIFS($I$74:$I$85,N76)</f>
        <v>5</v>
      </c>
      <c r="O77" s="244">
        <f t="shared" si="5"/>
        <v>0</v>
      </c>
      <c r="P77" s="244">
        <f t="shared" si="5"/>
        <v>2</v>
      </c>
      <c r="Q77" s="244">
        <f t="shared" si="5"/>
        <v>5</v>
      </c>
      <c r="R77" s="62"/>
    </row>
    <row r="78" ht="15.75" customHeight="1">
      <c r="A78" s="11" t="s">
        <v>14</v>
      </c>
      <c r="B78" s="205" t="s">
        <v>1252</v>
      </c>
      <c r="C78" s="69" t="s">
        <v>1591</v>
      </c>
      <c r="D78" s="70">
        <v>0.5972222222222222</v>
      </c>
      <c r="E78" s="284" t="s">
        <v>1677</v>
      </c>
      <c r="F78" s="127">
        <v>7.04608153646127E14</v>
      </c>
      <c r="G78" s="74" t="s">
        <v>1678</v>
      </c>
      <c r="H78" s="72">
        <v>25479.0</v>
      </c>
      <c r="I78" s="30" t="s">
        <v>182</v>
      </c>
      <c r="J78" s="124">
        <v>1.1957369234E10</v>
      </c>
      <c r="K78" s="132">
        <v>1.1980337516E10</v>
      </c>
      <c r="R78" s="62"/>
    </row>
    <row r="79" ht="15.75" customHeight="1">
      <c r="A79" s="11" t="s">
        <v>15</v>
      </c>
      <c r="B79" s="205" t="s">
        <v>595</v>
      </c>
      <c r="C79" s="69" t="s">
        <v>1591</v>
      </c>
      <c r="D79" s="70">
        <v>0.6111111111111112</v>
      </c>
      <c r="E79" s="284" t="s">
        <v>1679</v>
      </c>
      <c r="F79" s="375" t="s">
        <v>1680</v>
      </c>
      <c r="G79" s="74" t="s">
        <v>1681</v>
      </c>
      <c r="H79" s="72">
        <v>24895.0</v>
      </c>
      <c r="I79" s="30" t="s">
        <v>172</v>
      </c>
      <c r="J79" s="124">
        <v>1.1937759895E10</v>
      </c>
      <c r="K79" s="132">
        <v>1.1954195496E10</v>
      </c>
      <c r="R79" s="62"/>
    </row>
    <row r="80" ht="15.75" customHeight="1">
      <c r="A80" s="11" t="s">
        <v>16</v>
      </c>
      <c r="B80" s="205" t="s">
        <v>1682</v>
      </c>
      <c r="C80" s="69" t="s">
        <v>1591</v>
      </c>
      <c r="D80" s="70">
        <v>0.625</v>
      </c>
      <c r="E80" s="284" t="s">
        <v>1683</v>
      </c>
      <c r="F80" s="127">
        <v>7.00007223692701E14</v>
      </c>
      <c r="G80" s="74" t="s">
        <v>1684</v>
      </c>
      <c r="H80" s="72">
        <v>20469.0</v>
      </c>
      <c r="I80" s="30" t="s">
        <v>172</v>
      </c>
      <c r="J80" s="170"/>
      <c r="K80" s="79"/>
      <c r="R80" s="62"/>
    </row>
    <row r="81" ht="15.75" customHeight="1">
      <c r="A81" s="11" t="s">
        <v>17</v>
      </c>
      <c r="B81" s="205" t="s">
        <v>1685</v>
      </c>
      <c r="C81" s="69" t="s">
        <v>1591</v>
      </c>
      <c r="D81" s="70">
        <v>0.6388888888888888</v>
      </c>
      <c r="E81" s="284" t="s">
        <v>1686</v>
      </c>
      <c r="F81" s="127">
        <v>8.01440407125995E14</v>
      </c>
      <c r="G81" s="74" t="s">
        <v>1687</v>
      </c>
      <c r="H81" s="72">
        <v>13834.0</v>
      </c>
      <c r="I81" s="30" t="s">
        <v>182</v>
      </c>
      <c r="J81" s="124">
        <v>1.1983327057E10</v>
      </c>
      <c r="K81" s="132"/>
      <c r="L81" s="63"/>
      <c r="M81" s="63"/>
      <c r="N81" s="63"/>
      <c r="O81" s="63"/>
      <c r="P81" s="63"/>
      <c r="Q81" s="63"/>
      <c r="R81" s="343"/>
      <c r="S81" s="63"/>
      <c r="T81" s="63"/>
      <c r="U81" s="63"/>
      <c r="V81" s="63"/>
      <c r="W81" s="63"/>
    </row>
    <row r="82" ht="15.75" customHeight="1">
      <c r="A82" s="11" t="s">
        <v>85</v>
      </c>
      <c r="B82" s="205" t="s">
        <v>1688</v>
      </c>
      <c r="C82" s="69" t="s">
        <v>1591</v>
      </c>
      <c r="D82" s="70">
        <v>0.6527777777777778</v>
      </c>
      <c r="E82" s="218" t="s">
        <v>1689</v>
      </c>
      <c r="F82" s="375" t="s">
        <v>1690</v>
      </c>
      <c r="G82" s="74" t="s">
        <v>1691</v>
      </c>
      <c r="H82" s="72">
        <v>29425.0</v>
      </c>
      <c r="I82" s="30" t="s">
        <v>172</v>
      </c>
      <c r="J82" s="132">
        <v>2.4981380451E10</v>
      </c>
      <c r="K82" s="132"/>
      <c r="L82" s="63"/>
      <c r="M82" s="63"/>
      <c r="N82" s="63"/>
      <c r="O82" s="63"/>
      <c r="P82" s="63"/>
      <c r="Q82" s="63"/>
      <c r="R82" s="343"/>
      <c r="S82" s="63"/>
      <c r="T82" s="63"/>
      <c r="U82" s="63"/>
      <c r="V82" s="63"/>
      <c r="W82" s="63"/>
    </row>
    <row r="83" ht="15.75" customHeight="1">
      <c r="A83" s="11" t="s">
        <v>87</v>
      </c>
      <c r="B83" s="205" t="s">
        <v>1692</v>
      </c>
      <c r="C83" s="69" t="s">
        <v>1591</v>
      </c>
      <c r="D83" s="70">
        <v>0.6666666666666666</v>
      </c>
      <c r="E83" s="214" t="s">
        <v>1693</v>
      </c>
      <c r="F83" s="127">
        <v>8.01440413530022E14</v>
      </c>
      <c r="G83" s="74" t="s">
        <v>1694</v>
      </c>
      <c r="H83" s="72">
        <v>18858.0</v>
      </c>
      <c r="I83" s="30" t="s">
        <v>172</v>
      </c>
      <c r="J83" s="79">
        <v>1.15666479E9</v>
      </c>
      <c r="K83" s="79"/>
      <c r="L83" s="197" t="s">
        <v>520</v>
      </c>
      <c r="R83" s="62"/>
    </row>
    <row r="84" ht="15.75" customHeight="1">
      <c r="A84" s="11" t="s">
        <v>90</v>
      </c>
      <c r="B84" s="205" t="s">
        <v>1627</v>
      </c>
      <c r="C84" s="69" t="s">
        <v>1591</v>
      </c>
      <c r="D84" s="70">
        <v>0.6805555555555556</v>
      </c>
      <c r="E84" s="258"/>
      <c r="F84" s="127"/>
      <c r="G84" s="74"/>
      <c r="H84" s="72"/>
      <c r="I84" s="30" t="s">
        <v>180</v>
      </c>
      <c r="J84" s="79"/>
      <c r="K84" s="79"/>
      <c r="R84" s="62"/>
    </row>
    <row r="85" ht="15.75" customHeight="1">
      <c r="A85" s="11" t="s">
        <v>93</v>
      </c>
      <c r="B85" s="205" t="s">
        <v>1688</v>
      </c>
      <c r="C85" s="69" t="s">
        <v>1591</v>
      </c>
      <c r="D85" s="70">
        <v>0.6944444444444444</v>
      </c>
      <c r="E85" s="258"/>
      <c r="F85" s="127"/>
      <c r="G85" s="74"/>
      <c r="H85" s="72"/>
      <c r="I85" s="30" t="s">
        <v>180</v>
      </c>
      <c r="J85" s="149"/>
      <c r="K85" s="149"/>
      <c r="L85" s="63"/>
      <c r="M85" s="63"/>
      <c r="N85" s="63"/>
      <c r="O85" s="63"/>
      <c r="P85" s="63"/>
      <c r="Q85" s="63"/>
      <c r="R85" s="343"/>
      <c r="S85" s="63"/>
      <c r="T85" s="63"/>
      <c r="U85" s="63"/>
      <c r="V85" s="63"/>
      <c r="W85" s="63"/>
    </row>
    <row r="86" ht="15.75" customHeight="1">
      <c r="J86" s="62"/>
      <c r="K86" s="62"/>
      <c r="R86" s="62"/>
    </row>
    <row r="87" ht="15.75" customHeight="1">
      <c r="J87" s="62"/>
      <c r="K87" s="62"/>
      <c r="R87" s="62"/>
    </row>
    <row r="88" ht="15.75" customHeight="1">
      <c r="A88" s="350" t="s">
        <v>18</v>
      </c>
      <c r="B88" s="2"/>
      <c r="C88" s="2"/>
      <c r="D88" s="2"/>
      <c r="E88" s="2"/>
      <c r="F88" s="2"/>
      <c r="G88" s="2"/>
      <c r="H88" s="2"/>
      <c r="I88" s="2"/>
      <c r="J88" s="2"/>
      <c r="K88" s="3"/>
      <c r="R88" s="62"/>
    </row>
    <row r="89" ht="15.75" customHeight="1">
      <c r="A89" s="409" t="s">
        <v>1695</v>
      </c>
      <c r="B89" s="2"/>
      <c r="C89" s="2"/>
      <c r="D89" s="2"/>
      <c r="E89" s="2"/>
      <c r="F89" s="2"/>
      <c r="G89" s="2"/>
      <c r="H89" s="2"/>
      <c r="I89" s="2"/>
      <c r="J89" s="2"/>
      <c r="K89" s="3"/>
      <c r="R89" s="62"/>
    </row>
    <row r="90" ht="15.75" customHeight="1">
      <c r="A90" s="410"/>
      <c r="B90" s="411" t="s">
        <v>3</v>
      </c>
      <c r="C90" s="412" t="s">
        <v>2</v>
      </c>
      <c r="D90" s="413" t="s">
        <v>5</v>
      </c>
      <c r="E90" s="413" t="s">
        <v>19</v>
      </c>
      <c r="F90" s="413" t="s">
        <v>6</v>
      </c>
      <c r="G90" s="414" t="s">
        <v>7</v>
      </c>
      <c r="H90" s="415" t="s">
        <v>8</v>
      </c>
      <c r="I90" s="416" t="s">
        <v>20</v>
      </c>
      <c r="J90" s="413" t="s">
        <v>21</v>
      </c>
      <c r="K90" s="413" t="s">
        <v>22</v>
      </c>
      <c r="R90" s="62"/>
    </row>
    <row r="91" ht="15.75" customHeight="1">
      <c r="A91" s="417" t="s">
        <v>10</v>
      </c>
      <c r="B91" s="205" t="s">
        <v>1667</v>
      </c>
      <c r="C91" s="206" t="s">
        <v>1591</v>
      </c>
      <c r="D91" s="264">
        <v>0.5416666666666666</v>
      </c>
      <c r="E91" s="418" t="s">
        <v>1696</v>
      </c>
      <c r="F91" s="127">
        <v>2.01535999570006E14</v>
      </c>
      <c r="G91" s="186" t="s">
        <v>1697</v>
      </c>
      <c r="H91" s="153">
        <v>17364.0</v>
      </c>
      <c r="I91" s="29" t="s">
        <v>182</v>
      </c>
      <c r="J91" s="289">
        <v>1.1980901233E10</v>
      </c>
      <c r="K91" s="289">
        <v>1.1979610205E10</v>
      </c>
      <c r="N91" s="237" t="s">
        <v>386</v>
      </c>
      <c r="O91" s="95"/>
      <c r="P91" s="95"/>
      <c r="Q91" s="95"/>
      <c r="R91" s="62"/>
    </row>
    <row r="92" ht="15.75" customHeight="1">
      <c r="A92" s="417" t="s">
        <v>11</v>
      </c>
      <c r="B92" s="205" t="s">
        <v>1670</v>
      </c>
      <c r="C92" s="206" t="s">
        <v>1591</v>
      </c>
      <c r="D92" s="264">
        <v>0.5555555555555556</v>
      </c>
      <c r="E92" s="419" t="s">
        <v>979</v>
      </c>
      <c r="F92" s="127">
        <v>7.08200682052742E14</v>
      </c>
      <c r="G92" s="186" t="s">
        <v>980</v>
      </c>
      <c r="H92" s="153">
        <v>27399.0</v>
      </c>
      <c r="I92" s="29" t="s">
        <v>182</v>
      </c>
      <c r="J92" s="289">
        <v>1.1960391887E10</v>
      </c>
      <c r="K92" s="289"/>
      <c r="N92" s="239" t="s">
        <v>641</v>
      </c>
      <c r="O92" s="2"/>
      <c r="P92" s="2"/>
      <c r="Q92" s="2"/>
      <c r="R92" s="62"/>
    </row>
    <row r="93" ht="15.75" customHeight="1">
      <c r="A93" s="417" t="s">
        <v>12</v>
      </c>
      <c r="B93" s="205" t="s">
        <v>270</v>
      </c>
      <c r="C93" s="206" t="s">
        <v>1591</v>
      </c>
      <c r="D93" s="264">
        <v>0.5694444444444444</v>
      </c>
      <c r="E93" s="418" t="s">
        <v>979</v>
      </c>
      <c r="F93" s="127">
        <v>7.03001864200773E14</v>
      </c>
      <c r="G93" s="186" t="s">
        <v>1665</v>
      </c>
      <c r="H93" s="153">
        <v>18508.0</v>
      </c>
      <c r="I93" s="29" t="s">
        <v>172</v>
      </c>
      <c r="J93" s="289">
        <v>1.1969208472E10</v>
      </c>
      <c r="K93" s="289">
        <v>1.1946935796E10</v>
      </c>
      <c r="N93" s="240" t="s">
        <v>182</v>
      </c>
      <c r="O93" s="241" t="s">
        <v>194</v>
      </c>
      <c r="P93" s="241" t="s">
        <v>180</v>
      </c>
      <c r="Q93" s="242" t="s">
        <v>172</v>
      </c>
      <c r="R93" s="62"/>
    </row>
    <row r="94" ht="15.75" customHeight="1">
      <c r="A94" s="417" t="s">
        <v>13</v>
      </c>
      <c r="B94" s="205" t="s">
        <v>595</v>
      </c>
      <c r="C94" s="206" t="s">
        <v>1591</v>
      </c>
      <c r="D94" s="264">
        <v>0.5833333333333334</v>
      </c>
      <c r="E94" s="418" t="s">
        <v>1698</v>
      </c>
      <c r="F94" s="127">
        <v>7.04006822295868E14</v>
      </c>
      <c r="G94" s="186" t="s">
        <v>1699</v>
      </c>
      <c r="H94" s="153">
        <v>21711.0</v>
      </c>
      <c r="I94" s="29" t="s">
        <v>182</v>
      </c>
      <c r="J94" s="289">
        <v>1.1952889324E10</v>
      </c>
      <c r="K94" s="289">
        <v>1.1949190345E10</v>
      </c>
      <c r="N94" s="244">
        <f t="shared" ref="N94:Q94" si="6">COUNTIFS($I$109:$I$120,N93)</f>
        <v>12</v>
      </c>
      <c r="O94" s="244">
        <f t="shared" si="6"/>
        <v>0</v>
      </c>
      <c r="P94" s="244">
        <f t="shared" si="6"/>
        <v>0</v>
      </c>
      <c r="Q94" s="244">
        <f t="shared" si="6"/>
        <v>0</v>
      </c>
      <c r="R94" s="62"/>
    </row>
    <row r="95" ht="15.75" customHeight="1">
      <c r="A95" s="417" t="s">
        <v>14</v>
      </c>
      <c r="B95" s="205" t="s">
        <v>1252</v>
      </c>
      <c r="C95" s="206" t="s">
        <v>1591</v>
      </c>
      <c r="D95" s="264">
        <v>0.5972222222222222</v>
      </c>
      <c r="E95" s="420" t="s">
        <v>1700</v>
      </c>
      <c r="F95" s="127">
        <v>7.04208786099383E14</v>
      </c>
      <c r="G95" s="186" t="s">
        <v>1701</v>
      </c>
      <c r="H95" s="153">
        <v>36619.0</v>
      </c>
      <c r="I95" s="29" t="s">
        <v>172</v>
      </c>
      <c r="J95" s="289">
        <v>1.1939248528E10</v>
      </c>
      <c r="K95" s="289"/>
      <c r="R95" s="62"/>
    </row>
    <row r="96" ht="15.75" customHeight="1">
      <c r="A96" s="417" t="s">
        <v>15</v>
      </c>
      <c r="B96" s="205" t="s">
        <v>595</v>
      </c>
      <c r="C96" s="206" t="s">
        <v>1591</v>
      </c>
      <c r="D96" s="264">
        <v>0.6111111111111112</v>
      </c>
      <c r="E96" s="420" t="s">
        <v>1702</v>
      </c>
      <c r="F96" s="127">
        <v>7.00005395544903E14</v>
      </c>
      <c r="G96" s="186" t="s">
        <v>1703</v>
      </c>
      <c r="H96" s="153">
        <v>21933.0</v>
      </c>
      <c r="I96" s="29" t="s">
        <v>182</v>
      </c>
      <c r="J96" s="289">
        <v>1.158966018E9</v>
      </c>
      <c r="K96" s="289"/>
      <c r="R96" s="62"/>
    </row>
    <row r="97" ht="15.75" customHeight="1">
      <c r="A97" s="417" t="s">
        <v>16</v>
      </c>
      <c r="B97" s="421" t="s">
        <v>1704</v>
      </c>
      <c r="C97" s="206" t="s">
        <v>1591</v>
      </c>
      <c r="D97" s="264">
        <v>0.625</v>
      </c>
      <c r="E97" s="420" t="s">
        <v>1705</v>
      </c>
      <c r="F97" s="127">
        <v>7.01202091281019E14</v>
      </c>
      <c r="G97" s="186" t="s">
        <v>1706</v>
      </c>
      <c r="H97" s="153">
        <v>24749.0</v>
      </c>
      <c r="I97" s="29" t="s">
        <v>182</v>
      </c>
      <c r="J97" s="289"/>
      <c r="K97" s="289"/>
      <c r="R97" s="62"/>
    </row>
    <row r="98" ht="15.75" customHeight="1">
      <c r="A98" s="417" t="s">
        <v>17</v>
      </c>
      <c r="B98" s="205" t="s">
        <v>1685</v>
      </c>
      <c r="C98" s="206" t="s">
        <v>1591</v>
      </c>
      <c r="D98" s="264">
        <v>0.6388888888888888</v>
      </c>
      <c r="E98" s="420" t="s">
        <v>1707</v>
      </c>
      <c r="F98" s="127">
        <v>7.0470207497454E14</v>
      </c>
      <c r="G98" s="186" t="s">
        <v>1708</v>
      </c>
      <c r="H98" s="153">
        <v>29101.0</v>
      </c>
      <c r="I98" s="29" t="s">
        <v>172</v>
      </c>
      <c r="J98" s="289"/>
      <c r="K98" s="289"/>
      <c r="R98" s="62"/>
    </row>
    <row r="99" ht="15.75" customHeight="1">
      <c r="A99" s="417" t="s">
        <v>85</v>
      </c>
      <c r="B99" s="205" t="s">
        <v>238</v>
      </c>
      <c r="C99" s="206" t="s">
        <v>1591</v>
      </c>
      <c r="D99" s="264">
        <v>0.6527777777777778</v>
      </c>
      <c r="E99" s="420" t="s">
        <v>1623</v>
      </c>
      <c r="F99" s="127">
        <v>7.05005466642156E14</v>
      </c>
      <c r="G99" s="186" t="s">
        <v>1624</v>
      </c>
      <c r="H99" s="153">
        <v>16847.0</v>
      </c>
      <c r="I99" s="29"/>
      <c r="J99" s="289">
        <v>1.1997942316E10</v>
      </c>
      <c r="K99" s="289">
        <v>1.1965309537E10</v>
      </c>
      <c r="R99" s="62"/>
    </row>
    <row r="100" ht="15.75" customHeight="1">
      <c r="A100" s="417" t="s">
        <v>87</v>
      </c>
      <c r="B100" s="205"/>
      <c r="C100" s="206" t="s">
        <v>1591</v>
      </c>
      <c r="D100" s="264">
        <v>0.6666666666666666</v>
      </c>
      <c r="E100" s="422"/>
      <c r="F100" s="127"/>
      <c r="G100" s="186"/>
      <c r="H100" s="153"/>
      <c r="I100" s="29"/>
      <c r="J100" s="289"/>
      <c r="K100" s="423"/>
      <c r="R100" s="62"/>
    </row>
    <row r="101" ht="15.75" customHeight="1">
      <c r="A101" s="417" t="s">
        <v>90</v>
      </c>
      <c r="B101" s="205"/>
      <c r="C101" s="206" t="s">
        <v>1591</v>
      </c>
      <c r="D101" s="264">
        <v>0.6805555555555556</v>
      </c>
      <c r="E101" s="338"/>
      <c r="F101" s="339"/>
      <c r="G101" s="423"/>
      <c r="H101" s="424"/>
      <c r="I101" s="29"/>
      <c r="J101" s="423"/>
      <c r="K101" s="423"/>
      <c r="R101" s="62"/>
    </row>
    <row r="102" ht="15.75" customHeight="1">
      <c r="A102" s="417" t="s">
        <v>93</v>
      </c>
      <c r="B102" s="205"/>
      <c r="C102" s="206" t="s">
        <v>1591</v>
      </c>
      <c r="D102" s="264">
        <v>0.6944444444444444</v>
      </c>
      <c r="E102" s="338"/>
      <c r="F102" s="339"/>
      <c r="G102" s="423"/>
      <c r="H102" s="424"/>
      <c r="I102" s="29"/>
      <c r="J102" s="339"/>
      <c r="K102" s="339"/>
      <c r="R102" s="62"/>
    </row>
    <row r="103" ht="15.75" customHeight="1">
      <c r="J103" s="62"/>
      <c r="K103" s="62"/>
      <c r="R103" s="62"/>
    </row>
    <row r="104" ht="15.75" customHeight="1">
      <c r="J104" s="62"/>
      <c r="K104" s="62"/>
      <c r="R104" s="62"/>
    </row>
    <row r="105" ht="15.75" customHeight="1">
      <c r="J105" s="62"/>
      <c r="K105" s="62"/>
      <c r="R105" s="62"/>
    </row>
    <row r="106" ht="15.75" customHeight="1">
      <c r="A106" s="20" t="s">
        <v>18</v>
      </c>
      <c r="B106" s="2"/>
      <c r="C106" s="2"/>
      <c r="D106" s="2"/>
      <c r="E106" s="2"/>
      <c r="F106" s="2"/>
      <c r="G106" s="2"/>
      <c r="H106" s="2"/>
      <c r="I106" s="2"/>
      <c r="J106" s="2"/>
      <c r="K106" s="3"/>
      <c r="R106" s="62"/>
    </row>
    <row r="107" ht="15.75" customHeight="1">
      <c r="A107" s="233" t="s">
        <v>1709</v>
      </c>
      <c r="B107" s="2"/>
      <c r="C107" s="2"/>
      <c r="D107" s="2"/>
      <c r="E107" s="2"/>
      <c r="F107" s="2"/>
      <c r="G107" s="2"/>
      <c r="H107" s="2"/>
      <c r="I107" s="2"/>
      <c r="J107" s="2"/>
      <c r="K107" s="3"/>
      <c r="R107" s="62"/>
    </row>
    <row r="108" ht="15.75" customHeight="1">
      <c r="A108" s="22"/>
      <c r="B108" s="23" t="s">
        <v>3</v>
      </c>
      <c r="C108" s="24" t="s">
        <v>2</v>
      </c>
      <c r="D108" s="25" t="s">
        <v>5</v>
      </c>
      <c r="E108" s="25" t="s">
        <v>19</v>
      </c>
      <c r="F108" s="25" t="s">
        <v>6</v>
      </c>
      <c r="G108" s="234" t="s">
        <v>7</v>
      </c>
      <c r="H108" s="27" t="s">
        <v>8</v>
      </c>
      <c r="I108" s="28" t="s">
        <v>20</v>
      </c>
      <c r="J108" s="25" t="s">
        <v>21</v>
      </c>
      <c r="K108" s="25" t="s">
        <v>22</v>
      </c>
      <c r="R108" s="62"/>
    </row>
    <row r="109" ht="15.75" customHeight="1">
      <c r="A109" s="11" t="s">
        <v>10</v>
      </c>
      <c r="B109" s="205" t="s">
        <v>1710</v>
      </c>
      <c r="C109" s="69" t="s">
        <v>1632</v>
      </c>
      <c r="D109" s="70">
        <v>0.5416666666666666</v>
      </c>
      <c r="E109" s="149" t="s">
        <v>1711</v>
      </c>
      <c r="F109" s="149">
        <v>8.01440417580733E14</v>
      </c>
      <c r="G109" s="148" t="s">
        <v>1712</v>
      </c>
      <c r="H109" s="344">
        <v>19898.0</v>
      </c>
      <c r="I109" s="18" t="s">
        <v>182</v>
      </c>
      <c r="J109" s="212">
        <v>1.1949257703E10</v>
      </c>
      <c r="K109" s="212">
        <v>1.1995590546E10</v>
      </c>
      <c r="N109" s="237" t="s">
        <v>386</v>
      </c>
      <c r="O109" s="95"/>
      <c r="P109" s="95"/>
      <c r="Q109" s="95"/>
      <c r="R109" s="62"/>
    </row>
    <row r="110" ht="21.0" customHeight="1">
      <c r="A110" s="11" t="s">
        <v>11</v>
      </c>
      <c r="B110" s="205" t="s">
        <v>1713</v>
      </c>
      <c r="C110" s="69" t="s">
        <v>1632</v>
      </c>
      <c r="D110" s="70">
        <v>0.5555555555555556</v>
      </c>
      <c r="E110" s="149" t="s">
        <v>1714</v>
      </c>
      <c r="F110" s="425" t="s">
        <v>1715</v>
      </c>
      <c r="G110" s="148" t="s">
        <v>1716</v>
      </c>
      <c r="H110" s="344">
        <v>17196.0</v>
      </c>
      <c r="I110" s="18" t="s">
        <v>182</v>
      </c>
      <c r="J110" s="212">
        <v>1.1994178701E10</v>
      </c>
      <c r="K110" s="212">
        <v>1.1985520979E10</v>
      </c>
      <c r="N110" s="239" t="s">
        <v>641</v>
      </c>
      <c r="O110" s="2"/>
      <c r="P110" s="2"/>
      <c r="Q110" s="2"/>
      <c r="R110" s="62"/>
    </row>
    <row r="111" ht="15.75" customHeight="1">
      <c r="A111" s="11" t="s">
        <v>12</v>
      </c>
      <c r="B111" s="205" t="s">
        <v>1717</v>
      </c>
      <c r="C111" s="69" t="s">
        <v>1632</v>
      </c>
      <c r="D111" s="70">
        <v>0.5694444444444444</v>
      </c>
      <c r="E111" s="149" t="s">
        <v>1718</v>
      </c>
      <c r="F111" s="149">
        <v>7.0270764917576E14</v>
      </c>
      <c r="G111" s="148" t="s">
        <v>1719</v>
      </c>
      <c r="H111" s="344">
        <v>25559.0</v>
      </c>
      <c r="I111" s="18" t="s">
        <v>182</v>
      </c>
      <c r="J111" s="212">
        <v>1.1945255712E10</v>
      </c>
      <c r="K111" s="212">
        <v>1.1910404795E10</v>
      </c>
      <c r="N111" s="240" t="s">
        <v>182</v>
      </c>
      <c r="O111" s="241" t="s">
        <v>194</v>
      </c>
      <c r="P111" s="241" t="s">
        <v>180</v>
      </c>
      <c r="Q111" s="242" t="s">
        <v>172</v>
      </c>
      <c r="R111" s="62"/>
    </row>
    <row r="112" ht="15.75" customHeight="1">
      <c r="A112" s="11" t="s">
        <v>13</v>
      </c>
      <c r="B112" s="205" t="s">
        <v>1720</v>
      </c>
      <c r="C112" s="69" t="s">
        <v>1632</v>
      </c>
      <c r="D112" s="70">
        <v>0.5833333333333334</v>
      </c>
      <c r="E112" s="149" t="s">
        <v>1721</v>
      </c>
      <c r="F112" s="149">
        <v>7.00609900252968E14</v>
      </c>
      <c r="G112" s="148" t="s">
        <v>1722</v>
      </c>
      <c r="H112" s="344">
        <v>15813.0</v>
      </c>
      <c r="I112" s="18" t="s">
        <v>182</v>
      </c>
      <c r="J112" s="212">
        <v>1.1948766537E10</v>
      </c>
      <c r="K112" s="212"/>
      <c r="N112" s="244">
        <f t="shared" ref="N112:Q112" si="7">COUNTIFS($I$109:$I$120,N111)</f>
        <v>12</v>
      </c>
      <c r="O112" s="244">
        <f t="shared" si="7"/>
        <v>0</v>
      </c>
      <c r="P112" s="244">
        <f t="shared" si="7"/>
        <v>0</v>
      </c>
      <c r="Q112" s="244">
        <f t="shared" si="7"/>
        <v>0</v>
      </c>
      <c r="R112" s="62"/>
    </row>
    <row r="113" ht="15.75" customHeight="1">
      <c r="A113" s="11" t="s">
        <v>14</v>
      </c>
      <c r="B113" s="205" t="s">
        <v>1717</v>
      </c>
      <c r="C113" s="69" t="s">
        <v>1632</v>
      </c>
      <c r="D113" s="70">
        <v>0.5972222222222222</v>
      </c>
      <c r="E113" s="149" t="s">
        <v>1723</v>
      </c>
      <c r="F113" s="149">
        <v>8.98001464553973E14</v>
      </c>
      <c r="G113" s="148" t="s">
        <v>1724</v>
      </c>
      <c r="H113" s="344">
        <v>19379.0</v>
      </c>
      <c r="I113" s="18" t="s">
        <v>182</v>
      </c>
      <c r="J113" s="212">
        <v>1.1989785128E10</v>
      </c>
      <c r="K113" s="212"/>
      <c r="R113" s="62"/>
    </row>
    <row r="114" ht="15.75" customHeight="1">
      <c r="A114" s="11" t="s">
        <v>15</v>
      </c>
      <c r="B114" s="205" t="s">
        <v>1717</v>
      </c>
      <c r="C114" s="69" t="s">
        <v>1632</v>
      </c>
      <c r="D114" s="70">
        <v>0.6111111111111112</v>
      </c>
      <c r="E114" s="149" t="s">
        <v>1725</v>
      </c>
      <c r="F114" s="149">
        <v>7.05409484123998E14</v>
      </c>
      <c r="G114" s="148" t="s">
        <v>1726</v>
      </c>
      <c r="H114" s="344"/>
      <c r="I114" s="18" t="s">
        <v>182</v>
      </c>
      <c r="J114" s="212">
        <v>1.1987110242E10</v>
      </c>
      <c r="K114" s="212">
        <v>1.1945715637E10</v>
      </c>
      <c r="R114" s="62"/>
    </row>
    <row r="115" ht="15.75" customHeight="1">
      <c r="A115" s="11" t="s">
        <v>16</v>
      </c>
      <c r="B115" s="205" t="s">
        <v>1727</v>
      </c>
      <c r="C115" s="69" t="s">
        <v>1632</v>
      </c>
      <c r="D115" s="70">
        <v>0.625</v>
      </c>
      <c r="E115" s="149" t="s">
        <v>1728</v>
      </c>
      <c r="F115" s="149">
        <v>2.01535485970008E14</v>
      </c>
      <c r="G115" s="148" t="s">
        <v>1729</v>
      </c>
      <c r="H115" s="344">
        <v>21855.0</v>
      </c>
      <c r="I115" s="18" t="s">
        <v>182</v>
      </c>
      <c r="J115" s="212"/>
      <c r="K115" s="212"/>
      <c r="R115" s="62"/>
    </row>
    <row r="116" ht="15.75" customHeight="1">
      <c r="A116" s="11" t="s">
        <v>17</v>
      </c>
      <c r="B116" s="205" t="s">
        <v>1717</v>
      </c>
      <c r="C116" s="69" t="s">
        <v>1632</v>
      </c>
      <c r="D116" s="70">
        <v>0.6388888888888888</v>
      </c>
      <c r="E116" s="149" t="s">
        <v>1730</v>
      </c>
      <c r="F116" s="149">
        <v>7.06006330846441E14</v>
      </c>
      <c r="G116" s="148" t="s">
        <v>1731</v>
      </c>
      <c r="H116" s="344">
        <v>21504.0</v>
      </c>
      <c r="I116" s="18" t="s">
        <v>182</v>
      </c>
      <c r="J116" s="212">
        <v>1.1920001958E10</v>
      </c>
      <c r="K116" s="212"/>
      <c r="R116" s="62"/>
    </row>
    <row r="117" ht="15.75" customHeight="1">
      <c r="A117" s="11" t="s">
        <v>85</v>
      </c>
      <c r="B117" s="205" t="s">
        <v>1717</v>
      </c>
      <c r="C117" s="69" t="s">
        <v>1632</v>
      </c>
      <c r="D117" s="70">
        <v>0.6527777777777778</v>
      </c>
      <c r="E117" s="149" t="s">
        <v>1732</v>
      </c>
      <c r="F117" s="149">
        <v>7.03209663734393E14</v>
      </c>
      <c r="G117" s="148" t="s">
        <v>1733</v>
      </c>
      <c r="H117" s="344">
        <v>21877.0</v>
      </c>
      <c r="I117" s="18" t="s">
        <v>182</v>
      </c>
      <c r="J117" s="212">
        <v>1.1915602006E10</v>
      </c>
      <c r="K117" s="212">
        <v>1.1980944653E10</v>
      </c>
      <c r="R117" s="62"/>
      <c r="V117" s="292"/>
    </row>
    <row r="118" ht="15.75" customHeight="1">
      <c r="A118" s="11" t="s">
        <v>87</v>
      </c>
      <c r="B118" s="205" t="s">
        <v>1734</v>
      </c>
      <c r="C118" s="69" t="s">
        <v>1632</v>
      </c>
      <c r="D118" s="70">
        <v>0.6666666666666666</v>
      </c>
      <c r="E118" s="149" t="s">
        <v>1735</v>
      </c>
      <c r="F118" s="149">
        <v>8.98001418960669E14</v>
      </c>
      <c r="G118" s="148" t="s">
        <v>1736</v>
      </c>
      <c r="H118" s="344">
        <v>27318.0</v>
      </c>
      <c r="I118" s="18" t="s">
        <v>182</v>
      </c>
      <c r="J118" s="212">
        <v>1.1956020202E10</v>
      </c>
      <c r="K118" s="212"/>
      <c r="R118" s="62"/>
    </row>
    <row r="119" ht="15.75" customHeight="1">
      <c r="A119" s="11" t="s">
        <v>90</v>
      </c>
      <c r="B119" s="205" t="s">
        <v>1737</v>
      </c>
      <c r="C119" s="69" t="s">
        <v>1632</v>
      </c>
      <c r="D119" s="70">
        <v>0.6805555555555556</v>
      </c>
      <c r="E119" s="149" t="s">
        <v>1738</v>
      </c>
      <c r="F119" s="149">
        <v>8.98000709384086E14</v>
      </c>
      <c r="G119" s="148" t="s">
        <v>1739</v>
      </c>
      <c r="H119" s="344">
        <v>13967.0</v>
      </c>
      <c r="I119" s="18" t="s">
        <v>182</v>
      </c>
      <c r="J119" s="212">
        <v>1.1948756691E10</v>
      </c>
      <c r="K119" s="212"/>
      <c r="R119" s="62"/>
    </row>
    <row r="120" ht="15.75" customHeight="1">
      <c r="A120" s="11" t="s">
        <v>93</v>
      </c>
      <c r="B120" s="205" t="s">
        <v>1734</v>
      </c>
      <c r="C120" s="69" t="s">
        <v>1632</v>
      </c>
      <c r="D120" s="70">
        <v>0.6944444444444444</v>
      </c>
      <c r="E120" s="149" t="s">
        <v>1740</v>
      </c>
      <c r="F120" s="149">
        <v>7.01806257615874E14</v>
      </c>
      <c r="G120" s="148" t="s">
        <v>1741</v>
      </c>
      <c r="H120" s="344">
        <v>22901.0</v>
      </c>
      <c r="I120" s="18" t="s">
        <v>182</v>
      </c>
      <c r="J120" s="212">
        <v>1.1916474416E10</v>
      </c>
      <c r="K120" s="212">
        <v>1.1973836845E10</v>
      </c>
      <c r="R120" s="62"/>
    </row>
    <row r="121" ht="15.75" customHeight="1">
      <c r="J121" s="62"/>
      <c r="K121" s="62"/>
      <c r="R121" s="62"/>
    </row>
    <row r="122" ht="15.75" customHeight="1">
      <c r="J122" s="62"/>
      <c r="K122" s="62"/>
      <c r="R122" s="62"/>
    </row>
    <row r="123" ht="15.75" customHeight="1">
      <c r="J123" s="62"/>
      <c r="K123" s="62"/>
      <c r="R123" s="62"/>
    </row>
    <row r="124" ht="15.75" customHeight="1">
      <c r="A124" s="20" t="s">
        <v>18</v>
      </c>
      <c r="B124" s="2"/>
      <c r="C124" s="2"/>
      <c r="D124" s="2"/>
      <c r="E124" s="2"/>
      <c r="F124" s="2"/>
      <c r="G124" s="2"/>
      <c r="H124" s="2"/>
      <c r="I124" s="2"/>
      <c r="J124" s="2"/>
      <c r="K124" s="3"/>
      <c r="R124" s="62"/>
    </row>
    <row r="125" ht="15.75" customHeight="1">
      <c r="A125" s="233" t="s">
        <v>1742</v>
      </c>
      <c r="B125" s="2"/>
      <c r="C125" s="2"/>
      <c r="D125" s="2"/>
      <c r="E125" s="2"/>
      <c r="F125" s="2"/>
      <c r="G125" s="2"/>
      <c r="H125" s="2"/>
      <c r="I125" s="2"/>
      <c r="J125" s="2"/>
      <c r="K125" s="3"/>
      <c r="N125" s="237" t="s">
        <v>386</v>
      </c>
      <c r="O125" s="95"/>
      <c r="P125" s="95"/>
      <c r="Q125" s="95"/>
      <c r="R125" s="62"/>
    </row>
    <row r="126" ht="15.75" customHeight="1">
      <c r="A126" s="22"/>
      <c r="B126" s="23" t="s">
        <v>3</v>
      </c>
      <c r="C126" s="24" t="s">
        <v>2</v>
      </c>
      <c r="D126" s="25" t="s">
        <v>5</v>
      </c>
      <c r="E126" s="25" t="s">
        <v>19</v>
      </c>
      <c r="F126" s="25" t="s">
        <v>6</v>
      </c>
      <c r="G126" s="234" t="s">
        <v>7</v>
      </c>
      <c r="H126" s="27" t="s">
        <v>8</v>
      </c>
      <c r="I126" s="28" t="s">
        <v>20</v>
      </c>
      <c r="J126" s="25" t="s">
        <v>21</v>
      </c>
      <c r="K126" s="25" t="s">
        <v>22</v>
      </c>
      <c r="N126" s="239" t="s">
        <v>670</v>
      </c>
      <c r="O126" s="2"/>
      <c r="P126" s="2"/>
      <c r="Q126" s="2"/>
      <c r="R126" s="62"/>
    </row>
    <row r="127" ht="15.75" customHeight="1">
      <c r="A127" s="11" t="s">
        <v>10</v>
      </c>
      <c r="B127" s="205" t="s">
        <v>1667</v>
      </c>
      <c r="C127" s="69" t="s">
        <v>1591</v>
      </c>
      <c r="D127" s="70">
        <v>0.5416666666666666</v>
      </c>
      <c r="E127" s="214" t="s">
        <v>1743</v>
      </c>
      <c r="F127" s="170">
        <v>8.01440420565251E14</v>
      </c>
      <c r="G127" s="100" t="s">
        <v>1744</v>
      </c>
      <c r="H127" s="78">
        <v>16024.0</v>
      </c>
      <c r="I127" s="30" t="s">
        <v>182</v>
      </c>
      <c r="J127" s="97" t="s">
        <v>1745</v>
      </c>
      <c r="K127" s="97" t="s">
        <v>1746</v>
      </c>
      <c r="N127" s="240" t="s">
        <v>182</v>
      </c>
      <c r="O127" s="241" t="s">
        <v>194</v>
      </c>
      <c r="P127" s="241" t="s">
        <v>180</v>
      </c>
      <c r="Q127" s="242" t="s">
        <v>172</v>
      </c>
      <c r="R127" s="62"/>
    </row>
    <row r="128" ht="15.75" customHeight="1">
      <c r="A128" s="11" t="s">
        <v>11</v>
      </c>
      <c r="B128" s="205" t="s">
        <v>1670</v>
      </c>
      <c r="C128" s="69" t="s">
        <v>1591</v>
      </c>
      <c r="D128" s="70">
        <v>0.5555555555555556</v>
      </c>
      <c r="E128" s="214" t="s">
        <v>1747</v>
      </c>
      <c r="F128" s="170">
        <v>7.00205409424223E14</v>
      </c>
      <c r="G128" s="100" t="s">
        <v>1748</v>
      </c>
      <c r="H128" s="78">
        <v>20566.0</v>
      </c>
      <c r="I128" s="30" t="s">
        <v>182</v>
      </c>
      <c r="J128" s="37" t="s">
        <v>1749</v>
      </c>
      <c r="K128" s="37"/>
      <c r="N128" s="244">
        <f t="shared" ref="N128:Q128" si="8">COUNTIFS($I$128:$I$138,N127)</f>
        <v>8</v>
      </c>
      <c r="O128" s="244">
        <f t="shared" si="8"/>
        <v>0</v>
      </c>
      <c r="P128" s="244">
        <f t="shared" si="8"/>
        <v>2</v>
      </c>
      <c r="Q128" s="244">
        <f t="shared" si="8"/>
        <v>1</v>
      </c>
      <c r="R128" s="62"/>
    </row>
    <row r="129" ht="15.75" customHeight="1">
      <c r="A129" s="11" t="s">
        <v>12</v>
      </c>
      <c r="B129" s="205" t="s">
        <v>270</v>
      </c>
      <c r="C129" s="69" t="s">
        <v>1591</v>
      </c>
      <c r="D129" s="70">
        <v>0.5694444444444444</v>
      </c>
      <c r="E129" s="214" t="s">
        <v>1750</v>
      </c>
      <c r="F129" s="170">
        <v>7.05003620253655E14</v>
      </c>
      <c r="G129" s="100" t="s">
        <v>1751</v>
      </c>
      <c r="H129" s="78">
        <v>14032.0</v>
      </c>
      <c r="I129" s="30" t="s">
        <v>182</v>
      </c>
      <c r="J129" s="97" t="s">
        <v>1752</v>
      </c>
      <c r="K129" s="97"/>
      <c r="R129" s="62"/>
    </row>
    <row r="130" ht="15.75" customHeight="1">
      <c r="A130" s="11" t="s">
        <v>13</v>
      </c>
      <c r="B130" s="205" t="s">
        <v>595</v>
      </c>
      <c r="C130" s="69" t="s">
        <v>1591</v>
      </c>
      <c r="D130" s="70">
        <v>0.5833333333333334</v>
      </c>
      <c r="E130" s="214" t="s">
        <v>1753</v>
      </c>
      <c r="F130" s="170">
        <v>7.000004270895E14</v>
      </c>
      <c r="G130" s="100" t="s">
        <v>1754</v>
      </c>
      <c r="H130" s="78">
        <v>19913.0</v>
      </c>
      <c r="I130" s="30" t="s">
        <v>182</v>
      </c>
      <c r="J130" s="97" t="s">
        <v>1755</v>
      </c>
      <c r="K130" s="97"/>
      <c r="R130" s="62"/>
    </row>
    <row r="131" ht="15.75" customHeight="1">
      <c r="A131" s="11" t="s">
        <v>14</v>
      </c>
      <c r="B131" s="205" t="s">
        <v>1252</v>
      </c>
      <c r="C131" s="69" t="s">
        <v>1591</v>
      </c>
      <c r="D131" s="70">
        <v>0.5972222222222222</v>
      </c>
      <c r="E131" s="214" t="s">
        <v>1756</v>
      </c>
      <c r="F131" s="170">
        <v>8.01440499751359E14</v>
      </c>
      <c r="G131" s="100" t="s">
        <v>1757</v>
      </c>
      <c r="H131" s="78">
        <v>18866.0</v>
      </c>
      <c r="I131" s="30" t="s">
        <v>182</v>
      </c>
      <c r="J131" s="97" t="s">
        <v>1758</v>
      </c>
      <c r="K131" s="97" t="s">
        <v>1759</v>
      </c>
      <c r="R131" s="62"/>
    </row>
    <row r="132" ht="15.75" customHeight="1">
      <c r="A132" s="11" t="s">
        <v>15</v>
      </c>
      <c r="B132" s="205" t="s">
        <v>595</v>
      </c>
      <c r="C132" s="69" t="s">
        <v>1591</v>
      </c>
      <c r="D132" s="70">
        <v>0.6111111111111112</v>
      </c>
      <c r="E132" s="214" t="s">
        <v>1760</v>
      </c>
      <c r="F132" s="375" t="s">
        <v>1761</v>
      </c>
      <c r="G132" s="100" t="s">
        <v>1762</v>
      </c>
      <c r="H132" s="78">
        <v>36529.0</v>
      </c>
      <c r="I132" s="30" t="s">
        <v>182</v>
      </c>
      <c r="J132" s="97" t="s">
        <v>1763</v>
      </c>
      <c r="K132" s="97"/>
      <c r="R132" s="62"/>
    </row>
    <row r="133" ht="15.75" customHeight="1">
      <c r="A133" s="11" t="s">
        <v>16</v>
      </c>
      <c r="B133" s="205" t="s">
        <v>1682</v>
      </c>
      <c r="C133" s="69" t="s">
        <v>1591</v>
      </c>
      <c r="D133" s="70">
        <v>0.625</v>
      </c>
      <c r="E133" s="214" t="s">
        <v>1764</v>
      </c>
      <c r="F133" s="170">
        <v>7.08002867183022E14</v>
      </c>
      <c r="G133" s="100" t="s">
        <v>1765</v>
      </c>
      <c r="H133" s="78">
        <v>24995.0</v>
      </c>
      <c r="I133" s="30" t="s">
        <v>182</v>
      </c>
      <c r="J133" s="97" t="s">
        <v>1766</v>
      </c>
      <c r="K133" s="97"/>
      <c r="R133" s="62"/>
    </row>
    <row r="134" ht="15.75" customHeight="1">
      <c r="A134" s="11" t="s">
        <v>17</v>
      </c>
      <c r="B134" s="205" t="s">
        <v>1685</v>
      </c>
      <c r="C134" s="69" t="s">
        <v>1591</v>
      </c>
      <c r="D134" s="70">
        <v>0.6388888888888888</v>
      </c>
      <c r="E134" s="214" t="s">
        <v>1767</v>
      </c>
      <c r="F134" s="170">
        <v>7.08900765387311E14</v>
      </c>
      <c r="G134" s="100" t="s">
        <v>1768</v>
      </c>
      <c r="H134" s="78">
        <v>19418.0</v>
      </c>
      <c r="I134" s="30" t="s">
        <v>182</v>
      </c>
      <c r="J134" s="97" t="s">
        <v>1769</v>
      </c>
      <c r="K134" s="97" t="s">
        <v>1770</v>
      </c>
      <c r="R134" s="62"/>
    </row>
    <row r="135" ht="15.75" customHeight="1">
      <c r="A135" s="11" t="s">
        <v>85</v>
      </c>
      <c r="B135" s="205" t="s">
        <v>238</v>
      </c>
      <c r="C135" s="69" t="s">
        <v>1591</v>
      </c>
      <c r="D135" s="70">
        <v>0.6527777777777778</v>
      </c>
      <c r="E135" s="214" t="s">
        <v>1771</v>
      </c>
      <c r="F135" s="170">
        <v>7.06409659523386E14</v>
      </c>
      <c r="G135" s="100" t="s">
        <v>1772</v>
      </c>
      <c r="H135" s="78">
        <v>14733.0</v>
      </c>
      <c r="I135" s="30" t="s">
        <v>172</v>
      </c>
      <c r="J135" s="97" t="s">
        <v>1773</v>
      </c>
      <c r="K135" s="97" t="s">
        <v>1774</v>
      </c>
      <c r="R135" s="62"/>
    </row>
    <row r="136" ht="15.75" customHeight="1">
      <c r="A136" s="11" t="s">
        <v>87</v>
      </c>
      <c r="B136" s="205" t="s">
        <v>1688</v>
      </c>
      <c r="C136" s="69" t="s">
        <v>1591</v>
      </c>
      <c r="D136" s="70">
        <v>0.6666666666666666</v>
      </c>
      <c r="E136" s="214"/>
      <c r="F136" s="170"/>
      <c r="G136" s="100"/>
      <c r="H136" s="78"/>
      <c r="I136" s="30" t="s">
        <v>180</v>
      </c>
      <c r="J136" s="97"/>
      <c r="K136" s="97"/>
      <c r="R136" s="62"/>
    </row>
    <row r="137" ht="15.75" customHeight="1">
      <c r="A137" s="11" t="s">
        <v>90</v>
      </c>
      <c r="B137" s="205" t="s">
        <v>1627</v>
      </c>
      <c r="C137" s="69" t="s">
        <v>1591</v>
      </c>
      <c r="D137" s="70">
        <v>0.6805555555555556</v>
      </c>
      <c r="E137" s="214" t="s">
        <v>1775</v>
      </c>
      <c r="F137" s="170">
        <v>8.01440400952764E14</v>
      </c>
      <c r="G137" s="100" t="s">
        <v>1776</v>
      </c>
      <c r="H137" s="78">
        <v>15374.0</v>
      </c>
      <c r="I137" s="30" t="s">
        <v>182</v>
      </c>
      <c r="J137" s="97" t="s">
        <v>1777</v>
      </c>
      <c r="K137" s="97" t="s">
        <v>1778</v>
      </c>
      <c r="R137" s="62"/>
    </row>
    <row r="138" ht="15.75" customHeight="1">
      <c r="A138" s="11" t="s">
        <v>93</v>
      </c>
      <c r="B138" s="205" t="s">
        <v>1688</v>
      </c>
      <c r="C138" s="69" t="s">
        <v>1591</v>
      </c>
      <c r="D138" s="70">
        <v>0.6944444444444444</v>
      </c>
      <c r="E138" s="214"/>
      <c r="F138" s="170"/>
      <c r="G138" s="100"/>
      <c r="H138" s="78"/>
      <c r="I138" s="30" t="s">
        <v>180</v>
      </c>
      <c r="J138" s="97"/>
      <c r="K138" s="97"/>
      <c r="R138" s="62"/>
    </row>
    <row r="139" ht="15.75" customHeight="1">
      <c r="J139" s="62"/>
      <c r="K139" s="62"/>
      <c r="R139" s="62"/>
    </row>
    <row r="140" ht="15.75" customHeight="1">
      <c r="J140" s="62"/>
      <c r="K140" s="62"/>
      <c r="R140" s="62"/>
    </row>
    <row r="141" ht="15.75" customHeight="1">
      <c r="J141" s="62"/>
      <c r="K141" s="62"/>
      <c r="R141" s="62"/>
    </row>
    <row r="142" ht="15.75" customHeight="1">
      <c r="J142" s="62"/>
      <c r="K142" s="62"/>
      <c r="R142" s="62"/>
    </row>
    <row r="143" ht="15.75" customHeight="1">
      <c r="A143" s="20" t="s">
        <v>18</v>
      </c>
      <c r="B143" s="2"/>
      <c r="C143" s="2"/>
      <c r="D143" s="2"/>
      <c r="E143" s="2"/>
      <c r="F143" s="2"/>
      <c r="G143" s="2"/>
      <c r="H143" s="2"/>
      <c r="I143" s="2"/>
      <c r="J143" s="2"/>
      <c r="K143" s="3"/>
      <c r="R143" s="62"/>
    </row>
    <row r="144" ht="15.75" customHeight="1">
      <c r="A144" s="233" t="s">
        <v>1779</v>
      </c>
      <c r="B144" s="2"/>
      <c r="C144" s="2"/>
      <c r="D144" s="2"/>
      <c r="E144" s="2"/>
      <c r="F144" s="2"/>
      <c r="G144" s="2"/>
      <c r="H144" s="2"/>
      <c r="I144" s="2"/>
      <c r="J144" s="2"/>
      <c r="K144" s="3"/>
      <c r="R144" s="62"/>
    </row>
    <row r="145" ht="15.75" customHeight="1">
      <c r="A145" s="22"/>
      <c r="B145" s="23" t="s">
        <v>3</v>
      </c>
      <c r="C145" s="24" t="s">
        <v>2</v>
      </c>
      <c r="D145" s="25" t="s">
        <v>5</v>
      </c>
      <c r="E145" s="25" t="s">
        <v>19</v>
      </c>
      <c r="F145" s="25" t="s">
        <v>6</v>
      </c>
      <c r="G145" s="234" t="s">
        <v>7</v>
      </c>
      <c r="H145" s="27" t="s">
        <v>8</v>
      </c>
      <c r="I145" s="28" t="s">
        <v>20</v>
      </c>
      <c r="J145" s="25" t="s">
        <v>21</v>
      </c>
      <c r="K145" s="25" t="s">
        <v>22</v>
      </c>
      <c r="R145" s="62"/>
    </row>
    <row r="146" ht="15.75" customHeight="1">
      <c r="A146" s="11" t="s">
        <v>10</v>
      </c>
      <c r="B146" s="205" t="s">
        <v>1780</v>
      </c>
      <c r="C146" s="69" t="s">
        <v>1632</v>
      </c>
      <c r="D146" s="70">
        <v>0.5416666666666666</v>
      </c>
      <c r="E146" s="214" t="s">
        <v>1781</v>
      </c>
      <c r="F146" s="371" t="s">
        <v>1782</v>
      </c>
      <c r="G146" s="74" t="s">
        <v>1783</v>
      </c>
      <c r="H146" s="78">
        <v>28828.0</v>
      </c>
      <c r="I146" s="30" t="s">
        <v>182</v>
      </c>
      <c r="J146" s="18" t="s">
        <v>1784</v>
      </c>
      <c r="K146" s="79"/>
      <c r="L146" s="197" t="s">
        <v>520</v>
      </c>
      <c r="N146" s="237" t="s">
        <v>386</v>
      </c>
      <c r="O146" s="95"/>
      <c r="P146" s="95"/>
      <c r="Q146" s="95"/>
      <c r="R146" s="62"/>
    </row>
    <row r="147" ht="15.75" customHeight="1">
      <c r="A147" s="11" t="s">
        <v>11</v>
      </c>
      <c r="B147" s="205" t="s">
        <v>1713</v>
      </c>
      <c r="C147" s="69" t="s">
        <v>1632</v>
      </c>
      <c r="D147" s="70">
        <v>0.5555555555555556</v>
      </c>
      <c r="E147" s="214" t="s">
        <v>1785</v>
      </c>
      <c r="F147" s="79">
        <v>7.00007794647805E14</v>
      </c>
      <c r="G147" s="238" t="s">
        <v>1786</v>
      </c>
      <c r="H147" s="72">
        <v>18947.0</v>
      </c>
      <c r="I147" s="30" t="s">
        <v>182</v>
      </c>
      <c r="J147" s="18" t="s">
        <v>1787</v>
      </c>
      <c r="K147" s="79" t="s">
        <v>1788</v>
      </c>
      <c r="N147" s="239" t="s">
        <v>670</v>
      </c>
      <c r="O147" s="2"/>
      <c r="P147" s="2"/>
      <c r="Q147" s="2"/>
      <c r="R147" s="62"/>
      <c r="S147" s="197">
        <f>106+69</f>
        <v>175</v>
      </c>
    </row>
    <row r="148" ht="15.75" customHeight="1">
      <c r="A148" s="11" t="s">
        <v>12</v>
      </c>
      <c r="B148" s="205" t="s">
        <v>1789</v>
      </c>
      <c r="C148" s="69" t="s">
        <v>1632</v>
      </c>
      <c r="D148" s="70">
        <v>0.5694444444444444</v>
      </c>
      <c r="E148" s="214" t="s">
        <v>1790</v>
      </c>
      <c r="F148" s="79">
        <v>8.0144048185127E14</v>
      </c>
      <c r="G148" s="74" t="s">
        <v>1791</v>
      </c>
      <c r="H148" s="78">
        <v>17835.0</v>
      </c>
      <c r="I148" s="30" t="s">
        <v>182</v>
      </c>
      <c r="J148" s="18" t="s">
        <v>1792</v>
      </c>
      <c r="K148" s="79"/>
      <c r="N148" s="240" t="s">
        <v>182</v>
      </c>
      <c r="O148" s="241" t="s">
        <v>194</v>
      </c>
      <c r="P148" s="241" t="s">
        <v>180</v>
      </c>
      <c r="Q148" s="242" t="s">
        <v>172</v>
      </c>
      <c r="R148" s="62"/>
    </row>
    <row r="149" ht="15.75" customHeight="1">
      <c r="A149" s="11" t="s">
        <v>13</v>
      </c>
      <c r="B149" s="205" t="s">
        <v>1720</v>
      </c>
      <c r="C149" s="69" t="s">
        <v>1632</v>
      </c>
      <c r="D149" s="70">
        <v>0.5833333333333334</v>
      </c>
      <c r="E149" s="214" t="s">
        <v>1793</v>
      </c>
      <c r="F149" s="79">
        <v>2.04302306850006E14</v>
      </c>
      <c r="G149" s="74" t="s">
        <v>1794</v>
      </c>
      <c r="H149" s="294">
        <v>20339.0</v>
      </c>
      <c r="I149" s="30" t="s">
        <v>182</v>
      </c>
      <c r="J149" s="18"/>
      <c r="K149" s="79"/>
      <c r="N149" s="244">
        <f t="shared" ref="N149:Q149" si="9">COUNTIFS($I$146:$I$157,N148)</f>
        <v>9</v>
      </c>
      <c r="O149" s="244">
        <f t="shared" si="9"/>
        <v>1</v>
      </c>
      <c r="P149" s="244">
        <f t="shared" si="9"/>
        <v>1</v>
      </c>
      <c r="Q149" s="244">
        <f t="shared" si="9"/>
        <v>1</v>
      </c>
      <c r="R149" s="62"/>
    </row>
    <row r="150" ht="15.75" customHeight="1">
      <c r="A150" s="11" t="s">
        <v>14</v>
      </c>
      <c r="B150" s="205" t="s">
        <v>1795</v>
      </c>
      <c r="C150" s="69" t="s">
        <v>1632</v>
      </c>
      <c r="D150" s="70">
        <v>0.5972222222222222</v>
      </c>
      <c r="E150" s="214"/>
      <c r="F150" s="79"/>
      <c r="G150" s="302"/>
      <c r="H150" s="72"/>
      <c r="I150" s="30" t="s">
        <v>180</v>
      </c>
      <c r="J150" s="18" t="s">
        <v>1796</v>
      </c>
      <c r="K150" s="79" t="s">
        <v>1797</v>
      </c>
      <c r="R150" s="62"/>
    </row>
    <row r="151" ht="15.75" customHeight="1">
      <c r="A151" s="11" t="s">
        <v>15</v>
      </c>
      <c r="B151" s="205" t="s">
        <v>1789</v>
      </c>
      <c r="C151" s="69" t="s">
        <v>1632</v>
      </c>
      <c r="D151" s="70">
        <v>0.6111111111111112</v>
      </c>
      <c r="E151" s="214" t="s">
        <v>1798</v>
      </c>
      <c r="F151" s="79">
        <v>2.01543669210004E14</v>
      </c>
      <c r="G151" s="296" t="s">
        <v>1799</v>
      </c>
      <c r="H151" s="72">
        <v>15109.0</v>
      </c>
      <c r="I151" s="30" t="s">
        <v>182</v>
      </c>
      <c r="J151" s="79" t="s">
        <v>1800</v>
      </c>
      <c r="K151" s="18" t="s">
        <v>1801</v>
      </c>
      <c r="R151" s="62"/>
    </row>
    <row r="152" ht="15.75" customHeight="1">
      <c r="A152" s="11" t="s">
        <v>16</v>
      </c>
      <c r="B152" s="205" t="s">
        <v>1727</v>
      </c>
      <c r="C152" s="69" t="s">
        <v>1632</v>
      </c>
      <c r="D152" s="70">
        <v>0.625</v>
      </c>
      <c r="E152" s="214" t="s">
        <v>1802</v>
      </c>
      <c r="F152" s="79">
        <v>7.08203650300743E14</v>
      </c>
      <c r="G152" s="74" t="s">
        <v>1803</v>
      </c>
      <c r="H152" s="273">
        <v>18215.0</v>
      </c>
      <c r="I152" s="30" t="s">
        <v>182</v>
      </c>
      <c r="J152" s="18" t="s">
        <v>1804</v>
      </c>
      <c r="K152" s="79"/>
      <c r="N152" s="197">
        <f t="shared" ref="N152:Q152" si="10">SUM(N94,N149,N112,N77,N60,N42,N7,N25,N128)</f>
        <v>69</v>
      </c>
      <c r="O152" s="197">
        <f t="shared" si="10"/>
        <v>3</v>
      </c>
      <c r="P152" s="197">
        <f t="shared" si="10"/>
        <v>13</v>
      </c>
      <c r="Q152" s="197">
        <f t="shared" si="10"/>
        <v>9</v>
      </c>
      <c r="R152" s="62"/>
    </row>
    <row r="153" ht="15.75" customHeight="1">
      <c r="A153" s="11" t="s">
        <v>17</v>
      </c>
      <c r="B153" s="205" t="s">
        <v>1737</v>
      </c>
      <c r="C153" s="69" t="s">
        <v>1632</v>
      </c>
      <c r="D153" s="70">
        <v>0.6388888888888888</v>
      </c>
      <c r="E153" s="214" t="s">
        <v>1805</v>
      </c>
      <c r="F153" s="79">
        <v>7.02902509676574E14</v>
      </c>
      <c r="G153" s="74" t="s">
        <v>1806</v>
      </c>
      <c r="H153" s="78">
        <v>17286.0</v>
      </c>
      <c r="I153" s="30" t="s">
        <v>182</v>
      </c>
      <c r="J153" s="18" t="s">
        <v>1807</v>
      </c>
      <c r="K153" s="79"/>
      <c r="R153" s="62"/>
    </row>
    <row r="154" ht="15.75" customHeight="1">
      <c r="A154" s="11" t="s">
        <v>85</v>
      </c>
      <c r="B154" s="205" t="s">
        <v>1717</v>
      </c>
      <c r="C154" s="69" t="s">
        <v>1632</v>
      </c>
      <c r="D154" s="70">
        <v>0.6527777777777778</v>
      </c>
      <c r="E154" s="214" t="s">
        <v>1808</v>
      </c>
      <c r="F154" s="79">
        <v>7.06806247001629E14</v>
      </c>
      <c r="G154" s="74" t="s">
        <v>1809</v>
      </c>
      <c r="H154" s="78">
        <v>29731.0</v>
      </c>
      <c r="I154" s="30" t="s">
        <v>182</v>
      </c>
      <c r="J154" s="18" t="s">
        <v>1810</v>
      </c>
      <c r="K154" s="79" t="s">
        <v>1811</v>
      </c>
      <c r="L154" s="197" t="s">
        <v>576</v>
      </c>
      <c r="R154" s="62"/>
    </row>
    <row r="155" ht="15.75" customHeight="1">
      <c r="A155" s="11" t="s">
        <v>87</v>
      </c>
      <c r="B155" s="205" t="s">
        <v>1734</v>
      </c>
      <c r="C155" s="69" t="s">
        <v>1632</v>
      </c>
      <c r="D155" s="70">
        <v>0.6666666666666666</v>
      </c>
      <c r="E155" s="214" t="s">
        <v>1812</v>
      </c>
      <c r="F155" s="149">
        <v>7.08004360910029E14</v>
      </c>
      <c r="G155" s="100" t="s">
        <v>1813</v>
      </c>
      <c r="H155" s="153">
        <v>19526.0</v>
      </c>
      <c r="I155" s="30" t="s">
        <v>194</v>
      </c>
      <c r="J155" s="18" t="s">
        <v>1814</v>
      </c>
      <c r="K155" s="79" t="s">
        <v>1815</v>
      </c>
      <c r="R155" s="62"/>
    </row>
    <row r="156" ht="15.75" customHeight="1">
      <c r="A156" s="11" t="s">
        <v>90</v>
      </c>
      <c r="B156" s="205" t="s">
        <v>1717</v>
      </c>
      <c r="C156" s="69" t="s">
        <v>1632</v>
      </c>
      <c r="D156" s="70">
        <v>0.6805555555555556</v>
      </c>
      <c r="E156" s="214" t="s">
        <v>1816</v>
      </c>
      <c r="F156" s="127">
        <v>7.05804493363035E14</v>
      </c>
      <c r="G156" s="100" t="s">
        <v>1817</v>
      </c>
      <c r="H156" s="153">
        <v>18331.0</v>
      </c>
      <c r="I156" s="30" t="s">
        <v>182</v>
      </c>
      <c r="J156" s="18" t="s">
        <v>1818</v>
      </c>
      <c r="K156" s="79"/>
      <c r="R156" s="62"/>
    </row>
    <row r="157" ht="15.75" customHeight="1">
      <c r="A157" s="11" t="s">
        <v>93</v>
      </c>
      <c r="B157" s="205" t="s">
        <v>1734</v>
      </c>
      <c r="C157" s="69" t="s">
        <v>1632</v>
      </c>
      <c r="D157" s="70">
        <v>0.6944444444444444</v>
      </c>
      <c r="E157" s="214" t="s">
        <v>1819</v>
      </c>
      <c r="F157" s="127">
        <v>7.02807648518361E14</v>
      </c>
      <c r="G157" s="100" t="s">
        <v>1820</v>
      </c>
      <c r="H157" s="153">
        <v>22179.0</v>
      </c>
      <c r="I157" s="30" t="s">
        <v>172</v>
      </c>
      <c r="J157" s="79"/>
      <c r="K157" s="79"/>
      <c r="R157" s="62"/>
    </row>
    <row r="158" ht="15.75" customHeight="1">
      <c r="J158" s="62"/>
      <c r="K158" s="62"/>
      <c r="R158" s="62"/>
    </row>
    <row r="159" ht="15.75" customHeight="1">
      <c r="J159" s="62"/>
      <c r="K159" s="62"/>
      <c r="R159" s="62"/>
    </row>
    <row r="160" ht="15.75" customHeight="1">
      <c r="J160" s="62"/>
      <c r="K160" s="62"/>
      <c r="R160" s="62"/>
    </row>
    <row r="161" ht="15.75" customHeight="1">
      <c r="F161" s="320"/>
      <c r="J161" s="62"/>
      <c r="K161" s="62"/>
      <c r="R161" s="62"/>
    </row>
    <row r="162" ht="15.75" customHeight="1">
      <c r="F162" s="320"/>
      <c r="J162" s="62"/>
      <c r="K162" s="62"/>
      <c r="R162" s="62"/>
    </row>
    <row r="163" ht="15.75" customHeight="1">
      <c r="F163" s="320"/>
      <c r="J163" s="62"/>
      <c r="K163" s="62"/>
      <c r="R163" s="62"/>
    </row>
    <row r="164" ht="15.75" customHeight="1">
      <c r="F164" s="320"/>
      <c r="J164" s="62"/>
      <c r="K164" s="62"/>
      <c r="R164" s="62"/>
    </row>
    <row r="165" ht="15.75" customHeight="1">
      <c r="F165" s="320"/>
      <c r="J165" s="62"/>
      <c r="K165" s="62"/>
      <c r="R165" s="62"/>
    </row>
    <row r="166" ht="15.75" customHeight="1">
      <c r="F166" s="320"/>
      <c r="J166" s="62"/>
      <c r="K166" s="62"/>
      <c r="R166" s="62"/>
    </row>
    <row r="167" ht="15.75" customHeight="1">
      <c r="J167" s="62"/>
      <c r="K167" s="62"/>
      <c r="R167" s="62"/>
    </row>
    <row r="168" ht="15.75" customHeight="1">
      <c r="J168" s="62"/>
      <c r="K168" s="62"/>
      <c r="R168" s="62"/>
    </row>
    <row r="169" ht="15.75" customHeight="1">
      <c r="J169" s="62"/>
      <c r="K169" s="62"/>
      <c r="R169" s="62"/>
    </row>
    <row r="170" ht="15.75" customHeight="1">
      <c r="J170" s="62"/>
      <c r="K170" s="62"/>
      <c r="R170" s="62"/>
    </row>
    <row r="171" ht="15.75" customHeight="1">
      <c r="J171" s="62"/>
      <c r="K171" s="62"/>
      <c r="R171" s="62"/>
    </row>
    <row r="172" ht="15.75" customHeight="1">
      <c r="J172" s="62"/>
      <c r="K172" s="62"/>
      <c r="R172" s="62"/>
    </row>
    <row r="173" ht="15.75" customHeight="1">
      <c r="J173" s="62"/>
      <c r="K173" s="62"/>
      <c r="R173" s="62"/>
    </row>
    <row r="174" ht="15.75" customHeight="1">
      <c r="J174" s="62"/>
      <c r="K174" s="62"/>
      <c r="R174" s="62"/>
    </row>
    <row r="175" ht="15.75" customHeight="1">
      <c r="J175" s="62"/>
      <c r="K175" s="62"/>
      <c r="R175" s="62"/>
    </row>
    <row r="176" ht="15.75" customHeight="1">
      <c r="J176" s="62"/>
      <c r="K176" s="62"/>
      <c r="R176" s="62"/>
    </row>
    <row r="177" ht="15.75" customHeight="1">
      <c r="J177" s="62"/>
      <c r="K177" s="62"/>
      <c r="R177" s="62"/>
    </row>
    <row r="178" ht="15.75" customHeight="1">
      <c r="J178" s="62"/>
      <c r="K178" s="62"/>
      <c r="R178" s="62"/>
    </row>
    <row r="179" ht="15.75" customHeight="1">
      <c r="J179" s="62"/>
      <c r="K179" s="62"/>
      <c r="R179" s="62"/>
    </row>
    <row r="180" ht="15.75" customHeight="1">
      <c r="J180" s="62"/>
      <c r="K180" s="62"/>
      <c r="R180" s="62"/>
    </row>
    <row r="181" ht="15.75" customHeight="1">
      <c r="J181" s="62"/>
      <c r="K181" s="62"/>
      <c r="R181" s="62"/>
    </row>
    <row r="182" ht="15.75" customHeight="1">
      <c r="J182" s="62"/>
      <c r="K182" s="62"/>
      <c r="R182" s="62"/>
    </row>
    <row r="183" ht="15.75" customHeight="1">
      <c r="J183" s="62"/>
      <c r="K183" s="62"/>
      <c r="R183" s="62"/>
    </row>
    <row r="184" ht="15.75" customHeight="1">
      <c r="J184" s="62"/>
      <c r="K184" s="62"/>
      <c r="R184" s="62"/>
    </row>
    <row r="185" ht="15.75" customHeight="1">
      <c r="J185" s="62"/>
      <c r="K185" s="62"/>
      <c r="R185" s="62"/>
    </row>
    <row r="186" ht="15.75" customHeight="1">
      <c r="J186" s="62"/>
      <c r="K186" s="62"/>
      <c r="R186" s="62"/>
    </row>
    <row r="187" ht="15.75" customHeight="1">
      <c r="J187" s="62"/>
      <c r="K187" s="62"/>
      <c r="R187" s="62"/>
    </row>
    <row r="188" ht="15.75" customHeight="1">
      <c r="J188" s="62"/>
      <c r="K188" s="62"/>
      <c r="R188" s="62"/>
    </row>
    <row r="189" ht="15.75" customHeight="1">
      <c r="J189" s="62"/>
      <c r="K189" s="62"/>
      <c r="R189" s="62"/>
    </row>
    <row r="190" ht="15.75" customHeight="1">
      <c r="J190" s="62"/>
      <c r="K190" s="62"/>
      <c r="R190" s="62"/>
    </row>
    <row r="191" ht="15.75" customHeight="1">
      <c r="J191" s="62"/>
      <c r="K191" s="62"/>
      <c r="R191" s="62"/>
    </row>
    <row r="192" ht="15.75" customHeight="1">
      <c r="J192" s="62"/>
      <c r="K192" s="62"/>
      <c r="R192" s="62"/>
    </row>
    <row r="193" ht="15.75" customHeight="1">
      <c r="J193" s="62"/>
      <c r="K193" s="62"/>
      <c r="R193" s="62"/>
    </row>
    <row r="194" ht="15.75" customHeight="1">
      <c r="J194" s="62"/>
      <c r="K194" s="62"/>
      <c r="R194" s="62"/>
    </row>
    <row r="195" ht="15.75" customHeight="1">
      <c r="J195" s="62"/>
      <c r="K195" s="62"/>
      <c r="R195" s="62"/>
    </row>
    <row r="196" ht="15.75" customHeight="1">
      <c r="J196" s="62"/>
      <c r="K196" s="62"/>
      <c r="R196" s="62"/>
    </row>
    <row r="197" ht="15.75" customHeight="1">
      <c r="J197" s="62"/>
      <c r="K197" s="62"/>
      <c r="R197" s="62"/>
    </row>
    <row r="198" ht="15.75" customHeight="1">
      <c r="J198" s="62"/>
      <c r="K198" s="62"/>
      <c r="R198" s="62"/>
    </row>
    <row r="199" ht="15.75" customHeight="1">
      <c r="J199" s="62"/>
      <c r="K199" s="62"/>
      <c r="R199" s="62"/>
    </row>
    <row r="200" ht="15.75" customHeight="1">
      <c r="J200" s="62"/>
      <c r="K200" s="62"/>
      <c r="R200" s="62"/>
    </row>
    <row r="201" ht="15.75" customHeight="1">
      <c r="J201" s="62"/>
      <c r="K201" s="62"/>
      <c r="R201" s="62"/>
    </row>
    <row r="202" ht="15.75" customHeight="1">
      <c r="J202" s="62"/>
      <c r="K202" s="62"/>
      <c r="R202" s="62"/>
    </row>
    <row r="203" ht="15.75" customHeight="1">
      <c r="J203" s="62"/>
      <c r="K203" s="62"/>
      <c r="R203" s="62"/>
    </row>
    <row r="204" ht="15.75" customHeight="1">
      <c r="J204" s="62"/>
      <c r="K204" s="62"/>
      <c r="R204" s="62"/>
    </row>
    <row r="205" ht="15.75" customHeight="1">
      <c r="J205" s="62"/>
      <c r="K205" s="62"/>
      <c r="R205" s="62"/>
    </row>
    <row r="206" ht="15.75" customHeight="1">
      <c r="J206" s="62"/>
      <c r="K206" s="62"/>
      <c r="R206" s="62"/>
    </row>
    <row r="207" ht="15.75" customHeight="1">
      <c r="J207" s="62"/>
      <c r="K207" s="62"/>
      <c r="R207" s="62"/>
    </row>
    <row r="208" ht="15.75" customHeight="1">
      <c r="J208" s="62"/>
      <c r="K208" s="62"/>
      <c r="R208" s="62"/>
    </row>
    <row r="209" ht="15.75" customHeight="1">
      <c r="J209" s="62"/>
      <c r="K209" s="62"/>
      <c r="R209" s="62"/>
    </row>
    <row r="210" ht="15.75" customHeight="1">
      <c r="J210" s="62"/>
      <c r="K210" s="62"/>
      <c r="R210" s="62"/>
    </row>
    <row r="211" ht="15.75" customHeight="1">
      <c r="J211" s="62"/>
      <c r="K211" s="62"/>
      <c r="R211" s="62"/>
    </row>
    <row r="212" ht="15.75" customHeight="1">
      <c r="J212" s="62"/>
      <c r="K212" s="62"/>
      <c r="R212" s="62"/>
    </row>
    <row r="213" ht="15.75" customHeight="1">
      <c r="J213" s="62"/>
      <c r="K213" s="62"/>
      <c r="R213" s="62"/>
    </row>
    <row r="214" ht="15.75" customHeight="1">
      <c r="J214" s="62"/>
      <c r="K214" s="62"/>
      <c r="R214" s="62"/>
    </row>
    <row r="215" ht="15.75" customHeight="1">
      <c r="J215" s="62"/>
      <c r="K215" s="62"/>
      <c r="R215" s="62"/>
    </row>
    <row r="216" ht="15.75" customHeight="1">
      <c r="J216" s="62"/>
      <c r="K216" s="62"/>
      <c r="R216" s="62"/>
    </row>
    <row r="217" ht="15.75" customHeight="1">
      <c r="J217" s="62"/>
      <c r="K217" s="62"/>
      <c r="R217" s="62"/>
    </row>
    <row r="218" ht="15.75" customHeight="1">
      <c r="J218" s="62"/>
      <c r="K218" s="62"/>
      <c r="R218" s="62"/>
    </row>
    <row r="219" ht="15.75" customHeight="1">
      <c r="J219" s="62"/>
      <c r="K219" s="62"/>
      <c r="R219" s="62"/>
    </row>
    <row r="220" ht="15.75" customHeight="1">
      <c r="J220" s="62"/>
      <c r="K220" s="62"/>
      <c r="R220" s="62"/>
    </row>
    <row r="221" ht="15.75" customHeight="1">
      <c r="J221" s="62"/>
      <c r="K221" s="62"/>
      <c r="R221" s="62"/>
    </row>
    <row r="222" ht="15.75" customHeight="1">
      <c r="J222" s="62"/>
      <c r="K222" s="62"/>
      <c r="R222" s="62"/>
    </row>
    <row r="223" ht="15.75" customHeight="1">
      <c r="J223" s="62"/>
      <c r="K223" s="62"/>
      <c r="R223" s="62"/>
    </row>
    <row r="224" ht="15.75" customHeight="1">
      <c r="J224" s="62"/>
      <c r="K224" s="62"/>
      <c r="R224" s="62"/>
    </row>
    <row r="225" ht="15.75" customHeight="1">
      <c r="J225" s="62"/>
      <c r="K225" s="62"/>
      <c r="R225" s="62"/>
    </row>
    <row r="226" ht="15.75" customHeight="1">
      <c r="J226" s="62"/>
      <c r="K226" s="62"/>
      <c r="R226" s="62"/>
    </row>
    <row r="227" ht="15.75" customHeight="1">
      <c r="J227" s="62"/>
      <c r="K227" s="62"/>
      <c r="R227" s="62"/>
    </row>
    <row r="228" ht="15.75" customHeight="1">
      <c r="J228" s="62"/>
      <c r="K228" s="62"/>
      <c r="R228" s="62"/>
    </row>
    <row r="229" ht="15.75" customHeight="1">
      <c r="J229" s="62"/>
      <c r="K229" s="62"/>
      <c r="R229" s="62"/>
    </row>
    <row r="230" ht="15.75" customHeight="1">
      <c r="J230" s="62"/>
      <c r="K230" s="62"/>
      <c r="R230" s="62"/>
    </row>
    <row r="231" ht="15.75" customHeight="1">
      <c r="J231" s="62"/>
      <c r="K231" s="62"/>
      <c r="R231" s="62"/>
    </row>
    <row r="232" ht="15.75" customHeight="1">
      <c r="J232" s="62"/>
      <c r="K232" s="62"/>
      <c r="R232" s="62"/>
    </row>
    <row r="233" ht="15.75" customHeight="1">
      <c r="J233" s="62"/>
      <c r="K233" s="62"/>
      <c r="R233" s="62"/>
    </row>
    <row r="234" ht="15.75" customHeight="1">
      <c r="J234" s="62"/>
      <c r="K234" s="62"/>
      <c r="R234" s="62"/>
    </row>
    <row r="235" ht="15.75" customHeight="1">
      <c r="J235" s="62"/>
      <c r="K235" s="62"/>
      <c r="R235" s="62"/>
    </row>
    <row r="236" ht="15.75" customHeight="1">
      <c r="J236" s="62"/>
      <c r="K236" s="62"/>
      <c r="R236" s="62"/>
    </row>
    <row r="237" ht="15.75" customHeight="1">
      <c r="J237" s="62"/>
      <c r="K237" s="62"/>
      <c r="R237" s="62"/>
    </row>
    <row r="238" ht="15.75" customHeight="1">
      <c r="J238" s="62"/>
      <c r="K238" s="62"/>
      <c r="R238" s="62"/>
    </row>
    <row r="239" ht="15.75" customHeight="1">
      <c r="J239" s="62"/>
      <c r="K239" s="62"/>
      <c r="R239" s="62"/>
    </row>
    <row r="240" ht="15.75" customHeight="1">
      <c r="J240" s="62"/>
      <c r="K240" s="62"/>
      <c r="R240" s="62"/>
    </row>
    <row r="241" ht="15.75" customHeight="1">
      <c r="J241" s="62"/>
      <c r="K241" s="62"/>
      <c r="R241" s="62"/>
    </row>
    <row r="242" ht="15.75" customHeight="1">
      <c r="J242" s="62"/>
      <c r="K242" s="62"/>
      <c r="R242" s="62"/>
    </row>
    <row r="243" ht="15.75" customHeight="1">
      <c r="J243" s="62"/>
      <c r="K243" s="62"/>
      <c r="R243" s="62"/>
    </row>
    <row r="244" ht="15.75" customHeight="1">
      <c r="J244" s="62"/>
      <c r="K244" s="62"/>
      <c r="R244" s="62"/>
    </row>
    <row r="245" ht="15.75" customHeight="1">
      <c r="J245" s="62"/>
      <c r="K245" s="62"/>
      <c r="R245" s="62"/>
    </row>
    <row r="246" ht="15.75" customHeight="1">
      <c r="J246" s="62"/>
      <c r="K246" s="62"/>
      <c r="R246" s="62"/>
    </row>
    <row r="247" ht="15.75" customHeight="1">
      <c r="J247" s="62"/>
      <c r="K247" s="62"/>
      <c r="R247" s="62"/>
    </row>
    <row r="248" ht="15.75" customHeight="1">
      <c r="J248" s="62"/>
      <c r="K248" s="62"/>
      <c r="R248" s="62"/>
    </row>
    <row r="249" ht="15.75" customHeight="1">
      <c r="J249" s="62"/>
      <c r="K249" s="62"/>
      <c r="R249" s="62"/>
    </row>
    <row r="250" ht="15.75" customHeight="1">
      <c r="J250" s="62"/>
      <c r="K250" s="62"/>
      <c r="R250" s="62"/>
    </row>
    <row r="251" ht="15.75" customHeight="1">
      <c r="J251" s="62"/>
      <c r="K251" s="62"/>
      <c r="R251" s="62"/>
    </row>
    <row r="252" ht="15.75" customHeight="1">
      <c r="J252" s="62"/>
      <c r="K252" s="62"/>
      <c r="R252" s="62"/>
    </row>
    <row r="253" ht="15.75" customHeight="1">
      <c r="J253" s="62"/>
      <c r="K253" s="62"/>
      <c r="R253" s="62"/>
    </row>
    <row r="254" ht="15.75" customHeight="1">
      <c r="J254" s="62"/>
      <c r="K254" s="62"/>
      <c r="R254" s="62"/>
    </row>
    <row r="255" ht="15.75" customHeight="1">
      <c r="J255" s="62"/>
      <c r="K255" s="62"/>
      <c r="R255" s="62"/>
    </row>
    <row r="256" ht="15.75" customHeight="1">
      <c r="J256" s="62"/>
      <c r="K256" s="62"/>
      <c r="R256" s="62"/>
    </row>
    <row r="257" ht="15.75" customHeight="1">
      <c r="J257" s="62"/>
      <c r="K257" s="62"/>
      <c r="R257" s="62"/>
    </row>
    <row r="258" ht="15.75" customHeight="1">
      <c r="J258" s="62"/>
      <c r="K258" s="62"/>
      <c r="R258" s="62"/>
    </row>
    <row r="259" ht="15.75" customHeight="1">
      <c r="J259" s="62"/>
      <c r="K259" s="62"/>
      <c r="R259" s="62"/>
    </row>
    <row r="260" ht="15.75" customHeight="1">
      <c r="J260" s="62"/>
      <c r="K260" s="62"/>
      <c r="R260" s="62"/>
    </row>
    <row r="261" ht="15.75" customHeight="1">
      <c r="J261" s="62"/>
      <c r="K261" s="62"/>
      <c r="R261" s="62"/>
    </row>
    <row r="262" ht="15.75" customHeight="1">
      <c r="J262" s="62"/>
      <c r="K262" s="62"/>
      <c r="R262" s="62"/>
    </row>
    <row r="263" ht="15.75" customHeight="1">
      <c r="J263" s="62"/>
      <c r="K263" s="62"/>
      <c r="R263" s="62"/>
    </row>
    <row r="264" ht="15.75" customHeight="1">
      <c r="J264" s="62"/>
      <c r="K264" s="62"/>
      <c r="R264" s="62"/>
    </row>
    <row r="265" ht="15.75" customHeight="1">
      <c r="J265" s="62"/>
      <c r="K265" s="62"/>
      <c r="R265" s="62"/>
    </row>
    <row r="266" ht="15.75" customHeight="1">
      <c r="J266" s="62"/>
      <c r="K266" s="62"/>
      <c r="R266" s="62"/>
    </row>
    <row r="267" ht="15.75" customHeight="1">
      <c r="J267" s="62"/>
      <c r="K267" s="62"/>
      <c r="R267" s="62"/>
    </row>
    <row r="268" ht="15.75" customHeight="1">
      <c r="J268" s="62"/>
      <c r="K268" s="62"/>
      <c r="R268" s="62"/>
    </row>
    <row r="269" ht="15.75" customHeight="1">
      <c r="J269" s="62"/>
      <c r="K269" s="62"/>
      <c r="R269" s="62"/>
    </row>
    <row r="270" ht="15.75" customHeight="1">
      <c r="J270" s="62"/>
      <c r="K270" s="62"/>
      <c r="R270" s="62"/>
    </row>
    <row r="271" ht="15.75" customHeight="1">
      <c r="J271" s="62"/>
      <c r="K271" s="62"/>
      <c r="R271" s="62"/>
    </row>
    <row r="272" ht="15.75" customHeight="1">
      <c r="J272" s="62"/>
      <c r="K272" s="62"/>
      <c r="R272" s="62"/>
    </row>
    <row r="273" ht="15.75" customHeight="1">
      <c r="J273" s="62"/>
      <c r="K273" s="62"/>
      <c r="R273" s="62"/>
    </row>
    <row r="274" ht="15.75" customHeight="1">
      <c r="J274" s="62"/>
      <c r="K274" s="62"/>
      <c r="R274" s="62"/>
    </row>
    <row r="275" ht="15.75" customHeight="1">
      <c r="J275" s="62"/>
      <c r="K275" s="62"/>
      <c r="R275" s="62"/>
    </row>
    <row r="276" ht="15.75" customHeight="1">
      <c r="J276" s="62"/>
      <c r="K276" s="62"/>
      <c r="R276" s="62"/>
    </row>
    <row r="277" ht="15.75" customHeight="1">
      <c r="J277" s="62"/>
      <c r="K277" s="62"/>
      <c r="R277" s="62"/>
    </row>
    <row r="278" ht="15.75" customHeight="1">
      <c r="J278" s="62"/>
      <c r="K278" s="62"/>
      <c r="R278" s="62"/>
    </row>
    <row r="279" ht="15.75" customHeight="1">
      <c r="J279" s="62"/>
      <c r="K279" s="62"/>
      <c r="R279" s="62"/>
    </row>
    <row r="280" ht="15.75" customHeight="1">
      <c r="J280" s="62"/>
      <c r="K280" s="62"/>
      <c r="R280" s="62"/>
    </row>
    <row r="281" ht="15.75" customHeight="1">
      <c r="J281" s="62"/>
      <c r="K281" s="62"/>
      <c r="R281" s="62"/>
    </row>
    <row r="282" ht="15.75" customHeight="1">
      <c r="J282" s="62"/>
      <c r="K282" s="62"/>
      <c r="R282" s="62"/>
    </row>
    <row r="283" ht="15.75" customHeight="1">
      <c r="J283" s="62"/>
      <c r="K283" s="62"/>
      <c r="R283" s="62"/>
    </row>
    <row r="284" ht="15.75" customHeight="1">
      <c r="J284" s="62"/>
      <c r="K284" s="62"/>
      <c r="R284" s="62"/>
    </row>
    <row r="285" ht="15.75" customHeight="1">
      <c r="J285" s="62"/>
      <c r="K285" s="62"/>
      <c r="R285" s="62"/>
    </row>
    <row r="286" ht="15.75" customHeight="1">
      <c r="J286" s="62"/>
      <c r="K286" s="62"/>
      <c r="R286" s="62"/>
    </row>
    <row r="287" ht="15.75" customHeight="1">
      <c r="J287" s="62"/>
      <c r="K287" s="62"/>
      <c r="R287" s="62"/>
    </row>
    <row r="288" ht="15.75" customHeight="1">
      <c r="J288" s="62"/>
      <c r="K288" s="62"/>
      <c r="R288" s="62"/>
    </row>
    <row r="289" ht="15.75" customHeight="1">
      <c r="J289" s="62"/>
      <c r="K289" s="62"/>
      <c r="R289" s="62"/>
    </row>
    <row r="290" ht="15.75" customHeight="1">
      <c r="J290" s="62"/>
      <c r="K290" s="62"/>
      <c r="R290" s="62"/>
    </row>
    <row r="291" ht="15.75" customHeight="1">
      <c r="J291" s="62"/>
      <c r="K291" s="62"/>
      <c r="R291" s="62"/>
    </row>
    <row r="292" ht="15.75" customHeight="1">
      <c r="J292" s="62"/>
      <c r="K292" s="62"/>
      <c r="R292" s="62"/>
    </row>
    <row r="293" ht="15.75" customHeight="1">
      <c r="J293" s="62"/>
      <c r="K293" s="62"/>
      <c r="R293" s="62"/>
    </row>
    <row r="294" ht="15.75" customHeight="1">
      <c r="J294" s="62"/>
      <c r="K294" s="62"/>
      <c r="R294" s="62"/>
    </row>
    <row r="295" ht="15.75" customHeight="1">
      <c r="J295" s="62"/>
      <c r="K295" s="62"/>
      <c r="R295" s="62"/>
    </row>
    <row r="296" ht="15.75" customHeight="1">
      <c r="J296" s="62"/>
      <c r="K296" s="62"/>
      <c r="R296" s="62"/>
    </row>
    <row r="297" ht="15.75" customHeight="1">
      <c r="J297" s="62"/>
      <c r="K297" s="62"/>
      <c r="R297" s="62"/>
    </row>
    <row r="298" ht="15.75" customHeight="1">
      <c r="J298" s="62"/>
      <c r="K298" s="62"/>
      <c r="R298" s="62"/>
    </row>
    <row r="299" ht="15.75" customHeight="1">
      <c r="J299" s="62"/>
      <c r="K299" s="62"/>
      <c r="R299" s="62"/>
    </row>
    <row r="300" ht="15.75" customHeight="1">
      <c r="J300" s="62"/>
      <c r="K300" s="62"/>
      <c r="R300" s="62"/>
    </row>
    <row r="301" ht="15.75" customHeight="1">
      <c r="J301" s="62"/>
      <c r="K301" s="62"/>
      <c r="R301" s="62"/>
    </row>
    <row r="302" ht="15.75" customHeight="1">
      <c r="J302" s="62"/>
      <c r="K302" s="62"/>
      <c r="R302" s="62"/>
    </row>
    <row r="303" ht="15.75" customHeight="1">
      <c r="J303" s="62"/>
      <c r="K303" s="62"/>
      <c r="R303" s="62"/>
    </row>
    <row r="304" ht="15.75" customHeight="1">
      <c r="J304" s="62"/>
      <c r="K304" s="62"/>
      <c r="R304" s="62"/>
    </row>
    <row r="305" ht="15.75" customHeight="1">
      <c r="J305" s="62"/>
      <c r="K305" s="62"/>
      <c r="R305" s="62"/>
    </row>
    <row r="306" ht="15.75" customHeight="1">
      <c r="J306" s="62"/>
      <c r="K306" s="62"/>
      <c r="R306" s="62"/>
    </row>
    <row r="307" ht="15.75" customHeight="1">
      <c r="J307" s="62"/>
      <c r="K307" s="62"/>
      <c r="R307" s="62"/>
    </row>
    <row r="308" ht="15.75" customHeight="1">
      <c r="J308" s="62"/>
      <c r="K308" s="62"/>
      <c r="R308" s="62"/>
    </row>
    <row r="309" ht="15.75" customHeight="1">
      <c r="J309" s="62"/>
      <c r="K309" s="62"/>
      <c r="R309" s="62"/>
    </row>
    <row r="310" ht="15.75" customHeight="1">
      <c r="J310" s="62"/>
      <c r="K310" s="62"/>
      <c r="R310" s="62"/>
    </row>
    <row r="311" ht="15.75" customHeight="1">
      <c r="J311" s="62"/>
      <c r="K311" s="62"/>
      <c r="R311" s="62"/>
    </row>
    <row r="312" ht="15.75" customHeight="1">
      <c r="J312" s="62"/>
      <c r="K312" s="62"/>
      <c r="R312" s="62"/>
    </row>
    <row r="313" ht="15.75" customHeight="1">
      <c r="J313" s="62"/>
      <c r="K313" s="62"/>
      <c r="R313" s="62"/>
    </row>
    <row r="314" ht="15.75" customHeight="1">
      <c r="J314" s="62"/>
      <c r="K314" s="62"/>
      <c r="R314" s="62"/>
    </row>
    <row r="315" ht="15.75" customHeight="1">
      <c r="J315" s="62"/>
      <c r="K315" s="62"/>
      <c r="R315" s="62"/>
    </row>
    <row r="316" ht="15.75" customHeight="1">
      <c r="J316" s="62"/>
      <c r="K316" s="62"/>
      <c r="R316" s="62"/>
    </row>
    <row r="317" ht="15.75" customHeight="1">
      <c r="J317" s="62"/>
      <c r="K317" s="62"/>
      <c r="R317" s="62"/>
    </row>
    <row r="318" ht="15.75" customHeight="1">
      <c r="J318" s="62"/>
      <c r="K318" s="62"/>
      <c r="R318" s="62"/>
    </row>
    <row r="319" ht="15.75" customHeight="1">
      <c r="J319" s="62"/>
      <c r="K319" s="62"/>
      <c r="R319" s="62"/>
    </row>
    <row r="320" ht="15.75" customHeight="1">
      <c r="J320" s="62"/>
      <c r="K320" s="62"/>
      <c r="R320" s="62"/>
    </row>
    <row r="321" ht="15.75" customHeight="1">
      <c r="J321" s="62"/>
      <c r="K321" s="62"/>
      <c r="R321" s="62"/>
    </row>
    <row r="322" ht="15.75" customHeight="1">
      <c r="J322" s="62"/>
      <c r="K322" s="62"/>
      <c r="R322" s="62"/>
    </row>
    <row r="323" ht="15.75" customHeight="1">
      <c r="J323" s="62"/>
      <c r="K323" s="62"/>
      <c r="R323" s="62"/>
    </row>
    <row r="324" ht="15.75" customHeight="1">
      <c r="J324" s="62"/>
      <c r="K324" s="62"/>
      <c r="R324" s="62"/>
    </row>
    <row r="325" ht="15.75" customHeight="1">
      <c r="J325" s="62"/>
      <c r="K325" s="62"/>
      <c r="R325" s="62"/>
    </row>
    <row r="326" ht="15.75" customHeight="1">
      <c r="J326" s="62"/>
      <c r="K326" s="62"/>
      <c r="R326" s="62"/>
    </row>
    <row r="327" ht="15.75" customHeight="1">
      <c r="J327" s="62"/>
      <c r="K327" s="62"/>
      <c r="R327" s="62"/>
    </row>
    <row r="328" ht="15.75" customHeight="1">
      <c r="J328" s="62"/>
      <c r="K328" s="62"/>
      <c r="R328" s="62"/>
    </row>
    <row r="329" ht="15.75" customHeight="1">
      <c r="J329" s="62"/>
      <c r="K329" s="62"/>
      <c r="R329" s="62"/>
    </row>
    <row r="330" ht="15.75" customHeight="1">
      <c r="J330" s="62"/>
      <c r="K330" s="62"/>
      <c r="R330" s="62"/>
    </row>
    <row r="331" ht="15.75" customHeight="1">
      <c r="J331" s="62"/>
      <c r="K331" s="62"/>
      <c r="R331" s="62"/>
    </row>
    <row r="332" ht="15.75" customHeight="1">
      <c r="J332" s="62"/>
      <c r="K332" s="62"/>
      <c r="R332" s="62"/>
    </row>
    <row r="333" ht="15.75" customHeight="1">
      <c r="J333" s="62"/>
      <c r="K333" s="62"/>
      <c r="R333" s="62"/>
    </row>
    <row r="334" ht="15.75" customHeight="1">
      <c r="J334" s="62"/>
      <c r="K334" s="62"/>
      <c r="R334" s="62"/>
    </row>
    <row r="335" ht="15.75" customHeight="1">
      <c r="J335" s="62"/>
      <c r="K335" s="62"/>
      <c r="R335" s="62"/>
    </row>
    <row r="336" ht="15.75" customHeight="1">
      <c r="J336" s="62"/>
      <c r="K336" s="62"/>
      <c r="R336" s="62"/>
    </row>
    <row r="337" ht="15.75" customHeight="1">
      <c r="J337" s="62"/>
      <c r="K337" s="62"/>
      <c r="R337" s="62"/>
    </row>
    <row r="338" ht="15.75" customHeight="1">
      <c r="J338" s="62"/>
      <c r="K338" s="62"/>
      <c r="R338" s="62"/>
    </row>
    <row r="339" ht="15.75" customHeight="1">
      <c r="J339" s="62"/>
      <c r="K339" s="62"/>
      <c r="R339" s="62"/>
    </row>
    <row r="340" ht="15.75" customHeight="1">
      <c r="J340" s="62"/>
      <c r="K340" s="62"/>
      <c r="R340" s="62"/>
    </row>
    <row r="341" ht="15.75" customHeight="1">
      <c r="J341" s="62"/>
      <c r="K341" s="62"/>
      <c r="R341" s="62"/>
    </row>
    <row r="342" ht="15.75" customHeight="1">
      <c r="J342" s="62"/>
      <c r="K342" s="62"/>
      <c r="R342" s="62"/>
    </row>
    <row r="343" ht="15.75" customHeight="1">
      <c r="J343" s="62"/>
      <c r="K343" s="62"/>
      <c r="R343" s="62"/>
    </row>
    <row r="344" ht="15.75" customHeight="1">
      <c r="J344" s="62"/>
      <c r="K344" s="62"/>
      <c r="R344" s="62"/>
    </row>
    <row r="345" ht="15.75" customHeight="1">
      <c r="J345" s="62"/>
      <c r="K345" s="62"/>
      <c r="R345" s="62"/>
    </row>
    <row r="346" ht="15.75" customHeight="1">
      <c r="J346" s="62"/>
      <c r="K346" s="62"/>
      <c r="R346" s="62"/>
    </row>
    <row r="347" ht="15.75" customHeight="1">
      <c r="J347" s="62"/>
      <c r="K347" s="62"/>
      <c r="R347" s="62"/>
    </row>
    <row r="348" ht="15.75" customHeight="1">
      <c r="J348" s="62"/>
      <c r="K348" s="62"/>
      <c r="R348" s="62"/>
    </row>
    <row r="349" ht="15.75" customHeight="1">
      <c r="J349" s="62"/>
      <c r="K349" s="62"/>
      <c r="R349" s="62"/>
    </row>
    <row r="350" ht="15.75" customHeight="1">
      <c r="J350" s="62"/>
      <c r="K350" s="62"/>
      <c r="R350" s="62"/>
    </row>
    <row r="351" ht="15.75" customHeight="1">
      <c r="J351" s="62"/>
      <c r="K351" s="62"/>
      <c r="R351" s="62"/>
    </row>
    <row r="352" ht="15.75" customHeight="1">
      <c r="J352" s="62"/>
      <c r="K352" s="62"/>
      <c r="R352" s="62"/>
    </row>
    <row r="353" ht="15.75" customHeight="1">
      <c r="J353" s="62"/>
      <c r="K353" s="62"/>
      <c r="R353" s="62"/>
    </row>
    <row r="354" ht="15.75" customHeight="1">
      <c r="J354" s="62"/>
      <c r="K354" s="62"/>
      <c r="R354" s="62"/>
    </row>
    <row r="355" ht="15.75" customHeight="1">
      <c r="J355" s="62"/>
      <c r="K355" s="62"/>
      <c r="R355" s="62"/>
    </row>
    <row r="356" ht="15.75" customHeight="1">
      <c r="J356" s="62"/>
      <c r="K356" s="62"/>
      <c r="R356" s="62"/>
    </row>
    <row r="357" ht="15.75" customHeight="1">
      <c r="J357" s="62"/>
      <c r="K357" s="62"/>
      <c r="R357" s="62"/>
    </row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K1"/>
    <mergeCell ref="A2:K2"/>
    <mergeCell ref="N4:Q4"/>
    <mergeCell ref="N5:Q5"/>
    <mergeCell ref="A19:K19"/>
    <mergeCell ref="N22:Q22"/>
    <mergeCell ref="N23:Q23"/>
    <mergeCell ref="A20:K20"/>
    <mergeCell ref="A36:K36"/>
    <mergeCell ref="A37:K37"/>
    <mergeCell ref="N39:Q39"/>
    <mergeCell ref="N40:Q40"/>
    <mergeCell ref="A54:K54"/>
    <mergeCell ref="A55:K55"/>
    <mergeCell ref="N57:Q57"/>
    <mergeCell ref="N58:Q58"/>
    <mergeCell ref="A71:K71"/>
    <mergeCell ref="A72:K72"/>
    <mergeCell ref="N74:Q74"/>
    <mergeCell ref="N75:Q75"/>
    <mergeCell ref="A88:K88"/>
    <mergeCell ref="A124:K124"/>
    <mergeCell ref="A125:K125"/>
    <mergeCell ref="N125:Q125"/>
    <mergeCell ref="N126:Q126"/>
    <mergeCell ref="A143:K143"/>
    <mergeCell ref="A144:K144"/>
    <mergeCell ref="N146:Q146"/>
    <mergeCell ref="N147:Q147"/>
    <mergeCell ref="A89:K89"/>
    <mergeCell ref="N91:Q91"/>
    <mergeCell ref="N92:Q92"/>
    <mergeCell ref="A106:K106"/>
    <mergeCell ref="A107:K107"/>
    <mergeCell ref="N109:Q109"/>
    <mergeCell ref="N110:Q110"/>
  </mergeCells>
  <dataValidations>
    <dataValidation type="list" allowBlank="1" showErrorMessage="1" sqref="I4:I15 I22:I33 I39:I50 I57:I68 I74:I85 I91:I102 I109:I120 I127:I138 I146:I157">
      <formula1>"Não atendido,Atendido,Cancelado,Vagas livres,Bloqueada"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1.75"/>
    <col customWidth="1" min="8" max="8" width="19.63"/>
    <col customWidth="1" min="9" max="9" width="20.38"/>
    <col customWidth="1" min="10" max="10" width="14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33" t="s">
        <v>1589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426" t="s">
        <v>3</v>
      </c>
      <c r="C3" s="24" t="s">
        <v>2</v>
      </c>
      <c r="D3" s="25" t="s">
        <v>5</v>
      </c>
      <c r="E3" s="25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125" t="s">
        <v>1357</v>
      </c>
      <c r="C4" s="69" t="s">
        <v>1294</v>
      </c>
      <c r="D4" s="70">
        <v>0.5416666666666666</v>
      </c>
      <c r="E4" s="69">
        <v>1.1763514862E10</v>
      </c>
      <c r="F4" s="206">
        <v>8.01440481835372E14</v>
      </c>
      <c r="G4" s="205" t="s">
        <v>1821</v>
      </c>
      <c r="H4" s="126">
        <v>26521.0</v>
      </c>
      <c r="I4" s="30" t="s">
        <v>1822</v>
      </c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95"/>
    </row>
    <row r="5" ht="15.75" customHeight="1">
      <c r="A5" s="11" t="s">
        <v>11</v>
      </c>
      <c r="B5" s="125" t="s">
        <v>1358</v>
      </c>
      <c r="C5" s="69" t="s">
        <v>1294</v>
      </c>
      <c r="D5" s="70">
        <v>0.5555555555555556</v>
      </c>
      <c r="E5" s="69"/>
      <c r="F5" s="427"/>
      <c r="G5" s="339"/>
      <c r="H5" s="428"/>
      <c r="I5" s="30" t="s">
        <v>180</v>
      </c>
      <c r="J5" s="69"/>
      <c r="K5" s="69"/>
      <c r="M5" s="236"/>
      <c r="N5" s="239" t="s">
        <v>1823</v>
      </c>
      <c r="O5" s="2"/>
      <c r="P5" s="2"/>
      <c r="Q5" s="2"/>
      <c r="R5" s="2"/>
    </row>
    <row r="6" ht="15.75" customHeight="1">
      <c r="A6" s="11" t="s">
        <v>12</v>
      </c>
      <c r="B6" s="125" t="s">
        <v>1360</v>
      </c>
      <c r="C6" s="69" t="s">
        <v>1294</v>
      </c>
      <c r="D6" s="70">
        <v>0.5694444444444444</v>
      </c>
      <c r="E6" s="69">
        <v>2.6329563829E10</v>
      </c>
      <c r="F6" s="206">
        <v>7.0310933145506E14</v>
      </c>
      <c r="G6" s="205" t="s">
        <v>1824</v>
      </c>
      <c r="H6" s="126">
        <v>24953.0</v>
      </c>
      <c r="I6" s="30" t="s">
        <v>182</v>
      </c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customHeight="1">
      <c r="A7" s="11" t="s">
        <v>13</v>
      </c>
      <c r="B7" s="125" t="s">
        <v>1362</v>
      </c>
      <c r="C7" s="69" t="s">
        <v>1294</v>
      </c>
      <c r="D7" s="70">
        <v>0.5833333333333334</v>
      </c>
      <c r="E7" s="69">
        <v>9.111584807E9</v>
      </c>
      <c r="F7" s="69">
        <v>7.034065373292E14</v>
      </c>
      <c r="G7" s="205" t="s">
        <v>1825</v>
      </c>
      <c r="H7" s="429">
        <v>24542.0</v>
      </c>
      <c r="I7" s="30" t="s">
        <v>182</v>
      </c>
      <c r="J7" s="69"/>
      <c r="K7" s="69"/>
      <c r="M7" s="62"/>
      <c r="N7" s="244">
        <f t="shared" ref="N7:R7" si="1">COUNTIFS($I$4:$I$15, N6)</f>
        <v>6</v>
      </c>
      <c r="O7" s="245">
        <f t="shared" si="1"/>
        <v>0</v>
      </c>
      <c r="P7" s="245">
        <f t="shared" si="1"/>
        <v>3</v>
      </c>
      <c r="Q7" s="246">
        <f t="shared" si="1"/>
        <v>0</v>
      </c>
      <c r="R7" s="246">
        <f t="shared" si="1"/>
        <v>3</v>
      </c>
    </row>
    <row r="8" ht="15.75" customHeight="1">
      <c r="A8" s="11" t="s">
        <v>14</v>
      </c>
      <c r="B8" s="125" t="s">
        <v>1357</v>
      </c>
      <c r="C8" s="69" t="s">
        <v>1294</v>
      </c>
      <c r="D8" s="70">
        <v>0.5972222222222222</v>
      </c>
      <c r="E8" s="69">
        <v>3.206633885E9</v>
      </c>
      <c r="F8" s="206">
        <v>7.00001100988402E14</v>
      </c>
      <c r="G8" s="430" t="s">
        <v>1826</v>
      </c>
      <c r="H8" s="431"/>
      <c r="I8" s="30" t="s">
        <v>182</v>
      </c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customHeight="1">
      <c r="A9" s="11" t="s">
        <v>15</v>
      </c>
      <c r="B9" s="125" t="s">
        <v>1358</v>
      </c>
      <c r="C9" s="69" t="s">
        <v>1294</v>
      </c>
      <c r="D9" s="70">
        <v>0.6111111111111112</v>
      </c>
      <c r="E9" s="69"/>
      <c r="F9" s="339"/>
      <c r="G9" s="339"/>
      <c r="H9" s="428"/>
      <c r="I9" s="30" t="s">
        <v>180</v>
      </c>
      <c r="J9" s="69"/>
      <c r="K9" s="69"/>
      <c r="L9" s="197" t="s">
        <v>393</v>
      </c>
      <c r="R9" s="62"/>
    </row>
    <row r="10" ht="15.75" customHeight="1">
      <c r="A10" s="11" t="s">
        <v>16</v>
      </c>
      <c r="B10" s="125" t="s">
        <v>1360</v>
      </c>
      <c r="C10" s="69" t="s">
        <v>1294</v>
      </c>
      <c r="D10" s="70">
        <v>0.625</v>
      </c>
      <c r="E10" s="69">
        <v>3.206633885E9</v>
      </c>
      <c r="F10" s="206">
        <v>8.01440401814721E14</v>
      </c>
      <c r="G10" s="205" t="s">
        <v>1827</v>
      </c>
      <c r="H10" s="126">
        <v>26007.0</v>
      </c>
      <c r="I10" s="30" t="s">
        <v>182</v>
      </c>
      <c r="J10" s="69"/>
      <c r="K10" s="69"/>
      <c r="L10" s="197" t="s">
        <v>393</v>
      </c>
      <c r="R10" s="62"/>
    </row>
    <row r="11" ht="15.75" customHeight="1">
      <c r="A11" s="11" t="s">
        <v>17</v>
      </c>
      <c r="B11" s="125" t="s">
        <v>1362</v>
      </c>
      <c r="C11" s="69" t="s">
        <v>1294</v>
      </c>
      <c r="D11" s="70">
        <v>0.6388888888888888</v>
      </c>
      <c r="E11" s="69">
        <v>5.68897048E10</v>
      </c>
      <c r="F11" s="206">
        <v>7.0030647699664E14</v>
      </c>
      <c r="G11" s="125" t="s">
        <v>1828</v>
      </c>
      <c r="H11" s="432">
        <v>17371.0</v>
      </c>
      <c r="I11" s="30" t="s">
        <v>1822</v>
      </c>
      <c r="J11" s="69"/>
      <c r="K11" s="69"/>
      <c r="L11" s="197" t="s">
        <v>393</v>
      </c>
      <c r="R11" s="62"/>
    </row>
    <row r="12" ht="15.75" customHeight="1">
      <c r="A12" s="11" t="s">
        <v>85</v>
      </c>
      <c r="B12" s="125" t="s">
        <v>1357</v>
      </c>
      <c r="C12" s="69" t="s">
        <v>1294</v>
      </c>
      <c r="D12" s="70">
        <v>0.6527777777777778</v>
      </c>
      <c r="E12" s="69">
        <v>3.2475237821E10</v>
      </c>
      <c r="F12" s="69">
        <v>7.0040494851344E14</v>
      </c>
      <c r="G12" s="154" t="s">
        <v>1829</v>
      </c>
      <c r="H12" s="78">
        <v>25108.0</v>
      </c>
      <c r="I12" s="30" t="s">
        <v>182</v>
      </c>
      <c r="J12" s="69"/>
      <c r="K12" s="69"/>
      <c r="L12" s="197" t="s">
        <v>393</v>
      </c>
      <c r="R12" s="62"/>
    </row>
    <row r="13" ht="15.75" customHeight="1">
      <c r="A13" s="11" t="s">
        <v>87</v>
      </c>
      <c r="B13" s="125" t="s">
        <v>1358</v>
      </c>
      <c r="C13" s="69" t="s">
        <v>1294</v>
      </c>
      <c r="D13" s="70">
        <v>0.6666666666666666</v>
      </c>
      <c r="E13" s="69"/>
      <c r="F13" s="69"/>
      <c r="G13" s="69"/>
      <c r="H13" s="153"/>
      <c r="I13" s="30" t="s">
        <v>180</v>
      </c>
      <c r="J13" s="69"/>
      <c r="K13" s="69"/>
      <c r="L13" s="197" t="s">
        <v>393</v>
      </c>
      <c r="R13" s="62"/>
    </row>
    <row r="14" ht="15.75" customHeight="1">
      <c r="A14" s="11" t="s">
        <v>90</v>
      </c>
      <c r="B14" s="125" t="s">
        <v>1360</v>
      </c>
      <c r="C14" s="69" t="s">
        <v>1294</v>
      </c>
      <c r="D14" s="70">
        <v>0.6805555555555556</v>
      </c>
      <c r="E14" s="69">
        <v>5.369954852E10</v>
      </c>
      <c r="F14" s="69">
        <v>7.07604289097193E14</v>
      </c>
      <c r="G14" s="154" t="s">
        <v>1830</v>
      </c>
      <c r="H14" s="153">
        <v>25505.0</v>
      </c>
      <c r="I14" s="30" t="s">
        <v>1822</v>
      </c>
      <c r="J14" s="69"/>
      <c r="K14" s="69"/>
      <c r="L14" s="197" t="s">
        <v>393</v>
      </c>
      <c r="R14" s="62"/>
    </row>
    <row r="15" ht="15.75" customHeight="1">
      <c r="A15" s="11" t="s">
        <v>93</v>
      </c>
      <c r="B15" s="125" t="s">
        <v>1362</v>
      </c>
      <c r="C15" s="69" t="s">
        <v>1294</v>
      </c>
      <c r="D15" s="70">
        <v>0.6944444444444444</v>
      </c>
      <c r="E15" s="69">
        <v>2.2486875832E10</v>
      </c>
      <c r="F15" s="69">
        <v>7.09805060248497E14</v>
      </c>
      <c r="G15" s="154" t="s">
        <v>1831</v>
      </c>
      <c r="H15" s="153">
        <v>29884.0</v>
      </c>
      <c r="I15" s="30" t="s">
        <v>182</v>
      </c>
      <c r="J15" s="69"/>
      <c r="K15" s="69"/>
      <c r="L15" s="197" t="s">
        <v>393</v>
      </c>
      <c r="R15" s="62"/>
    </row>
    <row r="16" ht="15.75" customHeight="1">
      <c r="B16" s="167"/>
      <c r="J16" s="62"/>
      <c r="K16" s="62"/>
      <c r="R16" s="62"/>
    </row>
    <row r="17" ht="15.75" customHeight="1">
      <c r="B17" s="167"/>
      <c r="J17" s="62"/>
      <c r="K17" s="62"/>
      <c r="R17" s="62"/>
    </row>
    <row r="18" ht="15.75" customHeight="1">
      <c r="A18" s="20" t="s">
        <v>377</v>
      </c>
      <c r="B18" s="2"/>
      <c r="C18" s="2"/>
      <c r="D18" s="2"/>
      <c r="E18" s="2"/>
      <c r="F18" s="2"/>
      <c r="G18" s="2"/>
      <c r="H18" s="2"/>
      <c r="I18" s="2"/>
      <c r="J18" s="2"/>
      <c r="K18" s="3"/>
      <c r="R18" s="62"/>
    </row>
    <row r="19" ht="22.5" customHeight="1">
      <c r="A19" s="233" t="s">
        <v>1832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7.25" customHeight="1">
      <c r="A20" s="22"/>
      <c r="B20" s="426" t="s">
        <v>3</v>
      </c>
      <c r="C20" s="24" t="s">
        <v>2</v>
      </c>
      <c r="D20" s="25" t="s">
        <v>5</v>
      </c>
      <c r="E20" s="25" t="s">
        <v>19</v>
      </c>
      <c r="F20" s="25" t="s">
        <v>6</v>
      </c>
      <c r="G20" s="25" t="s">
        <v>7</v>
      </c>
      <c r="H20" s="27" t="s">
        <v>8</v>
      </c>
      <c r="I20" s="28" t="s">
        <v>20</v>
      </c>
      <c r="J20" s="25" t="s">
        <v>21</v>
      </c>
      <c r="K20" s="25" t="s">
        <v>22</v>
      </c>
      <c r="R20" s="62"/>
    </row>
    <row r="21" ht="15.75" customHeight="1">
      <c r="A21" s="11" t="s">
        <v>10</v>
      </c>
      <c r="B21" s="125"/>
      <c r="C21" s="69"/>
      <c r="D21" s="70"/>
      <c r="E21" s="69"/>
      <c r="F21" s="69"/>
      <c r="G21" s="69"/>
      <c r="H21" s="154"/>
      <c r="I21" s="69" t="s">
        <v>180</v>
      </c>
      <c r="J21" s="69"/>
      <c r="K21" s="69"/>
      <c r="N21" s="237" t="s">
        <v>386</v>
      </c>
      <c r="O21" s="95"/>
      <c r="P21" s="95"/>
      <c r="Q21" s="95"/>
      <c r="R21" s="95"/>
    </row>
    <row r="22" ht="15.75" customHeight="1">
      <c r="A22" s="11" t="s">
        <v>11</v>
      </c>
      <c r="B22" s="125" t="s">
        <v>65</v>
      </c>
      <c r="C22" s="69" t="s">
        <v>1313</v>
      </c>
      <c r="D22" s="70">
        <v>0.3472222222222222</v>
      </c>
      <c r="E22" s="69">
        <v>2.3800223805E10</v>
      </c>
      <c r="F22" s="69">
        <v>7.00503177502056E14</v>
      </c>
      <c r="G22" s="154" t="s">
        <v>1833</v>
      </c>
      <c r="H22" s="153">
        <v>32226.0</v>
      </c>
      <c r="I22" s="69" t="s">
        <v>1822</v>
      </c>
      <c r="J22" s="69" t="s">
        <v>1834</v>
      </c>
      <c r="K22" s="69" t="s">
        <v>1835</v>
      </c>
      <c r="N22" s="239" t="s">
        <v>1823</v>
      </c>
      <c r="O22" s="2"/>
      <c r="P22" s="2"/>
      <c r="Q22" s="2"/>
      <c r="R22" s="2"/>
    </row>
    <row r="23" ht="15.75" customHeight="1">
      <c r="A23" s="11" t="s">
        <v>12</v>
      </c>
      <c r="B23" s="125" t="s">
        <v>1447</v>
      </c>
      <c r="C23" s="69" t="s">
        <v>1313</v>
      </c>
      <c r="D23" s="70">
        <v>0.3611111111111111</v>
      </c>
      <c r="E23" s="69">
        <v>4.057820639E9</v>
      </c>
      <c r="F23" s="404" t="s">
        <v>1836</v>
      </c>
      <c r="G23" s="154" t="s">
        <v>1837</v>
      </c>
      <c r="H23" s="153">
        <v>16925.0</v>
      </c>
      <c r="I23" s="69" t="s">
        <v>1822</v>
      </c>
      <c r="J23" s="69" t="s">
        <v>1838</v>
      </c>
      <c r="K23" s="69" t="s">
        <v>1839</v>
      </c>
      <c r="N23" s="240" t="s">
        <v>182</v>
      </c>
      <c r="O23" s="241" t="s">
        <v>194</v>
      </c>
      <c r="P23" s="241" t="s">
        <v>180</v>
      </c>
      <c r="Q23" s="242" t="s">
        <v>172</v>
      </c>
      <c r="R23" s="62" t="s">
        <v>1822</v>
      </c>
    </row>
    <row r="24" ht="15.75" customHeight="1">
      <c r="A24" s="11" t="s">
        <v>13</v>
      </c>
      <c r="B24" s="125" t="s">
        <v>821</v>
      </c>
      <c r="C24" s="69" t="s">
        <v>1313</v>
      </c>
      <c r="D24" s="70">
        <v>0.375</v>
      </c>
      <c r="E24" s="69">
        <v>2.4887727801E10</v>
      </c>
      <c r="F24" s="69">
        <v>7.08408216708668E14</v>
      </c>
      <c r="G24" s="154" t="s">
        <v>1840</v>
      </c>
      <c r="H24" s="153">
        <v>19730.0</v>
      </c>
      <c r="I24" s="69" t="s">
        <v>182</v>
      </c>
      <c r="J24" s="69" t="s">
        <v>1841</v>
      </c>
      <c r="K24" s="69" t="s">
        <v>1842</v>
      </c>
      <c r="L24" s="197" t="s">
        <v>441</v>
      </c>
      <c r="N24" s="244">
        <f>COUNTIFS(I$21:I$32,N23)</f>
        <v>7</v>
      </c>
      <c r="O24" s="244">
        <f t="shared" ref="O24:R24" si="2">COUNTIFS($I$21:$I$32,O23)</f>
        <v>0</v>
      </c>
      <c r="P24" s="244">
        <f t="shared" si="2"/>
        <v>1</v>
      </c>
      <c r="Q24" s="244">
        <f t="shared" si="2"/>
        <v>0</v>
      </c>
      <c r="R24" s="62">
        <f t="shared" si="2"/>
        <v>4</v>
      </c>
    </row>
    <row r="25" ht="15.75" customHeight="1">
      <c r="A25" s="11" t="s">
        <v>14</v>
      </c>
      <c r="B25" s="125" t="s">
        <v>201</v>
      </c>
      <c r="C25" s="69" t="s">
        <v>1313</v>
      </c>
      <c r="D25" s="70">
        <v>0.3888888888888889</v>
      </c>
      <c r="E25" s="69">
        <v>2.8792869807E10</v>
      </c>
      <c r="F25" s="69">
        <v>2.01156890140001E14</v>
      </c>
      <c r="G25" s="154" t="s">
        <v>1843</v>
      </c>
      <c r="H25" s="153">
        <v>22806.0</v>
      </c>
      <c r="I25" s="69" t="s">
        <v>182</v>
      </c>
      <c r="J25" s="69" t="s">
        <v>1844</v>
      </c>
      <c r="K25" s="69" t="s">
        <v>1845</v>
      </c>
      <c r="L25" s="197" t="s">
        <v>441</v>
      </c>
      <c r="R25" s="62"/>
    </row>
    <row r="26" ht="15.75" customHeight="1">
      <c r="A26" s="11" t="s">
        <v>15</v>
      </c>
      <c r="B26" s="125" t="s">
        <v>1447</v>
      </c>
      <c r="C26" s="69" t="s">
        <v>1313</v>
      </c>
      <c r="D26" s="70">
        <v>0.4027777777777778</v>
      </c>
      <c r="E26" s="69">
        <v>1.1251849814E10</v>
      </c>
      <c r="F26" s="404" t="s">
        <v>1846</v>
      </c>
      <c r="G26" s="154" t="s">
        <v>1847</v>
      </c>
      <c r="H26" s="153">
        <v>17512.0</v>
      </c>
      <c r="I26" s="69" t="s">
        <v>1822</v>
      </c>
      <c r="J26" s="69" t="s">
        <v>1848</v>
      </c>
      <c r="K26" s="69" t="s">
        <v>1849</v>
      </c>
      <c r="L26" s="197" t="s">
        <v>441</v>
      </c>
      <c r="R26" s="62"/>
    </row>
    <row r="27" ht="15.75" customHeight="1">
      <c r="A27" s="11" t="s">
        <v>16</v>
      </c>
      <c r="B27" s="125" t="s">
        <v>65</v>
      </c>
      <c r="C27" s="69" t="s">
        <v>1313</v>
      </c>
      <c r="D27" s="70">
        <v>0.4166666666666667</v>
      </c>
      <c r="E27" s="69">
        <v>1.3216698874E10</v>
      </c>
      <c r="F27" s="69">
        <v>2.01151872210007E14</v>
      </c>
      <c r="G27" s="154" t="s">
        <v>1850</v>
      </c>
      <c r="H27" s="153">
        <v>21781.0</v>
      </c>
      <c r="I27" s="69" t="s">
        <v>1822</v>
      </c>
      <c r="J27" s="69" t="s">
        <v>1851</v>
      </c>
      <c r="K27" s="69"/>
      <c r="L27" s="197" t="s">
        <v>441</v>
      </c>
      <c r="R27" s="62"/>
    </row>
    <row r="28" ht="15.75" customHeight="1">
      <c r="A28" s="11" t="s">
        <v>17</v>
      </c>
      <c r="B28" s="125" t="s">
        <v>201</v>
      </c>
      <c r="C28" s="69" t="s">
        <v>1313</v>
      </c>
      <c r="D28" s="70">
        <v>0.4305555555555556</v>
      </c>
      <c r="E28" s="69">
        <v>8.666252839E9</v>
      </c>
      <c r="F28" s="404" t="s">
        <v>1852</v>
      </c>
      <c r="G28" s="154" t="s">
        <v>1853</v>
      </c>
      <c r="H28" s="153">
        <v>20026.0</v>
      </c>
      <c r="I28" s="69" t="s">
        <v>182</v>
      </c>
      <c r="J28" s="69" t="s">
        <v>1854</v>
      </c>
      <c r="K28" s="69"/>
      <c r="L28" s="197" t="s">
        <v>441</v>
      </c>
      <c r="R28" s="62"/>
    </row>
    <row r="29" ht="15.75" customHeight="1">
      <c r="A29" s="11" t="s">
        <v>85</v>
      </c>
      <c r="B29" s="125" t="s">
        <v>821</v>
      </c>
      <c r="C29" s="69" t="s">
        <v>1313</v>
      </c>
      <c r="D29" s="70">
        <v>0.4444444444444444</v>
      </c>
      <c r="E29" s="69">
        <v>6.8777809491E10</v>
      </c>
      <c r="F29" s="404" t="s">
        <v>1855</v>
      </c>
      <c r="G29" s="154" t="s">
        <v>1856</v>
      </c>
      <c r="H29" s="153">
        <v>23069.0</v>
      </c>
      <c r="I29" s="69" t="s">
        <v>182</v>
      </c>
      <c r="J29" s="69" t="s">
        <v>1857</v>
      </c>
      <c r="K29" s="69" t="s">
        <v>1858</v>
      </c>
      <c r="R29" s="62"/>
    </row>
    <row r="30" ht="15.75" customHeight="1">
      <c r="A30" s="11" t="s">
        <v>87</v>
      </c>
      <c r="B30" s="125" t="s">
        <v>1447</v>
      </c>
      <c r="C30" s="69" t="s">
        <v>1313</v>
      </c>
      <c r="D30" s="70">
        <v>0.4583333333333333</v>
      </c>
      <c r="E30" s="69">
        <v>1.346158088E10</v>
      </c>
      <c r="F30" s="69">
        <v>7.034078684058E14</v>
      </c>
      <c r="G30" s="154" t="s">
        <v>1859</v>
      </c>
      <c r="H30" s="153">
        <v>18913.0</v>
      </c>
      <c r="I30" s="69" t="s">
        <v>182</v>
      </c>
      <c r="J30" s="69" t="s">
        <v>1860</v>
      </c>
      <c r="K30" s="69"/>
      <c r="L30" s="197" t="s">
        <v>454</v>
      </c>
      <c r="R30" s="62"/>
    </row>
    <row r="31" ht="15.75" customHeight="1">
      <c r="A31" s="11" t="s">
        <v>90</v>
      </c>
      <c r="B31" s="125" t="s">
        <v>821</v>
      </c>
      <c r="C31" s="69" t="s">
        <v>1313</v>
      </c>
      <c r="D31" s="70">
        <v>0.4722222222222222</v>
      </c>
      <c r="E31" s="69">
        <v>1.5745001801E10</v>
      </c>
      <c r="F31" s="69">
        <v>7.04602656496928E14</v>
      </c>
      <c r="G31" s="154" t="s">
        <v>1861</v>
      </c>
      <c r="H31" s="153">
        <v>26935.0</v>
      </c>
      <c r="I31" s="69" t="s">
        <v>182</v>
      </c>
      <c r="J31" s="69" t="s">
        <v>1862</v>
      </c>
      <c r="K31" s="69" t="s">
        <v>1863</v>
      </c>
      <c r="R31" s="62"/>
    </row>
    <row r="32" ht="15.75" customHeight="1">
      <c r="A32" s="11" t="s">
        <v>93</v>
      </c>
      <c r="B32" s="125" t="s">
        <v>65</v>
      </c>
      <c r="C32" s="69" t="s">
        <v>1313</v>
      </c>
      <c r="D32" s="70">
        <v>0.4861111111111111</v>
      </c>
      <c r="E32" s="69">
        <v>9.269522857E9</v>
      </c>
      <c r="F32" s="69">
        <v>7.00609937244462E14</v>
      </c>
      <c r="G32" s="154" t="s">
        <v>1864</v>
      </c>
      <c r="H32" s="153">
        <v>18075.0</v>
      </c>
      <c r="I32" s="69" t="s">
        <v>182</v>
      </c>
      <c r="J32" s="69" t="s">
        <v>1865</v>
      </c>
      <c r="K32" s="69"/>
      <c r="R32" s="62"/>
    </row>
    <row r="33" ht="15.75" customHeight="1">
      <c r="B33" s="167"/>
      <c r="J33" s="62"/>
      <c r="K33" s="62"/>
      <c r="R33" s="62"/>
    </row>
    <row r="34" ht="15.75" customHeight="1">
      <c r="B34" s="167"/>
      <c r="J34" s="62"/>
      <c r="K34" s="62"/>
      <c r="R34" s="62"/>
    </row>
    <row r="35" ht="15.75" customHeight="1">
      <c r="A35" s="20" t="s">
        <v>377</v>
      </c>
      <c r="B35" s="2"/>
      <c r="C35" s="2"/>
      <c r="D35" s="2"/>
      <c r="E35" s="2"/>
      <c r="F35" s="2"/>
      <c r="G35" s="2"/>
      <c r="H35" s="2"/>
      <c r="I35" s="2"/>
      <c r="J35" s="2"/>
      <c r="K35" s="3"/>
      <c r="R35" s="62"/>
    </row>
    <row r="36" ht="15.75" customHeight="1">
      <c r="A36" s="233" t="s">
        <v>1866</v>
      </c>
      <c r="B36" s="2"/>
      <c r="C36" s="2"/>
      <c r="D36" s="2"/>
      <c r="E36" s="2"/>
      <c r="F36" s="2"/>
      <c r="G36" s="2"/>
      <c r="H36" s="2"/>
      <c r="I36" s="2"/>
      <c r="J36" s="2"/>
      <c r="K36" s="3"/>
      <c r="R36" s="62"/>
    </row>
    <row r="37" ht="15.75" customHeight="1">
      <c r="A37" s="22"/>
      <c r="B37" s="426" t="s">
        <v>3</v>
      </c>
      <c r="C37" s="24" t="s">
        <v>2</v>
      </c>
      <c r="D37" s="25" t="s">
        <v>5</v>
      </c>
      <c r="E37" s="25" t="s">
        <v>19</v>
      </c>
      <c r="F37" s="25" t="s">
        <v>6</v>
      </c>
      <c r="G37" s="234" t="s">
        <v>7</v>
      </c>
      <c r="H37" s="27" t="s">
        <v>8</v>
      </c>
      <c r="I37" s="28" t="s">
        <v>20</v>
      </c>
      <c r="J37" s="25" t="s">
        <v>21</v>
      </c>
      <c r="K37" s="25" t="s">
        <v>22</v>
      </c>
      <c r="R37" s="62"/>
    </row>
    <row r="38" ht="15.75" customHeight="1">
      <c r="A38" s="11" t="s">
        <v>10</v>
      </c>
      <c r="B38" s="125" t="s">
        <v>757</v>
      </c>
      <c r="C38" s="69" t="s">
        <v>1280</v>
      </c>
      <c r="D38" s="70">
        <v>0.5416666666666666</v>
      </c>
      <c r="E38" s="69">
        <v>6.50202198E10</v>
      </c>
      <c r="F38" s="69">
        <v>2.03923103970004E14</v>
      </c>
      <c r="G38" s="154" t="s">
        <v>1867</v>
      </c>
      <c r="H38" s="193">
        <v>11497.0</v>
      </c>
      <c r="I38" s="30" t="s">
        <v>182</v>
      </c>
      <c r="J38" s="69" t="s">
        <v>1868</v>
      </c>
      <c r="K38" s="69" t="s">
        <v>1869</v>
      </c>
      <c r="N38" s="237" t="s">
        <v>386</v>
      </c>
      <c r="O38" s="95"/>
      <c r="P38" s="95"/>
      <c r="Q38" s="95"/>
      <c r="R38" s="95"/>
    </row>
    <row r="39" ht="15.75" customHeight="1">
      <c r="A39" s="11" t="s">
        <v>11</v>
      </c>
      <c r="B39" s="125" t="s">
        <v>1467</v>
      </c>
      <c r="C39" s="69" t="s">
        <v>1280</v>
      </c>
      <c r="D39" s="70">
        <v>0.5555555555555556</v>
      </c>
      <c r="E39" s="69">
        <v>4.815808589E10</v>
      </c>
      <c r="F39" s="69">
        <v>8.35503029008168E14</v>
      </c>
      <c r="G39" s="154" t="s">
        <v>1394</v>
      </c>
      <c r="H39" s="193">
        <v>35660.0</v>
      </c>
      <c r="I39" s="30" t="s">
        <v>194</v>
      </c>
      <c r="J39" s="69" t="s">
        <v>1870</v>
      </c>
      <c r="K39" s="69"/>
      <c r="N39" s="239" t="s">
        <v>1823</v>
      </c>
      <c r="O39" s="2"/>
      <c r="P39" s="2"/>
      <c r="Q39" s="2"/>
      <c r="R39" s="2"/>
    </row>
    <row r="40" ht="15.75" customHeight="1">
      <c r="A40" s="11" t="s">
        <v>12</v>
      </c>
      <c r="B40" s="125" t="s">
        <v>216</v>
      </c>
      <c r="C40" s="69" t="s">
        <v>1280</v>
      </c>
      <c r="D40" s="70">
        <v>0.5694444444444444</v>
      </c>
      <c r="E40" s="69">
        <v>8.874444826E9</v>
      </c>
      <c r="F40" s="69">
        <v>8.98001415161242E14</v>
      </c>
      <c r="G40" s="154" t="s">
        <v>1871</v>
      </c>
      <c r="H40" s="193">
        <v>19084.0</v>
      </c>
      <c r="I40" s="30" t="s">
        <v>194</v>
      </c>
      <c r="J40" s="69" t="s">
        <v>1872</v>
      </c>
      <c r="K40" s="69"/>
      <c r="N40" s="240" t="s">
        <v>182</v>
      </c>
      <c r="O40" s="241" t="s">
        <v>194</v>
      </c>
      <c r="P40" s="241" t="s">
        <v>180</v>
      </c>
      <c r="Q40" s="242" t="s">
        <v>172</v>
      </c>
      <c r="R40" s="62" t="s">
        <v>1822</v>
      </c>
    </row>
    <row r="41" ht="15.75" customHeight="1">
      <c r="A41" s="11" t="s">
        <v>13</v>
      </c>
      <c r="B41" s="125" t="s">
        <v>197</v>
      </c>
      <c r="C41" s="69" t="s">
        <v>1280</v>
      </c>
      <c r="D41" s="70">
        <v>0.5833333333333334</v>
      </c>
      <c r="E41" s="69">
        <v>8.52940807E8</v>
      </c>
      <c r="F41" s="69">
        <v>1.08865413840009E14</v>
      </c>
      <c r="G41" s="154" t="s">
        <v>1873</v>
      </c>
      <c r="H41" s="193">
        <v>21677.0</v>
      </c>
      <c r="I41" s="30" t="s">
        <v>182</v>
      </c>
      <c r="J41" s="69" t="s">
        <v>1874</v>
      </c>
      <c r="K41" s="69"/>
      <c r="N41" s="244">
        <f t="shared" ref="N41:Q41" si="3">COUNTIFS($I$38:$I$49,N40)</f>
        <v>9</v>
      </c>
      <c r="O41" s="244">
        <f t="shared" si="3"/>
        <v>2</v>
      </c>
      <c r="P41" s="244">
        <f t="shared" si="3"/>
        <v>0</v>
      </c>
      <c r="Q41" s="244">
        <f t="shared" si="3"/>
        <v>0</v>
      </c>
      <c r="R41" s="62">
        <f>COUNTIFS(I38:I49,R40)</f>
        <v>1</v>
      </c>
    </row>
    <row r="42" ht="15.75" customHeight="1">
      <c r="A42" s="11" t="s">
        <v>14</v>
      </c>
      <c r="B42" s="125" t="s">
        <v>757</v>
      </c>
      <c r="C42" s="69" t="s">
        <v>1280</v>
      </c>
      <c r="D42" s="70">
        <v>0.5972222222222222</v>
      </c>
      <c r="E42" s="69">
        <v>2.5615356812E10</v>
      </c>
      <c r="F42" s="69">
        <v>2.03923475250003E14</v>
      </c>
      <c r="G42" s="154" t="s">
        <v>1875</v>
      </c>
      <c r="H42" s="193">
        <v>12857.0</v>
      </c>
      <c r="I42" s="30" t="s">
        <v>182</v>
      </c>
      <c r="J42" s="69" t="s">
        <v>1876</v>
      </c>
      <c r="K42" s="69" t="s">
        <v>1877</v>
      </c>
      <c r="R42" s="62"/>
    </row>
    <row r="43" ht="15.75" customHeight="1">
      <c r="A43" s="11" t="s">
        <v>15</v>
      </c>
      <c r="B43" s="125" t="s">
        <v>1467</v>
      </c>
      <c r="C43" s="69" t="s">
        <v>1280</v>
      </c>
      <c r="D43" s="70">
        <v>0.6111111111111112</v>
      </c>
      <c r="E43" s="69">
        <v>1.2618430883E10</v>
      </c>
      <c r="F43" s="69">
        <v>8.01440406933214E14</v>
      </c>
      <c r="G43" s="154" t="s">
        <v>1878</v>
      </c>
      <c r="H43" s="193">
        <v>21778.0</v>
      </c>
      <c r="I43" s="30" t="s">
        <v>182</v>
      </c>
      <c r="J43" s="69" t="s">
        <v>1879</v>
      </c>
      <c r="K43" s="69" t="s">
        <v>1880</v>
      </c>
      <c r="R43" s="62"/>
    </row>
    <row r="44" ht="15.75" customHeight="1">
      <c r="A44" s="11" t="s">
        <v>16</v>
      </c>
      <c r="B44" s="125" t="s">
        <v>216</v>
      </c>
      <c r="C44" s="69" t="s">
        <v>1280</v>
      </c>
      <c r="D44" s="70">
        <v>0.625</v>
      </c>
      <c r="E44" s="69">
        <v>4.687888836E9</v>
      </c>
      <c r="F44" s="69">
        <v>7.02608707487946E14</v>
      </c>
      <c r="G44" s="154" t="s">
        <v>1881</v>
      </c>
      <c r="H44" s="193">
        <v>22983.0</v>
      </c>
      <c r="I44" s="30" t="s">
        <v>182</v>
      </c>
      <c r="J44" s="69" t="s">
        <v>1882</v>
      </c>
      <c r="K44" s="69"/>
      <c r="R44" s="62"/>
    </row>
    <row r="45" ht="15.75" customHeight="1">
      <c r="A45" s="11" t="s">
        <v>17</v>
      </c>
      <c r="B45" s="125" t="s">
        <v>197</v>
      </c>
      <c r="C45" s="69" t="s">
        <v>1280</v>
      </c>
      <c r="D45" s="70">
        <v>0.6388888888888888</v>
      </c>
      <c r="E45" s="69">
        <v>3.818022801E9</v>
      </c>
      <c r="F45" s="69">
        <v>8.01440406912101E14</v>
      </c>
      <c r="G45" s="154" t="s">
        <v>1883</v>
      </c>
      <c r="H45" s="193">
        <v>17007.0</v>
      </c>
      <c r="I45" s="30" t="s">
        <v>182</v>
      </c>
      <c r="J45" s="69" t="s">
        <v>1884</v>
      </c>
      <c r="K45" s="69" t="s">
        <v>1885</v>
      </c>
      <c r="R45" s="62"/>
    </row>
    <row r="46" ht="15.75" customHeight="1">
      <c r="A46" s="11" t="s">
        <v>85</v>
      </c>
      <c r="B46" s="125" t="s">
        <v>1467</v>
      </c>
      <c r="C46" s="69" t="s">
        <v>1280</v>
      </c>
      <c r="D46" s="70">
        <v>0.6527777777777778</v>
      </c>
      <c r="E46" s="69">
        <v>1.6621168888E10</v>
      </c>
      <c r="F46" s="69">
        <v>1.24482710640007E14</v>
      </c>
      <c r="G46" s="154" t="s">
        <v>1886</v>
      </c>
      <c r="H46" s="193">
        <v>24715.0</v>
      </c>
      <c r="I46" s="30" t="s">
        <v>182</v>
      </c>
      <c r="J46" s="69" t="s">
        <v>1887</v>
      </c>
      <c r="K46" s="69"/>
      <c r="R46" s="62"/>
    </row>
    <row r="47" ht="15.75" customHeight="1">
      <c r="A47" s="11" t="s">
        <v>87</v>
      </c>
      <c r="B47" s="125" t="s">
        <v>757</v>
      </c>
      <c r="C47" s="69" t="s">
        <v>1280</v>
      </c>
      <c r="D47" s="70">
        <v>0.6666666666666666</v>
      </c>
      <c r="E47" s="69">
        <v>2.2821077807E10</v>
      </c>
      <c r="F47" s="404" t="s">
        <v>1888</v>
      </c>
      <c r="G47" s="154" t="s">
        <v>1889</v>
      </c>
      <c r="H47" s="193">
        <v>28227.0</v>
      </c>
      <c r="I47" s="30" t="s">
        <v>1822</v>
      </c>
      <c r="J47" s="69" t="s">
        <v>1890</v>
      </c>
      <c r="K47" s="69" t="s">
        <v>1891</v>
      </c>
      <c r="R47" s="62"/>
    </row>
    <row r="48" ht="15.75" customHeight="1">
      <c r="A48" s="11" t="s">
        <v>90</v>
      </c>
      <c r="B48" s="125" t="s">
        <v>757</v>
      </c>
      <c r="C48" s="69" t="s">
        <v>1280</v>
      </c>
      <c r="D48" s="70">
        <v>0.6805555555555556</v>
      </c>
      <c r="E48" s="69">
        <v>1.2695251823E10</v>
      </c>
      <c r="F48" s="69">
        <v>2.03923106050003E14</v>
      </c>
      <c r="G48" s="154" t="s">
        <v>1892</v>
      </c>
      <c r="H48" s="193">
        <v>17625.0</v>
      </c>
      <c r="I48" s="30" t="s">
        <v>182</v>
      </c>
      <c r="J48" s="69" t="s">
        <v>1893</v>
      </c>
      <c r="K48" s="69" t="s">
        <v>1894</v>
      </c>
      <c r="R48" s="62"/>
    </row>
    <row r="49" ht="15.75" customHeight="1">
      <c r="A49" s="11" t="s">
        <v>93</v>
      </c>
      <c r="B49" s="125" t="s">
        <v>757</v>
      </c>
      <c r="C49" s="69" t="s">
        <v>1280</v>
      </c>
      <c r="D49" s="70">
        <v>0.6944444444444444</v>
      </c>
      <c r="E49" s="69">
        <v>4.591958833E9</v>
      </c>
      <c r="F49" s="69">
        <v>7.04703767961939E14</v>
      </c>
      <c r="G49" s="154" t="s">
        <v>1895</v>
      </c>
      <c r="H49" s="193">
        <v>20056.0</v>
      </c>
      <c r="I49" s="30" t="s">
        <v>182</v>
      </c>
      <c r="J49" s="69" t="s">
        <v>1896</v>
      </c>
      <c r="K49" s="69" t="s">
        <v>1897</v>
      </c>
      <c r="R49" s="62"/>
    </row>
    <row r="50" ht="15.75" customHeight="1">
      <c r="B50" s="167"/>
      <c r="E50" s="263"/>
      <c r="J50" s="62"/>
      <c r="K50" s="62"/>
      <c r="R50" s="62"/>
    </row>
    <row r="51" ht="15.75" customHeight="1">
      <c r="B51" s="167"/>
      <c r="J51" s="62"/>
      <c r="K51" s="62"/>
      <c r="R51" s="62"/>
    </row>
    <row r="52" ht="15.75" customHeight="1">
      <c r="B52" s="167"/>
      <c r="J52" s="62"/>
      <c r="K52" s="62"/>
      <c r="R52" s="62"/>
    </row>
    <row r="53" ht="15.75" customHeight="1">
      <c r="A53" s="20" t="s">
        <v>377</v>
      </c>
      <c r="B53" s="2"/>
      <c r="C53" s="2"/>
      <c r="D53" s="2"/>
      <c r="E53" s="2"/>
      <c r="F53" s="2"/>
      <c r="G53" s="2"/>
      <c r="H53" s="2"/>
      <c r="I53" s="2"/>
      <c r="J53" s="2"/>
      <c r="K53" s="3"/>
      <c r="R53" s="62"/>
    </row>
    <row r="54" ht="15.75" customHeight="1">
      <c r="A54" s="233" t="s">
        <v>1898</v>
      </c>
      <c r="B54" s="2"/>
      <c r="C54" s="2"/>
      <c r="D54" s="2"/>
      <c r="E54" s="2"/>
      <c r="F54" s="2"/>
      <c r="G54" s="2"/>
      <c r="H54" s="2"/>
      <c r="I54" s="2"/>
      <c r="J54" s="2"/>
      <c r="K54" s="3"/>
      <c r="R54" s="62"/>
    </row>
    <row r="55" ht="15.75" customHeight="1">
      <c r="A55" s="22"/>
      <c r="B55" s="426" t="s">
        <v>3</v>
      </c>
      <c r="C55" s="24" t="s">
        <v>2</v>
      </c>
      <c r="D55" s="25" t="s">
        <v>5</v>
      </c>
      <c r="E55" s="25" t="s">
        <v>19</v>
      </c>
      <c r="F55" s="25" t="s">
        <v>6</v>
      </c>
      <c r="G55" s="234" t="s">
        <v>7</v>
      </c>
      <c r="H55" s="27" t="s">
        <v>8</v>
      </c>
      <c r="I55" s="28" t="s">
        <v>20</v>
      </c>
      <c r="J55" s="25" t="s">
        <v>21</v>
      </c>
      <c r="K55" s="25" t="s">
        <v>22</v>
      </c>
      <c r="R55" s="62"/>
    </row>
    <row r="56" ht="18.75" customHeight="1">
      <c r="A56" s="11" t="s">
        <v>10</v>
      </c>
      <c r="B56" s="125" t="s">
        <v>1357</v>
      </c>
      <c r="C56" s="69" t="s">
        <v>1294</v>
      </c>
      <c r="D56" s="70">
        <v>0.5416666666666666</v>
      </c>
      <c r="E56" s="69"/>
      <c r="F56" s="69">
        <v>8.01440485290974E14</v>
      </c>
      <c r="G56" s="154" t="s">
        <v>1899</v>
      </c>
      <c r="H56" s="193">
        <v>30176.0</v>
      </c>
      <c r="I56" s="30" t="s">
        <v>182</v>
      </c>
      <c r="J56" s="69" t="s">
        <v>1900</v>
      </c>
      <c r="K56" s="69" t="s">
        <v>1901</v>
      </c>
      <c r="N56" s="237" t="s">
        <v>386</v>
      </c>
      <c r="O56" s="95"/>
      <c r="P56" s="95"/>
      <c r="Q56" s="95"/>
      <c r="R56" s="95"/>
    </row>
    <row r="57" ht="15.75" customHeight="1">
      <c r="A57" s="11" t="s">
        <v>11</v>
      </c>
      <c r="B57" s="125" t="s">
        <v>1358</v>
      </c>
      <c r="C57" s="69" t="s">
        <v>1294</v>
      </c>
      <c r="D57" s="70">
        <v>0.5555555555555556</v>
      </c>
      <c r="E57" s="69"/>
      <c r="F57" s="69">
        <v>7.02608794441648E14</v>
      </c>
      <c r="G57" s="154" t="s">
        <v>1902</v>
      </c>
      <c r="H57" s="193">
        <v>23877.0</v>
      </c>
      <c r="I57" s="30" t="s">
        <v>182</v>
      </c>
      <c r="J57" s="69" t="s">
        <v>1903</v>
      </c>
      <c r="K57" s="69"/>
      <c r="N57" s="239" t="s">
        <v>1823</v>
      </c>
      <c r="O57" s="2"/>
      <c r="P57" s="2"/>
      <c r="Q57" s="2"/>
      <c r="R57" s="2"/>
    </row>
    <row r="58" ht="15.75" customHeight="1">
      <c r="A58" s="11" t="s">
        <v>12</v>
      </c>
      <c r="B58" s="125" t="s">
        <v>1360</v>
      </c>
      <c r="C58" s="69" t="s">
        <v>1294</v>
      </c>
      <c r="D58" s="70">
        <v>0.5694444444444444</v>
      </c>
      <c r="E58" s="69"/>
      <c r="F58" s="69">
        <v>7.00006493582908E14</v>
      </c>
      <c r="G58" s="154" t="s">
        <v>1904</v>
      </c>
      <c r="H58" s="193">
        <v>38261.0</v>
      </c>
      <c r="I58" s="30" t="s">
        <v>1822</v>
      </c>
      <c r="J58" s="69" t="s">
        <v>1905</v>
      </c>
      <c r="K58" s="69" t="s">
        <v>1906</v>
      </c>
      <c r="N58" s="240" t="s">
        <v>182</v>
      </c>
      <c r="O58" s="241" t="s">
        <v>194</v>
      </c>
      <c r="P58" s="241" t="s">
        <v>180</v>
      </c>
      <c r="Q58" s="242" t="s">
        <v>172</v>
      </c>
      <c r="R58" s="62" t="s">
        <v>1822</v>
      </c>
    </row>
    <row r="59" ht="15.75" customHeight="1">
      <c r="A59" s="11" t="s">
        <v>13</v>
      </c>
      <c r="B59" s="125" t="s">
        <v>1362</v>
      </c>
      <c r="C59" s="69" t="s">
        <v>1294</v>
      </c>
      <c r="D59" s="70">
        <v>0.5833333333333334</v>
      </c>
      <c r="E59" s="69"/>
      <c r="F59" s="69">
        <v>7.00004208556301E14</v>
      </c>
      <c r="G59" s="154" t="s">
        <v>1907</v>
      </c>
      <c r="H59" s="193">
        <v>22384.0</v>
      </c>
      <c r="I59" s="30" t="s">
        <v>182</v>
      </c>
      <c r="J59" s="69" t="s">
        <v>1908</v>
      </c>
      <c r="K59" s="69" t="s">
        <v>1909</v>
      </c>
      <c r="N59" s="244">
        <f t="shared" ref="N59:R59" si="4">COUNTIFS($I$56:$I$67,N58)</f>
        <v>9</v>
      </c>
      <c r="O59" s="244">
        <f t="shared" si="4"/>
        <v>0</v>
      </c>
      <c r="P59" s="244">
        <f t="shared" si="4"/>
        <v>0</v>
      </c>
      <c r="Q59" s="244">
        <f t="shared" si="4"/>
        <v>0</v>
      </c>
      <c r="R59" s="244">
        <f t="shared" si="4"/>
        <v>3</v>
      </c>
    </row>
    <row r="60" ht="15.75" customHeight="1">
      <c r="A60" s="11" t="s">
        <v>14</v>
      </c>
      <c r="B60" s="125" t="s">
        <v>1358</v>
      </c>
      <c r="C60" s="69" t="s">
        <v>1294</v>
      </c>
      <c r="D60" s="70">
        <v>0.5972222222222222</v>
      </c>
      <c r="E60" s="69"/>
      <c r="F60" s="69">
        <v>7.00507756856155E14</v>
      </c>
      <c r="G60" s="154" t="s">
        <v>1910</v>
      </c>
      <c r="H60" s="193">
        <v>25573.0</v>
      </c>
      <c r="I60" s="30" t="s">
        <v>182</v>
      </c>
      <c r="J60" s="69" t="s">
        <v>1911</v>
      </c>
      <c r="K60" s="69"/>
      <c r="R60" s="62"/>
    </row>
    <row r="61" ht="15.75" customHeight="1">
      <c r="A61" s="11" t="s">
        <v>15</v>
      </c>
      <c r="B61" s="125" t="s">
        <v>1357</v>
      </c>
      <c r="C61" s="69" t="s">
        <v>1294</v>
      </c>
      <c r="D61" s="70">
        <v>0.6111111111111112</v>
      </c>
      <c r="E61" s="69"/>
      <c r="F61" s="69"/>
      <c r="G61" s="154" t="s">
        <v>1912</v>
      </c>
      <c r="H61" s="193"/>
      <c r="I61" s="30" t="s">
        <v>182</v>
      </c>
      <c r="J61" s="69" t="s">
        <v>1913</v>
      </c>
      <c r="K61" s="69" t="s">
        <v>1914</v>
      </c>
      <c r="R61" s="62"/>
    </row>
    <row r="62" ht="15.75" customHeight="1">
      <c r="A62" s="11" t="s">
        <v>16</v>
      </c>
      <c r="B62" s="125" t="s">
        <v>1360</v>
      </c>
      <c r="C62" s="69" t="s">
        <v>1294</v>
      </c>
      <c r="D62" s="70">
        <v>0.625</v>
      </c>
      <c r="E62" s="69"/>
      <c r="F62" s="69">
        <v>7.06201591212164E14</v>
      </c>
      <c r="G62" s="154" t="s">
        <v>190</v>
      </c>
      <c r="H62" s="193">
        <v>14921.0</v>
      </c>
      <c r="I62" s="30" t="s">
        <v>182</v>
      </c>
      <c r="J62" s="69" t="s">
        <v>1915</v>
      </c>
      <c r="K62" s="69" t="s">
        <v>1916</v>
      </c>
      <c r="R62" s="62"/>
    </row>
    <row r="63" ht="15.75" customHeight="1">
      <c r="A63" s="11" t="s">
        <v>17</v>
      </c>
      <c r="B63" s="125" t="s">
        <v>1362</v>
      </c>
      <c r="C63" s="69" t="s">
        <v>1294</v>
      </c>
      <c r="D63" s="70">
        <v>0.6388888888888888</v>
      </c>
      <c r="E63" s="69"/>
      <c r="F63" s="69">
        <v>8.01440470485138E14</v>
      </c>
      <c r="G63" s="154" t="s">
        <v>1917</v>
      </c>
      <c r="H63" s="193">
        <v>38670.0</v>
      </c>
      <c r="I63" s="30" t="s">
        <v>182</v>
      </c>
      <c r="J63" s="69" t="s">
        <v>1918</v>
      </c>
      <c r="K63" s="69" t="s">
        <v>1919</v>
      </c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</row>
    <row r="64" ht="15.75" customHeight="1">
      <c r="A64" s="11" t="s">
        <v>85</v>
      </c>
      <c r="B64" s="125" t="s">
        <v>1357</v>
      </c>
      <c r="C64" s="69" t="s">
        <v>1294</v>
      </c>
      <c r="D64" s="70">
        <v>0.6527777777777778</v>
      </c>
      <c r="E64" s="69"/>
      <c r="F64" s="69">
        <v>2.09788785870005E14</v>
      </c>
      <c r="G64" s="154" t="s">
        <v>1920</v>
      </c>
      <c r="H64" s="193">
        <v>27484.0</v>
      </c>
      <c r="I64" s="30" t="s">
        <v>1822</v>
      </c>
      <c r="J64" s="69" t="s">
        <v>1921</v>
      </c>
      <c r="K64" s="69" t="s">
        <v>1922</v>
      </c>
      <c r="R64" s="62"/>
    </row>
    <row r="65" ht="15.75" customHeight="1">
      <c r="A65" s="11" t="s">
        <v>87</v>
      </c>
      <c r="B65" s="125" t="s">
        <v>1358</v>
      </c>
      <c r="C65" s="69" t="s">
        <v>1294</v>
      </c>
      <c r="D65" s="70">
        <v>0.6666666666666666</v>
      </c>
      <c r="E65" s="69"/>
      <c r="F65" s="69">
        <v>8.01440432696283E14</v>
      </c>
      <c r="G65" s="154" t="s">
        <v>1923</v>
      </c>
      <c r="H65" s="193">
        <v>23613.0</v>
      </c>
      <c r="I65" s="30" t="s">
        <v>1822</v>
      </c>
      <c r="J65" s="69" t="s">
        <v>1924</v>
      </c>
      <c r="K65" s="69" t="s">
        <v>1925</v>
      </c>
      <c r="R65" s="62"/>
    </row>
    <row r="66" ht="15.75" customHeight="1">
      <c r="A66" s="11" t="s">
        <v>90</v>
      </c>
      <c r="B66" s="125" t="s">
        <v>1360</v>
      </c>
      <c r="C66" s="69" t="s">
        <v>1294</v>
      </c>
      <c r="D66" s="70">
        <v>0.6805555555555556</v>
      </c>
      <c r="E66" s="69"/>
      <c r="F66" s="69">
        <v>7.06903173634735E14</v>
      </c>
      <c r="G66" s="154" t="s">
        <v>1926</v>
      </c>
      <c r="H66" s="193">
        <v>21538.0</v>
      </c>
      <c r="I66" s="30" t="s">
        <v>182</v>
      </c>
      <c r="J66" s="69" t="s">
        <v>1927</v>
      </c>
      <c r="K66" s="69"/>
      <c r="R66" s="62"/>
    </row>
    <row r="67" ht="15.75" customHeight="1">
      <c r="A67" s="11" t="s">
        <v>93</v>
      </c>
      <c r="B67" s="125" t="s">
        <v>1362</v>
      </c>
      <c r="C67" s="69" t="s">
        <v>1294</v>
      </c>
      <c r="D67" s="70">
        <v>0.6944444444444444</v>
      </c>
      <c r="E67" s="69"/>
      <c r="F67" s="69">
        <v>1.21019580170001E14</v>
      </c>
      <c r="G67" s="154" t="s">
        <v>1928</v>
      </c>
      <c r="H67" s="193">
        <v>22276.0</v>
      </c>
      <c r="I67" s="30" t="s">
        <v>182</v>
      </c>
      <c r="J67" s="69" t="s">
        <v>1929</v>
      </c>
      <c r="K67" s="69" t="s">
        <v>1930</v>
      </c>
      <c r="R67" s="62"/>
    </row>
    <row r="68" ht="15.75" customHeight="1">
      <c r="B68" s="167"/>
      <c r="J68" s="62"/>
      <c r="K68" s="62"/>
      <c r="R68" s="62"/>
    </row>
    <row r="69" ht="15.75" customHeight="1">
      <c r="B69" s="167"/>
      <c r="J69" s="62"/>
      <c r="K69" s="62"/>
      <c r="R69" s="62"/>
    </row>
    <row r="70" ht="15.0" customHeight="1">
      <c r="B70" s="167"/>
      <c r="J70" s="62"/>
      <c r="K70" s="62"/>
      <c r="R70" s="62"/>
    </row>
    <row r="71" ht="15.75" customHeight="1">
      <c r="A71" s="20" t="s">
        <v>377</v>
      </c>
      <c r="B71" s="2"/>
      <c r="C71" s="2"/>
      <c r="D71" s="2"/>
      <c r="E71" s="2"/>
      <c r="F71" s="2"/>
      <c r="G71" s="2"/>
      <c r="H71" s="2"/>
      <c r="I71" s="2"/>
      <c r="J71" s="2"/>
      <c r="K71" s="3"/>
      <c r="R71" s="62"/>
    </row>
    <row r="72" ht="15.75" customHeight="1">
      <c r="A72" s="233" t="s">
        <v>1931</v>
      </c>
      <c r="B72" s="2"/>
      <c r="C72" s="2"/>
      <c r="D72" s="2"/>
      <c r="E72" s="2"/>
      <c r="F72" s="2"/>
      <c r="G72" s="2"/>
      <c r="H72" s="2"/>
      <c r="I72" s="2"/>
      <c r="J72" s="2"/>
      <c r="K72" s="3"/>
      <c r="R72" s="62"/>
    </row>
    <row r="73" ht="15.75" customHeight="1">
      <c r="A73" s="22"/>
      <c r="B73" s="426" t="s">
        <v>3</v>
      </c>
      <c r="C73" s="24" t="s">
        <v>2</v>
      </c>
      <c r="D73" s="25" t="s">
        <v>5</v>
      </c>
      <c r="E73" s="25" t="s">
        <v>19</v>
      </c>
      <c r="F73" s="25" t="s">
        <v>6</v>
      </c>
      <c r="G73" s="234" t="s">
        <v>7</v>
      </c>
      <c r="H73" s="27" t="s">
        <v>8</v>
      </c>
      <c r="I73" s="28" t="s">
        <v>20</v>
      </c>
      <c r="J73" s="25" t="s">
        <v>21</v>
      </c>
      <c r="K73" s="25" t="s">
        <v>22</v>
      </c>
      <c r="R73" s="62"/>
    </row>
    <row r="74" ht="15.75" customHeight="1">
      <c r="A74" s="11" t="s">
        <v>10</v>
      </c>
      <c r="B74" s="125" t="s">
        <v>65</v>
      </c>
      <c r="C74" s="69" t="s">
        <v>1313</v>
      </c>
      <c r="D74" s="70">
        <v>0.3333333333333333</v>
      </c>
      <c r="E74" s="69">
        <v>1.6415905805E10</v>
      </c>
      <c r="F74" s="69">
        <v>7.00509309401958E14</v>
      </c>
      <c r="G74" s="69" t="s">
        <v>1932</v>
      </c>
      <c r="H74" s="193">
        <v>15740.0</v>
      </c>
      <c r="I74" s="30" t="s">
        <v>182</v>
      </c>
      <c r="J74" s="69"/>
      <c r="K74" s="69"/>
      <c r="L74" s="197" t="s">
        <v>520</v>
      </c>
      <c r="N74" s="237" t="s">
        <v>386</v>
      </c>
      <c r="O74" s="95"/>
      <c r="P74" s="95"/>
      <c r="Q74" s="95"/>
      <c r="R74" s="95"/>
    </row>
    <row r="75" ht="15.75" customHeight="1">
      <c r="A75" s="11" t="s">
        <v>11</v>
      </c>
      <c r="B75" s="125" t="s">
        <v>201</v>
      </c>
      <c r="C75" s="69" t="s">
        <v>1313</v>
      </c>
      <c r="D75" s="70">
        <v>0.3472222222222222</v>
      </c>
      <c r="E75" s="69">
        <v>2.7679764549E10</v>
      </c>
      <c r="F75" s="69">
        <v>8.01440480119509E14</v>
      </c>
      <c r="G75" s="69" t="s">
        <v>675</v>
      </c>
      <c r="H75" s="72">
        <v>23464.0</v>
      </c>
      <c r="I75" s="30" t="s">
        <v>182</v>
      </c>
      <c r="J75" s="69"/>
      <c r="K75" s="69"/>
      <c r="N75" s="239" t="s">
        <v>1823</v>
      </c>
      <c r="O75" s="2"/>
      <c r="P75" s="2"/>
      <c r="Q75" s="2"/>
      <c r="R75" s="2"/>
    </row>
    <row r="76" ht="15.75" customHeight="1">
      <c r="A76" s="11" t="s">
        <v>12</v>
      </c>
      <c r="B76" s="125" t="s">
        <v>1447</v>
      </c>
      <c r="C76" s="69" t="s">
        <v>1313</v>
      </c>
      <c r="D76" s="70">
        <v>0.3611111111111111</v>
      </c>
      <c r="E76" s="69">
        <v>4.0346552591E10</v>
      </c>
      <c r="F76" s="69">
        <v>7.06504379454192E14</v>
      </c>
      <c r="G76" s="69" t="s">
        <v>1933</v>
      </c>
      <c r="H76" s="78">
        <v>24451.0</v>
      </c>
      <c r="I76" s="30" t="s">
        <v>182</v>
      </c>
      <c r="J76" s="69"/>
      <c r="K76" s="69"/>
      <c r="L76" s="197" t="s">
        <v>520</v>
      </c>
      <c r="N76" s="240" t="s">
        <v>182</v>
      </c>
      <c r="O76" s="241" t="s">
        <v>194</v>
      </c>
      <c r="P76" s="241" t="s">
        <v>180</v>
      </c>
      <c r="Q76" s="242" t="s">
        <v>172</v>
      </c>
      <c r="R76" s="62" t="s">
        <v>1822</v>
      </c>
    </row>
    <row r="77" ht="15.75" customHeight="1">
      <c r="A77" s="11" t="s">
        <v>13</v>
      </c>
      <c r="B77" s="125" t="s">
        <v>821</v>
      </c>
      <c r="C77" s="69" t="s">
        <v>1313</v>
      </c>
      <c r="D77" s="70">
        <v>0.375</v>
      </c>
      <c r="E77" s="69">
        <v>4.778991885E9</v>
      </c>
      <c r="F77" s="69">
        <v>2.06881031400006E14</v>
      </c>
      <c r="G77" s="433" t="s">
        <v>1934</v>
      </c>
      <c r="H77" s="78">
        <v>19705.0</v>
      </c>
      <c r="I77" s="30" t="s">
        <v>182</v>
      </c>
      <c r="J77" s="69"/>
      <c r="K77" s="69"/>
      <c r="L77" s="197" t="s">
        <v>520</v>
      </c>
      <c r="N77" s="244">
        <f t="shared" ref="N77:R77" si="5">COUNTIFS($I$74:$I$85,N76)</f>
        <v>8</v>
      </c>
      <c r="O77" s="244">
        <f t="shared" si="5"/>
        <v>0</v>
      </c>
      <c r="P77" s="244">
        <f t="shared" si="5"/>
        <v>0</v>
      </c>
      <c r="Q77" s="244">
        <f t="shared" si="5"/>
        <v>0</v>
      </c>
      <c r="R77" s="244">
        <f t="shared" si="5"/>
        <v>4</v>
      </c>
    </row>
    <row r="78" ht="18.0" customHeight="1">
      <c r="A78" s="11" t="s">
        <v>14</v>
      </c>
      <c r="B78" s="125" t="s">
        <v>201</v>
      </c>
      <c r="C78" s="69" t="s">
        <v>1313</v>
      </c>
      <c r="D78" s="70">
        <v>0.3888888888888889</v>
      </c>
      <c r="E78" s="69">
        <v>1.6567940808E10</v>
      </c>
      <c r="F78" s="69">
        <v>7.04005871849064E14</v>
      </c>
      <c r="G78" s="69" t="s">
        <v>1935</v>
      </c>
      <c r="H78" s="78">
        <v>27631.0</v>
      </c>
      <c r="I78" s="30" t="s">
        <v>1822</v>
      </c>
      <c r="J78" s="69"/>
      <c r="K78" s="69"/>
      <c r="L78" s="197" t="s">
        <v>520</v>
      </c>
      <c r="R78" s="62"/>
    </row>
    <row r="79" ht="15.75" customHeight="1">
      <c r="A79" s="11" t="s">
        <v>15</v>
      </c>
      <c r="B79" s="125" t="s">
        <v>1447</v>
      </c>
      <c r="C79" s="69" t="s">
        <v>1313</v>
      </c>
      <c r="D79" s="70">
        <v>0.4027777777777778</v>
      </c>
      <c r="E79" s="69">
        <v>1.2982559889E10</v>
      </c>
      <c r="F79" s="69">
        <v>2.01156083160006E14</v>
      </c>
      <c r="G79" s="69" t="s">
        <v>1936</v>
      </c>
      <c r="H79" s="78">
        <v>15715.0</v>
      </c>
      <c r="I79" s="30" t="s">
        <v>1822</v>
      </c>
      <c r="J79" s="69"/>
      <c r="K79" s="69"/>
      <c r="L79" s="197" t="s">
        <v>520</v>
      </c>
      <c r="R79" s="62"/>
    </row>
    <row r="80" ht="15.75" customHeight="1">
      <c r="A80" s="11" t="s">
        <v>16</v>
      </c>
      <c r="B80" s="125" t="s">
        <v>65</v>
      </c>
      <c r="C80" s="69" t="s">
        <v>1313</v>
      </c>
      <c r="D80" s="70">
        <v>0.4166666666666667</v>
      </c>
      <c r="E80" s="69">
        <v>2.5959269856E10</v>
      </c>
      <c r="F80" s="69">
        <v>7.00106908443012E14</v>
      </c>
      <c r="G80" s="69" t="s">
        <v>1937</v>
      </c>
      <c r="H80" s="78">
        <v>28725.0</v>
      </c>
      <c r="I80" s="30" t="s">
        <v>1822</v>
      </c>
      <c r="J80" s="69"/>
      <c r="K80" s="69"/>
      <c r="L80" s="197" t="s">
        <v>520</v>
      </c>
      <c r="R80" s="62"/>
    </row>
    <row r="81" ht="15.75" customHeight="1">
      <c r="A81" s="11" t="s">
        <v>178</v>
      </c>
      <c r="B81" s="125" t="s">
        <v>201</v>
      </c>
      <c r="C81" s="69" t="s">
        <v>1313</v>
      </c>
      <c r="D81" s="70">
        <v>0.4305555555555556</v>
      </c>
      <c r="E81" s="69">
        <v>1.66461695E8</v>
      </c>
      <c r="F81" s="69">
        <v>7.05006492415758E14</v>
      </c>
      <c r="G81" s="69" t="s">
        <v>1938</v>
      </c>
      <c r="H81" s="72">
        <v>22720.0</v>
      </c>
      <c r="I81" s="30" t="s">
        <v>1822</v>
      </c>
      <c r="J81" s="69"/>
      <c r="K81" s="69"/>
      <c r="L81" s="197" t="s">
        <v>520</v>
      </c>
      <c r="R81" s="62"/>
    </row>
    <row r="82" ht="15.75" customHeight="1">
      <c r="A82" s="11" t="s">
        <v>85</v>
      </c>
      <c r="B82" s="125" t="s">
        <v>821</v>
      </c>
      <c r="C82" s="69" t="s">
        <v>1313</v>
      </c>
      <c r="D82" s="70">
        <v>0.4444444444444444</v>
      </c>
      <c r="E82" s="69">
        <v>2.749765285E10</v>
      </c>
      <c r="F82" s="69">
        <v>7.00307927934939E14</v>
      </c>
      <c r="G82" s="69" t="s">
        <v>1939</v>
      </c>
      <c r="H82" s="78">
        <v>21932.0</v>
      </c>
      <c r="I82" s="30" t="s">
        <v>182</v>
      </c>
      <c r="J82" s="69"/>
      <c r="K82" s="69"/>
      <c r="L82" s="197" t="s">
        <v>520</v>
      </c>
      <c r="R82" s="62"/>
    </row>
    <row r="83" ht="15.75" customHeight="1">
      <c r="A83" s="11" t="s">
        <v>87</v>
      </c>
      <c r="B83" s="125" t="s">
        <v>1447</v>
      </c>
      <c r="C83" s="69" t="s">
        <v>1313</v>
      </c>
      <c r="D83" s="70">
        <v>0.4583333333333333</v>
      </c>
      <c r="E83" s="69">
        <v>8.7667320853E10</v>
      </c>
      <c r="F83" s="69">
        <v>2.0115633469E14</v>
      </c>
      <c r="G83" s="69" t="s">
        <v>1940</v>
      </c>
      <c r="H83" s="153">
        <v>20410.0</v>
      </c>
      <c r="I83" s="30" t="s">
        <v>182</v>
      </c>
      <c r="J83" s="69"/>
      <c r="K83" s="69"/>
      <c r="L83" s="197" t="s">
        <v>520</v>
      </c>
      <c r="R83" s="62"/>
    </row>
    <row r="84" ht="15.75" customHeight="1">
      <c r="A84" s="11" t="s">
        <v>90</v>
      </c>
      <c r="B84" s="125" t="s">
        <v>821</v>
      </c>
      <c r="C84" s="69" t="s">
        <v>1313</v>
      </c>
      <c r="D84" s="70">
        <v>0.4722222222222222</v>
      </c>
      <c r="E84" s="69">
        <v>1.6568994855E10</v>
      </c>
      <c r="F84" s="69">
        <v>7.02005825108387E14</v>
      </c>
      <c r="G84" s="69" t="s">
        <v>1941</v>
      </c>
      <c r="H84" s="153">
        <v>26344.0</v>
      </c>
      <c r="I84" s="30" t="s">
        <v>182</v>
      </c>
      <c r="J84" s="69"/>
      <c r="K84" s="69"/>
      <c r="L84" s="197" t="s">
        <v>520</v>
      </c>
      <c r="R84" s="62"/>
    </row>
    <row r="85" ht="15.75" customHeight="1">
      <c r="A85" s="11" t="s">
        <v>93</v>
      </c>
      <c r="B85" s="125" t="s">
        <v>65</v>
      </c>
      <c r="C85" s="69" t="s">
        <v>1313</v>
      </c>
      <c r="D85" s="70">
        <v>0.4861111111111111</v>
      </c>
      <c r="E85" s="69">
        <v>9.8180460487E10</v>
      </c>
      <c r="F85" s="69">
        <v>7.08905779069214E14</v>
      </c>
      <c r="G85" s="69" t="s">
        <v>1942</v>
      </c>
      <c r="H85" s="153">
        <v>26848.0</v>
      </c>
      <c r="I85" s="30" t="s">
        <v>182</v>
      </c>
      <c r="J85" s="69"/>
      <c r="K85" s="69"/>
      <c r="R85" s="62"/>
    </row>
    <row r="86" ht="15.75" customHeight="1">
      <c r="B86" s="167"/>
      <c r="J86" s="62"/>
      <c r="K86" s="62"/>
      <c r="R86" s="62"/>
    </row>
    <row r="87" ht="15.75" customHeight="1">
      <c r="B87" s="167"/>
      <c r="J87" s="62"/>
      <c r="K87" s="62"/>
      <c r="R87" s="62"/>
    </row>
    <row r="88" ht="15.75" customHeight="1">
      <c r="A88" s="20" t="s">
        <v>377</v>
      </c>
      <c r="B88" s="2"/>
      <c r="C88" s="2"/>
      <c r="D88" s="2"/>
      <c r="E88" s="2"/>
      <c r="F88" s="2"/>
      <c r="G88" s="2"/>
      <c r="H88" s="2"/>
      <c r="I88" s="2"/>
      <c r="J88" s="2"/>
      <c r="K88" s="3"/>
      <c r="R88" s="62"/>
    </row>
    <row r="89" ht="15.75" customHeight="1">
      <c r="A89" s="233" t="s">
        <v>1943</v>
      </c>
      <c r="B89" s="2"/>
      <c r="C89" s="2"/>
      <c r="D89" s="2"/>
      <c r="E89" s="2"/>
      <c r="F89" s="2"/>
      <c r="G89" s="2"/>
      <c r="H89" s="2"/>
      <c r="I89" s="2"/>
      <c r="J89" s="2"/>
      <c r="K89" s="3"/>
      <c r="R89" s="62"/>
    </row>
    <row r="90" ht="15.75" customHeight="1">
      <c r="A90" s="22"/>
      <c r="B90" s="426" t="s">
        <v>3</v>
      </c>
      <c r="C90" s="24" t="s">
        <v>2</v>
      </c>
      <c r="D90" s="25" t="s">
        <v>5</v>
      </c>
      <c r="E90" s="25" t="s">
        <v>19</v>
      </c>
      <c r="F90" s="25" t="s">
        <v>6</v>
      </c>
      <c r="G90" s="234" t="s">
        <v>7</v>
      </c>
      <c r="H90" s="27" t="s">
        <v>8</v>
      </c>
      <c r="I90" s="28" t="s">
        <v>20</v>
      </c>
      <c r="J90" s="25" t="s">
        <v>21</v>
      </c>
      <c r="K90" s="25" t="s">
        <v>22</v>
      </c>
      <c r="R90" s="62"/>
    </row>
    <row r="91" ht="15.75" customHeight="1">
      <c r="A91" s="11" t="s">
        <v>10</v>
      </c>
      <c r="B91" s="125" t="s">
        <v>757</v>
      </c>
      <c r="C91" s="69" t="s">
        <v>1280</v>
      </c>
      <c r="D91" s="70">
        <v>0.5416666666666666</v>
      </c>
      <c r="E91" s="69">
        <v>2.0002418835E10</v>
      </c>
      <c r="F91" s="69">
        <v>7.06401614297088E14</v>
      </c>
      <c r="G91" s="69" t="s">
        <v>1944</v>
      </c>
      <c r="H91" s="193">
        <v>14770.0</v>
      </c>
      <c r="I91" s="30" t="s">
        <v>182</v>
      </c>
      <c r="J91" s="69" t="s">
        <v>1945</v>
      </c>
      <c r="K91" s="69"/>
      <c r="L91" s="197" t="s">
        <v>520</v>
      </c>
      <c r="N91" s="237" t="s">
        <v>386</v>
      </c>
      <c r="O91" s="95"/>
      <c r="P91" s="95"/>
      <c r="Q91" s="95"/>
      <c r="R91" s="95"/>
    </row>
    <row r="92" ht="15.75" customHeight="1">
      <c r="A92" s="11" t="s">
        <v>11</v>
      </c>
      <c r="B92" s="125" t="s">
        <v>1467</v>
      </c>
      <c r="C92" s="69" t="s">
        <v>1280</v>
      </c>
      <c r="D92" s="70">
        <v>0.5555555555555556</v>
      </c>
      <c r="E92" s="69">
        <v>8.941277043E10</v>
      </c>
      <c r="F92" s="69">
        <v>7.00005061852804E14</v>
      </c>
      <c r="G92" s="69" t="s">
        <v>1946</v>
      </c>
      <c r="H92" s="72">
        <v>27502.0</v>
      </c>
      <c r="I92" s="30" t="s">
        <v>182</v>
      </c>
      <c r="J92" s="69" t="s">
        <v>1947</v>
      </c>
      <c r="K92" s="69"/>
      <c r="N92" s="239" t="s">
        <v>1823</v>
      </c>
      <c r="O92" s="2"/>
      <c r="P92" s="2"/>
      <c r="Q92" s="2"/>
      <c r="R92" s="2"/>
    </row>
    <row r="93" ht="15.75" customHeight="1">
      <c r="A93" s="11" t="s">
        <v>12</v>
      </c>
      <c r="B93" s="125" t="s">
        <v>216</v>
      </c>
      <c r="C93" s="69" t="s">
        <v>1280</v>
      </c>
      <c r="D93" s="70">
        <v>0.5694444444444444</v>
      </c>
      <c r="E93" s="69">
        <v>6.755966282E10</v>
      </c>
      <c r="F93" s="69">
        <v>7.07808694210716E14</v>
      </c>
      <c r="G93" s="69" t="s">
        <v>1948</v>
      </c>
      <c r="H93" s="78">
        <v>18668.0</v>
      </c>
      <c r="I93" s="30" t="s">
        <v>182</v>
      </c>
      <c r="J93" s="69" t="s">
        <v>1949</v>
      </c>
      <c r="K93" s="69"/>
      <c r="L93" s="197" t="s">
        <v>520</v>
      </c>
      <c r="N93" s="240" t="s">
        <v>182</v>
      </c>
      <c r="O93" s="241" t="s">
        <v>194</v>
      </c>
      <c r="P93" s="241" t="s">
        <v>180</v>
      </c>
      <c r="Q93" s="242" t="s">
        <v>172</v>
      </c>
      <c r="R93" s="62" t="s">
        <v>1822</v>
      </c>
    </row>
    <row r="94" ht="15.75" customHeight="1">
      <c r="A94" s="11" t="s">
        <v>13</v>
      </c>
      <c r="B94" s="125" t="s">
        <v>197</v>
      </c>
      <c r="C94" s="69" t="s">
        <v>1280</v>
      </c>
      <c r="D94" s="70">
        <v>0.5833333333333334</v>
      </c>
      <c r="E94" s="69">
        <v>2.8550195839E10</v>
      </c>
      <c r="F94" s="69">
        <v>2.06882035790004E14</v>
      </c>
      <c r="G94" s="69" t="s">
        <v>1950</v>
      </c>
      <c r="H94" s="78">
        <v>28626.0</v>
      </c>
      <c r="I94" s="30" t="s">
        <v>182</v>
      </c>
      <c r="J94" s="69" t="s">
        <v>1951</v>
      </c>
      <c r="K94" s="69"/>
      <c r="L94" s="197" t="s">
        <v>520</v>
      </c>
      <c r="N94" s="244">
        <f t="shared" ref="N94:Q94" si="6">COUNTIFS($I$91:$I$102,N93)</f>
        <v>8</v>
      </c>
      <c r="O94" s="244">
        <f t="shared" si="6"/>
        <v>1</v>
      </c>
      <c r="P94" s="244">
        <f t="shared" si="6"/>
        <v>0</v>
      </c>
      <c r="Q94" s="244">
        <f t="shared" si="6"/>
        <v>0</v>
      </c>
      <c r="R94" s="62">
        <f>COUNTIFS(I91:I102,R93)</f>
        <v>3</v>
      </c>
    </row>
    <row r="95" ht="15.75" customHeight="1">
      <c r="A95" s="11" t="s">
        <v>14</v>
      </c>
      <c r="B95" s="125" t="s">
        <v>757</v>
      </c>
      <c r="C95" s="69" t="s">
        <v>1280</v>
      </c>
      <c r="D95" s="70">
        <v>0.5972222222222222</v>
      </c>
      <c r="E95" s="69">
        <v>9.1365880834E10</v>
      </c>
      <c r="F95" s="69">
        <v>7.05001053677354E14</v>
      </c>
      <c r="G95" s="69" t="s">
        <v>1952</v>
      </c>
      <c r="H95" s="78">
        <v>17077.0</v>
      </c>
      <c r="I95" s="30" t="s">
        <v>182</v>
      </c>
      <c r="J95" s="69" t="s">
        <v>1953</v>
      </c>
      <c r="K95" s="69"/>
      <c r="L95" s="197" t="s">
        <v>520</v>
      </c>
      <c r="R95" s="62"/>
    </row>
    <row r="96" ht="15.75" customHeight="1">
      <c r="A96" s="11" t="s">
        <v>15</v>
      </c>
      <c r="B96" s="125" t="s">
        <v>1467</v>
      </c>
      <c r="C96" s="69" t="s">
        <v>1280</v>
      </c>
      <c r="D96" s="70">
        <v>0.6111111111111112</v>
      </c>
      <c r="E96" s="69">
        <v>3.244773842E9</v>
      </c>
      <c r="F96" s="69">
        <v>2.03909762150006E14</v>
      </c>
      <c r="G96" s="69" t="s">
        <v>1954</v>
      </c>
      <c r="H96" s="78">
        <v>22638.0</v>
      </c>
      <c r="I96" s="30" t="s">
        <v>1822</v>
      </c>
      <c r="J96" s="69" t="s">
        <v>1955</v>
      </c>
      <c r="K96" s="69"/>
      <c r="L96" s="197" t="s">
        <v>520</v>
      </c>
      <c r="R96" s="62"/>
    </row>
    <row r="97" ht="15.75" customHeight="1">
      <c r="A97" s="11" t="s">
        <v>16</v>
      </c>
      <c r="B97" s="125" t="s">
        <v>216</v>
      </c>
      <c r="C97" s="69" t="s">
        <v>1280</v>
      </c>
      <c r="D97" s="70">
        <v>0.625</v>
      </c>
      <c r="E97" s="69">
        <v>1.4306124878E10</v>
      </c>
      <c r="F97" s="69">
        <v>2.03923908540002E14</v>
      </c>
      <c r="G97" s="69" t="s">
        <v>1956</v>
      </c>
      <c r="H97" s="78">
        <v>25090.0</v>
      </c>
      <c r="I97" s="30" t="s">
        <v>182</v>
      </c>
      <c r="J97" s="69" t="s">
        <v>1957</v>
      </c>
      <c r="K97" s="69"/>
      <c r="R97" s="62"/>
    </row>
    <row r="98" ht="15.75" customHeight="1">
      <c r="A98" s="11" t="s">
        <v>17</v>
      </c>
      <c r="B98" s="125" t="s">
        <v>197</v>
      </c>
      <c r="C98" s="69" t="s">
        <v>1280</v>
      </c>
      <c r="D98" s="70">
        <v>0.6388888888888888</v>
      </c>
      <c r="E98" s="69">
        <v>6.8902956849E10</v>
      </c>
      <c r="F98" s="69">
        <v>8.0144040117098E14</v>
      </c>
      <c r="G98" s="69" t="s">
        <v>1028</v>
      </c>
      <c r="H98" s="72">
        <v>19839.0</v>
      </c>
      <c r="I98" s="30" t="s">
        <v>194</v>
      </c>
      <c r="J98" s="69" t="s">
        <v>1958</v>
      </c>
      <c r="K98" s="69"/>
      <c r="R98" s="62"/>
    </row>
    <row r="99" ht="15.75" customHeight="1">
      <c r="A99" s="11" t="s">
        <v>85</v>
      </c>
      <c r="B99" s="125" t="s">
        <v>1467</v>
      </c>
      <c r="C99" s="69" t="s">
        <v>1280</v>
      </c>
      <c r="D99" s="70">
        <v>0.6527777777777778</v>
      </c>
      <c r="E99" s="69">
        <v>4.850080847E9</v>
      </c>
      <c r="F99" s="69">
        <v>7.07406041086078E14</v>
      </c>
      <c r="G99" s="69" t="s">
        <v>1959</v>
      </c>
      <c r="H99" s="78">
        <v>23689.0</v>
      </c>
      <c r="I99" s="30" t="s">
        <v>1822</v>
      </c>
      <c r="J99" s="69" t="s">
        <v>1960</v>
      </c>
      <c r="K99" s="69"/>
      <c r="L99" s="197" t="s">
        <v>576</v>
      </c>
      <c r="R99" s="62"/>
    </row>
    <row r="100" ht="15.75" customHeight="1">
      <c r="A100" s="11" t="s">
        <v>87</v>
      </c>
      <c r="B100" s="125" t="s">
        <v>757</v>
      </c>
      <c r="C100" s="69" t="s">
        <v>1280</v>
      </c>
      <c r="D100" s="70">
        <v>0.6666666666666666</v>
      </c>
      <c r="E100" s="69">
        <v>7.683517828E9</v>
      </c>
      <c r="F100" s="69">
        <v>7.06406609071683E14</v>
      </c>
      <c r="G100" s="69" t="s">
        <v>1961</v>
      </c>
      <c r="H100" s="153">
        <v>24034.0</v>
      </c>
      <c r="I100" s="30" t="s">
        <v>1822</v>
      </c>
      <c r="J100" s="69" t="s">
        <v>1962</v>
      </c>
      <c r="K100" s="69"/>
      <c r="R100" s="62"/>
    </row>
    <row r="101" ht="15.75" customHeight="1">
      <c r="A101" s="11" t="s">
        <v>90</v>
      </c>
      <c r="B101" s="125" t="s">
        <v>757</v>
      </c>
      <c r="C101" s="69" t="s">
        <v>1280</v>
      </c>
      <c r="D101" s="70">
        <v>0.6805555555555556</v>
      </c>
      <c r="E101" s="69">
        <v>3.4982812837E10</v>
      </c>
      <c r="F101" s="69">
        <v>7.00007375801104E14</v>
      </c>
      <c r="G101" s="69" t="s">
        <v>1963</v>
      </c>
      <c r="H101" s="153">
        <v>31043.0</v>
      </c>
      <c r="I101" s="30" t="s">
        <v>182</v>
      </c>
      <c r="J101" s="69" t="s">
        <v>1964</v>
      </c>
      <c r="K101" s="69"/>
      <c r="R101" s="62"/>
    </row>
    <row r="102" ht="15.75" customHeight="1">
      <c r="A102" s="11" t="s">
        <v>93</v>
      </c>
      <c r="B102" s="125" t="s">
        <v>757</v>
      </c>
      <c r="C102" s="69" t="s">
        <v>1280</v>
      </c>
      <c r="D102" s="70">
        <v>0.6944444444444444</v>
      </c>
      <c r="E102" s="69">
        <v>6.681152031E10</v>
      </c>
      <c r="F102" s="69">
        <v>7.07409014267078E14</v>
      </c>
      <c r="G102" s="69" t="s">
        <v>1965</v>
      </c>
      <c r="H102" s="153">
        <v>30413.0</v>
      </c>
      <c r="I102" s="30" t="s">
        <v>182</v>
      </c>
      <c r="J102" s="69" t="s">
        <v>1966</v>
      </c>
      <c r="K102" s="69"/>
      <c r="R102" s="62"/>
    </row>
    <row r="103" ht="15.75" customHeight="1">
      <c r="B103" s="167"/>
      <c r="J103" s="62"/>
      <c r="K103" s="62"/>
      <c r="R103" s="62"/>
    </row>
    <row r="104" ht="15.75" customHeight="1">
      <c r="B104" s="167"/>
      <c r="J104" s="62"/>
      <c r="K104" s="62"/>
      <c r="R104" s="62"/>
    </row>
    <row r="105" ht="15.75" customHeight="1">
      <c r="B105" s="167"/>
      <c r="J105" s="62"/>
      <c r="K105" s="62"/>
      <c r="R105" s="62"/>
    </row>
    <row r="106" ht="15.75" customHeight="1">
      <c r="B106" s="167"/>
      <c r="J106" s="62"/>
      <c r="K106" s="62"/>
      <c r="R106" s="62"/>
    </row>
    <row r="107" ht="15.75" customHeight="1">
      <c r="A107" s="20" t="s">
        <v>377</v>
      </c>
      <c r="B107" s="2"/>
      <c r="C107" s="2"/>
      <c r="D107" s="2"/>
      <c r="E107" s="2"/>
      <c r="F107" s="2"/>
      <c r="G107" s="2"/>
      <c r="H107" s="2"/>
      <c r="I107" s="2"/>
      <c r="J107" s="2"/>
      <c r="K107" s="3"/>
      <c r="R107" s="62"/>
    </row>
    <row r="108" ht="15.75" customHeight="1">
      <c r="A108" s="233" t="s">
        <v>1967</v>
      </c>
      <c r="B108" s="2"/>
      <c r="C108" s="2"/>
      <c r="D108" s="2"/>
      <c r="E108" s="2"/>
      <c r="F108" s="2"/>
      <c r="G108" s="2"/>
      <c r="H108" s="2"/>
      <c r="I108" s="2"/>
      <c r="J108" s="2"/>
      <c r="K108" s="3"/>
      <c r="R108" s="62"/>
    </row>
    <row r="109" ht="15.75" customHeight="1">
      <c r="A109" s="22"/>
      <c r="B109" s="426" t="s">
        <v>3</v>
      </c>
      <c r="C109" s="24" t="s">
        <v>2</v>
      </c>
      <c r="D109" s="25" t="s">
        <v>5</v>
      </c>
      <c r="E109" s="25" t="s">
        <v>19</v>
      </c>
      <c r="F109" s="25" t="s">
        <v>6</v>
      </c>
      <c r="G109" s="234" t="s">
        <v>7</v>
      </c>
      <c r="H109" s="27" t="s">
        <v>8</v>
      </c>
      <c r="I109" s="28" t="s">
        <v>20</v>
      </c>
      <c r="J109" s="25" t="s">
        <v>21</v>
      </c>
      <c r="K109" s="25" t="s">
        <v>22</v>
      </c>
      <c r="R109" s="62"/>
    </row>
    <row r="110" ht="15.75" customHeight="1">
      <c r="A110" s="11" t="s">
        <v>10</v>
      </c>
      <c r="B110" s="125" t="s">
        <v>757</v>
      </c>
      <c r="C110" s="69" t="s">
        <v>1280</v>
      </c>
      <c r="D110" s="70">
        <v>0.5416666666666666</v>
      </c>
      <c r="E110" s="69"/>
      <c r="F110" s="434">
        <v>7.04001301797968E14</v>
      </c>
      <c r="G110" s="154" t="s">
        <v>1968</v>
      </c>
      <c r="H110" s="127"/>
      <c r="I110" s="30" t="s">
        <v>182</v>
      </c>
      <c r="J110" s="69"/>
      <c r="K110" s="69"/>
      <c r="N110" s="237" t="s">
        <v>386</v>
      </c>
      <c r="O110" s="95"/>
      <c r="P110" s="95"/>
      <c r="Q110" s="95"/>
      <c r="R110" s="95"/>
    </row>
    <row r="111" ht="15.75" customHeight="1">
      <c r="A111" s="11" t="s">
        <v>11</v>
      </c>
      <c r="B111" s="125" t="s">
        <v>1467</v>
      </c>
      <c r="C111" s="69" t="s">
        <v>1280</v>
      </c>
      <c r="D111" s="70">
        <v>0.5555555555555556</v>
      </c>
      <c r="E111" s="69">
        <v>1.1765338867E10</v>
      </c>
      <c r="F111" s="69">
        <v>8.01440489177242E14</v>
      </c>
      <c r="G111" s="154" t="s">
        <v>1969</v>
      </c>
      <c r="H111" s="72">
        <v>19389.0</v>
      </c>
      <c r="I111" s="30" t="s">
        <v>182</v>
      </c>
      <c r="J111" s="69"/>
      <c r="K111" s="69"/>
      <c r="N111" s="239" t="s">
        <v>1823</v>
      </c>
      <c r="O111" s="2"/>
      <c r="P111" s="2"/>
      <c r="Q111" s="2"/>
      <c r="R111" s="2"/>
    </row>
    <row r="112" ht="15.75" customHeight="1">
      <c r="A112" s="11" t="s">
        <v>12</v>
      </c>
      <c r="B112" s="125" t="s">
        <v>216</v>
      </c>
      <c r="C112" s="69" t="s">
        <v>1280</v>
      </c>
      <c r="D112" s="70">
        <v>0.5694444444444444</v>
      </c>
      <c r="E112" s="69">
        <v>1.6339111874E10</v>
      </c>
      <c r="F112" s="69">
        <v>7.00008771777908E14</v>
      </c>
      <c r="G112" s="154" t="s">
        <v>1970</v>
      </c>
      <c r="H112" s="78">
        <v>28232.0</v>
      </c>
      <c r="I112" s="30" t="s">
        <v>182</v>
      </c>
      <c r="J112" s="69"/>
      <c r="K112" s="69"/>
      <c r="N112" s="240" t="s">
        <v>182</v>
      </c>
      <c r="O112" s="241" t="s">
        <v>194</v>
      </c>
      <c r="P112" s="241" t="s">
        <v>180</v>
      </c>
      <c r="Q112" s="242" t="s">
        <v>172</v>
      </c>
      <c r="R112" s="62" t="s">
        <v>1822</v>
      </c>
    </row>
    <row r="113" ht="15.75" customHeight="1">
      <c r="A113" s="11" t="s">
        <v>13</v>
      </c>
      <c r="B113" s="125" t="s">
        <v>197</v>
      </c>
      <c r="C113" s="69" t="s">
        <v>1280</v>
      </c>
      <c r="D113" s="70">
        <v>0.5833333333333334</v>
      </c>
      <c r="E113" s="69">
        <v>6.5186699853E10</v>
      </c>
      <c r="F113" s="69">
        <v>7.04508333408713E14</v>
      </c>
      <c r="G113" s="154" t="s">
        <v>1971</v>
      </c>
      <c r="H113" s="78">
        <v>19416.0</v>
      </c>
      <c r="I113" s="30" t="s">
        <v>182</v>
      </c>
      <c r="J113" s="69"/>
      <c r="K113" s="69"/>
      <c r="N113" s="244">
        <f t="shared" ref="N113:R113" si="7">COUNTIFS($I$110:$I$121,N112)</f>
        <v>9</v>
      </c>
      <c r="O113" s="244">
        <f t="shared" si="7"/>
        <v>0</v>
      </c>
      <c r="P113" s="244">
        <f t="shared" si="7"/>
        <v>1</v>
      </c>
      <c r="Q113" s="244">
        <f t="shared" si="7"/>
        <v>0</v>
      </c>
      <c r="R113" s="244">
        <f t="shared" si="7"/>
        <v>2</v>
      </c>
    </row>
    <row r="114" ht="15.75" customHeight="1">
      <c r="A114" s="11" t="s">
        <v>14</v>
      </c>
      <c r="B114" s="125" t="s">
        <v>757</v>
      </c>
      <c r="C114" s="69" t="s">
        <v>1280</v>
      </c>
      <c r="D114" s="70">
        <v>0.5972222222222222</v>
      </c>
      <c r="E114" s="69">
        <v>1.0946667853E10</v>
      </c>
      <c r="F114" s="69">
        <v>2.03923102300005E14</v>
      </c>
      <c r="G114" s="154" t="s">
        <v>1972</v>
      </c>
      <c r="H114" s="78">
        <v>13056.0</v>
      </c>
      <c r="I114" s="30" t="s">
        <v>182</v>
      </c>
      <c r="J114" s="69"/>
      <c r="K114" s="69"/>
      <c r="R114" s="62"/>
    </row>
    <row r="115" ht="15.75" customHeight="1">
      <c r="A115" s="11" t="s">
        <v>15</v>
      </c>
      <c r="B115" s="125" t="s">
        <v>1467</v>
      </c>
      <c r="C115" s="69" t="s">
        <v>1280</v>
      </c>
      <c r="D115" s="70">
        <v>0.6111111111111112</v>
      </c>
      <c r="E115" s="156">
        <v>22052.0</v>
      </c>
      <c r="F115" s="69">
        <v>7.04800008769249E14</v>
      </c>
      <c r="G115" s="154" t="s">
        <v>1973</v>
      </c>
      <c r="H115" s="78">
        <v>22052.0</v>
      </c>
      <c r="I115" s="30" t="s">
        <v>182</v>
      </c>
      <c r="J115" s="69"/>
      <c r="K115" s="69"/>
      <c r="R115" s="62"/>
    </row>
    <row r="116" ht="15.75" customHeight="1">
      <c r="A116" s="11" t="s">
        <v>16</v>
      </c>
      <c r="B116" s="125" t="s">
        <v>216</v>
      </c>
      <c r="C116" s="69" t="s">
        <v>1280</v>
      </c>
      <c r="D116" s="70">
        <v>0.625</v>
      </c>
      <c r="E116" s="69">
        <v>1.0708881769E10</v>
      </c>
      <c r="F116" s="69">
        <v>7.0010882165439E14</v>
      </c>
      <c r="G116" s="154" t="s">
        <v>1974</v>
      </c>
      <c r="H116" s="78">
        <v>29105.0</v>
      </c>
      <c r="I116" s="30" t="s">
        <v>1822</v>
      </c>
      <c r="J116" s="69"/>
      <c r="K116" s="69"/>
      <c r="R116" s="62"/>
    </row>
    <row r="117" ht="15.75" customHeight="1">
      <c r="A117" s="11" t="s">
        <v>17</v>
      </c>
      <c r="B117" s="125" t="s">
        <v>197</v>
      </c>
      <c r="C117" s="69" t="s">
        <v>1280</v>
      </c>
      <c r="D117" s="70">
        <v>0.6388888888888888</v>
      </c>
      <c r="E117" s="69"/>
      <c r="F117" s="69"/>
      <c r="G117" s="154"/>
      <c r="H117" s="72"/>
      <c r="I117" s="30" t="s">
        <v>180</v>
      </c>
      <c r="J117" s="69"/>
      <c r="K117" s="69"/>
      <c r="R117" s="62"/>
    </row>
    <row r="118" ht="15.75" customHeight="1">
      <c r="A118" s="11" t="s">
        <v>85</v>
      </c>
      <c r="B118" s="125" t="s">
        <v>1467</v>
      </c>
      <c r="C118" s="69" t="s">
        <v>1280</v>
      </c>
      <c r="D118" s="70">
        <v>0.6527777777777778</v>
      </c>
      <c r="E118" s="69">
        <v>6.9672750463E10</v>
      </c>
      <c r="F118" s="69">
        <v>7.02003856616889E14</v>
      </c>
      <c r="G118" s="154" t="s">
        <v>1975</v>
      </c>
      <c r="H118" s="78">
        <v>25485.0</v>
      </c>
      <c r="I118" s="30" t="s">
        <v>182</v>
      </c>
      <c r="J118" s="69"/>
      <c r="K118" s="69"/>
      <c r="R118" s="62"/>
      <c r="V118" s="292"/>
    </row>
    <row r="119" ht="15.75" customHeight="1">
      <c r="A119" s="11" t="s">
        <v>87</v>
      </c>
      <c r="B119" s="125" t="s">
        <v>757</v>
      </c>
      <c r="C119" s="69" t="s">
        <v>1280</v>
      </c>
      <c r="D119" s="70">
        <v>0.6666666666666666</v>
      </c>
      <c r="E119" s="69">
        <v>7.412820893E9</v>
      </c>
      <c r="F119" s="69">
        <v>7.00902959551393E14</v>
      </c>
      <c r="G119" s="154" t="s">
        <v>1976</v>
      </c>
      <c r="H119" s="153">
        <v>21504.0</v>
      </c>
      <c r="I119" s="30" t="s">
        <v>182</v>
      </c>
      <c r="J119" s="69"/>
      <c r="K119" s="69"/>
      <c r="R119" s="62"/>
    </row>
    <row r="120" ht="15.75" customHeight="1">
      <c r="A120" s="11" t="s">
        <v>90</v>
      </c>
      <c r="B120" s="125" t="s">
        <v>757</v>
      </c>
      <c r="C120" s="69" t="s">
        <v>1280</v>
      </c>
      <c r="D120" s="70">
        <v>0.6805555555555556</v>
      </c>
      <c r="E120" s="69">
        <v>1.2897825804E10</v>
      </c>
      <c r="F120" s="69">
        <v>8.35503045320596E14</v>
      </c>
      <c r="G120" s="154" t="s">
        <v>1977</v>
      </c>
      <c r="H120" s="153">
        <v>45927.0</v>
      </c>
      <c r="I120" s="30" t="s">
        <v>1822</v>
      </c>
      <c r="J120" s="69"/>
      <c r="K120" s="69"/>
      <c r="R120" s="62"/>
    </row>
    <row r="121" ht="15.75" customHeight="1">
      <c r="A121" s="11" t="s">
        <v>93</v>
      </c>
      <c r="B121" s="125" t="s">
        <v>757</v>
      </c>
      <c r="C121" s="69" t="s">
        <v>1280</v>
      </c>
      <c r="D121" s="70">
        <v>0.6944444444444444</v>
      </c>
      <c r="E121" s="69">
        <v>1.497941687E10</v>
      </c>
      <c r="F121" s="69">
        <v>8.35503045640507E14</v>
      </c>
      <c r="G121" s="154" t="s">
        <v>1978</v>
      </c>
      <c r="H121" s="153">
        <v>46011.0</v>
      </c>
      <c r="I121" s="30" t="s">
        <v>182</v>
      </c>
      <c r="J121" s="69"/>
      <c r="K121" s="69"/>
      <c r="R121" s="62"/>
    </row>
    <row r="122" ht="15.75" customHeight="1">
      <c r="B122" s="167"/>
      <c r="J122" s="62"/>
      <c r="K122" s="62"/>
      <c r="R122" s="62"/>
    </row>
    <row r="123" ht="15.75" customHeight="1">
      <c r="B123" s="167"/>
      <c r="J123" s="62"/>
      <c r="K123" s="62"/>
      <c r="R123" s="62"/>
    </row>
    <row r="124" ht="15.75" customHeight="1">
      <c r="B124" s="167"/>
      <c r="J124" s="62"/>
      <c r="K124" s="62"/>
      <c r="R124" s="62"/>
    </row>
    <row r="125" ht="15.75" customHeight="1">
      <c r="A125" s="20" t="s">
        <v>377</v>
      </c>
      <c r="B125" s="2"/>
      <c r="C125" s="2"/>
      <c r="D125" s="2"/>
      <c r="E125" s="2"/>
      <c r="F125" s="2"/>
      <c r="G125" s="2"/>
      <c r="H125" s="2"/>
      <c r="I125" s="2"/>
      <c r="J125" s="2"/>
      <c r="K125" s="3"/>
      <c r="R125" s="62"/>
    </row>
    <row r="126" ht="15.75" customHeight="1">
      <c r="A126" s="233" t="s">
        <v>1979</v>
      </c>
      <c r="B126" s="2"/>
      <c r="C126" s="2"/>
      <c r="D126" s="2"/>
      <c r="E126" s="2"/>
      <c r="F126" s="2"/>
      <c r="G126" s="2"/>
      <c r="H126" s="2"/>
      <c r="I126" s="2"/>
      <c r="J126" s="2"/>
      <c r="K126" s="3"/>
      <c r="R126" s="62"/>
    </row>
    <row r="127" ht="15.75" customHeight="1">
      <c r="A127" s="22"/>
      <c r="B127" s="426" t="s">
        <v>3</v>
      </c>
      <c r="C127" s="24" t="s">
        <v>2</v>
      </c>
      <c r="D127" s="25" t="s">
        <v>5</v>
      </c>
      <c r="E127" s="25" t="s">
        <v>19</v>
      </c>
      <c r="F127" s="25" t="s">
        <v>6</v>
      </c>
      <c r="G127" s="25" t="s">
        <v>7</v>
      </c>
      <c r="H127" s="27" t="s">
        <v>8</v>
      </c>
      <c r="I127" s="28" t="s">
        <v>20</v>
      </c>
      <c r="J127" s="25" t="s">
        <v>21</v>
      </c>
      <c r="K127" s="25" t="s">
        <v>22</v>
      </c>
      <c r="R127" s="62"/>
    </row>
    <row r="128" ht="15.75" customHeight="1">
      <c r="A128" s="11" t="s">
        <v>10</v>
      </c>
      <c r="B128" s="205" t="s">
        <v>1980</v>
      </c>
      <c r="C128" s="69" t="s">
        <v>1294</v>
      </c>
      <c r="D128" s="70">
        <v>0.5416666666666666</v>
      </c>
      <c r="E128" s="69">
        <v>8.9681606868E10</v>
      </c>
      <c r="F128" s="69">
        <v>7.0700488105203E14</v>
      </c>
      <c r="G128" s="154" t="s">
        <v>1981</v>
      </c>
      <c r="H128" s="193">
        <v>15353.0</v>
      </c>
      <c r="I128" s="30" t="s">
        <v>182</v>
      </c>
      <c r="J128" s="69" t="s">
        <v>1982</v>
      </c>
      <c r="K128" s="69" t="s">
        <v>1983</v>
      </c>
      <c r="N128" s="237" t="s">
        <v>386</v>
      </c>
      <c r="O128" s="95"/>
      <c r="P128" s="95"/>
      <c r="Q128" s="95"/>
      <c r="R128" s="95"/>
    </row>
    <row r="129" ht="15.75" customHeight="1">
      <c r="A129" s="11" t="s">
        <v>11</v>
      </c>
      <c r="B129" s="205" t="s">
        <v>1984</v>
      </c>
      <c r="C129" s="69" t="s">
        <v>1294</v>
      </c>
      <c r="D129" s="70">
        <v>0.5555555555555556</v>
      </c>
      <c r="E129" s="69">
        <v>1.427047685E10</v>
      </c>
      <c r="F129" s="69">
        <v>1.24702358140004E14</v>
      </c>
      <c r="G129" s="154" t="s">
        <v>1985</v>
      </c>
      <c r="H129" s="72">
        <v>25500.0</v>
      </c>
      <c r="I129" s="30" t="s">
        <v>182</v>
      </c>
      <c r="J129" s="69" t="s">
        <v>1986</v>
      </c>
      <c r="K129" s="69" t="s">
        <v>1987</v>
      </c>
      <c r="N129" s="239" t="s">
        <v>1823</v>
      </c>
      <c r="O129" s="2"/>
      <c r="P129" s="2"/>
      <c r="Q129" s="2"/>
      <c r="R129" s="2"/>
    </row>
    <row r="130" ht="15.75" customHeight="1">
      <c r="A130" s="11" t="s">
        <v>12</v>
      </c>
      <c r="B130" s="205" t="s">
        <v>1988</v>
      </c>
      <c r="C130" s="69" t="s">
        <v>1294</v>
      </c>
      <c r="D130" s="70">
        <v>0.5694444444444444</v>
      </c>
      <c r="E130" s="69">
        <v>1.5371829865E10</v>
      </c>
      <c r="F130" s="69">
        <v>7.04703755429331E14</v>
      </c>
      <c r="G130" s="154" t="s">
        <v>1989</v>
      </c>
      <c r="H130" s="78">
        <v>16213.0</v>
      </c>
      <c r="I130" s="30" t="s">
        <v>182</v>
      </c>
      <c r="J130" s="69" t="s">
        <v>1990</v>
      </c>
      <c r="K130" s="69"/>
      <c r="L130" s="63"/>
      <c r="M130" s="63"/>
      <c r="N130" s="240" t="s">
        <v>182</v>
      </c>
      <c r="O130" s="241" t="s">
        <v>194</v>
      </c>
      <c r="P130" s="241" t="s">
        <v>180</v>
      </c>
      <c r="Q130" s="242" t="s">
        <v>172</v>
      </c>
      <c r="R130" s="343" t="s">
        <v>1822</v>
      </c>
      <c r="S130" s="63"/>
      <c r="T130" s="63"/>
      <c r="U130" s="63"/>
      <c r="V130" s="63"/>
      <c r="W130" s="63"/>
    </row>
    <row r="131" ht="15.75" customHeight="1">
      <c r="A131" s="11" t="s">
        <v>13</v>
      </c>
      <c r="B131" s="205" t="s">
        <v>1991</v>
      </c>
      <c r="C131" s="69" t="s">
        <v>1294</v>
      </c>
      <c r="D131" s="70">
        <v>0.5833333333333334</v>
      </c>
      <c r="E131" s="69">
        <v>6.5609727804E10</v>
      </c>
      <c r="F131" s="69">
        <v>7.0330326227971E14</v>
      </c>
      <c r="G131" s="154" t="s">
        <v>1992</v>
      </c>
      <c r="H131" s="78">
        <v>16029.0</v>
      </c>
      <c r="I131" s="30" t="s">
        <v>182</v>
      </c>
      <c r="J131" s="69" t="s">
        <v>1993</v>
      </c>
      <c r="K131" s="69" t="s">
        <v>1994</v>
      </c>
      <c r="N131" s="244">
        <f t="shared" ref="N131:R131" si="8">COUNTIFS($I$128:$I$139,N130)</f>
        <v>8</v>
      </c>
      <c r="O131" s="244">
        <f t="shared" si="8"/>
        <v>0</v>
      </c>
      <c r="P131" s="244">
        <f t="shared" si="8"/>
        <v>0</v>
      </c>
      <c r="Q131" s="244">
        <f t="shared" si="8"/>
        <v>0</v>
      </c>
      <c r="R131" s="244">
        <f t="shared" si="8"/>
        <v>4</v>
      </c>
    </row>
    <row r="132" ht="15.75" customHeight="1">
      <c r="A132" s="11" t="s">
        <v>14</v>
      </c>
      <c r="B132" s="205" t="s">
        <v>1980</v>
      </c>
      <c r="C132" s="69" t="s">
        <v>1294</v>
      </c>
      <c r="D132" s="70">
        <v>0.5972222222222222</v>
      </c>
      <c r="E132" s="69">
        <v>5.221381443E9</v>
      </c>
      <c r="F132" s="69">
        <v>7.00509728284357E14</v>
      </c>
      <c r="G132" s="154" t="s">
        <v>1995</v>
      </c>
      <c r="H132" s="78">
        <v>29782.0</v>
      </c>
      <c r="I132" s="30" t="s">
        <v>1822</v>
      </c>
      <c r="J132" s="69" t="s">
        <v>1996</v>
      </c>
      <c r="K132" s="69" t="s">
        <v>1997</v>
      </c>
      <c r="R132" s="62"/>
    </row>
    <row r="133" ht="15.75" customHeight="1">
      <c r="A133" s="11" t="s">
        <v>15</v>
      </c>
      <c r="B133" s="205" t="s">
        <v>1984</v>
      </c>
      <c r="C133" s="69" t="s">
        <v>1294</v>
      </c>
      <c r="D133" s="70">
        <v>0.6111111111111112</v>
      </c>
      <c r="E133" s="69">
        <v>3.181140899E9</v>
      </c>
      <c r="F133" s="69">
        <v>7.04701768851833E14</v>
      </c>
      <c r="G133" s="154" t="s">
        <v>1998</v>
      </c>
      <c r="H133" s="78">
        <v>21927.0</v>
      </c>
      <c r="I133" s="30" t="s">
        <v>1822</v>
      </c>
      <c r="J133" s="69" t="s">
        <v>1999</v>
      </c>
      <c r="K133" s="69"/>
      <c r="R133" s="62"/>
    </row>
    <row r="134" ht="15.75" customHeight="1">
      <c r="A134" s="11" t="s">
        <v>16</v>
      </c>
      <c r="B134" s="205" t="s">
        <v>1988</v>
      </c>
      <c r="C134" s="69" t="s">
        <v>1294</v>
      </c>
      <c r="D134" s="70">
        <v>0.625</v>
      </c>
      <c r="E134" s="69">
        <v>1.7089977846E10</v>
      </c>
      <c r="F134" s="69">
        <v>7.0040342920934E14</v>
      </c>
      <c r="G134" s="154" t="s">
        <v>2000</v>
      </c>
      <c r="H134" s="78">
        <v>15252.0</v>
      </c>
      <c r="I134" s="30" t="s">
        <v>182</v>
      </c>
      <c r="J134" s="69" t="s">
        <v>2001</v>
      </c>
      <c r="K134" s="69"/>
      <c r="L134" s="113"/>
      <c r="M134" s="113"/>
      <c r="N134" s="113"/>
      <c r="O134" s="113"/>
      <c r="P134" s="113"/>
      <c r="Q134" s="113"/>
      <c r="R134" s="396"/>
      <c r="S134" s="113"/>
      <c r="T134" s="113"/>
      <c r="U134" s="113"/>
      <c r="V134" s="113"/>
      <c r="W134" s="113"/>
    </row>
    <row r="135" ht="15.75" customHeight="1">
      <c r="A135" s="11" t="s">
        <v>17</v>
      </c>
      <c r="B135" s="205" t="s">
        <v>1991</v>
      </c>
      <c r="C135" s="69" t="s">
        <v>1294</v>
      </c>
      <c r="D135" s="70">
        <v>0.6388888888888888</v>
      </c>
      <c r="E135" s="69">
        <v>2.5630370855E10</v>
      </c>
      <c r="F135" s="69">
        <v>8.98001419069863E14</v>
      </c>
      <c r="G135" s="154" t="s">
        <v>2002</v>
      </c>
      <c r="H135" s="72">
        <v>17887.0</v>
      </c>
      <c r="I135" s="30" t="s">
        <v>1822</v>
      </c>
      <c r="J135" s="69" t="s">
        <v>2003</v>
      </c>
      <c r="K135" s="69"/>
      <c r="R135" s="62"/>
    </row>
    <row r="136" ht="15.75" customHeight="1">
      <c r="A136" s="11" t="s">
        <v>85</v>
      </c>
      <c r="B136" s="205" t="s">
        <v>1980</v>
      </c>
      <c r="C136" s="69" t="s">
        <v>1294</v>
      </c>
      <c r="D136" s="70">
        <v>0.6527777777777778</v>
      </c>
      <c r="E136" s="69">
        <v>4.2941955844E10</v>
      </c>
      <c r="F136" s="69">
        <v>7.00006406345007E14</v>
      </c>
      <c r="G136" s="154" t="s">
        <v>2004</v>
      </c>
      <c r="H136" s="78">
        <v>34448.0</v>
      </c>
      <c r="I136" s="30" t="s">
        <v>182</v>
      </c>
      <c r="J136" s="69" t="s">
        <v>2005</v>
      </c>
      <c r="K136" s="69"/>
      <c r="R136" s="62"/>
    </row>
    <row r="137" ht="15.75" customHeight="1">
      <c r="A137" s="11" t="s">
        <v>87</v>
      </c>
      <c r="B137" s="205" t="s">
        <v>1984</v>
      </c>
      <c r="C137" s="69" t="s">
        <v>1294</v>
      </c>
      <c r="D137" s="70">
        <v>0.6666666666666666</v>
      </c>
      <c r="E137" s="69">
        <v>3.9658965806E10</v>
      </c>
      <c r="F137" s="69">
        <v>7.06007369747348E14</v>
      </c>
      <c r="G137" s="154" t="s">
        <v>2006</v>
      </c>
      <c r="H137" s="153">
        <v>18150.0</v>
      </c>
      <c r="I137" s="30" t="s">
        <v>1822</v>
      </c>
      <c r="J137" s="69" t="s">
        <v>2007</v>
      </c>
      <c r="K137" s="69"/>
      <c r="R137" s="62"/>
    </row>
    <row r="138" ht="15.75" customHeight="1">
      <c r="A138" s="11" t="s">
        <v>90</v>
      </c>
      <c r="B138" s="205" t="s">
        <v>1988</v>
      </c>
      <c r="C138" s="69" t="s">
        <v>1294</v>
      </c>
      <c r="D138" s="70">
        <v>0.6805555555555556</v>
      </c>
      <c r="E138" s="69">
        <v>9.4255873534E10</v>
      </c>
      <c r="F138" s="69">
        <v>7.06308744086173E14</v>
      </c>
      <c r="G138" s="154" t="s">
        <v>1239</v>
      </c>
      <c r="H138" s="153">
        <v>18838.0</v>
      </c>
      <c r="I138" s="30" t="s">
        <v>182</v>
      </c>
      <c r="J138" s="69" t="s">
        <v>2008</v>
      </c>
      <c r="K138" s="69" t="s">
        <v>2009</v>
      </c>
      <c r="R138" s="62"/>
    </row>
    <row r="139" ht="15.75" customHeight="1">
      <c r="A139" s="11" t="s">
        <v>93</v>
      </c>
      <c r="B139" s="205" t="s">
        <v>1991</v>
      </c>
      <c r="C139" s="69" t="s">
        <v>1294</v>
      </c>
      <c r="D139" s="70">
        <v>0.6944444444444444</v>
      </c>
      <c r="E139" s="69">
        <v>4.0488133823E10</v>
      </c>
      <c r="F139" s="69">
        <v>7.00203400583823E14</v>
      </c>
      <c r="G139" s="154" t="s">
        <v>2010</v>
      </c>
      <c r="H139" s="153">
        <v>35938.0</v>
      </c>
      <c r="I139" s="30" t="s">
        <v>182</v>
      </c>
      <c r="J139" s="69" t="s">
        <v>2011</v>
      </c>
      <c r="K139" s="69"/>
      <c r="R139" s="62"/>
    </row>
    <row r="140" ht="15.75" customHeight="1">
      <c r="B140" s="167"/>
      <c r="J140" s="62"/>
      <c r="K140" s="62"/>
      <c r="R140" s="62"/>
    </row>
    <row r="141" ht="15.75" customHeight="1">
      <c r="B141" s="167"/>
      <c r="J141" s="62"/>
      <c r="K141" s="62"/>
      <c r="R141" s="62"/>
    </row>
    <row r="142" ht="15.75" customHeight="1">
      <c r="B142" s="167"/>
      <c r="J142" s="62"/>
      <c r="K142" s="62"/>
      <c r="R142" s="62"/>
    </row>
    <row r="143" ht="15.75" customHeight="1">
      <c r="B143" s="167"/>
      <c r="J143" s="62"/>
      <c r="K143" s="62"/>
      <c r="R143" s="62"/>
    </row>
    <row r="144" ht="15.75" customHeight="1">
      <c r="A144" s="20" t="s">
        <v>377</v>
      </c>
      <c r="B144" s="2"/>
      <c r="C144" s="2"/>
      <c r="D144" s="2"/>
      <c r="E144" s="2"/>
      <c r="F144" s="2"/>
      <c r="G144" s="2"/>
      <c r="H144" s="2"/>
      <c r="I144" s="2"/>
      <c r="J144" s="2"/>
      <c r="K144" s="3"/>
      <c r="R144" s="62"/>
    </row>
    <row r="145" ht="15.75" customHeight="1">
      <c r="A145" s="233" t="s">
        <v>2012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2"/>
      <c r="B146" s="426" t="s">
        <v>3</v>
      </c>
      <c r="C146" s="24" t="s">
        <v>2</v>
      </c>
      <c r="D146" s="25" t="s">
        <v>5</v>
      </c>
      <c r="E146" s="25" t="s">
        <v>19</v>
      </c>
      <c r="F146" s="25" t="s">
        <v>6</v>
      </c>
      <c r="G146" s="234" t="s">
        <v>7</v>
      </c>
      <c r="H146" s="27" t="s">
        <v>8</v>
      </c>
      <c r="I146" s="28" t="s">
        <v>20</v>
      </c>
      <c r="J146" s="25" t="s">
        <v>21</v>
      </c>
      <c r="K146" s="25" t="s">
        <v>22</v>
      </c>
      <c r="R146" s="62"/>
    </row>
    <row r="147" ht="15.75" customHeight="1">
      <c r="A147" s="11" t="s">
        <v>10</v>
      </c>
      <c r="B147" s="205" t="s">
        <v>2013</v>
      </c>
      <c r="C147" s="69" t="s">
        <v>1313</v>
      </c>
      <c r="D147" s="70">
        <v>0.3333333333333333</v>
      </c>
      <c r="E147" s="69">
        <v>7.570061837E9</v>
      </c>
      <c r="F147" s="404" t="s">
        <v>2014</v>
      </c>
      <c r="G147" s="154" t="s">
        <v>2015</v>
      </c>
      <c r="H147" s="78">
        <v>24226.0</v>
      </c>
      <c r="I147" s="30" t="s">
        <v>182</v>
      </c>
      <c r="J147" s="69" t="s">
        <v>2016</v>
      </c>
      <c r="K147" s="69" t="s">
        <v>2017</v>
      </c>
      <c r="L147" s="197" t="s">
        <v>520</v>
      </c>
      <c r="N147" s="237" t="s">
        <v>386</v>
      </c>
      <c r="O147" s="95"/>
      <c r="P147" s="95"/>
      <c r="Q147" s="95"/>
      <c r="R147" s="95"/>
    </row>
    <row r="148" ht="15.75" customHeight="1">
      <c r="A148" s="11" t="s">
        <v>11</v>
      </c>
      <c r="B148" s="205" t="s">
        <v>2018</v>
      </c>
      <c r="C148" s="69" t="s">
        <v>1313</v>
      </c>
      <c r="D148" s="70">
        <v>0.3472222222222222</v>
      </c>
      <c r="E148" s="69">
        <v>3.62949689E9</v>
      </c>
      <c r="F148" s="69">
        <v>8.98002116574228E14</v>
      </c>
      <c r="G148" s="154" t="s">
        <v>2019</v>
      </c>
      <c r="H148" s="78"/>
      <c r="I148" s="30" t="s">
        <v>182</v>
      </c>
      <c r="J148" s="69"/>
      <c r="K148" s="69"/>
      <c r="N148" s="239" t="s">
        <v>1823</v>
      </c>
      <c r="O148" s="2"/>
      <c r="P148" s="2"/>
      <c r="Q148" s="2"/>
      <c r="R148" s="2"/>
    </row>
    <row r="149" ht="15.75" customHeight="1">
      <c r="A149" s="11" t="s">
        <v>12</v>
      </c>
      <c r="B149" s="205" t="s">
        <v>2020</v>
      </c>
      <c r="C149" s="69" t="s">
        <v>1313</v>
      </c>
      <c r="D149" s="70">
        <v>0.3611111111111111</v>
      </c>
      <c r="E149" s="69">
        <v>6.9468672468E10</v>
      </c>
      <c r="F149" s="69">
        <v>2.09788815960007E14</v>
      </c>
      <c r="G149" s="154" t="s">
        <v>2021</v>
      </c>
      <c r="H149" s="78">
        <v>24920.0</v>
      </c>
      <c r="I149" s="30" t="s">
        <v>182</v>
      </c>
      <c r="J149" s="69" t="s">
        <v>2022</v>
      </c>
      <c r="K149" s="69"/>
      <c r="N149" s="240" t="s">
        <v>182</v>
      </c>
      <c r="O149" s="241" t="s">
        <v>194</v>
      </c>
      <c r="P149" s="241" t="s">
        <v>180</v>
      </c>
      <c r="Q149" s="242" t="s">
        <v>172</v>
      </c>
      <c r="R149" s="62" t="s">
        <v>1822</v>
      </c>
    </row>
    <row r="150" ht="15.75" customHeight="1">
      <c r="A150" s="11" t="s">
        <v>13</v>
      </c>
      <c r="B150" s="205" t="s">
        <v>2023</v>
      </c>
      <c r="C150" s="69" t="s">
        <v>1313</v>
      </c>
      <c r="D150" s="70">
        <v>0.375</v>
      </c>
      <c r="E150" s="69">
        <v>5.7218056E8</v>
      </c>
      <c r="F150" s="69">
        <v>7.06005354916945E14</v>
      </c>
      <c r="G150" s="154" t="s">
        <v>2024</v>
      </c>
      <c r="H150" s="78">
        <v>28788.0</v>
      </c>
      <c r="I150" s="30" t="s">
        <v>182</v>
      </c>
      <c r="J150" s="69" t="s">
        <v>2025</v>
      </c>
      <c r="K150" s="69"/>
      <c r="N150" s="244">
        <f t="shared" ref="N150:R150" si="9">COUNTIFS($I$147:$I$158,N149)</f>
        <v>12</v>
      </c>
      <c r="O150" s="244">
        <f t="shared" si="9"/>
        <v>0</v>
      </c>
      <c r="P150" s="244">
        <f t="shared" si="9"/>
        <v>0</v>
      </c>
      <c r="Q150" s="244">
        <f t="shared" si="9"/>
        <v>0</v>
      </c>
      <c r="R150" s="244">
        <f t="shared" si="9"/>
        <v>0</v>
      </c>
    </row>
    <row r="151" ht="15.75" customHeight="1">
      <c r="A151" s="11" t="s">
        <v>14</v>
      </c>
      <c r="B151" s="205" t="s">
        <v>2018</v>
      </c>
      <c r="C151" s="69" t="s">
        <v>1313</v>
      </c>
      <c r="D151" s="70">
        <v>0.3888888888888889</v>
      </c>
      <c r="E151" s="69">
        <v>3.931383989E10</v>
      </c>
      <c r="F151" s="69">
        <v>7.04002869194665E14</v>
      </c>
      <c r="G151" s="154" t="s">
        <v>2026</v>
      </c>
      <c r="H151" s="78">
        <v>32751.0</v>
      </c>
      <c r="I151" s="30" t="s">
        <v>182</v>
      </c>
      <c r="J151" s="69" t="s">
        <v>2027</v>
      </c>
      <c r="K151" s="69"/>
      <c r="R151" s="62"/>
    </row>
    <row r="152" ht="15.75" customHeight="1">
      <c r="A152" s="11" t="s">
        <v>15</v>
      </c>
      <c r="B152" s="205" t="s">
        <v>2020</v>
      </c>
      <c r="C152" s="69" t="s">
        <v>1313</v>
      </c>
      <c r="D152" s="70">
        <v>0.4027777777777778</v>
      </c>
      <c r="E152" s="69">
        <v>5.303361896E9</v>
      </c>
      <c r="F152" s="69">
        <v>7.06906186926031E14</v>
      </c>
      <c r="G152" s="154" t="s">
        <v>2028</v>
      </c>
      <c r="H152" s="78">
        <v>22884.0</v>
      </c>
      <c r="I152" s="30" t="s">
        <v>182</v>
      </c>
      <c r="J152" s="69" t="s">
        <v>2029</v>
      </c>
      <c r="K152" s="69" t="s">
        <v>2030</v>
      </c>
      <c r="R152" s="62"/>
    </row>
    <row r="153" ht="15.75" customHeight="1">
      <c r="A153" s="11" t="s">
        <v>16</v>
      </c>
      <c r="B153" s="205" t="s">
        <v>2013</v>
      </c>
      <c r="C153" s="69" t="s">
        <v>1313</v>
      </c>
      <c r="D153" s="70">
        <v>0.4166666666666667</v>
      </c>
      <c r="E153" s="69">
        <v>2.33442358E10</v>
      </c>
      <c r="F153" s="404" t="s">
        <v>2031</v>
      </c>
      <c r="G153" s="154" t="s">
        <v>806</v>
      </c>
      <c r="H153" s="78">
        <v>24071.0</v>
      </c>
      <c r="I153" s="30" t="s">
        <v>182</v>
      </c>
      <c r="J153" s="69" t="s">
        <v>2032</v>
      </c>
      <c r="K153" s="69" t="s">
        <v>2033</v>
      </c>
      <c r="R153" s="62"/>
    </row>
    <row r="154" ht="15.75" customHeight="1">
      <c r="A154" s="11" t="s">
        <v>17</v>
      </c>
      <c r="B154" s="205" t="s">
        <v>2018</v>
      </c>
      <c r="C154" s="69" t="s">
        <v>1313</v>
      </c>
      <c r="D154" s="70">
        <v>0.4305555555555556</v>
      </c>
      <c r="E154" s="69">
        <v>3.0791308634E10</v>
      </c>
      <c r="F154" s="69">
        <v>7.05400418834298E14</v>
      </c>
      <c r="G154" s="154" t="s">
        <v>2034</v>
      </c>
      <c r="H154" s="78">
        <v>21388.0</v>
      </c>
      <c r="I154" s="30" t="s">
        <v>182</v>
      </c>
      <c r="J154" s="69" t="s">
        <v>2035</v>
      </c>
      <c r="K154" s="435" t="s">
        <v>2036</v>
      </c>
      <c r="R154" s="62"/>
    </row>
    <row r="155" ht="15.75" customHeight="1">
      <c r="A155" s="11" t="s">
        <v>85</v>
      </c>
      <c r="B155" s="205" t="s">
        <v>2023</v>
      </c>
      <c r="C155" s="69" t="s">
        <v>1313</v>
      </c>
      <c r="D155" s="70">
        <v>0.4444444444444444</v>
      </c>
      <c r="E155" s="69">
        <v>3.572589835E9</v>
      </c>
      <c r="F155" s="69">
        <v>3.0791308634E10</v>
      </c>
      <c r="G155" s="154" t="s">
        <v>2037</v>
      </c>
      <c r="H155" s="78">
        <v>21661.0</v>
      </c>
      <c r="I155" s="30" t="s">
        <v>182</v>
      </c>
      <c r="J155" s="69" t="s">
        <v>2038</v>
      </c>
      <c r="K155" s="69" t="s">
        <v>2039</v>
      </c>
      <c r="L155" s="197" t="s">
        <v>576</v>
      </c>
      <c r="R155" s="62"/>
    </row>
    <row r="156" ht="15.75" customHeight="1">
      <c r="A156" s="11" t="s">
        <v>87</v>
      </c>
      <c r="B156" s="205" t="s">
        <v>2020</v>
      </c>
      <c r="C156" s="69" t="s">
        <v>1313</v>
      </c>
      <c r="D156" s="70">
        <v>0.4583333333333333</v>
      </c>
      <c r="E156" s="69">
        <v>1.9579646856E10</v>
      </c>
      <c r="F156" s="69">
        <v>7.04208786192081E14</v>
      </c>
      <c r="G156" s="154" t="s">
        <v>2040</v>
      </c>
      <c r="H156" s="153">
        <v>21741.0</v>
      </c>
      <c r="I156" s="30" t="s">
        <v>182</v>
      </c>
      <c r="J156" s="69" t="s">
        <v>2041</v>
      </c>
      <c r="K156" s="69" t="s">
        <v>2042</v>
      </c>
      <c r="R156" s="62"/>
    </row>
    <row r="157" ht="15.75" customHeight="1">
      <c r="A157" s="11" t="s">
        <v>90</v>
      </c>
      <c r="B157" s="205" t="s">
        <v>2023</v>
      </c>
      <c r="C157" s="69" t="s">
        <v>1313</v>
      </c>
      <c r="D157" s="70">
        <v>0.4722222222222222</v>
      </c>
      <c r="E157" s="69">
        <v>1.2904628878E10</v>
      </c>
      <c r="F157" s="69">
        <v>7.08405779910266E14</v>
      </c>
      <c r="G157" s="154" t="s">
        <v>2043</v>
      </c>
      <c r="H157" s="153">
        <v>26435.0</v>
      </c>
      <c r="I157" s="30" t="s">
        <v>182</v>
      </c>
      <c r="J157" s="69" t="s">
        <v>2044</v>
      </c>
      <c r="K157" s="69"/>
      <c r="R157" s="62"/>
    </row>
    <row r="158" ht="15.75" customHeight="1">
      <c r="A158" s="11" t="s">
        <v>93</v>
      </c>
      <c r="B158" s="205" t="s">
        <v>2013</v>
      </c>
      <c r="C158" s="69" t="s">
        <v>1313</v>
      </c>
      <c r="D158" s="70">
        <v>0.4861111111111111</v>
      </c>
      <c r="E158" s="69">
        <v>6.02669375E10</v>
      </c>
      <c r="F158" s="69">
        <v>8.98001409695648E14</v>
      </c>
      <c r="G158" s="69" t="s">
        <v>2045</v>
      </c>
      <c r="H158" s="153">
        <v>25505.0</v>
      </c>
      <c r="I158" s="30" t="s">
        <v>182</v>
      </c>
      <c r="J158" s="69" t="s">
        <v>2046</v>
      </c>
      <c r="K158" s="69" t="s">
        <v>2047</v>
      </c>
      <c r="R158" s="62"/>
    </row>
    <row r="159" ht="15.75" customHeight="1">
      <c r="B159" s="167"/>
      <c r="J159" s="62"/>
      <c r="K159" s="62"/>
      <c r="R159" s="62"/>
    </row>
    <row r="160" ht="15.75" customHeight="1">
      <c r="B160" s="167"/>
      <c r="J160" s="62"/>
      <c r="K160" s="62"/>
      <c r="R160" s="62"/>
    </row>
    <row r="161" ht="15.75" customHeight="1">
      <c r="A161" s="20" t="s">
        <v>377</v>
      </c>
      <c r="B161" s="2"/>
      <c r="C161" s="2"/>
      <c r="D161" s="2"/>
      <c r="E161" s="2"/>
      <c r="F161" s="2"/>
      <c r="G161" s="2"/>
      <c r="H161" s="2"/>
      <c r="I161" s="2"/>
      <c r="J161" s="2"/>
      <c r="K161" s="3"/>
      <c r="R161" s="62"/>
    </row>
    <row r="162" ht="15.75" customHeight="1">
      <c r="A162" s="233" t="s">
        <v>2048</v>
      </c>
      <c r="B162" s="2"/>
      <c r="C162" s="2"/>
      <c r="D162" s="2"/>
      <c r="E162" s="2"/>
      <c r="F162" s="2"/>
      <c r="G162" s="2"/>
      <c r="H162" s="2"/>
      <c r="I162" s="2"/>
      <c r="J162" s="2"/>
      <c r="K162" s="3"/>
      <c r="R162" s="62"/>
    </row>
    <row r="163" ht="15.75" customHeight="1">
      <c r="A163" s="22"/>
      <c r="B163" s="426" t="s">
        <v>3</v>
      </c>
      <c r="C163" s="24" t="s">
        <v>2</v>
      </c>
      <c r="D163" s="25" t="s">
        <v>5</v>
      </c>
      <c r="E163" s="25" t="s">
        <v>19</v>
      </c>
      <c r="F163" s="25" t="s">
        <v>6</v>
      </c>
      <c r="G163" s="234" t="s">
        <v>7</v>
      </c>
      <c r="H163" s="27" t="s">
        <v>8</v>
      </c>
      <c r="I163" s="28" t="s">
        <v>20</v>
      </c>
      <c r="J163" s="25" t="s">
        <v>21</v>
      </c>
      <c r="K163" s="25" t="s">
        <v>22</v>
      </c>
      <c r="R163" s="62"/>
    </row>
    <row r="164" ht="15.75" customHeight="1">
      <c r="A164" s="11" t="s">
        <v>10</v>
      </c>
      <c r="B164" s="125" t="s">
        <v>757</v>
      </c>
      <c r="C164" s="69" t="s">
        <v>1280</v>
      </c>
      <c r="D164" s="436">
        <v>0.5416666666666666</v>
      </c>
      <c r="E164" s="69">
        <v>6.9475113649E10</v>
      </c>
      <c r="F164" s="69">
        <v>8.01440470124542E14</v>
      </c>
      <c r="G164" s="154" t="s">
        <v>2049</v>
      </c>
      <c r="H164" s="193">
        <v>15031.0</v>
      </c>
      <c r="I164" s="30" t="s">
        <v>182</v>
      </c>
      <c r="J164" s="69" t="s">
        <v>2050</v>
      </c>
      <c r="K164" s="69" t="s">
        <v>2050</v>
      </c>
      <c r="N164" s="237" t="s">
        <v>386</v>
      </c>
      <c r="O164" s="95"/>
      <c r="P164" s="95"/>
      <c r="Q164" s="95"/>
      <c r="R164" s="95"/>
    </row>
    <row r="165" ht="15.75" customHeight="1">
      <c r="A165" s="11" t="s">
        <v>11</v>
      </c>
      <c r="B165" s="125" t="s">
        <v>1467</v>
      </c>
      <c r="C165" s="69" t="s">
        <v>1280</v>
      </c>
      <c r="D165" s="436">
        <v>0.5555555555555556</v>
      </c>
      <c r="E165" s="69">
        <v>7.6644766404E10</v>
      </c>
      <c r="F165" s="69">
        <v>2.0393009437E14</v>
      </c>
      <c r="G165" s="154" t="s">
        <v>2051</v>
      </c>
      <c r="H165" s="193">
        <v>10417.0</v>
      </c>
      <c r="I165" s="30" t="s">
        <v>182</v>
      </c>
      <c r="J165" s="69" t="s">
        <v>2052</v>
      </c>
      <c r="K165" s="69" t="s">
        <v>2053</v>
      </c>
      <c r="N165" s="239" t="s">
        <v>1823</v>
      </c>
      <c r="O165" s="2"/>
      <c r="P165" s="2"/>
      <c r="Q165" s="2"/>
      <c r="R165" s="2"/>
    </row>
    <row r="166" ht="15.75" customHeight="1">
      <c r="A166" s="11" t="s">
        <v>12</v>
      </c>
      <c r="B166" s="125" t="s">
        <v>216</v>
      </c>
      <c r="C166" s="69" t="s">
        <v>1280</v>
      </c>
      <c r="D166" s="436">
        <v>0.5694444444444444</v>
      </c>
      <c r="E166" s="69">
        <v>1.3578998826E10</v>
      </c>
      <c r="F166" s="69">
        <v>7.06900171520934E14</v>
      </c>
      <c r="G166" s="154" t="s">
        <v>2054</v>
      </c>
      <c r="H166" s="193">
        <v>19753.0</v>
      </c>
      <c r="I166" s="30" t="s">
        <v>182</v>
      </c>
      <c r="J166" s="69" t="s">
        <v>2055</v>
      </c>
      <c r="K166" s="69" t="s">
        <v>2056</v>
      </c>
      <c r="N166" s="240" t="s">
        <v>182</v>
      </c>
      <c r="O166" s="241" t="s">
        <v>194</v>
      </c>
      <c r="P166" s="241" t="s">
        <v>180</v>
      </c>
      <c r="Q166" s="242" t="s">
        <v>172</v>
      </c>
      <c r="R166" s="62" t="s">
        <v>1822</v>
      </c>
    </row>
    <row r="167" ht="15.75" customHeight="1">
      <c r="A167" s="11" t="s">
        <v>13</v>
      </c>
      <c r="B167" s="125" t="s">
        <v>197</v>
      </c>
      <c r="C167" s="69" t="s">
        <v>1280</v>
      </c>
      <c r="D167" s="436">
        <v>0.5833333333333334</v>
      </c>
      <c r="E167" s="69">
        <v>4.0321626893E10</v>
      </c>
      <c r="F167" s="69">
        <v>7.02808662310161E14</v>
      </c>
      <c r="G167" s="154" t="s">
        <v>2057</v>
      </c>
      <c r="H167" s="193">
        <v>33902.0</v>
      </c>
      <c r="I167" s="30" t="s">
        <v>182</v>
      </c>
      <c r="J167" s="69" t="s">
        <v>2058</v>
      </c>
      <c r="K167" s="69"/>
      <c r="N167" s="244">
        <f t="shared" ref="N167:R167" si="10">COUNTIFS($I$164:$I$175,$N$166)</f>
        <v>10</v>
      </c>
      <c r="O167" s="244">
        <f t="shared" si="10"/>
        <v>10</v>
      </c>
      <c r="P167" s="244">
        <f t="shared" si="10"/>
        <v>10</v>
      </c>
      <c r="Q167" s="244">
        <f t="shared" si="10"/>
        <v>10</v>
      </c>
      <c r="R167" s="244">
        <f t="shared" si="10"/>
        <v>10</v>
      </c>
    </row>
    <row r="168" ht="15.75" customHeight="1">
      <c r="A168" s="11" t="s">
        <v>14</v>
      </c>
      <c r="B168" s="125" t="s">
        <v>757</v>
      </c>
      <c r="C168" s="69" t="s">
        <v>1280</v>
      </c>
      <c r="D168" s="436">
        <v>0.5972222222222222</v>
      </c>
      <c r="E168" s="69"/>
      <c r="F168" s="69"/>
      <c r="G168" s="154" t="s">
        <v>2059</v>
      </c>
      <c r="H168" s="193"/>
      <c r="I168" s="30" t="s">
        <v>182</v>
      </c>
      <c r="J168" s="69" t="s">
        <v>2060</v>
      </c>
      <c r="K168" s="69" t="s">
        <v>2061</v>
      </c>
      <c r="R168" s="62"/>
    </row>
    <row r="169" ht="15.75" customHeight="1">
      <c r="A169" s="11" t="s">
        <v>15</v>
      </c>
      <c r="B169" s="125" t="s">
        <v>1467</v>
      </c>
      <c r="C169" s="69" t="s">
        <v>1280</v>
      </c>
      <c r="D169" s="436">
        <v>0.6111111111111112</v>
      </c>
      <c r="E169" s="69">
        <v>5.9157313849E10</v>
      </c>
      <c r="F169" s="69">
        <v>7.03408224600616E14</v>
      </c>
      <c r="G169" s="154" t="s">
        <v>2062</v>
      </c>
      <c r="H169" s="193">
        <v>17499.0</v>
      </c>
      <c r="I169" s="30" t="s">
        <v>1822</v>
      </c>
      <c r="J169" s="69" t="s">
        <v>2063</v>
      </c>
      <c r="K169" s="69" t="s">
        <v>2064</v>
      </c>
      <c r="R169" s="62"/>
    </row>
    <row r="170" ht="15.75" customHeight="1">
      <c r="A170" s="11" t="s">
        <v>16</v>
      </c>
      <c r="B170" s="125" t="s">
        <v>216</v>
      </c>
      <c r="C170" s="69" t="s">
        <v>1280</v>
      </c>
      <c r="D170" s="436">
        <v>0.625</v>
      </c>
      <c r="E170" s="69">
        <v>1.9577020879E10</v>
      </c>
      <c r="F170" s="69">
        <v>7.00008771777908E14</v>
      </c>
      <c r="G170" s="154" t="s">
        <v>2065</v>
      </c>
      <c r="H170" s="193">
        <v>26849.0</v>
      </c>
      <c r="I170" s="30" t="s">
        <v>182</v>
      </c>
      <c r="J170" s="69" t="s">
        <v>2066</v>
      </c>
      <c r="K170" s="69" t="s">
        <v>2067</v>
      </c>
      <c r="R170" s="62"/>
    </row>
    <row r="171" ht="15.75" customHeight="1">
      <c r="A171" s="11" t="s">
        <v>17</v>
      </c>
      <c r="B171" s="125" t="s">
        <v>197</v>
      </c>
      <c r="C171" s="69" t="s">
        <v>1280</v>
      </c>
      <c r="D171" s="436">
        <v>0.6388888888888888</v>
      </c>
      <c r="E171" s="69">
        <v>6.8902956849E10</v>
      </c>
      <c r="F171" s="69">
        <v>8.0144040117098E14</v>
      </c>
      <c r="G171" s="154" t="s">
        <v>1028</v>
      </c>
      <c r="H171" s="193">
        <v>19839.0</v>
      </c>
      <c r="I171" s="30" t="s">
        <v>182</v>
      </c>
      <c r="J171" s="69" t="s">
        <v>1958</v>
      </c>
      <c r="K171" s="69"/>
      <c r="R171" s="62"/>
    </row>
    <row r="172" ht="15.75" customHeight="1">
      <c r="A172" s="11" t="s">
        <v>85</v>
      </c>
      <c r="B172" s="125" t="s">
        <v>1467</v>
      </c>
      <c r="C172" s="69" t="s">
        <v>1280</v>
      </c>
      <c r="D172" s="436">
        <v>0.6527777777777778</v>
      </c>
      <c r="E172" s="69"/>
      <c r="F172" s="69"/>
      <c r="G172" s="154" t="s">
        <v>2068</v>
      </c>
      <c r="H172" s="193"/>
      <c r="I172" s="30" t="s">
        <v>182</v>
      </c>
      <c r="J172" s="69" t="s">
        <v>2069</v>
      </c>
      <c r="K172" s="69"/>
      <c r="R172" s="62"/>
    </row>
    <row r="173" ht="15.75" customHeight="1">
      <c r="A173" s="11" t="s">
        <v>87</v>
      </c>
      <c r="B173" s="125" t="s">
        <v>757</v>
      </c>
      <c r="C173" s="69" t="s">
        <v>1280</v>
      </c>
      <c r="D173" s="436">
        <v>0.6666666666666666</v>
      </c>
      <c r="E173" s="69">
        <v>4.0853716811E10</v>
      </c>
      <c r="F173" s="69">
        <v>7.07006872404835E14</v>
      </c>
      <c r="G173" s="154" t="s">
        <v>2070</v>
      </c>
      <c r="H173" s="193">
        <v>33307.0</v>
      </c>
      <c r="I173" s="30" t="s">
        <v>182</v>
      </c>
      <c r="J173" s="69" t="s">
        <v>2071</v>
      </c>
      <c r="K173" s="69" t="s">
        <v>2072</v>
      </c>
      <c r="R173" s="62"/>
    </row>
    <row r="174" ht="15.75" customHeight="1">
      <c r="A174" s="11" t="s">
        <v>90</v>
      </c>
      <c r="B174" s="125" t="s">
        <v>757</v>
      </c>
      <c r="C174" s="69" t="s">
        <v>1280</v>
      </c>
      <c r="D174" s="436">
        <v>0.6805555555555556</v>
      </c>
      <c r="E174" s="69">
        <v>4.161865805E9</v>
      </c>
      <c r="F174" s="69">
        <v>8.01440489766051E14</v>
      </c>
      <c r="G174" s="154" t="s">
        <v>2073</v>
      </c>
      <c r="H174" s="193">
        <v>23500.0</v>
      </c>
      <c r="I174" s="30" t="s">
        <v>182</v>
      </c>
      <c r="J174" s="69" t="s">
        <v>2074</v>
      </c>
      <c r="K174" s="69" t="s">
        <v>2075</v>
      </c>
      <c r="R174" s="62"/>
    </row>
    <row r="175" ht="15.75" customHeight="1">
      <c r="A175" s="11" t="s">
        <v>93</v>
      </c>
      <c r="B175" s="125" t="s">
        <v>757</v>
      </c>
      <c r="C175" s="69" t="s">
        <v>1280</v>
      </c>
      <c r="D175" s="436">
        <v>0.6944444444444444</v>
      </c>
      <c r="E175" s="69">
        <v>1.1397130865E10</v>
      </c>
      <c r="F175" s="69">
        <v>8.98000238427554E14</v>
      </c>
      <c r="G175" s="154" t="s">
        <v>2076</v>
      </c>
      <c r="H175" s="193">
        <v>22857.0</v>
      </c>
      <c r="I175" s="30" t="s">
        <v>1822</v>
      </c>
      <c r="J175" s="69" t="s">
        <v>2077</v>
      </c>
      <c r="K175" s="69" t="s">
        <v>2078</v>
      </c>
      <c r="R175" s="62"/>
    </row>
    <row r="176" ht="15.75" customHeight="1">
      <c r="B176" s="167"/>
      <c r="J176" s="62"/>
      <c r="K176" s="62"/>
      <c r="R176" s="62"/>
    </row>
    <row r="177" ht="15.75" customHeight="1">
      <c r="B177" s="167"/>
      <c r="J177" s="62"/>
      <c r="K177" s="62"/>
      <c r="R177" s="62"/>
    </row>
    <row r="178" ht="15.75" customHeight="1">
      <c r="B178" s="167"/>
      <c r="J178" s="62"/>
      <c r="K178" s="62"/>
      <c r="R178" s="62"/>
    </row>
    <row r="179" ht="15.75" customHeight="1">
      <c r="B179" s="167"/>
      <c r="J179" s="62"/>
      <c r="K179" s="62"/>
      <c r="R179" s="62"/>
    </row>
    <row r="180" ht="15.75" customHeight="1">
      <c r="B180" s="167"/>
      <c r="J180" s="62"/>
      <c r="K180" s="62"/>
      <c r="N180" s="237" t="s">
        <v>2079</v>
      </c>
      <c r="O180" s="95"/>
      <c r="P180" s="95"/>
      <c r="Q180" s="95"/>
      <c r="R180" s="95"/>
    </row>
    <row r="181" ht="15.75" customHeight="1">
      <c r="B181" s="167"/>
      <c r="J181" s="62"/>
      <c r="K181" s="62"/>
      <c r="N181" s="240" t="s">
        <v>182</v>
      </c>
      <c r="O181" s="241" t="s">
        <v>194</v>
      </c>
      <c r="P181" s="241" t="s">
        <v>180</v>
      </c>
      <c r="Q181" s="242" t="s">
        <v>172</v>
      </c>
      <c r="R181" s="62" t="s">
        <v>1822</v>
      </c>
    </row>
    <row r="182" ht="15.75" customHeight="1">
      <c r="B182" s="167"/>
      <c r="J182" s="62"/>
      <c r="K182" s="62"/>
      <c r="N182" s="197">
        <f t="shared" ref="N182:R182" si="11">SUM(N57:N176)</f>
        <v>64</v>
      </c>
      <c r="O182" s="197">
        <f t="shared" si="11"/>
        <v>11</v>
      </c>
      <c r="P182" s="197">
        <f t="shared" si="11"/>
        <v>11</v>
      </c>
      <c r="Q182" s="197">
        <f t="shared" si="11"/>
        <v>10</v>
      </c>
      <c r="R182" s="197">
        <f t="shared" si="11"/>
        <v>26</v>
      </c>
    </row>
    <row r="183" ht="15.75" customHeight="1">
      <c r="B183" s="167"/>
      <c r="J183" s="62"/>
      <c r="K183" s="62"/>
      <c r="R183" s="62"/>
    </row>
    <row r="184" ht="15.75" customHeight="1">
      <c r="B184" s="167"/>
      <c r="J184" s="62"/>
      <c r="K184" s="62"/>
      <c r="R184" s="62"/>
    </row>
    <row r="185" ht="15.75" customHeight="1">
      <c r="B185" s="167"/>
      <c r="J185" s="62"/>
      <c r="K185" s="62"/>
      <c r="R185" s="62"/>
    </row>
    <row r="186" ht="15.75" customHeight="1">
      <c r="B186" s="167"/>
      <c r="J186" s="62"/>
      <c r="K186" s="62"/>
      <c r="R186" s="62"/>
    </row>
    <row r="187" ht="15.75" customHeight="1">
      <c r="B187" s="167"/>
      <c r="J187" s="62"/>
      <c r="K187" s="62"/>
      <c r="R187" s="62"/>
    </row>
    <row r="188" ht="15.75" customHeight="1">
      <c r="B188" s="167"/>
      <c r="J188" s="62"/>
      <c r="K188" s="62"/>
      <c r="R188" s="62"/>
    </row>
    <row r="189" ht="15.75" customHeight="1">
      <c r="B189" s="167"/>
      <c r="J189" s="62"/>
      <c r="K189" s="62"/>
      <c r="R189" s="62"/>
    </row>
    <row r="190" ht="15.75" customHeight="1">
      <c r="B190" s="167"/>
      <c r="J190" s="62"/>
      <c r="K190" s="62"/>
      <c r="R190" s="62"/>
    </row>
    <row r="191" ht="15.75" customHeight="1">
      <c r="B191" s="167"/>
      <c r="J191" s="62"/>
      <c r="K191" s="62"/>
      <c r="R191" s="62"/>
    </row>
    <row r="192" ht="15.75" customHeight="1">
      <c r="B192" s="167"/>
      <c r="J192" s="62"/>
      <c r="K192" s="62"/>
      <c r="R192" s="62"/>
    </row>
    <row r="193" ht="15.75" customHeight="1">
      <c r="B193" s="167"/>
      <c r="J193" s="62"/>
      <c r="K193" s="62"/>
      <c r="R193" s="62"/>
    </row>
    <row r="194" ht="15.75" customHeight="1">
      <c r="B194" s="167"/>
      <c r="J194" s="62"/>
      <c r="K194" s="62"/>
      <c r="R194" s="62"/>
    </row>
    <row r="195" ht="15.75" customHeight="1">
      <c r="B195" s="167"/>
      <c r="J195" s="62"/>
      <c r="K195" s="62"/>
      <c r="R195" s="62"/>
    </row>
    <row r="196" ht="15.75" customHeight="1">
      <c r="B196" s="167"/>
      <c r="J196" s="62"/>
      <c r="K196" s="62"/>
      <c r="R196" s="62"/>
    </row>
    <row r="197" ht="15.75" customHeight="1">
      <c r="B197" s="167"/>
      <c r="J197" s="62"/>
      <c r="K197" s="62"/>
      <c r="R197" s="62"/>
    </row>
    <row r="198" ht="15.75" customHeight="1">
      <c r="B198" s="167"/>
      <c r="J198" s="62"/>
      <c r="K198" s="62"/>
      <c r="R198" s="62"/>
    </row>
    <row r="199" ht="15.75" customHeight="1">
      <c r="B199" s="167"/>
      <c r="J199" s="62"/>
      <c r="K199" s="62"/>
      <c r="R199" s="62"/>
    </row>
    <row r="200" ht="15.75" customHeight="1">
      <c r="B200" s="167"/>
      <c r="J200" s="62"/>
      <c r="K200" s="62"/>
      <c r="R200" s="62"/>
    </row>
    <row r="201" ht="15.75" customHeight="1">
      <c r="B201" s="167"/>
      <c r="J201" s="62"/>
      <c r="K201" s="62"/>
      <c r="R201" s="62"/>
    </row>
    <row r="202" ht="15.75" customHeight="1">
      <c r="B202" s="167"/>
      <c r="J202" s="62"/>
      <c r="K202" s="62"/>
      <c r="R202" s="62"/>
    </row>
    <row r="203" ht="15.75" customHeight="1">
      <c r="B203" s="167"/>
      <c r="J203" s="62"/>
      <c r="K203" s="62"/>
      <c r="R203" s="62"/>
    </row>
    <row r="204" ht="15.75" customHeight="1">
      <c r="B204" s="167"/>
      <c r="J204" s="62"/>
      <c r="K204" s="62"/>
      <c r="R204" s="62"/>
    </row>
    <row r="205" ht="15.75" customHeight="1">
      <c r="B205" s="167"/>
      <c r="J205" s="62"/>
      <c r="K205" s="62"/>
      <c r="R205" s="62"/>
    </row>
    <row r="206" ht="15.75" customHeight="1">
      <c r="B206" s="167"/>
      <c r="J206" s="62"/>
      <c r="K206" s="62"/>
      <c r="R206" s="62"/>
    </row>
    <row r="207" ht="15.75" customHeight="1">
      <c r="B207" s="167"/>
      <c r="J207" s="62"/>
      <c r="K207" s="62"/>
      <c r="R207" s="62"/>
    </row>
    <row r="208" ht="15.75" customHeight="1">
      <c r="B208" s="167"/>
      <c r="J208" s="62"/>
      <c r="K208" s="62"/>
      <c r="R208" s="62"/>
    </row>
    <row r="209" ht="15.75" customHeight="1">
      <c r="B209" s="167"/>
      <c r="J209" s="62"/>
      <c r="K209" s="62"/>
      <c r="R209" s="62"/>
    </row>
    <row r="210" ht="15.75" customHeight="1">
      <c r="B210" s="167"/>
      <c r="J210" s="62"/>
      <c r="K210" s="62"/>
      <c r="R210" s="62"/>
    </row>
    <row r="211" ht="15.75" customHeight="1">
      <c r="B211" s="167"/>
      <c r="J211" s="62"/>
      <c r="K211" s="62"/>
      <c r="R211" s="62"/>
    </row>
    <row r="212" ht="15.75" customHeight="1">
      <c r="B212" s="167"/>
      <c r="J212" s="62"/>
      <c r="K212" s="62"/>
      <c r="R212" s="62"/>
    </row>
    <row r="213" ht="15.75" customHeight="1">
      <c r="B213" s="167"/>
      <c r="J213" s="62"/>
      <c r="K213" s="62"/>
      <c r="R213" s="62"/>
    </row>
    <row r="214" ht="15.75" customHeight="1">
      <c r="B214" s="167"/>
      <c r="J214" s="62"/>
      <c r="K214" s="62"/>
      <c r="R214" s="62"/>
    </row>
    <row r="215" ht="15.75" customHeight="1">
      <c r="B215" s="167"/>
      <c r="J215" s="62"/>
      <c r="K215" s="62"/>
      <c r="R215" s="62"/>
    </row>
    <row r="216" ht="15.75" customHeight="1">
      <c r="B216" s="167"/>
      <c r="J216" s="62"/>
      <c r="K216" s="62"/>
      <c r="R216" s="62"/>
    </row>
    <row r="217" ht="15.75" customHeight="1">
      <c r="B217" s="167"/>
      <c r="J217" s="62"/>
      <c r="K217" s="62"/>
      <c r="R217" s="62"/>
    </row>
    <row r="218" ht="15.75" customHeight="1">
      <c r="B218" s="167"/>
      <c r="J218" s="62"/>
      <c r="K218" s="62"/>
      <c r="R218" s="62"/>
    </row>
    <row r="219" ht="15.75" customHeight="1">
      <c r="B219" s="167"/>
      <c r="J219" s="62"/>
      <c r="K219" s="62"/>
      <c r="R219" s="62"/>
    </row>
    <row r="220" ht="15.75" customHeight="1">
      <c r="B220" s="167"/>
      <c r="J220" s="62"/>
      <c r="K220" s="62"/>
      <c r="R220" s="62"/>
    </row>
    <row r="221" ht="15.75" customHeight="1">
      <c r="B221" s="167"/>
      <c r="J221" s="62"/>
      <c r="K221" s="62"/>
      <c r="R221" s="62"/>
    </row>
    <row r="222" ht="15.75" customHeight="1">
      <c r="B222" s="167"/>
      <c r="J222" s="62"/>
      <c r="K222" s="62"/>
      <c r="R222" s="62"/>
    </row>
    <row r="223" ht="15.75" customHeight="1">
      <c r="B223" s="167"/>
      <c r="J223" s="62"/>
      <c r="K223" s="62"/>
      <c r="R223" s="62"/>
    </row>
    <row r="224" ht="15.75" customHeight="1">
      <c r="B224" s="167"/>
      <c r="J224" s="62"/>
      <c r="K224" s="62"/>
      <c r="R224" s="62"/>
    </row>
    <row r="225" ht="15.75" customHeight="1">
      <c r="B225" s="167"/>
      <c r="J225" s="62"/>
      <c r="K225" s="62"/>
      <c r="R225" s="62"/>
    </row>
    <row r="226" ht="15.75" customHeight="1">
      <c r="B226" s="167"/>
      <c r="J226" s="62"/>
      <c r="K226" s="62"/>
      <c r="R226" s="62"/>
    </row>
    <row r="227" ht="15.75" customHeight="1">
      <c r="B227" s="167"/>
      <c r="J227" s="62"/>
      <c r="K227" s="62"/>
      <c r="R227" s="62"/>
    </row>
    <row r="228" ht="15.75" customHeight="1">
      <c r="B228" s="167"/>
      <c r="J228" s="62"/>
      <c r="K228" s="62"/>
      <c r="R228" s="62"/>
    </row>
    <row r="229" ht="15.75" customHeight="1">
      <c r="B229" s="167"/>
      <c r="J229" s="62"/>
      <c r="K229" s="62"/>
      <c r="R229" s="62"/>
    </row>
    <row r="230" ht="15.75" customHeight="1">
      <c r="B230" s="167"/>
      <c r="J230" s="62"/>
      <c r="K230" s="62"/>
      <c r="R230" s="62"/>
    </row>
    <row r="231" ht="15.75" customHeight="1">
      <c r="B231" s="167"/>
      <c r="J231" s="62"/>
      <c r="K231" s="62"/>
      <c r="R231" s="62"/>
    </row>
    <row r="232" ht="15.75" customHeight="1">
      <c r="B232" s="167"/>
      <c r="J232" s="62"/>
      <c r="K232" s="62"/>
      <c r="R232" s="62"/>
    </row>
    <row r="233" ht="15.75" customHeight="1">
      <c r="B233" s="167"/>
      <c r="J233" s="62"/>
      <c r="K233" s="62"/>
      <c r="R233" s="62"/>
    </row>
    <row r="234" ht="15.75" customHeight="1">
      <c r="B234" s="167"/>
      <c r="J234" s="62"/>
      <c r="K234" s="62"/>
      <c r="R234" s="62"/>
    </row>
    <row r="235" ht="15.75" customHeight="1">
      <c r="B235" s="167"/>
      <c r="J235" s="62"/>
      <c r="K235" s="62"/>
      <c r="R235" s="62"/>
    </row>
    <row r="236" ht="15.75" customHeight="1">
      <c r="B236" s="167"/>
      <c r="J236" s="62"/>
      <c r="K236" s="62"/>
      <c r="R236" s="62"/>
    </row>
    <row r="237" ht="15.75" customHeight="1">
      <c r="B237" s="167"/>
      <c r="J237" s="62"/>
      <c r="K237" s="62"/>
      <c r="R237" s="62"/>
    </row>
    <row r="238" ht="15.75" customHeight="1">
      <c r="B238" s="167"/>
      <c r="J238" s="62"/>
      <c r="K238" s="62"/>
      <c r="R238" s="62"/>
    </row>
    <row r="239" ht="15.75" customHeight="1">
      <c r="B239" s="167"/>
      <c r="J239" s="62"/>
      <c r="K239" s="62"/>
      <c r="R239" s="62"/>
    </row>
    <row r="240" ht="15.75" customHeight="1">
      <c r="B240" s="167"/>
      <c r="J240" s="62"/>
      <c r="K240" s="62"/>
      <c r="R240" s="62"/>
    </row>
    <row r="241" ht="15.75" customHeight="1">
      <c r="B241" s="167"/>
      <c r="J241" s="62"/>
      <c r="K241" s="62"/>
      <c r="R241" s="62"/>
    </row>
    <row r="242" ht="15.75" customHeight="1">
      <c r="B242" s="167"/>
      <c r="J242" s="62"/>
      <c r="K242" s="62"/>
      <c r="R242" s="62"/>
    </row>
    <row r="243" ht="15.75" customHeight="1">
      <c r="B243" s="167"/>
      <c r="J243" s="62"/>
      <c r="K243" s="62"/>
      <c r="R243" s="62"/>
    </row>
    <row r="244" ht="15.75" customHeight="1">
      <c r="B244" s="167"/>
      <c r="J244" s="62"/>
      <c r="K244" s="62"/>
      <c r="R244" s="62"/>
    </row>
    <row r="245" ht="15.75" customHeight="1">
      <c r="B245" s="167"/>
      <c r="J245" s="62"/>
      <c r="K245" s="62"/>
      <c r="R245" s="62"/>
    </row>
    <row r="246" ht="15.75" customHeight="1">
      <c r="B246" s="167"/>
      <c r="J246" s="62"/>
      <c r="K246" s="62"/>
      <c r="R246" s="62"/>
    </row>
    <row r="247" ht="15.75" customHeight="1">
      <c r="B247" s="167"/>
      <c r="J247" s="62"/>
      <c r="K247" s="62"/>
      <c r="R247" s="62"/>
    </row>
    <row r="248" ht="15.75" customHeight="1">
      <c r="B248" s="167"/>
      <c r="J248" s="62"/>
      <c r="K248" s="62"/>
      <c r="R248" s="62"/>
    </row>
    <row r="249" ht="15.75" customHeight="1">
      <c r="B249" s="167"/>
      <c r="J249" s="62"/>
      <c r="K249" s="62"/>
      <c r="R249" s="62"/>
    </row>
    <row r="250" ht="15.75" customHeight="1">
      <c r="B250" s="167"/>
      <c r="J250" s="62"/>
      <c r="K250" s="62"/>
      <c r="R250" s="62"/>
    </row>
    <row r="251" ht="15.75" customHeight="1">
      <c r="B251" s="167"/>
      <c r="J251" s="62"/>
      <c r="K251" s="62"/>
      <c r="R251" s="62"/>
    </row>
    <row r="252" ht="15.75" customHeight="1">
      <c r="B252" s="167"/>
      <c r="J252" s="62"/>
      <c r="K252" s="62"/>
      <c r="R252" s="62"/>
    </row>
    <row r="253" ht="15.75" customHeight="1">
      <c r="B253" s="167"/>
      <c r="J253" s="62"/>
      <c r="K253" s="62"/>
      <c r="R253" s="62"/>
    </row>
    <row r="254" ht="15.75" customHeight="1">
      <c r="B254" s="167"/>
      <c r="J254" s="62"/>
      <c r="K254" s="62"/>
      <c r="R254" s="62"/>
    </row>
    <row r="255" ht="15.75" customHeight="1">
      <c r="B255" s="167"/>
      <c r="J255" s="62"/>
      <c r="K255" s="62"/>
      <c r="R255" s="62"/>
    </row>
    <row r="256" ht="15.75" customHeight="1">
      <c r="B256" s="167"/>
      <c r="J256" s="62"/>
      <c r="K256" s="62"/>
      <c r="R256" s="62"/>
    </row>
    <row r="257" ht="15.75" customHeight="1">
      <c r="B257" s="167"/>
      <c r="J257" s="62"/>
      <c r="K257" s="62"/>
      <c r="R257" s="62"/>
    </row>
    <row r="258" ht="15.75" customHeight="1">
      <c r="B258" s="167"/>
      <c r="J258" s="62"/>
      <c r="K258" s="62"/>
      <c r="R258" s="62"/>
    </row>
    <row r="259" ht="15.75" customHeight="1">
      <c r="B259" s="167"/>
      <c r="J259" s="62"/>
      <c r="K259" s="62"/>
      <c r="R259" s="62"/>
    </row>
    <row r="260" ht="15.75" customHeight="1">
      <c r="B260" s="167"/>
      <c r="J260" s="62"/>
      <c r="K260" s="62"/>
      <c r="R260" s="62"/>
    </row>
    <row r="261" ht="15.75" customHeight="1">
      <c r="B261" s="167"/>
      <c r="J261" s="62"/>
      <c r="K261" s="62"/>
      <c r="R261" s="62"/>
    </row>
    <row r="262" ht="15.75" customHeight="1">
      <c r="B262" s="167"/>
      <c r="J262" s="62"/>
      <c r="K262" s="62"/>
      <c r="R262" s="62"/>
    </row>
    <row r="263" ht="15.75" customHeight="1">
      <c r="B263" s="167"/>
      <c r="J263" s="62"/>
      <c r="K263" s="62"/>
      <c r="R263" s="62"/>
    </row>
    <row r="264" ht="15.75" customHeight="1">
      <c r="B264" s="167"/>
      <c r="J264" s="62"/>
      <c r="K264" s="62"/>
      <c r="R264" s="62"/>
    </row>
    <row r="265" ht="15.75" customHeight="1">
      <c r="B265" s="167"/>
      <c r="J265" s="62"/>
      <c r="K265" s="62"/>
      <c r="R265" s="62"/>
    </row>
    <row r="266" ht="15.75" customHeight="1">
      <c r="B266" s="167"/>
      <c r="J266" s="62"/>
      <c r="K266" s="62"/>
      <c r="R266" s="62"/>
    </row>
    <row r="267" ht="15.75" customHeight="1">
      <c r="B267" s="167"/>
      <c r="J267" s="62"/>
      <c r="K267" s="62"/>
      <c r="R267" s="62"/>
    </row>
    <row r="268" ht="15.75" customHeight="1">
      <c r="B268" s="167"/>
      <c r="J268" s="62"/>
      <c r="K268" s="62"/>
      <c r="R268" s="62"/>
    </row>
    <row r="269" ht="15.75" customHeight="1">
      <c r="B269" s="167"/>
      <c r="J269" s="62"/>
      <c r="K269" s="62"/>
      <c r="R269" s="62"/>
    </row>
    <row r="270" ht="15.75" customHeight="1">
      <c r="B270" s="167"/>
      <c r="J270" s="62"/>
      <c r="K270" s="62"/>
      <c r="R270" s="62"/>
    </row>
    <row r="271" ht="15.75" customHeight="1">
      <c r="B271" s="167"/>
      <c r="J271" s="62"/>
      <c r="K271" s="62"/>
      <c r="R271" s="62"/>
    </row>
    <row r="272" ht="15.75" customHeight="1">
      <c r="B272" s="167"/>
      <c r="J272" s="62"/>
      <c r="K272" s="62"/>
      <c r="R272" s="62"/>
    </row>
    <row r="273" ht="15.75" customHeight="1">
      <c r="B273" s="167"/>
      <c r="J273" s="62"/>
      <c r="K273" s="62"/>
      <c r="R273" s="62"/>
    </row>
    <row r="274" ht="15.75" customHeight="1">
      <c r="B274" s="167"/>
      <c r="J274" s="62"/>
      <c r="K274" s="62"/>
      <c r="R274" s="62"/>
    </row>
    <row r="275" ht="15.75" customHeight="1">
      <c r="B275" s="167"/>
      <c r="J275" s="62"/>
      <c r="K275" s="62"/>
      <c r="R275" s="62"/>
    </row>
    <row r="276" ht="15.75" customHeight="1">
      <c r="B276" s="167"/>
      <c r="J276" s="62"/>
      <c r="K276" s="62"/>
      <c r="R276" s="62"/>
    </row>
    <row r="277" ht="15.75" customHeight="1">
      <c r="B277" s="167"/>
      <c r="J277" s="62"/>
      <c r="K277" s="62"/>
      <c r="R277" s="62"/>
    </row>
    <row r="278" ht="15.75" customHeight="1">
      <c r="B278" s="167"/>
      <c r="J278" s="62"/>
      <c r="K278" s="62"/>
      <c r="R278" s="62"/>
    </row>
    <row r="279" ht="15.75" customHeight="1">
      <c r="B279" s="167"/>
      <c r="J279" s="62"/>
      <c r="K279" s="62"/>
      <c r="R279" s="62"/>
    </row>
    <row r="280" ht="15.75" customHeight="1">
      <c r="B280" s="167"/>
      <c r="J280" s="62"/>
      <c r="K280" s="62"/>
      <c r="R280" s="62"/>
    </row>
    <row r="281" ht="15.75" customHeight="1">
      <c r="B281" s="167"/>
      <c r="J281" s="62"/>
      <c r="K281" s="62"/>
      <c r="R281" s="62"/>
    </row>
    <row r="282" ht="15.75" customHeight="1">
      <c r="B282" s="167"/>
      <c r="J282" s="62"/>
      <c r="K282" s="62"/>
      <c r="R282" s="62"/>
    </row>
    <row r="283" ht="15.75" customHeight="1">
      <c r="B283" s="167"/>
      <c r="J283" s="62"/>
      <c r="K283" s="62"/>
      <c r="R283" s="62"/>
    </row>
    <row r="284" ht="15.75" customHeight="1">
      <c r="B284" s="167"/>
      <c r="J284" s="62"/>
      <c r="K284" s="62"/>
      <c r="R284" s="62"/>
    </row>
    <row r="285" ht="15.75" customHeight="1">
      <c r="B285" s="167"/>
      <c r="J285" s="62"/>
      <c r="K285" s="62"/>
      <c r="R285" s="62"/>
    </row>
    <row r="286" ht="15.75" customHeight="1">
      <c r="B286" s="167"/>
      <c r="J286" s="62"/>
      <c r="K286" s="62"/>
      <c r="R286" s="62"/>
    </row>
    <row r="287" ht="15.75" customHeight="1">
      <c r="B287" s="167"/>
      <c r="J287" s="62"/>
      <c r="K287" s="62"/>
      <c r="R287" s="62"/>
    </row>
    <row r="288" ht="15.75" customHeight="1">
      <c r="B288" s="167"/>
      <c r="J288" s="62"/>
      <c r="K288" s="62"/>
      <c r="R288" s="62"/>
    </row>
    <row r="289" ht="15.75" customHeight="1">
      <c r="B289" s="167"/>
      <c r="J289" s="62"/>
      <c r="K289" s="62"/>
      <c r="R289" s="62"/>
    </row>
    <row r="290" ht="15.75" customHeight="1">
      <c r="B290" s="167"/>
      <c r="J290" s="62"/>
      <c r="K290" s="62"/>
      <c r="R290" s="62"/>
    </row>
    <row r="291" ht="15.75" customHeight="1">
      <c r="B291" s="167"/>
      <c r="J291" s="62"/>
      <c r="K291" s="62"/>
      <c r="R291" s="62"/>
    </row>
    <row r="292" ht="15.75" customHeight="1">
      <c r="B292" s="167"/>
      <c r="J292" s="62"/>
      <c r="K292" s="62"/>
      <c r="R292" s="62"/>
    </row>
    <row r="293" ht="15.75" customHeight="1">
      <c r="B293" s="167"/>
      <c r="J293" s="62"/>
      <c r="K293" s="62"/>
      <c r="R293" s="62"/>
    </row>
    <row r="294" ht="15.75" customHeight="1">
      <c r="B294" s="167"/>
      <c r="J294" s="62"/>
      <c r="K294" s="62"/>
      <c r="R294" s="62"/>
    </row>
    <row r="295" ht="15.75" customHeight="1">
      <c r="B295" s="167"/>
      <c r="J295" s="62"/>
      <c r="K295" s="62"/>
      <c r="R295" s="62"/>
    </row>
    <row r="296" ht="15.75" customHeight="1">
      <c r="B296" s="167"/>
      <c r="J296" s="62"/>
      <c r="K296" s="62"/>
      <c r="R296" s="62"/>
    </row>
    <row r="297" ht="15.75" customHeight="1">
      <c r="B297" s="167"/>
      <c r="J297" s="62"/>
      <c r="K297" s="62"/>
      <c r="R297" s="62"/>
    </row>
    <row r="298" ht="15.75" customHeight="1">
      <c r="B298" s="167"/>
      <c r="J298" s="62"/>
      <c r="K298" s="62"/>
      <c r="R298" s="62"/>
    </row>
    <row r="299" ht="15.75" customHeight="1">
      <c r="B299" s="167"/>
      <c r="J299" s="62"/>
      <c r="K299" s="62"/>
      <c r="R299" s="62"/>
    </row>
    <row r="300" ht="15.75" customHeight="1">
      <c r="B300" s="167"/>
      <c r="J300" s="62"/>
      <c r="K300" s="62"/>
      <c r="R300" s="62"/>
    </row>
    <row r="301" ht="15.75" customHeight="1">
      <c r="B301" s="167"/>
      <c r="J301" s="62"/>
      <c r="K301" s="62"/>
      <c r="R301" s="62"/>
    </row>
    <row r="302" ht="15.75" customHeight="1">
      <c r="B302" s="167"/>
      <c r="J302" s="62"/>
      <c r="K302" s="62"/>
      <c r="R302" s="62"/>
    </row>
    <row r="303" ht="15.75" customHeight="1">
      <c r="B303" s="167"/>
      <c r="J303" s="62"/>
      <c r="K303" s="62"/>
      <c r="R303" s="62"/>
    </row>
    <row r="304" ht="15.75" customHeight="1">
      <c r="B304" s="167"/>
      <c r="J304" s="62"/>
      <c r="K304" s="62"/>
      <c r="R304" s="62"/>
    </row>
    <row r="305" ht="15.75" customHeight="1">
      <c r="B305" s="167"/>
      <c r="J305" s="62"/>
      <c r="K305" s="62"/>
      <c r="R305" s="62"/>
    </row>
    <row r="306" ht="15.75" customHeight="1">
      <c r="B306" s="167"/>
      <c r="J306" s="62"/>
      <c r="K306" s="62"/>
      <c r="R306" s="62"/>
    </row>
    <row r="307" ht="15.75" customHeight="1">
      <c r="B307" s="167"/>
      <c r="J307" s="62"/>
      <c r="K307" s="62"/>
      <c r="R307" s="62"/>
    </row>
    <row r="308" ht="15.75" customHeight="1">
      <c r="B308" s="167"/>
      <c r="J308" s="62"/>
      <c r="K308" s="62"/>
      <c r="R308" s="62"/>
    </row>
    <row r="309" ht="15.75" customHeight="1">
      <c r="B309" s="167"/>
      <c r="J309" s="62"/>
      <c r="K309" s="62"/>
      <c r="R309" s="62"/>
    </row>
    <row r="310" ht="15.75" customHeight="1">
      <c r="B310" s="167"/>
      <c r="J310" s="62"/>
      <c r="K310" s="62"/>
      <c r="R310" s="62"/>
    </row>
    <row r="311" ht="15.75" customHeight="1">
      <c r="B311" s="167"/>
      <c r="J311" s="62"/>
      <c r="K311" s="62"/>
      <c r="R311" s="62"/>
    </row>
    <row r="312" ht="15.75" customHeight="1">
      <c r="B312" s="167"/>
      <c r="J312" s="62"/>
      <c r="K312" s="62"/>
      <c r="R312" s="62"/>
    </row>
    <row r="313" ht="15.75" customHeight="1">
      <c r="B313" s="167"/>
      <c r="J313" s="62"/>
      <c r="K313" s="62"/>
      <c r="R313" s="62"/>
    </row>
    <row r="314" ht="15.75" customHeight="1">
      <c r="B314" s="167"/>
      <c r="J314" s="62"/>
      <c r="K314" s="62"/>
      <c r="R314" s="62"/>
    </row>
    <row r="315" ht="15.75" customHeight="1">
      <c r="B315" s="167"/>
      <c r="J315" s="62"/>
      <c r="K315" s="62"/>
      <c r="R315" s="62"/>
    </row>
    <row r="316" ht="15.75" customHeight="1">
      <c r="B316" s="167"/>
      <c r="J316" s="62"/>
      <c r="K316" s="62"/>
      <c r="R316" s="62"/>
    </row>
    <row r="317" ht="15.75" customHeight="1">
      <c r="B317" s="167"/>
      <c r="J317" s="62"/>
      <c r="K317" s="62"/>
      <c r="R317" s="62"/>
    </row>
    <row r="318" ht="15.75" customHeight="1">
      <c r="B318" s="167"/>
      <c r="J318" s="62"/>
      <c r="K318" s="62"/>
      <c r="R318" s="62"/>
    </row>
    <row r="319" ht="15.75" customHeight="1">
      <c r="B319" s="167"/>
      <c r="J319" s="62"/>
      <c r="K319" s="62"/>
      <c r="R319" s="62"/>
    </row>
    <row r="320" ht="15.75" customHeight="1">
      <c r="B320" s="167"/>
      <c r="J320" s="62"/>
      <c r="K320" s="62"/>
      <c r="R320" s="62"/>
    </row>
    <row r="321" ht="15.75" customHeight="1">
      <c r="B321" s="167"/>
      <c r="J321" s="62"/>
      <c r="K321" s="62"/>
      <c r="R321" s="62"/>
    </row>
    <row r="322" ht="15.75" customHeight="1">
      <c r="B322" s="167"/>
      <c r="J322" s="62"/>
      <c r="K322" s="62"/>
      <c r="R322" s="62"/>
    </row>
    <row r="323" ht="15.75" customHeight="1">
      <c r="B323" s="167"/>
      <c r="J323" s="62"/>
      <c r="K323" s="62"/>
      <c r="R323" s="62"/>
    </row>
    <row r="324" ht="15.75" customHeight="1">
      <c r="B324" s="167"/>
      <c r="J324" s="62"/>
      <c r="K324" s="62"/>
      <c r="R324" s="62"/>
    </row>
    <row r="325" ht="15.75" customHeight="1">
      <c r="B325" s="167"/>
      <c r="J325" s="62"/>
      <c r="K325" s="62"/>
      <c r="R325" s="62"/>
    </row>
    <row r="326" ht="15.75" customHeight="1">
      <c r="B326" s="167"/>
      <c r="J326" s="62"/>
      <c r="K326" s="62"/>
      <c r="R326" s="62"/>
    </row>
    <row r="327" ht="15.75" customHeight="1">
      <c r="B327" s="167"/>
      <c r="J327" s="62"/>
      <c r="K327" s="62"/>
      <c r="R327" s="62"/>
    </row>
    <row r="328" ht="15.75" customHeight="1">
      <c r="B328" s="167"/>
      <c r="J328" s="62"/>
      <c r="K328" s="62"/>
      <c r="R328" s="62"/>
    </row>
    <row r="329" ht="15.75" customHeight="1">
      <c r="B329" s="167"/>
      <c r="J329" s="62"/>
      <c r="K329" s="62"/>
      <c r="R329" s="62"/>
    </row>
    <row r="330" ht="15.75" customHeight="1">
      <c r="B330" s="167"/>
      <c r="J330" s="62"/>
      <c r="K330" s="62"/>
      <c r="R330" s="62"/>
    </row>
    <row r="331" ht="15.75" customHeight="1">
      <c r="B331" s="167"/>
      <c r="J331" s="62"/>
      <c r="K331" s="62"/>
      <c r="R331" s="62"/>
    </row>
    <row r="332" ht="15.75" customHeight="1">
      <c r="B332" s="167"/>
      <c r="J332" s="62"/>
      <c r="K332" s="62"/>
      <c r="R332" s="62"/>
    </row>
    <row r="333" ht="15.75" customHeight="1">
      <c r="B333" s="167"/>
      <c r="J333" s="62"/>
      <c r="K333" s="62"/>
      <c r="R333" s="62"/>
    </row>
    <row r="334" ht="15.75" customHeight="1">
      <c r="B334" s="167"/>
      <c r="J334" s="62"/>
      <c r="K334" s="62"/>
      <c r="R334" s="62"/>
    </row>
    <row r="335" ht="15.75" customHeight="1">
      <c r="B335" s="167"/>
      <c r="J335" s="62"/>
      <c r="K335" s="62"/>
      <c r="R335" s="62"/>
    </row>
    <row r="336" ht="15.75" customHeight="1">
      <c r="B336" s="167"/>
      <c r="J336" s="62"/>
      <c r="K336" s="62"/>
      <c r="R336" s="62"/>
    </row>
    <row r="337" ht="15.75" customHeight="1">
      <c r="B337" s="167"/>
      <c r="J337" s="62"/>
      <c r="K337" s="62"/>
      <c r="R337" s="62"/>
    </row>
    <row r="338" ht="15.75" customHeight="1">
      <c r="B338" s="167"/>
      <c r="J338" s="62"/>
      <c r="K338" s="62"/>
      <c r="R338" s="62"/>
    </row>
    <row r="339" ht="15.75" customHeight="1">
      <c r="B339" s="167"/>
      <c r="J339" s="62"/>
      <c r="K339" s="62"/>
      <c r="R339" s="62"/>
    </row>
    <row r="340" ht="15.75" customHeight="1">
      <c r="B340" s="167"/>
      <c r="J340" s="62"/>
      <c r="K340" s="62"/>
      <c r="R340" s="62"/>
    </row>
    <row r="341" ht="15.75" customHeight="1">
      <c r="B341" s="167"/>
      <c r="J341" s="62"/>
      <c r="K341" s="62"/>
      <c r="R341" s="62"/>
    </row>
    <row r="342" ht="15.75" customHeight="1">
      <c r="B342" s="167"/>
      <c r="J342" s="62"/>
      <c r="K342" s="62"/>
      <c r="R342" s="62"/>
    </row>
    <row r="343" ht="15.75" customHeight="1">
      <c r="B343" s="167"/>
      <c r="J343" s="62"/>
      <c r="K343" s="62"/>
      <c r="R343" s="62"/>
    </row>
    <row r="344" ht="15.75" customHeight="1">
      <c r="B344" s="167"/>
      <c r="J344" s="62"/>
      <c r="K344" s="62"/>
      <c r="R344" s="62"/>
    </row>
    <row r="345" ht="15.75" customHeight="1">
      <c r="B345" s="167"/>
      <c r="J345" s="62"/>
      <c r="K345" s="62"/>
      <c r="R345" s="62"/>
    </row>
    <row r="346" ht="15.75" customHeight="1">
      <c r="B346" s="167"/>
      <c r="J346" s="62"/>
      <c r="K346" s="62"/>
      <c r="R346" s="62"/>
    </row>
    <row r="347" ht="15.75" customHeight="1">
      <c r="B347" s="167"/>
      <c r="J347" s="62"/>
      <c r="K347" s="62"/>
      <c r="R347" s="62"/>
    </row>
    <row r="348" ht="15.75" customHeight="1">
      <c r="B348" s="167"/>
      <c r="J348" s="62"/>
      <c r="K348" s="62"/>
      <c r="R348" s="62"/>
    </row>
    <row r="349" ht="15.75" customHeight="1">
      <c r="B349" s="167"/>
      <c r="J349" s="62"/>
      <c r="K349" s="62"/>
      <c r="R349" s="62"/>
    </row>
    <row r="350" ht="15.75" customHeight="1">
      <c r="B350" s="167"/>
      <c r="J350" s="62"/>
      <c r="K350" s="62"/>
      <c r="R350" s="62"/>
    </row>
    <row r="351" ht="15.75" customHeight="1">
      <c r="B351" s="167"/>
      <c r="J351" s="62"/>
      <c r="K351" s="62"/>
      <c r="R351" s="62"/>
    </row>
    <row r="352" ht="15.75" customHeight="1">
      <c r="B352" s="167"/>
      <c r="J352" s="62"/>
      <c r="K352" s="62"/>
      <c r="R352" s="62"/>
    </row>
    <row r="353" ht="15.75" customHeight="1">
      <c r="B353" s="167"/>
      <c r="J353" s="62"/>
      <c r="K353" s="62"/>
      <c r="R353" s="62"/>
    </row>
    <row r="354" ht="15.75" customHeight="1">
      <c r="B354" s="167"/>
      <c r="J354" s="62"/>
      <c r="K354" s="62"/>
      <c r="R354" s="62"/>
    </row>
    <row r="355" ht="15.75" customHeight="1">
      <c r="B355" s="167"/>
      <c r="J355" s="62"/>
      <c r="K355" s="62"/>
      <c r="R355" s="62"/>
    </row>
    <row r="356" ht="15.75" customHeight="1">
      <c r="B356" s="167"/>
      <c r="J356" s="62"/>
      <c r="K356" s="62"/>
      <c r="R356" s="62"/>
    </row>
    <row r="357" ht="15.75" customHeight="1">
      <c r="B357" s="167"/>
      <c r="J357" s="62"/>
      <c r="K357" s="62"/>
      <c r="R357" s="62"/>
    </row>
    <row r="358" ht="15.75" customHeight="1">
      <c r="B358" s="167"/>
      <c r="J358" s="62"/>
      <c r="K358" s="62"/>
      <c r="R358" s="62"/>
    </row>
    <row r="359" ht="15.75" customHeight="1">
      <c r="B359" s="167"/>
      <c r="J359" s="62"/>
      <c r="K359" s="62"/>
      <c r="R359" s="62"/>
    </row>
    <row r="360" ht="15.75" customHeight="1">
      <c r="B360" s="167"/>
      <c r="J360" s="62"/>
      <c r="K360" s="62"/>
      <c r="R360" s="62"/>
    </row>
    <row r="361" ht="15.75" customHeight="1">
      <c r="B361" s="167"/>
      <c r="J361" s="62"/>
      <c r="K361" s="62"/>
      <c r="R361" s="62"/>
    </row>
    <row r="362" ht="15.75" customHeight="1">
      <c r="B362" s="167"/>
      <c r="J362" s="62"/>
      <c r="K362" s="62"/>
      <c r="R362" s="62"/>
    </row>
    <row r="363" ht="15.75" customHeight="1">
      <c r="B363" s="167"/>
      <c r="J363" s="62"/>
      <c r="K363" s="62"/>
      <c r="R363" s="62"/>
    </row>
    <row r="364" ht="15.75" customHeight="1">
      <c r="B364" s="167"/>
      <c r="J364" s="62"/>
      <c r="K364" s="62"/>
      <c r="R364" s="62"/>
    </row>
    <row r="365" ht="15.75" customHeight="1">
      <c r="B365" s="167"/>
      <c r="J365" s="62"/>
      <c r="K365" s="62"/>
      <c r="R365" s="62"/>
    </row>
    <row r="366" ht="15.75" customHeight="1">
      <c r="B366" s="167"/>
      <c r="J366" s="62"/>
      <c r="K366" s="62"/>
      <c r="R366" s="62"/>
    </row>
    <row r="367" ht="15.75" customHeight="1">
      <c r="B367" s="167"/>
      <c r="J367" s="62"/>
      <c r="K367" s="62"/>
      <c r="R367" s="62"/>
    </row>
    <row r="368" ht="15.75" customHeight="1">
      <c r="B368" s="167"/>
      <c r="J368" s="62"/>
      <c r="K368" s="62"/>
      <c r="R368" s="62"/>
    </row>
    <row r="369" ht="15.75" customHeight="1">
      <c r="B369" s="167"/>
      <c r="J369" s="62"/>
      <c r="K369" s="62"/>
      <c r="R369" s="62"/>
    </row>
    <row r="370" ht="15.75" customHeight="1">
      <c r="B370" s="167"/>
      <c r="J370" s="62"/>
      <c r="K370" s="62"/>
      <c r="R370" s="62"/>
    </row>
    <row r="371" ht="15.75" customHeight="1">
      <c r="B371" s="167"/>
      <c r="J371" s="62"/>
      <c r="K371" s="62"/>
      <c r="R371" s="62"/>
    </row>
    <row r="372" ht="15.75" customHeight="1">
      <c r="B372" s="167"/>
      <c r="J372" s="62"/>
      <c r="K372" s="62"/>
      <c r="R372" s="62"/>
    </row>
    <row r="373" ht="15.75" customHeight="1">
      <c r="B373" s="167"/>
      <c r="J373" s="62"/>
      <c r="K373" s="62"/>
      <c r="R373" s="62"/>
    </row>
    <row r="374" ht="15.75" customHeight="1">
      <c r="B374" s="167"/>
      <c r="J374" s="62"/>
      <c r="K374" s="62"/>
      <c r="R374" s="62"/>
    </row>
    <row r="375" ht="15.75" customHeight="1">
      <c r="B375" s="167"/>
      <c r="J375" s="62"/>
      <c r="K375" s="62"/>
      <c r="R375" s="62"/>
    </row>
    <row r="376" ht="15.75" customHeight="1">
      <c r="B376" s="167"/>
      <c r="J376" s="62"/>
      <c r="K376" s="62"/>
      <c r="R376" s="62"/>
    </row>
    <row r="377" ht="15.75" customHeight="1">
      <c r="B377" s="167"/>
      <c r="J377" s="62"/>
      <c r="K377" s="62"/>
      <c r="R377" s="62"/>
    </row>
    <row r="378" ht="15.75" customHeight="1">
      <c r="B378" s="167"/>
      <c r="J378" s="62"/>
      <c r="K378" s="62"/>
      <c r="R378" s="62"/>
    </row>
    <row r="379" ht="15.75" customHeight="1">
      <c r="B379" s="167"/>
      <c r="J379" s="62"/>
      <c r="K379" s="62"/>
      <c r="R379" s="62"/>
    </row>
    <row r="380" ht="15.75" customHeight="1">
      <c r="B380" s="167"/>
      <c r="J380" s="62"/>
      <c r="K380" s="62"/>
      <c r="R380" s="62"/>
    </row>
    <row r="381" ht="15.75" customHeight="1">
      <c r="B381" s="167"/>
      <c r="J381" s="62"/>
      <c r="K381" s="62"/>
      <c r="R381" s="62"/>
    </row>
    <row r="382" ht="15.75" customHeight="1">
      <c r="B382" s="167"/>
      <c r="J382" s="62"/>
      <c r="K382" s="62"/>
      <c r="R382" s="62"/>
    </row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1">
    <mergeCell ref="A1:K1"/>
    <mergeCell ref="A2:K2"/>
    <mergeCell ref="N4:R4"/>
    <mergeCell ref="N5:R5"/>
    <mergeCell ref="A18:K18"/>
    <mergeCell ref="N21:R21"/>
    <mergeCell ref="N22:R22"/>
    <mergeCell ref="A19:K19"/>
    <mergeCell ref="A35:K35"/>
    <mergeCell ref="A36:K36"/>
    <mergeCell ref="N38:R38"/>
    <mergeCell ref="N39:R39"/>
    <mergeCell ref="A53:K53"/>
    <mergeCell ref="A54:K54"/>
    <mergeCell ref="N56:R56"/>
    <mergeCell ref="N57:R57"/>
    <mergeCell ref="A71:K71"/>
    <mergeCell ref="A72:K72"/>
    <mergeCell ref="N74:R74"/>
    <mergeCell ref="N75:R75"/>
    <mergeCell ref="A88:K88"/>
    <mergeCell ref="A89:K89"/>
    <mergeCell ref="N91:R91"/>
    <mergeCell ref="N92:R92"/>
    <mergeCell ref="A107:K107"/>
    <mergeCell ref="A108:K108"/>
    <mergeCell ref="N110:R110"/>
    <mergeCell ref="N111:R111"/>
    <mergeCell ref="A145:K145"/>
    <mergeCell ref="A161:K161"/>
    <mergeCell ref="A162:K162"/>
    <mergeCell ref="N164:R164"/>
    <mergeCell ref="N165:R165"/>
    <mergeCell ref="N180:R180"/>
    <mergeCell ref="A125:K125"/>
    <mergeCell ref="A126:K126"/>
    <mergeCell ref="N128:R128"/>
    <mergeCell ref="N129:R129"/>
    <mergeCell ref="A144:K144"/>
    <mergeCell ref="N147:R147"/>
    <mergeCell ref="N148:R148"/>
  </mergeCells>
  <dataValidations>
    <dataValidation type="list" allowBlank="1" showErrorMessage="1" sqref="I4:I15 I21:I32 I38:I49 I56:I67 I74:I85 I91:I102 I110:I121 I128:I139 I147:I158 I164:I175">
      <formula1>"Não atendido,Atendido,Vagas livres,Desistência"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5.5"/>
    <col customWidth="1" min="4" max="4" width="11.88"/>
    <col customWidth="1" min="5" max="5" width="16.0"/>
    <col customWidth="1" min="6" max="6" width="17.0"/>
    <col customWidth="1" min="7" max="7" width="42.63"/>
    <col customWidth="1" min="8" max="8" width="19.63"/>
    <col customWidth="1" min="9" max="9" width="20.38"/>
    <col customWidth="1" min="10" max="10" width="18.13"/>
    <col customWidth="1" min="11" max="11" width="17.25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33" t="s">
        <v>2080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5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2081</v>
      </c>
      <c r="C4" s="69" t="s">
        <v>1591</v>
      </c>
      <c r="D4" s="70">
        <v>0.5416666666666666</v>
      </c>
      <c r="E4" s="219"/>
      <c r="F4" s="192">
        <v>7.00501365714551E14</v>
      </c>
      <c r="G4" s="54" t="s">
        <v>2082</v>
      </c>
      <c r="H4" s="193">
        <v>19259.0</v>
      </c>
      <c r="I4" s="18" t="s">
        <v>41</v>
      </c>
      <c r="J4" s="97"/>
      <c r="K4" s="97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5" t="s">
        <v>2083</v>
      </c>
      <c r="C5" s="69" t="s">
        <v>1591</v>
      </c>
      <c r="D5" s="70">
        <v>0.5555555555555556</v>
      </c>
      <c r="E5" s="253"/>
      <c r="F5" s="206">
        <v>7.00008216645303E14</v>
      </c>
      <c r="G5" s="125" t="s">
        <v>2084</v>
      </c>
      <c r="H5" s="153">
        <v>22520.0</v>
      </c>
      <c r="I5" s="18" t="s">
        <v>41</v>
      </c>
      <c r="J5" s="37"/>
      <c r="K5" s="37"/>
      <c r="N5" s="239" t="s">
        <v>2085</v>
      </c>
      <c r="O5" s="2"/>
      <c r="P5" s="2"/>
      <c r="Q5" s="2"/>
      <c r="R5" s="62"/>
    </row>
    <row r="6" ht="26.25" customHeight="1">
      <c r="A6" s="11" t="s">
        <v>12</v>
      </c>
      <c r="B6" s="205" t="s">
        <v>2086</v>
      </c>
      <c r="C6" s="69" t="s">
        <v>1591</v>
      </c>
      <c r="D6" s="70">
        <v>0.5694444444444444</v>
      </c>
      <c r="E6" s="253"/>
      <c r="F6" s="206">
        <v>7.0470300219834E14</v>
      </c>
      <c r="G6" s="125" t="s">
        <v>252</v>
      </c>
      <c r="H6" s="153">
        <v>21663.0</v>
      </c>
      <c r="I6" s="18" t="s">
        <v>41</v>
      </c>
      <c r="J6" s="37"/>
      <c r="K6" s="97"/>
      <c r="N6" s="240" t="s">
        <v>182</v>
      </c>
      <c r="O6" s="241" t="s">
        <v>194</v>
      </c>
      <c r="P6" s="241" t="s">
        <v>180</v>
      </c>
      <c r="Q6" s="242" t="s">
        <v>2087</v>
      </c>
      <c r="R6" s="62"/>
    </row>
    <row r="7" ht="15.75" customHeight="1">
      <c r="A7" s="11" t="s">
        <v>13</v>
      </c>
      <c r="B7" s="205" t="s">
        <v>2088</v>
      </c>
      <c r="C7" s="69" t="s">
        <v>1591</v>
      </c>
      <c r="D7" s="70">
        <v>0.5833333333333334</v>
      </c>
      <c r="E7" s="214"/>
      <c r="F7" s="79">
        <v>7.02805694894069E14</v>
      </c>
      <c r="G7" s="74" t="s">
        <v>2089</v>
      </c>
      <c r="H7" s="78">
        <v>26539.0</v>
      </c>
      <c r="I7" s="18" t="s">
        <v>41</v>
      </c>
      <c r="J7" s="266"/>
      <c r="K7" s="266"/>
      <c r="N7" s="244">
        <f t="shared" ref="N7:P7" si="1">COUNTIFS($I$4:$I$15,N6)</f>
        <v>0</v>
      </c>
      <c r="O7" s="244">
        <f t="shared" si="1"/>
        <v>0</v>
      </c>
      <c r="P7" s="244">
        <f t="shared" si="1"/>
        <v>2</v>
      </c>
      <c r="Q7" s="244">
        <f>COUNTIF(I4:I15,Q6)</f>
        <v>1</v>
      </c>
      <c r="R7" s="62"/>
    </row>
    <row r="8" ht="15.75" customHeight="1">
      <c r="A8" s="11" t="s">
        <v>14</v>
      </c>
      <c r="B8" s="205" t="s">
        <v>2081</v>
      </c>
      <c r="C8" s="69" t="s">
        <v>1591</v>
      </c>
      <c r="D8" s="70">
        <v>0.5972222222222222</v>
      </c>
      <c r="E8" s="267"/>
      <c r="F8" s="128">
        <v>7.02608278169247E14</v>
      </c>
      <c r="G8" s="268" t="s">
        <v>2090</v>
      </c>
      <c r="H8" s="269">
        <v>16927.0</v>
      </c>
      <c r="I8" s="18" t="s">
        <v>2087</v>
      </c>
      <c r="J8" s="128"/>
      <c r="K8" s="128"/>
      <c r="R8" s="62"/>
    </row>
    <row r="9" ht="15.75" customHeight="1">
      <c r="A9" s="11" t="s">
        <v>15</v>
      </c>
      <c r="B9" s="205" t="s">
        <v>2088</v>
      </c>
      <c r="C9" s="69" t="s">
        <v>1591</v>
      </c>
      <c r="D9" s="70">
        <v>0.6111111111111112</v>
      </c>
      <c r="E9" s="215"/>
      <c r="F9" s="170">
        <v>8.0144047899359E14</v>
      </c>
      <c r="G9" s="186" t="s">
        <v>2091</v>
      </c>
      <c r="H9" s="72">
        <v>15142.0</v>
      </c>
      <c r="I9" s="18" t="s">
        <v>41</v>
      </c>
      <c r="J9" s="37"/>
      <c r="K9" s="37"/>
      <c r="R9" s="62"/>
    </row>
    <row r="10" ht="15.75" customHeight="1">
      <c r="A10" s="11" t="s">
        <v>16</v>
      </c>
      <c r="B10" s="205" t="s">
        <v>2092</v>
      </c>
      <c r="C10" s="69" t="s">
        <v>1591</v>
      </c>
      <c r="D10" s="70">
        <v>0.625</v>
      </c>
      <c r="E10" s="214"/>
      <c r="F10" s="79"/>
      <c r="G10" s="74"/>
      <c r="H10" s="78"/>
      <c r="I10" s="18" t="s">
        <v>180</v>
      </c>
      <c r="J10" s="266"/>
      <c r="K10" s="266"/>
      <c r="R10" s="62"/>
    </row>
    <row r="11" ht="15.75" customHeight="1">
      <c r="A11" s="11" t="s">
        <v>17</v>
      </c>
      <c r="B11" s="205" t="s">
        <v>2093</v>
      </c>
      <c r="C11" s="69" t="s">
        <v>1591</v>
      </c>
      <c r="D11" s="70">
        <v>0.6388888888888888</v>
      </c>
      <c r="E11" s="214"/>
      <c r="F11" s="79">
        <v>7.0470207497454E14</v>
      </c>
      <c r="G11" s="74" t="s">
        <v>1708</v>
      </c>
      <c r="H11" s="78">
        <v>29101.0</v>
      </c>
      <c r="I11" s="18" t="s">
        <v>41</v>
      </c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205" t="s">
        <v>2094</v>
      </c>
      <c r="C12" s="69" t="s">
        <v>1591</v>
      </c>
      <c r="D12" s="70">
        <v>0.6527777777777778</v>
      </c>
      <c r="E12" s="247"/>
      <c r="F12" s="146">
        <v>7.06409659523386E14</v>
      </c>
      <c r="G12" s="74" t="s">
        <v>1772</v>
      </c>
      <c r="H12" s="86">
        <v>14733.0</v>
      </c>
      <c r="I12" s="18" t="s">
        <v>41</v>
      </c>
      <c r="J12" s="37"/>
      <c r="R12" s="62"/>
    </row>
    <row r="13" ht="15.75" customHeight="1">
      <c r="A13" s="11" t="s">
        <v>87</v>
      </c>
      <c r="B13" s="205" t="s">
        <v>2095</v>
      </c>
      <c r="C13" s="69" t="s">
        <v>1591</v>
      </c>
      <c r="D13" s="70">
        <v>0.6666666666666666</v>
      </c>
      <c r="E13" s="218"/>
      <c r="F13" s="146">
        <v>7.0840972495146E14</v>
      </c>
      <c r="G13" s="74" t="s">
        <v>2096</v>
      </c>
      <c r="H13" s="86">
        <v>23870.0</v>
      </c>
      <c r="I13" s="18" t="s">
        <v>41</v>
      </c>
      <c r="J13" s="37"/>
      <c r="K13" s="37"/>
      <c r="R13" s="62"/>
    </row>
    <row r="14" ht="15.75" customHeight="1">
      <c r="A14" s="11" t="s">
        <v>90</v>
      </c>
      <c r="B14" s="205" t="s">
        <v>2097</v>
      </c>
      <c r="C14" s="69" t="s">
        <v>1591</v>
      </c>
      <c r="D14" s="70">
        <v>0.6805555555555556</v>
      </c>
      <c r="E14" s="258"/>
      <c r="F14" s="127">
        <v>8.01440404251299E14</v>
      </c>
      <c r="G14" s="74" t="s">
        <v>2098</v>
      </c>
      <c r="H14" s="153">
        <v>22833.0</v>
      </c>
      <c r="I14" s="18" t="s">
        <v>41</v>
      </c>
      <c r="J14" s="37"/>
      <c r="K14" s="37"/>
      <c r="R14" s="62"/>
    </row>
    <row r="15" ht="15.75" customHeight="1">
      <c r="A15" s="11" t="s">
        <v>93</v>
      </c>
      <c r="B15" s="205" t="s">
        <v>2095</v>
      </c>
      <c r="C15" s="69" t="s">
        <v>1591</v>
      </c>
      <c r="D15" s="70">
        <v>0.6944444444444444</v>
      </c>
      <c r="E15" s="258"/>
      <c r="F15" s="127"/>
      <c r="G15" s="74"/>
      <c r="H15" s="153"/>
      <c r="I15" s="18" t="s">
        <v>180</v>
      </c>
      <c r="J15" s="37"/>
      <c r="K15" s="37"/>
      <c r="R15" s="62"/>
    </row>
    <row r="16" ht="15.75" customHeight="1">
      <c r="J16" s="62"/>
      <c r="K16" s="62"/>
      <c r="R16" s="62"/>
    </row>
    <row r="17" ht="15.75" customHeight="1">
      <c r="J17" s="62"/>
      <c r="K17" s="62"/>
      <c r="R17" s="62"/>
    </row>
    <row r="18" ht="15.0" customHeight="1"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33" t="s">
        <v>2099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5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1795</v>
      </c>
      <c r="C22" s="69" t="s">
        <v>1632</v>
      </c>
      <c r="D22" s="70">
        <v>0.5416666666666666</v>
      </c>
      <c r="E22" s="219" t="s">
        <v>2100</v>
      </c>
      <c r="F22" s="127">
        <v>8.01440488552201E14</v>
      </c>
      <c r="G22" s="74" t="s">
        <v>2101</v>
      </c>
      <c r="H22" s="153">
        <v>16659.0</v>
      </c>
      <c r="I22" s="18" t="s">
        <v>182</v>
      </c>
      <c r="J22" s="127" t="s">
        <v>2102</v>
      </c>
      <c r="K22" s="127" t="s">
        <v>2103</v>
      </c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1713</v>
      </c>
      <c r="C23" s="69" t="s">
        <v>1632</v>
      </c>
      <c r="D23" s="70">
        <v>0.5555555555555556</v>
      </c>
      <c r="E23" s="215" t="s">
        <v>2104</v>
      </c>
      <c r="F23" s="127">
        <v>7.0500182812605E14</v>
      </c>
      <c r="G23" s="74" t="s">
        <v>2105</v>
      </c>
      <c r="H23" s="153">
        <v>15600.0</v>
      </c>
      <c r="I23" s="18" t="s">
        <v>182</v>
      </c>
      <c r="J23" s="127" t="s">
        <v>2106</v>
      </c>
      <c r="K23" s="127" t="s">
        <v>2107</v>
      </c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1789</v>
      </c>
      <c r="C24" s="69" t="s">
        <v>1632</v>
      </c>
      <c r="D24" s="70">
        <v>0.5694444444444444</v>
      </c>
      <c r="E24" s="215" t="s">
        <v>2108</v>
      </c>
      <c r="F24" s="127">
        <v>8.98001407174632E14</v>
      </c>
      <c r="G24" s="74" t="s">
        <v>2109</v>
      </c>
      <c r="H24" s="153">
        <v>17424.0</v>
      </c>
      <c r="I24" s="18" t="s">
        <v>182</v>
      </c>
      <c r="J24" s="127" t="s">
        <v>2110</v>
      </c>
      <c r="K24" s="127" t="s">
        <v>2111</v>
      </c>
      <c r="L24" s="197" t="s">
        <v>520</v>
      </c>
      <c r="N24" s="240" t="s">
        <v>182</v>
      </c>
      <c r="O24" s="241" t="s">
        <v>194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1720</v>
      </c>
      <c r="C25" s="69" t="s">
        <v>1632</v>
      </c>
      <c r="D25" s="70">
        <v>0.5833333333333334</v>
      </c>
      <c r="E25" s="214" t="s">
        <v>2112</v>
      </c>
      <c r="F25" s="127">
        <v>7.02005872744987E14</v>
      </c>
      <c r="G25" s="74" t="s">
        <v>2113</v>
      </c>
      <c r="H25" s="153">
        <v>15853.0</v>
      </c>
      <c r="I25" s="18" t="s">
        <v>182</v>
      </c>
      <c r="J25" s="127" t="s">
        <v>2114</v>
      </c>
      <c r="K25" s="127" t="s">
        <v>2115</v>
      </c>
      <c r="L25" s="197" t="s">
        <v>520</v>
      </c>
      <c r="N25" s="244">
        <f t="shared" ref="N25:Q25" si="2">COUNTIFS($I$22:$I$33,N24)</f>
        <v>9</v>
      </c>
      <c r="O25" s="244">
        <f t="shared" si="2"/>
        <v>2</v>
      </c>
      <c r="P25" s="244">
        <f t="shared" si="2"/>
        <v>0</v>
      </c>
      <c r="Q25" s="244">
        <f t="shared" si="2"/>
        <v>1</v>
      </c>
      <c r="R25" s="62"/>
    </row>
    <row r="26" ht="18.0" customHeight="1">
      <c r="A26" s="11" t="s">
        <v>14</v>
      </c>
      <c r="B26" s="205" t="s">
        <v>1795</v>
      </c>
      <c r="C26" s="69" t="s">
        <v>1632</v>
      </c>
      <c r="D26" s="70">
        <v>0.5972222222222222</v>
      </c>
      <c r="E26" s="247" t="s">
        <v>2116</v>
      </c>
      <c r="F26" s="127">
        <v>7.09803035413992E14</v>
      </c>
      <c r="G26" s="74" t="s">
        <v>2117</v>
      </c>
      <c r="H26" s="153">
        <v>34084.0</v>
      </c>
      <c r="I26" s="18" t="s">
        <v>182</v>
      </c>
      <c r="J26" s="127" t="s">
        <v>2118</v>
      </c>
      <c r="K26" s="127"/>
      <c r="L26" s="197" t="s">
        <v>520</v>
      </c>
      <c r="R26" s="62"/>
    </row>
    <row r="27" ht="15.75" customHeight="1">
      <c r="A27" s="11" t="s">
        <v>15</v>
      </c>
      <c r="B27" s="205" t="s">
        <v>1789</v>
      </c>
      <c r="C27" s="69" t="s">
        <v>1632</v>
      </c>
      <c r="D27" s="70">
        <v>0.6111111111111112</v>
      </c>
      <c r="E27" s="247" t="s">
        <v>2119</v>
      </c>
      <c r="F27" s="127">
        <v>7.02908542909278E14</v>
      </c>
      <c r="G27" s="74" t="s">
        <v>2120</v>
      </c>
      <c r="H27" s="153">
        <v>21368.0</v>
      </c>
      <c r="I27" s="18" t="s">
        <v>182</v>
      </c>
      <c r="J27" s="127" t="s">
        <v>2121</v>
      </c>
      <c r="K27" s="127"/>
      <c r="L27" s="197" t="s">
        <v>520</v>
      </c>
      <c r="R27" s="62"/>
    </row>
    <row r="28" ht="15.75" customHeight="1">
      <c r="A28" s="11" t="s">
        <v>16</v>
      </c>
      <c r="B28" s="205" t="s">
        <v>1727</v>
      </c>
      <c r="C28" s="69" t="s">
        <v>1632</v>
      </c>
      <c r="D28" s="70">
        <v>0.625</v>
      </c>
      <c r="E28" s="258" t="s">
        <v>2122</v>
      </c>
      <c r="F28" s="127">
        <v>8.01440402550248E14</v>
      </c>
      <c r="G28" s="74" t="s">
        <v>2123</v>
      </c>
      <c r="H28" s="153">
        <v>17573.0</v>
      </c>
      <c r="I28" s="18" t="s">
        <v>182</v>
      </c>
      <c r="J28" s="127" t="s">
        <v>2124</v>
      </c>
      <c r="K28" s="127"/>
      <c r="L28" s="197" t="s">
        <v>520</v>
      </c>
      <c r="R28" s="62"/>
    </row>
    <row r="29" ht="15.75" customHeight="1">
      <c r="A29" s="11" t="s">
        <v>17</v>
      </c>
      <c r="B29" s="205" t="s">
        <v>1737</v>
      </c>
      <c r="C29" s="69" t="s">
        <v>1632</v>
      </c>
      <c r="D29" s="70">
        <v>0.6388888888888888</v>
      </c>
      <c r="E29" s="215" t="s">
        <v>2125</v>
      </c>
      <c r="F29" s="127">
        <v>7.09606640099279E14</v>
      </c>
      <c r="G29" s="74" t="s">
        <v>2126</v>
      </c>
      <c r="H29" s="153">
        <v>23462.0</v>
      </c>
      <c r="I29" s="18" t="s">
        <v>194</v>
      </c>
      <c r="J29" s="127" t="s">
        <v>2127</v>
      </c>
      <c r="K29" s="127"/>
      <c r="L29" s="197" t="s">
        <v>520</v>
      </c>
      <c r="R29" s="62"/>
    </row>
    <row r="30" ht="15.75" customHeight="1">
      <c r="A30" s="11" t="s">
        <v>85</v>
      </c>
      <c r="B30" s="205" t="s">
        <v>1717</v>
      </c>
      <c r="C30" s="69" t="s">
        <v>1632</v>
      </c>
      <c r="D30" s="70">
        <v>0.6527777777777778</v>
      </c>
      <c r="E30" s="258" t="s">
        <v>2128</v>
      </c>
      <c r="F30" s="127">
        <v>7.02806189422067E14</v>
      </c>
      <c r="G30" s="74" t="s">
        <v>2129</v>
      </c>
      <c r="H30" s="153">
        <v>29680.0</v>
      </c>
      <c r="I30" s="18" t="s">
        <v>194</v>
      </c>
      <c r="J30" s="127" t="s">
        <v>2130</v>
      </c>
      <c r="K30" s="127" t="s">
        <v>2131</v>
      </c>
      <c r="L30" s="197" t="s">
        <v>520</v>
      </c>
      <c r="R30" s="62"/>
    </row>
    <row r="31" ht="15.75" customHeight="1">
      <c r="A31" s="11" t="s">
        <v>87</v>
      </c>
      <c r="B31" s="205" t="s">
        <v>1734</v>
      </c>
      <c r="C31" s="69" t="s">
        <v>1632</v>
      </c>
      <c r="D31" s="70">
        <v>0.6666666666666666</v>
      </c>
      <c r="E31" s="218" t="s">
        <v>2132</v>
      </c>
      <c r="F31" s="127">
        <v>7.00802478697782E14</v>
      </c>
      <c r="G31" s="74" t="s">
        <v>2133</v>
      </c>
      <c r="H31" s="153">
        <v>19642.0</v>
      </c>
      <c r="I31" s="18" t="s">
        <v>182</v>
      </c>
      <c r="J31" s="127" t="s">
        <v>2134</v>
      </c>
      <c r="K31" s="127"/>
      <c r="L31" s="197" t="s">
        <v>520</v>
      </c>
      <c r="R31" s="62"/>
    </row>
    <row r="32" ht="15.75" customHeight="1">
      <c r="A32" s="11" t="s">
        <v>90</v>
      </c>
      <c r="B32" s="205" t="s">
        <v>1717</v>
      </c>
      <c r="C32" s="69" t="s">
        <v>1632</v>
      </c>
      <c r="D32" s="70">
        <v>0.6805555555555556</v>
      </c>
      <c r="E32" s="258" t="s">
        <v>2135</v>
      </c>
      <c r="F32" s="127">
        <v>7.00001175627407E14</v>
      </c>
      <c r="G32" s="74" t="s">
        <v>2136</v>
      </c>
      <c r="H32" s="153">
        <v>24140.0</v>
      </c>
      <c r="I32" s="18" t="s">
        <v>182</v>
      </c>
      <c r="J32" s="127" t="s">
        <v>2137</v>
      </c>
      <c r="K32" s="127" t="s">
        <v>2138</v>
      </c>
      <c r="L32" s="197" t="s">
        <v>520</v>
      </c>
      <c r="R32" s="62"/>
    </row>
    <row r="33" ht="15.75" customHeight="1">
      <c r="A33" s="11" t="s">
        <v>93</v>
      </c>
      <c r="B33" s="205" t="s">
        <v>1734</v>
      </c>
      <c r="C33" s="69" t="s">
        <v>1632</v>
      </c>
      <c r="D33" s="70">
        <v>0.6944444444444444</v>
      </c>
      <c r="E33" s="258" t="s">
        <v>1812</v>
      </c>
      <c r="F33" s="127">
        <v>7.08004360910029E14</v>
      </c>
      <c r="G33" s="74" t="s">
        <v>1813</v>
      </c>
      <c r="H33" s="153">
        <v>19526.0</v>
      </c>
      <c r="I33" s="18" t="s">
        <v>2087</v>
      </c>
      <c r="J33" s="127" t="s">
        <v>2139</v>
      </c>
      <c r="K33" s="127" t="s">
        <v>1811</v>
      </c>
      <c r="R33" s="62"/>
    </row>
    <row r="34" ht="15.75" customHeight="1">
      <c r="J34" s="62"/>
      <c r="K34" s="62"/>
      <c r="R34" s="62"/>
    </row>
    <row r="35" ht="15.75" customHeight="1">
      <c r="J35" s="62"/>
      <c r="K35" s="62"/>
      <c r="R35" s="62"/>
    </row>
    <row r="36" ht="15.75" customHeight="1">
      <c r="A36" s="20" t="s">
        <v>18</v>
      </c>
      <c r="B36" s="2"/>
      <c r="C36" s="2"/>
      <c r="D36" s="2"/>
      <c r="E36" s="2"/>
      <c r="F36" s="2"/>
      <c r="G36" s="2"/>
      <c r="H36" s="2"/>
      <c r="I36" s="2"/>
      <c r="J36" s="2"/>
      <c r="K36" s="3"/>
      <c r="R36" s="62"/>
    </row>
    <row r="37" ht="24.75" customHeight="1">
      <c r="A37" s="233" t="s">
        <v>2140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2"/>
      <c r="B38" s="23" t="s">
        <v>3</v>
      </c>
      <c r="C38" s="24" t="s">
        <v>2</v>
      </c>
      <c r="D38" s="25" t="s">
        <v>5</v>
      </c>
      <c r="E38" s="25" t="s">
        <v>19</v>
      </c>
      <c r="F38" s="25" t="s">
        <v>6</v>
      </c>
      <c r="G38" s="234" t="s">
        <v>7</v>
      </c>
      <c r="H38" s="27" t="s">
        <v>8</v>
      </c>
      <c r="I38" s="28" t="s">
        <v>20</v>
      </c>
      <c r="J38" s="25" t="s">
        <v>21</v>
      </c>
      <c r="K38" s="25" t="s">
        <v>22</v>
      </c>
      <c r="R38" s="62"/>
    </row>
    <row r="39" ht="15.75" customHeight="1">
      <c r="A39" s="11" t="s">
        <v>10</v>
      </c>
      <c r="B39" s="205" t="s">
        <v>2081</v>
      </c>
      <c r="C39" s="69" t="s">
        <v>1591</v>
      </c>
      <c r="D39" s="70">
        <v>0.5416666666666666</v>
      </c>
      <c r="E39" s="214" t="s">
        <v>2141</v>
      </c>
      <c r="F39" s="79">
        <v>7.08403214372463E14</v>
      </c>
      <c r="G39" s="74" t="s">
        <v>2142</v>
      </c>
      <c r="H39" s="274">
        <v>20851.0</v>
      </c>
      <c r="I39" s="30" t="s">
        <v>182</v>
      </c>
      <c r="J39" s="274"/>
      <c r="K39" s="274"/>
      <c r="L39" s="197" t="s">
        <v>520</v>
      </c>
      <c r="N39" s="237" t="s">
        <v>386</v>
      </c>
      <c r="O39" s="95"/>
      <c r="P39" s="95"/>
      <c r="Q39" s="95"/>
      <c r="R39" s="62"/>
    </row>
    <row r="40" ht="15.75" customHeight="1">
      <c r="A40" s="11" t="s">
        <v>11</v>
      </c>
      <c r="B40" s="205" t="s">
        <v>2083</v>
      </c>
      <c r="C40" s="69" t="s">
        <v>1591</v>
      </c>
      <c r="D40" s="70">
        <v>0.5555555555555556</v>
      </c>
      <c r="E40" s="214" t="s">
        <v>2143</v>
      </c>
      <c r="F40" s="79">
        <v>7.00006750436603E14</v>
      </c>
      <c r="G40" s="74" t="s">
        <v>2144</v>
      </c>
      <c r="H40" s="274"/>
      <c r="I40" s="30" t="s">
        <v>182</v>
      </c>
      <c r="J40" s="274"/>
      <c r="K40" s="274"/>
      <c r="N40" s="239" t="s">
        <v>2085</v>
      </c>
      <c r="O40" s="2"/>
      <c r="P40" s="2"/>
      <c r="Q40" s="2"/>
      <c r="R40" s="62"/>
    </row>
    <row r="41" ht="15.75" customHeight="1">
      <c r="A41" s="11" t="s">
        <v>12</v>
      </c>
      <c r="B41" s="205" t="s">
        <v>2086</v>
      </c>
      <c r="C41" s="69" t="s">
        <v>1591</v>
      </c>
      <c r="D41" s="70">
        <v>0.5694444444444444</v>
      </c>
      <c r="E41" s="214" t="s">
        <v>2145</v>
      </c>
      <c r="F41" s="79">
        <v>7.0480753619764E14</v>
      </c>
      <c r="G41" s="74" t="s">
        <v>2146</v>
      </c>
      <c r="H41" s="274">
        <v>21795.0</v>
      </c>
      <c r="I41" s="30" t="s">
        <v>182</v>
      </c>
      <c r="J41" s="336" t="s">
        <v>2147</v>
      </c>
      <c r="K41" s="336" t="s">
        <v>2148</v>
      </c>
      <c r="L41" s="197" t="s">
        <v>520</v>
      </c>
      <c r="N41" s="240" t="s">
        <v>182</v>
      </c>
      <c r="O41" s="241" t="s">
        <v>194</v>
      </c>
      <c r="P41" s="241" t="s">
        <v>180</v>
      </c>
      <c r="Q41" s="242" t="s">
        <v>2087</v>
      </c>
      <c r="R41" s="62" t="s">
        <v>438</v>
      </c>
    </row>
    <row r="42" ht="15.75" customHeight="1">
      <c r="A42" s="11" t="s">
        <v>13</v>
      </c>
      <c r="B42" s="205" t="s">
        <v>2088</v>
      </c>
      <c r="C42" s="69" t="s">
        <v>1591</v>
      </c>
      <c r="D42" s="70">
        <v>0.5833333333333334</v>
      </c>
      <c r="E42" s="214" t="s">
        <v>2149</v>
      </c>
      <c r="F42" s="79">
        <v>7.0600880996984E14</v>
      </c>
      <c r="G42" s="74" t="s">
        <v>2150</v>
      </c>
      <c r="H42" s="274"/>
      <c r="I42" s="30" t="s">
        <v>182</v>
      </c>
      <c r="J42" s="274"/>
      <c r="K42" s="274"/>
      <c r="L42" s="197" t="s">
        <v>520</v>
      </c>
      <c r="N42" s="244">
        <f t="shared" ref="N42:Q42" si="3">COUNTIFS($I$39:$I$50,N41)</f>
        <v>7</v>
      </c>
      <c r="O42" s="244">
        <f t="shared" si="3"/>
        <v>0</v>
      </c>
      <c r="P42" s="244">
        <f t="shared" si="3"/>
        <v>4</v>
      </c>
      <c r="Q42" s="244">
        <f t="shared" si="3"/>
        <v>1</v>
      </c>
      <c r="R42" s="62">
        <f>COUNTIFS(I39:I50,R41)</f>
        <v>0</v>
      </c>
    </row>
    <row r="43" ht="15.75" customHeight="1">
      <c r="A43" s="11" t="s">
        <v>14</v>
      </c>
      <c r="B43" s="205" t="s">
        <v>2081</v>
      </c>
      <c r="C43" s="69" t="s">
        <v>1591</v>
      </c>
      <c r="D43" s="70">
        <v>0.5972222222222222</v>
      </c>
      <c r="E43" s="214" t="s">
        <v>2151</v>
      </c>
      <c r="F43" s="79">
        <v>7.02600296478542E14</v>
      </c>
      <c r="G43" s="74" t="s">
        <v>2152</v>
      </c>
      <c r="H43" s="274"/>
      <c r="I43" s="18" t="s">
        <v>2087</v>
      </c>
      <c r="J43" s="274"/>
      <c r="K43" s="274"/>
      <c r="L43" s="197" t="s">
        <v>520</v>
      </c>
      <c r="R43" s="62"/>
    </row>
    <row r="44" ht="15.75" customHeight="1">
      <c r="A44" s="11" t="s">
        <v>15</v>
      </c>
      <c r="B44" s="205" t="s">
        <v>2088</v>
      </c>
      <c r="C44" s="69" t="s">
        <v>1591</v>
      </c>
      <c r="D44" s="70">
        <v>0.6111111111111112</v>
      </c>
      <c r="E44" s="214" t="s">
        <v>2153</v>
      </c>
      <c r="F44" s="79">
        <v>7.00002287262002E14</v>
      </c>
      <c r="G44" s="74" t="s">
        <v>2154</v>
      </c>
      <c r="H44" s="336" t="s">
        <v>2155</v>
      </c>
      <c r="I44" s="30" t="s">
        <v>182</v>
      </c>
      <c r="J44" s="274"/>
      <c r="K44" s="274"/>
      <c r="L44" s="197" t="s">
        <v>520</v>
      </c>
      <c r="R44" s="62"/>
    </row>
    <row r="45" ht="15.75" customHeight="1">
      <c r="A45" s="11" t="s">
        <v>16</v>
      </c>
      <c r="B45" s="205" t="s">
        <v>2092</v>
      </c>
      <c r="C45" s="69" t="s">
        <v>1591</v>
      </c>
      <c r="D45" s="70">
        <v>0.625</v>
      </c>
      <c r="E45" s="214"/>
      <c r="F45" s="79"/>
      <c r="H45" s="274"/>
      <c r="I45" s="18" t="s">
        <v>180</v>
      </c>
      <c r="J45" s="274"/>
      <c r="K45" s="274"/>
      <c r="R45" s="62"/>
    </row>
    <row r="46" ht="15.75" customHeight="1">
      <c r="A46" s="11" t="s">
        <v>17</v>
      </c>
      <c r="B46" s="205" t="s">
        <v>2093</v>
      </c>
      <c r="C46" s="69" t="s">
        <v>1591</v>
      </c>
      <c r="D46" s="70">
        <v>0.6388888888888888</v>
      </c>
      <c r="E46" s="214"/>
      <c r="F46" s="79"/>
      <c r="G46" s="74" t="s">
        <v>2156</v>
      </c>
      <c r="H46" s="274"/>
      <c r="I46" s="18" t="s">
        <v>182</v>
      </c>
      <c r="J46" s="274"/>
      <c r="K46" s="336"/>
      <c r="R46" s="62"/>
    </row>
    <row r="47" ht="15.75" customHeight="1">
      <c r="A47" s="11" t="s">
        <v>85</v>
      </c>
      <c r="B47" s="205" t="s">
        <v>2094</v>
      </c>
      <c r="C47" s="69" t="s">
        <v>1591</v>
      </c>
      <c r="D47" s="70">
        <v>0.6527777777777778</v>
      </c>
      <c r="E47" s="214" t="s">
        <v>2157</v>
      </c>
      <c r="F47" s="79">
        <v>7.0860752858488E14</v>
      </c>
      <c r="G47" s="74" t="s">
        <v>2158</v>
      </c>
      <c r="H47" s="274"/>
      <c r="I47" s="30" t="s">
        <v>182</v>
      </c>
      <c r="J47" s="274"/>
      <c r="K47" s="274"/>
      <c r="L47" s="197" t="s">
        <v>576</v>
      </c>
      <c r="R47" s="62"/>
    </row>
    <row r="48" ht="15.75" customHeight="1">
      <c r="A48" s="11" t="s">
        <v>87</v>
      </c>
      <c r="B48" s="205" t="s">
        <v>2095</v>
      </c>
      <c r="C48" s="69" t="s">
        <v>1591</v>
      </c>
      <c r="D48" s="70">
        <v>0.6666666666666666</v>
      </c>
      <c r="E48" s="214"/>
      <c r="F48" s="79"/>
      <c r="G48" s="74"/>
      <c r="H48" s="274"/>
      <c r="I48" s="18" t="s">
        <v>180</v>
      </c>
      <c r="J48" s="274"/>
      <c r="K48" s="274"/>
      <c r="R48" s="62"/>
    </row>
    <row r="49" ht="15.75" customHeight="1">
      <c r="A49" s="11" t="s">
        <v>90</v>
      </c>
      <c r="B49" s="205" t="s">
        <v>2097</v>
      </c>
      <c r="C49" s="69" t="s">
        <v>1591</v>
      </c>
      <c r="D49" s="70">
        <v>0.6805555555555556</v>
      </c>
      <c r="E49" s="214"/>
      <c r="F49" s="79"/>
      <c r="G49" s="74"/>
      <c r="H49" s="274"/>
      <c r="I49" s="18" t="s">
        <v>180</v>
      </c>
      <c r="J49" s="274"/>
      <c r="K49" s="274"/>
      <c r="R49" s="62"/>
    </row>
    <row r="50" ht="15.75" customHeight="1">
      <c r="A50" s="11" t="s">
        <v>93</v>
      </c>
      <c r="B50" s="205" t="s">
        <v>2095</v>
      </c>
      <c r="C50" s="69" t="s">
        <v>1591</v>
      </c>
      <c r="D50" s="70">
        <v>0.6944444444444444</v>
      </c>
      <c r="E50" s="214"/>
      <c r="F50" s="79"/>
      <c r="G50" s="74"/>
      <c r="H50" s="274"/>
      <c r="I50" s="18" t="s">
        <v>180</v>
      </c>
      <c r="J50" s="274"/>
      <c r="K50" s="274"/>
      <c r="R50" s="62"/>
    </row>
    <row r="51" ht="15.75" customHeight="1">
      <c r="J51" s="62"/>
      <c r="K51" s="62"/>
      <c r="R51" s="62"/>
    </row>
    <row r="52" ht="15.75" customHeight="1">
      <c r="J52" s="62"/>
      <c r="K52" s="62"/>
      <c r="R52" s="62"/>
    </row>
    <row r="53" ht="15.75" customHeight="1">
      <c r="J53" s="62"/>
      <c r="K53" s="62"/>
      <c r="R53" s="62"/>
    </row>
    <row r="54" ht="15.75" customHeight="1">
      <c r="A54" s="20" t="s">
        <v>18</v>
      </c>
      <c r="B54" s="2"/>
      <c r="C54" s="2"/>
      <c r="D54" s="2"/>
      <c r="E54" s="2"/>
      <c r="F54" s="2"/>
      <c r="G54" s="2"/>
      <c r="H54" s="2"/>
      <c r="I54" s="2"/>
      <c r="J54" s="2"/>
      <c r="K54" s="3"/>
      <c r="R54" s="62"/>
    </row>
    <row r="55" ht="15.75" customHeight="1">
      <c r="A55" s="233" t="s">
        <v>2159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2"/>
      <c r="B56" s="23" t="s">
        <v>3</v>
      </c>
      <c r="C56" s="24" t="s">
        <v>2</v>
      </c>
      <c r="D56" s="25" t="s">
        <v>5</v>
      </c>
      <c r="E56" s="25" t="s">
        <v>19</v>
      </c>
      <c r="F56" s="25" t="s">
        <v>6</v>
      </c>
      <c r="G56" s="234" t="s">
        <v>7</v>
      </c>
      <c r="H56" s="27" t="s">
        <v>8</v>
      </c>
      <c r="I56" s="28" t="s">
        <v>20</v>
      </c>
      <c r="J56" s="25" t="s">
        <v>21</v>
      </c>
      <c r="K56" s="25" t="s">
        <v>22</v>
      </c>
      <c r="R56" s="62"/>
    </row>
    <row r="57" ht="15.75" customHeight="1">
      <c r="A57" s="11" t="s">
        <v>10</v>
      </c>
      <c r="B57" s="205" t="s">
        <v>1780</v>
      </c>
      <c r="C57" s="69" t="s">
        <v>1313</v>
      </c>
      <c r="D57" s="70">
        <v>0.5416666666666666</v>
      </c>
      <c r="E57" s="214" t="s">
        <v>2160</v>
      </c>
      <c r="F57" s="206">
        <v>7.0610005531906E14</v>
      </c>
      <c r="G57" s="148" t="s">
        <v>2161</v>
      </c>
      <c r="H57" s="150">
        <v>17963.0</v>
      </c>
      <c r="I57" s="18" t="s">
        <v>182</v>
      </c>
      <c r="J57" s="212" t="s">
        <v>2162</v>
      </c>
      <c r="K57" s="212" t="s">
        <v>2163</v>
      </c>
      <c r="L57" s="197" t="s">
        <v>520</v>
      </c>
      <c r="N57" s="237" t="s">
        <v>386</v>
      </c>
      <c r="O57" s="95"/>
      <c r="P57" s="95"/>
      <c r="Q57" s="95"/>
      <c r="R57" s="62"/>
    </row>
    <row r="58" ht="15.75" customHeight="1">
      <c r="A58" s="11" t="s">
        <v>11</v>
      </c>
      <c r="B58" s="205" t="s">
        <v>1713</v>
      </c>
      <c r="C58" s="69" t="s">
        <v>1313</v>
      </c>
      <c r="D58" s="70">
        <v>0.5555555555555556</v>
      </c>
      <c r="E58" s="214" t="s">
        <v>2164</v>
      </c>
      <c r="F58" s="387" t="s">
        <v>2165</v>
      </c>
      <c r="G58" s="148" t="s">
        <v>2166</v>
      </c>
      <c r="H58" s="150">
        <v>19047.0</v>
      </c>
      <c r="I58" s="18" t="s">
        <v>182</v>
      </c>
      <c r="J58" s="212" t="s">
        <v>2167</v>
      </c>
      <c r="K58" s="212" t="s">
        <v>2168</v>
      </c>
      <c r="N58" s="239" t="s">
        <v>2085</v>
      </c>
      <c r="O58" s="2"/>
      <c r="P58" s="2"/>
      <c r="Q58" s="2"/>
      <c r="R58" s="62"/>
    </row>
    <row r="59" ht="15.75" customHeight="1">
      <c r="A59" s="11" t="s">
        <v>12</v>
      </c>
      <c r="B59" s="205" t="s">
        <v>1789</v>
      </c>
      <c r="C59" s="69" t="s">
        <v>1313</v>
      </c>
      <c r="D59" s="70">
        <v>0.5694444444444444</v>
      </c>
      <c r="E59" s="214" t="s">
        <v>2169</v>
      </c>
      <c r="F59" s="206">
        <v>7.04000342251667E14</v>
      </c>
      <c r="G59" s="148" t="s">
        <v>2170</v>
      </c>
      <c r="H59" s="150">
        <v>20927.0</v>
      </c>
      <c r="I59" s="18" t="s">
        <v>182</v>
      </c>
      <c r="J59" s="212" t="s">
        <v>2171</v>
      </c>
      <c r="K59" s="212" t="s">
        <v>2172</v>
      </c>
      <c r="L59" s="197" t="s">
        <v>520</v>
      </c>
      <c r="N59" s="240" t="s">
        <v>182</v>
      </c>
      <c r="O59" s="241" t="s">
        <v>194</v>
      </c>
      <c r="P59" s="241" t="s">
        <v>180</v>
      </c>
      <c r="Q59" s="241" t="s">
        <v>2087</v>
      </c>
      <c r="R59" s="62"/>
    </row>
    <row r="60" ht="15.75" customHeight="1">
      <c r="A60" s="11" t="s">
        <v>13</v>
      </c>
      <c r="B60" s="205" t="s">
        <v>1720</v>
      </c>
      <c r="C60" s="69" t="s">
        <v>1313</v>
      </c>
      <c r="D60" s="70">
        <v>0.5833333333333334</v>
      </c>
      <c r="E60" s="214" t="s">
        <v>2173</v>
      </c>
      <c r="F60" s="206">
        <v>7.00604913226869E14</v>
      </c>
      <c r="G60" s="148" t="s">
        <v>2174</v>
      </c>
      <c r="H60" s="150">
        <v>17109.0</v>
      </c>
      <c r="I60" s="18" t="s">
        <v>2087</v>
      </c>
      <c r="J60" s="212" t="s">
        <v>2175</v>
      </c>
      <c r="K60" s="212"/>
      <c r="L60" s="197" t="s">
        <v>520</v>
      </c>
      <c r="N60" s="244">
        <f t="shared" ref="N60:Q60" si="4">COUNTIFS($I$57:$I$68,N59)</f>
        <v>9</v>
      </c>
      <c r="O60" s="244">
        <f t="shared" si="4"/>
        <v>0</v>
      </c>
      <c r="P60" s="244">
        <f t="shared" si="4"/>
        <v>0</v>
      </c>
      <c r="Q60" s="244">
        <f t="shared" si="4"/>
        <v>3</v>
      </c>
      <c r="R60" s="62"/>
    </row>
    <row r="61" ht="15.75" customHeight="1">
      <c r="A61" s="11" t="s">
        <v>14</v>
      </c>
      <c r="B61" s="205" t="s">
        <v>1795</v>
      </c>
      <c r="C61" s="69" t="s">
        <v>1313</v>
      </c>
      <c r="D61" s="70">
        <v>0.5972222222222222</v>
      </c>
      <c r="E61" s="214" t="s">
        <v>2176</v>
      </c>
      <c r="F61" s="206">
        <v>7.06201085190163E14</v>
      </c>
      <c r="G61" s="148" t="s">
        <v>2177</v>
      </c>
      <c r="H61" s="150">
        <v>35531.0</v>
      </c>
      <c r="I61" s="18" t="s">
        <v>2087</v>
      </c>
      <c r="J61" s="212" t="s">
        <v>2178</v>
      </c>
      <c r="K61" s="212"/>
      <c r="R61" s="62"/>
    </row>
    <row r="62" ht="15.75" customHeight="1">
      <c r="A62" s="11" t="s">
        <v>15</v>
      </c>
      <c r="B62" s="205" t="s">
        <v>1789</v>
      </c>
      <c r="C62" s="69" t="s">
        <v>1313</v>
      </c>
      <c r="D62" s="70">
        <v>0.6111111111111112</v>
      </c>
      <c r="E62" s="214" t="s">
        <v>2179</v>
      </c>
      <c r="F62" s="387" t="s">
        <v>2180</v>
      </c>
      <c r="G62" s="148" t="s">
        <v>2181</v>
      </c>
      <c r="H62" s="150">
        <v>16907.0</v>
      </c>
      <c r="I62" s="18" t="s">
        <v>182</v>
      </c>
      <c r="J62" s="212" t="s">
        <v>2182</v>
      </c>
      <c r="K62" s="212" t="s">
        <v>2183</v>
      </c>
      <c r="L62" s="197" t="s">
        <v>520</v>
      </c>
      <c r="R62" s="62"/>
    </row>
    <row r="63" ht="15.75" customHeight="1">
      <c r="A63" s="11" t="s">
        <v>16</v>
      </c>
      <c r="B63" s="205" t="s">
        <v>1727</v>
      </c>
      <c r="C63" s="69" t="s">
        <v>1313</v>
      </c>
      <c r="D63" s="70">
        <v>0.625</v>
      </c>
      <c r="E63" s="214" t="s">
        <v>2184</v>
      </c>
      <c r="F63" s="206">
        <v>8.98000060657733E14</v>
      </c>
      <c r="G63" s="148" t="s">
        <v>2185</v>
      </c>
      <c r="H63" s="150">
        <v>20708.0</v>
      </c>
      <c r="I63" s="18" t="s">
        <v>182</v>
      </c>
      <c r="J63" s="212" t="s">
        <v>2186</v>
      </c>
      <c r="K63" s="212"/>
      <c r="L63" s="197" t="s">
        <v>520</v>
      </c>
      <c r="R63" s="62"/>
    </row>
    <row r="64" ht="15.75" customHeight="1">
      <c r="A64" s="11" t="s">
        <v>17</v>
      </c>
      <c r="B64" s="205" t="s">
        <v>1737</v>
      </c>
      <c r="C64" s="69" t="s">
        <v>1313</v>
      </c>
      <c r="D64" s="70">
        <v>0.6388888888888888</v>
      </c>
      <c r="E64" s="214" t="s">
        <v>2187</v>
      </c>
      <c r="F64" s="206">
        <v>7.00007074556704E14</v>
      </c>
      <c r="G64" s="148" t="s">
        <v>2188</v>
      </c>
      <c r="H64" s="150">
        <v>22042.0</v>
      </c>
      <c r="I64" s="18" t="s">
        <v>182</v>
      </c>
      <c r="J64" s="212" t="s">
        <v>2189</v>
      </c>
      <c r="K64" s="212" t="s">
        <v>2190</v>
      </c>
      <c r="L64" s="197" t="s">
        <v>520</v>
      </c>
      <c r="R64" s="62"/>
    </row>
    <row r="65" ht="15.75" customHeight="1">
      <c r="A65" s="11" t="s">
        <v>85</v>
      </c>
      <c r="B65" s="205" t="s">
        <v>1717</v>
      </c>
      <c r="C65" s="69" t="s">
        <v>1313</v>
      </c>
      <c r="D65" s="70">
        <v>0.6527777777777778</v>
      </c>
      <c r="E65" s="214" t="s">
        <v>2128</v>
      </c>
      <c r="F65" s="206">
        <v>7.02806189422067E14</v>
      </c>
      <c r="G65" s="148" t="s">
        <v>2129</v>
      </c>
      <c r="H65" s="150">
        <v>29680.0</v>
      </c>
      <c r="I65" s="18" t="s">
        <v>2087</v>
      </c>
      <c r="J65" s="212" t="s">
        <v>2130</v>
      </c>
      <c r="K65" s="212" t="s">
        <v>2131</v>
      </c>
      <c r="R65" s="62"/>
    </row>
    <row r="66" ht="15.75" customHeight="1">
      <c r="A66" s="11" t="s">
        <v>87</v>
      </c>
      <c r="B66" s="205" t="s">
        <v>1734</v>
      </c>
      <c r="C66" s="69" t="s">
        <v>1313</v>
      </c>
      <c r="D66" s="70">
        <v>0.6666666666666666</v>
      </c>
      <c r="E66" s="214" t="s">
        <v>2191</v>
      </c>
      <c r="F66" s="206">
        <v>7.08003310064522E14</v>
      </c>
      <c r="G66" s="148" t="s">
        <v>2192</v>
      </c>
      <c r="H66" s="150">
        <v>22462.0</v>
      </c>
      <c r="I66" s="18" t="s">
        <v>182</v>
      </c>
      <c r="J66" s="212" t="s">
        <v>2193</v>
      </c>
      <c r="K66" s="212"/>
      <c r="L66" s="197" t="s">
        <v>520</v>
      </c>
      <c r="R66" s="62"/>
    </row>
    <row r="67" ht="15.75" customHeight="1">
      <c r="A67" s="11" t="s">
        <v>90</v>
      </c>
      <c r="B67" s="205" t="s">
        <v>1717</v>
      </c>
      <c r="C67" s="69" t="s">
        <v>1313</v>
      </c>
      <c r="D67" s="70">
        <v>0.6805555555555556</v>
      </c>
      <c r="E67" s="214" t="s">
        <v>2194</v>
      </c>
      <c r="F67" s="206">
        <v>7.06207069344769E14</v>
      </c>
      <c r="G67" s="148" t="s">
        <v>2195</v>
      </c>
      <c r="H67" s="150">
        <v>22441.0</v>
      </c>
      <c r="I67" s="18" t="s">
        <v>182</v>
      </c>
      <c r="J67" s="212" t="s">
        <v>2196</v>
      </c>
      <c r="K67" s="212"/>
      <c r="R67" s="62"/>
    </row>
    <row r="68" ht="15.75" customHeight="1">
      <c r="A68" s="11" t="s">
        <v>93</v>
      </c>
      <c r="B68" s="205" t="s">
        <v>1734</v>
      </c>
      <c r="C68" s="69" t="s">
        <v>1313</v>
      </c>
      <c r="D68" s="70">
        <v>0.6944444444444444</v>
      </c>
      <c r="E68" s="214" t="s">
        <v>1812</v>
      </c>
      <c r="F68" s="206">
        <v>7.08004360910029E14</v>
      </c>
      <c r="G68" s="148" t="s">
        <v>1813</v>
      </c>
      <c r="H68" s="150">
        <v>19526.0</v>
      </c>
      <c r="I68" s="18" t="s">
        <v>182</v>
      </c>
      <c r="J68" s="212" t="s">
        <v>2139</v>
      </c>
      <c r="K68" s="212" t="s">
        <v>2197</v>
      </c>
      <c r="R68" s="62"/>
    </row>
    <row r="69" ht="15.75" customHeight="1">
      <c r="G69" s="197"/>
      <c r="J69" s="62"/>
      <c r="K69" s="62"/>
      <c r="R69" s="62"/>
    </row>
    <row r="70" ht="15.75" customHeight="1">
      <c r="J70" s="62"/>
      <c r="K70" s="62"/>
      <c r="R70" s="62"/>
    </row>
    <row r="71" ht="15.75" customHeight="1">
      <c r="J71" s="62"/>
      <c r="K71" s="62"/>
      <c r="R71" s="62"/>
    </row>
    <row r="72" ht="15.75" customHeight="1">
      <c r="A72" s="350" t="s">
        <v>18</v>
      </c>
      <c r="B72" s="2"/>
      <c r="C72" s="2"/>
      <c r="D72" s="2"/>
      <c r="E72" s="2"/>
      <c r="F72" s="2"/>
      <c r="G72" s="2"/>
      <c r="H72" s="2"/>
      <c r="I72" s="2"/>
      <c r="J72" s="2"/>
      <c r="K72" s="3"/>
      <c r="R72" s="62"/>
    </row>
    <row r="73" ht="15.75" customHeight="1">
      <c r="A73" s="409" t="s">
        <v>2198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410"/>
      <c r="B74" s="411" t="s">
        <v>3</v>
      </c>
      <c r="C74" s="412" t="s">
        <v>2</v>
      </c>
      <c r="D74" s="413" t="s">
        <v>5</v>
      </c>
      <c r="E74" s="413" t="s">
        <v>19</v>
      </c>
      <c r="F74" s="413" t="s">
        <v>6</v>
      </c>
      <c r="G74" s="414" t="s">
        <v>7</v>
      </c>
      <c r="H74" s="415" t="s">
        <v>8</v>
      </c>
      <c r="I74" s="416" t="s">
        <v>20</v>
      </c>
      <c r="J74" s="413" t="s">
        <v>21</v>
      </c>
      <c r="K74" s="413" t="s">
        <v>22</v>
      </c>
      <c r="R74" s="62"/>
    </row>
    <row r="75" ht="15.75" customHeight="1">
      <c r="A75" s="417" t="s">
        <v>10</v>
      </c>
      <c r="B75" s="205" t="s">
        <v>1780</v>
      </c>
      <c r="C75" s="206" t="s">
        <v>1591</v>
      </c>
      <c r="D75" s="264">
        <v>0.5416666666666666</v>
      </c>
      <c r="E75" s="418" t="s">
        <v>2199</v>
      </c>
      <c r="F75" s="127">
        <v>7.08203632846241E14</v>
      </c>
      <c r="G75" s="186" t="s">
        <v>2200</v>
      </c>
      <c r="H75" s="153">
        <v>21476.0</v>
      </c>
      <c r="I75" s="29" t="s">
        <v>41</v>
      </c>
      <c r="J75" s="289"/>
      <c r="K75" s="289"/>
      <c r="N75" s="237" t="s">
        <v>386</v>
      </c>
      <c r="O75" s="95"/>
      <c r="P75" s="95"/>
      <c r="Q75" s="95"/>
      <c r="R75" s="62"/>
    </row>
    <row r="76" ht="15.75" customHeight="1">
      <c r="A76" s="417" t="s">
        <v>11</v>
      </c>
      <c r="B76" s="205" t="s">
        <v>1713</v>
      </c>
      <c r="C76" s="206" t="s">
        <v>1591</v>
      </c>
      <c r="D76" s="264">
        <v>0.5555555555555556</v>
      </c>
      <c r="E76" s="419" t="s">
        <v>2201</v>
      </c>
      <c r="F76" s="127">
        <v>7.04200277430785E14</v>
      </c>
      <c r="G76" s="186" t="s">
        <v>2202</v>
      </c>
      <c r="H76" s="153">
        <v>23438.0</v>
      </c>
      <c r="I76" s="29" t="s">
        <v>41</v>
      </c>
      <c r="J76" s="289"/>
      <c r="K76" s="289"/>
      <c r="N76" s="239" t="s">
        <v>2085</v>
      </c>
      <c r="O76" s="2"/>
      <c r="P76" s="2"/>
      <c r="Q76" s="2"/>
      <c r="R76" s="62"/>
    </row>
    <row r="77" ht="15.75" customHeight="1">
      <c r="A77" s="417" t="s">
        <v>12</v>
      </c>
      <c r="B77" s="205" t="s">
        <v>1789</v>
      </c>
      <c r="C77" s="206" t="s">
        <v>1591</v>
      </c>
      <c r="D77" s="264">
        <v>0.5694444444444444</v>
      </c>
      <c r="E77" s="418" t="s">
        <v>2203</v>
      </c>
      <c r="F77" s="127">
        <v>1.22742427730018E14</v>
      </c>
      <c r="G77" s="186" t="s">
        <v>2204</v>
      </c>
      <c r="H77" s="153">
        <v>25162.0</v>
      </c>
      <c r="I77" s="29" t="s">
        <v>41</v>
      </c>
      <c r="J77" s="289"/>
      <c r="K77" s="289"/>
      <c r="N77" s="240" t="s">
        <v>182</v>
      </c>
      <c r="O77" s="241" t="s">
        <v>194</v>
      </c>
      <c r="P77" s="241" t="s">
        <v>180</v>
      </c>
      <c r="Q77" s="242" t="s">
        <v>2087</v>
      </c>
      <c r="R77" s="62"/>
    </row>
    <row r="78" ht="15.75" customHeight="1">
      <c r="A78" s="417" t="s">
        <v>13</v>
      </c>
      <c r="B78" s="205" t="s">
        <v>1720</v>
      </c>
      <c r="C78" s="206" t="s">
        <v>1591</v>
      </c>
      <c r="D78" s="264">
        <v>0.5833333333333334</v>
      </c>
      <c r="E78" s="418" t="s">
        <v>2205</v>
      </c>
      <c r="F78" s="127">
        <v>7.00209903660327E14</v>
      </c>
      <c r="G78" s="186" t="s">
        <v>2206</v>
      </c>
      <c r="H78" s="153">
        <v>17457.0</v>
      </c>
      <c r="I78" s="29" t="s">
        <v>2087</v>
      </c>
      <c r="J78" s="289"/>
      <c r="K78" s="289"/>
      <c r="N78" s="244">
        <f t="shared" ref="N78:Q78" si="5">COUNTIFS($I$75:$I$86,N77)</f>
        <v>0</v>
      </c>
      <c r="O78" s="244">
        <f t="shared" si="5"/>
        <v>0</v>
      </c>
      <c r="P78" s="244">
        <f t="shared" si="5"/>
        <v>0</v>
      </c>
      <c r="Q78" s="244">
        <f t="shared" si="5"/>
        <v>2</v>
      </c>
      <c r="R78" s="62"/>
    </row>
    <row r="79" ht="15.75" customHeight="1">
      <c r="A79" s="417" t="s">
        <v>14</v>
      </c>
      <c r="B79" s="205" t="s">
        <v>1795</v>
      </c>
      <c r="C79" s="206" t="s">
        <v>1591</v>
      </c>
      <c r="D79" s="264">
        <v>0.5972222222222222</v>
      </c>
      <c r="E79" s="420" t="s">
        <v>2207</v>
      </c>
      <c r="F79" s="127">
        <v>2.01532536510006E14</v>
      </c>
      <c r="G79" s="186" t="s">
        <v>2208</v>
      </c>
      <c r="H79" s="153">
        <v>25485.0</v>
      </c>
      <c r="I79" s="29" t="s">
        <v>41</v>
      </c>
      <c r="J79" s="289"/>
      <c r="K79" s="289"/>
      <c r="R79" s="62"/>
    </row>
    <row r="80" ht="15.75" customHeight="1">
      <c r="A80" s="417" t="s">
        <v>15</v>
      </c>
      <c r="B80" s="205" t="s">
        <v>1789</v>
      </c>
      <c r="C80" s="206" t="s">
        <v>1591</v>
      </c>
      <c r="D80" s="264">
        <v>0.6111111111111112</v>
      </c>
      <c r="E80" s="420" t="s">
        <v>2209</v>
      </c>
      <c r="F80" s="127">
        <v>7.07006899165335E14</v>
      </c>
      <c r="G80" s="186" t="s">
        <v>2210</v>
      </c>
      <c r="H80" s="153">
        <v>17220.0</v>
      </c>
      <c r="I80" s="29" t="s">
        <v>41</v>
      </c>
      <c r="J80" s="289"/>
      <c r="K80" s="289"/>
      <c r="R80" s="62"/>
    </row>
    <row r="81" ht="15.75" customHeight="1">
      <c r="A81" s="417" t="s">
        <v>16</v>
      </c>
      <c r="B81" s="205" t="s">
        <v>1727</v>
      </c>
      <c r="C81" s="206" t="s">
        <v>1591</v>
      </c>
      <c r="D81" s="264">
        <v>0.625</v>
      </c>
      <c r="E81" s="420" t="s">
        <v>2211</v>
      </c>
      <c r="F81" s="127">
        <v>7.00804422648982E14</v>
      </c>
      <c r="G81" s="186" t="s">
        <v>2212</v>
      </c>
      <c r="H81" s="153">
        <v>20433.0</v>
      </c>
      <c r="I81" s="29" t="s">
        <v>41</v>
      </c>
      <c r="J81" s="289"/>
      <c r="K81" s="289"/>
      <c r="R81" s="62"/>
    </row>
    <row r="82" ht="15.75" customHeight="1">
      <c r="A82" s="417" t="s">
        <v>17</v>
      </c>
      <c r="B82" s="205" t="s">
        <v>1737</v>
      </c>
      <c r="C82" s="206" t="s">
        <v>1591</v>
      </c>
      <c r="D82" s="264">
        <v>0.6388888888888888</v>
      </c>
      <c r="E82" s="420" t="s">
        <v>2213</v>
      </c>
      <c r="F82" s="127">
        <v>7.00507990730758E14</v>
      </c>
      <c r="G82" s="186" t="s">
        <v>2214</v>
      </c>
      <c r="H82" s="153">
        <v>20291.0</v>
      </c>
      <c r="I82" s="29" t="s">
        <v>41</v>
      </c>
      <c r="J82" s="289"/>
      <c r="K82" s="289"/>
      <c r="R82" s="62"/>
    </row>
    <row r="83" ht="16.5" customHeight="1">
      <c r="A83" s="417" t="s">
        <v>85</v>
      </c>
      <c r="B83" s="205" t="s">
        <v>1717</v>
      </c>
      <c r="C83" s="206" t="s">
        <v>1591</v>
      </c>
      <c r="D83" s="264">
        <v>0.6527777777777778</v>
      </c>
      <c r="E83" s="420" t="s">
        <v>2215</v>
      </c>
      <c r="F83" s="127">
        <v>7.02806189422067E14</v>
      </c>
      <c r="G83" s="186" t="s">
        <v>2129</v>
      </c>
      <c r="H83" s="153">
        <v>29680.0</v>
      </c>
      <c r="I83" s="29" t="s">
        <v>41</v>
      </c>
      <c r="J83" s="289"/>
      <c r="K83" s="289"/>
      <c r="R83" s="62"/>
    </row>
    <row r="84" ht="15.75" customHeight="1">
      <c r="A84" s="417" t="s">
        <v>87</v>
      </c>
      <c r="B84" s="205" t="s">
        <v>1734</v>
      </c>
      <c r="C84" s="206" t="s">
        <v>1591</v>
      </c>
      <c r="D84" s="264">
        <v>0.6666666666666666</v>
      </c>
      <c r="E84" s="418" t="s">
        <v>2216</v>
      </c>
      <c r="F84" s="127">
        <v>8.01440453633493E14</v>
      </c>
      <c r="G84" s="186" t="s">
        <v>2217</v>
      </c>
      <c r="H84" s="153">
        <v>18425.0</v>
      </c>
      <c r="I84" s="29" t="s">
        <v>41</v>
      </c>
      <c r="J84" s="289"/>
      <c r="K84" s="423"/>
      <c r="R84" s="62"/>
    </row>
    <row r="85" ht="15.75" customHeight="1">
      <c r="A85" s="417" t="s">
        <v>90</v>
      </c>
      <c r="B85" s="205" t="s">
        <v>1717</v>
      </c>
      <c r="C85" s="206" t="s">
        <v>1591</v>
      </c>
      <c r="D85" s="264">
        <v>0.6805555555555556</v>
      </c>
      <c r="E85" s="420" t="s">
        <v>2218</v>
      </c>
      <c r="F85" s="295">
        <v>7.00700952244878E14</v>
      </c>
      <c r="G85" s="423" t="s">
        <v>2219</v>
      </c>
      <c r="H85" s="153">
        <v>19725.0</v>
      </c>
      <c r="I85" s="29" t="s">
        <v>2087</v>
      </c>
      <c r="J85" s="423"/>
      <c r="K85" s="423"/>
      <c r="R85" s="62"/>
    </row>
    <row r="86" ht="15.75" customHeight="1">
      <c r="A86" s="417" t="s">
        <v>93</v>
      </c>
      <c r="B86" s="205" t="s">
        <v>1734</v>
      </c>
      <c r="C86" s="206" t="s">
        <v>1591</v>
      </c>
      <c r="D86" s="264">
        <v>0.6944444444444444</v>
      </c>
      <c r="E86" s="338"/>
      <c r="F86" s="339"/>
      <c r="G86" s="423"/>
      <c r="H86" s="424"/>
      <c r="I86" s="29"/>
      <c r="J86" s="339"/>
      <c r="K86" s="339"/>
      <c r="R86" s="62"/>
    </row>
    <row r="87" ht="15.75" customHeight="1">
      <c r="J87" s="62"/>
      <c r="K87" s="62"/>
      <c r="R87" s="62"/>
    </row>
    <row r="88" ht="15.75" customHeight="1">
      <c r="J88" s="62"/>
      <c r="K88" s="62"/>
      <c r="R88" s="62"/>
    </row>
    <row r="89" ht="15.75" customHeight="1">
      <c r="J89" s="62"/>
      <c r="K89" s="62"/>
      <c r="R89" s="62"/>
    </row>
    <row r="90" ht="15.75" customHeight="1">
      <c r="A90" s="20" t="s">
        <v>18</v>
      </c>
      <c r="B90" s="2"/>
      <c r="C90" s="2"/>
      <c r="D90" s="2"/>
      <c r="E90" s="2"/>
      <c r="F90" s="2"/>
      <c r="G90" s="2"/>
      <c r="H90" s="2"/>
      <c r="I90" s="2"/>
      <c r="J90" s="2"/>
      <c r="K90" s="3"/>
      <c r="R90" s="62"/>
    </row>
    <row r="91" ht="15.75" customHeight="1">
      <c r="A91" s="233" t="s">
        <v>2220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2"/>
      <c r="B92" s="23" t="s">
        <v>3</v>
      </c>
      <c r="C92" s="24" t="s">
        <v>2</v>
      </c>
      <c r="D92" s="25" t="s">
        <v>5</v>
      </c>
      <c r="E92" s="25" t="s">
        <v>19</v>
      </c>
      <c r="F92" s="25" t="s">
        <v>6</v>
      </c>
      <c r="G92" s="25" t="s">
        <v>7</v>
      </c>
      <c r="H92" s="27" t="s">
        <v>8</v>
      </c>
      <c r="I92" s="28" t="s">
        <v>20</v>
      </c>
      <c r="J92" s="25" t="s">
        <v>21</v>
      </c>
      <c r="K92" s="25" t="s">
        <v>22</v>
      </c>
      <c r="R92" s="62"/>
    </row>
    <row r="93" ht="15.75" customHeight="1">
      <c r="A93" s="11" t="s">
        <v>10</v>
      </c>
      <c r="B93" s="205" t="s">
        <v>2081</v>
      </c>
      <c r="C93" s="69" t="s">
        <v>1632</v>
      </c>
      <c r="D93" s="70">
        <v>0.5416666666666666</v>
      </c>
      <c r="E93" s="149">
        <v>6.9646368891E10</v>
      </c>
      <c r="F93" s="149">
        <v>8.01440490927896E14</v>
      </c>
      <c r="G93" s="148" t="s">
        <v>2221</v>
      </c>
      <c r="H93" s="344">
        <v>16636.0</v>
      </c>
      <c r="I93" s="18" t="s">
        <v>41</v>
      </c>
      <c r="J93" s="212" t="s">
        <v>2222</v>
      </c>
      <c r="K93" s="212"/>
      <c r="N93" s="237" t="s">
        <v>386</v>
      </c>
      <c r="O93" s="95"/>
      <c r="P93" s="95"/>
      <c r="Q93" s="95"/>
      <c r="R93" s="62"/>
    </row>
    <row r="94" ht="21.0" customHeight="1">
      <c r="A94" s="11" t="s">
        <v>11</v>
      </c>
      <c r="B94" s="205" t="s">
        <v>2083</v>
      </c>
      <c r="C94" s="69" t="s">
        <v>1632</v>
      </c>
      <c r="D94" s="70">
        <v>0.5555555555555556</v>
      </c>
      <c r="E94" s="149">
        <v>1.2873806893E10</v>
      </c>
      <c r="F94" s="425">
        <v>7.02608757276949E14</v>
      </c>
      <c r="G94" s="148" t="s">
        <v>2223</v>
      </c>
      <c r="H94" s="437">
        <v>17651.0</v>
      </c>
      <c r="I94" s="18" t="s">
        <v>41</v>
      </c>
      <c r="J94" s="212" t="s">
        <v>2224</v>
      </c>
      <c r="K94" s="212"/>
      <c r="N94" s="239" t="s">
        <v>2085</v>
      </c>
      <c r="O94" s="2"/>
      <c r="P94" s="2"/>
      <c r="Q94" s="2"/>
      <c r="R94" s="62"/>
    </row>
    <row r="95" ht="15.75" customHeight="1">
      <c r="A95" s="11" t="s">
        <v>12</v>
      </c>
      <c r="B95" s="205" t="s">
        <v>2086</v>
      </c>
      <c r="C95" s="69" t="s">
        <v>1632</v>
      </c>
      <c r="D95" s="70">
        <v>0.5694444444444444</v>
      </c>
      <c r="E95" s="149">
        <v>1.3519066823E10</v>
      </c>
      <c r="F95" s="149">
        <v>7.03001864200773E14</v>
      </c>
      <c r="G95" s="148" t="s">
        <v>1665</v>
      </c>
      <c r="H95" s="344">
        <v>18508.0</v>
      </c>
      <c r="I95" s="18" t="s">
        <v>41</v>
      </c>
      <c r="J95" s="212" t="s">
        <v>2225</v>
      </c>
      <c r="K95" s="212" t="s">
        <v>2224</v>
      </c>
      <c r="N95" s="240" t="s">
        <v>182</v>
      </c>
      <c r="O95" s="241" t="s">
        <v>194</v>
      </c>
      <c r="P95" s="241" t="s">
        <v>180</v>
      </c>
      <c r="Q95" s="242" t="s">
        <v>2087</v>
      </c>
      <c r="R95" s="62"/>
    </row>
    <row r="96" ht="15.75" customHeight="1">
      <c r="A96" s="11" t="s">
        <v>13</v>
      </c>
      <c r="B96" s="205" t="s">
        <v>2088</v>
      </c>
      <c r="C96" s="69" t="s">
        <v>1632</v>
      </c>
      <c r="D96" s="70">
        <v>0.5833333333333334</v>
      </c>
      <c r="E96" s="149">
        <v>3.1982611472E10</v>
      </c>
      <c r="F96" s="206">
        <v>7.00503965356356E14</v>
      </c>
      <c r="G96" s="205" t="s">
        <v>2226</v>
      </c>
      <c r="H96" s="432">
        <v>21560.0</v>
      </c>
      <c r="I96" s="18" t="s">
        <v>41</v>
      </c>
      <c r="J96" s="212" t="s">
        <v>2227</v>
      </c>
      <c r="K96" s="212"/>
      <c r="N96" s="244">
        <f t="shared" ref="N96:Q96" si="6">COUNTIFS($I$93:$I$104,N95)</f>
        <v>0</v>
      </c>
      <c r="O96" s="244">
        <f t="shared" si="6"/>
        <v>0</v>
      </c>
      <c r="P96" s="244">
        <f t="shared" si="6"/>
        <v>4</v>
      </c>
      <c r="Q96" s="244">
        <f t="shared" si="6"/>
        <v>2</v>
      </c>
      <c r="R96" s="62"/>
    </row>
    <row r="97" ht="15.75" customHeight="1">
      <c r="A97" s="11" t="s">
        <v>14</v>
      </c>
      <c r="B97" s="205" t="s">
        <v>2081</v>
      </c>
      <c r="C97" s="69" t="s">
        <v>1632</v>
      </c>
      <c r="D97" s="70">
        <v>0.5972222222222222</v>
      </c>
      <c r="E97" s="149">
        <v>6.705187182E10</v>
      </c>
      <c r="F97" s="149">
        <v>8.01440430484068E14</v>
      </c>
      <c r="G97" s="148" t="s">
        <v>2228</v>
      </c>
      <c r="H97" s="344">
        <v>17381.0</v>
      </c>
      <c r="I97" s="18" t="s">
        <v>2087</v>
      </c>
      <c r="J97" s="212" t="s">
        <v>2229</v>
      </c>
      <c r="K97" s="212" t="s">
        <v>2230</v>
      </c>
      <c r="R97" s="62"/>
    </row>
    <row r="98" ht="15.75" customHeight="1">
      <c r="A98" s="11" t="s">
        <v>15</v>
      </c>
      <c r="B98" s="205" t="s">
        <v>2088</v>
      </c>
      <c r="C98" s="69" t="s">
        <v>1632</v>
      </c>
      <c r="D98" s="70">
        <v>0.6111111111111112</v>
      </c>
      <c r="E98" s="149">
        <v>2.2546743821E10</v>
      </c>
      <c r="F98" s="149">
        <v>8.0144043896954E14</v>
      </c>
      <c r="G98" s="148" t="s">
        <v>2231</v>
      </c>
      <c r="H98" s="344">
        <v>22269.0</v>
      </c>
      <c r="I98" s="18" t="s">
        <v>41</v>
      </c>
      <c r="J98" s="212" t="s">
        <v>2232</v>
      </c>
      <c r="K98" s="212"/>
      <c r="R98" s="62"/>
    </row>
    <row r="99" ht="15.75" customHeight="1">
      <c r="A99" s="11" t="s">
        <v>16</v>
      </c>
      <c r="B99" s="205" t="s">
        <v>2092</v>
      </c>
      <c r="C99" s="69" t="s">
        <v>1632</v>
      </c>
      <c r="D99" s="70">
        <v>0.625</v>
      </c>
      <c r="E99" s="149"/>
      <c r="F99" s="149"/>
      <c r="G99" s="148"/>
      <c r="H99" s="344"/>
      <c r="I99" s="18" t="s">
        <v>180</v>
      </c>
      <c r="J99" s="212"/>
      <c r="K99" s="212"/>
      <c r="R99" s="62"/>
    </row>
    <row r="100" ht="15.75" customHeight="1">
      <c r="A100" s="11" t="s">
        <v>17</v>
      </c>
      <c r="B100" s="205" t="s">
        <v>2093</v>
      </c>
      <c r="C100" s="69" t="s">
        <v>1632</v>
      </c>
      <c r="D100" s="70">
        <v>0.6388888888888888</v>
      </c>
      <c r="E100" s="149">
        <v>1.662053886E10</v>
      </c>
      <c r="F100" s="149">
        <v>7.04700701137631E14</v>
      </c>
      <c r="G100" s="148" t="s">
        <v>2233</v>
      </c>
      <c r="H100" s="344">
        <v>18759.0</v>
      </c>
      <c r="I100" s="18" t="s">
        <v>41</v>
      </c>
      <c r="J100" s="212" t="s">
        <v>2234</v>
      </c>
      <c r="K100" s="212"/>
      <c r="R100" s="62"/>
    </row>
    <row r="101" ht="15.75" customHeight="1">
      <c r="A101" s="11" t="s">
        <v>85</v>
      </c>
      <c r="B101" s="205" t="s">
        <v>2094</v>
      </c>
      <c r="C101" s="69" t="s">
        <v>1632</v>
      </c>
      <c r="D101" s="70">
        <v>0.6527777777777778</v>
      </c>
      <c r="E101" s="149">
        <v>4.0377822E7</v>
      </c>
      <c r="F101" s="149">
        <v>7.00708973274773E14</v>
      </c>
      <c r="G101" s="148" t="s">
        <v>2235</v>
      </c>
      <c r="H101" s="344">
        <v>17336.0</v>
      </c>
      <c r="I101" s="18" t="s">
        <v>2087</v>
      </c>
      <c r="J101" s="212" t="s">
        <v>2236</v>
      </c>
      <c r="K101" s="212"/>
      <c r="R101" s="62"/>
      <c r="V101" s="292"/>
    </row>
    <row r="102" ht="15.75" customHeight="1">
      <c r="A102" s="11" t="s">
        <v>87</v>
      </c>
      <c r="B102" s="205" t="s">
        <v>2095</v>
      </c>
      <c r="C102" s="69" t="s">
        <v>1632</v>
      </c>
      <c r="D102" s="70">
        <v>0.6666666666666666</v>
      </c>
      <c r="E102" s="149"/>
      <c r="F102" s="149"/>
      <c r="G102" s="148"/>
      <c r="H102" s="344"/>
      <c r="I102" s="18" t="s">
        <v>180</v>
      </c>
      <c r="J102" s="212"/>
      <c r="K102" s="212"/>
      <c r="R102" s="62"/>
    </row>
    <row r="103" ht="15.75" customHeight="1">
      <c r="A103" s="11" t="s">
        <v>90</v>
      </c>
      <c r="B103" s="205" t="s">
        <v>2097</v>
      </c>
      <c r="C103" s="69" t="s">
        <v>1632</v>
      </c>
      <c r="D103" s="70">
        <v>0.6805555555555556</v>
      </c>
      <c r="E103" s="149"/>
      <c r="F103" s="149"/>
      <c r="G103" s="148"/>
      <c r="H103" s="344"/>
      <c r="I103" s="18" t="s">
        <v>180</v>
      </c>
      <c r="J103" s="212"/>
      <c r="K103" s="212"/>
      <c r="R103" s="62"/>
    </row>
    <row r="104" ht="15.75" customHeight="1">
      <c r="A104" s="11" t="s">
        <v>93</v>
      </c>
      <c r="B104" s="205" t="s">
        <v>2095</v>
      </c>
      <c r="C104" s="69" t="s">
        <v>1632</v>
      </c>
      <c r="D104" s="70">
        <v>0.6944444444444444</v>
      </c>
      <c r="E104" s="149"/>
      <c r="F104" s="149"/>
      <c r="G104" s="148"/>
      <c r="H104" s="344"/>
      <c r="I104" s="18" t="s">
        <v>180</v>
      </c>
      <c r="J104" s="212"/>
      <c r="K104" s="212"/>
      <c r="R104" s="62"/>
    </row>
    <row r="105" ht="15.75" customHeight="1">
      <c r="J105" s="62"/>
      <c r="K105" s="62"/>
      <c r="R105" s="62"/>
    </row>
    <row r="106" ht="15.75" customHeight="1">
      <c r="J106" s="62"/>
      <c r="K106" s="62"/>
      <c r="R106" s="62"/>
    </row>
    <row r="107" ht="15.75" customHeight="1">
      <c r="J107" s="62"/>
      <c r="K107" s="62"/>
      <c r="R107" s="62"/>
    </row>
    <row r="108" ht="15.75" customHeight="1">
      <c r="A108" s="20" t="s">
        <v>18</v>
      </c>
      <c r="B108" s="2"/>
      <c r="C108" s="2"/>
      <c r="D108" s="2"/>
      <c r="E108" s="2"/>
      <c r="F108" s="2"/>
      <c r="G108" s="2"/>
      <c r="H108" s="2"/>
      <c r="I108" s="2"/>
      <c r="J108" s="2"/>
      <c r="K108" s="3"/>
      <c r="R108" s="62"/>
    </row>
    <row r="109" ht="15.75" customHeight="1">
      <c r="A109" s="233" t="s">
        <v>2237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2"/>
      <c r="B110" s="23" t="s">
        <v>3</v>
      </c>
      <c r="C110" s="24" t="s">
        <v>2</v>
      </c>
      <c r="D110" s="25" t="s">
        <v>5</v>
      </c>
      <c r="E110" s="25" t="s">
        <v>19</v>
      </c>
      <c r="F110" s="25" t="s">
        <v>6</v>
      </c>
      <c r="G110" s="25" t="s">
        <v>7</v>
      </c>
      <c r="H110" s="27" t="s">
        <v>8</v>
      </c>
      <c r="I110" s="28" t="s">
        <v>20</v>
      </c>
      <c r="J110" s="25" t="s">
        <v>21</v>
      </c>
      <c r="K110" s="25" t="s">
        <v>22</v>
      </c>
      <c r="R110" s="62"/>
    </row>
    <row r="111" ht="15.75" customHeight="1">
      <c r="A111" s="11" t="s">
        <v>10</v>
      </c>
      <c r="B111" s="205" t="s">
        <v>1780</v>
      </c>
      <c r="C111" s="69" t="s">
        <v>1591</v>
      </c>
      <c r="D111" s="70">
        <v>0.5416666666666666</v>
      </c>
      <c r="E111" s="214" t="s">
        <v>2238</v>
      </c>
      <c r="F111" s="170">
        <v>7.02602702856247E14</v>
      </c>
      <c r="G111" s="100" t="s">
        <v>2239</v>
      </c>
      <c r="H111" s="78">
        <v>21040.0</v>
      </c>
      <c r="I111" s="30" t="s">
        <v>41</v>
      </c>
      <c r="J111" s="97" t="s">
        <v>2240</v>
      </c>
      <c r="K111" s="97" t="s">
        <v>2241</v>
      </c>
      <c r="N111" s="237" t="s">
        <v>386</v>
      </c>
      <c r="O111" s="95"/>
      <c r="P111" s="95"/>
      <c r="Q111" s="95"/>
      <c r="R111" s="62"/>
    </row>
    <row r="112" ht="15.75" customHeight="1">
      <c r="A112" s="11" t="s">
        <v>11</v>
      </c>
      <c r="B112" s="205" t="s">
        <v>1713</v>
      </c>
      <c r="C112" s="69" t="s">
        <v>1591</v>
      </c>
      <c r="D112" s="70">
        <v>0.5555555555555556</v>
      </c>
      <c r="E112" s="214" t="s">
        <v>2242</v>
      </c>
      <c r="F112" s="170">
        <v>2.01539691770004E14</v>
      </c>
      <c r="G112" s="100" t="s">
        <v>2243</v>
      </c>
      <c r="H112" s="78">
        <v>18361.0</v>
      </c>
      <c r="I112" s="30" t="s">
        <v>41</v>
      </c>
      <c r="J112" s="97" t="s">
        <v>2244</v>
      </c>
      <c r="K112" s="97" t="s">
        <v>2245</v>
      </c>
      <c r="N112" s="239" t="s">
        <v>2085</v>
      </c>
      <c r="O112" s="2"/>
      <c r="P112" s="2"/>
      <c r="Q112" s="2"/>
      <c r="R112" s="62"/>
    </row>
    <row r="113" ht="15.75" customHeight="1">
      <c r="A113" s="11" t="s">
        <v>12</v>
      </c>
      <c r="B113" s="205" t="s">
        <v>1789</v>
      </c>
      <c r="C113" s="69" t="s">
        <v>1591</v>
      </c>
      <c r="D113" s="70">
        <v>0.5694444444444444</v>
      </c>
      <c r="E113" s="214" t="s">
        <v>2246</v>
      </c>
      <c r="F113" s="170">
        <v>7.08102520333838E14</v>
      </c>
      <c r="G113" s="100" t="s">
        <v>2247</v>
      </c>
      <c r="H113" s="78">
        <v>16515.0</v>
      </c>
      <c r="I113" s="30" t="s">
        <v>41</v>
      </c>
      <c r="J113" s="97" t="s">
        <v>2248</v>
      </c>
      <c r="K113" s="97"/>
      <c r="N113" s="240" t="s">
        <v>182</v>
      </c>
      <c r="O113" s="241" t="s">
        <v>194</v>
      </c>
      <c r="P113" s="241" t="s">
        <v>180</v>
      </c>
      <c r="Q113" s="242" t="s">
        <v>2087</v>
      </c>
      <c r="R113" s="62"/>
    </row>
    <row r="114" ht="15.75" customHeight="1">
      <c r="A114" s="11" t="s">
        <v>13</v>
      </c>
      <c r="B114" s="205" t="s">
        <v>1720</v>
      </c>
      <c r="C114" s="69" t="s">
        <v>1591</v>
      </c>
      <c r="D114" s="70">
        <v>0.5833333333333334</v>
      </c>
      <c r="E114" s="214" t="s">
        <v>2249</v>
      </c>
      <c r="F114" s="170">
        <v>1.23718007260004E14</v>
      </c>
      <c r="G114" s="100" t="s">
        <v>791</v>
      </c>
      <c r="H114" s="78">
        <v>21248.0</v>
      </c>
      <c r="I114" s="30" t="s">
        <v>41</v>
      </c>
      <c r="J114" s="97" t="s">
        <v>2250</v>
      </c>
      <c r="K114" s="97"/>
      <c r="N114" s="244">
        <f t="shared" ref="N114:Q114" si="7">COUNTIFS($I$111:$I$122,N113)</f>
        <v>0</v>
      </c>
      <c r="O114" s="244">
        <f t="shared" si="7"/>
        <v>0</v>
      </c>
      <c r="P114" s="244">
        <f t="shared" si="7"/>
        <v>0</v>
      </c>
      <c r="Q114" s="244">
        <f t="shared" si="7"/>
        <v>1</v>
      </c>
      <c r="R114" s="62"/>
    </row>
    <row r="115" ht="15.75" customHeight="1">
      <c r="A115" s="11" t="s">
        <v>14</v>
      </c>
      <c r="B115" s="205" t="s">
        <v>1795</v>
      </c>
      <c r="C115" s="69" t="s">
        <v>1591</v>
      </c>
      <c r="D115" s="70">
        <v>0.5972222222222222</v>
      </c>
      <c r="E115" s="214" t="s">
        <v>2251</v>
      </c>
      <c r="F115" s="170">
        <v>8.0144041837124E14</v>
      </c>
      <c r="G115" s="100" t="s">
        <v>2252</v>
      </c>
      <c r="H115" s="78">
        <v>23732.0</v>
      </c>
      <c r="I115" s="30" t="s">
        <v>41</v>
      </c>
      <c r="J115" s="97" t="s">
        <v>2253</v>
      </c>
      <c r="K115" s="97" t="s">
        <v>2254</v>
      </c>
      <c r="R115" s="62"/>
    </row>
    <row r="116" ht="15.75" customHeight="1">
      <c r="A116" s="11" t="s">
        <v>15</v>
      </c>
      <c r="B116" s="205" t="s">
        <v>1789</v>
      </c>
      <c r="C116" s="69" t="s">
        <v>1591</v>
      </c>
      <c r="D116" s="70">
        <v>0.6111111111111112</v>
      </c>
      <c r="E116" s="214" t="s">
        <v>2255</v>
      </c>
      <c r="F116" s="170">
        <v>8.01440435972869E14</v>
      </c>
      <c r="G116" s="100" t="s">
        <v>2256</v>
      </c>
      <c r="H116" s="78">
        <v>15464.0</v>
      </c>
      <c r="I116" s="30" t="s">
        <v>41</v>
      </c>
      <c r="J116" s="97">
        <v>1.199119151E10</v>
      </c>
      <c r="K116" s="97"/>
      <c r="R116" s="62"/>
    </row>
    <row r="117" ht="15.75" customHeight="1">
      <c r="A117" s="11" t="s">
        <v>16</v>
      </c>
      <c r="B117" s="205" t="s">
        <v>1727</v>
      </c>
      <c r="C117" s="69" t="s">
        <v>1591</v>
      </c>
      <c r="D117" s="70">
        <v>0.625</v>
      </c>
      <c r="E117" s="214" t="s">
        <v>2257</v>
      </c>
      <c r="F117" s="170">
        <v>7.09602681197174E14</v>
      </c>
      <c r="G117" s="100" t="s">
        <v>2258</v>
      </c>
      <c r="H117" s="78">
        <v>21033.0</v>
      </c>
      <c r="I117" s="30" t="s">
        <v>41</v>
      </c>
      <c r="J117" s="97">
        <v>1.1987377534E10</v>
      </c>
      <c r="K117" s="97"/>
      <c r="R117" s="62"/>
    </row>
    <row r="118" ht="15.75" customHeight="1">
      <c r="A118" s="11" t="s">
        <v>17</v>
      </c>
      <c r="B118" s="205" t="s">
        <v>1737</v>
      </c>
      <c r="C118" s="69" t="s">
        <v>1591</v>
      </c>
      <c r="D118" s="70">
        <v>0.6388888888888888</v>
      </c>
      <c r="E118" s="214" t="s">
        <v>2259</v>
      </c>
      <c r="F118" s="170">
        <v>2.0153903737E14</v>
      </c>
      <c r="G118" s="100" t="s">
        <v>2260</v>
      </c>
      <c r="H118" s="78">
        <v>20170.0</v>
      </c>
      <c r="I118" s="30" t="s">
        <v>41</v>
      </c>
      <c r="J118" s="97" t="s">
        <v>2261</v>
      </c>
      <c r="K118" s="97" t="s">
        <v>2262</v>
      </c>
      <c r="R118" s="62"/>
    </row>
    <row r="119" ht="15.75" customHeight="1">
      <c r="A119" s="11" t="s">
        <v>85</v>
      </c>
      <c r="B119" s="205" t="s">
        <v>1717</v>
      </c>
      <c r="C119" s="69" t="s">
        <v>1591</v>
      </c>
      <c r="D119" s="70">
        <v>0.6527777777777778</v>
      </c>
      <c r="E119" s="214" t="s">
        <v>2263</v>
      </c>
      <c r="F119" s="170">
        <v>8.01440405555038E14</v>
      </c>
      <c r="G119" s="100" t="s">
        <v>1946</v>
      </c>
      <c r="H119" s="78">
        <v>24769.0</v>
      </c>
      <c r="I119" s="30" t="s">
        <v>41</v>
      </c>
      <c r="J119" s="97" t="s">
        <v>2264</v>
      </c>
      <c r="K119" s="97"/>
      <c r="R119" s="62"/>
    </row>
    <row r="120" ht="15.75" customHeight="1">
      <c r="A120" s="11" t="s">
        <v>87</v>
      </c>
      <c r="B120" s="205" t="s">
        <v>1734</v>
      </c>
      <c r="C120" s="69" t="s">
        <v>1591</v>
      </c>
      <c r="D120" s="70">
        <v>0.6666666666666666</v>
      </c>
      <c r="E120" s="214" t="s">
        <v>2265</v>
      </c>
      <c r="F120" s="170">
        <v>7.08905763864915E14</v>
      </c>
      <c r="G120" s="100" t="s">
        <v>2266</v>
      </c>
      <c r="H120" s="78">
        <v>21864.0</v>
      </c>
      <c r="I120" s="30" t="s">
        <v>41</v>
      </c>
      <c r="J120" s="97" t="s">
        <v>2267</v>
      </c>
      <c r="K120" s="97"/>
      <c r="R120" s="62"/>
    </row>
    <row r="121" ht="15.75" customHeight="1">
      <c r="A121" s="11" t="s">
        <v>90</v>
      </c>
      <c r="B121" s="205" t="s">
        <v>1717</v>
      </c>
      <c r="C121" s="69" t="s">
        <v>1591</v>
      </c>
      <c r="D121" s="70">
        <v>0.6805555555555556</v>
      </c>
      <c r="E121" s="214" t="s">
        <v>2218</v>
      </c>
      <c r="F121" s="170">
        <v>7.00700952244878E14</v>
      </c>
      <c r="G121" s="100" t="s">
        <v>2219</v>
      </c>
      <c r="H121" s="78">
        <v>19725.0</v>
      </c>
      <c r="I121" s="30" t="s">
        <v>41</v>
      </c>
      <c r="J121" s="97" t="s">
        <v>2268</v>
      </c>
      <c r="K121" s="97"/>
      <c r="R121" s="62"/>
    </row>
    <row r="122" ht="15.75" customHeight="1">
      <c r="A122" s="11" t="s">
        <v>93</v>
      </c>
      <c r="B122" s="205" t="s">
        <v>1734</v>
      </c>
      <c r="C122" s="69" t="s">
        <v>1591</v>
      </c>
      <c r="D122" s="70">
        <v>0.6944444444444444</v>
      </c>
      <c r="E122" s="214" t="s">
        <v>2269</v>
      </c>
      <c r="F122" s="170">
        <v>8.98001452028704E14</v>
      </c>
      <c r="G122" s="100" t="s">
        <v>2270</v>
      </c>
      <c r="H122" s="78">
        <v>16412.0</v>
      </c>
      <c r="I122" s="30" t="s">
        <v>2087</v>
      </c>
      <c r="J122" s="97">
        <v>1.1985079831E10</v>
      </c>
      <c r="K122" s="97"/>
      <c r="R122" s="62"/>
    </row>
    <row r="123" ht="15.75" customHeight="1">
      <c r="A123" s="438"/>
      <c r="B123" s="430"/>
      <c r="C123" s="275"/>
      <c r="D123" s="439"/>
      <c r="E123" s="254"/>
      <c r="F123" s="440"/>
      <c r="G123" s="441"/>
      <c r="H123" s="255"/>
      <c r="I123" s="442"/>
      <c r="J123" s="443"/>
      <c r="K123" s="443"/>
      <c r="R123" s="62"/>
    </row>
    <row r="124" ht="15.75" customHeight="1">
      <c r="A124" s="438"/>
      <c r="B124" s="430"/>
      <c r="C124" s="275"/>
      <c r="D124" s="439"/>
      <c r="E124" s="254"/>
      <c r="F124" s="440"/>
      <c r="G124" s="441"/>
      <c r="H124" s="255"/>
      <c r="I124" s="442"/>
      <c r="J124" s="443"/>
      <c r="K124" s="443"/>
      <c r="R124" s="62"/>
    </row>
    <row r="125" ht="15.75" customHeight="1">
      <c r="A125" s="438"/>
      <c r="B125" s="430"/>
      <c r="C125" s="275"/>
      <c r="D125" s="439"/>
      <c r="E125" s="254"/>
      <c r="F125" s="440"/>
      <c r="G125" s="441"/>
      <c r="H125" s="255"/>
      <c r="I125" s="442"/>
      <c r="J125" s="443"/>
      <c r="K125" s="443"/>
      <c r="R125" s="62"/>
    </row>
    <row r="126" ht="15.75" customHeight="1">
      <c r="A126" s="438"/>
      <c r="B126" s="430"/>
      <c r="C126" s="275"/>
      <c r="D126" s="439"/>
      <c r="E126" s="254"/>
      <c r="F126" s="440"/>
      <c r="G126" s="441"/>
      <c r="H126" s="255"/>
      <c r="I126" s="442"/>
      <c r="J126" s="443"/>
      <c r="K126" s="443"/>
      <c r="R126" s="62"/>
    </row>
    <row r="127" ht="15.75" customHeight="1">
      <c r="A127" s="438"/>
      <c r="B127" s="430"/>
      <c r="C127" s="275"/>
      <c r="D127" s="439"/>
      <c r="E127" s="254"/>
      <c r="F127" s="440"/>
      <c r="G127" s="441"/>
      <c r="H127" s="255"/>
      <c r="I127" s="442"/>
      <c r="J127" s="443"/>
      <c r="K127" s="443"/>
      <c r="N127" s="237" t="s">
        <v>2079</v>
      </c>
      <c r="O127" s="95"/>
      <c r="P127" s="95"/>
      <c r="Q127" s="95"/>
      <c r="R127" s="62"/>
    </row>
    <row r="128" ht="15.75" customHeight="1">
      <c r="A128" s="438"/>
      <c r="B128" s="430"/>
      <c r="C128" s="275"/>
      <c r="D128" s="439"/>
      <c r="E128" s="254"/>
      <c r="F128" s="440"/>
      <c r="G128" s="441"/>
      <c r="H128" s="255"/>
      <c r="I128" s="442"/>
      <c r="J128" s="443"/>
      <c r="K128" s="443"/>
      <c r="N128" s="240" t="s">
        <v>182</v>
      </c>
      <c r="O128" s="241" t="s">
        <v>194</v>
      </c>
      <c r="P128" s="241" t="s">
        <v>180</v>
      </c>
      <c r="Q128" s="242" t="s">
        <v>172</v>
      </c>
      <c r="R128" s="62"/>
    </row>
    <row r="129" ht="15.75" customHeight="1">
      <c r="A129" s="438"/>
      <c r="B129" s="430"/>
      <c r="C129" s="275"/>
      <c r="D129" s="439"/>
      <c r="E129" s="254"/>
      <c r="F129" s="440"/>
      <c r="G129" s="441"/>
      <c r="H129" s="255"/>
      <c r="I129" s="442"/>
      <c r="J129" s="443"/>
      <c r="K129" s="443"/>
      <c r="N129" s="197">
        <f t="shared" ref="N129:Q129" si="8">SUM(N4:N123)</f>
        <v>25</v>
      </c>
      <c r="O129" s="197">
        <f t="shared" si="8"/>
        <v>2</v>
      </c>
      <c r="P129" s="197">
        <f t="shared" si="8"/>
        <v>10</v>
      </c>
      <c r="Q129" s="197">
        <f t="shared" si="8"/>
        <v>11</v>
      </c>
      <c r="R129" s="62"/>
    </row>
    <row r="130" ht="15.75" customHeight="1">
      <c r="A130" s="438"/>
      <c r="B130" s="430"/>
      <c r="C130" s="275"/>
      <c r="D130" s="439"/>
      <c r="E130" s="254"/>
      <c r="F130" s="440"/>
      <c r="G130" s="441"/>
      <c r="H130" s="255"/>
      <c r="I130" s="442"/>
      <c r="J130" s="443"/>
      <c r="K130" s="443"/>
      <c r="R130" s="62"/>
    </row>
    <row r="131" ht="15.75" customHeight="1">
      <c r="A131" s="438"/>
      <c r="B131" s="430"/>
      <c r="C131" s="275"/>
      <c r="D131" s="439"/>
      <c r="E131" s="254"/>
      <c r="F131" s="440"/>
      <c r="G131" s="441"/>
      <c r="H131" s="255"/>
      <c r="I131" s="442"/>
      <c r="J131" s="443"/>
      <c r="K131" s="443"/>
      <c r="R131" s="62"/>
    </row>
    <row r="132" ht="15.75" customHeight="1">
      <c r="A132" s="438"/>
      <c r="B132" s="430"/>
      <c r="C132" s="275"/>
      <c r="D132" s="439"/>
      <c r="E132" s="254"/>
      <c r="F132" s="440"/>
      <c r="G132" s="441"/>
      <c r="H132" s="255"/>
      <c r="I132" s="442"/>
      <c r="J132" s="443"/>
      <c r="K132" s="443"/>
      <c r="R132" s="62"/>
    </row>
    <row r="133" ht="15.75" customHeight="1">
      <c r="A133" s="438"/>
      <c r="B133" s="430"/>
      <c r="C133" s="275"/>
      <c r="D133" s="439"/>
      <c r="E133" s="254"/>
      <c r="F133" s="440"/>
      <c r="G133" s="441"/>
      <c r="H133" s="255"/>
      <c r="I133" s="442"/>
      <c r="J133" s="443"/>
      <c r="K133" s="443"/>
      <c r="R133" s="62"/>
    </row>
    <row r="134" ht="15.75" customHeight="1">
      <c r="A134" s="438"/>
      <c r="B134" s="430"/>
      <c r="C134" s="275"/>
      <c r="D134" s="439"/>
      <c r="E134" s="254"/>
      <c r="F134" s="440"/>
      <c r="G134" s="441"/>
      <c r="H134" s="255"/>
      <c r="I134" s="442"/>
      <c r="J134" s="443"/>
      <c r="K134" s="443"/>
      <c r="R134" s="62"/>
    </row>
    <row r="135" ht="15.75" customHeight="1">
      <c r="A135" s="438"/>
      <c r="B135" s="430"/>
      <c r="C135" s="275"/>
      <c r="D135" s="439"/>
      <c r="E135" s="254"/>
      <c r="F135" s="440"/>
      <c r="G135" s="441"/>
      <c r="H135" s="255"/>
      <c r="I135" s="442"/>
      <c r="J135" s="443"/>
      <c r="K135" s="443"/>
      <c r="R135" s="62"/>
    </row>
    <row r="136" ht="15.75" customHeight="1">
      <c r="A136" s="438"/>
      <c r="B136" s="430"/>
      <c r="C136" s="275"/>
      <c r="D136" s="439"/>
      <c r="E136" s="254"/>
      <c r="F136" s="440"/>
      <c r="G136" s="441"/>
      <c r="H136" s="255"/>
      <c r="I136" s="442"/>
      <c r="J136" s="443"/>
      <c r="K136" s="443"/>
      <c r="R136" s="62"/>
    </row>
    <row r="137" ht="15.75" customHeight="1">
      <c r="A137" s="438"/>
      <c r="B137" s="430"/>
      <c r="C137" s="275"/>
      <c r="D137" s="439"/>
      <c r="E137" s="254"/>
      <c r="F137" s="440"/>
      <c r="G137" s="441"/>
      <c r="H137" s="255"/>
      <c r="I137" s="442"/>
      <c r="J137" s="443"/>
      <c r="K137" s="443"/>
      <c r="R137" s="62"/>
    </row>
    <row r="138" ht="15.75" customHeight="1">
      <c r="A138" s="438"/>
      <c r="B138" s="430"/>
      <c r="C138" s="275"/>
      <c r="D138" s="439"/>
      <c r="E138" s="254"/>
      <c r="F138" s="440"/>
      <c r="G138" s="441"/>
      <c r="H138" s="255"/>
      <c r="I138" s="442"/>
      <c r="J138" s="443"/>
      <c r="K138" s="443"/>
      <c r="R138" s="62"/>
    </row>
    <row r="139" ht="15.75" customHeight="1">
      <c r="A139" s="438"/>
      <c r="B139" s="430"/>
      <c r="C139" s="275"/>
      <c r="D139" s="439"/>
      <c r="E139" s="254"/>
      <c r="F139" s="440"/>
      <c r="G139" s="441"/>
      <c r="H139" s="255"/>
      <c r="I139" s="442"/>
      <c r="J139" s="443"/>
      <c r="K139" s="443"/>
      <c r="R139" s="62"/>
    </row>
    <row r="140" ht="15.75" customHeight="1">
      <c r="A140" s="438"/>
      <c r="B140" s="430"/>
      <c r="C140" s="275"/>
      <c r="D140" s="439"/>
      <c r="E140" s="254"/>
      <c r="F140" s="440"/>
      <c r="G140" s="441"/>
      <c r="H140" s="255"/>
      <c r="I140" s="442"/>
      <c r="J140" s="443"/>
      <c r="K140" s="443"/>
      <c r="R140" s="62"/>
    </row>
    <row r="141" ht="15.75" customHeight="1">
      <c r="A141" s="438"/>
      <c r="B141" s="430"/>
      <c r="C141" s="275"/>
      <c r="D141" s="439"/>
      <c r="E141" s="254"/>
      <c r="F141" s="440"/>
      <c r="G141" s="441"/>
      <c r="H141" s="255"/>
      <c r="I141" s="442"/>
      <c r="J141" s="443"/>
      <c r="K141" s="443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customHeight="1">
      <c r="A145" s="438"/>
      <c r="B145" s="430"/>
      <c r="C145" s="275"/>
      <c r="D145" s="439"/>
      <c r="E145" s="254"/>
      <c r="F145" s="440"/>
      <c r="G145" s="441"/>
      <c r="H145" s="255"/>
      <c r="I145" s="442"/>
      <c r="J145" s="443"/>
      <c r="K145" s="443"/>
      <c r="R145" s="62"/>
    </row>
    <row r="146" ht="15.75" customHeight="1">
      <c r="A146" s="438"/>
      <c r="B146" s="430"/>
      <c r="C146" s="275"/>
      <c r="D146" s="439"/>
      <c r="E146" s="254"/>
      <c r="F146" s="440"/>
      <c r="G146" s="441"/>
      <c r="H146" s="255"/>
      <c r="I146" s="442"/>
      <c r="J146" s="443"/>
      <c r="K146" s="443"/>
      <c r="R146" s="62"/>
    </row>
    <row r="147" ht="15.75" customHeight="1">
      <c r="A147" s="438"/>
      <c r="B147" s="430"/>
      <c r="C147" s="275"/>
      <c r="D147" s="439"/>
      <c r="E147" s="254"/>
      <c r="F147" s="440"/>
      <c r="G147" s="441"/>
      <c r="H147" s="255"/>
      <c r="I147" s="442"/>
      <c r="J147" s="443"/>
      <c r="K147" s="443"/>
      <c r="R147" s="62"/>
    </row>
    <row r="148" ht="15.75" customHeight="1">
      <c r="A148" s="438"/>
      <c r="B148" s="430"/>
      <c r="C148" s="275"/>
      <c r="D148" s="439"/>
      <c r="E148" s="254"/>
      <c r="F148" s="440"/>
      <c r="G148" s="441"/>
      <c r="H148" s="255"/>
      <c r="I148" s="442"/>
      <c r="J148" s="443"/>
      <c r="K148" s="443"/>
      <c r="R148" s="62"/>
    </row>
    <row r="149" ht="15.75" customHeight="1">
      <c r="A149" s="438"/>
      <c r="B149" s="430"/>
      <c r="C149" s="275"/>
      <c r="D149" s="439"/>
      <c r="E149" s="254"/>
      <c r="F149" s="440"/>
      <c r="G149" s="441"/>
      <c r="H149" s="255"/>
      <c r="I149" s="442"/>
      <c r="J149" s="443"/>
      <c r="K149" s="443"/>
      <c r="R149" s="62"/>
    </row>
    <row r="150" ht="15.75" customHeight="1">
      <c r="A150" s="438"/>
      <c r="B150" s="430"/>
      <c r="C150" s="275"/>
      <c r="D150" s="439"/>
      <c r="E150" s="254"/>
      <c r="F150" s="440"/>
      <c r="G150" s="441"/>
      <c r="H150" s="255"/>
      <c r="I150" s="442"/>
      <c r="J150" s="443"/>
      <c r="K150" s="443"/>
      <c r="R150" s="62"/>
    </row>
    <row r="151" ht="15.75" customHeight="1">
      <c r="A151" s="438"/>
      <c r="B151" s="430"/>
      <c r="C151" s="275"/>
      <c r="D151" s="439"/>
      <c r="E151" s="254"/>
      <c r="F151" s="440"/>
      <c r="G151" s="441"/>
      <c r="H151" s="255"/>
      <c r="I151" s="442"/>
      <c r="J151" s="443"/>
      <c r="K151" s="443"/>
      <c r="R151" s="62"/>
    </row>
    <row r="152" ht="15.75" customHeight="1">
      <c r="A152" s="438"/>
      <c r="B152" s="430"/>
      <c r="C152" s="275"/>
      <c r="D152" s="439"/>
      <c r="E152" s="254"/>
      <c r="F152" s="440"/>
      <c r="G152" s="441"/>
      <c r="H152" s="255"/>
      <c r="I152" s="442"/>
      <c r="J152" s="443"/>
      <c r="K152" s="443"/>
      <c r="R152" s="62"/>
    </row>
    <row r="153" ht="15.75" customHeight="1">
      <c r="A153" s="438"/>
      <c r="B153" s="430"/>
      <c r="C153" s="275"/>
      <c r="D153" s="439"/>
      <c r="E153" s="254"/>
      <c r="F153" s="440"/>
      <c r="G153" s="441"/>
      <c r="H153" s="255"/>
      <c r="I153" s="442"/>
      <c r="J153" s="443"/>
      <c r="K153" s="443"/>
      <c r="R153" s="62"/>
    </row>
    <row r="154" ht="15.75" customHeight="1">
      <c r="A154" s="438"/>
      <c r="B154" s="430"/>
      <c r="C154" s="275"/>
      <c r="D154" s="439"/>
      <c r="E154" s="254"/>
      <c r="F154" s="440"/>
      <c r="G154" s="441"/>
      <c r="H154" s="255"/>
      <c r="I154" s="442"/>
      <c r="J154" s="443"/>
      <c r="K154" s="443"/>
      <c r="R154" s="62"/>
    </row>
    <row r="155" ht="15.75" customHeight="1">
      <c r="A155" s="438"/>
      <c r="B155" s="430"/>
      <c r="C155" s="275"/>
      <c r="D155" s="439"/>
      <c r="E155" s="254"/>
      <c r="F155" s="440"/>
      <c r="G155" s="441"/>
      <c r="H155" s="255"/>
      <c r="I155" s="442"/>
      <c r="J155" s="443"/>
      <c r="K155" s="443"/>
      <c r="R155" s="62"/>
    </row>
    <row r="156" ht="15.75" customHeight="1">
      <c r="A156" s="438"/>
      <c r="B156" s="430"/>
      <c r="C156" s="275"/>
      <c r="D156" s="439"/>
      <c r="E156" s="254"/>
      <c r="F156" s="440"/>
      <c r="G156" s="441"/>
      <c r="H156" s="255"/>
      <c r="I156" s="442"/>
      <c r="J156" s="443"/>
      <c r="K156" s="443"/>
      <c r="R156" s="62"/>
    </row>
    <row r="157" ht="15.75" customHeight="1">
      <c r="A157" s="438"/>
      <c r="B157" s="430"/>
      <c r="C157" s="275"/>
      <c r="D157" s="439"/>
      <c r="E157" s="254"/>
      <c r="F157" s="440"/>
      <c r="G157" s="441"/>
      <c r="H157" s="255"/>
      <c r="I157" s="442"/>
      <c r="J157" s="443"/>
      <c r="K157" s="443"/>
      <c r="R157" s="62"/>
    </row>
    <row r="158" ht="15.75" customHeight="1">
      <c r="A158" s="438"/>
      <c r="B158" s="430"/>
      <c r="C158" s="275"/>
      <c r="D158" s="439"/>
      <c r="E158" s="254"/>
      <c r="F158" s="440"/>
      <c r="G158" s="441"/>
      <c r="H158" s="255"/>
      <c r="I158" s="442"/>
      <c r="J158" s="443"/>
      <c r="K158" s="443"/>
      <c r="R158" s="62"/>
    </row>
    <row r="159" ht="15.75" customHeight="1">
      <c r="A159" s="438"/>
      <c r="B159" s="430"/>
      <c r="C159" s="275"/>
      <c r="D159" s="439"/>
      <c r="E159" s="254"/>
      <c r="F159" s="440"/>
      <c r="G159" s="441"/>
      <c r="H159" s="255"/>
      <c r="I159" s="442"/>
      <c r="J159" s="443"/>
      <c r="K159" s="443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438"/>
      <c r="B163" s="430"/>
      <c r="C163" s="275"/>
      <c r="D163" s="439"/>
      <c r="E163" s="254"/>
      <c r="F163" s="440"/>
      <c r="G163" s="441"/>
      <c r="H163" s="255"/>
      <c r="I163" s="442"/>
      <c r="J163" s="443"/>
      <c r="K163" s="443"/>
      <c r="R163" s="62"/>
    </row>
    <row r="164" ht="15.75" customHeight="1">
      <c r="A164" s="438"/>
      <c r="B164" s="430"/>
      <c r="C164" s="275"/>
      <c r="D164" s="439"/>
      <c r="E164" s="254"/>
      <c r="F164" s="440"/>
      <c r="G164" s="441"/>
      <c r="H164" s="255"/>
      <c r="I164" s="442"/>
      <c r="J164" s="443"/>
      <c r="K164" s="443"/>
      <c r="R164" s="62"/>
    </row>
    <row r="165" ht="15.75" customHeight="1">
      <c r="A165" s="438"/>
      <c r="B165" s="430"/>
      <c r="C165" s="275"/>
      <c r="D165" s="439"/>
      <c r="E165" s="254"/>
      <c r="F165" s="440"/>
      <c r="G165" s="441"/>
      <c r="H165" s="255"/>
      <c r="I165" s="442"/>
      <c r="J165" s="443"/>
      <c r="K165" s="443"/>
      <c r="R165" s="62"/>
    </row>
    <row r="166" ht="15.75" customHeight="1">
      <c r="A166" s="438"/>
      <c r="B166" s="430"/>
      <c r="C166" s="275"/>
      <c r="D166" s="439"/>
      <c r="E166" s="254"/>
      <c r="F166" s="440"/>
      <c r="G166" s="441"/>
      <c r="H166" s="255"/>
      <c r="I166" s="442"/>
      <c r="J166" s="443"/>
      <c r="K166" s="443"/>
      <c r="R166" s="62"/>
    </row>
    <row r="167" ht="15.75" customHeight="1">
      <c r="A167" s="438"/>
      <c r="B167" s="430"/>
      <c r="C167" s="275"/>
      <c r="D167" s="439"/>
      <c r="E167" s="254"/>
      <c r="F167" s="440"/>
      <c r="G167" s="441"/>
      <c r="H167" s="255"/>
      <c r="I167" s="442"/>
      <c r="J167" s="443"/>
      <c r="K167" s="443"/>
      <c r="R167" s="62"/>
    </row>
    <row r="168" ht="15.75" customHeight="1">
      <c r="A168" s="438"/>
      <c r="B168" s="430"/>
      <c r="C168" s="275"/>
      <c r="D168" s="439"/>
      <c r="E168" s="254"/>
      <c r="F168" s="440"/>
      <c r="G168" s="441"/>
      <c r="H168" s="255"/>
      <c r="I168" s="442"/>
      <c r="J168" s="443"/>
      <c r="K168" s="443"/>
      <c r="R168" s="62"/>
    </row>
    <row r="169" ht="15.75" customHeight="1">
      <c r="A169" s="438"/>
      <c r="B169" s="430"/>
      <c r="C169" s="275"/>
      <c r="D169" s="439"/>
      <c r="E169" s="254"/>
      <c r="F169" s="440"/>
      <c r="G169" s="441"/>
      <c r="H169" s="255"/>
      <c r="I169" s="442"/>
      <c r="J169" s="443"/>
      <c r="K169" s="443"/>
      <c r="R169" s="62"/>
    </row>
    <row r="170" ht="15.75" customHeight="1">
      <c r="A170" s="438"/>
      <c r="B170" s="430"/>
      <c r="C170" s="275"/>
      <c r="D170" s="439"/>
      <c r="E170" s="254"/>
      <c r="F170" s="440"/>
      <c r="G170" s="441"/>
      <c r="H170" s="255"/>
      <c r="I170" s="442"/>
      <c r="J170" s="443"/>
      <c r="K170" s="443"/>
      <c r="R170" s="62"/>
    </row>
    <row r="171" ht="15.75" customHeight="1">
      <c r="A171" s="438"/>
      <c r="B171" s="430"/>
      <c r="C171" s="275"/>
      <c r="D171" s="439"/>
      <c r="E171" s="254"/>
      <c r="F171" s="440"/>
      <c r="G171" s="441"/>
      <c r="H171" s="255"/>
      <c r="I171" s="442"/>
      <c r="J171" s="443"/>
      <c r="K171" s="443"/>
      <c r="R171" s="62"/>
    </row>
    <row r="172" ht="15.75" customHeight="1">
      <c r="A172" s="438"/>
      <c r="B172" s="430"/>
      <c r="C172" s="275"/>
      <c r="D172" s="439"/>
      <c r="E172" s="254"/>
      <c r="F172" s="440"/>
      <c r="G172" s="441"/>
      <c r="H172" s="255"/>
      <c r="I172" s="442"/>
      <c r="J172" s="443"/>
      <c r="K172" s="443"/>
      <c r="R172" s="62"/>
    </row>
    <row r="173" ht="15.75" customHeight="1">
      <c r="A173" s="438"/>
      <c r="B173" s="430"/>
      <c r="C173" s="275"/>
      <c r="D173" s="439"/>
      <c r="E173" s="254"/>
      <c r="F173" s="440"/>
      <c r="G173" s="441"/>
      <c r="H173" s="255"/>
      <c r="I173" s="442"/>
      <c r="J173" s="443"/>
      <c r="K173" s="443"/>
      <c r="R173" s="62"/>
    </row>
    <row r="174" ht="15.75" customHeight="1">
      <c r="A174" s="438"/>
      <c r="B174" s="430"/>
      <c r="C174" s="275"/>
      <c r="D174" s="439"/>
      <c r="E174" s="254"/>
      <c r="F174" s="440"/>
      <c r="G174" s="441"/>
      <c r="H174" s="255"/>
      <c r="I174" s="442"/>
      <c r="J174" s="443"/>
      <c r="K174" s="443"/>
      <c r="R174" s="62"/>
    </row>
    <row r="175" ht="15.75" customHeight="1">
      <c r="A175" s="438"/>
      <c r="B175" s="430"/>
      <c r="C175" s="275"/>
      <c r="D175" s="439"/>
      <c r="E175" s="254"/>
      <c r="F175" s="440"/>
      <c r="G175" s="441"/>
      <c r="H175" s="255"/>
      <c r="I175" s="442"/>
      <c r="J175" s="443"/>
      <c r="K175" s="443"/>
      <c r="R175" s="62"/>
    </row>
    <row r="176" ht="15.75" customHeight="1">
      <c r="A176" s="438"/>
      <c r="B176" s="430"/>
      <c r="C176" s="275"/>
      <c r="D176" s="439"/>
      <c r="E176" s="254"/>
      <c r="F176" s="440"/>
      <c r="G176" s="441"/>
      <c r="H176" s="255"/>
      <c r="I176" s="442"/>
      <c r="J176" s="443"/>
      <c r="K176" s="443"/>
      <c r="R176" s="62"/>
    </row>
    <row r="177" ht="15.75" customHeight="1">
      <c r="A177" s="438"/>
      <c r="B177" s="430"/>
      <c r="C177" s="275"/>
      <c r="D177" s="439"/>
      <c r="E177" s="254"/>
      <c r="F177" s="440"/>
      <c r="G177" s="441"/>
      <c r="H177" s="255"/>
      <c r="I177" s="442"/>
      <c r="J177" s="443"/>
      <c r="K177" s="443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K1"/>
    <mergeCell ref="A2:K2"/>
    <mergeCell ref="N4:Q4"/>
    <mergeCell ref="N5:Q5"/>
    <mergeCell ref="A19:K19"/>
    <mergeCell ref="N22:Q22"/>
    <mergeCell ref="N23:Q23"/>
    <mergeCell ref="A20:K20"/>
    <mergeCell ref="A36:K36"/>
    <mergeCell ref="A37:K37"/>
    <mergeCell ref="N39:Q39"/>
    <mergeCell ref="N40:Q40"/>
    <mergeCell ref="A54:K54"/>
    <mergeCell ref="A55:K55"/>
    <mergeCell ref="A91:K91"/>
    <mergeCell ref="N93:Q93"/>
    <mergeCell ref="N94:Q94"/>
    <mergeCell ref="A108:K108"/>
    <mergeCell ref="A109:K109"/>
    <mergeCell ref="N111:Q111"/>
    <mergeCell ref="N112:Q112"/>
    <mergeCell ref="N127:Q127"/>
    <mergeCell ref="N57:Q57"/>
    <mergeCell ref="N58:Q58"/>
    <mergeCell ref="A72:K72"/>
    <mergeCell ref="A73:K73"/>
    <mergeCell ref="N75:Q75"/>
    <mergeCell ref="N76:Q76"/>
    <mergeCell ref="A90:K90"/>
  </mergeCells>
  <dataValidations>
    <dataValidation type="list" allowBlank="1" showErrorMessage="1" sqref="I4:I15 I22:I33 I39:I50 I57:I68 I75:I86 I93:I104 I111:I122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5.0"/>
    <col customWidth="1" min="8" max="8" width="15.75"/>
    <col customWidth="1" min="9" max="9" width="20.38"/>
    <col customWidth="1" min="10" max="10" width="15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2271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426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1980</v>
      </c>
      <c r="C4" s="69" t="str">
        <f t="shared" ref="C4:C15" si="1">PROPER(TEXT(DATE(MID($A$2,7,4),MID($A$2,4,2),LEFT($A$2,2)),"dddd"))</f>
        <v>Segunda-Feira</v>
      </c>
      <c r="D4" s="445" t="str">
        <f>IF(C4&lt;&gt;"Quarta-Feira","13:00","08:00")</f>
        <v>13:00</v>
      </c>
      <c r="E4" s="253" t="s">
        <v>2272</v>
      </c>
      <c r="F4" s="206">
        <v>2.01153634530006E14</v>
      </c>
      <c r="G4" s="125" t="s">
        <v>2273</v>
      </c>
      <c r="H4" s="126">
        <v>17306.0</v>
      </c>
      <c r="I4" s="30" t="s">
        <v>182</v>
      </c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95"/>
    </row>
    <row r="5" ht="15.75" customHeight="1">
      <c r="A5" s="11" t="s">
        <v>11</v>
      </c>
      <c r="B5" s="205" t="s">
        <v>1984</v>
      </c>
      <c r="C5" s="69" t="str">
        <f t="shared" si="1"/>
        <v>Segunda-Feira</v>
      </c>
      <c r="D5" s="445" t="str">
        <f>IF(C5&lt;&gt;"Quarta-Feira","13:20","08:20")</f>
        <v>13:20</v>
      </c>
      <c r="E5" s="253" t="s">
        <v>2274</v>
      </c>
      <c r="F5" s="446">
        <v>7.04701768851833E14</v>
      </c>
      <c r="G5" s="447" t="s">
        <v>1998</v>
      </c>
      <c r="H5" s="448">
        <v>21927.0</v>
      </c>
      <c r="I5" s="30" t="s">
        <v>182</v>
      </c>
      <c r="J5" s="69"/>
      <c r="K5" s="69"/>
      <c r="M5" s="236"/>
      <c r="N5" s="239" t="s">
        <v>1823</v>
      </c>
      <c r="O5" s="2"/>
      <c r="P5" s="2"/>
      <c r="Q5" s="2"/>
      <c r="R5" s="2"/>
    </row>
    <row r="6" ht="15.75" customHeight="1">
      <c r="A6" s="11" t="s">
        <v>12</v>
      </c>
      <c r="B6" s="205" t="s">
        <v>1988</v>
      </c>
      <c r="C6" s="69" t="str">
        <f t="shared" si="1"/>
        <v>Segunda-Feira</v>
      </c>
      <c r="D6" s="445" t="str">
        <f>IF(C6&lt;&gt;"Quarta-Feira","13:40","08:40")</f>
        <v>13:40</v>
      </c>
      <c r="E6" s="253" t="s">
        <v>2275</v>
      </c>
      <c r="F6" s="206">
        <v>8.98001440717585E14</v>
      </c>
      <c r="G6" s="125" t="s">
        <v>2276</v>
      </c>
      <c r="H6" s="126">
        <v>26825.0</v>
      </c>
      <c r="I6" s="30" t="s">
        <v>182</v>
      </c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customHeight="1">
      <c r="A7" s="11" t="s">
        <v>13</v>
      </c>
      <c r="B7" s="205" t="s">
        <v>1991</v>
      </c>
      <c r="C7" s="69" t="str">
        <f t="shared" si="1"/>
        <v>Segunda-Feira</v>
      </c>
      <c r="D7" s="445" t="str">
        <f>IF(C7&lt;&gt;"Quarta-Feira","14:00","09:00")</f>
        <v>14:00</v>
      </c>
      <c r="E7" s="253" t="s">
        <v>2277</v>
      </c>
      <c r="F7" s="69">
        <v>7.05001254891159E14</v>
      </c>
      <c r="G7" s="125" t="s">
        <v>2278</v>
      </c>
      <c r="H7" s="429">
        <v>21557.0</v>
      </c>
      <c r="I7" s="30" t="s">
        <v>182</v>
      </c>
      <c r="J7" s="69"/>
      <c r="K7" s="69"/>
      <c r="M7" s="62"/>
      <c r="N7" s="244">
        <f t="shared" ref="N7:R7" si="2">COUNTIFS(I$4:I$15,N6)</f>
        <v>10</v>
      </c>
      <c r="O7" s="244">
        <f t="shared" si="2"/>
        <v>0</v>
      </c>
      <c r="P7" s="244">
        <f t="shared" si="2"/>
        <v>0</v>
      </c>
      <c r="Q7" s="244">
        <f t="shared" si="2"/>
        <v>0</v>
      </c>
      <c r="R7" s="449">
        <f t="shared" si="2"/>
        <v>0</v>
      </c>
      <c r="S7" s="343"/>
      <c r="T7" s="343"/>
      <c r="U7" s="343"/>
      <c r="V7" s="343"/>
      <c r="W7" s="343"/>
      <c r="X7" s="450"/>
    </row>
    <row r="8" ht="15.75" customHeight="1">
      <c r="A8" s="11" t="s">
        <v>14</v>
      </c>
      <c r="B8" s="205" t="s">
        <v>1980</v>
      </c>
      <c r="C8" s="69" t="str">
        <f t="shared" si="1"/>
        <v>Segunda-Feira</v>
      </c>
      <c r="D8" s="445" t="str">
        <f>IF(C8&lt;&gt;"Quarta-Feira","14:20","09:20")</f>
        <v>14:20</v>
      </c>
      <c r="E8" s="253" t="s">
        <v>2279</v>
      </c>
      <c r="F8" s="206">
        <v>8.01440487532088E14</v>
      </c>
      <c r="G8" s="265" t="s">
        <v>2280</v>
      </c>
      <c r="H8" s="451">
        <v>23552.0</v>
      </c>
      <c r="I8" s="30" t="s">
        <v>182</v>
      </c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customHeight="1">
      <c r="A9" s="11" t="s">
        <v>15</v>
      </c>
      <c r="B9" s="205" t="s">
        <v>1984</v>
      </c>
      <c r="C9" s="69" t="str">
        <f t="shared" si="1"/>
        <v>Segunda-Feira</v>
      </c>
      <c r="D9" s="445" t="str">
        <f>IF(C9&lt;&gt;"Quarta-Feira","14:40","09:40")</f>
        <v>14:40</v>
      </c>
      <c r="E9" s="253" t="s">
        <v>314</v>
      </c>
      <c r="F9" s="452">
        <v>7.05405422875593E14</v>
      </c>
      <c r="G9" s="447" t="s">
        <v>315</v>
      </c>
      <c r="H9" s="448">
        <v>21221.0</v>
      </c>
      <c r="I9" s="30" t="s">
        <v>182</v>
      </c>
      <c r="J9" s="69"/>
      <c r="K9" s="69"/>
      <c r="L9" s="197" t="s">
        <v>393</v>
      </c>
      <c r="R9" s="62"/>
    </row>
    <row r="10" ht="15.75" customHeight="1">
      <c r="A10" s="11" t="s">
        <v>16</v>
      </c>
      <c r="B10" s="205" t="s">
        <v>1988</v>
      </c>
      <c r="C10" s="69" t="str">
        <f t="shared" si="1"/>
        <v>Segunda-Feira</v>
      </c>
      <c r="D10" s="445" t="str">
        <f>IF(C10&lt;&gt;"Quarta-Feira","15:00","10:00")</f>
        <v>15:00</v>
      </c>
      <c r="E10" s="253" t="s">
        <v>2281</v>
      </c>
      <c r="F10" s="206">
        <v>7.08002375171721E14</v>
      </c>
      <c r="G10" s="125" t="s">
        <v>2282</v>
      </c>
      <c r="H10" s="126">
        <v>30949.0</v>
      </c>
      <c r="I10" s="30" t="s">
        <v>1822</v>
      </c>
      <c r="J10" s="69"/>
      <c r="K10" s="69"/>
      <c r="L10" s="197" t="s">
        <v>393</v>
      </c>
      <c r="R10" s="62"/>
    </row>
    <row r="11" ht="15.75" customHeight="1">
      <c r="A11" s="11" t="s">
        <v>17</v>
      </c>
      <c r="B11" s="205" t="s">
        <v>1991</v>
      </c>
      <c r="C11" s="69" t="str">
        <f t="shared" si="1"/>
        <v>Segunda-Feira</v>
      </c>
      <c r="D11" s="445" t="str">
        <f>IF(C11&lt;&gt;"Quarta-Feira","15:20","10:20")</f>
        <v>15:20</v>
      </c>
      <c r="E11" s="253" t="s">
        <v>2283</v>
      </c>
      <c r="F11" s="206">
        <v>7.09203273178236E14</v>
      </c>
      <c r="G11" s="125" t="s">
        <v>2284</v>
      </c>
      <c r="H11" s="432">
        <v>39280.0</v>
      </c>
      <c r="I11" s="30" t="s">
        <v>182</v>
      </c>
      <c r="J11" s="69"/>
      <c r="K11" s="69"/>
      <c r="L11" s="197" t="s">
        <v>393</v>
      </c>
      <c r="R11" s="62"/>
    </row>
    <row r="12" ht="15.75" customHeight="1">
      <c r="A12" s="11" t="s">
        <v>85</v>
      </c>
      <c r="B12" s="205" t="s">
        <v>1980</v>
      </c>
      <c r="C12" s="69" t="str">
        <f t="shared" si="1"/>
        <v>Segunda-Feira</v>
      </c>
      <c r="D12" s="445" t="str">
        <f>IF(C12&lt;&gt;"Quarta-Feira","15:40","10:40")</f>
        <v>15:40</v>
      </c>
      <c r="E12" s="253" t="s">
        <v>2285</v>
      </c>
      <c r="F12" s="69">
        <v>7.05006635772958E14</v>
      </c>
      <c r="G12" s="154" t="s">
        <v>2286</v>
      </c>
      <c r="H12" s="78">
        <v>17469.0</v>
      </c>
      <c r="I12" s="30" t="s">
        <v>182</v>
      </c>
      <c r="J12" s="69"/>
      <c r="K12" s="69"/>
      <c r="L12" s="197" t="s">
        <v>393</v>
      </c>
      <c r="R12" s="62"/>
    </row>
    <row r="13" ht="15.75" customHeight="1">
      <c r="A13" s="11" t="s">
        <v>87</v>
      </c>
      <c r="B13" s="205" t="s">
        <v>1984</v>
      </c>
      <c r="C13" s="69" t="str">
        <f t="shared" si="1"/>
        <v>Segunda-Feira</v>
      </c>
      <c r="D13" s="445" t="str">
        <f>IF(C13&lt;&gt;"Quarta-Feira","16:00","11:00")</f>
        <v>16:00</v>
      </c>
      <c r="E13" s="253" t="s">
        <v>2287</v>
      </c>
      <c r="F13" s="69">
        <v>7.06007369747348E14</v>
      </c>
      <c r="G13" s="154" t="s">
        <v>2006</v>
      </c>
      <c r="H13" s="153">
        <v>18150.0</v>
      </c>
      <c r="I13" s="30" t="s">
        <v>182</v>
      </c>
      <c r="J13" s="69"/>
      <c r="K13" s="69"/>
      <c r="L13" s="197" t="s">
        <v>393</v>
      </c>
      <c r="R13" s="62"/>
    </row>
    <row r="14" ht="15.75" customHeight="1">
      <c r="A14" s="11" t="s">
        <v>90</v>
      </c>
      <c r="B14" s="205" t="s">
        <v>1988</v>
      </c>
      <c r="C14" s="69" t="str">
        <f t="shared" si="1"/>
        <v>Segunda-Feira</v>
      </c>
      <c r="D14" s="445" t="str">
        <f>IF(C14&lt;&gt;"Quarta-Feira","16:20","11:20")</f>
        <v>16:20</v>
      </c>
      <c r="E14" s="253" t="s">
        <v>2288</v>
      </c>
      <c r="F14" s="69">
        <v>7.04800587695846E14</v>
      </c>
      <c r="G14" s="154" t="s">
        <v>2289</v>
      </c>
      <c r="H14" s="153">
        <v>36003.0</v>
      </c>
      <c r="I14" s="30" t="s">
        <v>1822</v>
      </c>
      <c r="J14" s="69"/>
      <c r="K14" s="69"/>
      <c r="L14" s="197" t="s">
        <v>393</v>
      </c>
      <c r="R14" s="62"/>
    </row>
    <row r="15" ht="15.75" customHeight="1">
      <c r="A15" s="11" t="s">
        <v>93</v>
      </c>
      <c r="B15" s="205" t="s">
        <v>1991</v>
      </c>
      <c r="C15" s="69" t="str">
        <f t="shared" si="1"/>
        <v>Segunda-Feira</v>
      </c>
      <c r="D15" s="445" t="str">
        <f>IF(C15&lt;&gt;"Quarta-Feira","16:40","11:40")</f>
        <v>16:40</v>
      </c>
      <c r="E15" s="253" t="s">
        <v>2290</v>
      </c>
      <c r="F15" s="69">
        <v>7.00306986569337E14</v>
      </c>
      <c r="G15" s="154" t="s">
        <v>2291</v>
      </c>
      <c r="H15" s="153">
        <v>24609.0</v>
      </c>
      <c r="I15" s="30" t="s">
        <v>182</v>
      </c>
      <c r="J15" s="69"/>
      <c r="K15" s="69"/>
      <c r="L15" s="197" t="s">
        <v>393</v>
      </c>
      <c r="R15" s="62"/>
    </row>
    <row r="16" ht="15.75" customHeight="1">
      <c r="B16" s="167"/>
      <c r="E16" s="231"/>
      <c r="G16" s="167"/>
      <c r="J16" s="62"/>
      <c r="K16" s="62"/>
      <c r="R16" s="62"/>
    </row>
    <row r="17" ht="15.75" customHeight="1">
      <c r="B17" s="167"/>
      <c r="E17" s="231"/>
      <c r="G17" s="167"/>
      <c r="J17" s="62"/>
      <c r="K17" s="62"/>
      <c r="R17" s="62"/>
    </row>
    <row r="18" ht="15.75" customHeight="1">
      <c r="B18" s="167"/>
      <c r="E18" s="231"/>
      <c r="G18" s="167"/>
      <c r="J18" s="62"/>
      <c r="K18" s="62"/>
      <c r="R18" s="62"/>
    </row>
    <row r="19" ht="15.75" customHeight="1">
      <c r="A19" s="20" t="s">
        <v>377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22.5" customHeight="1">
      <c r="A20" s="21" t="str">
        <f>TEXT(DATE(VALUE(MID(A2,7,4)),VALUE(MID(A2,4,2)),VALUE(LEFT(A2,2)))+2,"dd/mm/yyyy")&amp;" 08h às 13h"</f>
        <v>04/03/2026 08h às 13h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7.25" customHeight="1">
      <c r="A21" s="22"/>
      <c r="B21" s="426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125" t="s">
        <v>65</v>
      </c>
      <c r="C22" s="69" t="str">
        <f t="shared" ref="C22:C33" si="3">PROPER(TEXT(DATE(MID($A$20,7,4),MID($A$20,4,2),LEFT($A$20,2)),"dddd"))</f>
        <v>Quarta-Feira</v>
      </c>
      <c r="D22" s="445" t="str">
        <f>IF(C22&lt;&gt;"Quarta-Feira","13:00","08:00")</f>
        <v>08:00</v>
      </c>
      <c r="E22" s="253" t="s">
        <v>2292</v>
      </c>
      <c r="F22" s="69">
        <v>8.98001403736504E14</v>
      </c>
      <c r="G22" s="154" t="s">
        <v>2293</v>
      </c>
      <c r="H22" s="156">
        <v>22051.0</v>
      </c>
      <c r="I22" s="69" t="s">
        <v>182</v>
      </c>
      <c r="J22" s="69" t="s">
        <v>2294</v>
      </c>
      <c r="K22" s="69" t="s">
        <v>2295</v>
      </c>
      <c r="N22" s="237" t="s">
        <v>386</v>
      </c>
      <c r="O22" s="95"/>
      <c r="P22" s="95"/>
      <c r="Q22" s="95"/>
      <c r="R22" s="95"/>
    </row>
    <row r="23" ht="15.75" customHeight="1">
      <c r="A23" s="11" t="s">
        <v>11</v>
      </c>
      <c r="B23" s="125" t="s">
        <v>201</v>
      </c>
      <c r="C23" s="69" t="str">
        <f t="shared" si="3"/>
        <v>Quarta-Feira</v>
      </c>
      <c r="D23" s="445" t="str">
        <f>IF(C23&lt;&gt;"Quarta-Feira","13:20","08:20")</f>
        <v>08:20</v>
      </c>
      <c r="E23" s="253" t="s">
        <v>1375</v>
      </c>
      <c r="F23" s="69">
        <v>7.00505900226352E14</v>
      </c>
      <c r="G23" s="154" t="s">
        <v>1376</v>
      </c>
      <c r="H23" s="153">
        <v>22768.0</v>
      </c>
      <c r="I23" s="69" t="s">
        <v>1822</v>
      </c>
      <c r="J23" s="69" t="s">
        <v>2296</v>
      </c>
      <c r="K23" s="69"/>
      <c r="N23" s="239" t="s">
        <v>1823</v>
      </c>
      <c r="O23" s="2"/>
      <c r="P23" s="2"/>
      <c r="Q23" s="2"/>
      <c r="R23" s="2"/>
    </row>
    <row r="24" ht="15.75" customHeight="1">
      <c r="A24" s="11" t="s">
        <v>12</v>
      </c>
      <c r="B24" s="125" t="s">
        <v>1447</v>
      </c>
      <c r="C24" s="69" t="str">
        <f t="shared" si="3"/>
        <v>Quarta-Feira</v>
      </c>
      <c r="D24" s="445" t="str">
        <f>IF(C24&lt;&gt;"Quarta-Feira","13:40","08:40")</f>
        <v>08:40</v>
      </c>
      <c r="E24" s="253"/>
      <c r="F24" s="69"/>
      <c r="G24" s="154"/>
      <c r="H24" s="153"/>
      <c r="I24" s="69" t="s">
        <v>180</v>
      </c>
      <c r="J24" s="69"/>
      <c r="K24" s="69"/>
      <c r="N24" s="240" t="s">
        <v>182</v>
      </c>
      <c r="O24" s="241" t="s">
        <v>194</v>
      </c>
      <c r="P24" s="241" t="s">
        <v>180</v>
      </c>
      <c r="Q24" s="242" t="s">
        <v>172</v>
      </c>
      <c r="R24" s="242" t="s">
        <v>1822</v>
      </c>
    </row>
    <row r="25" ht="15.75" customHeight="1">
      <c r="A25" s="11" t="s">
        <v>13</v>
      </c>
      <c r="B25" s="125" t="s">
        <v>821</v>
      </c>
      <c r="C25" s="69" t="str">
        <f t="shared" si="3"/>
        <v>Quarta-Feira</v>
      </c>
      <c r="D25" s="445" t="str">
        <f>IF(C25&lt;&gt;"Quarta-Feira","14:00","09:00")</f>
        <v>09:00</v>
      </c>
      <c r="E25" s="253" t="s">
        <v>2297</v>
      </c>
      <c r="F25" s="69">
        <v>7.00004686069003E14</v>
      </c>
      <c r="G25" s="154" t="s">
        <v>2298</v>
      </c>
      <c r="H25" s="153">
        <v>22031.0</v>
      </c>
      <c r="I25" s="69" t="s">
        <v>182</v>
      </c>
      <c r="J25" s="69" t="s">
        <v>2299</v>
      </c>
      <c r="K25" s="69"/>
      <c r="L25" s="197" t="s">
        <v>441</v>
      </c>
      <c r="N25" s="244">
        <f>COUNTIFS(I$22:I$33,N24)</f>
        <v>6</v>
      </c>
      <c r="O25" s="244">
        <f t="shared" ref="O25:R25" si="4">COUNTIFS($I$22:$I$33,O24)</f>
        <v>0</v>
      </c>
      <c r="P25" s="244">
        <f t="shared" si="4"/>
        <v>3</v>
      </c>
      <c r="Q25" s="244">
        <f t="shared" si="4"/>
        <v>0</v>
      </c>
      <c r="R25" s="62">
        <f t="shared" si="4"/>
        <v>3</v>
      </c>
    </row>
    <row r="26" ht="15.75" customHeight="1">
      <c r="A26" s="11" t="s">
        <v>14</v>
      </c>
      <c r="B26" s="125" t="s">
        <v>201</v>
      </c>
      <c r="C26" s="69" t="str">
        <f t="shared" si="3"/>
        <v>Quarta-Feira</v>
      </c>
      <c r="D26" s="445" t="str">
        <f>IF(C26&lt;&gt;"Quarta-Feira","14:20","09:20")</f>
        <v>09:20</v>
      </c>
      <c r="E26" s="253" t="s">
        <v>2300</v>
      </c>
      <c r="F26" s="69">
        <v>7.00003025039501E14</v>
      </c>
      <c r="G26" s="154" t="s">
        <v>2301</v>
      </c>
      <c r="H26" s="153">
        <v>25471.0</v>
      </c>
      <c r="I26" s="69" t="s">
        <v>1822</v>
      </c>
      <c r="J26" s="69" t="s">
        <v>2302</v>
      </c>
      <c r="K26" s="69" t="s">
        <v>2303</v>
      </c>
      <c r="L26" s="197" t="s">
        <v>441</v>
      </c>
      <c r="R26" s="62"/>
    </row>
    <row r="27" ht="15.75" customHeight="1">
      <c r="A27" s="11" t="s">
        <v>15</v>
      </c>
      <c r="B27" s="125" t="s">
        <v>1447</v>
      </c>
      <c r="C27" s="69" t="str">
        <f t="shared" si="3"/>
        <v>Quarta-Feira</v>
      </c>
      <c r="D27" s="445" t="str">
        <f>IF(C27&lt;&gt;"Quarta-Feira","14:40","09:40")</f>
        <v>09:40</v>
      </c>
      <c r="E27" s="253"/>
      <c r="F27" s="69"/>
      <c r="G27" s="154"/>
      <c r="H27" s="153"/>
      <c r="I27" s="69" t="s">
        <v>180</v>
      </c>
      <c r="J27" s="69"/>
      <c r="K27" s="69"/>
      <c r="L27" s="197" t="s">
        <v>441</v>
      </c>
      <c r="R27" s="62"/>
    </row>
    <row r="28" ht="15.75" customHeight="1">
      <c r="A28" s="11" t="s">
        <v>16</v>
      </c>
      <c r="B28" s="125" t="s">
        <v>65</v>
      </c>
      <c r="C28" s="69" t="str">
        <f t="shared" si="3"/>
        <v>Quarta-Feira</v>
      </c>
      <c r="D28" s="445" t="str">
        <f>IF(C28&lt;&gt;"Quarta-Feira","15:00","10:00")</f>
        <v>10:00</v>
      </c>
      <c r="E28" s="253" t="s">
        <v>2304</v>
      </c>
      <c r="F28" s="69">
        <v>7.00106904414115E14</v>
      </c>
      <c r="G28" s="154" t="s">
        <v>2305</v>
      </c>
      <c r="H28" s="153">
        <v>19766.0</v>
      </c>
      <c r="I28" s="69" t="s">
        <v>182</v>
      </c>
      <c r="J28" s="69"/>
      <c r="K28" s="69"/>
      <c r="L28" s="197" t="s">
        <v>441</v>
      </c>
      <c r="R28" s="62"/>
    </row>
    <row r="29" ht="15.75" customHeight="1">
      <c r="A29" s="11" t="s">
        <v>17</v>
      </c>
      <c r="B29" s="125" t="s">
        <v>201</v>
      </c>
      <c r="C29" s="69" t="str">
        <f t="shared" si="3"/>
        <v>Quarta-Feira</v>
      </c>
      <c r="D29" s="445" t="str">
        <f>IF(C29&lt;&gt;"Quarta-Feira","15:20","10:20")</f>
        <v>10:20</v>
      </c>
      <c r="E29" s="253" t="s">
        <v>2306</v>
      </c>
      <c r="F29" s="69">
        <v>7.02802699504568E14</v>
      </c>
      <c r="G29" s="154" t="s">
        <v>2307</v>
      </c>
      <c r="H29" s="153">
        <v>28672.0</v>
      </c>
      <c r="I29" s="69" t="s">
        <v>1822</v>
      </c>
      <c r="J29" s="69" t="s">
        <v>2308</v>
      </c>
      <c r="K29" s="69" t="s">
        <v>2309</v>
      </c>
      <c r="L29" s="197" t="s">
        <v>441</v>
      </c>
      <c r="R29" s="62"/>
    </row>
    <row r="30" ht="15.75" customHeight="1">
      <c r="A30" s="11" t="s">
        <v>85</v>
      </c>
      <c r="B30" s="125" t="s">
        <v>821</v>
      </c>
      <c r="C30" s="69" t="str">
        <f t="shared" si="3"/>
        <v>Quarta-Feira</v>
      </c>
      <c r="D30" s="445" t="str">
        <f>IF(C30&lt;&gt;"Quarta-Feira","15:40","10:40")</f>
        <v>10:40</v>
      </c>
      <c r="E30" s="253" t="s">
        <v>2310</v>
      </c>
      <c r="F30" s="69">
        <v>7.0000090612741E14</v>
      </c>
      <c r="G30" s="154" t="s">
        <v>2311</v>
      </c>
      <c r="H30" s="153">
        <v>33526.0</v>
      </c>
      <c r="I30" s="69" t="s">
        <v>182</v>
      </c>
      <c r="J30" s="69" t="s">
        <v>2312</v>
      </c>
      <c r="K30" s="69"/>
      <c r="R30" s="62"/>
    </row>
    <row r="31" ht="15.75" customHeight="1">
      <c r="A31" s="11" t="s">
        <v>87</v>
      </c>
      <c r="B31" s="125" t="s">
        <v>1447</v>
      </c>
      <c r="C31" s="69" t="str">
        <f t="shared" si="3"/>
        <v>Quarta-Feira</v>
      </c>
      <c r="D31" s="445" t="str">
        <f>IF(C31&lt;&gt;"Quarta-Feira","16:00","11:00")</f>
        <v>11:00</v>
      </c>
      <c r="E31" s="253"/>
      <c r="F31" s="69"/>
      <c r="G31" s="154"/>
      <c r="H31" s="153"/>
      <c r="I31" s="69" t="s">
        <v>180</v>
      </c>
      <c r="J31" s="69"/>
      <c r="K31" s="69"/>
      <c r="L31" s="197" t="s">
        <v>454</v>
      </c>
      <c r="R31" s="62"/>
    </row>
    <row r="32" ht="15.75" customHeight="1">
      <c r="A32" s="11" t="s">
        <v>90</v>
      </c>
      <c r="B32" s="125" t="s">
        <v>821</v>
      </c>
      <c r="C32" s="69" t="str">
        <f t="shared" si="3"/>
        <v>Quarta-Feira</v>
      </c>
      <c r="D32" s="445" t="str">
        <f>IF(C32&lt;&gt;"Quarta-Feira","16:20","11:20")</f>
        <v>11:20</v>
      </c>
      <c r="E32" s="253" t="s">
        <v>2313</v>
      </c>
      <c r="F32" s="69">
        <v>7.06207580835365E14</v>
      </c>
      <c r="G32" s="154" t="s">
        <v>2314</v>
      </c>
      <c r="H32" s="153">
        <v>25889.0</v>
      </c>
      <c r="I32" s="69" t="s">
        <v>182</v>
      </c>
      <c r="J32" s="69">
        <v>1.1947101949E10</v>
      </c>
      <c r="K32" s="69"/>
      <c r="R32" s="62"/>
    </row>
    <row r="33" ht="15.75" customHeight="1">
      <c r="A33" s="11" t="s">
        <v>93</v>
      </c>
      <c r="B33" s="125" t="s">
        <v>65</v>
      </c>
      <c r="C33" s="69" t="str">
        <f t="shared" si="3"/>
        <v>Quarta-Feira</v>
      </c>
      <c r="D33" s="445" t="str">
        <f>IF(C33&lt;&gt;"Quarta-Feira","16:40","11:40")</f>
        <v>11:40</v>
      </c>
      <c r="E33" s="253" t="s">
        <v>2315</v>
      </c>
      <c r="F33" s="69">
        <v>7.00009079226607E14</v>
      </c>
      <c r="G33" s="154" t="s">
        <v>2316</v>
      </c>
      <c r="H33" s="153">
        <v>24489.0</v>
      </c>
      <c r="I33" s="69" t="s">
        <v>182</v>
      </c>
      <c r="J33" s="69" t="s">
        <v>2317</v>
      </c>
      <c r="K33" s="69"/>
      <c r="R33" s="62"/>
    </row>
    <row r="34" ht="15.75" customHeight="1">
      <c r="B34" s="167"/>
      <c r="E34" s="231"/>
      <c r="G34" s="167"/>
      <c r="J34" s="62"/>
      <c r="K34" s="62"/>
      <c r="R34" s="62"/>
    </row>
    <row r="35" ht="15.75" customHeight="1">
      <c r="B35" s="167"/>
      <c r="E35" s="231"/>
      <c r="G35" s="167"/>
      <c r="J35" s="62"/>
      <c r="K35" s="62"/>
      <c r="R35" s="62"/>
    </row>
    <row r="36" ht="15.75" customHeight="1">
      <c r="B36" s="167"/>
      <c r="E36" s="231"/>
      <c r="G36" s="167"/>
      <c r="J36" s="62"/>
      <c r="K36" s="62"/>
      <c r="R36" s="62"/>
    </row>
    <row r="37" ht="15.75" customHeight="1">
      <c r="A37" s="20" t="s">
        <v>377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1" t="str">
        <f>TEXT(DATE(VALUE(MID(A20,7,4)),VALUE(MID(A20,4,2)),VALUE(LEFT(A20,2)))+2,"dd/mm/yyyy")&amp;" 13h às 17h"</f>
        <v>06/03/2026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426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125" t="s">
        <v>757</v>
      </c>
      <c r="C40" s="69" t="str">
        <f t="shared" ref="C40:C51" si="5">PROPER(TEXT(DATE(MID($A$38,7,4),MID($A$38,4,2),LEFT($A$38,2)),"dddd"))</f>
        <v>Sexta-Feira</v>
      </c>
      <c r="D40" s="445" t="str">
        <f>IF(C40&lt;&gt;"Quarta-Feira","13:00","08:00")</f>
        <v>13:00</v>
      </c>
      <c r="E40" s="253"/>
      <c r="F40" s="69"/>
      <c r="G40" s="154" t="s">
        <v>2318</v>
      </c>
      <c r="H40" s="193"/>
      <c r="I40" s="30" t="s">
        <v>182</v>
      </c>
      <c r="J40" s="69"/>
      <c r="K40" s="69"/>
      <c r="N40" s="237" t="s">
        <v>386</v>
      </c>
      <c r="O40" s="95"/>
      <c r="P40" s="95"/>
      <c r="Q40" s="95"/>
      <c r="R40" s="95"/>
    </row>
    <row r="41" ht="15.75" customHeight="1">
      <c r="A41" s="11" t="s">
        <v>15</v>
      </c>
      <c r="B41" s="125" t="s">
        <v>1467</v>
      </c>
      <c r="C41" s="69" t="str">
        <f t="shared" si="5"/>
        <v>Sexta-Feira</v>
      </c>
      <c r="D41" s="445" t="str">
        <f>IF(C41&lt;&gt;"Quarta-Feira","13:20","08:20")</f>
        <v>13:20</v>
      </c>
      <c r="E41" s="253" t="s">
        <v>2319</v>
      </c>
      <c r="F41" s="69">
        <v>7.07804663004711E14</v>
      </c>
      <c r="G41" s="154" t="s">
        <v>2320</v>
      </c>
      <c r="H41" s="193">
        <v>22221.0</v>
      </c>
      <c r="I41" s="30" t="s">
        <v>182</v>
      </c>
      <c r="J41" s="69"/>
      <c r="K41" s="69"/>
      <c r="R41" s="62"/>
    </row>
    <row r="42" ht="15.75" customHeight="1">
      <c r="A42" s="11" t="s">
        <v>12</v>
      </c>
      <c r="B42" s="125" t="s">
        <v>216</v>
      </c>
      <c r="C42" s="69" t="str">
        <f t="shared" si="5"/>
        <v>Sexta-Feira</v>
      </c>
      <c r="D42" s="445" t="str">
        <f>IF(C42&lt;&gt;"Quarta-Feira","13:40","08:40")</f>
        <v>13:40</v>
      </c>
      <c r="E42" s="253" t="s">
        <v>2321</v>
      </c>
      <c r="F42" s="69">
        <v>7.09808085583195E14</v>
      </c>
      <c r="G42" s="154" t="s">
        <v>2322</v>
      </c>
      <c r="H42" s="193">
        <v>17001.0</v>
      </c>
      <c r="I42" s="30" t="s">
        <v>182</v>
      </c>
      <c r="J42" s="69"/>
      <c r="K42" s="69"/>
      <c r="N42" s="240" t="s">
        <v>182</v>
      </c>
      <c r="O42" s="241" t="s">
        <v>194</v>
      </c>
      <c r="P42" s="241" t="s">
        <v>180</v>
      </c>
      <c r="Q42" s="242" t="s">
        <v>172</v>
      </c>
      <c r="R42" s="62" t="s">
        <v>1822</v>
      </c>
    </row>
    <row r="43" ht="15.75" customHeight="1">
      <c r="A43" s="11" t="s">
        <v>13</v>
      </c>
      <c r="B43" s="125" t="s">
        <v>197</v>
      </c>
      <c r="C43" s="69" t="str">
        <f t="shared" si="5"/>
        <v>Sexta-Feira</v>
      </c>
      <c r="D43" s="445" t="str">
        <f>IF(C43&lt;&gt;"Quarta-Feira","14:00","09:00")</f>
        <v>14:00</v>
      </c>
      <c r="E43" s="253" t="s">
        <v>2323</v>
      </c>
      <c r="F43" s="69">
        <v>7.04805550688948E14</v>
      </c>
      <c r="G43" s="154" t="s">
        <v>46</v>
      </c>
      <c r="H43" s="193">
        <v>19518.0</v>
      </c>
      <c r="I43" s="30" t="s">
        <v>1822</v>
      </c>
      <c r="J43" s="69"/>
      <c r="K43" s="69"/>
      <c r="N43" s="244">
        <f t="shared" ref="N43:Q43" si="6">COUNTIFS($I$40:$I$51,N42)</f>
        <v>7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5</v>
      </c>
    </row>
    <row r="44" ht="15.75" customHeight="1">
      <c r="A44" s="11" t="s">
        <v>14</v>
      </c>
      <c r="B44" s="125" t="s">
        <v>757</v>
      </c>
      <c r="C44" s="69" t="str">
        <f t="shared" si="5"/>
        <v>Sexta-Feira</v>
      </c>
      <c r="D44" s="445" t="str">
        <f>IF(C44&lt;&gt;"Quarta-Feira","14:20","09:20")</f>
        <v>14:20</v>
      </c>
      <c r="E44" s="253" t="s">
        <v>2324</v>
      </c>
      <c r="F44" s="69">
        <v>7.05003470749456E14</v>
      </c>
      <c r="G44" s="154" t="s">
        <v>2325</v>
      </c>
      <c r="H44" s="193">
        <v>19922.0</v>
      </c>
      <c r="I44" s="30" t="s">
        <v>1822</v>
      </c>
      <c r="J44" s="69"/>
      <c r="K44" s="69"/>
      <c r="R44" s="62"/>
    </row>
    <row r="45" ht="15.75" customHeight="1">
      <c r="A45" s="11" t="s">
        <v>11</v>
      </c>
      <c r="B45" s="125" t="s">
        <v>1467</v>
      </c>
      <c r="C45" s="69" t="str">
        <f t="shared" si="5"/>
        <v>Sexta-Feira</v>
      </c>
      <c r="D45" s="445" t="str">
        <f>IF(C45&lt;&gt;"Quarta-Feira","14:40","09:40")</f>
        <v>14:40</v>
      </c>
      <c r="E45" s="253" t="s">
        <v>2326</v>
      </c>
      <c r="F45" s="69">
        <v>7.02102794964798E14</v>
      </c>
      <c r="G45" s="154" t="s">
        <v>2327</v>
      </c>
      <c r="H45" s="156">
        <v>21431.0</v>
      </c>
      <c r="I45" s="30" t="s">
        <v>182</v>
      </c>
      <c r="J45" s="69"/>
      <c r="K45" s="69"/>
      <c r="N45" s="239" t="s">
        <v>1823</v>
      </c>
      <c r="O45" s="2"/>
      <c r="P45" s="2"/>
      <c r="Q45" s="2"/>
      <c r="R45" s="2"/>
    </row>
    <row r="46" ht="15.75" customHeight="1">
      <c r="A46" s="11" t="s">
        <v>16</v>
      </c>
      <c r="B46" s="125" t="s">
        <v>216</v>
      </c>
      <c r="C46" s="69" t="str">
        <f t="shared" si="5"/>
        <v>Sexta-Feira</v>
      </c>
      <c r="D46" s="445" t="str">
        <f>IF(C46&lt;&gt;"Quarta-Feira","15:00","10:00")</f>
        <v>15:00</v>
      </c>
      <c r="E46" s="253" t="s">
        <v>2328</v>
      </c>
      <c r="F46" s="69">
        <v>7.0010882165439E14</v>
      </c>
      <c r="G46" s="154" t="s">
        <v>1974</v>
      </c>
      <c r="H46" s="193">
        <v>29105.0</v>
      </c>
      <c r="I46" s="30" t="s">
        <v>1822</v>
      </c>
      <c r="J46" s="69"/>
      <c r="K46" s="69"/>
      <c r="R46" s="62"/>
    </row>
    <row r="47" ht="15.75" customHeight="1">
      <c r="A47" s="11" t="s">
        <v>17</v>
      </c>
      <c r="B47" s="125" t="s">
        <v>197</v>
      </c>
      <c r="C47" s="69" t="str">
        <f t="shared" si="5"/>
        <v>Sexta-Feira</v>
      </c>
      <c r="D47" s="445" t="str">
        <f>IF(C47&lt;&gt;"Quarta-Feira","15:20","10:20")</f>
        <v>15:20</v>
      </c>
      <c r="E47" s="253" t="s">
        <v>668</v>
      </c>
      <c r="F47" s="69">
        <v>7.08603546317283E14</v>
      </c>
      <c r="G47" s="154" t="s">
        <v>669</v>
      </c>
      <c r="H47" s="193">
        <v>23678.0</v>
      </c>
      <c r="I47" s="30" t="s">
        <v>1822</v>
      </c>
      <c r="J47" s="69"/>
      <c r="K47" s="69"/>
      <c r="R47" s="62"/>
    </row>
    <row r="48" ht="15.75" customHeight="1">
      <c r="A48" s="11" t="s">
        <v>85</v>
      </c>
      <c r="B48" s="125" t="s">
        <v>1467</v>
      </c>
      <c r="C48" s="69" t="str">
        <f t="shared" si="5"/>
        <v>Sexta-Feira</v>
      </c>
      <c r="D48" s="445" t="str">
        <f>IF(C48&lt;&gt;"Quarta-Feira","15:40","10:40")</f>
        <v>15:40</v>
      </c>
      <c r="E48" s="253" t="s">
        <v>2329</v>
      </c>
      <c r="F48" s="69">
        <v>7.0610185988333E14</v>
      </c>
      <c r="G48" s="154" t="s">
        <v>2330</v>
      </c>
      <c r="H48" s="193">
        <v>24195.0</v>
      </c>
      <c r="I48" s="30" t="s">
        <v>182</v>
      </c>
      <c r="J48" s="69"/>
      <c r="K48" s="69"/>
      <c r="R48" s="62"/>
    </row>
    <row r="49" ht="15.75" customHeight="1">
      <c r="A49" s="11" t="s">
        <v>87</v>
      </c>
      <c r="B49" s="125" t="s">
        <v>757</v>
      </c>
      <c r="C49" s="69" t="str">
        <f t="shared" si="5"/>
        <v>Sexta-Feira</v>
      </c>
      <c r="D49" s="445" t="str">
        <f>IF(C49&lt;&gt;"Quarta-Feira","16:00","11:00")</f>
        <v>16:00</v>
      </c>
      <c r="E49" s="253" t="s">
        <v>2331</v>
      </c>
      <c r="F49" s="404">
        <v>7.02008398718782E14</v>
      </c>
      <c r="G49" s="154" t="s">
        <v>2332</v>
      </c>
      <c r="H49" s="193">
        <v>21431.0</v>
      </c>
      <c r="I49" s="30" t="s">
        <v>182</v>
      </c>
      <c r="J49" s="69"/>
      <c r="K49" s="69"/>
      <c r="R49" s="62"/>
    </row>
    <row r="50" ht="15.75" customHeight="1">
      <c r="A50" s="11" t="s">
        <v>90</v>
      </c>
      <c r="B50" s="125" t="s">
        <v>757</v>
      </c>
      <c r="C50" s="69" t="str">
        <f t="shared" si="5"/>
        <v>Sexta-Feira</v>
      </c>
      <c r="D50" s="445" t="str">
        <f>IF(C50&lt;&gt;"Quarta-Feira","16:20","11:20")</f>
        <v>16:20</v>
      </c>
      <c r="E50" s="253" t="s">
        <v>2333</v>
      </c>
      <c r="F50" s="69">
        <v>7.08404746698267E14</v>
      </c>
      <c r="G50" s="154" t="s">
        <v>2334</v>
      </c>
      <c r="H50" s="453">
        <v>21431.0</v>
      </c>
      <c r="I50" s="30" t="s">
        <v>182</v>
      </c>
      <c r="J50" s="69"/>
      <c r="K50" s="69"/>
      <c r="R50" s="62"/>
    </row>
    <row r="51" ht="15.75" customHeight="1">
      <c r="A51" s="11" t="s">
        <v>93</v>
      </c>
      <c r="B51" s="125" t="s">
        <v>757</v>
      </c>
      <c r="C51" s="69" t="str">
        <f t="shared" si="5"/>
        <v>Sexta-Feira</v>
      </c>
      <c r="D51" s="445" t="str">
        <f>IF(C51&lt;&gt;"Quarta-Feira","16:40","11:40")</f>
        <v>16:40</v>
      </c>
      <c r="E51" s="253" t="s">
        <v>2335</v>
      </c>
      <c r="F51" s="69">
        <v>7.0650034117399E14</v>
      </c>
      <c r="G51" s="154" t="s">
        <v>2336</v>
      </c>
      <c r="H51" s="193">
        <v>24492.0</v>
      </c>
      <c r="I51" s="30" t="s">
        <v>1822</v>
      </c>
      <c r="J51" s="69"/>
      <c r="K51" s="69"/>
      <c r="R51" s="62"/>
    </row>
    <row r="52" ht="15.75" customHeight="1">
      <c r="B52" s="167"/>
      <c r="E52" s="454"/>
      <c r="G52" s="167"/>
      <c r="J52" s="62"/>
      <c r="K52" s="62"/>
      <c r="R52" s="62"/>
    </row>
    <row r="53" ht="15.75" customHeight="1">
      <c r="B53" s="167"/>
      <c r="E53" s="231"/>
      <c r="G53" s="167"/>
      <c r="J53" s="62"/>
      <c r="K53" s="62"/>
      <c r="R53" s="62"/>
    </row>
    <row r="54" ht="15.75" customHeight="1">
      <c r="B54" s="167"/>
      <c r="E54" s="231"/>
      <c r="G54" s="167"/>
      <c r="J54" s="62"/>
      <c r="K54" s="62"/>
      <c r="R54" s="62"/>
    </row>
    <row r="55" ht="15.75" customHeight="1">
      <c r="A55" s="20" t="s">
        <v>377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TEXT(DATE(VALUE(MID(A2,7,4)),VALUE(MID(A2,4,2)),VALUE(LEFT(A2,2)))+7,"dd/mm/yyyy")&amp;" 13h às 17h"</f>
        <v>09/03/2026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426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8.75" customHeight="1">
      <c r="A58" s="11" t="s">
        <v>10</v>
      </c>
      <c r="B58" s="125" t="s">
        <v>1357</v>
      </c>
      <c r="C58" s="69" t="str">
        <f>PROPER(TEXT(DATE(MID($A$56,7,4),MID($A$56,4,2),LEFT($A$56,2)),"dddd"))</f>
        <v>Segunda-Feira</v>
      </c>
      <c r="D58" s="445" t="str">
        <f>IF(C58&lt;&gt;"Quarta-Feira","13:00","08:00")</f>
        <v>13:00</v>
      </c>
      <c r="E58" s="253" t="s">
        <v>2337</v>
      </c>
      <c r="F58" s="69">
        <v>7.08002303968925E14</v>
      </c>
      <c r="G58" s="154" t="s">
        <v>2338</v>
      </c>
      <c r="H58" s="455">
        <v>18993.0</v>
      </c>
      <c r="I58" s="30" t="s">
        <v>182</v>
      </c>
      <c r="J58" s="69"/>
      <c r="K58" s="69"/>
      <c r="N58" s="237" t="s">
        <v>386</v>
      </c>
      <c r="O58" s="95"/>
      <c r="P58" s="95"/>
      <c r="Q58" s="95"/>
      <c r="R58" s="95"/>
    </row>
    <row r="59" ht="15.75" customHeight="1">
      <c r="A59" s="11" t="s">
        <v>11</v>
      </c>
      <c r="B59" s="125" t="s">
        <v>1358</v>
      </c>
      <c r="C59" s="69" t="s">
        <v>1294</v>
      </c>
      <c r="D59" s="445" t="str">
        <f>IF(C59&lt;&gt;"Quarta-Feira","13:20","08:20")</f>
        <v>13:20</v>
      </c>
      <c r="E59" s="253" t="s">
        <v>2339</v>
      </c>
      <c r="F59" s="69">
        <v>7.08405283451468E14</v>
      </c>
      <c r="G59" s="154" t="s">
        <v>2340</v>
      </c>
      <c r="H59" s="193">
        <v>26053.0</v>
      </c>
      <c r="I59" s="30" t="s">
        <v>182</v>
      </c>
      <c r="J59" s="69"/>
      <c r="K59" s="69"/>
      <c r="N59" s="239" t="s">
        <v>1823</v>
      </c>
      <c r="O59" s="2"/>
      <c r="P59" s="2"/>
      <c r="Q59" s="2"/>
      <c r="R59" s="2"/>
    </row>
    <row r="60" ht="15.75" customHeight="1">
      <c r="A60" s="11" t="s">
        <v>12</v>
      </c>
      <c r="B60" s="125" t="s">
        <v>1360</v>
      </c>
      <c r="C60" s="69" t="s">
        <v>1294</v>
      </c>
      <c r="D60" s="445" t="str">
        <f>IF(C60&lt;&gt;"Quarta-Feira","13:40","08:40")</f>
        <v>13:40</v>
      </c>
      <c r="E60" s="253" t="s">
        <v>2341</v>
      </c>
      <c r="F60" s="69">
        <v>7.08107532340731E14</v>
      </c>
      <c r="G60" s="154" t="s">
        <v>2342</v>
      </c>
      <c r="H60" s="193">
        <v>22446.0</v>
      </c>
      <c r="I60" s="30" t="s">
        <v>182</v>
      </c>
      <c r="J60" s="69"/>
      <c r="K60" s="69"/>
      <c r="N60" s="240" t="s">
        <v>182</v>
      </c>
      <c r="O60" s="241" t="s">
        <v>194</v>
      </c>
      <c r="P60" s="241" t="s">
        <v>180</v>
      </c>
      <c r="Q60" s="242" t="s">
        <v>172</v>
      </c>
      <c r="R60" s="62" t="s">
        <v>1822</v>
      </c>
    </row>
    <row r="61" ht="15.75" customHeight="1">
      <c r="A61" s="11" t="s">
        <v>13</v>
      </c>
      <c r="B61" s="125" t="s">
        <v>1362</v>
      </c>
      <c r="C61" s="69" t="s">
        <v>1294</v>
      </c>
      <c r="D61" s="445" t="str">
        <f>IF(C61&lt;&gt;"Quarta-Feira","14:00","09:00")</f>
        <v>14:00</v>
      </c>
      <c r="E61" s="253" t="s">
        <v>2343</v>
      </c>
      <c r="F61" s="69">
        <v>7.08607088052185E14</v>
      </c>
      <c r="G61" s="154" t="s">
        <v>2344</v>
      </c>
      <c r="H61" s="193">
        <v>27320.0</v>
      </c>
      <c r="I61" s="30" t="s">
        <v>182</v>
      </c>
      <c r="J61" s="69"/>
      <c r="K61" s="69"/>
      <c r="N61" s="244">
        <f t="shared" ref="N61:R61" si="7">COUNTIFS($I$58:$I$69,N60)</f>
        <v>9</v>
      </c>
      <c r="O61" s="244">
        <f t="shared" si="7"/>
        <v>0</v>
      </c>
      <c r="P61" s="244">
        <f t="shared" si="7"/>
        <v>0</v>
      </c>
      <c r="Q61" s="244">
        <f t="shared" si="7"/>
        <v>0</v>
      </c>
      <c r="R61" s="244">
        <f t="shared" si="7"/>
        <v>2</v>
      </c>
    </row>
    <row r="62" ht="15.75" customHeight="1">
      <c r="A62" s="11" t="s">
        <v>14</v>
      </c>
      <c r="B62" s="125" t="s">
        <v>1357</v>
      </c>
      <c r="C62" s="69" t="s">
        <v>1294</v>
      </c>
      <c r="D62" s="445" t="str">
        <f>IF(C62&lt;&gt;"Quarta-Feira","14:20","09:20")</f>
        <v>14:20</v>
      </c>
      <c r="E62" s="253" t="s">
        <v>2345</v>
      </c>
      <c r="F62" s="69">
        <v>7.08509303559679E14</v>
      </c>
      <c r="G62" s="154" t="s">
        <v>2346</v>
      </c>
      <c r="H62" s="193">
        <v>31108.0</v>
      </c>
      <c r="I62" s="30" t="s">
        <v>1822</v>
      </c>
      <c r="J62" s="69"/>
      <c r="K62" s="69"/>
      <c r="R62" s="62"/>
    </row>
    <row r="63" ht="15.75" customHeight="1">
      <c r="A63" s="11" t="s">
        <v>15</v>
      </c>
      <c r="B63" s="125" t="s">
        <v>1362</v>
      </c>
      <c r="C63" s="69" t="s">
        <v>1294</v>
      </c>
      <c r="D63" s="445" t="str">
        <f>IF(C63&lt;&gt;"Quarta-Feira","14:40","09:40")</f>
        <v>14:40</v>
      </c>
      <c r="E63" s="253"/>
      <c r="F63" s="69"/>
      <c r="G63" s="154"/>
      <c r="H63" s="193"/>
      <c r="I63" s="30" t="s">
        <v>2347</v>
      </c>
      <c r="J63" s="69"/>
      <c r="K63" s="69"/>
      <c r="R63" s="62"/>
    </row>
    <row r="64" ht="15.75" customHeight="1">
      <c r="A64" s="11" t="s">
        <v>16</v>
      </c>
      <c r="B64" s="125" t="s">
        <v>1358</v>
      </c>
      <c r="C64" s="69" t="s">
        <v>1294</v>
      </c>
      <c r="D64" s="445" t="str">
        <f>IF(C64&lt;&gt;"Quarta-Feira","15:00","10:00")</f>
        <v>15:00</v>
      </c>
      <c r="E64" s="253" t="s">
        <v>2348</v>
      </c>
      <c r="F64" s="69">
        <v>8.98004829306876E14</v>
      </c>
      <c r="G64" s="154" t="s">
        <v>2349</v>
      </c>
      <c r="H64" s="193">
        <v>21459.0</v>
      </c>
      <c r="I64" s="30" t="s">
        <v>182</v>
      </c>
      <c r="J64" s="69">
        <v>1.1985403651E10</v>
      </c>
      <c r="K64" s="69"/>
      <c r="R64" s="62"/>
    </row>
    <row r="65" ht="15.75" customHeight="1">
      <c r="A65" s="11" t="s">
        <v>17</v>
      </c>
      <c r="B65" s="125" t="s">
        <v>1360</v>
      </c>
      <c r="C65" s="69" t="s">
        <v>1294</v>
      </c>
      <c r="D65" s="445" t="str">
        <f>IF(C65&lt;&gt;"Quarta-Feira","15:20","10:20")</f>
        <v>15:20</v>
      </c>
      <c r="E65" s="253" t="s">
        <v>2350</v>
      </c>
      <c r="F65" s="69">
        <v>7.04701752624131E14</v>
      </c>
      <c r="G65" s="154" t="s">
        <v>2351</v>
      </c>
      <c r="H65" s="193">
        <v>17968.0</v>
      </c>
      <c r="I65" s="30" t="s">
        <v>182</v>
      </c>
      <c r="J65" s="69" t="s">
        <v>2352</v>
      </c>
      <c r="K65" s="69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</row>
    <row r="66" ht="15.75" customHeight="1">
      <c r="A66" s="11" t="s">
        <v>85</v>
      </c>
      <c r="B66" s="125" t="s">
        <v>1357</v>
      </c>
      <c r="C66" s="69" t="s">
        <v>1294</v>
      </c>
      <c r="D66" s="445" t="str">
        <f>IF(C66&lt;&gt;"Quarta-Feira","15:40","10:40")</f>
        <v>15:40</v>
      </c>
      <c r="E66" s="253" t="s">
        <v>2353</v>
      </c>
      <c r="F66" s="69">
        <v>7.05002419420255E14</v>
      </c>
      <c r="G66" s="154" t="s">
        <v>2354</v>
      </c>
      <c r="H66" s="193">
        <v>25212.0</v>
      </c>
      <c r="I66" s="30" t="s">
        <v>182</v>
      </c>
      <c r="J66" s="69"/>
      <c r="K66" s="69"/>
      <c r="R66" s="62"/>
    </row>
    <row r="67" ht="15.75" customHeight="1">
      <c r="A67" s="11" t="s">
        <v>87</v>
      </c>
      <c r="B67" s="125" t="s">
        <v>1358</v>
      </c>
      <c r="C67" s="69" t="s">
        <v>1294</v>
      </c>
      <c r="D67" s="445" t="str">
        <f>IF(C67&lt;&gt;"Quarta-Feira","16:00","11:00")</f>
        <v>16:00</v>
      </c>
      <c r="E67" s="253" t="s">
        <v>2355</v>
      </c>
      <c r="F67" s="69">
        <v>7.03401242470714E14</v>
      </c>
      <c r="G67" s="154" t="s">
        <v>2356</v>
      </c>
      <c r="H67" s="193">
        <v>29055.0</v>
      </c>
      <c r="I67" s="30" t="s">
        <v>1822</v>
      </c>
      <c r="J67" s="69"/>
      <c r="K67" s="69"/>
      <c r="R67" s="62"/>
    </row>
    <row r="68" ht="15.75" customHeight="1">
      <c r="A68" s="11" t="s">
        <v>90</v>
      </c>
      <c r="B68" s="125" t="s">
        <v>1360</v>
      </c>
      <c r="C68" s="69" t="s">
        <v>1294</v>
      </c>
      <c r="D68" s="445" t="str">
        <f>IF(C68&lt;&gt;"Quarta-Feira","16:20","11:20")</f>
        <v>16:20</v>
      </c>
      <c r="E68" s="253" t="s">
        <v>2357</v>
      </c>
      <c r="F68" s="69">
        <v>7.02807661127567E14</v>
      </c>
      <c r="G68" s="154" t="s">
        <v>2358</v>
      </c>
      <c r="H68" s="193">
        <v>24946.0</v>
      </c>
      <c r="I68" s="30" t="s">
        <v>182</v>
      </c>
      <c r="J68" s="69"/>
      <c r="K68" s="69"/>
      <c r="R68" s="62"/>
    </row>
    <row r="69" ht="15.75" customHeight="1">
      <c r="A69" s="11" t="s">
        <v>93</v>
      </c>
      <c r="B69" s="125" t="s">
        <v>1362</v>
      </c>
      <c r="C69" s="69" t="s">
        <v>1294</v>
      </c>
      <c r="D69" s="445" t="str">
        <f>IF(C69&lt;&gt;"Quarta-Feira","16:40","11:40")</f>
        <v>16:40</v>
      </c>
      <c r="E69" s="253" t="s">
        <v>2359</v>
      </c>
      <c r="F69" s="69">
        <v>8.0144040679566E14</v>
      </c>
      <c r="G69" s="154" t="s">
        <v>2360</v>
      </c>
      <c r="H69" s="193">
        <v>23659.0</v>
      </c>
      <c r="I69" s="30" t="s">
        <v>182</v>
      </c>
      <c r="J69" s="69" t="s">
        <v>2361</v>
      </c>
      <c r="K69" s="69"/>
      <c r="R69" s="62"/>
    </row>
    <row r="70" ht="15.75" customHeight="1">
      <c r="B70" s="167"/>
      <c r="E70" s="231"/>
      <c r="G70" s="167"/>
      <c r="J70" s="62"/>
      <c r="K70" s="62"/>
      <c r="R70" s="62"/>
    </row>
    <row r="71" ht="15.75" customHeight="1">
      <c r="B71" s="167"/>
      <c r="E71" s="231"/>
      <c r="G71" s="167"/>
      <c r="J71" s="62"/>
      <c r="K71" s="62"/>
      <c r="R71" s="62"/>
    </row>
    <row r="72" ht="15.0" customHeight="1">
      <c r="B72" s="167"/>
      <c r="E72" s="231"/>
      <c r="G72" s="167"/>
      <c r="J72" s="62"/>
      <c r="K72" s="62"/>
      <c r="R72" s="62"/>
    </row>
    <row r="73" ht="15.75" customHeight="1">
      <c r="A73" s="20" t="s">
        <v>377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TEXT(DATE(VALUE(MID(A56,7,4)),VALUE(MID(A56,4,2)),VALUE(LEFT(A56,2)))+2,"dd/mm/yyyy")&amp;" 08h às 13h"</f>
        <v>11/03/2026 08h às 13h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426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5.75" customHeight="1">
      <c r="A76" s="11" t="s">
        <v>10</v>
      </c>
      <c r="B76" s="125" t="s">
        <v>65</v>
      </c>
      <c r="C76" s="69" t="str">
        <f t="shared" ref="C76:C87" si="8">PROPER(TEXT(DATE(MID($A$74,7,4),MID($A$74,4,2),LEFT($A$74,2)),"dddd"))</f>
        <v>Quarta-Feira</v>
      </c>
      <c r="D76" s="445" t="str">
        <f>IF(C76&lt;&gt;"Quarta-Feira","13:00","08:00")</f>
        <v>08:00</v>
      </c>
      <c r="E76" s="253" t="s">
        <v>2362</v>
      </c>
      <c r="F76" s="69">
        <v>8.01440421397581E14</v>
      </c>
      <c r="G76" s="154" t="s">
        <v>2363</v>
      </c>
      <c r="H76" s="193">
        <v>20627.0</v>
      </c>
      <c r="I76" s="30" t="s">
        <v>182</v>
      </c>
      <c r="J76" s="69" t="s">
        <v>2364</v>
      </c>
      <c r="K76" s="69" t="s">
        <v>2365</v>
      </c>
      <c r="L76" s="197" t="s">
        <v>520</v>
      </c>
      <c r="N76" s="237" t="s">
        <v>386</v>
      </c>
      <c r="O76" s="95"/>
      <c r="P76" s="95"/>
      <c r="Q76" s="95"/>
      <c r="R76" s="95"/>
    </row>
    <row r="77" ht="15.75" customHeight="1">
      <c r="A77" s="11" t="s">
        <v>11</v>
      </c>
      <c r="B77" s="125" t="s">
        <v>201</v>
      </c>
      <c r="C77" s="69" t="str">
        <f t="shared" si="8"/>
        <v>Quarta-Feira</v>
      </c>
      <c r="D77" s="445" t="str">
        <f>IF(C77&lt;&gt;"Quarta-Feira","13:20","08:20")</f>
        <v>08:20</v>
      </c>
      <c r="E77" s="253"/>
      <c r="F77" s="69"/>
      <c r="G77" s="154"/>
      <c r="H77" s="72"/>
      <c r="I77" s="30" t="s">
        <v>2347</v>
      </c>
      <c r="J77" s="69"/>
      <c r="K77" s="69"/>
      <c r="N77" s="239" t="s">
        <v>1823</v>
      </c>
      <c r="O77" s="2"/>
      <c r="P77" s="2"/>
      <c r="Q77" s="2"/>
      <c r="R77" s="2"/>
    </row>
    <row r="78" ht="15.75" customHeight="1">
      <c r="A78" s="11" t="s">
        <v>12</v>
      </c>
      <c r="B78" s="125" t="s">
        <v>1447</v>
      </c>
      <c r="C78" s="69" t="str">
        <f t="shared" si="8"/>
        <v>Quarta-Feira</v>
      </c>
      <c r="D78" s="445" t="str">
        <f>IF(C78&lt;&gt;"Quarta-Feira","13:40","08:40")</f>
        <v>08:40</v>
      </c>
      <c r="E78" s="253" t="s">
        <v>2366</v>
      </c>
      <c r="F78" s="69">
        <v>7.08405756357064E14</v>
      </c>
      <c r="G78" s="154" t="s">
        <v>2367</v>
      </c>
      <c r="H78" s="78">
        <v>28950.0</v>
      </c>
      <c r="I78" s="30" t="s">
        <v>182</v>
      </c>
      <c r="J78" s="69"/>
      <c r="K78" s="69"/>
      <c r="L78" s="197" t="s">
        <v>520</v>
      </c>
      <c r="N78" s="240" t="s">
        <v>182</v>
      </c>
      <c r="O78" s="241" t="s">
        <v>194</v>
      </c>
      <c r="P78" s="241" t="s">
        <v>180</v>
      </c>
      <c r="Q78" s="242" t="s">
        <v>172</v>
      </c>
      <c r="R78" s="62" t="s">
        <v>1822</v>
      </c>
    </row>
    <row r="79" ht="15.75" customHeight="1">
      <c r="A79" s="11" t="s">
        <v>13</v>
      </c>
      <c r="B79" s="125" t="s">
        <v>821</v>
      </c>
      <c r="C79" s="69" t="str">
        <f t="shared" si="8"/>
        <v>Quarta-Feira</v>
      </c>
      <c r="D79" s="445" t="str">
        <f>IF(C79&lt;&gt;"Quarta-Feira","14:00","09:00")</f>
        <v>09:00</v>
      </c>
      <c r="E79" s="253" t="s">
        <v>2368</v>
      </c>
      <c r="F79" s="69">
        <v>8.01440490534754E14</v>
      </c>
      <c r="G79" s="433" t="s">
        <v>2369</v>
      </c>
      <c r="H79" s="78">
        <v>19429.0</v>
      </c>
      <c r="I79" s="30" t="s">
        <v>182</v>
      </c>
      <c r="J79" s="69"/>
      <c r="K79" s="69"/>
      <c r="L79" s="197" t="s">
        <v>520</v>
      </c>
      <c r="N79" s="244">
        <f t="shared" ref="N79:R79" si="9">COUNTIFS($I$76:$I$87,N78)</f>
        <v>8</v>
      </c>
      <c r="O79" s="244">
        <f t="shared" si="9"/>
        <v>0</v>
      </c>
      <c r="P79" s="244">
        <f t="shared" si="9"/>
        <v>0</v>
      </c>
      <c r="Q79" s="244">
        <f t="shared" si="9"/>
        <v>0</v>
      </c>
      <c r="R79" s="244">
        <f t="shared" si="9"/>
        <v>0</v>
      </c>
    </row>
    <row r="80" ht="18.0" customHeight="1">
      <c r="A80" s="11" t="s">
        <v>14</v>
      </c>
      <c r="B80" s="125" t="s">
        <v>201</v>
      </c>
      <c r="C80" s="69" t="str">
        <f t="shared" si="8"/>
        <v>Quarta-Feira</v>
      </c>
      <c r="D80" s="445" t="str">
        <f>IF(C80&lt;&gt;"Quarta-Feira","14:20","09:20")</f>
        <v>09:20</v>
      </c>
      <c r="E80" s="253"/>
      <c r="F80" s="69"/>
      <c r="G80" s="154"/>
      <c r="H80" s="78"/>
      <c r="I80" s="30" t="s">
        <v>2347</v>
      </c>
      <c r="J80" s="69"/>
      <c r="K80" s="69"/>
      <c r="L80" s="197" t="s">
        <v>520</v>
      </c>
      <c r="R80" s="62"/>
    </row>
    <row r="81" ht="15.75" customHeight="1">
      <c r="A81" s="11" t="s">
        <v>15</v>
      </c>
      <c r="B81" s="125" t="s">
        <v>1447</v>
      </c>
      <c r="C81" s="69" t="str">
        <f t="shared" si="8"/>
        <v>Quarta-Feira</v>
      </c>
      <c r="D81" s="445" t="str">
        <f>IF(C81&lt;&gt;"Quarta-Feira","14:40","09:40")</f>
        <v>09:40</v>
      </c>
      <c r="E81" s="253" t="s">
        <v>2370</v>
      </c>
      <c r="F81" s="69">
        <v>7.00908954398991E14</v>
      </c>
      <c r="G81" s="154" t="s">
        <v>2371</v>
      </c>
      <c r="H81" s="78">
        <v>18025.0</v>
      </c>
      <c r="I81" s="30" t="s">
        <v>182</v>
      </c>
      <c r="J81" s="69"/>
      <c r="K81" s="69"/>
      <c r="L81" s="197" t="s">
        <v>520</v>
      </c>
      <c r="R81" s="62"/>
    </row>
    <row r="82" ht="15.75" customHeight="1">
      <c r="A82" s="11" t="s">
        <v>16</v>
      </c>
      <c r="B82" s="125" t="s">
        <v>65</v>
      </c>
      <c r="C82" s="69" t="str">
        <f t="shared" si="8"/>
        <v>Quarta-Feira</v>
      </c>
      <c r="D82" s="445" t="str">
        <f>IF(C82&lt;&gt;"Quarta-Feira","15:00","10:00")</f>
        <v>10:00</v>
      </c>
      <c r="E82" s="253" t="s">
        <v>2372</v>
      </c>
      <c r="F82" s="69">
        <v>7.00003865260106E14</v>
      </c>
      <c r="G82" s="154" t="s">
        <v>2373</v>
      </c>
      <c r="H82" s="78">
        <v>22879.0</v>
      </c>
      <c r="I82" s="30" t="s">
        <v>182</v>
      </c>
      <c r="J82" s="69" t="s">
        <v>2374</v>
      </c>
      <c r="K82" s="69"/>
      <c r="L82" s="197" t="s">
        <v>520</v>
      </c>
      <c r="R82" s="62"/>
    </row>
    <row r="83" ht="15.75" customHeight="1">
      <c r="A83" s="11" t="s">
        <v>178</v>
      </c>
      <c r="B83" s="125" t="s">
        <v>201</v>
      </c>
      <c r="C83" s="69" t="str">
        <f t="shared" si="8"/>
        <v>Quarta-Feira</v>
      </c>
      <c r="D83" s="445" t="str">
        <f>IF(C83&lt;&gt;"Quarta-Feira","15:20","10:20")</f>
        <v>10:20</v>
      </c>
      <c r="E83" s="253"/>
      <c r="F83" s="69"/>
      <c r="G83" s="154"/>
      <c r="H83" s="72"/>
      <c r="I83" s="30" t="s">
        <v>2347</v>
      </c>
      <c r="J83" s="69"/>
      <c r="K83" s="69"/>
      <c r="L83" s="197" t="s">
        <v>520</v>
      </c>
      <c r="R83" s="62"/>
    </row>
    <row r="84" ht="15.75" customHeight="1">
      <c r="A84" s="11" t="s">
        <v>85</v>
      </c>
      <c r="B84" s="125" t="s">
        <v>821</v>
      </c>
      <c r="C84" s="69" t="str">
        <f t="shared" si="8"/>
        <v>Quarta-Feira</v>
      </c>
      <c r="D84" s="445" t="str">
        <f>IF(C84&lt;&gt;"Quarta-Feira","15:40","10:40")</f>
        <v>10:40</v>
      </c>
      <c r="E84" s="253" t="s">
        <v>2375</v>
      </c>
      <c r="F84" s="69">
        <v>7.00805978961082E14</v>
      </c>
      <c r="G84" s="154" t="s">
        <v>2376</v>
      </c>
      <c r="H84" s="78">
        <v>23636.0</v>
      </c>
      <c r="I84" s="30" t="s">
        <v>182</v>
      </c>
      <c r="J84" s="69"/>
      <c r="K84" s="69"/>
      <c r="L84" s="197" t="s">
        <v>520</v>
      </c>
      <c r="R84" s="62"/>
    </row>
    <row r="85" ht="15.75" customHeight="1">
      <c r="A85" s="11" t="s">
        <v>87</v>
      </c>
      <c r="B85" s="125" t="s">
        <v>1447</v>
      </c>
      <c r="C85" s="69" t="str">
        <f t="shared" si="8"/>
        <v>Quarta-Feira</v>
      </c>
      <c r="D85" s="445" t="str">
        <f>IF(C85&lt;&gt;"Quarta-Feira","16:00","11:00")</f>
        <v>11:00</v>
      </c>
      <c r="E85" s="253"/>
      <c r="F85" s="69"/>
      <c r="G85" s="154" t="s">
        <v>2377</v>
      </c>
      <c r="H85" s="153"/>
      <c r="I85" s="30" t="s">
        <v>182</v>
      </c>
      <c r="J85" s="69"/>
      <c r="K85" s="69"/>
      <c r="L85" s="197" t="s">
        <v>520</v>
      </c>
      <c r="R85" s="62"/>
    </row>
    <row r="86" ht="15.75" customHeight="1">
      <c r="A86" s="11" t="s">
        <v>90</v>
      </c>
      <c r="B86" s="125" t="s">
        <v>821</v>
      </c>
      <c r="C86" s="69" t="str">
        <f t="shared" si="8"/>
        <v>Quarta-Feira</v>
      </c>
      <c r="D86" s="445" t="str">
        <f>IF(C86&lt;&gt;"Quarta-Feira","16:20","11:20")</f>
        <v>11:20</v>
      </c>
      <c r="E86" s="253" t="s">
        <v>2378</v>
      </c>
      <c r="F86" s="69">
        <v>2.01152331420009E14</v>
      </c>
      <c r="G86" s="154" t="s">
        <v>2379</v>
      </c>
      <c r="H86" s="153">
        <v>21221.0</v>
      </c>
      <c r="I86" s="30" t="s">
        <v>182</v>
      </c>
      <c r="J86" s="69"/>
      <c r="K86" s="69"/>
      <c r="L86" s="197" t="s">
        <v>520</v>
      </c>
      <c r="R86" s="62"/>
    </row>
    <row r="87" ht="15.75" customHeight="1">
      <c r="A87" s="11" t="s">
        <v>93</v>
      </c>
      <c r="B87" s="125" t="s">
        <v>65</v>
      </c>
      <c r="C87" s="69" t="str">
        <f t="shared" si="8"/>
        <v>Quarta-Feira</v>
      </c>
      <c r="D87" s="445" t="str">
        <f>IF(C87&lt;&gt;"Quarta-Feira","16:40","11:40")</f>
        <v>11:40</v>
      </c>
      <c r="E87" s="253"/>
      <c r="F87" s="69"/>
      <c r="G87" s="154"/>
      <c r="H87" s="153"/>
      <c r="I87" s="30" t="s">
        <v>2347</v>
      </c>
      <c r="J87" s="69"/>
      <c r="K87" s="69"/>
      <c r="R87" s="62"/>
    </row>
    <row r="88" ht="15.75" customHeight="1">
      <c r="B88" s="167"/>
      <c r="E88" s="231"/>
      <c r="G88" s="167"/>
      <c r="J88" s="62"/>
      <c r="K88" s="62"/>
      <c r="R88" s="62"/>
    </row>
    <row r="89" ht="15.75" customHeight="1">
      <c r="B89" s="167"/>
      <c r="E89" s="231"/>
      <c r="G89" s="167"/>
      <c r="J89" s="62"/>
      <c r="K89" s="62"/>
      <c r="R89" s="62"/>
    </row>
    <row r="90" ht="15.75" customHeight="1">
      <c r="B90" s="167"/>
      <c r="E90" s="231"/>
      <c r="G90" s="167"/>
      <c r="J90" s="62"/>
      <c r="K90" s="62"/>
      <c r="R90" s="62"/>
    </row>
    <row r="91" ht="15.75" customHeight="1">
      <c r="A91" s="20" t="s">
        <v>377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08h às 13h"</f>
        <v>13/03/2026 08h às 13h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426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34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2380</v>
      </c>
      <c r="C94" s="69" t="str">
        <f t="shared" ref="C94:C105" si="10">PROPER(TEXT(DATE(MID($A$92,7,4),MID($A$92,4,2),LEFT($A$92,2)),"dddd"))</f>
        <v>Sexta-Feira</v>
      </c>
      <c r="D94" s="445" t="str">
        <f>IF(C94&lt;&gt;"Quarta-Feira","13:00","08:00")</f>
        <v>13:00</v>
      </c>
      <c r="E94" s="253" t="s">
        <v>2381</v>
      </c>
      <c r="F94" s="69">
        <v>7.08400772395868E14</v>
      </c>
      <c r="G94" s="154" t="s">
        <v>2382</v>
      </c>
      <c r="H94" s="193">
        <v>20465.0</v>
      </c>
      <c r="I94" s="30" t="s">
        <v>182</v>
      </c>
      <c r="J94" s="69"/>
      <c r="K94" s="69"/>
      <c r="L94" s="197" t="s">
        <v>520</v>
      </c>
      <c r="N94" s="237" t="s">
        <v>386</v>
      </c>
      <c r="O94" s="95"/>
      <c r="P94" s="95"/>
      <c r="Q94" s="95"/>
      <c r="R94" s="95"/>
    </row>
    <row r="95" ht="15.75" customHeight="1">
      <c r="A95" s="11" t="s">
        <v>11</v>
      </c>
      <c r="B95" s="205" t="s">
        <v>2383</v>
      </c>
      <c r="C95" s="69" t="str">
        <f t="shared" si="10"/>
        <v>Sexta-Feira</v>
      </c>
      <c r="D95" s="445" t="str">
        <f>IF(C95&lt;&gt;"Quarta-Feira","13:20","08:20")</f>
        <v>13:20</v>
      </c>
      <c r="E95" s="253" t="s">
        <v>2384</v>
      </c>
      <c r="F95" s="69">
        <v>8.98002116460192E14</v>
      </c>
      <c r="G95" s="154" t="s">
        <v>2385</v>
      </c>
      <c r="H95" s="72">
        <v>21872.0</v>
      </c>
      <c r="I95" s="30" t="s">
        <v>182</v>
      </c>
      <c r="J95" s="69"/>
      <c r="K95" s="69"/>
      <c r="N95" s="239" t="s">
        <v>1823</v>
      </c>
      <c r="O95" s="2"/>
      <c r="P95" s="2"/>
      <c r="Q95" s="2"/>
      <c r="R95" s="2"/>
    </row>
    <row r="96" ht="15.75" customHeight="1">
      <c r="A96" s="11" t="s">
        <v>12</v>
      </c>
      <c r="B96" s="205" t="s">
        <v>2386</v>
      </c>
      <c r="C96" s="69" t="str">
        <f t="shared" si="10"/>
        <v>Sexta-Feira</v>
      </c>
      <c r="D96" s="445" t="str">
        <f>IF(C96&lt;&gt;"Quarta-Feira","13:40","08:40")</f>
        <v>13:40</v>
      </c>
      <c r="E96" s="253" t="s">
        <v>2387</v>
      </c>
      <c r="F96" s="69">
        <v>7.00007405527404E14</v>
      </c>
      <c r="G96" s="154" t="s">
        <v>2388</v>
      </c>
      <c r="H96" s="78">
        <v>17392.0</v>
      </c>
      <c r="I96" s="30" t="s">
        <v>182</v>
      </c>
      <c r="J96" s="69"/>
      <c r="K96" s="69"/>
      <c r="L96" s="197" t="s">
        <v>520</v>
      </c>
      <c r="N96" s="240" t="s">
        <v>182</v>
      </c>
      <c r="O96" s="241" t="s">
        <v>194</v>
      </c>
      <c r="P96" s="241" t="s">
        <v>180</v>
      </c>
      <c r="Q96" s="242" t="s">
        <v>172</v>
      </c>
      <c r="R96" s="62" t="s">
        <v>1822</v>
      </c>
    </row>
    <row r="97" ht="15.75" customHeight="1">
      <c r="A97" s="11" t="s">
        <v>13</v>
      </c>
      <c r="B97" s="205" t="s">
        <v>2389</v>
      </c>
      <c r="C97" s="69" t="str">
        <f t="shared" si="10"/>
        <v>Sexta-Feira</v>
      </c>
      <c r="D97" s="445" t="str">
        <f>IF(C97&lt;&gt;"Quarta-Feira","14:00","09:00")</f>
        <v>14:00</v>
      </c>
      <c r="E97" s="253" t="s">
        <v>2390</v>
      </c>
      <c r="F97" s="69">
        <v>7.00905938212495E14</v>
      </c>
      <c r="G97" s="154" t="s">
        <v>2391</v>
      </c>
      <c r="H97" s="78">
        <v>24743.0</v>
      </c>
      <c r="I97" s="30" t="s">
        <v>182</v>
      </c>
      <c r="J97" s="69"/>
      <c r="K97" s="69"/>
      <c r="L97" s="197" t="s">
        <v>520</v>
      </c>
      <c r="N97" s="244">
        <f t="shared" ref="N97:Q97" si="11">COUNTIFS($I$94:$I$105,N96)</f>
        <v>10</v>
      </c>
      <c r="O97" s="244">
        <f t="shared" si="11"/>
        <v>0</v>
      </c>
      <c r="P97" s="244">
        <f t="shared" si="11"/>
        <v>0</v>
      </c>
      <c r="Q97" s="244">
        <f t="shared" si="11"/>
        <v>0</v>
      </c>
      <c r="R97" s="62">
        <f>COUNTIFS(I94:I105,R96)</f>
        <v>2</v>
      </c>
    </row>
    <row r="98" ht="15.75" customHeight="1">
      <c r="A98" s="11" t="s">
        <v>14</v>
      </c>
      <c r="B98" s="205" t="s">
        <v>2380</v>
      </c>
      <c r="C98" s="69" t="str">
        <f t="shared" si="10"/>
        <v>Sexta-Feira</v>
      </c>
      <c r="D98" s="445" t="str">
        <f>IF(C98&lt;&gt;"Quarta-Feira","14:20","09:20")</f>
        <v>14:20</v>
      </c>
      <c r="E98" s="253" t="s">
        <v>2392</v>
      </c>
      <c r="F98" s="69">
        <v>7.0870414101229E14</v>
      </c>
      <c r="G98" s="154" t="s">
        <v>2393</v>
      </c>
      <c r="H98" s="78">
        <v>20292.0</v>
      </c>
      <c r="I98" s="30" t="s">
        <v>182</v>
      </c>
      <c r="J98" s="69"/>
      <c r="K98" s="69"/>
      <c r="L98" s="197" t="s">
        <v>520</v>
      </c>
      <c r="R98" s="62"/>
    </row>
    <row r="99" ht="15.75" customHeight="1">
      <c r="A99" s="11" t="s">
        <v>15</v>
      </c>
      <c r="B99" s="205" t="s">
        <v>2383</v>
      </c>
      <c r="C99" s="69" t="str">
        <f t="shared" si="10"/>
        <v>Sexta-Feira</v>
      </c>
      <c r="D99" s="445" t="str">
        <f>IF(C99&lt;&gt;"Quarta-Feira","14:40","09:40")</f>
        <v>14:40</v>
      </c>
      <c r="E99" s="253" t="s">
        <v>2394</v>
      </c>
      <c r="F99" s="69">
        <v>7.06006838859746E14</v>
      </c>
      <c r="G99" s="154" t="s">
        <v>2395</v>
      </c>
      <c r="H99" s="78">
        <v>26245.0</v>
      </c>
      <c r="I99" s="30" t="s">
        <v>1822</v>
      </c>
      <c r="J99" s="69"/>
      <c r="K99" s="69"/>
      <c r="L99" s="197" t="s">
        <v>520</v>
      </c>
      <c r="R99" s="62"/>
    </row>
    <row r="100" ht="15.75" customHeight="1">
      <c r="A100" s="11" t="s">
        <v>16</v>
      </c>
      <c r="B100" s="205" t="s">
        <v>2386</v>
      </c>
      <c r="C100" s="69" t="str">
        <f t="shared" si="10"/>
        <v>Sexta-Feira</v>
      </c>
      <c r="D100" s="445" t="str">
        <f>IF(C100&lt;&gt;"Quarta-Feira","15:00","10:00")</f>
        <v>15:00</v>
      </c>
      <c r="E100" s="253" t="s">
        <v>2396</v>
      </c>
      <c r="F100" s="69">
        <v>8.98001414247518E14</v>
      </c>
      <c r="G100" s="154" t="s">
        <v>2397</v>
      </c>
      <c r="H100" s="78">
        <v>30274.0</v>
      </c>
      <c r="I100" s="30" t="s">
        <v>182</v>
      </c>
      <c r="J100" s="69"/>
      <c r="K100" s="69"/>
      <c r="R100" s="62"/>
    </row>
    <row r="101" ht="15.75" customHeight="1">
      <c r="A101" s="11" t="s">
        <v>17</v>
      </c>
      <c r="B101" s="205" t="s">
        <v>2389</v>
      </c>
      <c r="C101" s="69" t="str">
        <f t="shared" si="10"/>
        <v>Sexta-Feira</v>
      </c>
      <c r="D101" s="445" t="str">
        <f>IF(C101&lt;&gt;"Quarta-Feira","15:20","10:20")</f>
        <v>15:20</v>
      </c>
      <c r="E101" s="253" t="s">
        <v>668</v>
      </c>
      <c r="F101" s="69">
        <v>7.08603546317283E14</v>
      </c>
      <c r="G101" s="154" t="s">
        <v>669</v>
      </c>
      <c r="H101" s="72">
        <v>23678.0</v>
      </c>
      <c r="I101" s="30" t="s">
        <v>182</v>
      </c>
      <c r="J101" s="69"/>
      <c r="K101" s="69"/>
      <c r="R101" s="62"/>
    </row>
    <row r="102" ht="15.75" customHeight="1">
      <c r="A102" s="11" t="s">
        <v>85</v>
      </c>
      <c r="B102" s="205" t="s">
        <v>2383</v>
      </c>
      <c r="C102" s="69" t="str">
        <f t="shared" si="10"/>
        <v>Sexta-Feira</v>
      </c>
      <c r="D102" s="445" t="str">
        <f>IF(C102&lt;&gt;"Quarta-Feira","15:40","10:40")</f>
        <v>15:40</v>
      </c>
      <c r="E102" s="253" t="s">
        <v>2398</v>
      </c>
      <c r="F102" s="69">
        <v>7.00503110667754E14</v>
      </c>
      <c r="G102" s="154" t="s">
        <v>2399</v>
      </c>
      <c r="H102" s="78">
        <v>27718.0</v>
      </c>
      <c r="I102" s="30" t="s">
        <v>1822</v>
      </c>
      <c r="J102" s="69"/>
      <c r="K102" s="69"/>
      <c r="L102" s="197" t="s">
        <v>576</v>
      </c>
      <c r="R102" s="62"/>
    </row>
    <row r="103" ht="15.75" customHeight="1">
      <c r="A103" s="11" t="s">
        <v>87</v>
      </c>
      <c r="B103" s="205" t="s">
        <v>2380</v>
      </c>
      <c r="C103" s="69" t="str">
        <f t="shared" si="10"/>
        <v>Sexta-Feira</v>
      </c>
      <c r="D103" s="445" t="str">
        <f>IF(C103&lt;&gt;"Quarta-Feira","16:00","11:00")</f>
        <v>16:00</v>
      </c>
      <c r="E103" s="253" t="s">
        <v>2400</v>
      </c>
      <c r="F103" s="69">
        <v>8.98001430999235E14</v>
      </c>
      <c r="G103" s="154" t="s">
        <v>1228</v>
      </c>
      <c r="H103" s="153">
        <v>24657.0</v>
      </c>
      <c r="I103" s="30" t="s">
        <v>182</v>
      </c>
      <c r="J103" s="69"/>
      <c r="K103" s="69"/>
      <c r="R103" s="62"/>
    </row>
    <row r="104" ht="15.75" customHeight="1">
      <c r="A104" s="11" t="s">
        <v>90</v>
      </c>
      <c r="B104" s="205" t="s">
        <v>2380</v>
      </c>
      <c r="C104" s="69" t="str">
        <f t="shared" si="10"/>
        <v>Sexta-Feira</v>
      </c>
      <c r="D104" s="445" t="str">
        <f>IF(C104&lt;&gt;"Quarta-Feira","16:20","11:20")</f>
        <v>16:20</v>
      </c>
      <c r="E104" s="253"/>
      <c r="F104" s="69"/>
      <c r="G104" s="154" t="s">
        <v>2401</v>
      </c>
      <c r="H104" s="153"/>
      <c r="I104" s="30" t="s">
        <v>182</v>
      </c>
      <c r="J104" s="69"/>
      <c r="K104" s="69"/>
      <c r="R104" s="62"/>
    </row>
    <row r="105" ht="15.75" customHeight="1">
      <c r="A105" s="11" t="s">
        <v>93</v>
      </c>
      <c r="B105" s="205" t="s">
        <v>2380</v>
      </c>
      <c r="C105" s="69" t="str">
        <f t="shared" si="10"/>
        <v>Sexta-Feira</v>
      </c>
      <c r="D105" s="445" t="str">
        <f>IF(C105&lt;&gt;"Quarta-Feira","16:40","11:40")</f>
        <v>16:40</v>
      </c>
      <c r="E105" s="253"/>
      <c r="F105" s="69"/>
      <c r="G105" s="154" t="s">
        <v>1391</v>
      </c>
      <c r="H105" s="153"/>
      <c r="I105" s="30" t="s">
        <v>182</v>
      </c>
      <c r="J105" s="69"/>
      <c r="K105" s="69"/>
      <c r="R105" s="62"/>
    </row>
    <row r="106" ht="15.75" customHeight="1">
      <c r="B106" s="167"/>
      <c r="E106" s="231"/>
      <c r="G106" s="167"/>
      <c r="J106" s="62"/>
      <c r="K106" s="62"/>
      <c r="R106" s="62"/>
    </row>
    <row r="107" ht="15.75" customHeight="1">
      <c r="B107" s="167"/>
      <c r="E107" s="231"/>
      <c r="G107" s="167"/>
      <c r="J107" s="62"/>
      <c r="K107" s="62"/>
      <c r="R107" s="62"/>
    </row>
    <row r="108" ht="15.75" customHeight="1">
      <c r="B108" s="167"/>
      <c r="E108" s="231"/>
      <c r="G108" s="167"/>
      <c r="J108" s="62"/>
      <c r="K108" s="62"/>
      <c r="R108" s="62"/>
    </row>
    <row r="109" ht="15.75" customHeight="1">
      <c r="A109" s="20" t="s">
        <v>377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TEXT(DATE(VALUE(MID(A56,7,4)),VALUE(MID(A56,4,2)),VALUE(LEFT(A56,2)))+7,"dd/mm/yyyy")&amp;" 13h às 17h"</f>
        <v>16/03/2026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426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1980</v>
      </c>
      <c r="C112" s="69" t="str">
        <f t="shared" ref="C112:C123" si="12">PROPER(TEXT(DATE(MID($A$110,7,4),MID($A$110,4,2),LEFT($A$110,2)),"dddd"))</f>
        <v>Segunda-Feira</v>
      </c>
      <c r="D112" s="445" t="str">
        <f>IF(C112&lt;&gt;"Quarta-Feira","13:00","08:00")</f>
        <v>13:00</v>
      </c>
      <c r="E112" s="253" t="s">
        <v>2402</v>
      </c>
      <c r="F112" s="69">
        <v>8.98001405209358E14</v>
      </c>
      <c r="G112" s="154" t="s">
        <v>2403</v>
      </c>
      <c r="H112" s="453">
        <v>14625.0</v>
      </c>
      <c r="I112" s="30" t="s">
        <v>182</v>
      </c>
      <c r="J112" s="69"/>
      <c r="K112" s="69"/>
      <c r="N112" s="237" t="s">
        <v>386</v>
      </c>
      <c r="O112" s="95"/>
      <c r="P112" s="95"/>
      <c r="Q112" s="95"/>
      <c r="R112" s="95"/>
    </row>
    <row r="113" ht="15.75" customHeight="1">
      <c r="A113" s="11" t="s">
        <v>11</v>
      </c>
      <c r="B113" s="205" t="s">
        <v>1984</v>
      </c>
      <c r="C113" s="69" t="str">
        <f t="shared" si="12"/>
        <v>Segunda-Feira</v>
      </c>
      <c r="D113" s="445" t="str">
        <f>IF(C113&lt;&gt;"Quarta-Feira","13:20","08:20")</f>
        <v>13:20</v>
      </c>
      <c r="E113" s="253" t="s">
        <v>2355</v>
      </c>
      <c r="F113" s="69">
        <v>7.03401242470714E14</v>
      </c>
      <c r="G113" s="154" t="s">
        <v>2356</v>
      </c>
      <c r="H113" s="72">
        <v>29055.0</v>
      </c>
      <c r="I113" s="30" t="s">
        <v>182</v>
      </c>
      <c r="J113" s="69"/>
      <c r="K113" s="69"/>
      <c r="N113" s="239" t="s">
        <v>1823</v>
      </c>
      <c r="O113" s="2"/>
      <c r="P113" s="2"/>
      <c r="Q113" s="2"/>
      <c r="R113" s="2"/>
    </row>
    <row r="114" ht="15.75" customHeight="1">
      <c r="A114" s="11" t="s">
        <v>12</v>
      </c>
      <c r="B114" s="205" t="s">
        <v>1988</v>
      </c>
      <c r="C114" s="69" t="str">
        <f t="shared" si="12"/>
        <v>Segunda-Feira</v>
      </c>
      <c r="D114" s="445" t="str">
        <f>IF(C114&lt;&gt;"Quarta-Feira","13:40","08:40")</f>
        <v>13:40</v>
      </c>
      <c r="E114" s="253" t="s">
        <v>2404</v>
      </c>
      <c r="F114" s="69">
        <v>7.00704911278976E14</v>
      </c>
      <c r="G114" s="154" t="s">
        <v>2405</v>
      </c>
      <c r="H114" s="78">
        <v>12887.0</v>
      </c>
      <c r="I114" s="30" t="s">
        <v>182</v>
      </c>
      <c r="J114" s="69"/>
      <c r="K114" s="69"/>
      <c r="N114" s="240" t="s">
        <v>182</v>
      </c>
      <c r="O114" s="241" t="s">
        <v>194</v>
      </c>
      <c r="P114" s="241" t="s">
        <v>180</v>
      </c>
      <c r="Q114" s="242" t="s">
        <v>172</v>
      </c>
      <c r="R114" s="62" t="s">
        <v>1822</v>
      </c>
    </row>
    <row r="115" ht="15.75" customHeight="1">
      <c r="A115" s="11" t="s">
        <v>13</v>
      </c>
      <c r="B115" s="205" t="s">
        <v>1991</v>
      </c>
      <c r="C115" s="69" t="str">
        <f t="shared" si="12"/>
        <v>Segunda-Feira</v>
      </c>
      <c r="D115" s="445" t="str">
        <f>IF(C115&lt;&gt;"Quarta-Feira","14:00","09:00")</f>
        <v>14:00</v>
      </c>
      <c r="E115" s="253" t="s">
        <v>2406</v>
      </c>
      <c r="F115" s="69">
        <v>7.02406514064326E14</v>
      </c>
      <c r="G115" s="154" t="s">
        <v>2407</v>
      </c>
      <c r="H115" s="78">
        <v>25459.0</v>
      </c>
      <c r="I115" s="30" t="s">
        <v>1822</v>
      </c>
      <c r="J115" s="69"/>
      <c r="K115" s="69"/>
      <c r="N115" s="244">
        <f t="shared" ref="N115:R115" si="13">COUNTIFS($I$112:$I$123,N114)</f>
        <v>9</v>
      </c>
      <c r="O115" s="244">
        <f t="shared" si="13"/>
        <v>0</v>
      </c>
      <c r="P115" s="244">
        <f t="shared" si="13"/>
        <v>0</v>
      </c>
      <c r="Q115" s="244">
        <f t="shared" si="13"/>
        <v>0</v>
      </c>
      <c r="R115" s="244">
        <f t="shared" si="13"/>
        <v>3</v>
      </c>
    </row>
    <row r="116" ht="15.75" customHeight="1">
      <c r="A116" s="11" t="s">
        <v>14</v>
      </c>
      <c r="B116" s="205" t="s">
        <v>1980</v>
      </c>
      <c r="C116" s="69" t="str">
        <f t="shared" si="12"/>
        <v>Segunda-Feira</v>
      </c>
      <c r="D116" s="445" t="str">
        <f>IF(C116&lt;&gt;"Quarta-Feira","14:20","09:20")</f>
        <v>14:20</v>
      </c>
      <c r="E116" s="253" t="s">
        <v>2408</v>
      </c>
      <c r="F116" s="69">
        <v>7.00605952182363E14</v>
      </c>
      <c r="G116" s="154" t="s">
        <v>2409</v>
      </c>
      <c r="H116" s="78">
        <v>23318.0</v>
      </c>
      <c r="I116" s="30" t="s">
        <v>182</v>
      </c>
      <c r="J116" s="69"/>
      <c r="K116" s="69"/>
      <c r="R116" s="62"/>
    </row>
    <row r="117" ht="15.75" customHeight="1">
      <c r="A117" s="11" t="s">
        <v>15</v>
      </c>
      <c r="B117" s="205" t="s">
        <v>1984</v>
      </c>
      <c r="C117" s="69" t="str">
        <f t="shared" si="12"/>
        <v>Segunda-Feira</v>
      </c>
      <c r="D117" s="445" t="str">
        <f>IF(C117&lt;&gt;"Quarta-Feira","14:40","09:40")</f>
        <v>14:40</v>
      </c>
      <c r="E117" s="253" t="s">
        <v>2410</v>
      </c>
      <c r="F117" s="69">
        <v>7.06204009833361E14</v>
      </c>
      <c r="G117" s="154" t="s">
        <v>2411</v>
      </c>
      <c r="H117" s="78">
        <v>21450.0</v>
      </c>
      <c r="I117" s="30" t="s">
        <v>182</v>
      </c>
      <c r="J117" s="69"/>
      <c r="K117" s="69"/>
      <c r="R117" s="62"/>
    </row>
    <row r="118" ht="15.75" customHeight="1">
      <c r="A118" s="11" t="s">
        <v>16</v>
      </c>
      <c r="B118" s="205" t="s">
        <v>1988</v>
      </c>
      <c r="C118" s="69" t="str">
        <f t="shared" si="12"/>
        <v>Segunda-Feira</v>
      </c>
      <c r="D118" s="445" t="str">
        <f>IF(C118&lt;&gt;"Quarta-Feira","15:00","10:00")</f>
        <v>15:00</v>
      </c>
      <c r="E118" s="253" t="s">
        <v>2412</v>
      </c>
      <c r="F118" s="69">
        <v>7.0610783204023E14</v>
      </c>
      <c r="G118" s="154" t="s">
        <v>2413</v>
      </c>
      <c r="H118" s="78">
        <v>17858.0</v>
      </c>
      <c r="I118" s="30" t="s">
        <v>182</v>
      </c>
      <c r="J118" s="69"/>
      <c r="K118" s="69"/>
      <c r="R118" s="62"/>
    </row>
    <row r="119" ht="15.75" customHeight="1">
      <c r="A119" s="11" t="s">
        <v>17</v>
      </c>
      <c r="B119" s="205" t="s">
        <v>1991</v>
      </c>
      <c r="C119" s="69" t="str">
        <f t="shared" si="12"/>
        <v>Segunda-Feira</v>
      </c>
      <c r="D119" s="445" t="str">
        <f>IF(C119&lt;&gt;"Quarta-Feira","15:20","10:20")</f>
        <v>15:20</v>
      </c>
      <c r="E119" s="253" t="s">
        <v>2414</v>
      </c>
      <c r="F119" s="69">
        <v>7.05801410840431E14</v>
      </c>
      <c r="G119" s="154" t="s">
        <v>2415</v>
      </c>
      <c r="H119" s="72">
        <v>23087.0</v>
      </c>
      <c r="I119" s="30" t="s">
        <v>1822</v>
      </c>
      <c r="J119" s="69"/>
      <c r="K119" s="69"/>
      <c r="R119" s="62"/>
    </row>
    <row r="120" ht="15.75" customHeight="1">
      <c r="A120" s="11" t="s">
        <v>85</v>
      </c>
      <c r="B120" s="205" t="s">
        <v>1980</v>
      </c>
      <c r="C120" s="69" t="str">
        <f t="shared" si="12"/>
        <v>Segunda-Feira</v>
      </c>
      <c r="D120" s="445" t="str">
        <f>IF(C120&lt;&gt;"Quarta-Feira","15:40","10:40")</f>
        <v>15:40</v>
      </c>
      <c r="E120" s="253" t="s">
        <v>2416</v>
      </c>
      <c r="F120" s="69">
        <v>7.0120405327141E14</v>
      </c>
      <c r="G120" s="154" t="s">
        <v>2417</v>
      </c>
      <c r="H120" s="78">
        <v>33590.0</v>
      </c>
      <c r="I120" s="30" t="s">
        <v>182</v>
      </c>
      <c r="J120" s="69"/>
      <c r="K120" s="69"/>
      <c r="R120" s="62"/>
      <c r="V120" s="292"/>
    </row>
    <row r="121" ht="15.75" customHeight="1">
      <c r="A121" s="11" t="s">
        <v>87</v>
      </c>
      <c r="B121" s="205" t="s">
        <v>1984</v>
      </c>
      <c r="C121" s="69" t="str">
        <f t="shared" si="12"/>
        <v>Segunda-Feira</v>
      </c>
      <c r="D121" s="445" t="str">
        <f>IF(C121&lt;&gt;"Quarta-Feira","16:00","11:00")</f>
        <v>16:00</v>
      </c>
      <c r="E121" s="253" t="s">
        <v>2418</v>
      </c>
      <c r="F121" s="69">
        <v>7.09809024906998E14</v>
      </c>
      <c r="G121" s="154" t="s">
        <v>2419</v>
      </c>
      <c r="H121" s="153">
        <v>20733.0</v>
      </c>
      <c r="I121" s="30" t="s">
        <v>182</v>
      </c>
      <c r="J121" s="69"/>
      <c r="K121" s="69"/>
      <c r="R121" s="62"/>
    </row>
    <row r="122" ht="15.75" customHeight="1">
      <c r="A122" s="11" t="s">
        <v>90</v>
      </c>
      <c r="B122" s="205" t="s">
        <v>1988</v>
      </c>
      <c r="C122" s="69" t="str">
        <f t="shared" si="12"/>
        <v>Segunda-Feira</v>
      </c>
      <c r="D122" s="445" t="str">
        <f>IF(C122&lt;&gt;"Quarta-Feira","16:20","11:20")</f>
        <v>16:20</v>
      </c>
      <c r="E122" s="253" t="s">
        <v>2420</v>
      </c>
      <c r="F122" s="69">
        <v>7.00904947632891E14</v>
      </c>
      <c r="G122" s="154" t="s">
        <v>2421</v>
      </c>
      <c r="H122" s="153">
        <v>19685.0</v>
      </c>
      <c r="I122" s="30" t="s">
        <v>182</v>
      </c>
      <c r="J122" s="69"/>
      <c r="K122" s="69"/>
      <c r="R122" s="62"/>
    </row>
    <row r="123" ht="15.75" customHeight="1">
      <c r="A123" s="11" t="s">
        <v>93</v>
      </c>
      <c r="B123" s="205" t="s">
        <v>1991</v>
      </c>
      <c r="C123" s="69" t="str">
        <f t="shared" si="12"/>
        <v>Segunda-Feira</v>
      </c>
      <c r="D123" s="445" t="str">
        <f>IF(C123&lt;&gt;"Quarta-Feira","16:40","11:40")</f>
        <v>16:40</v>
      </c>
      <c r="E123" s="253"/>
      <c r="F123" s="69">
        <v>8.98002968050704E14</v>
      </c>
      <c r="G123" s="154" t="s">
        <v>2422</v>
      </c>
      <c r="H123" s="153">
        <v>21351.0</v>
      </c>
      <c r="I123" s="30" t="s">
        <v>1822</v>
      </c>
      <c r="J123" s="69"/>
      <c r="K123" s="69"/>
      <c r="R123" s="62"/>
    </row>
    <row r="124" ht="15.75" customHeight="1">
      <c r="B124" s="167"/>
      <c r="E124" s="231"/>
      <c r="G124" s="167"/>
      <c r="J124" s="62"/>
      <c r="K124" s="62"/>
      <c r="R124" s="62"/>
    </row>
    <row r="125" ht="15.75" customHeight="1">
      <c r="B125" s="167"/>
      <c r="E125" s="231"/>
      <c r="G125" s="167"/>
      <c r="J125" s="62"/>
      <c r="K125" s="62"/>
      <c r="R125" s="62"/>
    </row>
    <row r="126" ht="15.75" customHeight="1">
      <c r="B126" s="167"/>
      <c r="E126" s="231"/>
      <c r="G126" s="167"/>
      <c r="J126" s="62"/>
      <c r="K126" s="62"/>
      <c r="R126" s="62"/>
    </row>
    <row r="127" ht="15.75" customHeight="1">
      <c r="A127" s="20" t="s">
        <v>377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08h às 13h"</f>
        <v>18/03/2026 08h às 13h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426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34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2013</v>
      </c>
      <c r="C130" s="69" t="str">
        <f t="shared" ref="C130:C141" si="14">PROPER(TEXT(DATE(MID($A$128,7,4),MID($A$128,4,2),LEFT($A$128,2)),"dddd"))</f>
        <v>Quarta-Feira</v>
      </c>
      <c r="D130" s="445" t="str">
        <f>IF(C130&lt;&gt;"Quarta-Feira","13:00","08:00")</f>
        <v>08:00</v>
      </c>
      <c r="E130" s="253" t="s">
        <v>2423</v>
      </c>
      <c r="F130" s="69">
        <v>7.06806740668228E14</v>
      </c>
      <c r="G130" s="154" t="s">
        <v>2424</v>
      </c>
      <c r="H130" s="193">
        <v>21574.0</v>
      </c>
      <c r="I130" s="30" t="s">
        <v>182</v>
      </c>
      <c r="J130" s="69"/>
      <c r="K130" s="69"/>
      <c r="N130" s="237" t="s">
        <v>386</v>
      </c>
      <c r="O130" s="95"/>
      <c r="P130" s="95"/>
      <c r="Q130" s="95"/>
      <c r="R130" s="95"/>
    </row>
    <row r="131" ht="15.75" customHeight="1">
      <c r="A131" s="11" t="s">
        <v>11</v>
      </c>
      <c r="B131" s="205" t="s">
        <v>2018</v>
      </c>
      <c r="C131" s="69" t="str">
        <f t="shared" si="14"/>
        <v>Quarta-Feira</v>
      </c>
      <c r="D131" s="445" t="str">
        <f>IF(C131&lt;&gt;"Quarta-Feira","13:20","08:20")</f>
        <v>08:20</v>
      </c>
      <c r="E131" s="253" t="s">
        <v>2425</v>
      </c>
      <c r="F131" s="69">
        <v>7.06804273051822E14</v>
      </c>
      <c r="G131" s="154" t="s">
        <v>2426</v>
      </c>
      <c r="H131" s="72">
        <v>17146.0</v>
      </c>
      <c r="I131" s="30" t="s">
        <v>182</v>
      </c>
      <c r="J131" s="69">
        <v>1.197760672E10</v>
      </c>
      <c r="K131" s="69"/>
      <c r="N131" s="239" t="s">
        <v>1823</v>
      </c>
      <c r="O131" s="2"/>
      <c r="P131" s="2"/>
      <c r="Q131" s="2"/>
      <c r="R131" s="2"/>
    </row>
    <row r="132" ht="15.75" customHeight="1">
      <c r="A132" s="11" t="s">
        <v>12</v>
      </c>
      <c r="B132" s="205" t="s">
        <v>2020</v>
      </c>
      <c r="C132" s="69" t="str">
        <f t="shared" si="14"/>
        <v>Quarta-Feira</v>
      </c>
      <c r="D132" s="445" t="str">
        <f>IF(C132&lt;&gt;"Quarta-Feira","13:40","08:40")</f>
        <v>08:40</v>
      </c>
      <c r="E132" s="253" t="s">
        <v>2427</v>
      </c>
      <c r="F132" s="69">
        <v>7.00803916197883E14</v>
      </c>
      <c r="G132" s="154" t="s">
        <v>2428</v>
      </c>
      <c r="H132" s="72">
        <v>28979.0</v>
      </c>
      <c r="I132" s="30" t="s">
        <v>1822</v>
      </c>
      <c r="J132" s="69">
        <v>1.1947766437E10</v>
      </c>
      <c r="K132" s="69"/>
      <c r="L132" s="63"/>
      <c r="M132" s="63"/>
      <c r="N132" s="240" t="s">
        <v>182</v>
      </c>
      <c r="O132" s="241" t="s">
        <v>194</v>
      </c>
      <c r="P132" s="241" t="s">
        <v>180</v>
      </c>
      <c r="Q132" s="242" t="s">
        <v>172</v>
      </c>
      <c r="R132" s="343" t="s">
        <v>1822</v>
      </c>
      <c r="S132" s="63"/>
      <c r="T132" s="63"/>
      <c r="U132" s="63"/>
      <c r="V132" s="63"/>
      <c r="W132" s="63"/>
      <c r="X132" s="63"/>
    </row>
    <row r="133" ht="15.75" customHeight="1">
      <c r="A133" s="11" t="s">
        <v>13</v>
      </c>
      <c r="B133" s="205" t="s">
        <v>2023</v>
      </c>
      <c r="C133" s="69" t="str">
        <f t="shared" si="14"/>
        <v>Quarta-Feira</v>
      </c>
      <c r="D133" s="445" t="str">
        <f>IF(C133&lt;&gt;"Quarta-Feira","14:00","09:00")</f>
        <v>09:00</v>
      </c>
      <c r="E133" s="253" t="s">
        <v>2429</v>
      </c>
      <c r="F133" s="69">
        <v>7.08006833914028E14</v>
      </c>
      <c r="G133" s="154" t="s">
        <v>2430</v>
      </c>
      <c r="H133" s="78">
        <v>14751.0</v>
      </c>
      <c r="I133" s="30" t="s">
        <v>182</v>
      </c>
      <c r="J133" s="69"/>
      <c r="K133" s="69"/>
      <c r="N133" s="244">
        <f t="shared" ref="N133:R133" si="15">COUNTIFS($I$130:$I$141,N132)</f>
        <v>9</v>
      </c>
      <c r="O133" s="244">
        <f t="shared" si="15"/>
        <v>0</v>
      </c>
      <c r="P133" s="244">
        <f t="shared" si="15"/>
        <v>0</v>
      </c>
      <c r="Q133" s="244">
        <f t="shared" si="15"/>
        <v>0</v>
      </c>
      <c r="R133" s="244">
        <f t="shared" si="15"/>
        <v>1</v>
      </c>
    </row>
    <row r="134" ht="15.75" customHeight="1">
      <c r="A134" s="11" t="s">
        <v>14</v>
      </c>
      <c r="B134" s="205" t="s">
        <v>2018</v>
      </c>
      <c r="C134" s="69" t="str">
        <f t="shared" si="14"/>
        <v>Quarta-Feira</v>
      </c>
      <c r="D134" s="445" t="str">
        <f>IF(C134&lt;&gt;"Quarta-Feira","14:20","09:20")</f>
        <v>09:20</v>
      </c>
      <c r="E134" s="253" t="s">
        <v>2306</v>
      </c>
      <c r="F134" s="69">
        <v>7.02802699504568E14</v>
      </c>
      <c r="G134" s="154" t="s">
        <v>2307</v>
      </c>
      <c r="H134" s="78">
        <v>28672.0</v>
      </c>
      <c r="I134" s="30" t="s">
        <v>182</v>
      </c>
      <c r="J134" s="69">
        <v>1.1951195263E10</v>
      </c>
      <c r="K134" s="69"/>
      <c r="R134" s="62"/>
    </row>
    <row r="135" ht="15.75" customHeight="1">
      <c r="A135" s="11" t="s">
        <v>15</v>
      </c>
      <c r="B135" s="205" t="s">
        <v>2020</v>
      </c>
      <c r="C135" s="69" t="str">
        <f t="shared" si="14"/>
        <v>Quarta-Feira</v>
      </c>
      <c r="D135" s="445" t="str">
        <f>IF(C135&lt;&gt;"Quarta-Feira","14:40","09:40")</f>
        <v>09:40</v>
      </c>
      <c r="E135" s="253"/>
      <c r="F135" s="69"/>
      <c r="G135" s="154"/>
      <c r="H135" s="78"/>
      <c r="I135" s="30"/>
      <c r="J135" s="69"/>
      <c r="K135" s="69"/>
      <c r="R135" s="62"/>
    </row>
    <row r="136" ht="15.75" customHeight="1">
      <c r="A136" s="11" t="s">
        <v>16</v>
      </c>
      <c r="B136" s="205" t="s">
        <v>2013</v>
      </c>
      <c r="C136" s="69" t="str">
        <f t="shared" si="14"/>
        <v>Quarta-Feira</v>
      </c>
      <c r="D136" s="445" t="str">
        <f>IF(C136&lt;&gt;"Quarta-Feira","15:00","10:00")</f>
        <v>10:00</v>
      </c>
      <c r="E136" s="253" t="s">
        <v>2431</v>
      </c>
      <c r="F136" s="69">
        <v>7.00603996257561E14</v>
      </c>
      <c r="G136" s="154" t="s">
        <v>2432</v>
      </c>
      <c r="H136" s="150">
        <v>21691.0</v>
      </c>
      <c r="I136" s="30" t="s">
        <v>182</v>
      </c>
      <c r="J136" s="69"/>
      <c r="K136" s="69"/>
      <c r="L136" s="63"/>
      <c r="M136" s="63"/>
      <c r="N136" s="63"/>
      <c r="O136" s="63"/>
      <c r="P136" s="63"/>
      <c r="Q136" s="63"/>
      <c r="R136" s="343"/>
      <c r="S136" s="63"/>
      <c r="T136" s="63"/>
      <c r="U136" s="63"/>
      <c r="V136" s="63"/>
      <c r="W136" s="63"/>
      <c r="X136" s="63"/>
    </row>
    <row r="137" ht="15.75" customHeight="1">
      <c r="A137" s="11" t="s">
        <v>17</v>
      </c>
      <c r="B137" s="205" t="s">
        <v>2018</v>
      </c>
      <c r="C137" s="69" t="str">
        <f t="shared" si="14"/>
        <v>Quarta-Feira</v>
      </c>
      <c r="D137" s="445" t="str">
        <f>IF(C137&lt;&gt;"Quarta-Feira","15:20","10:20")</f>
        <v>10:20</v>
      </c>
      <c r="E137" s="253" t="s">
        <v>1375</v>
      </c>
      <c r="F137" s="69">
        <v>7.00505900226352E14</v>
      </c>
      <c r="G137" s="154" t="s">
        <v>1376</v>
      </c>
      <c r="H137" s="72">
        <v>22768.0</v>
      </c>
      <c r="I137" s="30" t="s">
        <v>182</v>
      </c>
      <c r="J137" s="69"/>
      <c r="K137" s="69"/>
      <c r="R137" s="62"/>
    </row>
    <row r="138" ht="15.75" customHeight="1">
      <c r="A138" s="11" t="s">
        <v>85</v>
      </c>
      <c r="B138" s="205" t="s">
        <v>2023</v>
      </c>
      <c r="C138" s="69" t="str">
        <f t="shared" si="14"/>
        <v>Quarta-Feira</v>
      </c>
      <c r="D138" s="445" t="str">
        <f>IF(C138&lt;&gt;"Quarta-Feira","15:40","10:40")</f>
        <v>10:40</v>
      </c>
      <c r="E138" s="253" t="s">
        <v>2433</v>
      </c>
      <c r="F138" s="253" t="s">
        <v>2434</v>
      </c>
      <c r="G138" s="154" t="s">
        <v>2435</v>
      </c>
      <c r="H138" s="78">
        <v>21948.0</v>
      </c>
      <c r="I138" s="30" t="s">
        <v>182</v>
      </c>
      <c r="J138" s="69">
        <v>1.1988604469E10</v>
      </c>
      <c r="K138" s="69"/>
      <c r="R138" s="62"/>
    </row>
    <row r="139" ht="15.75" customHeight="1">
      <c r="A139" s="11" t="s">
        <v>87</v>
      </c>
      <c r="B139" s="205" t="s">
        <v>2020</v>
      </c>
      <c r="C139" s="69" t="str">
        <f t="shared" si="14"/>
        <v>Quarta-Feira</v>
      </c>
      <c r="D139" s="445" t="str">
        <f>IF(C139&lt;&gt;"Quarta-Feira","16:00","11:00")</f>
        <v>11:00</v>
      </c>
      <c r="E139" s="253"/>
      <c r="F139" s="69"/>
      <c r="G139" s="154"/>
      <c r="H139" s="153"/>
      <c r="I139" s="30"/>
      <c r="J139" s="69"/>
      <c r="K139" s="69"/>
      <c r="R139" s="62"/>
    </row>
    <row r="140" ht="15.75" customHeight="1">
      <c r="A140" s="11" t="s">
        <v>90</v>
      </c>
      <c r="B140" s="205" t="s">
        <v>2023</v>
      </c>
      <c r="C140" s="69" t="str">
        <f t="shared" si="14"/>
        <v>Quarta-Feira</v>
      </c>
      <c r="D140" s="445" t="str">
        <f>IF(C140&lt;&gt;"Quarta-Feira","16:20","11:20")</f>
        <v>11:20</v>
      </c>
      <c r="E140" s="253" t="s">
        <v>2436</v>
      </c>
      <c r="F140" s="69">
        <v>8.98001415914135E14</v>
      </c>
      <c r="G140" s="154" t="s">
        <v>2437</v>
      </c>
      <c r="H140" s="78">
        <v>15591.0</v>
      </c>
      <c r="I140" s="30" t="s">
        <v>182</v>
      </c>
      <c r="J140" s="69">
        <v>1.1939617259E10</v>
      </c>
      <c r="K140" s="69"/>
      <c r="R140" s="62"/>
    </row>
    <row r="141" ht="15.75" customHeight="1">
      <c r="A141" s="11" t="s">
        <v>93</v>
      </c>
      <c r="B141" s="205" t="s">
        <v>2013</v>
      </c>
      <c r="C141" s="69" t="str">
        <f t="shared" si="14"/>
        <v>Quarta-Feira</v>
      </c>
      <c r="D141" s="445" t="str">
        <f>IF(C141&lt;&gt;"Quarta-Feira","16:40","11:40")</f>
        <v>11:40</v>
      </c>
      <c r="E141" s="253" t="s">
        <v>2438</v>
      </c>
      <c r="F141" s="69">
        <v>7.00106908443012E14</v>
      </c>
      <c r="G141" s="154" t="s">
        <v>1937</v>
      </c>
      <c r="H141" s="153">
        <v>28725.0</v>
      </c>
      <c r="I141" s="30" t="s">
        <v>182</v>
      </c>
      <c r="J141" s="69"/>
      <c r="K141" s="69"/>
      <c r="R141" s="62"/>
    </row>
    <row r="142" ht="15.75" customHeight="1">
      <c r="B142" s="167"/>
      <c r="E142" s="231"/>
      <c r="G142" s="167"/>
      <c r="J142" s="62"/>
      <c r="K142" s="62"/>
      <c r="R142" s="62"/>
    </row>
    <row r="143" ht="15.75" customHeight="1">
      <c r="B143" s="167"/>
      <c r="E143" s="231"/>
      <c r="G143" s="167"/>
      <c r="J143" s="62"/>
      <c r="K143" s="62"/>
      <c r="R143" s="62"/>
    </row>
    <row r="144" ht="15.75" customHeight="1">
      <c r="B144" s="167"/>
      <c r="E144" s="231"/>
      <c r="G144" s="167"/>
      <c r="J144" s="62"/>
      <c r="K144" s="62"/>
      <c r="R144" s="62"/>
    </row>
    <row r="145" ht="15.75" customHeight="1">
      <c r="A145" s="20" t="s">
        <v>377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08h às 13h"</f>
        <v>20/03/2026 08h às 13h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426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34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2380</v>
      </c>
      <c r="C148" s="69" t="str">
        <f t="shared" ref="C148:C159" si="16">PROPER(TEXT(DATE(MID($A$146,7,4),MID($A$146,4,2),LEFT($A$146,2)),"dddd"))</f>
        <v>Sexta-Feira</v>
      </c>
      <c r="D148" s="445" t="str">
        <f>IF(C148&lt;&gt;"Quarta-Feira","13:00","08:00")</f>
        <v>13:00</v>
      </c>
      <c r="E148" s="253" t="s">
        <v>2439</v>
      </c>
      <c r="F148" s="404">
        <v>7.00005780463101E14</v>
      </c>
      <c r="G148" s="154" t="s">
        <v>2440</v>
      </c>
      <c r="H148" s="78">
        <v>16939.0</v>
      </c>
      <c r="I148" s="30" t="s">
        <v>182</v>
      </c>
      <c r="J148" s="69">
        <v>1.15870914E9</v>
      </c>
      <c r="K148" s="69"/>
      <c r="L148" s="197" t="s">
        <v>520</v>
      </c>
      <c r="N148" s="237" t="s">
        <v>386</v>
      </c>
      <c r="O148" s="95"/>
      <c r="P148" s="95"/>
      <c r="Q148" s="95"/>
      <c r="R148" s="95"/>
    </row>
    <row r="149" ht="15.75" customHeight="1">
      <c r="A149" s="11" t="s">
        <v>11</v>
      </c>
      <c r="B149" s="205" t="s">
        <v>2383</v>
      </c>
      <c r="C149" s="69" t="str">
        <f t="shared" si="16"/>
        <v>Sexta-Feira</v>
      </c>
      <c r="D149" s="445" t="str">
        <f>IF(C149&lt;&gt;"Quarta-Feira","13:20","08:20")</f>
        <v>13:20</v>
      </c>
      <c r="E149" s="253" t="s">
        <v>2441</v>
      </c>
      <c r="F149" s="69">
        <v>8.01434190298862E14</v>
      </c>
      <c r="G149" s="154" t="s">
        <v>2442</v>
      </c>
      <c r="H149" s="78">
        <v>19925.0</v>
      </c>
      <c r="I149" s="30" t="s">
        <v>1822</v>
      </c>
      <c r="J149" s="69">
        <v>1.1974439851E10</v>
      </c>
      <c r="K149" s="69"/>
      <c r="N149" s="239" t="s">
        <v>1823</v>
      </c>
      <c r="O149" s="2"/>
      <c r="P149" s="2"/>
      <c r="Q149" s="2"/>
      <c r="R149" s="2"/>
    </row>
    <row r="150" ht="15.75" customHeight="1">
      <c r="A150" s="11" t="s">
        <v>12</v>
      </c>
      <c r="B150" s="205" t="s">
        <v>2386</v>
      </c>
      <c r="C150" s="69" t="str">
        <f t="shared" si="16"/>
        <v>Sexta-Feira</v>
      </c>
      <c r="D150" s="445" t="str">
        <f>IF(C150&lt;&gt;"Quarta-Feira","13:40","08:40")</f>
        <v>13:40</v>
      </c>
      <c r="E150" s="253" t="s">
        <v>2443</v>
      </c>
      <c r="F150" s="69">
        <v>1.23886089120004E14</v>
      </c>
      <c r="G150" s="154" t="s">
        <v>2444</v>
      </c>
      <c r="H150" s="78">
        <v>26253.0</v>
      </c>
      <c r="I150" s="30" t="s">
        <v>1822</v>
      </c>
      <c r="J150" s="69">
        <v>1.1985211824E10</v>
      </c>
      <c r="K150" s="69"/>
      <c r="N150" s="240" t="s">
        <v>182</v>
      </c>
      <c r="O150" s="241" t="s">
        <v>194</v>
      </c>
      <c r="P150" s="241" t="s">
        <v>180</v>
      </c>
      <c r="Q150" s="242" t="s">
        <v>172</v>
      </c>
      <c r="R150" s="62" t="s">
        <v>1822</v>
      </c>
    </row>
    <row r="151" ht="15.75" customHeight="1">
      <c r="A151" s="11" t="s">
        <v>13</v>
      </c>
      <c r="B151" s="205" t="s">
        <v>2389</v>
      </c>
      <c r="C151" s="69" t="str">
        <f t="shared" si="16"/>
        <v>Sexta-Feira</v>
      </c>
      <c r="D151" s="445" t="str">
        <f>IF(C151&lt;&gt;"Quarta-Feira","14:00","09:00")</f>
        <v>14:00</v>
      </c>
      <c r="E151" s="253" t="s">
        <v>2445</v>
      </c>
      <c r="F151" s="69">
        <v>7.04805550688948E14</v>
      </c>
      <c r="G151" s="154" t="s">
        <v>46</v>
      </c>
      <c r="H151" s="78">
        <v>19518.0</v>
      </c>
      <c r="I151" s="30" t="s">
        <v>182</v>
      </c>
      <c r="J151" s="69"/>
      <c r="K151" s="69"/>
      <c r="N151" s="244">
        <f t="shared" ref="N151:R151" si="17">COUNTIFS($I$148:$I$159,N150)</f>
        <v>6</v>
      </c>
      <c r="O151" s="244">
        <f t="shared" si="17"/>
        <v>0</v>
      </c>
      <c r="P151" s="244">
        <f t="shared" si="17"/>
        <v>0</v>
      </c>
      <c r="Q151" s="244">
        <f t="shared" si="17"/>
        <v>0</v>
      </c>
      <c r="R151" s="244">
        <f t="shared" si="17"/>
        <v>5</v>
      </c>
    </row>
    <row r="152" ht="15.75" customHeight="1">
      <c r="A152" s="11" t="s">
        <v>14</v>
      </c>
      <c r="B152" s="205" t="s">
        <v>2380</v>
      </c>
      <c r="C152" s="69" t="str">
        <f t="shared" si="16"/>
        <v>Sexta-Feira</v>
      </c>
      <c r="D152" s="445" t="str">
        <f>IF(C152&lt;&gt;"Quarta-Feira","14:20","09:20")</f>
        <v>14:20</v>
      </c>
      <c r="E152" s="253" t="s">
        <v>2446</v>
      </c>
      <c r="F152" s="69">
        <v>7.02503327608233E14</v>
      </c>
      <c r="G152" s="154" t="s">
        <v>2447</v>
      </c>
      <c r="H152" s="78">
        <v>12364.0</v>
      </c>
      <c r="I152" s="30" t="s">
        <v>182</v>
      </c>
      <c r="J152" s="69"/>
      <c r="K152" s="69"/>
      <c r="R152" s="62"/>
    </row>
    <row r="153" ht="15.75" customHeight="1">
      <c r="A153" s="11" t="s">
        <v>15</v>
      </c>
      <c r="B153" s="205" t="s">
        <v>2383</v>
      </c>
      <c r="C153" s="69" t="str">
        <f t="shared" si="16"/>
        <v>Sexta-Feira</v>
      </c>
      <c r="D153" s="445" t="str">
        <f>IF(C153&lt;&gt;"Quarta-Feira","14:40","09:40")</f>
        <v>14:40</v>
      </c>
      <c r="E153" s="253" t="s">
        <v>2398</v>
      </c>
      <c r="F153" s="69">
        <v>7.00503110667754E14</v>
      </c>
      <c r="G153" s="154" t="s">
        <v>2399</v>
      </c>
      <c r="H153" s="78">
        <v>27718.0</v>
      </c>
      <c r="I153" s="30" t="s">
        <v>1822</v>
      </c>
      <c r="J153" s="69"/>
      <c r="K153" s="69"/>
      <c r="R153" s="62"/>
    </row>
    <row r="154" ht="15.75" customHeight="1">
      <c r="A154" s="11" t="s">
        <v>16</v>
      </c>
      <c r="B154" s="205" t="s">
        <v>2386</v>
      </c>
      <c r="C154" s="69" t="str">
        <f t="shared" si="16"/>
        <v>Sexta-Feira</v>
      </c>
      <c r="D154" s="445" t="str">
        <f>IF(C154&lt;&gt;"Quarta-Feira","15:00","10:00")</f>
        <v>15:00</v>
      </c>
      <c r="E154" s="253" t="s">
        <v>2448</v>
      </c>
      <c r="F154" s="404">
        <v>7.02908548293872E14</v>
      </c>
      <c r="G154" s="154" t="s">
        <v>2449</v>
      </c>
      <c r="H154" s="78">
        <v>25511.0</v>
      </c>
      <c r="I154" s="30" t="s">
        <v>1822</v>
      </c>
      <c r="J154" s="69"/>
      <c r="K154" s="69"/>
      <c r="R154" s="62"/>
    </row>
    <row r="155" ht="15.75" customHeight="1">
      <c r="A155" s="11" t="s">
        <v>17</v>
      </c>
      <c r="B155" s="205" t="s">
        <v>2389</v>
      </c>
      <c r="C155" s="69" t="str">
        <f t="shared" si="16"/>
        <v>Sexta-Feira</v>
      </c>
      <c r="D155" s="445" t="str">
        <f>IF(C155&lt;&gt;"Quarta-Feira","15:20","10:20")</f>
        <v>15:20</v>
      </c>
      <c r="E155" s="253" t="s">
        <v>2450</v>
      </c>
      <c r="F155" s="69">
        <v>7.00000754806E14</v>
      </c>
      <c r="G155" s="154" t="s">
        <v>2451</v>
      </c>
      <c r="H155" s="78">
        <v>31899.0</v>
      </c>
      <c r="I155" s="30" t="s">
        <v>182</v>
      </c>
      <c r="J155" s="69"/>
      <c r="K155" s="69"/>
      <c r="R155" s="62"/>
    </row>
    <row r="156" ht="15.75" customHeight="1">
      <c r="A156" s="11" t="s">
        <v>85</v>
      </c>
      <c r="B156" s="205" t="s">
        <v>2383</v>
      </c>
      <c r="C156" s="69" t="str">
        <f t="shared" si="16"/>
        <v>Sexta-Feira</v>
      </c>
      <c r="D156" s="445" t="str">
        <f>IF(C156&lt;&gt;"Quarta-Feira","15:40","10:40")</f>
        <v>15:40</v>
      </c>
      <c r="E156" s="253" t="s">
        <v>2452</v>
      </c>
      <c r="F156" s="69">
        <v>7.0090694586379E14</v>
      </c>
      <c r="G156" s="154" t="s">
        <v>2453</v>
      </c>
      <c r="H156" s="78">
        <v>19937.0</v>
      </c>
      <c r="I156" s="30" t="s">
        <v>1822</v>
      </c>
      <c r="J156" s="69">
        <v>9.80530135E8</v>
      </c>
      <c r="K156" s="69"/>
      <c r="L156" s="197" t="s">
        <v>576</v>
      </c>
      <c r="R156" s="62"/>
    </row>
    <row r="157" ht="15.75" customHeight="1">
      <c r="A157" s="11" t="s">
        <v>87</v>
      </c>
      <c r="B157" s="205" t="s">
        <v>2380</v>
      </c>
      <c r="C157" s="69" t="str">
        <f t="shared" si="16"/>
        <v>Sexta-Feira</v>
      </c>
      <c r="D157" s="445" t="str">
        <f>IF(C157&lt;&gt;"Quarta-Feira","16:00","11:00")</f>
        <v>16:00</v>
      </c>
      <c r="E157" s="253" t="s">
        <v>2454</v>
      </c>
      <c r="F157" s="69">
        <v>7.0630210253698E14</v>
      </c>
      <c r="G157" s="154" t="s">
        <v>2455</v>
      </c>
      <c r="H157" s="153">
        <v>23789.0</v>
      </c>
      <c r="I157" s="30" t="s">
        <v>182</v>
      </c>
      <c r="J157" s="69"/>
      <c r="K157" s="69"/>
      <c r="R157" s="62"/>
    </row>
    <row r="158" ht="15.75" customHeight="1">
      <c r="A158" s="11" t="s">
        <v>90</v>
      </c>
      <c r="B158" s="205" t="s">
        <v>2380</v>
      </c>
      <c r="C158" s="69" t="str">
        <f t="shared" si="16"/>
        <v>Sexta-Feira</v>
      </c>
      <c r="D158" s="445" t="str">
        <f>IF(C158&lt;&gt;"Quarta-Feira","16:20","11:20")</f>
        <v>16:20</v>
      </c>
      <c r="E158" s="253" t="s">
        <v>2456</v>
      </c>
      <c r="F158" s="69">
        <v>7.05006824032153E14</v>
      </c>
      <c r="G158" s="154" t="s">
        <v>2457</v>
      </c>
      <c r="H158" s="153">
        <v>22217.0</v>
      </c>
      <c r="I158" s="30" t="s">
        <v>182</v>
      </c>
      <c r="J158" s="69"/>
      <c r="K158" s="69"/>
      <c r="R158" s="62"/>
    </row>
    <row r="159" ht="15.75" customHeight="1">
      <c r="A159" s="11" t="s">
        <v>93</v>
      </c>
      <c r="B159" s="205" t="s">
        <v>2380</v>
      </c>
      <c r="C159" s="69" t="str">
        <f t="shared" si="16"/>
        <v>Sexta-Feira</v>
      </c>
      <c r="D159" s="445" t="str">
        <f>IF(C159&lt;&gt;"Quarta-Feira","16:40","11:40")</f>
        <v>16:40</v>
      </c>
      <c r="E159" s="253" t="s">
        <v>2458</v>
      </c>
      <c r="F159" s="69">
        <v>7.00008045842304E14</v>
      </c>
      <c r="G159" s="154" t="s">
        <v>2459</v>
      </c>
      <c r="H159" s="153">
        <v>26286.0</v>
      </c>
      <c r="I159" s="30" t="s">
        <v>2347</v>
      </c>
      <c r="J159" s="69"/>
      <c r="K159" s="69"/>
      <c r="R159" s="62"/>
    </row>
    <row r="160" ht="15.75" customHeight="1">
      <c r="B160" s="167"/>
      <c r="E160" s="231"/>
      <c r="G160" s="167"/>
      <c r="J160" s="62"/>
      <c r="K160" s="62"/>
      <c r="R160" s="62"/>
    </row>
    <row r="161" ht="15.75" customHeight="1">
      <c r="B161" s="167"/>
      <c r="E161" s="231"/>
      <c r="G161" s="167"/>
      <c r="J161" s="62"/>
      <c r="K161" s="62"/>
      <c r="R161" s="62"/>
    </row>
    <row r="162" ht="15.75" customHeight="1">
      <c r="B162" s="167"/>
      <c r="E162" s="231"/>
      <c r="G162" s="167"/>
      <c r="J162" s="62"/>
      <c r="K162" s="62"/>
      <c r="R162" s="62"/>
    </row>
    <row r="163" ht="15.75" customHeight="1">
      <c r="A163" s="20" t="s">
        <v>377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TEXT(DATE(VALUE(MID(A110,7,4)),VALUE(MID(A110,4,2)),VALUE(LEFT(A110,2)))+7,"dd/mm/yyyy")&amp;" 13h às 17h"</f>
        <v>23/03/2026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426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34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1980</v>
      </c>
      <c r="C166" s="69" t="str">
        <f t="shared" ref="C166:C177" si="18">PROPER(TEXT(DATE(MID($A$164,7,4),MID($A$164,4,2),LEFT($A$164,2)),"dddd"))</f>
        <v>Segunda-Feira</v>
      </c>
      <c r="D166" s="445" t="str">
        <f>IF(C166&lt;&gt;"Quarta-Feira","13:00","08:00")</f>
        <v>13:00</v>
      </c>
      <c r="E166" s="253" t="s">
        <v>2460</v>
      </c>
      <c r="F166" s="69">
        <v>7.02109769514594E14</v>
      </c>
      <c r="G166" s="154" t="s">
        <v>2461</v>
      </c>
      <c r="H166" s="193">
        <v>25392.0</v>
      </c>
      <c r="I166" s="30" t="s">
        <v>182</v>
      </c>
      <c r="J166" s="69"/>
      <c r="K166" s="69"/>
      <c r="N166" s="237" t="s">
        <v>386</v>
      </c>
      <c r="O166" s="95"/>
      <c r="P166" s="95"/>
      <c r="Q166" s="95"/>
      <c r="R166" s="95"/>
    </row>
    <row r="167" ht="15.75" customHeight="1">
      <c r="A167" s="11" t="s">
        <v>11</v>
      </c>
      <c r="B167" s="205" t="s">
        <v>1984</v>
      </c>
      <c r="C167" s="69" t="str">
        <f t="shared" si="18"/>
        <v>Segunda-Feira</v>
      </c>
      <c r="D167" s="445" t="str">
        <f>IF(C167&lt;&gt;"Quarta-Feira","13:20","08:20")</f>
        <v>13:20</v>
      </c>
      <c r="E167" s="253" t="s">
        <v>2462</v>
      </c>
      <c r="F167" s="69">
        <v>7.0000995213541E14</v>
      </c>
      <c r="G167" s="154" t="s">
        <v>250</v>
      </c>
      <c r="H167" s="193">
        <v>28485.0</v>
      </c>
      <c r="I167" s="30" t="s">
        <v>182</v>
      </c>
      <c r="J167" s="69"/>
      <c r="K167" s="69"/>
      <c r="N167" s="239" t="s">
        <v>1823</v>
      </c>
      <c r="O167" s="2"/>
      <c r="P167" s="2"/>
      <c r="Q167" s="2"/>
      <c r="R167" s="2"/>
    </row>
    <row r="168" ht="15.75" customHeight="1">
      <c r="A168" s="11" t="s">
        <v>12</v>
      </c>
      <c r="B168" s="205" t="s">
        <v>1988</v>
      </c>
      <c r="C168" s="69" t="str">
        <f t="shared" si="18"/>
        <v>Segunda-Feira</v>
      </c>
      <c r="D168" s="445" t="str">
        <f>IF(C168&lt;&gt;"Quarta-Feira","13:40","08:40")</f>
        <v>13:40</v>
      </c>
      <c r="E168" s="253" t="s">
        <v>2463</v>
      </c>
      <c r="F168" s="69">
        <v>7.0690711387063E14</v>
      </c>
      <c r="G168" s="154" t="s">
        <v>2464</v>
      </c>
      <c r="H168" s="193">
        <v>20183.0</v>
      </c>
      <c r="I168" s="30" t="s">
        <v>1822</v>
      </c>
      <c r="J168" s="69"/>
      <c r="K168" s="69"/>
      <c r="N168" s="240" t="s">
        <v>182</v>
      </c>
      <c r="O168" s="241" t="s">
        <v>194</v>
      </c>
      <c r="P168" s="241" t="s">
        <v>180</v>
      </c>
      <c r="Q168" s="242" t="s">
        <v>172</v>
      </c>
      <c r="R168" s="62" t="s">
        <v>1822</v>
      </c>
    </row>
    <row r="169" ht="15.75" customHeight="1">
      <c r="A169" s="11" t="s">
        <v>13</v>
      </c>
      <c r="B169" s="205" t="s">
        <v>1991</v>
      </c>
      <c r="C169" s="69" t="str">
        <f t="shared" si="18"/>
        <v>Segunda-Feira</v>
      </c>
      <c r="D169" s="445" t="str">
        <f>IF(C169&lt;&gt;"Quarta-Feira","14:00","09:00")</f>
        <v>14:00</v>
      </c>
      <c r="E169" s="253" t="s">
        <v>2465</v>
      </c>
      <c r="F169" s="69">
        <v>2.01156291510006E14</v>
      </c>
      <c r="G169" s="154" t="s">
        <v>2466</v>
      </c>
      <c r="H169" s="193">
        <v>26407.0</v>
      </c>
      <c r="I169" s="30" t="s">
        <v>182</v>
      </c>
      <c r="J169" s="69"/>
      <c r="K169" s="69"/>
      <c r="N169" s="244">
        <f t="shared" ref="N169:R169" si="19">COUNTIFS($I$166:$I$177,$N$168)</f>
        <v>11</v>
      </c>
      <c r="O169" s="244">
        <f t="shared" si="19"/>
        <v>11</v>
      </c>
      <c r="P169" s="244">
        <f t="shared" si="19"/>
        <v>11</v>
      </c>
      <c r="Q169" s="244">
        <f t="shared" si="19"/>
        <v>11</v>
      </c>
      <c r="R169" s="244">
        <f t="shared" si="19"/>
        <v>11</v>
      </c>
    </row>
    <row r="170" ht="15.75" customHeight="1">
      <c r="A170" s="11" t="s">
        <v>14</v>
      </c>
      <c r="B170" s="205" t="s">
        <v>1980</v>
      </c>
      <c r="C170" s="69" t="str">
        <f t="shared" si="18"/>
        <v>Segunda-Feira</v>
      </c>
      <c r="D170" s="445" t="str">
        <f>IF(C170&lt;&gt;"Quarta-Feira","14:20","09:20")</f>
        <v>14:20</v>
      </c>
      <c r="E170" s="253" t="s">
        <v>2467</v>
      </c>
      <c r="F170" s="69">
        <v>7.06908184229033E14</v>
      </c>
      <c r="G170" s="154" t="s">
        <v>2468</v>
      </c>
      <c r="H170" s="193">
        <v>20679.0</v>
      </c>
      <c r="I170" s="30" t="s">
        <v>182</v>
      </c>
      <c r="J170" s="69"/>
      <c r="K170" s="69"/>
      <c r="R170" s="62"/>
    </row>
    <row r="171" ht="15.75" customHeight="1">
      <c r="A171" s="11" t="s">
        <v>15</v>
      </c>
      <c r="B171" s="205" t="s">
        <v>1984</v>
      </c>
      <c r="C171" s="69" t="str">
        <f t="shared" si="18"/>
        <v>Segunda-Feira</v>
      </c>
      <c r="D171" s="445" t="str">
        <f>IF(C171&lt;&gt;"Quarta-Feira","14:40","09:40")</f>
        <v>14:40</v>
      </c>
      <c r="E171" s="253" t="s">
        <v>632</v>
      </c>
      <c r="F171" s="69">
        <v>7.01206014777513E14</v>
      </c>
      <c r="G171" s="154" t="s">
        <v>2469</v>
      </c>
      <c r="H171" s="193">
        <v>27812.0</v>
      </c>
      <c r="I171" s="30" t="s">
        <v>182</v>
      </c>
      <c r="J171" s="69"/>
      <c r="K171" s="69"/>
      <c r="R171" s="62"/>
    </row>
    <row r="172" ht="15.75" customHeight="1">
      <c r="A172" s="11" t="s">
        <v>16</v>
      </c>
      <c r="B172" s="205" t="s">
        <v>1988</v>
      </c>
      <c r="C172" s="69" t="str">
        <f t="shared" si="18"/>
        <v>Segunda-Feira</v>
      </c>
      <c r="D172" s="445" t="str">
        <f>IF(C172&lt;&gt;"Quarta-Feira","15:00","10:00")</f>
        <v>15:00</v>
      </c>
      <c r="E172" s="253" t="s">
        <v>2470</v>
      </c>
      <c r="F172" s="69">
        <v>2.01154083090006E14</v>
      </c>
      <c r="G172" s="154" t="s">
        <v>2133</v>
      </c>
      <c r="H172" s="193">
        <v>21086.0</v>
      </c>
      <c r="I172" s="30" t="s">
        <v>182</v>
      </c>
      <c r="J172" s="69"/>
      <c r="K172" s="69"/>
      <c r="R172" s="62"/>
    </row>
    <row r="173" ht="15.75" customHeight="1">
      <c r="A173" s="11" t="s">
        <v>17</v>
      </c>
      <c r="B173" s="205" t="s">
        <v>1991</v>
      </c>
      <c r="C173" s="69" t="str">
        <f t="shared" si="18"/>
        <v>Segunda-Feira</v>
      </c>
      <c r="D173" s="445" t="str">
        <f>IF(C173&lt;&gt;"Quarta-Feira","15:20","10:20")</f>
        <v>15:20</v>
      </c>
      <c r="E173" s="253" t="s">
        <v>2471</v>
      </c>
      <c r="F173" s="69">
        <v>7.05209481313275E14</v>
      </c>
      <c r="G173" s="154" t="s">
        <v>1237</v>
      </c>
      <c r="H173" s="193">
        <v>19989.0</v>
      </c>
      <c r="I173" s="30" t="s">
        <v>182</v>
      </c>
      <c r="J173" s="69"/>
      <c r="K173" s="69"/>
      <c r="R173" s="62"/>
    </row>
    <row r="174" ht="15.75" customHeight="1">
      <c r="A174" s="11" t="s">
        <v>85</v>
      </c>
      <c r="B174" s="205" t="s">
        <v>1980</v>
      </c>
      <c r="C174" s="69" t="str">
        <f t="shared" si="18"/>
        <v>Segunda-Feira</v>
      </c>
      <c r="D174" s="445" t="str">
        <f>IF(C174&lt;&gt;"Quarta-Feira","15:40","10:40")</f>
        <v>15:40</v>
      </c>
      <c r="E174" s="253" t="s">
        <v>2472</v>
      </c>
      <c r="F174" s="69">
        <v>7.05003618162354E14</v>
      </c>
      <c r="G174" s="154" t="s">
        <v>2473</v>
      </c>
      <c r="H174" s="193">
        <v>25416.0</v>
      </c>
      <c r="I174" s="30" t="s">
        <v>182</v>
      </c>
      <c r="J174" s="69"/>
      <c r="K174" s="69"/>
      <c r="R174" s="62"/>
    </row>
    <row r="175" ht="15.75" customHeight="1">
      <c r="A175" s="11" t="s">
        <v>87</v>
      </c>
      <c r="B175" s="205" t="s">
        <v>1984</v>
      </c>
      <c r="C175" s="69" t="str">
        <f t="shared" si="18"/>
        <v>Segunda-Feira</v>
      </c>
      <c r="D175" s="445" t="str">
        <f>IF(C175&lt;&gt;"Quarta-Feira","16:00","11:00")</f>
        <v>16:00</v>
      </c>
      <c r="E175" s="253" t="s">
        <v>2474</v>
      </c>
      <c r="F175" s="69">
        <v>7.0270818517186E14</v>
      </c>
      <c r="G175" s="154" t="s">
        <v>2475</v>
      </c>
      <c r="H175" s="193">
        <v>29518.0</v>
      </c>
      <c r="I175" s="30" t="s">
        <v>182</v>
      </c>
      <c r="J175" s="69"/>
      <c r="K175" s="69"/>
      <c r="R175" s="62"/>
    </row>
    <row r="176" ht="15.75" customHeight="1">
      <c r="A176" s="11" t="s">
        <v>90</v>
      </c>
      <c r="B176" s="205" t="s">
        <v>1988</v>
      </c>
      <c r="C176" s="69" t="str">
        <f t="shared" si="18"/>
        <v>Segunda-Feira</v>
      </c>
      <c r="D176" s="445" t="str">
        <f>IF(C176&lt;&gt;"Quarta-Feira","16:20","11:20")</f>
        <v>16:20</v>
      </c>
      <c r="E176" s="253" t="s">
        <v>2476</v>
      </c>
      <c r="F176" s="69">
        <v>7.08009800552022E14</v>
      </c>
      <c r="G176" s="154" t="s">
        <v>2477</v>
      </c>
      <c r="H176" s="193">
        <v>21065.0</v>
      </c>
      <c r="I176" s="30" t="s">
        <v>182</v>
      </c>
      <c r="J176" s="69"/>
      <c r="K176" s="69"/>
      <c r="R176" s="62"/>
    </row>
    <row r="177" ht="15.75" customHeight="1">
      <c r="A177" s="11" t="s">
        <v>93</v>
      </c>
      <c r="B177" s="205" t="s">
        <v>1991</v>
      </c>
      <c r="C177" s="69" t="str">
        <f t="shared" si="18"/>
        <v>Segunda-Feira</v>
      </c>
      <c r="D177" s="445" t="str">
        <f>IF(C177&lt;&gt;"Quarta-Feira","16:40","11:40")</f>
        <v>16:40</v>
      </c>
      <c r="E177" s="253" t="s">
        <v>2478</v>
      </c>
      <c r="F177" s="69">
        <v>7.08405230153764E14</v>
      </c>
      <c r="G177" s="154" t="s">
        <v>2479</v>
      </c>
      <c r="H177" s="193">
        <v>25453.0</v>
      </c>
      <c r="I177" s="30" t="s">
        <v>182</v>
      </c>
      <c r="J177" s="69"/>
      <c r="K177" s="69"/>
      <c r="R177" s="62"/>
    </row>
    <row r="178" ht="15.75" customHeight="1">
      <c r="B178" s="167"/>
      <c r="E178" s="231"/>
      <c r="G178" s="167"/>
      <c r="J178" s="62"/>
      <c r="K178" s="62"/>
      <c r="R178" s="62"/>
    </row>
    <row r="179" ht="15.75" customHeight="1">
      <c r="B179" s="167"/>
      <c r="E179" s="231"/>
      <c r="G179" s="167"/>
      <c r="J179" s="62"/>
      <c r="K179" s="62"/>
      <c r="R179" s="62"/>
    </row>
    <row r="180" ht="15.75" customHeight="1">
      <c r="B180" s="167"/>
      <c r="E180" s="231"/>
      <c r="G180" s="167"/>
      <c r="J180" s="62"/>
      <c r="K180" s="62"/>
      <c r="R180" s="62"/>
    </row>
    <row r="181" ht="15.75" customHeight="1">
      <c r="A181" s="20" t="s">
        <v>377</v>
      </c>
      <c r="B181" s="2"/>
      <c r="C181" s="2"/>
      <c r="D181" s="2"/>
      <c r="E181" s="2"/>
      <c r="F181" s="2"/>
      <c r="G181" s="2"/>
      <c r="H181" s="2"/>
      <c r="I181" s="2"/>
      <c r="J181" s="2"/>
      <c r="K181" s="3"/>
      <c r="R181" s="62"/>
    </row>
    <row r="182" ht="15.75" customHeight="1">
      <c r="A182" s="21" t="str">
        <f>TEXT(DATE(VALUE(MID(A164,7,4)),VALUE(MID(A164,4,2)),VALUE(LEFT(A164,2)))+2,"dd/mm/yyyy")&amp;" 08h às 13h"</f>
        <v>25/03/2026 08h às 13h</v>
      </c>
      <c r="B182" s="2"/>
      <c r="C182" s="2"/>
      <c r="D182" s="2"/>
      <c r="E182" s="2"/>
      <c r="F182" s="2"/>
      <c r="G182" s="2"/>
      <c r="H182" s="2"/>
      <c r="I182" s="2"/>
      <c r="J182" s="2"/>
      <c r="K182" s="3"/>
    </row>
    <row r="183" ht="15.75" customHeight="1">
      <c r="A183" s="22"/>
      <c r="B183" s="426" t="s">
        <v>3</v>
      </c>
      <c r="C183" s="24" t="s">
        <v>2</v>
      </c>
      <c r="D183" s="25" t="s">
        <v>5</v>
      </c>
      <c r="E183" s="26" t="s">
        <v>19</v>
      </c>
      <c r="F183" s="25" t="s">
        <v>6</v>
      </c>
      <c r="G183" s="234" t="s">
        <v>7</v>
      </c>
      <c r="H183" s="27" t="s">
        <v>8</v>
      </c>
      <c r="I183" s="28" t="s">
        <v>20</v>
      </c>
      <c r="J183" s="25" t="s">
        <v>21</v>
      </c>
      <c r="K183" s="25" t="s">
        <v>22</v>
      </c>
    </row>
    <row r="184" ht="15.75" customHeight="1">
      <c r="A184" s="11" t="s">
        <v>10</v>
      </c>
      <c r="B184" s="205" t="s">
        <v>2013</v>
      </c>
      <c r="C184" s="69" t="str">
        <f t="shared" ref="C184:C195" si="20">PROPER(TEXT(DATE(MID($A$128,7,4),MID($A$128,4,2),LEFT($A$128,2)),"dddd"))</f>
        <v>Quarta-Feira</v>
      </c>
      <c r="D184" s="445" t="str">
        <f>IF(C184&lt;&gt;"Quarta-Feira","13:00","08:00")</f>
        <v>08:00</v>
      </c>
      <c r="E184" s="253" t="s">
        <v>2480</v>
      </c>
      <c r="F184" s="69">
        <v>7.01009816295795E14</v>
      </c>
      <c r="G184" s="154" t="s">
        <v>2481</v>
      </c>
      <c r="H184" s="193">
        <v>22773.0</v>
      </c>
      <c r="I184" s="30" t="s">
        <v>1822</v>
      </c>
      <c r="J184" s="69"/>
      <c r="K184" s="69"/>
      <c r="N184" s="237" t="s">
        <v>386</v>
      </c>
      <c r="O184" s="95"/>
      <c r="P184" s="95"/>
      <c r="Q184" s="95"/>
      <c r="R184" s="95"/>
    </row>
    <row r="185" ht="15.75" customHeight="1">
      <c r="A185" s="11" t="s">
        <v>11</v>
      </c>
      <c r="B185" s="205" t="s">
        <v>2018</v>
      </c>
      <c r="C185" s="69" t="str">
        <f t="shared" si="20"/>
        <v>Quarta-Feira</v>
      </c>
      <c r="D185" s="445" t="str">
        <f>IF(C185&lt;&gt;"Quarta-Feira","13:20","08:20")</f>
        <v>08:20</v>
      </c>
      <c r="E185" s="253" t="s">
        <v>2482</v>
      </c>
      <c r="F185" s="69">
        <v>7.0290353654487E14</v>
      </c>
      <c r="G185" s="154" t="s">
        <v>2483</v>
      </c>
      <c r="H185" s="72">
        <v>12573.0</v>
      </c>
      <c r="I185" s="30" t="s">
        <v>182</v>
      </c>
      <c r="J185" s="69"/>
      <c r="K185" s="69"/>
      <c r="N185" s="239" t="s">
        <v>1823</v>
      </c>
      <c r="O185" s="2"/>
      <c r="P185" s="2"/>
      <c r="Q185" s="2"/>
      <c r="R185" s="2"/>
    </row>
    <row r="186" ht="15.75" customHeight="1">
      <c r="A186" s="11" t="s">
        <v>12</v>
      </c>
      <c r="B186" s="205" t="s">
        <v>2020</v>
      </c>
      <c r="C186" s="69" t="str">
        <f t="shared" si="20"/>
        <v>Quarta-Feira</v>
      </c>
      <c r="D186" s="445" t="str">
        <f>IF(C186&lt;&gt;"Quarta-Feira","13:40","08:40")</f>
        <v>08:40</v>
      </c>
      <c r="E186" s="253" t="s">
        <v>2484</v>
      </c>
      <c r="F186" s="69">
        <v>7.0040547352964E14</v>
      </c>
      <c r="G186" s="154" t="s">
        <v>2485</v>
      </c>
      <c r="H186" s="78">
        <v>28419.0</v>
      </c>
      <c r="I186" s="30" t="s">
        <v>182</v>
      </c>
      <c r="J186" s="69"/>
      <c r="K186" s="69"/>
      <c r="N186" s="240" t="s">
        <v>182</v>
      </c>
      <c r="O186" s="241" t="s">
        <v>194</v>
      </c>
      <c r="P186" s="241" t="s">
        <v>180</v>
      </c>
      <c r="Q186" s="242" t="s">
        <v>172</v>
      </c>
      <c r="R186" s="62" t="s">
        <v>1822</v>
      </c>
    </row>
    <row r="187" ht="15.75" customHeight="1">
      <c r="A187" s="11" t="s">
        <v>13</v>
      </c>
      <c r="B187" s="205" t="s">
        <v>2023</v>
      </c>
      <c r="C187" s="69" t="str">
        <f t="shared" si="20"/>
        <v>Quarta-Feira</v>
      </c>
      <c r="D187" s="445" t="str">
        <f>IF(C187&lt;&gt;"Quarta-Feira","14:00","09:00")</f>
        <v>09:00</v>
      </c>
      <c r="E187" s="253" t="s">
        <v>2486</v>
      </c>
      <c r="F187" s="69">
        <v>7.08204115840046E14</v>
      </c>
      <c r="G187" s="154" t="s">
        <v>2487</v>
      </c>
      <c r="H187" s="78">
        <v>21244.0</v>
      </c>
      <c r="I187" s="30" t="s">
        <v>182</v>
      </c>
      <c r="J187" s="69"/>
      <c r="K187" s="69"/>
      <c r="N187" s="244">
        <f t="shared" ref="N187:R187" si="21">COUNTIFS($I$184:$I$195,$N$168)</f>
        <v>11</v>
      </c>
      <c r="O187" s="244">
        <f t="shared" si="21"/>
        <v>11</v>
      </c>
      <c r="P187" s="244">
        <f t="shared" si="21"/>
        <v>11</v>
      </c>
      <c r="Q187" s="244">
        <f t="shared" si="21"/>
        <v>11</v>
      </c>
      <c r="R187" s="244">
        <f t="shared" si="21"/>
        <v>11</v>
      </c>
    </row>
    <row r="188" ht="15.75" customHeight="1">
      <c r="A188" s="11" t="s">
        <v>14</v>
      </c>
      <c r="B188" s="205" t="s">
        <v>2018</v>
      </c>
      <c r="C188" s="69" t="str">
        <f t="shared" si="20"/>
        <v>Quarta-Feira</v>
      </c>
      <c r="D188" s="445" t="str">
        <f>IF(C188&lt;&gt;"Quarta-Feira","14:20","09:20")</f>
        <v>09:20</v>
      </c>
      <c r="E188" s="253" t="s">
        <v>2488</v>
      </c>
      <c r="F188" s="69">
        <v>2.03930005020009E14</v>
      </c>
      <c r="G188" s="154" t="s">
        <v>202</v>
      </c>
      <c r="H188" s="78">
        <v>23970.0</v>
      </c>
      <c r="I188" s="30" t="s">
        <v>182</v>
      </c>
      <c r="J188" s="69"/>
      <c r="K188" s="69"/>
      <c r="R188" s="62"/>
    </row>
    <row r="189" ht="15.75" customHeight="1">
      <c r="A189" s="11" t="s">
        <v>15</v>
      </c>
      <c r="B189" s="205" t="s">
        <v>2020</v>
      </c>
      <c r="C189" s="69" t="str">
        <f t="shared" si="20"/>
        <v>Quarta-Feira</v>
      </c>
      <c r="D189" s="445" t="str">
        <f>IF(C189&lt;&gt;"Quarta-Feira","14:40","09:40")</f>
        <v>09:40</v>
      </c>
      <c r="E189" s="253" t="s">
        <v>2489</v>
      </c>
      <c r="F189" s="69">
        <v>7.06800796845626E14</v>
      </c>
      <c r="G189" s="154" t="s">
        <v>2490</v>
      </c>
      <c r="H189" s="78">
        <v>33779.0</v>
      </c>
      <c r="I189" s="30" t="s">
        <v>182</v>
      </c>
      <c r="J189" s="69"/>
      <c r="K189" s="69"/>
      <c r="R189" s="62"/>
    </row>
    <row r="190" ht="15.75" customHeight="1">
      <c r="A190" s="11" t="s">
        <v>16</v>
      </c>
      <c r="B190" s="205" t="s">
        <v>2013</v>
      </c>
      <c r="C190" s="69" t="str">
        <f t="shared" si="20"/>
        <v>Quarta-Feira</v>
      </c>
      <c r="D190" s="445" t="str">
        <f>IF(C190&lt;&gt;"Quarta-Feira","15:00","10:00")</f>
        <v>10:00</v>
      </c>
      <c r="E190" s="253" t="s">
        <v>2491</v>
      </c>
      <c r="F190" s="69">
        <v>8.980014024018E14</v>
      </c>
      <c r="G190" s="154" t="s">
        <v>2492</v>
      </c>
      <c r="H190" s="78">
        <v>18168.0</v>
      </c>
      <c r="I190" s="30" t="s">
        <v>182</v>
      </c>
      <c r="J190" s="69"/>
      <c r="K190" s="69"/>
      <c r="R190" s="62"/>
    </row>
    <row r="191" ht="15.75" customHeight="1">
      <c r="A191" s="11" t="s">
        <v>17</v>
      </c>
      <c r="B191" s="205" t="s">
        <v>2018</v>
      </c>
      <c r="C191" s="69" t="str">
        <f t="shared" si="20"/>
        <v>Quarta-Feira</v>
      </c>
      <c r="D191" s="445" t="str">
        <f>IF(C191&lt;&gt;"Quarta-Feira","15:20","10:20")</f>
        <v>10:20</v>
      </c>
      <c r="E191" s="253" t="s">
        <v>948</v>
      </c>
      <c r="F191" s="69">
        <v>7.06209531559564E14</v>
      </c>
      <c r="G191" s="154" t="s">
        <v>949</v>
      </c>
      <c r="H191" s="72">
        <v>18233.0</v>
      </c>
      <c r="I191" s="30" t="s">
        <v>182</v>
      </c>
      <c r="J191" s="69"/>
      <c r="K191" s="69"/>
      <c r="R191" s="62"/>
    </row>
    <row r="192" ht="15.75" customHeight="1">
      <c r="A192" s="11" t="s">
        <v>85</v>
      </c>
      <c r="B192" s="205" t="s">
        <v>2023</v>
      </c>
      <c r="C192" s="69" t="str">
        <f t="shared" si="20"/>
        <v>Quarta-Feira</v>
      </c>
      <c r="D192" s="445" t="str">
        <f>IF(C192&lt;&gt;"Quarta-Feira","15:40","10:40")</f>
        <v>10:40</v>
      </c>
      <c r="E192" s="253" t="s">
        <v>2493</v>
      </c>
      <c r="F192" s="69">
        <v>7.08907764119212E14</v>
      </c>
      <c r="G192" s="154" t="s">
        <v>2494</v>
      </c>
      <c r="H192" s="78">
        <v>22730.0</v>
      </c>
      <c r="I192" s="30" t="s">
        <v>182</v>
      </c>
      <c r="J192" s="69"/>
      <c r="K192" s="69"/>
      <c r="R192" s="62"/>
    </row>
    <row r="193" ht="15.75" customHeight="1">
      <c r="A193" s="11" t="s">
        <v>87</v>
      </c>
      <c r="B193" s="205" t="s">
        <v>2020</v>
      </c>
      <c r="C193" s="69" t="str">
        <f t="shared" si="20"/>
        <v>Quarta-Feira</v>
      </c>
      <c r="D193" s="445" t="str">
        <f>IF(C193&lt;&gt;"Quarta-Feira","16:00","11:00")</f>
        <v>11:00</v>
      </c>
      <c r="E193" s="253" t="s">
        <v>2495</v>
      </c>
      <c r="F193" s="69">
        <v>7.0230308276512E14</v>
      </c>
      <c r="G193" s="154" t="s">
        <v>2496</v>
      </c>
      <c r="H193" s="153">
        <v>36245.0</v>
      </c>
      <c r="I193" s="30" t="s">
        <v>182</v>
      </c>
      <c r="J193" s="69"/>
      <c r="K193" s="69"/>
      <c r="R193" s="62"/>
    </row>
    <row r="194" ht="15.75" customHeight="1">
      <c r="A194" s="11" t="s">
        <v>90</v>
      </c>
      <c r="B194" s="205" t="s">
        <v>2023</v>
      </c>
      <c r="C194" s="69" t="str">
        <f t="shared" si="20"/>
        <v>Quarta-Feira</v>
      </c>
      <c r="D194" s="445" t="str">
        <f>IF(C194&lt;&gt;"Quarta-Feira","16:20","11:20")</f>
        <v>11:20</v>
      </c>
      <c r="E194" s="253" t="s">
        <v>2497</v>
      </c>
      <c r="F194" s="69">
        <v>7.00801955069686E14</v>
      </c>
      <c r="G194" s="154" t="s">
        <v>2498</v>
      </c>
      <c r="H194" s="153">
        <v>20857.0</v>
      </c>
      <c r="I194" s="30" t="s">
        <v>182</v>
      </c>
      <c r="J194" s="69"/>
      <c r="K194" s="69"/>
      <c r="R194" s="62"/>
    </row>
    <row r="195" ht="15.75" customHeight="1">
      <c r="A195" s="11" t="s">
        <v>93</v>
      </c>
      <c r="B195" s="205" t="s">
        <v>2013</v>
      </c>
      <c r="C195" s="69" t="str">
        <f t="shared" si="20"/>
        <v>Quarta-Feira</v>
      </c>
      <c r="D195" s="445" t="str">
        <f>IF(C195&lt;&gt;"Quarta-Feira","16:40","11:40")</f>
        <v>11:40</v>
      </c>
      <c r="E195" s="253" t="s">
        <v>2480</v>
      </c>
      <c r="F195" s="69">
        <v>7.01009816295795E14</v>
      </c>
      <c r="G195" s="154" t="s">
        <v>2481</v>
      </c>
      <c r="H195" s="153">
        <v>22773.0</v>
      </c>
      <c r="I195" s="30" t="s">
        <v>182</v>
      </c>
      <c r="J195" s="69"/>
      <c r="K195" s="69"/>
      <c r="R195" s="62"/>
    </row>
    <row r="196" ht="15.75" customHeight="1">
      <c r="B196" s="167"/>
      <c r="E196" s="231"/>
      <c r="G196" s="167"/>
      <c r="J196" s="62"/>
      <c r="K196" s="62"/>
      <c r="R196" s="62"/>
    </row>
    <row r="197" ht="15.75" customHeight="1">
      <c r="B197" s="167"/>
      <c r="E197" s="231"/>
      <c r="G197" s="167"/>
      <c r="J197" s="62"/>
      <c r="K197" s="62"/>
      <c r="R197" s="62"/>
    </row>
    <row r="198" ht="15.75" customHeight="1">
      <c r="B198" s="167"/>
      <c r="E198" s="231"/>
      <c r="G198" s="167"/>
      <c r="J198" s="62"/>
      <c r="K198" s="62"/>
      <c r="R198" s="62"/>
    </row>
    <row r="199" ht="15.75" customHeight="1">
      <c r="A199" s="20" t="s">
        <v>377</v>
      </c>
      <c r="B199" s="2"/>
      <c r="C199" s="2"/>
      <c r="D199" s="2"/>
      <c r="E199" s="2"/>
      <c r="F199" s="2"/>
      <c r="G199" s="2"/>
      <c r="H199" s="2"/>
      <c r="I199" s="2"/>
      <c r="J199" s="2"/>
      <c r="K199" s="3"/>
      <c r="R199" s="62"/>
    </row>
    <row r="200" ht="15.75" customHeight="1">
      <c r="A200" s="21" t="str">
        <f>TEXT(DATE(VALUE(MID(A182,7,4)),VALUE(MID(A182,4,2)),VALUE(LEFT(A182,2)))+2,"dd/mm/yyyy")&amp;" 08h às 13h"</f>
        <v>27/03/2026 08h às 13h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  <c r="R200" s="62"/>
    </row>
    <row r="201" ht="15.75" customHeight="1">
      <c r="A201" s="22"/>
      <c r="B201" s="426" t="s">
        <v>3</v>
      </c>
      <c r="C201" s="24" t="s">
        <v>2</v>
      </c>
      <c r="D201" s="25" t="s">
        <v>5</v>
      </c>
      <c r="E201" s="26" t="s">
        <v>19</v>
      </c>
      <c r="F201" s="25" t="s">
        <v>6</v>
      </c>
      <c r="G201" s="234" t="s">
        <v>7</v>
      </c>
      <c r="H201" s="27" t="s">
        <v>8</v>
      </c>
      <c r="I201" s="28" t="s">
        <v>20</v>
      </c>
      <c r="J201" s="25" t="s">
        <v>21</v>
      </c>
      <c r="K201" s="25" t="s">
        <v>22</v>
      </c>
      <c r="R201" s="62"/>
    </row>
    <row r="202" ht="15.75" customHeight="1">
      <c r="A202" s="11" t="s">
        <v>10</v>
      </c>
      <c r="B202" s="205" t="s">
        <v>2380</v>
      </c>
      <c r="C202" s="69" t="str">
        <f t="shared" ref="C202:C213" si="22">PROPER(TEXT(DATE(MID($A$146,7,4),MID($A$146,4,2),LEFT($A$146,2)),"dddd"))</f>
        <v>Sexta-Feira</v>
      </c>
      <c r="D202" s="445" t="str">
        <f>IF(C202&lt;&gt;"Quarta-Feira","13:00","08:00")</f>
        <v>13:00</v>
      </c>
      <c r="E202" s="253" t="s">
        <v>2499</v>
      </c>
      <c r="F202" s="404">
        <v>7.06805722168021E14</v>
      </c>
      <c r="G202" s="154" t="s">
        <v>2500</v>
      </c>
      <c r="H202" s="78">
        <v>16788.0</v>
      </c>
      <c r="I202" s="30" t="s">
        <v>182</v>
      </c>
      <c r="J202" s="69"/>
      <c r="K202" s="69"/>
      <c r="N202" s="237" t="s">
        <v>386</v>
      </c>
      <c r="O202" s="95"/>
      <c r="P202" s="95"/>
      <c r="Q202" s="95"/>
      <c r="R202" s="95"/>
    </row>
    <row r="203" ht="15.75" customHeight="1">
      <c r="A203" s="11" t="s">
        <v>11</v>
      </c>
      <c r="B203" s="205" t="s">
        <v>2383</v>
      </c>
      <c r="C203" s="69" t="str">
        <f t="shared" si="22"/>
        <v>Sexta-Feira</v>
      </c>
      <c r="D203" s="445" t="str">
        <f>IF(C203&lt;&gt;"Quarta-Feira","13:20","08:20")</f>
        <v>13:20</v>
      </c>
      <c r="E203" s="253" t="s">
        <v>2501</v>
      </c>
      <c r="F203" s="69">
        <v>1.07631234950004E14</v>
      </c>
      <c r="G203" s="154" t="s">
        <v>2502</v>
      </c>
      <c r="H203" s="78">
        <v>22849.0</v>
      </c>
      <c r="I203" s="30" t="s">
        <v>182</v>
      </c>
      <c r="J203" s="69"/>
      <c r="K203" s="69"/>
      <c r="N203" s="239" t="s">
        <v>1823</v>
      </c>
      <c r="O203" s="2"/>
      <c r="P203" s="2"/>
      <c r="Q203" s="2"/>
      <c r="R203" s="2"/>
    </row>
    <row r="204" ht="15.75" customHeight="1">
      <c r="A204" s="11" t="s">
        <v>12</v>
      </c>
      <c r="B204" s="205" t="s">
        <v>2386</v>
      </c>
      <c r="C204" s="69" t="str">
        <f t="shared" si="22"/>
        <v>Sexta-Feira</v>
      </c>
      <c r="D204" s="445" t="str">
        <f>IF(C204&lt;&gt;"Quarta-Feira","13:40","08:40")</f>
        <v>13:40</v>
      </c>
      <c r="E204" s="253"/>
      <c r="F204" s="69">
        <v>7.02908548293872E14</v>
      </c>
      <c r="G204" s="154" t="s">
        <v>2449</v>
      </c>
      <c r="H204" s="78">
        <v>25511.0</v>
      </c>
      <c r="I204" s="30" t="s">
        <v>1822</v>
      </c>
      <c r="J204" s="69"/>
      <c r="K204" s="69"/>
      <c r="N204" s="240" t="s">
        <v>182</v>
      </c>
      <c r="O204" s="241" t="s">
        <v>194</v>
      </c>
      <c r="P204" s="241" t="s">
        <v>180</v>
      </c>
      <c r="Q204" s="242" t="s">
        <v>172</v>
      </c>
      <c r="R204" s="62" t="s">
        <v>1822</v>
      </c>
    </row>
    <row r="205" ht="15.75" customHeight="1">
      <c r="A205" s="11" t="s">
        <v>13</v>
      </c>
      <c r="B205" s="205" t="s">
        <v>2389</v>
      </c>
      <c r="C205" s="69" t="str">
        <f t="shared" si="22"/>
        <v>Sexta-Feira</v>
      </c>
      <c r="D205" s="445" t="str">
        <f>IF(C205&lt;&gt;"Quarta-Feira","14:00","09:00")</f>
        <v>14:00</v>
      </c>
      <c r="E205" s="253" t="s">
        <v>2503</v>
      </c>
      <c r="F205" s="69">
        <v>7.06204587027261E14</v>
      </c>
      <c r="G205" s="154" t="s">
        <v>2504</v>
      </c>
      <c r="H205" s="78">
        <v>19966.0</v>
      </c>
      <c r="I205" s="30" t="s">
        <v>182</v>
      </c>
      <c r="J205" s="69"/>
      <c r="K205" s="69"/>
      <c r="N205" s="244">
        <f t="shared" ref="N205:R205" si="23">COUNTIFS($I$202:$I$213,$N$168)</f>
        <v>10</v>
      </c>
      <c r="O205" s="244">
        <f t="shared" si="23"/>
        <v>10</v>
      </c>
      <c r="P205" s="244">
        <f t="shared" si="23"/>
        <v>10</v>
      </c>
      <c r="Q205" s="244">
        <f t="shared" si="23"/>
        <v>10</v>
      </c>
      <c r="R205" s="244">
        <f t="shared" si="23"/>
        <v>10</v>
      </c>
    </row>
    <row r="206" ht="15.75" customHeight="1">
      <c r="A206" s="11" t="s">
        <v>14</v>
      </c>
      <c r="B206" s="205" t="s">
        <v>2380</v>
      </c>
      <c r="C206" s="69" t="str">
        <f t="shared" si="22"/>
        <v>Sexta-Feira</v>
      </c>
      <c r="D206" s="445" t="str">
        <f>IF(C206&lt;&gt;"Quarta-Feira","14:20","09:20")</f>
        <v>14:20</v>
      </c>
      <c r="E206" s="253" t="s">
        <v>1190</v>
      </c>
      <c r="F206" s="69">
        <v>7.0420952947889E14</v>
      </c>
      <c r="G206" s="154" t="s">
        <v>1191</v>
      </c>
      <c r="H206" s="78">
        <v>17562.0</v>
      </c>
      <c r="I206" s="30" t="s">
        <v>182</v>
      </c>
      <c r="J206" s="69"/>
      <c r="K206" s="69"/>
      <c r="R206" s="62"/>
    </row>
    <row r="207" ht="15.75" customHeight="1">
      <c r="A207" s="11" t="s">
        <v>15</v>
      </c>
      <c r="B207" s="205" t="s">
        <v>2383</v>
      </c>
      <c r="C207" s="69" t="str">
        <f t="shared" si="22"/>
        <v>Sexta-Feira</v>
      </c>
      <c r="D207" s="445" t="str">
        <f>IF(C207&lt;&gt;"Quarta-Feira","14:40","09:40")</f>
        <v>14:40</v>
      </c>
      <c r="E207" s="253" t="s">
        <v>2505</v>
      </c>
      <c r="F207" s="69">
        <v>7.0050697124695E14</v>
      </c>
      <c r="G207" s="154" t="s">
        <v>2506</v>
      </c>
      <c r="H207" s="78">
        <v>20706.0</v>
      </c>
      <c r="I207" s="30" t="s">
        <v>182</v>
      </c>
      <c r="J207" s="69"/>
      <c r="K207" s="69"/>
      <c r="R207" s="62"/>
    </row>
    <row r="208" ht="15.75" customHeight="1">
      <c r="A208" s="11" t="s">
        <v>16</v>
      </c>
      <c r="B208" s="205" t="s">
        <v>2386</v>
      </c>
      <c r="C208" s="69" t="str">
        <f t="shared" si="22"/>
        <v>Sexta-Feira</v>
      </c>
      <c r="D208" s="445" t="str">
        <f>IF(C208&lt;&gt;"Quarta-Feira","15:00","10:00")</f>
        <v>15:00</v>
      </c>
      <c r="E208" s="253" t="s">
        <v>2507</v>
      </c>
      <c r="F208" s="404">
        <v>7.00508984242055E14</v>
      </c>
      <c r="G208" s="154" t="s">
        <v>2508</v>
      </c>
      <c r="H208" s="78">
        <v>29425.0</v>
      </c>
      <c r="I208" s="30" t="s">
        <v>182</v>
      </c>
      <c r="J208" s="69"/>
      <c r="K208" s="69"/>
      <c r="R208" s="62"/>
    </row>
    <row r="209" ht="15.75" customHeight="1">
      <c r="A209" s="11" t="s">
        <v>17</v>
      </c>
      <c r="B209" s="205" t="s">
        <v>2389</v>
      </c>
      <c r="C209" s="69" t="str">
        <f t="shared" si="22"/>
        <v>Sexta-Feira</v>
      </c>
      <c r="D209" s="445" t="str">
        <f>IF(C209&lt;&gt;"Quarta-Feira","15:20","10:20")</f>
        <v>15:20</v>
      </c>
      <c r="E209" s="253"/>
      <c r="F209" s="69">
        <v>8.98001454250838E14</v>
      </c>
      <c r="G209" s="154" t="s">
        <v>2509</v>
      </c>
      <c r="H209" s="78">
        <v>27441.0</v>
      </c>
      <c r="I209" s="30" t="s">
        <v>182</v>
      </c>
      <c r="J209" s="69"/>
      <c r="K209" s="69"/>
      <c r="R209" s="62"/>
    </row>
    <row r="210" ht="15.75" customHeight="1">
      <c r="A210" s="11" t="s">
        <v>85</v>
      </c>
      <c r="B210" s="205" t="s">
        <v>2383</v>
      </c>
      <c r="C210" s="69" t="str">
        <f t="shared" si="22"/>
        <v>Sexta-Feira</v>
      </c>
      <c r="D210" s="445" t="str">
        <f>IF(C210&lt;&gt;"Quarta-Feira","15:40","10:40")</f>
        <v>15:40</v>
      </c>
      <c r="E210" s="253"/>
      <c r="F210" s="69"/>
      <c r="G210" s="154"/>
      <c r="H210" s="78"/>
      <c r="I210" s="30" t="s">
        <v>2347</v>
      </c>
      <c r="J210" s="69"/>
      <c r="K210" s="69"/>
      <c r="R210" s="62"/>
    </row>
    <row r="211" ht="15.75" customHeight="1">
      <c r="A211" s="11" t="s">
        <v>87</v>
      </c>
      <c r="B211" s="205" t="s">
        <v>2380</v>
      </c>
      <c r="C211" s="69" t="str">
        <f t="shared" si="22"/>
        <v>Sexta-Feira</v>
      </c>
      <c r="D211" s="445" t="str">
        <f>IF(C211&lt;&gt;"Quarta-Feira","16:00","11:00")</f>
        <v>16:00</v>
      </c>
      <c r="E211" s="253" t="s">
        <v>2510</v>
      </c>
      <c r="F211" s="69">
        <v>7.08406775242162E14</v>
      </c>
      <c r="G211" s="154" t="s">
        <v>2511</v>
      </c>
      <c r="H211" s="153">
        <v>16454.0</v>
      </c>
      <c r="I211" s="30" t="s">
        <v>182</v>
      </c>
      <c r="J211" s="69"/>
      <c r="K211" s="69"/>
      <c r="R211" s="62"/>
    </row>
    <row r="212" ht="15.75" customHeight="1">
      <c r="A212" s="11" t="s">
        <v>90</v>
      </c>
      <c r="B212" s="205" t="s">
        <v>2380</v>
      </c>
      <c r="C212" s="69" t="str">
        <f t="shared" si="22"/>
        <v>Sexta-Feira</v>
      </c>
      <c r="D212" s="445" t="str">
        <f>IF(C212&lt;&gt;"Quarta-Feira","16:20","11:20")</f>
        <v>16:20</v>
      </c>
      <c r="E212" s="253" t="s">
        <v>2512</v>
      </c>
      <c r="F212" s="69">
        <v>7.08405713402068E14</v>
      </c>
      <c r="G212" s="154" t="s">
        <v>2513</v>
      </c>
      <c r="H212" s="153">
        <v>25981.0</v>
      </c>
      <c r="I212" s="30" t="s">
        <v>182</v>
      </c>
      <c r="J212" s="69"/>
      <c r="K212" s="69"/>
      <c r="R212" s="62"/>
    </row>
    <row r="213" ht="15.75" customHeight="1">
      <c r="A213" s="11" t="s">
        <v>93</v>
      </c>
      <c r="B213" s="205" t="s">
        <v>2380</v>
      </c>
      <c r="C213" s="69" t="str">
        <f t="shared" si="22"/>
        <v>Sexta-Feira</v>
      </c>
      <c r="D213" s="445" t="str">
        <f>IF(C213&lt;&gt;"Quarta-Feira","16:40","11:40")</f>
        <v>16:40</v>
      </c>
      <c r="E213" s="253" t="s">
        <v>2514</v>
      </c>
      <c r="F213" s="69">
        <v>8.98000238427554E14</v>
      </c>
      <c r="G213" s="154" t="s">
        <v>2076</v>
      </c>
      <c r="H213" s="153">
        <v>22857.0</v>
      </c>
      <c r="I213" s="30" t="s">
        <v>182</v>
      </c>
      <c r="J213" s="69"/>
      <c r="K213" s="69"/>
      <c r="R213" s="62"/>
    </row>
    <row r="214" ht="15.75" customHeight="1">
      <c r="B214" s="167"/>
      <c r="E214" s="231"/>
      <c r="G214" s="167"/>
      <c r="J214" s="62"/>
      <c r="K214" s="62"/>
      <c r="R214" s="62"/>
    </row>
    <row r="215" ht="15.75" customHeight="1">
      <c r="B215" s="167"/>
      <c r="E215" s="231"/>
      <c r="G215" s="167"/>
      <c r="J215" s="62"/>
      <c r="K215" s="62"/>
      <c r="R215" s="62"/>
    </row>
    <row r="216" ht="15.75" customHeight="1">
      <c r="B216" s="167"/>
      <c r="E216" s="231"/>
      <c r="G216" s="167"/>
      <c r="J216" s="62"/>
      <c r="K216" s="62"/>
      <c r="R216" s="62"/>
    </row>
    <row r="217" ht="15.75" customHeight="1">
      <c r="A217" s="20" t="s">
        <v>377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R217" s="62"/>
    </row>
    <row r="218" ht="15.75" customHeight="1">
      <c r="A218" s="21" t="str">
        <f>TEXT(DATE(VALUE(MID(A164,7,4)),VALUE(MID(A164,4,2)),VALUE(LEFT(A164,2)))+7,"dd/mm/yyyy")&amp;" 13h às 17h"</f>
        <v>30/03/2026 13h às 17h</v>
      </c>
      <c r="B218" s="2"/>
      <c r="C218" s="2"/>
      <c r="D218" s="2"/>
      <c r="E218" s="2"/>
      <c r="F218" s="2"/>
      <c r="G218" s="2"/>
      <c r="H218" s="2"/>
      <c r="I218" s="2"/>
      <c r="J218" s="2"/>
      <c r="K218" s="3"/>
      <c r="R218" s="62"/>
    </row>
    <row r="219" ht="15.75" customHeight="1">
      <c r="A219" s="22"/>
      <c r="B219" s="426" t="s">
        <v>3</v>
      </c>
      <c r="C219" s="24" t="s">
        <v>2</v>
      </c>
      <c r="D219" s="25" t="s">
        <v>5</v>
      </c>
      <c r="E219" s="26" t="s">
        <v>19</v>
      </c>
      <c r="F219" s="25" t="s">
        <v>6</v>
      </c>
      <c r="G219" s="234" t="s">
        <v>7</v>
      </c>
      <c r="H219" s="27" t="s">
        <v>8</v>
      </c>
      <c r="I219" s="28" t="s">
        <v>20</v>
      </c>
      <c r="J219" s="25" t="s">
        <v>21</v>
      </c>
      <c r="K219" s="25" t="s">
        <v>22</v>
      </c>
      <c r="R219" s="62"/>
    </row>
    <row r="220" ht="15.75" customHeight="1">
      <c r="A220" s="11" t="s">
        <v>10</v>
      </c>
      <c r="B220" s="205" t="s">
        <v>1980</v>
      </c>
      <c r="C220" s="69" t="str">
        <f t="shared" ref="C220:C231" si="24">PROPER(TEXT(DATE(MID($A$164,7,4),MID($A$164,4,2),LEFT($A$164,2)),"dddd"))</f>
        <v>Segunda-Feira</v>
      </c>
      <c r="D220" s="445" t="str">
        <f>IF(C220&lt;&gt;"Quarta-Feira","13:00","08:00")</f>
        <v>13:00</v>
      </c>
      <c r="E220" s="253" t="s">
        <v>2515</v>
      </c>
      <c r="F220" s="69">
        <v>8.01440415212761E14</v>
      </c>
      <c r="G220" s="154" t="s">
        <v>2516</v>
      </c>
      <c r="H220" s="193">
        <v>30011.0</v>
      </c>
      <c r="I220" s="30" t="s">
        <v>1822</v>
      </c>
      <c r="J220" s="69"/>
      <c r="K220" s="69"/>
      <c r="N220" s="237" t="s">
        <v>386</v>
      </c>
      <c r="O220" s="95"/>
      <c r="P220" s="95"/>
      <c r="Q220" s="95"/>
      <c r="R220" s="95"/>
    </row>
    <row r="221" ht="15.75" customHeight="1">
      <c r="A221" s="11" t="s">
        <v>11</v>
      </c>
      <c r="B221" s="205" t="s">
        <v>1984</v>
      </c>
      <c r="C221" s="69" t="str">
        <f t="shared" si="24"/>
        <v>Segunda-Feira</v>
      </c>
      <c r="D221" s="445" t="str">
        <f>IF(C221&lt;&gt;"Quarta-Feira","13:20","08:20")</f>
        <v>13:20</v>
      </c>
      <c r="E221" s="253" t="s">
        <v>2517</v>
      </c>
      <c r="F221" s="69">
        <v>1.24217275390002E14</v>
      </c>
      <c r="G221" s="154" t="s">
        <v>2518</v>
      </c>
      <c r="H221" s="193">
        <v>23181.0</v>
      </c>
      <c r="I221" s="30" t="s">
        <v>1822</v>
      </c>
      <c r="J221" s="69"/>
      <c r="K221" s="69"/>
      <c r="N221" s="239" t="s">
        <v>1823</v>
      </c>
      <c r="O221" s="2"/>
      <c r="P221" s="2"/>
      <c r="Q221" s="2"/>
      <c r="R221" s="2"/>
    </row>
    <row r="222" ht="15.75" customHeight="1">
      <c r="A222" s="11" t="s">
        <v>12</v>
      </c>
      <c r="B222" s="205" t="s">
        <v>1988</v>
      </c>
      <c r="C222" s="69" t="str">
        <f t="shared" si="24"/>
        <v>Segunda-Feira</v>
      </c>
      <c r="D222" s="445" t="str">
        <f>IF(C222&lt;&gt;"Quarta-Feira","13:40","08:40")</f>
        <v>13:40</v>
      </c>
      <c r="E222" s="253" t="s">
        <v>2519</v>
      </c>
      <c r="F222" s="69">
        <v>8.01440401127481E14</v>
      </c>
      <c r="G222" s="154" t="s">
        <v>2520</v>
      </c>
      <c r="H222" s="193">
        <v>17106.0</v>
      </c>
      <c r="I222" s="30" t="s">
        <v>182</v>
      </c>
      <c r="J222" s="69"/>
      <c r="K222" s="69"/>
      <c r="N222" s="240" t="s">
        <v>182</v>
      </c>
      <c r="O222" s="241" t="s">
        <v>194</v>
      </c>
      <c r="P222" s="241" t="s">
        <v>180</v>
      </c>
      <c r="Q222" s="242" t="s">
        <v>172</v>
      </c>
      <c r="R222" s="62" t="s">
        <v>1822</v>
      </c>
    </row>
    <row r="223" ht="15.75" customHeight="1">
      <c r="A223" s="11" t="s">
        <v>13</v>
      </c>
      <c r="B223" s="205" t="s">
        <v>1991</v>
      </c>
      <c r="C223" s="69" t="str">
        <f t="shared" si="24"/>
        <v>Segunda-Feira</v>
      </c>
      <c r="D223" s="445" t="str">
        <f>IF(C223&lt;&gt;"Quarta-Feira","14:00","09:00")</f>
        <v>14:00</v>
      </c>
      <c r="E223" s="253" t="s">
        <v>2521</v>
      </c>
      <c r="F223" s="69">
        <v>8.01440402513571E14</v>
      </c>
      <c r="G223" s="154" t="s">
        <v>2522</v>
      </c>
      <c r="H223" s="193">
        <v>21573.0</v>
      </c>
      <c r="I223" s="30" t="s">
        <v>182</v>
      </c>
      <c r="J223" s="69"/>
      <c r="K223" s="69"/>
      <c r="N223" s="244">
        <f t="shared" ref="N223:R223" si="25">COUNTIFS($I$220:$I$231,$N$168)</f>
        <v>9</v>
      </c>
      <c r="O223" s="244">
        <f t="shared" si="25"/>
        <v>9</v>
      </c>
      <c r="P223" s="244">
        <f t="shared" si="25"/>
        <v>9</v>
      </c>
      <c r="Q223" s="244">
        <f t="shared" si="25"/>
        <v>9</v>
      </c>
      <c r="R223" s="244">
        <f t="shared" si="25"/>
        <v>9</v>
      </c>
    </row>
    <row r="224" ht="15.75" customHeight="1">
      <c r="A224" s="11" t="s">
        <v>14</v>
      </c>
      <c r="B224" s="205" t="s">
        <v>1980</v>
      </c>
      <c r="C224" s="69" t="str">
        <f t="shared" si="24"/>
        <v>Segunda-Feira</v>
      </c>
      <c r="D224" s="445" t="str">
        <f>IF(C224&lt;&gt;"Quarta-Feira","14:20","09:20")</f>
        <v>14:20</v>
      </c>
      <c r="E224" s="253" t="s">
        <v>2523</v>
      </c>
      <c r="F224" s="69">
        <v>8.98001475324679E14</v>
      </c>
      <c r="G224" s="154" t="s">
        <v>2524</v>
      </c>
      <c r="H224" s="193">
        <v>19661.0</v>
      </c>
      <c r="I224" s="30" t="s">
        <v>182</v>
      </c>
      <c r="J224" s="69"/>
      <c r="K224" s="69"/>
      <c r="R224" s="62"/>
    </row>
    <row r="225" ht="15.75" customHeight="1">
      <c r="A225" s="11" t="s">
        <v>15</v>
      </c>
      <c r="B225" s="205" t="s">
        <v>1984</v>
      </c>
      <c r="C225" s="69" t="str">
        <f t="shared" si="24"/>
        <v>Segunda-Feira</v>
      </c>
      <c r="D225" s="445" t="str">
        <f>IF(C225&lt;&gt;"Quarta-Feira","14:40","09:40")</f>
        <v>14:40</v>
      </c>
      <c r="E225" s="253" t="s">
        <v>2525</v>
      </c>
      <c r="F225" s="69">
        <v>7.00007411173309E14</v>
      </c>
      <c r="G225" s="154" t="s">
        <v>2526</v>
      </c>
      <c r="H225" s="193">
        <v>25789.0</v>
      </c>
      <c r="I225" s="30" t="s">
        <v>182</v>
      </c>
      <c r="J225" s="69"/>
      <c r="K225" s="69"/>
      <c r="R225" s="62"/>
    </row>
    <row r="226" ht="15.75" customHeight="1">
      <c r="A226" s="11" t="s">
        <v>16</v>
      </c>
      <c r="B226" s="205" t="s">
        <v>1988</v>
      </c>
      <c r="C226" s="69" t="str">
        <f t="shared" si="24"/>
        <v>Segunda-Feira</v>
      </c>
      <c r="D226" s="445" t="str">
        <f>IF(C226&lt;&gt;"Quarta-Feira","15:00","10:00")</f>
        <v>15:00</v>
      </c>
      <c r="E226" s="253" t="s">
        <v>2527</v>
      </c>
      <c r="F226" s="69">
        <v>8.0143417882642E14</v>
      </c>
      <c r="G226" s="154" t="s">
        <v>2528</v>
      </c>
      <c r="H226" s="193">
        <v>19274.0</v>
      </c>
      <c r="I226" s="30" t="s">
        <v>182</v>
      </c>
      <c r="J226" s="69"/>
      <c r="K226" s="69"/>
      <c r="R226" s="62"/>
    </row>
    <row r="227" ht="15.75" customHeight="1">
      <c r="A227" s="11" t="s">
        <v>17</v>
      </c>
      <c r="B227" s="205" t="s">
        <v>1991</v>
      </c>
      <c r="C227" s="69" t="str">
        <f t="shared" si="24"/>
        <v>Segunda-Feira</v>
      </c>
      <c r="D227" s="445" t="str">
        <f>IF(C227&lt;&gt;"Quarta-Feira","15:20","10:20")</f>
        <v>15:20</v>
      </c>
      <c r="E227" s="253" t="s">
        <v>2529</v>
      </c>
      <c r="F227" s="69">
        <v>8.01440402477036E14</v>
      </c>
      <c r="G227" s="154" t="s">
        <v>2530</v>
      </c>
      <c r="H227" s="193">
        <v>19470.0</v>
      </c>
      <c r="I227" s="30" t="s">
        <v>182</v>
      </c>
      <c r="J227" s="69"/>
      <c r="K227" s="69"/>
      <c r="R227" s="62"/>
    </row>
    <row r="228" ht="15.75" customHeight="1">
      <c r="A228" s="11" t="s">
        <v>85</v>
      </c>
      <c r="B228" s="205" t="s">
        <v>1980</v>
      </c>
      <c r="C228" s="69" t="str">
        <f t="shared" si="24"/>
        <v>Segunda-Feira</v>
      </c>
      <c r="D228" s="445" t="str">
        <f>IF(C228&lt;&gt;"Quarta-Feira","15:40","10:40")</f>
        <v>15:40</v>
      </c>
      <c r="E228" s="253" t="s">
        <v>2531</v>
      </c>
      <c r="F228" s="69">
        <v>7.07009850893437E14</v>
      </c>
      <c r="G228" s="154" t="s">
        <v>2532</v>
      </c>
      <c r="H228" s="193">
        <v>31021.0</v>
      </c>
      <c r="I228" s="30" t="s">
        <v>1822</v>
      </c>
      <c r="J228" s="69"/>
      <c r="K228" s="69"/>
      <c r="R228" s="62"/>
    </row>
    <row r="229" ht="15.75" customHeight="1">
      <c r="A229" s="11" t="s">
        <v>87</v>
      </c>
      <c r="B229" s="205" t="s">
        <v>1984</v>
      </c>
      <c r="C229" s="69" t="str">
        <f t="shared" si="24"/>
        <v>Segunda-Feira</v>
      </c>
      <c r="D229" s="445" t="str">
        <f>IF(C229&lt;&gt;"Quarta-Feira","16:00","11:00")</f>
        <v>16:00</v>
      </c>
      <c r="E229" s="253" t="s">
        <v>2533</v>
      </c>
      <c r="F229" s="69">
        <v>7.03606094960835E14</v>
      </c>
      <c r="G229" s="154" t="s">
        <v>2534</v>
      </c>
      <c r="H229" s="193">
        <v>28994.0</v>
      </c>
      <c r="I229" s="30" t="s">
        <v>182</v>
      </c>
      <c r="J229" s="69"/>
      <c r="K229" s="69"/>
      <c r="R229" s="62"/>
    </row>
    <row r="230" ht="15.75" customHeight="1">
      <c r="A230" s="11" t="s">
        <v>90</v>
      </c>
      <c r="B230" s="205" t="s">
        <v>1988</v>
      </c>
      <c r="C230" s="69" t="str">
        <f t="shared" si="24"/>
        <v>Segunda-Feira</v>
      </c>
      <c r="D230" s="445" t="str">
        <f>IF(C230&lt;&gt;"Quarta-Feira","16:20","11:20")</f>
        <v>16:20</v>
      </c>
      <c r="E230" s="253" t="s">
        <v>2535</v>
      </c>
      <c r="F230" s="253" t="s">
        <v>2536</v>
      </c>
      <c r="G230" s="154" t="s">
        <v>2537</v>
      </c>
      <c r="H230" s="193">
        <v>24304.0</v>
      </c>
      <c r="I230" s="30" t="s">
        <v>182</v>
      </c>
      <c r="J230" s="69"/>
      <c r="K230" s="69"/>
      <c r="R230" s="62"/>
    </row>
    <row r="231" ht="15.75" customHeight="1">
      <c r="A231" s="11" t="s">
        <v>93</v>
      </c>
      <c r="B231" s="205" t="s">
        <v>1991</v>
      </c>
      <c r="C231" s="69" t="str">
        <f t="shared" si="24"/>
        <v>Segunda-Feira</v>
      </c>
      <c r="D231" s="445" t="str">
        <f>IF(C231&lt;&gt;"Quarta-Feira","16:40","11:40")</f>
        <v>16:40</v>
      </c>
      <c r="E231" s="253" t="s">
        <v>2538</v>
      </c>
      <c r="F231" s="69">
        <v>7.08400706312666E14</v>
      </c>
      <c r="G231" s="154" t="s">
        <v>2539</v>
      </c>
      <c r="H231" s="193">
        <v>22890.0</v>
      </c>
      <c r="I231" s="30" t="s">
        <v>182</v>
      </c>
      <c r="J231" s="69"/>
      <c r="K231" s="69"/>
      <c r="R231" s="62"/>
    </row>
    <row r="232" ht="15.75" customHeight="1">
      <c r="B232" s="167"/>
      <c r="E232" s="231"/>
      <c r="G232" s="167"/>
      <c r="J232" s="62"/>
      <c r="K232" s="62"/>
      <c r="R232" s="62"/>
    </row>
    <row r="233" ht="15.75" customHeight="1">
      <c r="B233" s="167"/>
      <c r="E233" s="231"/>
      <c r="G233" s="167"/>
      <c r="J233" s="62"/>
      <c r="K233" s="62"/>
      <c r="R233" s="62"/>
    </row>
    <row r="234" ht="15.75" customHeight="1">
      <c r="B234" s="167"/>
      <c r="E234" s="231"/>
      <c r="G234" s="167"/>
      <c r="J234" s="62"/>
      <c r="K234" s="62"/>
      <c r="N234" s="237" t="s">
        <v>2079</v>
      </c>
      <c r="O234" s="95"/>
      <c r="P234" s="95"/>
      <c r="Q234" s="95"/>
      <c r="R234" s="95"/>
    </row>
    <row r="235" ht="15.75" customHeight="1">
      <c r="B235" s="167"/>
      <c r="E235" s="231"/>
      <c r="G235" s="167"/>
      <c r="J235" s="62"/>
      <c r="K235" s="62"/>
      <c r="N235" s="240" t="s">
        <v>182</v>
      </c>
      <c r="O235" s="241" t="s">
        <v>194</v>
      </c>
      <c r="P235" s="241" t="s">
        <v>180</v>
      </c>
      <c r="Q235" s="242" t="s">
        <v>172</v>
      </c>
      <c r="R235" s="62" t="s">
        <v>1822</v>
      </c>
    </row>
    <row r="236" ht="15.75" customHeight="1">
      <c r="B236" s="167"/>
      <c r="E236" s="231"/>
      <c r="G236" s="167"/>
      <c r="J236" s="62"/>
      <c r="K236" s="62"/>
      <c r="N236" s="197">
        <f t="shared" ref="N236:R236" si="26">SUM(N59:N230)</f>
        <v>92</v>
      </c>
      <c r="O236" s="197">
        <f t="shared" si="26"/>
        <v>41</v>
      </c>
      <c r="P236" s="197">
        <f t="shared" si="26"/>
        <v>41</v>
      </c>
      <c r="Q236" s="197">
        <f t="shared" si="26"/>
        <v>41</v>
      </c>
      <c r="R236" s="197">
        <f t="shared" si="26"/>
        <v>54</v>
      </c>
    </row>
    <row r="237" ht="15.75" customHeight="1">
      <c r="B237" s="167"/>
      <c r="E237" s="231"/>
      <c r="G237" s="167"/>
      <c r="J237" s="62"/>
      <c r="K237" s="62"/>
      <c r="R237" s="62"/>
    </row>
    <row r="238" ht="15.75" customHeight="1">
      <c r="B238" s="167"/>
      <c r="E238" s="231"/>
      <c r="G238" s="167"/>
      <c r="J238" s="62"/>
      <c r="K238" s="62"/>
      <c r="R238" s="62"/>
    </row>
    <row r="239" ht="15.75" customHeight="1">
      <c r="B239" s="167"/>
      <c r="E239" s="231"/>
      <c r="G239" s="167"/>
      <c r="J239" s="62"/>
      <c r="K239" s="62"/>
      <c r="R239" s="62"/>
    </row>
    <row r="240" ht="15.75" customHeight="1">
      <c r="B240" s="167"/>
      <c r="E240" s="231"/>
      <c r="G240" s="167"/>
      <c r="J240" s="62"/>
      <c r="K240" s="62"/>
      <c r="R240" s="62"/>
    </row>
    <row r="241" ht="15.75" customHeight="1">
      <c r="B241" s="167"/>
      <c r="E241" s="231"/>
      <c r="G241" s="167"/>
      <c r="J241" s="62"/>
      <c r="K241" s="62"/>
      <c r="R241" s="62"/>
    </row>
    <row r="242" ht="15.75" customHeight="1">
      <c r="B242" s="167"/>
      <c r="E242" s="231"/>
      <c r="G242" s="167"/>
      <c r="J242" s="62"/>
      <c r="K242" s="62"/>
      <c r="R242" s="62"/>
    </row>
    <row r="243" ht="15.75" customHeight="1">
      <c r="B243" s="167"/>
      <c r="E243" s="231"/>
      <c r="G243" s="167"/>
      <c r="J243" s="62"/>
      <c r="K243" s="62"/>
      <c r="R243" s="62"/>
    </row>
    <row r="244" ht="15.75" customHeight="1">
      <c r="B244" s="167"/>
      <c r="E244" s="231"/>
      <c r="G244" s="167"/>
      <c r="J244" s="62"/>
      <c r="K244" s="62"/>
      <c r="R244" s="62"/>
    </row>
    <row r="245" ht="15.75" customHeight="1">
      <c r="B245" s="167"/>
      <c r="E245" s="231"/>
      <c r="G245" s="167"/>
      <c r="J245" s="62"/>
      <c r="K245" s="62"/>
      <c r="R245" s="62"/>
    </row>
    <row r="246" ht="15.75" customHeight="1">
      <c r="B246" s="167"/>
      <c r="E246" s="231"/>
      <c r="G246" s="167"/>
      <c r="J246" s="62"/>
      <c r="K246" s="62"/>
      <c r="R246" s="62"/>
    </row>
    <row r="247" ht="15.75" customHeight="1">
      <c r="B247" s="167"/>
      <c r="E247" s="231"/>
      <c r="G247" s="167"/>
      <c r="J247" s="62"/>
      <c r="K247" s="62"/>
      <c r="R247" s="62"/>
    </row>
    <row r="248" ht="15.75" customHeight="1">
      <c r="B248" s="167"/>
      <c r="E248" s="231"/>
      <c r="G248" s="167"/>
      <c r="J248" s="62"/>
      <c r="K248" s="62"/>
      <c r="R248" s="62"/>
    </row>
    <row r="249" ht="15.75" customHeight="1">
      <c r="B249" s="167"/>
      <c r="E249" s="231"/>
      <c r="G249" s="167"/>
      <c r="J249" s="62"/>
      <c r="K249" s="62"/>
      <c r="R249" s="62"/>
    </row>
    <row r="250" ht="15.75" customHeight="1">
      <c r="B250" s="167"/>
      <c r="E250" s="231"/>
      <c r="G250" s="167"/>
      <c r="J250" s="62"/>
      <c r="K250" s="62"/>
      <c r="R250" s="62"/>
    </row>
    <row r="251" ht="15.75" customHeight="1">
      <c r="B251" s="167"/>
      <c r="E251" s="231"/>
      <c r="G251" s="167"/>
      <c r="J251" s="62"/>
      <c r="K251" s="62"/>
      <c r="R251" s="62"/>
    </row>
    <row r="252" ht="15.75" customHeight="1">
      <c r="B252" s="167"/>
      <c r="E252" s="231"/>
      <c r="G252" s="167"/>
      <c r="J252" s="62"/>
      <c r="K252" s="62"/>
      <c r="R252" s="62"/>
    </row>
    <row r="253" ht="15.75" customHeight="1">
      <c r="B253" s="167"/>
      <c r="E253" s="231"/>
      <c r="G253" s="167"/>
      <c r="J253" s="62"/>
      <c r="K253" s="62"/>
      <c r="R253" s="62"/>
    </row>
    <row r="254" ht="15.75" customHeight="1">
      <c r="B254" s="167"/>
      <c r="E254" s="231"/>
      <c r="G254" s="167"/>
      <c r="J254" s="62"/>
      <c r="K254" s="62"/>
      <c r="R254" s="62"/>
    </row>
    <row r="255" ht="15.75" customHeight="1">
      <c r="B255" s="167"/>
      <c r="E255" s="231"/>
      <c r="G255" s="167"/>
      <c r="J255" s="62"/>
      <c r="K255" s="62"/>
      <c r="R255" s="62"/>
    </row>
    <row r="256" ht="15.75" customHeight="1">
      <c r="B256" s="167"/>
      <c r="E256" s="231"/>
      <c r="G256" s="167"/>
      <c r="J256" s="62"/>
      <c r="K256" s="62"/>
      <c r="R256" s="62"/>
    </row>
    <row r="257" ht="15.75" customHeight="1">
      <c r="B257" s="167"/>
      <c r="E257" s="231"/>
      <c r="G257" s="167"/>
      <c r="J257" s="62"/>
      <c r="K257" s="62"/>
      <c r="R257" s="62"/>
    </row>
    <row r="258" ht="15.75" customHeight="1">
      <c r="B258" s="167"/>
      <c r="E258" s="231"/>
      <c r="G258" s="167"/>
      <c r="J258" s="62"/>
      <c r="K258" s="62"/>
      <c r="R258" s="62"/>
    </row>
    <row r="259" ht="15.75" customHeight="1">
      <c r="B259" s="167"/>
      <c r="E259" s="231"/>
      <c r="G259" s="167"/>
      <c r="J259" s="62"/>
      <c r="K259" s="62"/>
      <c r="R259" s="62"/>
    </row>
    <row r="260" ht="15.75" customHeight="1">
      <c r="B260" s="167"/>
      <c r="E260" s="231"/>
      <c r="G260" s="167"/>
      <c r="J260" s="62"/>
      <c r="K260" s="62"/>
      <c r="R260" s="62"/>
    </row>
    <row r="261" ht="15.75" customHeight="1">
      <c r="B261" s="167"/>
      <c r="E261" s="231"/>
      <c r="G261" s="167"/>
      <c r="J261" s="62"/>
      <c r="K261" s="62"/>
      <c r="R261" s="62"/>
    </row>
    <row r="262" ht="15.75" customHeight="1">
      <c r="B262" s="167"/>
      <c r="E262" s="231"/>
      <c r="G262" s="167"/>
      <c r="J262" s="62"/>
      <c r="K262" s="62"/>
      <c r="R262" s="62"/>
    </row>
    <row r="263" ht="15.75" customHeight="1">
      <c r="B263" s="167"/>
      <c r="E263" s="231"/>
      <c r="G263" s="167"/>
      <c r="J263" s="62"/>
      <c r="K263" s="62"/>
      <c r="R263" s="62"/>
    </row>
    <row r="264" ht="15.75" customHeight="1">
      <c r="B264" s="167"/>
      <c r="E264" s="231"/>
      <c r="G264" s="167"/>
      <c r="J264" s="62"/>
      <c r="K264" s="62"/>
      <c r="R264" s="62"/>
    </row>
    <row r="265" ht="15.75" customHeight="1">
      <c r="B265" s="167"/>
      <c r="E265" s="231"/>
      <c r="G265" s="167"/>
      <c r="J265" s="62"/>
      <c r="K265" s="62"/>
      <c r="R265" s="62"/>
    </row>
    <row r="266" ht="15.75" customHeight="1">
      <c r="B266" s="167"/>
      <c r="E266" s="231"/>
      <c r="G266" s="167"/>
      <c r="J266" s="62"/>
      <c r="K266" s="62"/>
      <c r="R266" s="62"/>
    </row>
    <row r="267" ht="15.75" customHeight="1">
      <c r="B267" s="167"/>
      <c r="E267" s="231"/>
      <c r="G267" s="167"/>
      <c r="J267" s="62"/>
      <c r="K267" s="62"/>
      <c r="R267" s="62"/>
    </row>
    <row r="268" ht="15.75" customHeight="1">
      <c r="B268" s="167"/>
      <c r="E268" s="231"/>
      <c r="G268" s="167"/>
      <c r="J268" s="62"/>
      <c r="K268" s="62"/>
      <c r="R268" s="62"/>
    </row>
    <row r="269" ht="15.75" customHeight="1">
      <c r="B269" s="167"/>
      <c r="E269" s="231"/>
      <c r="G269" s="167"/>
      <c r="J269" s="62"/>
      <c r="K269" s="62"/>
      <c r="R269" s="62"/>
    </row>
    <row r="270" ht="15.75" customHeight="1">
      <c r="B270" s="167"/>
      <c r="E270" s="231"/>
      <c r="G270" s="167"/>
      <c r="J270" s="62"/>
      <c r="K270" s="62"/>
      <c r="R270" s="62"/>
    </row>
    <row r="271" ht="15.75" customHeight="1">
      <c r="B271" s="167"/>
      <c r="E271" s="231"/>
      <c r="G271" s="167"/>
      <c r="J271" s="62"/>
      <c r="K271" s="62"/>
      <c r="R271" s="62"/>
    </row>
    <row r="272" ht="15.75" customHeight="1">
      <c r="B272" s="167"/>
      <c r="E272" s="231"/>
      <c r="G272" s="167"/>
      <c r="J272" s="62"/>
      <c r="K272" s="62"/>
      <c r="R272" s="62"/>
    </row>
    <row r="273" ht="15.75" customHeight="1">
      <c r="B273" s="167"/>
      <c r="E273" s="231"/>
      <c r="G273" s="167"/>
      <c r="J273" s="62"/>
      <c r="K273" s="62"/>
      <c r="R273" s="62"/>
    </row>
    <row r="274" ht="15.75" customHeight="1">
      <c r="B274" s="167"/>
      <c r="E274" s="231"/>
      <c r="G274" s="167"/>
      <c r="J274" s="62"/>
      <c r="K274" s="62"/>
      <c r="R274" s="62"/>
    </row>
    <row r="275" ht="15.75" customHeight="1">
      <c r="B275" s="167"/>
      <c r="E275" s="231"/>
      <c r="G275" s="167"/>
      <c r="J275" s="62"/>
      <c r="K275" s="62"/>
      <c r="R275" s="62"/>
    </row>
    <row r="276" ht="15.75" customHeight="1">
      <c r="B276" s="167"/>
      <c r="E276" s="231"/>
      <c r="G276" s="167"/>
      <c r="J276" s="62"/>
      <c r="K276" s="62"/>
      <c r="R276" s="62"/>
    </row>
    <row r="277" ht="15.75" customHeight="1">
      <c r="B277" s="167"/>
      <c r="E277" s="231"/>
      <c r="G277" s="167"/>
      <c r="J277" s="62"/>
      <c r="K277" s="62"/>
      <c r="R277" s="62"/>
    </row>
    <row r="278" ht="15.75" customHeight="1">
      <c r="B278" s="167"/>
      <c r="E278" s="231"/>
      <c r="G278" s="167"/>
      <c r="J278" s="62"/>
      <c r="K278" s="62"/>
      <c r="R278" s="62"/>
    </row>
    <row r="279" ht="15.75" customHeight="1">
      <c r="B279" s="167"/>
      <c r="E279" s="231"/>
      <c r="G279" s="167"/>
      <c r="J279" s="62"/>
      <c r="K279" s="62"/>
      <c r="R279" s="62"/>
    </row>
    <row r="280" ht="15.75" customHeight="1">
      <c r="B280" s="167"/>
      <c r="E280" s="231"/>
      <c r="G280" s="167"/>
      <c r="J280" s="62"/>
      <c r="K280" s="62"/>
      <c r="R280" s="62"/>
    </row>
    <row r="281" ht="15.75" customHeight="1">
      <c r="B281" s="167"/>
      <c r="E281" s="231"/>
      <c r="G281" s="167"/>
      <c r="J281" s="62"/>
      <c r="K281" s="62"/>
      <c r="R281" s="62"/>
    </row>
    <row r="282" ht="15.75" customHeight="1">
      <c r="B282" s="167"/>
      <c r="E282" s="231"/>
      <c r="G282" s="167"/>
      <c r="J282" s="62"/>
      <c r="K282" s="62"/>
      <c r="R282" s="62"/>
    </row>
    <row r="283" ht="15.75" customHeight="1">
      <c r="B283" s="167"/>
      <c r="E283" s="231"/>
      <c r="G283" s="167"/>
      <c r="J283" s="62"/>
      <c r="K283" s="62"/>
      <c r="R283" s="62"/>
    </row>
    <row r="284" ht="15.75" customHeight="1">
      <c r="B284" s="167"/>
      <c r="E284" s="231"/>
      <c r="G284" s="167"/>
      <c r="J284" s="62"/>
      <c r="K284" s="62"/>
      <c r="R284" s="62"/>
    </row>
    <row r="285" ht="15.75" customHeight="1">
      <c r="B285" s="167"/>
      <c r="E285" s="231"/>
      <c r="G285" s="167"/>
      <c r="J285" s="62"/>
      <c r="K285" s="62"/>
      <c r="R285" s="62"/>
    </row>
    <row r="286" ht="15.75" customHeight="1">
      <c r="B286" s="167"/>
      <c r="E286" s="231"/>
      <c r="G286" s="167"/>
      <c r="J286" s="62"/>
      <c r="K286" s="62"/>
      <c r="R286" s="62"/>
    </row>
    <row r="287" ht="15.75" customHeight="1">
      <c r="B287" s="167"/>
      <c r="E287" s="231"/>
      <c r="G287" s="167"/>
      <c r="J287" s="62"/>
      <c r="K287" s="62"/>
      <c r="R287" s="62"/>
    </row>
    <row r="288" ht="15.75" customHeight="1">
      <c r="B288" s="167"/>
      <c r="E288" s="231"/>
      <c r="G288" s="167"/>
      <c r="J288" s="62"/>
      <c r="K288" s="62"/>
      <c r="R288" s="62"/>
    </row>
    <row r="289" ht="15.75" customHeight="1">
      <c r="B289" s="167"/>
      <c r="E289" s="231"/>
      <c r="G289" s="167"/>
      <c r="J289" s="62"/>
      <c r="K289" s="62"/>
      <c r="R289" s="62"/>
    </row>
    <row r="290" ht="15.75" customHeight="1">
      <c r="B290" s="167"/>
      <c r="E290" s="231"/>
      <c r="G290" s="167"/>
      <c r="J290" s="62"/>
      <c r="K290" s="62"/>
      <c r="R290" s="62"/>
    </row>
    <row r="291" ht="15.75" customHeight="1">
      <c r="B291" s="167"/>
      <c r="E291" s="231"/>
      <c r="G291" s="167"/>
      <c r="J291" s="62"/>
      <c r="K291" s="62"/>
      <c r="R291" s="62"/>
    </row>
    <row r="292" ht="15.75" customHeight="1">
      <c r="B292" s="167"/>
      <c r="E292" s="231"/>
      <c r="G292" s="167"/>
      <c r="J292" s="62"/>
      <c r="K292" s="62"/>
      <c r="R292" s="62"/>
    </row>
    <row r="293" ht="15.75" customHeight="1">
      <c r="B293" s="167"/>
      <c r="E293" s="231"/>
      <c r="G293" s="167"/>
      <c r="J293" s="62"/>
      <c r="K293" s="62"/>
      <c r="R293" s="62"/>
    </row>
    <row r="294" ht="15.75" customHeight="1">
      <c r="B294" s="167"/>
      <c r="E294" s="231"/>
      <c r="G294" s="167"/>
      <c r="J294" s="62"/>
      <c r="K294" s="62"/>
      <c r="R294" s="62"/>
    </row>
    <row r="295" ht="15.75" customHeight="1">
      <c r="B295" s="167"/>
      <c r="E295" s="231"/>
      <c r="G295" s="167"/>
      <c r="J295" s="62"/>
      <c r="K295" s="62"/>
      <c r="R295" s="62"/>
    </row>
    <row r="296" ht="15.75" customHeight="1">
      <c r="B296" s="167"/>
      <c r="E296" s="231"/>
      <c r="G296" s="167"/>
      <c r="J296" s="62"/>
      <c r="K296" s="62"/>
      <c r="R296" s="62"/>
    </row>
    <row r="297" ht="15.75" customHeight="1">
      <c r="B297" s="167"/>
      <c r="E297" s="231"/>
      <c r="G297" s="167"/>
      <c r="J297" s="62"/>
      <c r="K297" s="62"/>
      <c r="R297" s="62"/>
    </row>
    <row r="298" ht="15.75" customHeight="1">
      <c r="B298" s="167"/>
      <c r="E298" s="231"/>
      <c r="G298" s="167"/>
      <c r="J298" s="62"/>
      <c r="K298" s="62"/>
      <c r="R298" s="62"/>
    </row>
    <row r="299" ht="15.75" customHeight="1">
      <c r="B299" s="167"/>
      <c r="E299" s="231"/>
      <c r="G299" s="167"/>
      <c r="J299" s="62"/>
      <c r="K299" s="62"/>
      <c r="R299" s="62"/>
    </row>
    <row r="300" ht="15.75" customHeight="1">
      <c r="B300" s="167"/>
      <c r="E300" s="231"/>
      <c r="G300" s="167"/>
      <c r="J300" s="62"/>
      <c r="K300" s="62"/>
      <c r="R300" s="62"/>
    </row>
    <row r="301" ht="15.75" customHeight="1">
      <c r="B301" s="167"/>
      <c r="E301" s="231"/>
      <c r="G301" s="167"/>
      <c r="J301" s="62"/>
      <c r="K301" s="62"/>
      <c r="R301" s="62"/>
    </row>
    <row r="302" ht="15.75" customHeight="1">
      <c r="B302" s="167"/>
      <c r="E302" s="231"/>
      <c r="G302" s="167"/>
      <c r="J302" s="62"/>
      <c r="K302" s="62"/>
      <c r="R302" s="62"/>
    </row>
    <row r="303" ht="15.75" customHeight="1">
      <c r="B303" s="167"/>
      <c r="E303" s="231"/>
      <c r="G303" s="167"/>
      <c r="J303" s="62"/>
      <c r="K303" s="62"/>
      <c r="R303" s="62"/>
    </row>
    <row r="304" ht="15.75" customHeight="1">
      <c r="B304" s="167"/>
      <c r="E304" s="231"/>
      <c r="G304" s="167"/>
      <c r="J304" s="62"/>
      <c r="K304" s="62"/>
      <c r="R304" s="62"/>
    </row>
    <row r="305" ht="15.75" customHeight="1">
      <c r="B305" s="167"/>
      <c r="E305" s="231"/>
      <c r="G305" s="167"/>
      <c r="J305" s="62"/>
      <c r="K305" s="62"/>
      <c r="R305" s="62"/>
    </row>
    <row r="306" ht="15.75" customHeight="1">
      <c r="B306" s="167"/>
      <c r="E306" s="231"/>
      <c r="G306" s="167"/>
      <c r="J306" s="62"/>
      <c r="K306" s="62"/>
      <c r="R306" s="62"/>
    </row>
    <row r="307" ht="15.75" customHeight="1">
      <c r="B307" s="167"/>
      <c r="E307" s="231"/>
      <c r="G307" s="167"/>
      <c r="J307" s="62"/>
      <c r="K307" s="62"/>
      <c r="R307" s="62"/>
    </row>
    <row r="308" ht="15.75" customHeight="1">
      <c r="B308" s="167"/>
      <c r="E308" s="231"/>
      <c r="G308" s="167"/>
      <c r="J308" s="62"/>
      <c r="K308" s="62"/>
      <c r="R308" s="62"/>
    </row>
    <row r="309" ht="15.75" customHeight="1">
      <c r="B309" s="167"/>
      <c r="E309" s="231"/>
      <c r="G309" s="167"/>
      <c r="J309" s="62"/>
      <c r="K309" s="62"/>
      <c r="R309" s="62"/>
    </row>
    <row r="310" ht="15.75" customHeight="1">
      <c r="B310" s="167"/>
      <c r="E310" s="231"/>
      <c r="G310" s="167"/>
      <c r="J310" s="62"/>
      <c r="K310" s="62"/>
      <c r="R310" s="62"/>
    </row>
    <row r="311" ht="15.75" customHeight="1">
      <c r="B311" s="167"/>
      <c r="E311" s="231"/>
      <c r="G311" s="167"/>
      <c r="J311" s="62"/>
      <c r="K311" s="62"/>
      <c r="R311" s="62"/>
    </row>
    <row r="312" ht="15.75" customHeight="1">
      <c r="B312" s="167"/>
      <c r="E312" s="231"/>
      <c r="G312" s="167"/>
      <c r="J312" s="62"/>
      <c r="K312" s="62"/>
      <c r="R312" s="62"/>
    </row>
    <row r="313" ht="15.75" customHeight="1">
      <c r="B313" s="167"/>
      <c r="E313" s="231"/>
      <c r="G313" s="167"/>
      <c r="J313" s="62"/>
      <c r="K313" s="62"/>
      <c r="R313" s="62"/>
    </row>
    <row r="314" ht="15.75" customHeight="1">
      <c r="B314" s="167"/>
      <c r="E314" s="231"/>
      <c r="G314" s="167"/>
      <c r="J314" s="62"/>
      <c r="K314" s="62"/>
      <c r="R314" s="62"/>
    </row>
    <row r="315" ht="15.75" customHeight="1">
      <c r="B315" s="167"/>
      <c r="E315" s="231"/>
      <c r="G315" s="167"/>
      <c r="J315" s="62"/>
      <c r="K315" s="62"/>
      <c r="R315" s="62"/>
    </row>
    <row r="316" ht="15.75" customHeight="1">
      <c r="B316" s="167"/>
      <c r="E316" s="231"/>
      <c r="G316" s="167"/>
      <c r="J316" s="62"/>
      <c r="K316" s="62"/>
      <c r="R316" s="62"/>
    </row>
    <row r="317" ht="15.75" customHeight="1">
      <c r="B317" s="167"/>
      <c r="E317" s="231"/>
      <c r="G317" s="167"/>
      <c r="J317" s="62"/>
      <c r="K317" s="62"/>
      <c r="R317" s="62"/>
    </row>
    <row r="318" ht="15.75" customHeight="1">
      <c r="B318" s="167"/>
      <c r="E318" s="231"/>
      <c r="G318" s="167"/>
      <c r="J318" s="62"/>
      <c r="K318" s="62"/>
      <c r="R318" s="62"/>
    </row>
    <row r="319" ht="15.75" customHeight="1">
      <c r="B319" s="167"/>
      <c r="E319" s="231"/>
      <c r="G319" s="167"/>
      <c r="J319" s="62"/>
      <c r="K319" s="62"/>
      <c r="R319" s="62"/>
    </row>
    <row r="320" ht="15.75" customHeight="1">
      <c r="B320" s="167"/>
      <c r="E320" s="231"/>
      <c r="G320" s="167"/>
      <c r="J320" s="62"/>
      <c r="K320" s="62"/>
      <c r="R320" s="62"/>
    </row>
    <row r="321" ht="15.75" customHeight="1">
      <c r="B321" s="167"/>
      <c r="E321" s="231"/>
      <c r="G321" s="167"/>
      <c r="J321" s="62"/>
      <c r="K321" s="62"/>
      <c r="R321" s="62"/>
    </row>
    <row r="322" ht="15.75" customHeight="1">
      <c r="B322" s="167"/>
      <c r="E322" s="231"/>
      <c r="G322" s="167"/>
      <c r="J322" s="62"/>
      <c r="K322" s="62"/>
      <c r="R322" s="62"/>
    </row>
    <row r="323" ht="15.75" customHeight="1">
      <c r="B323" s="167"/>
      <c r="E323" s="231"/>
      <c r="G323" s="167"/>
      <c r="J323" s="62"/>
      <c r="K323" s="62"/>
      <c r="R323" s="62"/>
    </row>
    <row r="324" ht="15.75" customHeight="1">
      <c r="B324" s="167"/>
      <c r="E324" s="231"/>
      <c r="G324" s="167"/>
      <c r="J324" s="62"/>
      <c r="K324" s="62"/>
      <c r="R324" s="62"/>
    </row>
    <row r="325" ht="15.75" customHeight="1">
      <c r="B325" s="167"/>
      <c r="E325" s="231"/>
      <c r="G325" s="167"/>
      <c r="J325" s="62"/>
      <c r="K325" s="62"/>
      <c r="R325" s="62"/>
    </row>
    <row r="326" ht="15.75" customHeight="1">
      <c r="B326" s="167"/>
      <c r="E326" s="231"/>
      <c r="G326" s="167"/>
      <c r="J326" s="62"/>
      <c r="K326" s="62"/>
      <c r="R326" s="62"/>
    </row>
    <row r="327" ht="15.75" customHeight="1">
      <c r="B327" s="167"/>
      <c r="E327" s="231"/>
      <c r="G327" s="167"/>
      <c r="J327" s="62"/>
      <c r="K327" s="62"/>
      <c r="R327" s="62"/>
    </row>
    <row r="328" ht="15.75" customHeight="1">
      <c r="B328" s="167"/>
      <c r="E328" s="231"/>
      <c r="G328" s="167"/>
      <c r="J328" s="62"/>
      <c r="K328" s="62"/>
      <c r="R328" s="62"/>
    </row>
    <row r="329" ht="15.75" customHeight="1">
      <c r="B329" s="167"/>
      <c r="E329" s="231"/>
      <c r="G329" s="167"/>
      <c r="J329" s="62"/>
      <c r="K329" s="62"/>
      <c r="R329" s="62"/>
    </row>
    <row r="330" ht="15.75" customHeight="1">
      <c r="B330" s="167"/>
      <c r="E330" s="231"/>
      <c r="G330" s="167"/>
      <c r="J330" s="62"/>
      <c r="K330" s="62"/>
      <c r="R330" s="62"/>
    </row>
    <row r="331" ht="15.75" customHeight="1">
      <c r="B331" s="167"/>
      <c r="E331" s="231"/>
      <c r="G331" s="167"/>
      <c r="J331" s="62"/>
      <c r="K331" s="62"/>
      <c r="R331" s="62"/>
    </row>
    <row r="332" ht="15.75" customHeight="1">
      <c r="B332" s="167"/>
      <c r="E332" s="231"/>
      <c r="G332" s="167"/>
      <c r="J332" s="62"/>
      <c r="K332" s="62"/>
      <c r="R332" s="62"/>
    </row>
    <row r="333" ht="15.75" customHeight="1">
      <c r="B333" s="167"/>
      <c r="E333" s="231"/>
      <c r="G333" s="167"/>
      <c r="J333" s="62"/>
      <c r="K333" s="62"/>
      <c r="R333" s="62"/>
    </row>
    <row r="334" ht="15.75" customHeight="1">
      <c r="B334" s="167"/>
      <c r="E334" s="231"/>
      <c r="G334" s="167"/>
      <c r="J334" s="62"/>
      <c r="K334" s="62"/>
      <c r="R334" s="62"/>
    </row>
    <row r="335" ht="15.75" customHeight="1">
      <c r="B335" s="167"/>
      <c r="E335" s="231"/>
      <c r="G335" s="167"/>
      <c r="J335" s="62"/>
      <c r="K335" s="62"/>
      <c r="R335" s="62"/>
    </row>
    <row r="336" ht="15.75" customHeight="1">
      <c r="B336" s="167"/>
      <c r="E336" s="231"/>
      <c r="G336" s="167"/>
      <c r="J336" s="62"/>
      <c r="K336" s="62"/>
      <c r="R336" s="62"/>
    </row>
    <row r="337" ht="15.75" customHeight="1">
      <c r="B337" s="167"/>
      <c r="E337" s="231"/>
      <c r="G337" s="167"/>
      <c r="J337" s="62"/>
      <c r="K337" s="62"/>
      <c r="R337" s="62"/>
    </row>
    <row r="338" ht="15.75" customHeight="1">
      <c r="B338" s="167"/>
      <c r="E338" s="231"/>
      <c r="G338" s="167"/>
      <c r="J338" s="62"/>
      <c r="K338" s="62"/>
      <c r="R338" s="62"/>
    </row>
    <row r="339" ht="15.75" customHeight="1">
      <c r="B339" s="167"/>
      <c r="E339" s="231"/>
      <c r="G339" s="167"/>
      <c r="J339" s="62"/>
      <c r="K339" s="62"/>
      <c r="R339" s="62"/>
    </row>
    <row r="340" ht="15.75" customHeight="1">
      <c r="B340" s="167"/>
      <c r="E340" s="231"/>
      <c r="G340" s="167"/>
      <c r="J340" s="62"/>
      <c r="K340" s="62"/>
      <c r="R340" s="62"/>
    </row>
    <row r="341" ht="15.75" customHeight="1">
      <c r="B341" s="167"/>
      <c r="E341" s="231"/>
      <c r="G341" s="167"/>
      <c r="J341" s="62"/>
      <c r="K341" s="62"/>
      <c r="R341" s="62"/>
    </row>
    <row r="342" ht="15.75" customHeight="1">
      <c r="B342" s="167"/>
      <c r="E342" s="231"/>
      <c r="G342" s="167"/>
      <c r="J342" s="62"/>
      <c r="K342" s="62"/>
      <c r="R342" s="62"/>
    </row>
    <row r="343" ht="15.75" customHeight="1">
      <c r="B343" s="167"/>
      <c r="E343" s="231"/>
      <c r="G343" s="167"/>
      <c r="J343" s="62"/>
      <c r="K343" s="62"/>
      <c r="R343" s="62"/>
    </row>
    <row r="344" ht="15.75" customHeight="1">
      <c r="B344" s="167"/>
      <c r="E344" s="231"/>
      <c r="G344" s="167"/>
      <c r="J344" s="62"/>
      <c r="K344" s="62"/>
      <c r="R344" s="62"/>
    </row>
    <row r="345" ht="15.75" customHeight="1">
      <c r="B345" s="167"/>
      <c r="E345" s="231"/>
      <c r="G345" s="167"/>
      <c r="J345" s="62"/>
      <c r="K345" s="62"/>
      <c r="R345" s="62"/>
    </row>
    <row r="346" ht="15.75" customHeight="1">
      <c r="B346" s="167"/>
      <c r="E346" s="231"/>
      <c r="G346" s="167"/>
      <c r="J346" s="62"/>
      <c r="K346" s="62"/>
      <c r="R346" s="62"/>
    </row>
    <row r="347" ht="15.75" customHeight="1">
      <c r="B347" s="167"/>
      <c r="E347" s="231"/>
      <c r="G347" s="167"/>
      <c r="J347" s="62"/>
      <c r="K347" s="62"/>
      <c r="R347" s="62"/>
    </row>
    <row r="348" ht="15.75" customHeight="1">
      <c r="B348" s="167"/>
      <c r="E348" s="231"/>
      <c r="G348" s="167"/>
      <c r="J348" s="62"/>
      <c r="K348" s="62"/>
      <c r="R348" s="62"/>
    </row>
    <row r="349" ht="15.75" customHeight="1">
      <c r="B349" s="167"/>
      <c r="E349" s="231"/>
      <c r="G349" s="167"/>
      <c r="J349" s="62"/>
      <c r="K349" s="62"/>
      <c r="R349" s="62"/>
    </row>
    <row r="350" ht="15.75" customHeight="1">
      <c r="B350" s="167"/>
      <c r="E350" s="231"/>
      <c r="G350" s="167"/>
      <c r="J350" s="62"/>
      <c r="K350" s="62"/>
      <c r="R350" s="62"/>
    </row>
    <row r="351" ht="15.75" customHeight="1">
      <c r="B351" s="167"/>
      <c r="E351" s="231"/>
      <c r="G351" s="167"/>
      <c r="J351" s="62"/>
      <c r="K351" s="62"/>
      <c r="R351" s="62"/>
    </row>
    <row r="352" ht="15.75" customHeight="1">
      <c r="B352" s="167"/>
      <c r="E352" s="231"/>
      <c r="G352" s="167"/>
      <c r="J352" s="62"/>
      <c r="K352" s="62"/>
      <c r="R352" s="62"/>
    </row>
    <row r="353" ht="15.75" customHeight="1">
      <c r="B353" s="167"/>
      <c r="E353" s="231"/>
      <c r="G353" s="167"/>
      <c r="J353" s="62"/>
      <c r="K353" s="62"/>
      <c r="R353" s="62"/>
    </row>
    <row r="354" ht="15.75" customHeight="1">
      <c r="B354" s="167"/>
      <c r="E354" s="231"/>
      <c r="G354" s="167"/>
      <c r="J354" s="62"/>
      <c r="K354" s="62"/>
      <c r="R354" s="62"/>
    </row>
    <row r="355" ht="15.75" customHeight="1">
      <c r="B355" s="167"/>
      <c r="E355" s="231"/>
      <c r="G355" s="167"/>
      <c r="J355" s="62"/>
      <c r="K355" s="62"/>
      <c r="R355" s="62"/>
    </row>
    <row r="356" ht="15.75" customHeight="1">
      <c r="B356" s="167"/>
      <c r="E356" s="231"/>
      <c r="G356" s="167"/>
      <c r="J356" s="62"/>
      <c r="K356" s="62"/>
      <c r="R356" s="62"/>
    </row>
    <row r="357" ht="15.75" customHeight="1">
      <c r="B357" s="167"/>
      <c r="E357" s="231"/>
      <c r="G357" s="167"/>
      <c r="J357" s="62"/>
      <c r="K357" s="62"/>
      <c r="R357" s="62"/>
    </row>
    <row r="358" ht="15.75" customHeight="1">
      <c r="B358" s="167"/>
      <c r="E358" s="231"/>
      <c r="G358" s="167"/>
      <c r="J358" s="62"/>
      <c r="K358" s="62"/>
      <c r="R358" s="62"/>
    </row>
    <row r="359" ht="15.75" customHeight="1">
      <c r="B359" s="167"/>
      <c r="E359" s="231"/>
      <c r="G359" s="167"/>
      <c r="J359" s="62"/>
      <c r="K359" s="62"/>
      <c r="R359" s="62"/>
    </row>
    <row r="360" ht="15.75" customHeight="1">
      <c r="B360" s="167"/>
      <c r="E360" s="231"/>
      <c r="G360" s="167"/>
      <c r="J360" s="62"/>
      <c r="K360" s="62"/>
      <c r="R360" s="62"/>
    </row>
    <row r="361" ht="15.75" customHeight="1">
      <c r="B361" s="167"/>
      <c r="E361" s="231"/>
      <c r="G361" s="167"/>
      <c r="J361" s="62"/>
      <c r="K361" s="62"/>
      <c r="R361" s="62"/>
    </row>
    <row r="362" ht="15.75" customHeight="1">
      <c r="B362" s="167"/>
      <c r="E362" s="231"/>
      <c r="G362" s="167"/>
      <c r="J362" s="62"/>
      <c r="K362" s="62"/>
      <c r="R362" s="62"/>
    </row>
    <row r="363" ht="15.75" customHeight="1">
      <c r="B363" s="167"/>
      <c r="E363" s="231"/>
      <c r="G363" s="167"/>
      <c r="J363" s="62"/>
      <c r="K363" s="62"/>
      <c r="R363" s="62"/>
    </row>
    <row r="364" ht="15.75" customHeight="1">
      <c r="B364" s="167"/>
      <c r="E364" s="231"/>
      <c r="G364" s="167"/>
      <c r="J364" s="62"/>
      <c r="K364" s="62"/>
      <c r="R364" s="62"/>
    </row>
    <row r="365" ht="15.75" customHeight="1">
      <c r="B365" s="167"/>
      <c r="E365" s="231"/>
      <c r="G365" s="167"/>
      <c r="J365" s="62"/>
      <c r="K365" s="62"/>
      <c r="R365" s="62"/>
    </row>
    <row r="366" ht="15.75" customHeight="1">
      <c r="B366" s="167"/>
      <c r="E366" s="231"/>
      <c r="G366" s="167"/>
      <c r="J366" s="62"/>
      <c r="K366" s="62"/>
      <c r="R366" s="62"/>
    </row>
    <row r="367" ht="15.75" customHeight="1">
      <c r="B367" s="167"/>
      <c r="E367" s="231"/>
      <c r="G367" s="167"/>
      <c r="J367" s="62"/>
      <c r="K367" s="62"/>
      <c r="R367" s="62"/>
    </row>
    <row r="368" ht="15.75" customHeight="1">
      <c r="B368" s="167"/>
      <c r="E368" s="231"/>
      <c r="G368" s="167"/>
      <c r="J368" s="62"/>
      <c r="K368" s="62"/>
      <c r="R368" s="62"/>
    </row>
    <row r="369" ht="15.75" customHeight="1">
      <c r="B369" s="167"/>
      <c r="E369" s="231"/>
      <c r="G369" s="167"/>
      <c r="J369" s="62"/>
      <c r="K369" s="62"/>
      <c r="R369" s="62"/>
    </row>
    <row r="370" ht="15.75" customHeight="1">
      <c r="B370" s="167"/>
      <c r="E370" s="231"/>
      <c r="G370" s="167"/>
      <c r="J370" s="62"/>
      <c r="K370" s="62"/>
      <c r="R370" s="62"/>
    </row>
    <row r="371" ht="15.75" customHeight="1">
      <c r="B371" s="167"/>
      <c r="E371" s="231"/>
      <c r="G371" s="167"/>
      <c r="J371" s="62"/>
      <c r="K371" s="62"/>
      <c r="R371" s="62"/>
    </row>
    <row r="372" ht="15.75" customHeight="1">
      <c r="B372" s="167"/>
      <c r="E372" s="231"/>
      <c r="G372" s="167"/>
      <c r="J372" s="62"/>
      <c r="K372" s="62"/>
      <c r="R372" s="62"/>
    </row>
    <row r="373" ht="15.75" customHeight="1">
      <c r="B373" s="167"/>
      <c r="E373" s="231"/>
      <c r="G373" s="167"/>
      <c r="J373" s="62"/>
      <c r="K373" s="62"/>
      <c r="R373" s="62"/>
    </row>
    <row r="374" ht="15.75" customHeight="1">
      <c r="B374" s="167"/>
      <c r="E374" s="231"/>
      <c r="G374" s="167"/>
      <c r="J374" s="62"/>
      <c r="K374" s="62"/>
      <c r="R374" s="62"/>
    </row>
    <row r="375" ht="15.75" customHeight="1">
      <c r="B375" s="167"/>
      <c r="E375" s="231"/>
      <c r="G375" s="167"/>
      <c r="J375" s="62"/>
      <c r="K375" s="62"/>
      <c r="R375" s="62"/>
    </row>
    <row r="376" ht="15.75" customHeight="1">
      <c r="B376" s="167"/>
      <c r="E376" s="231"/>
      <c r="G376" s="167"/>
      <c r="J376" s="62"/>
      <c r="K376" s="62"/>
      <c r="R376" s="62"/>
    </row>
    <row r="377" ht="15.75" customHeight="1">
      <c r="B377" s="167"/>
      <c r="E377" s="231"/>
      <c r="G377" s="167"/>
      <c r="J377" s="62"/>
      <c r="K377" s="62"/>
      <c r="R377" s="62"/>
    </row>
    <row r="378" ht="15.75" customHeight="1">
      <c r="B378" s="167"/>
      <c r="E378" s="231"/>
      <c r="G378" s="167"/>
      <c r="J378" s="62"/>
      <c r="K378" s="62"/>
      <c r="R378" s="62"/>
    </row>
    <row r="379" ht="15.75" customHeight="1">
      <c r="B379" s="167"/>
      <c r="E379" s="231"/>
      <c r="G379" s="167"/>
      <c r="J379" s="62"/>
      <c r="K379" s="62"/>
      <c r="R379" s="62"/>
    </row>
    <row r="380" ht="15.75" customHeight="1">
      <c r="B380" s="167"/>
      <c r="E380" s="231"/>
      <c r="G380" s="167"/>
      <c r="J380" s="62"/>
      <c r="K380" s="62"/>
      <c r="R380" s="62"/>
    </row>
    <row r="381" ht="15.75" customHeight="1">
      <c r="B381" s="167"/>
      <c r="E381" s="231"/>
      <c r="G381" s="167"/>
      <c r="J381" s="62"/>
      <c r="K381" s="62"/>
      <c r="R381" s="62"/>
    </row>
    <row r="382" ht="15.75" customHeight="1">
      <c r="B382" s="167"/>
      <c r="E382" s="231"/>
      <c r="G382" s="167"/>
      <c r="J382" s="62"/>
      <c r="K382" s="62"/>
      <c r="R382" s="62"/>
    </row>
    <row r="383" ht="15.75" customHeight="1">
      <c r="B383" s="167"/>
      <c r="E383" s="231"/>
      <c r="G383" s="167"/>
      <c r="J383" s="62"/>
      <c r="K383" s="62"/>
      <c r="R383" s="62"/>
    </row>
    <row r="384" ht="15.75" customHeight="1">
      <c r="B384" s="167"/>
      <c r="E384" s="231"/>
      <c r="G384" s="167"/>
      <c r="J384" s="62"/>
      <c r="K384" s="62"/>
      <c r="R384" s="62"/>
    </row>
    <row r="385" ht="15.75" customHeight="1">
      <c r="B385" s="167"/>
      <c r="E385" s="231"/>
      <c r="G385" s="167"/>
      <c r="J385" s="62"/>
      <c r="K385" s="62"/>
      <c r="R385" s="62"/>
    </row>
    <row r="386" ht="15.75" customHeight="1">
      <c r="B386" s="167"/>
      <c r="E386" s="231"/>
      <c r="G386" s="167"/>
      <c r="J386" s="62"/>
      <c r="K386" s="62"/>
      <c r="R386" s="62"/>
    </row>
    <row r="387" ht="15.75" customHeight="1">
      <c r="B387" s="167"/>
      <c r="E387" s="231"/>
      <c r="G387" s="167"/>
      <c r="J387" s="62"/>
      <c r="K387" s="62"/>
      <c r="R387" s="62"/>
    </row>
    <row r="388" ht="15.75" customHeight="1">
      <c r="B388" s="167"/>
      <c r="E388" s="231"/>
      <c r="G388" s="167"/>
      <c r="J388" s="62"/>
      <c r="K388" s="62"/>
      <c r="R388" s="62"/>
    </row>
    <row r="389" ht="15.75" customHeight="1">
      <c r="B389" s="167"/>
      <c r="E389" s="231"/>
      <c r="G389" s="167"/>
      <c r="J389" s="62"/>
      <c r="K389" s="62"/>
      <c r="R389" s="62"/>
    </row>
    <row r="390" ht="15.75" customHeight="1">
      <c r="B390" s="167"/>
      <c r="E390" s="231"/>
      <c r="G390" s="167"/>
      <c r="J390" s="62"/>
      <c r="K390" s="62"/>
      <c r="R390" s="62"/>
    </row>
    <row r="391" ht="15.75" customHeight="1">
      <c r="B391" s="167"/>
      <c r="E391" s="231"/>
      <c r="G391" s="167"/>
      <c r="J391" s="62"/>
      <c r="K391" s="62"/>
      <c r="R391" s="62"/>
    </row>
    <row r="392" ht="15.75" customHeight="1">
      <c r="B392" s="167"/>
      <c r="E392" s="231"/>
      <c r="G392" s="167"/>
      <c r="J392" s="62"/>
      <c r="K392" s="62"/>
      <c r="R392" s="62"/>
    </row>
    <row r="393" ht="15.75" customHeight="1">
      <c r="B393" s="167"/>
      <c r="E393" s="231"/>
      <c r="G393" s="167"/>
      <c r="J393" s="62"/>
      <c r="K393" s="62"/>
      <c r="R393" s="62"/>
    </row>
    <row r="394" ht="15.75" customHeight="1">
      <c r="B394" s="167"/>
      <c r="E394" s="231"/>
      <c r="G394" s="167"/>
      <c r="J394" s="62"/>
      <c r="K394" s="62"/>
      <c r="R394" s="62"/>
    </row>
    <row r="395" ht="15.75" customHeight="1">
      <c r="B395" s="167"/>
      <c r="E395" s="231"/>
      <c r="G395" s="167"/>
      <c r="J395" s="62"/>
      <c r="K395" s="62"/>
      <c r="R395" s="62"/>
    </row>
    <row r="396" ht="15.75" customHeight="1">
      <c r="B396" s="167"/>
      <c r="E396" s="231"/>
      <c r="G396" s="167"/>
      <c r="J396" s="62"/>
      <c r="K396" s="62"/>
      <c r="R396" s="62"/>
    </row>
    <row r="397" ht="15.75" customHeight="1">
      <c r="B397" s="167"/>
      <c r="E397" s="231"/>
      <c r="G397" s="167"/>
      <c r="J397" s="62"/>
      <c r="K397" s="62"/>
      <c r="R397" s="62"/>
    </row>
    <row r="398" ht="15.75" customHeight="1">
      <c r="B398" s="167"/>
      <c r="E398" s="231"/>
      <c r="G398" s="167"/>
      <c r="J398" s="62"/>
      <c r="K398" s="62"/>
      <c r="R398" s="62"/>
    </row>
    <row r="399" ht="15.75" customHeight="1">
      <c r="B399" s="167"/>
      <c r="E399" s="231"/>
      <c r="G399" s="167"/>
      <c r="J399" s="62"/>
      <c r="K399" s="62"/>
      <c r="R399" s="62"/>
    </row>
    <row r="400" ht="15.75" customHeight="1">
      <c r="B400" s="167"/>
      <c r="E400" s="231"/>
      <c r="G400" s="167"/>
      <c r="J400" s="62"/>
      <c r="K400" s="62"/>
      <c r="R400" s="62"/>
    </row>
    <row r="401" ht="15.75" customHeight="1">
      <c r="B401" s="167"/>
      <c r="E401" s="231"/>
      <c r="G401" s="167"/>
      <c r="J401" s="62"/>
      <c r="K401" s="62"/>
      <c r="R401" s="62"/>
    </row>
    <row r="402" ht="15.75" customHeight="1">
      <c r="B402" s="167"/>
      <c r="E402" s="231"/>
      <c r="G402" s="167"/>
      <c r="J402" s="62"/>
      <c r="K402" s="62"/>
      <c r="R402" s="62"/>
    </row>
    <row r="403" ht="15.75" customHeight="1">
      <c r="B403" s="167"/>
      <c r="E403" s="231"/>
      <c r="G403" s="167"/>
      <c r="J403" s="62"/>
      <c r="K403" s="62"/>
      <c r="R403" s="62"/>
    </row>
    <row r="404" ht="15.75" customHeight="1">
      <c r="B404" s="167"/>
      <c r="E404" s="231"/>
      <c r="G404" s="167"/>
      <c r="J404" s="62"/>
      <c r="K404" s="62"/>
      <c r="R404" s="62"/>
    </row>
    <row r="405" ht="15.75" customHeight="1">
      <c r="B405" s="167"/>
      <c r="E405" s="231"/>
      <c r="G405" s="167"/>
      <c r="J405" s="62"/>
      <c r="K405" s="62"/>
      <c r="R405" s="62"/>
    </row>
    <row r="406" ht="15.75" customHeight="1">
      <c r="B406" s="167"/>
      <c r="E406" s="231"/>
      <c r="G406" s="167"/>
      <c r="J406" s="62"/>
      <c r="K406" s="62"/>
      <c r="R406" s="62"/>
    </row>
    <row r="407" ht="15.75" customHeight="1">
      <c r="B407" s="167"/>
      <c r="E407" s="231"/>
      <c r="G407" s="167"/>
      <c r="J407" s="62"/>
      <c r="K407" s="62"/>
      <c r="R407" s="62"/>
    </row>
    <row r="408" ht="15.75" customHeight="1">
      <c r="B408" s="167"/>
      <c r="E408" s="231"/>
      <c r="G408" s="167"/>
      <c r="J408" s="62"/>
      <c r="K408" s="62"/>
      <c r="R408" s="62"/>
    </row>
    <row r="409" ht="15.75" customHeight="1">
      <c r="B409" s="167"/>
      <c r="E409" s="231"/>
      <c r="G409" s="167"/>
      <c r="J409" s="62"/>
      <c r="K409" s="62"/>
      <c r="R409" s="62"/>
    </row>
    <row r="410" ht="15.75" customHeight="1">
      <c r="B410" s="167"/>
      <c r="E410" s="231"/>
      <c r="G410" s="167"/>
      <c r="J410" s="62"/>
      <c r="K410" s="62"/>
      <c r="R410" s="62"/>
    </row>
    <row r="411" ht="15.75" customHeight="1">
      <c r="B411" s="167"/>
      <c r="E411" s="231"/>
      <c r="G411" s="167"/>
      <c r="J411" s="62"/>
      <c r="K411" s="62"/>
      <c r="R411" s="62"/>
    </row>
    <row r="412" ht="15.75" customHeight="1">
      <c r="B412" s="167"/>
      <c r="E412" s="231"/>
      <c r="G412" s="167"/>
      <c r="J412" s="62"/>
      <c r="K412" s="62"/>
      <c r="R412" s="62"/>
    </row>
    <row r="413" ht="15.75" customHeight="1">
      <c r="B413" s="167"/>
      <c r="E413" s="231"/>
      <c r="G413" s="167"/>
      <c r="J413" s="62"/>
      <c r="K413" s="62"/>
      <c r="R413" s="62"/>
    </row>
    <row r="414" ht="15.75" customHeight="1">
      <c r="B414" s="167"/>
      <c r="E414" s="231"/>
      <c r="G414" s="167"/>
      <c r="J414" s="62"/>
      <c r="K414" s="62"/>
      <c r="R414" s="62"/>
    </row>
    <row r="415" ht="15.75" customHeight="1">
      <c r="B415" s="167"/>
      <c r="E415" s="231"/>
      <c r="G415" s="167"/>
      <c r="J415" s="62"/>
      <c r="K415" s="62"/>
      <c r="R415" s="62"/>
    </row>
    <row r="416" ht="15.75" customHeight="1">
      <c r="B416" s="167"/>
      <c r="E416" s="231"/>
      <c r="G416" s="167"/>
      <c r="J416" s="62"/>
      <c r="K416" s="62"/>
      <c r="R416" s="62"/>
    </row>
    <row r="417" ht="15.75" customHeight="1">
      <c r="B417" s="167"/>
      <c r="E417" s="231"/>
      <c r="G417" s="167"/>
      <c r="J417" s="62"/>
      <c r="K417" s="62"/>
      <c r="R417" s="62"/>
    </row>
    <row r="418" ht="15.75" customHeight="1">
      <c r="B418" s="167"/>
      <c r="E418" s="231"/>
      <c r="G418" s="167"/>
      <c r="J418" s="62"/>
      <c r="K418" s="62"/>
      <c r="R418" s="62"/>
    </row>
    <row r="419" ht="15.75" customHeight="1">
      <c r="B419" s="167"/>
      <c r="E419" s="231"/>
      <c r="G419" s="167"/>
      <c r="J419" s="62"/>
      <c r="K419" s="62"/>
      <c r="R419" s="62"/>
    </row>
    <row r="420" ht="15.75" customHeight="1">
      <c r="B420" s="167"/>
      <c r="E420" s="231"/>
      <c r="G420" s="167"/>
      <c r="J420" s="62"/>
      <c r="K420" s="62"/>
      <c r="R420" s="62"/>
    </row>
    <row r="421" ht="15.75" customHeight="1">
      <c r="B421" s="167"/>
      <c r="E421" s="231"/>
      <c r="G421" s="167"/>
      <c r="J421" s="62"/>
      <c r="K421" s="62"/>
      <c r="R421" s="62"/>
    </row>
    <row r="422" ht="15.75" customHeight="1">
      <c r="B422" s="167"/>
      <c r="E422" s="231"/>
      <c r="G422" s="167"/>
      <c r="J422" s="62"/>
      <c r="K422" s="62"/>
      <c r="R422" s="62"/>
    </row>
    <row r="423" ht="15.75" customHeight="1">
      <c r="B423" s="167"/>
      <c r="E423" s="231"/>
      <c r="G423" s="167"/>
      <c r="J423" s="62"/>
      <c r="K423" s="62"/>
      <c r="R423" s="62"/>
    </row>
    <row r="424" ht="15.75" customHeight="1">
      <c r="B424" s="167"/>
      <c r="E424" s="231"/>
      <c r="G424" s="167"/>
      <c r="J424" s="62"/>
      <c r="K424" s="62"/>
      <c r="R424" s="62"/>
    </row>
    <row r="425" ht="15.75" customHeight="1">
      <c r="B425" s="167"/>
      <c r="E425" s="231"/>
      <c r="G425" s="167"/>
      <c r="J425" s="62"/>
      <c r="K425" s="62"/>
      <c r="R425" s="62"/>
    </row>
    <row r="426" ht="15.75" customHeight="1">
      <c r="B426" s="167"/>
      <c r="E426" s="231"/>
      <c r="G426" s="167"/>
      <c r="J426" s="62"/>
      <c r="K426" s="62"/>
      <c r="R426" s="62"/>
    </row>
    <row r="427" ht="15.75" customHeight="1">
      <c r="B427" s="167"/>
      <c r="E427" s="231"/>
      <c r="G427" s="167"/>
      <c r="J427" s="62"/>
      <c r="K427" s="62"/>
      <c r="R427" s="62"/>
    </row>
    <row r="428" ht="15.75" customHeight="1">
      <c r="B428" s="167"/>
      <c r="E428" s="231"/>
      <c r="G428" s="167"/>
      <c r="J428" s="62"/>
      <c r="K428" s="62"/>
      <c r="R428" s="62"/>
    </row>
    <row r="429" ht="15.75" customHeight="1">
      <c r="B429" s="167"/>
      <c r="E429" s="231"/>
      <c r="G429" s="167"/>
      <c r="J429" s="62"/>
      <c r="K429" s="62"/>
      <c r="R429" s="62"/>
    </row>
    <row r="430" ht="15.75" customHeight="1">
      <c r="B430" s="167"/>
      <c r="E430" s="231"/>
      <c r="G430" s="167"/>
      <c r="J430" s="62"/>
      <c r="K430" s="62"/>
      <c r="R430" s="62"/>
    </row>
    <row r="431" ht="15.75" customHeight="1">
      <c r="B431" s="167"/>
      <c r="E431" s="231"/>
      <c r="G431" s="167"/>
      <c r="J431" s="62"/>
      <c r="K431" s="62"/>
      <c r="R431" s="62"/>
    </row>
    <row r="432" ht="15.75" customHeight="1">
      <c r="B432" s="167"/>
      <c r="E432" s="231"/>
      <c r="G432" s="167"/>
      <c r="J432" s="62"/>
      <c r="K432" s="62"/>
      <c r="R432" s="62"/>
    </row>
    <row r="433" ht="15.75" customHeight="1">
      <c r="B433" s="167"/>
      <c r="E433" s="231"/>
      <c r="G433" s="167"/>
      <c r="J433" s="62"/>
      <c r="K433" s="62"/>
      <c r="R433" s="62"/>
    </row>
    <row r="434" ht="15.75" customHeight="1">
      <c r="B434" s="167"/>
      <c r="E434" s="231"/>
      <c r="G434" s="167"/>
      <c r="J434" s="62"/>
      <c r="K434" s="62"/>
      <c r="R434" s="62"/>
    </row>
    <row r="435" ht="15.75" customHeight="1">
      <c r="B435" s="167"/>
      <c r="E435" s="231"/>
      <c r="G435" s="167"/>
      <c r="J435" s="62"/>
      <c r="K435" s="62"/>
      <c r="R435" s="62"/>
    </row>
    <row r="436" ht="15.75" customHeight="1">
      <c r="B436" s="167"/>
      <c r="E436" s="231"/>
      <c r="G436" s="167"/>
      <c r="J436" s="62"/>
      <c r="K436" s="62"/>
      <c r="R436" s="62"/>
    </row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3">
    <mergeCell ref="A1:K1"/>
    <mergeCell ref="A2:K2"/>
    <mergeCell ref="N4:R4"/>
    <mergeCell ref="N5:R5"/>
    <mergeCell ref="A19:K19"/>
    <mergeCell ref="N22:R22"/>
    <mergeCell ref="N23:R23"/>
    <mergeCell ref="A20:K20"/>
    <mergeCell ref="A37:K37"/>
    <mergeCell ref="A38:K38"/>
    <mergeCell ref="N40:R40"/>
    <mergeCell ref="N45:R45"/>
    <mergeCell ref="A55:K55"/>
    <mergeCell ref="A56:K56"/>
    <mergeCell ref="N58:R58"/>
    <mergeCell ref="N59:R59"/>
    <mergeCell ref="A73:K73"/>
    <mergeCell ref="A74:K74"/>
    <mergeCell ref="N76:R76"/>
    <mergeCell ref="N77:R77"/>
    <mergeCell ref="A91:K91"/>
    <mergeCell ref="A92:K92"/>
    <mergeCell ref="N94:R94"/>
    <mergeCell ref="N95:R95"/>
    <mergeCell ref="A109:K109"/>
    <mergeCell ref="A110:K110"/>
    <mergeCell ref="N112:R112"/>
    <mergeCell ref="N113:R113"/>
    <mergeCell ref="A127:K127"/>
    <mergeCell ref="A128:K128"/>
    <mergeCell ref="N130:R130"/>
    <mergeCell ref="N131:R131"/>
    <mergeCell ref="A145:K145"/>
    <mergeCell ref="N148:R148"/>
    <mergeCell ref="N149:R149"/>
    <mergeCell ref="A146:K146"/>
    <mergeCell ref="A163:K163"/>
    <mergeCell ref="A164:K164"/>
    <mergeCell ref="N166:R166"/>
    <mergeCell ref="N167:R167"/>
    <mergeCell ref="A181:K181"/>
    <mergeCell ref="A182:K182"/>
    <mergeCell ref="A218:K218"/>
    <mergeCell ref="N220:R220"/>
    <mergeCell ref="N221:R221"/>
    <mergeCell ref="N234:R234"/>
    <mergeCell ref="N184:R184"/>
    <mergeCell ref="N185:R185"/>
    <mergeCell ref="A199:K199"/>
    <mergeCell ref="A200:K200"/>
    <mergeCell ref="N202:R202"/>
    <mergeCell ref="N203:R203"/>
    <mergeCell ref="A217:K217"/>
  </mergeCells>
  <dataValidations>
    <dataValidation type="list" allowBlank="1" showErrorMessage="1" sqref="I4:I15 I22:I33 I40:I51 I58:I69 I76:I87 I94:I105 I112:I123 I130:I141 I148:I159 I166:I177 I184:I195 I202:I213 I220:I231">
      <formula1>"Não atendido,Atendido,Vagas livre,Desistência"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3.88"/>
    <col customWidth="1" min="4" max="4" width="11.88"/>
    <col customWidth="1" min="5" max="5" width="16.0"/>
    <col customWidth="1" min="6" max="6" width="17.0"/>
    <col customWidth="1" min="7" max="7" width="42.63"/>
    <col customWidth="1" min="8" max="8" width="16.13"/>
    <col customWidth="1" min="9" max="9" width="20.38"/>
    <col customWidth="1" min="10" max="10" width="16.5"/>
    <col customWidth="1" min="11" max="11" width="14.8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2540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2081</v>
      </c>
      <c r="C4" s="69" t="str">
        <f t="shared" ref="C4:C15" si="1">PROPER(TEXT(DATE(MID($A$2,7,4),MID($A$2,4,2),LEFT($A$2,2)),"dddd"))</f>
        <v>Terça-Feira</v>
      </c>
      <c r="D4" s="445" t="str">
        <f>IF(C4&lt;&gt;"Quarta-Feira","13:00","08:00")</f>
        <v>13:00</v>
      </c>
      <c r="E4" s="219" t="s">
        <v>2541</v>
      </c>
      <c r="F4" s="192">
        <v>7.05001058566259E14</v>
      </c>
      <c r="G4" s="54" t="s">
        <v>2542</v>
      </c>
      <c r="H4" s="193">
        <v>20838.0</v>
      </c>
      <c r="I4" s="18" t="s">
        <v>2087</v>
      </c>
      <c r="J4" s="97" t="s">
        <v>2543</v>
      </c>
      <c r="K4" s="97" t="s">
        <v>2544</v>
      </c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5" t="s">
        <v>2083</v>
      </c>
      <c r="C5" s="69" t="str">
        <f t="shared" si="1"/>
        <v>Terça-Feira</v>
      </c>
      <c r="D5" s="445" t="str">
        <f>IF(C5&lt;&gt;"Quarta-Feira","13:20","08:20")</f>
        <v>13:20</v>
      </c>
      <c r="E5" s="253" t="s">
        <v>2545</v>
      </c>
      <c r="F5" s="206">
        <v>8.01440406417909E14</v>
      </c>
      <c r="G5" s="125" t="s">
        <v>2546</v>
      </c>
      <c r="H5" s="153">
        <v>18995.0</v>
      </c>
      <c r="I5" s="18" t="s">
        <v>41</v>
      </c>
      <c r="J5" s="37" t="s">
        <v>2547</v>
      </c>
      <c r="K5" s="37" t="s">
        <v>2548</v>
      </c>
      <c r="N5" s="239" t="s">
        <v>2085</v>
      </c>
      <c r="O5" s="2"/>
      <c r="P5" s="2"/>
      <c r="Q5" s="2"/>
      <c r="R5" s="62"/>
    </row>
    <row r="6" ht="20.25" customHeight="1">
      <c r="A6" s="11" t="s">
        <v>12</v>
      </c>
      <c r="B6" s="205" t="s">
        <v>2086</v>
      </c>
      <c r="C6" s="69" t="str">
        <f t="shared" si="1"/>
        <v>Terça-Feira</v>
      </c>
      <c r="D6" s="445" t="str">
        <f>IF(C6&lt;&gt;"Quarta-Feira","13:40","08:40")</f>
        <v>13:40</v>
      </c>
      <c r="E6" s="253" t="s">
        <v>2549</v>
      </c>
      <c r="F6" s="206">
        <v>7.02407510223528E14</v>
      </c>
      <c r="G6" s="125" t="s">
        <v>2550</v>
      </c>
      <c r="H6" s="153">
        <v>14485.0</v>
      </c>
      <c r="I6" s="18" t="s">
        <v>41</v>
      </c>
      <c r="J6" s="37" t="s">
        <v>2551</v>
      </c>
      <c r="K6" s="97"/>
      <c r="N6" s="240" t="s">
        <v>41</v>
      </c>
      <c r="O6" s="241" t="s">
        <v>194</v>
      </c>
      <c r="P6" s="241" t="s">
        <v>180</v>
      </c>
      <c r="Q6" s="242" t="s">
        <v>2087</v>
      </c>
      <c r="R6" s="62"/>
    </row>
    <row r="7" ht="15.75" customHeight="1">
      <c r="A7" s="11" t="s">
        <v>13</v>
      </c>
      <c r="B7" s="205" t="s">
        <v>2088</v>
      </c>
      <c r="C7" s="69" t="str">
        <f t="shared" si="1"/>
        <v>Terça-Feira</v>
      </c>
      <c r="D7" s="445" t="str">
        <f>IF(C7&lt;&gt;"Quarta-Feira","14:00","09:00")</f>
        <v>14:00</v>
      </c>
      <c r="E7" s="214" t="s">
        <v>2552</v>
      </c>
      <c r="F7" s="79">
        <v>7.03602070866134E14</v>
      </c>
      <c r="G7" s="74" t="s">
        <v>2553</v>
      </c>
      <c r="H7" s="78">
        <v>26812.0</v>
      </c>
      <c r="I7" s="18" t="s">
        <v>41</v>
      </c>
      <c r="J7" s="266" t="s">
        <v>2554</v>
      </c>
      <c r="K7" s="266" t="s">
        <v>2555</v>
      </c>
      <c r="N7" s="244">
        <f t="shared" ref="N7:P7" si="2">COUNTIFS($I$4:$I$15,N6)</f>
        <v>7</v>
      </c>
      <c r="O7" s="244">
        <f t="shared" si="2"/>
        <v>0</v>
      </c>
      <c r="P7" s="244">
        <f t="shared" si="2"/>
        <v>3</v>
      </c>
      <c r="Q7" s="244">
        <f>COUNTIF(I4:I15,Q6)</f>
        <v>1</v>
      </c>
      <c r="R7" s="62"/>
    </row>
    <row r="8" ht="15.75" customHeight="1">
      <c r="A8" s="11" t="s">
        <v>14</v>
      </c>
      <c r="B8" s="205" t="s">
        <v>2081</v>
      </c>
      <c r="C8" s="69" t="str">
        <f t="shared" si="1"/>
        <v>Terça-Feira</v>
      </c>
      <c r="D8" s="445" t="str">
        <f>IF(C8&lt;&gt;"Quarta-Feira","14:20","09:20")</f>
        <v>14:20</v>
      </c>
      <c r="E8" s="456" t="s">
        <v>2556</v>
      </c>
      <c r="F8" s="457" t="s">
        <v>2557</v>
      </c>
      <c r="G8" s="268" t="s">
        <v>2558</v>
      </c>
      <c r="H8" s="269">
        <v>20103.0</v>
      </c>
      <c r="I8" s="18" t="s">
        <v>41</v>
      </c>
      <c r="J8" s="128" t="s">
        <v>2559</v>
      </c>
      <c r="K8" s="128" t="s">
        <v>2560</v>
      </c>
      <c r="R8" s="62"/>
    </row>
    <row r="9" ht="15.75" customHeight="1">
      <c r="A9" s="11" t="s">
        <v>15</v>
      </c>
      <c r="B9" s="205" t="s">
        <v>2088</v>
      </c>
      <c r="C9" s="69" t="str">
        <f t="shared" si="1"/>
        <v>Terça-Feira</v>
      </c>
      <c r="D9" s="445" t="str">
        <f>IF(C9&lt;&gt;"Quarta-Feira","14:40","09:40")</f>
        <v>14:40</v>
      </c>
      <c r="E9" s="215" t="s">
        <v>2561</v>
      </c>
      <c r="F9" s="170">
        <v>7.01408684445537E14</v>
      </c>
      <c r="G9" s="186" t="s">
        <v>2562</v>
      </c>
      <c r="H9" s="72">
        <v>32927.0</v>
      </c>
      <c r="I9" s="18" t="s">
        <v>41</v>
      </c>
      <c r="J9" s="37" t="s">
        <v>2563</v>
      </c>
      <c r="K9" s="37"/>
      <c r="R9" s="62"/>
    </row>
    <row r="10" ht="15.75" customHeight="1">
      <c r="A10" s="11" t="s">
        <v>16</v>
      </c>
      <c r="B10" s="205" t="s">
        <v>2092</v>
      </c>
      <c r="C10" s="69" t="str">
        <f t="shared" si="1"/>
        <v>Terça-Feira</v>
      </c>
      <c r="D10" s="445" t="str">
        <f>IF(C10&lt;&gt;"Quarta-Feira","15:00","10:00")</f>
        <v>15:00</v>
      </c>
      <c r="E10" s="214" t="s">
        <v>2564</v>
      </c>
      <c r="F10" s="79">
        <v>8.98001491792649E14</v>
      </c>
      <c r="G10" s="74" t="s">
        <v>2565</v>
      </c>
      <c r="H10" s="78">
        <v>35809.0</v>
      </c>
      <c r="I10" s="18" t="s">
        <v>2566</v>
      </c>
      <c r="J10" s="266" t="s">
        <v>2567</v>
      </c>
      <c r="K10" s="266" t="s">
        <v>2568</v>
      </c>
      <c r="R10" s="62"/>
    </row>
    <row r="11" ht="15.75" customHeight="1">
      <c r="A11" s="11" t="s">
        <v>17</v>
      </c>
      <c r="B11" s="205" t="s">
        <v>2093</v>
      </c>
      <c r="C11" s="69" t="str">
        <f t="shared" si="1"/>
        <v>Terça-Feira</v>
      </c>
      <c r="D11" s="445" t="str">
        <f>IF(C11&lt;&gt;"Quarta-Feira","15:20","10:20")</f>
        <v>15:20</v>
      </c>
      <c r="E11" s="458" t="s">
        <v>2569</v>
      </c>
      <c r="F11" s="459">
        <v>2.04303221210003E14</v>
      </c>
      <c r="G11" s="74" t="s">
        <v>2570</v>
      </c>
      <c r="H11" s="460">
        <v>25799.0</v>
      </c>
      <c r="I11" s="18" t="s">
        <v>41</v>
      </c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205" t="s">
        <v>2094</v>
      </c>
      <c r="C12" s="69" t="str">
        <f t="shared" si="1"/>
        <v>Terça-Feira</v>
      </c>
      <c r="D12" s="445" t="str">
        <f>IF(C12&lt;&gt;"Quarta-Feira","15:40","10:40")</f>
        <v>15:40</v>
      </c>
      <c r="E12" s="247" t="s">
        <v>2571</v>
      </c>
      <c r="F12" s="146">
        <v>7.0840774316266E14</v>
      </c>
      <c r="G12" s="74" t="s">
        <v>2572</v>
      </c>
      <c r="H12" s="86">
        <v>17569.0</v>
      </c>
      <c r="I12" s="18" t="s">
        <v>41</v>
      </c>
      <c r="J12" s="37" t="s">
        <v>2573</v>
      </c>
      <c r="K12" s="37" t="s">
        <v>2574</v>
      </c>
      <c r="R12" s="62"/>
    </row>
    <row r="13" ht="15.75" customHeight="1">
      <c r="A13" s="11" t="s">
        <v>87</v>
      </c>
      <c r="B13" s="205" t="s">
        <v>2095</v>
      </c>
      <c r="C13" s="69" t="str">
        <f t="shared" si="1"/>
        <v>Terça-Feira</v>
      </c>
      <c r="D13" s="445" t="str">
        <f>IF(C13&lt;&gt;"Quarta-Feira","16:00","11:00")</f>
        <v>16:00</v>
      </c>
      <c r="E13" s="218"/>
      <c r="F13" s="146"/>
      <c r="G13" s="74"/>
      <c r="H13" s="86"/>
      <c r="I13" s="18" t="s">
        <v>180</v>
      </c>
      <c r="J13" s="37"/>
      <c r="K13" s="37"/>
      <c r="R13" s="62"/>
    </row>
    <row r="14" ht="15.75" customHeight="1">
      <c r="A14" s="11" t="s">
        <v>90</v>
      </c>
      <c r="B14" s="205" t="s">
        <v>2097</v>
      </c>
      <c r="C14" s="69" t="str">
        <f t="shared" si="1"/>
        <v>Terça-Feira</v>
      </c>
      <c r="D14" s="445" t="str">
        <f>IF(C14&lt;&gt;"Quarta-Feira","16:20","11:20")</f>
        <v>16:20</v>
      </c>
      <c r="E14" s="258"/>
      <c r="F14" s="127"/>
      <c r="G14" s="74"/>
      <c r="H14" s="153"/>
      <c r="I14" s="18" t="s">
        <v>180</v>
      </c>
      <c r="J14" s="37"/>
      <c r="K14" s="37"/>
      <c r="R14" s="62"/>
    </row>
    <row r="15" ht="15.75" customHeight="1">
      <c r="A15" s="11" t="s">
        <v>93</v>
      </c>
      <c r="B15" s="205" t="s">
        <v>2095</v>
      </c>
      <c r="C15" s="69" t="str">
        <f t="shared" si="1"/>
        <v>Terça-Feira</v>
      </c>
      <c r="D15" s="445" t="str">
        <f>IF(C15&lt;&gt;"Quarta-Feira","16:40","11:40")</f>
        <v>16:40</v>
      </c>
      <c r="E15" s="258"/>
      <c r="F15" s="127"/>
      <c r="G15" s="74"/>
      <c r="H15" s="153"/>
      <c r="I15" s="18" t="s">
        <v>180</v>
      </c>
      <c r="J15" s="37"/>
      <c r="K15" s="37"/>
      <c r="R15" s="62"/>
    </row>
    <row r="16" ht="15.75" customHeight="1">
      <c r="E16" s="231"/>
      <c r="J16" s="62"/>
      <c r="K16" s="62"/>
      <c r="R16" s="62"/>
    </row>
    <row r="17" ht="15.75" customHeight="1">
      <c r="E17" s="231"/>
      <c r="J17" s="62"/>
      <c r="K17" s="62"/>
      <c r="R17" s="62"/>
    </row>
    <row r="18" ht="15.0" customHeight="1">
      <c r="E18" s="231"/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tr">
        <f>TEXT(DATE(VALUE(MID(A2,7,4)),VALUE(MID(A2,4,2)),VALUE(LEFT(A2,2)))+2,"dd/mm/yyyy")&amp;" 13h às 17h"</f>
        <v>05/03/2026 13h às 17h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1795</v>
      </c>
      <c r="C22" s="69" t="str">
        <f t="shared" ref="C22:C33" si="3">PROPER(TEXT(DATE(MID($A$20,7,4),MID($A$20,4,2),LEFT($A$20,2)),"dddd"))</f>
        <v>Quinta-Feira</v>
      </c>
      <c r="D22" s="445" t="str">
        <f>IF(C22&lt;&gt;"Quarta-Feira","13:00","08:00")</f>
        <v>13:00</v>
      </c>
      <c r="E22" s="219" t="s">
        <v>2575</v>
      </c>
      <c r="F22" s="127">
        <v>7.0030347528824E14</v>
      </c>
      <c r="G22" s="74" t="s">
        <v>2576</v>
      </c>
      <c r="H22" s="153">
        <v>23872.0</v>
      </c>
      <c r="I22" s="18" t="s">
        <v>41</v>
      </c>
      <c r="J22" s="127" t="s">
        <v>2577</v>
      </c>
      <c r="K22" s="12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1713</v>
      </c>
      <c r="C23" s="69" t="str">
        <f t="shared" si="3"/>
        <v>Quinta-Feira</v>
      </c>
      <c r="D23" s="445" t="str">
        <f>IF(C23&lt;&gt;"Quarta-Feira","13:20","08:20")</f>
        <v>13:20</v>
      </c>
      <c r="E23" s="215" t="s">
        <v>2578</v>
      </c>
      <c r="F23" s="127">
        <v>8.01440429351211E14</v>
      </c>
      <c r="G23" s="74" t="s">
        <v>2579</v>
      </c>
      <c r="H23" s="153">
        <v>19342.0</v>
      </c>
      <c r="I23" s="18" t="s">
        <v>41</v>
      </c>
      <c r="J23" s="127" t="s">
        <v>2580</v>
      </c>
      <c r="K23" s="127" t="s">
        <v>2581</v>
      </c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1789</v>
      </c>
      <c r="C24" s="69" t="str">
        <f t="shared" si="3"/>
        <v>Quinta-Feira</v>
      </c>
      <c r="D24" s="445" t="str">
        <f>IF(C24&lt;&gt;"Quarta-Feira","13:40","08:40")</f>
        <v>13:40</v>
      </c>
      <c r="E24" s="215" t="s">
        <v>2582</v>
      </c>
      <c r="F24" s="127">
        <v>7.06008899016848E14</v>
      </c>
      <c r="G24" s="74" t="s">
        <v>2583</v>
      </c>
      <c r="H24" s="153">
        <v>19730.0</v>
      </c>
      <c r="I24" s="18" t="s">
        <v>41</v>
      </c>
      <c r="J24" s="127" t="s">
        <v>2584</v>
      </c>
      <c r="K24" s="127" t="s">
        <v>2585</v>
      </c>
      <c r="L24" s="197" t="s">
        <v>520</v>
      </c>
      <c r="N24" s="240" t="s">
        <v>41</v>
      </c>
      <c r="O24" s="241" t="s">
        <v>194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1720</v>
      </c>
      <c r="C25" s="69" t="str">
        <f t="shared" si="3"/>
        <v>Quinta-Feira</v>
      </c>
      <c r="D25" s="445" t="str">
        <f>IF(C25&lt;&gt;"Quarta-Feira","14:00","09:00")</f>
        <v>14:00</v>
      </c>
      <c r="E25" s="214" t="s">
        <v>2586</v>
      </c>
      <c r="F25" s="127">
        <v>7.00008637640804E14</v>
      </c>
      <c r="G25" s="74" t="s">
        <v>2587</v>
      </c>
      <c r="H25" s="153">
        <v>18207.0</v>
      </c>
      <c r="I25" s="18" t="s">
        <v>41</v>
      </c>
      <c r="J25" s="127" t="s">
        <v>2588</v>
      </c>
      <c r="K25" s="127"/>
      <c r="L25" s="197" t="s">
        <v>520</v>
      </c>
      <c r="N25" s="244">
        <f t="shared" ref="N25:Q25" si="4">COUNTIFS($I$22:$I$33,N24)</f>
        <v>11</v>
      </c>
      <c r="O25" s="244">
        <f t="shared" si="4"/>
        <v>0</v>
      </c>
      <c r="P25" s="244">
        <f t="shared" si="4"/>
        <v>0</v>
      </c>
      <c r="Q25" s="244">
        <f t="shared" si="4"/>
        <v>1</v>
      </c>
      <c r="R25" s="62"/>
    </row>
    <row r="26" ht="18.0" customHeight="1">
      <c r="A26" s="11" t="s">
        <v>14</v>
      </c>
      <c r="B26" s="205" t="s">
        <v>1795</v>
      </c>
      <c r="C26" s="69" t="str">
        <f t="shared" si="3"/>
        <v>Quinta-Feira</v>
      </c>
      <c r="D26" s="445" t="str">
        <f>IF(C26&lt;&gt;"Quarta-Feira","14:20","09:20")</f>
        <v>14:20</v>
      </c>
      <c r="E26" s="247" t="s">
        <v>2589</v>
      </c>
      <c r="F26" s="127">
        <v>8.01440456759102E14</v>
      </c>
      <c r="G26" s="74" t="s">
        <v>2590</v>
      </c>
      <c r="H26" s="153">
        <v>32493.0</v>
      </c>
      <c r="I26" s="18" t="s">
        <v>41</v>
      </c>
      <c r="J26" s="127" t="s">
        <v>2591</v>
      </c>
      <c r="K26" s="127" t="s">
        <v>2592</v>
      </c>
      <c r="L26" s="197" t="s">
        <v>520</v>
      </c>
      <c r="R26" s="62"/>
    </row>
    <row r="27" ht="15.75" customHeight="1">
      <c r="A27" s="11" t="s">
        <v>15</v>
      </c>
      <c r="B27" s="205" t="s">
        <v>1789</v>
      </c>
      <c r="C27" s="69" t="str">
        <f t="shared" si="3"/>
        <v>Quinta-Feira</v>
      </c>
      <c r="D27" s="445" t="str">
        <f>IF(C27&lt;&gt;"Quarta-Feira","14:40","09:40")</f>
        <v>14:40</v>
      </c>
      <c r="E27" s="247" t="s">
        <v>2593</v>
      </c>
      <c r="F27" s="127">
        <v>7.04103128094779E14</v>
      </c>
      <c r="G27" s="74" t="s">
        <v>2594</v>
      </c>
      <c r="H27" s="153">
        <v>21546.0</v>
      </c>
      <c r="I27" s="18" t="s">
        <v>41</v>
      </c>
      <c r="J27" s="127" t="s">
        <v>2595</v>
      </c>
      <c r="K27" s="127"/>
      <c r="L27" s="197" t="s">
        <v>520</v>
      </c>
      <c r="R27" s="62"/>
    </row>
    <row r="28" ht="15.75" customHeight="1">
      <c r="A28" s="11" t="s">
        <v>16</v>
      </c>
      <c r="B28" s="205" t="s">
        <v>1727</v>
      </c>
      <c r="C28" s="69" t="str">
        <f t="shared" si="3"/>
        <v>Quinta-Feira</v>
      </c>
      <c r="D28" s="445" t="str">
        <f>IF(C28&lt;&gt;"Quarta-Feira","15:00","10:00")</f>
        <v>15:00</v>
      </c>
      <c r="E28" s="214" t="s">
        <v>2564</v>
      </c>
      <c r="F28" s="79">
        <v>8.98001491792649E14</v>
      </c>
      <c r="G28" s="74" t="s">
        <v>2565</v>
      </c>
      <c r="H28" s="78">
        <v>35809.0</v>
      </c>
      <c r="I28" s="18" t="s">
        <v>41</v>
      </c>
      <c r="J28" s="266" t="s">
        <v>2567</v>
      </c>
      <c r="K28" s="127"/>
      <c r="L28" s="197" t="s">
        <v>520</v>
      </c>
      <c r="R28" s="62"/>
    </row>
    <row r="29" ht="15.75" customHeight="1">
      <c r="A29" s="11" t="s">
        <v>17</v>
      </c>
      <c r="B29" s="205" t="s">
        <v>1737</v>
      </c>
      <c r="C29" s="69" t="str">
        <f t="shared" si="3"/>
        <v>Quinta-Feira</v>
      </c>
      <c r="D29" s="445" t="str">
        <f>IF(C29&lt;&gt;"Quarta-Feira","15:20","10:20")</f>
        <v>15:20</v>
      </c>
      <c r="E29" s="215" t="s">
        <v>2596</v>
      </c>
      <c r="F29" s="127">
        <v>7.00000330979803E14</v>
      </c>
      <c r="G29" s="74" t="s">
        <v>2597</v>
      </c>
      <c r="H29" s="153">
        <v>22536.0</v>
      </c>
      <c r="I29" s="18" t="s">
        <v>41</v>
      </c>
      <c r="J29" s="127" t="s">
        <v>2598</v>
      </c>
      <c r="K29" s="127" t="s">
        <v>2599</v>
      </c>
      <c r="L29" s="197" t="s">
        <v>520</v>
      </c>
      <c r="R29" s="62"/>
    </row>
    <row r="30" ht="15.75" customHeight="1">
      <c r="A30" s="11" t="s">
        <v>85</v>
      </c>
      <c r="B30" s="205" t="s">
        <v>1717</v>
      </c>
      <c r="C30" s="69" t="str">
        <f t="shared" si="3"/>
        <v>Quinta-Feira</v>
      </c>
      <c r="D30" s="445" t="str">
        <f>IF(C30&lt;&gt;"Quarta-Feira","15:40","10:40")</f>
        <v>15:40</v>
      </c>
      <c r="E30" s="258" t="s">
        <v>2600</v>
      </c>
      <c r="F30" s="127">
        <v>7.00606944816368E14</v>
      </c>
      <c r="G30" s="74" t="s">
        <v>2601</v>
      </c>
      <c r="H30" s="153">
        <v>34829.0</v>
      </c>
      <c r="I30" s="18" t="s">
        <v>41</v>
      </c>
      <c r="J30" s="127" t="s">
        <v>2602</v>
      </c>
      <c r="K30" s="127" t="s">
        <v>2603</v>
      </c>
      <c r="L30" s="197" t="s">
        <v>520</v>
      </c>
      <c r="R30" s="62"/>
    </row>
    <row r="31" ht="15.75" customHeight="1">
      <c r="A31" s="11" t="s">
        <v>87</v>
      </c>
      <c r="B31" s="205" t="s">
        <v>1734</v>
      </c>
      <c r="C31" s="69" t="str">
        <f t="shared" si="3"/>
        <v>Quinta-Feira</v>
      </c>
      <c r="D31" s="445" t="str">
        <f>IF(C31&lt;&gt;"Quarta-Feira","16:00","11:00")</f>
        <v>16:00</v>
      </c>
      <c r="E31" s="218" t="s">
        <v>2269</v>
      </c>
      <c r="F31" s="127">
        <v>8.98001452028704E14</v>
      </c>
      <c r="G31" s="74" t="s">
        <v>2270</v>
      </c>
      <c r="H31" s="153">
        <v>16412.0</v>
      </c>
      <c r="I31" s="18" t="s">
        <v>41</v>
      </c>
      <c r="J31" s="127" t="s">
        <v>2604</v>
      </c>
      <c r="K31" s="127" t="s">
        <v>2605</v>
      </c>
      <c r="L31" s="197" t="s">
        <v>520</v>
      </c>
      <c r="R31" s="62"/>
    </row>
    <row r="32" ht="15.75" customHeight="1">
      <c r="A32" s="11" t="s">
        <v>90</v>
      </c>
      <c r="B32" s="205" t="s">
        <v>1717</v>
      </c>
      <c r="C32" s="69" t="str">
        <f t="shared" si="3"/>
        <v>Quinta-Feira</v>
      </c>
      <c r="D32" s="445" t="str">
        <f>IF(C32&lt;&gt;"Quarta-Feira","16:20","11:20")</f>
        <v>16:20</v>
      </c>
      <c r="E32" s="258" t="s">
        <v>2606</v>
      </c>
      <c r="F32" s="127">
        <v>7.05604457868019E14</v>
      </c>
      <c r="G32" s="74" t="s">
        <v>2607</v>
      </c>
      <c r="H32" s="153">
        <v>23651.0</v>
      </c>
      <c r="I32" s="18" t="s">
        <v>2087</v>
      </c>
      <c r="J32" s="127" t="s">
        <v>2608</v>
      </c>
      <c r="K32" s="127" t="s">
        <v>2609</v>
      </c>
      <c r="L32" s="197" t="s">
        <v>520</v>
      </c>
      <c r="R32" s="62"/>
    </row>
    <row r="33" ht="15.75" customHeight="1">
      <c r="A33" s="11" t="s">
        <v>93</v>
      </c>
      <c r="B33" s="205" t="s">
        <v>1734</v>
      </c>
      <c r="C33" s="69" t="str">
        <f t="shared" si="3"/>
        <v>Quinta-Feira</v>
      </c>
      <c r="D33" s="445" t="str">
        <f>IF(C33&lt;&gt;"Quarta-Feira","16:40","11:40")</f>
        <v>16:40</v>
      </c>
      <c r="E33" s="258" t="s">
        <v>2610</v>
      </c>
      <c r="F33" s="127">
        <v>7.06802764445225E14</v>
      </c>
      <c r="G33" s="74" t="s">
        <v>2611</v>
      </c>
      <c r="H33" s="153">
        <v>29535.0</v>
      </c>
      <c r="I33" s="18" t="s">
        <v>41</v>
      </c>
      <c r="J33" s="127" t="s">
        <v>2612</v>
      </c>
      <c r="K33" s="127" t="s">
        <v>2613</v>
      </c>
      <c r="R33" s="62"/>
    </row>
    <row r="34" ht="15.75" customHeight="1">
      <c r="E34" s="231"/>
      <c r="J34" s="62"/>
      <c r="K34" s="62"/>
      <c r="R34" s="62"/>
    </row>
    <row r="35" ht="15.75" customHeight="1">
      <c r="E35" s="231"/>
      <c r="J35" s="62"/>
      <c r="K35" s="62"/>
      <c r="R35" s="62"/>
    </row>
    <row r="36" ht="15.75" customHeight="1">
      <c r="E36" s="231"/>
      <c r="J36" s="62"/>
      <c r="K36" s="62"/>
      <c r="R36" s="62"/>
    </row>
    <row r="37" ht="15.75" customHeight="1">
      <c r="A37" s="20" t="s">
        <v>18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4.75" customHeight="1">
      <c r="A38" s="21" t="str">
        <f>TEXT(DATE(VALUE(MID(A2,7,4)),VALUE(MID(A2,4,2)),VALUE(LEFT(A2,2)))+7,"dd/mm/yyyy")&amp;" 13h às 17h"</f>
        <v>10/03/2026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23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205" t="s">
        <v>2081</v>
      </c>
      <c r="C40" s="69" t="str">
        <f t="shared" ref="C40:C51" si="5">PROPER(TEXT(DATE(MID($A$38,7,4),MID($A$38,4,2),LEFT($A$38,2)),"dddd"))</f>
        <v>Terça-Feira</v>
      </c>
      <c r="D40" s="445" t="str">
        <f>IF(C40&lt;&gt;"Quarta-Feira","13:00","08:00")</f>
        <v>13:00</v>
      </c>
      <c r="E40" s="214" t="s">
        <v>2614</v>
      </c>
      <c r="F40" s="79">
        <v>7.05401445999899E14</v>
      </c>
      <c r="G40" s="74" t="s">
        <v>2615</v>
      </c>
      <c r="H40" s="72">
        <v>21001.0</v>
      </c>
      <c r="I40" s="30" t="s">
        <v>41</v>
      </c>
      <c r="J40" s="274"/>
      <c r="K40" s="274"/>
      <c r="L40" s="197" t="s">
        <v>520</v>
      </c>
      <c r="N40" s="237" t="s">
        <v>386</v>
      </c>
      <c r="O40" s="95"/>
      <c r="P40" s="95"/>
      <c r="Q40" s="95"/>
      <c r="R40" s="62"/>
    </row>
    <row r="41" ht="15.75" customHeight="1">
      <c r="A41" s="11" t="s">
        <v>11</v>
      </c>
      <c r="B41" s="205" t="s">
        <v>2083</v>
      </c>
      <c r="C41" s="69" t="str">
        <f t="shared" si="5"/>
        <v>Terça-Feira</v>
      </c>
      <c r="D41" s="445" t="str">
        <f>IF(C41&lt;&gt;"Quarta-Feira","13:20","08:20")</f>
        <v>13:20</v>
      </c>
      <c r="E41" s="214" t="s">
        <v>2616</v>
      </c>
      <c r="F41" s="79">
        <v>8.01440471538596E14</v>
      </c>
      <c r="G41" s="74" t="s">
        <v>2617</v>
      </c>
      <c r="H41" s="72">
        <v>18233.0</v>
      </c>
      <c r="I41" s="30" t="s">
        <v>41</v>
      </c>
      <c r="J41" s="274"/>
      <c r="K41" s="274"/>
      <c r="N41" s="239" t="s">
        <v>2085</v>
      </c>
      <c r="O41" s="2"/>
      <c r="P41" s="2"/>
      <c r="Q41" s="2"/>
      <c r="R41" s="62"/>
    </row>
    <row r="42" ht="15.75" customHeight="1">
      <c r="A42" s="11" t="s">
        <v>12</v>
      </c>
      <c r="B42" s="205" t="s">
        <v>2086</v>
      </c>
      <c r="C42" s="69" t="str">
        <f t="shared" si="5"/>
        <v>Terça-Feira</v>
      </c>
      <c r="D42" s="445" t="str">
        <f>IF(C42&lt;&gt;"Quarta-Feira","13:40","08:40")</f>
        <v>13:40</v>
      </c>
      <c r="E42" s="214" t="s">
        <v>2618</v>
      </c>
      <c r="F42" s="79">
        <v>7.00501360952659E14</v>
      </c>
      <c r="G42" s="74" t="s">
        <v>2619</v>
      </c>
      <c r="H42" s="72">
        <v>11547.0</v>
      </c>
      <c r="I42" s="30" t="s">
        <v>41</v>
      </c>
      <c r="J42" s="336"/>
      <c r="K42" s="336"/>
      <c r="L42" s="197" t="s">
        <v>520</v>
      </c>
      <c r="N42" s="240" t="s">
        <v>182</v>
      </c>
      <c r="O42" s="241" t="s">
        <v>194</v>
      </c>
      <c r="P42" s="241" t="s">
        <v>180</v>
      </c>
      <c r="Q42" s="242" t="s">
        <v>2087</v>
      </c>
      <c r="R42" s="62" t="s">
        <v>438</v>
      </c>
    </row>
    <row r="43" ht="15.75" customHeight="1">
      <c r="A43" s="11" t="s">
        <v>13</v>
      </c>
      <c r="B43" s="205" t="s">
        <v>2088</v>
      </c>
      <c r="C43" s="69" t="str">
        <f t="shared" si="5"/>
        <v>Terça-Feira</v>
      </c>
      <c r="D43" s="445" t="str">
        <f>IF(C43&lt;&gt;"Quarta-Feira","14:00","09:00")</f>
        <v>14:00</v>
      </c>
      <c r="E43" s="214" t="s">
        <v>2620</v>
      </c>
      <c r="F43" s="79">
        <v>7.08206699526748E14</v>
      </c>
      <c r="G43" s="74" t="s">
        <v>2621</v>
      </c>
      <c r="H43" s="72">
        <v>18530.0</v>
      </c>
      <c r="I43" s="30" t="s">
        <v>41</v>
      </c>
      <c r="J43" s="274"/>
      <c r="K43" s="274"/>
      <c r="L43" s="197" t="s">
        <v>520</v>
      </c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1</v>
      </c>
      <c r="Q43" s="244">
        <f t="shared" si="6"/>
        <v>1</v>
      </c>
      <c r="R43" s="62">
        <f>COUNTIFS(I40:I51,R42)</f>
        <v>0</v>
      </c>
    </row>
    <row r="44" ht="15.75" customHeight="1">
      <c r="A44" s="11" t="s">
        <v>14</v>
      </c>
      <c r="B44" s="205" t="s">
        <v>2081</v>
      </c>
      <c r="C44" s="69" t="str">
        <f t="shared" si="5"/>
        <v>Terça-Feira</v>
      </c>
      <c r="D44" s="445" t="str">
        <f>IF(C44&lt;&gt;"Quarta-Feira","14:20","09:20")</f>
        <v>14:20</v>
      </c>
      <c r="E44" s="214" t="s">
        <v>2622</v>
      </c>
      <c r="F44" s="79">
        <v>7.034070460218E14</v>
      </c>
      <c r="G44" s="306" t="s">
        <v>2623</v>
      </c>
      <c r="H44" s="72">
        <v>22704.0</v>
      </c>
      <c r="I44" s="18" t="s">
        <v>41</v>
      </c>
      <c r="J44" s="274"/>
      <c r="K44" s="274"/>
      <c r="L44" s="197" t="s">
        <v>520</v>
      </c>
      <c r="R44" s="62"/>
    </row>
    <row r="45" ht="15.75" customHeight="1">
      <c r="A45" s="11" t="s">
        <v>15</v>
      </c>
      <c r="B45" s="205" t="s">
        <v>2088</v>
      </c>
      <c r="C45" s="69" t="str">
        <f t="shared" si="5"/>
        <v>Terça-Feira</v>
      </c>
      <c r="D45" s="445" t="str">
        <f>IF(C45&lt;&gt;"Quarta-Feira","14:40","09:40")</f>
        <v>14:40</v>
      </c>
      <c r="E45" s="214" t="s">
        <v>2624</v>
      </c>
      <c r="F45" s="79">
        <v>1.80042111650018E14</v>
      </c>
      <c r="G45" s="74" t="s">
        <v>2625</v>
      </c>
      <c r="H45" s="72">
        <v>18013.0</v>
      </c>
      <c r="I45" s="30" t="s">
        <v>41</v>
      </c>
      <c r="J45" s="274"/>
      <c r="K45" s="274"/>
      <c r="L45" s="197" t="s">
        <v>520</v>
      </c>
      <c r="R45" s="62"/>
    </row>
    <row r="46" ht="15.75" customHeight="1">
      <c r="A46" s="11" t="s">
        <v>16</v>
      </c>
      <c r="B46" s="205" t="s">
        <v>2092</v>
      </c>
      <c r="C46" s="69" t="str">
        <f t="shared" si="5"/>
        <v>Terça-Feira</v>
      </c>
      <c r="D46" s="445" t="str">
        <f>IF(C46&lt;&gt;"Quarta-Feira","15:00","10:00")</f>
        <v>15:00</v>
      </c>
      <c r="E46" s="214" t="s">
        <v>2626</v>
      </c>
      <c r="F46" s="79">
        <v>7.0000093891011E14</v>
      </c>
      <c r="G46" s="306" t="s">
        <v>2627</v>
      </c>
      <c r="H46" s="72">
        <v>11656.0</v>
      </c>
      <c r="I46" s="18" t="s">
        <v>41</v>
      </c>
      <c r="J46" s="336" t="s">
        <v>2628</v>
      </c>
      <c r="K46" s="274"/>
      <c r="R46" s="62"/>
    </row>
    <row r="47" ht="15.75" customHeight="1">
      <c r="A47" s="11" t="s">
        <v>17</v>
      </c>
      <c r="B47" s="205" t="s">
        <v>2093</v>
      </c>
      <c r="C47" s="69" t="str">
        <f t="shared" si="5"/>
        <v>Terça-Feira</v>
      </c>
      <c r="D47" s="445" t="str">
        <f>IF(C47&lt;&gt;"Quarta-Feira","15:20","10:20")</f>
        <v>15:20</v>
      </c>
      <c r="E47" s="214" t="s">
        <v>2629</v>
      </c>
      <c r="F47" s="79">
        <v>7.0310484776066E14</v>
      </c>
      <c r="G47" s="74" t="s">
        <v>2630</v>
      </c>
      <c r="H47" s="72">
        <v>19408.0</v>
      </c>
      <c r="I47" s="18" t="s">
        <v>41</v>
      </c>
      <c r="J47" s="336" t="s">
        <v>2631</v>
      </c>
      <c r="K47" s="336"/>
      <c r="R47" s="62"/>
    </row>
    <row r="48" ht="15.75" customHeight="1">
      <c r="A48" s="11" t="s">
        <v>85</v>
      </c>
      <c r="B48" s="205" t="s">
        <v>2094</v>
      </c>
      <c r="C48" s="69" t="str">
        <f t="shared" si="5"/>
        <v>Terça-Feira</v>
      </c>
      <c r="D48" s="445" t="str">
        <f>IF(C48&lt;&gt;"Quarta-Feira","15:40","10:40")</f>
        <v>15:40</v>
      </c>
      <c r="E48" s="214" t="s">
        <v>2632</v>
      </c>
      <c r="F48" s="79">
        <v>1.04240246210009E14</v>
      </c>
      <c r="G48" s="74" t="s">
        <v>2633</v>
      </c>
      <c r="H48" s="72">
        <v>17549.0</v>
      </c>
      <c r="I48" s="30" t="s">
        <v>41</v>
      </c>
      <c r="J48" s="274"/>
      <c r="K48" s="274"/>
      <c r="L48" s="197" t="s">
        <v>576</v>
      </c>
      <c r="R48" s="62"/>
    </row>
    <row r="49" ht="15.75" customHeight="1">
      <c r="A49" s="11" t="s">
        <v>87</v>
      </c>
      <c r="B49" s="205" t="s">
        <v>2095</v>
      </c>
      <c r="C49" s="69" t="str">
        <f t="shared" si="5"/>
        <v>Terça-Feira</v>
      </c>
      <c r="D49" s="445" t="str">
        <f>IF(C49&lt;&gt;"Quarta-Feira","16:00","11:00")</f>
        <v>16:00</v>
      </c>
      <c r="E49" s="214" t="s">
        <v>2634</v>
      </c>
      <c r="F49" s="79">
        <v>7.07602221878791E14</v>
      </c>
      <c r="G49" s="74" t="s">
        <v>2635</v>
      </c>
      <c r="H49" s="72">
        <v>13875.0</v>
      </c>
      <c r="I49" s="18" t="s">
        <v>2087</v>
      </c>
      <c r="J49" s="336" t="s">
        <v>2636</v>
      </c>
      <c r="K49" s="274"/>
      <c r="R49" s="62"/>
    </row>
    <row r="50" ht="15.75" customHeight="1">
      <c r="A50" s="11" t="s">
        <v>90</v>
      </c>
      <c r="B50" s="205" t="s">
        <v>2097</v>
      </c>
      <c r="C50" s="69" t="str">
        <f t="shared" si="5"/>
        <v>Terça-Feira</v>
      </c>
      <c r="D50" s="445" t="str">
        <f>IF(C50&lt;&gt;"Quarta-Feira","16:20","11:20")</f>
        <v>16:20</v>
      </c>
      <c r="E50" s="214"/>
      <c r="F50" s="79"/>
      <c r="G50" s="74"/>
      <c r="H50" s="274"/>
      <c r="I50" s="18" t="s">
        <v>180</v>
      </c>
      <c r="J50" s="274"/>
      <c r="K50" s="274"/>
      <c r="R50" s="62"/>
    </row>
    <row r="51" ht="15.75" customHeight="1">
      <c r="A51" s="11" t="s">
        <v>93</v>
      </c>
      <c r="B51" s="205" t="s">
        <v>2095</v>
      </c>
      <c r="C51" s="69" t="str">
        <f t="shared" si="5"/>
        <v>Terça-Feira</v>
      </c>
      <c r="D51" s="445" t="str">
        <f>IF(C51&lt;&gt;"Quarta-Feira","16:40","11:40")</f>
        <v>16:40</v>
      </c>
      <c r="E51" s="214" t="s">
        <v>2637</v>
      </c>
      <c r="F51" s="79">
        <v>7.00302974120239E14</v>
      </c>
      <c r="G51" s="74" t="s">
        <v>2638</v>
      </c>
      <c r="H51" s="274">
        <v>39766.0</v>
      </c>
      <c r="I51" s="18" t="s">
        <v>41</v>
      </c>
      <c r="J51" s="336" t="s">
        <v>2639</v>
      </c>
      <c r="K51" s="274"/>
      <c r="R51" s="62"/>
    </row>
    <row r="52" ht="15.75" customHeight="1">
      <c r="E52" s="231"/>
      <c r="J52" s="62"/>
      <c r="K52" s="62"/>
      <c r="R52" s="62"/>
    </row>
    <row r="53" ht="15.75" customHeight="1">
      <c r="E53" s="231"/>
      <c r="J53" s="62"/>
      <c r="K53" s="62"/>
      <c r="R53" s="62"/>
    </row>
    <row r="54" ht="15.75" customHeight="1">
      <c r="E54" s="231"/>
      <c r="J54" s="62"/>
      <c r="K54" s="62"/>
      <c r="R54" s="62"/>
    </row>
    <row r="55" ht="15.75" customHeight="1">
      <c r="A55" s="20" t="s">
        <v>18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12/03/2026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23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205" t="s">
        <v>1780</v>
      </c>
      <c r="C58" s="69" t="str">
        <f t="shared" ref="C58:C69" si="7">PROPER(TEXT(DATE(MID($A$56,7,4),MID($A$56,4,2),LEFT($A$56,2)),"dddd"))</f>
        <v>Quinta-Feira</v>
      </c>
      <c r="D58" s="445" t="str">
        <f>IF(C58&lt;&gt;"Quarta-Feira","13:00","08:00")</f>
        <v>13:00</v>
      </c>
      <c r="E58" s="214" t="s">
        <v>2640</v>
      </c>
      <c r="F58" s="206">
        <v>1.21722871820018E14</v>
      </c>
      <c r="G58" s="148" t="s">
        <v>2641</v>
      </c>
      <c r="H58" s="150">
        <v>15157.0</v>
      </c>
      <c r="I58" s="18" t="s">
        <v>41</v>
      </c>
      <c r="J58" s="212"/>
      <c r="K58" s="212"/>
      <c r="L58" s="197" t="s">
        <v>520</v>
      </c>
      <c r="N58" s="237" t="s">
        <v>386</v>
      </c>
      <c r="O58" s="95"/>
      <c r="P58" s="95"/>
      <c r="Q58" s="95"/>
      <c r="R58" s="62"/>
    </row>
    <row r="59" ht="15.75" customHeight="1">
      <c r="A59" s="11" t="s">
        <v>11</v>
      </c>
      <c r="B59" s="205" t="s">
        <v>1713</v>
      </c>
      <c r="C59" s="69" t="str">
        <f t="shared" si="7"/>
        <v>Quinta-Feira</v>
      </c>
      <c r="D59" s="445" t="str">
        <f>IF(C59&lt;&gt;"Quarta-Feira","13:20","08:20")</f>
        <v>13:20</v>
      </c>
      <c r="E59" s="214" t="s">
        <v>2642</v>
      </c>
      <c r="F59" s="387">
        <v>7.08209601187241E14</v>
      </c>
      <c r="G59" s="148" t="s">
        <v>2643</v>
      </c>
      <c r="H59" s="150">
        <v>20634.0</v>
      </c>
      <c r="I59" s="18" t="s">
        <v>41</v>
      </c>
      <c r="J59" s="212"/>
      <c r="K59" s="212"/>
      <c r="N59" s="239" t="s">
        <v>2085</v>
      </c>
      <c r="O59" s="2"/>
      <c r="P59" s="2"/>
      <c r="Q59" s="2"/>
      <c r="R59" s="62"/>
    </row>
    <row r="60" ht="15.75" customHeight="1">
      <c r="A60" s="11" t="s">
        <v>12</v>
      </c>
      <c r="B60" s="205" t="s">
        <v>1789</v>
      </c>
      <c r="C60" s="69" t="str">
        <f t="shared" si="7"/>
        <v>Quinta-Feira</v>
      </c>
      <c r="D60" s="445" t="str">
        <f>IF(C60&lt;&gt;"Quarta-Feira","13:40","08:40")</f>
        <v>13:40</v>
      </c>
      <c r="E60" s="214" t="s">
        <v>2644</v>
      </c>
      <c r="F60" s="206">
        <v>7.06005877545845E14</v>
      </c>
      <c r="G60" s="148" t="s">
        <v>2645</v>
      </c>
      <c r="H60" s="150">
        <v>20720.0</v>
      </c>
      <c r="I60" s="18" t="s">
        <v>41</v>
      </c>
      <c r="J60" s="212"/>
      <c r="K60" s="212"/>
      <c r="L60" s="197" t="s">
        <v>520</v>
      </c>
      <c r="N60" s="240" t="s">
        <v>182</v>
      </c>
      <c r="O60" s="241" t="s">
        <v>194</v>
      </c>
      <c r="P60" s="241" t="s">
        <v>180</v>
      </c>
      <c r="Q60" s="241" t="s">
        <v>2087</v>
      </c>
      <c r="R60" s="62"/>
    </row>
    <row r="61" ht="15.75" customHeight="1">
      <c r="A61" s="11" t="s">
        <v>13</v>
      </c>
      <c r="B61" s="205" t="s">
        <v>1720</v>
      </c>
      <c r="C61" s="69" t="str">
        <f t="shared" si="7"/>
        <v>Quinta-Feira</v>
      </c>
      <c r="D61" s="445" t="str">
        <f>IF(C61&lt;&gt;"Quarta-Feira","14:00","09:00")</f>
        <v>14:00</v>
      </c>
      <c r="E61" s="214" t="s">
        <v>2646</v>
      </c>
      <c r="F61" s="206">
        <v>8.98001424734667E14</v>
      </c>
      <c r="G61" s="148" t="s">
        <v>2647</v>
      </c>
      <c r="H61" s="150">
        <v>17961.0</v>
      </c>
      <c r="I61" s="18" t="s">
        <v>41</v>
      </c>
      <c r="J61" s="212"/>
      <c r="K61" s="212"/>
      <c r="L61" s="197" t="s">
        <v>520</v>
      </c>
      <c r="N61" s="244">
        <f t="shared" ref="N61:Q61" si="8">COUNTIFS($I$58:$I$69,N60)</f>
        <v>0</v>
      </c>
      <c r="O61" s="244">
        <f t="shared" si="8"/>
        <v>0</v>
      </c>
      <c r="P61" s="244">
        <f t="shared" si="8"/>
        <v>0</v>
      </c>
      <c r="Q61" s="244">
        <f t="shared" si="8"/>
        <v>1</v>
      </c>
      <c r="R61" s="62"/>
    </row>
    <row r="62" ht="15.75" customHeight="1">
      <c r="A62" s="11" t="s">
        <v>14</v>
      </c>
      <c r="B62" s="205" t="s">
        <v>1795</v>
      </c>
      <c r="C62" s="69" t="str">
        <f t="shared" si="7"/>
        <v>Quinta-Feira</v>
      </c>
      <c r="D62" s="445" t="str">
        <f>IF(C62&lt;&gt;"Quarta-Feira","14:20","09:20")</f>
        <v>14:20</v>
      </c>
      <c r="E62" s="214" t="s">
        <v>2648</v>
      </c>
      <c r="F62" s="206">
        <v>8.01440470156363E14</v>
      </c>
      <c r="G62" s="148" t="s">
        <v>2649</v>
      </c>
      <c r="H62" s="150">
        <v>10276.0</v>
      </c>
      <c r="I62" s="18" t="s">
        <v>41</v>
      </c>
      <c r="J62" s="212"/>
      <c r="K62" s="212"/>
      <c r="R62" s="62"/>
    </row>
    <row r="63" ht="15.75" customHeight="1">
      <c r="A63" s="11" t="s">
        <v>15</v>
      </c>
      <c r="B63" s="205" t="s">
        <v>1789</v>
      </c>
      <c r="C63" s="69" t="str">
        <f t="shared" si="7"/>
        <v>Quinta-Feira</v>
      </c>
      <c r="D63" s="445" t="str">
        <f>IF(C63&lt;&gt;"Quarta-Feira","14:40","09:40")</f>
        <v>14:40</v>
      </c>
      <c r="E63" s="214" t="s">
        <v>2650</v>
      </c>
      <c r="F63" s="387">
        <v>7.01805258135174E14</v>
      </c>
      <c r="G63" s="148" t="s">
        <v>2651</v>
      </c>
      <c r="H63" s="150">
        <v>29407.0</v>
      </c>
      <c r="I63" s="18" t="s">
        <v>41</v>
      </c>
      <c r="J63" s="212"/>
      <c r="K63" s="212"/>
      <c r="L63" s="197" t="s">
        <v>520</v>
      </c>
      <c r="R63" s="62"/>
    </row>
    <row r="64" ht="15.75" customHeight="1">
      <c r="A64" s="11" t="s">
        <v>16</v>
      </c>
      <c r="B64" s="205" t="s">
        <v>2652</v>
      </c>
      <c r="C64" s="69" t="str">
        <f t="shared" si="7"/>
        <v>Quinta-Feira</v>
      </c>
      <c r="D64" s="445" t="str">
        <f>IF(C64&lt;&gt;"Quarta-Feira","15:00","10:00")</f>
        <v>15:00</v>
      </c>
      <c r="E64" s="214" t="s">
        <v>2653</v>
      </c>
      <c r="F64" s="206">
        <v>7.00505371898158E14</v>
      </c>
      <c r="G64" s="148" t="s">
        <v>2654</v>
      </c>
      <c r="H64" s="150">
        <v>27701.0</v>
      </c>
      <c r="I64" s="18" t="s">
        <v>41</v>
      </c>
      <c r="J64" s="212"/>
      <c r="K64" s="212"/>
      <c r="L64" s="197" t="s">
        <v>520</v>
      </c>
      <c r="R64" s="62"/>
    </row>
    <row r="65" ht="15.75" customHeight="1">
      <c r="A65" s="11" t="s">
        <v>17</v>
      </c>
      <c r="B65" s="205" t="s">
        <v>2655</v>
      </c>
      <c r="C65" s="69" t="str">
        <f t="shared" si="7"/>
        <v>Quinta-Feira</v>
      </c>
      <c r="D65" s="445" t="str">
        <f>IF(C65&lt;&gt;"Quarta-Feira","15:20","10:20")</f>
        <v>15:20</v>
      </c>
      <c r="E65" s="214" t="s">
        <v>2656</v>
      </c>
      <c r="F65" s="206">
        <v>8.98001901286802E14</v>
      </c>
      <c r="G65" s="148" t="s">
        <v>2657</v>
      </c>
      <c r="H65" s="150">
        <v>23931.0</v>
      </c>
      <c r="I65" s="18" t="s">
        <v>41</v>
      </c>
      <c r="J65" s="212"/>
      <c r="K65" s="212"/>
      <c r="L65" s="197" t="s">
        <v>520</v>
      </c>
      <c r="R65" s="62"/>
    </row>
    <row r="66" ht="15.75" customHeight="1">
      <c r="A66" s="11" t="s">
        <v>85</v>
      </c>
      <c r="B66" s="205" t="s">
        <v>2658</v>
      </c>
      <c r="C66" s="69" t="str">
        <f t="shared" si="7"/>
        <v>Quinta-Feira</v>
      </c>
      <c r="D66" s="445" t="str">
        <f>IF(C66&lt;&gt;"Quarta-Feira","15:40","10:40")</f>
        <v>15:40</v>
      </c>
      <c r="E66" s="214" t="s">
        <v>2659</v>
      </c>
      <c r="F66" s="206">
        <v>7.00801448976585E14</v>
      </c>
      <c r="G66" s="148" t="s">
        <v>2660</v>
      </c>
      <c r="H66" s="150">
        <v>25738.0</v>
      </c>
      <c r="I66" s="18" t="s">
        <v>2087</v>
      </c>
      <c r="J66" s="212"/>
      <c r="K66" s="212"/>
      <c r="R66" s="62"/>
    </row>
    <row r="67" ht="15.75" customHeight="1">
      <c r="A67" s="11" t="s">
        <v>87</v>
      </c>
      <c r="B67" s="205" t="s">
        <v>1734</v>
      </c>
      <c r="C67" s="69" t="str">
        <f t="shared" si="7"/>
        <v>Quinta-Feira</v>
      </c>
      <c r="D67" s="445" t="str">
        <f>IF(C67&lt;&gt;"Quarta-Feira","16:00","11:00")</f>
        <v>16:00</v>
      </c>
      <c r="E67" s="214" t="s">
        <v>2661</v>
      </c>
      <c r="F67" s="206">
        <v>7.09007815069612E14</v>
      </c>
      <c r="G67" s="148" t="s">
        <v>2662</v>
      </c>
      <c r="H67" s="150">
        <v>21763.0</v>
      </c>
      <c r="I67" s="18" t="s">
        <v>41</v>
      </c>
      <c r="J67" s="212"/>
      <c r="K67" s="212"/>
      <c r="L67" s="197" t="s">
        <v>520</v>
      </c>
      <c r="R67" s="62"/>
    </row>
    <row r="68" ht="15.75" customHeight="1">
      <c r="A68" s="11" t="s">
        <v>90</v>
      </c>
      <c r="B68" s="205" t="s">
        <v>2658</v>
      </c>
      <c r="C68" s="69" t="str">
        <f t="shared" si="7"/>
        <v>Quinta-Feira</v>
      </c>
      <c r="D68" s="445" t="str">
        <f>IF(C68&lt;&gt;"Quarta-Feira","16:20","11:20")</f>
        <v>16:20</v>
      </c>
      <c r="E68" s="214" t="s">
        <v>2663</v>
      </c>
      <c r="F68" s="206">
        <v>7.07406035356778E14</v>
      </c>
      <c r="G68" s="148" t="s">
        <v>2664</v>
      </c>
      <c r="H68" s="150">
        <v>20736.0</v>
      </c>
      <c r="I68" s="18" t="s">
        <v>41</v>
      </c>
      <c r="J68" s="212"/>
      <c r="K68" s="212"/>
      <c r="R68" s="62"/>
    </row>
    <row r="69" ht="15.75" customHeight="1">
      <c r="A69" s="11" t="s">
        <v>93</v>
      </c>
      <c r="B69" s="205" t="s">
        <v>1734</v>
      </c>
      <c r="C69" s="69" t="str">
        <f t="shared" si="7"/>
        <v>Quinta-Feira</v>
      </c>
      <c r="D69" s="445" t="str">
        <f>IF(C69&lt;&gt;"Quarta-Feira","16:40","11:40")</f>
        <v>16:40</v>
      </c>
      <c r="E69" s="214" t="s">
        <v>2665</v>
      </c>
      <c r="F69" s="206">
        <v>7.00008381952209E14</v>
      </c>
      <c r="G69" s="148" t="s">
        <v>2666</v>
      </c>
      <c r="H69" s="150">
        <v>20888.0</v>
      </c>
      <c r="I69" s="18" t="s">
        <v>41</v>
      </c>
      <c r="J69" s="212"/>
      <c r="K69" s="212"/>
      <c r="R69" s="62"/>
    </row>
    <row r="70" ht="15.75" customHeight="1">
      <c r="E70" s="231"/>
      <c r="G70" s="197"/>
      <c r="J70" s="62"/>
      <c r="K70" s="62"/>
      <c r="R70" s="62"/>
    </row>
    <row r="71" ht="15.75" customHeight="1">
      <c r="E71" s="231"/>
      <c r="J71" s="62"/>
      <c r="K71" s="62"/>
      <c r="R71" s="62"/>
    </row>
    <row r="72" ht="15.75" customHeight="1">
      <c r="E72" s="231"/>
      <c r="J72" s="62"/>
      <c r="K72" s="62"/>
      <c r="R72" s="62"/>
    </row>
    <row r="73" ht="15.75" customHeight="1">
      <c r="A73" s="350" t="s">
        <v>18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TEXT(DATE(VALUE(MID(A38,7,4)),VALUE(MID(A38,4,2)),VALUE(LEFT(A38,2)))+7,"dd/mm/yyyy")&amp;" 13h às 17h"</f>
        <v>17/03/2026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410"/>
      <c r="B75" s="411" t="s">
        <v>3</v>
      </c>
      <c r="C75" s="412" t="s">
        <v>2</v>
      </c>
      <c r="D75" s="413" t="s">
        <v>5</v>
      </c>
      <c r="E75" s="461" t="s">
        <v>19</v>
      </c>
      <c r="F75" s="413" t="s">
        <v>6</v>
      </c>
      <c r="G75" s="414" t="s">
        <v>7</v>
      </c>
      <c r="H75" s="415" t="s">
        <v>8</v>
      </c>
      <c r="I75" s="416" t="s">
        <v>20</v>
      </c>
      <c r="J75" s="413" t="s">
        <v>21</v>
      </c>
      <c r="K75" s="413" t="s">
        <v>22</v>
      </c>
      <c r="R75" s="62"/>
    </row>
    <row r="76" ht="15.75" customHeight="1">
      <c r="A76" s="417" t="s">
        <v>10</v>
      </c>
      <c r="B76" s="205" t="s">
        <v>2081</v>
      </c>
      <c r="C76" s="206" t="str">
        <f t="shared" ref="C76:C87" si="9">PROPER(TEXT(DATE(MID($A$74,7,4),MID($A$74,4,2),LEFT($A$74,2)),"dddd"))</f>
        <v>Terça-Feira</v>
      </c>
      <c r="D76" s="445" t="str">
        <f>IF(C76&lt;&gt;"Quarta-Feira","13:00","08:00")</f>
        <v>13:00</v>
      </c>
      <c r="E76" s="418" t="s">
        <v>2667</v>
      </c>
      <c r="F76" s="127">
        <v>7.04203716263384E14</v>
      </c>
      <c r="G76" s="186" t="s">
        <v>2668</v>
      </c>
      <c r="H76" s="153">
        <v>18339.0</v>
      </c>
      <c r="I76" s="29" t="s">
        <v>41</v>
      </c>
      <c r="J76" s="289">
        <v>1.1932525456E10</v>
      </c>
      <c r="K76" s="289"/>
      <c r="N76" s="237" t="s">
        <v>386</v>
      </c>
      <c r="O76" s="95"/>
      <c r="P76" s="95"/>
      <c r="Q76" s="95"/>
      <c r="R76" s="62"/>
    </row>
    <row r="77" ht="15.75" customHeight="1">
      <c r="A77" s="417" t="s">
        <v>11</v>
      </c>
      <c r="B77" s="205" t="s">
        <v>2083</v>
      </c>
      <c r="C77" s="206" t="str">
        <f t="shared" si="9"/>
        <v>Terça-Feira</v>
      </c>
      <c r="D77" s="445" t="str">
        <f>IF(C77&lt;&gt;"Quarta-Feira","13:20","08:20")</f>
        <v>13:20</v>
      </c>
      <c r="E77" s="419" t="s">
        <v>2669</v>
      </c>
      <c r="F77" s="127">
        <v>2.09601688040006E14</v>
      </c>
      <c r="G77" s="186" t="s">
        <v>2670</v>
      </c>
      <c r="H77" s="153">
        <v>14586.0</v>
      </c>
      <c r="I77" s="29" t="s">
        <v>41</v>
      </c>
      <c r="J77" s="289" t="s">
        <v>2671</v>
      </c>
      <c r="K77" s="289"/>
      <c r="N77" s="239" t="s">
        <v>2085</v>
      </c>
      <c r="O77" s="2"/>
      <c r="P77" s="2"/>
      <c r="Q77" s="2"/>
      <c r="R77" s="62"/>
    </row>
    <row r="78" ht="15.75" customHeight="1">
      <c r="A78" s="417" t="s">
        <v>12</v>
      </c>
      <c r="B78" s="205" t="s">
        <v>2086</v>
      </c>
      <c r="C78" s="206" t="str">
        <f t="shared" si="9"/>
        <v>Terça-Feira</v>
      </c>
      <c r="D78" s="445" t="str">
        <f>IF(C78&lt;&gt;"Quarta-Feira","13:40","08:40")</f>
        <v>13:40</v>
      </c>
      <c r="E78" s="418" t="s">
        <v>2672</v>
      </c>
      <c r="F78" s="127">
        <v>7.01807228561975E14</v>
      </c>
      <c r="G78" s="186" t="s">
        <v>2673</v>
      </c>
      <c r="H78" s="153">
        <v>23175.0</v>
      </c>
      <c r="I78" s="29" t="s">
        <v>2087</v>
      </c>
      <c r="J78" s="289" t="s">
        <v>2674</v>
      </c>
      <c r="K78" s="289"/>
      <c r="N78" s="240" t="s">
        <v>182</v>
      </c>
      <c r="O78" s="241" t="s">
        <v>194</v>
      </c>
      <c r="P78" s="241" t="s">
        <v>180</v>
      </c>
      <c r="Q78" s="242" t="s">
        <v>2087</v>
      </c>
      <c r="R78" s="62"/>
    </row>
    <row r="79" ht="15.75" customHeight="1">
      <c r="A79" s="417" t="s">
        <v>13</v>
      </c>
      <c r="B79" s="205" t="s">
        <v>2088</v>
      </c>
      <c r="C79" s="206" t="str">
        <f t="shared" si="9"/>
        <v>Terça-Feira</v>
      </c>
      <c r="D79" s="445" t="str">
        <f>IF(C79&lt;&gt;"Quarta-Feira","14:00","09:00")</f>
        <v>14:00</v>
      </c>
      <c r="E79" s="418" t="s">
        <v>2675</v>
      </c>
      <c r="F79" s="127">
        <v>7.00806450369482E14</v>
      </c>
      <c r="G79" s="186" t="s">
        <v>2676</v>
      </c>
      <c r="H79" s="153">
        <v>21985.0</v>
      </c>
      <c r="I79" s="29" t="s">
        <v>41</v>
      </c>
      <c r="J79" s="289" t="s">
        <v>2677</v>
      </c>
      <c r="K79" s="289"/>
      <c r="N79" s="244">
        <f t="shared" ref="N79:Q79" si="10">COUNTIFS($I$76:$I$87,N78)</f>
        <v>0</v>
      </c>
      <c r="O79" s="244">
        <f t="shared" si="10"/>
        <v>0</v>
      </c>
      <c r="P79" s="244">
        <f t="shared" si="10"/>
        <v>1</v>
      </c>
      <c r="Q79" s="244">
        <f t="shared" si="10"/>
        <v>3</v>
      </c>
      <c r="R79" s="62"/>
    </row>
    <row r="80" ht="15.75" customHeight="1">
      <c r="A80" s="417" t="s">
        <v>14</v>
      </c>
      <c r="B80" s="205" t="s">
        <v>2081</v>
      </c>
      <c r="C80" s="206" t="str">
        <f t="shared" si="9"/>
        <v>Terça-Feira</v>
      </c>
      <c r="D80" s="445" t="str">
        <f>IF(C80&lt;&gt;"Quarta-Feira","14:20","09:20")</f>
        <v>14:20</v>
      </c>
      <c r="E80" s="420" t="s">
        <v>2678</v>
      </c>
      <c r="F80" s="127">
        <v>7.00802439608987E14</v>
      </c>
      <c r="G80" s="186" t="s">
        <v>2679</v>
      </c>
      <c r="H80" s="156">
        <v>22285.0</v>
      </c>
      <c r="I80" s="29" t="s">
        <v>41</v>
      </c>
      <c r="J80" s="69">
        <v>1.1946549609E10</v>
      </c>
      <c r="K80" s="289"/>
      <c r="R80" s="62"/>
    </row>
    <row r="81" ht="15.75" customHeight="1">
      <c r="A81" s="417" t="s">
        <v>15</v>
      </c>
      <c r="B81" s="205" t="s">
        <v>2088</v>
      </c>
      <c r="C81" s="206" t="str">
        <f t="shared" si="9"/>
        <v>Terça-Feira</v>
      </c>
      <c r="D81" s="445" t="str">
        <f>IF(C81&lt;&gt;"Quarta-Feira","14:40","09:40")</f>
        <v>14:40</v>
      </c>
      <c r="E81" s="420" t="s">
        <v>2680</v>
      </c>
      <c r="F81" s="127">
        <v>7.01803229289477E14</v>
      </c>
      <c r="G81" s="186" t="s">
        <v>2681</v>
      </c>
      <c r="H81" s="153">
        <v>17781.0</v>
      </c>
      <c r="I81" s="29" t="s">
        <v>41</v>
      </c>
      <c r="J81" s="289" t="s">
        <v>2682</v>
      </c>
      <c r="K81" s="289"/>
      <c r="R81" s="62"/>
    </row>
    <row r="82" ht="15.75" customHeight="1">
      <c r="A82" s="417" t="s">
        <v>16</v>
      </c>
      <c r="B82" s="205" t="s">
        <v>2092</v>
      </c>
      <c r="C82" s="206" t="str">
        <f t="shared" si="9"/>
        <v>Terça-Feira</v>
      </c>
      <c r="D82" s="445" t="str">
        <f>IF(C82&lt;&gt;"Quarta-Feira","15:00","10:00")</f>
        <v>15:00</v>
      </c>
      <c r="E82" s="420"/>
      <c r="F82" s="127"/>
      <c r="G82" s="186"/>
      <c r="H82" s="153"/>
      <c r="I82" s="29" t="s">
        <v>180</v>
      </c>
      <c r="J82" s="289"/>
      <c r="K82" s="289"/>
      <c r="R82" s="62"/>
    </row>
    <row r="83" ht="15.75" customHeight="1">
      <c r="A83" s="417" t="s">
        <v>17</v>
      </c>
      <c r="B83" s="205" t="s">
        <v>2093</v>
      </c>
      <c r="C83" s="206" t="str">
        <f t="shared" si="9"/>
        <v>Terça-Feira</v>
      </c>
      <c r="D83" s="445" t="str">
        <f>IF(C83&lt;&gt;"Quarta-Feira","15:20","10:20")</f>
        <v>15:20</v>
      </c>
      <c r="E83" s="420" t="s">
        <v>2683</v>
      </c>
      <c r="F83" s="127">
        <v>7.02407002787923E14</v>
      </c>
      <c r="G83" s="186" t="s">
        <v>2684</v>
      </c>
      <c r="H83" s="153">
        <v>31606.0</v>
      </c>
      <c r="I83" s="29" t="s">
        <v>41</v>
      </c>
      <c r="J83" s="289" t="s">
        <v>2685</v>
      </c>
      <c r="K83" s="289"/>
      <c r="R83" s="62"/>
    </row>
    <row r="84" ht="16.5" customHeight="1">
      <c r="A84" s="417" t="s">
        <v>85</v>
      </c>
      <c r="B84" s="205" t="s">
        <v>2094</v>
      </c>
      <c r="C84" s="206" t="str">
        <f t="shared" si="9"/>
        <v>Terça-Feira</v>
      </c>
      <c r="D84" s="445" t="str">
        <f>IF(C84&lt;&gt;"Quarta-Feira","15:40","10:40")</f>
        <v>15:40</v>
      </c>
      <c r="E84" s="420" t="s">
        <v>2686</v>
      </c>
      <c r="F84" s="127">
        <v>1.03869192990006E14</v>
      </c>
      <c r="G84" s="186" t="s">
        <v>2687</v>
      </c>
      <c r="H84" s="153">
        <v>20718.0</v>
      </c>
      <c r="I84" s="29" t="s">
        <v>41</v>
      </c>
      <c r="J84" s="289" t="s">
        <v>2688</v>
      </c>
      <c r="K84" s="289"/>
      <c r="R84" s="62"/>
    </row>
    <row r="85" ht="15.75" customHeight="1">
      <c r="A85" s="417" t="s">
        <v>87</v>
      </c>
      <c r="B85" s="205" t="s">
        <v>2095</v>
      </c>
      <c r="C85" s="206" t="str">
        <f t="shared" si="9"/>
        <v>Terça-Feira</v>
      </c>
      <c r="D85" s="445" t="str">
        <f>IF(C85&lt;&gt;"Quarta-Feira","16:00","11:00")</f>
        <v>16:00</v>
      </c>
      <c r="E85" s="418" t="s">
        <v>2689</v>
      </c>
      <c r="F85" s="127">
        <v>7.05004856964858E14</v>
      </c>
      <c r="G85" s="186" t="s">
        <v>806</v>
      </c>
      <c r="H85" s="153">
        <v>26346.0</v>
      </c>
      <c r="I85" s="29" t="s">
        <v>2087</v>
      </c>
      <c r="J85" s="289" t="s">
        <v>2690</v>
      </c>
      <c r="K85" s="423"/>
      <c r="R85" s="62"/>
    </row>
    <row r="86" ht="15.75" customHeight="1">
      <c r="A86" s="417" t="s">
        <v>90</v>
      </c>
      <c r="B86" s="205" t="s">
        <v>2097</v>
      </c>
      <c r="C86" s="206" t="str">
        <f t="shared" si="9"/>
        <v>Terça-Feira</v>
      </c>
      <c r="D86" s="445" t="str">
        <f>IF(C86&lt;&gt;"Quarta-Feira","16:20","11:20")</f>
        <v>16:20</v>
      </c>
      <c r="E86" s="420" t="s">
        <v>2691</v>
      </c>
      <c r="F86" s="295">
        <v>7.01004843648194E14</v>
      </c>
      <c r="G86" s="186" t="s">
        <v>2692</v>
      </c>
      <c r="H86" s="462">
        <v>25659.0</v>
      </c>
      <c r="I86" s="29" t="s">
        <v>41</v>
      </c>
      <c r="J86" s="423"/>
      <c r="K86" s="423"/>
      <c r="R86" s="62"/>
    </row>
    <row r="87" ht="15.75" customHeight="1">
      <c r="A87" s="417" t="s">
        <v>93</v>
      </c>
      <c r="B87" s="205" t="s">
        <v>2095</v>
      </c>
      <c r="C87" s="206" t="str">
        <f t="shared" si="9"/>
        <v>Terça-Feira</v>
      </c>
      <c r="D87" s="445" t="str">
        <f>IF(C87&lt;&gt;"Quarta-Feira","16:40","11:40")</f>
        <v>16:40</v>
      </c>
      <c r="E87" s="418" t="s">
        <v>2693</v>
      </c>
      <c r="F87" s="295">
        <v>7.04205769636187E14</v>
      </c>
      <c r="G87" s="423" t="s">
        <v>2694</v>
      </c>
      <c r="H87" s="153">
        <v>16783.0</v>
      </c>
      <c r="I87" s="29" t="s">
        <v>2087</v>
      </c>
      <c r="J87" s="295">
        <v>1.195163788E10</v>
      </c>
      <c r="K87" s="339"/>
      <c r="R87" s="62"/>
    </row>
    <row r="88" ht="15.75" customHeight="1">
      <c r="E88" s="231"/>
      <c r="J88" s="62"/>
      <c r="K88" s="62"/>
      <c r="R88" s="62"/>
    </row>
    <row r="89" ht="15.75" customHeight="1">
      <c r="E89" s="231"/>
      <c r="J89" s="62"/>
      <c r="K89" s="62"/>
      <c r="R89" s="62"/>
    </row>
    <row r="90" ht="15.75" customHeight="1">
      <c r="E90" s="231"/>
      <c r="J90" s="62"/>
      <c r="K90" s="62"/>
      <c r="R90" s="62"/>
    </row>
    <row r="91" ht="15.75" customHeight="1">
      <c r="A91" s="20" t="s">
        <v>18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13h às 17h"</f>
        <v>19/03/2026 13h às 17h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23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5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463" t="s">
        <v>1780</v>
      </c>
      <c r="C94" s="69" t="str">
        <f t="shared" ref="C94:C105" si="11">PROPER(TEXT(DATE(MID($A$92,7,4),MID($A$92,4,2),LEFT($A$92,2)),"dddd"))</f>
        <v>Quinta-Feira</v>
      </c>
      <c r="D94" s="445" t="str">
        <f>IF(C94&lt;&gt;"Quarta-Feira","13:00","08:00")</f>
        <v>13:00</v>
      </c>
      <c r="E94" s="218" t="s">
        <v>2695</v>
      </c>
      <c r="F94" s="149">
        <v>1.23289072390001E14</v>
      </c>
      <c r="G94" s="148" t="s">
        <v>2696</v>
      </c>
      <c r="H94" s="344">
        <v>24097.0</v>
      </c>
      <c r="I94" s="18" t="s">
        <v>41</v>
      </c>
      <c r="J94" s="212"/>
      <c r="K94" s="212"/>
      <c r="N94" s="237" t="s">
        <v>386</v>
      </c>
      <c r="O94" s="95"/>
      <c r="P94" s="95"/>
      <c r="Q94" s="95"/>
      <c r="R94" s="62"/>
    </row>
    <row r="95" ht="21.0" customHeight="1">
      <c r="A95" s="11" t="s">
        <v>11</v>
      </c>
      <c r="B95" s="205" t="s">
        <v>1713</v>
      </c>
      <c r="C95" s="69" t="str">
        <f t="shared" si="11"/>
        <v>Quinta-Feira</v>
      </c>
      <c r="D95" s="445" t="str">
        <f>IF(C95&lt;&gt;"Quarta-Feira","13:20","08:20")</f>
        <v>13:20</v>
      </c>
      <c r="E95" s="218" t="s">
        <v>2697</v>
      </c>
      <c r="F95" s="425">
        <v>8.98001497729477E14</v>
      </c>
      <c r="G95" s="148" t="s">
        <v>2698</v>
      </c>
      <c r="H95" s="437">
        <v>20935.0</v>
      </c>
      <c r="I95" s="18" t="s">
        <v>2566</v>
      </c>
      <c r="J95" s="212"/>
      <c r="K95" s="212"/>
      <c r="N95" s="239" t="s">
        <v>2085</v>
      </c>
      <c r="O95" s="2"/>
      <c r="P95" s="2"/>
      <c r="Q95" s="2"/>
      <c r="R95" s="62"/>
    </row>
    <row r="96" ht="15.75" customHeight="1">
      <c r="A96" s="11" t="s">
        <v>12</v>
      </c>
      <c r="B96" s="463" t="s">
        <v>1789</v>
      </c>
      <c r="C96" s="69" t="str">
        <f t="shared" si="11"/>
        <v>Quinta-Feira</v>
      </c>
      <c r="D96" s="445" t="str">
        <f>IF(C96&lt;&gt;"Quarta-Feira","13:40","08:40")</f>
        <v>13:40</v>
      </c>
      <c r="E96" s="218" t="s">
        <v>2699</v>
      </c>
      <c r="F96" s="149">
        <v>2.1014777153E14</v>
      </c>
      <c r="G96" s="148" t="s">
        <v>2700</v>
      </c>
      <c r="H96" s="344">
        <v>18388.0</v>
      </c>
      <c r="I96" s="18" t="s">
        <v>41</v>
      </c>
      <c r="J96" s="212"/>
      <c r="K96" s="212"/>
      <c r="N96" s="240" t="s">
        <v>182</v>
      </c>
      <c r="O96" s="241" t="s">
        <v>194</v>
      </c>
      <c r="P96" s="241" t="s">
        <v>180</v>
      </c>
      <c r="Q96" s="242" t="s">
        <v>2087</v>
      </c>
      <c r="R96" s="62"/>
    </row>
    <row r="97" ht="15.75" customHeight="1">
      <c r="A97" s="11" t="s">
        <v>13</v>
      </c>
      <c r="B97" s="205" t="s">
        <v>1720</v>
      </c>
      <c r="C97" s="69" t="str">
        <f t="shared" si="11"/>
        <v>Quinta-Feira</v>
      </c>
      <c r="D97" s="445" t="str">
        <f>IF(C97&lt;&gt;"Quarta-Feira","14:00","09:00")</f>
        <v>14:00</v>
      </c>
      <c r="E97" s="218" t="s">
        <v>2701</v>
      </c>
      <c r="F97" s="206">
        <v>7.09009898001915E14</v>
      </c>
      <c r="G97" s="205" t="s">
        <v>2702</v>
      </c>
      <c r="H97" s="432">
        <v>18936.0</v>
      </c>
      <c r="I97" s="18" t="s">
        <v>2566</v>
      </c>
      <c r="J97" s="212"/>
      <c r="K97" s="212"/>
      <c r="N97" s="244">
        <f t="shared" ref="N97:Q97" si="12">COUNTIFS($I$94:$I$105,N96)</f>
        <v>0</v>
      </c>
      <c r="O97" s="244">
        <f t="shared" si="12"/>
        <v>0</v>
      </c>
      <c r="P97" s="244">
        <f t="shared" si="12"/>
        <v>0</v>
      </c>
      <c r="Q97" s="244">
        <f t="shared" si="12"/>
        <v>1</v>
      </c>
      <c r="R97" s="62"/>
    </row>
    <row r="98" ht="15.75" customHeight="1">
      <c r="A98" s="11" t="s">
        <v>14</v>
      </c>
      <c r="B98" s="205" t="s">
        <v>1795</v>
      </c>
      <c r="C98" s="69" t="str">
        <f t="shared" si="11"/>
        <v>Quinta-Feira</v>
      </c>
      <c r="D98" s="445" t="str">
        <f>IF(C98&lt;&gt;"Quarta-Feira","14:20","09:20")</f>
        <v>14:20</v>
      </c>
      <c r="E98" s="218" t="s">
        <v>2703</v>
      </c>
      <c r="F98" s="149">
        <v>2.07270149990004E14</v>
      </c>
      <c r="G98" s="148" t="s">
        <v>2704</v>
      </c>
      <c r="H98" s="344">
        <v>23428.0</v>
      </c>
      <c r="I98" s="18" t="s">
        <v>41</v>
      </c>
      <c r="J98" s="212"/>
      <c r="K98" s="212"/>
      <c r="R98" s="62"/>
    </row>
    <row r="99" ht="15.75" customHeight="1">
      <c r="A99" s="11" t="s">
        <v>15</v>
      </c>
      <c r="B99" s="205" t="s">
        <v>1789</v>
      </c>
      <c r="C99" s="69" t="str">
        <f t="shared" si="11"/>
        <v>Quinta-Feira</v>
      </c>
      <c r="D99" s="445" t="str">
        <f>IF(C99&lt;&gt;"Quarta-Feira","14:40","09:40")</f>
        <v>14:40</v>
      </c>
      <c r="E99" s="218" t="s">
        <v>2705</v>
      </c>
      <c r="F99" s="149">
        <v>2.10147475130001E14</v>
      </c>
      <c r="G99" s="148" t="s">
        <v>2706</v>
      </c>
      <c r="H99" s="344">
        <v>22473.0</v>
      </c>
      <c r="I99" s="18" t="s">
        <v>2087</v>
      </c>
      <c r="J99" s="212"/>
      <c r="K99" s="212"/>
      <c r="R99" s="62"/>
    </row>
    <row r="100" ht="15.75" customHeight="1">
      <c r="A100" s="11" t="s">
        <v>16</v>
      </c>
      <c r="B100" s="205" t="s">
        <v>2652</v>
      </c>
      <c r="C100" s="69" t="str">
        <f t="shared" si="11"/>
        <v>Quinta-Feira</v>
      </c>
      <c r="D100" s="445" t="str">
        <f>IF(C100&lt;&gt;"Quarta-Feira","15:00","10:00")</f>
        <v>15:00</v>
      </c>
      <c r="E100" s="218" t="s">
        <v>2707</v>
      </c>
      <c r="F100" s="149">
        <v>7.08609541586389E14</v>
      </c>
      <c r="G100" s="148" t="s">
        <v>2708</v>
      </c>
      <c r="H100" s="344">
        <v>22215.0</v>
      </c>
      <c r="I100" s="18"/>
      <c r="J100" s="212">
        <v>1.1951490568E10</v>
      </c>
      <c r="K100" s="212"/>
      <c r="R100" s="62"/>
    </row>
    <row r="101" ht="15.75" customHeight="1">
      <c r="A101" s="11" t="s">
        <v>17</v>
      </c>
      <c r="B101" s="205" t="s">
        <v>2655</v>
      </c>
      <c r="C101" s="69" t="str">
        <f t="shared" si="11"/>
        <v>Quinta-Feira</v>
      </c>
      <c r="D101" s="445" t="str">
        <f>IF(C101&lt;&gt;"Quarta-Feira","15:20","10:20")</f>
        <v>15:20</v>
      </c>
      <c r="E101" s="218"/>
      <c r="F101" s="149"/>
      <c r="G101" s="148"/>
      <c r="H101" s="344"/>
      <c r="I101" s="18"/>
      <c r="J101" s="212"/>
      <c r="K101" s="212"/>
      <c r="R101" s="62"/>
    </row>
    <row r="102" ht="15.75" customHeight="1">
      <c r="A102" s="11" t="s">
        <v>85</v>
      </c>
      <c r="B102" s="205" t="s">
        <v>2658</v>
      </c>
      <c r="C102" s="69" t="str">
        <f t="shared" si="11"/>
        <v>Quinta-Feira</v>
      </c>
      <c r="D102" s="445" t="str">
        <f>IF(C102&lt;&gt;"Quarta-Feira","15:40","10:40")</f>
        <v>15:40</v>
      </c>
      <c r="E102" s="218" t="s">
        <v>2709</v>
      </c>
      <c r="F102" s="149">
        <v>7.06305797918774E14</v>
      </c>
      <c r="G102" s="148" t="s">
        <v>2710</v>
      </c>
      <c r="H102" s="344">
        <v>25442.0</v>
      </c>
      <c r="I102" s="18" t="s">
        <v>41</v>
      </c>
      <c r="J102" s="212"/>
      <c r="K102" s="212"/>
      <c r="R102" s="62"/>
      <c r="V102" s="292"/>
    </row>
    <row r="103" ht="15.75" customHeight="1">
      <c r="A103" s="11" t="s">
        <v>87</v>
      </c>
      <c r="B103" s="205" t="s">
        <v>1734</v>
      </c>
      <c r="C103" s="69" t="str">
        <f t="shared" si="11"/>
        <v>Quinta-Feira</v>
      </c>
      <c r="D103" s="445" t="str">
        <f>IF(C103&lt;&gt;"Quarta-Feira","16:00","11:00")</f>
        <v>16:00</v>
      </c>
      <c r="E103" s="218" t="s">
        <v>2711</v>
      </c>
      <c r="F103" s="149">
        <v>7.06700567355818E14</v>
      </c>
      <c r="G103" s="148" t="s">
        <v>2712</v>
      </c>
      <c r="H103" s="344">
        <v>22983.0</v>
      </c>
      <c r="I103" s="18" t="s">
        <v>41</v>
      </c>
      <c r="J103" s="212"/>
      <c r="K103" s="212"/>
      <c r="R103" s="62"/>
    </row>
    <row r="104" ht="15.75" customHeight="1">
      <c r="A104" s="11" t="s">
        <v>90</v>
      </c>
      <c r="B104" s="205" t="s">
        <v>2658</v>
      </c>
      <c r="C104" s="69" t="str">
        <f t="shared" si="11"/>
        <v>Quinta-Feira</v>
      </c>
      <c r="D104" s="445" t="str">
        <f>IF(C104&lt;&gt;"Quarta-Feira","16:20","11:20")</f>
        <v>16:20</v>
      </c>
      <c r="E104" s="218" t="s">
        <v>2606</v>
      </c>
      <c r="F104" s="149">
        <v>7.05604457868019E14</v>
      </c>
      <c r="G104" s="148" t="s">
        <v>2607</v>
      </c>
      <c r="H104" s="344">
        <v>23651.0</v>
      </c>
      <c r="I104" s="18" t="s">
        <v>41</v>
      </c>
      <c r="J104" s="212"/>
      <c r="K104" s="212"/>
      <c r="R104" s="62"/>
    </row>
    <row r="105" ht="15.75" customHeight="1">
      <c r="A105" s="11" t="s">
        <v>93</v>
      </c>
      <c r="B105" s="205" t="s">
        <v>1734</v>
      </c>
      <c r="C105" s="69" t="str">
        <f t="shared" si="11"/>
        <v>Quinta-Feira</v>
      </c>
      <c r="D105" s="445" t="str">
        <f>IF(C105&lt;&gt;"Quarta-Feira","16:40","11:40")</f>
        <v>16:40</v>
      </c>
      <c r="E105" s="218" t="s">
        <v>2713</v>
      </c>
      <c r="F105" s="149">
        <v>8.01440470401805E14</v>
      </c>
      <c r="G105" s="148" t="s">
        <v>2714</v>
      </c>
      <c r="H105" s="344">
        <v>25012.0</v>
      </c>
      <c r="I105" s="18"/>
      <c r="J105" s="212"/>
      <c r="K105" s="212"/>
      <c r="R105" s="62"/>
    </row>
    <row r="106" ht="15.75" customHeight="1">
      <c r="E106" s="231"/>
      <c r="J106" s="62"/>
      <c r="K106" s="62"/>
      <c r="R106" s="62"/>
    </row>
    <row r="107" ht="15.75" customHeight="1">
      <c r="E107" s="231"/>
      <c r="J107" s="62"/>
      <c r="K107" s="62"/>
      <c r="R107" s="62"/>
    </row>
    <row r="108" ht="15.75" customHeight="1">
      <c r="E108" s="231"/>
      <c r="J108" s="62"/>
      <c r="K108" s="62"/>
      <c r="R108" s="62"/>
    </row>
    <row r="109" ht="15.75" customHeight="1">
      <c r="A109" s="20" t="s">
        <v>18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TEXT(DATE(VALUE(MID(A74,7,4)),VALUE(MID(A74,4,2)),VALUE(LEFT(A74,2)))+7,"dd/mm/yyyy")&amp;" 13h às 17h"</f>
        <v>24/03/2026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23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2081</v>
      </c>
      <c r="C112" s="69" t="str">
        <f t="shared" ref="C112:C123" si="13">PROPER(TEXT(DATE(MID($A$110,7,4),MID($A$110,4,2),LEFT($A$110,2)),"dddd"))</f>
        <v>Terça-Feira</v>
      </c>
      <c r="D112" s="445" t="str">
        <f>IF(C112&lt;&gt;"Quarta-Feira","13:00","08:00")</f>
        <v>13:00</v>
      </c>
      <c r="E112" s="214" t="s">
        <v>2715</v>
      </c>
      <c r="F112" s="170">
        <v>2.10183418990001E14</v>
      </c>
      <c r="G112" s="100" t="s">
        <v>2716</v>
      </c>
      <c r="H112" s="78">
        <v>19906.0</v>
      </c>
      <c r="I112" s="18" t="s">
        <v>2087</v>
      </c>
      <c r="J112" s="97"/>
      <c r="K112" s="97"/>
      <c r="N112" s="237" t="s">
        <v>386</v>
      </c>
      <c r="O112" s="95"/>
      <c r="P112" s="95"/>
      <c r="Q112" s="95"/>
      <c r="R112" s="62"/>
    </row>
    <row r="113" ht="15.75" customHeight="1">
      <c r="A113" s="11" t="s">
        <v>11</v>
      </c>
      <c r="B113" s="205" t="s">
        <v>2083</v>
      </c>
      <c r="C113" s="69" t="str">
        <f t="shared" si="13"/>
        <v>Terça-Feira</v>
      </c>
      <c r="D113" s="445" t="str">
        <f>IF(C113&lt;&gt;"Quarta-Feira","13:20","08:20")</f>
        <v>13:20</v>
      </c>
      <c r="E113" s="214" t="s">
        <v>2717</v>
      </c>
      <c r="F113" s="170">
        <v>8.01440442832414E14</v>
      </c>
      <c r="G113" s="100" t="s">
        <v>2718</v>
      </c>
      <c r="H113" s="78">
        <v>19998.0</v>
      </c>
      <c r="I113" s="18" t="s">
        <v>41</v>
      </c>
      <c r="J113" s="97"/>
      <c r="K113" s="97"/>
      <c r="N113" s="239" t="s">
        <v>2085</v>
      </c>
      <c r="O113" s="2"/>
      <c r="P113" s="2"/>
      <c r="Q113" s="2"/>
      <c r="R113" s="62"/>
    </row>
    <row r="114" ht="15.75" customHeight="1">
      <c r="A114" s="11" t="s">
        <v>12</v>
      </c>
      <c r="B114" s="205" t="s">
        <v>2086</v>
      </c>
      <c r="C114" s="69" t="str">
        <f t="shared" si="13"/>
        <v>Terça-Feira</v>
      </c>
      <c r="D114" s="445" t="str">
        <f>IF(C114&lt;&gt;"Quarta-Feira","13:40","08:40")</f>
        <v>13:40</v>
      </c>
      <c r="E114" s="214" t="s">
        <v>2719</v>
      </c>
      <c r="F114" s="170">
        <v>8.98001464138364E14</v>
      </c>
      <c r="G114" s="100" t="s">
        <v>2720</v>
      </c>
      <c r="H114" s="78">
        <v>21254.0</v>
      </c>
      <c r="I114" s="18" t="s">
        <v>41</v>
      </c>
      <c r="J114" s="97"/>
      <c r="K114" s="97"/>
      <c r="N114" s="240" t="s">
        <v>182</v>
      </c>
      <c r="O114" s="241" t="s">
        <v>194</v>
      </c>
      <c r="P114" s="241" t="s">
        <v>180</v>
      </c>
      <c r="Q114" s="242" t="s">
        <v>2087</v>
      </c>
      <c r="R114" s="62"/>
    </row>
    <row r="115" ht="15.75" customHeight="1">
      <c r="A115" s="11" t="s">
        <v>13</v>
      </c>
      <c r="B115" s="205" t="s">
        <v>2088</v>
      </c>
      <c r="C115" s="69" t="str">
        <f t="shared" si="13"/>
        <v>Terça-Feira</v>
      </c>
      <c r="D115" s="445" t="str">
        <f>IF(C115&lt;&gt;"Quarta-Feira","14:00","09:00")</f>
        <v>14:00</v>
      </c>
      <c r="E115" s="214" t="s">
        <v>2721</v>
      </c>
      <c r="F115" s="170">
        <v>2.04299507690003E14</v>
      </c>
      <c r="G115" s="100" t="s">
        <v>2722</v>
      </c>
      <c r="H115" s="78">
        <v>22965.0</v>
      </c>
      <c r="I115" s="18" t="s">
        <v>41</v>
      </c>
      <c r="J115" s="97"/>
      <c r="K115" s="97"/>
      <c r="N115" s="244">
        <f t="shared" ref="N115:Q115" si="14">COUNTIFS($I$112:$I$123,N114)</f>
        <v>0</v>
      </c>
      <c r="O115" s="244">
        <f t="shared" si="14"/>
        <v>0</v>
      </c>
      <c r="P115" s="244">
        <f t="shared" si="14"/>
        <v>1</v>
      </c>
      <c r="Q115" s="244">
        <f t="shared" si="14"/>
        <v>2</v>
      </c>
      <c r="R115" s="62"/>
    </row>
    <row r="116" ht="15.75" customHeight="1">
      <c r="A116" s="11" t="s">
        <v>14</v>
      </c>
      <c r="B116" s="205" t="s">
        <v>2081</v>
      </c>
      <c r="C116" s="69" t="str">
        <f t="shared" si="13"/>
        <v>Terça-Feira</v>
      </c>
      <c r="D116" s="445" t="str">
        <f>IF(C116&lt;&gt;"Quarta-Feira","14:20","09:20")</f>
        <v>14:20</v>
      </c>
      <c r="E116" s="214" t="s">
        <v>2723</v>
      </c>
      <c r="F116" s="170">
        <v>8.98001422323465E14</v>
      </c>
      <c r="G116" s="100" t="s">
        <v>2724</v>
      </c>
      <c r="H116" s="78">
        <v>23668.0</v>
      </c>
      <c r="I116" s="18" t="s">
        <v>2087</v>
      </c>
      <c r="J116" s="97"/>
      <c r="K116" s="97"/>
      <c r="R116" s="62"/>
    </row>
    <row r="117" ht="15.75" customHeight="1">
      <c r="A117" s="11" t="s">
        <v>15</v>
      </c>
      <c r="B117" s="205" t="s">
        <v>2088</v>
      </c>
      <c r="C117" s="69" t="str">
        <f t="shared" si="13"/>
        <v>Terça-Feira</v>
      </c>
      <c r="D117" s="445" t="str">
        <f>IF(C117&lt;&gt;"Quarta-Feira","14:40","09:40")</f>
        <v>14:40</v>
      </c>
      <c r="E117" s="214" t="s">
        <v>2725</v>
      </c>
      <c r="F117" s="170">
        <v>7.00304933855139E14</v>
      </c>
      <c r="G117" s="100" t="s">
        <v>2726</v>
      </c>
      <c r="H117" s="78">
        <v>23973.0</v>
      </c>
      <c r="I117" s="18" t="s">
        <v>41</v>
      </c>
      <c r="J117" s="97"/>
      <c r="K117" s="97"/>
      <c r="R117" s="62"/>
    </row>
    <row r="118" ht="15.75" customHeight="1">
      <c r="A118" s="11" t="s">
        <v>16</v>
      </c>
      <c r="B118" s="205" t="s">
        <v>2092</v>
      </c>
      <c r="C118" s="69" t="str">
        <f t="shared" si="13"/>
        <v>Terça-Feira</v>
      </c>
      <c r="D118" s="445" t="str">
        <f>IF(C118&lt;&gt;"Quarta-Feira","15:00","10:00")</f>
        <v>15:00</v>
      </c>
      <c r="E118" s="214" t="s">
        <v>2727</v>
      </c>
      <c r="F118" s="170">
        <v>7.03606028141635E14</v>
      </c>
      <c r="G118" s="100" t="s">
        <v>2728</v>
      </c>
      <c r="H118" s="78">
        <v>28046.0</v>
      </c>
      <c r="I118" s="18" t="s">
        <v>41</v>
      </c>
      <c r="J118" s="97"/>
      <c r="K118" s="97"/>
      <c r="R118" s="62"/>
    </row>
    <row r="119" ht="15.75" customHeight="1">
      <c r="A119" s="11" t="s">
        <v>17</v>
      </c>
      <c r="B119" s="205" t="s">
        <v>2093</v>
      </c>
      <c r="C119" s="69" t="str">
        <f t="shared" si="13"/>
        <v>Terça-Feira</v>
      </c>
      <c r="D119" s="445" t="str">
        <f>IF(C119&lt;&gt;"Quarta-Feira","15:20","10:20")</f>
        <v>15:20</v>
      </c>
      <c r="E119" s="214" t="s">
        <v>2729</v>
      </c>
      <c r="F119" s="170">
        <v>2.0115332183E14</v>
      </c>
      <c r="G119" s="100" t="s">
        <v>2730</v>
      </c>
      <c r="H119" s="78">
        <v>19609.0</v>
      </c>
      <c r="I119" s="18" t="s">
        <v>41</v>
      </c>
      <c r="J119" s="97"/>
      <c r="K119" s="97"/>
      <c r="R119" s="62"/>
    </row>
    <row r="120" ht="15.75" customHeight="1">
      <c r="A120" s="11" t="s">
        <v>85</v>
      </c>
      <c r="B120" s="205" t="s">
        <v>2094</v>
      </c>
      <c r="C120" s="69" t="str">
        <f t="shared" si="13"/>
        <v>Terça-Feira</v>
      </c>
      <c r="D120" s="445" t="str">
        <f>IF(C120&lt;&gt;"Quarta-Feira","15:40","10:40")</f>
        <v>15:40</v>
      </c>
      <c r="E120" s="214" t="s">
        <v>2731</v>
      </c>
      <c r="F120" s="170">
        <v>7.04109196116079E14</v>
      </c>
      <c r="G120" s="100" t="s">
        <v>2732</v>
      </c>
      <c r="H120" s="78">
        <v>17138.0</v>
      </c>
      <c r="I120" s="18" t="s">
        <v>41</v>
      </c>
      <c r="J120" s="97"/>
      <c r="K120" s="97"/>
      <c r="R120" s="62"/>
    </row>
    <row r="121" ht="15.75" customHeight="1">
      <c r="A121" s="11" t="s">
        <v>87</v>
      </c>
      <c r="B121" s="205" t="s">
        <v>2095</v>
      </c>
      <c r="C121" s="69" t="str">
        <f t="shared" si="13"/>
        <v>Terça-Feira</v>
      </c>
      <c r="D121" s="445" t="str">
        <f>IF(C121&lt;&gt;"Quarta-Feira","16:00","11:00")</f>
        <v>16:00</v>
      </c>
      <c r="E121" s="214"/>
      <c r="F121" s="170"/>
      <c r="G121" s="100"/>
      <c r="H121" s="78"/>
      <c r="I121" s="18" t="s">
        <v>180</v>
      </c>
      <c r="J121" s="97"/>
      <c r="K121" s="97"/>
      <c r="R121" s="62"/>
    </row>
    <row r="122" ht="15.75" customHeight="1">
      <c r="A122" s="11" t="s">
        <v>90</v>
      </c>
      <c r="B122" s="205" t="s">
        <v>2097</v>
      </c>
      <c r="C122" s="69" t="str">
        <f t="shared" si="13"/>
        <v>Terça-Feira</v>
      </c>
      <c r="D122" s="445" t="str">
        <f>IF(C122&lt;&gt;"Quarta-Feira","16:20","11:20")</f>
        <v>16:20</v>
      </c>
      <c r="E122" s="214" t="s">
        <v>2733</v>
      </c>
      <c r="F122" s="170">
        <v>7.08009347233528E14</v>
      </c>
      <c r="G122" s="100" t="s">
        <v>2734</v>
      </c>
      <c r="H122" s="78">
        <v>21091.0</v>
      </c>
      <c r="I122" s="18" t="s">
        <v>41</v>
      </c>
      <c r="J122" s="97"/>
      <c r="K122" s="97"/>
      <c r="R122" s="62"/>
    </row>
    <row r="123" ht="15.75" customHeight="1">
      <c r="A123" s="11" t="s">
        <v>93</v>
      </c>
      <c r="B123" s="205" t="s">
        <v>2095</v>
      </c>
      <c r="C123" s="69" t="str">
        <f t="shared" si="13"/>
        <v>Terça-Feira</v>
      </c>
      <c r="D123" s="445" t="str">
        <f>IF(C123&lt;&gt;"Quarta-Feira","16:40","11:40")</f>
        <v>16:40</v>
      </c>
      <c r="E123" s="214" t="s">
        <v>2735</v>
      </c>
      <c r="F123" s="170">
        <v>2.01543840590007E14</v>
      </c>
      <c r="G123" s="100" t="s">
        <v>2736</v>
      </c>
      <c r="H123" s="78">
        <v>10896.0</v>
      </c>
      <c r="I123" s="18" t="s">
        <v>41</v>
      </c>
      <c r="J123" s="97"/>
      <c r="K123" s="97"/>
      <c r="R123" s="62"/>
    </row>
    <row r="124" ht="15.75" customHeight="1">
      <c r="A124" s="438"/>
      <c r="B124" s="430"/>
      <c r="C124" s="275"/>
      <c r="D124" s="439"/>
      <c r="E124" s="254"/>
      <c r="F124" s="440"/>
      <c r="G124" s="441"/>
      <c r="H124" s="255"/>
      <c r="I124" s="442"/>
      <c r="J124" s="443"/>
      <c r="K124" s="443"/>
      <c r="R124" s="62"/>
    </row>
    <row r="125" ht="15.75" customHeight="1">
      <c r="A125" s="438"/>
      <c r="B125" s="430"/>
      <c r="C125" s="275"/>
      <c r="D125" s="439"/>
      <c r="E125" s="254"/>
      <c r="F125" s="440"/>
      <c r="G125" s="441"/>
      <c r="H125" s="255"/>
      <c r="I125" s="442"/>
      <c r="J125" s="443"/>
      <c r="K125" s="443"/>
      <c r="R125" s="62"/>
    </row>
    <row r="126" ht="15.75" customHeight="1">
      <c r="A126" s="438"/>
      <c r="B126" s="430"/>
      <c r="C126" s="275"/>
      <c r="D126" s="439"/>
      <c r="E126" s="254"/>
      <c r="F126" s="440"/>
      <c r="G126" s="441"/>
      <c r="H126" s="255"/>
      <c r="I126" s="442"/>
      <c r="J126" s="443"/>
      <c r="K126" s="443"/>
      <c r="R126" s="62"/>
    </row>
    <row r="127" ht="15.75" customHeight="1">
      <c r="A127" s="20" t="s">
        <v>18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13h às 17h"</f>
        <v>26/03/2026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23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463" t="s">
        <v>1780</v>
      </c>
      <c r="C130" s="69" t="str">
        <f t="shared" ref="C130:C141" si="15">PROPER(TEXT(DATE(MID($A$92,7,4),MID($A$92,4,2),LEFT($A$92,2)),"dddd"))</f>
        <v>Quinta-Feira</v>
      </c>
      <c r="D130" s="445" t="str">
        <f>IF(C130&lt;&gt;"Quarta-Feira","13:00","08:00")</f>
        <v>13:00</v>
      </c>
      <c r="E130" s="218" t="s">
        <v>2737</v>
      </c>
      <c r="F130" s="149">
        <v>7.0840122735976E14</v>
      </c>
      <c r="G130" s="148" t="s">
        <v>2738</v>
      </c>
      <c r="H130" s="344">
        <v>8061.0</v>
      </c>
      <c r="I130" s="18" t="s">
        <v>41</v>
      </c>
      <c r="J130" s="212"/>
      <c r="K130" s="212"/>
      <c r="N130" s="237" t="s">
        <v>386</v>
      </c>
      <c r="O130" s="95"/>
      <c r="P130" s="95"/>
      <c r="Q130" s="95"/>
      <c r="R130" s="62"/>
    </row>
    <row r="131" ht="15.75" customHeight="1">
      <c r="A131" s="11" t="s">
        <v>11</v>
      </c>
      <c r="B131" s="205" t="s">
        <v>1713</v>
      </c>
      <c r="C131" s="69" t="str">
        <f t="shared" si="15"/>
        <v>Quinta-Feira</v>
      </c>
      <c r="D131" s="445" t="str">
        <f>IF(C131&lt;&gt;"Quarta-Feira","13:20","08:20")</f>
        <v>13:20</v>
      </c>
      <c r="E131" s="218" t="s">
        <v>2739</v>
      </c>
      <c r="F131" s="425">
        <v>7.00406403597249E14</v>
      </c>
      <c r="G131" s="148" t="s">
        <v>2740</v>
      </c>
      <c r="H131" s="437">
        <v>30151.0</v>
      </c>
      <c r="I131" s="18" t="s">
        <v>41</v>
      </c>
      <c r="J131" s="212"/>
      <c r="K131" s="212"/>
      <c r="N131" s="239" t="s">
        <v>2085</v>
      </c>
      <c r="O131" s="2"/>
      <c r="P131" s="2"/>
      <c r="Q131" s="2"/>
      <c r="R131" s="62"/>
    </row>
    <row r="132" ht="15.75" customHeight="1">
      <c r="A132" s="11" t="s">
        <v>12</v>
      </c>
      <c r="B132" s="463" t="s">
        <v>1789</v>
      </c>
      <c r="C132" s="69" t="str">
        <f t="shared" si="15"/>
        <v>Quinta-Feira</v>
      </c>
      <c r="D132" s="445" t="str">
        <f>IF(C132&lt;&gt;"Quarta-Feira","13:40","08:40")</f>
        <v>13:40</v>
      </c>
      <c r="E132" s="218" t="s">
        <v>2741</v>
      </c>
      <c r="F132" s="149">
        <v>7.02601294938741E14</v>
      </c>
      <c r="G132" s="148" t="s">
        <v>2742</v>
      </c>
      <c r="H132" s="344">
        <v>21536.0</v>
      </c>
      <c r="I132" s="18" t="s">
        <v>41</v>
      </c>
      <c r="J132" s="212"/>
      <c r="K132" s="212"/>
      <c r="N132" s="240" t="s">
        <v>182</v>
      </c>
      <c r="O132" s="241" t="s">
        <v>194</v>
      </c>
      <c r="P132" s="241" t="s">
        <v>180</v>
      </c>
      <c r="Q132" s="242" t="s">
        <v>2087</v>
      </c>
      <c r="R132" s="62"/>
    </row>
    <row r="133" ht="15.75" customHeight="1">
      <c r="A133" s="11" t="s">
        <v>13</v>
      </c>
      <c r="B133" s="205" t="s">
        <v>1720</v>
      </c>
      <c r="C133" s="69" t="str">
        <f t="shared" si="15"/>
        <v>Quinta-Feira</v>
      </c>
      <c r="D133" s="445" t="str">
        <f>IF(C133&lt;&gt;"Quarta-Feira","14:00","09:00")</f>
        <v>14:00</v>
      </c>
      <c r="E133" s="218"/>
      <c r="F133" s="206"/>
      <c r="G133" s="205"/>
      <c r="H133" s="432"/>
      <c r="I133" s="18" t="s">
        <v>180</v>
      </c>
      <c r="J133" s="212"/>
      <c r="K133" s="212"/>
      <c r="N133" s="244">
        <f t="shared" ref="N133:Q133" si="16">COUNTIFS($I$130:$I$141,N132)</f>
        <v>0</v>
      </c>
      <c r="O133" s="244">
        <f t="shared" si="16"/>
        <v>0</v>
      </c>
      <c r="P133" s="244">
        <f t="shared" si="16"/>
        <v>1</v>
      </c>
      <c r="Q133" s="244">
        <f t="shared" si="16"/>
        <v>2</v>
      </c>
      <c r="R133" s="62"/>
    </row>
    <row r="134" ht="15.75" customHeight="1">
      <c r="A134" s="11" t="s">
        <v>14</v>
      </c>
      <c r="B134" s="205" t="s">
        <v>1795</v>
      </c>
      <c r="C134" s="69" t="str">
        <f t="shared" si="15"/>
        <v>Quinta-Feira</v>
      </c>
      <c r="D134" s="445" t="str">
        <f>IF(C134&lt;&gt;"Quarta-Feira","14:20","09:20")</f>
        <v>14:20</v>
      </c>
      <c r="E134" s="218" t="s">
        <v>2743</v>
      </c>
      <c r="F134" s="149">
        <v>7.07007876658336E14</v>
      </c>
      <c r="G134" s="148" t="s">
        <v>2744</v>
      </c>
      <c r="H134" s="344">
        <v>27776.0</v>
      </c>
      <c r="I134" s="18" t="s">
        <v>41</v>
      </c>
      <c r="J134" s="212"/>
      <c r="K134" s="212"/>
      <c r="R134" s="62"/>
    </row>
    <row r="135" ht="15.75" customHeight="1">
      <c r="A135" s="11" t="s">
        <v>15</v>
      </c>
      <c r="B135" s="205" t="s">
        <v>1789</v>
      </c>
      <c r="C135" s="69" t="str">
        <f t="shared" si="15"/>
        <v>Quinta-Feira</v>
      </c>
      <c r="D135" s="445" t="str">
        <f>IF(C135&lt;&gt;"Quarta-Feira","14:40","09:40")</f>
        <v>14:40</v>
      </c>
      <c r="E135" s="218" t="s">
        <v>2745</v>
      </c>
      <c r="F135" s="149">
        <v>7.08603545367287E14</v>
      </c>
      <c r="G135" s="148" t="s">
        <v>2746</v>
      </c>
      <c r="H135" s="344">
        <v>18014.0</v>
      </c>
      <c r="I135" s="18" t="s">
        <v>41</v>
      </c>
      <c r="J135" s="212"/>
      <c r="K135" s="212"/>
      <c r="R135" s="62"/>
    </row>
    <row r="136" ht="15.75" customHeight="1">
      <c r="A136" s="11" t="s">
        <v>16</v>
      </c>
      <c r="B136" s="205" t="s">
        <v>2652</v>
      </c>
      <c r="C136" s="69" t="str">
        <f t="shared" si="15"/>
        <v>Quinta-Feira</v>
      </c>
      <c r="D136" s="445" t="str">
        <f>IF(C136&lt;&gt;"Quarta-Feira","15:00","10:00")</f>
        <v>15:00</v>
      </c>
      <c r="E136" s="218"/>
      <c r="F136" s="149"/>
      <c r="G136" s="148" t="s">
        <v>2747</v>
      </c>
      <c r="H136" s="344"/>
      <c r="I136" s="18" t="s">
        <v>41</v>
      </c>
      <c r="J136" s="212"/>
      <c r="K136" s="212"/>
      <c r="R136" s="62"/>
    </row>
    <row r="137" ht="15.75" customHeight="1">
      <c r="A137" s="11" t="s">
        <v>17</v>
      </c>
      <c r="B137" s="205" t="s">
        <v>2655</v>
      </c>
      <c r="C137" s="69" t="str">
        <f t="shared" si="15"/>
        <v>Quinta-Feira</v>
      </c>
      <c r="D137" s="445" t="str">
        <f>IF(C137&lt;&gt;"Quarta-Feira","15:20","10:20")</f>
        <v>15:20</v>
      </c>
      <c r="E137" s="218" t="s">
        <v>2748</v>
      </c>
      <c r="F137" s="149">
        <v>2.01536575660009E14</v>
      </c>
      <c r="G137" s="148" t="s">
        <v>2749</v>
      </c>
      <c r="H137" s="344">
        <v>24392.0</v>
      </c>
      <c r="I137" s="18" t="s">
        <v>41</v>
      </c>
      <c r="J137" s="212"/>
      <c r="K137" s="212"/>
      <c r="R137" s="62"/>
    </row>
    <row r="138" ht="15.75" customHeight="1">
      <c r="A138" s="11" t="s">
        <v>85</v>
      </c>
      <c r="B138" s="205" t="s">
        <v>2658</v>
      </c>
      <c r="C138" s="69" t="str">
        <f t="shared" si="15"/>
        <v>Quinta-Feira</v>
      </c>
      <c r="D138" s="445" t="str">
        <f>IF(C138&lt;&gt;"Quarta-Feira","15:40","10:40")</f>
        <v>15:40</v>
      </c>
      <c r="E138" s="218" t="s">
        <v>2750</v>
      </c>
      <c r="F138" s="149">
        <v>7.0900884635341E14</v>
      </c>
      <c r="G138" s="148" t="s">
        <v>2751</v>
      </c>
      <c r="H138" s="344">
        <v>27378.0</v>
      </c>
      <c r="I138" s="18" t="s">
        <v>41</v>
      </c>
      <c r="J138" s="212"/>
      <c r="K138" s="212"/>
      <c r="R138" s="62"/>
    </row>
    <row r="139" ht="15.75" customHeight="1">
      <c r="A139" s="11" t="s">
        <v>87</v>
      </c>
      <c r="B139" s="205" t="s">
        <v>1734</v>
      </c>
      <c r="C139" s="69" t="str">
        <f t="shared" si="15"/>
        <v>Quinta-Feira</v>
      </c>
      <c r="D139" s="445" t="str">
        <f>IF(C139&lt;&gt;"Quarta-Feira","16:00","11:00")</f>
        <v>16:00</v>
      </c>
      <c r="E139" s="218" t="s">
        <v>2752</v>
      </c>
      <c r="F139" s="149">
        <v>8.01440491102696E14</v>
      </c>
      <c r="G139" s="148" t="s">
        <v>2753</v>
      </c>
      <c r="H139" s="344">
        <v>19904.0</v>
      </c>
      <c r="I139" s="18" t="s">
        <v>41</v>
      </c>
      <c r="J139" s="212"/>
      <c r="K139" s="212"/>
      <c r="R139" s="62"/>
    </row>
    <row r="140" ht="15.75" customHeight="1">
      <c r="A140" s="11" t="s">
        <v>90</v>
      </c>
      <c r="B140" s="205" t="s">
        <v>2658</v>
      </c>
      <c r="C140" s="69" t="str">
        <f t="shared" si="15"/>
        <v>Quinta-Feira</v>
      </c>
      <c r="D140" s="445" t="str">
        <f>IF(C140&lt;&gt;"Quarta-Feira","16:20","11:20")</f>
        <v>16:20</v>
      </c>
      <c r="E140" s="218" t="s">
        <v>2754</v>
      </c>
      <c r="F140" s="149">
        <v>8.01440494167829E14</v>
      </c>
      <c r="G140" s="148" t="s">
        <v>2755</v>
      </c>
      <c r="H140" s="344">
        <v>26242.0</v>
      </c>
      <c r="I140" s="18" t="s">
        <v>2087</v>
      </c>
      <c r="J140" s="212"/>
      <c r="K140" s="212"/>
      <c r="R140" s="62"/>
    </row>
    <row r="141" ht="15.75" customHeight="1">
      <c r="A141" s="11" t="s">
        <v>93</v>
      </c>
      <c r="B141" s="205" t="s">
        <v>1734</v>
      </c>
      <c r="C141" s="69" t="str">
        <f t="shared" si="15"/>
        <v>Quinta-Feira</v>
      </c>
      <c r="D141" s="445" t="str">
        <f>IF(C141&lt;&gt;"Quarta-Feira","16:40","11:40")</f>
        <v>16:40</v>
      </c>
      <c r="E141" s="218" t="s">
        <v>2756</v>
      </c>
      <c r="F141" s="149">
        <v>7.00600454324366E14</v>
      </c>
      <c r="G141" s="148" t="s">
        <v>2757</v>
      </c>
      <c r="H141" s="344">
        <v>20512.0</v>
      </c>
      <c r="I141" s="18" t="s">
        <v>2087</v>
      </c>
      <c r="J141" s="212"/>
      <c r="K141" s="212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customHeight="1">
      <c r="A145" s="20" t="s">
        <v>18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TEXT(DATE(VALUE(MID(A110,7,4)),VALUE(MID(A110,4,2)),VALUE(LEFT(A110,2)))+7,"dd/mm/yyyy")&amp;" 13h às 17h"</f>
        <v>31/03/2026 13h às 17h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23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5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2081</v>
      </c>
      <c r="C148" s="69" t="str">
        <f t="shared" ref="C148:C159" si="17">PROPER(TEXT(DATE(MID($A$110,7,4),MID($A$110,4,2),LEFT($A$110,2)),"dddd"))</f>
        <v>Terça-Feira</v>
      </c>
      <c r="D148" s="445" t="str">
        <f>IF(C148&lt;&gt;"Quarta-Feira","13:00","08:00")</f>
        <v>13:00</v>
      </c>
      <c r="E148" s="214"/>
      <c r="F148" s="170">
        <v>7.02600296478542E14</v>
      </c>
      <c r="G148" s="100" t="s">
        <v>2152</v>
      </c>
      <c r="H148" s="78">
        <v>25373.0</v>
      </c>
      <c r="I148" s="18" t="s">
        <v>2087</v>
      </c>
      <c r="J148" s="97"/>
      <c r="K148" s="97"/>
      <c r="N148" s="237" t="s">
        <v>386</v>
      </c>
      <c r="O148" s="95"/>
      <c r="P148" s="95"/>
      <c r="Q148" s="95"/>
      <c r="R148" s="62"/>
    </row>
    <row r="149" ht="15.75" customHeight="1">
      <c r="A149" s="11" t="s">
        <v>11</v>
      </c>
      <c r="B149" s="205" t="s">
        <v>2083</v>
      </c>
      <c r="C149" s="69" t="str">
        <f t="shared" si="17"/>
        <v>Terça-Feira</v>
      </c>
      <c r="D149" s="445" t="str">
        <f>IF(C149&lt;&gt;"Quarta-Feira","13:20","08:20")</f>
        <v>13:20</v>
      </c>
      <c r="E149" s="214" t="s">
        <v>2758</v>
      </c>
      <c r="F149" s="170">
        <v>8.98001427608131E14</v>
      </c>
      <c r="G149" s="100" t="s">
        <v>2759</v>
      </c>
      <c r="H149" s="78">
        <v>17320.0</v>
      </c>
      <c r="I149" s="18" t="s">
        <v>41</v>
      </c>
      <c r="J149" s="97"/>
      <c r="K149" s="97"/>
      <c r="N149" s="239" t="s">
        <v>2085</v>
      </c>
      <c r="O149" s="2"/>
      <c r="P149" s="2"/>
      <c r="Q149" s="2"/>
      <c r="R149" s="62"/>
    </row>
    <row r="150" ht="15.75" customHeight="1">
      <c r="A150" s="11" t="s">
        <v>12</v>
      </c>
      <c r="B150" s="205" t="s">
        <v>2086</v>
      </c>
      <c r="C150" s="69" t="str">
        <f t="shared" si="17"/>
        <v>Terça-Feira</v>
      </c>
      <c r="D150" s="445" t="str">
        <f>IF(C150&lt;&gt;"Quarta-Feira","13:40","08:40")</f>
        <v>13:40</v>
      </c>
      <c r="E150" s="214" t="s">
        <v>2760</v>
      </c>
      <c r="F150" s="170">
        <v>7.02401026867522E14</v>
      </c>
      <c r="G150" s="100" t="s">
        <v>2761</v>
      </c>
      <c r="H150" s="78">
        <v>14980.0</v>
      </c>
      <c r="I150" s="18" t="s">
        <v>41</v>
      </c>
      <c r="J150" s="97"/>
      <c r="K150" s="97"/>
      <c r="N150" s="240" t="s">
        <v>182</v>
      </c>
      <c r="O150" s="241" t="s">
        <v>194</v>
      </c>
      <c r="P150" s="241" t="s">
        <v>180</v>
      </c>
      <c r="Q150" s="242" t="s">
        <v>2087</v>
      </c>
      <c r="R150" s="62"/>
    </row>
    <row r="151" ht="15.75" customHeight="1">
      <c r="A151" s="11" t="s">
        <v>13</v>
      </c>
      <c r="B151" s="205" t="s">
        <v>2088</v>
      </c>
      <c r="C151" s="69" t="str">
        <f t="shared" si="17"/>
        <v>Terça-Feira</v>
      </c>
      <c r="D151" s="445" t="str">
        <f>IF(C151&lt;&gt;"Quarta-Feira","14:00","09:00")</f>
        <v>14:00</v>
      </c>
      <c r="E151" s="214" t="s">
        <v>1097</v>
      </c>
      <c r="F151" s="170">
        <v>7.03005836729378E14</v>
      </c>
      <c r="G151" s="100" t="s">
        <v>1098</v>
      </c>
      <c r="H151" s="78">
        <v>26103.0</v>
      </c>
      <c r="I151" s="18" t="s">
        <v>41</v>
      </c>
      <c r="J151" s="97"/>
      <c r="K151" s="97"/>
      <c r="N151" s="244">
        <f>COUNTIFS($I$220:$I$231,$N$168)</f>
        <v>0</v>
      </c>
      <c r="O151" s="244">
        <f t="shared" ref="O151:Q151" si="18">COUNTIFS($I$148:$I$159,O150)</f>
        <v>0</v>
      </c>
      <c r="P151" s="244">
        <f t="shared" si="18"/>
        <v>0</v>
      </c>
      <c r="Q151" s="244">
        <f t="shared" si="18"/>
        <v>5</v>
      </c>
      <c r="R151" s="62"/>
    </row>
    <row r="152" ht="15.75" customHeight="1">
      <c r="A152" s="11" t="s">
        <v>14</v>
      </c>
      <c r="B152" s="205" t="s">
        <v>2081</v>
      </c>
      <c r="C152" s="69" t="str">
        <f t="shared" si="17"/>
        <v>Terça-Feira</v>
      </c>
      <c r="D152" s="445" t="str">
        <f>IF(C152&lt;&gt;"Quarta-Feira","14:20","09:20")</f>
        <v>14:20</v>
      </c>
      <c r="E152" s="214" t="s">
        <v>2762</v>
      </c>
      <c r="F152" s="170">
        <v>7.03604073068532E14</v>
      </c>
      <c r="G152" s="100" t="s">
        <v>2763</v>
      </c>
      <c r="H152" s="78">
        <v>18212.0</v>
      </c>
      <c r="I152" s="18" t="s">
        <v>2087</v>
      </c>
      <c r="J152" s="97"/>
      <c r="K152" s="97"/>
      <c r="R152" s="62"/>
    </row>
    <row r="153" ht="15.75" customHeight="1">
      <c r="A153" s="11" t="s">
        <v>15</v>
      </c>
      <c r="B153" s="205" t="s">
        <v>2088</v>
      </c>
      <c r="C153" s="69" t="str">
        <f t="shared" si="17"/>
        <v>Terça-Feira</v>
      </c>
      <c r="D153" s="445" t="str">
        <f>IF(C153&lt;&gt;"Quarta-Feira","14:40","09:40")</f>
        <v>14:40</v>
      </c>
      <c r="E153" s="214" t="s">
        <v>2764</v>
      </c>
      <c r="F153" s="170">
        <v>8.01440428676974E14</v>
      </c>
      <c r="G153" s="100" t="s">
        <v>2765</v>
      </c>
      <c r="H153" s="78">
        <v>25316.0</v>
      </c>
      <c r="I153" s="18" t="s">
        <v>41</v>
      </c>
      <c r="J153" s="97"/>
      <c r="K153" s="97"/>
      <c r="R153" s="62"/>
    </row>
    <row r="154" ht="15.75" customHeight="1">
      <c r="A154" s="11" t="s">
        <v>16</v>
      </c>
      <c r="B154" s="205" t="s">
        <v>2092</v>
      </c>
      <c r="C154" s="69" t="str">
        <f t="shared" si="17"/>
        <v>Terça-Feira</v>
      </c>
      <c r="D154" s="445" t="str">
        <f>IF(C154&lt;&gt;"Quarta-Feira","15:00","10:00")</f>
        <v>15:00</v>
      </c>
      <c r="E154" s="214" t="s">
        <v>2766</v>
      </c>
      <c r="F154" s="170">
        <v>7.07602204783494E14</v>
      </c>
      <c r="G154" s="100" t="s">
        <v>2767</v>
      </c>
      <c r="H154" s="78">
        <v>31372.0</v>
      </c>
      <c r="I154" s="18" t="s">
        <v>41</v>
      </c>
      <c r="J154" s="97"/>
      <c r="K154" s="97"/>
      <c r="R154" s="62"/>
    </row>
    <row r="155" ht="15.75" customHeight="1">
      <c r="A155" s="11" t="s">
        <v>17</v>
      </c>
      <c r="B155" s="205" t="s">
        <v>2093</v>
      </c>
      <c r="C155" s="69" t="str">
        <f t="shared" si="17"/>
        <v>Terça-Feira</v>
      </c>
      <c r="D155" s="445" t="str">
        <f>IF(C155&lt;&gt;"Quarta-Feira","15:20","10:20")</f>
        <v>15:20</v>
      </c>
      <c r="E155" s="214" t="s">
        <v>2768</v>
      </c>
      <c r="F155" s="170">
        <v>7.03007862554778E14</v>
      </c>
      <c r="G155" s="100" t="s">
        <v>2769</v>
      </c>
      <c r="H155" s="78">
        <v>24000.0</v>
      </c>
      <c r="I155" s="18" t="s">
        <v>41</v>
      </c>
      <c r="J155" s="97"/>
      <c r="K155" s="97"/>
      <c r="R155" s="62"/>
    </row>
    <row r="156" ht="15.75" customHeight="1">
      <c r="A156" s="11" t="s">
        <v>85</v>
      </c>
      <c r="B156" s="205" t="s">
        <v>2094</v>
      </c>
      <c r="C156" s="69" t="str">
        <f t="shared" si="17"/>
        <v>Terça-Feira</v>
      </c>
      <c r="D156" s="445" t="str">
        <f>IF(C156&lt;&gt;"Quarta-Feira","15:40","10:40")</f>
        <v>15:40</v>
      </c>
      <c r="E156" s="214" t="s">
        <v>2770</v>
      </c>
      <c r="F156" s="170">
        <v>7.0610602326446E14</v>
      </c>
      <c r="G156" s="100" t="s">
        <v>2771</v>
      </c>
      <c r="H156" s="78">
        <v>21855.0</v>
      </c>
      <c r="I156" s="18" t="s">
        <v>2087</v>
      </c>
      <c r="J156" s="97"/>
      <c r="K156" s="97"/>
      <c r="R156" s="62"/>
    </row>
    <row r="157" ht="15.75" customHeight="1">
      <c r="A157" s="11" t="s">
        <v>87</v>
      </c>
      <c r="B157" s="205" t="s">
        <v>2095</v>
      </c>
      <c r="C157" s="69" t="str">
        <f t="shared" si="17"/>
        <v>Terça-Feira</v>
      </c>
      <c r="D157" s="445" t="str">
        <f>IF(C157&lt;&gt;"Quarta-Feira","16:00","11:00")</f>
        <v>16:00</v>
      </c>
      <c r="E157" s="214"/>
      <c r="F157" s="170"/>
      <c r="G157" s="100"/>
      <c r="H157" s="78">
        <v>20612.0</v>
      </c>
      <c r="I157" s="18" t="s">
        <v>2087</v>
      </c>
      <c r="J157" s="97"/>
      <c r="K157" s="97"/>
      <c r="R157" s="62"/>
    </row>
    <row r="158" ht="15.75" customHeight="1">
      <c r="A158" s="11" t="s">
        <v>90</v>
      </c>
      <c r="B158" s="205" t="s">
        <v>2097</v>
      </c>
      <c r="C158" s="69" t="str">
        <f t="shared" si="17"/>
        <v>Terça-Feira</v>
      </c>
      <c r="D158" s="445" t="str">
        <f>IF(C158&lt;&gt;"Quarta-Feira","16:20","11:20")</f>
        <v>16:20</v>
      </c>
      <c r="E158" s="214" t="s">
        <v>2772</v>
      </c>
      <c r="F158" s="170">
        <v>8.3550301090891E14</v>
      </c>
      <c r="G158" s="100" t="s">
        <v>2773</v>
      </c>
      <c r="H158" s="78">
        <v>21618.0</v>
      </c>
      <c r="I158" s="18" t="s">
        <v>41</v>
      </c>
      <c r="J158" s="97"/>
      <c r="K158" s="97"/>
      <c r="R158" s="62"/>
    </row>
    <row r="159" ht="15.75" customHeight="1">
      <c r="A159" s="11" t="s">
        <v>93</v>
      </c>
      <c r="B159" s="205" t="s">
        <v>2095</v>
      </c>
      <c r="C159" s="69" t="str">
        <f t="shared" si="17"/>
        <v>Terça-Feira</v>
      </c>
      <c r="D159" s="445" t="str">
        <f>IF(C159&lt;&gt;"Quarta-Feira","16:40","11:40")</f>
        <v>16:40</v>
      </c>
      <c r="E159" s="214"/>
      <c r="F159" s="170"/>
      <c r="G159" s="100"/>
      <c r="H159" s="78">
        <v>12560.0</v>
      </c>
      <c r="I159" s="18" t="s">
        <v>2087</v>
      </c>
      <c r="J159" s="97"/>
      <c r="K159" s="97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438"/>
      <c r="B163" s="430"/>
      <c r="C163" s="275"/>
      <c r="D163" s="439"/>
      <c r="E163" s="254"/>
      <c r="F163" s="440"/>
      <c r="G163" s="441"/>
      <c r="H163" s="255"/>
      <c r="I163" s="442"/>
      <c r="J163" s="443"/>
      <c r="K163" s="443"/>
      <c r="R163" s="62"/>
    </row>
    <row r="164" ht="15.75" customHeight="1">
      <c r="A164" s="438"/>
      <c r="B164" s="430"/>
      <c r="C164" s="275"/>
      <c r="D164" s="439"/>
      <c r="E164" s="254"/>
      <c r="F164" s="440"/>
      <c r="G164" s="441"/>
      <c r="H164" s="255"/>
      <c r="I164" s="442"/>
      <c r="J164" s="443"/>
      <c r="K164" s="443"/>
      <c r="N164" s="237" t="s">
        <v>2079</v>
      </c>
      <c r="O164" s="95"/>
      <c r="P164" s="95"/>
      <c r="Q164" s="95"/>
      <c r="R164" s="62"/>
    </row>
    <row r="165" ht="15.75" customHeight="1">
      <c r="A165" s="438"/>
      <c r="B165" s="430"/>
      <c r="C165" s="275"/>
      <c r="D165" s="439"/>
      <c r="E165" s="254"/>
      <c r="F165" s="440"/>
      <c r="G165" s="441"/>
      <c r="H165" s="255"/>
      <c r="I165" s="442"/>
      <c r="J165" s="443"/>
      <c r="K165" s="443"/>
      <c r="N165" s="240" t="s">
        <v>182</v>
      </c>
      <c r="O165" s="241" t="s">
        <v>194</v>
      </c>
      <c r="P165" s="241" t="s">
        <v>180</v>
      </c>
      <c r="Q165" s="242" t="s">
        <v>172</v>
      </c>
      <c r="R165" s="62"/>
    </row>
    <row r="166" ht="15.75" customHeight="1">
      <c r="A166" s="438"/>
      <c r="B166" s="430"/>
      <c r="C166" s="275"/>
      <c r="D166" s="439"/>
      <c r="E166" s="254"/>
      <c r="F166" s="440"/>
      <c r="G166" s="441"/>
      <c r="H166" s="255"/>
      <c r="I166" s="442"/>
      <c r="J166" s="443"/>
      <c r="K166" s="443"/>
      <c r="N166" s="197">
        <f t="shared" ref="N166:Q166" si="19">SUM(N4:N162)</f>
        <v>18</v>
      </c>
      <c r="O166" s="197">
        <f t="shared" si="19"/>
        <v>0</v>
      </c>
      <c r="P166" s="197">
        <f t="shared" si="19"/>
        <v>7</v>
      </c>
      <c r="Q166" s="197">
        <f t="shared" si="19"/>
        <v>17</v>
      </c>
      <c r="R166" s="62"/>
    </row>
    <row r="167" ht="15.75" customHeight="1">
      <c r="A167" s="438"/>
      <c r="B167" s="430"/>
      <c r="C167" s="275"/>
      <c r="D167" s="439"/>
      <c r="E167" s="254"/>
      <c r="F167" s="440"/>
      <c r="G167" s="441"/>
      <c r="H167" s="255"/>
      <c r="I167" s="442"/>
      <c r="J167" s="443"/>
      <c r="K167" s="443"/>
      <c r="R167" s="62"/>
    </row>
    <row r="168" ht="15.75" customHeight="1">
      <c r="A168" s="438"/>
      <c r="B168" s="430"/>
      <c r="C168" s="275"/>
      <c r="D168" s="439"/>
      <c r="E168" s="254"/>
      <c r="F168" s="440"/>
      <c r="G168" s="441"/>
      <c r="H168" s="255"/>
      <c r="I168" s="442"/>
      <c r="J168" s="443"/>
      <c r="K168" s="443"/>
      <c r="R168" s="62"/>
    </row>
    <row r="169" ht="15.75" customHeight="1">
      <c r="A169" s="438"/>
      <c r="B169" s="430"/>
      <c r="C169" s="275"/>
      <c r="D169" s="439"/>
      <c r="E169" s="254"/>
      <c r="F169" s="440"/>
      <c r="G169" s="441"/>
      <c r="H169" s="255"/>
      <c r="I169" s="442"/>
      <c r="J169" s="443"/>
      <c r="K169" s="443"/>
      <c r="R169" s="62"/>
    </row>
    <row r="170" ht="15.75" customHeight="1">
      <c r="A170" s="438"/>
      <c r="B170" s="430"/>
      <c r="C170" s="275"/>
      <c r="D170" s="439"/>
      <c r="E170" s="254"/>
      <c r="F170" s="440"/>
      <c r="G170" s="441"/>
      <c r="H170" s="255"/>
      <c r="I170" s="442"/>
      <c r="J170" s="443"/>
      <c r="K170" s="443"/>
      <c r="R170" s="62"/>
    </row>
    <row r="171" ht="15.75" customHeight="1">
      <c r="A171" s="438"/>
      <c r="B171" s="430"/>
      <c r="C171" s="275"/>
      <c r="D171" s="439"/>
      <c r="E171" s="254"/>
      <c r="F171" s="440"/>
      <c r="G171" s="441"/>
      <c r="H171" s="255"/>
      <c r="I171" s="442"/>
      <c r="J171" s="443"/>
      <c r="K171" s="443"/>
      <c r="R171" s="62"/>
    </row>
    <row r="172" ht="15.75" customHeight="1">
      <c r="A172" s="438"/>
      <c r="B172" s="430"/>
      <c r="C172" s="275"/>
      <c r="D172" s="439"/>
      <c r="E172" s="254"/>
      <c r="F172" s="440"/>
      <c r="G172" s="441"/>
      <c r="H172" s="255"/>
      <c r="I172" s="442"/>
      <c r="J172" s="443"/>
      <c r="K172" s="443"/>
      <c r="R172" s="62"/>
    </row>
    <row r="173" ht="15.75" customHeight="1">
      <c r="A173" s="438"/>
      <c r="B173" s="430"/>
      <c r="C173" s="275"/>
      <c r="D173" s="439"/>
      <c r="E173" s="254"/>
      <c r="F173" s="440"/>
      <c r="G173" s="441"/>
      <c r="H173" s="255"/>
      <c r="I173" s="442"/>
      <c r="J173" s="443"/>
      <c r="K173" s="443"/>
      <c r="R173" s="62"/>
    </row>
    <row r="174" ht="15.75" customHeight="1">
      <c r="A174" s="438"/>
      <c r="B174" s="430"/>
      <c r="C174" s="275"/>
      <c r="D174" s="439"/>
      <c r="E174" s="254"/>
      <c r="F174" s="440"/>
      <c r="G174" s="441"/>
      <c r="H174" s="255"/>
      <c r="I174" s="442"/>
      <c r="J174" s="443"/>
      <c r="K174" s="443"/>
      <c r="R174" s="62"/>
    </row>
    <row r="175" ht="15.75" customHeight="1">
      <c r="A175" s="438"/>
      <c r="B175" s="430"/>
      <c r="C175" s="275"/>
      <c r="D175" s="439"/>
      <c r="E175" s="254"/>
      <c r="F175" s="440"/>
      <c r="G175" s="441"/>
      <c r="H175" s="255"/>
      <c r="I175" s="442"/>
      <c r="J175" s="443"/>
      <c r="K175" s="443"/>
      <c r="R175" s="62"/>
    </row>
    <row r="176" ht="15.75" customHeight="1">
      <c r="A176" s="438"/>
      <c r="B176" s="430"/>
      <c r="C176" s="275"/>
      <c r="D176" s="439"/>
      <c r="E176" s="254"/>
      <c r="F176" s="440"/>
      <c r="G176" s="441"/>
      <c r="H176" s="255"/>
      <c r="I176" s="442"/>
      <c r="J176" s="443"/>
      <c r="K176" s="443"/>
      <c r="R176" s="62"/>
    </row>
    <row r="177" ht="15.75" customHeight="1">
      <c r="A177" s="438"/>
      <c r="B177" s="430"/>
      <c r="C177" s="275"/>
      <c r="D177" s="439"/>
      <c r="E177" s="254"/>
      <c r="F177" s="440"/>
      <c r="G177" s="441"/>
      <c r="H177" s="255"/>
      <c r="I177" s="442"/>
      <c r="J177" s="443"/>
      <c r="K177" s="443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>
      <c r="A330" s="438"/>
      <c r="B330" s="430"/>
      <c r="C330" s="275"/>
      <c r="D330" s="439"/>
      <c r="E330" s="254"/>
      <c r="F330" s="440"/>
      <c r="G330" s="441"/>
      <c r="H330" s="255"/>
      <c r="I330" s="442"/>
      <c r="J330" s="443"/>
      <c r="K330" s="443"/>
      <c r="R330" s="62"/>
    </row>
    <row r="331" ht="15.75" customHeight="1">
      <c r="A331" s="438"/>
      <c r="B331" s="430"/>
      <c r="C331" s="275"/>
      <c r="D331" s="439"/>
      <c r="E331" s="254"/>
      <c r="F331" s="440"/>
      <c r="G331" s="441"/>
      <c r="H331" s="255"/>
      <c r="I331" s="442"/>
      <c r="J331" s="443"/>
      <c r="K331" s="443"/>
      <c r="R331" s="62"/>
    </row>
    <row r="332" ht="15.75" customHeight="1">
      <c r="A332" s="438"/>
      <c r="B332" s="430"/>
      <c r="C332" s="275"/>
      <c r="D332" s="439"/>
      <c r="E332" s="254"/>
      <c r="F332" s="440"/>
      <c r="G332" s="441"/>
      <c r="H332" s="255"/>
      <c r="I332" s="442"/>
      <c r="J332" s="443"/>
      <c r="K332" s="443"/>
      <c r="R332" s="62"/>
    </row>
    <row r="333" ht="15.75" customHeight="1">
      <c r="A333" s="438"/>
      <c r="B333" s="430"/>
      <c r="C333" s="275"/>
      <c r="D333" s="439"/>
      <c r="E333" s="254"/>
      <c r="F333" s="440"/>
      <c r="G333" s="441"/>
      <c r="H333" s="255"/>
      <c r="I333" s="442"/>
      <c r="J333" s="443"/>
      <c r="K333" s="443"/>
      <c r="R333" s="62"/>
    </row>
    <row r="334" ht="15.75" customHeight="1">
      <c r="A334" s="438"/>
      <c r="B334" s="430"/>
      <c r="C334" s="275"/>
      <c r="D334" s="439"/>
      <c r="E334" s="254"/>
      <c r="F334" s="440"/>
      <c r="G334" s="441"/>
      <c r="H334" s="255"/>
      <c r="I334" s="442"/>
      <c r="J334" s="443"/>
      <c r="K334" s="443"/>
      <c r="R334" s="62"/>
    </row>
    <row r="335" ht="15.75" customHeight="1">
      <c r="A335" s="438"/>
      <c r="B335" s="430"/>
      <c r="C335" s="275"/>
      <c r="D335" s="439"/>
      <c r="E335" s="254"/>
      <c r="F335" s="440"/>
      <c r="G335" s="441"/>
      <c r="H335" s="255"/>
      <c r="I335" s="442"/>
      <c r="J335" s="443"/>
      <c r="K335" s="443"/>
      <c r="R335" s="62"/>
    </row>
    <row r="336" ht="15.75" customHeight="1">
      <c r="A336" s="438"/>
      <c r="B336" s="430"/>
      <c r="C336" s="275"/>
      <c r="D336" s="439"/>
      <c r="E336" s="254"/>
      <c r="F336" s="440"/>
      <c r="G336" s="441"/>
      <c r="H336" s="255"/>
      <c r="I336" s="442"/>
      <c r="J336" s="443"/>
      <c r="K336" s="443"/>
      <c r="R336" s="62"/>
    </row>
    <row r="337" ht="15.75" customHeight="1">
      <c r="A337" s="438"/>
      <c r="B337" s="430"/>
      <c r="C337" s="275"/>
      <c r="D337" s="439"/>
      <c r="E337" s="254"/>
      <c r="F337" s="440"/>
      <c r="G337" s="441"/>
      <c r="H337" s="255"/>
      <c r="I337" s="442"/>
      <c r="J337" s="443"/>
      <c r="K337" s="443"/>
      <c r="R337" s="62"/>
    </row>
    <row r="338" ht="15.75" customHeight="1">
      <c r="A338" s="438"/>
      <c r="B338" s="430"/>
      <c r="C338" s="275"/>
      <c r="D338" s="439"/>
      <c r="E338" s="254"/>
      <c r="F338" s="440"/>
      <c r="G338" s="441"/>
      <c r="H338" s="255"/>
      <c r="I338" s="442"/>
      <c r="J338" s="443"/>
      <c r="K338" s="443"/>
      <c r="R338" s="62"/>
    </row>
    <row r="339" ht="15.75" customHeight="1">
      <c r="A339" s="438"/>
      <c r="B339" s="430"/>
      <c r="C339" s="275"/>
      <c r="D339" s="439"/>
      <c r="E339" s="254"/>
      <c r="F339" s="440"/>
      <c r="G339" s="441"/>
      <c r="H339" s="255"/>
      <c r="I339" s="442"/>
      <c r="J339" s="443"/>
      <c r="K339" s="443"/>
      <c r="R339" s="62"/>
    </row>
    <row r="340" ht="15.75" customHeight="1">
      <c r="A340" s="438"/>
      <c r="B340" s="430"/>
      <c r="C340" s="275"/>
      <c r="D340" s="439"/>
      <c r="E340" s="254"/>
      <c r="F340" s="440"/>
      <c r="G340" s="441"/>
      <c r="H340" s="255"/>
      <c r="I340" s="442"/>
      <c r="J340" s="443"/>
      <c r="K340" s="443"/>
      <c r="R340" s="62"/>
    </row>
    <row r="341" ht="15.75" customHeight="1">
      <c r="A341" s="438"/>
      <c r="B341" s="430"/>
      <c r="C341" s="275"/>
      <c r="D341" s="439"/>
      <c r="E341" s="254"/>
      <c r="F341" s="440"/>
      <c r="G341" s="441"/>
      <c r="H341" s="255"/>
      <c r="I341" s="442"/>
      <c r="J341" s="443"/>
      <c r="K341" s="443"/>
      <c r="R341" s="62"/>
    </row>
    <row r="342" ht="15.75" customHeight="1">
      <c r="A342" s="438"/>
      <c r="B342" s="430"/>
      <c r="C342" s="275"/>
      <c r="D342" s="439"/>
      <c r="E342" s="254"/>
      <c r="F342" s="440"/>
      <c r="G342" s="441"/>
      <c r="H342" s="255"/>
      <c r="I342" s="442"/>
      <c r="J342" s="443"/>
      <c r="K342" s="443"/>
      <c r="R342" s="62"/>
    </row>
    <row r="343" ht="15.75" customHeight="1">
      <c r="A343" s="438"/>
      <c r="B343" s="430"/>
      <c r="C343" s="275"/>
      <c r="D343" s="439"/>
      <c r="E343" s="254"/>
      <c r="F343" s="440"/>
      <c r="G343" s="441"/>
      <c r="H343" s="255"/>
      <c r="I343" s="442"/>
      <c r="J343" s="443"/>
      <c r="K343" s="443"/>
      <c r="R343" s="62"/>
    </row>
    <row r="344" ht="15.75" customHeight="1">
      <c r="A344" s="438"/>
      <c r="B344" s="430"/>
      <c r="C344" s="275"/>
      <c r="D344" s="439"/>
      <c r="E344" s="254"/>
      <c r="F344" s="440"/>
      <c r="G344" s="441"/>
      <c r="H344" s="255"/>
      <c r="I344" s="442"/>
      <c r="J344" s="443"/>
      <c r="K344" s="443"/>
      <c r="R344" s="62"/>
    </row>
    <row r="345" ht="15.75" customHeight="1">
      <c r="A345" s="438"/>
      <c r="B345" s="430"/>
      <c r="C345" s="275"/>
      <c r="D345" s="439"/>
      <c r="E345" s="254"/>
      <c r="F345" s="440"/>
      <c r="G345" s="441"/>
      <c r="H345" s="255"/>
      <c r="I345" s="442"/>
      <c r="J345" s="443"/>
      <c r="K345" s="443"/>
      <c r="R345" s="62"/>
    </row>
    <row r="346" ht="15.75" customHeight="1">
      <c r="A346" s="438"/>
      <c r="B346" s="430"/>
      <c r="C346" s="275"/>
      <c r="D346" s="439"/>
      <c r="E346" s="254"/>
      <c r="F346" s="440"/>
      <c r="G346" s="441"/>
      <c r="H346" s="255"/>
      <c r="I346" s="442"/>
      <c r="J346" s="443"/>
      <c r="K346" s="443"/>
      <c r="R346" s="62"/>
    </row>
    <row r="347" ht="15.75" customHeight="1">
      <c r="A347" s="438"/>
      <c r="B347" s="430"/>
      <c r="C347" s="275"/>
      <c r="D347" s="439"/>
      <c r="E347" s="254"/>
      <c r="F347" s="440"/>
      <c r="G347" s="441"/>
      <c r="H347" s="255"/>
      <c r="I347" s="442"/>
      <c r="J347" s="443"/>
      <c r="K347" s="443"/>
      <c r="R347" s="62"/>
    </row>
    <row r="348" ht="15.75" customHeight="1">
      <c r="A348" s="438"/>
      <c r="B348" s="430"/>
      <c r="C348" s="275"/>
      <c r="D348" s="439"/>
      <c r="E348" s="254"/>
      <c r="F348" s="440"/>
      <c r="G348" s="441"/>
      <c r="H348" s="255"/>
      <c r="I348" s="442"/>
      <c r="J348" s="443"/>
      <c r="K348" s="443"/>
      <c r="R348" s="62"/>
    </row>
    <row r="349" ht="15.75" customHeight="1">
      <c r="A349" s="438"/>
      <c r="B349" s="430"/>
      <c r="C349" s="275"/>
      <c r="D349" s="439"/>
      <c r="E349" s="254"/>
      <c r="F349" s="440"/>
      <c r="G349" s="441"/>
      <c r="H349" s="255"/>
      <c r="I349" s="442"/>
      <c r="J349" s="443"/>
      <c r="K349" s="443"/>
      <c r="R349" s="62"/>
    </row>
    <row r="350" ht="15.75" customHeight="1">
      <c r="A350" s="438"/>
      <c r="B350" s="430"/>
      <c r="C350" s="275"/>
      <c r="D350" s="439"/>
      <c r="E350" s="254"/>
      <c r="F350" s="440"/>
      <c r="G350" s="441"/>
      <c r="H350" s="255"/>
      <c r="I350" s="442"/>
      <c r="J350" s="443"/>
      <c r="K350" s="443"/>
      <c r="R350" s="62"/>
    </row>
    <row r="351" ht="15.75" customHeight="1">
      <c r="A351" s="438"/>
      <c r="B351" s="430"/>
      <c r="C351" s="275"/>
      <c r="D351" s="439"/>
      <c r="E351" s="254"/>
      <c r="F351" s="440"/>
      <c r="G351" s="441"/>
      <c r="H351" s="255"/>
      <c r="I351" s="442"/>
      <c r="J351" s="443"/>
      <c r="K351" s="443"/>
      <c r="R351" s="62"/>
    </row>
    <row r="352" ht="15.75" customHeight="1">
      <c r="A352" s="438"/>
      <c r="B352" s="430"/>
      <c r="C352" s="275"/>
      <c r="D352" s="439"/>
      <c r="E352" s="254"/>
      <c r="F352" s="440"/>
      <c r="G352" s="441"/>
      <c r="H352" s="255"/>
      <c r="I352" s="442"/>
      <c r="J352" s="443"/>
      <c r="K352" s="443"/>
      <c r="R352" s="62"/>
    </row>
    <row r="353" ht="15.75" customHeight="1">
      <c r="A353" s="438"/>
      <c r="B353" s="430"/>
      <c r="C353" s="275"/>
      <c r="D353" s="439"/>
      <c r="E353" s="254"/>
      <c r="F353" s="440"/>
      <c r="G353" s="441"/>
      <c r="H353" s="255"/>
      <c r="I353" s="442"/>
      <c r="J353" s="443"/>
      <c r="K353" s="443"/>
      <c r="R353" s="62"/>
    </row>
    <row r="354" ht="15.75" customHeight="1">
      <c r="A354" s="438"/>
      <c r="B354" s="430"/>
      <c r="C354" s="275"/>
      <c r="D354" s="439"/>
      <c r="E354" s="254"/>
      <c r="F354" s="440"/>
      <c r="G354" s="441"/>
      <c r="H354" s="255"/>
      <c r="I354" s="442"/>
      <c r="J354" s="443"/>
      <c r="K354" s="443"/>
      <c r="R354" s="62"/>
    </row>
    <row r="355" ht="15.75" customHeight="1">
      <c r="A355" s="438"/>
      <c r="B355" s="430"/>
      <c r="C355" s="275"/>
      <c r="D355" s="439"/>
      <c r="E355" s="254"/>
      <c r="F355" s="440"/>
      <c r="G355" s="441"/>
      <c r="H355" s="255"/>
      <c r="I355" s="442"/>
      <c r="J355" s="443"/>
      <c r="K355" s="443"/>
      <c r="R355" s="62"/>
    </row>
    <row r="356" ht="15.75" customHeight="1">
      <c r="A356" s="438"/>
      <c r="B356" s="430"/>
      <c r="C356" s="275"/>
      <c r="D356" s="439"/>
      <c r="E356" s="254"/>
      <c r="F356" s="440"/>
      <c r="G356" s="441"/>
      <c r="H356" s="255"/>
      <c r="I356" s="442"/>
      <c r="J356" s="443"/>
      <c r="K356" s="443"/>
      <c r="R356" s="62"/>
    </row>
    <row r="357" ht="15.75" customHeight="1">
      <c r="A357" s="438"/>
      <c r="B357" s="430"/>
      <c r="C357" s="275"/>
      <c r="D357" s="439"/>
      <c r="E357" s="254"/>
      <c r="F357" s="440"/>
      <c r="G357" s="441"/>
      <c r="H357" s="255"/>
      <c r="I357" s="442"/>
      <c r="J357" s="443"/>
      <c r="K357" s="443"/>
      <c r="R357" s="62"/>
    </row>
    <row r="358" ht="15.75" customHeight="1">
      <c r="A358" s="438"/>
      <c r="B358" s="430"/>
      <c r="C358" s="275"/>
      <c r="D358" s="439"/>
      <c r="E358" s="254"/>
      <c r="F358" s="440"/>
      <c r="G358" s="441"/>
      <c r="H358" s="255"/>
      <c r="I358" s="442"/>
      <c r="J358" s="443"/>
      <c r="K358" s="443"/>
      <c r="R358" s="62"/>
    </row>
    <row r="359" ht="15.75" customHeight="1">
      <c r="A359" s="438"/>
      <c r="B359" s="430"/>
      <c r="C359" s="275"/>
      <c r="D359" s="439"/>
      <c r="E359" s="254"/>
      <c r="F359" s="440"/>
      <c r="G359" s="441"/>
      <c r="H359" s="255"/>
      <c r="I359" s="442"/>
      <c r="J359" s="443"/>
      <c r="K359" s="443"/>
      <c r="R359" s="62"/>
    </row>
    <row r="360" ht="15.75" customHeight="1">
      <c r="A360" s="438"/>
      <c r="B360" s="430"/>
      <c r="C360" s="275"/>
      <c r="D360" s="439"/>
      <c r="E360" s="254"/>
      <c r="F360" s="440"/>
      <c r="G360" s="441"/>
      <c r="H360" s="255"/>
      <c r="I360" s="442"/>
      <c r="J360" s="443"/>
      <c r="K360" s="443"/>
      <c r="R360" s="62"/>
    </row>
    <row r="361" ht="15.75" customHeight="1">
      <c r="A361" s="438"/>
      <c r="B361" s="430"/>
      <c r="C361" s="275"/>
      <c r="D361" s="439"/>
      <c r="E361" s="254"/>
      <c r="F361" s="440"/>
      <c r="G361" s="441"/>
      <c r="H361" s="255"/>
      <c r="I361" s="442"/>
      <c r="J361" s="443"/>
      <c r="K361" s="443"/>
      <c r="R361" s="62"/>
    </row>
    <row r="362" ht="15.75" customHeight="1">
      <c r="A362" s="438"/>
      <c r="B362" s="430"/>
      <c r="C362" s="275"/>
      <c r="D362" s="439"/>
      <c r="E362" s="254"/>
      <c r="F362" s="440"/>
      <c r="G362" s="441"/>
      <c r="H362" s="255"/>
      <c r="I362" s="442"/>
      <c r="J362" s="443"/>
      <c r="K362" s="443"/>
      <c r="R362" s="62"/>
    </row>
    <row r="363" ht="15.75" customHeight="1">
      <c r="A363" s="438"/>
      <c r="B363" s="430"/>
      <c r="C363" s="275"/>
      <c r="D363" s="439"/>
      <c r="E363" s="254"/>
      <c r="F363" s="440"/>
      <c r="G363" s="441"/>
      <c r="H363" s="255"/>
      <c r="I363" s="442"/>
      <c r="J363" s="443"/>
      <c r="K363" s="443"/>
      <c r="R363" s="62"/>
    </row>
    <row r="364" ht="15.75" customHeight="1">
      <c r="A364" s="438"/>
      <c r="B364" s="430"/>
      <c r="C364" s="275"/>
      <c r="D364" s="439"/>
      <c r="E364" s="254"/>
      <c r="F364" s="440"/>
      <c r="G364" s="441"/>
      <c r="H364" s="255"/>
      <c r="I364" s="442"/>
      <c r="J364" s="443"/>
      <c r="K364" s="443"/>
      <c r="R364" s="62"/>
    </row>
    <row r="365" ht="15.75" customHeight="1">
      <c r="A365" s="438"/>
      <c r="B365" s="430"/>
      <c r="C365" s="275"/>
      <c r="D365" s="439"/>
      <c r="E365" s="254"/>
      <c r="F365" s="440"/>
      <c r="G365" s="441"/>
      <c r="H365" s="255"/>
      <c r="I365" s="442"/>
      <c r="J365" s="443"/>
      <c r="K365" s="443"/>
      <c r="R365" s="62"/>
    </row>
    <row r="366" ht="15.75" customHeight="1">
      <c r="A366" s="438"/>
      <c r="B366" s="430"/>
      <c r="C366" s="275"/>
      <c r="D366" s="439"/>
      <c r="E366" s="254"/>
      <c r="F366" s="440"/>
      <c r="G366" s="441"/>
      <c r="H366" s="255"/>
      <c r="I366" s="442"/>
      <c r="J366" s="443"/>
      <c r="K366" s="443"/>
      <c r="R366" s="62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A1:K1"/>
    <mergeCell ref="A2:K2"/>
    <mergeCell ref="N4:Q4"/>
    <mergeCell ref="N5:Q5"/>
    <mergeCell ref="A19:K19"/>
    <mergeCell ref="N22:Q22"/>
    <mergeCell ref="N23:Q23"/>
    <mergeCell ref="A20:K20"/>
    <mergeCell ref="A37:K37"/>
    <mergeCell ref="A38:K38"/>
    <mergeCell ref="N40:Q40"/>
    <mergeCell ref="N41:Q41"/>
    <mergeCell ref="A55:K55"/>
    <mergeCell ref="A56:K56"/>
    <mergeCell ref="N58:Q58"/>
    <mergeCell ref="N59:Q59"/>
    <mergeCell ref="A73:K73"/>
    <mergeCell ref="A74:K74"/>
    <mergeCell ref="N76:Q76"/>
    <mergeCell ref="N77:Q77"/>
    <mergeCell ref="A91:K91"/>
    <mergeCell ref="A92:K92"/>
    <mergeCell ref="N94:Q94"/>
    <mergeCell ref="N95:Q95"/>
    <mergeCell ref="A109:K109"/>
    <mergeCell ref="A110:K110"/>
    <mergeCell ref="N112:Q112"/>
    <mergeCell ref="N113:Q113"/>
    <mergeCell ref="N149:Q149"/>
    <mergeCell ref="N164:Q164"/>
    <mergeCell ref="A127:K127"/>
    <mergeCell ref="A128:K128"/>
    <mergeCell ref="N130:Q130"/>
    <mergeCell ref="N131:Q131"/>
    <mergeCell ref="A145:K145"/>
    <mergeCell ref="A146:K146"/>
    <mergeCell ref="N148:Q148"/>
  </mergeCells>
  <dataValidations>
    <dataValidation type="list" allowBlank="1" showErrorMessage="1" sqref="I4:I15 I22:I33 I40:I51 I58:I69 I76:I87 I94:I105 I112:I123 I130:I141 I148:I159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5.0"/>
    <col customWidth="1" min="8" max="8" width="15.75"/>
    <col customWidth="1" min="9" max="9" width="20.38"/>
    <col customWidth="1" min="10" max="10" width="15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hidden="1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hidden="1" customHeight="1">
      <c r="A2" s="444" t="s">
        <v>2774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hidden="1" customHeight="1">
      <c r="A3" s="22"/>
      <c r="B3" s="426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hidden="1" customHeight="1">
      <c r="A4" s="11" t="s">
        <v>10</v>
      </c>
      <c r="B4" s="205" t="s">
        <v>1980</v>
      </c>
      <c r="C4" s="69" t="str">
        <f t="shared" ref="C4:C15" si="1">PROPER(TEXT(DATE(MID($A$2,7,4),MID($A$2,4,2),LEFT($A$2,2)),"dddd"))</f>
        <v>Segunda-Feira</v>
      </c>
      <c r="D4" s="445" t="str">
        <f>IF(C4&lt;&gt;"Quarta-Feira","13:00","08:00")</f>
        <v>13:00</v>
      </c>
      <c r="E4" s="253"/>
      <c r="F4" s="206"/>
      <c r="G4" s="125"/>
      <c r="H4" s="126"/>
      <c r="I4" s="30"/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95"/>
    </row>
    <row r="5" ht="15.75" hidden="1" customHeight="1">
      <c r="A5" s="11" t="s">
        <v>11</v>
      </c>
      <c r="B5" s="205" t="s">
        <v>1984</v>
      </c>
      <c r="C5" s="69" t="str">
        <f t="shared" si="1"/>
        <v>Segunda-Feira</v>
      </c>
      <c r="D5" s="445" t="str">
        <f>IF(C5&lt;&gt;"Quarta-Feira","13:20","08:20")</f>
        <v>13:20</v>
      </c>
      <c r="E5" s="253"/>
      <c r="F5" s="446"/>
      <c r="G5" s="447"/>
      <c r="H5" s="448"/>
      <c r="I5" s="30"/>
      <c r="J5" s="69"/>
      <c r="K5" s="69"/>
      <c r="M5" s="236"/>
      <c r="N5" s="239" t="s">
        <v>1823</v>
      </c>
      <c r="O5" s="2"/>
      <c r="P5" s="2"/>
      <c r="Q5" s="2"/>
      <c r="R5" s="2"/>
    </row>
    <row r="6" ht="15.75" hidden="1" customHeight="1">
      <c r="A6" s="11" t="s">
        <v>12</v>
      </c>
      <c r="B6" s="205" t="s">
        <v>1988</v>
      </c>
      <c r="C6" s="69" t="str">
        <f t="shared" si="1"/>
        <v>Segunda-Feira</v>
      </c>
      <c r="D6" s="445" t="str">
        <f>IF(C6&lt;&gt;"Quarta-Feira","13:40","08:40")</f>
        <v>13:40</v>
      </c>
      <c r="E6" s="253"/>
      <c r="F6" s="206"/>
      <c r="G6" s="125"/>
      <c r="H6" s="126"/>
      <c r="I6" s="30"/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hidden="1" customHeight="1">
      <c r="A7" s="11" t="s">
        <v>13</v>
      </c>
      <c r="B7" s="205" t="s">
        <v>1991</v>
      </c>
      <c r="C7" s="69" t="str">
        <f t="shared" si="1"/>
        <v>Segunda-Feira</v>
      </c>
      <c r="D7" s="445" t="str">
        <f>IF(C7&lt;&gt;"Quarta-Feira","14:00","09:00")</f>
        <v>14:00</v>
      </c>
      <c r="E7" s="253"/>
      <c r="F7" s="69"/>
      <c r="G7" s="125"/>
      <c r="H7" s="429"/>
      <c r="I7" s="30"/>
      <c r="J7" s="69"/>
      <c r="K7" s="69"/>
      <c r="M7" s="62"/>
      <c r="N7" s="244">
        <f t="shared" ref="N7:R7" si="2">COUNTIFS(I$4:I$15,N6)</f>
        <v>0</v>
      </c>
      <c r="O7" s="244">
        <f t="shared" si="2"/>
        <v>0</v>
      </c>
      <c r="P7" s="244">
        <f t="shared" si="2"/>
        <v>0</v>
      </c>
      <c r="Q7" s="244">
        <f t="shared" si="2"/>
        <v>0</v>
      </c>
      <c r="R7" s="449">
        <f t="shared" si="2"/>
        <v>0</v>
      </c>
      <c r="S7" s="343"/>
      <c r="T7" s="343"/>
      <c r="U7" s="343"/>
      <c r="V7" s="343"/>
      <c r="W7" s="343"/>
      <c r="X7" s="450"/>
    </row>
    <row r="8" ht="15.75" hidden="1" customHeight="1">
      <c r="A8" s="11" t="s">
        <v>14</v>
      </c>
      <c r="B8" s="205" t="s">
        <v>1980</v>
      </c>
      <c r="C8" s="69" t="str">
        <f t="shared" si="1"/>
        <v>Segunda-Feira</v>
      </c>
      <c r="D8" s="445" t="str">
        <f>IF(C8&lt;&gt;"Quarta-Feira","14:20","09:20")</f>
        <v>14:20</v>
      </c>
      <c r="E8" s="253"/>
      <c r="F8" s="206"/>
      <c r="G8" s="265"/>
      <c r="H8" s="451"/>
      <c r="I8" s="30"/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hidden="1" customHeight="1">
      <c r="A9" s="11" t="s">
        <v>15</v>
      </c>
      <c r="B9" s="205" t="s">
        <v>1984</v>
      </c>
      <c r="C9" s="69" t="str">
        <f t="shared" si="1"/>
        <v>Segunda-Feira</v>
      </c>
      <c r="D9" s="445" t="str">
        <f>IF(C9&lt;&gt;"Quarta-Feira","14:40","09:40")</f>
        <v>14:40</v>
      </c>
      <c r="E9" s="253"/>
      <c r="F9" s="452"/>
      <c r="G9" s="447"/>
      <c r="H9" s="448"/>
      <c r="I9" s="30"/>
      <c r="J9" s="69"/>
      <c r="K9" s="69"/>
      <c r="L9" s="197" t="s">
        <v>393</v>
      </c>
      <c r="R9" s="62"/>
    </row>
    <row r="10" ht="15.75" hidden="1" customHeight="1">
      <c r="A10" s="11" t="s">
        <v>16</v>
      </c>
      <c r="B10" s="205" t="s">
        <v>1988</v>
      </c>
      <c r="C10" s="69" t="str">
        <f t="shared" si="1"/>
        <v>Segunda-Feira</v>
      </c>
      <c r="D10" s="445" t="str">
        <f>IF(C10&lt;&gt;"Quarta-Feira","15:00","10:00")</f>
        <v>15:00</v>
      </c>
      <c r="E10" s="253"/>
      <c r="F10" s="206"/>
      <c r="G10" s="125"/>
      <c r="H10" s="126"/>
      <c r="I10" s="30"/>
      <c r="J10" s="69"/>
      <c r="K10" s="69"/>
      <c r="L10" s="197" t="s">
        <v>393</v>
      </c>
      <c r="R10" s="62"/>
    </row>
    <row r="11" ht="15.75" hidden="1" customHeight="1">
      <c r="A11" s="11" t="s">
        <v>17</v>
      </c>
      <c r="B11" s="205" t="s">
        <v>1991</v>
      </c>
      <c r="C11" s="69" t="str">
        <f t="shared" si="1"/>
        <v>Segunda-Feira</v>
      </c>
      <c r="D11" s="445" t="str">
        <f>IF(C11&lt;&gt;"Quarta-Feira","15:20","10:20")</f>
        <v>15:20</v>
      </c>
      <c r="E11" s="253"/>
      <c r="F11" s="206"/>
      <c r="G11" s="125"/>
      <c r="H11" s="432"/>
      <c r="I11" s="30"/>
      <c r="J11" s="69"/>
      <c r="K11" s="69"/>
      <c r="L11" s="197" t="s">
        <v>393</v>
      </c>
      <c r="R11" s="62"/>
    </row>
    <row r="12" ht="15.75" hidden="1" customHeight="1">
      <c r="A12" s="11" t="s">
        <v>85</v>
      </c>
      <c r="B12" s="205" t="s">
        <v>1980</v>
      </c>
      <c r="C12" s="69" t="str">
        <f t="shared" si="1"/>
        <v>Segunda-Feira</v>
      </c>
      <c r="D12" s="445" t="str">
        <f>IF(C12&lt;&gt;"Quarta-Feira","15:40","10:40")</f>
        <v>15:40</v>
      </c>
      <c r="E12" s="253"/>
      <c r="F12" s="69"/>
      <c r="G12" s="154"/>
      <c r="H12" s="78"/>
      <c r="I12" s="30"/>
      <c r="J12" s="69"/>
      <c r="K12" s="69"/>
      <c r="L12" s="197" t="s">
        <v>393</v>
      </c>
      <c r="R12" s="62"/>
    </row>
    <row r="13" ht="15.75" hidden="1" customHeight="1">
      <c r="A13" s="11" t="s">
        <v>87</v>
      </c>
      <c r="B13" s="205" t="s">
        <v>1984</v>
      </c>
      <c r="C13" s="69" t="str">
        <f t="shared" si="1"/>
        <v>Segunda-Feira</v>
      </c>
      <c r="D13" s="445" t="str">
        <f>IF(C13&lt;&gt;"Quarta-Feira","16:00","11:00")</f>
        <v>16:00</v>
      </c>
      <c r="E13" s="253"/>
      <c r="F13" s="69"/>
      <c r="G13" s="154"/>
      <c r="H13" s="153"/>
      <c r="I13" s="30"/>
      <c r="J13" s="69"/>
      <c r="K13" s="69"/>
      <c r="L13" s="197" t="s">
        <v>393</v>
      </c>
      <c r="R13" s="62"/>
    </row>
    <row r="14" ht="15.75" hidden="1" customHeight="1">
      <c r="A14" s="11" t="s">
        <v>90</v>
      </c>
      <c r="B14" s="205" t="s">
        <v>1988</v>
      </c>
      <c r="C14" s="69" t="str">
        <f t="shared" si="1"/>
        <v>Segunda-Feira</v>
      </c>
      <c r="D14" s="445" t="str">
        <f>IF(C14&lt;&gt;"Quarta-Feira","16:20","11:20")</f>
        <v>16:20</v>
      </c>
      <c r="E14" s="253"/>
      <c r="F14" s="69"/>
      <c r="G14" s="154"/>
      <c r="H14" s="153"/>
      <c r="I14" s="30"/>
      <c r="J14" s="69"/>
      <c r="K14" s="69"/>
      <c r="L14" s="197" t="s">
        <v>393</v>
      </c>
      <c r="R14" s="62"/>
    </row>
    <row r="15" ht="15.75" hidden="1" customHeight="1">
      <c r="A15" s="11" t="s">
        <v>93</v>
      </c>
      <c r="B15" s="205" t="s">
        <v>1991</v>
      </c>
      <c r="C15" s="69" t="str">
        <f t="shared" si="1"/>
        <v>Segunda-Feira</v>
      </c>
      <c r="D15" s="445" t="str">
        <f>IF(C15&lt;&gt;"Quarta-Feira","16:40","11:40")</f>
        <v>16:40</v>
      </c>
      <c r="E15" s="253"/>
      <c r="F15" s="69"/>
      <c r="G15" s="154"/>
      <c r="H15" s="153"/>
      <c r="I15" s="30"/>
      <c r="J15" s="69"/>
      <c r="K15" s="69"/>
      <c r="L15" s="197" t="s">
        <v>393</v>
      </c>
      <c r="R15" s="62"/>
    </row>
    <row r="16" ht="15.75" hidden="1" customHeight="1">
      <c r="B16" s="167"/>
      <c r="E16" s="231"/>
      <c r="G16" s="167"/>
      <c r="J16" s="62"/>
      <c r="K16" s="62"/>
      <c r="R16" s="62"/>
    </row>
    <row r="17" ht="15.75" hidden="1" customHeight="1">
      <c r="B17" s="167"/>
      <c r="E17" s="231"/>
      <c r="G17" s="167"/>
      <c r="J17" s="62"/>
      <c r="K17" s="62"/>
      <c r="R17" s="62"/>
    </row>
    <row r="18" ht="15.75" hidden="1" customHeight="1">
      <c r="B18" s="167"/>
      <c r="E18" s="231"/>
      <c r="G18" s="167"/>
      <c r="J18" s="62"/>
      <c r="K18" s="62"/>
      <c r="R18" s="62"/>
    </row>
    <row r="19" ht="15.75" customHeight="1">
      <c r="A19" s="20"/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22.5" customHeight="1">
      <c r="A20" s="21" t="str">
        <f>TEXT(DATE(VALUE(MID(A2,7,4)),VALUE(MID(A2,4,2)),VALUE(LEFT(A2,2)))+2,"dd/mm/yyyy")&amp;" 08h às 13h"</f>
        <v>01/04/2026 08h às 13h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7.25" customHeight="1">
      <c r="A21" s="22"/>
      <c r="B21" s="426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125" t="s">
        <v>65</v>
      </c>
      <c r="C22" s="69" t="str">
        <f t="shared" ref="C22:C33" si="3">PROPER(TEXT(DATE(MID($A$20,7,4),MID($A$20,4,2),LEFT($A$20,2)),"dddd"))</f>
        <v>Quarta-Feira</v>
      </c>
      <c r="D22" s="445" t="str">
        <f>IF(C22&lt;&gt;"Quarta-Feira","13:00","08:00")</f>
        <v>08:00</v>
      </c>
      <c r="E22" s="253" t="s">
        <v>2775</v>
      </c>
      <c r="F22" s="69">
        <v>8.01440407196655E14</v>
      </c>
      <c r="G22" s="154" t="s">
        <v>2776</v>
      </c>
      <c r="H22" s="156">
        <v>18207.0</v>
      </c>
      <c r="I22" s="69" t="s">
        <v>182</v>
      </c>
      <c r="J22" s="69"/>
      <c r="K22" s="69"/>
      <c r="N22" s="237" t="s">
        <v>386</v>
      </c>
      <c r="O22" s="95"/>
      <c r="P22" s="95"/>
      <c r="Q22" s="95"/>
      <c r="R22" s="95"/>
    </row>
    <row r="23" ht="15.75" customHeight="1">
      <c r="A23" s="11" t="s">
        <v>11</v>
      </c>
      <c r="B23" s="125" t="s">
        <v>201</v>
      </c>
      <c r="C23" s="69" t="str">
        <f t="shared" si="3"/>
        <v>Quarta-Feira</v>
      </c>
      <c r="D23" s="445" t="str">
        <f>IF(C23&lt;&gt;"Quarta-Feira","13:20","08:20")</f>
        <v>08:20</v>
      </c>
      <c r="E23" s="253" t="s">
        <v>2777</v>
      </c>
      <c r="F23" s="69">
        <v>7.0680477320192E14</v>
      </c>
      <c r="G23" s="154" t="s">
        <v>2778</v>
      </c>
      <c r="H23" s="153">
        <v>16857.0</v>
      </c>
      <c r="I23" s="69" t="s">
        <v>182</v>
      </c>
      <c r="J23" s="69"/>
      <c r="K23" s="69"/>
      <c r="N23" s="239" t="s">
        <v>1823</v>
      </c>
      <c r="O23" s="2"/>
      <c r="P23" s="2"/>
      <c r="Q23" s="2"/>
      <c r="R23" s="2"/>
    </row>
    <row r="24" ht="15.75" customHeight="1">
      <c r="A24" s="11" t="s">
        <v>12</v>
      </c>
      <c r="B24" s="125" t="s">
        <v>1447</v>
      </c>
      <c r="C24" s="69" t="str">
        <f t="shared" si="3"/>
        <v>Quarta-Feira</v>
      </c>
      <c r="D24" s="445" t="str">
        <f>IF(C24&lt;&gt;"Quarta-Feira","13:40","08:40")</f>
        <v>08:40</v>
      </c>
      <c r="E24" s="253" t="s">
        <v>2779</v>
      </c>
      <c r="F24" s="69">
        <v>8.98001432925751E14</v>
      </c>
      <c r="G24" s="154" t="s">
        <v>2780</v>
      </c>
      <c r="H24" s="153">
        <v>16673.0</v>
      </c>
      <c r="I24" s="69" t="s">
        <v>182</v>
      </c>
      <c r="J24" s="69"/>
      <c r="K24" s="69"/>
      <c r="N24" s="240" t="s">
        <v>182</v>
      </c>
      <c r="O24" s="241" t="s">
        <v>2566</v>
      </c>
      <c r="P24" s="241" t="s">
        <v>180</v>
      </c>
      <c r="Q24" s="242" t="s">
        <v>2087</v>
      </c>
      <c r="R24" s="242" t="s">
        <v>1822</v>
      </c>
    </row>
    <row r="25" ht="15.75" customHeight="1">
      <c r="A25" s="11" t="s">
        <v>13</v>
      </c>
      <c r="B25" s="125" t="s">
        <v>821</v>
      </c>
      <c r="C25" s="69" t="str">
        <f t="shared" si="3"/>
        <v>Quarta-Feira</v>
      </c>
      <c r="D25" s="445" t="str">
        <f>IF(C25&lt;&gt;"Quarta-Feira","14:00","09:00")</f>
        <v>09:00</v>
      </c>
      <c r="E25" s="253" t="s">
        <v>2781</v>
      </c>
      <c r="F25" s="69">
        <v>7.03601000492536E14</v>
      </c>
      <c r="G25" s="154" t="s">
        <v>2782</v>
      </c>
      <c r="H25" s="153">
        <v>31315.0</v>
      </c>
      <c r="I25" s="69" t="s">
        <v>1822</v>
      </c>
      <c r="J25" s="69"/>
      <c r="K25" s="69"/>
      <c r="L25" s="197" t="s">
        <v>441</v>
      </c>
      <c r="N25" s="244">
        <f>COUNTIFS(I$22:I$33,N24)</f>
        <v>10</v>
      </c>
      <c r="O25" s="244">
        <f t="shared" ref="O25:R25" si="4">COUNTIFS($I$22:$I$33,O24)</f>
        <v>0</v>
      </c>
      <c r="P25" s="244">
        <f t="shared" si="4"/>
        <v>0</v>
      </c>
      <c r="Q25" s="244">
        <f t="shared" si="4"/>
        <v>0</v>
      </c>
      <c r="R25" s="62">
        <f t="shared" si="4"/>
        <v>2</v>
      </c>
    </row>
    <row r="26" ht="15.75" customHeight="1">
      <c r="A26" s="11" t="s">
        <v>14</v>
      </c>
      <c r="B26" s="125" t="s">
        <v>201</v>
      </c>
      <c r="C26" s="69" t="str">
        <f t="shared" si="3"/>
        <v>Quarta-Feira</v>
      </c>
      <c r="D26" s="445" t="str">
        <f>IF(C26&lt;&gt;"Quarta-Feira","14:20","09:20")</f>
        <v>09:20</v>
      </c>
      <c r="E26" s="253" t="s">
        <v>2783</v>
      </c>
      <c r="F26" s="69">
        <v>7.0800985134972E14</v>
      </c>
      <c r="G26" s="154" t="s">
        <v>2784</v>
      </c>
      <c r="H26" s="153">
        <v>42036.0</v>
      </c>
      <c r="I26" s="69" t="s">
        <v>182</v>
      </c>
      <c r="J26" s="69"/>
      <c r="K26" s="69"/>
      <c r="L26" s="197" t="s">
        <v>441</v>
      </c>
      <c r="R26" s="62"/>
    </row>
    <row r="27" ht="15.75" customHeight="1">
      <c r="A27" s="11" t="s">
        <v>15</v>
      </c>
      <c r="B27" s="125" t="s">
        <v>1447</v>
      </c>
      <c r="C27" s="69" t="str">
        <f t="shared" si="3"/>
        <v>Quarta-Feira</v>
      </c>
      <c r="D27" s="445" t="str">
        <f>IF(C27&lt;&gt;"Quarta-Feira","14:40","09:40")</f>
        <v>09:40</v>
      </c>
      <c r="E27" s="253" t="s">
        <v>2785</v>
      </c>
      <c r="F27" s="69">
        <v>7.05005686747356E14</v>
      </c>
      <c r="G27" s="154" t="s">
        <v>2786</v>
      </c>
      <c r="H27" s="153">
        <v>18641.0</v>
      </c>
      <c r="I27" s="69" t="s">
        <v>182</v>
      </c>
      <c r="J27" s="69"/>
      <c r="K27" s="69"/>
      <c r="L27" s="197" t="s">
        <v>441</v>
      </c>
      <c r="R27" s="62"/>
    </row>
    <row r="28" ht="15.75" customHeight="1">
      <c r="A28" s="11" t="s">
        <v>16</v>
      </c>
      <c r="B28" s="125" t="s">
        <v>65</v>
      </c>
      <c r="C28" s="69" t="str">
        <f t="shared" si="3"/>
        <v>Quarta-Feira</v>
      </c>
      <c r="D28" s="445" t="str">
        <f>IF(C28&lt;&gt;"Quarta-Feira","15:00","10:00")</f>
        <v>10:00</v>
      </c>
      <c r="E28" s="253" t="s">
        <v>2787</v>
      </c>
      <c r="F28" s="69">
        <v>7.04801590086643E14</v>
      </c>
      <c r="G28" s="154" t="s">
        <v>2788</v>
      </c>
      <c r="H28" s="153">
        <v>16989.0</v>
      </c>
      <c r="I28" s="69" t="s">
        <v>182</v>
      </c>
      <c r="J28" s="69"/>
      <c r="K28" s="69"/>
      <c r="L28" s="197" t="s">
        <v>441</v>
      </c>
      <c r="R28" s="62"/>
    </row>
    <row r="29" ht="15.75" customHeight="1">
      <c r="A29" s="11" t="s">
        <v>17</v>
      </c>
      <c r="B29" s="125" t="s">
        <v>201</v>
      </c>
      <c r="C29" s="69" t="str">
        <f t="shared" si="3"/>
        <v>Quarta-Feira</v>
      </c>
      <c r="D29" s="445" t="str">
        <f>IF(C29&lt;&gt;"Quarta-Feira","15:20","10:20")</f>
        <v>10:20</v>
      </c>
      <c r="E29" s="253" t="s">
        <v>2789</v>
      </c>
      <c r="F29" s="69">
        <v>7.05006492415758E14</v>
      </c>
      <c r="G29" s="154" t="s">
        <v>1938</v>
      </c>
      <c r="H29" s="153">
        <v>22720.0</v>
      </c>
      <c r="I29" s="69" t="s">
        <v>1822</v>
      </c>
      <c r="J29" s="69"/>
      <c r="K29" s="69"/>
      <c r="L29" s="197" t="s">
        <v>441</v>
      </c>
      <c r="R29" s="62"/>
    </row>
    <row r="30" ht="15.75" customHeight="1">
      <c r="A30" s="11" t="s">
        <v>85</v>
      </c>
      <c r="B30" s="125" t="s">
        <v>821</v>
      </c>
      <c r="C30" s="69" t="str">
        <f t="shared" si="3"/>
        <v>Quarta-Feira</v>
      </c>
      <c r="D30" s="445" t="str">
        <f>IF(C30&lt;&gt;"Quarta-Feira","15:40","10:40")</f>
        <v>10:40</v>
      </c>
      <c r="E30" s="253" t="s">
        <v>2790</v>
      </c>
      <c r="F30" s="69">
        <v>7.04607105315026E14</v>
      </c>
      <c r="G30" s="154" t="s">
        <v>2791</v>
      </c>
      <c r="H30" s="153">
        <v>14165.0</v>
      </c>
      <c r="I30" s="69" t="s">
        <v>182</v>
      </c>
      <c r="J30" s="69"/>
      <c r="K30" s="69"/>
      <c r="R30" s="62"/>
    </row>
    <row r="31" ht="15.75" customHeight="1">
      <c r="A31" s="11" t="s">
        <v>87</v>
      </c>
      <c r="B31" s="125" t="s">
        <v>1447</v>
      </c>
      <c r="C31" s="69" t="str">
        <f t="shared" si="3"/>
        <v>Quarta-Feira</v>
      </c>
      <c r="D31" s="445" t="str">
        <f>IF(C31&lt;&gt;"Quarta-Feira","16:00","11:00")</f>
        <v>11:00</v>
      </c>
      <c r="E31" s="253" t="s">
        <v>2792</v>
      </c>
      <c r="F31" s="69">
        <v>7.07602220473798E14</v>
      </c>
      <c r="G31" s="154" t="s">
        <v>2793</v>
      </c>
      <c r="H31" s="153">
        <v>23703.0</v>
      </c>
      <c r="I31" s="69" t="s">
        <v>182</v>
      </c>
      <c r="J31" s="69"/>
      <c r="K31" s="69"/>
      <c r="L31" s="197" t="s">
        <v>454</v>
      </c>
      <c r="R31" s="62"/>
    </row>
    <row r="32" ht="15.75" customHeight="1">
      <c r="A32" s="11" t="s">
        <v>90</v>
      </c>
      <c r="B32" s="125" t="s">
        <v>821</v>
      </c>
      <c r="C32" s="69" t="str">
        <f t="shared" si="3"/>
        <v>Quarta-Feira</v>
      </c>
      <c r="D32" s="445" t="str">
        <f>IF(C32&lt;&gt;"Quarta-Feira","16:20","11:20")</f>
        <v>11:20</v>
      </c>
      <c r="E32" s="253" t="s">
        <v>2794</v>
      </c>
      <c r="F32" s="69">
        <v>7.0030498407043E14</v>
      </c>
      <c r="G32" s="154" t="s">
        <v>2795</v>
      </c>
      <c r="H32" s="153">
        <v>15033.0</v>
      </c>
      <c r="I32" s="69" t="s">
        <v>182</v>
      </c>
      <c r="J32" s="69"/>
      <c r="K32" s="69"/>
      <c r="R32" s="62"/>
    </row>
    <row r="33" ht="15.75" customHeight="1">
      <c r="A33" s="11" t="s">
        <v>93</v>
      </c>
      <c r="B33" s="125" t="s">
        <v>65</v>
      </c>
      <c r="C33" s="69" t="str">
        <f t="shared" si="3"/>
        <v>Quarta-Feira</v>
      </c>
      <c r="D33" s="445" t="str">
        <f>IF(C33&lt;&gt;"Quarta-Feira","16:40","11:40")</f>
        <v>11:40</v>
      </c>
      <c r="E33" s="253" t="s">
        <v>2796</v>
      </c>
      <c r="F33" s="69">
        <v>2.01152114590003E14</v>
      </c>
      <c r="G33" s="154" t="s">
        <v>2797</v>
      </c>
      <c r="H33" s="153">
        <v>28765.0</v>
      </c>
      <c r="I33" s="69" t="s">
        <v>182</v>
      </c>
      <c r="J33" s="69"/>
      <c r="K33" s="69"/>
      <c r="R33" s="62"/>
    </row>
    <row r="34" ht="15.75" customHeight="1">
      <c r="B34" s="167"/>
      <c r="E34" s="231"/>
      <c r="G34" s="167"/>
      <c r="J34" s="62"/>
      <c r="K34" s="62"/>
      <c r="R34" s="62"/>
    </row>
    <row r="35" ht="15.75" customHeight="1">
      <c r="B35" s="167"/>
      <c r="E35" s="231"/>
      <c r="G35" s="167"/>
      <c r="J35" s="62"/>
      <c r="K35" s="62"/>
      <c r="R35" s="62"/>
    </row>
    <row r="36" ht="15.75" customHeight="1">
      <c r="B36" s="167"/>
      <c r="E36" s="231"/>
      <c r="G36" s="167"/>
      <c r="J36" s="62"/>
      <c r="K36" s="62"/>
      <c r="R36" s="62"/>
    </row>
    <row r="37" ht="15.75" customHeight="1">
      <c r="A37" s="20" t="s">
        <v>377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1" t="str">
        <f>TEXT(DATE(VALUE(MID(A20,7,4)),VALUE(MID(A20,4,2)),VALUE(LEFT(A20,2)))+2,"dd/mm/yyyy")&amp;" 13h às 17h"</f>
        <v>03/04/2026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426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464" t="s">
        <v>10</v>
      </c>
      <c r="B40" s="465" t="s">
        <v>757</v>
      </c>
      <c r="C40" s="466" t="str">
        <f t="shared" ref="C40:C51" si="5">PROPER(TEXT(DATE(MID($A$38,7,4),MID($A$38,4,2),LEFT($A$38,2)),"dddd"))</f>
        <v>Sexta-Feira</v>
      </c>
      <c r="D40" s="467" t="str">
        <f>IF(C40&lt;&gt;"Quarta-Feira","13:00","08:00")</f>
        <v>13:00</v>
      </c>
      <c r="E40" s="468"/>
      <c r="F40" s="466"/>
      <c r="G40" s="469" t="s">
        <v>2798</v>
      </c>
      <c r="H40" s="470"/>
      <c r="I40" s="471"/>
      <c r="J40" s="466"/>
      <c r="K40" s="466"/>
      <c r="L40" s="472"/>
      <c r="M40" s="473"/>
      <c r="N40" s="474" t="s">
        <v>386</v>
      </c>
      <c r="O40" s="95"/>
      <c r="P40" s="95"/>
      <c r="Q40" s="95"/>
      <c r="R40" s="95"/>
      <c r="S40" s="473"/>
      <c r="T40" s="473"/>
      <c r="U40" s="473"/>
      <c r="V40" s="473"/>
      <c r="W40" s="473"/>
      <c r="X40" s="473"/>
    </row>
    <row r="41" ht="15.75" customHeight="1">
      <c r="A41" s="464" t="s">
        <v>15</v>
      </c>
      <c r="B41" s="465" t="s">
        <v>1467</v>
      </c>
      <c r="C41" s="466" t="str">
        <f t="shared" si="5"/>
        <v>Sexta-Feira</v>
      </c>
      <c r="D41" s="467" t="str">
        <f>IF(C41&lt;&gt;"Quarta-Feira","13:20","08:20")</f>
        <v>13:20</v>
      </c>
      <c r="E41" s="468"/>
      <c r="F41" s="466"/>
      <c r="G41" s="469" t="s">
        <v>2798</v>
      </c>
      <c r="H41" s="470"/>
      <c r="I41" s="471"/>
      <c r="J41" s="466"/>
      <c r="K41" s="466"/>
      <c r="L41" s="472"/>
      <c r="M41" s="473"/>
      <c r="N41" s="475"/>
      <c r="O41" s="475"/>
      <c r="P41" s="475"/>
      <c r="Q41" s="475"/>
      <c r="R41" s="476"/>
      <c r="S41" s="473"/>
      <c r="T41" s="473"/>
      <c r="U41" s="473"/>
      <c r="V41" s="473"/>
      <c r="W41" s="473"/>
      <c r="X41" s="473"/>
    </row>
    <row r="42" ht="15.75" customHeight="1">
      <c r="A42" s="464" t="s">
        <v>12</v>
      </c>
      <c r="B42" s="465" t="s">
        <v>216</v>
      </c>
      <c r="C42" s="466" t="str">
        <f t="shared" si="5"/>
        <v>Sexta-Feira</v>
      </c>
      <c r="D42" s="467" t="str">
        <f>IF(C42&lt;&gt;"Quarta-Feira","13:40","08:40")</f>
        <v>13:40</v>
      </c>
      <c r="E42" s="468"/>
      <c r="F42" s="466"/>
      <c r="G42" s="469" t="s">
        <v>2798</v>
      </c>
      <c r="H42" s="470"/>
      <c r="I42" s="471"/>
      <c r="J42" s="466"/>
      <c r="K42" s="466"/>
      <c r="L42" s="472"/>
      <c r="M42" s="473"/>
      <c r="N42" s="477" t="s">
        <v>41</v>
      </c>
      <c r="O42" s="478" t="s">
        <v>2566</v>
      </c>
      <c r="P42" s="478" t="s">
        <v>180</v>
      </c>
      <c r="Q42" s="479" t="s">
        <v>2087</v>
      </c>
      <c r="R42" s="480" t="s">
        <v>1822</v>
      </c>
      <c r="S42" s="473"/>
      <c r="T42" s="473"/>
      <c r="U42" s="473"/>
      <c r="V42" s="473"/>
      <c r="W42" s="473"/>
      <c r="X42" s="473"/>
    </row>
    <row r="43" ht="15.75" customHeight="1">
      <c r="A43" s="464" t="s">
        <v>13</v>
      </c>
      <c r="B43" s="465" t="s">
        <v>197</v>
      </c>
      <c r="C43" s="466" t="str">
        <f t="shared" si="5"/>
        <v>Sexta-Feira</v>
      </c>
      <c r="D43" s="467" t="str">
        <f>IF(C43&lt;&gt;"Quarta-Feira","14:00","09:00")</f>
        <v>14:00</v>
      </c>
      <c r="E43" s="468"/>
      <c r="F43" s="466"/>
      <c r="G43" s="469" t="s">
        <v>2798</v>
      </c>
      <c r="H43" s="470"/>
      <c r="I43" s="471"/>
      <c r="J43" s="466"/>
      <c r="K43" s="466"/>
      <c r="L43" s="472"/>
      <c r="M43" s="473"/>
      <c r="N43" s="481">
        <f t="shared" ref="N43:Q43" si="6">COUNTIFS($I$40:$I$51,N42)</f>
        <v>0</v>
      </c>
      <c r="O43" s="481">
        <f t="shared" si="6"/>
        <v>0</v>
      </c>
      <c r="P43" s="481">
        <f t="shared" si="6"/>
        <v>0</v>
      </c>
      <c r="Q43" s="481">
        <f t="shared" si="6"/>
        <v>0</v>
      </c>
      <c r="R43" s="480">
        <f>COUNTIFS(I40:I51,R42)</f>
        <v>0</v>
      </c>
      <c r="S43" s="473"/>
      <c r="T43" s="473"/>
      <c r="U43" s="473"/>
      <c r="V43" s="473"/>
      <c r="W43" s="473"/>
      <c r="X43" s="473"/>
    </row>
    <row r="44" ht="15.75" customHeight="1">
      <c r="A44" s="464" t="s">
        <v>14</v>
      </c>
      <c r="B44" s="465" t="s">
        <v>757</v>
      </c>
      <c r="C44" s="466" t="str">
        <f t="shared" si="5"/>
        <v>Sexta-Feira</v>
      </c>
      <c r="D44" s="467" t="str">
        <f>IF(C44&lt;&gt;"Quarta-Feira","14:20","09:20")</f>
        <v>14:20</v>
      </c>
      <c r="E44" s="468"/>
      <c r="F44" s="466"/>
      <c r="G44" s="469" t="s">
        <v>2798</v>
      </c>
      <c r="H44" s="470"/>
      <c r="I44" s="471"/>
      <c r="J44" s="466"/>
      <c r="K44" s="466"/>
      <c r="L44" s="472"/>
      <c r="M44" s="473"/>
      <c r="N44" s="475"/>
      <c r="O44" s="475"/>
      <c r="P44" s="475"/>
      <c r="Q44" s="475"/>
      <c r="R44" s="476"/>
      <c r="S44" s="473"/>
      <c r="T44" s="473"/>
      <c r="U44" s="473"/>
      <c r="V44" s="473"/>
      <c r="W44" s="473"/>
      <c r="X44" s="473"/>
    </row>
    <row r="45" ht="15.75" customHeight="1">
      <c r="A45" s="464" t="s">
        <v>11</v>
      </c>
      <c r="B45" s="465" t="s">
        <v>1467</v>
      </c>
      <c r="C45" s="466" t="str">
        <f t="shared" si="5"/>
        <v>Sexta-Feira</v>
      </c>
      <c r="D45" s="467" t="str">
        <f>IF(C45&lt;&gt;"Quarta-Feira","14:40","09:40")</f>
        <v>14:40</v>
      </c>
      <c r="E45" s="468"/>
      <c r="F45" s="466"/>
      <c r="G45" s="469" t="s">
        <v>2798</v>
      </c>
      <c r="H45" s="482"/>
      <c r="I45" s="471"/>
      <c r="J45" s="466"/>
      <c r="K45" s="466"/>
      <c r="L45" s="472"/>
      <c r="M45" s="473"/>
      <c r="N45" s="483"/>
      <c r="O45" s="2"/>
      <c r="P45" s="2"/>
      <c r="Q45" s="2"/>
      <c r="R45" s="2"/>
      <c r="S45" s="473"/>
      <c r="T45" s="473"/>
      <c r="U45" s="473"/>
      <c r="V45" s="473"/>
      <c r="W45" s="473"/>
      <c r="X45" s="473"/>
    </row>
    <row r="46" ht="15.75" customHeight="1">
      <c r="A46" s="464" t="s">
        <v>16</v>
      </c>
      <c r="B46" s="465" t="s">
        <v>216</v>
      </c>
      <c r="C46" s="466" t="str">
        <f t="shared" si="5"/>
        <v>Sexta-Feira</v>
      </c>
      <c r="D46" s="467" t="str">
        <f>IF(C46&lt;&gt;"Quarta-Feira","15:00","10:00")</f>
        <v>15:00</v>
      </c>
      <c r="E46" s="468"/>
      <c r="F46" s="466"/>
      <c r="G46" s="469" t="s">
        <v>2798</v>
      </c>
      <c r="H46" s="470"/>
      <c r="I46" s="471"/>
      <c r="J46" s="466"/>
      <c r="K46" s="466"/>
      <c r="L46" s="472"/>
      <c r="M46" s="473"/>
      <c r="N46" s="473"/>
      <c r="O46" s="473"/>
      <c r="P46" s="473"/>
      <c r="Q46" s="473"/>
      <c r="R46" s="484"/>
      <c r="S46" s="473"/>
      <c r="T46" s="473"/>
      <c r="U46" s="473"/>
      <c r="V46" s="473"/>
      <c r="W46" s="473"/>
      <c r="X46" s="473"/>
    </row>
    <row r="47" ht="15.75" customHeight="1">
      <c r="A47" s="464" t="s">
        <v>17</v>
      </c>
      <c r="B47" s="465" t="s">
        <v>197</v>
      </c>
      <c r="C47" s="466" t="str">
        <f t="shared" si="5"/>
        <v>Sexta-Feira</v>
      </c>
      <c r="D47" s="467" t="str">
        <f>IF(C47&lt;&gt;"Quarta-Feira","15:20","10:20")</f>
        <v>15:20</v>
      </c>
      <c r="E47" s="468"/>
      <c r="F47" s="466"/>
      <c r="G47" s="469" t="s">
        <v>2798</v>
      </c>
      <c r="H47" s="470"/>
      <c r="I47" s="471"/>
      <c r="J47" s="466"/>
      <c r="K47" s="466"/>
      <c r="L47" s="472"/>
      <c r="M47" s="473"/>
      <c r="N47" s="473"/>
      <c r="O47" s="473"/>
      <c r="P47" s="473"/>
      <c r="Q47" s="473"/>
      <c r="R47" s="484"/>
      <c r="S47" s="473"/>
      <c r="T47" s="473"/>
      <c r="U47" s="473"/>
      <c r="V47" s="473"/>
      <c r="W47" s="473"/>
      <c r="X47" s="473"/>
    </row>
    <row r="48" ht="15.75" customHeight="1">
      <c r="A48" s="464" t="s">
        <v>85</v>
      </c>
      <c r="B48" s="465" t="s">
        <v>1467</v>
      </c>
      <c r="C48" s="466" t="str">
        <f t="shared" si="5"/>
        <v>Sexta-Feira</v>
      </c>
      <c r="D48" s="467" t="str">
        <f>IF(C48&lt;&gt;"Quarta-Feira","15:40","10:40")</f>
        <v>15:40</v>
      </c>
      <c r="E48" s="468"/>
      <c r="F48" s="466"/>
      <c r="G48" s="469" t="s">
        <v>2798</v>
      </c>
      <c r="H48" s="470"/>
      <c r="I48" s="471"/>
      <c r="J48" s="466"/>
      <c r="K48" s="466"/>
      <c r="L48" s="472"/>
      <c r="M48" s="473"/>
      <c r="N48" s="473"/>
      <c r="O48" s="473"/>
      <c r="P48" s="473"/>
      <c r="Q48" s="473"/>
      <c r="R48" s="484"/>
      <c r="S48" s="473"/>
      <c r="T48" s="473"/>
      <c r="U48" s="473"/>
      <c r="V48" s="473"/>
      <c r="W48" s="473"/>
      <c r="X48" s="473"/>
    </row>
    <row r="49" ht="15.75" customHeight="1">
      <c r="A49" s="464" t="s">
        <v>87</v>
      </c>
      <c r="B49" s="465" t="s">
        <v>757</v>
      </c>
      <c r="C49" s="466" t="str">
        <f t="shared" si="5"/>
        <v>Sexta-Feira</v>
      </c>
      <c r="D49" s="467" t="str">
        <f>IF(C49&lt;&gt;"Quarta-Feira","16:00","11:00")</f>
        <v>16:00</v>
      </c>
      <c r="E49" s="468"/>
      <c r="F49" s="485"/>
      <c r="G49" s="469" t="s">
        <v>2798</v>
      </c>
      <c r="H49" s="470"/>
      <c r="I49" s="471"/>
      <c r="J49" s="466"/>
      <c r="K49" s="466"/>
      <c r="L49" s="472"/>
      <c r="M49" s="473"/>
      <c r="N49" s="473"/>
      <c r="O49" s="473"/>
      <c r="P49" s="473"/>
      <c r="Q49" s="473"/>
      <c r="R49" s="484"/>
      <c r="S49" s="473"/>
      <c r="T49" s="473"/>
      <c r="U49" s="473"/>
      <c r="V49" s="473"/>
      <c r="W49" s="473"/>
      <c r="X49" s="473"/>
    </row>
    <row r="50" ht="15.75" customHeight="1">
      <c r="A50" s="464" t="s">
        <v>90</v>
      </c>
      <c r="B50" s="465" t="s">
        <v>757</v>
      </c>
      <c r="C50" s="466" t="str">
        <f t="shared" si="5"/>
        <v>Sexta-Feira</v>
      </c>
      <c r="D50" s="467" t="str">
        <f>IF(C50&lt;&gt;"Quarta-Feira","16:20","11:20")</f>
        <v>16:20</v>
      </c>
      <c r="E50" s="468"/>
      <c r="F50" s="466"/>
      <c r="G50" s="469" t="s">
        <v>2798</v>
      </c>
      <c r="H50" s="486"/>
      <c r="I50" s="471"/>
      <c r="J50" s="466"/>
      <c r="K50" s="466"/>
      <c r="L50" s="472"/>
      <c r="M50" s="473"/>
      <c r="N50" s="473"/>
      <c r="O50" s="473"/>
      <c r="P50" s="473"/>
      <c r="Q50" s="473"/>
      <c r="R50" s="484"/>
      <c r="S50" s="473"/>
      <c r="T50" s="473"/>
      <c r="U50" s="473"/>
      <c r="V50" s="473"/>
      <c r="W50" s="473"/>
      <c r="X50" s="473"/>
    </row>
    <row r="51" ht="15.75" customHeight="1">
      <c r="A51" s="464" t="s">
        <v>93</v>
      </c>
      <c r="B51" s="465" t="s">
        <v>757</v>
      </c>
      <c r="C51" s="466" t="str">
        <f t="shared" si="5"/>
        <v>Sexta-Feira</v>
      </c>
      <c r="D51" s="467" t="str">
        <f>IF(C51&lt;&gt;"Quarta-Feira","16:40","11:40")</f>
        <v>16:40</v>
      </c>
      <c r="E51" s="468"/>
      <c r="F51" s="466"/>
      <c r="G51" s="469" t="s">
        <v>2798</v>
      </c>
      <c r="H51" s="470"/>
      <c r="I51" s="471"/>
      <c r="J51" s="466"/>
      <c r="K51" s="466"/>
      <c r="L51" s="472"/>
      <c r="M51" s="473"/>
      <c r="N51" s="473"/>
      <c r="O51" s="473"/>
      <c r="P51" s="473"/>
      <c r="Q51" s="473"/>
      <c r="R51" s="484"/>
      <c r="S51" s="473"/>
      <c r="T51" s="473"/>
      <c r="U51" s="473"/>
      <c r="V51" s="473"/>
      <c r="W51" s="473"/>
      <c r="X51" s="473"/>
    </row>
    <row r="52" ht="15.75" customHeight="1">
      <c r="B52" s="167"/>
      <c r="E52" s="454"/>
      <c r="G52" s="167"/>
      <c r="J52" s="62"/>
      <c r="K52" s="62"/>
      <c r="R52" s="62"/>
    </row>
    <row r="53" ht="15.75" customHeight="1">
      <c r="B53" s="167"/>
      <c r="E53" s="231"/>
      <c r="G53" s="167"/>
      <c r="J53" s="62"/>
      <c r="K53" s="62"/>
      <c r="R53" s="62"/>
    </row>
    <row r="54" ht="15.75" customHeight="1">
      <c r="B54" s="167"/>
      <c r="E54" s="231"/>
      <c r="G54" s="167"/>
      <c r="J54" s="62"/>
      <c r="K54" s="62"/>
      <c r="R54" s="62"/>
    </row>
    <row r="55" ht="15.75" customHeight="1">
      <c r="A55" s="20" t="s">
        <v>377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TEXT(DATE(VALUE(MID(A2,7,4)),VALUE(MID(A2,4,2)),VALUE(LEFT(A2,2)))+7,"dd/mm/yyyy")&amp;" 13h às 17h"</f>
        <v>06/04/2026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426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8.75" customHeight="1">
      <c r="A58" s="11" t="s">
        <v>10</v>
      </c>
      <c r="B58" s="125" t="s">
        <v>1357</v>
      </c>
      <c r="C58" s="69" t="str">
        <f>PROPER(TEXT(DATE(MID($A$56,7,4),MID($A$56,4,2),LEFT($A$56,2)),"dddd"))</f>
        <v>Segunda-Feira</v>
      </c>
      <c r="D58" s="445" t="str">
        <f>IF(C58&lt;&gt;"Quarta-Feira","13:00","08:00")</f>
        <v>13:00</v>
      </c>
      <c r="E58" s="253" t="s">
        <v>2799</v>
      </c>
      <c r="F58" s="69">
        <v>7.00502108752552E14</v>
      </c>
      <c r="G58" s="154" t="s">
        <v>2800</v>
      </c>
      <c r="H58" s="455">
        <v>19842.0</v>
      </c>
      <c r="I58" s="30" t="s">
        <v>182</v>
      </c>
      <c r="J58" s="69"/>
      <c r="K58" s="69"/>
      <c r="N58" s="237" t="s">
        <v>386</v>
      </c>
      <c r="O58" s="95"/>
      <c r="P58" s="95"/>
      <c r="Q58" s="95"/>
      <c r="R58" s="95"/>
    </row>
    <row r="59" ht="15.75" customHeight="1">
      <c r="A59" s="11" t="s">
        <v>11</v>
      </c>
      <c r="B59" s="125" t="s">
        <v>1358</v>
      </c>
      <c r="C59" s="69" t="s">
        <v>1294</v>
      </c>
      <c r="D59" s="445" t="str">
        <f>IF(C59&lt;&gt;"Quarta-Feira","13:20","08:20")</f>
        <v>13:20</v>
      </c>
      <c r="E59" s="253" t="s">
        <v>2801</v>
      </c>
      <c r="F59" s="69">
        <v>8.98000432963032E14</v>
      </c>
      <c r="G59" s="154" t="s">
        <v>2802</v>
      </c>
      <c r="H59" s="193">
        <v>24739.0</v>
      </c>
      <c r="I59" s="30" t="s">
        <v>182</v>
      </c>
      <c r="J59" s="69"/>
      <c r="K59" s="69"/>
      <c r="N59" s="239" t="s">
        <v>1823</v>
      </c>
      <c r="O59" s="2"/>
      <c r="P59" s="2"/>
      <c r="Q59" s="2"/>
      <c r="R59" s="2"/>
    </row>
    <row r="60" ht="15.75" customHeight="1">
      <c r="A60" s="11" t="s">
        <v>12</v>
      </c>
      <c r="B60" s="125" t="s">
        <v>1360</v>
      </c>
      <c r="C60" s="69" t="s">
        <v>1294</v>
      </c>
      <c r="D60" s="445" t="str">
        <f>IF(C60&lt;&gt;"Quarta-Feira","13:40","08:40")</f>
        <v>13:40</v>
      </c>
      <c r="E60" s="253" t="s">
        <v>2803</v>
      </c>
      <c r="F60" s="69">
        <v>7.02305105845216E14</v>
      </c>
      <c r="G60" s="487" t="s">
        <v>2804</v>
      </c>
      <c r="H60" s="193">
        <v>26334.0</v>
      </c>
      <c r="I60" s="30" t="s">
        <v>182</v>
      </c>
      <c r="J60" s="69"/>
      <c r="K60" s="69"/>
      <c r="N60" s="240" t="s">
        <v>182</v>
      </c>
      <c r="O60" s="241" t="s">
        <v>194</v>
      </c>
      <c r="P60" s="241" t="s">
        <v>180</v>
      </c>
      <c r="Q60" s="242" t="s">
        <v>172</v>
      </c>
      <c r="R60" s="62" t="s">
        <v>1822</v>
      </c>
    </row>
    <row r="61" ht="15.75" customHeight="1">
      <c r="A61" s="11" t="s">
        <v>13</v>
      </c>
      <c r="B61" s="125" t="s">
        <v>1362</v>
      </c>
      <c r="C61" s="69" t="s">
        <v>1294</v>
      </c>
      <c r="D61" s="445" t="str">
        <f>IF(C61&lt;&gt;"Quarta-Feira","14:00","09:00")</f>
        <v>14:00</v>
      </c>
      <c r="E61" s="253" t="s">
        <v>2805</v>
      </c>
      <c r="F61" s="69">
        <v>7.02800193684466E14</v>
      </c>
      <c r="G61" s="154" t="s">
        <v>2806</v>
      </c>
      <c r="H61" s="453">
        <v>30008.0</v>
      </c>
      <c r="I61" s="30" t="s">
        <v>182</v>
      </c>
      <c r="J61" s="69"/>
      <c r="K61" s="69"/>
      <c r="N61" s="244">
        <f t="shared" ref="N61:R61" si="7">COUNTIFS($I$58:$I$69,N60)</f>
        <v>12</v>
      </c>
      <c r="O61" s="244">
        <f t="shared" si="7"/>
        <v>0</v>
      </c>
      <c r="P61" s="244">
        <f t="shared" si="7"/>
        <v>0</v>
      </c>
      <c r="Q61" s="244">
        <f t="shared" si="7"/>
        <v>0</v>
      </c>
      <c r="R61" s="244">
        <f t="shared" si="7"/>
        <v>0</v>
      </c>
    </row>
    <row r="62" ht="15.75" customHeight="1">
      <c r="A62" s="11" t="s">
        <v>14</v>
      </c>
      <c r="B62" s="125" t="s">
        <v>1357</v>
      </c>
      <c r="C62" s="69" t="s">
        <v>1294</v>
      </c>
      <c r="D62" s="445" t="str">
        <f>IF(C62&lt;&gt;"Quarta-Feira","14:20","09:20")</f>
        <v>14:20</v>
      </c>
      <c r="E62" s="253" t="s">
        <v>2807</v>
      </c>
      <c r="F62" s="69">
        <v>7.00008889457109E14</v>
      </c>
      <c r="G62" s="154" t="s">
        <v>2808</v>
      </c>
      <c r="H62" s="193">
        <v>21777.0</v>
      </c>
      <c r="I62" s="30" t="s">
        <v>182</v>
      </c>
      <c r="J62" s="69"/>
      <c r="K62" s="69"/>
      <c r="R62" s="62"/>
    </row>
    <row r="63" ht="15.75" customHeight="1">
      <c r="A63" s="11" t="s">
        <v>15</v>
      </c>
      <c r="B63" s="125" t="s">
        <v>1362</v>
      </c>
      <c r="C63" s="69" t="s">
        <v>1294</v>
      </c>
      <c r="D63" s="445" t="str">
        <f>IF(C63&lt;&gt;"Quarta-Feira","14:40","09:40")</f>
        <v>14:40</v>
      </c>
      <c r="E63" s="253" t="s">
        <v>2809</v>
      </c>
      <c r="F63" s="69">
        <v>8.98001413699172E14</v>
      </c>
      <c r="G63" s="154" t="s">
        <v>1269</v>
      </c>
      <c r="H63" s="193">
        <v>26258.0</v>
      </c>
      <c r="I63" s="30" t="s">
        <v>182</v>
      </c>
      <c r="J63" s="69"/>
      <c r="K63" s="69"/>
      <c r="R63" s="62"/>
    </row>
    <row r="64" ht="15.75" customHeight="1">
      <c r="A64" s="11" t="s">
        <v>16</v>
      </c>
      <c r="B64" s="125" t="s">
        <v>1358</v>
      </c>
      <c r="C64" s="69" t="s">
        <v>1294</v>
      </c>
      <c r="D64" s="445" t="str">
        <f>IF(C64&lt;&gt;"Quarta-Feira","15:00","10:00")</f>
        <v>15:00</v>
      </c>
      <c r="E64" s="253" t="s">
        <v>2810</v>
      </c>
      <c r="F64" s="69">
        <v>7.02409591169725E14</v>
      </c>
      <c r="G64" s="487" t="s">
        <v>2811</v>
      </c>
      <c r="H64" s="193">
        <v>17697.0</v>
      </c>
      <c r="I64" s="30" t="s">
        <v>182</v>
      </c>
      <c r="J64" s="69"/>
      <c r="K64" s="69"/>
      <c r="R64" s="62"/>
    </row>
    <row r="65" ht="15.75" customHeight="1">
      <c r="A65" s="11" t="s">
        <v>17</v>
      </c>
      <c r="B65" s="125" t="s">
        <v>1360</v>
      </c>
      <c r="C65" s="69" t="s">
        <v>1294</v>
      </c>
      <c r="D65" s="445" t="str">
        <f>IF(C65&lt;&gt;"Quarta-Feira","15:20","10:20")</f>
        <v>15:20</v>
      </c>
      <c r="E65" s="253" t="s">
        <v>2812</v>
      </c>
      <c r="F65" s="69">
        <v>7.06907187586731E14</v>
      </c>
      <c r="G65" s="154" t="s">
        <v>2813</v>
      </c>
      <c r="H65" s="193">
        <v>29431.0</v>
      </c>
      <c r="I65" s="30" t="s">
        <v>182</v>
      </c>
      <c r="J65" s="69"/>
      <c r="K65" s="69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</row>
    <row r="66" ht="15.75" customHeight="1">
      <c r="A66" s="11" t="s">
        <v>85</v>
      </c>
      <c r="B66" s="125" t="s">
        <v>1357</v>
      </c>
      <c r="C66" s="69" t="s">
        <v>1294</v>
      </c>
      <c r="D66" s="445" t="str">
        <f>IF(C66&lt;&gt;"Quarta-Feira","15:40","10:40")</f>
        <v>15:40</v>
      </c>
      <c r="E66" s="253" t="s">
        <v>2814</v>
      </c>
      <c r="F66" s="69">
        <v>7.0450665285212E14</v>
      </c>
      <c r="G66" s="154" t="s">
        <v>2815</v>
      </c>
      <c r="H66" s="193">
        <v>26376.0</v>
      </c>
      <c r="I66" s="30" t="s">
        <v>182</v>
      </c>
      <c r="J66" s="69"/>
      <c r="K66" s="69"/>
      <c r="R66" s="62"/>
    </row>
    <row r="67" ht="15.75" customHeight="1">
      <c r="A67" s="11" t="s">
        <v>87</v>
      </c>
      <c r="B67" s="125" t="s">
        <v>1358</v>
      </c>
      <c r="C67" s="69" t="s">
        <v>1294</v>
      </c>
      <c r="D67" s="445" t="str">
        <f>IF(C67&lt;&gt;"Quarta-Feira","16:00","11:00")</f>
        <v>16:00</v>
      </c>
      <c r="E67" s="253" t="s">
        <v>2816</v>
      </c>
      <c r="F67" s="69">
        <v>7.08202123804248E14</v>
      </c>
      <c r="G67" s="154" t="s">
        <v>2817</v>
      </c>
      <c r="H67" s="193">
        <v>18913.0</v>
      </c>
      <c r="I67" s="30" t="s">
        <v>182</v>
      </c>
      <c r="J67" s="69"/>
      <c r="K67" s="69"/>
      <c r="R67" s="62"/>
    </row>
    <row r="68" ht="15.75" customHeight="1">
      <c r="A68" s="11" t="s">
        <v>90</v>
      </c>
      <c r="B68" s="125" t="s">
        <v>1360</v>
      </c>
      <c r="C68" s="69" t="s">
        <v>1294</v>
      </c>
      <c r="D68" s="445" t="str">
        <f>IF(C68&lt;&gt;"Quarta-Feira","16:20","11:20")</f>
        <v>16:20</v>
      </c>
      <c r="E68" s="253" t="s">
        <v>2818</v>
      </c>
      <c r="F68" s="69">
        <v>7.00000507395101E14</v>
      </c>
      <c r="G68" s="487" t="s">
        <v>2819</v>
      </c>
      <c r="H68" s="193">
        <v>18310.0</v>
      </c>
      <c r="I68" s="30" t="s">
        <v>182</v>
      </c>
      <c r="J68" s="69"/>
      <c r="K68" s="69"/>
      <c r="R68" s="62"/>
    </row>
    <row r="69" ht="15.75" customHeight="1">
      <c r="A69" s="11" t="s">
        <v>93</v>
      </c>
      <c r="B69" s="125" t="s">
        <v>1362</v>
      </c>
      <c r="C69" s="69" t="s">
        <v>1294</v>
      </c>
      <c r="D69" s="445" t="str">
        <f>IF(C69&lt;&gt;"Quarta-Feira","16:40","11:40")</f>
        <v>16:40</v>
      </c>
      <c r="E69" s="253" t="s">
        <v>2820</v>
      </c>
      <c r="F69" s="69">
        <v>7.04004304510964E14</v>
      </c>
      <c r="G69" s="154" t="s">
        <v>2821</v>
      </c>
      <c r="H69" s="193">
        <v>26805.0</v>
      </c>
      <c r="I69" s="30" t="s">
        <v>182</v>
      </c>
      <c r="J69" s="69"/>
      <c r="K69" s="69"/>
      <c r="R69" s="62"/>
    </row>
    <row r="70" ht="15.75" customHeight="1">
      <c r="B70" s="167"/>
      <c r="E70" s="231"/>
      <c r="G70" s="167"/>
      <c r="J70" s="62"/>
      <c r="K70" s="62"/>
      <c r="R70" s="62"/>
    </row>
    <row r="71" ht="15.75" customHeight="1">
      <c r="B71" s="167"/>
      <c r="E71" s="231"/>
      <c r="G71" s="167"/>
      <c r="J71" s="62"/>
      <c r="K71" s="62"/>
      <c r="R71" s="62"/>
    </row>
    <row r="72" ht="15.0" customHeight="1">
      <c r="B72" s="167"/>
      <c r="E72" s="231"/>
      <c r="G72" s="167"/>
      <c r="J72" s="62"/>
      <c r="K72" s="62"/>
      <c r="R72" s="62"/>
    </row>
    <row r="73" ht="15.75" customHeight="1">
      <c r="A73" s="20" t="s">
        <v>377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TEXT(DATE(VALUE(MID(A56,7,4)),VALUE(MID(A56,4,2)),VALUE(LEFT(A56,2)))+2,"dd/mm/yyyy")&amp;" 08h às 13h"</f>
        <v>08/04/2026 08h às 13h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426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5.75" customHeight="1">
      <c r="A76" s="11" t="s">
        <v>10</v>
      </c>
      <c r="B76" s="125" t="s">
        <v>65</v>
      </c>
      <c r="C76" s="69" t="str">
        <f t="shared" ref="C76:C87" si="8">PROPER(TEXT(DATE(MID($A$74,7,4),MID($A$74,4,2),LEFT($A$74,2)),"dddd"))</f>
        <v>Quarta-Feira</v>
      </c>
      <c r="D76" s="445" t="str">
        <f>IF(C76&lt;&gt;"Quarta-Feira","13:00","08:00")</f>
        <v>08:00</v>
      </c>
      <c r="E76" s="253" t="s">
        <v>2822</v>
      </c>
      <c r="F76" s="69">
        <v>8.98001409104313E14</v>
      </c>
      <c r="G76" s="154" t="s">
        <v>2823</v>
      </c>
      <c r="H76" s="193">
        <v>26041.0</v>
      </c>
      <c r="I76" s="30" t="s">
        <v>182</v>
      </c>
      <c r="J76" s="69"/>
      <c r="K76" s="69"/>
      <c r="L76" s="197" t="s">
        <v>520</v>
      </c>
      <c r="N76" s="237" t="s">
        <v>386</v>
      </c>
      <c r="O76" s="95"/>
      <c r="P76" s="95"/>
      <c r="Q76" s="95"/>
      <c r="R76" s="95"/>
    </row>
    <row r="77" ht="15.75" customHeight="1">
      <c r="A77" s="11" t="s">
        <v>11</v>
      </c>
      <c r="B77" s="125" t="s">
        <v>201</v>
      </c>
      <c r="C77" s="69" t="str">
        <f t="shared" si="8"/>
        <v>Quarta-Feira</v>
      </c>
      <c r="D77" s="445" t="str">
        <f>IF(C77&lt;&gt;"Quarta-Feira","13:20","08:20")</f>
        <v>08:20</v>
      </c>
      <c r="E77" s="253" t="s">
        <v>2824</v>
      </c>
      <c r="F77" s="69">
        <v>2.01536171490004E14</v>
      </c>
      <c r="G77" s="154" t="s">
        <v>2825</v>
      </c>
      <c r="H77" s="72">
        <v>17897.0</v>
      </c>
      <c r="I77" s="30" t="s">
        <v>182</v>
      </c>
      <c r="J77" s="69"/>
      <c r="K77" s="69"/>
      <c r="N77" s="239" t="s">
        <v>1823</v>
      </c>
      <c r="O77" s="2"/>
      <c r="P77" s="2"/>
      <c r="Q77" s="2"/>
      <c r="R77" s="2"/>
    </row>
    <row r="78" ht="15.75" customHeight="1">
      <c r="A78" s="11" t="s">
        <v>12</v>
      </c>
      <c r="B78" s="125" t="s">
        <v>1447</v>
      </c>
      <c r="C78" s="69" t="str">
        <f t="shared" si="8"/>
        <v>Quarta-Feira</v>
      </c>
      <c r="D78" s="445" t="str">
        <f>IF(C78&lt;&gt;"Quarta-Feira","13:40","08:40")</f>
        <v>08:40</v>
      </c>
      <c r="E78" s="253" t="s">
        <v>2826</v>
      </c>
      <c r="F78" s="69">
        <v>7.05209422794572E14</v>
      </c>
      <c r="G78" s="154" t="s">
        <v>2827</v>
      </c>
      <c r="H78" s="78"/>
      <c r="I78" s="30" t="s">
        <v>182</v>
      </c>
      <c r="J78" s="69"/>
      <c r="K78" s="69"/>
      <c r="L78" s="197" t="s">
        <v>520</v>
      </c>
      <c r="N78" s="240" t="s">
        <v>182</v>
      </c>
      <c r="O78" s="241" t="s">
        <v>194</v>
      </c>
      <c r="P78" s="241" t="s">
        <v>180</v>
      </c>
      <c r="Q78" s="242" t="s">
        <v>172</v>
      </c>
      <c r="R78" s="62" t="s">
        <v>1822</v>
      </c>
    </row>
    <row r="79" ht="15.75" customHeight="1">
      <c r="A79" s="11" t="s">
        <v>13</v>
      </c>
      <c r="B79" s="125" t="s">
        <v>821</v>
      </c>
      <c r="C79" s="69" t="str">
        <f t="shared" si="8"/>
        <v>Quarta-Feira</v>
      </c>
      <c r="D79" s="445" t="str">
        <f>IF(C79&lt;&gt;"Quarta-Feira","14:00","09:00")</f>
        <v>09:00</v>
      </c>
      <c r="E79" s="253" t="s">
        <v>2828</v>
      </c>
      <c r="F79" s="69">
        <v>7.0620903512936E14</v>
      </c>
      <c r="G79" s="433" t="s">
        <v>2829</v>
      </c>
      <c r="H79" s="78">
        <v>18297.0</v>
      </c>
      <c r="I79" s="30" t="s">
        <v>182</v>
      </c>
      <c r="J79" s="69"/>
      <c r="K79" s="69"/>
      <c r="L79" s="197" t="s">
        <v>520</v>
      </c>
      <c r="N79" s="244">
        <f t="shared" ref="N79:R79" si="9">COUNTIFS($I$76:$I$87,N78)</f>
        <v>11</v>
      </c>
      <c r="O79" s="244">
        <f t="shared" si="9"/>
        <v>0</v>
      </c>
      <c r="P79" s="244">
        <f t="shared" si="9"/>
        <v>0</v>
      </c>
      <c r="Q79" s="244">
        <f t="shared" si="9"/>
        <v>0</v>
      </c>
      <c r="R79" s="244">
        <f t="shared" si="9"/>
        <v>1</v>
      </c>
    </row>
    <row r="80" ht="18.0" customHeight="1">
      <c r="A80" s="11" t="s">
        <v>14</v>
      </c>
      <c r="B80" s="125" t="s">
        <v>201</v>
      </c>
      <c r="C80" s="69" t="str">
        <f t="shared" si="8"/>
        <v>Quarta-Feira</v>
      </c>
      <c r="D80" s="445" t="str">
        <f>IF(C80&lt;&gt;"Quarta-Feira","14:20","09:20")</f>
        <v>09:20</v>
      </c>
      <c r="E80" s="253" t="s">
        <v>2830</v>
      </c>
      <c r="F80" s="69">
        <v>2.01157051760009E14</v>
      </c>
      <c r="G80" s="154" t="s">
        <v>2831</v>
      </c>
      <c r="H80" s="78">
        <v>19972.0</v>
      </c>
      <c r="I80" s="30" t="s">
        <v>1822</v>
      </c>
      <c r="J80" s="69"/>
      <c r="K80" s="69"/>
      <c r="L80" s="197" t="s">
        <v>520</v>
      </c>
      <c r="R80" s="62"/>
    </row>
    <row r="81" ht="15.75" customHeight="1">
      <c r="A81" s="11" t="s">
        <v>15</v>
      </c>
      <c r="B81" s="125" t="s">
        <v>1447</v>
      </c>
      <c r="C81" s="69" t="str">
        <f t="shared" si="8"/>
        <v>Quarta-Feira</v>
      </c>
      <c r="D81" s="445" t="str">
        <f>IF(C81&lt;&gt;"Quarta-Feira","14:40","09:40")</f>
        <v>09:40</v>
      </c>
      <c r="E81" s="253" t="s">
        <v>2832</v>
      </c>
      <c r="F81" s="69">
        <v>7.09009855265414E14</v>
      </c>
      <c r="G81" s="154" t="s">
        <v>2833</v>
      </c>
      <c r="H81" s="78">
        <v>13979.0</v>
      </c>
      <c r="I81" s="30" t="s">
        <v>182</v>
      </c>
      <c r="J81" s="69"/>
      <c r="K81" s="69"/>
      <c r="L81" s="197" t="s">
        <v>520</v>
      </c>
      <c r="R81" s="62"/>
    </row>
    <row r="82" ht="15.75" customHeight="1">
      <c r="A82" s="11" t="s">
        <v>16</v>
      </c>
      <c r="B82" s="125" t="s">
        <v>65</v>
      </c>
      <c r="C82" s="69" t="str">
        <f t="shared" si="8"/>
        <v>Quarta-Feira</v>
      </c>
      <c r="D82" s="445" t="str">
        <f>IF(C82&lt;&gt;"Quarta-Feira","15:00","10:00")</f>
        <v>10:00</v>
      </c>
      <c r="E82" s="253" t="s">
        <v>2834</v>
      </c>
      <c r="F82" s="69">
        <v>7.02808674195265E14</v>
      </c>
      <c r="G82" s="154" t="s">
        <v>2835</v>
      </c>
      <c r="H82" s="78">
        <v>32881.0</v>
      </c>
      <c r="I82" s="30" t="s">
        <v>182</v>
      </c>
      <c r="J82" s="69"/>
      <c r="K82" s="69"/>
      <c r="L82" s="197" t="s">
        <v>520</v>
      </c>
      <c r="R82" s="62"/>
    </row>
    <row r="83" ht="15.75" customHeight="1">
      <c r="A83" s="11" t="s">
        <v>178</v>
      </c>
      <c r="B83" s="125" t="s">
        <v>201</v>
      </c>
      <c r="C83" s="69" t="str">
        <f t="shared" si="8"/>
        <v>Quarta-Feira</v>
      </c>
      <c r="D83" s="445" t="str">
        <f>IF(C83&lt;&gt;"Quarta-Feira","15:20","10:20")</f>
        <v>10:20</v>
      </c>
      <c r="E83" s="253" t="s">
        <v>2836</v>
      </c>
      <c r="F83" s="69">
        <v>8.01440409468768E14</v>
      </c>
      <c r="G83" s="154" t="s">
        <v>2837</v>
      </c>
      <c r="H83" s="72">
        <v>19094.0</v>
      </c>
      <c r="I83" s="30" t="s">
        <v>182</v>
      </c>
      <c r="J83" s="69"/>
      <c r="K83" s="69"/>
      <c r="L83" s="197" t="s">
        <v>520</v>
      </c>
      <c r="R83" s="62"/>
    </row>
    <row r="84" ht="15.75" customHeight="1">
      <c r="A84" s="11" t="s">
        <v>85</v>
      </c>
      <c r="B84" s="125" t="s">
        <v>821</v>
      </c>
      <c r="C84" s="69" t="str">
        <f t="shared" si="8"/>
        <v>Quarta-Feira</v>
      </c>
      <c r="D84" s="445" t="str">
        <f>IF(C84&lt;&gt;"Quarta-Feira","15:40","10:40")</f>
        <v>10:40</v>
      </c>
      <c r="E84" s="253" t="s">
        <v>2838</v>
      </c>
      <c r="F84" s="69">
        <v>7.08408216708668E14</v>
      </c>
      <c r="G84" s="154" t="s">
        <v>1840</v>
      </c>
      <c r="H84" s="78">
        <v>19730.0</v>
      </c>
      <c r="I84" s="30" t="s">
        <v>182</v>
      </c>
      <c r="J84" s="69"/>
      <c r="K84" s="69"/>
      <c r="L84" s="197" t="s">
        <v>520</v>
      </c>
      <c r="R84" s="62"/>
    </row>
    <row r="85" ht="15.75" customHeight="1">
      <c r="A85" s="11" t="s">
        <v>87</v>
      </c>
      <c r="B85" s="125" t="s">
        <v>1447</v>
      </c>
      <c r="C85" s="69" t="str">
        <f t="shared" si="8"/>
        <v>Quarta-Feira</v>
      </c>
      <c r="D85" s="445" t="str">
        <f>IF(C85&lt;&gt;"Quarta-Feira","16:00","11:00")</f>
        <v>11:00</v>
      </c>
      <c r="E85" s="253" t="s">
        <v>2839</v>
      </c>
      <c r="F85" s="69">
        <v>7.00809476125982E14</v>
      </c>
      <c r="G85" s="154" t="s">
        <v>2840</v>
      </c>
      <c r="H85" s="153">
        <v>24802.0</v>
      </c>
      <c r="I85" s="30" t="s">
        <v>182</v>
      </c>
      <c r="J85" s="69"/>
      <c r="K85" s="69"/>
      <c r="L85" s="197" t="s">
        <v>520</v>
      </c>
      <c r="R85" s="62"/>
    </row>
    <row r="86" ht="15.75" customHeight="1">
      <c r="A86" s="11" t="s">
        <v>90</v>
      </c>
      <c r="B86" s="125" t="s">
        <v>821</v>
      </c>
      <c r="C86" s="69" t="str">
        <f t="shared" si="8"/>
        <v>Quarta-Feira</v>
      </c>
      <c r="D86" s="445" t="str">
        <f>IF(C86&lt;&gt;"Quarta-Feira","16:20","11:20")</f>
        <v>11:20</v>
      </c>
      <c r="E86" s="253" t="s">
        <v>2841</v>
      </c>
      <c r="F86" s="69">
        <v>8.98000422262155E14</v>
      </c>
      <c r="G86" s="154" t="s">
        <v>2842</v>
      </c>
      <c r="H86" s="153">
        <v>27187.0</v>
      </c>
      <c r="I86" s="30" t="s">
        <v>182</v>
      </c>
      <c r="J86" s="69"/>
      <c r="K86" s="69"/>
      <c r="L86" s="197" t="s">
        <v>520</v>
      </c>
      <c r="R86" s="62"/>
    </row>
    <row r="87" ht="15.75" customHeight="1">
      <c r="A87" s="11" t="s">
        <v>93</v>
      </c>
      <c r="B87" s="125" t="s">
        <v>65</v>
      </c>
      <c r="C87" s="69" t="str">
        <f t="shared" si="8"/>
        <v>Quarta-Feira</v>
      </c>
      <c r="D87" s="445" t="str">
        <f>IF(C87&lt;&gt;"Quarta-Feira","16:40","11:40")</f>
        <v>11:40</v>
      </c>
      <c r="E87" s="253" t="s">
        <v>2843</v>
      </c>
      <c r="F87" s="69">
        <v>7.00005032287703E14</v>
      </c>
      <c r="G87" s="154" t="s">
        <v>2844</v>
      </c>
      <c r="H87" s="153">
        <v>14500.0</v>
      </c>
      <c r="I87" s="30" t="s">
        <v>182</v>
      </c>
      <c r="J87" s="69"/>
      <c r="K87" s="69"/>
      <c r="R87" s="62"/>
    </row>
    <row r="88" ht="15.75" customHeight="1">
      <c r="B88" s="167"/>
      <c r="E88" s="231"/>
      <c r="G88" s="167"/>
      <c r="J88" s="62"/>
      <c r="K88" s="62"/>
      <c r="R88" s="62"/>
    </row>
    <row r="89" ht="15.75" customHeight="1">
      <c r="B89" s="167"/>
      <c r="E89" s="231"/>
      <c r="G89" s="167"/>
      <c r="J89" s="62"/>
      <c r="K89" s="62"/>
      <c r="R89" s="62"/>
    </row>
    <row r="90" ht="15.75" customHeight="1">
      <c r="B90" s="167"/>
      <c r="E90" s="231"/>
      <c r="G90" s="167"/>
      <c r="J90" s="62"/>
      <c r="K90" s="62"/>
      <c r="R90" s="62"/>
    </row>
    <row r="91" ht="15.75" customHeight="1">
      <c r="A91" s="20" t="s">
        <v>377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08h às 13h"</f>
        <v>10/04/2026 08h às 13h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426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34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2380</v>
      </c>
      <c r="C94" s="69" t="str">
        <f t="shared" ref="C94:C105" si="10">PROPER(TEXT(DATE(MID($A$92,7,4),MID($A$92,4,2),LEFT($A$92,2)),"dddd"))</f>
        <v>Sexta-Feira</v>
      </c>
      <c r="D94" s="445" t="str">
        <f>IF(C94&lt;&gt;"Quarta-Feira","13:00","08:00")</f>
        <v>13:00</v>
      </c>
      <c r="E94" s="253" t="s">
        <v>2845</v>
      </c>
      <c r="F94" s="69">
        <v>7.04803514259542E14</v>
      </c>
      <c r="G94" s="154" t="s">
        <v>2846</v>
      </c>
      <c r="H94" s="193">
        <v>17759.0</v>
      </c>
      <c r="I94" s="30" t="s">
        <v>182</v>
      </c>
      <c r="J94" s="69"/>
      <c r="K94" s="69"/>
      <c r="L94" s="197" t="s">
        <v>520</v>
      </c>
      <c r="N94" s="237" t="s">
        <v>386</v>
      </c>
      <c r="O94" s="95"/>
      <c r="P94" s="95"/>
      <c r="Q94" s="95"/>
      <c r="R94" s="95"/>
    </row>
    <row r="95" ht="15.75" customHeight="1">
      <c r="A95" s="11" t="s">
        <v>11</v>
      </c>
      <c r="B95" s="205" t="s">
        <v>2383</v>
      </c>
      <c r="C95" s="69" t="str">
        <f t="shared" si="10"/>
        <v>Sexta-Feira</v>
      </c>
      <c r="D95" s="445" t="str">
        <f>IF(C95&lt;&gt;"Quarta-Feira","13:20","08:20")</f>
        <v>13:20</v>
      </c>
      <c r="E95" s="253" t="s">
        <v>2847</v>
      </c>
      <c r="F95" s="69">
        <v>7.01202086987413E14</v>
      </c>
      <c r="G95" s="154" t="s">
        <v>2848</v>
      </c>
      <c r="H95" s="72">
        <v>20542.0</v>
      </c>
      <c r="I95" s="30" t="s">
        <v>182</v>
      </c>
      <c r="J95" s="69"/>
      <c r="K95" s="69"/>
      <c r="N95" s="239" t="s">
        <v>1823</v>
      </c>
      <c r="O95" s="2"/>
      <c r="P95" s="2"/>
      <c r="Q95" s="2"/>
      <c r="R95" s="2"/>
    </row>
    <row r="96" ht="15.75" customHeight="1">
      <c r="A96" s="11" t="s">
        <v>12</v>
      </c>
      <c r="B96" s="205" t="s">
        <v>2386</v>
      </c>
      <c r="C96" s="69" t="str">
        <f t="shared" si="10"/>
        <v>Sexta-Feira</v>
      </c>
      <c r="D96" s="445" t="str">
        <f>IF(C96&lt;&gt;"Quarta-Feira","13:40","08:40")</f>
        <v>13:40</v>
      </c>
      <c r="E96" s="253" t="s">
        <v>2849</v>
      </c>
      <c r="F96" s="69">
        <v>7.07403027896677E14</v>
      </c>
      <c r="G96" s="154" t="s">
        <v>2850</v>
      </c>
      <c r="H96" s="78">
        <v>40932.0</v>
      </c>
      <c r="I96" s="30" t="s">
        <v>182</v>
      </c>
      <c r="J96" s="69"/>
      <c r="K96" s="69"/>
      <c r="L96" s="197" t="s">
        <v>520</v>
      </c>
      <c r="N96" s="240" t="s">
        <v>182</v>
      </c>
      <c r="O96" s="241" t="s">
        <v>194</v>
      </c>
      <c r="P96" s="241" t="s">
        <v>180</v>
      </c>
      <c r="Q96" s="242" t="s">
        <v>172</v>
      </c>
      <c r="R96" s="62" t="s">
        <v>1822</v>
      </c>
    </row>
    <row r="97" ht="15.75" customHeight="1">
      <c r="A97" s="11" t="s">
        <v>13</v>
      </c>
      <c r="B97" s="205" t="s">
        <v>2389</v>
      </c>
      <c r="C97" s="69" t="str">
        <f t="shared" si="10"/>
        <v>Sexta-Feira</v>
      </c>
      <c r="D97" s="445" t="str">
        <f>IF(C97&lt;&gt;"Quarta-Feira","14:00","09:00")</f>
        <v>14:00</v>
      </c>
      <c r="E97" s="253" t="s">
        <v>2851</v>
      </c>
      <c r="F97" s="69">
        <v>7.08602001233382E14</v>
      </c>
      <c r="G97" s="154" t="s">
        <v>2852</v>
      </c>
      <c r="H97" s="78">
        <v>22970.0</v>
      </c>
      <c r="I97" s="30" t="s">
        <v>182</v>
      </c>
      <c r="J97" s="69"/>
      <c r="K97" s="69"/>
      <c r="L97" s="197" t="s">
        <v>520</v>
      </c>
      <c r="N97" s="244">
        <f t="shared" ref="N97:Q97" si="11">COUNTIFS($I$94:$I$105,N96)</f>
        <v>10</v>
      </c>
      <c r="O97" s="244">
        <f t="shared" si="11"/>
        <v>0</v>
      </c>
      <c r="P97" s="244">
        <f t="shared" si="11"/>
        <v>0</v>
      </c>
      <c r="Q97" s="244">
        <f t="shared" si="11"/>
        <v>0</v>
      </c>
      <c r="R97" s="62">
        <f>COUNTIFS(I94:I105,R96)</f>
        <v>2</v>
      </c>
    </row>
    <row r="98" ht="15.75" customHeight="1">
      <c r="A98" s="11" t="s">
        <v>14</v>
      </c>
      <c r="B98" s="205" t="s">
        <v>2380</v>
      </c>
      <c r="C98" s="69" t="str">
        <f t="shared" si="10"/>
        <v>Sexta-Feira</v>
      </c>
      <c r="D98" s="445" t="str">
        <f>IF(C98&lt;&gt;"Quarta-Feira","14:20","09:20")</f>
        <v>14:20</v>
      </c>
      <c r="E98" s="253" t="s">
        <v>2853</v>
      </c>
      <c r="F98" s="69">
        <v>2.01151112170006E14</v>
      </c>
      <c r="G98" s="197" t="s">
        <v>2854</v>
      </c>
      <c r="H98" s="78">
        <v>17124.0</v>
      </c>
      <c r="I98" s="30" t="s">
        <v>182</v>
      </c>
      <c r="J98" s="69"/>
      <c r="K98" s="69"/>
      <c r="L98" s="197" t="s">
        <v>520</v>
      </c>
      <c r="R98" s="62"/>
    </row>
    <row r="99" ht="15.75" customHeight="1">
      <c r="A99" s="11" t="s">
        <v>15</v>
      </c>
      <c r="B99" s="205" t="s">
        <v>2383</v>
      </c>
      <c r="C99" s="69" t="str">
        <f t="shared" si="10"/>
        <v>Sexta-Feira</v>
      </c>
      <c r="D99" s="445" t="str">
        <f>IF(C99&lt;&gt;"Quarta-Feira","14:40","09:40")</f>
        <v>14:40</v>
      </c>
      <c r="E99" s="253" t="s">
        <v>2855</v>
      </c>
      <c r="F99" s="69">
        <v>7.08700183893399E14</v>
      </c>
      <c r="G99" s="154" t="s">
        <v>2856</v>
      </c>
      <c r="H99" s="78">
        <v>22571.0</v>
      </c>
      <c r="I99" s="30" t="s">
        <v>182</v>
      </c>
      <c r="J99" s="69"/>
      <c r="K99" s="69"/>
      <c r="L99" s="197" t="s">
        <v>520</v>
      </c>
      <c r="R99" s="62"/>
    </row>
    <row r="100" ht="15.75" customHeight="1">
      <c r="A100" s="11" t="s">
        <v>16</v>
      </c>
      <c r="B100" s="205" t="s">
        <v>2386</v>
      </c>
      <c r="C100" s="69" t="str">
        <f t="shared" si="10"/>
        <v>Sexta-Feira</v>
      </c>
      <c r="D100" s="445" t="str">
        <f>IF(C100&lt;&gt;"Quarta-Feira","15:00","10:00")</f>
        <v>15:00</v>
      </c>
      <c r="E100" s="253" t="s">
        <v>2857</v>
      </c>
      <c r="F100" s="69">
        <v>8.9800146885862E14</v>
      </c>
      <c r="G100" s="154" t="s">
        <v>2858</v>
      </c>
      <c r="H100" s="78">
        <v>41253.0</v>
      </c>
      <c r="I100" s="30" t="s">
        <v>182</v>
      </c>
      <c r="J100" s="69"/>
      <c r="K100" s="69"/>
      <c r="R100" s="62"/>
    </row>
    <row r="101" ht="15.75" customHeight="1">
      <c r="A101" s="11" t="s">
        <v>17</v>
      </c>
      <c r="B101" s="205" t="s">
        <v>2389</v>
      </c>
      <c r="C101" s="69" t="str">
        <f t="shared" si="10"/>
        <v>Sexta-Feira</v>
      </c>
      <c r="D101" s="445" t="str">
        <f>IF(C101&lt;&gt;"Quarta-Feira","15:20","10:20")</f>
        <v>15:20</v>
      </c>
      <c r="E101" s="253" t="s">
        <v>2859</v>
      </c>
      <c r="F101" s="69">
        <v>7.08004885075122E14</v>
      </c>
      <c r="G101" s="154" t="s">
        <v>88</v>
      </c>
      <c r="H101" s="72">
        <v>16117.0</v>
      </c>
      <c r="I101" s="30" t="s">
        <v>182</v>
      </c>
      <c r="J101" s="69"/>
      <c r="K101" s="69"/>
      <c r="R101" s="62"/>
    </row>
    <row r="102" ht="15.75" customHeight="1">
      <c r="A102" s="11" t="s">
        <v>85</v>
      </c>
      <c r="B102" s="205" t="s">
        <v>2383</v>
      </c>
      <c r="C102" s="69" t="str">
        <f t="shared" si="10"/>
        <v>Sexta-Feira</v>
      </c>
      <c r="D102" s="445" t="str">
        <f>IF(C102&lt;&gt;"Quarta-Feira","15:40","10:40")</f>
        <v>15:40</v>
      </c>
      <c r="E102" s="253" t="s">
        <v>2860</v>
      </c>
      <c r="F102" s="69">
        <v>7.05205400409672E14</v>
      </c>
      <c r="G102" s="154" t="s">
        <v>2861</v>
      </c>
      <c r="H102" s="78">
        <v>19049.0</v>
      </c>
      <c r="I102" s="30" t="s">
        <v>182</v>
      </c>
      <c r="J102" s="69"/>
      <c r="K102" s="69"/>
      <c r="L102" s="197" t="s">
        <v>576</v>
      </c>
      <c r="R102" s="62"/>
    </row>
    <row r="103" ht="15.75" customHeight="1">
      <c r="A103" s="11" t="s">
        <v>87</v>
      </c>
      <c r="B103" s="205" t="s">
        <v>2380</v>
      </c>
      <c r="C103" s="69" t="str">
        <f t="shared" si="10"/>
        <v>Sexta-Feira</v>
      </c>
      <c r="D103" s="445" t="str">
        <f>IF(C103&lt;&gt;"Quarta-Feira","16:00","11:00")</f>
        <v>16:00</v>
      </c>
      <c r="E103" s="253" t="s">
        <v>2862</v>
      </c>
      <c r="F103" s="69">
        <v>7.09800084956292E14</v>
      </c>
      <c r="G103" s="154" t="s">
        <v>2863</v>
      </c>
      <c r="H103" s="153">
        <v>28602.0</v>
      </c>
      <c r="I103" s="30" t="s">
        <v>1822</v>
      </c>
      <c r="J103" s="69"/>
      <c r="K103" s="69"/>
      <c r="R103" s="62"/>
    </row>
    <row r="104" ht="15.75" customHeight="1">
      <c r="A104" s="11" t="s">
        <v>90</v>
      </c>
      <c r="B104" s="205" t="s">
        <v>2380</v>
      </c>
      <c r="C104" s="69" t="str">
        <f t="shared" si="10"/>
        <v>Sexta-Feira</v>
      </c>
      <c r="D104" s="445" t="str">
        <f>IF(C104&lt;&gt;"Quarta-Feira","16:20","11:20")</f>
        <v>16:20</v>
      </c>
      <c r="E104" s="253" t="s">
        <v>2864</v>
      </c>
      <c r="F104" s="69">
        <v>7.03404239096419E14</v>
      </c>
      <c r="G104" s="154" t="s">
        <v>2865</v>
      </c>
      <c r="H104" s="153">
        <v>26728.0</v>
      </c>
      <c r="I104" s="30" t="s">
        <v>1822</v>
      </c>
      <c r="J104" s="69"/>
      <c r="K104" s="69"/>
      <c r="R104" s="62"/>
    </row>
    <row r="105" ht="15.75" customHeight="1">
      <c r="A105" s="11" t="s">
        <v>93</v>
      </c>
      <c r="B105" s="205" t="s">
        <v>2380</v>
      </c>
      <c r="C105" s="69" t="str">
        <f t="shared" si="10"/>
        <v>Sexta-Feira</v>
      </c>
      <c r="D105" s="445" t="str">
        <f>IF(C105&lt;&gt;"Quarta-Feira","16:40","11:40")</f>
        <v>16:40</v>
      </c>
      <c r="E105" s="253" t="s">
        <v>2866</v>
      </c>
      <c r="F105" s="69">
        <v>7.08904734779513E14</v>
      </c>
      <c r="G105" s="154" t="s">
        <v>819</v>
      </c>
      <c r="H105" s="153">
        <v>20748.0</v>
      </c>
      <c r="I105" s="30" t="s">
        <v>182</v>
      </c>
      <c r="J105" s="69"/>
      <c r="K105" s="69"/>
      <c r="R105" s="62"/>
    </row>
    <row r="106" ht="15.75" customHeight="1">
      <c r="B106" s="167"/>
      <c r="E106" s="231"/>
      <c r="G106" s="167"/>
      <c r="J106" s="62"/>
      <c r="K106" s="62"/>
      <c r="R106" s="62"/>
    </row>
    <row r="107" ht="15.75" customHeight="1">
      <c r="B107" s="167"/>
      <c r="E107" s="231"/>
      <c r="G107" s="167"/>
      <c r="J107" s="62"/>
      <c r="K107" s="62"/>
      <c r="R107" s="62"/>
    </row>
    <row r="108" ht="15.75" customHeight="1">
      <c r="B108" s="167"/>
      <c r="E108" s="231"/>
      <c r="G108" s="167"/>
      <c r="J108" s="62"/>
      <c r="K108" s="62"/>
      <c r="R108" s="62"/>
    </row>
    <row r="109" ht="15.75" customHeight="1">
      <c r="A109" s="20" t="s">
        <v>377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TEXT(DATE(VALUE(MID(A56,7,4)),VALUE(MID(A56,4,2)),VALUE(LEFT(A56,2)))+7,"dd/mm/yyyy")&amp;" 13h às 17h"</f>
        <v>13/04/2026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426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1980</v>
      </c>
      <c r="C112" s="69" t="str">
        <f t="shared" ref="C112:C123" si="12">PROPER(TEXT(DATE(MID($A$110,7,4),MID($A$110,4,2),LEFT($A$110,2)),"dddd"))</f>
        <v>Segunda-Feira</v>
      </c>
      <c r="D112" s="445" t="str">
        <f>IF(C112&lt;&gt;"Quarta-Feira","13:00","08:00")</f>
        <v>13:00</v>
      </c>
      <c r="E112" s="253" t="s">
        <v>2867</v>
      </c>
      <c r="F112" s="69">
        <v>7.0890370748851E14</v>
      </c>
      <c r="G112" s="154" t="s">
        <v>2868</v>
      </c>
      <c r="H112" s="453">
        <v>14767.0</v>
      </c>
      <c r="I112" s="30" t="s">
        <v>182</v>
      </c>
      <c r="J112" s="69"/>
      <c r="K112" s="69"/>
      <c r="N112" s="237" t="s">
        <v>386</v>
      </c>
      <c r="O112" s="95"/>
      <c r="P112" s="95"/>
      <c r="Q112" s="95"/>
      <c r="R112" s="95"/>
    </row>
    <row r="113" ht="15.75" customHeight="1">
      <c r="A113" s="11" t="s">
        <v>11</v>
      </c>
      <c r="B113" s="205" t="s">
        <v>1984</v>
      </c>
      <c r="C113" s="69" t="str">
        <f t="shared" si="12"/>
        <v>Segunda-Feira</v>
      </c>
      <c r="D113" s="445" t="str">
        <f>IF(C113&lt;&gt;"Quarta-Feira","13:20","08:20")</f>
        <v>13:20</v>
      </c>
      <c r="E113" s="253" t="s">
        <v>2869</v>
      </c>
      <c r="F113" s="69">
        <v>7.04107132264075E14</v>
      </c>
      <c r="G113" s="154" t="s">
        <v>2870</v>
      </c>
      <c r="H113" s="72">
        <v>23959.0</v>
      </c>
      <c r="I113" s="30" t="s">
        <v>182</v>
      </c>
      <c r="J113" s="69"/>
      <c r="K113" s="69"/>
      <c r="N113" s="239" t="s">
        <v>1823</v>
      </c>
      <c r="O113" s="2"/>
      <c r="P113" s="2"/>
      <c r="Q113" s="2"/>
      <c r="R113" s="2"/>
    </row>
    <row r="114" ht="15.75" customHeight="1">
      <c r="A114" s="11" t="s">
        <v>12</v>
      </c>
      <c r="B114" s="205" t="s">
        <v>1988</v>
      </c>
      <c r="C114" s="69" t="str">
        <f t="shared" si="12"/>
        <v>Segunda-Feira</v>
      </c>
      <c r="D114" s="445" t="str">
        <f>IF(C114&lt;&gt;"Quarta-Feira","13:40","08:40")</f>
        <v>13:40</v>
      </c>
      <c r="E114" s="253" t="s">
        <v>2871</v>
      </c>
      <c r="F114" s="69">
        <v>7.0030840468144E14</v>
      </c>
      <c r="G114" s="154" t="s">
        <v>166</v>
      </c>
      <c r="H114" s="78">
        <v>23460.0</v>
      </c>
      <c r="I114" s="30" t="s">
        <v>182</v>
      </c>
      <c r="J114" s="69"/>
      <c r="K114" s="69"/>
      <c r="N114" s="240" t="s">
        <v>182</v>
      </c>
      <c r="O114" s="241" t="s">
        <v>194</v>
      </c>
      <c r="P114" s="241" t="s">
        <v>180</v>
      </c>
      <c r="Q114" s="242" t="s">
        <v>172</v>
      </c>
      <c r="R114" s="62" t="s">
        <v>1822</v>
      </c>
    </row>
    <row r="115" ht="15.75" customHeight="1">
      <c r="A115" s="11" t="s">
        <v>13</v>
      </c>
      <c r="B115" s="205" t="s">
        <v>1991</v>
      </c>
      <c r="C115" s="69" t="str">
        <f t="shared" si="12"/>
        <v>Segunda-Feira</v>
      </c>
      <c r="D115" s="445" t="str">
        <f>IF(C115&lt;&gt;"Quarta-Feira","14:00","09:00")</f>
        <v>14:00</v>
      </c>
      <c r="E115" s="253" t="s">
        <v>2872</v>
      </c>
      <c r="F115" s="69">
        <v>8.98001454086957E14</v>
      </c>
      <c r="G115" s="154" t="s">
        <v>2873</v>
      </c>
      <c r="H115" s="72">
        <v>35553.0</v>
      </c>
      <c r="I115" s="30" t="s">
        <v>182</v>
      </c>
      <c r="J115" s="69"/>
      <c r="K115" s="69"/>
      <c r="N115" s="244">
        <f t="shared" ref="N115:R115" si="13">COUNTIFS($I$112:$I$123,N114)</f>
        <v>10</v>
      </c>
      <c r="O115" s="244">
        <f t="shared" si="13"/>
        <v>0</v>
      </c>
      <c r="P115" s="244">
        <f t="shared" si="13"/>
        <v>0</v>
      </c>
      <c r="Q115" s="244">
        <f t="shared" si="13"/>
        <v>0</v>
      </c>
      <c r="R115" s="244">
        <f t="shared" si="13"/>
        <v>2</v>
      </c>
    </row>
    <row r="116" ht="15.75" customHeight="1">
      <c r="A116" s="11" t="s">
        <v>14</v>
      </c>
      <c r="B116" s="205" t="s">
        <v>1980</v>
      </c>
      <c r="C116" s="69" t="str">
        <f t="shared" si="12"/>
        <v>Segunda-Feira</v>
      </c>
      <c r="D116" s="445" t="str">
        <f>IF(C116&lt;&gt;"Quarta-Feira","14:20","09:20")</f>
        <v>14:20</v>
      </c>
      <c r="E116" s="253" t="s">
        <v>2874</v>
      </c>
      <c r="F116" s="69">
        <v>8.01440426782955E14</v>
      </c>
      <c r="G116" s="154" t="s">
        <v>2875</v>
      </c>
      <c r="H116" s="78">
        <v>23389.0</v>
      </c>
      <c r="I116" s="30" t="s">
        <v>182</v>
      </c>
      <c r="J116" s="69"/>
      <c r="K116" s="69"/>
      <c r="R116" s="62"/>
    </row>
    <row r="117" ht="15.75" customHeight="1">
      <c r="A117" s="11" t="s">
        <v>15</v>
      </c>
      <c r="B117" s="205" t="s">
        <v>1984</v>
      </c>
      <c r="C117" s="69" t="str">
        <f t="shared" si="12"/>
        <v>Segunda-Feira</v>
      </c>
      <c r="D117" s="445" t="str">
        <f>IF(C117&lt;&gt;"Quarta-Feira","14:40","09:40")</f>
        <v>14:40</v>
      </c>
      <c r="E117" s="253" t="s">
        <v>2876</v>
      </c>
      <c r="F117" s="69">
        <v>8.0144041528074E14</v>
      </c>
      <c r="G117" s="154" t="s">
        <v>2877</v>
      </c>
      <c r="H117" s="78">
        <v>19315.0</v>
      </c>
      <c r="I117" s="30" t="s">
        <v>182</v>
      </c>
      <c r="J117" s="69"/>
      <c r="K117" s="69"/>
      <c r="R117" s="62"/>
    </row>
    <row r="118" ht="15.75" customHeight="1">
      <c r="A118" s="11" t="s">
        <v>16</v>
      </c>
      <c r="B118" s="205" t="s">
        <v>1988</v>
      </c>
      <c r="C118" s="69" t="str">
        <f t="shared" si="12"/>
        <v>Segunda-Feira</v>
      </c>
      <c r="D118" s="445" t="str">
        <f>IF(C118&lt;&gt;"Quarta-Feira","15:00","10:00")</f>
        <v>15:00</v>
      </c>
      <c r="E118" s="253" t="s">
        <v>2275</v>
      </c>
      <c r="F118" s="69">
        <v>8.98001440717585E14</v>
      </c>
      <c r="G118" s="154" t="s">
        <v>2276</v>
      </c>
      <c r="H118" s="78">
        <v>26825.0</v>
      </c>
      <c r="I118" s="30" t="s">
        <v>1822</v>
      </c>
      <c r="J118" s="69"/>
      <c r="K118" s="69"/>
      <c r="R118" s="62"/>
    </row>
    <row r="119" ht="15.75" customHeight="1">
      <c r="A119" s="11" t="s">
        <v>17</v>
      </c>
      <c r="B119" s="205" t="s">
        <v>1991</v>
      </c>
      <c r="C119" s="69" t="str">
        <f t="shared" si="12"/>
        <v>Segunda-Feira</v>
      </c>
      <c r="D119" s="445" t="str">
        <f>IF(C119&lt;&gt;"Quarta-Feira","15:20","10:20")</f>
        <v>15:20</v>
      </c>
      <c r="E119" s="253" t="s">
        <v>2878</v>
      </c>
      <c r="F119" s="69">
        <v>7.0480002400644E14</v>
      </c>
      <c r="G119" s="154" t="s">
        <v>2879</v>
      </c>
      <c r="H119" s="72">
        <v>27198.0</v>
      </c>
      <c r="I119" s="30" t="s">
        <v>182</v>
      </c>
      <c r="J119" s="69"/>
      <c r="K119" s="69"/>
      <c r="R119" s="62"/>
    </row>
    <row r="120" ht="15.75" customHeight="1">
      <c r="A120" s="11" t="s">
        <v>85</v>
      </c>
      <c r="B120" s="205" t="s">
        <v>1980</v>
      </c>
      <c r="C120" s="69" t="str">
        <f t="shared" si="12"/>
        <v>Segunda-Feira</v>
      </c>
      <c r="D120" s="445" t="str">
        <f>IF(C120&lt;&gt;"Quarta-Feira","15:40","10:40")</f>
        <v>15:40</v>
      </c>
      <c r="E120" s="253" t="s">
        <v>2880</v>
      </c>
      <c r="F120" s="69">
        <v>7.05603455565816E14</v>
      </c>
      <c r="G120" s="154" t="s">
        <v>2881</v>
      </c>
      <c r="H120" s="78">
        <v>24227.0</v>
      </c>
      <c r="I120" s="30" t="s">
        <v>182</v>
      </c>
      <c r="J120" s="69"/>
      <c r="K120" s="69"/>
      <c r="R120" s="62"/>
      <c r="V120" s="292"/>
    </row>
    <row r="121" ht="15.75" customHeight="1">
      <c r="A121" s="11" t="s">
        <v>87</v>
      </c>
      <c r="B121" s="205" t="s">
        <v>1984</v>
      </c>
      <c r="C121" s="69" t="str">
        <f t="shared" si="12"/>
        <v>Segunda-Feira</v>
      </c>
      <c r="D121" s="445" t="str">
        <f>IF(C121&lt;&gt;"Quarta-Feira","16:00","11:00")</f>
        <v>16:00</v>
      </c>
      <c r="E121" s="253" t="s">
        <v>2882</v>
      </c>
      <c r="F121" s="69">
        <v>7.03206609658991E14</v>
      </c>
      <c r="G121" s="154" t="s">
        <v>2883</v>
      </c>
      <c r="H121" s="153">
        <v>29669.0</v>
      </c>
      <c r="I121" s="30" t="s">
        <v>1822</v>
      </c>
      <c r="J121" s="69"/>
      <c r="K121" s="69"/>
      <c r="R121" s="62"/>
    </row>
    <row r="122" ht="15.75" customHeight="1">
      <c r="A122" s="11" t="s">
        <v>90</v>
      </c>
      <c r="B122" s="205" t="s">
        <v>1988</v>
      </c>
      <c r="C122" s="69" t="str">
        <f t="shared" si="12"/>
        <v>Segunda-Feira</v>
      </c>
      <c r="D122" s="445" t="str">
        <f>IF(C122&lt;&gt;"Quarta-Feira","16:20","11:20")</f>
        <v>16:20</v>
      </c>
      <c r="E122" s="253" t="s">
        <v>2884</v>
      </c>
      <c r="F122" s="69">
        <v>7.08200642257343E14</v>
      </c>
      <c r="G122" s="154" t="s">
        <v>2885</v>
      </c>
      <c r="H122" s="153">
        <v>24152.0</v>
      </c>
      <c r="I122" s="30" t="s">
        <v>182</v>
      </c>
      <c r="J122" s="69"/>
      <c r="K122" s="69"/>
      <c r="R122" s="62"/>
    </row>
    <row r="123" ht="15.75" customHeight="1">
      <c r="A123" s="11" t="s">
        <v>93</v>
      </c>
      <c r="B123" s="205" t="s">
        <v>1991</v>
      </c>
      <c r="C123" s="69" t="str">
        <f t="shared" si="12"/>
        <v>Segunda-Feira</v>
      </c>
      <c r="D123" s="445" t="str">
        <f>IF(C123&lt;&gt;"Quarta-Feira","16:40","11:40")</f>
        <v>16:40</v>
      </c>
      <c r="E123" s="253" t="s">
        <v>2886</v>
      </c>
      <c r="F123" s="69">
        <v>7.05002056509658E14</v>
      </c>
      <c r="G123" s="154" t="s">
        <v>2887</v>
      </c>
      <c r="H123" s="153">
        <v>24216.0</v>
      </c>
      <c r="I123" s="30" t="s">
        <v>182</v>
      </c>
      <c r="J123" s="69"/>
      <c r="K123" s="69"/>
      <c r="R123" s="62"/>
    </row>
    <row r="124" ht="15.75" customHeight="1">
      <c r="B124" s="167"/>
      <c r="E124" s="231"/>
      <c r="G124" s="167"/>
      <c r="J124" s="62"/>
      <c r="K124" s="62"/>
      <c r="R124" s="62"/>
    </row>
    <row r="125" ht="15.75" customHeight="1">
      <c r="B125" s="167"/>
      <c r="E125" s="231"/>
      <c r="G125" s="167"/>
      <c r="J125" s="62"/>
      <c r="K125" s="62"/>
      <c r="R125" s="62"/>
    </row>
    <row r="126" ht="15.75" customHeight="1">
      <c r="B126" s="167"/>
      <c r="E126" s="231"/>
      <c r="G126" s="167"/>
      <c r="J126" s="62"/>
      <c r="K126" s="62"/>
      <c r="R126" s="62"/>
    </row>
    <row r="127" ht="15.75" customHeight="1">
      <c r="A127" s="20" t="s">
        <v>377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08h às 13h"</f>
        <v>15/04/2026 08h às 13h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426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34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2013</v>
      </c>
      <c r="C130" s="69" t="str">
        <f t="shared" ref="C130:C141" si="14">PROPER(TEXT(DATE(MID($A$128,7,4),MID($A$128,4,2),LEFT($A$128,2)),"dddd"))</f>
        <v>Quarta-Feira</v>
      </c>
      <c r="D130" s="445" t="str">
        <f>IF(C130&lt;&gt;"Quarta-Feira","13:00","08:00")</f>
        <v>08:00</v>
      </c>
      <c r="E130" s="253" t="s">
        <v>2888</v>
      </c>
      <c r="F130" s="69">
        <v>8.9800146061036E14</v>
      </c>
      <c r="G130" s="154" t="s">
        <v>2889</v>
      </c>
      <c r="H130" s="193">
        <v>25798.0</v>
      </c>
      <c r="I130" s="30" t="s">
        <v>182</v>
      </c>
      <c r="J130" s="69"/>
      <c r="K130" s="69"/>
      <c r="N130" s="237" t="s">
        <v>386</v>
      </c>
      <c r="O130" s="95"/>
      <c r="P130" s="95"/>
      <c r="Q130" s="95"/>
      <c r="R130" s="95"/>
    </row>
    <row r="131" ht="15.75" customHeight="1">
      <c r="A131" s="11" t="s">
        <v>11</v>
      </c>
      <c r="B131" s="205" t="s">
        <v>2018</v>
      </c>
      <c r="C131" s="69" t="str">
        <f t="shared" si="14"/>
        <v>Quarta-Feira</v>
      </c>
      <c r="D131" s="445" t="str">
        <f>IF(C131&lt;&gt;"Quarta-Feira","13:20","08:20")</f>
        <v>08:20</v>
      </c>
      <c r="E131" s="253" t="s">
        <v>2890</v>
      </c>
      <c r="F131" s="69">
        <v>7.08405264142161E14</v>
      </c>
      <c r="G131" s="154" t="s">
        <v>2891</v>
      </c>
      <c r="H131" s="72">
        <v>23512.0</v>
      </c>
      <c r="I131" s="30" t="s">
        <v>182</v>
      </c>
      <c r="J131" s="69"/>
      <c r="K131" s="69"/>
      <c r="N131" s="239" t="s">
        <v>1823</v>
      </c>
      <c r="O131" s="2"/>
      <c r="P131" s="2"/>
      <c r="Q131" s="2"/>
      <c r="R131" s="2"/>
    </row>
    <row r="132" ht="15.75" customHeight="1">
      <c r="A132" s="11" t="s">
        <v>12</v>
      </c>
      <c r="B132" s="205" t="s">
        <v>2020</v>
      </c>
      <c r="C132" s="69" t="str">
        <f t="shared" si="14"/>
        <v>Quarta-Feira</v>
      </c>
      <c r="D132" s="445" t="str">
        <f>IF(C132&lt;&gt;"Quarta-Feira","13:40","08:40")</f>
        <v>08:40</v>
      </c>
      <c r="E132" s="253" t="s">
        <v>2892</v>
      </c>
      <c r="F132" s="69">
        <v>7.02808183400268E14</v>
      </c>
      <c r="G132" s="154" t="s">
        <v>2893</v>
      </c>
      <c r="H132" s="72">
        <v>27940.0</v>
      </c>
      <c r="I132" s="30" t="s">
        <v>1822</v>
      </c>
      <c r="J132" s="69"/>
      <c r="K132" s="69"/>
      <c r="L132" s="63"/>
      <c r="M132" s="63"/>
      <c r="N132" s="240" t="s">
        <v>182</v>
      </c>
      <c r="O132" s="241" t="s">
        <v>194</v>
      </c>
      <c r="P132" s="241" t="s">
        <v>180</v>
      </c>
      <c r="Q132" s="242" t="s">
        <v>172</v>
      </c>
      <c r="R132" s="343" t="s">
        <v>1822</v>
      </c>
      <c r="S132" s="63"/>
      <c r="T132" s="63"/>
      <c r="U132" s="63"/>
      <c r="V132" s="63"/>
      <c r="W132" s="63"/>
      <c r="X132" s="63"/>
    </row>
    <row r="133" ht="15.75" customHeight="1">
      <c r="A133" s="11" t="s">
        <v>13</v>
      </c>
      <c r="B133" s="205" t="s">
        <v>2023</v>
      </c>
      <c r="C133" s="69" t="str">
        <f t="shared" si="14"/>
        <v>Quarta-Feira</v>
      </c>
      <c r="D133" s="445" t="str">
        <f>IF(C133&lt;&gt;"Quarta-Feira","14:00","09:00")</f>
        <v>09:00</v>
      </c>
      <c r="E133" s="253" t="s">
        <v>2894</v>
      </c>
      <c r="F133" s="69">
        <v>7.00007028146205E14</v>
      </c>
      <c r="G133" s="154" t="s">
        <v>2895</v>
      </c>
      <c r="H133" s="78">
        <v>34166.0</v>
      </c>
      <c r="I133" s="30" t="s">
        <v>182</v>
      </c>
      <c r="J133" s="69"/>
      <c r="K133" s="69"/>
      <c r="N133" s="244">
        <f t="shared" ref="N133:R133" si="15">COUNTIFS($I$130:$I$141,N132)</f>
        <v>10</v>
      </c>
      <c r="O133" s="244">
        <f t="shared" si="15"/>
        <v>0</v>
      </c>
      <c r="P133" s="244">
        <f t="shared" si="15"/>
        <v>0</v>
      </c>
      <c r="Q133" s="244">
        <f t="shared" si="15"/>
        <v>0</v>
      </c>
      <c r="R133" s="244">
        <f t="shared" si="15"/>
        <v>2</v>
      </c>
    </row>
    <row r="134" ht="15.75" customHeight="1">
      <c r="A134" s="11" t="s">
        <v>14</v>
      </c>
      <c r="B134" s="205" t="s">
        <v>2018</v>
      </c>
      <c r="C134" s="69" t="str">
        <f t="shared" si="14"/>
        <v>Quarta-Feira</v>
      </c>
      <c r="D134" s="445" t="str">
        <f>IF(C134&lt;&gt;"Quarta-Feira","14:20","09:20")</f>
        <v>09:20</v>
      </c>
      <c r="E134" s="253" t="s">
        <v>2896</v>
      </c>
      <c r="F134" s="69">
        <v>8.98001487025817E14</v>
      </c>
      <c r="G134" s="154" t="s">
        <v>2897</v>
      </c>
      <c r="H134" s="78">
        <v>17731.0</v>
      </c>
      <c r="I134" s="30" t="s">
        <v>182</v>
      </c>
      <c r="J134" s="69"/>
      <c r="K134" s="69"/>
      <c r="R134" s="62"/>
    </row>
    <row r="135" ht="15.75" customHeight="1">
      <c r="A135" s="11" t="s">
        <v>15</v>
      </c>
      <c r="B135" s="205" t="s">
        <v>2020</v>
      </c>
      <c r="C135" s="69" t="str">
        <f t="shared" si="14"/>
        <v>Quarta-Feira</v>
      </c>
      <c r="D135" s="445" t="str">
        <f>IF(C135&lt;&gt;"Quarta-Feira","14:40","09:40")</f>
        <v>09:40</v>
      </c>
      <c r="E135" s="253" t="s">
        <v>2898</v>
      </c>
      <c r="F135" s="69">
        <v>7.00004726739403E14</v>
      </c>
      <c r="G135" s="154" t="s">
        <v>2899</v>
      </c>
      <c r="H135" s="78">
        <v>26024.0</v>
      </c>
      <c r="I135" s="30" t="s">
        <v>1822</v>
      </c>
      <c r="J135" s="69"/>
      <c r="K135" s="69"/>
      <c r="R135" s="62"/>
    </row>
    <row r="136" ht="15.75" customHeight="1">
      <c r="A136" s="11" t="s">
        <v>16</v>
      </c>
      <c r="B136" s="205" t="s">
        <v>2013</v>
      </c>
      <c r="C136" s="69" t="str">
        <f t="shared" si="14"/>
        <v>Quarta-Feira</v>
      </c>
      <c r="D136" s="445" t="str">
        <f>IF(C136&lt;&gt;"Quarta-Feira","15:00","10:00")</f>
        <v>10:00</v>
      </c>
      <c r="E136" s="253" t="s">
        <v>2900</v>
      </c>
      <c r="F136" s="69">
        <v>7.03003875502077E14</v>
      </c>
      <c r="G136" s="154" t="s">
        <v>2901</v>
      </c>
      <c r="H136" s="150">
        <v>23804.0</v>
      </c>
      <c r="I136" s="30" t="s">
        <v>182</v>
      </c>
      <c r="J136" s="69"/>
      <c r="K136" s="69"/>
      <c r="L136" s="63"/>
      <c r="M136" s="63"/>
      <c r="N136" s="63"/>
      <c r="O136" s="63"/>
      <c r="P136" s="63"/>
      <c r="Q136" s="63"/>
      <c r="R136" s="343"/>
      <c r="S136" s="63"/>
      <c r="T136" s="63"/>
      <c r="U136" s="63"/>
      <c r="V136" s="63"/>
      <c r="W136" s="63"/>
      <c r="X136" s="63"/>
    </row>
    <row r="137" ht="15.75" customHeight="1">
      <c r="A137" s="11" t="s">
        <v>17</v>
      </c>
      <c r="B137" s="205" t="s">
        <v>2018</v>
      </c>
      <c r="C137" s="69" t="str">
        <f t="shared" si="14"/>
        <v>Quarta-Feira</v>
      </c>
      <c r="D137" s="445" t="str">
        <f>IF(C137&lt;&gt;"Quarta-Feira","15:20","10:20")</f>
        <v>10:20</v>
      </c>
      <c r="E137" s="253" t="s">
        <v>2902</v>
      </c>
      <c r="F137" s="69">
        <v>7.00504144286959E14</v>
      </c>
      <c r="G137" s="154" t="s">
        <v>2903</v>
      </c>
      <c r="H137" s="72">
        <v>21856.0</v>
      </c>
      <c r="I137" s="30" t="s">
        <v>182</v>
      </c>
      <c r="J137" s="69"/>
      <c r="K137" s="69"/>
      <c r="R137" s="62"/>
    </row>
    <row r="138" ht="15.75" customHeight="1">
      <c r="A138" s="11" t="s">
        <v>85</v>
      </c>
      <c r="B138" s="205" t="s">
        <v>2023</v>
      </c>
      <c r="C138" s="69" t="str">
        <f t="shared" si="14"/>
        <v>Quarta-Feira</v>
      </c>
      <c r="D138" s="445" t="str">
        <f>IF(C138&lt;&gt;"Quarta-Feira","15:40","10:40")</f>
        <v>10:40</v>
      </c>
      <c r="E138" s="253" t="s">
        <v>2904</v>
      </c>
      <c r="F138" s="253" t="s">
        <v>2905</v>
      </c>
      <c r="G138" s="154" t="s">
        <v>2906</v>
      </c>
      <c r="H138" s="78">
        <v>18271.0</v>
      </c>
      <c r="I138" s="30" t="s">
        <v>182</v>
      </c>
      <c r="J138" s="69"/>
      <c r="K138" s="69"/>
      <c r="R138" s="62"/>
    </row>
    <row r="139" ht="15.75" customHeight="1">
      <c r="A139" s="11" t="s">
        <v>87</v>
      </c>
      <c r="B139" s="205" t="s">
        <v>2020</v>
      </c>
      <c r="C139" s="69" t="str">
        <f t="shared" si="14"/>
        <v>Quarta-Feira</v>
      </c>
      <c r="D139" s="445" t="str">
        <f>IF(C139&lt;&gt;"Quarta-Feira","16:00","11:00")</f>
        <v>11:00</v>
      </c>
      <c r="E139" s="253" t="s">
        <v>779</v>
      </c>
      <c r="F139" s="69">
        <v>7.02800187387064E14</v>
      </c>
      <c r="G139" s="154" t="s">
        <v>780</v>
      </c>
      <c r="H139" s="153">
        <v>21107.0</v>
      </c>
      <c r="I139" s="30" t="s">
        <v>182</v>
      </c>
      <c r="J139" s="69"/>
      <c r="K139" s="69"/>
      <c r="R139" s="62"/>
    </row>
    <row r="140" ht="15.75" customHeight="1">
      <c r="A140" s="11" t="s">
        <v>90</v>
      </c>
      <c r="B140" s="205" t="s">
        <v>2023</v>
      </c>
      <c r="C140" s="69" t="str">
        <f t="shared" si="14"/>
        <v>Quarta-Feira</v>
      </c>
      <c r="D140" s="445" t="str">
        <f>IF(C140&lt;&gt;"Quarta-Feira","16:20","11:20")</f>
        <v>11:20</v>
      </c>
      <c r="E140" s="253" t="s">
        <v>2907</v>
      </c>
      <c r="F140" s="69">
        <v>8.01440408927882E14</v>
      </c>
      <c r="G140" s="154" t="s">
        <v>2908</v>
      </c>
      <c r="H140" s="78">
        <v>14160.0</v>
      </c>
      <c r="I140" s="30" t="s">
        <v>182</v>
      </c>
      <c r="J140" s="69"/>
      <c r="K140" s="69"/>
      <c r="R140" s="62"/>
    </row>
    <row r="141" ht="15.75" customHeight="1">
      <c r="A141" s="11" t="s">
        <v>93</v>
      </c>
      <c r="B141" s="205" t="s">
        <v>2013</v>
      </c>
      <c r="C141" s="69" t="str">
        <f t="shared" si="14"/>
        <v>Quarta-Feira</v>
      </c>
      <c r="D141" s="445" t="str">
        <f>IF(C141&lt;&gt;"Quarta-Feira","16:40","11:40")</f>
        <v>11:40</v>
      </c>
      <c r="E141" s="253" t="s">
        <v>2909</v>
      </c>
      <c r="F141" s="69">
        <v>8.01440497698884E14</v>
      </c>
      <c r="G141" s="154" t="s">
        <v>2910</v>
      </c>
      <c r="H141" s="153">
        <v>20981.0</v>
      </c>
      <c r="I141" s="30" t="s">
        <v>182</v>
      </c>
      <c r="J141" s="69"/>
      <c r="K141" s="69"/>
      <c r="R141" s="62"/>
    </row>
    <row r="142" ht="15.75" customHeight="1">
      <c r="B142" s="167"/>
      <c r="E142" s="231"/>
      <c r="G142" s="167"/>
      <c r="J142" s="62"/>
      <c r="K142" s="62"/>
      <c r="R142" s="62"/>
    </row>
    <row r="143" ht="15.75" customHeight="1">
      <c r="B143" s="167"/>
      <c r="E143" s="231"/>
      <c r="G143" s="167"/>
      <c r="J143" s="62"/>
      <c r="K143" s="62"/>
      <c r="R143" s="62"/>
    </row>
    <row r="144" ht="15.75" customHeight="1">
      <c r="B144" s="167"/>
      <c r="E144" s="231"/>
      <c r="G144" s="167"/>
      <c r="J144" s="62"/>
      <c r="K144" s="62"/>
      <c r="R144" s="62"/>
    </row>
    <row r="145" ht="15.75" customHeight="1">
      <c r="A145" s="20" t="s">
        <v>377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08h às 13h"</f>
        <v>17/04/2026 08h às 13h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426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34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2380</v>
      </c>
      <c r="C148" s="69" t="str">
        <f t="shared" ref="C148:C159" si="16">PROPER(TEXT(DATE(MID($A$146,7,4),MID($A$146,4,2),LEFT($A$146,2)),"dddd"))</f>
        <v>Sexta-Feira</v>
      </c>
      <c r="D148" s="445" t="str">
        <f>IF(C148&lt;&gt;"Quarta-Feira","13:00","08:00")</f>
        <v>13:00</v>
      </c>
      <c r="E148" s="253" t="s">
        <v>2911</v>
      </c>
      <c r="F148" s="404">
        <v>7.0220010107881E14</v>
      </c>
      <c r="G148" s="154" t="s">
        <v>1269</v>
      </c>
      <c r="H148" s="78">
        <v>20497.0</v>
      </c>
      <c r="I148" s="30" t="s">
        <v>182</v>
      </c>
      <c r="J148" s="69"/>
      <c r="K148" s="69"/>
      <c r="L148" s="197" t="s">
        <v>520</v>
      </c>
      <c r="N148" s="237" t="s">
        <v>386</v>
      </c>
      <c r="O148" s="95"/>
      <c r="P148" s="95"/>
      <c r="Q148" s="95"/>
      <c r="R148" s="95"/>
    </row>
    <row r="149" ht="15.75" customHeight="1">
      <c r="A149" s="11" t="s">
        <v>11</v>
      </c>
      <c r="B149" s="205" t="s">
        <v>2383</v>
      </c>
      <c r="C149" s="69" t="str">
        <f t="shared" si="16"/>
        <v>Sexta-Feira</v>
      </c>
      <c r="D149" s="445" t="str">
        <f>IF(C149&lt;&gt;"Quarta-Feira","13:20","08:20")</f>
        <v>13:20</v>
      </c>
      <c r="E149" s="253"/>
      <c r="F149" s="69"/>
      <c r="G149" s="154"/>
      <c r="H149" s="78"/>
      <c r="I149" s="30" t="s">
        <v>2347</v>
      </c>
      <c r="J149" s="69"/>
      <c r="K149" s="69"/>
      <c r="N149" s="239" t="s">
        <v>1823</v>
      </c>
      <c r="O149" s="2"/>
      <c r="P149" s="2"/>
      <c r="Q149" s="2"/>
      <c r="R149" s="2"/>
    </row>
    <row r="150" ht="15.75" customHeight="1">
      <c r="A150" s="11" t="s">
        <v>12</v>
      </c>
      <c r="B150" s="205" t="s">
        <v>2386</v>
      </c>
      <c r="C150" s="69" t="str">
        <f t="shared" si="16"/>
        <v>Sexta-Feira</v>
      </c>
      <c r="D150" s="445" t="str">
        <f>IF(C150&lt;&gt;"Quarta-Feira","13:40","08:40")</f>
        <v>13:40</v>
      </c>
      <c r="E150" s="253" t="s">
        <v>2912</v>
      </c>
      <c r="F150" s="69">
        <v>8.01440493860768E14</v>
      </c>
      <c r="G150" s="154" t="s">
        <v>2913</v>
      </c>
      <c r="H150" s="78">
        <v>16968.0</v>
      </c>
      <c r="I150" s="30" t="s">
        <v>182</v>
      </c>
      <c r="J150" s="69"/>
      <c r="K150" s="69"/>
      <c r="N150" s="240" t="s">
        <v>182</v>
      </c>
      <c r="O150" s="241" t="s">
        <v>194</v>
      </c>
      <c r="P150" s="241" t="s">
        <v>2347</v>
      </c>
      <c r="Q150" s="242" t="s">
        <v>172</v>
      </c>
      <c r="R150" s="62" t="s">
        <v>1822</v>
      </c>
    </row>
    <row r="151" ht="15.75" customHeight="1">
      <c r="A151" s="11" t="s">
        <v>13</v>
      </c>
      <c r="B151" s="205" t="s">
        <v>2389</v>
      </c>
      <c r="C151" s="69" t="str">
        <f t="shared" si="16"/>
        <v>Sexta-Feira</v>
      </c>
      <c r="D151" s="445" t="str">
        <f>IF(C151&lt;&gt;"Quarta-Feira","14:00","09:00")</f>
        <v>14:00</v>
      </c>
      <c r="E151" s="253" t="s">
        <v>2914</v>
      </c>
      <c r="F151" s="69">
        <v>7.06309777987774E14</v>
      </c>
      <c r="G151" s="154" t="s">
        <v>2915</v>
      </c>
      <c r="H151" s="78">
        <v>28140.0</v>
      </c>
      <c r="I151" s="30" t="s">
        <v>182</v>
      </c>
      <c r="J151" s="69"/>
      <c r="K151" s="69"/>
      <c r="N151" s="244">
        <f t="shared" ref="N151:R151" si="17">COUNTIFS($I$148:$I$159,N150)</f>
        <v>8</v>
      </c>
      <c r="O151" s="244">
        <f t="shared" si="17"/>
        <v>0</v>
      </c>
      <c r="P151" s="244">
        <f t="shared" si="17"/>
        <v>3</v>
      </c>
      <c r="Q151" s="244">
        <f t="shared" si="17"/>
        <v>0</v>
      </c>
      <c r="R151" s="244">
        <f t="shared" si="17"/>
        <v>1</v>
      </c>
    </row>
    <row r="152" ht="15.75" customHeight="1">
      <c r="A152" s="11" t="s">
        <v>14</v>
      </c>
      <c r="B152" s="205" t="s">
        <v>2380</v>
      </c>
      <c r="C152" s="69" t="str">
        <f t="shared" si="16"/>
        <v>Sexta-Feira</v>
      </c>
      <c r="D152" s="445" t="str">
        <f>IF(C152&lt;&gt;"Quarta-Feira","14:20","09:20")</f>
        <v>14:20</v>
      </c>
      <c r="E152" s="253" t="s">
        <v>2916</v>
      </c>
      <c r="F152" s="69">
        <v>7.06403694854886E14</v>
      </c>
      <c r="G152" s="154" t="s">
        <v>2917</v>
      </c>
      <c r="H152" s="78">
        <v>18153.0</v>
      </c>
      <c r="I152" s="30" t="s">
        <v>182</v>
      </c>
      <c r="J152" s="69"/>
      <c r="K152" s="69"/>
      <c r="R152" s="62"/>
    </row>
    <row r="153" ht="15.75" customHeight="1">
      <c r="A153" s="11" t="s">
        <v>15</v>
      </c>
      <c r="B153" s="205" t="s">
        <v>2383</v>
      </c>
      <c r="C153" s="69" t="str">
        <f t="shared" si="16"/>
        <v>Sexta-Feira</v>
      </c>
      <c r="D153" s="445" t="str">
        <f>IF(C153&lt;&gt;"Quarta-Feira","14:40","09:40")</f>
        <v>14:40</v>
      </c>
      <c r="E153" s="253"/>
      <c r="F153" s="69"/>
      <c r="G153" s="154"/>
      <c r="H153" s="78"/>
      <c r="I153" s="30" t="s">
        <v>2347</v>
      </c>
      <c r="J153" s="69"/>
      <c r="K153" s="69"/>
      <c r="R153" s="62"/>
    </row>
    <row r="154" ht="15.75" customHeight="1">
      <c r="A154" s="11" t="s">
        <v>16</v>
      </c>
      <c r="B154" s="205" t="s">
        <v>2386</v>
      </c>
      <c r="C154" s="69" t="str">
        <f t="shared" si="16"/>
        <v>Sexta-Feira</v>
      </c>
      <c r="D154" s="445" t="str">
        <f>IF(C154&lt;&gt;"Quarta-Feira","15:00","10:00")</f>
        <v>15:00</v>
      </c>
      <c r="E154" s="253" t="s">
        <v>2918</v>
      </c>
      <c r="F154" s="404">
        <v>7.06205545486161E14</v>
      </c>
      <c r="G154" s="154" t="s">
        <v>2919</v>
      </c>
      <c r="H154" s="78">
        <v>17462.0</v>
      </c>
      <c r="I154" s="30" t="s">
        <v>182</v>
      </c>
      <c r="J154" s="69"/>
      <c r="K154" s="69"/>
      <c r="R154" s="62"/>
    </row>
    <row r="155" ht="15.75" customHeight="1">
      <c r="A155" s="11" t="s">
        <v>17</v>
      </c>
      <c r="B155" s="205" t="s">
        <v>2389</v>
      </c>
      <c r="C155" s="69" t="str">
        <f t="shared" si="16"/>
        <v>Sexta-Feira</v>
      </c>
      <c r="D155" s="445" t="str">
        <f>IF(C155&lt;&gt;"Quarta-Feira","15:20","10:20")</f>
        <v>15:20</v>
      </c>
      <c r="E155" s="253" t="s">
        <v>2920</v>
      </c>
      <c r="F155" s="69">
        <v>8.01440406912101E14</v>
      </c>
      <c r="G155" s="154" t="s">
        <v>1883</v>
      </c>
      <c r="H155" s="78">
        <v>17007.0</v>
      </c>
      <c r="I155" s="30" t="s">
        <v>182</v>
      </c>
      <c r="J155" s="69"/>
      <c r="K155" s="69"/>
      <c r="R155" s="62"/>
    </row>
    <row r="156" ht="15.75" customHeight="1">
      <c r="A156" s="11" t="s">
        <v>85</v>
      </c>
      <c r="B156" s="205" t="s">
        <v>2383</v>
      </c>
      <c r="C156" s="69" t="str">
        <f t="shared" si="16"/>
        <v>Sexta-Feira</v>
      </c>
      <c r="D156" s="445" t="str">
        <f>IF(C156&lt;&gt;"Quarta-Feira","15:40","10:40")</f>
        <v>15:40</v>
      </c>
      <c r="E156" s="253"/>
      <c r="F156" s="69"/>
      <c r="G156" s="154"/>
      <c r="H156" s="78"/>
      <c r="I156" s="30" t="s">
        <v>2347</v>
      </c>
      <c r="J156" s="69"/>
      <c r="K156" s="69"/>
      <c r="L156" s="197" t="s">
        <v>576</v>
      </c>
      <c r="R156" s="62"/>
    </row>
    <row r="157" ht="15.75" customHeight="1">
      <c r="A157" s="11" t="s">
        <v>87</v>
      </c>
      <c r="B157" s="205" t="s">
        <v>2380</v>
      </c>
      <c r="C157" s="69" t="str">
        <f t="shared" si="16"/>
        <v>Sexta-Feira</v>
      </c>
      <c r="D157" s="445" t="str">
        <f>IF(C157&lt;&gt;"Quarta-Feira","16:00","11:00")</f>
        <v>16:00</v>
      </c>
      <c r="E157" s="253" t="s">
        <v>1194</v>
      </c>
      <c r="F157" s="69">
        <v>7.0920524012183E14</v>
      </c>
      <c r="G157" s="154" t="s">
        <v>1195</v>
      </c>
      <c r="H157" s="153">
        <v>24382.0</v>
      </c>
      <c r="I157" s="30" t="s">
        <v>1822</v>
      </c>
      <c r="J157" s="69"/>
      <c r="K157" s="69"/>
      <c r="R157" s="62"/>
    </row>
    <row r="158" ht="15.75" customHeight="1">
      <c r="A158" s="11" t="s">
        <v>90</v>
      </c>
      <c r="B158" s="205" t="s">
        <v>2380</v>
      </c>
      <c r="C158" s="69" t="str">
        <f t="shared" si="16"/>
        <v>Sexta-Feira</v>
      </c>
      <c r="D158" s="445" t="str">
        <f>IF(C158&lt;&gt;"Quarta-Feira","16:20","11:20")</f>
        <v>16:20</v>
      </c>
      <c r="E158" s="253" t="s">
        <v>2921</v>
      </c>
      <c r="F158" s="69">
        <v>7.05004867227159E14</v>
      </c>
      <c r="G158" s="154" t="s">
        <v>2922</v>
      </c>
      <c r="H158" s="153">
        <v>26348.0</v>
      </c>
      <c r="I158" s="30" t="s">
        <v>182</v>
      </c>
      <c r="J158" s="69"/>
      <c r="K158" s="69"/>
      <c r="R158" s="62"/>
    </row>
    <row r="159" ht="15.75" customHeight="1">
      <c r="A159" s="11" t="s">
        <v>93</v>
      </c>
      <c r="B159" s="205" t="s">
        <v>2380</v>
      </c>
      <c r="C159" s="69" t="str">
        <f t="shared" si="16"/>
        <v>Sexta-Feira</v>
      </c>
      <c r="D159" s="445" t="str">
        <f>IF(C159&lt;&gt;"Quarta-Feira","16:40","11:40")</f>
        <v>16:40</v>
      </c>
      <c r="E159" s="253" t="s">
        <v>2923</v>
      </c>
      <c r="F159" s="69">
        <v>2.01151392430003E14</v>
      </c>
      <c r="G159" s="154" t="s">
        <v>2924</v>
      </c>
      <c r="H159" s="153">
        <v>19549.0</v>
      </c>
      <c r="I159" s="30" t="s">
        <v>182</v>
      </c>
      <c r="J159" s="69"/>
      <c r="K159" s="69"/>
      <c r="R159" s="62"/>
    </row>
    <row r="160" ht="15.75" customHeight="1">
      <c r="B160" s="167"/>
      <c r="E160" s="231"/>
      <c r="G160" s="167"/>
      <c r="J160" s="62"/>
      <c r="K160" s="62"/>
      <c r="R160" s="62"/>
    </row>
    <row r="161" ht="15.75" customHeight="1">
      <c r="B161" s="167"/>
      <c r="E161" s="231"/>
      <c r="G161" s="167"/>
      <c r="J161" s="62"/>
      <c r="K161" s="62"/>
      <c r="R161" s="62"/>
    </row>
    <row r="162" ht="15.75" customHeight="1">
      <c r="B162" s="167"/>
      <c r="E162" s="231"/>
      <c r="G162" s="167"/>
      <c r="J162" s="62"/>
      <c r="K162" s="62"/>
      <c r="R162" s="62"/>
    </row>
    <row r="163" ht="15.75" customHeight="1">
      <c r="A163" s="20" t="s">
        <v>377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TEXT(DATE(VALUE(MID(A110,7,4)),VALUE(MID(A110,4,2)),VALUE(LEFT(A110,2)))+7,"dd/mm/yyyy")&amp;" 13h às 17h"</f>
        <v>20/04/2026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426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34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464" t="s">
        <v>10</v>
      </c>
      <c r="B166" s="488" t="s">
        <v>1980</v>
      </c>
      <c r="C166" s="466" t="str">
        <f t="shared" ref="C166:C177" si="18">PROPER(TEXT(DATE(MID($A$164,7,4),MID($A$164,4,2),LEFT($A$164,2)),"dddd"))</f>
        <v>Segunda-Feira</v>
      </c>
      <c r="D166" s="467" t="str">
        <f>IF(C166&lt;&gt;"Quarta-Feira","13:00","08:00")</f>
        <v>13:00</v>
      </c>
      <c r="E166" s="468"/>
      <c r="F166" s="466"/>
      <c r="G166" s="469" t="s">
        <v>2925</v>
      </c>
      <c r="H166" s="470"/>
      <c r="I166" s="471"/>
      <c r="J166" s="466"/>
      <c r="K166" s="466"/>
      <c r="L166" s="472"/>
      <c r="M166" s="472"/>
      <c r="N166" s="489" t="s">
        <v>386</v>
      </c>
      <c r="O166" s="95"/>
      <c r="P166" s="95"/>
      <c r="Q166" s="95"/>
      <c r="R166" s="95"/>
      <c r="S166" s="472"/>
      <c r="T166" s="472"/>
      <c r="U166" s="472"/>
      <c r="V166" s="472"/>
      <c r="W166" s="472"/>
      <c r="X166" s="472"/>
    </row>
    <row r="167" ht="15.75" customHeight="1">
      <c r="A167" s="464" t="s">
        <v>11</v>
      </c>
      <c r="B167" s="488" t="s">
        <v>1984</v>
      </c>
      <c r="C167" s="466" t="str">
        <f t="shared" si="18"/>
        <v>Segunda-Feira</v>
      </c>
      <c r="D167" s="467" t="str">
        <f>IF(C167&lt;&gt;"Quarta-Feira","13:20","08:20")</f>
        <v>13:20</v>
      </c>
      <c r="E167" s="468"/>
      <c r="F167" s="466"/>
      <c r="G167" s="469" t="s">
        <v>2925</v>
      </c>
      <c r="H167" s="470"/>
      <c r="I167" s="471"/>
      <c r="J167" s="466"/>
      <c r="K167" s="466"/>
      <c r="L167" s="472"/>
      <c r="M167" s="472"/>
      <c r="N167" s="490" t="s">
        <v>1823</v>
      </c>
      <c r="O167" s="2"/>
      <c r="P167" s="2"/>
      <c r="Q167" s="2"/>
      <c r="R167" s="2"/>
      <c r="S167" s="472"/>
      <c r="T167" s="472"/>
      <c r="U167" s="472"/>
      <c r="V167" s="472"/>
      <c r="W167" s="472"/>
      <c r="X167" s="472"/>
    </row>
    <row r="168" ht="15.75" customHeight="1">
      <c r="A168" s="464" t="s">
        <v>12</v>
      </c>
      <c r="B168" s="488" t="s">
        <v>1988</v>
      </c>
      <c r="C168" s="466" t="str">
        <f t="shared" si="18"/>
        <v>Segunda-Feira</v>
      </c>
      <c r="D168" s="467" t="str">
        <f>IF(C168&lt;&gt;"Quarta-Feira","13:40","08:40")</f>
        <v>13:40</v>
      </c>
      <c r="E168" s="468"/>
      <c r="F168" s="466"/>
      <c r="G168" s="469" t="s">
        <v>2925</v>
      </c>
      <c r="H168" s="470"/>
      <c r="I168" s="471"/>
      <c r="J168" s="466"/>
      <c r="K168" s="466"/>
      <c r="L168" s="472"/>
      <c r="M168" s="472"/>
      <c r="N168" s="491" t="s">
        <v>182</v>
      </c>
      <c r="O168" s="492" t="s">
        <v>194</v>
      </c>
      <c r="P168" s="492" t="s">
        <v>180</v>
      </c>
      <c r="Q168" s="493" t="s">
        <v>172</v>
      </c>
      <c r="R168" s="494" t="s">
        <v>1822</v>
      </c>
      <c r="S168" s="472"/>
      <c r="T168" s="472"/>
      <c r="U168" s="472"/>
      <c r="V168" s="472"/>
      <c r="W168" s="472"/>
      <c r="X168" s="472"/>
    </row>
    <row r="169" ht="15.75" customHeight="1">
      <c r="A169" s="464" t="s">
        <v>13</v>
      </c>
      <c r="B169" s="488" t="s">
        <v>1991</v>
      </c>
      <c r="C169" s="466" t="str">
        <f t="shared" si="18"/>
        <v>Segunda-Feira</v>
      </c>
      <c r="D169" s="467" t="str">
        <f>IF(C169&lt;&gt;"Quarta-Feira","14:00","09:00")</f>
        <v>14:00</v>
      </c>
      <c r="E169" s="468"/>
      <c r="F169" s="466"/>
      <c r="G169" s="469" t="s">
        <v>2925</v>
      </c>
      <c r="H169" s="470"/>
      <c r="I169" s="471"/>
      <c r="J169" s="466"/>
      <c r="K169" s="466"/>
      <c r="L169" s="472"/>
      <c r="M169" s="472"/>
      <c r="N169" s="495">
        <f t="shared" ref="N169:R169" si="19">COUNTIFS($I$166:$I$177,$N$168)</f>
        <v>0</v>
      </c>
      <c r="O169" s="495">
        <f t="shared" si="19"/>
        <v>0</v>
      </c>
      <c r="P169" s="495">
        <f t="shared" si="19"/>
        <v>0</v>
      </c>
      <c r="Q169" s="495">
        <f t="shared" si="19"/>
        <v>0</v>
      </c>
      <c r="R169" s="495">
        <f t="shared" si="19"/>
        <v>0</v>
      </c>
      <c r="S169" s="472"/>
      <c r="T169" s="472"/>
      <c r="U169" s="472"/>
      <c r="V169" s="472"/>
      <c r="W169" s="472"/>
      <c r="X169" s="472"/>
    </row>
    <row r="170" ht="15.75" customHeight="1">
      <c r="A170" s="464" t="s">
        <v>14</v>
      </c>
      <c r="B170" s="488" t="s">
        <v>1980</v>
      </c>
      <c r="C170" s="466" t="str">
        <f t="shared" si="18"/>
        <v>Segunda-Feira</v>
      </c>
      <c r="D170" s="467" t="str">
        <f>IF(C170&lt;&gt;"Quarta-Feira","14:20","09:20")</f>
        <v>14:20</v>
      </c>
      <c r="E170" s="468"/>
      <c r="F170" s="466"/>
      <c r="G170" s="469" t="s">
        <v>2925</v>
      </c>
      <c r="H170" s="470"/>
      <c r="I170" s="471"/>
      <c r="J170" s="466"/>
      <c r="K170" s="466"/>
      <c r="L170" s="472"/>
      <c r="M170" s="472"/>
      <c r="N170" s="472"/>
      <c r="O170" s="472"/>
      <c r="P170" s="472"/>
      <c r="Q170" s="472"/>
      <c r="R170" s="494"/>
      <c r="S170" s="472"/>
      <c r="T170" s="472"/>
      <c r="U170" s="472"/>
      <c r="V170" s="472"/>
      <c r="W170" s="472"/>
      <c r="X170" s="472"/>
    </row>
    <row r="171" ht="15.75" customHeight="1">
      <c r="A171" s="464" t="s">
        <v>15</v>
      </c>
      <c r="B171" s="488" t="s">
        <v>1984</v>
      </c>
      <c r="C171" s="466" t="str">
        <f t="shared" si="18"/>
        <v>Segunda-Feira</v>
      </c>
      <c r="D171" s="467" t="str">
        <f>IF(C171&lt;&gt;"Quarta-Feira","14:40","09:40")</f>
        <v>14:40</v>
      </c>
      <c r="E171" s="468"/>
      <c r="F171" s="466"/>
      <c r="G171" s="469" t="s">
        <v>2925</v>
      </c>
      <c r="H171" s="470"/>
      <c r="I171" s="471"/>
      <c r="J171" s="466"/>
      <c r="K171" s="466"/>
      <c r="L171" s="472"/>
      <c r="M171" s="472"/>
      <c r="N171" s="472"/>
      <c r="O171" s="472"/>
      <c r="P171" s="472"/>
      <c r="Q171" s="472"/>
      <c r="R171" s="494"/>
      <c r="S171" s="472"/>
      <c r="T171" s="472"/>
      <c r="U171" s="472"/>
      <c r="V171" s="472"/>
      <c r="W171" s="472"/>
      <c r="X171" s="472"/>
    </row>
    <row r="172" ht="15.75" customHeight="1">
      <c r="A172" s="464" t="s">
        <v>16</v>
      </c>
      <c r="B172" s="488" t="s">
        <v>1988</v>
      </c>
      <c r="C172" s="466" t="str">
        <f t="shared" si="18"/>
        <v>Segunda-Feira</v>
      </c>
      <c r="D172" s="467" t="str">
        <f>IF(C172&lt;&gt;"Quarta-Feira","15:00","10:00")</f>
        <v>15:00</v>
      </c>
      <c r="E172" s="468"/>
      <c r="F172" s="466"/>
      <c r="G172" s="469" t="s">
        <v>2925</v>
      </c>
      <c r="H172" s="470"/>
      <c r="I172" s="471"/>
      <c r="J172" s="466"/>
      <c r="K172" s="466"/>
      <c r="L172" s="472"/>
      <c r="M172" s="472"/>
      <c r="N172" s="472"/>
      <c r="O172" s="472"/>
      <c r="P172" s="472"/>
      <c r="Q172" s="472"/>
      <c r="R172" s="494"/>
      <c r="S172" s="472"/>
      <c r="T172" s="472"/>
      <c r="U172" s="472"/>
      <c r="V172" s="472"/>
      <c r="W172" s="472"/>
      <c r="X172" s="472"/>
    </row>
    <row r="173" ht="15.75" customHeight="1">
      <c r="A173" s="464" t="s">
        <v>17</v>
      </c>
      <c r="B173" s="488" t="s">
        <v>1991</v>
      </c>
      <c r="C173" s="466" t="str">
        <f t="shared" si="18"/>
        <v>Segunda-Feira</v>
      </c>
      <c r="D173" s="467" t="str">
        <f>IF(C173&lt;&gt;"Quarta-Feira","15:20","10:20")</f>
        <v>15:20</v>
      </c>
      <c r="E173" s="468"/>
      <c r="F173" s="466"/>
      <c r="G173" s="469" t="s">
        <v>2925</v>
      </c>
      <c r="H173" s="470"/>
      <c r="I173" s="471"/>
      <c r="J173" s="466"/>
      <c r="K173" s="466"/>
      <c r="L173" s="472"/>
      <c r="M173" s="472"/>
      <c r="N173" s="472"/>
      <c r="O173" s="472"/>
      <c r="P173" s="472"/>
      <c r="Q173" s="472"/>
      <c r="R173" s="494"/>
      <c r="S173" s="472"/>
      <c r="T173" s="472"/>
      <c r="U173" s="472"/>
      <c r="V173" s="472"/>
      <c r="W173" s="472"/>
      <c r="X173" s="472"/>
    </row>
    <row r="174" ht="15.75" customHeight="1">
      <c r="A174" s="464" t="s">
        <v>85</v>
      </c>
      <c r="B174" s="488" t="s">
        <v>1980</v>
      </c>
      <c r="C174" s="466" t="str">
        <f t="shared" si="18"/>
        <v>Segunda-Feira</v>
      </c>
      <c r="D174" s="467" t="str">
        <f>IF(C174&lt;&gt;"Quarta-Feira","15:40","10:40")</f>
        <v>15:40</v>
      </c>
      <c r="E174" s="468"/>
      <c r="F174" s="466"/>
      <c r="G174" s="469" t="s">
        <v>2925</v>
      </c>
      <c r="H174" s="470"/>
      <c r="I174" s="471"/>
      <c r="J174" s="466"/>
      <c r="K174" s="466"/>
      <c r="L174" s="472"/>
      <c r="M174" s="472"/>
      <c r="N174" s="472"/>
      <c r="O174" s="472"/>
      <c r="P174" s="472"/>
      <c r="Q174" s="472"/>
      <c r="R174" s="494"/>
      <c r="S174" s="472"/>
      <c r="T174" s="472"/>
      <c r="U174" s="472"/>
      <c r="V174" s="472"/>
      <c r="W174" s="472"/>
      <c r="X174" s="472"/>
    </row>
    <row r="175" ht="15.75" customHeight="1">
      <c r="A175" s="464" t="s">
        <v>87</v>
      </c>
      <c r="B175" s="488" t="s">
        <v>1984</v>
      </c>
      <c r="C175" s="466" t="str">
        <f t="shared" si="18"/>
        <v>Segunda-Feira</v>
      </c>
      <c r="D175" s="467" t="str">
        <f>IF(C175&lt;&gt;"Quarta-Feira","16:00","11:00")</f>
        <v>16:00</v>
      </c>
      <c r="E175" s="468"/>
      <c r="F175" s="466"/>
      <c r="G175" s="469" t="s">
        <v>2925</v>
      </c>
      <c r="H175" s="470"/>
      <c r="I175" s="471"/>
      <c r="J175" s="466"/>
      <c r="K175" s="466"/>
      <c r="L175" s="472"/>
      <c r="M175" s="472"/>
      <c r="N175" s="472"/>
      <c r="O175" s="472"/>
      <c r="P175" s="472"/>
      <c r="Q175" s="472"/>
      <c r="R175" s="494"/>
      <c r="S175" s="472"/>
      <c r="T175" s="472"/>
      <c r="U175" s="472"/>
      <c r="V175" s="472"/>
      <c r="W175" s="472"/>
      <c r="X175" s="472"/>
    </row>
    <row r="176" ht="15.75" customHeight="1">
      <c r="A176" s="464" t="s">
        <v>90</v>
      </c>
      <c r="B176" s="488" t="s">
        <v>1988</v>
      </c>
      <c r="C176" s="466" t="str">
        <f t="shared" si="18"/>
        <v>Segunda-Feira</v>
      </c>
      <c r="D176" s="467" t="str">
        <f>IF(C176&lt;&gt;"Quarta-Feira","16:20","11:20")</f>
        <v>16:20</v>
      </c>
      <c r="E176" s="468"/>
      <c r="F176" s="466"/>
      <c r="G176" s="469" t="s">
        <v>2925</v>
      </c>
      <c r="H176" s="470"/>
      <c r="I176" s="471"/>
      <c r="J176" s="466"/>
      <c r="K176" s="466"/>
      <c r="L176" s="472"/>
      <c r="M176" s="472"/>
      <c r="N176" s="472"/>
      <c r="O176" s="472"/>
      <c r="P176" s="472"/>
      <c r="Q176" s="472"/>
      <c r="R176" s="494"/>
      <c r="S176" s="472"/>
      <c r="T176" s="472"/>
      <c r="U176" s="472"/>
      <c r="V176" s="472"/>
      <c r="W176" s="472"/>
      <c r="X176" s="472"/>
    </row>
    <row r="177" ht="15.75" customHeight="1">
      <c r="A177" s="464" t="s">
        <v>93</v>
      </c>
      <c r="B177" s="488" t="s">
        <v>1991</v>
      </c>
      <c r="C177" s="466" t="str">
        <f t="shared" si="18"/>
        <v>Segunda-Feira</v>
      </c>
      <c r="D177" s="467" t="str">
        <f>IF(C177&lt;&gt;"Quarta-Feira","16:40","11:40")</f>
        <v>16:40</v>
      </c>
      <c r="E177" s="468"/>
      <c r="F177" s="466"/>
      <c r="G177" s="469" t="s">
        <v>2925</v>
      </c>
      <c r="H177" s="470"/>
      <c r="I177" s="471"/>
      <c r="J177" s="466"/>
      <c r="K177" s="466"/>
      <c r="L177" s="472"/>
      <c r="M177" s="472"/>
      <c r="N177" s="472"/>
      <c r="O177" s="472"/>
      <c r="P177" s="472"/>
      <c r="Q177" s="472"/>
      <c r="R177" s="494"/>
      <c r="S177" s="472"/>
      <c r="T177" s="472"/>
      <c r="U177" s="472"/>
      <c r="V177" s="472"/>
      <c r="W177" s="472"/>
      <c r="X177" s="472"/>
    </row>
    <row r="178" ht="15.75" customHeight="1">
      <c r="B178" s="167"/>
      <c r="E178" s="231"/>
      <c r="G178" s="167"/>
      <c r="J178" s="62"/>
      <c r="K178" s="62"/>
      <c r="R178" s="62"/>
    </row>
    <row r="179" ht="15.75" customHeight="1">
      <c r="B179" s="167"/>
      <c r="E179" s="231"/>
      <c r="G179" s="167"/>
      <c r="J179" s="62"/>
      <c r="K179" s="62"/>
      <c r="R179" s="62"/>
    </row>
    <row r="180" ht="15.75" customHeight="1">
      <c r="B180" s="167"/>
      <c r="E180" s="231"/>
      <c r="G180" s="167"/>
      <c r="J180" s="62"/>
      <c r="K180" s="62"/>
      <c r="R180" s="62"/>
    </row>
    <row r="181" ht="15.75" customHeight="1">
      <c r="A181" s="20" t="s">
        <v>377</v>
      </c>
      <c r="B181" s="2"/>
      <c r="C181" s="2"/>
      <c r="D181" s="2"/>
      <c r="E181" s="2"/>
      <c r="F181" s="2"/>
      <c r="G181" s="2"/>
      <c r="H181" s="2"/>
      <c r="I181" s="2"/>
      <c r="J181" s="2"/>
      <c r="K181" s="3"/>
      <c r="R181" s="62"/>
    </row>
    <row r="182" ht="15.75" customHeight="1">
      <c r="A182" s="21" t="str">
        <f>TEXT(DATE(VALUE(MID(A164,7,4)),VALUE(MID(A164,4,2)),VALUE(LEFT(A164,2)))+2,"dd/mm/yyyy")&amp;" 08h às 13h"</f>
        <v>22/04/2026 08h às 13h</v>
      </c>
      <c r="B182" s="2"/>
      <c r="C182" s="2"/>
      <c r="D182" s="2"/>
      <c r="E182" s="2"/>
      <c r="F182" s="2"/>
      <c r="G182" s="2"/>
      <c r="H182" s="2"/>
      <c r="I182" s="2"/>
      <c r="J182" s="2"/>
      <c r="K182" s="3"/>
    </row>
    <row r="183" ht="15.75" customHeight="1">
      <c r="A183" s="22"/>
      <c r="B183" s="426" t="s">
        <v>3</v>
      </c>
      <c r="C183" s="24" t="s">
        <v>2</v>
      </c>
      <c r="D183" s="25" t="s">
        <v>5</v>
      </c>
      <c r="E183" s="26" t="s">
        <v>19</v>
      </c>
      <c r="F183" s="25" t="s">
        <v>6</v>
      </c>
      <c r="G183" s="234" t="s">
        <v>7</v>
      </c>
      <c r="H183" s="27" t="s">
        <v>8</v>
      </c>
      <c r="I183" s="28" t="s">
        <v>20</v>
      </c>
      <c r="J183" s="25" t="s">
        <v>21</v>
      </c>
      <c r="K183" s="25" t="s">
        <v>22</v>
      </c>
    </row>
    <row r="184" ht="15.75" customHeight="1">
      <c r="A184" s="11" t="s">
        <v>10</v>
      </c>
      <c r="B184" s="205" t="s">
        <v>2013</v>
      </c>
      <c r="C184" s="69" t="str">
        <f t="shared" ref="C184:C195" si="20">PROPER(TEXT(DATE(MID($A$128,7,4),MID($A$128,4,2),LEFT($A$128,2)),"dddd"))</f>
        <v>Quarta-Feira</v>
      </c>
      <c r="D184" s="445" t="str">
        <f>IF(C184&lt;&gt;"Quarta-Feira","13:00","08:00")</f>
        <v>08:00</v>
      </c>
      <c r="E184" s="253" t="s">
        <v>2926</v>
      </c>
      <c r="F184" s="69">
        <v>8.01440406643755E14</v>
      </c>
      <c r="G184" s="154" t="s">
        <v>2927</v>
      </c>
      <c r="H184" s="193">
        <v>27301.0</v>
      </c>
      <c r="I184" s="30" t="s">
        <v>182</v>
      </c>
      <c r="J184" s="69"/>
      <c r="K184" s="69"/>
      <c r="N184" s="237" t="s">
        <v>386</v>
      </c>
      <c r="O184" s="95"/>
      <c r="P184" s="95"/>
      <c r="Q184" s="95"/>
      <c r="R184" s="95"/>
    </row>
    <row r="185" ht="15.75" customHeight="1">
      <c r="A185" s="11" t="s">
        <v>11</v>
      </c>
      <c r="B185" s="205" t="s">
        <v>2018</v>
      </c>
      <c r="C185" s="69" t="str">
        <f t="shared" si="20"/>
        <v>Quarta-Feira</v>
      </c>
      <c r="D185" s="445" t="str">
        <f>IF(C185&lt;&gt;"Quarta-Feira","13:20","08:20")</f>
        <v>08:20</v>
      </c>
      <c r="E185" s="253" t="s">
        <v>2928</v>
      </c>
      <c r="F185" s="69">
        <v>7.00901901066998E14</v>
      </c>
      <c r="G185" s="154" t="s">
        <v>2929</v>
      </c>
      <c r="H185" s="72">
        <v>14097.0</v>
      </c>
      <c r="I185" s="30" t="s">
        <v>182</v>
      </c>
      <c r="J185" s="69"/>
      <c r="K185" s="69"/>
      <c r="N185" s="239" t="s">
        <v>1823</v>
      </c>
      <c r="O185" s="2"/>
      <c r="P185" s="2"/>
      <c r="Q185" s="2"/>
      <c r="R185" s="2"/>
    </row>
    <row r="186" ht="15.75" customHeight="1">
      <c r="A186" s="11" t="s">
        <v>12</v>
      </c>
      <c r="B186" s="205" t="s">
        <v>2020</v>
      </c>
      <c r="C186" s="69" t="str">
        <f t="shared" si="20"/>
        <v>Quarta-Feira</v>
      </c>
      <c r="D186" s="445" t="str">
        <f>IF(C186&lt;&gt;"Quarta-Feira","13:40","08:40")</f>
        <v>08:40</v>
      </c>
      <c r="E186" s="253" t="s">
        <v>2930</v>
      </c>
      <c r="F186" s="69">
        <v>7.04602162510423E14</v>
      </c>
      <c r="G186" s="154" t="s">
        <v>2931</v>
      </c>
      <c r="H186" s="78">
        <v>20905.0</v>
      </c>
      <c r="I186" s="30" t="s">
        <v>182</v>
      </c>
      <c r="J186" s="69"/>
      <c r="K186" s="69"/>
      <c r="N186" s="240" t="s">
        <v>182</v>
      </c>
      <c r="O186" s="241" t="s">
        <v>194</v>
      </c>
      <c r="P186" s="241" t="s">
        <v>2347</v>
      </c>
      <c r="Q186" s="242" t="s">
        <v>172</v>
      </c>
      <c r="R186" s="62" t="s">
        <v>1822</v>
      </c>
    </row>
    <row r="187" ht="15.75" customHeight="1">
      <c r="A187" s="11" t="s">
        <v>13</v>
      </c>
      <c r="B187" s="205" t="s">
        <v>2023</v>
      </c>
      <c r="C187" s="69" t="str">
        <f t="shared" si="20"/>
        <v>Quarta-Feira</v>
      </c>
      <c r="D187" s="445" t="str">
        <f>IF(C187&lt;&gt;"Quarta-Feira","14:00","09:00")</f>
        <v>09:00</v>
      </c>
      <c r="E187" s="253" t="s">
        <v>2932</v>
      </c>
      <c r="F187" s="69">
        <v>7.00108925840611E14</v>
      </c>
      <c r="G187" s="154" t="s">
        <v>2933</v>
      </c>
      <c r="H187" s="78">
        <v>25424.0</v>
      </c>
      <c r="I187" s="30" t="s">
        <v>182</v>
      </c>
      <c r="J187" s="69"/>
      <c r="K187" s="69"/>
      <c r="N187" s="244">
        <f t="shared" ref="N187:R187" si="21">COUNTIFS($I$184:$I$195,N186)</f>
        <v>10</v>
      </c>
      <c r="O187" s="244">
        <f t="shared" si="21"/>
        <v>0</v>
      </c>
      <c r="P187" s="244">
        <f t="shared" si="21"/>
        <v>0</v>
      </c>
      <c r="Q187" s="244">
        <f t="shared" si="21"/>
        <v>0</v>
      </c>
      <c r="R187" s="244">
        <f t="shared" si="21"/>
        <v>2</v>
      </c>
    </row>
    <row r="188" ht="15.75" customHeight="1">
      <c r="A188" s="11" t="s">
        <v>14</v>
      </c>
      <c r="B188" s="205" t="s">
        <v>2018</v>
      </c>
      <c r="C188" s="69" t="str">
        <f t="shared" si="20"/>
        <v>Quarta-Feira</v>
      </c>
      <c r="D188" s="445" t="str">
        <f>IF(C188&lt;&gt;"Quarta-Feira","14:20","09:20")</f>
        <v>09:20</v>
      </c>
      <c r="E188" s="253" t="s">
        <v>2934</v>
      </c>
      <c r="F188" s="69">
        <v>7.00406974314249E14</v>
      </c>
      <c r="G188" s="154" t="s">
        <v>2935</v>
      </c>
      <c r="H188" s="78">
        <v>14957.0</v>
      </c>
      <c r="I188" s="30" t="s">
        <v>182</v>
      </c>
      <c r="J188" s="69"/>
      <c r="K188" s="69"/>
      <c r="R188" s="62"/>
    </row>
    <row r="189" ht="15.75" customHeight="1">
      <c r="A189" s="11" t="s">
        <v>15</v>
      </c>
      <c r="B189" s="205" t="s">
        <v>2020</v>
      </c>
      <c r="C189" s="69" t="str">
        <f t="shared" si="20"/>
        <v>Quarta-Feira</v>
      </c>
      <c r="D189" s="445" t="str">
        <f>IF(C189&lt;&gt;"Quarta-Feira","14:40","09:40")</f>
        <v>09:40</v>
      </c>
      <c r="E189" s="253" t="s">
        <v>2898</v>
      </c>
      <c r="F189" s="69">
        <v>7.00004726739403E14</v>
      </c>
      <c r="G189" s="154" t="s">
        <v>2899</v>
      </c>
      <c r="H189" s="78">
        <v>26024.0</v>
      </c>
      <c r="I189" s="30" t="s">
        <v>182</v>
      </c>
      <c r="J189" s="69"/>
      <c r="K189" s="69"/>
      <c r="R189" s="62"/>
    </row>
    <row r="190" ht="15.75" customHeight="1">
      <c r="A190" s="11" t="s">
        <v>16</v>
      </c>
      <c r="B190" s="205" t="s">
        <v>2013</v>
      </c>
      <c r="C190" s="69" t="str">
        <f t="shared" si="20"/>
        <v>Quarta-Feira</v>
      </c>
      <c r="D190" s="445" t="str">
        <f>IF(C190&lt;&gt;"Quarta-Feira","15:00","10:00")</f>
        <v>10:00</v>
      </c>
      <c r="E190" s="253" t="s">
        <v>2936</v>
      </c>
      <c r="F190" s="69">
        <v>7.0050697576016E14</v>
      </c>
      <c r="G190" s="154" t="s">
        <v>2937</v>
      </c>
      <c r="H190" s="72">
        <v>21205.0</v>
      </c>
      <c r="I190" s="30" t="s">
        <v>182</v>
      </c>
      <c r="J190" s="69"/>
      <c r="K190" s="69"/>
      <c r="R190" s="62"/>
    </row>
    <row r="191" ht="15.75" customHeight="1">
      <c r="A191" s="11" t="s">
        <v>17</v>
      </c>
      <c r="B191" s="205" t="s">
        <v>2018</v>
      </c>
      <c r="C191" s="69" t="str">
        <f t="shared" si="20"/>
        <v>Quarta-Feira</v>
      </c>
      <c r="D191" s="445" t="str">
        <f>IF(C191&lt;&gt;"Quarta-Feira","15:20","10:20")</f>
        <v>10:20</v>
      </c>
      <c r="E191" s="253" t="s">
        <v>2938</v>
      </c>
      <c r="F191" s="69">
        <v>7.00505141993159E14</v>
      </c>
      <c r="G191" s="154" t="s">
        <v>2939</v>
      </c>
      <c r="H191" s="72">
        <v>18233.0</v>
      </c>
      <c r="I191" s="30" t="s">
        <v>182</v>
      </c>
      <c r="J191" s="69"/>
      <c r="K191" s="69"/>
      <c r="R191" s="62"/>
    </row>
    <row r="192" ht="15.75" customHeight="1">
      <c r="A192" s="11" t="s">
        <v>85</v>
      </c>
      <c r="B192" s="205" t="s">
        <v>2023</v>
      </c>
      <c r="C192" s="69" t="str">
        <f t="shared" si="20"/>
        <v>Quarta-Feira</v>
      </c>
      <c r="D192" s="445" t="str">
        <f>IF(C192&lt;&gt;"Quarta-Feira","15:40","10:40")</f>
        <v>10:40</v>
      </c>
      <c r="E192" s="253" t="s">
        <v>2940</v>
      </c>
      <c r="F192" s="69">
        <v>7.05004444659055E14</v>
      </c>
      <c r="G192" s="154" t="s">
        <v>2941</v>
      </c>
      <c r="H192" s="78">
        <v>29905.0</v>
      </c>
      <c r="I192" s="30" t="s">
        <v>182</v>
      </c>
      <c r="J192" s="69"/>
      <c r="K192" s="69"/>
      <c r="R192" s="62"/>
    </row>
    <row r="193" ht="15.75" customHeight="1">
      <c r="A193" s="11" t="s">
        <v>87</v>
      </c>
      <c r="B193" s="205" t="s">
        <v>2020</v>
      </c>
      <c r="C193" s="69" t="str">
        <f t="shared" si="20"/>
        <v>Quarta-Feira</v>
      </c>
      <c r="D193" s="445" t="str">
        <f>IF(C193&lt;&gt;"Quarta-Feira","16:00","11:00")</f>
        <v>11:00</v>
      </c>
      <c r="E193" s="253" t="s">
        <v>2942</v>
      </c>
      <c r="F193" s="69">
        <v>7.04800040197247E14</v>
      </c>
      <c r="G193" s="154" t="s">
        <v>2943</v>
      </c>
      <c r="H193" s="153">
        <v>27624.0</v>
      </c>
      <c r="I193" s="30" t="s">
        <v>1822</v>
      </c>
      <c r="J193" s="69"/>
      <c r="K193" s="69"/>
      <c r="R193" s="62"/>
    </row>
    <row r="194" ht="15.75" customHeight="1">
      <c r="A194" s="11" t="s">
        <v>90</v>
      </c>
      <c r="B194" s="205" t="s">
        <v>2023</v>
      </c>
      <c r="C194" s="69" t="str">
        <f t="shared" si="20"/>
        <v>Quarta-Feira</v>
      </c>
      <c r="D194" s="445" t="str">
        <f>IF(C194&lt;&gt;"Quarta-Feira","16:20","11:20")</f>
        <v>11:20</v>
      </c>
      <c r="E194" s="253" t="s">
        <v>2944</v>
      </c>
      <c r="F194" s="69">
        <v>7.02008356638985E14</v>
      </c>
      <c r="G194" s="154" t="s">
        <v>2945</v>
      </c>
      <c r="H194" s="153">
        <v>25133.0</v>
      </c>
      <c r="I194" s="30" t="s">
        <v>182</v>
      </c>
      <c r="J194" s="69"/>
      <c r="K194" s="69"/>
      <c r="R194" s="62"/>
    </row>
    <row r="195" ht="15.75" customHeight="1">
      <c r="A195" s="11" t="s">
        <v>93</v>
      </c>
      <c r="B195" s="205" t="s">
        <v>2013</v>
      </c>
      <c r="C195" s="69" t="str">
        <f t="shared" si="20"/>
        <v>Quarta-Feira</v>
      </c>
      <c r="D195" s="445" t="str">
        <f>IF(C195&lt;&gt;"Quarta-Feira","16:40","11:40")</f>
        <v>11:40</v>
      </c>
      <c r="E195" s="253" t="s">
        <v>2946</v>
      </c>
      <c r="F195" s="69">
        <v>7.02905527708876E14</v>
      </c>
      <c r="G195" s="154" t="s">
        <v>2947</v>
      </c>
      <c r="H195" s="153">
        <v>29246.0</v>
      </c>
      <c r="I195" s="30" t="s">
        <v>1822</v>
      </c>
      <c r="J195" s="69"/>
      <c r="K195" s="69"/>
      <c r="R195" s="62"/>
    </row>
    <row r="196" ht="15.75" customHeight="1">
      <c r="B196" s="167"/>
      <c r="E196" s="231"/>
      <c r="G196" s="167"/>
      <c r="J196" s="62"/>
      <c r="K196" s="62"/>
      <c r="R196" s="62"/>
    </row>
    <row r="197" ht="15.75" customHeight="1">
      <c r="B197" s="167"/>
      <c r="E197" s="231"/>
      <c r="G197" s="167"/>
      <c r="J197" s="62"/>
      <c r="K197" s="62"/>
      <c r="R197" s="62"/>
    </row>
    <row r="198" ht="15.75" customHeight="1">
      <c r="B198" s="167"/>
      <c r="E198" s="231"/>
      <c r="G198" s="167"/>
      <c r="J198" s="62"/>
      <c r="K198" s="62"/>
      <c r="R198" s="62"/>
    </row>
    <row r="199" ht="15.75" customHeight="1">
      <c r="A199" s="20" t="s">
        <v>377</v>
      </c>
      <c r="B199" s="2"/>
      <c r="C199" s="2"/>
      <c r="D199" s="2"/>
      <c r="E199" s="2"/>
      <c r="F199" s="2"/>
      <c r="G199" s="2"/>
      <c r="H199" s="2"/>
      <c r="I199" s="2"/>
      <c r="J199" s="2"/>
      <c r="K199" s="3"/>
      <c r="R199" s="62"/>
    </row>
    <row r="200" ht="15.75" customHeight="1">
      <c r="A200" s="21" t="str">
        <f>TEXT(DATE(VALUE(MID(A182,7,4)),VALUE(MID(A182,4,2)),VALUE(LEFT(A182,2)))+2,"dd/mm/yyyy")&amp;" 08h às 13h"</f>
        <v>24/04/2026 08h às 13h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  <c r="R200" s="62"/>
    </row>
    <row r="201" ht="15.75" customHeight="1">
      <c r="A201" s="22"/>
      <c r="B201" s="426" t="s">
        <v>3</v>
      </c>
      <c r="C201" s="24" t="s">
        <v>2</v>
      </c>
      <c r="D201" s="25" t="s">
        <v>5</v>
      </c>
      <c r="E201" s="26" t="s">
        <v>19</v>
      </c>
      <c r="F201" s="25" t="s">
        <v>6</v>
      </c>
      <c r="G201" s="234" t="s">
        <v>7</v>
      </c>
      <c r="H201" s="27" t="s">
        <v>8</v>
      </c>
      <c r="I201" s="28" t="s">
        <v>20</v>
      </c>
      <c r="J201" s="25" t="s">
        <v>21</v>
      </c>
      <c r="K201" s="25" t="s">
        <v>22</v>
      </c>
      <c r="R201" s="62"/>
    </row>
    <row r="202" ht="15.75" customHeight="1">
      <c r="A202" s="11" t="s">
        <v>10</v>
      </c>
      <c r="B202" s="205" t="s">
        <v>2380</v>
      </c>
      <c r="C202" s="69" t="str">
        <f t="shared" ref="C202:C213" si="22">PROPER(TEXT(DATE(MID($A$146,7,4),MID($A$146,4,2),LEFT($A$146,2)),"dddd"))</f>
        <v>Sexta-Feira</v>
      </c>
      <c r="D202" s="445" t="str">
        <f>IF(C202&lt;&gt;"Quarta-Feira","13:00","08:00")</f>
        <v>13:00</v>
      </c>
      <c r="E202" s="253" t="s">
        <v>2948</v>
      </c>
      <c r="F202" s="404">
        <v>8.01440415320238E14</v>
      </c>
      <c r="G202" s="154" t="s">
        <v>2949</v>
      </c>
      <c r="H202" s="78">
        <v>23438.0</v>
      </c>
      <c r="I202" s="30" t="s">
        <v>1822</v>
      </c>
      <c r="J202" s="69"/>
      <c r="K202" s="69"/>
      <c r="N202" s="237" t="s">
        <v>386</v>
      </c>
      <c r="O202" s="95"/>
      <c r="P202" s="95"/>
      <c r="Q202" s="95"/>
      <c r="R202" s="95"/>
    </row>
    <row r="203" ht="15.75" customHeight="1">
      <c r="A203" s="11" t="s">
        <v>11</v>
      </c>
      <c r="B203" s="205" t="s">
        <v>2383</v>
      </c>
      <c r="C203" s="69" t="str">
        <f t="shared" si="22"/>
        <v>Sexta-Feira</v>
      </c>
      <c r="D203" s="445" t="str">
        <f>IF(C203&lt;&gt;"Quarta-Feira","13:20","08:20")</f>
        <v>13:20</v>
      </c>
      <c r="E203" s="253" t="s">
        <v>2950</v>
      </c>
      <c r="F203" s="69">
        <v>8.01440417549054E14</v>
      </c>
      <c r="G203" s="154" t="s">
        <v>2951</v>
      </c>
      <c r="H203" s="78">
        <v>22980.0</v>
      </c>
      <c r="I203" s="30" t="s">
        <v>182</v>
      </c>
      <c r="J203" s="69"/>
      <c r="K203" s="69"/>
      <c r="N203" s="239" t="s">
        <v>1823</v>
      </c>
      <c r="O203" s="2"/>
      <c r="P203" s="2"/>
      <c r="Q203" s="2"/>
      <c r="R203" s="2"/>
    </row>
    <row r="204" ht="15.75" customHeight="1">
      <c r="A204" s="11" t="s">
        <v>12</v>
      </c>
      <c r="B204" s="205" t="s">
        <v>2386</v>
      </c>
      <c r="C204" s="69" t="str">
        <f t="shared" si="22"/>
        <v>Sexta-Feira</v>
      </c>
      <c r="D204" s="445" t="str">
        <f>IF(C204&lt;&gt;"Quarta-Feira","13:40","08:40")</f>
        <v>13:40</v>
      </c>
      <c r="E204" s="253" t="s">
        <v>2952</v>
      </c>
      <c r="F204" s="69">
        <v>7.04609690726422E14</v>
      </c>
      <c r="G204" s="154" t="s">
        <v>2953</v>
      </c>
      <c r="H204" s="78">
        <v>19816.0</v>
      </c>
      <c r="I204" s="30" t="s">
        <v>182</v>
      </c>
      <c r="J204" s="69"/>
      <c r="K204" s="69"/>
      <c r="N204" s="240" t="s">
        <v>182</v>
      </c>
      <c r="O204" s="241" t="s">
        <v>194</v>
      </c>
      <c r="P204" s="241" t="s">
        <v>180</v>
      </c>
      <c r="Q204" s="242" t="s">
        <v>172</v>
      </c>
      <c r="R204" s="62" t="s">
        <v>1822</v>
      </c>
    </row>
    <row r="205" ht="15.75" customHeight="1">
      <c r="A205" s="11" t="s">
        <v>13</v>
      </c>
      <c r="B205" s="205" t="s">
        <v>2389</v>
      </c>
      <c r="C205" s="69" t="str">
        <f t="shared" si="22"/>
        <v>Sexta-Feira</v>
      </c>
      <c r="D205" s="445" t="str">
        <f>IF(C205&lt;&gt;"Quarta-Feira","14:00","09:00")</f>
        <v>14:00</v>
      </c>
      <c r="E205" s="253" t="s">
        <v>2954</v>
      </c>
      <c r="F205" s="69">
        <v>8.01440477187876E14</v>
      </c>
      <c r="G205" s="154" t="s">
        <v>2955</v>
      </c>
      <c r="H205" s="78">
        <v>17548.0</v>
      </c>
      <c r="I205" s="30" t="s">
        <v>182</v>
      </c>
      <c r="J205" s="69"/>
      <c r="K205" s="69"/>
      <c r="N205" s="244">
        <f t="shared" ref="N205:R205" si="23">COUNTIFS($I$202:$I$213,N204)</f>
        <v>9</v>
      </c>
      <c r="O205" s="244">
        <f t="shared" si="23"/>
        <v>0</v>
      </c>
      <c r="P205" s="244">
        <f t="shared" si="23"/>
        <v>0</v>
      </c>
      <c r="Q205" s="244">
        <f t="shared" si="23"/>
        <v>0</v>
      </c>
      <c r="R205" s="244">
        <f t="shared" si="23"/>
        <v>2</v>
      </c>
    </row>
    <row r="206" ht="15.75" customHeight="1">
      <c r="A206" s="11" t="s">
        <v>14</v>
      </c>
      <c r="B206" s="205" t="s">
        <v>2380</v>
      </c>
      <c r="C206" s="69" t="str">
        <f t="shared" si="22"/>
        <v>Sexta-Feira</v>
      </c>
      <c r="D206" s="445" t="str">
        <f>IF(C206&lt;&gt;"Quarta-Feira","14:20","09:20")</f>
        <v>14:20</v>
      </c>
      <c r="E206" s="253" t="s">
        <v>2956</v>
      </c>
      <c r="F206" s="69">
        <v>8.01440470124542E14</v>
      </c>
      <c r="G206" s="154" t="s">
        <v>2049</v>
      </c>
      <c r="H206" s="78">
        <v>15031.0</v>
      </c>
      <c r="I206" s="30" t="s">
        <v>182</v>
      </c>
      <c r="J206" s="69"/>
      <c r="K206" s="69"/>
      <c r="R206" s="62"/>
    </row>
    <row r="207" ht="15.75" customHeight="1">
      <c r="A207" s="11" t="s">
        <v>15</v>
      </c>
      <c r="B207" s="205" t="s">
        <v>2383</v>
      </c>
      <c r="C207" s="69" t="str">
        <f t="shared" si="22"/>
        <v>Sexta-Feira</v>
      </c>
      <c r="D207" s="445" t="str">
        <f>IF(C207&lt;&gt;"Quarta-Feira","14:40","09:40")</f>
        <v>14:40</v>
      </c>
      <c r="E207" s="253" t="s">
        <v>2957</v>
      </c>
      <c r="F207" s="69">
        <v>7.00408496140742E14</v>
      </c>
      <c r="G207" s="154" t="s">
        <v>2958</v>
      </c>
      <c r="H207" s="78">
        <v>17710.0</v>
      </c>
      <c r="I207" s="30" t="s">
        <v>182</v>
      </c>
      <c r="J207" s="69"/>
      <c r="K207" s="69"/>
      <c r="R207" s="62"/>
    </row>
    <row r="208" ht="15.75" customHeight="1">
      <c r="A208" s="11" t="s">
        <v>16</v>
      </c>
      <c r="B208" s="205" t="s">
        <v>2386</v>
      </c>
      <c r="C208" s="69" t="str">
        <f t="shared" si="22"/>
        <v>Sexta-Feira</v>
      </c>
      <c r="D208" s="445" t="str">
        <f>IF(C208&lt;&gt;"Quarta-Feira","15:00","10:00")</f>
        <v>15:00</v>
      </c>
      <c r="E208" s="253" t="s">
        <v>2959</v>
      </c>
      <c r="F208" s="404">
        <v>7.03401202954915E14</v>
      </c>
      <c r="G208" s="154" t="s">
        <v>2960</v>
      </c>
      <c r="H208" s="78">
        <v>22135.0</v>
      </c>
      <c r="I208" s="30" t="s">
        <v>182</v>
      </c>
      <c r="J208" s="69"/>
      <c r="K208" s="69"/>
      <c r="R208" s="62"/>
    </row>
    <row r="209" ht="15.75" customHeight="1">
      <c r="A209" s="11" t="s">
        <v>17</v>
      </c>
      <c r="B209" s="205" t="s">
        <v>2389</v>
      </c>
      <c r="C209" s="69" t="str">
        <f t="shared" si="22"/>
        <v>Sexta-Feira</v>
      </c>
      <c r="D209" s="445" t="str">
        <f>IF(C209&lt;&gt;"Quarta-Feira","15:20","10:20")</f>
        <v>15:20</v>
      </c>
      <c r="E209" s="253" t="s">
        <v>2961</v>
      </c>
      <c r="F209" s="69">
        <v>2.06882035790004E14</v>
      </c>
      <c r="G209" s="154" t="s">
        <v>1950</v>
      </c>
      <c r="H209" s="78">
        <v>28626.0</v>
      </c>
      <c r="I209" s="30" t="s">
        <v>1822</v>
      </c>
      <c r="J209" s="69"/>
      <c r="K209" s="69"/>
      <c r="R209" s="62"/>
    </row>
    <row r="210" ht="15.75" customHeight="1">
      <c r="A210" s="11" t="s">
        <v>85</v>
      </c>
      <c r="B210" s="205" t="s">
        <v>2383</v>
      </c>
      <c r="C210" s="69" t="str">
        <f t="shared" si="22"/>
        <v>Sexta-Feira</v>
      </c>
      <c r="D210" s="445" t="str">
        <f>IF(C210&lt;&gt;"Quarta-Feira","15:40","10:40")</f>
        <v>15:40</v>
      </c>
      <c r="E210" s="253"/>
      <c r="F210" s="69"/>
      <c r="G210" s="154"/>
      <c r="H210" s="78"/>
      <c r="I210" s="30" t="s">
        <v>2347</v>
      </c>
      <c r="J210" s="69"/>
      <c r="K210" s="69"/>
      <c r="R210" s="62"/>
    </row>
    <row r="211" ht="15.75" customHeight="1">
      <c r="A211" s="11" t="s">
        <v>87</v>
      </c>
      <c r="B211" s="205" t="s">
        <v>2380</v>
      </c>
      <c r="C211" s="69" t="str">
        <f t="shared" si="22"/>
        <v>Sexta-Feira</v>
      </c>
      <c r="D211" s="445" t="str">
        <f>IF(C211&lt;&gt;"Quarta-Feira","16:00","11:00")</f>
        <v>16:00</v>
      </c>
      <c r="E211" s="253" t="s">
        <v>2962</v>
      </c>
      <c r="F211" s="69">
        <v>7.04606660252527E14</v>
      </c>
      <c r="G211" s="154" t="s">
        <v>2963</v>
      </c>
      <c r="H211" s="153">
        <v>21774.0</v>
      </c>
      <c r="I211" s="30" t="s">
        <v>182</v>
      </c>
      <c r="J211" s="69"/>
      <c r="K211" s="69"/>
      <c r="R211" s="62"/>
    </row>
    <row r="212" ht="15.75" customHeight="1">
      <c r="A212" s="11" t="s">
        <v>90</v>
      </c>
      <c r="B212" s="205" t="s">
        <v>2380</v>
      </c>
      <c r="C212" s="69" t="str">
        <f t="shared" si="22"/>
        <v>Sexta-Feira</v>
      </c>
      <c r="D212" s="445" t="str">
        <f>IF(C212&lt;&gt;"Quarta-Feira","16:20","11:20")</f>
        <v>16:20</v>
      </c>
      <c r="E212" s="253" t="s">
        <v>2964</v>
      </c>
      <c r="F212" s="69">
        <v>7.07605285229592E14</v>
      </c>
      <c r="G212" s="154" t="s">
        <v>2965</v>
      </c>
      <c r="H212" s="153">
        <v>20749.0</v>
      </c>
      <c r="I212" s="30" t="s">
        <v>182</v>
      </c>
      <c r="J212" s="69"/>
      <c r="K212" s="69"/>
      <c r="R212" s="62"/>
    </row>
    <row r="213" ht="15.75" customHeight="1">
      <c r="A213" s="11" t="s">
        <v>93</v>
      </c>
      <c r="B213" s="205" t="s">
        <v>2380</v>
      </c>
      <c r="C213" s="69" t="str">
        <f t="shared" si="22"/>
        <v>Sexta-Feira</v>
      </c>
      <c r="D213" s="445" t="str">
        <f>IF(C213&lt;&gt;"Quarta-Feira","16:40","11:40")</f>
        <v>16:40</v>
      </c>
      <c r="E213" s="253" t="s">
        <v>2966</v>
      </c>
      <c r="F213" s="69">
        <v>8.01440401081368E14</v>
      </c>
      <c r="G213" s="154" t="s">
        <v>2967</v>
      </c>
      <c r="H213" s="153">
        <v>19637.0</v>
      </c>
      <c r="I213" s="30" t="s">
        <v>182</v>
      </c>
      <c r="J213" s="69"/>
      <c r="K213" s="69"/>
      <c r="R213" s="62"/>
    </row>
    <row r="214" ht="15.75" customHeight="1">
      <c r="B214" s="167"/>
      <c r="E214" s="231"/>
      <c r="G214" s="167"/>
      <c r="J214" s="62"/>
      <c r="K214" s="62"/>
      <c r="R214" s="62"/>
    </row>
    <row r="215" ht="15.75" customHeight="1">
      <c r="B215" s="167"/>
      <c r="J215" s="62"/>
      <c r="K215" s="62"/>
      <c r="R215" s="62"/>
    </row>
    <row r="216" ht="15.75" customHeight="1">
      <c r="B216" s="167"/>
      <c r="E216" s="231"/>
      <c r="G216" s="167"/>
      <c r="J216" s="62"/>
      <c r="K216" s="62"/>
      <c r="R216" s="62"/>
    </row>
    <row r="217" ht="15.75" customHeight="1">
      <c r="A217" s="20" t="s">
        <v>377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R217" s="62"/>
    </row>
    <row r="218" ht="15.75" customHeight="1">
      <c r="A218" s="21" t="str">
        <f>TEXT(DATE(VALUE(MID(A164,7,4)),VALUE(MID(A164,4,2)),VALUE(LEFT(A164,2)))+7,"dd/mm/yyyy")&amp;" 13h às 17h"</f>
        <v>27/04/2026 13h às 17h</v>
      </c>
      <c r="B218" s="2"/>
      <c r="C218" s="2"/>
      <c r="D218" s="2"/>
      <c r="E218" s="2"/>
      <c r="F218" s="2"/>
      <c r="G218" s="2"/>
      <c r="H218" s="2"/>
      <c r="I218" s="2"/>
      <c r="J218" s="2"/>
      <c r="K218" s="3"/>
      <c r="R218" s="62"/>
    </row>
    <row r="219" ht="15.75" customHeight="1">
      <c r="A219" s="22"/>
      <c r="B219" s="426" t="s">
        <v>3</v>
      </c>
      <c r="C219" s="24" t="s">
        <v>2</v>
      </c>
      <c r="D219" s="25" t="s">
        <v>5</v>
      </c>
      <c r="E219" s="26" t="s">
        <v>19</v>
      </c>
      <c r="F219" s="25" t="s">
        <v>6</v>
      </c>
      <c r="G219" s="234" t="s">
        <v>7</v>
      </c>
      <c r="H219" s="27" t="s">
        <v>8</v>
      </c>
      <c r="I219" s="28" t="s">
        <v>20</v>
      </c>
      <c r="J219" s="25" t="s">
        <v>21</v>
      </c>
      <c r="K219" s="25" t="s">
        <v>22</v>
      </c>
      <c r="R219" s="62"/>
    </row>
    <row r="220" ht="15.75" customHeight="1">
      <c r="A220" s="11" t="s">
        <v>10</v>
      </c>
      <c r="B220" s="205" t="s">
        <v>1980</v>
      </c>
      <c r="C220" s="69" t="str">
        <f t="shared" ref="C220:C231" si="24">PROPER(TEXT(DATE(MID($A$164,7,4),MID($A$164,4,2),LEFT($A$164,2)),"dddd"))</f>
        <v>Segunda-Feira</v>
      </c>
      <c r="D220" s="445" t="str">
        <f>IF(C220&lt;&gt;"Quarta-Feira","13:00","08:00")</f>
        <v>13:00</v>
      </c>
      <c r="E220" s="253" t="s">
        <v>2515</v>
      </c>
      <c r="F220" s="69">
        <v>8.01440415212761E14</v>
      </c>
      <c r="G220" s="154" t="s">
        <v>2516</v>
      </c>
      <c r="H220" s="193">
        <v>30011.0</v>
      </c>
      <c r="I220" s="30" t="s">
        <v>182</v>
      </c>
      <c r="J220" s="69"/>
      <c r="K220" s="69"/>
      <c r="N220" s="237" t="s">
        <v>386</v>
      </c>
      <c r="O220" s="95"/>
      <c r="P220" s="95"/>
      <c r="Q220" s="95"/>
      <c r="R220" s="95"/>
    </row>
    <row r="221" ht="15.75" customHeight="1">
      <c r="A221" s="11" t="s">
        <v>11</v>
      </c>
      <c r="B221" s="205" t="s">
        <v>1984</v>
      </c>
      <c r="C221" s="69" t="str">
        <f t="shared" si="24"/>
        <v>Segunda-Feira</v>
      </c>
      <c r="D221" s="445" t="str">
        <f>IF(C221&lt;&gt;"Quarta-Feira","13:20","08:20")</f>
        <v>13:20</v>
      </c>
      <c r="E221" s="253" t="s">
        <v>2339</v>
      </c>
      <c r="F221" s="69">
        <v>7.08405283451468E14</v>
      </c>
      <c r="G221" s="154" t="s">
        <v>2340</v>
      </c>
      <c r="H221" s="193">
        <v>26053.0</v>
      </c>
      <c r="I221" s="30" t="s">
        <v>182</v>
      </c>
      <c r="J221" s="69"/>
      <c r="K221" s="69"/>
      <c r="N221" s="239" t="s">
        <v>1823</v>
      </c>
      <c r="O221" s="2"/>
      <c r="P221" s="2"/>
      <c r="Q221" s="2"/>
      <c r="R221" s="2"/>
    </row>
    <row r="222" ht="15.75" customHeight="1">
      <c r="A222" s="11" t="s">
        <v>12</v>
      </c>
      <c r="B222" s="205" t="s">
        <v>1988</v>
      </c>
      <c r="C222" s="69" t="str">
        <f t="shared" si="24"/>
        <v>Segunda-Feira</v>
      </c>
      <c r="D222" s="445" t="str">
        <f>IF(C222&lt;&gt;"Quarta-Feira","13:40","08:40")</f>
        <v>13:40</v>
      </c>
      <c r="E222" s="253" t="s">
        <v>2968</v>
      </c>
      <c r="F222" s="69">
        <v>7.00009292772605E14</v>
      </c>
      <c r="G222" s="154" t="s">
        <v>2969</v>
      </c>
      <c r="H222" s="193">
        <v>23102.0</v>
      </c>
      <c r="I222" s="30" t="s">
        <v>182</v>
      </c>
      <c r="J222" s="69"/>
      <c r="K222" s="69"/>
      <c r="N222" s="240" t="s">
        <v>182</v>
      </c>
      <c r="O222" s="241" t="s">
        <v>194</v>
      </c>
      <c r="P222" s="241" t="s">
        <v>180</v>
      </c>
      <c r="Q222" s="242" t="s">
        <v>172</v>
      </c>
      <c r="R222" s="62" t="s">
        <v>1822</v>
      </c>
    </row>
    <row r="223" ht="15.75" customHeight="1">
      <c r="A223" s="11" t="s">
        <v>13</v>
      </c>
      <c r="B223" s="205" t="s">
        <v>1991</v>
      </c>
      <c r="C223" s="69" t="str">
        <f t="shared" si="24"/>
        <v>Segunda-Feira</v>
      </c>
      <c r="D223" s="445" t="str">
        <f>IF(C223&lt;&gt;"Quarta-Feira","14:00","09:00")</f>
        <v>14:00</v>
      </c>
      <c r="E223" s="253" t="s">
        <v>2970</v>
      </c>
      <c r="F223" s="69">
        <v>7.00604480964664E14</v>
      </c>
      <c r="G223" s="154" t="s">
        <v>2971</v>
      </c>
      <c r="H223" s="193">
        <v>17857.0</v>
      </c>
      <c r="I223" s="30" t="s">
        <v>182</v>
      </c>
      <c r="J223" s="69"/>
      <c r="K223" s="69"/>
      <c r="N223" s="244">
        <f t="shared" ref="N223:R223" si="25">COUNTIFS($I$220:$I$231,N222)</f>
        <v>11</v>
      </c>
      <c r="O223" s="244">
        <f t="shared" si="25"/>
        <v>0</v>
      </c>
      <c r="P223" s="244">
        <f t="shared" si="25"/>
        <v>0</v>
      </c>
      <c r="Q223" s="244">
        <f t="shared" si="25"/>
        <v>0</v>
      </c>
      <c r="R223" s="244">
        <f t="shared" si="25"/>
        <v>1</v>
      </c>
    </row>
    <row r="224" ht="15.75" customHeight="1">
      <c r="A224" s="11" t="s">
        <v>14</v>
      </c>
      <c r="B224" s="205" t="s">
        <v>1980</v>
      </c>
      <c r="C224" s="69" t="str">
        <f t="shared" si="24"/>
        <v>Segunda-Feira</v>
      </c>
      <c r="D224" s="445" t="str">
        <f>IF(C224&lt;&gt;"Quarta-Feira","14:20","09:20")</f>
        <v>14:20</v>
      </c>
      <c r="E224" s="253" t="s">
        <v>2972</v>
      </c>
      <c r="F224" s="69">
        <v>7.0610753876546E14</v>
      </c>
      <c r="G224" s="154" t="s">
        <v>2973</v>
      </c>
      <c r="H224" s="193">
        <v>16915.0</v>
      </c>
      <c r="I224" s="30" t="s">
        <v>182</v>
      </c>
      <c r="J224" s="69"/>
      <c r="K224" s="69"/>
      <c r="R224" s="62"/>
    </row>
    <row r="225" ht="15.75" customHeight="1">
      <c r="A225" s="11" t="s">
        <v>15</v>
      </c>
      <c r="B225" s="205" t="s">
        <v>1984</v>
      </c>
      <c r="C225" s="69" t="str">
        <f t="shared" si="24"/>
        <v>Segunda-Feira</v>
      </c>
      <c r="D225" s="445" t="str">
        <f>IF(C225&lt;&gt;"Quarta-Feira","14:40","09:40")</f>
        <v>14:40</v>
      </c>
      <c r="E225" s="253" t="s">
        <v>2974</v>
      </c>
      <c r="F225" s="69">
        <v>8.35503045695573E14</v>
      </c>
      <c r="G225" s="154" t="s">
        <v>2975</v>
      </c>
      <c r="H225" s="193">
        <v>21381.0</v>
      </c>
      <c r="I225" s="30" t="s">
        <v>182</v>
      </c>
      <c r="J225" s="69"/>
      <c r="K225" s="69"/>
      <c r="R225" s="62"/>
    </row>
    <row r="226" ht="15.75" customHeight="1">
      <c r="A226" s="11" t="s">
        <v>16</v>
      </c>
      <c r="B226" s="205" t="s">
        <v>1988</v>
      </c>
      <c r="C226" s="69" t="str">
        <f t="shared" si="24"/>
        <v>Segunda-Feira</v>
      </c>
      <c r="D226" s="445" t="str">
        <f>IF(C226&lt;&gt;"Quarta-Feira","15:00","10:00")</f>
        <v>15:00</v>
      </c>
      <c r="E226" s="253" t="s">
        <v>2976</v>
      </c>
      <c r="F226" s="69">
        <v>7.08001371884129E14</v>
      </c>
      <c r="G226" s="154" t="s">
        <v>2977</v>
      </c>
      <c r="H226" s="193">
        <v>24212.0</v>
      </c>
      <c r="I226" s="30" t="s">
        <v>182</v>
      </c>
      <c r="J226" s="69"/>
      <c r="K226" s="69"/>
      <c r="R226" s="62"/>
    </row>
    <row r="227" ht="15.75" customHeight="1">
      <c r="A227" s="11" t="s">
        <v>17</v>
      </c>
      <c r="B227" s="205" t="s">
        <v>1991</v>
      </c>
      <c r="C227" s="69" t="str">
        <f t="shared" si="24"/>
        <v>Segunda-Feira</v>
      </c>
      <c r="D227" s="445" t="str">
        <f>IF(C227&lt;&gt;"Quarta-Feira","15:20","10:20")</f>
        <v>15:20</v>
      </c>
      <c r="E227" s="253" t="s">
        <v>2978</v>
      </c>
      <c r="F227" s="69">
        <v>7.02405542912521E14</v>
      </c>
      <c r="G227" s="154" t="s">
        <v>1367</v>
      </c>
      <c r="H227" s="193">
        <v>19783.0</v>
      </c>
      <c r="I227" s="30" t="s">
        <v>182</v>
      </c>
      <c r="J227" s="69"/>
      <c r="K227" s="69"/>
      <c r="R227" s="62"/>
    </row>
    <row r="228" ht="15.75" customHeight="1">
      <c r="A228" s="11" t="s">
        <v>85</v>
      </c>
      <c r="B228" s="205" t="s">
        <v>1980</v>
      </c>
      <c r="C228" s="69" t="str">
        <f t="shared" si="24"/>
        <v>Segunda-Feira</v>
      </c>
      <c r="D228" s="445" t="str">
        <f>IF(C228&lt;&gt;"Quarta-Feira","15:40","10:40")</f>
        <v>15:40</v>
      </c>
      <c r="E228" s="253" t="s">
        <v>2531</v>
      </c>
      <c r="F228" s="69">
        <v>7.07009850893437E14</v>
      </c>
      <c r="G228" s="154" t="s">
        <v>2532</v>
      </c>
      <c r="H228" s="193">
        <v>31021.0</v>
      </c>
      <c r="I228" s="30" t="s">
        <v>182</v>
      </c>
      <c r="J228" s="69"/>
      <c r="K228" s="69"/>
      <c r="R228" s="62"/>
    </row>
    <row r="229" ht="15.75" customHeight="1">
      <c r="A229" s="11" t="s">
        <v>87</v>
      </c>
      <c r="B229" s="205" t="s">
        <v>1984</v>
      </c>
      <c r="C229" s="69" t="str">
        <f t="shared" si="24"/>
        <v>Segunda-Feira</v>
      </c>
      <c r="D229" s="445" t="str">
        <f>IF(C229&lt;&gt;"Quarta-Feira","16:00","11:00")</f>
        <v>16:00</v>
      </c>
      <c r="E229" s="253" t="s">
        <v>2979</v>
      </c>
      <c r="F229" s="69">
        <v>7.04604175117727E14</v>
      </c>
      <c r="G229" s="154" t="s">
        <v>2980</v>
      </c>
      <c r="H229" s="193">
        <v>30093.0</v>
      </c>
      <c r="I229" s="30" t="s">
        <v>182</v>
      </c>
      <c r="J229" s="69"/>
      <c r="K229" s="69"/>
      <c r="R229" s="62"/>
    </row>
    <row r="230" ht="15.75" customHeight="1">
      <c r="A230" s="11" t="s">
        <v>90</v>
      </c>
      <c r="B230" s="205" t="s">
        <v>1988</v>
      </c>
      <c r="C230" s="69" t="str">
        <f t="shared" si="24"/>
        <v>Segunda-Feira</v>
      </c>
      <c r="D230" s="445" t="str">
        <f>IF(C230&lt;&gt;"Quarta-Feira","16:20","11:20")</f>
        <v>16:20</v>
      </c>
      <c r="E230" s="253" t="s">
        <v>2981</v>
      </c>
      <c r="F230" s="69">
        <v>7.06304789877974E14</v>
      </c>
      <c r="G230" s="154" t="s">
        <v>2982</v>
      </c>
      <c r="H230" s="193">
        <v>28690.0</v>
      </c>
      <c r="I230" s="30" t="s">
        <v>182</v>
      </c>
      <c r="J230" s="69"/>
      <c r="K230" s="69"/>
      <c r="R230" s="62"/>
    </row>
    <row r="231" ht="15.75" customHeight="1">
      <c r="A231" s="11" t="s">
        <v>93</v>
      </c>
      <c r="B231" s="205" t="s">
        <v>1991</v>
      </c>
      <c r="C231" s="69" t="str">
        <f t="shared" si="24"/>
        <v>Segunda-Feira</v>
      </c>
      <c r="D231" s="445" t="str">
        <f>IF(C231&lt;&gt;"Quarta-Feira","16:40","11:40")</f>
        <v>16:40</v>
      </c>
      <c r="E231" s="253" t="s">
        <v>2983</v>
      </c>
      <c r="F231" s="69">
        <v>2.0115635917E14</v>
      </c>
      <c r="G231" s="154" t="s">
        <v>2984</v>
      </c>
      <c r="H231" s="193">
        <v>16004.0</v>
      </c>
      <c r="I231" s="30" t="s">
        <v>1822</v>
      </c>
      <c r="J231" s="69"/>
      <c r="K231" s="69"/>
      <c r="R231" s="62"/>
    </row>
    <row r="232" ht="15.75" customHeight="1">
      <c r="B232" s="167"/>
      <c r="E232" s="231"/>
      <c r="G232" s="167"/>
      <c r="J232" s="62"/>
      <c r="K232" s="62"/>
      <c r="R232" s="62"/>
    </row>
    <row r="233" ht="15.75" customHeight="1">
      <c r="B233" s="167"/>
      <c r="E233" s="231"/>
      <c r="G233" s="167"/>
      <c r="J233" s="62"/>
      <c r="K233" s="62"/>
      <c r="R233" s="62"/>
    </row>
    <row r="234" ht="15.75" customHeight="1">
      <c r="B234" s="167"/>
      <c r="E234" s="231"/>
      <c r="G234" s="167"/>
      <c r="J234" s="62"/>
      <c r="K234" s="62"/>
    </row>
    <row r="235" ht="15.75" customHeight="1">
      <c r="A235" s="20" t="s">
        <v>377</v>
      </c>
      <c r="B235" s="2"/>
      <c r="C235" s="2"/>
      <c r="D235" s="2"/>
      <c r="E235" s="2"/>
      <c r="F235" s="2"/>
      <c r="G235" s="2"/>
      <c r="H235" s="2"/>
      <c r="I235" s="2"/>
      <c r="J235" s="2"/>
      <c r="K235" s="3"/>
      <c r="R235" s="62"/>
    </row>
    <row r="236" ht="15.75" customHeight="1">
      <c r="A236" s="21" t="str">
        <f>TEXT(DATE(VALUE(MID(A218,7,4)),VALUE(MID(A218,4,2)),VALUE(LEFT(A218,2)))+2,"dd/mm/yyyy")&amp;" 08h às 13h"</f>
        <v>29/04/2026 08h às 13h</v>
      </c>
      <c r="B236" s="2"/>
      <c r="C236" s="2"/>
      <c r="D236" s="2"/>
      <c r="E236" s="2"/>
      <c r="F236" s="2"/>
      <c r="G236" s="2"/>
      <c r="H236" s="2"/>
      <c r="I236" s="2"/>
      <c r="J236" s="2"/>
      <c r="K236" s="3"/>
    </row>
    <row r="237" ht="15.75" customHeight="1">
      <c r="A237" s="22"/>
      <c r="B237" s="426" t="s">
        <v>3</v>
      </c>
      <c r="C237" s="24" t="s">
        <v>2</v>
      </c>
      <c r="D237" s="25" t="s">
        <v>5</v>
      </c>
      <c r="E237" s="26" t="s">
        <v>19</v>
      </c>
      <c r="F237" s="25" t="s">
        <v>6</v>
      </c>
      <c r="G237" s="234" t="s">
        <v>7</v>
      </c>
      <c r="H237" s="27" t="s">
        <v>8</v>
      </c>
      <c r="I237" s="28" t="s">
        <v>20</v>
      </c>
      <c r="J237" s="25" t="s">
        <v>21</v>
      </c>
      <c r="K237" s="25" t="s">
        <v>22</v>
      </c>
    </row>
    <row r="238" ht="15.75" customHeight="1">
      <c r="A238" s="11" t="s">
        <v>10</v>
      </c>
      <c r="B238" s="205" t="s">
        <v>2013</v>
      </c>
      <c r="C238" s="69" t="str">
        <f t="shared" ref="C238:C249" si="26">PROPER(TEXT(DATE(MID($A$128,7,4),MID($A$128,4,2),LEFT($A$128,2)),"dddd"))</f>
        <v>Quarta-Feira</v>
      </c>
      <c r="D238" s="445" t="str">
        <f>IF(C238&lt;&gt;"Quarta-Feira","13:00","08:00")</f>
        <v>08:00</v>
      </c>
      <c r="E238" s="253" t="s">
        <v>2946</v>
      </c>
      <c r="F238" s="69">
        <v>7.02905527708876E14</v>
      </c>
      <c r="G238" s="154" t="s">
        <v>2947</v>
      </c>
      <c r="H238" s="193">
        <v>29246.0</v>
      </c>
      <c r="I238" s="30" t="s">
        <v>182</v>
      </c>
      <c r="J238" s="69"/>
      <c r="K238" s="69"/>
      <c r="N238" s="237" t="s">
        <v>386</v>
      </c>
      <c r="O238" s="95"/>
      <c r="P238" s="95"/>
      <c r="Q238" s="95"/>
      <c r="R238" s="95"/>
    </row>
    <row r="239" ht="15.75" customHeight="1">
      <c r="A239" s="11" t="s">
        <v>11</v>
      </c>
      <c r="B239" s="205" t="s">
        <v>2018</v>
      </c>
      <c r="C239" s="69" t="str">
        <f t="shared" si="26"/>
        <v>Quarta-Feira</v>
      </c>
      <c r="D239" s="445" t="str">
        <f>IF(C239&lt;&gt;"Quarta-Feira","13:20","08:20")</f>
        <v>08:20</v>
      </c>
      <c r="E239" s="253" t="s">
        <v>2985</v>
      </c>
      <c r="F239" s="69">
        <v>7.05205466318276E14</v>
      </c>
      <c r="G239" s="154" t="s">
        <v>2986</v>
      </c>
      <c r="H239" s="72">
        <v>17382.0</v>
      </c>
      <c r="I239" s="30" t="s">
        <v>182</v>
      </c>
      <c r="J239" s="69"/>
      <c r="K239" s="69"/>
      <c r="N239" s="239" t="s">
        <v>1823</v>
      </c>
      <c r="O239" s="2"/>
      <c r="P239" s="2"/>
      <c r="Q239" s="2"/>
      <c r="R239" s="2"/>
    </row>
    <row r="240" ht="15.75" customHeight="1">
      <c r="A240" s="11" t="s">
        <v>12</v>
      </c>
      <c r="B240" s="205" t="s">
        <v>2020</v>
      </c>
      <c r="C240" s="69" t="str">
        <f t="shared" si="26"/>
        <v>Quarta-Feira</v>
      </c>
      <c r="D240" s="445" t="str">
        <f>IF(C240&lt;&gt;"Quarta-Feira","13:40","08:40")</f>
        <v>08:40</v>
      </c>
      <c r="E240" s="253" t="s">
        <v>2892</v>
      </c>
      <c r="F240" s="69">
        <v>7.02808183400268E14</v>
      </c>
      <c r="G240" s="154" t="s">
        <v>2893</v>
      </c>
      <c r="H240" s="78">
        <v>27940.0</v>
      </c>
      <c r="I240" s="30" t="s">
        <v>1822</v>
      </c>
      <c r="J240" s="69"/>
      <c r="K240" s="69"/>
      <c r="N240" s="240" t="s">
        <v>182</v>
      </c>
      <c r="O240" s="241" t="s">
        <v>194</v>
      </c>
      <c r="P240" s="241" t="s">
        <v>180</v>
      </c>
      <c r="Q240" s="242" t="s">
        <v>172</v>
      </c>
      <c r="R240" s="62" t="s">
        <v>1822</v>
      </c>
    </row>
    <row r="241" ht="15.75" customHeight="1">
      <c r="A241" s="11" t="s">
        <v>13</v>
      </c>
      <c r="B241" s="205" t="s">
        <v>2023</v>
      </c>
      <c r="C241" s="69" t="str">
        <f t="shared" si="26"/>
        <v>Quarta-Feira</v>
      </c>
      <c r="D241" s="445" t="str">
        <f>IF(C241&lt;&gt;"Quarta-Feira","14:00","09:00")</f>
        <v>09:00</v>
      </c>
      <c r="E241" s="253" t="s">
        <v>2987</v>
      </c>
      <c r="F241" s="69">
        <v>7.09609641535377E14</v>
      </c>
      <c r="G241" s="154" t="s">
        <v>2988</v>
      </c>
      <c r="H241" s="78">
        <v>21236.0</v>
      </c>
      <c r="I241" s="30" t="s">
        <v>1822</v>
      </c>
      <c r="J241" s="69"/>
      <c r="K241" s="69"/>
      <c r="N241" s="244">
        <f t="shared" ref="N241:R241" si="27">COUNTIFS($I$238:$I$249,N240)</f>
        <v>8</v>
      </c>
      <c r="O241" s="244">
        <f t="shared" si="27"/>
        <v>0</v>
      </c>
      <c r="P241" s="244">
        <f t="shared" si="27"/>
        <v>0</v>
      </c>
      <c r="Q241" s="244">
        <f t="shared" si="27"/>
        <v>0</v>
      </c>
      <c r="R241" s="244">
        <f t="shared" si="27"/>
        <v>3</v>
      </c>
    </row>
    <row r="242" ht="15.75" customHeight="1">
      <c r="A242" s="11" t="s">
        <v>14</v>
      </c>
      <c r="B242" s="205" t="s">
        <v>2018</v>
      </c>
      <c r="C242" s="69" t="str">
        <f t="shared" si="26"/>
        <v>Quarta-Feira</v>
      </c>
      <c r="D242" s="445" t="str">
        <f>IF(C242&lt;&gt;"Quarta-Feira","14:20","09:20")</f>
        <v>09:20</v>
      </c>
      <c r="E242" s="253" t="s">
        <v>2989</v>
      </c>
      <c r="F242" s="69">
        <v>7.06808227016223E14</v>
      </c>
      <c r="G242" s="154" t="s">
        <v>2990</v>
      </c>
      <c r="H242" s="78">
        <v>25669.0</v>
      </c>
      <c r="I242" s="30" t="s">
        <v>182</v>
      </c>
      <c r="J242" s="69"/>
      <c r="K242" s="69"/>
      <c r="R242" s="62"/>
    </row>
    <row r="243" ht="15.75" customHeight="1">
      <c r="A243" s="11" t="s">
        <v>15</v>
      </c>
      <c r="B243" s="205" t="s">
        <v>2020</v>
      </c>
      <c r="C243" s="69" t="str">
        <f t="shared" si="26"/>
        <v>Quarta-Feira</v>
      </c>
      <c r="D243" s="445" t="str">
        <f>IF(C243&lt;&gt;"Quarta-Feira","14:40","09:40")</f>
        <v>09:40</v>
      </c>
      <c r="E243" s="253" t="s">
        <v>2942</v>
      </c>
      <c r="F243" s="69">
        <v>7.04800040197247E14</v>
      </c>
      <c r="G243" s="154" t="s">
        <v>2943</v>
      </c>
      <c r="H243" s="78">
        <v>27624.0</v>
      </c>
      <c r="I243" s="30" t="s">
        <v>182</v>
      </c>
      <c r="J243" s="69"/>
      <c r="K243" s="69"/>
      <c r="R243" s="62"/>
    </row>
    <row r="244" ht="15.75" customHeight="1">
      <c r="A244" s="11" t="s">
        <v>16</v>
      </c>
      <c r="B244" s="205" t="s">
        <v>2013</v>
      </c>
      <c r="C244" s="69" t="str">
        <f t="shared" si="26"/>
        <v>Quarta-Feira</v>
      </c>
      <c r="D244" s="445" t="str">
        <f>IF(C244&lt;&gt;"Quarta-Feira","15:00","10:00")</f>
        <v>10:00</v>
      </c>
      <c r="E244" s="253" t="s">
        <v>2991</v>
      </c>
      <c r="F244" s="69">
        <v>7.05401486332295E14</v>
      </c>
      <c r="G244" s="154" t="s">
        <v>2992</v>
      </c>
      <c r="H244" s="78">
        <v>26278.0</v>
      </c>
      <c r="I244" s="30" t="s">
        <v>182</v>
      </c>
      <c r="J244" s="69"/>
      <c r="K244" s="69"/>
      <c r="R244" s="62"/>
    </row>
    <row r="245" ht="15.75" customHeight="1">
      <c r="A245" s="11" t="s">
        <v>17</v>
      </c>
      <c r="B245" s="205" t="s">
        <v>2018</v>
      </c>
      <c r="C245" s="69" t="str">
        <f t="shared" si="26"/>
        <v>Quarta-Feira</v>
      </c>
      <c r="D245" s="445" t="str">
        <f>IF(C245&lt;&gt;"Quarta-Feira","15:20","10:20")</f>
        <v>10:20</v>
      </c>
      <c r="E245" s="253" t="s">
        <v>2993</v>
      </c>
      <c r="F245" s="69">
        <v>7.0850039569837E14</v>
      </c>
      <c r="G245" s="154" t="s">
        <v>2994</v>
      </c>
      <c r="H245" s="72">
        <v>27748.0</v>
      </c>
      <c r="I245" s="30" t="s">
        <v>182</v>
      </c>
      <c r="J245" s="69"/>
      <c r="K245" s="69"/>
      <c r="R245" s="62"/>
    </row>
    <row r="246" ht="15.75" customHeight="1">
      <c r="A246" s="11" t="s">
        <v>85</v>
      </c>
      <c r="B246" s="205" t="s">
        <v>2023</v>
      </c>
      <c r="C246" s="69" t="str">
        <f t="shared" si="26"/>
        <v>Quarta-Feira</v>
      </c>
      <c r="D246" s="445" t="str">
        <f>IF(C246&lt;&gt;"Quarta-Feira","15:40","10:40")</f>
        <v>10:40</v>
      </c>
      <c r="E246" s="253" t="s">
        <v>2995</v>
      </c>
      <c r="F246" s="69">
        <v>7.08401295226568E14</v>
      </c>
      <c r="G246" s="154" t="s">
        <v>2996</v>
      </c>
      <c r="H246" s="78">
        <v>19989.0</v>
      </c>
      <c r="I246" s="30" t="s">
        <v>182</v>
      </c>
      <c r="J246" s="69"/>
      <c r="K246" s="69"/>
      <c r="R246" s="62"/>
    </row>
    <row r="247" ht="15.75" customHeight="1">
      <c r="A247" s="11" t="s">
        <v>87</v>
      </c>
      <c r="B247" s="205" t="s">
        <v>2020</v>
      </c>
      <c r="C247" s="69" t="str">
        <f t="shared" si="26"/>
        <v>Quarta-Feira</v>
      </c>
      <c r="D247" s="445" t="str">
        <f>IF(C247&lt;&gt;"Quarta-Feira","16:00","11:00")</f>
        <v>11:00</v>
      </c>
      <c r="E247" s="253"/>
      <c r="F247" s="69"/>
      <c r="G247" s="154" t="s">
        <v>2997</v>
      </c>
      <c r="H247" s="153"/>
      <c r="I247" s="30" t="s">
        <v>182</v>
      </c>
      <c r="J247" s="69"/>
      <c r="K247" s="69"/>
      <c r="R247" s="62"/>
    </row>
    <row r="248" ht="15.75" customHeight="1">
      <c r="A248" s="11" t="s">
        <v>90</v>
      </c>
      <c r="B248" s="205" t="s">
        <v>2023</v>
      </c>
      <c r="C248" s="69" t="str">
        <f t="shared" si="26"/>
        <v>Quarta-Feira</v>
      </c>
      <c r="D248" s="445" t="str">
        <f>IF(C248&lt;&gt;"Quarta-Feira","16:20","11:20")</f>
        <v>11:20</v>
      </c>
      <c r="E248" s="253" t="s">
        <v>2998</v>
      </c>
      <c r="F248" s="69">
        <v>8.01440441423898E14</v>
      </c>
      <c r="G248" s="154" t="s">
        <v>2999</v>
      </c>
      <c r="H248" s="153">
        <v>23891.0</v>
      </c>
      <c r="I248" s="30" t="s">
        <v>1822</v>
      </c>
      <c r="J248" s="69"/>
      <c r="K248" s="69"/>
      <c r="R248" s="62"/>
    </row>
    <row r="249" ht="15.75" customHeight="1">
      <c r="A249" s="11" t="s">
        <v>93</v>
      </c>
      <c r="B249" s="205" t="s">
        <v>2013</v>
      </c>
      <c r="C249" s="69" t="str">
        <f t="shared" si="26"/>
        <v>Quarta-Feira</v>
      </c>
      <c r="D249" s="445" t="str">
        <f>IF(C249&lt;&gt;"Quarta-Feira","16:40","11:40")</f>
        <v>11:40</v>
      </c>
      <c r="E249" s="253"/>
      <c r="F249" s="69"/>
      <c r="G249" s="154"/>
      <c r="H249" s="153"/>
      <c r="I249" s="30"/>
      <c r="J249" s="69"/>
      <c r="K249" s="69"/>
      <c r="R249" s="62"/>
    </row>
    <row r="250" ht="15.75" customHeight="1">
      <c r="B250" s="167"/>
      <c r="E250" s="231"/>
      <c r="G250" s="167"/>
      <c r="J250" s="62"/>
      <c r="K250" s="62"/>
      <c r="R250" s="62"/>
    </row>
    <row r="251" ht="15.75" customHeight="1">
      <c r="B251" s="167"/>
      <c r="E251" s="231"/>
      <c r="G251" s="167"/>
      <c r="J251" s="62"/>
      <c r="K251" s="62"/>
      <c r="R251" s="62"/>
    </row>
    <row r="252" ht="15.75" customHeight="1">
      <c r="B252" s="167"/>
      <c r="E252" s="231"/>
      <c r="G252" s="167"/>
      <c r="J252" s="62"/>
      <c r="K252" s="62"/>
      <c r="R252" s="62"/>
    </row>
    <row r="253" ht="15.75" customHeight="1">
      <c r="B253" s="167"/>
      <c r="E253" s="231"/>
      <c r="G253" s="167"/>
      <c r="J253" s="62"/>
      <c r="K253" s="62"/>
      <c r="R253" s="62"/>
    </row>
    <row r="254" ht="15.75" customHeight="1">
      <c r="B254" s="167"/>
      <c r="E254" s="231"/>
      <c r="G254" s="167"/>
      <c r="J254" s="62"/>
      <c r="K254" s="62"/>
      <c r="R254" s="62"/>
    </row>
    <row r="255" ht="15.75" customHeight="1">
      <c r="B255" s="167"/>
      <c r="E255" s="231"/>
      <c r="G255" s="167"/>
      <c r="J255" s="62"/>
      <c r="K255" s="62"/>
      <c r="R255" s="62"/>
    </row>
    <row r="256" ht="15.75" customHeight="1">
      <c r="B256" s="167"/>
      <c r="E256" s="231"/>
      <c r="G256" s="167"/>
      <c r="J256" s="62"/>
      <c r="K256" s="62"/>
      <c r="R256" s="62"/>
    </row>
    <row r="257" ht="15.75" customHeight="1">
      <c r="B257" s="167"/>
      <c r="E257" s="231"/>
      <c r="G257" s="167"/>
      <c r="J257" s="62"/>
      <c r="K257" s="62"/>
      <c r="R257" s="62"/>
    </row>
    <row r="258" ht="15.75" customHeight="1">
      <c r="B258" s="167"/>
      <c r="E258" s="231"/>
      <c r="G258" s="167"/>
      <c r="J258" s="62"/>
      <c r="K258" s="62"/>
      <c r="R258" s="62"/>
    </row>
    <row r="259" ht="15.75" customHeight="1">
      <c r="B259" s="167"/>
      <c r="E259" s="231"/>
      <c r="G259" s="167"/>
      <c r="J259" s="62"/>
      <c r="K259" s="62"/>
      <c r="R259" s="62"/>
    </row>
    <row r="260" ht="15.75" customHeight="1">
      <c r="B260" s="167"/>
      <c r="E260" s="231"/>
      <c r="G260" s="167"/>
      <c r="J260" s="62"/>
      <c r="K260" s="62"/>
      <c r="N260" s="237" t="s">
        <v>2079</v>
      </c>
      <c r="O260" s="95"/>
      <c r="P260" s="95"/>
      <c r="Q260" s="95"/>
      <c r="R260" s="95"/>
    </row>
    <row r="261" ht="15.75" customHeight="1">
      <c r="B261" s="167"/>
      <c r="E261" s="231"/>
      <c r="G261" s="167"/>
      <c r="J261" s="62"/>
      <c r="K261" s="62"/>
      <c r="N261" s="240" t="s">
        <v>182</v>
      </c>
      <c r="O261" s="241" t="s">
        <v>194</v>
      </c>
      <c r="P261" s="241" t="s">
        <v>180</v>
      </c>
      <c r="Q261" s="242" t="s">
        <v>172</v>
      </c>
      <c r="R261" s="62" t="s">
        <v>1822</v>
      </c>
    </row>
    <row r="262" ht="15.75" customHeight="1">
      <c r="B262" s="167"/>
      <c r="E262" s="231"/>
      <c r="G262" s="167"/>
      <c r="J262" s="62"/>
      <c r="K262" s="62"/>
      <c r="N262" s="197">
        <f t="shared" ref="N262:R262" si="28">SUM(N59:N256)</f>
        <v>99</v>
      </c>
      <c r="O262" s="197">
        <f t="shared" si="28"/>
        <v>0</v>
      </c>
      <c r="P262" s="197">
        <f t="shared" si="28"/>
        <v>3</v>
      </c>
      <c r="Q262" s="197">
        <f t="shared" si="28"/>
        <v>0</v>
      </c>
      <c r="R262" s="197">
        <f t="shared" si="28"/>
        <v>16</v>
      </c>
    </row>
    <row r="263" ht="15.75" customHeight="1">
      <c r="B263" s="167"/>
      <c r="E263" s="231"/>
      <c r="G263" s="167"/>
      <c r="J263" s="62"/>
      <c r="K263" s="62"/>
      <c r="R263" s="62"/>
    </row>
    <row r="264" ht="15.75" customHeight="1">
      <c r="B264" s="167"/>
      <c r="E264" s="231"/>
      <c r="G264" s="167"/>
      <c r="J264" s="62"/>
      <c r="K264" s="62"/>
      <c r="R264" s="62"/>
    </row>
    <row r="265" ht="15.75" customHeight="1">
      <c r="B265" s="167"/>
      <c r="E265" s="231"/>
      <c r="G265" s="167"/>
      <c r="J265" s="62"/>
      <c r="K265" s="62"/>
      <c r="R265" s="62"/>
    </row>
    <row r="266" ht="15.75" customHeight="1">
      <c r="B266" s="167"/>
      <c r="E266" s="231"/>
      <c r="G266" s="167"/>
      <c r="J266" s="62"/>
      <c r="K266" s="62"/>
      <c r="R266" s="62"/>
    </row>
    <row r="267" ht="15.75" customHeight="1">
      <c r="B267" s="167"/>
      <c r="E267" s="231"/>
      <c r="G267" s="167"/>
      <c r="J267" s="62"/>
      <c r="K267" s="62"/>
      <c r="R267" s="62"/>
    </row>
    <row r="268" ht="15.75" customHeight="1">
      <c r="B268" s="167"/>
      <c r="E268" s="231"/>
      <c r="G268" s="167"/>
      <c r="J268" s="62"/>
      <c r="K268" s="62"/>
      <c r="R268" s="62"/>
    </row>
    <row r="269" ht="15.75" customHeight="1">
      <c r="B269" s="167"/>
      <c r="E269" s="231"/>
      <c r="G269" s="167"/>
      <c r="J269" s="62"/>
      <c r="K269" s="62"/>
      <c r="R269" s="62"/>
    </row>
    <row r="270" ht="15.75" customHeight="1">
      <c r="B270" s="167"/>
      <c r="E270" s="231"/>
      <c r="G270" s="167"/>
      <c r="J270" s="62"/>
      <c r="K270" s="62"/>
      <c r="R270" s="62"/>
    </row>
    <row r="271" ht="15.75" customHeight="1">
      <c r="B271" s="167"/>
      <c r="E271" s="231"/>
      <c r="G271" s="167"/>
      <c r="J271" s="62"/>
      <c r="K271" s="62"/>
      <c r="R271" s="62"/>
    </row>
    <row r="272" ht="15.75" customHeight="1">
      <c r="B272" s="167"/>
      <c r="E272" s="231"/>
      <c r="G272" s="167"/>
      <c r="J272" s="62"/>
      <c r="K272" s="62"/>
      <c r="R272" s="62"/>
    </row>
    <row r="273" ht="15.75" customHeight="1">
      <c r="B273" s="167"/>
      <c r="E273" s="231"/>
      <c r="G273" s="167"/>
      <c r="J273" s="62"/>
      <c r="K273" s="62"/>
      <c r="R273" s="62"/>
    </row>
    <row r="274" ht="15.75" customHeight="1">
      <c r="B274" s="167"/>
      <c r="E274" s="231"/>
      <c r="G274" s="167"/>
      <c r="J274" s="62"/>
      <c r="K274" s="62"/>
      <c r="R274" s="62"/>
    </row>
    <row r="275" ht="15.75" customHeight="1">
      <c r="B275" s="167"/>
      <c r="E275" s="231"/>
      <c r="G275" s="167"/>
      <c r="J275" s="62"/>
      <c r="K275" s="62"/>
      <c r="R275" s="62"/>
    </row>
    <row r="276" ht="15.75" customHeight="1">
      <c r="B276" s="167"/>
      <c r="E276" s="231"/>
      <c r="G276" s="167"/>
      <c r="J276" s="62"/>
      <c r="K276" s="62"/>
      <c r="R276" s="62"/>
    </row>
    <row r="277" ht="15.75" customHeight="1">
      <c r="B277" s="167"/>
      <c r="E277" s="231"/>
      <c r="G277" s="167"/>
      <c r="J277" s="62"/>
      <c r="K277" s="62"/>
      <c r="R277" s="62"/>
    </row>
    <row r="278" ht="15.75" customHeight="1">
      <c r="B278" s="167"/>
      <c r="E278" s="231"/>
      <c r="G278" s="167"/>
      <c r="J278" s="62"/>
      <c r="K278" s="62"/>
      <c r="R278" s="62"/>
    </row>
    <row r="279" ht="15.75" customHeight="1">
      <c r="B279" s="167"/>
      <c r="E279" s="231"/>
      <c r="G279" s="167"/>
      <c r="J279" s="62"/>
      <c r="K279" s="62"/>
      <c r="R279" s="62"/>
    </row>
    <row r="280" ht="15.75" customHeight="1">
      <c r="B280" s="167"/>
      <c r="E280" s="231"/>
      <c r="G280" s="167"/>
      <c r="J280" s="62"/>
      <c r="K280" s="62"/>
      <c r="R280" s="62"/>
    </row>
    <row r="281" ht="15.75" customHeight="1">
      <c r="B281" s="167"/>
      <c r="E281" s="231"/>
      <c r="G281" s="167"/>
      <c r="J281" s="62"/>
      <c r="K281" s="62"/>
      <c r="R281" s="62"/>
    </row>
    <row r="282" ht="15.75" customHeight="1">
      <c r="B282" s="167"/>
      <c r="E282" s="231"/>
      <c r="G282" s="167"/>
      <c r="J282" s="62"/>
      <c r="K282" s="62"/>
      <c r="R282" s="62"/>
    </row>
    <row r="283" ht="15.75" customHeight="1">
      <c r="B283" s="167"/>
      <c r="E283" s="231"/>
      <c r="G283" s="167"/>
      <c r="J283" s="62"/>
      <c r="K283" s="62"/>
      <c r="R283" s="62"/>
    </row>
    <row r="284" ht="15.75" customHeight="1">
      <c r="B284" s="167"/>
      <c r="E284" s="231"/>
      <c r="G284" s="167"/>
      <c r="J284" s="62"/>
      <c r="K284" s="62"/>
      <c r="R284" s="62"/>
    </row>
    <row r="285" ht="15.75" customHeight="1">
      <c r="B285" s="167"/>
      <c r="E285" s="231"/>
      <c r="G285" s="167"/>
      <c r="J285" s="62"/>
      <c r="K285" s="62"/>
      <c r="R285" s="62"/>
    </row>
    <row r="286" ht="15.75" customHeight="1">
      <c r="B286" s="167"/>
      <c r="E286" s="231"/>
      <c r="G286" s="167"/>
      <c r="J286" s="62"/>
      <c r="K286" s="62"/>
      <c r="R286" s="62"/>
    </row>
    <row r="287" ht="15.75" customHeight="1">
      <c r="B287" s="167"/>
      <c r="E287" s="231"/>
      <c r="G287" s="167"/>
      <c r="J287" s="62"/>
      <c r="K287" s="62"/>
      <c r="R287" s="62"/>
    </row>
    <row r="288" ht="15.75" customHeight="1">
      <c r="B288" s="167"/>
      <c r="E288" s="231"/>
      <c r="G288" s="167"/>
      <c r="J288" s="62"/>
      <c r="K288" s="62"/>
      <c r="R288" s="62"/>
    </row>
    <row r="289" ht="15.75" customHeight="1">
      <c r="B289" s="167"/>
      <c r="E289" s="231"/>
      <c r="G289" s="167"/>
      <c r="J289" s="62"/>
      <c r="K289" s="62"/>
      <c r="R289" s="62"/>
    </row>
    <row r="290" ht="15.75" customHeight="1">
      <c r="B290" s="167"/>
      <c r="E290" s="231"/>
      <c r="G290" s="167"/>
      <c r="J290" s="62"/>
      <c r="K290" s="62"/>
      <c r="R290" s="62"/>
    </row>
    <row r="291" ht="15.75" customHeight="1">
      <c r="B291" s="167"/>
      <c r="E291" s="231"/>
      <c r="G291" s="167"/>
      <c r="J291" s="62"/>
      <c r="K291" s="62"/>
      <c r="R291" s="62"/>
    </row>
    <row r="292" ht="15.75" customHeight="1">
      <c r="B292" s="167"/>
      <c r="E292" s="231"/>
      <c r="G292" s="167"/>
      <c r="J292" s="62"/>
      <c r="K292" s="62"/>
      <c r="R292" s="62"/>
    </row>
    <row r="293" ht="15.75" customHeight="1">
      <c r="B293" s="167"/>
      <c r="E293" s="231"/>
      <c r="G293" s="167"/>
      <c r="J293" s="62"/>
      <c r="K293" s="62"/>
      <c r="R293" s="62"/>
    </row>
    <row r="294" ht="15.75" customHeight="1">
      <c r="B294" s="167"/>
      <c r="E294" s="231"/>
      <c r="G294" s="167"/>
      <c r="J294" s="62"/>
      <c r="K294" s="62"/>
      <c r="R294" s="62"/>
    </row>
    <row r="295" ht="15.75" customHeight="1">
      <c r="B295" s="167"/>
      <c r="E295" s="231"/>
      <c r="G295" s="167"/>
      <c r="J295" s="62"/>
      <c r="K295" s="62"/>
      <c r="R295" s="62"/>
    </row>
    <row r="296" ht="15.75" customHeight="1">
      <c r="B296" s="167"/>
      <c r="E296" s="231"/>
      <c r="G296" s="167"/>
      <c r="J296" s="62"/>
      <c r="K296" s="62"/>
      <c r="R296" s="62"/>
    </row>
    <row r="297" ht="15.75" customHeight="1">
      <c r="B297" s="167"/>
      <c r="E297" s="231"/>
      <c r="G297" s="167"/>
      <c r="J297" s="62"/>
      <c r="K297" s="62"/>
      <c r="R297" s="62"/>
    </row>
    <row r="298" ht="15.75" customHeight="1">
      <c r="B298" s="167"/>
      <c r="E298" s="231"/>
      <c r="G298" s="167"/>
      <c r="J298" s="62"/>
      <c r="K298" s="62"/>
      <c r="R298" s="62"/>
    </row>
    <row r="299" ht="15.75" customHeight="1">
      <c r="B299" s="167"/>
      <c r="E299" s="231"/>
      <c r="G299" s="167"/>
      <c r="J299" s="62"/>
      <c r="K299" s="62"/>
      <c r="R299" s="62"/>
    </row>
    <row r="300" ht="15.75" customHeight="1">
      <c r="B300" s="167"/>
      <c r="E300" s="231"/>
      <c r="G300" s="167"/>
      <c r="J300" s="62"/>
      <c r="K300" s="62"/>
      <c r="R300" s="62"/>
    </row>
    <row r="301" ht="15.75" customHeight="1">
      <c r="B301" s="167"/>
      <c r="E301" s="231"/>
      <c r="G301" s="167"/>
      <c r="J301" s="62"/>
      <c r="K301" s="62"/>
      <c r="R301" s="62"/>
    </row>
    <row r="302" ht="15.75" customHeight="1">
      <c r="B302" s="167"/>
      <c r="E302" s="231"/>
      <c r="G302" s="167"/>
      <c r="J302" s="62"/>
      <c r="K302" s="62"/>
      <c r="R302" s="62"/>
    </row>
    <row r="303" ht="15.75" customHeight="1">
      <c r="B303" s="167"/>
      <c r="E303" s="231"/>
      <c r="G303" s="167"/>
      <c r="J303" s="62"/>
      <c r="K303" s="62"/>
      <c r="R303" s="62"/>
    </row>
    <row r="304" ht="15.75" customHeight="1">
      <c r="B304" s="167"/>
      <c r="E304" s="231"/>
      <c r="G304" s="167"/>
      <c r="J304" s="62"/>
      <c r="K304" s="62"/>
      <c r="R304" s="62"/>
    </row>
    <row r="305" ht="15.75" customHeight="1">
      <c r="B305" s="167"/>
      <c r="E305" s="231"/>
      <c r="G305" s="167"/>
      <c r="J305" s="62"/>
      <c r="K305" s="62"/>
      <c r="R305" s="62"/>
    </row>
    <row r="306" ht="15.75" customHeight="1">
      <c r="B306" s="167"/>
      <c r="E306" s="231"/>
      <c r="G306" s="167"/>
      <c r="J306" s="62"/>
      <c r="K306" s="62"/>
      <c r="R306" s="62"/>
    </row>
    <row r="307" ht="15.75" customHeight="1">
      <c r="B307" s="167"/>
      <c r="E307" s="231"/>
      <c r="G307" s="167"/>
      <c r="J307" s="62"/>
      <c r="K307" s="62"/>
      <c r="R307" s="62"/>
    </row>
    <row r="308" ht="15.75" customHeight="1">
      <c r="B308" s="167"/>
      <c r="E308" s="231"/>
      <c r="G308" s="167"/>
      <c r="J308" s="62"/>
      <c r="K308" s="62"/>
      <c r="R308" s="62"/>
    </row>
    <row r="309" ht="15.75" customHeight="1">
      <c r="B309" s="167"/>
      <c r="E309" s="231"/>
      <c r="G309" s="167"/>
      <c r="J309" s="62"/>
      <c r="K309" s="62"/>
      <c r="R309" s="62"/>
    </row>
    <row r="310" ht="15.75" customHeight="1">
      <c r="B310" s="167"/>
      <c r="E310" s="231"/>
      <c r="G310" s="167"/>
      <c r="J310" s="62"/>
      <c r="K310" s="62"/>
      <c r="R310" s="62"/>
    </row>
    <row r="311" ht="15.75" customHeight="1">
      <c r="B311" s="167"/>
      <c r="E311" s="231"/>
      <c r="G311" s="167"/>
      <c r="J311" s="62"/>
      <c r="K311" s="62"/>
      <c r="R311" s="62"/>
    </row>
    <row r="312" ht="15.75" customHeight="1">
      <c r="B312" s="167"/>
      <c r="E312" s="231"/>
      <c r="G312" s="167"/>
      <c r="J312" s="62"/>
      <c r="K312" s="62"/>
      <c r="R312" s="62"/>
    </row>
    <row r="313" ht="15.75" customHeight="1">
      <c r="B313" s="167"/>
      <c r="E313" s="231"/>
      <c r="G313" s="167"/>
      <c r="J313" s="62"/>
      <c r="K313" s="62"/>
      <c r="R313" s="62"/>
    </row>
    <row r="314" ht="15.75" customHeight="1">
      <c r="B314" s="167"/>
      <c r="E314" s="231"/>
      <c r="G314" s="167"/>
      <c r="J314" s="62"/>
      <c r="K314" s="62"/>
      <c r="R314" s="62"/>
    </row>
    <row r="315" ht="15.75" customHeight="1">
      <c r="B315" s="167"/>
      <c r="E315" s="231"/>
      <c r="G315" s="167"/>
      <c r="J315" s="62"/>
      <c r="K315" s="62"/>
      <c r="R315" s="62"/>
    </row>
    <row r="316" ht="15.75" customHeight="1">
      <c r="B316" s="167"/>
      <c r="E316" s="231"/>
      <c r="G316" s="167"/>
      <c r="J316" s="62"/>
      <c r="K316" s="62"/>
      <c r="R316" s="62"/>
    </row>
    <row r="317" ht="15.75" customHeight="1">
      <c r="B317" s="167"/>
      <c r="E317" s="231"/>
      <c r="G317" s="167"/>
      <c r="J317" s="62"/>
      <c r="K317" s="62"/>
      <c r="R317" s="62"/>
    </row>
    <row r="318" ht="15.75" customHeight="1">
      <c r="B318" s="167"/>
      <c r="E318" s="231"/>
      <c r="G318" s="167"/>
      <c r="J318" s="62"/>
      <c r="K318" s="62"/>
      <c r="R318" s="62"/>
    </row>
    <row r="319" ht="15.75" customHeight="1">
      <c r="B319" s="167"/>
      <c r="E319" s="231"/>
      <c r="G319" s="167"/>
      <c r="J319" s="62"/>
      <c r="K319" s="62"/>
      <c r="R319" s="62"/>
    </row>
    <row r="320" ht="15.75" customHeight="1">
      <c r="B320" s="167"/>
      <c r="E320" s="231"/>
      <c r="G320" s="167"/>
      <c r="J320" s="62"/>
      <c r="K320" s="62"/>
      <c r="R320" s="62"/>
    </row>
    <row r="321" ht="15.75" customHeight="1">
      <c r="B321" s="167"/>
      <c r="E321" s="231"/>
      <c r="G321" s="167"/>
      <c r="J321" s="62"/>
      <c r="K321" s="62"/>
      <c r="R321" s="62"/>
    </row>
    <row r="322" ht="15.75" customHeight="1">
      <c r="B322" s="167"/>
      <c r="E322" s="231"/>
      <c r="G322" s="167"/>
      <c r="J322" s="62"/>
      <c r="K322" s="62"/>
      <c r="R322" s="62"/>
    </row>
    <row r="323" ht="15.75" customHeight="1">
      <c r="B323" s="167"/>
      <c r="E323" s="231"/>
      <c r="G323" s="167"/>
      <c r="J323" s="62"/>
      <c r="K323" s="62"/>
      <c r="R323" s="62"/>
    </row>
    <row r="324" ht="15.75" customHeight="1">
      <c r="B324" s="167"/>
      <c r="E324" s="231"/>
      <c r="G324" s="167"/>
      <c r="J324" s="62"/>
      <c r="K324" s="62"/>
      <c r="R324" s="62"/>
    </row>
    <row r="325" ht="15.75" customHeight="1">
      <c r="B325" s="167"/>
      <c r="E325" s="231"/>
      <c r="G325" s="167"/>
      <c r="J325" s="62"/>
      <c r="K325" s="62"/>
      <c r="R325" s="62"/>
    </row>
    <row r="326" ht="15.75" customHeight="1">
      <c r="B326" s="167"/>
      <c r="E326" s="231"/>
      <c r="G326" s="167"/>
      <c r="J326" s="62"/>
      <c r="K326" s="62"/>
      <c r="R326" s="62"/>
    </row>
    <row r="327" ht="15.75" customHeight="1">
      <c r="B327" s="167"/>
      <c r="E327" s="231"/>
      <c r="G327" s="167"/>
      <c r="J327" s="62"/>
      <c r="K327" s="62"/>
      <c r="R327" s="62"/>
    </row>
    <row r="328" ht="15.75" customHeight="1">
      <c r="B328" s="167"/>
      <c r="E328" s="231"/>
      <c r="G328" s="167"/>
      <c r="J328" s="62"/>
      <c r="K328" s="62"/>
      <c r="R328" s="62"/>
    </row>
    <row r="329" ht="15.75" customHeight="1">
      <c r="B329" s="167"/>
      <c r="E329" s="231"/>
      <c r="G329" s="167"/>
      <c r="J329" s="62"/>
      <c r="K329" s="62"/>
      <c r="R329" s="62"/>
    </row>
    <row r="330" ht="15.75" customHeight="1">
      <c r="B330" s="167"/>
      <c r="E330" s="231"/>
      <c r="G330" s="167"/>
      <c r="J330" s="62"/>
      <c r="K330" s="62"/>
      <c r="R330" s="62"/>
    </row>
    <row r="331" ht="15.75" customHeight="1">
      <c r="B331" s="167"/>
      <c r="E331" s="231"/>
      <c r="G331" s="167"/>
      <c r="J331" s="62"/>
      <c r="K331" s="62"/>
      <c r="R331" s="62"/>
    </row>
    <row r="332" ht="15.75" customHeight="1">
      <c r="B332" s="167"/>
      <c r="E332" s="231"/>
      <c r="G332" s="167"/>
      <c r="J332" s="62"/>
      <c r="K332" s="62"/>
      <c r="R332" s="62"/>
    </row>
    <row r="333" ht="15.75" customHeight="1">
      <c r="B333" s="167"/>
      <c r="E333" s="231"/>
      <c r="G333" s="167"/>
      <c r="J333" s="62"/>
      <c r="K333" s="62"/>
      <c r="R333" s="62"/>
    </row>
    <row r="334" ht="15.75" customHeight="1">
      <c r="B334" s="167"/>
      <c r="E334" s="231"/>
      <c r="G334" s="167"/>
      <c r="J334" s="62"/>
      <c r="K334" s="62"/>
      <c r="R334" s="62"/>
    </row>
    <row r="335" ht="15.75" customHeight="1">
      <c r="B335" s="167"/>
      <c r="E335" s="231"/>
      <c r="G335" s="167"/>
      <c r="J335" s="62"/>
      <c r="K335" s="62"/>
      <c r="R335" s="62"/>
    </row>
    <row r="336" ht="15.75" customHeight="1">
      <c r="B336" s="167"/>
      <c r="E336" s="231"/>
      <c r="G336" s="167"/>
      <c r="J336" s="62"/>
      <c r="K336" s="62"/>
      <c r="R336" s="62"/>
    </row>
    <row r="337" ht="15.75" customHeight="1">
      <c r="B337" s="167"/>
      <c r="E337" s="231"/>
      <c r="G337" s="167"/>
      <c r="J337" s="62"/>
      <c r="K337" s="62"/>
      <c r="R337" s="62"/>
    </row>
    <row r="338" ht="15.75" customHeight="1">
      <c r="B338" s="167"/>
      <c r="E338" s="231"/>
      <c r="G338" s="167"/>
      <c r="J338" s="62"/>
      <c r="K338" s="62"/>
      <c r="R338" s="62"/>
    </row>
    <row r="339" ht="15.75" customHeight="1">
      <c r="B339" s="167"/>
      <c r="E339" s="231"/>
      <c r="G339" s="167"/>
      <c r="J339" s="62"/>
      <c r="K339" s="62"/>
      <c r="R339" s="62"/>
    </row>
    <row r="340" ht="15.75" customHeight="1">
      <c r="B340" s="167"/>
      <c r="E340" s="231"/>
      <c r="G340" s="167"/>
      <c r="J340" s="62"/>
      <c r="K340" s="62"/>
      <c r="R340" s="62"/>
    </row>
    <row r="341" ht="15.75" customHeight="1">
      <c r="B341" s="167"/>
      <c r="E341" s="231"/>
      <c r="G341" s="167"/>
      <c r="J341" s="62"/>
      <c r="K341" s="62"/>
      <c r="R341" s="62"/>
    </row>
    <row r="342" ht="15.75" customHeight="1">
      <c r="B342" s="167"/>
      <c r="E342" s="231"/>
      <c r="G342" s="167"/>
      <c r="J342" s="62"/>
      <c r="K342" s="62"/>
      <c r="R342" s="62"/>
    </row>
    <row r="343" ht="15.75" customHeight="1">
      <c r="B343" s="167"/>
      <c r="E343" s="231"/>
      <c r="G343" s="167"/>
      <c r="J343" s="62"/>
      <c r="K343" s="62"/>
      <c r="R343" s="62"/>
    </row>
    <row r="344" ht="15.75" customHeight="1">
      <c r="B344" s="167"/>
      <c r="E344" s="231"/>
      <c r="G344" s="167"/>
      <c r="J344" s="62"/>
      <c r="K344" s="62"/>
      <c r="R344" s="62"/>
    </row>
    <row r="345" ht="15.75" customHeight="1">
      <c r="B345" s="167"/>
      <c r="E345" s="231"/>
      <c r="G345" s="167"/>
      <c r="J345" s="62"/>
      <c r="K345" s="62"/>
      <c r="R345" s="62"/>
    </row>
    <row r="346" ht="15.75" customHeight="1">
      <c r="B346" s="167"/>
      <c r="E346" s="231"/>
      <c r="G346" s="167"/>
      <c r="J346" s="62"/>
      <c r="K346" s="62"/>
      <c r="R346" s="62"/>
    </row>
    <row r="347" ht="15.75" customHeight="1">
      <c r="B347" s="167"/>
      <c r="E347" s="231"/>
      <c r="G347" s="167"/>
      <c r="J347" s="62"/>
      <c r="K347" s="62"/>
      <c r="R347" s="62"/>
    </row>
    <row r="348" ht="15.75" customHeight="1">
      <c r="B348" s="167"/>
      <c r="E348" s="231"/>
      <c r="G348" s="167"/>
      <c r="J348" s="62"/>
      <c r="K348" s="62"/>
      <c r="R348" s="62"/>
    </row>
    <row r="349" ht="15.75" customHeight="1">
      <c r="B349" s="167"/>
      <c r="E349" s="231"/>
      <c r="G349" s="167"/>
      <c r="J349" s="62"/>
      <c r="K349" s="62"/>
      <c r="R349" s="62"/>
    </row>
    <row r="350" ht="15.75" customHeight="1">
      <c r="B350" s="167"/>
      <c r="E350" s="231"/>
      <c r="G350" s="167"/>
      <c r="J350" s="62"/>
      <c r="K350" s="62"/>
      <c r="R350" s="62"/>
    </row>
    <row r="351" ht="15.75" customHeight="1">
      <c r="B351" s="167"/>
      <c r="E351" s="231"/>
      <c r="G351" s="167"/>
      <c r="J351" s="62"/>
      <c r="K351" s="62"/>
      <c r="R351" s="62"/>
    </row>
    <row r="352" ht="15.75" customHeight="1">
      <c r="B352" s="167"/>
      <c r="E352" s="231"/>
      <c r="G352" s="167"/>
      <c r="J352" s="62"/>
      <c r="K352" s="62"/>
      <c r="R352" s="62"/>
    </row>
    <row r="353" ht="15.75" customHeight="1">
      <c r="B353" s="167"/>
      <c r="E353" s="231"/>
      <c r="G353" s="167"/>
      <c r="J353" s="62"/>
      <c r="K353" s="62"/>
      <c r="R353" s="62"/>
    </row>
    <row r="354" ht="15.75" customHeight="1">
      <c r="B354" s="167"/>
      <c r="E354" s="231"/>
      <c r="G354" s="167"/>
      <c r="J354" s="62"/>
      <c r="K354" s="62"/>
      <c r="R354" s="62"/>
    </row>
    <row r="355" ht="15.75" customHeight="1">
      <c r="B355" s="167"/>
      <c r="E355" s="231"/>
      <c r="G355" s="167"/>
      <c r="J355" s="62"/>
      <c r="K355" s="62"/>
      <c r="R355" s="62"/>
    </row>
    <row r="356" ht="15.75" customHeight="1">
      <c r="B356" s="167"/>
      <c r="E356" s="231"/>
      <c r="G356" s="167"/>
      <c r="J356" s="62"/>
      <c r="K356" s="62"/>
      <c r="R356" s="62"/>
    </row>
    <row r="357" ht="15.75" customHeight="1">
      <c r="B357" s="167"/>
      <c r="E357" s="231"/>
      <c r="G357" s="167"/>
      <c r="J357" s="62"/>
      <c r="K357" s="62"/>
      <c r="R357" s="62"/>
    </row>
    <row r="358" ht="15.75" customHeight="1">
      <c r="B358" s="167"/>
      <c r="E358" s="231"/>
      <c r="G358" s="167"/>
      <c r="J358" s="62"/>
      <c r="K358" s="62"/>
      <c r="R358" s="62"/>
    </row>
    <row r="359" ht="15.75" customHeight="1">
      <c r="B359" s="167"/>
      <c r="E359" s="231"/>
      <c r="G359" s="167"/>
      <c r="J359" s="62"/>
      <c r="K359" s="62"/>
      <c r="R359" s="62"/>
    </row>
    <row r="360" ht="15.75" customHeight="1">
      <c r="B360" s="167"/>
      <c r="E360" s="231"/>
      <c r="G360" s="167"/>
      <c r="J360" s="62"/>
      <c r="K360" s="62"/>
      <c r="R360" s="62"/>
    </row>
    <row r="361" ht="15.75" customHeight="1">
      <c r="B361" s="167"/>
      <c r="E361" s="231"/>
      <c r="G361" s="167"/>
      <c r="J361" s="62"/>
      <c r="K361" s="62"/>
      <c r="R361" s="62"/>
    </row>
    <row r="362" ht="15.75" customHeight="1">
      <c r="B362" s="167"/>
      <c r="E362" s="231"/>
      <c r="G362" s="167"/>
      <c r="J362" s="62"/>
      <c r="K362" s="62"/>
      <c r="R362" s="62"/>
    </row>
    <row r="363" ht="15.75" customHeight="1">
      <c r="B363" s="167"/>
      <c r="E363" s="231"/>
      <c r="G363" s="167"/>
      <c r="J363" s="62"/>
      <c r="K363" s="62"/>
      <c r="R363" s="62"/>
    </row>
    <row r="364" ht="15.75" customHeight="1">
      <c r="B364" s="167"/>
      <c r="E364" s="231"/>
      <c r="G364" s="167"/>
      <c r="J364" s="62"/>
      <c r="K364" s="62"/>
      <c r="R364" s="62"/>
    </row>
    <row r="365" ht="15.75" customHeight="1">
      <c r="B365" s="167"/>
      <c r="E365" s="231"/>
      <c r="G365" s="167"/>
      <c r="J365" s="62"/>
      <c r="K365" s="62"/>
      <c r="R365" s="62"/>
    </row>
    <row r="366" ht="15.75" customHeight="1">
      <c r="B366" s="167"/>
      <c r="E366" s="231"/>
      <c r="G366" s="167"/>
      <c r="J366" s="62"/>
      <c r="K366" s="62"/>
      <c r="R366" s="62"/>
    </row>
    <row r="367" ht="15.75" customHeight="1">
      <c r="B367" s="167"/>
      <c r="E367" s="231"/>
      <c r="G367" s="167"/>
      <c r="J367" s="62"/>
      <c r="K367" s="62"/>
      <c r="R367" s="62"/>
    </row>
    <row r="368" ht="15.75" customHeight="1">
      <c r="B368" s="167"/>
      <c r="E368" s="231"/>
      <c r="G368" s="167"/>
      <c r="J368" s="62"/>
      <c r="K368" s="62"/>
      <c r="R368" s="62"/>
    </row>
    <row r="369" ht="15.75" customHeight="1">
      <c r="B369" s="167"/>
      <c r="E369" s="231"/>
      <c r="G369" s="167"/>
      <c r="J369" s="62"/>
      <c r="K369" s="62"/>
      <c r="R369" s="62"/>
    </row>
    <row r="370" ht="15.75" customHeight="1">
      <c r="B370" s="167"/>
      <c r="E370" s="231"/>
      <c r="G370" s="167"/>
      <c r="J370" s="62"/>
      <c r="K370" s="62"/>
      <c r="R370" s="62"/>
    </row>
    <row r="371" ht="15.75" customHeight="1">
      <c r="B371" s="167"/>
      <c r="E371" s="231"/>
      <c r="G371" s="167"/>
      <c r="J371" s="62"/>
      <c r="K371" s="62"/>
      <c r="R371" s="62"/>
    </row>
    <row r="372" ht="15.75" customHeight="1">
      <c r="B372" s="167"/>
      <c r="E372" s="231"/>
      <c r="G372" s="167"/>
      <c r="J372" s="62"/>
      <c r="K372" s="62"/>
      <c r="R372" s="62"/>
    </row>
    <row r="373" ht="15.75" customHeight="1">
      <c r="B373" s="167"/>
      <c r="E373" s="231"/>
      <c r="G373" s="167"/>
      <c r="J373" s="62"/>
      <c r="K373" s="62"/>
      <c r="R373" s="62"/>
    </row>
    <row r="374" ht="15.75" customHeight="1">
      <c r="B374" s="167"/>
      <c r="E374" s="231"/>
      <c r="G374" s="167"/>
      <c r="J374" s="62"/>
      <c r="K374" s="62"/>
      <c r="R374" s="62"/>
    </row>
    <row r="375" ht="15.75" customHeight="1">
      <c r="B375" s="167"/>
      <c r="E375" s="231"/>
      <c r="G375" s="167"/>
      <c r="J375" s="62"/>
      <c r="K375" s="62"/>
      <c r="R375" s="62"/>
    </row>
    <row r="376" ht="15.75" customHeight="1">
      <c r="B376" s="167"/>
      <c r="E376" s="231"/>
      <c r="G376" s="167"/>
      <c r="J376" s="62"/>
      <c r="K376" s="62"/>
      <c r="R376" s="62"/>
    </row>
    <row r="377" ht="15.75" customHeight="1">
      <c r="B377" s="167"/>
      <c r="E377" s="231"/>
      <c r="G377" s="167"/>
      <c r="J377" s="62"/>
      <c r="K377" s="62"/>
      <c r="R377" s="62"/>
    </row>
    <row r="378" ht="15.75" customHeight="1">
      <c r="B378" s="167"/>
      <c r="E378" s="231"/>
      <c r="G378" s="167"/>
      <c r="J378" s="62"/>
      <c r="K378" s="62"/>
      <c r="R378" s="62"/>
    </row>
    <row r="379" ht="15.75" customHeight="1">
      <c r="B379" s="167"/>
      <c r="E379" s="231"/>
      <c r="G379" s="167"/>
      <c r="J379" s="62"/>
      <c r="K379" s="62"/>
      <c r="R379" s="62"/>
    </row>
    <row r="380" ht="15.75" customHeight="1">
      <c r="B380" s="167"/>
      <c r="E380" s="231"/>
      <c r="G380" s="167"/>
      <c r="J380" s="62"/>
      <c r="K380" s="62"/>
      <c r="R380" s="62"/>
    </row>
    <row r="381" ht="15.75" customHeight="1">
      <c r="B381" s="167"/>
      <c r="E381" s="231"/>
      <c r="G381" s="167"/>
      <c r="J381" s="62"/>
      <c r="K381" s="62"/>
      <c r="R381" s="62"/>
    </row>
    <row r="382" ht="15.75" customHeight="1">
      <c r="B382" s="167"/>
      <c r="E382" s="231"/>
      <c r="G382" s="167"/>
      <c r="J382" s="62"/>
      <c r="K382" s="62"/>
      <c r="R382" s="62"/>
    </row>
    <row r="383" ht="15.75" customHeight="1">
      <c r="B383" s="167"/>
      <c r="E383" s="231"/>
      <c r="G383" s="167"/>
      <c r="J383" s="62"/>
      <c r="K383" s="62"/>
      <c r="R383" s="62"/>
    </row>
    <row r="384" ht="15.75" customHeight="1">
      <c r="B384" s="167"/>
      <c r="E384" s="231"/>
      <c r="G384" s="167"/>
      <c r="J384" s="62"/>
      <c r="K384" s="62"/>
      <c r="R384" s="62"/>
    </row>
    <row r="385" ht="15.75" customHeight="1">
      <c r="B385" s="167"/>
      <c r="E385" s="231"/>
      <c r="G385" s="167"/>
      <c r="J385" s="62"/>
      <c r="K385" s="62"/>
      <c r="R385" s="62"/>
    </row>
    <row r="386" ht="15.75" customHeight="1">
      <c r="B386" s="167"/>
      <c r="E386" s="231"/>
      <c r="G386" s="167"/>
      <c r="J386" s="62"/>
      <c r="K386" s="62"/>
      <c r="R386" s="62"/>
    </row>
    <row r="387" ht="15.75" customHeight="1">
      <c r="B387" s="167"/>
      <c r="E387" s="231"/>
      <c r="G387" s="167"/>
      <c r="J387" s="62"/>
      <c r="K387" s="62"/>
      <c r="R387" s="62"/>
    </row>
    <row r="388" ht="15.75" customHeight="1">
      <c r="B388" s="167"/>
      <c r="E388" s="231"/>
      <c r="G388" s="167"/>
      <c r="J388" s="62"/>
      <c r="K388" s="62"/>
      <c r="R388" s="62"/>
    </row>
    <row r="389" ht="15.75" customHeight="1">
      <c r="B389" s="167"/>
      <c r="E389" s="231"/>
      <c r="G389" s="167"/>
      <c r="J389" s="62"/>
      <c r="K389" s="62"/>
      <c r="R389" s="62"/>
    </row>
    <row r="390" ht="15.75" customHeight="1">
      <c r="B390" s="167"/>
      <c r="E390" s="231"/>
      <c r="G390" s="167"/>
      <c r="J390" s="62"/>
      <c r="K390" s="62"/>
      <c r="R390" s="62"/>
    </row>
    <row r="391" ht="15.75" customHeight="1">
      <c r="B391" s="167"/>
      <c r="E391" s="231"/>
      <c r="G391" s="167"/>
      <c r="J391" s="62"/>
      <c r="K391" s="62"/>
      <c r="R391" s="62"/>
    </row>
    <row r="392" ht="15.75" customHeight="1">
      <c r="B392" s="167"/>
      <c r="E392" s="231"/>
      <c r="G392" s="167"/>
      <c r="J392" s="62"/>
      <c r="K392" s="62"/>
      <c r="R392" s="62"/>
    </row>
    <row r="393" ht="15.75" customHeight="1">
      <c r="B393" s="167"/>
      <c r="E393" s="231"/>
      <c r="G393" s="167"/>
      <c r="J393" s="62"/>
      <c r="K393" s="62"/>
      <c r="R393" s="62"/>
    </row>
    <row r="394" ht="15.75" customHeight="1">
      <c r="B394" s="167"/>
      <c r="E394" s="231"/>
      <c r="G394" s="167"/>
      <c r="J394" s="62"/>
      <c r="K394" s="62"/>
      <c r="R394" s="62"/>
    </row>
    <row r="395" ht="15.75" customHeight="1">
      <c r="B395" s="167"/>
      <c r="E395" s="231"/>
      <c r="G395" s="167"/>
      <c r="J395" s="62"/>
      <c r="K395" s="62"/>
      <c r="R395" s="62"/>
    </row>
    <row r="396" ht="15.75" customHeight="1">
      <c r="B396" s="167"/>
      <c r="E396" s="231"/>
      <c r="G396" s="167"/>
      <c r="J396" s="62"/>
      <c r="K396" s="62"/>
      <c r="R396" s="62"/>
    </row>
    <row r="397" ht="15.75" customHeight="1">
      <c r="B397" s="167"/>
      <c r="E397" s="231"/>
      <c r="G397" s="167"/>
      <c r="J397" s="62"/>
      <c r="K397" s="62"/>
      <c r="R397" s="62"/>
    </row>
    <row r="398" ht="15.75" customHeight="1">
      <c r="B398" s="167"/>
      <c r="E398" s="231"/>
      <c r="G398" s="167"/>
      <c r="J398" s="62"/>
      <c r="K398" s="62"/>
      <c r="R398" s="62"/>
    </row>
    <row r="399" ht="15.75" customHeight="1">
      <c r="B399" s="167"/>
      <c r="E399" s="231"/>
      <c r="G399" s="167"/>
      <c r="J399" s="62"/>
      <c r="K399" s="62"/>
      <c r="R399" s="62"/>
    </row>
    <row r="400" ht="15.75" customHeight="1">
      <c r="B400" s="167"/>
      <c r="E400" s="231"/>
      <c r="G400" s="167"/>
      <c r="J400" s="62"/>
      <c r="K400" s="62"/>
      <c r="R400" s="62"/>
    </row>
    <row r="401" ht="15.75" customHeight="1">
      <c r="B401" s="167"/>
      <c r="E401" s="231"/>
      <c r="G401" s="167"/>
      <c r="J401" s="62"/>
      <c r="K401" s="62"/>
      <c r="R401" s="62"/>
    </row>
    <row r="402" ht="15.75" customHeight="1">
      <c r="B402" s="167"/>
      <c r="E402" s="231"/>
      <c r="G402" s="167"/>
      <c r="J402" s="62"/>
      <c r="K402" s="62"/>
      <c r="R402" s="62"/>
    </row>
    <row r="403" ht="15.75" customHeight="1">
      <c r="B403" s="167"/>
      <c r="E403" s="231"/>
      <c r="G403" s="167"/>
      <c r="J403" s="62"/>
      <c r="K403" s="62"/>
      <c r="R403" s="62"/>
    </row>
    <row r="404" ht="15.75" customHeight="1">
      <c r="B404" s="167"/>
      <c r="E404" s="231"/>
      <c r="G404" s="167"/>
      <c r="J404" s="62"/>
      <c r="K404" s="62"/>
      <c r="R404" s="62"/>
    </row>
    <row r="405" ht="15.75" customHeight="1">
      <c r="B405" s="167"/>
      <c r="E405" s="231"/>
      <c r="G405" s="167"/>
      <c r="J405" s="62"/>
      <c r="K405" s="62"/>
      <c r="R405" s="62"/>
    </row>
    <row r="406" ht="15.75" customHeight="1">
      <c r="B406" s="167"/>
      <c r="E406" s="231"/>
      <c r="G406" s="167"/>
      <c r="J406" s="62"/>
      <c r="K406" s="62"/>
      <c r="R406" s="62"/>
    </row>
    <row r="407" ht="15.75" customHeight="1">
      <c r="B407" s="167"/>
      <c r="E407" s="231"/>
      <c r="G407" s="167"/>
      <c r="J407" s="62"/>
      <c r="K407" s="62"/>
      <c r="R407" s="62"/>
    </row>
    <row r="408" ht="15.75" customHeight="1">
      <c r="B408" s="167"/>
      <c r="E408" s="231"/>
      <c r="G408" s="167"/>
      <c r="J408" s="62"/>
      <c r="K408" s="62"/>
      <c r="R408" s="62"/>
    </row>
    <row r="409" ht="15.75" customHeight="1">
      <c r="B409" s="167"/>
      <c r="E409" s="231"/>
      <c r="G409" s="167"/>
      <c r="J409" s="62"/>
      <c r="K409" s="62"/>
      <c r="R409" s="62"/>
    </row>
    <row r="410" ht="15.75" customHeight="1">
      <c r="B410" s="167"/>
      <c r="E410" s="231"/>
      <c r="G410" s="167"/>
      <c r="J410" s="62"/>
      <c r="K410" s="62"/>
      <c r="R410" s="62"/>
    </row>
    <row r="411" ht="15.75" customHeight="1">
      <c r="B411" s="167"/>
      <c r="E411" s="231"/>
      <c r="G411" s="167"/>
      <c r="J411" s="62"/>
      <c r="K411" s="62"/>
      <c r="R411" s="62"/>
    </row>
    <row r="412" ht="15.75" customHeight="1">
      <c r="B412" s="167"/>
      <c r="E412" s="231"/>
      <c r="G412" s="167"/>
      <c r="J412" s="62"/>
      <c r="K412" s="62"/>
      <c r="R412" s="62"/>
    </row>
    <row r="413" ht="15.75" customHeight="1">
      <c r="B413" s="167"/>
      <c r="E413" s="231"/>
      <c r="G413" s="167"/>
      <c r="J413" s="62"/>
      <c r="K413" s="62"/>
      <c r="R413" s="62"/>
    </row>
    <row r="414" ht="15.75" customHeight="1">
      <c r="B414" s="167"/>
      <c r="E414" s="231"/>
      <c r="G414" s="167"/>
      <c r="J414" s="62"/>
      <c r="K414" s="62"/>
      <c r="R414" s="62"/>
    </row>
    <row r="415" ht="15.75" customHeight="1">
      <c r="B415" s="167"/>
      <c r="E415" s="231"/>
      <c r="G415" s="167"/>
      <c r="J415" s="62"/>
      <c r="K415" s="62"/>
      <c r="R415" s="62"/>
    </row>
    <row r="416" ht="15.75" customHeight="1">
      <c r="B416" s="167"/>
      <c r="E416" s="231"/>
      <c r="G416" s="167"/>
      <c r="J416" s="62"/>
      <c r="K416" s="62"/>
      <c r="R416" s="62"/>
    </row>
    <row r="417" ht="15.75" customHeight="1">
      <c r="B417" s="167"/>
      <c r="E417" s="231"/>
      <c r="G417" s="167"/>
      <c r="J417" s="62"/>
      <c r="K417" s="62"/>
      <c r="R417" s="62"/>
    </row>
    <row r="418" ht="15.75" customHeight="1">
      <c r="B418" s="167"/>
      <c r="E418" s="231"/>
      <c r="G418" s="167"/>
      <c r="J418" s="62"/>
      <c r="K418" s="62"/>
      <c r="R418" s="62"/>
    </row>
    <row r="419" ht="15.75" customHeight="1">
      <c r="B419" s="167"/>
      <c r="E419" s="231"/>
      <c r="G419" s="167"/>
      <c r="J419" s="62"/>
      <c r="K419" s="62"/>
      <c r="R419" s="62"/>
    </row>
    <row r="420" ht="15.75" customHeight="1">
      <c r="B420" s="167"/>
      <c r="E420" s="231"/>
      <c r="G420" s="167"/>
      <c r="J420" s="62"/>
      <c r="K420" s="62"/>
      <c r="R420" s="62"/>
    </row>
    <row r="421" ht="15.75" customHeight="1">
      <c r="B421" s="167"/>
      <c r="E421" s="231"/>
      <c r="G421" s="167"/>
      <c r="J421" s="62"/>
      <c r="K421" s="62"/>
      <c r="R421" s="62"/>
    </row>
    <row r="422" ht="15.75" customHeight="1">
      <c r="B422" s="167"/>
      <c r="E422" s="231"/>
      <c r="G422" s="167"/>
      <c r="J422" s="62"/>
      <c r="K422" s="62"/>
      <c r="R422" s="62"/>
    </row>
    <row r="423" ht="15.75" customHeight="1">
      <c r="B423" s="167"/>
      <c r="E423" s="231"/>
      <c r="G423" s="167"/>
      <c r="J423" s="62"/>
      <c r="K423" s="62"/>
      <c r="R423" s="62"/>
    </row>
    <row r="424" ht="15.75" customHeight="1">
      <c r="B424" s="167"/>
      <c r="E424" s="231"/>
      <c r="G424" s="167"/>
      <c r="J424" s="62"/>
      <c r="K424" s="62"/>
      <c r="R424" s="62"/>
    </row>
    <row r="425" ht="15.75" customHeight="1">
      <c r="B425" s="167"/>
      <c r="E425" s="231"/>
      <c r="G425" s="167"/>
      <c r="J425" s="62"/>
      <c r="K425" s="62"/>
      <c r="R425" s="62"/>
    </row>
    <row r="426" ht="15.75" customHeight="1">
      <c r="B426" s="167"/>
      <c r="E426" s="231"/>
      <c r="G426" s="167"/>
      <c r="J426" s="62"/>
      <c r="K426" s="62"/>
      <c r="R426" s="62"/>
    </row>
    <row r="427" ht="15.75" customHeight="1">
      <c r="B427" s="167"/>
      <c r="E427" s="231"/>
      <c r="G427" s="167"/>
      <c r="J427" s="62"/>
      <c r="K427" s="62"/>
      <c r="R427" s="62"/>
    </row>
    <row r="428" ht="15.75" customHeight="1">
      <c r="B428" s="167"/>
      <c r="E428" s="231"/>
      <c r="G428" s="167"/>
      <c r="J428" s="62"/>
      <c r="K428" s="62"/>
      <c r="R428" s="62"/>
    </row>
    <row r="429" ht="15.75" customHeight="1">
      <c r="B429" s="167"/>
      <c r="E429" s="231"/>
      <c r="G429" s="167"/>
      <c r="J429" s="62"/>
      <c r="K429" s="62"/>
      <c r="R429" s="62"/>
    </row>
    <row r="430" ht="15.75" customHeight="1">
      <c r="B430" s="167"/>
      <c r="E430" s="231"/>
      <c r="G430" s="167"/>
      <c r="J430" s="62"/>
      <c r="K430" s="62"/>
      <c r="R430" s="62"/>
    </row>
    <row r="431" ht="15.75" customHeight="1">
      <c r="B431" s="167"/>
      <c r="E431" s="231"/>
      <c r="G431" s="167"/>
      <c r="J431" s="62"/>
      <c r="K431" s="62"/>
      <c r="R431" s="62"/>
    </row>
    <row r="432" ht="15.75" customHeight="1">
      <c r="B432" s="167"/>
      <c r="E432" s="231"/>
      <c r="G432" s="167"/>
      <c r="J432" s="62"/>
      <c r="K432" s="62"/>
      <c r="R432" s="62"/>
    </row>
    <row r="433" ht="15.75" customHeight="1">
      <c r="B433" s="167"/>
      <c r="E433" s="231"/>
      <c r="G433" s="167"/>
      <c r="J433" s="62"/>
      <c r="K433" s="62"/>
      <c r="R433" s="62"/>
    </row>
    <row r="434" ht="15.75" customHeight="1">
      <c r="B434" s="167"/>
      <c r="E434" s="231"/>
      <c r="G434" s="167"/>
      <c r="J434" s="62"/>
      <c r="K434" s="62"/>
      <c r="R434" s="62"/>
    </row>
    <row r="435" ht="15.75" customHeight="1">
      <c r="B435" s="167"/>
      <c r="E435" s="231"/>
      <c r="G435" s="167"/>
      <c r="J435" s="62"/>
      <c r="K435" s="62"/>
      <c r="R435" s="62"/>
    </row>
    <row r="436" ht="15.75" customHeight="1">
      <c r="B436" s="167"/>
      <c r="E436" s="231"/>
      <c r="G436" s="167"/>
      <c r="J436" s="62"/>
      <c r="K436" s="62"/>
      <c r="R436" s="62"/>
    </row>
    <row r="437" ht="15.75" customHeight="1">
      <c r="B437" s="167"/>
      <c r="E437" s="231"/>
      <c r="G437" s="167"/>
      <c r="J437" s="62"/>
      <c r="K437" s="62"/>
      <c r="R437" s="62"/>
    </row>
    <row r="438" ht="15.75" customHeight="1">
      <c r="B438" s="167"/>
      <c r="E438" s="231"/>
      <c r="G438" s="167"/>
      <c r="J438" s="62"/>
      <c r="K438" s="62"/>
      <c r="R438" s="62"/>
    </row>
    <row r="439" ht="15.75" customHeight="1">
      <c r="B439" s="167"/>
      <c r="E439" s="231"/>
      <c r="G439" s="167"/>
      <c r="J439" s="62"/>
      <c r="K439" s="62"/>
      <c r="R439" s="62"/>
    </row>
    <row r="440" ht="15.75" customHeight="1">
      <c r="B440" s="167"/>
      <c r="E440" s="231"/>
      <c r="G440" s="167"/>
      <c r="J440" s="62"/>
      <c r="K440" s="62"/>
      <c r="R440" s="62"/>
    </row>
    <row r="441" ht="15.75" customHeight="1">
      <c r="B441" s="167"/>
      <c r="E441" s="231"/>
      <c r="G441" s="167"/>
      <c r="J441" s="62"/>
      <c r="K441" s="62"/>
      <c r="R441" s="62"/>
    </row>
    <row r="442" ht="15.75" customHeight="1">
      <c r="B442" s="167"/>
      <c r="E442" s="231"/>
      <c r="G442" s="167"/>
      <c r="J442" s="62"/>
      <c r="K442" s="62"/>
      <c r="R442" s="62"/>
    </row>
    <row r="443" ht="15.75" customHeight="1">
      <c r="B443" s="167"/>
      <c r="E443" s="231"/>
      <c r="G443" s="167"/>
      <c r="J443" s="62"/>
      <c r="K443" s="62"/>
      <c r="R443" s="62"/>
    </row>
    <row r="444" ht="15.75" customHeight="1">
      <c r="B444" s="167"/>
      <c r="E444" s="231"/>
      <c r="G444" s="167"/>
      <c r="J444" s="62"/>
      <c r="K444" s="62"/>
      <c r="R444" s="62"/>
    </row>
    <row r="445" ht="15.75" customHeight="1">
      <c r="B445" s="167"/>
      <c r="E445" s="231"/>
      <c r="G445" s="167"/>
      <c r="J445" s="62"/>
      <c r="K445" s="62"/>
      <c r="R445" s="62"/>
    </row>
    <row r="446" ht="15.75" customHeight="1">
      <c r="B446" s="167"/>
      <c r="E446" s="231"/>
      <c r="G446" s="167"/>
      <c r="J446" s="62"/>
      <c r="K446" s="62"/>
      <c r="R446" s="62"/>
    </row>
    <row r="447" ht="15.75" customHeight="1">
      <c r="B447" s="167"/>
      <c r="E447" s="231"/>
      <c r="G447" s="167"/>
      <c r="J447" s="62"/>
      <c r="K447" s="62"/>
      <c r="R447" s="62"/>
    </row>
    <row r="448" ht="15.75" customHeight="1">
      <c r="B448" s="167"/>
      <c r="E448" s="231"/>
      <c r="G448" s="167"/>
      <c r="J448" s="62"/>
      <c r="K448" s="62"/>
      <c r="R448" s="62"/>
    </row>
    <row r="449" ht="15.75" customHeight="1">
      <c r="B449" s="167"/>
      <c r="E449" s="231"/>
      <c r="G449" s="167"/>
      <c r="J449" s="62"/>
      <c r="K449" s="62"/>
      <c r="R449" s="62"/>
    </row>
    <row r="450" ht="15.75" customHeight="1">
      <c r="B450" s="167"/>
      <c r="E450" s="231"/>
      <c r="G450" s="167"/>
      <c r="J450" s="62"/>
      <c r="K450" s="62"/>
      <c r="R450" s="62"/>
    </row>
    <row r="451" ht="15.75" customHeight="1">
      <c r="B451" s="167"/>
      <c r="E451" s="231"/>
      <c r="G451" s="167"/>
      <c r="J451" s="62"/>
      <c r="K451" s="62"/>
      <c r="R451" s="62"/>
    </row>
    <row r="452" ht="15.75" customHeight="1">
      <c r="B452" s="167"/>
      <c r="E452" s="231"/>
      <c r="G452" s="167"/>
      <c r="J452" s="62"/>
      <c r="K452" s="62"/>
      <c r="R452" s="62"/>
    </row>
    <row r="453" ht="15.75" customHeight="1">
      <c r="B453" s="167"/>
      <c r="E453" s="231"/>
      <c r="G453" s="167"/>
      <c r="J453" s="62"/>
      <c r="K453" s="62"/>
      <c r="R453" s="62"/>
    </row>
    <row r="454" ht="15.75" customHeight="1">
      <c r="B454" s="167"/>
      <c r="E454" s="231"/>
      <c r="G454" s="167"/>
      <c r="J454" s="62"/>
      <c r="K454" s="62"/>
      <c r="R454" s="62"/>
    </row>
    <row r="455" ht="15.75" customHeight="1">
      <c r="B455" s="167"/>
      <c r="E455" s="231"/>
      <c r="G455" s="167"/>
      <c r="J455" s="62"/>
      <c r="K455" s="62"/>
      <c r="R455" s="62"/>
    </row>
    <row r="456" ht="15.75" customHeight="1">
      <c r="B456" s="167"/>
      <c r="E456" s="231"/>
      <c r="G456" s="167"/>
      <c r="J456" s="62"/>
      <c r="K456" s="62"/>
      <c r="R456" s="62"/>
    </row>
    <row r="457" ht="15.75" customHeight="1">
      <c r="B457" s="167"/>
      <c r="E457" s="231"/>
      <c r="G457" s="167"/>
      <c r="J457" s="62"/>
      <c r="K457" s="62"/>
      <c r="R457" s="62"/>
    </row>
    <row r="458" ht="15.75" customHeight="1">
      <c r="B458" s="167"/>
      <c r="E458" s="231"/>
      <c r="G458" s="167"/>
      <c r="J458" s="62"/>
      <c r="K458" s="62"/>
      <c r="R458" s="62"/>
    </row>
    <row r="459" ht="15.75" customHeight="1">
      <c r="B459" s="167"/>
      <c r="E459" s="231"/>
      <c r="G459" s="167"/>
      <c r="J459" s="62"/>
      <c r="K459" s="62"/>
      <c r="R459" s="62"/>
    </row>
    <row r="460" ht="15.75" customHeight="1">
      <c r="B460" s="167"/>
      <c r="E460" s="231"/>
      <c r="G460" s="167"/>
      <c r="J460" s="62"/>
      <c r="K460" s="62"/>
      <c r="R460" s="62"/>
    </row>
    <row r="461" ht="15.75" customHeight="1">
      <c r="B461" s="167"/>
      <c r="E461" s="231"/>
      <c r="G461" s="167"/>
      <c r="J461" s="62"/>
      <c r="K461" s="62"/>
      <c r="R461" s="62"/>
    </row>
    <row r="462" ht="15.75" customHeight="1">
      <c r="B462" s="167"/>
      <c r="E462" s="231"/>
      <c r="G462" s="167"/>
      <c r="J462" s="62"/>
      <c r="K462" s="62"/>
      <c r="R462" s="62"/>
    </row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7">
    <mergeCell ref="A1:K1"/>
    <mergeCell ref="A2:K2"/>
    <mergeCell ref="N4:R4"/>
    <mergeCell ref="N5:R5"/>
    <mergeCell ref="A19:K19"/>
    <mergeCell ref="N22:R22"/>
    <mergeCell ref="N23:R23"/>
    <mergeCell ref="A20:K20"/>
    <mergeCell ref="A37:K37"/>
    <mergeCell ref="A38:K38"/>
    <mergeCell ref="N40:R40"/>
    <mergeCell ref="N45:R45"/>
    <mergeCell ref="A55:K55"/>
    <mergeCell ref="A56:K56"/>
    <mergeCell ref="N58:R58"/>
    <mergeCell ref="N59:R59"/>
    <mergeCell ref="A73:K73"/>
    <mergeCell ref="A74:K74"/>
    <mergeCell ref="N76:R76"/>
    <mergeCell ref="N77:R77"/>
    <mergeCell ref="A91:K91"/>
    <mergeCell ref="A92:K92"/>
    <mergeCell ref="N94:R94"/>
    <mergeCell ref="N95:R95"/>
    <mergeCell ref="A109:K109"/>
    <mergeCell ref="A110:K110"/>
    <mergeCell ref="N112:R112"/>
    <mergeCell ref="N113:R113"/>
    <mergeCell ref="A127:K127"/>
    <mergeCell ref="A128:K128"/>
    <mergeCell ref="N130:R130"/>
    <mergeCell ref="N131:R131"/>
    <mergeCell ref="A145:K145"/>
    <mergeCell ref="N148:R148"/>
    <mergeCell ref="N149:R149"/>
    <mergeCell ref="A146:K146"/>
    <mergeCell ref="A163:K163"/>
    <mergeCell ref="A164:K164"/>
    <mergeCell ref="N166:R166"/>
    <mergeCell ref="N167:R167"/>
    <mergeCell ref="A181:K181"/>
    <mergeCell ref="A182:K182"/>
    <mergeCell ref="A218:K218"/>
    <mergeCell ref="N220:R220"/>
    <mergeCell ref="N221:R221"/>
    <mergeCell ref="A235:K235"/>
    <mergeCell ref="A236:K236"/>
    <mergeCell ref="N238:R238"/>
    <mergeCell ref="N239:R239"/>
    <mergeCell ref="N260:R260"/>
    <mergeCell ref="N184:R184"/>
    <mergeCell ref="N185:R185"/>
    <mergeCell ref="A199:K199"/>
    <mergeCell ref="A200:K200"/>
    <mergeCell ref="N202:R202"/>
    <mergeCell ref="N203:R203"/>
    <mergeCell ref="A217:K217"/>
  </mergeCells>
  <dataValidations>
    <dataValidation type="list" allowBlank="1" showErrorMessage="1" sqref="I4:I15 I22:I33 I40:I51 I58:I69 I76:I87 I94:I105 I112:I123 I130:I141 I148:I159 I166:I177 I184:I195 I202:I213 I220:I231 I238:I249">
      <formula1>"Não atendido,Atendido,Vagas livre,Desistência"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3.88"/>
    <col customWidth="1" min="4" max="4" width="11.88"/>
    <col customWidth="1" min="5" max="5" width="16.0"/>
    <col customWidth="1" min="6" max="6" width="17.0"/>
    <col customWidth="1" min="7" max="7" width="42.63"/>
    <col customWidth="1" min="8" max="8" width="16.13"/>
    <col customWidth="1" min="9" max="9" width="20.38"/>
    <col customWidth="1" min="10" max="10" width="16.5"/>
    <col customWidth="1" min="11" max="11" width="14.8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hidden="1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hidden="1" customHeight="1">
      <c r="A2" s="444" t="s">
        <v>3000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hidden="1" customHeight="1">
      <c r="A3" s="22"/>
      <c r="B3" s="23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hidden="1" customHeight="1">
      <c r="A4" s="11" t="s">
        <v>10</v>
      </c>
      <c r="B4" s="205" t="s">
        <v>2081</v>
      </c>
      <c r="C4" s="69" t="str">
        <f t="shared" ref="C4:C15" si="1">PROPER(TEXT(DATE(MID($A$2,7,4),MID($A$2,4,2),LEFT($A$2,2)),"dddd"))</f>
        <v>Terça-Feira</v>
      </c>
      <c r="D4" s="445" t="str">
        <f>IF(C4&lt;&gt;"Quarta-Feira","13:00","08:00")</f>
        <v>13:00</v>
      </c>
      <c r="E4" s="219"/>
      <c r="F4" s="192"/>
      <c r="G4" s="54"/>
      <c r="H4" s="193"/>
      <c r="I4" s="18"/>
      <c r="J4" s="97"/>
      <c r="K4" s="97"/>
      <c r="N4" s="237" t="s">
        <v>386</v>
      </c>
      <c r="O4" s="95"/>
      <c r="P4" s="95"/>
      <c r="Q4" s="95"/>
      <c r="R4" s="62"/>
    </row>
    <row r="5" ht="15.75" hidden="1" customHeight="1">
      <c r="A5" s="11" t="s">
        <v>11</v>
      </c>
      <c r="B5" s="205" t="s">
        <v>2083</v>
      </c>
      <c r="C5" s="69" t="str">
        <f t="shared" si="1"/>
        <v>Terça-Feira</v>
      </c>
      <c r="D5" s="445" t="str">
        <f>IF(C5&lt;&gt;"Quarta-Feira","13:20","08:20")</f>
        <v>13:20</v>
      </c>
      <c r="E5" s="253"/>
      <c r="F5" s="206"/>
      <c r="G5" s="125"/>
      <c r="H5" s="153"/>
      <c r="I5" s="18"/>
      <c r="J5" s="37"/>
      <c r="K5" s="37"/>
      <c r="N5" s="239" t="s">
        <v>2085</v>
      </c>
      <c r="O5" s="2"/>
      <c r="P5" s="2"/>
      <c r="Q5" s="2"/>
      <c r="R5" s="62"/>
    </row>
    <row r="6" ht="20.25" hidden="1" customHeight="1">
      <c r="A6" s="11" t="s">
        <v>12</v>
      </c>
      <c r="B6" s="205" t="s">
        <v>2086</v>
      </c>
      <c r="C6" s="69" t="str">
        <f t="shared" si="1"/>
        <v>Terça-Feira</v>
      </c>
      <c r="D6" s="445" t="str">
        <f>IF(C6&lt;&gt;"Quarta-Feira","13:40","08:40")</f>
        <v>13:40</v>
      </c>
      <c r="E6" s="253"/>
      <c r="F6" s="206"/>
      <c r="G6" s="125"/>
      <c r="H6" s="153"/>
      <c r="I6" s="18"/>
      <c r="J6" s="37"/>
      <c r="K6" s="97"/>
      <c r="N6" s="240" t="s">
        <v>41</v>
      </c>
      <c r="O6" s="241" t="s">
        <v>194</v>
      </c>
      <c r="P6" s="241" t="s">
        <v>180</v>
      </c>
      <c r="Q6" s="242" t="s">
        <v>2087</v>
      </c>
      <c r="R6" s="62"/>
    </row>
    <row r="7" ht="15.75" hidden="1" customHeight="1">
      <c r="A7" s="11" t="s">
        <v>13</v>
      </c>
      <c r="B7" s="205" t="s">
        <v>2088</v>
      </c>
      <c r="C7" s="69" t="str">
        <f t="shared" si="1"/>
        <v>Terça-Feira</v>
      </c>
      <c r="D7" s="445" t="str">
        <f>IF(C7&lt;&gt;"Quarta-Feira","14:00","09:00")</f>
        <v>14:00</v>
      </c>
      <c r="E7" s="214"/>
      <c r="F7" s="79"/>
      <c r="G7" s="74"/>
      <c r="H7" s="78"/>
      <c r="I7" s="18"/>
      <c r="J7" s="266"/>
      <c r="K7" s="266"/>
      <c r="N7" s="244">
        <f t="shared" ref="N7:P7" si="2">COUNTIFS($I$4:$I$15,N6)</f>
        <v>0</v>
      </c>
      <c r="O7" s="244">
        <f t="shared" si="2"/>
        <v>0</v>
      </c>
      <c r="P7" s="244">
        <f t="shared" si="2"/>
        <v>0</v>
      </c>
      <c r="Q7" s="244">
        <f>COUNTIF(I4:I15,Q6)</f>
        <v>0</v>
      </c>
      <c r="R7" s="62"/>
    </row>
    <row r="8" ht="15.75" hidden="1" customHeight="1">
      <c r="A8" s="11" t="s">
        <v>14</v>
      </c>
      <c r="B8" s="205" t="s">
        <v>2081</v>
      </c>
      <c r="C8" s="69" t="str">
        <f t="shared" si="1"/>
        <v>Terça-Feira</v>
      </c>
      <c r="D8" s="445" t="str">
        <f>IF(C8&lt;&gt;"Quarta-Feira","14:20","09:20")</f>
        <v>14:20</v>
      </c>
      <c r="E8" s="267"/>
      <c r="F8" s="457"/>
      <c r="G8" s="268"/>
      <c r="H8" s="269"/>
      <c r="I8" s="18"/>
      <c r="J8" s="128"/>
      <c r="K8" s="128"/>
      <c r="R8" s="62"/>
    </row>
    <row r="9" ht="15.75" hidden="1" customHeight="1">
      <c r="A9" s="11" t="s">
        <v>15</v>
      </c>
      <c r="B9" s="205" t="s">
        <v>2088</v>
      </c>
      <c r="C9" s="69" t="str">
        <f t="shared" si="1"/>
        <v>Terça-Feira</v>
      </c>
      <c r="D9" s="445" t="str">
        <f>IF(C9&lt;&gt;"Quarta-Feira","14:40","09:40")</f>
        <v>14:40</v>
      </c>
      <c r="E9" s="215"/>
      <c r="F9" s="170"/>
      <c r="G9" s="186"/>
      <c r="H9" s="72"/>
      <c r="I9" s="18"/>
      <c r="J9" s="37"/>
      <c r="K9" s="37"/>
      <c r="R9" s="62"/>
    </row>
    <row r="10" ht="15.75" hidden="1" customHeight="1">
      <c r="A10" s="11" t="s">
        <v>16</v>
      </c>
      <c r="B10" s="205" t="s">
        <v>2092</v>
      </c>
      <c r="C10" s="69" t="str">
        <f t="shared" si="1"/>
        <v>Terça-Feira</v>
      </c>
      <c r="D10" s="445" t="str">
        <f>IF(C10&lt;&gt;"Quarta-Feira","15:00","10:00")</f>
        <v>15:00</v>
      </c>
      <c r="E10" s="214"/>
      <c r="F10" s="79"/>
      <c r="G10" s="74"/>
      <c r="H10" s="78"/>
      <c r="I10" s="18"/>
      <c r="J10" s="266"/>
      <c r="K10" s="266"/>
      <c r="R10" s="62"/>
    </row>
    <row r="11" ht="15.75" hidden="1" customHeight="1">
      <c r="A11" s="11" t="s">
        <v>17</v>
      </c>
      <c r="B11" s="205" t="s">
        <v>2093</v>
      </c>
      <c r="C11" s="69" t="str">
        <f t="shared" si="1"/>
        <v>Terça-Feira</v>
      </c>
      <c r="D11" s="445" t="str">
        <f>IF(C11&lt;&gt;"Quarta-Feira","15:20","10:20")</f>
        <v>15:20</v>
      </c>
      <c r="E11" s="282"/>
      <c r="F11" s="372"/>
      <c r="G11" s="74"/>
      <c r="H11" s="460"/>
      <c r="I11" s="18"/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hidden="1" customHeight="1">
      <c r="A12" s="11" t="s">
        <v>85</v>
      </c>
      <c r="B12" s="205" t="s">
        <v>2094</v>
      </c>
      <c r="C12" s="69" t="str">
        <f t="shared" si="1"/>
        <v>Terça-Feira</v>
      </c>
      <c r="D12" s="445" t="str">
        <f>IF(C12&lt;&gt;"Quarta-Feira","15:40","10:40")</f>
        <v>15:40</v>
      </c>
      <c r="E12" s="247"/>
      <c r="F12" s="146"/>
      <c r="G12" s="74"/>
      <c r="H12" s="86"/>
      <c r="I12" s="18"/>
      <c r="J12" s="37"/>
      <c r="K12" s="37"/>
      <c r="R12" s="62"/>
    </row>
    <row r="13" ht="15.75" hidden="1" customHeight="1">
      <c r="A13" s="11" t="s">
        <v>87</v>
      </c>
      <c r="B13" s="205" t="s">
        <v>2095</v>
      </c>
      <c r="C13" s="69" t="str">
        <f t="shared" si="1"/>
        <v>Terça-Feira</v>
      </c>
      <c r="D13" s="445" t="str">
        <f>IF(C13&lt;&gt;"Quarta-Feira","16:00","11:00")</f>
        <v>16:00</v>
      </c>
      <c r="E13" s="218"/>
      <c r="F13" s="146"/>
      <c r="G13" s="74"/>
      <c r="H13" s="86"/>
      <c r="I13" s="18"/>
      <c r="J13" s="37"/>
      <c r="K13" s="37"/>
      <c r="R13" s="62"/>
    </row>
    <row r="14" ht="15.75" hidden="1" customHeight="1">
      <c r="A14" s="11" t="s">
        <v>90</v>
      </c>
      <c r="B14" s="205" t="s">
        <v>2097</v>
      </c>
      <c r="C14" s="69" t="str">
        <f t="shared" si="1"/>
        <v>Terça-Feira</v>
      </c>
      <c r="D14" s="445" t="str">
        <f>IF(C14&lt;&gt;"Quarta-Feira","16:20","11:20")</f>
        <v>16:20</v>
      </c>
      <c r="E14" s="258"/>
      <c r="F14" s="127"/>
      <c r="G14" s="74"/>
      <c r="H14" s="153"/>
      <c r="I14" s="18"/>
      <c r="J14" s="37"/>
      <c r="K14" s="37"/>
      <c r="R14" s="62"/>
    </row>
    <row r="15" ht="15.75" hidden="1" customHeight="1">
      <c r="A15" s="11" t="s">
        <v>93</v>
      </c>
      <c r="B15" s="205" t="s">
        <v>2095</v>
      </c>
      <c r="C15" s="69" t="str">
        <f t="shared" si="1"/>
        <v>Terça-Feira</v>
      </c>
      <c r="D15" s="445" t="str">
        <f>IF(C15&lt;&gt;"Quarta-Feira","16:40","11:40")</f>
        <v>16:40</v>
      </c>
      <c r="E15" s="258"/>
      <c r="F15" s="127"/>
      <c r="G15" s="74"/>
      <c r="H15" s="153"/>
      <c r="I15" s="18"/>
      <c r="J15" s="37"/>
      <c r="K15" s="37"/>
      <c r="R15" s="62"/>
    </row>
    <row r="16" ht="15.75" hidden="1" customHeight="1">
      <c r="E16" s="231"/>
      <c r="J16" s="62"/>
      <c r="K16" s="62"/>
      <c r="R16" s="62"/>
    </row>
    <row r="17" ht="15.75" hidden="1" customHeight="1">
      <c r="E17" s="231"/>
      <c r="J17" s="62"/>
      <c r="K17" s="62"/>
      <c r="R17" s="62"/>
    </row>
    <row r="18" ht="15.0" hidden="1" customHeight="1">
      <c r="E18" s="231"/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tr">
        <f>TEXT(DATE(VALUE(MID(A2,7,4)),VALUE(MID(A2,4,2)),VALUE(LEFT(A2,2)))+2,"dd/mm/yyyy")&amp;" 13h às 17h"</f>
        <v>02/04/2026 13h às 17h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1789</v>
      </c>
      <c r="C22" s="69" t="str">
        <f t="shared" ref="C22:C33" si="3">PROPER(TEXT(DATE(MID($A$20,7,4),MID($A$20,4,2),LEFT($A$20,2)),"dddd"))</f>
        <v>Quinta-Feira</v>
      </c>
      <c r="D22" s="445" t="str">
        <f>IF(C22&lt;&gt;"Quarta-Feira","13:00","08:00")</f>
        <v>13:00</v>
      </c>
      <c r="E22" s="219" t="s">
        <v>3001</v>
      </c>
      <c r="F22" s="127">
        <v>8.01440409857187E14</v>
      </c>
      <c r="G22" s="74" t="s">
        <v>3002</v>
      </c>
      <c r="H22" s="153">
        <v>9980.0</v>
      </c>
      <c r="I22" s="18" t="s">
        <v>41</v>
      </c>
      <c r="J22" s="127"/>
      <c r="K22" s="12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1713</v>
      </c>
      <c r="C23" s="69" t="str">
        <f t="shared" si="3"/>
        <v>Quinta-Feira</v>
      </c>
      <c r="D23" s="445" t="str">
        <f>IF(C23&lt;&gt;"Quarta-Feira","13:20","08:20")</f>
        <v>13:20</v>
      </c>
      <c r="E23" s="215" t="s">
        <v>2697</v>
      </c>
      <c r="F23" s="127">
        <v>8.98001497729477E14</v>
      </c>
      <c r="G23" s="74" t="s">
        <v>2698</v>
      </c>
      <c r="H23" s="153">
        <v>20935.0</v>
      </c>
      <c r="I23" s="18" t="s">
        <v>41</v>
      </c>
      <c r="J23" s="127"/>
      <c r="K23" s="127"/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1780</v>
      </c>
      <c r="C24" s="69" t="str">
        <f t="shared" si="3"/>
        <v>Quinta-Feira</v>
      </c>
      <c r="D24" s="445" t="str">
        <f>IF(C24&lt;&gt;"Quarta-Feira","13:40","08:40")</f>
        <v>13:40</v>
      </c>
      <c r="E24" s="215" t="s">
        <v>3003</v>
      </c>
      <c r="F24" s="127">
        <v>8.98001449545965E14</v>
      </c>
      <c r="G24" s="74" t="s">
        <v>3004</v>
      </c>
      <c r="H24" s="153">
        <v>28978.0</v>
      </c>
      <c r="I24" s="18" t="s">
        <v>2566</v>
      </c>
      <c r="J24" s="127"/>
      <c r="K24" s="127"/>
      <c r="L24" s="197" t="s">
        <v>520</v>
      </c>
      <c r="N24" s="240" t="s">
        <v>41</v>
      </c>
      <c r="O24" s="241" t="s">
        <v>2566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1720</v>
      </c>
      <c r="C25" s="69" t="str">
        <f t="shared" si="3"/>
        <v>Quinta-Feira</v>
      </c>
      <c r="D25" s="445" t="str">
        <f>IF(C25&lt;&gt;"Quarta-Feira","14:00","09:00")</f>
        <v>14:00</v>
      </c>
      <c r="E25" s="214" t="s">
        <v>2701</v>
      </c>
      <c r="F25" s="127">
        <v>7.09009898001915E14</v>
      </c>
      <c r="G25" s="74" t="s">
        <v>2702</v>
      </c>
      <c r="H25" s="153">
        <v>18936.0</v>
      </c>
      <c r="I25" s="18" t="s">
        <v>41</v>
      </c>
      <c r="J25" s="127"/>
      <c r="K25" s="127"/>
      <c r="L25" s="197" t="s">
        <v>520</v>
      </c>
      <c r="N25" s="244">
        <f t="shared" ref="N25:Q25" si="4">COUNTIFS($I$22:$I$33,N24)</f>
        <v>10</v>
      </c>
      <c r="O25" s="244">
        <f t="shared" si="4"/>
        <v>1</v>
      </c>
      <c r="P25" s="244">
        <f t="shared" si="4"/>
        <v>0</v>
      </c>
      <c r="Q25" s="244">
        <f t="shared" si="4"/>
        <v>1</v>
      </c>
      <c r="R25" s="62"/>
    </row>
    <row r="26" ht="18.0" customHeight="1">
      <c r="A26" s="11" t="s">
        <v>14</v>
      </c>
      <c r="B26" s="205" t="s">
        <v>1795</v>
      </c>
      <c r="C26" s="69" t="str">
        <f t="shared" si="3"/>
        <v>Quinta-Feira</v>
      </c>
      <c r="D26" s="445" t="str">
        <f>IF(C26&lt;&gt;"Quarta-Feira","14:20","09:20")</f>
        <v>14:20</v>
      </c>
      <c r="E26" s="247" t="s">
        <v>3005</v>
      </c>
      <c r="F26" s="127">
        <v>7.08400780558762E14</v>
      </c>
      <c r="G26" s="74" t="s">
        <v>3006</v>
      </c>
      <c r="H26" s="153">
        <v>20040.0</v>
      </c>
      <c r="I26" s="18" t="s">
        <v>2087</v>
      </c>
      <c r="J26" s="127"/>
      <c r="K26" s="127"/>
      <c r="L26" s="197" t="s">
        <v>520</v>
      </c>
      <c r="R26" s="62"/>
    </row>
    <row r="27" ht="15.75" customHeight="1">
      <c r="A27" s="11" t="s">
        <v>15</v>
      </c>
      <c r="B27" s="205" t="s">
        <v>1789</v>
      </c>
      <c r="C27" s="69" t="str">
        <f t="shared" si="3"/>
        <v>Quinta-Feira</v>
      </c>
      <c r="D27" s="445" t="str">
        <f>IF(C27&lt;&gt;"Quarta-Feira","14:40","09:40")</f>
        <v>14:40</v>
      </c>
      <c r="E27" s="247" t="s">
        <v>3007</v>
      </c>
      <c r="F27" s="127">
        <v>7.06307768355777E14</v>
      </c>
      <c r="G27" s="74" t="s">
        <v>3008</v>
      </c>
      <c r="H27" s="153">
        <v>22982.0</v>
      </c>
      <c r="I27" s="18" t="s">
        <v>41</v>
      </c>
      <c r="J27" s="127"/>
      <c r="K27" s="127"/>
      <c r="L27" s="197" t="s">
        <v>520</v>
      </c>
      <c r="R27" s="62"/>
    </row>
    <row r="28" ht="15.75" customHeight="1">
      <c r="A28" s="11" t="s">
        <v>16</v>
      </c>
      <c r="B28" s="205" t="s">
        <v>2652</v>
      </c>
      <c r="C28" s="69" t="str">
        <f t="shared" si="3"/>
        <v>Quinta-Feira</v>
      </c>
      <c r="D28" s="445" t="str">
        <f>IF(C28&lt;&gt;"Quarta-Feira","15:00","10:00")</f>
        <v>15:00</v>
      </c>
      <c r="E28" s="214" t="s">
        <v>3009</v>
      </c>
      <c r="F28" s="79">
        <v>7.08100537696333E14</v>
      </c>
      <c r="G28" s="74" t="s">
        <v>3010</v>
      </c>
      <c r="H28" s="78">
        <v>25057.0</v>
      </c>
      <c r="I28" s="18" t="s">
        <v>41</v>
      </c>
      <c r="J28" s="266"/>
      <c r="K28" s="127"/>
      <c r="L28" s="197" t="s">
        <v>520</v>
      </c>
      <c r="R28" s="62"/>
    </row>
    <row r="29" ht="15.75" customHeight="1">
      <c r="A29" s="11" t="s">
        <v>17</v>
      </c>
      <c r="B29" s="205" t="s">
        <v>2655</v>
      </c>
      <c r="C29" s="69" t="str">
        <f t="shared" si="3"/>
        <v>Quinta-Feira</v>
      </c>
      <c r="D29" s="445" t="str">
        <f>IF(C29&lt;&gt;"Quarta-Feira","15:20","10:20")</f>
        <v>15:20</v>
      </c>
      <c r="E29" s="215" t="s">
        <v>3011</v>
      </c>
      <c r="F29" s="127">
        <v>8.98000639297716E14</v>
      </c>
      <c r="G29" s="74" t="s">
        <v>3012</v>
      </c>
      <c r="H29" s="153">
        <v>14117.0</v>
      </c>
      <c r="I29" s="18" t="s">
        <v>41</v>
      </c>
      <c r="J29" s="127"/>
      <c r="K29" s="127"/>
      <c r="L29" s="197" t="s">
        <v>520</v>
      </c>
      <c r="R29" s="62"/>
    </row>
    <row r="30" ht="15.75" customHeight="1">
      <c r="A30" s="11" t="s">
        <v>85</v>
      </c>
      <c r="B30" s="205" t="s">
        <v>2658</v>
      </c>
      <c r="C30" s="69" t="str">
        <f t="shared" si="3"/>
        <v>Quinta-Feira</v>
      </c>
      <c r="D30" s="445" t="str">
        <f>IF(C30&lt;&gt;"Quarta-Feira","15:40","10:40")</f>
        <v>15:40</v>
      </c>
      <c r="E30" s="258" t="s">
        <v>3013</v>
      </c>
      <c r="F30" s="127">
        <v>7.04009848771864E14</v>
      </c>
      <c r="G30" s="74" t="s">
        <v>3014</v>
      </c>
      <c r="H30" s="153">
        <v>27575.0</v>
      </c>
      <c r="I30" s="18" t="s">
        <v>41</v>
      </c>
      <c r="J30" s="127"/>
      <c r="K30" s="127"/>
      <c r="L30" s="197" t="s">
        <v>520</v>
      </c>
      <c r="R30" s="62"/>
    </row>
    <row r="31" ht="15.75" customHeight="1">
      <c r="A31" s="11" t="s">
        <v>87</v>
      </c>
      <c r="B31" s="205" t="s">
        <v>1734</v>
      </c>
      <c r="C31" s="69" t="str">
        <f t="shared" si="3"/>
        <v>Quinta-Feira</v>
      </c>
      <c r="D31" s="445" t="str">
        <f>IF(C31&lt;&gt;"Quarta-Feira","16:00","11:00")</f>
        <v>16:00</v>
      </c>
      <c r="E31" s="218" t="s">
        <v>2756</v>
      </c>
      <c r="F31" s="127">
        <v>7.00600454324366E14</v>
      </c>
      <c r="G31" s="74" t="s">
        <v>2757</v>
      </c>
      <c r="H31" s="153">
        <v>20512.0</v>
      </c>
      <c r="I31" s="18" t="s">
        <v>41</v>
      </c>
      <c r="J31" s="127"/>
      <c r="K31" s="127"/>
      <c r="L31" s="197" t="s">
        <v>520</v>
      </c>
      <c r="R31" s="62"/>
    </row>
    <row r="32" ht="15.75" customHeight="1">
      <c r="A32" s="11" t="s">
        <v>90</v>
      </c>
      <c r="B32" s="205" t="s">
        <v>2658</v>
      </c>
      <c r="C32" s="69" t="str">
        <f t="shared" si="3"/>
        <v>Quinta-Feira</v>
      </c>
      <c r="D32" s="445" t="str">
        <f>IF(C32&lt;&gt;"Quarta-Feira","16:20","11:20")</f>
        <v>16:20</v>
      </c>
      <c r="E32" s="258" t="s">
        <v>3015</v>
      </c>
      <c r="F32" s="127">
        <v>7.00801448976585E14</v>
      </c>
      <c r="G32" s="74" t="s">
        <v>2660</v>
      </c>
      <c r="H32" s="153">
        <v>25738.0</v>
      </c>
      <c r="I32" s="18" t="s">
        <v>41</v>
      </c>
      <c r="J32" s="127"/>
      <c r="K32" s="127"/>
      <c r="L32" s="197" t="s">
        <v>520</v>
      </c>
      <c r="R32" s="62"/>
    </row>
    <row r="33" ht="15.75" customHeight="1">
      <c r="A33" s="11" t="s">
        <v>93</v>
      </c>
      <c r="B33" s="205" t="s">
        <v>1734</v>
      </c>
      <c r="C33" s="69" t="str">
        <f t="shared" si="3"/>
        <v>Quinta-Feira</v>
      </c>
      <c r="D33" s="445" t="str">
        <f>IF(C33&lt;&gt;"Quarta-Feira","16:40","11:40")</f>
        <v>16:40</v>
      </c>
      <c r="E33" s="258" t="s">
        <v>3016</v>
      </c>
      <c r="F33" s="127">
        <v>7.08104511825539E14</v>
      </c>
      <c r="G33" s="74" t="s">
        <v>3017</v>
      </c>
      <c r="H33" s="153">
        <v>24476.0</v>
      </c>
      <c r="I33" s="18" t="s">
        <v>41</v>
      </c>
      <c r="J33" s="127"/>
      <c r="K33" s="127"/>
      <c r="R33" s="62"/>
    </row>
    <row r="34" ht="15.75" customHeight="1">
      <c r="E34" s="231"/>
      <c r="J34" s="62"/>
      <c r="K34" s="62"/>
      <c r="R34" s="62"/>
    </row>
    <row r="35" ht="15.75" customHeight="1">
      <c r="E35" s="231"/>
      <c r="J35" s="62"/>
      <c r="K35" s="62"/>
      <c r="R35" s="62"/>
    </row>
    <row r="36" ht="15.75" customHeight="1">
      <c r="E36" s="231"/>
      <c r="J36" s="62"/>
      <c r="K36" s="62"/>
      <c r="R36" s="62"/>
    </row>
    <row r="37" ht="15.75" customHeight="1">
      <c r="A37" s="20" t="s">
        <v>18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4.75" customHeight="1">
      <c r="A38" s="21" t="str">
        <f>TEXT(DATE(VALUE(MID(A2,7,4)),VALUE(MID(A2,4,2)),VALUE(LEFT(A2,2)))+7,"dd/mm/yyyy")&amp;" 13h às 17h"</f>
        <v>07/04/2026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23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205" t="s">
        <v>2081</v>
      </c>
      <c r="C40" s="69" t="str">
        <f t="shared" ref="C40:C51" si="5">PROPER(TEXT(DATE(MID($A$38,7,4),MID($A$38,4,2),LEFT($A$38,2)),"dddd"))</f>
        <v>Terça-Feira</v>
      </c>
      <c r="D40" s="445" t="str">
        <f>IF(C40&lt;&gt;"Quarta-Feira","13:00","08:00")</f>
        <v>13:00</v>
      </c>
      <c r="E40" s="214" t="s">
        <v>3018</v>
      </c>
      <c r="F40" s="79">
        <v>7.0220916823921E14</v>
      </c>
      <c r="G40" s="74" t="s">
        <v>3019</v>
      </c>
      <c r="H40" s="72">
        <v>18710.0</v>
      </c>
      <c r="I40" s="30" t="s">
        <v>41</v>
      </c>
      <c r="J40" s="274"/>
      <c r="K40" s="274"/>
      <c r="L40" s="197" t="s">
        <v>520</v>
      </c>
      <c r="N40" s="237" t="s">
        <v>386</v>
      </c>
      <c r="O40" s="95"/>
      <c r="P40" s="95"/>
      <c r="Q40" s="95"/>
      <c r="R40" s="62"/>
    </row>
    <row r="41" ht="15.75" customHeight="1">
      <c r="A41" s="11" t="s">
        <v>11</v>
      </c>
      <c r="B41" s="205" t="s">
        <v>2083</v>
      </c>
      <c r="C41" s="69" t="str">
        <f t="shared" si="5"/>
        <v>Terça-Feira</v>
      </c>
      <c r="D41" s="445" t="str">
        <f>IF(C41&lt;&gt;"Quarta-Feira","13:20","08:20")</f>
        <v>13:20</v>
      </c>
      <c r="E41" s="214" t="s">
        <v>3020</v>
      </c>
      <c r="F41" s="79">
        <v>7.04503356429518E14</v>
      </c>
      <c r="G41" s="74" t="s">
        <v>3021</v>
      </c>
      <c r="H41" s="72">
        <v>25058.0</v>
      </c>
      <c r="I41" s="30" t="s">
        <v>2566</v>
      </c>
      <c r="J41" s="274"/>
      <c r="K41" s="274"/>
      <c r="N41" s="239" t="s">
        <v>2085</v>
      </c>
      <c r="O41" s="2"/>
      <c r="P41" s="2"/>
      <c r="Q41" s="2"/>
      <c r="R41" s="62"/>
    </row>
    <row r="42" ht="15.75" customHeight="1">
      <c r="A42" s="11" t="s">
        <v>12</v>
      </c>
      <c r="B42" s="205" t="s">
        <v>2086</v>
      </c>
      <c r="C42" s="69" t="str">
        <f t="shared" si="5"/>
        <v>Terça-Feira</v>
      </c>
      <c r="D42" s="445" t="str">
        <f>IF(C42&lt;&gt;"Quarta-Feira","13:40","08:40")</f>
        <v>13:40</v>
      </c>
      <c r="E42" s="214" t="s">
        <v>639</v>
      </c>
      <c r="F42" s="79">
        <v>7.00900905129195E14</v>
      </c>
      <c r="G42" s="74" t="s">
        <v>3022</v>
      </c>
      <c r="H42" s="72">
        <v>17151.0</v>
      </c>
      <c r="I42" s="30" t="s">
        <v>41</v>
      </c>
      <c r="J42" s="336"/>
      <c r="K42" s="336"/>
      <c r="L42" s="197" t="s">
        <v>520</v>
      </c>
      <c r="N42" s="240" t="s">
        <v>41</v>
      </c>
      <c r="O42" s="241" t="s">
        <v>2566</v>
      </c>
      <c r="P42" s="241" t="s">
        <v>180</v>
      </c>
      <c r="Q42" s="242" t="s">
        <v>2087</v>
      </c>
      <c r="R42" s="62" t="s">
        <v>438</v>
      </c>
    </row>
    <row r="43" ht="15.75" customHeight="1">
      <c r="A43" s="11" t="s">
        <v>13</v>
      </c>
      <c r="B43" s="205" t="s">
        <v>2088</v>
      </c>
      <c r="C43" s="69" t="str">
        <f t="shared" si="5"/>
        <v>Terça-Feira</v>
      </c>
      <c r="D43" s="445" t="str">
        <f>IF(C43&lt;&gt;"Quarta-Feira","14:00","09:00")</f>
        <v>14:00</v>
      </c>
      <c r="E43" s="214" t="s">
        <v>3023</v>
      </c>
      <c r="F43" s="79">
        <v>7.08907748565912E14</v>
      </c>
      <c r="G43" s="74" t="s">
        <v>3024</v>
      </c>
      <c r="H43" s="72">
        <v>29634.0</v>
      </c>
      <c r="I43" s="30" t="s">
        <v>41</v>
      </c>
      <c r="J43" s="274"/>
      <c r="K43" s="274"/>
      <c r="L43" s="197" t="s">
        <v>520</v>
      </c>
      <c r="N43" s="244">
        <f t="shared" ref="N43:Q43" si="6">COUNTIFS($I$40:$I$51,N42)</f>
        <v>8</v>
      </c>
      <c r="O43" s="244">
        <f t="shared" si="6"/>
        <v>2</v>
      </c>
      <c r="P43" s="244">
        <f t="shared" si="6"/>
        <v>1</v>
      </c>
      <c r="Q43" s="244">
        <f t="shared" si="6"/>
        <v>1</v>
      </c>
      <c r="R43" s="62">
        <f>COUNTIFS(I40:I51,R42)</f>
        <v>0</v>
      </c>
    </row>
    <row r="44" ht="15.75" customHeight="1">
      <c r="A44" s="11" t="s">
        <v>14</v>
      </c>
      <c r="B44" s="205" t="s">
        <v>2081</v>
      </c>
      <c r="C44" s="69" t="str">
        <f t="shared" si="5"/>
        <v>Terça-Feira</v>
      </c>
      <c r="D44" s="445" t="str">
        <f>IF(C44&lt;&gt;"Quarta-Feira","14:20","09:20")</f>
        <v>14:20</v>
      </c>
      <c r="E44" s="214" t="s">
        <v>3025</v>
      </c>
      <c r="F44" s="79">
        <v>8.98001445778957E14</v>
      </c>
      <c r="G44" s="121" t="s">
        <v>3026</v>
      </c>
      <c r="H44" s="72">
        <v>22059.0</v>
      </c>
      <c r="I44" s="18" t="s">
        <v>2566</v>
      </c>
      <c r="J44" s="274"/>
      <c r="K44" s="274"/>
      <c r="L44" s="197" t="s">
        <v>520</v>
      </c>
      <c r="R44" s="62"/>
    </row>
    <row r="45" ht="15.75" customHeight="1">
      <c r="A45" s="11" t="s">
        <v>15</v>
      </c>
      <c r="B45" s="205" t="s">
        <v>2088</v>
      </c>
      <c r="C45" s="69" t="str">
        <f t="shared" si="5"/>
        <v>Terça-Feira</v>
      </c>
      <c r="D45" s="445" t="str">
        <f>IF(C45&lt;&gt;"Quarta-Feira","14:40","09:40")</f>
        <v>14:40</v>
      </c>
      <c r="E45" s="214" t="s">
        <v>3027</v>
      </c>
      <c r="F45" s="79">
        <v>7.04201284924284E14</v>
      </c>
      <c r="G45" s="74" t="s">
        <v>3028</v>
      </c>
      <c r="H45" s="72">
        <v>26024.0</v>
      </c>
      <c r="I45" s="30" t="s">
        <v>41</v>
      </c>
      <c r="J45" s="274"/>
      <c r="K45" s="274"/>
      <c r="L45" s="197" t="s">
        <v>520</v>
      </c>
      <c r="R45" s="62"/>
    </row>
    <row r="46" ht="15.75" customHeight="1">
      <c r="A46" s="11" t="s">
        <v>16</v>
      </c>
      <c r="B46" s="205" t="s">
        <v>2092</v>
      </c>
      <c r="C46" s="69" t="str">
        <f t="shared" si="5"/>
        <v>Terça-Feira</v>
      </c>
      <c r="D46" s="445" t="str">
        <f>IF(C46&lt;&gt;"Quarta-Feira","15:00","10:00")</f>
        <v>15:00</v>
      </c>
      <c r="E46" s="214" t="s">
        <v>3029</v>
      </c>
      <c r="F46" s="79">
        <v>8.01440483761619E14</v>
      </c>
      <c r="G46" s="121" t="s">
        <v>3030</v>
      </c>
      <c r="H46" s="72">
        <v>25480.0</v>
      </c>
      <c r="I46" s="18" t="s">
        <v>41</v>
      </c>
      <c r="J46" s="336"/>
      <c r="K46" s="274"/>
      <c r="R46" s="62"/>
    </row>
    <row r="47" ht="15.75" customHeight="1">
      <c r="A47" s="11" t="s">
        <v>17</v>
      </c>
      <c r="B47" s="205" t="s">
        <v>2093</v>
      </c>
      <c r="C47" s="69" t="str">
        <f t="shared" si="5"/>
        <v>Terça-Feira</v>
      </c>
      <c r="D47" s="445" t="str">
        <f>IF(C47&lt;&gt;"Quarta-Feira","15:20","10:20")</f>
        <v>15:20</v>
      </c>
      <c r="E47" s="214" t="s">
        <v>3031</v>
      </c>
      <c r="F47" s="79">
        <v>2.10150886290006E14</v>
      </c>
      <c r="G47" s="74" t="s">
        <v>3032</v>
      </c>
      <c r="H47" s="72">
        <v>17449.0</v>
      </c>
      <c r="I47" s="18" t="s">
        <v>41</v>
      </c>
      <c r="J47" s="336"/>
      <c r="K47" s="336"/>
      <c r="R47" s="62"/>
    </row>
    <row r="48" ht="15.75" customHeight="1">
      <c r="A48" s="11" t="s">
        <v>85</v>
      </c>
      <c r="B48" s="205" t="s">
        <v>2094</v>
      </c>
      <c r="C48" s="69" t="str">
        <f t="shared" si="5"/>
        <v>Terça-Feira</v>
      </c>
      <c r="D48" s="445" t="str">
        <f>IF(C48&lt;&gt;"Quarta-Feira","15:40","10:40")</f>
        <v>15:40</v>
      </c>
      <c r="E48" s="214" t="s">
        <v>2770</v>
      </c>
      <c r="F48" s="79">
        <v>7.0610602326446E14</v>
      </c>
      <c r="G48" s="74" t="s">
        <v>2771</v>
      </c>
      <c r="H48" s="72">
        <v>21855.0</v>
      </c>
      <c r="I48" s="30" t="s">
        <v>41</v>
      </c>
      <c r="J48" s="274"/>
      <c r="K48" s="274"/>
      <c r="L48" s="197" t="s">
        <v>576</v>
      </c>
      <c r="R48" s="62"/>
    </row>
    <row r="49" ht="15.75" customHeight="1">
      <c r="A49" s="11" t="s">
        <v>87</v>
      </c>
      <c r="B49" s="205" t="s">
        <v>2095</v>
      </c>
      <c r="C49" s="69" t="str">
        <f t="shared" si="5"/>
        <v>Terça-Feira</v>
      </c>
      <c r="D49" s="445" t="str">
        <f>IF(C49&lt;&gt;"Quarta-Feira","16:00","11:00")</f>
        <v>16:00</v>
      </c>
      <c r="E49" s="214" t="s">
        <v>3033</v>
      </c>
      <c r="F49" s="79">
        <v>2.01539090260001E14</v>
      </c>
      <c r="G49" s="74" t="s">
        <v>3034</v>
      </c>
      <c r="H49" s="72">
        <v>20612.0</v>
      </c>
      <c r="I49" s="18" t="s">
        <v>2087</v>
      </c>
      <c r="J49" s="336"/>
      <c r="K49" s="274"/>
      <c r="R49" s="62"/>
    </row>
    <row r="50" ht="15.75" customHeight="1">
      <c r="A50" s="11" t="s">
        <v>90</v>
      </c>
      <c r="B50" s="205" t="s">
        <v>2097</v>
      </c>
      <c r="C50" s="69" t="str">
        <f t="shared" si="5"/>
        <v>Terça-Feira</v>
      </c>
      <c r="D50" s="445" t="str">
        <f>IF(C50&lt;&gt;"Quarta-Feira","16:20","11:20")</f>
        <v>16:20</v>
      </c>
      <c r="E50" s="214" t="s">
        <v>3035</v>
      </c>
      <c r="F50" s="79">
        <v>7.05402401467892E14</v>
      </c>
      <c r="G50" s="74" t="s">
        <v>3036</v>
      </c>
      <c r="H50" s="274">
        <v>22171.0</v>
      </c>
      <c r="I50" s="18" t="s">
        <v>41</v>
      </c>
      <c r="J50" s="274"/>
      <c r="K50" s="274"/>
      <c r="R50" s="62"/>
    </row>
    <row r="51" ht="15.75" customHeight="1">
      <c r="A51" s="11" t="s">
        <v>93</v>
      </c>
      <c r="B51" s="205" t="s">
        <v>2095</v>
      </c>
      <c r="C51" s="69" t="str">
        <f t="shared" si="5"/>
        <v>Terça-Feira</v>
      </c>
      <c r="D51" s="445" t="str">
        <f>IF(C51&lt;&gt;"Quarta-Feira","16:40","11:40")</f>
        <v>16:40</v>
      </c>
      <c r="E51" s="214"/>
      <c r="F51" s="79"/>
      <c r="G51" s="74"/>
      <c r="H51" s="274"/>
      <c r="I51" s="18" t="s">
        <v>180</v>
      </c>
      <c r="J51" s="336"/>
      <c r="K51" s="274"/>
      <c r="R51" s="62"/>
    </row>
    <row r="52" ht="15.75" customHeight="1">
      <c r="E52" s="231"/>
      <c r="J52" s="62"/>
      <c r="K52" s="62"/>
      <c r="R52" s="62"/>
    </row>
    <row r="53" ht="15.75" customHeight="1">
      <c r="E53" s="231"/>
      <c r="J53" s="62"/>
      <c r="K53" s="62"/>
      <c r="R53" s="62"/>
    </row>
    <row r="54" ht="15.75" customHeight="1">
      <c r="E54" s="231"/>
      <c r="J54" s="62"/>
      <c r="K54" s="62"/>
      <c r="R54" s="62"/>
    </row>
    <row r="55" ht="15.75" customHeight="1">
      <c r="A55" s="20" t="s">
        <v>18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09/04/2026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23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205" t="s">
        <v>1789</v>
      </c>
      <c r="C58" s="69" t="str">
        <f t="shared" ref="C58:C69" si="7">PROPER(TEXT(DATE(MID($A$56,7,4),MID($A$56,4,2),LEFT($A$56,2)),"dddd"))</f>
        <v>Quinta-Feira</v>
      </c>
      <c r="D58" s="445" t="str">
        <f>IF(C58&lt;&gt;"Quarta-Feira","13:00","08:00")</f>
        <v>13:00</v>
      </c>
      <c r="E58" s="214" t="s">
        <v>3037</v>
      </c>
      <c r="F58" s="206">
        <v>7.00708980481673E14</v>
      </c>
      <c r="G58" s="148" t="s">
        <v>3038</v>
      </c>
      <c r="H58" s="150">
        <v>16695.0</v>
      </c>
      <c r="I58" s="18" t="s">
        <v>41</v>
      </c>
      <c r="J58" s="212"/>
      <c r="K58" s="212"/>
      <c r="L58" s="197" t="s">
        <v>520</v>
      </c>
      <c r="N58" s="237" t="s">
        <v>386</v>
      </c>
      <c r="O58" s="95"/>
      <c r="P58" s="95"/>
      <c r="Q58" s="95"/>
      <c r="R58" s="62"/>
    </row>
    <row r="59" ht="15.75" customHeight="1">
      <c r="A59" s="11" t="s">
        <v>11</v>
      </c>
      <c r="B59" s="205" t="s">
        <v>1713</v>
      </c>
      <c r="C59" s="69" t="str">
        <f t="shared" si="7"/>
        <v>Quinta-Feira</v>
      </c>
      <c r="D59" s="445" t="str">
        <f>IF(C59&lt;&gt;"Quarta-Feira","13:20","08:20")</f>
        <v>13:20</v>
      </c>
      <c r="E59" s="214" t="s">
        <v>3039</v>
      </c>
      <c r="F59" s="206">
        <v>8.01440421334822E14</v>
      </c>
      <c r="G59" s="148" t="s">
        <v>3040</v>
      </c>
      <c r="H59" s="150">
        <v>29170.0</v>
      </c>
      <c r="I59" s="18" t="s">
        <v>41</v>
      </c>
      <c r="J59" s="212"/>
      <c r="K59" s="212"/>
      <c r="N59" s="239" t="s">
        <v>2085</v>
      </c>
      <c r="O59" s="2"/>
      <c r="P59" s="2"/>
      <c r="Q59" s="2"/>
      <c r="R59" s="62"/>
    </row>
    <row r="60" ht="15.75" customHeight="1">
      <c r="A60" s="11" t="s">
        <v>12</v>
      </c>
      <c r="B60" s="205" t="s">
        <v>1780</v>
      </c>
      <c r="C60" s="69" t="str">
        <f t="shared" si="7"/>
        <v>Quinta-Feira</v>
      </c>
      <c r="D60" s="445" t="str">
        <f>IF(C60&lt;&gt;"Quarta-Feira","13:40","08:40")</f>
        <v>13:40</v>
      </c>
      <c r="E60" s="214" t="s">
        <v>3041</v>
      </c>
      <c r="F60" s="197">
        <v>7.02408078830723E14</v>
      </c>
      <c r="G60" s="148" t="s">
        <v>3042</v>
      </c>
      <c r="H60" s="150">
        <v>27030.0</v>
      </c>
      <c r="I60" s="18" t="s">
        <v>41</v>
      </c>
      <c r="J60" s="212"/>
      <c r="K60" s="212"/>
      <c r="L60" s="197" t="s">
        <v>520</v>
      </c>
      <c r="N60" s="240" t="s">
        <v>41</v>
      </c>
      <c r="O60" s="241" t="s">
        <v>2566</v>
      </c>
      <c r="P60" s="241" t="s">
        <v>180</v>
      </c>
      <c r="Q60" s="241" t="s">
        <v>2087</v>
      </c>
      <c r="R60" s="62"/>
    </row>
    <row r="61" ht="15.75" customHeight="1">
      <c r="A61" s="11" t="s">
        <v>13</v>
      </c>
      <c r="B61" s="205" t="s">
        <v>1720</v>
      </c>
      <c r="C61" s="69" t="str">
        <f t="shared" si="7"/>
        <v>Quinta-Feira</v>
      </c>
      <c r="D61" s="445" t="str">
        <f>IF(C61&lt;&gt;"Quarta-Feira","14:00","09:00")</f>
        <v>14:00</v>
      </c>
      <c r="E61" s="214" t="s">
        <v>3043</v>
      </c>
      <c r="F61" s="206">
        <v>8.98001455206328E14</v>
      </c>
      <c r="G61" s="148" t="s">
        <v>3044</v>
      </c>
      <c r="H61" s="150">
        <v>17297.0</v>
      </c>
      <c r="I61" s="18" t="s">
        <v>41</v>
      </c>
      <c r="J61" s="212"/>
      <c r="K61" s="212"/>
      <c r="L61" s="197" t="s">
        <v>520</v>
      </c>
      <c r="N61" s="244">
        <f t="shared" ref="N61:Q61" si="8">COUNTIFS($I$58:$I$69,N60)</f>
        <v>11</v>
      </c>
      <c r="O61" s="244">
        <f t="shared" si="8"/>
        <v>0</v>
      </c>
      <c r="P61" s="244">
        <f t="shared" si="8"/>
        <v>0</v>
      </c>
      <c r="Q61" s="244">
        <f t="shared" si="8"/>
        <v>0</v>
      </c>
      <c r="R61" s="62"/>
    </row>
    <row r="62" ht="15.75" customHeight="1">
      <c r="A62" s="11" t="s">
        <v>14</v>
      </c>
      <c r="B62" s="205" t="s">
        <v>1795</v>
      </c>
      <c r="C62" s="69" t="str">
        <f t="shared" si="7"/>
        <v>Quinta-Feira</v>
      </c>
      <c r="D62" s="445" t="str">
        <f>IF(C62&lt;&gt;"Quarta-Feira","14:20","09:20")</f>
        <v>14:20</v>
      </c>
      <c r="E62" s="214" t="s">
        <v>3005</v>
      </c>
      <c r="F62" s="206">
        <v>7.08400780558762E14</v>
      </c>
      <c r="G62" s="148" t="s">
        <v>3006</v>
      </c>
      <c r="H62" s="150">
        <v>20040.0</v>
      </c>
      <c r="I62" s="18" t="s">
        <v>41</v>
      </c>
      <c r="J62" s="212"/>
      <c r="K62" s="212"/>
      <c r="R62" s="62"/>
    </row>
    <row r="63" ht="15.75" customHeight="1">
      <c r="A63" s="11" t="s">
        <v>15</v>
      </c>
      <c r="B63" s="205" t="s">
        <v>1789</v>
      </c>
      <c r="C63" s="69" t="str">
        <f t="shared" si="7"/>
        <v>Quinta-Feira</v>
      </c>
      <c r="D63" s="445" t="str">
        <f>IF(C63&lt;&gt;"Quarta-Feira","14:40","09:40")</f>
        <v>14:40</v>
      </c>
      <c r="E63" s="214" t="s">
        <v>3045</v>
      </c>
      <c r="F63" s="387">
        <v>7.04007838514867E14</v>
      </c>
      <c r="G63" s="148" t="s">
        <v>3046</v>
      </c>
      <c r="H63" s="150">
        <v>23706.0</v>
      </c>
      <c r="I63" s="18" t="s">
        <v>41</v>
      </c>
      <c r="J63" s="212"/>
      <c r="K63" s="212"/>
      <c r="L63" s="197" t="s">
        <v>520</v>
      </c>
      <c r="R63" s="62"/>
    </row>
    <row r="64" ht="15.75" customHeight="1">
      <c r="A64" s="11" t="s">
        <v>16</v>
      </c>
      <c r="B64" s="205" t="s">
        <v>2652</v>
      </c>
      <c r="C64" s="69" t="str">
        <f t="shared" si="7"/>
        <v>Quinta-Feira</v>
      </c>
      <c r="D64" s="445" t="str">
        <f>IF(C64&lt;&gt;"Quarta-Feira","15:00","10:00")</f>
        <v>15:00</v>
      </c>
      <c r="E64" s="214" t="s">
        <v>3047</v>
      </c>
      <c r="F64" s="206">
        <v>7.00005833291105E14</v>
      </c>
      <c r="G64" s="148" t="s">
        <v>3048</v>
      </c>
      <c r="H64" s="150">
        <v>23572.0</v>
      </c>
      <c r="I64" s="18" t="s">
        <v>41</v>
      </c>
      <c r="J64" s="212"/>
      <c r="K64" s="212"/>
      <c r="L64" s="197" t="s">
        <v>520</v>
      </c>
      <c r="R64" s="62"/>
    </row>
    <row r="65" ht="15.75" customHeight="1">
      <c r="A65" s="11" t="s">
        <v>17</v>
      </c>
      <c r="B65" s="205" t="s">
        <v>2655</v>
      </c>
      <c r="C65" s="69" t="str">
        <f t="shared" si="7"/>
        <v>Quinta-Feira</v>
      </c>
      <c r="D65" s="445" t="str">
        <f>IF(C65&lt;&gt;"Quarta-Feira","15:20","10:20")</f>
        <v>15:20</v>
      </c>
      <c r="E65" s="214" t="s">
        <v>3049</v>
      </c>
      <c r="F65" s="206">
        <v>7.04308582053899E14</v>
      </c>
      <c r="G65" s="148" t="s">
        <v>3050</v>
      </c>
      <c r="H65" s="150">
        <v>13485.0</v>
      </c>
      <c r="I65" s="18" t="s">
        <v>41</v>
      </c>
      <c r="J65" s="212"/>
      <c r="K65" s="212"/>
      <c r="L65" s="197" t="s">
        <v>520</v>
      </c>
      <c r="R65" s="62"/>
    </row>
    <row r="66" ht="15.75" customHeight="1">
      <c r="A66" s="11" t="s">
        <v>85</v>
      </c>
      <c r="B66" s="205" t="s">
        <v>2658</v>
      </c>
      <c r="C66" s="69" t="str">
        <f t="shared" si="7"/>
        <v>Quinta-Feira</v>
      </c>
      <c r="D66" s="445" t="str">
        <f>IF(C66&lt;&gt;"Quarta-Feira","15:40","10:40")</f>
        <v>15:40</v>
      </c>
      <c r="E66" s="214" t="s">
        <v>3051</v>
      </c>
      <c r="F66" s="206">
        <v>7.08602577974889E14</v>
      </c>
      <c r="G66" s="148" t="s">
        <v>3052</v>
      </c>
      <c r="H66" s="150">
        <v>15460.0</v>
      </c>
      <c r="I66" s="18" t="s">
        <v>41</v>
      </c>
      <c r="J66" s="212"/>
      <c r="K66" s="212"/>
      <c r="R66" s="62"/>
    </row>
    <row r="67" ht="15.75" customHeight="1">
      <c r="A67" s="11" t="s">
        <v>87</v>
      </c>
      <c r="B67" s="205" t="s">
        <v>1734</v>
      </c>
      <c r="C67" s="69" t="str">
        <f t="shared" si="7"/>
        <v>Quinta-Feira</v>
      </c>
      <c r="D67" s="445" t="str">
        <f>IF(C67&lt;&gt;"Quarta-Feira","16:00","11:00")</f>
        <v>16:00</v>
      </c>
      <c r="E67" s="214" t="s">
        <v>3053</v>
      </c>
      <c r="F67" s="206">
        <v>7.06405679097184E14</v>
      </c>
      <c r="G67" s="148" t="s">
        <v>3054</v>
      </c>
      <c r="H67" s="150">
        <v>24539.0</v>
      </c>
      <c r="I67" s="18" t="s">
        <v>41</v>
      </c>
      <c r="J67" s="212"/>
      <c r="K67" s="212"/>
      <c r="L67" s="197" t="s">
        <v>520</v>
      </c>
      <c r="R67" s="62"/>
    </row>
    <row r="68" ht="15.75" customHeight="1">
      <c r="A68" s="11" t="s">
        <v>90</v>
      </c>
      <c r="B68" s="205" t="s">
        <v>2658</v>
      </c>
      <c r="C68" s="69" t="str">
        <f t="shared" si="7"/>
        <v>Quinta-Feira</v>
      </c>
      <c r="D68" s="445" t="str">
        <f>IF(C68&lt;&gt;"Quarta-Feira","16:20","11:20")</f>
        <v>16:20</v>
      </c>
      <c r="E68" s="214" t="s">
        <v>2754</v>
      </c>
      <c r="F68" s="206">
        <v>7.02601290370449E14</v>
      </c>
      <c r="G68" s="148" t="s">
        <v>2755</v>
      </c>
      <c r="H68" s="150">
        <v>26242.0</v>
      </c>
      <c r="I68" s="18" t="s">
        <v>41</v>
      </c>
      <c r="J68" s="212"/>
      <c r="K68" s="212"/>
      <c r="R68" s="62"/>
    </row>
    <row r="69" ht="15.75" customHeight="1">
      <c r="A69" s="11" t="s">
        <v>93</v>
      </c>
      <c r="B69" s="205" t="s">
        <v>1734</v>
      </c>
      <c r="C69" s="69" t="str">
        <f t="shared" si="7"/>
        <v>Quinta-Feira</v>
      </c>
      <c r="D69" s="445" t="str">
        <f>IF(C69&lt;&gt;"Quarta-Feira","16:40","11:40")</f>
        <v>16:40</v>
      </c>
      <c r="E69" s="214" t="s">
        <v>3055</v>
      </c>
      <c r="F69" s="206">
        <v>7.04506377619912E14</v>
      </c>
      <c r="G69" s="148" t="s">
        <v>3056</v>
      </c>
      <c r="H69" s="150">
        <v>33760.0</v>
      </c>
      <c r="I69" s="18"/>
      <c r="J69" s="212"/>
      <c r="K69" s="212"/>
      <c r="R69" s="62"/>
    </row>
    <row r="70" ht="15.75" customHeight="1">
      <c r="E70" s="231"/>
      <c r="G70" s="197"/>
      <c r="J70" s="62"/>
      <c r="K70" s="62"/>
      <c r="R70" s="62"/>
    </row>
    <row r="71" ht="15.75" customHeight="1">
      <c r="E71" s="231"/>
      <c r="J71" s="62"/>
      <c r="K71" s="62"/>
      <c r="R71" s="62"/>
    </row>
    <row r="72" ht="15.75" customHeight="1">
      <c r="E72" s="231"/>
      <c r="J72" s="62"/>
      <c r="K72" s="62"/>
      <c r="R72" s="62"/>
    </row>
    <row r="73" ht="15.75" customHeight="1">
      <c r="A73" s="350" t="s">
        <v>18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TEXT(DATE(VALUE(MID(A38,7,4)),VALUE(MID(A38,4,2)),VALUE(LEFT(A38,2)))+7,"dd/mm/yyyy")&amp;" 13h às 17h"</f>
        <v>14/04/2026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410"/>
      <c r="B75" s="411" t="s">
        <v>3</v>
      </c>
      <c r="C75" s="412" t="s">
        <v>2</v>
      </c>
      <c r="D75" s="413" t="s">
        <v>5</v>
      </c>
      <c r="E75" s="461" t="s">
        <v>19</v>
      </c>
      <c r="F75" s="413" t="s">
        <v>6</v>
      </c>
      <c r="G75" s="414" t="s">
        <v>7</v>
      </c>
      <c r="H75" s="415" t="s">
        <v>8</v>
      </c>
      <c r="I75" s="416" t="s">
        <v>20</v>
      </c>
      <c r="J75" s="413" t="s">
        <v>21</v>
      </c>
      <c r="K75" s="413" t="s">
        <v>22</v>
      </c>
      <c r="R75" s="62"/>
    </row>
    <row r="76" ht="15.75" customHeight="1">
      <c r="A76" s="417" t="s">
        <v>10</v>
      </c>
      <c r="B76" s="205" t="s">
        <v>2081</v>
      </c>
      <c r="C76" s="206" t="str">
        <f t="shared" ref="C76:C87" si="9">PROPER(TEXT(DATE(MID($A$74,7,4),MID($A$74,4,2),LEFT($A$74,2)),"dddd"))</f>
        <v>Terça-Feira</v>
      </c>
      <c r="D76" s="445" t="str">
        <f>IF(C76&lt;&gt;"Quarta-Feira","13:00","08:00")</f>
        <v>13:00</v>
      </c>
      <c r="E76" s="418" t="s">
        <v>3057</v>
      </c>
      <c r="F76" s="127">
        <v>7.00009827796407E14</v>
      </c>
      <c r="G76" s="186" t="s">
        <v>3058</v>
      </c>
      <c r="H76" s="153">
        <v>19441.0</v>
      </c>
      <c r="I76" s="29" t="s">
        <v>41</v>
      </c>
      <c r="J76" s="289"/>
      <c r="K76" s="289"/>
      <c r="N76" s="237" t="s">
        <v>386</v>
      </c>
      <c r="O76" s="95"/>
      <c r="P76" s="95"/>
      <c r="Q76" s="95"/>
      <c r="R76" s="62"/>
    </row>
    <row r="77" ht="15.75" customHeight="1">
      <c r="A77" s="417" t="s">
        <v>11</v>
      </c>
      <c r="B77" s="205" t="s">
        <v>2083</v>
      </c>
      <c r="C77" s="206" t="str">
        <f t="shared" si="9"/>
        <v>Terça-Feira</v>
      </c>
      <c r="D77" s="445" t="str">
        <f>IF(C77&lt;&gt;"Quarta-Feira","13:20","08:20")</f>
        <v>13:20</v>
      </c>
      <c r="E77" s="419" t="s">
        <v>3059</v>
      </c>
      <c r="F77" s="127">
        <v>7.00506912838154E14</v>
      </c>
      <c r="G77" s="186" t="s">
        <v>3060</v>
      </c>
      <c r="H77" s="153">
        <v>29019.0</v>
      </c>
      <c r="I77" s="29" t="s">
        <v>41</v>
      </c>
      <c r="J77" s="289"/>
      <c r="K77" s="289"/>
      <c r="N77" s="239" t="s">
        <v>2085</v>
      </c>
      <c r="O77" s="2"/>
      <c r="P77" s="2"/>
      <c r="Q77" s="2"/>
      <c r="R77" s="62"/>
    </row>
    <row r="78" ht="15.75" customHeight="1">
      <c r="A78" s="417" t="s">
        <v>12</v>
      </c>
      <c r="B78" s="205" t="s">
        <v>2086</v>
      </c>
      <c r="C78" s="206" t="str">
        <f t="shared" si="9"/>
        <v>Terça-Feira</v>
      </c>
      <c r="D78" s="445" t="str">
        <f>IF(C78&lt;&gt;"Quarta-Feira","13:40","08:40")</f>
        <v>13:40</v>
      </c>
      <c r="E78" s="418" t="s">
        <v>3061</v>
      </c>
      <c r="F78" s="127">
        <v>7.00704970842777E14</v>
      </c>
      <c r="G78" s="186" t="s">
        <v>1251</v>
      </c>
      <c r="H78" s="153">
        <v>13386.0</v>
      </c>
      <c r="I78" s="29" t="s">
        <v>41</v>
      </c>
      <c r="J78" s="289"/>
      <c r="K78" s="289"/>
      <c r="N78" s="240" t="s">
        <v>41</v>
      </c>
      <c r="O78" s="241" t="s">
        <v>194</v>
      </c>
      <c r="P78" s="241" t="s">
        <v>180</v>
      </c>
      <c r="Q78" s="242" t="s">
        <v>2087</v>
      </c>
      <c r="R78" s="62"/>
    </row>
    <row r="79" ht="15.75" customHeight="1">
      <c r="A79" s="417" t="s">
        <v>13</v>
      </c>
      <c r="B79" s="205" t="s">
        <v>2088</v>
      </c>
      <c r="C79" s="206" t="str">
        <f t="shared" si="9"/>
        <v>Terça-Feira</v>
      </c>
      <c r="D79" s="445" t="str">
        <f>IF(C79&lt;&gt;"Quarta-Feira","14:00","09:00")</f>
        <v>14:00</v>
      </c>
      <c r="E79" s="418" t="s">
        <v>3062</v>
      </c>
      <c r="F79" s="127">
        <v>7.00607943961667E14</v>
      </c>
      <c r="G79" s="186" t="s">
        <v>3063</v>
      </c>
      <c r="H79" s="153">
        <v>22560.0</v>
      </c>
      <c r="I79" s="29" t="s">
        <v>41</v>
      </c>
      <c r="J79" s="289"/>
      <c r="K79" s="289"/>
      <c r="N79" s="244">
        <f t="shared" ref="N79:Q79" si="10">COUNTIFS($I$76:$I$87,N78)</f>
        <v>11</v>
      </c>
      <c r="O79" s="244">
        <f t="shared" si="10"/>
        <v>0</v>
      </c>
      <c r="P79" s="244">
        <f t="shared" si="10"/>
        <v>1</v>
      </c>
      <c r="Q79" s="244">
        <f t="shared" si="10"/>
        <v>0</v>
      </c>
      <c r="R79" s="62"/>
    </row>
    <row r="80" ht="15.75" customHeight="1">
      <c r="A80" s="417" t="s">
        <v>14</v>
      </c>
      <c r="B80" s="205" t="s">
        <v>2081</v>
      </c>
      <c r="C80" s="206" t="str">
        <f t="shared" si="9"/>
        <v>Terça-Feira</v>
      </c>
      <c r="D80" s="445" t="str">
        <f>IF(C80&lt;&gt;"Quarta-Feira","14:20","09:20")</f>
        <v>14:20</v>
      </c>
      <c r="E80" s="420" t="s">
        <v>3064</v>
      </c>
      <c r="F80" s="127">
        <v>7.0050731959585E14</v>
      </c>
      <c r="G80" s="186" t="s">
        <v>3065</v>
      </c>
      <c r="H80" s="156">
        <v>20297.0</v>
      </c>
      <c r="I80" s="29" t="s">
        <v>41</v>
      </c>
      <c r="J80" s="69"/>
      <c r="K80" s="289"/>
      <c r="R80" s="62"/>
    </row>
    <row r="81" ht="15.75" customHeight="1">
      <c r="A81" s="417" t="s">
        <v>15</v>
      </c>
      <c r="B81" s="205" t="s">
        <v>2088</v>
      </c>
      <c r="C81" s="206" t="str">
        <f t="shared" si="9"/>
        <v>Terça-Feira</v>
      </c>
      <c r="D81" s="445" t="str">
        <f>IF(C81&lt;&gt;"Quarta-Feira","14:40","09:40")</f>
        <v>14:40</v>
      </c>
      <c r="E81" s="420" t="s">
        <v>3066</v>
      </c>
      <c r="F81" s="127">
        <v>7.04600630427625E14</v>
      </c>
      <c r="G81" s="186" t="s">
        <v>3067</v>
      </c>
      <c r="H81" s="153">
        <v>24396.0</v>
      </c>
      <c r="I81" s="29" t="s">
        <v>41</v>
      </c>
      <c r="J81" s="289"/>
      <c r="K81" s="289"/>
      <c r="R81" s="62"/>
    </row>
    <row r="82" ht="15.75" customHeight="1">
      <c r="A82" s="417" t="s">
        <v>16</v>
      </c>
      <c r="B82" s="205" t="s">
        <v>2092</v>
      </c>
      <c r="C82" s="206" t="str">
        <f t="shared" si="9"/>
        <v>Terça-Feira</v>
      </c>
      <c r="D82" s="445" t="str">
        <f>IF(C82&lt;&gt;"Quarta-Feira","15:00","10:00")</f>
        <v>15:00</v>
      </c>
      <c r="E82" s="420" t="s">
        <v>3068</v>
      </c>
      <c r="F82" s="127">
        <v>8.98050052064052E14</v>
      </c>
      <c r="G82" s="186" t="s">
        <v>3069</v>
      </c>
      <c r="H82" s="153">
        <v>19887.0</v>
      </c>
      <c r="I82" s="29" t="s">
        <v>41</v>
      </c>
      <c r="J82" s="289"/>
      <c r="K82" s="289"/>
      <c r="R82" s="62"/>
    </row>
    <row r="83" ht="15.75" customHeight="1">
      <c r="A83" s="417" t="s">
        <v>17</v>
      </c>
      <c r="B83" s="205" t="s">
        <v>2093</v>
      </c>
      <c r="C83" s="206" t="str">
        <f t="shared" si="9"/>
        <v>Terça-Feira</v>
      </c>
      <c r="D83" s="445" t="str">
        <f>IF(C83&lt;&gt;"Quarta-Feira","15:20","10:20")</f>
        <v>15:20</v>
      </c>
      <c r="E83" s="420" t="s">
        <v>3070</v>
      </c>
      <c r="F83" s="127">
        <v>7.0500001995005E14</v>
      </c>
      <c r="G83" s="186" t="s">
        <v>3071</v>
      </c>
      <c r="H83" s="153">
        <v>32935.0</v>
      </c>
      <c r="I83" s="29" t="s">
        <v>41</v>
      </c>
      <c r="J83" s="289"/>
      <c r="K83" s="289"/>
      <c r="R83" s="62"/>
    </row>
    <row r="84" ht="16.5" customHeight="1">
      <c r="A84" s="417" t="s">
        <v>85</v>
      </c>
      <c r="B84" s="205" t="s">
        <v>2094</v>
      </c>
      <c r="C84" s="206" t="str">
        <f t="shared" si="9"/>
        <v>Terça-Feira</v>
      </c>
      <c r="D84" s="445" t="str">
        <f>IF(C84&lt;&gt;"Quarta-Feira","15:40","10:40")</f>
        <v>15:40</v>
      </c>
      <c r="E84" s="420" t="s">
        <v>3072</v>
      </c>
      <c r="F84" s="127">
        <v>7.04203780018689E14</v>
      </c>
      <c r="G84" s="186" t="s">
        <v>3073</v>
      </c>
      <c r="H84" s="153">
        <v>17849.0</v>
      </c>
      <c r="I84" s="29" t="s">
        <v>41</v>
      </c>
      <c r="J84" s="289"/>
      <c r="K84" s="289"/>
      <c r="R84" s="62"/>
    </row>
    <row r="85" ht="15.75" customHeight="1">
      <c r="A85" s="417" t="s">
        <v>87</v>
      </c>
      <c r="B85" s="205" t="s">
        <v>2095</v>
      </c>
      <c r="C85" s="206" t="str">
        <f t="shared" si="9"/>
        <v>Terça-Feira</v>
      </c>
      <c r="D85" s="445" t="str">
        <f>IF(C85&lt;&gt;"Quarta-Feira","16:00","11:00")</f>
        <v>16:00</v>
      </c>
      <c r="E85" s="418" t="s">
        <v>3074</v>
      </c>
      <c r="F85" s="127">
        <v>7.00001266905205E14</v>
      </c>
      <c r="G85" s="186" t="s">
        <v>3075</v>
      </c>
      <c r="H85" s="153">
        <v>12560.0</v>
      </c>
      <c r="I85" s="29" t="s">
        <v>41</v>
      </c>
      <c r="J85" s="289"/>
      <c r="K85" s="423"/>
      <c r="R85" s="62"/>
    </row>
    <row r="86" ht="15.75" customHeight="1">
      <c r="A86" s="417" t="s">
        <v>90</v>
      </c>
      <c r="B86" s="205" t="s">
        <v>2097</v>
      </c>
      <c r="C86" s="206" t="str">
        <f t="shared" si="9"/>
        <v>Terça-Feira</v>
      </c>
      <c r="D86" s="445" t="str">
        <f>IF(C86&lt;&gt;"Quarta-Feira","16:20","11:20")</f>
        <v>16:20</v>
      </c>
      <c r="E86" s="420" t="s">
        <v>3076</v>
      </c>
      <c r="F86" s="295">
        <v>7.05606411611416E14</v>
      </c>
      <c r="G86" s="186" t="s">
        <v>3077</v>
      </c>
      <c r="H86" s="462">
        <v>30480.0</v>
      </c>
      <c r="I86" s="29" t="s">
        <v>41</v>
      </c>
      <c r="J86" s="423"/>
      <c r="K86" s="423"/>
      <c r="R86" s="62"/>
    </row>
    <row r="87" ht="15.75" customHeight="1">
      <c r="A87" s="417" t="s">
        <v>93</v>
      </c>
      <c r="B87" s="205" t="s">
        <v>2095</v>
      </c>
      <c r="C87" s="206" t="str">
        <f t="shared" si="9"/>
        <v>Terça-Feira</v>
      </c>
      <c r="D87" s="445" t="str">
        <f>IF(C87&lt;&gt;"Quarta-Feira","16:40","11:40")</f>
        <v>16:40</v>
      </c>
      <c r="E87" s="418"/>
      <c r="F87" s="295"/>
      <c r="G87" s="423"/>
      <c r="H87" s="153"/>
      <c r="I87" s="29" t="s">
        <v>180</v>
      </c>
      <c r="J87" s="295"/>
      <c r="K87" s="339"/>
      <c r="R87" s="62"/>
    </row>
    <row r="88" ht="15.75" customHeight="1">
      <c r="E88" s="231"/>
      <c r="J88" s="62"/>
      <c r="K88" s="62"/>
      <c r="R88" s="62"/>
    </row>
    <row r="89" ht="15.75" customHeight="1">
      <c r="E89" s="231"/>
      <c r="J89" s="62"/>
      <c r="K89" s="62"/>
      <c r="R89" s="62"/>
    </row>
    <row r="90" ht="15.75" customHeight="1">
      <c r="E90" s="231"/>
      <c r="J90" s="62"/>
      <c r="K90" s="62"/>
      <c r="R90" s="62"/>
    </row>
    <row r="91" ht="15.75" customHeight="1">
      <c r="A91" s="20" t="s">
        <v>18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13h às 17h"</f>
        <v>16/04/2026 13h às 17h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23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5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1789</v>
      </c>
      <c r="C94" s="69" t="str">
        <f t="shared" ref="C94:C105" si="11">PROPER(TEXT(DATE(MID($A$92,7,4),MID($A$92,4,2),LEFT($A$92,2)),"dddd"))</f>
        <v>Quinta-Feira</v>
      </c>
      <c r="D94" s="445" t="str">
        <f>IF(C94&lt;&gt;"Quarta-Feira","13:00","08:00")</f>
        <v>13:00</v>
      </c>
      <c r="E94" s="218" t="s">
        <v>3078</v>
      </c>
      <c r="F94" s="149">
        <v>7.04306504697897E14</v>
      </c>
      <c r="G94" s="148" t="s">
        <v>3079</v>
      </c>
      <c r="H94" s="344">
        <v>19448.0</v>
      </c>
      <c r="I94" s="18" t="s">
        <v>41</v>
      </c>
      <c r="J94" s="212"/>
      <c r="K94" s="212"/>
      <c r="N94" s="237" t="s">
        <v>386</v>
      </c>
      <c r="O94" s="95"/>
      <c r="P94" s="95"/>
      <c r="Q94" s="95"/>
      <c r="R94" s="62"/>
    </row>
    <row r="95" ht="21.0" customHeight="1">
      <c r="A95" s="11" t="s">
        <v>11</v>
      </c>
      <c r="B95" s="205" t="s">
        <v>1713</v>
      </c>
      <c r="C95" s="69" t="str">
        <f t="shared" si="11"/>
        <v>Quinta-Feira</v>
      </c>
      <c r="D95" s="445" t="str">
        <f>IF(C95&lt;&gt;"Quarta-Feira","13:20","08:20")</f>
        <v>13:20</v>
      </c>
      <c r="E95" s="218"/>
      <c r="F95" s="425"/>
      <c r="G95" s="148"/>
      <c r="H95" s="437"/>
      <c r="I95" s="18"/>
      <c r="J95" s="212"/>
      <c r="K95" s="212"/>
      <c r="N95" s="239" t="s">
        <v>2085</v>
      </c>
      <c r="O95" s="2"/>
      <c r="P95" s="2"/>
      <c r="Q95" s="2"/>
      <c r="R95" s="62"/>
    </row>
    <row r="96" ht="15.75" customHeight="1">
      <c r="A96" s="11" t="s">
        <v>12</v>
      </c>
      <c r="B96" s="205" t="s">
        <v>1780</v>
      </c>
      <c r="C96" s="69" t="str">
        <f t="shared" si="11"/>
        <v>Quinta-Feira</v>
      </c>
      <c r="D96" s="445" t="str">
        <f>IF(C96&lt;&gt;"Quarta-Feira","13:40","08:40")</f>
        <v>13:40</v>
      </c>
      <c r="E96" s="218"/>
      <c r="F96" s="149"/>
      <c r="G96" s="148"/>
      <c r="H96" s="344"/>
      <c r="I96" s="18"/>
      <c r="J96" s="212"/>
      <c r="K96" s="212"/>
      <c r="N96" s="240" t="s">
        <v>41</v>
      </c>
      <c r="O96" s="241" t="s">
        <v>194</v>
      </c>
      <c r="P96" s="241" t="s">
        <v>180</v>
      </c>
      <c r="Q96" s="242" t="s">
        <v>2087</v>
      </c>
      <c r="R96" s="62"/>
    </row>
    <row r="97" ht="15.75" customHeight="1">
      <c r="A97" s="11" t="s">
        <v>13</v>
      </c>
      <c r="B97" s="205" t="s">
        <v>1720</v>
      </c>
      <c r="C97" s="69" t="str">
        <f t="shared" si="11"/>
        <v>Quinta-Feira</v>
      </c>
      <c r="D97" s="445" t="str">
        <f>IF(C97&lt;&gt;"Quarta-Feira","14:00","09:00")</f>
        <v>14:00</v>
      </c>
      <c r="E97" s="218" t="s">
        <v>3080</v>
      </c>
      <c r="F97" s="206">
        <v>7.034097558887E14</v>
      </c>
      <c r="G97" s="205" t="s">
        <v>3081</v>
      </c>
      <c r="H97" s="432">
        <v>18247.0</v>
      </c>
      <c r="I97" s="18" t="s">
        <v>41</v>
      </c>
      <c r="J97" s="212"/>
      <c r="K97" s="212"/>
      <c r="N97" s="244">
        <f t="shared" ref="N97:Q97" si="12">COUNTIFS($I$94:$I$105,N96)</f>
        <v>6</v>
      </c>
      <c r="O97" s="244">
        <f t="shared" si="12"/>
        <v>0</v>
      </c>
      <c r="P97" s="244">
        <f t="shared" si="12"/>
        <v>0</v>
      </c>
      <c r="Q97" s="244">
        <f t="shared" si="12"/>
        <v>0</v>
      </c>
      <c r="R97" s="62"/>
    </row>
    <row r="98" ht="15.75" customHeight="1">
      <c r="A98" s="11" t="s">
        <v>14</v>
      </c>
      <c r="B98" s="205" t="s">
        <v>1795</v>
      </c>
      <c r="C98" s="69" t="str">
        <f t="shared" si="11"/>
        <v>Quinta-Feira</v>
      </c>
      <c r="D98" s="445" t="str">
        <f>IF(C98&lt;&gt;"Quarta-Feira","14:20","09:20")</f>
        <v>14:20</v>
      </c>
      <c r="E98" s="218" t="s">
        <v>3082</v>
      </c>
      <c r="F98" s="149">
        <v>7.02503340150938E14</v>
      </c>
      <c r="G98" s="148" t="s">
        <v>3083</v>
      </c>
      <c r="H98" s="344">
        <v>26542.0</v>
      </c>
      <c r="I98" s="18" t="s">
        <v>2566</v>
      </c>
      <c r="J98" s="212"/>
      <c r="K98" s="212"/>
      <c r="R98" s="62"/>
    </row>
    <row r="99" ht="15.75" customHeight="1">
      <c r="A99" s="11" t="s">
        <v>15</v>
      </c>
      <c r="B99" s="205" t="s">
        <v>1789</v>
      </c>
      <c r="C99" s="69" t="str">
        <f t="shared" si="11"/>
        <v>Quinta-Feira</v>
      </c>
      <c r="D99" s="445" t="str">
        <f>IF(C99&lt;&gt;"Quarta-Feira","14:40","09:40")</f>
        <v>14:40</v>
      </c>
      <c r="E99" s="218" t="s">
        <v>3084</v>
      </c>
      <c r="F99" s="149">
        <v>7.09002808589512E14</v>
      </c>
      <c r="G99" s="148" t="s">
        <v>3085</v>
      </c>
      <c r="H99" s="344">
        <v>12389.0</v>
      </c>
      <c r="I99" s="18" t="s">
        <v>41</v>
      </c>
      <c r="J99" s="212"/>
      <c r="K99" s="212"/>
      <c r="R99" s="62"/>
    </row>
    <row r="100" ht="15.75" customHeight="1">
      <c r="A100" s="11" t="s">
        <v>16</v>
      </c>
      <c r="B100" s="205" t="s">
        <v>2652</v>
      </c>
      <c r="C100" s="69" t="str">
        <f t="shared" si="11"/>
        <v>Quinta-Feira</v>
      </c>
      <c r="D100" s="445" t="str">
        <f>IF(C100&lt;&gt;"Quarta-Feira","15:00","10:00")</f>
        <v>15:00</v>
      </c>
      <c r="E100" s="218" t="s">
        <v>3086</v>
      </c>
      <c r="F100" s="149">
        <v>7.02408007476625E14</v>
      </c>
      <c r="G100" s="148" t="s">
        <v>3087</v>
      </c>
      <c r="H100" s="344">
        <v>18394.0</v>
      </c>
      <c r="I100" s="18" t="s">
        <v>41</v>
      </c>
      <c r="J100" s="212"/>
      <c r="K100" s="212"/>
      <c r="R100" s="62"/>
    </row>
    <row r="101" ht="15.75" customHeight="1">
      <c r="A101" s="11" t="s">
        <v>17</v>
      </c>
      <c r="B101" s="205" t="s">
        <v>2655</v>
      </c>
      <c r="C101" s="69" t="str">
        <f t="shared" si="11"/>
        <v>Quinta-Feira</v>
      </c>
      <c r="D101" s="445" t="str">
        <f>IF(C101&lt;&gt;"Quarta-Feira","15:20","10:20")</f>
        <v>15:20</v>
      </c>
      <c r="E101" s="218" t="s">
        <v>3088</v>
      </c>
      <c r="F101" s="149">
        <v>7.02006365761784E14</v>
      </c>
      <c r="G101" s="148" t="s">
        <v>3089</v>
      </c>
      <c r="H101" s="344">
        <v>17521.0</v>
      </c>
      <c r="I101" s="18" t="s">
        <v>2566</v>
      </c>
      <c r="J101" s="212"/>
      <c r="K101" s="212"/>
      <c r="R101" s="62"/>
    </row>
    <row r="102" ht="15.75" customHeight="1">
      <c r="A102" s="11" t="s">
        <v>85</v>
      </c>
      <c r="B102" s="205" t="s">
        <v>2658</v>
      </c>
      <c r="C102" s="69" t="str">
        <f t="shared" si="11"/>
        <v>Quinta-Feira</v>
      </c>
      <c r="D102" s="445" t="str">
        <f>IF(C102&lt;&gt;"Quarta-Feira","15:40","10:40")</f>
        <v>15:40</v>
      </c>
      <c r="E102" s="218" t="s">
        <v>3090</v>
      </c>
      <c r="F102" s="149">
        <v>7.01409691691832E14</v>
      </c>
      <c r="G102" s="148" t="s">
        <v>3091</v>
      </c>
      <c r="H102" s="344">
        <v>24118.0</v>
      </c>
      <c r="I102" s="18" t="s">
        <v>41</v>
      </c>
      <c r="J102" s="212"/>
      <c r="K102" s="212"/>
      <c r="R102" s="62"/>
      <c r="V102" s="292"/>
    </row>
    <row r="103" ht="15.75" customHeight="1">
      <c r="A103" s="11" t="s">
        <v>87</v>
      </c>
      <c r="B103" s="205" t="s">
        <v>1734</v>
      </c>
      <c r="C103" s="69" t="str">
        <f t="shared" si="11"/>
        <v>Quinta-Feira</v>
      </c>
      <c r="D103" s="445" t="str">
        <f>IF(C103&lt;&gt;"Quarta-Feira","16:00","11:00")</f>
        <v>16:00</v>
      </c>
      <c r="E103" s="218" t="s">
        <v>3092</v>
      </c>
      <c r="F103" s="149">
        <v>8.01440411683689E14</v>
      </c>
      <c r="G103" s="148" t="s">
        <v>3093</v>
      </c>
      <c r="H103" s="344">
        <v>24053.0</v>
      </c>
      <c r="I103" s="18" t="s">
        <v>41</v>
      </c>
      <c r="J103" s="212"/>
      <c r="K103" s="212"/>
      <c r="R103" s="62"/>
    </row>
    <row r="104" ht="15.75" customHeight="1">
      <c r="A104" s="11" t="s">
        <v>90</v>
      </c>
      <c r="B104" s="205" t="s">
        <v>2658</v>
      </c>
      <c r="C104" s="69" t="str">
        <f t="shared" si="11"/>
        <v>Quinta-Feira</v>
      </c>
      <c r="D104" s="445" t="str">
        <f>IF(C104&lt;&gt;"Quarta-Feira","16:20","11:20")</f>
        <v>16:20</v>
      </c>
      <c r="E104" s="218" t="s">
        <v>3094</v>
      </c>
      <c r="F104" s="149">
        <v>7.04708734578634E14</v>
      </c>
      <c r="G104" s="148" t="s">
        <v>3095</v>
      </c>
      <c r="H104" s="269">
        <v>27143.0</v>
      </c>
      <c r="I104" s="18"/>
      <c r="J104" s="212"/>
      <c r="K104" s="212"/>
      <c r="R104" s="62"/>
    </row>
    <row r="105" ht="15.75" customHeight="1">
      <c r="A105" s="11" t="s">
        <v>93</v>
      </c>
      <c r="B105" s="205" t="s">
        <v>1734</v>
      </c>
      <c r="C105" s="69" t="str">
        <f t="shared" si="11"/>
        <v>Quinta-Feira</v>
      </c>
      <c r="D105" s="445" t="str">
        <f>IF(C105&lt;&gt;"Quarta-Feira","16:40","11:40")</f>
        <v>16:40</v>
      </c>
      <c r="E105" s="218" t="s">
        <v>3096</v>
      </c>
      <c r="F105" s="149">
        <v>8.01440431700686E14</v>
      </c>
      <c r="G105" s="148" t="s">
        <v>3097</v>
      </c>
      <c r="H105" s="344">
        <v>22351.0</v>
      </c>
      <c r="I105" s="18"/>
      <c r="J105" s="212"/>
      <c r="K105" s="212"/>
      <c r="R105" s="62"/>
    </row>
    <row r="106" ht="15.75" customHeight="1">
      <c r="E106" s="231"/>
      <c r="J106" s="62"/>
      <c r="K106" s="62"/>
      <c r="R106" s="62"/>
    </row>
    <row r="107" ht="15.75" customHeight="1">
      <c r="E107" s="231"/>
      <c r="J107" s="62"/>
      <c r="K107" s="62"/>
      <c r="R107" s="62"/>
    </row>
    <row r="108" ht="15.75" customHeight="1">
      <c r="E108" s="231"/>
      <c r="J108" s="62"/>
      <c r="K108" s="62"/>
      <c r="R108" s="62"/>
    </row>
    <row r="109" ht="15.75" customHeight="1">
      <c r="A109" s="20" t="s">
        <v>18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TEXT(DATE(VALUE(MID(A74,7,4)),VALUE(MID(A74,4,2)),VALUE(LEFT(A74,2)))+7,"dd/mm/yyyy")&amp;" 13h às 17h"</f>
        <v>21/04/2026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23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2081</v>
      </c>
      <c r="C112" s="69" t="str">
        <f t="shared" ref="C112:C123" si="13">PROPER(TEXT(DATE(MID($A$110,7,4),MID($A$110,4,2),LEFT($A$110,2)),"dddd"))</f>
        <v>Terça-Feira</v>
      </c>
      <c r="D112" s="445" t="str">
        <f>IF(C112&lt;&gt;"Quarta-Feira","13:00","08:00")</f>
        <v>13:00</v>
      </c>
      <c r="E112" s="326"/>
      <c r="F112" s="324"/>
      <c r="G112" s="496" t="s">
        <v>3098</v>
      </c>
      <c r="H112" s="380"/>
      <c r="I112" s="18"/>
      <c r="J112" s="97"/>
      <c r="K112" s="97"/>
      <c r="N112" s="237" t="s">
        <v>386</v>
      </c>
      <c r="O112" s="95"/>
      <c r="P112" s="95"/>
      <c r="Q112" s="95"/>
      <c r="R112" s="62"/>
    </row>
    <row r="113" ht="15.75" customHeight="1">
      <c r="A113" s="11" t="s">
        <v>11</v>
      </c>
      <c r="B113" s="205" t="s">
        <v>2083</v>
      </c>
      <c r="C113" s="69" t="str">
        <f t="shared" si="13"/>
        <v>Terça-Feira</v>
      </c>
      <c r="D113" s="445" t="str">
        <f>IF(C113&lt;&gt;"Quarta-Feira","13:20","08:20")</f>
        <v>13:20</v>
      </c>
      <c r="E113" s="326"/>
      <c r="F113" s="324"/>
      <c r="G113" s="496" t="s">
        <v>3098</v>
      </c>
      <c r="H113" s="380"/>
      <c r="I113" s="18"/>
      <c r="J113" s="97"/>
      <c r="K113" s="97"/>
      <c r="N113" s="239" t="s">
        <v>2085</v>
      </c>
      <c r="O113" s="2"/>
      <c r="P113" s="2"/>
      <c r="Q113" s="2"/>
      <c r="R113" s="62"/>
    </row>
    <row r="114" ht="15.75" customHeight="1">
      <c r="A114" s="11" t="s">
        <v>12</v>
      </c>
      <c r="B114" s="205" t="s">
        <v>2086</v>
      </c>
      <c r="C114" s="69" t="str">
        <f t="shared" si="13"/>
        <v>Terça-Feira</v>
      </c>
      <c r="D114" s="445" t="str">
        <f>IF(C114&lt;&gt;"Quarta-Feira","13:40","08:40")</f>
        <v>13:40</v>
      </c>
      <c r="E114" s="326"/>
      <c r="F114" s="324"/>
      <c r="G114" s="496" t="s">
        <v>3098</v>
      </c>
      <c r="H114" s="380"/>
      <c r="I114" s="18"/>
      <c r="J114" s="97"/>
      <c r="K114" s="97"/>
      <c r="N114" s="240" t="s">
        <v>41</v>
      </c>
      <c r="O114" s="241" t="s">
        <v>194</v>
      </c>
      <c r="P114" s="241" t="s">
        <v>180</v>
      </c>
      <c r="Q114" s="242" t="s">
        <v>2087</v>
      </c>
      <c r="R114" s="62"/>
    </row>
    <row r="115" ht="15.75" customHeight="1">
      <c r="A115" s="11" t="s">
        <v>13</v>
      </c>
      <c r="B115" s="205" t="s">
        <v>2088</v>
      </c>
      <c r="C115" s="69" t="str">
        <f t="shared" si="13"/>
        <v>Terça-Feira</v>
      </c>
      <c r="D115" s="445" t="str">
        <f>IF(C115&lt;&gt;"Quarta-Feira","14:00","09:00")</f>
        <v>14:00</v>
      </c>
      <c r="E115" s="326"/>
      <c r="F115" s="324"/>
      <c r="G115" s="496" t="s">
        <v>3098</v>
      </c>
      <c r="H115" s="380"/>
      <c r="I115" s="18"/>
      <c r="J115" s="97"/>
      <c r="K115" s="97"/>
      <c r="N115" s="244">
        <f t="shared" ref="N115:Q115" si="14">COUNTIFS($I$112:$I$123,N114)</f>
        <v>0</v>
      </c>
      <c r="O115" s="244">
        <f t="shared" si="14"/>
        <v>0</v>
      </c>
      <c r="P115" s="244">
        <f t="shared" si="14"/>
        <v>0</v>
      </c>
      <c r="Q115" s="244">
        <f t="shared" si="14"/>
        <v>0</v>
      </c>
      <c r="R115" s="62"/>
    </row>
    <row r="116" ht="15.75" customHeight="1">
      <c r="A116" s="11" t="s">
        <v>14</v>
      </c>
      <c r="B116" s="205" t="s">
        <v>2081</v>
      </c>
      <c r="C116" s="69" t="str">
        <f t="shared" si="13"/>
        <v>Terça-Feira</v>
      </c>
      <c r="D116" s="445" t="str">
        <f>IF(C116&lt;&gt;"Quarta-Feira","14:20","09:20")</f>
        <v>14:20</v>
      </c>
      <c r="E116" s="326"/>
      <c r="F116" s="324"/>
      <c r="G116" s="496" t="s">
        <v>3098</v>
      </c>
      <c r="H116" s="380"/>
      <c r="I116" s="18"/>
      <c r="J116" s="97"/>
      <c r="K116" s="97"/>
      <c r="R116" s="62"/>
    </row>
    <row r="117" ht="15.75" customHeight="1">
      <c r="A117" s="11" t="s">
        <v>15</v>
      </c>
      <c r="B117" s="205" t="s">
        <v>2088</v>
      </c>
      <c r="C117" s="69" t="str">
        <f t="shared" si="13"/>
        <v>Terça-Feira</v>
      </c>
      <c r="D117" s="445" t="str">
        <f>IF(C117&lt;&gt;"Quarta-Feira","14:40","09:40")</f>
        <v>14:40</v>
      </c>
      <c r="E117" s="326"/>
      <c r="F117" s="324"/>
      <c r="G117" s="496" t="s">
        <v>3098</v>
      </c>
      <c r="H117" s="380"/>
      <c r="I117" s="18"/>
      <c r="J117" s="97"/>
      <c r="K117" s="97"/>
      <c r="R117" s="62"/>
    </row>
    <row r="118" ht="15.75" customHeight="1">
      <c r="A118" s="11" t="s">
        <v>16</v>
      </c>
      <c r="B118" s="205" t="s">
        <v>2092</v>
      </c>
      <c r="C118" s="69" t="str">
        <f t="shared" si="13"/>
        <v>Terça-Feira</v>
      </c>
      <c r="D118" s="445" t="str">
        <f>IF(C118&lt;&gt;"Quarta-Feira","15:00","10:00")</f>
        <v>15:00</v>
      </c>
      <c r="E118" s="326"/>
      <c r="F118" s="324"/>
      <c r="G118" s="496" t="s">
        <v>3098</v>
      </c>
      <c r="H118" s="380"/>
      <c r="I118" s="18"/>
      <c r="J118" s="97"/>
      <c r="K118" s="97"/>
      <c r="R118" s="62"/>
    </row>
    <row r="119" ht="15.75" customHeight="1">
      <c r="A119" s="11" t="s">
        <v>17</v>
      </c>
      <c r="B119" s="205" t="s">
        <v>2093</v>
      </c>
      <c r="C119" s="69" t="str">
        <f t="shared" si="13"/>
        <v>Terça-Feira</v>
      </c>
      <c r="D119" s="445" t="str">
        <f>IF(C119&lt;&gt;"Quarta-Feira","15:20","10:20")</f>
        <v>15:20</v>
      </c>
      <c r="E119" s="326"/>
      <c r="F119" s="324"/>
      <c r="G119" s="496" t="s">
        <v>3098</v>
      </c>
      <c r="H119" s="380"/>
      <c r="I119" s="18"/>
      <c r="J119" s="97"/>
      <c r="K119" s="97"/>
      <c r="R119" s="62"/>
    </row>
    <row r="120" ht="15.75" customHeight="1">
      <c r="A120" s="11" t="s">
        <v>85</v>
      </c>
      <c r="B120" s="205" t="s">
        <v>2094</v>
      </c>
      <c r="C120" s="69" t="str">
        <f t="shared" si="13"/>
        <v>Terça-Feira</v>
      </c>
      <c r="D120" s="445" t="str">
        <f>IF(C120&lt;&gt;"Quarta-Feira","15:40","10:40")</f>
        <v>15:40</v>
      </c>
      <c r="E120" s="326"/>
      <c r="F120" s="324"/>
      <c r="G120" s="496" t="s">
        <v>3098</v>
      </c>
      <c r="H120" s="380"/>
      <c r="I120" s="18"/>
      <c r="J120" s="97"/>
      <c r="K120" s="97"/>
      <c r="R120" s="62"/>
    </row>
    <row r="121" ht="15.75" customHeight="1">
      <c r="A121" s="11" t="s">
        <v>87</v>
      </c>
      <c r="B121" s="205" t="s">
        <v>2095</v>
      </c>
      <c r="C121" s="69" t="str">
        <f t="shared" si="13"/>
        <v>Terça-Feira</v>
      </c>
      <c r="D121" s="445" t="str">
        <f>IF(C121&lt;&gt;"Quarta-Feira","16:00","11:00")</f>
        <v>16:00</v>
      </c>
      <c r="E121" s="326"/>
      <c r="F121" s="324"/>
      <c r="G121" s="496" t="s">
        <v>3098</v>
      </c>
      <c r="H121" s="380"/>
      <c r="I121" s="18"/>
      <c r="J121" s="97"/>
      <c r="K121" s="97"/>
      <c r="R121" s="62"/>
    </row>
    <row r="122" ht="15.75" customHeight="1">
      <c r="A122" s="11" t="s">
        <v>90</v>
      </c>
      <c r="B122" s="205" t="s">
        <v>2097</v>
      </c>
      <c r="C122" s="69" t="str">
        <f t="shared" si="13"/>
        <v>Terça-Feira</v>
      </c>
      <c r="D122" s="445" t="str">
        <f>IF(C122&lt;&gt;"Quarta-Feira","16:20","11:20")</f>
        <v>16:20</v>
      </c>
      <c r="E122" s="326"/>
      <c r="F122" s="324"/>
      <c r="G122" s="496" t="s">
        <v>3098</v>
      </c>
      <c r="H122" s="380"/>
      <c r="I122" s="18"/>
      <c r="J122" s="97"/>
      <c r="K122" s="97"/>
      <c r="R122" s="62"/>
    </row>
    <row r="123" ht="15.75" customHeight="1">
      <c r="A123" s="11" t="s">
        <v>93</v>
      </c>
      <c r="B123" s="205" t="s">
        <v>2095</v>
      </c>
      <c r="C123" s="69" t="str">
        <f t="shared" si="13"/>
        <v>Terça-Feira</v>
      </c>
      <c r="D123" s="445" t="str">
        <f>IF(C123&lt;&gt;"Quarta-Feira","16:40","11:40")</f>
        <v>16:40</v>
      </c>
      <c r="E123" s="326"/>
      <c r="F123" s="324"/>
      <c r="G123" s="496" t="s">
        <v>3098</v>
      </c>
      <c r="H123" s="380"/>
      <c r="I123" s="18"/>
      <c r="J123" s="97"/>
      <c r="K123" s="97"/>
      <c r="R123" s="62"/>
    </row>
    <row r="124" ht="15.75" customHeight="1">
      <c r="A124" s="438"/>
      <c r="B124" s="430"/>
      <c r="C124" s="275"/>
      <c r="D124" s="439"/>
      <c r="E124" s="254"/>
      <c r="F124" s="440"/>
      <c r="G124" s="441"/>
      <c r="H124" s="255"/>
      <c r="I124" s="442"/>
      <c r="J124" s="443"/>
      <c r="K124" s="443"/>
      <c r="R124" s="62"/>
    </row>
    <row r="125" ht="15.75" customHeight="1">
      <c r="A125" s="438"/>
      <c r="B125" s="430"/>
      <c r="C125" s="275"/>
      <c r="D125" s="439"/>
      <c r="E125" s="254"/>
      <c r="F125" s="440"/>
      <c r="G125" s="441"/>
      <c r="H125" s="255"/>
      <c r="I125" s="442"/>
      <c r="J125" s="443"/>
      <c r="K125" s="443"/>
      <c r="R125" s="62"/>
    </row>
    <row r="126" ht="15.75" customHeight="1">
      <c r="A126" s="438"/>
      <c r="B126" s="430"/>
      <c r="C126" s="275"/>
      <c r="D126" s="439"/>
      <c r="E126" s="254"/>
      <c r="F126" s="440"/>
      <c r="G126" s="441"/>
      <c r="H126" s="255"/>
      <c r="I126" s="442"/>
      <c r="J126" s="443"/>
      <c r="K126" s="443"/>
      <c r="R126" s="62"/>
    </row>
    <row r="127" ht="15.75" customHeight="1">
      <c r="A127" s="20" t="s">
        <v>18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13h às 17h"</f>
        <v>23/04/2026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23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1789</v>
      </c>
      <c r="C130" s="69" t="str">
        <f t="shared" ref="C130:C141" si="15">PROPER(TEXT(DATE(MID($A$92,7,4),MID($A$92,4,2),LEFT($A$92,2)),"dddd"))</f>
        <v>Quinta-Feira</v>
      </c>
      <c r="D130" s="445" t="str">
        <f>IF(C130&lt;&gt;"Quarta-Feira","13:00","08:00")</f>
        <v>13:00</v>
      </c>
      <c r="E130" s="218" t="s">
        <v>3099</v>
      </c>
      <c r="F130" s="149">
        <v>7.06208064212563E14</v>
      </c>
      <c r="G130" s="148" t="s">
        <v>3100</v>
      </c>
      <c r="H130" s="344">
        <v>23599.0</v>
      </c>
      <c r="I130" s="18" t="s">
        <v>41</v>
      </c>
      <c r="J130" s="212"/>
      <c r="K130" s="212"/>
      <c r="N130" s="237" t="s">
        <v>386</v>
      </c>
      <c r="O130" s="95"/>
      <c r="P130" s="95"/>
      <c r="Q130" s="95"/>
      <c r="R130" s="62"/>
    </row>
    <row r="131" ht="15.75" customHeight="1">
      <c r="A131" s="11" t="s">
        <v>11</v>
      </c>
      <c r="B131" s="205" t="s">
        <v>1713</v>
      </c>
      <c r="C131" s="69" t="str">
        <f t="shared" si="15"/>
        <v>Quinta-Feira</v>
      </c>
      <c r="D131" s="445" t="str">
        <f>IF(C131&lt;&gt;"Quarta-Feira","13:20","08:20")</f>
        <v>13:20</v>
      </c>
      <c r="E131" s="218" t="s">
        <v>3101</v>
      </c>
      <c r="F131" s="425">
        <v>7.05400413794298E14</v>
      </c>
      <c r="G131" s="148" t="s">
        <v>3102</v>
      </c>
      <c r="H131" s="437">
        <v>22953.0</v>
      </c>
      <c r="I131" s="18" t="s">
        <v>41</v>
      </c>
      <c r="J131" s="212"/>
      <c r="K131" s="212"/>
      <c r="N131" s="239" t="s">
        <v>2085</v>
      </c>
      <c r="O131" s="2"/>
      <c r="P131" s="2"/>
      <c r="Q131" s="2"/>
      <c r="R131" s="62"/>
    </row>
    <row r="132" ht="15.75" customHeight="1">
      <c r="A132" s="11" t="s">
        <v>12</v>
      </c>
      <c r="B132" s="205" t="s">
        <v>1780</v>
      </c>
      <c r="C132" s="69" t="str">
        <f t="shared" si="15"/>
        <v>Quinta-Feira</v>
      </c>
      <c r="D132" s="445" t="str">
        <f>IF(C132&lt;&gt;"Quarta-Feira","13:40","08:40")</f>
        <v>13:40</v>
      </c>
      <c r="E132" s="218" t="s">
        <v>3103</v>
      </c>
      <c r="F132" s="149">
        <v>8.01440492727495E14</v>
      </c>
      <c r="G132" s="148" t="s">
        <v>3104</v>
      </c>
      <c r="H132" s="344">
        <v>21409.0</v>
      </c>
      <c r="I132" s="18" t="s">
        <v>41</v>
      </c>
      <c r="J132" s="212"/>
      <c r="K132" s="212"/>
      <c r="N132" s="240" t="s">
        <v>41</v>
      </c>
      <c r="O132" s="241" t="s">
        <v>194</v>
      </c>
      <c r="P132" s="241" t="s">
        <v>180</v>
      </c>
      <c r="Q132" s="242" t="s">
        <v>2087</v>
      </c>
      <c r="R132" s="62"/>
    </row>
    <row r="133" ht="15.75" customHeight="1">
      <c r="A133" s="11" t="s">
        <v>13</v>
      </c>
      <c r="B133" s="205" t="s">
        <v>1720</v>
      </c>
      <c r="C133" s="69" t="str">
        <f t="shared" si="15"/>
        <v>Quinta-Feira</v>
      </c>
      <c r="D133" s="445" t="str">
        <f>IF(C133&lt;&gt;"Quarta-Feira","14:00","09:00")</f>
        <v>14:00</v>
      </c>
      <c r="E133" s="218" t="s">
        <v>3105</v>
      </c>
      <c r="F133" s="206">
        <v>8.98001418804063E14</v>
      </c>
      <c r="G133" s="205" t="s">
        <v>3106</v>
      </c>
      <c r="H133" s="432">
        <v>26762.0</v>
      </c>
      <c r="I133" s="18" t="s">
        <v>41</v>
      </c>
      <c r="J133" s="212"/>
      <c r="K133" s="212"/>
      <c r="N133" s="244">
        <f t="shared" ref="N133:Q133" si="16">COUNTIFS($I$130:$I$141,N132)</f>
        <v>9</v>
      </c>
      <c r="O133" s="244">
        <f t="shared" si="16"/>
        <v>0</v>
      </c>
      <c r="P133" s="244">
        <f t="shared" si="16"/>
        <v>0</v>
      </c>
      <c r="Q133" s="244">
        <f t="shared" si="16"/>
        <v>3</v>
      </c>
      <c r="R133" s="62"/>
    </row>
    <row r="134" ht="15.75" customHeight="1">
      <c r="A134" s="11" t="s">
        <v>14</v>
      </c>
      <c r="B134" s="205" t="s">
        <v>1795</v>
      </c>
      <c r="C134" s="69" t="str">
        <f t="shared" si="15"/>
        <v>Quinta-Feira</v>
      </c>
      <c r="D134" s="445" t="str">
        <f>IF(C134&lt;&gt;"Quarta-Feira","14:20","09:20")</f>
        <v>14:20</v>
      </c>
      <c r="E134" s="218" t="s">
        <v>3082</v>
      </c>
      <c r="F134" s="149">
        <v>7.02503340150938E14</v>
      </c>
      <c r="G134" s="148" t="s">
        <v>3083</v>
      </c>
      <c r="H134" s="344">
        <v>26542.0</v>
      </c>
      <c r="I134" s="18" t="s">
        <v>2087</v>
      </c>
      <c r="J134" s="212"/>
      <c r="K134" s="212"/>
      <c r="R134" s="62"/>
    </row>
    <row r="135" ht="15.75" customHeight="1">
      <c r="A135" s="11" t="s">
        <v>15</v>
      </c>
      <c r="B135" s="205" t="s">
        <v>1789</v>
      </c>
      <c r="C135" s="69" t="str">
        <f t="shared" si="15"/>
        <v>Quinta-Feira</v>
      </c>
      <c r="D135" s="445" t="str">
        <f>IF(C135&lt;&gt;"Quarta-Feira","14:40","09:40")</f>
        <v>14:40</v>
      </c>
      <c r="E135" s="218" t="s">
        <v>3107</v>
      </c>
      <c r="F135" s="149">
        <v>8.98004954633852E14</v>
      </c>
      <c r="G135" s="148" t="s">
        <v>3108</v>
      </c>
      <c r="H135" s="344">
        <v>14143.0</v>
      </c>
      <c r="I135" s="18" t="s">
        <v>41</v>
      </c>
      <c r="J135" s="212"/>
      <c r="K135" s="212"/>
      <c r="R135" s="62"/>
    </row>
    <row r="136" ht="15.75" customHeight="1">
      <c r="A136" s="11" t="s">
        <v>16</v>
      </c>
      <c r="B136" s="205" t="s">
        <v>2652</v>
      </c>
      <c r="C136" s="69" t="str">
        <f t="shared" si="15"/>
        <v>Quinta-Feira</v>
      </c>
      <c r="D136" s="445" t="str">
        <f>IF(C136&lt;&gt;"Quarta-Feira","15:00","10:00")</f>
        <v>15:00</v>
      </c>
      <c r="E136" s="218" t="s">
        <v>3109</v>
      </c>
      <c r="F136" s="149">
        <v>7.01008899527795E14</v>
      </c>
      <c r="G136" s="148" t="s">
        <v>3110</v>
      </c>
      <c r="H136" s="344">
        <v>28044.0</v>
      </c>
      <c r="I136" s="18" t="s">
        <v>2087</v>
      </c>
      <c r="J136" s="212"/>
      <c r="K136" s="212"/>
      <c r="R136" s="62"/>
    </row>
    <row r="137" ht="15.75" customHeight="1">
      <c r="A137" s="11" t="s">
        <v>17</v>
      </c>
      <c r="B137" s="205" t="s">
        <v>2655</v>
      </c>
      <c r="C137" s="69" t="str">
        <f t="shared" si="15"/>
        <v>Quinta-Feira</v>
      </c>
      <c r="D137" s="445" t="str">
        <f>IF(C137&lt;&gt;"Quarta-Feira","15:20","10:20")</f>
        <v>15:20</v>
      </c>
      <c r="E137" s="218" t="s">
        <v>3111</v>
      </c>
      <c r="F137" s="149">
        <v>7.000088120531E14</v>
      </c>
      <c r="G137" s="148" t="s">
        <v>3112</v>
      </c>
      <c r="H137" s="344">
        <v>19089.0</v>
      </c>
      <c r="I137" s="18" t="s">
        <v>41</v>
      </c>
      <c r="J137" s="212"/>
      <c r="K137" s="212"/>
      <c r="R137" s="62"/>
    </row>
    <row r="138" ht="15.75" customHeight="1">
      <c r="A138" s="11" t="s">
        <v>85</v>
      </c>
      <c r="B138" s="205" t="s">
        <v>2658</v>
      </c>
      <c r="C138" s="69" t="str">
        <f t="shared" si="15"/>
        <v>Quinta-Feira</v>
      </c>
      <c r="D138" s="445" t="str">
        <f>IF(C138&lt;&gt;"Quarta-Feira","15:40","10:40")</f>
        <v>15:40</v>
      </c>
      <c r="E138" s="218" t="s">
        <v>3113</v>
      </c>
      <c r="F138" s="149">
        <v>7.00606974744365E14</v>
      </c>
      <c r="G138" s="148" t="s">
        <v>3114</v>
      </c>
      <c r="H138" s="344">
        <v>16506.0</v>
      </c>
      <c r="I138" s="18" t="s">
        <v>41</v>
      </c>
      <c r="J138" s="212"/>
      <c r="K138" s="212"/>
      <c r="R138" s="62"/>
    </row>
    <row r="139" ht="15.75" customHeight="1">
      <c r="A139" s="11" t="s">
        <v>87</v>
      </c>
      <c r="B139" s="205" t="s">
        <v>1734</v>
      </c>
      <c r="C139" s="69" t="str">
        <f t="shared" si="15"/>
        <v>Quinta-Feira</v>
      </c>
      <c r="D139" s="445" t="str">
        <f>IF(C139&lt;&gt;"Quarta-Feira","16:00","11:00")</f>
        <v>16:00</v>
      </c>
      <c r="E139" s="218" t="s">
        <v>3115</v>
      </c>
      <c r="F139" s="149">
        <v>8.98002302023201E14</v>
      </c>
      <c r="G139" s="148" t="s">
        <v>3116</v>
      </c>
      <c r="H139" s="344">
        <v>24178.0</v>
      </c>
      <c r="I139" s="18" t="s">
        <v>41</v>
      </c>
      <c r="J139" s="212"/>
      <c r="K139" s="212"/>
      <c r="R139" s="62"/>
    </row>
    <row r="140" ht="15.75" customHeight="1">
      <c r="A140" s="11" t="s">
        <v>90</v>
      </c>
      <c r="B140" s="205" t="s">
        <v>2658</v>
      </c>
      <c r="C140" s="69" t="str">
        <f t="shared" si="15"/>
        <v>Quinta-Feira</v>
      </c>
      <c r="D140" s="445" t="str">
        <f>IF(C140&lt;&gt;"Quarta-Feira","16:20","11:20")</f>
        <v>16:20</v>
      </c>
      <c r="E140" s="218" t="s">
        <v>3117</v>
      </c>
      <c r="F140" s="149">
        <v>7.0830879685276E14</v>
      </c>
      <c r="G140" s="148" t="s">
        <v>3118</v>
      </c>
      <c r="H140" s="344">
        <v>27497.0</v>
      </c>
      <c r="I140" s="18" t="s">
        <v>41</v>
      </c>
      <c r="J140" s="212"/>
      <c r="K140" s="212"/>
      <c r="R140" s="62"/>
    </row>
    <row r="141" ht="15.75" customHeight="1">
      <c r="A141" s="11" t="s">
        <v>93</v>
      </c>
      <c r="B141" s="205" t="s">
        <v>1734</v>
      </c>
      <c r="C141" s="69" t="str">
        <f t="shared" si="15"/>
        <v>Quinta-Feira</v>
      </c>
      <c r="D141" s="445" t="str">
        <f>IF(C141&lt;&gt;"Quarta-Feira","16:40","11:40")</f>
        <v>16:40</v>
      </c>
      <c r="E141" s="218" t="s">
        <v>3119</v>
      </c>
      <c r="F141" s="149">
        <v>7.09801063856796E14</v>
      </c>
      <c r="G141" s="148" t="s">
        <v>3120</v>
      </c>
      <c r="H141" s="344">
        <v>26157.0</v>
      </c>
      <c r="I141" s="18" t="s">
        <v>2087</v>
      </c>
      <c r="J141" s="212"/>
      <c r="K141" s="212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customHeight="1">
      <c r="A145" s="497" t="s">
        <v>3121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TEXT(DATE(VALUE(MID(A110,7,4)),VALUE(MID(A110,4,2)),VALUE(LEFT(A110,2)))+7,"dd/mm/yyyy")&amp;" 13h às 17h"</f>
        <v>28/04/2026 13h às 17h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23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5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2081</v>
      </c>
      <c r="C148" s="69" t="str">
        <f t="shared" ref="C148:C159" si="17">PROPER(TEXT(DATE(MID($A$110,7,4),MID($A$110,4,2),LEFT($A$110,2)),"dddd"))</f>
        <v>Terça-Feira</v>
      </c>
      <c r="D148" s="445" t="str">
        <f>IF(C148&lt;&gt;"Quarta-Feira","13:00","08:00")</f>
        <v>13:00</v>
      </c>
      <c r="E148" s="214"/>
      <c r="F148" s="170"/>
      <c r="G148" s="100" t="s">
        <v>3122</v>
      </c>
      <c r="H148" s="78"/>
      <c r="I148" s="18"/>
      <c r="J148" s="97"/>
      <c r="K148" s="97"/>
      <c r="N148" s="237" t="s">
        <v>386</v>
      </c>
      <c r="O148" s="95"/>
      <c r="P148" s="95"/>
      <c r="Q148" s="95"/>
      <c r="R148" s="62"/>
    </row>
    <row r="149" ht="15.75" customHeight="1">
      <c r="A149" s="11" t="s">
        <v>11</v>
      </c>
      <c r="B149" s="205" t="s">
        <v>2083</v>
      </c>
      <c r="C149" s="69" t="str">
        <f t="shared" si="17"/>
        <v>Terça-Feira</v>
      </c>
      <c r="D149" s="445" t="str">
        <f>IF(C149&lt;&gt;"Quarta-Feira","13:20","08:20")</f>
        <v>13:20</v>
      </c>
      <c r="E149" s="214"/>
      <c r="F149" s="170"/>
      <c r="G149" s="100" t="s">
        <v>3122</v>
      </c>
      <c r="H149" s="78"/>
      <c r="I149" s="18"/>
      <c r="J149" s="97"/>
      <c r="K149" s="97"/>
      <c r="N149" s="239" t="s">
        <v>2085</v>
      </c>
      <c r="O149" s="2"/>
      <c r="P149" s="2"/>
      <c r="Q149" s="2"/>
      <c r="R149" s="62"/>
    </row>
    <row r="150" ht="15.75" customHeight="1">
      <c r="A150" s="11" t="s">
        <v>12</v>
      </c>
      <c r="B150" s="205" t="s">
        <v>2086</v>
      </c>
      <c r="C150" s="69" t="str">
        <f t="shared" si="17"/>
        <v>Terça-Feira</v>
      </c>
      <c r="D150" s="445" t="str">
        <f>IF(C150&lt;&gt;"Quarta-Feira","13:40","08:40")</f>
        <v>13:40</v>
      </c>
      <c r="E150" s="214"/>
      <c r="F150" s="170"/>
      <c r="G150" s="100" t="s">
        <v>3122</v>
      </c>
      <c r="H150" s="78"/>
      <c r="I150" s="18"/>
      <c r="J150" s="97"/>
      <c r="K150" s="97"/>
      <c r="N150" s="240" t="s">
        <v>41</v>
      </c>
      <c r="O150" s="241" t="s">
        <v>194</v>
      </c>
      <c r="P150" s="241" t="s">
        <v>180</v>
      </c>
      <c r="Q150" s="242" t="s">
        <v>2087</v>
      </c>
      <c r="R150" s="62"/>
    </row>
    <row r="151" ht="15.75" customHeight="1">
      <c r="A151" s="11" t="s">
        <v>13</v>
      </c>
      <c r="B151" s="205" t="s">
        <v>2088</v>
      </c>
      <c r="C151" s="69" t="str">
        <f t="shared" si="17"/>
        <v>Terça-Feira</v>
      </c>
      <c r="D151" s="445" t="str">
        <f>IF(C151&lt;&gt;"Quarta-Feira","14:00","09:00")</f>
        <v>14:00</v>
      </c>
      <c r="E151" s="214"/>
      <c r="F151" s="170"/>
      <c r="G151" s="100" t="s">
        <v>3122</v>
      </c>
      <c r="H151" s="78"/>
      <c r="I151" s="18"/>
      <c r="J151" s="97"/>
      <c r="K151" s="97"/>
      <c r="N151" s="244">
        <f t="shared" ref="N151:Q151" si="18">COUNTIFS($I$148:$I$159,N150)</f>
        <v>0</v>
      </c>
      <c r="O151" s="244">
        <f t="shared" si="18"/>
        <v>0</v>
      </c>
      <c r="P151" s="244">
        <f t="shared" si="18"/>
        <v>0</v>
      </c>
      <c r="Q151" s="244">
        <f t="shared" si="18"/>
        <v>0</v>
      </c>
      <c r="R151" s="62"/>
    </row>
    <row r="152" ht="15.75" customHeight="1">
      <c r="A152" s="11" t="s">
        <v>14</v>
      </c>
      <c r="B152" s="205" t="s">
        <v>2081</v>
      </c>
      <c r="C152" s="69" t="str">
        <f t="shared" si="17"/>
        <v>Terça-Feira</v>
      </c>
      <c r="D152" s="445" t="str">
        <f>IF(C152&lt;&gt;"Quarta-Feira","14:20","09:20")</f>
        <v>14:20</v>
      </c>
      <c r="E152" s="214"/>
      <c r="F152" s="170"/>
      <c r="G152" s="100" t="s">
        <v>3122</v>
      </c>
      <c r="H152" s="78"/>
      <c r="I152" s="18"/>
      <c r="J152" s="97"/>
      <c r="K152" s="97"/>
      <c r="R152" s="62"/>
    </row>
    <row r="153" ht="15.75" customHeight="1">
      <c r="A153" s="11" t="s">
        <v>15</v>
      </c>
      <c r="B153" s="205" t="s">
        <v>2088</v>
      </c>
      <c r="C153" s="69" t="str">
        <f t="shared" si="17"/>
        <v>Terça-Feira</v>
      </c>
      <c r="D153" s="445" t="str">
        <f>IF(C153&lt;&gt;"Quarta-Feira","14:40","09:40")</f>
        <v>14:40</v>
      </c>
      <c r="E153" s="214"/>
      <c r="F153" s="170"/>
      <c r="G153" s="100" t="s">
        <v>3122</v>
      </c>
      <c r="H153" s="78"/>
      <c r="I153" s="18"/>
      <c r="J153" s="97"/>
      <c r="K153" s="97"/>
      <c r="R153" s="62"/>
    </row>
    <row r="154" ht="15.75" customHeight="1">
      <c r="A154" s="11" t="s">
        <v>16</v>
      </c>
      <c r="B154" s="205" t="s">
        <v>2092</v>
      </c>
      <c r="C154" s="69" t="str">
        <f t="shared" si="17"/>
        <v>Terça-Feira</v>
      </c>
      <c r="D154" s="445" t="str">
        <f>IF(C154&lt;&gt;"Quarta-Feira","15:00","10:00")</f>
        <v>15:00</v>
      </c>
      <c r="E154" s="214"/>
      <c r="F154" s="170"/>
      <c r="G154" s="100" t="s">
        <v>3122</v>
      </c>
      <c r="H154" s="78"/>
      <c r="I154" s="18"/>
      <c r="J154" s="97"/>
      <c r="K154" s="97"/>
      <c r="R154" s="62"/>
    </row>
    <row r="155" ht="15.75" customHeight="1">
      <c r="A155" s="11" t="s">
        <v>17</v>
      </c>
      <c r="B155" s="205" t="s">
        <v>2093</v>
      </c>
      <c r="C155" s="69" t="str">
        <f t="shared" si="17"/>
        <v>Terça-Feira</v>
      </c>
      <c r="D155" s="445" t="str">
        <f>IF(C155&lt;&gt;"Quarta-Feira","15:20","10:20")</f>
        <v>15:20</v>
      </c>
      <c r="E155" s="214"/>
      <c r="F155" s="170"/>
      <c r="G155" s="100" t="s">
        <v>3122</v>
      </c>
      <c r="H155" s="78"/>
      <c r="I155" s="18"/>
      <c r="J155" s="97"/>
      <c r="K155" s="97"/>
      <c r="R155" s="62"/>
    </row>
    <row r="156" ht="15.75" customHeight="1">
      <c r="A156" s="11" t="s">
        <v>85</v>
      </c>
      <c r="B156" s="205" t="s">
        <v>2094</v>
      </c>
      <c r="C156" s="69" t="str">
        <f t="shared" si="17"/>
        <v>Terça-Feira</v>
      </c>
      <c r="D156" s="445" t="str">
        <f>IF(C156&lt;&gt;"Quarta-Feira","15:40","10:40")</f>
        <v>15:40</v>
      </c>
      <c r="E156" s="214"/>
      <c r="F156" s="170"/>
      <c r="G156" s="100" t="s">
        <v>3122</v>
      </c>
      <c r="H156" s="78"/>
      <c r="I156" s="18"/>
      <c r="J156" s="97"/>
      <c r="K156" s="97"/>
      <c r="R156" s="62"/>
    </row>
    <row r="157" ht="15.75" customHeight="1">
      <c r="A157" s="11" t="s">
        <v>87</v>
      </c>
      <c r="B157" s="205" t="s">
        <v>2095</v>
      </c>
      <c r="C157" s="69" t="str">
        <f t="shared" si="17"/>
        <v>Terça-Feira</v>
      </c>
      <c r="D157" s="445" t="str">
        <f>IF(C157&lt;&gt;"Quarta-Feira","16:00","11:00")</f>
        <v>16:00</v>
      </c>
      <c r="E157" s="214"/>
      <c r="F157" s="170"/>
      <c r="G157" s="100" t="s">
        <v>3122</v>
      </c>
      <c r="H157" s="78"/>
      <c r="I157" s="18"/>
      <c r="J157" s="97"/>
      <c r="K157" s="97"/>
      <c r="R157" s="62"/>
    </row>
    <row r="158" ht="15.75" customHeight="1">
      <c r="A158" s="11" t="s">
        <v>90</v>
      </c>
      <c r="B158" s="205" t="s">
        <v>2097</v>
      </c>
      <c r="C158" s="69" t="str">
        <f t="shared" si="17"/>
        <v>Terça-Feira</v>
      </c>
      <c r="D158" s="445" t="str">
        <f>IF(C158&lt;&gt;"Quarta-Feira","16:20","11:20")</f>
        <v>16:20</v>
      </c>
      <c r="E158" s="214"/>
      <c r="F158" s="170"/>
      <c r="G158" s="100" t="s">
        <v>3122</v>
      </c>
      <c r="H158" s="78"/>
      <c r="I158" s="18"/>
      <c r="J158" s="97"/>
      <c r="K158" s="97"/>
      <c r="R158" s="62"/>
    </row>
    <row r="159" ht="15.75" customHeight="1">
      <c r="A159" s="11" t="s">
        <v>93</v>
      </c>
      <c r="B159" s="205" t="s">
        <v>2095</v>
      </c>
      <c r="C159" s="69" t="str">
        <f t="shared" si="17"/>
        <v>Terça-Feira</v>
      </c>
      <c r="D159" s="445" t="str">
        <f>IF(C159&lt;&gt;"Quarta-Feira","16:40","11:40")</f>
        <v>16:40</v>
      </c>
      <c r="E159" s="214"/>
      <c r="F159" s="170"/>
      <c r="G159" s="100" t="s">
        <v>3122</v>
      </c>
      <c r="H159" s="78"/>
      <c r="I159" s="18"/>
      <c r="J159" s="97"/>
      <c r="K159" s="97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20" t="s">
        <v>18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TEXT(DATE(VALUE(MID(A146,7,4)),VALUE(MID(A146,4,2)),VALUE(LEFT(A146,2)))+2,"dd/mm/yyyy")&amp;" 13h às 17h"</f>
        <v>30/04/2026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23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5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1789</v>
      </c>
      <c r="C166" s="69" t="str">
        <f t="shared" ref="C166:C177" si="19">PROPER(TEXT(DATE(MID($A$92,7,4),MID($A$92,4,2),LEFT($A$92,2)),"dddd"))</f>
        <v>Quinta-Feira</v>
      </c>
      <c r="D166" s="445" t="str">
        <f>IF(C166&lt;&gt;"Quarta-Feira","13:00","08:00")</f>
        <v>13:00</v>
      </c>
      <c r="E166" s="218" t="s">
        <v>3123</v>
      </c>
      <c r="F166" s="149">
        <v>7.06800215627527E14</v>
      </c>
      <c r="G166" s="148" t="s">
        <v>3124</v>
      </c>
      <c r="H166" s="344">
        <v>16829.0</v>
      </c>
      <c r="I166" s="18" t="s">
        <v>41</v>
      </c>
      <c r="J166" s="212"/>
      <c r="K166" s="212"/>
      <c r="N166" s="237" t="s">
        <v>386</v>
      </c>
      <c r="O166" s="95"/>
      <c r="P166" s="95"/>
      <c r="Q166" s="95"/>
      <c r="R166" s="62"/>
    </row>
    <row r="167" ht="15.75" customHeight="1">
      <c r="A167" s="11" t="s">
        <v>11</v>
      </c>
      <c r="B167" s="205" t="s">
        <v>1713</v>
      </c>
      <c r="C167" s="69" t="str">
        <f t="shared" si="19"/>
        <v>Quinta-Feira</v>
      </c>
      <c r="D167" s="445" t="str">
        <f>IF(C167&lt;&gt;"Quarta-Feira","13:20","08:20")</f>
        <v>13:20</v>
      </c>
      <c r="E167" s="218" t="s">
        <v>3125</v>
      </c>
      <c r="F167" s="425">
        <v>8.01440477114666E14</v>
      </c>
      <c r="G167" s="148" t="s">
        <v>3126</v>
      </c>
      <c r="H167" s="437">
        <v>18301.0</v>
      </c>
      <c r="I167" s="18" t="s">
        <v>41</v>
      </c>
      <c r="J167" s="212"/>
      <c r="K167" s="212"/>
      <c r="N167" s="239" t="s">
        <v>2085</v>
      </c>
      <c r="O167" s="2"/>
      <c r="P167" s="2"/>
      <c r="Q167" s="2"/>
      <c r="R167" s="62"/>
    </row>
    <row r="168" ht="15.75" customHeight="1">
      <c r="A168" s="11" t="s">
        <v>12</v>
      </c>
      <c r="B168" s="205" t="s">
        <v>1780</v>
      </c>
      <c r="C168" s="69" t="str">
        <f t="shared" si="19"/>
        <v>Quinta-Feira</v>
      </c>
      <c r="D168" s="445" t="str">
        <f>IF(C168&lt;&gt;"Quarta-Feira","13:40","08:40")</f>
        <v>13:40</v>
      </c>
      <c r="E168" s="218" t="s">
        <v>3127</v>
      </c>
      <c r="F168" s="149">
        <v>1.03902238130007E14</v>
      </c>
      <c r="G168" s="148" t="s">
        <v>3128</v>
      </c>
      <c r="H168" s="344">
        <v>18827.0</v>
      </c>
      <c r="I168" s="18" t="s">
        <v>2566</v>
      </c>
      <c r="J168" s="212"/>
      <c r="K168" s="212"/>
      <c r="N168" s="240" t="s">
        <v>41</v>
      </c>
      <c r="O168" s="241" t="s">
        <v>194</v>
      </c>
      <c r="P168" s="241" t="s">
        <v>180</v>
      </c>
      <c r="Q168" s="242" t="s">
        <v>2087</v>
      </c>
      <c r="R168" s="62"/>
    </row>
    <row r="169" ht="15.75" customHeight="1">
      <c r="A169" s="11" t="s">
        <v>13</v>
      </c>
      <c r="B169" s="205" t="s">
        <v>1720</v>
      </c>
      <c r="C169" s="69" t="str">
        <f t="shared" si="19"/>
        <v>Quinta-Feira</v>
      </c>
      <c r="D169" s="445" t="str">
        <f>IF(C169&lt;&gt;"Quarta-Feira","14:00","09:00")</f>
        <v>14:00</v>
      </c>
      <c r="E169" s="218" t="s">
        <v>3129</v>
      </c>
      <c r="F169" s="206">
        <v>2.1014915483E14</v>
      </c>
      <c r="G169" s="205" t="s">
        <v>3130</v>
      </c>
      <c r="H169" s="432">
        <v>15317.0</v>
      </c>
      <c r="I169" s="18" t="s">
        <v>41</v>
      </c>
      <c r="J169" s="212"/>
      <c r="K169" s="212"/>
      <c r="N169" s="244">
        <f t="shared" ref="N169:Q169" si="20">COUNTIFS($I$130:$I$141,N168)</f>
        <v>9</v>
      </c>
      <c r="O169" s="244">
        <f t="shared" si="20"/>
        <v>0</v>
      </c>
      <c r="P169" s="244">
        <f t="shared" si="20"/>
        <v>0</v>
      </c>
      <c r="Q169" s="244">
        <f t="shared" si="20"/>
        <v>3</v>
      </c>
      <c r="R169" s="62"/>
    </row>
    <row r="170" ht="15.75" customHeight="1">
      <c r="A170" s="11" t="s">
        <v>14</v>
      </c>
      <c r="B170" s="205" t="s">
        <v>1795</v>
      </c>
      <c r="C170" s="69" t="str">
        <f t="shared" si="19"/>
        <v>Quinta-Feira</v>
      </c>
      <c r="D170" s="445" t="str">
        <f>IF(C170&lt;&gt;"Quarta-Feira","14:20","09:20")</f>
        <v>14:20</v>
      </c>
      <c r="E170" s="218" t="s">
        <v>3131</v>
      </c>
      <c r="F170" s="149">
        <v>8.98001446159088E14</v>
      </c>
      <c r="G170" s="148" t="s">
        <v>3132</v>
      </c>
      <c r="H170" s="344">
        <v>40599.0</v>
      </c>
      <c r="I170" s="18" t="s">
        <v>41</v>
      </c>
      <c r="J170" s="212"/>
      <c r="K170" s="212"/>
      <c r="R170" s="62"/>
    </row>
    <row r="171" ht="15.75" customHeight="1">
      <c r="A171" s="11" t="s">
        <v>15</v>
      </c>
      <c r="B171" s="205" t="s">
        <v>1789</v>
      </c>
      <c r="C171" s="69" t="str">
        <f t="shared" si="19"/>
        <v>Quinta-Feira</v>
      </c>
      <c r="D171" s="445" t="str">
        <f>IF(C171&lt;&gt;"Quarta-Feira","14:40","09:40")</f>
        <v>14:40</v>
      </c>
      <c r="E171" s="218" t="s">
        <v>3131</v>
      </c>
      <c r="F171" s="149">
        <v>8.98001446159088E14</v>
      </c>
      <c r="G171" s="148" t="s">
        <v>3133</v>
      </c>
      <c r="H171" s="344">
        <v>20075.0</v>
      </c>
      <c r="I171" s="18" t="s">
        <v>41</v>
      </c>
      <c r="J171" s="212"/>
      <c r="K171" s="212"/>
      <c r="R171" s="62"/>
    </row>
    <row r="172" ht="15.75" customHeight="1">
      <c r="A172" s="11" t="s">
        <v>16</v>
      </c>
      <c r="B172" s="205" t="s">
        <v>2652</v>
      </c>
      <c r="C172" s="69" t="str">
        <f t="shared" si="19"/>
        <v>Quinta-Feira</v>
      </c>
      <c r="D172" s="445" t="str">
        <f>IF(C172&lt;&gt;"Quarta-Feira","15:00","10:00")</f>
        <v>15:00</v>
      </c>
      <c r="E172" s="218" t="s">
        <v>3109</v>
      </c>
      <c r="F172" s="149">
        <v>7.01008899527795E14</v>
      </c>
      <c r="G172" s="148" t="s">
        <v>3110</v>
      </c>
      <c r="H172" s="344">
        <v>28044.0</v>
      </c>
      <c r="I172" s="18" t="s">
        <v>41</v>
      </c>
      <c r="J172" s="212"/>
      <c r="K172" s="212"/>
      <c r="R172" s="62"/>
    </row>
    <row r="173" ht="15.75" customHeight="1">
      <c r="A173" s="11" t="s">
        <v>17</v>
      </c>
      <c r="B173" s="205" t="s">
        <v>2655</v>
      </c>
      <c r="C173" s="69" t="str">
        <f t="shared" si="19"/>
        <v>Quinta-Feira</v>
      </c>
      <c r="D173" s="445" t="str">
        <f>IF(C173&lt;&gt;"Quarta-Feira","15:20","10:20")</f>
        <v>15:20</v>
      </c>
      <c r="E173" s="218" t="s">
        <v>3134</v>
      </c>
      <c r="F173" s="149">
        <v>7.06909108410432E14</v>
      </c>
      <c r="G173" s="148" t="s">
        <v>3135</v>
      </c>
      <c r="H173" s="344">
        <v>9892.0</v>
      </c>
      <c r="I173" s="18" t="s">
        <v>41</v>
      </c>
      <c r="J173" s="212"/>
      <c r="K173" s="212"/>
      <c r="R173" s="62"/>
    </row>
    <row r="174" ht="15.75" customHeight="1">
      <c r="A174" s="11" t="s">
        <v>85</v>
      </c>
      <c r="B174" s="205" t="s">
        <v>2658</v>
      </c>
      <c r="C174" s="69" t="str">
        <f t="shared" si="19"/>
        <v>Quinta-Feira</v>
      </c>
      <c r="D174" s="445" t="str">
        <f>IF(C174&lt;&gt;"Quarta-Feira","15:40","10:40")</f>
        <v>15:40</v>
      </c>
      <c r="E174" s="218" t="s">
        <v>3136</v>
      </c>
      <c r="F174" s="149">
        <v>2.10144476410005E14</v>
      </c>
      <c r="G174" s="148" t="s">
        <v>3137</v>
      </c>
      <c r="H174" s="344">
        <v>32162.0</v>
      </c>
      <c r="I174" s="18" t="s">
        <v>41</v>
      </c>
      <c r="J174" s="212"/>
      <c r="K174" s="212"/>
      <c r="R174" s="62"/>
    </row>
    <row r="175" ht="15.75" customHeight="1">
      <c r="A175" s="11" t="s">
        <v>87</v>
      </c>
      <c r="B175" s="205" t="s">
        <v>1734</v>
      </c>
      <c r="C175" s="69" t="str">
        <f t="shared" si="19"/>
        <v>Quinta-Feira</v>
      </c>
      <c r="D175" s="445" t="str">
        <f>IF(C175&lt;&gt;"Quarta-Feira","16:00","11:00")</f>
        <v>16:00</v>
      </c>
      <c r="E175" s="218"/>
      <c r="F175" s="149"/>
      <c r="G175" s="148" t="s">
        <v>3138</v>
      </c>
      <c r="H175" s="344"/>
      <c r="I175" s="18" t="s">
        <v>41</v>
      </c>
      <c r="J175" s="212"/>
      <c r="K175" s="212"/>
      <c r="R175" s="62"/>
    </row>
    <row r="176" ht="15.75" customHeight="1">
      <c r="A176" s="11" t="s">
        <v>90</v>
      </c>
      <c r="B176" s="205" t="s">
        <v>2658</v>
      </c>
      <c r="C176" s="69" t="str">
        <f t="shared" si="19"/>
        <v>Quinta-Feira</v>
      </c>
      <c r="D176" s="445" t="str">
        <f>IF(C176&lt;&gt;"Quarta-Feira","16:20","11:20")</f>
        <v>16:20</v>
      </c>
      <c r="E176" s="218" t="s">
        <v>3139</v>
      </c>
      <c r="F176" s="149">
        <v>7.0250975313864E14</v>
      </c>
      <c r="G176" s="148" t="s">
        <v>3140</v>
      </c>
      <c r="H176" s="344">
        <v>23653.0</v>
      </c>
      <c r="I176" s="18" t="s">
        <v>2566</v>
      </c>
      <c r="J176" s="212"/>
      <c r="K176" s="212"/>
      <c r="R176" s="62"/>
    </row>
    <row r="177" ht="15.75" customHeight="1">
      <c r="A177" s="11" t="s">
        <v>93</v>
      </c>
      <c r="B177" s="205" t="s">
        <v>1734</v>
      </c>
      <c r="C177" s="69" t="str">
        <f t="shared" si="19"/>
        <v>Quinta-Feira</v>
      </c>
      <c r="D177" s="445" t="str">
        <f>IF(C177&lt;&gt;"Quarta-Feira","16:40","11:40")</f>
        <v>16:40</v>
      </c>
      <c r="E177" s="218" t="s">
        <v>3141</v>
      </c>
      <c r="F177" s="149">
        <v>7.06704519392818E14</v>
      </c>
      <c r="G177" s="148" t="s">
        <v>3142</v>
      </c>
      <c r="H177" s="344">
        <v>23736.0</v>
      </c>
      <c r="I177" s="18" t="s">
        <v>41</v>
      </c>
      <c r="J177" s="212"/>
      <c r="K177" s="212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>
      <c r="A330" s="438"/>
      <c r="B330" s="430"/>
      <c r="C330" s="275"/>
      <c r="D330" s="439"/>
      <c r="E330" s="254"/>
      <c r="F330" s="440"/>
      <c r="G330" s="441"/>
      <c r="H330" s="255"/>
      <c r="I330" s="442"/>
      <c r="J330" s="443"/>
      <c r="K330" s="443"/>
      <c r="R330" s="62"/>
    </row>
    <row r="331" ht="15.75" customHeight="1">
      <c r="A331" s="438"/>
      <c r="B331" s="430"/>
      <c r="C331" s="275"/>
      <c r="D331" s="439"/>
      <c r="E331" s="254"/>
      <c r="F331" s="440"/>
      <c r="G331" s="441"/>
      <c r="H331" s="255"/>
      <c r="I331" s="442"/>
      <c r="J331" s="443"/>
      <c r="K331" s="443"/>
      <c r="R331" s="62"/>
    </row>
    <row r="332" ht="15.75" customHeight="1">
      <c r="A332" s="438"/>
      <c r="B332" s="430"/>
      <c r="C332" s="275"/>
      <c r="D332" s="439"/>
      <c r="E332" s="254"/>
      <c r="F332" s="440"/>
      <c r="G332" s="441"/>
      <c r="H332" s="255"/>
      <c r="I332" s="442"/>
      <c r="J332" s="443"/>
      <c r="K332" s="443"/>
      <c r="R332" s="62"/>
    </row>
    <row r="333" ht="15.75" customHeight="1">
      <c r="A333" s="438"/>
      <c r="B333" s="430"/>
      <c r="C333" s="275"/>
      <c r="D333" s="439"/>
      <c r="E333" s="254"/>
      <c r="F333" s="440"/>
      <c r="G333" s="441"/>
      <c r="H333" s="255"/>
      <c r="I333" s="442"/>
      <c r="J333" s="443"/>
      <c r="K333" s="443"/>
      <c r="R333" s="62"/>
    </row>
    <row r="334" ht="15.75" customHeight="1">
      <c r="A334" s="438"/>
      <c r="B334" s="430"/>
      <c r="C334" s="275"/>
      <c r="D334" s="439"/>
      <c r="E334" s="254"/>
      <c r="F334" s="440"/>
      <c r="G334" s="441"/>
      <c r="H334" s="255"/>
      <c r="I334" s="442"/>
      <c r="J334" s="443"/>
      <c r="K334" s="443"/>
      <c r="R334" s="62"/>
    </row>
    <row r="335" ht="15.75" customHeight="1">
      <c r="A335" s="438"/>
      <c r="B335" s="430"/>
      <c r="C335" s="275"/>
      <c r="D335" s="439"/>
      <c r="E335" s="254"/>
      <c r="F335" s="440"/>
      <c r="G335" s="441"/>
      <c r="H335" s="255"/>
      <c r="I335" s="442"/>
      <c r="J335" s="443"/>
      <c r="K335" s="443"/>
      <c r="R335" s="62"/>
    </row>
    <row r="336" ht="15.75" customHeight="1">
      <c r="A336" s="438"/>
      <c r="B336" s="430"/>
      <c r="C336" s="275"/>
      <c r="D336" s="439"/>
      <c r="E336" s="254"/>
      <c r="F336" s="440"/>
      <c r="G336" s="441"/>
      <c r="H336" s="255"/>
      <c r="I336" s="442"/>
      <c r="J336" s="443"/>
      <c r="K336" s="443"/>
      <c r="R336" s="62"/>
    </row>
    <row r="337" ht="15.75" customHeight="1">
      <c r="A337" s="438"/>
      <c r="B337" s="430"/>
      <c r="C337" s="275"/>
      <c r="D337" s="439"/>
      <c r="E337" s="254"/>
      <c r="F337" s="440"/>
      <c r="G337" s="441"/>
      <c r="H337" s="255"/>
      <c r="I337" s="442"/>
      <c r="J337" s="443"/>
      <c r="K337" s="443"/>
      <c r="R337" s="62"/>
    </row>
    <row r="338" ht="15.75" customHeight="1">
      <c r="A338" s="438"/>
      <c r="B338" s="430"/>
      <c r="C338" s="275"/>
      <c r="D338" s="439"/>
      <c r="E338" s="254"/>
      <c r="F338" s="440"/>
      <c r="G338" s="441"/>
      <c r="H338" s="255"/>
      <c r="I338" s="442"/>
      <c r="J338" s="443"/>
      <c r="K338" s="443"/>
      <c r="R338" s="62"/>
    </row>
    <row r="339" ht="15.75" customHeight="1">
      <c r="A339" s="438"/>
      <c r="B339" s="430"/>
      <c r="C339" s="275"/>
      <c r="D339" s="439"/>
      <c r="E339" s="254"/>
      <c r="F339" s="440"/>
      <c r="G339" s="441"/>
      <c r="H339" s="255"/>
      <c r="I339" s="442"/>
      <c r="J339" s="443"/>
      <c r="K339" s="443"/>
      <c r="R339" s="62"/>
    </row>
    <row r="340" ht="15.75" customHeight="1">
      <c r="A340" s="438"/>
      <c r="B340" s="430"/>
      <c r="C340" s="275"/>
      <c r="D340" s="439"/>
      <c r="E340" s="254"/>
      <c r="F340" s="440"/>
      <c r="G340" s="441"/>
      <c r="H340" s="255"/>
      <c r="I340" s="442"/>
      <c r="J340" s="443"/>
      <c r="K340" s="443"/>
      <c r="R340" s="62"/>
    </row>
    <row r="341" ht="15.75" customHeight="1">
      <c r="A341" s="438"/>
      <c r="B341" s="430"/>
      <c r="C341" s="275"/>
      <c r="D341" s="439"/>
      <c r="E341" s="254"/>
      <c r="F341" s="440"/>
      <c r="G341" s="441"/>
      <c r="H341" s="255"/>
      <c r="I341" s="442"/>
      <c r="J341" s="443"/>
      <c r="K341" s="443"/>
      <c r="R341" s="62"/>
    </row>
    <row r="342" ht="15.75" customHeight="1">
      <c r="A342" s="438"/>
      <c r="B342" s="430"/>
      <c r="C342" s="275"/>
      <c r="D342" s="439"/>
      <c r="E342" s="254"/>
      <c r="F342" s="440"/>
      <c r="G342" s="441"/>
      <c r="H342" s="255"/>
      <c r="I342" s="442"/>
      <c r="J342" s="443"/>
      <c r="K342" s="443"/>
      <c r="R342" s="62"/>
    </row>
    <row r="343" ht="15.75" customHeight="1">
      <c r="A343" s="438"/>
      <c r="B343" s="430"/>
      <c r="C343" s="275"/>
      <c r="D343" s="439"/>
      <c r="E343" s="254"/>
      <c r="F343" s="440"/>
      <c r="G343" s="441"/>
      <c r="H343" s="255"/>
      <c r="I343" s="442"/>
      <c r="J343" s="443"/>
      <c r="K343" s="443"/>
      <c r="R343" s="62"/>
    </row>
    <row r="344" ht="15.75" customHeight="1">
      <c r="A344" s="438"/>
      <c r="B344" s="430"/>
      <c r="C344" s="275"/>
      <c r="D344" s="439"/>
      <c r="E344" s="254"/>
      <c r="F344" s="440"/>
      <c r="G344" s="441"/>
      <c r="H344" s="255"/>
      <c r="I344" s="442"/>
      <c r="J344" s="443"/>
      <c r="K344" s="443"/>
      <c r="R344" s="62"/>
    </row>
    <row r="345" ht="15.75" customHeight="1">
      <c r="A345" s="438"/>
      <c r="B345" s="430"/>
      <c r="C345" s="275"/>
      <c r="D345" s="439"/>
      <c r="E345" s="254"/>
      <c r="F345" s="440"/>
      <c r="G345" s="441"/>
      <c r="H345" s="255"/>
      <c r="I345" s="442"/>
      <c r="J345" s="443"/>
      <c r="K345" s="443"/>
      <c r="R345" s="62"/>
    </row>
    <row r="346" ht="15.75" customHeight="1">
      <c r="A346" s="438"/>
      <c r="B346" s="430"/>
      <c r="C346" s="275"/>
      <c r="D346" s="439"/>
      <c r="E346" s="254"/>
      <c r="F346" s="440"/>
      <c r="G346" s="441"/>
      <c r="H346" s="255"/>
      <c r="I346" s="442"/>
      <c r="J346" s="443"/>
      <c r="K346" s="443"/>
      <c r="R346" s="62"/>
    </row>
    <row r="347" ht="15.75" customHeight="1">
      <c r="A347" s="438"/>
      <c r="B347" s="430"/>
      <c r="C347" s="275"/>
      <c r="D347" s="439"/>
      <c r="E347" s="254"/>
      <c r="F347" s="440"/>
      <c r="G347" s="441"/>
      <c r="H347" s="255"/>
      <c r="I347" s="442"/>
      <c r="J347" s="443"/>
      <c r="K347" s="443"/>
      <c r="R347" s="62"/>
    </row>
    <row r="348" ht="15.75" customHeight="1">
      <c r="A348" s="438"/>
      <c r="B348" s="430"/>
      <c r="C348" s="275"/>
      <c r="D348" s="439"/>
      <c r="E348" s="254"/>
      <c r="F348" s="440"/>
      <c r="G348" s="441"/>
      <c r="H348" s="255"/>
      <c r="I348" s="442"/>
      <c r="J348" s="443"/>
      <c r="K348" s="443"/>
      <c r="R348" s="62"/>
    </row>
    <row r="349" ht="15.75" customHeight="1">
      <c r="A349" s="438"/>
      <c r="B349" s="430"/>
      <c r="C349" s="275"/>
      <c r="D349" s="439"/>
      <c r="E349" s="254"/>
      <c r="F349" s="440"/>
      <c r="G349" s="441"/>
      <c r="H349" s="255"/>
      <c r="I349" s="442"/>
      <c r="J349" s="443"/>
      <c r="K349" s="443"/>
      <c r="R349" s="62"/>
    </row>
    <row r="350" ht="15.75" customHeight="1">
      <c r="A350" s="438"/>
      <c r="B350" s="430"/>
      <c r="C350" s="275"/>
      <c r="D350" s="439"/>
      <c r="E350" s="254"/>
      <c r="F350" s="440"/>
      <c r="G350" s="441"/>
      <c r="H350" s="255"/>
      <c r="I350" s="442"/>
      <c r="J350" s="443"/>
      <c r="K350" s="443"/>
      <c r="R350" s="62"/>
    </row>
    <row r="351" ht="15.75" customHeight="1">
      <c r="A351" s="438"/>
      <c r="B351" s="430"/>
      <c r="C351" s="275"/>
      <c r="D351" s="439"/>
      <c r="E351" s="254"/>
      <c r="F351" s="440"/>
      <c r="G351" s="441"/>
      <c r="H351" s="255"/>
      <c r="I351" s="442"/>
      <c r="J351" s="443"/>
      <c r="K351" s="443"/>
      <c r="R351" s="62"/>
    </row>
    <row r="352" ht="15.75" customHeight="1">
      <c r="A352" s="438"/>
      <c r="B352" s="430"/>
      <c r="C352" s="275"/>
      <c r="D352" s="439"/>
      <c r="E352" s="254"/>
      <c r="F352" s="440"/>
      <c r="G352" s="441"/>
      <c r="H352" s="255"/>
      <c r="I352" s="442"/>
      <c r="J352" s="443"/>
      <c r="K352" s="443"/>
      <c r="R352" s="62"/>
    </row>
    <row r="353" ht="15.75" customHeight="1">
      <c r="A353" s="438"/>
      <c r="B353" s="430"/>
      <c r="C353" s="275"/>
      <c r="D353" s="439"/>
      <c r="E353" s="254"/>
      <c r="F353" s="440"/>
      <c r="G353" s="441"/>
      <c r="H353" s="255"/>
      <c r="I353" s="442"/>
      <c r="J353" s="443"/>
      <c r="K353" s="443"/>
      <c r="R353" s="62"/>
    </row>
    <row r="354" ht="15.75" customHeight="1">
      <c r="A354" s="438"/>
      <c r="B354" s="430"/>
      <c r="C354" s="275"/>
      <c r="D354" s="439"/>
      <c r="E354" s="254"/>
      <c r="F354" s="440"/>
      <c r="G354" s="441"/>
      <c r="H354" s="255"/>
      <c r="I354" s="442"/>
      <c r="J354" s="443"/>
      <c r="K354" s="443"/>
      <c r="R354" s="62"/>
    </row>
    <row r="355" ht="15.75" customHeight="1">
      <c r="A355" s="438"/>
      <c r="B355" s="430"/>
      <c r="C355" s="275"/>
      <c r="D355" s="439"/>
      <c r="E355" s="254"/>
      <c r="F355" s="440"/>
      <c r="G355" s="441"/>
      <c r="H355" s="255"/>
      <c r="I355" s="442"/>
      <c r="J355" s="443"/>
      <c r="K355" s="443"/>
      <c r="R355" s="62"/>
    </row>
    <row r="356" ht="15.75" customHeight="1">
      <c r="A356" s="438"/>
      <c r="B356" s="430"/>
      <c r="C356" s="275"/>
      <c r="D356" s="439"/>
      <c r="E356" s="254"/>
      <c r="F356" s="440"/>
      <c r="G356" s="441"/>
      <c r="H356" s="255"/>
      <c r="I356" s="442"/>
      <c r="J356" s="443"/>
      <c r="K356" s="443"/>
      <c r="R356" s="62"/>
    </row>
    <row r="357" ht="15.75" customHeight="1">
      <c r="A357" s="438"/>
      <c r="B357" s="430"/>
      <c r="C357" s="275"/>
      <c r="D357" s="439"/>
      <c r="E357" s="254"/>
      <c r="F357" s="440"/>
      <c r="G357" s="441"/>
      <c r="H357" s="255"/>
      <c r="I357" s="442"/>
      <c r="J357" s="443"/>
      <c r="K357" s="443"/>
      <c r="R357" s="62"/>
    </row>
    <row r="358" ht="15.75" customHeight="1">
      <c r="A358" s="438"/>
      <c r="B358" s="430"/>
      <c r="C358" s="275"/>
      <c r="D358" s="439"/>
      <c r="E358" s="254"/>
      <c r="F358" s="440"/>
      <c r="G358" s="441"/>
      <c r="H358" s="255"/>
      <c r="I358" s="442"/>
      <c r="J358" s="443"/>
      <c r="K358" s="443"/>
      <c r="R358" s="62"/>
    </row>
    <row r="359" ht="15.75" customHeight="1">
      <c r="A359" s="438"/>
      <c r="B359" s="430"/>
      <c r="C359" s="275"/>
      <c r="D359" s="439"/>
      <c r="E359" s="254"/>
      <c r="F359" s="440"/>
      <c r="G359" s="441"/>
      <c r="H359" s="255"/>
      <c r="I359" s="442"/>
      <c r="J359" s="443"/>
      <c r="K359" s="443"/>
      <c r="R359" s="62"/>
    </row>
    <row r="360" ht="15.75" customHeight="1">
      <c r="A360" s="438"/>
      <c r="B360" s="430"/>
      <c r="C360" s="275"/>
      <c r="D360" s="439"/>
      <c r="E360" s="254"/>
      <c r="F360" s="440"/>
      <c r="G360" s="441"/>
      <c r="H360" s="255"/>
      <c r="I360" s="442"/>
      <c r="J360" s="443"/>
      <c r="K360" s="443"/>
      <c r="R360" s="62"/>
    </row>
    <row r="361" ht="15.75" customHeight="1">
      <c r="A361" s="438"/>
      <c r="B361" s="430"/>
      <c r="C361" s="275"/>
      <c r="D361" s="439"/>
      <c r="E361" s="254"/>
      <c r="F361" s="440"/>
      <c r="G361" s="441"/>
      <c r="H361" s="255"/>
      <c r="I361" s="442"/>
      <c r="J361" s="443"/>
      <c r="K361" s="443"/>
      <c r="R361" s="62"/>
    </row>
    <row r="362" ht="15.75" customHeight="1">
      <c r="A362" s="438"/>
      <c r="B362" s="430"/>
      <c r="C362" s="275"/>
      <c r="D362" s="439"/>
      <c r="E362" s="254"/>
      <c r="F362" s="440"/>
      <c r="G362" s="441"/>
      <c r="H362" s="255"/>
      <c r="I362" s="442"/>
      <c r="J362" s="443"/>
      <c r="K362" s="443"/>
      <c r="R362" s="62"/>
    </row>
    <row r="363" ht="15.75" customHeight="1">
      <c r="A363" s="438"/>
      <c r="B363" s="430"/>
      <c r="C363" s="275"/>
      <c r="D363" s="439"/>
      <c r="E363" s="254"/>
      <c r="F363" s="440"/>
      <c r="G363" s="441"/>
      <c r="H363" s="255"/>
      <c r="I363" s="442"/>
      <c r="J363" s="443"/>
      <c r="K363" s="443"/>
      <c r="R363" s="62"/>
    </row>
    <row r="364" ht="15.75" customHeight="1">
      <c r="A364" s="438"/>
      <c r="B364" s="430"/>
      <c r="C364" s="275"/>
      <c r="D364" s="439"/>
      <c r="E364" s="254"/>
      <c r="F364" s="440"/>
      <c r="G364" s="441"/>
      <c r="H364" s="255"/>
      <c r="I364" s="442"/>
      <c r="J364" s="443"/>
      <c r="K364" s="443"/>
      <c r="R364" s="62"/>
    </row>
    <row r="365" ht="15.75" customHeight="1">
      <c r="A365" s="438"/>
      <c r="B365" s="430"/>
      <c r="C365" s="275"/>
      <c r="D365" s="439"/>
      <c r="E365" s="254"/>
      <c r="F365" s="440"/>
      <c r="G365" s="441"/>
      <c r="H365" s="255"/>
      <c r="I365" s="442"/>
      <c r="J365" s="443"/>
      <c r="K365" s="443"/>
      <c r="R365" s="62"/>
    </row>
    <row r="366" ht="15.75" customHeight="1">
      <c r="A366" s="438"/>
      <c r="B366" s="430"/>
      <c r="C366" s="275"/>
      <c r="D366" s="439"/>
      <c r="E366" s="254"/>
      <c r="F366" s="440"/>
      <c r="G366" s="441"/>
      <c r="H366" s="255"/>
      <c r="I366" s="442"/>
      <c r="J366" s="443"/>
      <c r="K366" s="443"/>
      <c r="R366" s="62"/>
    </row>
    <row r="367" ht="15.75" customHeight="1">
      <c r="A367" s="438"/>
      <c r="B367" s="430"/>
      <c r="C367" s="275"/>
      <c r="D367" s="439"/>
      <c r="E367" s="254"/>
      <c r="F367" s="440"/>
      <c r="G367" s="441"/>
      <c r="H367" s="255"/>
      <c r="I367" s="442"/>
      <c r="J367" s="443"/>
      <c r="K367" s="443"/>
      <c r="R367" s="62"/>
    </row>
    <row r="368" ht="15.75" customHeight="1">
      <c r="A368" s="438"/>
      <c r="B368" s="430"/>
      <c r="C368" s="275"/>
      <c r="D368" s="439"/>
      <c r="E368" s="254"/>
      <c r="F368" s="440"/>
      <c r="G368" s="441"/>
      <c r="H368" s="255"/>
      <c r="I368" s="442"/>
      <c r="J368" s="443"/>
      <c r="K368" s="443"/>
      <c r="R368" s="62"/>
    </row>
    <row r="369" ht="15.75" customHeight="1">
      <c r="A369" s="438"/>
      <c r="B369" s="430"/>
      <c r="C369" s="275"/>
      <c r="D369" s="439"/>
      <c r="E369" s="254"/>
      <c r="F369" s="440"/>
      <c r="G369" s="441"/>
      <c r="H369" s="255"/>
      <c r="I369" s="442"/>
      <c r="J369" s="443"/>
      <c r="K369" s="443"/>
      <c r="R369" s="62"/>
    </row>
    <row r="370" ht="15.75" customHeight="1">
      <c r="A370" s="438"/>
      <c r="B370" s="430"/>
      <c r="C370" s="275"/>
      <c r="D370" s="439"/>
      <c r="E370" s="254"/>
      <c r="F370" s="440"/>
      <c r="G370" s="441"/>
      <c r="H370" s="255"/>
      <c r="I370" s="442"/>
      <c r="J370" s="443"/>
      <c r="K370" s="443"/>
      <c r="R370" s="62"/>
    </row>
    <row r="371" ht="15.75" customHeight="1">
      <c r="A371" s="438"/>
      <c r="B371" s="430"/>
      <c r="C371" s="275"/>
      <c r="D371" s="439"/>
      <c r="E371" s="254"/>
      <c r="F371" s="440"/>
      <c r="G371" s="441"/>
      <c r="H371" s="255"/>
      <c r="I371" s="442"/>
      <c r="J371" s="443"/>
      <c r="K371" s="443"/>
      <c r="R371" s="62"/>
    </row>
    <row r="372" ht="15.75" customHeight="1">
      <c r="A372" s="438"/>
      <c r="B372" s="430"/>
      <c r="C372" s="275"/>
      <c r="D372" s="439"/>
      <c r="E372" s="254"/>
      <c r="F372" s="440"/>
      <c r="G372" s="441"/>
      <c r="H372" s="255"/>
      <c r="I372" s="442"/>
      <c r="J372" s="443"/>
      <c r="K372" s="443"/>
      <c r="R372" s="62"/>
    </row>
    <row r="373" ht="15.75" customHeight="1">
      <c r="A373" s="438"/>
      <c r="B373" s="430"/>
      <c r="C373" s="275"/>
      <c r="D373" s="439"/>
      <c r="E373" s="254"/>
      <c r="F373" s="440"/>
      <c r="G373" s="441"/>
      <c r="H373" s="255"/>
      <c r="I373" s="442"/>
      <c r="J373" s="443"/>
      <c r="K373" s="443"/>
      <c r="R373" s="62"/>
    </row>
    <row r="374" ht="15.75" customHeight="1">
      <c r="A374" s="438"/>
      <c r="B374" s="430"/>
      <c r="C374" s="275"/>
      <c r="D374" s="439"/>
      <c r="E374" s="254"/>
      <c r="F374" s="440"/>
      <c r="G374" s="441"/>
      <c r="H374" s="255"/>
      <c r="I374" s="442"/>
      <c r="J374" s="443"/>
      <c r="K374" s="443"/>
      <c r="R374" s="62"/>
    </row>
    <row r="375" ht="15.75" customHeight="1">
      <c r="A375" s="438"/>
      <c r="B375" s="430"/>
      <c r="C375" s="275"/>
      <c r="D375" s="439"/>
      <c r="E375" s="254"/>
      <c r="F375" s="440"/>
      <c r="G375" s="441"/>
      <c r="H375" s="255"/>
      <c r="I375" s="442"/>
      <c r="J375" s="443"/>
      <c r="K375" s="443"/>
      <c r="R375" s="62"/>
    </row>
    <row r="376" ht="15.75" customHeight="1">
      <c r="A376" s="438"/>
      <c r="B376" s="430"/>
      <c r="C376" s="275"/>
      <c r="D376" s="439"/>
      <c r="E376" s="254"/>
      <c r="F376" s="440"/>
      <c r="G376" s="441"/>
      <c r="H376" s="255"/>
      <c r="I376" s="442"/>
      <c r="J376" s="443"/>
      <c r="K376" s="443"/>
      <c r="R376" s="62"/>
    </row>
    <row r="377" ht="15.75" customHeight="1">
      <c r="A377" s="438"/>
      <c r="B377" s="430"/>
      <c r="C377" s="275"/>
      <c r="D377" s="439"/>
      <c r="E377" s="254"/>
      <c r="F377" s="440"/>
      <c r="G377" s="441"/>
      <c r="H377" s="255"/>
      <c r="I377" s="442"/>
      <c r="J377" s="443"/>
      <c r="K377" s="443"/>
      <c r="R377" s="62"/>
    </row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0">
    <mergeCell ref="A1:K1"/>
    <mergeCell ref="A2:K2"/>
    <mergeCell ref="N4:Q4"/>
    <mergeCell ref="N5:Q5"/>
    <mergeCell ref="A19:K19"/>
    <mergeCell ref="N22:Q22"/>
    <mergeCell ref="N23:Q23"/>
    <mergeCell ref="A20:K20"/>
    <mergeCell ref="A37:K37"/>
    <mergeCell ref="A38:K38"/>
    <mergeCell ref="N40:Q40"/>
    <mergeCell ref="N41:Q41"/>
    <mergeCell ref="A55:K55"/>
    <mergeCell ref="A56:K56"/>
    <mergeCell ref="N58:Q58"/>
    <mergeCell ref="N59:Q59"/>
    <mergeCell ref="A73:K73"/>
    <mergeCell ref="A74:K74"/>
    <mergeCell ref="N76:Q76"/>
    <mergeCell ref="N77:Q77"/>
    <mergeCell ref="A91:K91"/>
    <mergeCell ref="A92:K92"/>
    <mergeCell ref="N94:Q94"/>
    <mergeCell ref="N95:Q95"/>
    <mergeCell ref="A109:K109"/>
    <mergeCell ref="A110:K110"/>
    <mergeCell ref="N112:Q112"/>
    <mergeCell ref="N113:Q113"/>
    <mergeCell ref="A146:K146"/>
    <mergeCell ref="A163:K163"/>
    <mergeCell ref="A164:K164"/>
    <mergeCell ref="N166:Q166"/>
    <mergeCell ref="N167:Q167"/>
    <mergeCell ref="A127:K127"/>
    <mergeCell ref="A128:K128"/>
    <mergeCell ref="N130:Q130"/>
    <mergeCell ref="N131:Q131"/>
    <mergeCell ref="A145:K145"/>
    <mergeCell ref="N148:Q148"/>
    <mergeCell ref="N149:Q149"/>
  </mergeCells>
  <dataValidations>
    <dataValidation type="list" allowBlank="1" showErrorMessage="1" sqref="I4:I15 I22:I33 I40:I51 I58:I69 I76:I87 I94:I105 I112:I123 I130:I141 I148:I159 I166:I177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5.0"/>
    <col customWidth="1" min="8" max="8" width="15.75"/>
    <col customWidth="1" min="9" max="9" width="20.38"/>
    <col customWidth="1" min="10" max="10" width="15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3143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426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125" t="s">
        <v>757</v>
      </c>
      <c r="C4" s="69" t="str">
        <f t="shared" ref="C4:C15" si="1">PROPER(TEXT(DATE(MID($A$56,7,4),MID($A$56,4,2),LEFT($A$56,2)),"dddd"))</f>
        <v>Sexta-Feira</v>
      </c>
      <c r="D4" s="445" t="str">
        <f>IF(C4&lt;&gt;"Quarta-Feira","13:00","08:00")</f>
        <v>13:00</v>
      </c>
      <c r="E4" s="498"/>
      <c r="F4" s="499"/>
      <c r="G4" s="500" t="s">
        <v>2798</v>
      </c>
      <c r="H4" s="501"/>
      <c r="I4" s="30"/>
      <c r="J4" s="69"/>
      <c r="K4" s="69"/>
      <c r="N4" s="237" t="s">
        <v>386</v>
      </c>
      <c r="O4" s="95"/>
      <c r="P4" s="95"/>
      <c r="Q4" s="95"/>
      <c r="R4" s="95"/>
    </row>
    <row r="5" ht="15.75" customHeight="1">
      <c r="A5" s="11" t="s">
        <v>15</v>
      </c>
      <c r="B5" s="125" t="s">
        <v>1467</v>
      </c>
      <c r="C5" s="69" t="str">
        <f t="shared" si="1"/>
        <v>Sexta-Feira</v>
      </c>
      <c r="D5" s="445" t="str">
        <f>IF(C5&lt;&gt;"Quarta-Feira","13:20","08:20")</f>
        <v>13:20</v>
      </c>
      <c r="E5" s="498"/>
      <c r="F5" s="499"/>
      <c r="G5" s="500" t="s">
        <v>2798</v>
      </c>
      <c r="H5" s="501"/>
      <c r="I5" s="30"/>
      <c r="J5" s="69"/>
      <c r="K5" s="69"/>
      <c r="R5" s="62"/>
    </row>
    <row r="6" ht="15.75" customHeight="1">
      <c r="A6" s="11" t="s">
        <v>12</v>
      </c>
      <c r="B6" s="125" t="s">
        <v>216</v>
      </c>
      <c r="C6" s="69" t="str">
        <f t="shared" si="1"/>
        <v>Sexta-Feira</v>
      </c>
      <c r="D6" s="445" t="str">
        <f>IF(C6&lt;&gt;"Quarta-Feira","13:40","08:40")</f>
        <v>13:40</v>
      </c>
      <c r="E6" s="498"/>
      <c r="F6" s="499"/>
      <c r="G6" s="500" t="s">
        <v>2798</v>
      </c>
      <c r="H6" s="501"/>
      <c r="I6" s="30"/>
      <c r="J6" s="69"/>
      <c r="K6" s="69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customHeight="1">
      <c r="A7" s="11" t="s">
        <v>13</v>
      </c>
      <c r="B7" s="125" t="s">
        <v>197</v>
      </c>
      <c r="C7" s="69" t="str">
        <f t="shared" si="1"/>
        <v>Sexta-Feira</v>
      </c>
      <c r="D7" s="445" t="str">
        <f>IF(C7&lt;&gt;"Quarta-Feira","14:00","09:00")</f>
        <v>14:00</v>
      </c>
      <c r="E7" s="498"/>
      <c r="F7" s="499"/>
      <c r="G7" s="500" t="s">
        <v>2798</v>
      </c>
      <c r="H7" s="501"/>
      <c r="I7" s="30"/>
      <c r="J7" s="69"/>
      <c r="K7" s="69"/>
      <c r="N7" s="244">
        <f t="shared" ref="N7:Q7" si="2">COUNTIFS($I$58:$I$69,N6)</f>
        <v>3</v>
      </c>
      <c r="O7" s="244">
        <f t="shared" si="2"/>
        <v>0</v>
      </c>
      <c r="P7" s="244">
        <f t="shared" si="2"/>
        <v>0</v>
      </c>
      <c r="Q7" s="244">
        <f t="shared" si="2"/>
        <v>0</v>
      </c>
      <c r="R7" s="62">
        <f>COUNTIFS(I4:I15,R6)</f>
        <v>0</v>
      </c>
    </row>
    <row r="8" ht="15.75" customHeight="1">
      <c r="A8" s="11" t="s">
        <v>14</v>
      </c>
      <c r="B8" s="125" t="s">
        <v>757</v>
      </c>
      <c r="C8" s="69" t="str">
        <f t="shared" si="1"/>
        <v>Sexta-Feira</v>
      </c>
      <c r="D8" s="445" t="str">
        <f>IF(C8&lt;&gt;"Quarta-Feira","14:20","09:20")</f>
        <v>14:20</v>
      </c>
      <c r="E8" s="498"/>
      <c r="F8" s="499"/>
      <c r="G8" s="500" t="s">
        <v>2798</v>
      </c>
      <c r="H8" s="501"/>
      <c r="I8" s="30"/>
      <c r="J8" s="69"/>
      <c r="K8" s="69"/>
      <c r="R8" s="62"/>
    </row>
    <row r="9" ht="15.75" customHeight="1">
      <c r="A9" s="11" t="s">
        <v>11</v>
      </c>
      <c r="B9" s="125" t="s">
        <v>1467</v>
      </c>
      <c r="C9" s="69" t="str">
        <f t="shared" si="1"/>
        <v>Sexta-Feira</v>
      </c>
      <c r="D9" s="445" t="str">
        <f>IF(C9&lt;&gt;"Quarta-Feira","14:40","09:40")</f>
        <v>14:40</v>
      </c>
      <c r="E9" s="498"/>
      <c r="F9" s="499"/>
      <c r="G9" s="500" t="s">
        <v>2798</v>
      </c>
      <c r="H9" s="502"/>
      <c r="I9" s="30"/>
      <c r="J9" s="69"/>
      <c r="K9" s="69"/>
      <c r="N9" s="239" t="s">
        <v>1823</v>
      </c>
      <c r="O9" s="2"/>
      <c r="P9" s="2"/>
      <c r="Q9" s="2"/>
      <c r="R9" s="2"/>
    </row>
    <row r="10" ht="15.75" customHeight="1">
      <c r="A10" s="11" t="s">
        <v>16</v>
      </c>
      <c r="B10" s="125" t="s">
        <v>216</v>
      </c>
      <c r="C10" s="69" t="str">
        <f t="shared" si="1"/>
        <v>Sexta-Feira</v>
      </c>
      <c r="D10" s="445" t="str">
        <f>IF(C10&lt;&gt;"Quarta-Feira","15:00","10:00")</f>
        <v>15:00</v>
      </c>
      <c r="E10" s="498"/>
      <c r="F10" s="499"/>
      <c r="G10" s="500" t="s">
        <v>2798</v>
      </c>
      <c r="H10" s="501"/>
      <c r="I10" s="30"/>
      <c r="J10" s="69"/>
      <c r="K10" s="69"/>
      <c r="R10" s="62"/>
    </row>
    <row r="11" ht="15.75" customHeight="1">
      <c r="A11" s="11" t="s">
        <v>17</v>
      </c>
      <c r="B11" s="125" t="s">
        <v>197</v>
      </c>
      <c r="C11" s="69" t="str">
        <f t="shared" si="1"/>
        <v>Sexta-Feira</v>
      </c>
      <c r="D11" s="445" t="str">
        <f>IF(C11&lt;&gt;"Quarta-Feira","15:20","10:20")</f>
        <v>15:20</v>
      </c>
      <c r="E11" s="498"/>
      <c r="F11" s="499"/>
      <c r="G11" s="500" t="s">
        <v>2798</v>
      </c>
      <c r="H11" s="501"/>
      <c r="I11" s="30"/>
      <c r="J11" s="69"/>
      <c r="K11" s="69"/>
      <c r="R11" s="62"/>
    </row>
    <row r="12" ht="15.75" customHeight="1">
      <c r="A12" s="11" t="s">
        <v>85</v>
      </c>
      <c r="B12" s="125" t="s">
        <v>1467</v>
      </c>
      <c r="C12" s="69" t="str">
        <f t="shared" si="1"/>
        <v>Sexta-Feira</v>
      </c>
      <c r="D12" s="445" t="str">
        <f>IF(C12&lt;&gt;"Quarta-Feira","15:40","10:40")</f>
        <v>15:40</v>
      </c>
      <c r="E12" s="498"/>
      <c r="F12" s="499"/>
      <c r="G12" s="500" t="s">
        <v>2798</v>
      </c>
      <c r="H12" s="501"/>
      <c r="I12" s="30"/>
      <c r="J12" s="69"/>
      <c r="K12" s="69"/>
      <c r="R12" s="62"/>
    </row>
    <row r="13" ht="15.75" customHeight="1">
      <c r="A13" s="11" t="s">
        <v>87</v>
      </c>
      <c r="B13" s="125" t="s">
        <v>757</v>
      </c>
      <c r="C13" s="69" t="str">
        <f t="shared" si="1"/>
        <v>Sexta-Feira</v>
      </c>
      <c r="D13" s="445" t="str">
        <f>IF(C13&lt;&gt;"Quarta-Feira","16:00","11:00")</f>
        <v>16:00</v>
      </c>
      <c r="E13" s="498"/>
      <c r="F13" s="503"/>
      <c r="G13" s="500" t="s">
        <v>2798</v>
      </c>
      <c r="H13" s="501"/>
      <c r="I13" s="30"/>
      <c r="J13" s="69"/>
      <c r="K13" s="69"/>
      <c r="R13" s="62"/>
    </row>
    <row r="14" ht="15.75" customHeight="1">
      <c r="A14" s="11" t="s">
        <v>90</v>
      </c>
      <c r="B14" s="125" t="s">
        <v>757</v>
      </c>
      <c r="C14" s="69" t="str">
        <f t="shared" si="1"/>
        <v>Sexta-Feira</v>
      </c>
      <c r="D14" s="445" t="str">
        <f>IF(C14&lt;&gt;"Quarta-Feira","16:20","11:20")</f>
        <v>16:20</v>
      </c>
      <c r="E14" s="498"/>
      <c r="F14" s="499"/>
      <c r="G14" s="500" t="s">
        <v>2798</v>
      </c>
      <c r="H14" s="504"/>
      <c r="I14" s="30"/>
      <c r="J14" s="69"/>
      <c r="K14" s="69"/>
      <c r="R14" s="62"/>
    </row>
    <row r="15" ht="15.75" customHeight="1">
      <c r="A15" s="11" t="s">
        <v>93</v>
      </c>
      <c r="B15" s="125" t="s">
        <v>757</v>
      </c>
      <c r="C15" s="69" t="str">
        <f t="shared" si="1"/>
        <v>Sexta-Feira</v>
      </c>
      <c r="D15" s="445" t="str">
        <f>IF(C15&lt;&gt;"Quarta-Feira","16:40","11:40")</f>
        <v>16:40</v>
      </c>
      <c r="E15" s="498"/>
      <c r="F15" s="499"/>
      <c r="G15" s="500" t="s">
        <v>2798</v>
      </c>
      <c r="H15" s="501"/>
      <c r="I15" s="30"/>
      <c r="J15" s="69"/>
      <c r="K15" s="69"/>
      <c r="R15" s="62"/>
    </row>
    <row r="16" ht="15.75" customHeight="1">
      <c r="A16" s="505"/>
      <c r="B16" s="505"/>
      <c r="C16" s="505"/>
      <c r="D16" s="505"/>
      <c r="E16" s="505"/>
      <c r="F16" s="505"/>
      <c r="G16" s="505"/>
      <c r="H16" s="505"/>
      <c r="I16" s="505"/>
      <c r="J16" s="505"/>
      <c r="K16" s="505"/>
      <c r="R16" s="62"/>
    </row>
    <row r="17" ht="15.75" customHeight="1">
      <c r="A17" s="505"/>
      <c r="B17" s="505"/>
      <c r="C17" s="505"/>
      <c r="D17" s="505"/>
      <c r="E17" s="505"/>
      <c r="F17" s="505"/>
      <c r="G17" s="505"/>
      <c r="H17" s="505"/>
      <c r="I17" s="505"/>
      <c r="J17" s="505"/>
      <c r="K17" s="505"/>
      <c r="R17" s="62"/>
    </row>
    <row r="18" ht="15.75" customHeight="1">
      <c r="A18" s="505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R18" s="62"/>
    </row>
    <row r="19" ht="15.75" customHeight="1">
      <c r="A19" s="20" t="s">
        <v>377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">
        <v>3144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426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1980</v>
      </c>
      <c r="C22" s="69" t="str">
        <f t="shared" ref="C22:C33" si="3">PROPER(TEXT(DATE(MID($A$20,7,4),MID($A$20,4,2),LEFT($A$20,2)),"dddd"))</f>
        <v>Segunda-Feira</v>
      </c>
      <c r="D22" s="445" t="str">
        <f>IF(C22&lt;&gt;"Quarta-Feira","13:00","08:00")</f>
        <v>13:00</v>
      </c>
      <c r="E22" s="253" t="s">
        <v>3145</v>
      </c>
      <c r="F22" s="206">
        <v>7.04504396357616E14</v>
      </c>
      <c r="G22" s="125" t="s">
        <v>3146</v>
      </c>
      <c r="H22" s="126">
        <v>23675.0</v>
      </c>
      <c r="I22" s="30" t="s">
        <v>182</v>
      </c>
      <c r="J22" s="69"/>
      <c r="K22" s="69"/>
      <c r="L22" s="235" t="s">
        <v>385</v>
      </c>
      <c r="M22" s="236"/>
      <c r="N22" s="237" t="s">
        <v>386</v>
      </c>
      <c r="O22" s="95"/>
      <c r="P22" s="95"/>
      <c r="Q22" s="95"/>
      <c r="R22" s="95"/>
    </row>
    <row r="23" ht="15.75" customHeight="1">
      <c r="A23" s="11" t="s">
        <v>11</v>
      </c>
      <c r="B23" s="205" t="s">
        <v>1984</v>
      </c>
      <c r="C23" s="69" t="str">
        <f t="shared" si="3"/>
        <v>Segunda-Feira</v>
      </c>
      <c r="D23" s="445" t="str">
        <f>IF(C23&lt;&gt;"Quarta-Feira","13:20","08:20")</f>
        <v>13:20</v>
      </c>
      <c r="E23" s="253" t="s">
        <v>3147</v>
      </c>
      <c r="F23" s="446">
        <v>7.03600067326432E14</v>
      </c>
      <c r="G23" s="447" t="s">
        <v>3148</v>
      </c>
      <c r="H23" s="448">
        <v>21699.0</v>
      </c>
      <c r="I23" s="30" t="s">
        <v>182</v>
      </c>
      <c r="J23" s="69"/>
      <c r="K23" s="69"/>
      <c r="M23" s="236"/>
      <c r="N23" s="239" t="s">
        <v>1823</v>
      </c>
      <c r="O23" s="2"/>
      <c r="P23" s="2"/>
      <c r="Q23" s="2"/>
      <c r="R23" s="2"/>
    </row>
    <row r="24" ht="15.75" customHeight="1">
      <c r="A24" s="11" t="s">
        <v>12</v>
      </c>
      <c r="B24" s="205" t="s">
        <v>1988</v>
      </c>
      <c r="C24" s="69" t="str">
        <f t="shared" si="3"/>
        <v>Segunda-Feira</v>
      </c>
      <c r="D24" s="445" t="str">
        <f>IF(C24&lt;&gt;"Quarta-Feira","13:40","08:40")</f>
        <v>13:40</v>
      </c>
      <c r="E24" s="253" t="s">
        <v>3149</v>
      </c>
      <c r="F24" s="206">
        <v>7.05001293685556E14</v>
      </c>
      <c r="G24" s="125" t="s">
        <v>3150</v>
      </c>
      <c r="H24" s="126">
        <v>19944.0</v>
      </c>
      <c r="I24" s="30" t="s">
        <v>182</v>
      </c>
      <c r="J24" s="69"/>
      <c r="K24" s="69"/>
      <c r="L24" s="197" t="s">
        <v>393</v>
      </c>
      <c r="M24" s="236"/>
      <c r="N24" s="240" t="s">
        <v>182</v>
      </c>
      <c r="O24" s="241" t="s">
        <v>194</v>
      </c>
      <c r="P24" s="241" t="s">
        <v>180</v>
      </c>
      <c r="Q24" s="242" t="s">
        <v>172</v>
      </c>
      <c r="R24" s="62" t="s">
        <v>1822</v>
      </c>
    </row>
    <row r="25" ht="15.75" customHeight="1">
      <c r="A25" s="11" t="s">
        <v>13</v>
      </c>
      <c r="B25" s="205" t="s">
        <v>1991</v>
      </c>
      <c r="C25" s="69" t="str">
        <f t="shared" si="3"/>
        <v>Segunda-Feira</v>
      </c>
      <c r="D25" s="445" t="str">
        <f>IF(C25&lt;&gt;"Quarta-Feira","14:00","09:00")</f>
        <v>14:00</v>
      </c>
      <c r="E25" s="253" t="s">
        <v>3151</v>
      </c>
      <c r="F25" s="69">
        <v>7.0500643891175E14</v>
      </c>
      <c r="G25" s="125" t="s">
        <v>3152</v>
      </c>
      <c r="H25" s="429">
        <v>24264.0</v>
      </c>
      <c r="I25" s="30" t="s">
        <v>182</v>
      </c>
      <c r="J25" s="69"/>
      <c r="K25" s="69"/>
      <c r="M25" s="62"/>
      <c r="N25" s="244">
        <f t="shared" ref="N25:R25" si="4">COUNTIFS(I$22:I$33,N24)</f>
        <v>12</v>
      </c>
      <c r="O25" s="244">
        <f t="shared" si="4"/>
        <v>0</v>
      </c>
      <c r="P25" s="244">
        <f t="shared" si="4"/>
        <v>0</v>
      </c>
      <c r="Q25" s="244">
        <f t="shared" si="4"/>
        <v>0</v>
      </c>
      <c r="R25" s="449">
        <f t="shared" si="4"/>
        <v>0</v>
      </c>
      <c r="S25" s="343"/>
      <c r="T25" s="343"/>
      <c r="U25" s="343"/>
      <c r="V25" s="343"/>
      <c r="W25" s="343"/>
      <c r="X25" s="450"/>
    </row>
    <row r="26" ht="15.75" customHeight="1">
      <c r="A26" s="11" t="s">
        <v>14</v>
      </c>
      <c r="B26" s="205" t="s">
        <v>1980</v>
      </c>
      <c r="C26" s="69" t="str">
        <f t="shared" si="3"/>
        <v>Segunda-Feira</v>
      </c>
      <c r="D26" s="445" t="str">
        <f>IF(C26&lt;&gt;"Quarta-Feira","14:20","09:20")</f>
        <v>14:20</v>
      </c>
      <c r="E26" s="253" t="s">
        <v>3153</v>
      </c>
      <c r="F26" s="206">
        <v>7.0420558376429E14</v>
      </c>
      <c r="G26" s="265" t="s">
        <v>3154</v>
      </c>
      <c r="H26" s="451">
        <v>29420.0</v>
      </c>
      <c r="I26" s="30" t="s">
        <v>182</v>
      </c>
      <c r="J26" s="69"/>
      <c r="K26" s="69"/>
      <c r="L26" s="197" t="s">
        <v>402</v>
      </c>
      <c r="M26" s="62"/>
      <c r="N26" s="62"/>
      <c r="O26" s="62"/>
      <c r="P26" s="62"/>
      <c r="Q26" s="62"/>
      <c r="R26" s="62"/>
    </row>
    <row r="27" ht="15.75" customHeight="1">
      <c r="A27" s="11" t="s">
        <v>15</v>
      </c>
      <c r="B27" s="205" t="s">
        <v>1984</v>
      </c>
      <c r="C27" s="69" t="str">
        <f t="shared" si="3"/>
        <v>Segunda-Feira</v>
      </c>
      <c r="D27" s="445" t="str">
        <f>IF(C27&lt;&gt;"Quarta-Feira","14:40","09:40")</f>
        <v>14:40</v>
      </c>
      <c r="E27" s="253" t="s">
        <v>3155</v>
      </c>
      <c r="F27" s="452">
        <v>1.24702358140004E14</v>
      </c>
      <c r="G27" s="447" t="s">
        <v>1985</v>
      </c>
      <c r="H27" s="448">
        <v>25500.0</v>
      </c>
      <c r="I27" s="30" t="s">
        <v>182</v>
      </c>
      <c r="J27" s="69"/>
      <c r="K27" s="69"/>
      <c r="L27" s="197" t="s">
        <v>393</v>
      </c>
      <c r="R27" s="62"/>
    </row>
    <row r="28" ht="15.75" customHeight="1">
      <c r="A28" s="11" t="s">
        <v>16</v>
      </c>
      <c r="B28" s="205" t="s">
        <v>1988</v>
      </c>
      <c r="C28" s="69" t="str">
        <f t="shared" si="3"/>
        <v>Segunda-Feira</v>
      </c>
      <c r="D28" s="445" t="str">
        <f>IF(C28&lt;&gt;"Quarta-Feira","15:00","10:00")</f>
        <v>15:00</v>
      </c>
      <c r="E28" s="253" t="s">
        <v>3156</v>
      </c>
      <c r="F28" s="206">
        <v>7.01209017680017E14</v>
      </c>
      <c r="G28" s="125" t="s">
        <v>3157</v>
      </c>
      <c r="H28" s="126">
        <v>25144.0</v>
      </c>
      <c r="I28" s="30" t="s">
        <v>182</v>
      </c>
      <c r="J28" s="69"/>
      <c r="K28" s="69"/>
      <c r="L28" s="197" t="s">
        <v>393</v>
      </c>
      <c r="R28" s="62"/>
    </row>
    <row r="29" ht="15.75" customHeight="1">
      <c r="A29" s="11" t="s">
        <v>17</v>
      </c>
      <c r="B29" s="205" t="s">
        <v>1991</v>
      </c>
      <c r="C29" s="69" t="str">
        <f t="shared" si="3"/>
        <v>Segunda-Feira</v>
      </c>
      <c r="D29" s="445" t="str">
        <f>IF(C29&lt;&gt;"Quarta-Feira","15:20","10:20")</f>
        <v>15:20</v>
      </c>
      <c r="E29" s="253" t="s">
        <v>3158</v>
      </c>
      <c r="F29" s="206">
        <v>7.04206723680788E14</v>
      </c>
      <c r="G29" s="125" t="s">
        <v>3159</v>
      </c>
      <c r="H29" s="432">
        <v>26521.0</v>
      </c>
      <c r="I29" s="30" t="s">
        <v>182</v>
      </c>
      <c r="J29" s="69"/>
      <c r="K29" s="69"/>
      <c r="L29" s="197" t="s">
        <v>393</v>
      </c>
      <c r="R29" s="62"/>
    </row>
    <row r="30" ht="15.75" customHeight="1">
      <c r="A30" s="11" t="s">
        <v>85</v>
      </c>
      <c r="B30" s="205" t="s">
        <v>1980</v>
      </c>
      <c r="C30" s="69" t="str">
        <f t="shared" si="3"/>
        <v>Segunda-Feira</v>
      </c>
      <c r="D30" s="445" t="str">
        <f>IF(C30&lt;&gt;"Quarta-Feira","15:40","10:40")</f>
        <v>15:40</v>
      </c>
      <c r="E30" s="253" t="s">
        <v>3160</v>
      </c>
      <c r="F30" s="69">
        <v>7.08909761199411E14</v>
      </c>
      <c r="G30" s="154" t="s">
        <v>3161</v>
      </c>
      <c r="H30" s="78">
        <v>21153.0</v>
      </c>
      <c r="I30" s="30" t="s">
        <v>182</v>
      </c>
      <c r="J30" s="69"/>
      <c r="K30" s="69"/>
      <c r="L30" s="197" t="s">
        <v>393</v>
      </c>
      <c r="R30" s="62"/>
    </row>
    <row r="31" ht="15.75" customHeight="1">
      <c r="A31" s="11" t="s">
        <v>87</v>
      </c>
      <c r="B31" s="205" t="s">
        <v>1984</v>
      </c>
      <c r="C31" s="69" t="str">
        <f t="shared" si="3"/>
        <v>Segunda-Feira</v>
      </c>
      <c r="D31" s="445" t="str">
        <f>IF(C31&lt;&gt;"Quarta-Feira","16:00","11:00")</f>
        <v>16:00</v>
      </c>
      <c r="E31" s="253" t="s">
        <v>3162</v>
      </c>
      <c r="F31" s="69">
        <v>2.06880155430003E14</v>
      </c>
      <c r="G31" s="154" t="s">
        <v>3163</v>
      </c>
      <c r="H31" s="153">
        <v>22242.0</v>
      </c>
      <c r="I31" s="30" t="s">
        <v>182</v>
      </c>
      <c r="J31" s="69"/>
      <c r="K31" s="69"/>
      <c r="L31" s="197" t="s">
        <v>393</v>
      </c>
      <c r="R31" s="62"/>
    </row>
    <row r="32" ht="15.75" customHeight="1">
      <c r="A32" s="11" t="s">
        <v>90</v>
      </c>
      <c r="B32" s="205" t="s">
        <v>1988</v>
      </c>
      <c r="C32" s="69" t="str">
        <f t="shared" si="3"/>
        <v>Segunda-Feira</v>
      </c>
      <c r="D32" s="445" t="str">
        <f>IF(C32&lt;&gt;"Quarta-Feira","16:20","11:20")</f>
        <v>16:20</v>
      </c>
      <c r="E32" s="253" t="s">
        <v>2353</v>
      </c>
      <c r="F32" s="69">
        <v>7.05002419420255E14</v>
      </c>
      <c r="G32" s="154" t="s">
        <v>2354</v>
      </c>
      <c r="H32" s="153">
        <v>25212.0</v>
      </c>
      <c r="I32" s="30" t="s">
        <v>182</v>
      </c>
      <c r="J32" s="69"/>
      <c r="K32" s="69"/>
      <c r="L32" s="197" t="s">
        <v>393</v>
      </c>
      <c r="R32" s="62"/>
    </row>
    <row r="33" ht="15.75" customHeight="1">
      <c r="A33" s="11" t="s">
        <v>93</v>
      </c>
      <c r="B33" s="205" t="s">
        <v>1991</v>
      </c>
      <c r="C33" s="69" t="str">
        <f t="shared" si="3"/>
        <v>Segunda-Feira</v>
      </c>
      <c r="D33" s="445" t="str">
        <f>IF(C33&lt;&gt;"Quarta-Feira","16:40","11:40")</f>
        <v>16:40</v>
      </c>
      <c r="E33" s="253" t="s">
        <v>3164</v>
      </c>
      <c r="F33" s="69">
        <v>7.09604665279074E14</v>
      </c>
      <c r="G33" s="154" t="s">
        <v>3165</v>
      </c>
      <c r="H33" s="153">
        <v>22445.0</v>
      </c>
      <c r="I33" s="30" t="s">
        <v>182</v>
      </c>
      <c r="J33" s="69"/>
      <c r="K33" s="69"/>
      <c r="L33" s="197" t="s">
        <v>393</v>
      </c>
      <c r="R33" s="62"/>
    </row>
    <row r="34" ht="15.75" customHeight="1">
      <c r="B34" s="167"/>
      <c r="E34" s="231"/>
      <c r="G34" s="167"/>
      <c r="J34" s="62"/>
      <c r="K34" s="62"/>
      <c r="R34" s="62"/>
    </row>
    <row r="35" ht="15.75" customHeight="1">
      <c r="B35" s="167"/>
      <c r="E35" s="231"/>
      <c r="G35" s="167"/>
      <c r="J35" s="62"/>
      <c r="K35" s="62"/>
      <c r="R35" s="62"/>
    </row>
    <row r="36" ht="15.75" customHeight="1">
      <c r="B36" s="167"/>
      <c r="E36" s="231"/>
      <c r="G36" s="167"/>
      <c r="J36" s="62"/>
      <c r="K36" s="62"/>
      <c r="R36" s="62"/>
    </row>
    <row r="37" ht="15.75" customHeight="1">
      <c r="A37" s="20" t="s">
        <v>377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2.5" customHeight="1">
      <c r="A38" s="21" t="str">
        <f>TEXT(DATE(VALUE(MID(A20,7,4)),VALUE(MID(A20,4,2)),VALUE(LEFT(A20,2)))+2,"dd/mm/yyyy")&amp;" 08h às 13h"</f>
        <v>06/05/2026 08h às 13h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7.25" customHeight="1">
      <c r="A39" s="22"/>
      <c r="B39" s="426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125" t="s">
        <v>65</v>
      </c>
      <c r="C40" s="69" t="str">
        <f t="shared" ref="C40:C51" si="5">PROPER(TEXT(DATE(MID($A$38,7,4),MID($A$38,4,2),LEFT($A$38,2)),"dddd"))</f>
        <v>Quarta-Feira</v>
      </c>
      <c r="D40" s="445" t="str">
        <f>IF(C40&lt;&gt;"Quarta-Feira","13:00","08:00")</f>
        <v>08:00</v>
      </c>
      <c r="E40" s="253" t="s">
        <v>3166</v>
      </c>
      <c r="F40" s="69">
        <v>7.08401276700861E14</v>
      </c>
      <c r="G40" s="154" t="s">
        <v>3167</v>
      </c>
      <c r="H40" s="156">
        <v>23626.0</v>
      </c>
      <c r="I40" s="69" t="s">
        <v>182</v>
      </c>
      <c r="J40" s="69"/>
      <c r="K40" s="69"/>
      <c r="N40" s="237" t="s">
        <v>386</v>
      </c>
      <c r="O40" s="95"/>
      <c r="P40" s="95"/>
      <c r="Q40" s="95"/>
      <c r="R40" s="95"/>
    </row>
    <row r="41" ht="15.75" customHeight="1">
      <c r="A41" s="11" t="s">
        <v>11</v>
      </c>
      <c r="B41" s="125" t="s">
        <v>201</v>
      </c>
      <c r="C41" s="69" t="str">
        <f t="shared" si="5"/>
        <v>Quarta-Feira</v>
      </c>
      <c r="D41" s="445" t="str">
        <f>IF(C41&lt;&gt;"Quarta-Feira","13:20","08:20")</f>
        <v>08:20</v>
      </c>
      <c r="E41" s="253"/>
      <c r="F41" s="69"/>
      <c r="G41" s="154"/>
      <c r="H41" s="153"/>
      <c r="I41" s="69"/>
      <c r="J41" s="69"/>
      <c r="K41" s="69"/>
      <c r="N41" s="239" t="s">
        <v>1823</v>
      </c>
      <c r="O41" s="2"/>
      <c r="P41" s="2"/>
      <c r="Q41" s="2"/>
      <c r="R41" s="2"/>
    </row>
    <row r="42" ht="15.75" customHeight="1">
      <c r="A42" s="11" t="s">
        <v>12</v>
      </c>
      <c r="B42" s="125" t="s">
        <v>1447</v>
      </c>
      <c r="C42" s="69" t="str">
        <f t="shared" si="5"/>
        <v>Quarta-Feira</v>
      </c>
      <c r="D42" s="445" t="str">
        <f>IF(C42&lt;&gt;"Quarta-Feira","13:40","08:40")</f>
        <v>08:40</v>
      </c>
      <c r="E42" s="253" t="s">
        <v>3168</v>
      </c>
      <c r="F42" s="69">
        <v>7.06803723975425E14</v>
      </c>
      <c r="G42" s="154" t="s">
        <v>3169</v>
      </c>
      <c r="H42" s="153">
        <v>23992.0</v>
      </c>
      <c r="I42" s="69" t="s">
        <v>182</v>
      </c>
      <c r="J42" s="69"/>
      <c r="K42" s="69"/>
      <c r="N42" s="240" t="s">
        <v>182</v>
      </c>
      <c r="O42" s="241" t="s">
        <v>194</v>
      </c>
      <c r="P42" s="241" t="s">
        <v>180</v>
      </c>
      <c r="Q42" s="242" t="s">
        <v>172</v>
      </c>
      <c r="R42" s="242" t="s">
        <v>1822</v>
      </c>
    </row>
    <row r="43" ht="15.75" customHeight="1">
      <c r="A43" s="11" t="s">
        <v>13</v>
      </c>
      <c r="B43" s="125" t="s">
        <v>821</v>
      </c>
      <c r="C43" s="69" t="str">
        <f t="shared" si="5"/>
        <v>Quarta-Feira</v>
      </c>
      <c r="D43" s="445" t="str">
        <f>IF(C43&lt;&gt;"Quarta-Feira","14:00","09:00")</f>
        <v>09:00</v>
      </c>
      <c r="E43" s="253" t="s">
        <v>3170</v>
      </c>
      <c r="F43" s="197">
        <v>7.09605629983779E14</v>
      </c>
      <c r="G43" s="154" t="s">
        <v>3171</v>
      </c>
      <c r="H43" s="153">
        <v>17559.0</v>
      </c>
      <c r="I43" s="69" t="s">
        <v>182</v>
      </c>
      <c r="J43" s="69"/>
      <c r="K43" s="69"/>
      <c r="L43" s="197" t="s">
        <v>441</v>
      </c>
      <c r="N43" s="244">
        <f>COUNTIFS(I$40:I$51,N42)</f>
        <v>8</v>
      </c>
      <c r="O43" s="244">
        <f t="shared" ref="O43:R43" si="6">COUNTIFS($I$40:$I$51,O42)</f>
        <v>0</v>
      </c>
      <c r="P43" s="244">
        <f t="shared" si="6"/>
        <v>0</v>
      </c>
      <c r="Q43" s="244">
        <f t="shared" si="6"/>
        <v>0</v>
      </c>
      <c r="R43" s="62">
        <f t="shared" si="6"/>
        <v>0</v>
      </c>
    </row>
    <row r="44" ht="15.75" customHeight="1">
      <c r="A44" s="11" t="s">
        <v>14</v>
      </c>
      <c r="B44" s="125" t="s">
        <v>201</v>
      </c>
      <c r="C44" s="69" t="str">
        <f t="shared" si="5"/>
        <v>Quarta-Feira</v>
      </c>
      <c r="D44" s="445" t="str">
        <f>IF(C44&lt;&gt;"Quarta-Feira","14:20","09:20")</f>
        <v>09:20</v>
      </c>
      <c r="E44" s="253"/>
      <c r="F44" s="69"/>
      <c r="G44" s="154"/>
      <c r="H44" s="153"/>
      <c r="I44" s="69"/>
      <c r="J44" s="69"/>
      <c r="K44" s="69"/>
      <c r="L44" s="197" t="s">
        <v>441</v>
      </c>
      <c r="R44" s="62"/>
    </row>
    <row r="45" ht="15.75" customHeight="1">
      <c r="A45" s="11" t="s">
        <v>15</v>
      </c>
      <c r="B45" s="125" t="s">
        <v>1447</v>
      </c>
      <c r="C45" s="69" t="str">
        <f t="shared" si="5"/>
        <v>Quarta-Feira</v>
      </c>
      <c r="D45" s="445" t="str">
        <f>IF(C45&lt;&gt;"Quarta-Feira","14:40","09:40")</f>
        <v>09:40</v>
      </c>
      <c r="E45" s="253" t="s">
        <v>3172</v>
      </c>
      <c r="F45" s="69">
        <v>8.01440405303225E14</v>
      </c>
      <c r="G45" s="154" t="s">
        <v>3173</v>
      </c>
      <c r="H45" s="153">
        <v>25589.0</v>
      </c>
      <c r="I45" s="69" t="s">
        <v>182</v>
      </c>
      <c r="J45" s="69"/>
      <c r="K45" s="69"/>
      <c r="L45" s="197" t="s">
        <v>441</v>
      </c>
      <c r="R45" s="62"/>
    </row>
    <row r="46" ht="15.75" customHeight="1">
      <c r="A46" s="11" t="s">
        <v>16</v>
      </c>
      <c r="B46" s="125" t="s">
        <v>65</v>
      </c>
      <c r="C46" s="69" t="str">
        <f t="shared" si="5"/>
        <v>Quarta-Feira</v>
      </c>
      <c r="D46" s="445" t="str">
        <f>IF(C46&lt;&gt;"Quarta-Feira","15:00","10:00")</f>
        <v>10:00</v>
      </c>
      <c r="E46" s="253" t="s">
        <v>933</v>
      </c>
      <c r="F46" s="69">
        <v>7.03001859310477E14</v>
      </c>
      <c r="G46" s="154" t="s">
        <v>3174</v>
      </c>
      <c r="H46" s="153">
        <v>23757.0</v>
      </c>
      <c r="I46" s="69" t="s">
        <v>182</v>
      </c>
      <c r="J46" s="69"/>
      <c r="K46" s="69"/>
      <c r="L46" s="197" t="s">
        <v>441</v>
      </c>
      <c r="R46" s="62"/>
    </row>
    <row r="47" ht="15.75" customHeight="1">
      <c r="A47" s="11" t="s">
        <v>17</v>
      </c>
      <c r="B47" s="125" t="s">
        <v>201</v>
      </c>
      <c r="C47" s="69" t="str">
        <f t="shared" si="5"/>
        <v>Quarta-Feira</v>
      </c>
      <c r="D47" s="445" t="str">
        <f>IF(C47&lt;&gt;"Quarta-Feira","15:20","10:20")</f>
        <v>10:20</v>
      </c>
      <c r="E47" s="253"/>
      <c r="F47" s="69"/>
      <c r="G47" s="154"/>
      <c r="H47" s="153"/>
      <c r="I47" s="69"/>
      <c r="J47" s="69"/>
      <c r="K47" s="69"/>
      <c r="L47" s="197" t="s">
        <v>441</v>
      </c>
      <c r="R47" s="62"/>
    </row>
    <row r="48" ht="15.75" customHeight="1">
      <c r="A48" s="11" t="s">
        <v>85</v>
      </c>
      <c r="B48" s="125" t="s">
        <v>821</v>
      </c>
      <c r="C48" s="69" t="str">
        <f t="shared" si="5"/>
        <v>Quarta-Feira</v>
      </c>
      <c r="D48" s="445" t="str">
        <f>IF(C48&lt;&gt;"Quarta-Feira","15:40","10:40")</f>
        <v>10:40</v>
      </c>
      <c r="E48" s="253" t="s">
        <v>3175</v>
      </c>
      <c r="F48" s="69">
        <v>7.0410718639877E14</v>
      </c>
      <c r="G48" s="154" t="s">
        <v>3176</v>
      </c>
      <c r="H48" s="153">
        <v>18275.0</v>
      </c>
      <c r="I48" s="69" t="s">
        <v>182</v>
      </c>
      <c r="J48" s="69"/>
      <c r="K48" s="69"/>
      <c r="R48" s="62"/>
    </row>
    <row r="49" ht="15.75" customHeight="1">
      <c r="A49" s="11" t="s">
        <v>87</v>
      </c>
      <c r="B49" s="125" t="s">
        <v>1447</v>
      </c>
      <c r="C49" s="69" t="str">
        <f t="shared" si="5"/>
        <v>Quarta-Feira</v>
      </c>
      <c r="D49" s="445" t="str">
        <f>IF(C49&lt;&gt;"Quarta-Feira","16:00","11:00")</f>
        <v>11:00</v>
      </c>
      <c r="E49" s="253" t="s">
        <v>3177</v>
      </c>
      <c r="F49" s="69">
        <v>1.27371459390003E14</v>
      </c>
      <c r="G49" s="154" t="s">
        <v>3178</v>
      </c>
      <c r="H49" s="153">
        <v>27620.0</v>
      </c>
      <c r="I49" s="69" t="s">
        <v>182</v>
      </c>
      <c r="J49" s="69"/>
      <c r="K49" s="69"/>
      <c r="L49" s="197" t="s">
        <v>454</v>
      </c>
      <c r="R49" s="62"/>
    </row>
    <row r="50" ht="15.75" customHeight="1">
      <c r="A50" s="11" t="s">
        <v>90</v>
      </c>
      <c r="B50" s="125" t="s">
        <v>821</v>
      </c>
      <c r="C50" s="69" t="str">
        <f t="shared" si="5"/>
        <v>Quarta-Feira</v>
      </c>
      <c r="D50" s="445" t="str">
        <f>IF(C50&lt;&gt;"Quarta-Feira","16:20","11:20")</f>
        <v>11:20</v>
      </c>
      <c r="E50" s="253" t="s">
        <v>3179</v>
      </c>
      <c r="F50" s="69">
        <v>7.0420157768779E14</v>
      </c>
      <c r="G50" s="154" t="s">
        <v>3180</v>
      </c>
      <c r="H50" s="153">
        <v>19786.0</v>
      </c>
      <c r="I50" s="69" t="s">
        <v>182</v>
      </c>
      <c r="J50" s="69"/>
      <c r="K50" s="69"/>
      <c r="R50" s="62"/>
    </row>
    <row r="51" ht="15.75" customHeight="1">
      <c r="A51" s="11" t="s">
        <v>93</v>
      </c>
      <c r="B51" s="125" t="s">
        <v>65</v>
      </c>
      <c r="C51" s="69" t="str">
        <f t="shared" si="5"/>
        <v>Quarta-Feira</v>
      </c>
      <c r="D51" s="445" t="str">
        <f>IF(C51&lt;&gt;"Quarta-Feira","16:40","11:40")</f>
        <v>11:40</v>
      </c>
      <c r="E51" s="253" t="s">
        <v>3181</v>
      </c>
      <c r="F51" s="69">
        <v>7.00102954181315E14</v>
      </c>
      <c r="G51" s="154" t="s">
        <v>3182</v>
      </c>
      <c r="H51" s="153">
        <v>20839.0</v>
      </c>
      <c r="I51" s="69"/>
      <c r="J51" s="69"/>
      <c r="K51" s="69"/>
      <c r="R51" s="62"/>
    </row>
    <row r="52" ht="15.75" customHeight="1">
      <c r="B52" s="167"/>
      <c r="E52" s="231"/>
      <c r="G52" s="167"/>
      <c r="J52" s="62"/>
      <c r="K52" s="62"/>
      <c r="R52" s="62"/>
    </row>
    <row r="53" ht="15.75" customHeight="1">
      <c r="B53" s="167"/>
      <c r="E53" s="231"/>
      <c r="G53" s="167"/>
      <c r="J53" s="62"/>
      <c r="K53" s="62"/>
      <c r="R53" s="62"/>
    </row>
    <row r="54" ht="15.75" customHeight="1">
      <c r="B54" s="167"/>
      <c r="E54" s="231"/>
      <c r="G54" s="167"/>
      <c r="J54" s="62"/>
      <c r="K54" s="62"/>
      <c r="R54" s="62"/>
    </row>
    <row r="55" ht="15.75" customHeight="1">
      <c r="A55" s="506" t="s">
        <v>3183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08/05/2026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426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125" t="s">
        <v>757</v>
      </c>
      <c r="C58" s="69" t="str">
        <f t="shared" ref="C58:C69" si="7">PROPER(TEXT(DATE(MID($A$56,7,4),MID($A$56,4,2),LEFT($A$56,2)),"dddd"))</f>
        <v>Sexta-Feira</v>
      </c>
      <c r="D58" s="445" t="str">
        <f>IF(C58&lt;&gt;"Quarta-Feira","13:00","08:00")</f>
        <v>13:00</v>
      </c>
      <c r="E58" s="253" t="s">
        <v>3184</v>
      </c>
      <c r="F58" s="69">
        <v>8.98002117236261E14</v>
      </c>
      <c r="G58" s="154" t="s">
        <v>3185</v>
      </c>
      <c r="H58" s="193">
        <v>21037.0</v>
      </c>
      <c r="I58" s="30" t="s">
        <v>182</v>
      </c>
      <c r="J58" s="69"/>
      <c r="K58" s="69"/>
      <c r="N58" s="237" t="s">
        <v>386</v>
      </c>
      <c r="O58" s="95"/>
      <c r="P58" s="95"/>
      <c r="Q58" s="95"/>
      <c r="R58" s="95"/>
    </row>
    <row r="59" ht="15.75" customHeight="1">
      <c r="A59" s="11" t="s">
        <v>15</v>
      </c>
      <c r="B59" s="125" t="s">
        <v>1467</v>
      </c>
      <c r="C59" s="69" t="str">
        <f t="shared" si="7"/>
        <v>Sexta-Feira</v>
      </c>
      <c r="D59" s="445" t="str">
        <f>IF(C59&lt;&gt;"Quarta-Feira","13:20","08:20")</f>
        <v>13:20</v>
      </c>
      <c r="E59" s="253" t="s">
        <v>3186</v>
      </c>
      <c r="F59" s="69">
        <v>7.09201211924137E14</v>
      </c>
      <c r="G59" s="154" t="s">
        <v>3187</v>
      </c>
      <c r="H59" s="193">
        <v>26865.0</v>
      </c>
      <c r="I59" s="30"/>
      <c r="J59" s="69"/>
      <c r="K59" s="69"/>
      <c r="R59" s="62"/>
    </row>
    <row r="60" ht="15.75" customHeight="1">
      <c r="A60" s="11" t="s">
        <v>12</v>
      </c>
      <c r="B60" s="125" t="s">
        <v>216</v>
      </c>
      <c r="C60" s="69" t="str">
        <f t="shared" si="7"/>
        <v>Sexta-Feira</v>
      </c>
      <c r="D60" s="445" t="str">
        <f>IF(C60&lt;&gt;"Quarta-Feira","13:40","08:40")</f>
        <v>13:40</v>
      </c>
      <c r="E60" s="253" t="s">
        <v>2952</v>
      </c>
      <c r="F60" s="69">
        <v>7.04609690726422E14</v>
      </c>
      <c r="G60" s="154" t="s">
        <v>2953</v>
      </c>
      <c r="H60" s="193">
        <v>19816.0</v>
      </c>
      <c r="I60" s="30" t="s">
        <v>182</v>
      </c>
      <c r="J60" s="69"/>
      <c r="K60" s="69"/>
      <c r="N60" s="240" t="s">
        <v>182</v>
      </c>
      <c r="O60" s="241" t="s">
        <v>194</v>
      </c>
      <c r="P60" s="241" t="s">
        <v>180</v>
      </c>
      <c r="Q60" s="242" t="s">
        <v>172</v>
      </c>
      <c r="R60" s="62" t="s">
        <v>1822</v>
      </c>
    </row>
    <row r="61" ht="15.75" customHeight="1">
      <c r="A61" s="11" t="s">
        <v>13</v>
      </c>
      <c r="B61" s="125" t="s">
        <v>197</v>
      </c>
      <c r="C61" s="69" t="str">
        <f t="shared" si="7"/>
        <v>Sexta-Feira</v>
      </c>
      <c r="D61" s="445" t="str">
        <f>IF(C61&lt;&gt;"Quarta-Feira","14:00","09:00")</f>
        <v>14:00</v>
      </c>
      <c r="E61" s="253" t="s">
        <v>3188</v>
      </c>
      <c r="F61" s="69">
        <v>7.06808298123227E14</v>
      </c>
      <c r="G61" s="154" t="s">
        <v>3189</v>
      </c>
      <c r="H61" s="193">
        <v>27028.0</v>
      </c>
      <c r="I61" s="30" t="s">
        <v>182</v>
      </c>
      <c r="J61" s="69"/>
      <c r="K61" s="69"/>
      <c r="N61" s="244">
        <f t="shared" ref="N61:Q61" si="8">COUNTIFS($I$58:$I$69,N60)</f>
        <v>3</v>
      </c>
      <c r="O61" s="244">
        <f t="shared" si="8"/>
        <v>0</v>
      </c>
      <c r="P61" s="244">
        <f t="shared" si="8"/>
        <v>0</v>
      </c>
      <c r="Q61" s="244">
        <f t="shared" si="8"/>
        <v>0</v>
      </c>
      <c r="R61" s="62">
        <f>COUNTIFS(I58:I69,R60)</f>
        <v>2</v>
      </c>
    </row>
    <row r="62" ht="15.75" customHeight="1">
      <c r="A62" s="11" t="s">
        <v>14</v>
      </c>
      <c r="B62" s="125" t="s">
        <v>757</v>
      </c>
      <c r="C62" s="69" t="str">
        <f t="shared" si="7"/>
        <v>Sexta-Feira</v>
      </c>
      <c r="D62" s="445" t="str">
        <f>IF(C62&lt;&gt;"Quarta-Feira","14:20","09:20")</f>
        <v>14:20</v>
      </c>
      <c r="E62" s="253" t="s">
        <v>3190</v>
      </c>
      <c r="F62" s="69">
        <v>7.04605125730027E14</v>
      </c>
      <c r="G62" s="154" t="s">
        <v>3191</v>
      </c>
      <c r="H62" s="193">
        <v>22000.0</v>
      </c>
      <c r="I62" s="30"/>
      <c r="J62" s="69"/>
      <c r="K62" s="69"/>
      <c r="R62" s="62"/>
    </row>
    <row r="63" ht="15.75" customHeight="1">
      <c r="A63" s="11" t="s">
        <v>11</v>
      </c>
      <c r="B63" s="125" t="s">
        <v>1467</v>
      </c>
      <c r="C63" s="69" t="str">
        <f t="shared" si="7"/>
        <v>Sexta-Feira</v>
      </c>
      <c r="D63" s="445" t="str">
        <f>IF(C63&lt;&gt;"Quarta-Feira","14:40","09:40")</f>
        <v>14:40</v>
      </c>
      <c r="E63" s="253" t="s">
        <v>3192</v>
      </c>
      <c r="F63" s="69">
        <v>7.04603151329626E14</v>
      </c>
      <c r="G63" s="154" t="s">
        <v>3193</v>
      </c>
      <c r="H63" s="156">
        <v>23798.0</v>
      </c>
      <c r="I63" s="30"/>
      <c r="J63" s="69"/>
      <c r="K63" s="69"/>
      <c r="N63" s="239" t="s">
        <v>1823</v>
      </c>
      <c r="O63" s="2"/>
      <c r="P63" s="2"/>
      <c r="Q63" s="2"/>
      <c r="R63" s="2"/>
    </row>
    <row r="64" ht="15.75" customHeight="1">
      <c r="A64" s="11" t="s">
        <v>16</v>
      </c>
      <c r="B64" s="125" t="s">
        <v>216</v>
      </c>
      <c r="C64" s="69" t="str">
        <f t="shared" si="7"/>
        <v>Sexta-Feira</v>
      </c>
      <c r="D64" s="445" t="str">
        <f>IF(C64&lt;&gt;"Quarta-Feira","15:00","10:00")</f>
        <v>15:00</v>
      </c>
      <c r="E64" s="253" t="s">
        <v>3194</v>
      </c>
      <c r="F64" s="69">
        <v>7.05407438581197E14</v>
      </c>
      <c r="G64" s="154" t="s">
        <v>3195</v>
      </c>
      <c r="H64" s="193">
        <v>24053.0</v>
      </c>
      <c r="I64" s="30" t="s">
        <v>1822</v>
      </c>
      <c r="J64" s="69"/>
      <c r="K64" s="69"/>
      <c r="R64" s="62"/>
    </row>
    <row r="65" ht="15.75" customHeight="1">
      <c r="A65" s="11" t="s">
        <v>17</v>
      </c>
      <c r="B65" s="125" t="s">
        <v>197</v>
      </c>
      <c r="C65" s="69" t="str">
        <f t="shared" si="7"/>
        <v>Sexta-Feira</v>
      </c>
      <c r="D65" s="445" t="str">
        <f>IF(C65&lt;&gt;"Quarta-Feira","15:20","10:20")</f>
        <v>15:20</v>
      </c>
      <c r="E65" s="253" t="s">
        <v>3196</v>
      </c>
      <c r="F65" s="69">
        <v>7.00304908324133E14</v>
      </c>
      <c r="G65" s="154" t="s">
        <v>3197</v>
      </c>
      <c r="H65" s="193">
        <v>26574.0</v>
      </c>
      <c r="I65" s="30"/>
      <c r="J65" s="69"/>
      <c r="K65" s="69"/>
      <c r="R65" s="62"/>
    </row>
    <row r="66" ht="15.75" customHeight="1">
      <c r="A66" s="11" t="s">
        <v>85</v>
      </c>
      <c r="B66" s="125" t="s">
        <v>1467</v>
      </c>
      <c r="C66" s="69" t="str">
        <f t="shared" si="7"/>
        <v>Sexta-Feira</v>
      </c>
      <c r="D66" s="445" t="str">
        <f>IF(C66&lt;&gt;"Quarta-Feira","15:40","10:40")</f>
        <v>15:40</v>
      </c>
      <c r="E66" s="253" t="s">
        <v>3198</v>
      </c>
      <c r="F66" s="69">
        <v>7.0740209903727E14</v>
      </c>
      <c r="G66" s="154" t="s">
        <v>3199</v>
      </c>
      <c r="H66" s="193">
        <v>23547.0</v>
      </c>
      <c r="I66" s="30" t="s">
        <v>1822</v>
      </c>
      <c r="J66" s="69"/>
      <c r="K66" s="69"/>
      <c r="R66" s="62"/>
    </row>
    <row r="67" ht="15.75" customHeight="1">
      <c r="A67" s="11" t="s">
        <v>87</v>
      </c>
      <c r="B67" s="125" t="s">
        <v>757</v>
      </c>
      <c r="C67" s="69" t="str">
        <f t="shared" si="7"/>
        <v>Sexta-Feira</v>
      </c>
      <c r="D67" s="445" t="str">
        <f>IF(C67&lt;&gt;"Quarta-Feira","16:00","11:00")</f>
        <v>16:00</v>
      </c>
      <c r="E67" s="253" t="s">
        <v>3200</v>
      </c>
      <c r="F67" s="404">
        <v>2.03923294110005E14</v>
      </c>
      <c r="G67" s="154" t="s">
        <v>3201</v>
      </c>
      <c r="H67" s="193">
        <v>18846.0</v>
      </c>
      <c r="I67" s="30"/>
      <c r="J67" s="69"/>
      <c r="K67" s="69"/>
      <c r="R67" s="62"/>
    </row>
    <row r="68" ht="15.75" customHeight="1">
      <c r="A68" s="11" t="s">
        <v>90</v>
      </c>
      <c r="B68" s="125" t="s">
        <v>757</v>
      </c>
      <c r="C68" s="69" t="str">
        <f t="shared" si="7"/>
        <v>Sexta-Feira</v>
      </c>
      <c r="D68" s="445" t="str">
        <f>IF(C68&lt;&gt;"Quarta-Feira","16:20","11:20")</f>
        <v>16:20</v>
      </c>
      <c r="E68" s="253" t="s">
        <v>3202</v>
      </c>
      <c r="F68" s="69">
        <v>7.02001850410888E14</v>
      </c>
      <c r="G68" s="154" t="s">
        <v>3203</v>
      </c>
      <c r="H68" s="453">
        <v>15427.0</v>
      </c>
      <c r="I68" s="30"/>
      <c r="J68" s="69"/>
      <c r="K68" s="69"/>
      <c r="R68" s="62"/>
    </row>
    <row r="69" ht="15.75" customHeight="1">
      <c r="A69" s="11" t="s">
        <v>93</v>
      </c>
      <c r="B69" s="125" t="s">
        <v>757</v>
      </c>
      <c r="C69" s="69" t="str">
        <f t="shared" si="7"/>
        <v>Sexta-Feira</v>
      </c>
      <c r="D69" s="445" t="str">
        <f>IF(C69&lt;&gt;"Quarta-Feira","16:40","11:40")</f>
        <v>16:40</v>
      </c>
      <c r="E69" s="253" t="s">
        <v>3204</v>
      </c>
      <c r="F69" s="69">
        <v>7.05007269381351E14</v>
      </c>
      <c r="G69" s="154" t="s">
        <v>3205</v>
      </c>
      <c r="H69" s="193">
        <v>23778.0</v>
      </c>
      <c r="I69" s="30"/>
      <c r="J69" s="69"/>
      <c r="K69" s="69"/>
      <c r="R69" s="62"/>
    </row>
    <row r="70" ht="15.75" customHeight="1">
      <c r="B70" s="167"/>
      <c r="J70" s="62"/>
      <c r="K70" s="62"/>
      <c r="R70" s="62"/>
    </row>
    <row r="71" ht="15.75" customHeight="1">
      <c r="B71" s="167"/>
      <c r="E71" s="231"/>
      <c r="G71" s="167"/>
      <c r="J71" s="62"/>
      <c r="K71" s="62"/>
      <c r="R71" s="62"/>
    </row>
    <row r="72" ht="15.75" customHeight="1">
      <c r="B72" s="167"/>
      <c r="E72" s="231"/>
      <c r="G72" s="167"/>
      <c r="J72" s="62"/>
      <c r="K72" s="62"/>
      <c r="R72" s="62"/>
    </row>
    <row r="73" ht="15.75" customHeight="1">
      <c r="A73" s="20" t="s">
        <v>377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TEXT(DATE(VALUE(MID(A20,7,4)),VALUE(MID(A20,4,2)),VALUE(LEFT(A20,2)))+7,"dd/mm/yyyy")&amp;" 13h às 17h"</f>
        <v>11/05/2026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426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8.75" customHeight="1">
      <c r="A76" s="11" t="s">
        <v>10</v>
      </c>
      <c r="B76" s="125" t="s">
        <v>1357</v>
      </c>
      <c r="C76" s="69" t="str">
        <f>PROPER(TEXT(DATE(MID($A$74,7,4),MID($A$74,4,2),LEFT($A$74,2)),"dddd"))</f>
        <v>Segunda-Feira</v>
      </c>
      <c r="D76" s="445" t="str">
        <f>IF(C76&lt;&gt;"Quarta-Feira","13:00","08:00")</f>
        <v>13:00</v>
      </c>
      <c r="E76" s="253"/>
      <c r="F76" s="69">
        <v>7.00006462242102E14</v>
      </c>
      <c r="G76" s="154" t="s">
        <v>3206</v>
      </c>
      <c r="H76" s="455">
        <v>27701.0</v>
      </c>
      <c r="I76" s="30" t="s">
        <v>1822</v>
      </c>
      <c r="J76" s="69"/>
      <c r="K76" s="69"/>
      <c r="N76" s="237" t="s">
        <v>386</v>
      </c>
      <c r="O76" s="95"/>
      <c r="P76" s="95"/>
      <c r="Q76" s="95"/>
      <c r="R76" s="95"/>
    </row>
    <row r="77" ht="15.75" customHeight="1">
      <c r="A77" s="11" t="s">
        <v>11</v>
      </c>
      <c r="B77" s="125" t="s">
        <v>1358</v>
      </c>
      <c r="C77" s="69" t="s">
        <v>1294</v>
      </c>
      <c r="D77" s="445" t="str">
        <f>IF(C77&lt;&gt;"Quarta-Feira","13:20","08:20")</f>
        <v>13:20</v>
      </c>
      <c r="E77" s="253" t="s">
        <v>3207</v>
      </c>
      <c r="F77" s="69">
        <v>8.98001412313033E14</v>
      </c>
      <c r="G77" s="154" t="s">
        <v>3208</v>
      </c>
      <c r="H77" s="193">
        <v>39546.0</v>
      </c>
      <c r="I77" s="30" t="s">
        <v>182</v>
      </c>
      <c r="J77" s="69"/>
      <c r="K77" s="69"/>
      <c r="N77" s="239" t="s">
        <v>1823</v>
      </c>
      <c r="O77" s="2"/>
      <c r="P77" s="2"/>
      <c r="Q77" s="2"/>
      <c r="R77" s="2"/>
    </row>
    <row r="78" ht="15.75" customHeight="1">
      <c r="A78" s="11" t="s">
        <v>12</v>
      </c>
      <c r="B78" s="125" t="s">
        <v>1360</v>
      </c>
      <c r="C78" s="69" t="s">
        <v>1294</v>
      </c>
      <c r="D78" s="445" t="str">
        <f>IF(C78&lt;&gt;"Quarta-Feira","13:40","08:40")</f>
        <v>13:40</v>
      </c>
      <c r="E78" s="253" t="s">
        <v>3209</v>
      </c>
      <c r="F78" s="69">
        <v>7.08002316924824E14</v>
      </c>
      <c r="G78" s="154" t="s">
        <v>3210</v>
      </c>
      <c r="H78" s="193">
        <v>20168.0</v>
      </c>
      <c r="I78" s="30" t="s">
        <v>1822</v>
      </c>
      <c r="J78" s="69"/>
      <c r="K78" s="69"/>
      <c r="N78" s="240" t="s">
        <v>182</v>
      </c>
      <c r="O78" s="241" t="s">
        <v>194</v>
      </c>
      <c r="P78" s="241" t="s">
        <v>180</v>
      </c>
      <c r="Q78" s="242" t="s">
        <v>172</v>
      </c>
      <c r="R78" s="62" t="s">
        <v>1822</v>
      </c>
    </row>
    <row r="79" ht="15.75" customHeight="1">
      <c r="A79" s="11" t="s">
        <v>13</v>
      </c>
      <c r="B79" s="125" t="s">
        <v>1362</v>
      </c>
      <c r="C79" s="69" t="s">
        <v>1294</v>
      </c>
      <c r="D79" s="445" t="str">
        <f>IF(C79&lt;&gt;"Quarta-Feira","14:00","09:00")</f>
        <v>14:00</v>
      </c>
      <c r="E79" s="253" t="s">
        <v>3211</v>
      </c>
      <c r="F79" s="69">
        <v>2.01156360770008E14</v>
      </c>
      <c r="G79" s="154" t="s">
        <v>3212</v>
      </c>
      <c r="H79" s="193">
        <v>32395.0</v>
      </c>
      <c r="I79" s="30" t="s">
        <v>182</v>
      </c>
      <c r="J79" s="69"/>
      <c r="K79" s="69"/>
      <c r="N79" s="244">
        <f t="shared" ref="N79:R79" si="9">COUNTIFS($I$76:$I$87,N78)</f>
        <v>9</v>
      </c>
      <c r="O79" s="244">
        <f t="shared" si="9"/>
        <v>0</v>
      </c>
      <c r="P79" s="244">
        <f t="shared" si="9"/>
        <v>0</v>
      </c>
      <c r="Q79" s="244">
        <f t="shared" si="9"/>
        <v>0</v>
      </c>
      <c r="R79" s="244">
        <f t="shared" si="9"/>
        <v>3</v>
      </c>
    </row>
    <row r="80" ht="15.75" customHeight="1">
      <c r="A80" s="11" t="s">
        <v>14</v>
      </c>
      <c r="B80" s="125" t="s">
        <v>1357</v>
      </c>
      <c r="C80" s="69" t="s">
        <v>1294</v>
      </c>
      <c r="D80" s="445" t="str">
        <f>IF(C80&lt;&gt;"Quarta-Feira","14:20","09:20")</f>
        <v>14:20</v>
      </c>
      <c r="E80" s="253" t="s">
        <v>3213</v>
      </c>
      <c r="F80" s="69">
        <v>8.98002116504807E14</v>
      </c>
      <c r="G80" s="154" t="s">
        <v>3214</v>
      </c>
      <c r="H80" s="193">
        <v>22796.0</v>
      </c>
      <c r="I80" s="30" t="s">
        <v>182</v>
      </c>
      <c r="J80" s="69"/>
      <c r="K80" s="69"/>
      <c r="R80" s="62"/>
    </row>
    <row r="81" ht="15.75" customHeight="1">
      <c r="A81" s="11" t="s">
        <v>15</v>
      </c>
      <c r="B81" s="125" t="s">
        <v>1362</v>
      </c>
      <c r="C81" s="69" t="s">
        <v>1294</v>
      </c>
      <c r="D81" s="445" t="str">
        <f>IF(C81&lt;&gt;"Quarta-Feira","14:40","09:40")</f>
        <v>14:40</v>
      </c>
      <c r="E81" s="253" t="s">
        <v>3215</v>
      </c>
      <c r="F81" s="69">
        <v>7.08105563352837E14</v>
      </c>
      <c r="G81" s="154" t="s">
        <v>3216</v>
      </c>
      <c r="H81" s="193">
        <v>23965.0</v>
      </c>
      <c r="I81" s="30" t="s">
        <v>182</v>
      </c>
      <c r="J81" s="69"/>
      <c r="K81" s="69"/>
      <c r="R81" s="62"/>
    </row>
    <row r="82" ht="15.75" customHeight="1">
      <c r="A82" s="11" t="s">
        <v>16</v>
      </c>
      <c r="B82" s="125" t="s">
        <v>1358</v>
      </c>
      <c r="C82" s="69" t="s">
        <v>1294</v>
      </c>
      <c r="D82" s="445" t="str">
        <f>IF(C82&lt;&gt;"Quarta-Feira","15:00","10:00")</f>
        <v>15:00</v>
      </c>
      <c r="E82" s="253" t="s">
        <v>3217</v>
      </c>
      <c r="F82" s="69">
        <v>8.98002981178085E14</v>
      </c>
      <c r="G82" s="154" t="s">
        <v>3218</v>
      </c>
      <c r="H82" s="193">
        <v>23392.0</v>
      </c>
      <c r="I82" s="30" t="s">
        <v>182</v>
      </c>
      <c r="J82" s="69"/>
      <c r="K82" s="69"/>
      <c r="R82" s="62"/>
    </row>
    <row r="83" ht="15.75" customHeight="1">
      <c r="A83" s="11" t="s">
        <v>17</v>
      </c>
      <c r="B83" s="125" t="s">
        <v>1360</v>
      </c>
      <c r="C83" s="69" t="s">
        <v>1294</v>
      </c>
      <c r="D83" s="445" t="str">
        <f>IF(C83&lt;&gt;"Quarta-Feira","15:20","10:20")</f>
        <v>15:20</v>
      </c>
      <c r="E83" s="253" t="s">
        <v>3219</v>
      </c>
      <c r="F83" s="69">
        <v>7.05002684331257E14</v>
      </c>
      <c r="G83" s="154" t="s">
        <v>3220</v>
      </c>
      <c r="H83" s="193">
        <v>19995.0</v>
      </c>
      <c r="I83" s="30" t="s">
        <v>182</v>
      </c>
      <c r="J83" s="69"/>
      <c r="K83" s="69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</row>
    <row r="84" ht="15.75" customHeight="1">
      <c r="A84" s="11" t="s">
        <v>85</v>
      </c>
      <c r="B84" s="125" t="s">
        <v>1357</v>
      </c>
      <c r="C84" s="69" t="s">
        <v>1294</v>
      </c>
      <c r="D84" s="445" t="str">
        <f>IF(C84&lt;&gt;"Quarta-Feira","15:40","10:40")</f>
        <v>15:40</v>
      </c>
      <c r="E84" s="253" t="s">
        <v>3221</v>
      </c>
      <c r="F84" s="69">
        <v>8.01440450892374E14</v>
      </c>
      <c r="G84" s="154" t="s">
        <v>3222</v>
      </c>
      <c r="H84" s="193">
        <v>29169.0</v>
      </c>
      <c r="I84" s="30" t="s">
        <v>182</v>
      </c>
      <c r="J84" s="69"/>
      <c r="K84" s="69"/>
      <c r="R84" s="62"/>
    </row>
    <row r="85" ht="15.75" customHeight="1">
      <c r="A85" s="11" t="s">
        <v>87</v>
      </c>
      <c r="B85" s="125" t="s">
        <v>1358</v>
      </c>
      <c r="C85" s="69" t="s">
        <v>1294</v>
      </c>
      <c r="D85" s="445" t="str">
        <f>IF(C85&lt;&gt;"Quarta-Feira","16:00","11:00")</f>
        <v>16:00</v>
      </c>
      <c r="E85" s="253" t="s">
        <v>3223</v>
      </c>
      <c r="F85" s="69">
        <v>7.00009774292701E14</v>
      </c>
      <c r="G85" s="154" t="s">
        <v>3224</v>
      </c>
      <c r="H85" s="193">
        <v>35619.0</v>
      </c>
      <c r="I85" s="30" t="s">
        <v>1822</v>
      </c>
      <c r="J85" s="69"/>
      <c r="K85" s="69"/>
      <c r="R85" s="62"/>
    </row>
    <row r="86" ht="15.75" customHeight="1">
      <c r="A86" s="11" t="s">
        <v>90</v>
      </c>
      <c r="B86" s="125" t="s">
        <v>1360</v>
      </c>
      <c r="C86" s="69" t="s">
        <v>1294</v>
      </c>
      <c r="D86" s="445" t="str">
        <f>IF(C86&lt;&gt;"Quarta-Feira","16:20","11:20")</f>
        <v>16:20</v>
      </c>
      <c r="E86" s="253" t="s">
        <v>3225</v>
      </c>
      <c r="F86" s="69">
        <v>7.02406561078028E14</v>
      </c>
      <c r="G86" s="154" t="s">
        <v>3226</v>
      </c>
      <c r="H86" s="193">
        <v>20612.0</v>
      </c>
      <c r="I86" s="30" t="s">
        <v>182</v>
      </c>
      <c r="J86" s="69"/>
      <c r="K86" s="69"/>
      <c r="R86" s="62"/>
    </row>
    <row r="87" ht="15.75" customHeight="1">
      <c r="A87" s="11" t="s">
        <v>93</v>
      </c>
      <c r="B87" s="125" t="s">
        <v>1362</v>
      </c>
      <c r="C87" s="69" t="s">
        <v>1294</v>
      </c>
      <c r="D87" s="445" t="str">
        <f>IF(C87&lt;&gt;"Quarta-Feira","16:40","11:40")</f>
        <v>16:40</v>
      </c>
      <c r="E87" s="253" t="s">
        <v>3227</v>
      </c>
      <c r="F87" s="69">
        <v>7.04706752928739E14</v>
      </c>
      <c r="G87" s="154" t="s">
        <v>3228</v>
      </c>
      <c r="H87" s="193">
        <v>24794.0</v>
      </c>
      <c r="I87" s="30" t="s">
        <v>182</v>
      </c>
      <c r="J87" s="69"/>
      <c r="K87" s="69"/>
      <c r="R87" s="62"/>
    </row>
    <row r="88" ht="15.75" customHeight="1">
      <c r="B88" s="167"/>
      <c r="E88" s="231"/>
      <c r="G88" s="167"/>
      <c r="J88" s="62"/>
      <c r="K88" s="62"/>
      <c r="R88" s="62"/>
    </row>
    <row r="89" ht="15.75" customHeight="1">
      <c r="B89" s="167"/>
      <c r="E89" s="231"/>
      <c r="G89" s="167"/>
      <c r="J89" s="62"/>
      <c r="K89" s="62"/>
      <c r="R89" s="62"/>
    </row>
    <row r="90" ht="15.0" customHeight="1">
      <c r="B90" s="167"/>
      <c r="E90" s="231"/>
      <c r="G90" s="167"/>
      <c r="J90" s="62"/>
      <c r="K90" s="62"/>
      <c r="R90" s="62"/>
    </row>
    <row r="91" ht="15.75" customHeight="1">
      <c r="A91" s="20" t="s">
        <v>377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08h às 13h"</f>
        <v>13/05/2026 08h às 13h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426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34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125" t="s">
        <v>65</v>
      </c>
      <c r="C94" s="69" t="str">
        <f t="shared" ref="C94:C105" si="10">PROPER(TEXT(DATE(MID($A$92,7,4),MID($A$92,4,2),LEFT($A$92,2)),"dddd"))</f>
        <v>Quarta-Feira</v>
      </c>
      <c r="D94" s="445" t="str">
        <f>IF(C94&lt;&gt;"Quarta-Feira","13:00","08:00")</f>
        <v>08:00</v>
      </c>
      <c r="E94" s="253" t="s">
        <v>3229</v>
      </c>
      <c r="F94" s="69">
        <v>7.0550044390541E14</v>
      </c>
      <c r="G94" s="154" t="s">
        <v>3230</v>
      </c>
      <c r="H94" s="193">
        <v>19197.0</v>
      </c>
      <c r="I94" s="30" t="s">
        <v>1822</v>
      </c>
      <c r="J94" s="69"/>
      <c r="K94" s="69"/>
      <c r="L94" s="197" t="s">
        <v>520</v>
      </c>
      <c r="N94" s="237" t="s">
        <v>386</v>
      </c>
      <c r="O94" s="95"/>
      <c r="P94" s="95"/>
      <c r="Q94" s="95"/>
      <c r="R94" s="95"/>
    </row>
    <row r="95" ht="15.75" customHeight="1">
      <c r="A95" s="11" t="s">
        <v>11</v>
      </c>
      <c r="B95" s="125" t="s">
        <v>201</v>
      </c>
      <c r="C95" s="69" t="str">
        <f t="shared" si="10"/>
        <v>Quarta-Feira</v>
      </c>
      <c r="D95" s="445" t="str">
        <f>IF(C95&lt;&gt;"Quarta-Feira","13:20","08:20")</f>
        <v>08:20</v>
      </c>
      <c r="E95" s="253" t="s">
        <v>3231</v>
      </c>
      <c r="F95" s="69">
        <v>7.00201449859227E14</v>
      </c>
      <c r="G95" s="154" t="s">
        <v>3232</v>
      </c>
      <c r="H95" s="72">
        <v>28937.0</v>
      </c>
      <c r="I95" s="30" t="s">
        <v>1822</v>
      </c>
      <c r="J95" s="69"/>
      <c r="K95" s="69"/>
      <c r="N95" s="239" t="s">
        <v>1823</v>
      </c>
      <c r="O95" s="2"/>
      <c r="P95" s="2"/>
      <c r="Q95" s="2"/>
      <c r="R95" s="2"/>
    </row>
    <row r="96" ht="15.75" customHeight="1">
      <c r="A96" s="11" t="s">
        <v>12</v>
      </c>
      <c r="B96" s="125" t="s">
        <v>1447</v>
      </c>
      <c r="C96" s="69" t="str">
        <f t="shared" si="10"/>
        <v>Quarta-Feira</v>
      </c>
      <c r="D96" s="445" t="str">
        <f>IF(C96&lt;&gt;"Quarta-Feira","13:40","08:40")</f>
        <v>08:40</v>
      </c>
      <c r="E96" s="253" t="s">
        <v>3233</v>
      </c>
      <c r="F96" s="69">
        <v>7.0200272511229E14</v>
      </c>
      <c r="G96" s="154" t="s">
        <v>3234</v>
      </c>
      <c r="H96" s="78">
        <v>22222.0</v>
      </c>
      <c r="I96" s="30" t="s">
        <v>182</v>
      </c>
      <c r="J96" s="69"/>
      <c r="K96" s="69"/>
      <c r="L96" s="197" t="s">
        <v>520</v>
      </c>
      <c r="N96" s="240" t="s">
        <v>182</v>
      </c>
      <c r="O96" s="241" t="s">
        <v>194</v>
      </c>
      <c r="P96" s="241" t="s">
        <v>180</v>
      </c>
      <c r="Q96" s="242" t="s">
        <v>172</v>
      </c>
      <c r="R96" s="62" t="s">
        <v>1822</v>
      </c>
    </row>
    <row r="97" ht="15.75" customHeight="1">
      <c r="A97" s="11" t="s">
        <v>13</v>
      </c>
      <c r="B97" s="125" t="s">
        <v>821</v>
      </c>
      <c r="C97" s="69" t="str">
        <f t="shared" si="10"/>
        <v>Quarta-Feira</v>
      </c>
      <c r="D97" s="445" t="str">
        <f>IF(C97&lt;&gt;"Quarta-Feira","14:00","09:00")</f>
        <v>09:00</v>
      </c>
      <c r="E97" s="253" t="s">
        <v>3235</v>
      </c>
      <c r="F97" s="69">
        <v>7.0850730841627E14</v>
      </c>
      <c r="G97" s="433" t="s">
        <v>3236</v>
      </c>
      <c r="H97" s="78">
        <v>20951.0</v>
      </c>
      <c r="I97" s="30" t="s">
        <v>1822</v>
      </c>
      <c r="J97" s="69"/>
      <c r="K97" s="69"/>
      <c r="L97" s="197" t="s">
        <v>520</v>
      </c>
      <c r="N97" s="244">
        <f t="shared" ref="N97:R97" si="11">COUNTIFS($I$94:$I$105,N96)</f>
        <v>6</v>
      </c>
      <c r="O97" s="244">
        <f t="shared" si="11"/>
        <v>0</v>
      </c>
      <c r="P97" s="244">
        <f t="shared" si="11"/>
        <v>0</v>
      </c>
      <c r="Q97" s="244">
        <f t="shared" si="11"/>
        <v>0</v>
      </c>
      <c r="R97" s="244">
        <f t="shared" si="11"/>
        <v>6</v>
      </c>
    </row>
    <row r="98" ht="18.0" customHeight="1">
      <c r="A98" s="11" t="s">
        <v>14</v>
      </c>
      <c r="B98" s="125" t="s">
        <v>201</v>
      </c>
      <c r="C98" s="69" t="str">
        <f t="shared" si="10"/>
        <v>Quarta-Feira</v>
      </c>
      <c r="D98" s="445" t="str">
        <f>IF(C98&lt;&gt;"Quarta-Feira","14:20","09:20")</f>
        <v>09:20</v>
      </c>
      <c r="E98" s="253" t="s">
        <v>3237</v>
      </c>
      <c r="F98" s="69">
        <v>7.00000716571808E14</v>
      </c>
      <c r="G98" s="154" t="s">
        <v>3238</v>
      </c>
      <c r="H98" s="78">
        <v>22715.0</v>
      </c>
      <c r="I98" s="30" t="s">
        <v>1822</v>
      </c>
      <c r="J98" s="69"/>
      <c r="K98" s="69"/>
      <c r="L98" s="197" t="s">
        <v>520</v>
      </c>
      <c r="R98" s="62"/>
    </row>
    <row r="99" ht="15.75" customHeight="1">
      <c r="A99" s="11" t="s">
        <v>15</v>
      </c>
      <c r="B99" s="125" t="s">
        <v>1447</v>
      </c>
      <c r="C99" s="69" t="str">
        <f t="shared" si="10"/>
        <v>Quarta-Feira</v>
      </c>
      <c r="D99" s="445" t="str">
        <f>IF(C99&lt;&gt;"Quarta-Feira","14:40","09:40")</f>
        <v>09:40</v>
      </c>
      <c r="E99" s="253" t="s">
        <v>3239</v>
      </c>
      <c r="F99" s="69">
        <v>7.08700143167891E14</v>
      </c>
      <c r="G99" s="154" t="s">
        <v>3240</v>
      </c>
      <c r="H99" s="78">
        <v>19013.0</v>
      </c>
      <c r="I99" s="30" t="s">
        <v>1822</v>
      </c>
      <c r="J99" s="69"/>
      <c r="K99" s="69"/>
      <c r="L99" s="197" t="s">
        <v>520</v>
      </c>
      <c r="R99" s="62"/>
    </row>
    <row r="100" ht="15.75" customHeight="1">
      <c r="A100" s="11" t="s">
        <v>16</v>
      </c>
      <c r="B100" s="125" t="s">
        <v>65</v>
      </c>
      <c r="C100" s="69" t="str">
        <f t="shared" si="10"/>
        <v>Quarta-Feira</v>
      </c>
      <c r="D100" s="445" t="str">
        <f>IF(C100&lt;&gt;"Quarta-Feira","15:00","10:00")</f>
        <v>10:00</v>
      </c>
      <c r="E100" s="253" t="s">
        <v>3241</v>
      </c>
      <c r="F100" s="69">
        <v>7.00501759957054E14</v>
      </c>
      <c r="G100" s="154" t="s">
        <v>3242</v>
      </c>
      <c r="H100" s="78">
        <v>19860.0</v>
      </c>
      <c r="I100" s="30" t="s">
        <v>182</v>
      </c>
      <c r="J100" s="69"/>
      <c r="K100" s="69"/>
      <c r="L100" s="197" t="s">
        <v>520</v>
      </c>
      <c r="R100" s="62"/>
    </row>
    <row r="101" ht="15.75" customHeight="1">
      <c r="A101" s="11" t="s">
        <v>178</v>
      </c>
      <c r="B101" s="125" t="s">
        <v>201</v>
      </c>
      <c r="C101" s="69" t="str">
        <f t="shared" si="10"/>
        <v>Quarta-Feira</v>
      </c>
      <c r="D101" s="445" t="str">
        <f>IF(C101&lt;&gt;"Quarta-Feira","15:20","10:20")</f>
        <v>10:20</v>
      </c>
      <c r="E101" s="253" t="s">
        <v>3243</v>
      </c>
      <c r="F101" s="69">
        <v>7.034071853219E14</v>
      </c>
      <c r="G101" s="154" t="s">
        <v>3244</v>
      </c>
      <c r="H101" s="72">
        <v>22402.0</v>
      </c>
      <c r="I101" s="30" t="s">
        <v>182</v>
      </c>
      <c r="J101" s="69"/>
      <c r="K101" s="69"/>
      <c r="L101" s="197" t="s">
        <v>520</v>
      </c>
      <c r="R101" s="62"/>
    </row>
    <row r="102" ht="15.75" customHeight="1">
      <c r="A102" s="11" t="s">
        <v>85</v>
      </c>
      <c r="B102" s="125" t="s">
        <v>821</v>
      </c>
      <c r="C102" s="69" t="str">
        <f t="shared" si="10"/>
        <v>Quarta-Feira</v>
      </c>
      <c r="D102" s="445" t="str">
        <f>IF(C102&lt;&gt;"Quarta-Feira","15:40","10:40")</f>
        <v>10:40</v>
      </c>
      <c r="E102" s="253" t="s">
        <v>3245</v>
      </c>
      <c r="F102" s="69">
        <v>7.06809712044528E14</v>
      </c>
      <c r="G102" s="154" t="s">
        <v>3246</v>
      </c>
      <c r="H102" s="78">
        <v>16091.0</v>
      </c>
      <c r="I102" s="30" t="s">
        <v>182</v>
      </c>
      <c r="J102" s="69"/>
      <c r="K102" s="69"/>
      <c r="L102" s="197" t="s">
        <v>520</v>
      </c>
      <c r="R102" s="62"/>
    </row>
    <row r="103" ht="15.75" customHeight="1">
      <c r="A103" s="11" t="s">
        <v>87</v>
      </c>
      <c r="B103" s="125" t="s">
        <v>1447</v>
      </c>
      <c r="C103" s="69" t="str">
        <f t="shared" si="10"/>
        <v>Quarta-Feira</v>
      </c>
      <c r="D103" s="445" t="str">
        <f>IF(C103&lt;&gt;"Quarta-Feira","16:00","11:00")</f>
        <v>11:00</v>
      </c>
      <c r="E103" s="253" t="s">
        <v>3247</v>
      </c>
      <c r="F103" s="69">
        <v>8.0144040254641E14</v>
      </c>
      <c r="G103" s="154" t="s">
        <v>3248</v>
      </c>
      <c r="H103" s="153">
        <v>21835.0</v>
      </c>
      <c r="I103" s="30" t="s">
        <v>1822</v>
      </c>
      <c r="J103" s="69"/>
      <c r="K103" s="69"/>
      <c r="L103" s="197" t="s">
        <v>520</v>
      </c>
      <c r="R103" s="62"/>
    </row>
    <row r="104" ht="15.75" customHeight="1">
      <c r="A104" s="11" t="s">
        <v>90</v>
      </c>
      <c r="B104" s="125" t="s">
        <v>821</v>
      </c>
      <c r="C104" s="69" t="str">
        <f t="shared" si="10"/>
        <v>Quarta-Feira</v>
      </c>
      <c r="D104" s="445" t="str">
        <f>IF(C104&lt;&gt;"Quarta-Feira","16:20","11:20")</f>
        <v>11:20</v>
      </c>
      <c r="E104" s="253" t="s">
        <v>3249</v>
      </c>
      <c r="F104" s="69">
        <v>8.0144040913396E14</v>
      </c>
      <c r="G104" s="154" t="s">
        <v>3250</v>
      </c>
      <c r="H104" s="153">
        <v>16345.0</v>
      </c>
      <c r="I104" s="30" t="s">
        <v>182</v>
      </c>
      <c r="J104" s="69"/>
      <c r="K104" s="69"/>
      <c r="L104" s="197" t="s">
        <v>520</v>
      </c>
      <c r="R104" s="62"/>
    </row>
    <row r="105" ht="15.75" customHeight="1">
      <c r="A105" s="11" t="s">
        <v>93</v>
      </c>
      <c r="B105" s="125" t="s">
        <v>65</v>
      </c>
      <c r="C105" s="69" t="str">
        <f t="shared" si="10"/>
        <v>Quarta-Feira</v>
      </c>
      <c r="D105" s="445" t="str">
        <f>IF(C105&lt;&gt;"Quarta-Feira","16:40","11:40")</f>
        <v>11:40</v>
      </c>
      <c r="E105" s="253" t="s">
        <v>3251</v>
      </c>
      <c r="F105" s="69">
        <v>8.98001443052916E14</v>
      </c>
      <c r="G105" s="154" t="s">
        <v>3252</v>
      </c>
      <c r="H105" s="153">
        <v>22978.0</v>
      </c>
      <c r="I105" s="30" t="s">
        <v>182</v>
      </c>
      <c r="J105" s="69"/>
      <c r="K105" s="69"/>
      <c r="R105" s="62"/>
    </row>
    <row r="106" ht="15.75" customHeight="1">
      <c r="B106" s="167"/>
      <c r="E106" s="231"/>
      <c r="G106" s="167"/>
      <c r="J106" s="62"/>
      <c r="K106" s="62"/>
      <c r="R106" s="62"/>
    </row>
    <row r="107" ht="15.75" customHeight="1">
      <c r="B107" s="167"/>
      <c r="E107" s="231"/>
      <c r="G107" s="167"/>
      <c r="J107" s="62"/>
      <c r="K107" s="62"/>
      <c r="R107" s="62"/>
    </row>
    <row r="108" ht="15.75" customHeight="1">
      <c r="B108" s="167"/>
      <c r="E108" s="231"/>
      <c r="G108" s="167"/>
      <c r="J108" s="62"/>
      <c r="K108" s="62"/>
      <c r="R108" s="62"/>
    </row>
    <row r="109" ht="15.75" customHeight="1">
      <c r="A109" s="20" t="s">
        <v>377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TEXT(DATE(VALUE(MID(A92,7,4)),VALUE(MID(A92,4,2)),VALUE(LEFT(A92,2)))+2,"dd/mm/yyyy")&amp;" 08h às 13h"</f>
        <v>15/05/2026 08h às 13h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426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34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2380</v>
      </c>
      <c r="C112" s="69" t="str">
        <f t="shared" ref="C112:C123" si="12">PROPER(TEXT(DATE(MID($A$110,7,4),MID($A$110,4,2),LEFT($A$110,2)),"dddd"))</f>
        <v>Sexta-Feira</v>
      </c>
      <c r="D112" s="445" t="str">
        <f>IF(C112&lt;&gt;"Quarta-Feira","13:00","08:00")</f>
        <v>13:00</v>
      </c>
      <c r="E112" s="253"/>
      <c r="F112" s="69"/>
      <c r="G112" s="154" t="s">
        <v>3253</v>
      </c>
      <c r="H112" s="193"/>
      <c r="I112" s="30" t="s">
        <v>182</v>
      </c>
      <c r="J112" s="69"/>
      <c r="K112" s="69"/>
      <c r="L112" s="197" t="s">
        <v>520</v>
      </c>
      <c r="N112" s="237" t="s">
        <v>386</v>
      </c>
      <c r="O112" s="95"/>
      <c r="P112" s="95"/>
      <c r="Q112" s="95"/>
      <c r="R112" s="95"/>
    </row>
    <row r="113" ht="15.75" customHeight="1">
      <c r="A113" s="11" t="s">
        <v>11</v>
      </c>
      <c r="B113" s="205" t="s">
        <v>2383</v>
      </c>
      <c r="C113" s="69" t="str">
        <f t="shared" si="12"/>
        <v>Sexta-Feira</v>
      </c>
      <c r="D113" s="445" t="str">
        <f>IF(C113&lt;&gt;"Quarta-Feira","13:20","08:20")</f>
        <v>13:20</v>
      </c>
      <c r="E113" s="253" t="s">
        <v>3254</v>
      </c>
      <c r="F113" s="69">
        <v>7.07406041086078E14</v>
      </c>
      <c r="G113" s="154" t="s">
        <v>1959</v>
      </c>
      <c r="H113" s="72">
        <v>23689.0</v>
      </c>
      <c r="I113" s="30" t="s">
        <v>182</v>
      </c>
      <c r="J113" s="69"/>
      <c r="K113" s="69"/>
      <c r="N113" s="239" t="s">
        <v>1823</v>
      </c>
      <c r="O113" s="2"/>
      <c r="P113" s="2"/>
      <c r="Q113" s="2"/>
      <c r="R113" s="2"/>
    </row>
    <row r="114" ht="15.75" customHeight="1">
      <c r="A114" s="11" t="s">
        <v>12</v>
      </c>
      <c r="B114" s="205" t="s">
        <v>2386</v>
      </c>
      <c r="C114" s="69" t="str">
        <f t="shared" si="12"/>
        <v>Sexta-Feira</v>
      </c>
      <c r="D114" s="445" t="str">
        <f>IF(C114&lt;&gt;"Quarta-Feira","13:40","08:40")</f>
        <v>13:40</v>
      </c>
      <c r="E114" s="253" t="s">
        <v>3255</v>
      </c>
      <c r="F114" s="69">
        <v>8.98001450642464E14</v>
      </c>
      <c r="G114" s="154" t="s">
        <v>3256</v>
      </c>
      <c r="H114" s="78">
        <v>26245.0</v>
      </c>
      <c r="I114" s="30" t="s">
        <v>1822</v>
      </c>
      <c r="J114" s="69"/>
      <c r="K114" s="69"/>
      <c r="L114" s="197" t="s">
        <v>520</v>
      </c>
      <c r="N114" s="240" t="s">
        <v>182</v>
      </c>
      <c r="O114" s="241" t="s">
        <v>194</v>
      </c>
      <c r="P114" s="241" t="s">
        <v>180</v>
      </c>
      <c r="Q114" s="242" t="s">
        <v>172</v>
      </c>
      <c r="R114" s="62" t="s">
        <v>1822</v>
      </c>
    </row>
    <row r="115" ht="15.75" customHeight="1">
      <c r="A115" s="11" t="s">
        <v>13</v>
      </c>
      <c r="B115" s="205" t="s">
        <v>2389</v>
      </c>
      <c r="C115" s="69" t="str">
        <f t="shared" si="12"/>
        <v>Sexta-Feira</v>
      </c>
      <c r="D115" s="445" t="str">
        <f>IF(C115&lt;&gt;"Quarta-Feira","14:00","09:00")</f>
        <v>14:00</v>
      </c>
      <c r="E115" s="253" t="s">
        <v>3257</v>
      </c>
      <c r="F115" s="69">
        <v>7.05000872001658E14</v>
      </c>
      <c r="G115" s="154" t="s">
        <v>3258</v>
      </c>
      <c r="H115" s="78">
        <v>21093.0</v>
      </c>
      <c r="I115" s="30" t="s">
        <v>1822</v>
      </c>
      <c r="J115" s="69"/>
      <c r="K115" s="69"/>
      <c r="L115" s="197" t="s">
        <v>520</v>
      </c>
      <c r="N115" s="244">
        <f t="shared" ref="N115:Q115" si="13">COUNTIFS($I$112:$I$123,N114)</f>
        <v>9</v>
      </c>
      <c r="O115" s="244">
        <f t="shared" si="13"/>
        <v>0</v>
      </c>
      <c r="P115" s="244">
        <f t="shared" si="13"/>
        <v>0</v>
      </c>
      <c r="Q115" s="244">
        <f t="shared" si="13"/>
        <v>0</v>
      </c>
      <c r="R115" s="62">
        <f>COUNTIFS(I112:I123,R114)</f>
        <v>3</v>
      </c>
    </row>
    <row r="116" ht="15.75" customHeight="1">
      <c r="A116" s="11" t="s">
        <v>14</v>
      </c>
      <c r="B116" s="205" t="s">
        <v>2380</v>
      </c>
      <c r="C116" s="69" t="str">
        <f t="shared" si="12"/>
        <v>Sexta-Feira</v>
      </c>
      <c r="D116" s="445" t="str">
        <f>IF(C116&lt;&gt;"Quarta-Feira","14:20","09:20")</f>
        <v>14:20</v>
      </c>
      <c r="E116" s="253" t="s">
        <v>3259</v>
      </c>
      <c r="F116" s="69">
        <v>7.06507337047591E14</v>
      </c>
      <c r="G116" s="154" t="s">
        <v>3260</v>
      </c>
      <c r="H116" s="78">
        <v>18301.0</v>
      </c>
      <c r="I116" s="30" t="s">
        <v>182</v>
      </c>
      <c r="J116" s="69"/>
      <c r="K116" s="69"/>
      <c r="L116" s="197" t="s">
        <v>520</v>
      </c>
      <c r="R116" s="62"/>
    </row>
    <row r="117" ht="15.75" customHeight="1">
      <c r="A117" s="11" t="s">
        <v>15</v>
      </c>
      <c r="B117" s="205" t="s">
        <v>2383</v>
      </c>
      <c r="C117" s="69" t="str">
        <f t="shared" si="12"/>
        <v>Sexta-Feira</v>
      </c>
      <c r="D117" s="445" t="str">
        <f>IF(C117&lt;&gt;"Quarta-Feira","14:40","09:40")</f>
        <v>14:40</v>
      </c>
      <c r="E117" s="253" t="s">
        <v>3261</v>
      </c>
      <c r="F117" s="69">
        <v>7.01205011807119E14</v>
      </c>
      <c r="G117" s="154" t="s">
        <v>3262</v>
      </c>
      <c r="H117" s="78">
        <v>26970.0</v>
      </c>
      <c r="I117" s="30" t="s">
        <v>182</v>
      </c>
      <c r="J117" s="69"/>
      <c r="K117" s="69"/>
      <c r="L117" s="197" t="s">
        <v>520</v>
      </c>
      <c r="R117" s="62"/>
    </row>
    <row r="118" ht="15.75" customHeight="1">
      <c r="A118" s="11" t="s">
        <v>16</v>
      </c>
      <c r="B118" s="205" t="s">
        <v>2386</v>
      </c>
      <c r="C118" s="69" t="str">
        <f t="shared" si="12"/>
        <v>Sexta-Feira</v>
      </c>
      <c r="D118" s="445" t="str">
        <f>IF(C118&lt;&gt;"Quarta-Feira","15:00","10:00")</f>
        <v>15:00</v>
      </c>
      <c r="E118" s="253" t="s">
        <v>3263</v>
      </c>
      <c r="F118" s="69">
        <v>7.00003764786501E14</v>
      </c>
      <c r="G118" s="154" t="s">
        <v>3264</v>
      </c>
      <c r="H118" s="78">
        <v>19183.0</v>
      </c>
      <c r="I118" s="30" t="s">
        <v>182</v>
      </c>
      <c r="J118" s="69"/>
      <c r="K118" s="69"/>
      <c r="R118" s="62"/>
    </row>
    <row r="119" ht="15.75" customHeight="1">
      <c r="A119" s="11" t="s">
        <v>17</v>
      </c>
      <c r="B119" s="205" t="s">
        <v>2389</v>
      </c>
      <c r="C119" s="69" t="str">
        <f t="shared" si="12"/>
        <v>Sexta-Feira</v>
      </c>
      <c r="D119" s="445" t="str">
        <f>IF(C119&lt;&gt;"Quarta-Feira","15:20","10:20")</f>
        <v>15:20</v>
      </c>
      <c r="E119" s="253" t="s">
        <v>3265</v>
      </c>
      <c r="F119" s="69">
        <v>7.09203245214231E14</v>
      </c>
      <c r="G119" s="154" t="s">
        <v>3266</v>
      </c>
      <c r="H119" s="72">
        <v>22150.0</v>
      </c>
      <c r="I119" s="30" t="s">
        <v>182</v>
      </c>
      <c r="J119" s="69"/>
      <c r="K119" s="69"/>
      <c r="R119" s="62"/>
    </row>
    <row r="120" ht="15.75" customHeight="1">
      <c r="A120" s="11" t="s">
        <v>85</v>
      </c>
      <c r="B120" s="205" t="s">
        <v>2383</v>
      </c>
      <c r="C120" s="69" t="str">
        <f t="shared" si="12"/>
        <v>Sexta-Feira</v>
      </c>
      <c r="D120" s="445" t="str">
        <f>IF(C120&lt;&gt;"Quarta-Feira","15:40","10:40")</f>
        <v>15:40</v>
      </c>
      <c r="E120" s="253" t="s">
        <v>3267</v>
      </c>
      <c r="F120" s="69">
        <v>7.02301179773916E14</v>
      </c>
      <c r="G120" s="154" t="s">
        <v>3268</v>
      </c>
      <c r="H120" s="78">
        <v>20958.0</v>
      </c>
      <c r="I120" s="30" t="s">
        <v>182</v>
      </c>
      <c r="J120" s="69"/>
      <c r="K120" s="69"/>
      <c r="L120" s="197" t="s">
        <v>576</v>
      </c>
      <c r="R120" s="62"/>
    </row>
    <row r="121" ht="15.75" customHeight="1">
      <c r="A121" s="11" t="s">
        <v>87</v>
      </c>
      <c r="B121" s="205" t="s">
        <v>2380</v>
      </c>
      <c r="C121" s="69" t="str">
        <f t="shared" si="12"/>
        <v>Sexta-Feira</v>
      </c>
      <c r="D121" s="445" t="str">
        <f>IF(C121&lt;&gt;"Quarta-Feira","16:00","11:00")</f>
        <v>16:00</v>
      </c>
      <c r="E121" s="253" t="s">
        <v>3269</v>
      </c>
      <c r="F121" s="69">
        <v>7.02102781935298E14</v>
      </c>
      <c r="G121" s="154" t="s">
        <v>3270</v>
      </c>
      <c r="H121" s="153">
        <v>20145.0</v>
      </c>
      <c r="I121" s="30" t="s">
        <v>182</v>
      </c>
      <c r="J121" s="69"/>
      <c r="K121" s="69"/>
      <c r="R121" s="62"/>
    </row>
    <row r="122" ht="15.75" customHeight="1">
      <c r="A122" s="11" t="s">
        <v>90</v>
      </c>
      <c r="B122" s="205" t="s">
        <v>2380</v>
      </c>
      <c r="C122" s="69" t="str">
        <f t="shared" si="12"/>
        <v>Sexta-Feira</v>
      </c>
      <c r="D122" s="445" t="str">
        <f>IF(C122&lt;&gt;"Quarta-Feira","16:20","11:20")</f>
        <v>16:20</v>
      </c>
      <c r="E122" s="253" t="s">
        <v>3271</v>
      </c>
      <c r="F122" s="69">
        <v>7.00807975812983E14</v>
      </c>
      <c r="G122" s="154" t="s">
        <v>1391</v>
      </c>
      <c r="H122" s="153">
        <v>19170.0</v>
      </c>
      <c r="I122" s="30" t="s">
        <v>182</v>
      </c>
      <c r="J122" s="69"/>
      <c r="K122" s="69"/>
      <c r="R122" s="62"/>
    </row>
    <row r="123" ht="15.75" customHeight="1">
      <c r="A123" s="11" t="s">
        <v>93</v>
      </c>
      <c r="B123" s="205" t="s">
        <v>2380</v>
      </c>
      <c r="C123" s="69" t="str">
        <f t="shared" si="12"/>
        <v>Sexta-Feira</v>
      </c>
      <c r="D123" s="445" t="str">
        <f>IF(C123&lt;&gt;"Quarta-Feira","16:40","11:40")</f>
        <v>16:40</v>
      </c>
      <c r="E123" s="253" t="s">
        <v>3272</v>
      </c>
      <c r="F123" s="69">
        <v>7.07603255462491E14</v>
      </c>
      <c r="G123" s="154" t="s">
        <v>3273</v>
      </c>
      <c r="H123" s="153">
        <v>23447.0</v>
      </c>
      <c r="I123" s="30" t="s">
        <v>1822</v>
      </c>
      <c r="J123" s="69"/>
      <c r="K123" s="69"/>
      <c r="R123" s="62"/>
    </row>
    <row r="124" ht="15.75" customHeight="1">
      <c r="B124" s="167"/>
      <c r="E124" s="231"/>
      <c r="G124" s="167"/>
      <c r="J124" s="62"/>
      <c r="K124" s="62"/>
      <c r="R124" s="62"/>
    </row>
    <row r="125" ht="15.75" customHeight="1">
      <c r="B125" s="167"/>
      <c r="E125" s="231"/>
      <c r="G125" s="167"/>
      <c r="J125" s="62"/>
      <c r="K125" s="62"/>
      <c r="R125" s="62"/>
    </row>
    <row r="126" ht="15.75" customHeight="1">
      <c r="B126" s="167"/>
      <c r="E126" s="231"/>
      <c r="G126" s="167"/>
      <c r="J126" s="62"/>
      <c r="K126" s="62"/>
      <c r="R126" s="62"/>
    </row>
    <row r="127" ht="15.75" customHeight="1">
      <c r="A127" s="20" t="s">
        <v>377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TEXT(DATE(VALUE(MID(A74,7,4)),VALUE(MID(A74,4,2)),VALUE(LEFT(A74,2)))+7,"dd/mm/yyyy")&amp;" 13h às 17h"</f>
        <v>18/05/2026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426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1980</v>
      </c>
      <c r="C130" s="69" t="str">
        <f t="shared" ref="C130:C141" si="14">PROPER(TEXT(DATE(MID($A$128,7,4),MID($A$128,4,2),LEFT($A$128,2)),"dddd"))</f>
        <v>Segunda-Feira</v>
      </c>
      <c r="D130" s="445" t="str">
        <f>IF(C130&lt;&gt;"Quarta-Feira","13:00","08:00")</f>
        <v>13:00</v>
      </c>
      <c r="E130" s="253" t="s">
        <v>3274</v>
      </c>
      <c r="F130" s="69">
        <v>7.08701188470896E14</v>
      </c>
      <c r="G130" s="154" t="s">
        <v>3275</v>
      </c>
      <c r="H130" s="453">
        <v>22025.0</v>
      </c>
      <c r="I130" s="30" t="s">
        <v>182</v>
      </c>
      <c r="J130" s="69"/>
      <c r="K130" s="69"/>
      <c r="N130" s="237" t="s">
        <v>386</v>
      </c>
      <c r="O130" s="95"/>
      <c r="P130" s="95"/>
      <c r="Q130" s="95"/>
      <c r="R130" s="95"/>
    </row>
    <row r="131" ht="15.75" customHeight="1">
      <c r="A131" s="11" t="s">
        <v>11</v>
      </c>
      <c r="B131" s="205" t="s">
        <v>1984</v>
      </c>
      <c r="C131" s="69" t="str">
        <f t="shared" si="14"/>
        <v>Segunda-Feira</v>
      </c>
      <c r="D131" s="445" t="str">
        <f>IF(C131&lt;&gt;"Quarta-Feira","13:20","08:20")</f>
        <v>13:20</v>
      </c>
      <c r="E131" s="253" t="s">
        <v>3276</v>
      </c>
      <c r="F131" s="69">
        <v>8.98002117045598E14</v>
      </c>
      <c r="G131" s="154" t="s">
        <v>3277</v>
      </c>
      <c r="H131" s="72">
        <v>21258.0</v>
      </c>
      <c r="I131" s="30" t="s">
        <v>182</v>
      </c>
      <c r="J131" s="69"/>
      <c r="K131" s="69"/>
      <c r="N131" s="239" t="s">
        <v>1823</v>
      </c>
      <c r="O131" s="2"/>
      <c r="P131" s="2"/>
      <c r="Q131" s="2"/>
      <c r="R131" s="2"/>
    </row>
    <row r="132" ht="15.75" customHeight="1">
      <c r="A132" s="11" t="s">
        <v>12</v>
      </c>
      <c r="B132" s="205" t="s">
        <v>1988</v>
      </c>
      <c r="C132" s="69" t="str">
        <f t="shared" si="14"/>
        <v>Segunda-Feira</v>
      </c>
      <c r="D132" s="445" t="str">
        <f>IF(C132&lt;&gt;"Quarta-Feira","13:40","08:40")</f>
        <v>13:40</v>
      </c>
      <c r="E132" s="253" t="s">
        <v>3278</v>
      </c>
      <c r="F132" s="69">
        <v>8.98001407443846E14</v>
      </c>
      <c r="G132" s="154" t="s">
        <v>3279</v>
      </c>
      <c r="H132" s="78">
        <v>21897.0</v>
      </c>
      <c r="I132" s="30" t="s">
        <v>182</v>
      </c>
      <c r="J132" s="69"/>
      <c r="K132" s="69"/>
      <c r="N132" s="240" t="s">
        <v>182</v>
      </c>
      <c r="O132" s="241" t="s">
        <v>194</v>
      </c>
      <c r="P132" s="241" t="s">
        <v>180</v>
      </c>
      <c r="Q132" s="242" t="s">
        <v>172</v>
      </c>
      <c r="R132" s="62" t="s">
        <v>1822</v>
      </c>
    </row>
    <row r="133" ht="15.75" customHeight="1">
      <c r="A133" s="11" t="s">
        <v>13</v>
      </c>
      <c r="B133" s="205" t="s">
        <v>1991</v>
      </c>
      <c r="C133" s="69" t="str">
        <f t="shared" si="14"/>
        <v>Segunda-Feira</v>
      </c>
      <c r="D133" s="445" t="str">
        <f>IF(C133&lt;&gt;"Quarta-Feira","14:00","09:00")</f>
        <v>14:00</v>
      </c>
      <c r="E133" s="253" t="s">
        <v>3280</v>
      </c>
      <c r="F133" s="69">
        <v>7.0500063703415E14</v>
      </c>
      <c r="G133" s="154" t="s">
        <v>3281</v>
      </c>
      <c r="H133" s="78">
        <v>38871.0</v>
      </c>
      <c r="I133" s="30" t="s">
        <v>182</v>
      </c>
      <c r="J133" s="69"/>
      <c r="K133" s="69"/>
      <c r="N133" s="244">
        <f t="shared" ref="N133:R133" si="15">COUNTIFS($I$130:$I$141,N132)</f>
        <v>10</v>
      </c>
      <c r="O133" s="244">
        <f t="shared" si="15"/>
        <v>0</v>
      </c>
      <c r="P133" s="244">
        <f t="shared" si="15"/>
        <v>0</v>
      </c>
      <c r="Q133" s="244">
        <f t="shared" si="15"/>
        <v>0</v>
      </c>
      <c r="R133" s="244">
        <f t="shared" si="15"/>
        <v>1</v>
      </c>
    </row>
    <row r="134" ht="15.75" customHeight="1">
      <c r="A134" s="11" t="s">
        <v>14</v>
      </c>
      <c r="B134" s="205" t="s">
        <v>1980</v>
      </c>
      <c r="C134" s="69" t="str">
        <f t="shared" si="14"/>
        <v>Segunda-Feira</v>
      </c>
      <c r="D134" s="445" t="str">
        <f>IF(C134&lt;&gt;"Quarta-Feira","14:20","09:20")</f>
        <v>14:20</v>
      </c>
      <c r="E134" s="253" t="s">
        <v>3282</v>
      </c>
      <c r="F134" s="69">
        <v>7.0610952348836E14</v>
      </c>
      <c r="G134" s="154" t="s">
        <v>3283</v>
      </c>
      <c r="H134" s="78">
        <v>24460.0</v>
      </c>
      <c r="I134" s="30" t="s">
        <v>182</v>
      </c>
      <c r="J134" s="69"/>
      <c r="K134" s="69"/>
      <c r="R134" s="62"/>
    </row>
    <row r="135" ht="15.75" customHeight="1">
      <c r="A135" s="11" t="s">
        <v>15</v>
      </c>
      <c r="B135" s="205" t="s">
        <v>1984</v>
      </c>
      <c r="C135" s="69" t="str">
        <f t="shared" si="14"/>
        <v>Segunda-Feira</v>
      </c>
      <c r="D135" s="445" t="str">
        <f>IF(C135&lt;&gt;"Quarta-Feira","14:40","09:40")</f>
        <v>14:40</v>
      </c>
      <c r="E135" s="253"/>
      <c r="F135" s="69">
        <v>7.01007832795797E14</v>
      </c>
      <c r="G135" s="154" t="s">
        <v>3284</v>
      </c>
      <c r="H135" s="153">
        <v>19778.0</v>
      </c>
      <c r="I135" s="30" t="s">
        <v>182</v>
      </c>
      <c r="J135" s="69"/>
      <c r="K135" s="69"/>
      <c r="R135" s="62"/>
    </row>
    <row r="136" ht="15.75" customHeight="1">
      <c r="A136" s="11" t="s">
        <v>16</v>
      </c>
      <c r="B136" s="205" t="s">
        <v>1988</v>
      </c>
      <c r="C136" s="69" t="str">
        <f t="shared" si="14"/>
        <v>Segunda-Feira</v>
      </c>
      <c r="D136" s="445" t="str">
        <f>IF(C136&lt;&gt;"Quarta-Feira","15:00","10:00")</f>
        <v>15:00</v>
      </c>
      <c r="E136" s="253" t="s">
        <v>3285</v>
      </c>
      <c r="F136" s="69">
        <v>7.02908520451775E14</v>
      </c>
      <c r="G136" s="154" t="s">
        <v>3286</v>
      </c>
      <c r="H136" s="78">
        <v>19420.0</v>
      </c>
      <c r="I136" s="30" t="s">
        <v>182</v>
      </c>
      <c r="J136" s="69"/>
      <c r="K136" s="69"/>
      <c r="R136" s="62"/>
    </row>
    <row r="137" ht="15.75" customHeight="1">
      <c r="A137" s="11" t="s">
        <v>17</v>
      </c>
      <c r="B137" s="205" t="s">
        <v>1991</v>
      </c>
      <c r="C137" s="69" t="str">
        <f t="shared" si="14"/>
        <v>Segunda-Feira</v>
      </c>
      <c r="D137" s="445" t="str">
        <f>IF(C137&lt;&gt;"Quarta-Feira","15:20","10:20")</f>
        <v>15:20</v>
      </c>
      <c r="E137" s="253" t="s">
        <v>1112</v>
      </c>
      <c r="F137" s="69">
        <v>7.0040649628444E14</v>
      </c>
      <c r="G137" s="154" t="s">
        <v>1113</v>
      </c>
      <c r="H137" s="72">
        <v>22601.0</v>
      </c>
      <c r="I137" s="30" t="s">
        <v>1822</v>
      </c>
      <c r="J137" s="69"/>
      <c r="K137" s="69"/>
      <c r="R137" s="62"/>
    </row>
    <row r="138" ht="15.75" customHeight="1">
      <c r="A138" s="11" t="s">
        <v>85</v>
      </c>
      <c r="B138" s="205" t="s">
        <v>1980</v>
      </c>
      <c r="C138" s="69" t="str">
        <f t="shared" si="14"/>
        <v>Segunda-Feira</v>
      </c>
      <c r="D138" s="445" t="str">
        <f>IF(C138&lt;&gt;"Quarta-Feira","15:40","10:40")</f>
        <v>15:40</v>
      </c>
      <c r="E138" s="253" t="s">
        <v>3287</v>
      </c>
      <c r="F138" s="69">
        <v>8.98001433865701E14</v>
      </c>
      <c r="G138" s="154" t="s">
        <v>3288</v>
      </c>
      <c r="H138" s="78">
        <v>25547.0</v>
      </c>
      <c r="I138" s="30" t="s">
        <v>182</v>
      </c>
      <c r="J138" s="69"/>
      <c r="K138" s="69"/>
      <c r="R138" s="62"/>
      <c r="V138" s="292"/>
    </row>
    <row r="139" ht="15.75" customHeight="1">
      <c r="A139" s="11" t="s">
        <v>87</v>
      </c>
      <c r="B139" s="205" t="s">
        <v>1984</v>
      </c>
      <c r="C139" s="69" t="str">
        <f t="shared" si="14"/>
        <v>Segunda-Feira</v>
      </c>
      <c r="D139" s="445" t="str">
        <f>IF(C139&lt;&gt;"Quarta-Feira","16:00","11:00")</f>
        <v>16:00</v>
      </c>
      <c r="E139" s="253"/>
      <c r="F139" s="69"/>
      <c r="G139" s="154"/>
      <c r="H139" s="153"/>
      <c r="I139" s="30" t="s">
        <v>2347</v>
      </c>
      <c r="J139" s="69"/>
      <c r="K139" s="69"/>
      <c r="R139" s="62"/>
    </row>
    <row r="140" ht="15.75" customHeight="1">
      <c r="A140" s="11" t="s">
        <v>90</v>
      </c>
      <c r="B140" s="205" t="s">
        <v>1988</v>
      </c>
      <c r="C140" s="69" t="str">
        <f t="shared" si="14"/>
        <v>Segunda-Feira</v>
      </c>
      <c r="D140" s="445" t="str">
        <f>IF(C140&lt;&gt;"Quarta-Feira","16:20","11:20")</f>
        <v>16:20</v>
      </c>
      <c r="E140" s="253" t="s">
        <v>3287</v>
      </c>
      <c r="F140" s="69">
        <v>7.04008884416962E14</v>
      </c>
      <c r="G140" s="154" t="s">
        <v>3289</v>
      </c>
      <c r="H140" s="153">
        <v>28415.0</v>
      </c>
      <c r="I140" s="30" t="s">
        <v>182</v>
      </c>
      <c r="J140" s="69"/>
      <c r="K140" s="69"/>
      <c r="R140" s="62"/>
    </row>
    <row r="141" ht="15.75" customHeight="1">
      <c r="A141" s="11" t="s">
        <v>93</v>
      </c>
      <c r="B141" s="205" t="s">
        <v>1991</v>
      </c>
      <c r="C141" s="69" t="str">
        <f t="shared" si="14"/>
        <v>Segunda-Feira</v>
      </c>
      <c r="D141" s="445" t="str">
        <f>IF(C141&lt;&gt;"Quarta-Feira","16:40","11:40")</f>
        <v>16:40</v>
      </c>
      <c r="E141" s="253" t="s">
        <v>310</v>
      </c>
      <c r="F141" s="69">
        <v>7.07804616872117E14</v>
      </c>
      <c r="G141" s="154" t="s">
        <v>1303</v>
      </c>
      <c r="H141" s="153">
        <v>28804.0</v>
      </c>
      <c r="I141" s="30" t="s">
        <v>182</v>
      </c>
      <c r="J141" s="69"/>
      <c r="K141" s="69"/>
      <c r="R141" s="62"/>
    </row>
    <row r="142" ht="15.75" customHeight="1">
      <c r="B142" s="167"/>
      <c r="E142" s="231"/>
      <c r="G142" s="167"/>
      <c r="J142" s="62"/>
      <c r="K142" s="62"/>
      <c r="R142" s="62"/>
    </row>
    <row r="143" ht="15.75" customHeight="1">
      <c r="B143" s="167"/>
      <c r="E143" s="231"/>
      <c r="G143" s="167"/>
      <c r="J143" s="62"/>
      <c r="K143" s="62"/>
      <c r="R143" s="62"/>
    </row>
    <row r="144" ht="15.75" customHeight="1">
      <c r="B144" s="167"/>
      <c r="E144" s="231"/>
      <c r="G144" s="167"/>
      <c r="J144" s="62"/>
      <c r="K144" s="62"/>
      <c r="R144" s="62"/>
    </row>
    <row r="145" ht="15.75" customHeight="1">
      <c r="A145" s="20" t="s">
        <v>377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08h às 13h"</f>
        <v>20/05/2026 08h às 13h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426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34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2013</v>
      </c>
      <c r="C148" s="69" t="str">
        <f t="shared" ref="C148:C159" si="16">PROPER(TEXT(DATE(MID($A$146,7,4),MID($A$146,4,2),LEFT($A$146,2)),"dddd"))</f>
        <v>Quarta-Feira</v>
      </c>
      <c r="D148" s="445" t="str">
        <f>IF(C148&lt;&gt;"Quarta-Feira","13:00","08:00")</f>
        <v>08:00</v>
      </c>
      <c r="E148" s="253" t="s">
        <v>3290</v>
      </c>
      <c r="F148" s="69">
        <v>7.0540540203679E14</v>
      </c>
      <c r="G148" s="154"/>
      <c r="H148" s="193">
        <v>24226.0</v>
      </c>
      <c r="I148" s="30" t="s">
        <v>182</v>
      </c>
      <c r="J148" s="69"/>
      <c r="K148" s="69"/>
      <c r="N148" s="237" t="s">
        <v>386</v>
      </c>
      <c r="O148" s="95"/>
      <c r="P148" s="95"/>
      <c r="Q148" s="95"/>
      <c r="R148" s="95"/>
    </row>
    <row r="149" ht="15.75" customHeight="1">
      <c r="A149" s="11" t="s">
        <v>11</v>
      </c>
      <c r="B149" s="205" t="s">
        <v>2018</v>
      </c>
      <c r="C149" s="69" t="str">
        <f t="shared" si="16"/>
        <v>Quarta-Feira</v>
      </c>
      <c r="D149" s="445" t="str">
        <f>IF(C149&lt;&gt;"Quarta-Feira","13:20","08:20")</f>
        <v>08:20</v>
      </c>
      <c r="E149" s="253" t="s">
        <v>3291</v>
      </c>
      <c r="F149" s="69">
        <v>2.04303053240001E14</v>
      </c>
      <c r="G149" s="154" t="s">
        <v>3292</v>
      </c>
      <c r="H149" s="72">
        <v>21638.0</v>
      </c>
      <c r="I149" s="30" t="s">
        <v>182</v>
      </c>
      <c r="J149" s="69"/>
      <c r="K149" s="69"/>
      <c r="N149" s="239" t="s">
        <v>1823</v>
      </c>
      <c r="O149" s="2"/>
      <c r="P149" s="2"/>
      <c r="Q149" s="2"/>
      <c r="R149" s="2"/>
    </row>
    <row r="150" ht="15.75" customHeight="1">
      <c r="A150" s="11" t="s">
        <v>12</v>
      </c>
      <c r="B150" s="205" t="s">
        <v>2020</v>
      </c>
      <c r="C150" s="69" t="str">
        <f t="shared" si="16"/>
        <v>Quarta-Feira</v>
      </c>
      <c r="D150" s="445" t="str">
        <f>IF(C150&lt;&gt;"Quarta-Feira","13:40","08:40")</f>
        <v>08:40</v>
      </c>
      <c r="E150" s="253" t="s">
        <v>3239</v>
      </c>
      <c r="F150" s="69">
        <v>7.08700143167891E14</v>
      </c>
      <c r="G150" s="154" t="s">
        <v>3240</v>
      </c>
      <c r="H150" s="72">
        <v>19013.0</v>
      </c>
      <c r="I150" s="30" t="s">
        <v>182</v>
      </c>
      <c r="J150" s="69"/>
      <c r="K150" s="69"/>
      <c r="L150" s="63"/>
      <c r="M150" s="63"/>
      <c r="N150" s="240" t="s">
        <v>182</v>
      </c>
      <c r="O150" s="241" t="s">
        <v>194</v>
      </c>
      <c r="P150" s="241" t="s">
        <v>180</v>
      </c>
      <c r="Q150" s="242" t="s">
        <v>172</v>
      </c>
      <c r="R150" s="343" t="s">
        <v>1822</v>
      </c>
      <c r="S150" s="63"/>
      <c r="T150" s="63"/>
      <c r="U150" s="63"/>
      <c r="V150" s="63"/>
      <c r="W150" s="63"/>
      <c r="X150" s="63"/>
    </row>
    <row r="151" ht="15.75" customHeight="1">
      <c r="A151" s="11" t="s">
        <v>13</v>
      </c>
      <c r="B151" s="205" t="s">
        <v>2023</v>
      </c>
      <c r="C151" s="69" t="str">
        <f t="shared" si="16"/>
        <v>Quarta-Feira</v>
      </c>
      <c r="D151" s="445" t="str">
        <f>IF(C151&lt;&gt;"Quarta-Feira","14:00","09:00")</f>
        <v>09:00</v>
      </c>
      <c r="E151" s="253" t="s">
        <v>3293</v>
      </c>
      <c r="F151" s="69">
        <v>2.01538188450002E14</v>
      </c>
      <c r="G151" s="154" t="s">
        <v>3294</v>
      </c>
      <c r="H151" s="78">
        <v>26833.0</v>
      </c>
      <c r="I151" s="30" t="s">
        <v>182</v>
      </c>
      <c r="J151" s="69"/>
      <c r="K151" s="69"/>
      <c r="N151" s="244">
        <f t="shared" ref="N151:R151" si="17">COUNTIFS($I$148:$I$159,N150)</f>
        <v>12</v>
      </c>
      <c r="O151" s="244">
        <f t="shared" si="17"/>
        <v>0</v>
      </c>
      <c r="P151" s="244">
        <f t="shared" si="17"/>
        <v>0</v>
      </c>
      <c r="Q151" s="244">
        <f t="shared" si="17"/>
        <v>0</v>
      </c>
      <c r="R151" s="244">
        <f t="shared" si="17"/>
        <v>0</v>
      </c>
    </row>
    <row r="152" ht="15.75" customHeight="1">
      <c r="A152" s="11" t="s">
        <v>14</v>
      </c>
      <c r="B152" s="205" t="s">
        <v>2018</v>
      </c>
      <c r="C152" s="69" t="str">
        <f t="shared" si="16"/>
        <v>Quarta-Feira</v>
      </c>
      <c r="D152" s="445" t="str">
        <f>IF(C152&lt;&gt;"Quarta-Feira","14:20","09:20")</f>
        <v>09:20</v>
      </c>
      <c r="E152" s="253" t="s">
        <v>3295</v>
      </c>
      <c r="F152" s="69">
        <v>7.06007806813342E14</v>
      </c>
      <c r="G152" s="154" t="s">
        <v>3296</v>
      </c>
      <c r="H152" s="78">
        <v>22691.0</v>
      </c>
      <c r="I152" s="30" t="s">
        <v>182</v>
      </c>
      <c r="J152" s="69"/>
      <c r="K152" s="69"/>
      <c r="R152" s="62"/>
    </row>
    <row r="153" ht="15.75" customHeight="1">
      <c r="A153" s="11" t="s">
        <v>15</v>
      </c>
      <c r="B153" s="205" t="s">
        <v>2020</v>
      </c>
      <c r="C153" s="69" t="str">
        <f t="shared" si="16"/>
        <v>Quarta-Feira</v>
      </c>
      <c r="D153" s="445" t="str">
        <f>IF(C153&lt;&gt;"Quarta-Feira","14:40","09:40")</f>
        <v>09:40</v>
      </c>
      <c r="E153" s="253" t="s">
        <v>3247</v>
      </c>
      <c r="F153" s="69">
        <v>7.0100589432499E14</v>
      </c>
      <c r="G153" s="154" t="s">
        <v>3248</v>
      </c>
      <c r="H153" s="78">
        <v>21835.0</v>
      </c>
      <c r="I153" s="30" t="s">
        <v>182</v>
      </c>
      <c r="J153" s="69"/>
      <c r="K153" s="69"/>
      <c r="N153" s="63"/>
      <c r="R153" s="62"/>
    </row>
    <row r="154" ht="15.75" customHeight="1">
      <c r="A154" s="11" t="s">
        <v>16</v>
      </c>
      <c r="B154" s="205" t="s">
        <v>2013</v>
      </c>
      <c r="C154" s="69" t="str">
        <f t="shared" si="16"/>
        <v>Quarta-Feira</v>
      </c>
      <c r="D154" s="445" t="str">
        <f>IF(C154&lt;&gt;"Quarta-Feira","15:00","10:00")</f>
        <v>10:00</v>
      </c>
      <c r="E154" s="253" t="s">
        <v>3229</v>
      </c>
      <c r="F154" s="69">
        <v>7.0550044390541E14</v>
      </c>
      <c r="G154" s="154" t="s">
        <v>3230</v>
      </c>
      <c r="H154" s="150">
        <v>19197.0</v>
      </c>
      <c r="I154" s="30" t="s">
        <v>182</v>
      </c>
      <c r="J154" s="69"/>
      <c r="K154" s="69"/>
      <c r="L154" s="63"/>
      <c r="M154" s="63"/>
      <c r="O154" s="63"/>
      <c r="P154" s="63"/>
      <c r="Q154" s="63"/>
      <c r="R154" s="343"/>
      <c r="S154" s="63"/>
      <c r="T154" s="63"/>
      <c r="U154" s="63"/>
      <c r="V154" s="63"/>
      <c r="W154" s="63"/>
      <c r="X154" s="63"/>
    </row>
    <row r="155" ht="15.75" customHeight="1">
      <c r="A155" s="11" t="s">
        <v>17</v>
      </c>
      <c r="B155" s="205" t="s">
        <v>2018</v>
      </c>
      <c r="C155" s="69" t="str">
        <f t="shared" si="16"/>
        <v>Quarta-Feira</v>
      </c>
      <c r="D155" s="445" t="str">
        <f>IF(C155&lt;&gt;"Quarta-Feira","15:20","10:20")</f>
        <v>10:20</v>
      </c>
      <c r="E155" s="253" t="s">
        <v>3297</v>
      </c>
      <c r="F155" s="69">
        <v>7.0070342919918E14</v>
      </c>
      <c r="G155" s="154" t="s">
        <v>3298</v>
      </c>
      <c r="H155" s="72">
        <v>19591.0</v>
      </c>
      <c r="I155" s="30" t="s">
        <v>182</v>
      </c>
      <c r="J155" s="69"/>
      <c r="K155" s="69"/>
      <c r="R155" s="62"/>
    </row>
    <row r="156" ht="15.75" customHeight="1">
      <c r="A156" s="11" t="s">
        <v>85</v>
      </c>
      <c r="B156" s="205" t="s">
        <v>2023</v>
      </c>
      <c r="C156" s="69" t="str">
        <f t="shared" si="16"/>
        <v>Quarta-Feira</v>
      </c>
      <c r="D156" s="445" t="str">
        <f>IF(C156&lt;&gt;"Quarta-Feira","15:40","10:40")</f>
        <v>10:40</v>
      </c>
      <c r="E156" s="253" t="s">
        <v>3299</v>
      </c>
      <c r="F156" s="253" t="s">
        <v>3300</v>
      </c>
      <c r="G156" s="154" t="s">
        <v>825</v>
      </c>
      <c r="H156" s="78">
        <v>21561.0</v>
      </c>
      <c r="I156" s="30" t="s">
        <v>182</v>
      </c>
      <c r="J156" s="69"/>
      <c r="K156" s="69"/>
      <c r="R156" s="62"/>
    </row>
    <row r="157" ht="15.75" customHeight="1">
      <c r="A157" s="11" t="s">
        <v>87</v>
      </c>
      <c r="B157" s="205" t="s">
        <v>2020</v>
      </c>
      <c r="C157" s="69" t="str">
        <f t="shared" si="16"/>
        <v>Quarta-Feira</v>
      </c>
      <c r="D157" s="445" t="str">
        <f>IF(C157&lt;&gt;"Quarta-Feira","16:00","11:00")</f>
        <v>11:00</v>
      </c>
      <c r="E157" s="253" t="s">
        <v>3301</v>
      </c>
      <c r="F157" s="69">
        <v>7.05005893087955E14</v>
      </c>
      <c r="G157" s="154" t="s">
        <v>3302</v>
      </c>
      <c r="H157" s="153">
        <v>17547.0</v>
      </c>
      <c r="I157" s="30" t="s">
        <v>182</v>
      </c>
      <c r="J157" s="69"/>
      <c r="K157" s="69"/>
      <c r="R157" s="62"/>
    </row>
    <row r="158" ht="15.75" customHeight="1">
      <c r="A158" s="11" t="s">
        <v>90</v>
      </c>
      <c r="B158" s="205" t="s">
        <v>2023</v>
      </c>
      <c r="C158" s="69" t="str">
        <f t="shared" si="16"/>
        <v>Quarta-Feira</v>
      </c>
      <c r="D158" s="445" t="str">
        <f>IF(C158&lt;&gt;"Quarta-Feira","16:20","11:20")</f>
        <v>11:20</v>
      </c>
      <c r="E158" s="253" t="s">
        <v>3303</v>
      </c>
      <c r="F158" s="69">
        <v>7.0040344682264E14</v>
      </c>
      <c r="G158" s="154" t="s">
        <v>3304</v>
      </c>
      <c r="H158" s="78">
        <v>23977.0</v>
      </c>
      <c r="I158" s="30" t="s">
        <v>182</v>
      </c>
      <c r="J158" s="69"/>
      <c r="K158" s="69"/>
      <c r="R158" s="62"/>
    </row>
    <row r="159" ht="15.75" customHeight="1">
      <c r="A159" s="11" t="s">
        <v>93</v>
      </c>
      <c r="B159" s="205" t="s">
        <v>2013</v>
      </c>
      <c r="C159" s="69" t="str">
        <f t="shared" si="16"/>
        <v>Quarta-Feira</v>
      </c>
      <c r="D159" s="445" t="str">
        <f>IF(C159&lt;&gt;"Quarta-Feira","16:40","11:40")</f>
        <v>11:40</v>
      </c>
      <c r="E159" s="253" t="s">
        <v>3305</v>
      </c>
      <c r="F159" s="69">
        <v>2.01152587060001E14</v>
      </c>
      <c r="G159" s="154" t="s">
        <v>3306</v>
      </c>
      <c r="H159" s="153">
        <v>15816.0</v>
      </c>
      <c r="I159" s="30" t="s">
        <v>182</v>
      </c>
      <c r="J159" s="69"/>
      <c r="K159" s="69"/>
      <c r="R159" s="62"/>
    </row>
    <row r="160" ht="15.75" customHeight="1">
      <c r="B160" s="167"/>
      <c r="E160" s="231"/>
      <c r="G160" s="167"/>
      <c r="J160" s="62"/>
      <c r="K160" s="62"/>
      <c r="R160" s="62"/>
    </row>
    <row r="161" ht="15.75" customHeight="1">
      <c r="B161" s="167"/>
      <c r="E161" s="231"/>
      <c r="G161" s="167"/>
      <c r="J161" s="62"/>
      <c r="K161" s="62"/>
      <c r="R161" s="62"/>
    </row>
    <row r="162" ht="15.75" customHeight="1">
      <c r="B162" s="167"/>
      <c r="E162" s="231"/>
      <c r="G162" s="167"/>
      <c r="J162" s="62"/>
      <c r="K162" s="62"/>
      <c r="R162" s="62"/>
    </row>
    <row r="163" ht="15.75" customHeight="1">
      <c r="A163" s="20" t="s">
        <v>377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TEXT(DATE(VALUE(MID(A146,7,4)),VALUE(MID(A146,4,2)),VALUE(LEFT(A146,2)))+2,"dd/mm/yyyy")&amp;" 08h às 13h"</f>
        <v>22/05/2026 08h às 13h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426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34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2380</v>
      </c>
      <c r="C166" s="69" t="str">
        <f t="shared" ref="C166:C177" si="18">PROPER(TEXT(DATE(MID($A$164,7,4),MID($A$164,4,2),LEFT($A$164,2)),"dddd"))</f>
        <v>Sexta-Feira</v>
      </c>
      <c r="D166" s="445" t="str">
        <f>IF(C166&lt;&gt;"Quarta-Feira","13:00","08:00")</f>
        <v>13:00</v>
      </c>
      <c r="E166" s="253" t="s">
        <v>3307</v>
      </c>
      <c r="F166" s="404">
        <v>7.00002956967104E14</v>
      </c>
      <c r="G166" s="154" t="s">
        <v>3308</v>
      </c>
      <c r="H166" s="78">
        <v>16091.0</v>
      </c>
      <c r="I166" s="30" t="s">
        <v>182</v>
      </c>
      <c r="J166" s="69"/>
      <c r="K166" s="69"/>
      <c r="L166" s="197" t="s">
        <v>520</v>
      </c>
      <c r="N166" s="237" t="s">
        <v>386</v>
      </c>
      <c r="O166" s="95"/>
      <c r="P166" s="95"/>
      <c r="Q166" s="95"/>
      <c r="R166" s="95"/>
    </row>
    <row r="167" ht="15.75" customHeight="1">
      <c r="A167" s="11" t="s">
        <v>11</v>
      </c>
      <c r="B167" s="205" t="s">
        <v>2383</v>
      </c>
      <c r="C167" s="69" t="str">
        <f t="shared" si="18"/>
        <v>Sexta-Feira</v>
      </c>
      <c r="D167" s="445" t="str">
        <f>IF(C167&lt;&gt;"Quarta-Feira","13:20","08:20")</f>
        <v>13:20</v>
      </c>
      <c r="E167" s="253" t="s">
        <v>3309</v>
      </c>
      <c r="F167" s="69">
        <v>7.0980603136459E14</v>
      </c>
      <c r="G167" s="154" t="s">
        <v>3310</v>
      </c>
      <c r="H167" s="78">
        <v>20827.0</v>
      </c>
      <c r="I167" s="30" t="s">
        <v>1822</v>
      </c>
      <c r="J167" s="69"/>
      <c r="K167" s="69"/>
      <c r="N167" s="239" t="s">
        <v>1823</v>
      </c>
      <c r="O167" s="2"/>
      <c r="P167" s="2"/>
      <c r="Q167" s="2"/>
      <c r="R167" s="2"/>
    </row>
    <row r="168" ht="15.75" customHeight="1">
      <c r="A168" s="11" t="s">
        <v>12</v>
      </c>
      <c r="B168" s="205" t="s">
        <v>2386</v>
      </c>
      <c r="C168" s="69" t="str">
        <f t="shared" si="18"/>
        <v>Sexta-Feira</v>
      </c>
      <c r="D168" s="445" t="str">
        <f>IF(C168&lt;&gt;"Quarta-Feira","13:40","08:40")</f>
        <v>13:40</v>
      </c>
      <c r="E168" s="253" t="s">
        <v>3311</v>
      </c>
      <c r="F168" s="69">
        <v>7.00002233180806E14</v>
      </c>
      <c r="G168" s="154" t="s">
        <v>3312</v>
      </c>
      <c r="H168" s="78">
        <v>36564.0</v>
      </c>
      <c r="I168" s="30" t="s">
        <v>182</v>
      </c>
      <c r="J168" s="69"/>
      <c r="K168" s="69"/>
      <c r="N168" s="240" t="s">
        <v>182</v>
      </c>
      <c r="O168" s="241" t="s">
        <v>194</v>
      </c>
      <c r="P168" s="241" t="s">
        <v>180</v>
      </c>
      <c r="Q168" s="242" t="s">
        <v>172</v>
      </c>
      <c r="R168" s="62" t="s">
        <v>1822</v>
      </c>
    </row>
    <row r="169" ht="15.75" customHeight="1">
      <c r="A169" s="11" t="s">
        <v>13</v>
      </c>
      <c r="B169" s="205" t="s">
        <v>2389</v>
      </c>
      <c r="C169" s="69" t="str">
        <f t="shared" si="18"/>
        <v>Sexta-Feira</v>
      </c>
      <c r="D169" s="445" t="str">
        <f>IF(C169&lt;&gt;"Quarta-Feira","14:00","09:00")</f>
        <v>14:00</v>
      </c>
      <c r="E169" s="253" t="s">
        <v>3313</v>
      </c>
      <c r="F169" s="69">
        <v>7.02403009040323E14</v>
      </c>
      <c r="G169" s="154" t="s">
        <v>3314</v>
      </c>
      <c r="H169" s="78">
        <v>15056.0</v>
      </c>
      <c r="I169" s="30" t="s">
        <v>1822</v>
      </c>
      <c r="J169" s="69"/>
      <c r="K169" s="69"/>
      <c r="N169" s="244">
        <f t="shared" ref="N169:R169" si="19">COUNTIFS($I$166:$I$177,N168)</f>
        <v>9</v>
      </c>
      <c r="O169" s="244">
        <f t="shared" si="19"/>
        <v>0</v>
      </c>
      <c r="P169" s="244">
        <f t="shared" si="19"/>
        <v>0</v>
      </c>
      <c r="Q169" s="244">
        <f t="shared" si="19"/>
        <v>0</v>
      </c>
      <c r="R169" s="244">
        <f t="shared" si="19"/>
        <v>3</v>
      </c>
    </row>
    <row r="170" ht="15.75" customHeight="1">
      <c r="A170" s="11" t="s">
        <v>14</v>
      </c>
      <c r="B170" s="205" t="s">
        <v>2380</v>
      </c>
      <c r="C170" s="69" t="str">
        <f t="shared" si="18"/>
        <v>Sexta-Feira</v>
      </c>
      <c r="D170" s="445" t="str">
        <f>IF(C170&lt;&gt;"Quarta-Feira","14:20","09:20")</f>
        <v>14:20</v>
      </c>
      <c r="E170" s="253" t="s">
        <v>3315</v>
      </c>
      <c r="F170" s="69">
        <v>8.98001485032778E14</v>
      </c>
      <c r="G170" s="154" t="s">
        <v>3316</v>
      </c>
      <c r="H170" s="78">
        <v>18997.0</v>
      </c>
      <c r="I170" s="30" t="s">
        <v>182</v>
      </c>
      <c r="J170" s="69"/>
      <c r="K170" s="69"/>
      <c r="R170" s="62"/>
    </row>
    <row r="171" ht="15.75" customHeight="1">
      <c r="A171" s="11" t="s">
        <v>15</v>
      </c>
      <c r="B171" s="205" t="s">
        <v>2383</v>
      </c>
      <c r="C171" s="69" t="str">
        <f t="shared" si="18"/>
        <v>Sexta-Feira</v>
      </c>
      <c r="D171" s="445" t="str">
        <f>IF(C171&lt;&gt;"Quarta-Feira","14:40","09:40")</f>
        <v>14:40</v>
      </c>
      <c r="E171" s="253" t="s">
        <v>3317</v>
      </c>
      <c r="F171" s="69">
        <v>8.01440468943973E14</v>
      </c>
      <c r="G171" s="154" t="s">
        <v>3318</v>
      </c>
      <c r="H171" s="78">
        <v>21564.0</v>
      </c>
      <c r="I171" s="30" t="s">
        <v>182</v>
      </c>
      <c r="J171" s="69"/>
      <c r="K171" s="69"/>
      <c r="R171" s="62"/>
    </row>
    <row r="172" ht="15.75" customHeight="1">
      <c r="A172" s="11" t="s">
        <v>16</v>
      </c>
      <c r="B172" s="205" t="s">
        <v>2386</v>
      </c>
      <c r="C172" s="69" t="str">
        <f t="shared" si="18"/>
        <v>Sexta-Feira</v>
      </c>
      <c r="D172" s="445" t="str">
        <f>IF(C172&lt;&gt;"Quarta-Feira","15:00","10:00")</f>
        <v>15:00</v>
      </c>
      <c r="E172" s="253" t="s">
        <v>3319</v>
      </c>
      <c r="F172" s="404">
        <v>7.00004650024905E14</v>
      </c>
      <c r="G172" s="154" t="s">
        <v>3320</v>
      </c>
      <c r="H172" s="78">
        <v>21403.0</v>
      </c>
      <c r="I172" s="30" t="s">
        <v>1822</v>
      </c>
      <c r="J172" s="69"/>
      <c r="K172" s="69"/>
      <c r="R172" s="62"/>
    </row>
    <row r="173" ht="15.75" customHeight="1">
      <c r="A173" s="11" t="s">
        <v>17</v>
      </c>
      <c r="B173" s="205" t="s">
        <v>2389</v>
      </c>
      <c r="C173" s="69" t="str">
        <f t="shared" si="18"/>
        <v>Sexta-Feira</v>
      </c>
      <c r="D173" s="445" t="str">
        <f>IF(C173&lt;&gt;"Quarta-Feira","15:20","10:20")</f>
        <v>15:20</v>
      </c>
      <c r="E173" s="253" t="s">
        <v>3321</v>
      </c>
      <c r="F173" s="69">
        <v>2.0688258977E14</v>
      </c>
      <c r="G173" s="154" t="s">
        <v>3322</v>
      </c>
      <c r="H173" s="78">
        <v>18426.0</v>
      </c>
      <c r="I173" s="30" t="s">
        <v>182</v>
      </c>
      <c r="J173" s="69"/>
      <c r="K173" s="69"/>
      <c r="R173" s="62"/>
    </row>
    <row r="174" ht="15.75" customHeight="1">
      <c r="A174" s="11" t="s">
        <v>85</v>
      </c>
      <c r="B174" s="205" t="s">
        <v>2383</v>
      </c>
      <c r="C174" s="69" t="str">
        <f t="shared" si="18"/>
        <v>Sexta-Feira</v>
      </c>
      <c r="D174" s="445" t="str">
        <f>IF(C174&lt;&gt;"Quarta-Feira","15:40","10:40")</f>
        <v>15:40</v>
      </c>
      <c r="E174" s="253" t="s">
        <v>3323</v>
      </c>
      <c r="F174" s="69">
        <v>7.00307974014336E14</v>
      </c>
      <c r="G174" s="154" t="s">
        <v>3324</v>
      </c>
      <c r="H174" s="78">
        <v>21011.0</v>
      </c>
      <c r="I174" s="30" t="s">
        <v>182</v>
      </c>
      <c r="J174" s="69"/>
      <c r="K174" s="69"/>
      <c r="L174" s="197" t="s">
        <v>576</v>
      </c>
      <c r="R174" s="62"/>
    </row>
    <row r="175" ht="15.75" customHeight="1">
      <c r="A175" s="11" t="s">
        <v>87</v>
      </c>
      <c r="B175" s="205" t="s">
        <v>2380</v>
      </c>
      <c r="C175" s="69" t="str">
        <f t="shared" si="18"/>
        <v>Sexta-Feira</v>
      </c>
      <c r="D175" s="445" t="str">
        <f>IF(C175&lt;&gt;"Quarta-Feira","16:00","11:00")</f>
        <v>16:00</v>
      </c>
      <c r="E175" s="253" t="s">
        <v>3325</v>
      </c>
      <c r="F175" s="69">
        <v>1.22009620200001E14</v>
      </c>
      <c r="G175" s="154" t="s">
        <v>3326</v>
      </c>
      <c r="H175" s="153">
        <v>17791.0</v>
      </c>
      <c r="I175" s="30" t="s">
        <v>182</v>
      </c>
      <c r="J175" s="69"/>
      <c r="K175" s="69"/>
      <c r="R175" s="62"/>
    </row>
    <row r="176" ht="15.75" customHeight="1">
      <c r="A176" s="11" t="s">
        <v>90</v>
      </c>
      <c r="B176" s="205" t="s">
        <v>2380</v>
      </c>
      <c r="C176" s="69" t="str">
        <f t="shared" si="18"/>
        <v>Sexta-Feira</v>
      </c>
      <c r="D176" s="445" t="str">
        <f>IF(C176&lt;&gt;"Quarta-Feira","16:20","11:20")</f>
        <v>16:20</v>
      </c>
      <c r="E176" s="253" t="s">
        <v>3327</v>
      </c>
      <c r="F176" s="69">
        <v>8.01440401159847E14</v>
      </c>
      <c r="G176" s="154" t="s">
        <v>3328</v>
      </c>
      <c r="H176" s="153">
        <v>19958.0</v>
      </c>
      <c r="I176" s="30" t="s">
        <v>182</v>
      </c>
      <c r="J176" s="69"/>
      <c r="K176" s="69"/>
      <c r="R176" s="62"/>
    </row>
    <row r="177" ht="15.75" customHeight="1">
      <c r="A177" s="11" t="s">
        <v>93</v>
      </c>
      <c r="B177" s="205" t="s">
        <v>2380</v>
      </c>
      <c r="C177" s="69" t="str">
        <f t="shared" si="18"/>
        <v>Sexta-Feira</v>
      </c>
      <c r="D177" s="445" t="str">
        <f>IF(C177&lt;&gt;"Quarta-Feira","16:40","11:40")</f>
        <v>16:40</v>
      </c>
      <c r="E177" s="253" t="s">
        <v>3329</v>
      </c>
      <c r="F177" s="69">
        <v>2.03922847790003E14</v>
      </c>
      <c r="G177" s="154" t="s">
        <v>3330</v>
      </c>
      <c r="H177" s="153">
        <v>20180.0</v>
      </c>
      <c r="I177" s="30" t="s">
        <v>182</v>
      </c>
      <c r="J177" s="69"/>
      <c r="K177" s="69"/>
      <c r="R177" s="62"/>
    </row>
    <row r="178" ht="15.75" customHeight="1">
      <c r="B178" s="167"/>
      <c r="E178" s="231"/>
      <c r="G178" s="167"/>
      <c r="J178" s="62"/>
      <c r="K178" s="62"/>
      <c r="R178" s="62"/>
    </row>
    <row r="179" ht="15.75" customHeight="1">
      <c r="B179" s="167"/>
      <c r="E179" s="231"/>
      <c r="G179" s="167"/>
      <c r="J179" s="62"/>
      <c r="K179" s="62"/>
      <c r="R179" s="62"/>
    </row>
    <row r="180" ht="15.75" customHeight="1">
      <c r="B180" s="167"/>
      <c r="E180" s="231"/>
      <c r="G180" s="167"/>
      <c r="J180" s="62"/>
      <c r="K180" s="62"/>
      <c r="R180" s="62"/>
    </row>
    <row r="181" ht="15.75" customHeight="1">
      <c r="A181" s="20" t="s">
        <v>377</v>
      </c>
      <c r="B181" s="2"/>
      <c r="C181" s="2"/>
      <c r="D181" s="2"/>
      <c r="E181" s="2"/>
      <c r="F181" s="2"/>
      <c r="G181" s="2"/>
      <c r="H181" s="2"/>
      <c r="I181" s="2"/>
      <c r="J181" s="2"/>
      <c r="K181" s="3"/>
      <c r="R181" s="62"/>
    </row>
    <row r="182" ht="15.75" customHeight="1">
      <c r="A182" s="21" t="str">
        <f>TEXT(DATE(VALUE(MID(A128,7,4)),VALUE(MID(A128,4,2)),VALUE(LEFT(A128,2)))+7,"dd/mm/yyyy")&amp;" 13h às 17h"</f>
        <v>25/05/2026 13h às 17h</v>
      </c>
      <c r="B182" s="2"/>
      <c r="C182" s="2"/>
      <c r="D182" s="2"/>
      <c r="E182" s="2"/>
      <c r="F182" s="2"/>
      <c r="G182" s="2"/>
      <c r="H182" s="2"/>
      <c r="I182" s="2"/>
      <c r="J182" s="2"/>
      <c r="K182" s="3"/>
      <c r="R182" s="62"/>
    </row>
    <row r="183" ht="15.75" customHeight="1">
      <c r="A183" s="22"/>
      <c r="B183" s="426" t="s">
        <v>3</v>
      </c>
      <c r="C183" s="24" t="s">
        <v>2</v>
      </c>
      <c r="D183" s="25" t="s">
        <v>5</v>
      </c>
      <c r="E183" s="26" t="s">
        <v>19</v>
      </c>
      <c r="F183" s="25" t="s">
        <v>6</v>
      </c>
      <c r="G183" s="234" t="s">
        <v>7</v>
      </c>
      <c r="H183" s="27" t="s">
        <v>8</v>
      </c>
      <c r="I183" s="28" t="s">
        <v>20</v>
      </c>
      <c r="J183" s="25" t="s">
        <v>21</v>
      </c>
      <c r="K183" s="25" t="s">
        <v>22</v>
      </c>
      <c r="R183" s="62"/>
    </row>
    <row r="184" ht="15.75" customHeight="1">
      <c r="A184" s="11" t="s">
        <v>10</v>
      </c>
      <c r="B184" s="205" t="s">
        <v>1980</v>
      </c>
      <c r="C184" s="69" t="str">
        <f t="shared" ref="C184:C195" si="20">PROPER(TEXT(DATE(MID($A$182,7,4),MID($A$182,4,2),LEFT($A$182,2)),"dddd"))</f>
        <v>Segunda-Feira</v>
      </c>
      <c r="D184" s="445" t="str">
        <f>IF(C184&lt;&gt;"Quarta-Feira","13:00","08:00")</f>
        <v>13:00</v>
      </c>
      <c r="E184" s="253" t="s">
        <v>3331</v>
      </c>
      <c r="F184" s="69">
        <v>7.06809716441521E14</v>
      </c>
      <c r="G184" s="154" t="s">
        <v>3332</v>
      </c>
      <c r="H184" s="193">
        <v>29832.0</v>
      </c>
      <c r="I184" s="30" t="s">
        <v>182</v>
      </c>
      <c r="J184" s="69"/>
      <c r="K184" s="69"/>
      <c r="N184" s="237" t="s">
        <v>386</v>
      </c>
      <c r="O184" s="95"/>
      <c r="P184" s="95"/>
      <c r="Q184" s="95"/>
      <c r="R184" s="95"/>
    </row>
    <row r="185" ht="15.75" customHeight="1">
      <c r="A185" s="11" t="s">
        <v>11</v>
      </c>
      <c r="B185" s="205" t="s">
        <v>1984</v>
      </c>
      <c r="C185" s="69" t="str">
        <f t="shared" si="20"/>
        <v>Segunda-Feira</v>
      </c>
      <c r="D185" s="445" t="str">
        <f>IF(C185&lt;&gt;"Quarta-Feira","13:20","08:20")</f>
        <v>13:20</v>
      </c>
      <c r="E185" s="253" t="s">
        <v>3333</v>
      </c>
      <c r="F185" s="69">
        <v>7.05001673997355E14</v>
      </c>
      <c r="G185" s="154" t="s">
        <v>3334</v>
      </c>
      <c r="H185" s="193">
        <v>23701.0</v>
      </c>
      <c r="I185" s="30" t="s">
        <v>1822</v>
      </c>
      <c r="J185" s="69"/>
      <c r="K185" s="69"/>
      <c r="N185" s="239" t="s">
        <v>1823</v>
      </c>
      <c r="O185" s="2"/>
      <c r="P185" s="2"/>
      <c r="Q185" s="2"/>
      <c r="R185" s="2"/>
    </row>
    <row r="186" ht="15.75" customHeight="1">
      <c r="A186" s="11" t="s">
        <v>12</v>
      </c>
      <c r="B186" s="205" t="s">
        <v>1988</v>
      </c>
      <c r="C186" s="69" t="str">
        <f t="shared" si="20"/>
        <v>Segunda-Feira</v>
      </c>
      <c r="D186" s="445" t="str">
        <f>IF(C186&lt;&gt;"Quarta-Feira","13:40","08:40")</f>
        <v>13:40</v>
      </c>
      <c r="E186" s="253" t="s">
        <v>3335</v>
      </c>
      <c r="F186" s="69">
        <v>7.0090790852029E14</v>
      </c>
      <c r="G186" s="154" t="s">
        <v>3336</v>
      </c>
      <c r="H186" s="193">
        <v>16980.0</v>
      </c>
      <c r="I186" s="30" t="s">
        <v>182</v>
      </c>
      <c r="J186" s="69"/>
      <c r="K186" s="69"/>
      <c r="N186" s="240" t="s">
        <v>182</v>
      </c>
      <c r="O186" s="241" t="s">
        <v>194</v>
      </c>
      <c r="P186" s="241" t="s">
        <v>180</v>
      </c>
      <c r="Q186" s="242" t="s">
        <v>172</v>
      </c>
      <c r="R186" s="62" t="s">
        <v>1822</v>
      </c>
    </row>
    <row r="187" ht="15.75" customHeight="1">
      <c r="A187" s="11" t="s">
        <v>13</v>
      </c>
      <c r="B187" s="205" t="s">
        <v>1991</v>
      </c>
      <c r="C187" s="69" t="str">
        <f t="shared" si="20"/>
        <v>Segunda-Feira</v>
      </c>
      <c r="D187" s="445" t="str">
        <f>IF(C187&lt;&gt;"Quarta-Feira","14:00","09:00")</f>
        <v>14:00</v>
      </c>
      <c r="E187" s="253" t="s">
        <v>3337</v>
      </c>
      <c r="F187" s="69">
        <v>7.09805026381295E14</v>
      </c>
      <c r="G187" s="154" t="s">
        <v>3338</v>
      </c>
      <c r="H187" s="193">
        <v>22967.0</v>
      </c>
      <c r="I187" s="30" t="s">
        <v>182</v>
      </c>
      <c r="J187" s="69"/>
      <c r="K187" s="69"/>
      <c r="N187" s="244">
        <f t="shared" ref="N187:R187" si="21">COUNTIFS($I$184:$I$195,$N$186)</f>
        <v>11</v>
      </c>
      <c r="O187" s="244">
        <f t="shared" si="21"/>
        <v>11</v>
      </c>
      <c r="P187" s="244">
        <f t="shared" si="21"/>
        <v>11</v>
      </c>
      <c r="Q187" s="244">
        <f t="shared" si="21"/>
        <v>11</v>
      </c>
      <c r="R187" s="244">
        <f t="shared" si="21"/>
        <v>11</v>
      </c>
    </row>
    <row r="188" ht="15.75" customHeight="1">
      <c r="A188" s="11" t="s">
        <v>14</v>
      </c>
      <c r="B188" s="205" t="s">
        <v>1980</v>
      </c>
      <c r="C188" s="69" t="str">
        <f t="shared" si="20"/>
        <v>Segunda-Feira</v>
      </c>
      <c r="D188" s="445" t="str">
        <f>IF(C188&lt;&gt;"Quarta-Feira","14:20","09:20")</f>
        <v>14:20</v>
      </c>
      <c r="E188" s="253" t="s">
        <v>3339</v>
      </c>
      <c r="F188" s="69">
        <v>7.05804473654638E14</v>
      </c>
      <c r="G188" s="154" t="s">
        <v>3340</v>
      </c>
      <c r="H188" s="193">
        <v>29092.0</v>
      </c>
      <c r="I188" s="30" t="s">
        <v>182</v>
      </c>
      <c r="J188" s="69"/>
      <c r="K188" s="69"/>
      <c r="R188" s="62"/>
    </row>
    <row r="189" ht="15.75" customHeight="1">
      <c r="A189" s="11" t="s">
        <v>15</v>
      </c>
      <c r="B189" s="205" t="s">
        <v>1984</v>
      </c>
      <c r="C189" s="69" t="str">
        <f t="shared" si="20"/>
        <v>Segunda-Feira</v>
      </c>
      <c r="D189" s="445" t="str">
        <f>IF(C189&lt;&gt;"Quarta-Feira","14:40","09:40")</f>
        <v>14:40</v>
      </c>
      <c r="E189" s="253" t="s">
        <v>3341</v>
      </c>
      <c r="F189" s="69">
        <v>7.02007343205189E14</v>
      </c>
      <c r="G189" s="154" t="s">
        <v>3342</v>
      </c>
      <c r="H189" s="193">
        <v>30282.0</v>
      </c>
      <c r="I189" s="30" t="s">
        <v>182</v>
      </c>
      <c r="J189" s="69"/>
      <c r="K189" s="69"/>
      <c r="R189" s="62"/>
    </row>
    <row r="190" ht="15.75" customHeight="1">
      <c r="A190" s="11" t="s">
        <v>16</v>
      </c>
      <c r="B190" s="205" t="s">
        <v>1988</v>
      </c>
      <c r="C190" s="69" t="str">
        <f t="shared" si="20"/>
        <v>Segunda-Feira</v>
      </c>
      <c r="D190" s="445" t="str">
        <f>IF(C190&lt;&gt;"Quarta-Feira","15:00","10:00")</f>
        <v>15:00</v>
      </c>
      <c r="E190" s="253" t="s">
        <v>3343</v>
      </c>
      <c r="F190" s="69">
        <v>8.01440437898658E14</v>
      </c>
      <c r="G190" s="154" t="s">
        <v>3344</v>
      </c>
      <c r="H190" s="193">
        <v>20587.0</v>
      </c>
      <c r="I190" s="30" t="s">
        <v>182</v>
      </c>
      <c r="J190" s="69"/>
      <c r="K190" s="69"/>
      <c r="R190" s="62"/>
    </row>
    <row r="191" ht="15.75" customHeight="1">
      <c r="A191" s="11" t="s">
        <v>17</v>
      </c>
      <c r="B191" s="205" t="s">
        <v>1991</v>
      </c>
      <c r="C191" s="69" t="str">
        <f t="shared" si="20"/>
        <v>Segunda-Feira</v>
      </c>
      <c r="D191" s="445" t="str">
        <f>IF(C191&lt;&gt;"Quarta-Feira","15:20","10:20")</f>
        <v>15:20</v>
      </c>
      <c r="E191" s="253" t="s">
        <v>3345</v>
      </c>
      <c r="F191" s="69">
        <v>7.00207412547626E14</v>
      </c>
      <c r="G191" s="154" t="s">
        <v>3346</v>
      </c>
      <c r="H191" s="193">
        <v>19711.0</v>
      </c>
      <c r="I191" s="30" t="s">
        <v>182</v>
      </c>
      <c r="J191" s="69"/>
      <c r="K191" s="69"/>
      <c r="R191" s="62"/>
    </row>
    <row r="192" ht="15.75" customHeight="1">
      <c r="A192" s="11" t="s">
        <v>85</v>
      </c>
      <c r="B192" s="205" t="s">
        <v>1980</v>
      </c>
      <c r="C192" s="69" t="str">
        <f t="shared" si="20"/>
        <v>Segunda-Feira</v>
      </c>
      <c r="D192" s="445" t="str">
        <f>IF(C192&lt;&gt;"Quarta-Feira","15:40","10:40")</f>
        <v>15:40</v>
      </c>
      <c r="E192" s="253"/>
      <c r="F192" s="69"/>
      <c r="G192" s="154" t="s">
        <v>3347</v>
      </c>
      <c r="H192" s="193"/>
      <c r="I192" s="30" t="s">
        <v>182</v>
      </c>
      <c r="J192" s="69"/>
      <c r="K192" s="69"/>
      <c r="R192" s="62"/>
    </row>
    <row r="193" ht="15.75" customHeight="1">
      <c r="A193" s="11" t="s">
        <v>87</v>
      </c>
      <c r="B193" s="205" t="s">
        <v>1984</v>
      </c>
      <c r="C193" s="69" t="str">
        <f t="shared" si="20"/>
        <v>Segunda-Feira</v>
      </c>
      <c r="D193" s="445" t="str">
        <f>IF(C193&lt;&gt;"Quarta-Feira","16:00","11:00")</f>
        <v>16:00</v>
      </c>
      <c r="E193" s="253" t="s">
        <v>3348</v>
      </c>
      <c r="F193" s="69">
        <v>7.02000895248981E14</v>
      </c>
      <c r="G193" s="154" t="s">
        <v>3349</v>
      </c>
      <c r="H193" s="193">
        <v>15752.0</v>
      </c>
      <c r="I193" s="30" t="s">
        <v>182</v>
      </c>
      <c r="J193" s="69"/>
      <c r="K193" s="69"/>
      <c r="R193" s="62"/>
    </row>
    <row r="194" ht="15.75" customHeight="1">
      <c r="A194" s="11" t="s">
        <v>90</v>
      </c>
      <c r="B194" s="205" t="s">
        <v>1988</v>
      </c>
      <c r="C194" s="69" t="str">
        <f t="shared" si="20"/>
        <v>Segunda-Feira</v>
      </c>
      <c r="D194" s="445" t="str">
        <f>IF(C194&lt;&gt;"Quarta-Feira","16:20","11:20")</f>
        <v>16:20</v>
      </c>
      <c r="E194" s="253" t="s">
        <v>3350</v>
      </c>
      <c r="F194" s="69">
        <v>7.04709785527035E14</v>
      </c>
      <c r="G194" s="154" t="s">
        <v>3351</v>
      </c>
      <c r="H194" s="193">
        <v>15656.0</v>
      </c>
      <c r="I194" s="30" t="s">
        <v>182</v>
      </c>
      <c r="J194" s="69"/>
      <c r="K194" s="69"/>
      <c r="R194" s="62"/>
    </row>
    <row r="195" ht="15.75" customHeight="1">
      <c r="A195" s="11" t="s">
        <v>93</v>
      </c>
      <c r="B195" s="205" t="s">
        <v>1991</v>
      </c>
      <c r="C195" s="69" t="str">
        <f t="shared" si="20"/>
        <v>Segunda-Feira</v>
      </c>
      <c r="D195" s="445" t="str">
        <f>IF(C195&lt;&gt;"Quarta-Feira","16:40","11:40")</f>
        <v>16:40</v>
      </c>
      <c r="E195" s="253" t="s">
        <v>3352</v>
      </c>
      <c r="F195" s="69">
        <v>7.00004367536208E14</v>
      </c>
      <c r="G195" s="154" t="s">
        <v>3353</v>
      </c>
      <c r="H195" s="193">
        <v>25062.0</v>
      </c>
      <c r="I195" s="30" t="s">
        <v>182</v>
      </c>
      <c r="J195" s="69"/>
      <c r="K195" s="69"/>
      <c r="R195" s="62"/>
    </row>
    <row r="196" ht="15.75" customHeight="1">
      <c r="B196" s="167"/>
      <c r="E196" s="231"/>
      <c r="G196" s="167"/>
      <c r="J196" s="62"/>
      <c r="K196" s="62"/>
      <c r="R196" s="62"/>
    </row>
    <row r="197" ht="15.75" customHeight="1">
      <c r="B197" s="167"/>
      <c r="E197" s="231"/>
      <c r="G197" s="167"/>
      <c r="J197" s="62"/>
      <c r="K197" s="62"/>
      <c r="R197" s="62"/>
    </row>
    <row r="198" ht="15.75" customHeight="1">
      <c r="B198" s="167"/>
      <c r="E198" s="231"/>
      <c r="G198" s="167"/>
      <c r="J198" s="62"/>
      <c r="K198" s="62"/>
      <c r="R198" s="62"/>
    </row>
    <row r="199" ht="15.75" customHeight="1">
      <c r="A199" s="20" t="s">
        <v>377</v>
      </c>
      <c r="B199" s="2"/>
      <c r="C199" s="2"/>
      <c r="D199" s="2"/>
      <c r="E199" s="2"/>
      <c r="F199" s="2"/>
      <c r="G199" s="2"/>
      <c r="H199" s="2"/>
      <c r="I199" s="2"/>
      <c r="J199" s="2"/>
      <c r="K199" s="3"/>
      <c r="R199" s="62"/>
    </row>
    <row r="200" ht="15.75" customHeight="1">
      <c r="A200" s="21" t="str">
        <f>TEXT(DATE(VALUE(MID(A182,7,4)),VALUE(MID(A182,4,2)),VALUE(LEFT(A182,2)))+2,"dd/mm/yyyy")&amp;" 08h às 13h"</f>
        <v>27/05/2026 08h às 13h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</row>
    <row r="201" ht="15.75" customHeight="1">
      <c r="A201" s="22"/>
      <c r="B201" s="426" t="s">
        <v>3</v>
      </c>
      <c r="C201" s="24" t="s">
        <v>2</v>
      </c>
      <c r="D201" s="25" t="s">
        <v>5</v>
      </c>
      <c r="E201" s="26" t="s">
        <v>19</v>
      </c>
      <c r="F201" s="25" t="s">
        <v>6</v>
      </c>
      <c r="G201" s="234" t="s">
        <v>7</v>
      </c>
      <c r="H201" s="27" t="s">
        <v>8</v>
      </c>
      <c r="I201" s="28" t="s">
        <v>20</v>
      </c>
      <c r="J201" s="25" t="s">
        <v>21</v>
      </c>
      <c r="K201" s="25" t="s">
        <v>22</v>
      </c>
    </row>
    <row r="202" ht="15.75" customHeight="1">
      <c r="A202" s="11" t="s">
        <v>10</v>
      </c>
      <c r="B202" s="205" t="s">
        <v>2013</v>
      </c>
      <c r="C202" s="69" t="str">
        <f t="shared" ref="C202:C213" si="22">PROPER(TEXT(DATE(MID($A$146,7,4),MID($A$146,4,2),LEFT($A$146,2)),"dddd"))</f>
        <v>Quarta-Feira</v>
      </c>
      <c r="D202" s="445" t="str">
        <f>IF(C202&lt;&gt;"Quarta-Feira","13:00","08:00")</f>
        <v>08:00</v>
      </c>
      <c r="E202" s="253" t="s">
        <v>1462</v>
      </c>
      <c r="F202" s="69">
        <v>8.98005838567696E14</v>
      </c>
      <c r="G202" s="154" t="s">
        <v>1463</v>
      </c>
      <c r="H202" s="193">
        <v>43132.0</v>
      </c>
      <c r="I202" s="30" t="s">
        <v>182</v>
      </c>
      <c r="J202" s="69"/>
      <c r="K202" s="69"/>
      <c r="N202" s="237" t="s">
        <v>386</v>
      </c>
      <c r="O202" s="95"/>
      <c r="P202" s="95"/>
      <c r="Q202" s="95"/>
      <c r="R202" s="95"/>
    </row>
    <row r="203" ht="15.75" customHeight="1">
      <c r="A203" s="11" t="s">
        <v>11</v>
      </c>
      <c r="B203" s="205" t="s">
        <v>2018</v>
      </c>
      <c r="C203" s="69" t="str">
        <f t="shared" si="22"/>
        <v>Quarta-Feira</v>
      </c>
      <c r="D203" s="445" t="str">
        <f>IF(C203&lt;&gt;"Quarta-Feira","13:20","08:20")</f>
        <v>08:20</v>
      </c>
      <c r="E203" s="253" t="s">
        <v>3354</v>
      </c>
      <c r="F203" s="69">
        <v>7.02007877095784E14</v>
      </c>
      <c r="G203" s="154" t="s">
        <v>3355</v>
      </c>
      <c r="H203" s="72">
        <v>22414.0</v>
      </c>
      <c r="I203" s="30" t="s">
        <v>182</v>
      </c>
      <c r="J203" s="69"/>
      <c r="K203" s="69"/>
      <c r="N203" s="239" t="s">
        <v>1823</v>
      </c>
      <c r="O203" s="2"/>
      <c r="P203" s="2"/>
      <c r="Q203" s="2"/>
      <c r="R203" s="2"/>
    </row>
    <row r="204" ht="15.75" customHeight="1">
      <c r="A204" s="11" t="s">
        <v>12</v>
      </c>
      <c r="B204" s="205" t="s">
        <v>2020</v>
      </c>
      <c r="C204" s="69" t="str">
        <f t="shared" si="22"/>
        <v>Quarta-Feira</v>
      </c>
      <c r="D204" s="445" t="str">
        <f>IF(C204&lt;&gt;"Quarta-Feira","13:40","08:40")</f>
        <v>08:40</v>
      </c>
      <c r="E204" s="253" t="s">
        <v>3356</v>
      </c>
      <c r="F204" s="69">
        <v>7.04809049441548E14</v>
      </c>
      <c r="G204" s="154" t="s">
        <v>3357</v>
      </c>
      <c r="H204" s="288">
        <v>21321.0</v>
      </c>
      <c r="I204" s="30" t="s">
        <v>182</v>
      </c>
      <c r="J204" s="69"/>
      <c r="K204" s="69"/>
      <c r="N204" s="240" t="s">
        <v>182</v>
      </c>
      <c r="O204" s="241" t="s">
        <v>194</v>
      </c>
      <c r="P204" s="241" t="s">
        <v>180</v>
      </c>
      <c r="Q204" s="242" t="s">
        <v>172</v>
      </c>
      <c r="R204" s="62" t="s">
        <v>1822</v>
      </c>
    </row>
    <row r="205" ht="15.75" customHeight="1">
      <c r="A205" s="11" t="s">
        <v>13</v>
      </c>
      <c r="B205" s="205" t="s">
        <v>2023</v>
      </c>
      <c r="C205" s="69" t="str">
        <f t="shared" si="22"/>
        <v>Quarta-Feira</v>
      </c>
      <c r="D205" s="445" t="str">
        <f>IF(C205&lt;&gt;"Quarta-Feira","14:00","09:00")</f>
        <v>09:00</v>
      </c>
      <c r="E205" s="253" t="s">
        <v>3358</v>
      </c>
      <c r="F205" s="69">
        <v>7.00504939644553E14</v>
      </c>
      <c r="G205" s="154" t="s">
        <v>3359</v>
      </c>
      <c r="H205" s="78">
        <v>18401.0</v>
      </c>
      <c r="I205" s="30" t="s">
        <v>182</v>
      </c>
      <c r="J205" s="69"/>
      <c r="K205" s="69"/>
      <c r="N205" s="244">
        <f t="shared" ref="N205:R205" si="23">COUNTIFS($I$202:$I$213,$N$186)</f>
        <v>10</v>
      </c>
      <c r="O205" s="244">
        <f t="shared" si="23"/>
        <v>10</v>
      </c>
      <c r="P205" s="244">
        <f t="shared" si="23"/>
        <v>10</v>
      </c>
      <c r="Q205" s="244">
        <f t="shared" si="23"/>
        <v>10</v>
      </c>
      <c r="R205" s="244">
        <f t="shared" si="23"/>
        <v>10</v>
      </c>
    </row>
    <row r="206" ht="15.75" customHeight="1">
      <c r="A206" s="11" t="s">
        <v>14</v>
      </c>
      <c r="B206" s="205" t="s">
        <v>2018</v>
      </c>
      <c r="C206" s="69" t="str">
        <f t="shared" si="22"/>
        <v>Quarta-Feira</v>
      </c>
      <c r="D206" s="445" t="str">
        <f>IF(C206&lt;&gt;"Quarta-Feira","14:20","09:20")</f>
        <v>09:20</v>
      </c>
      <c r="E206" s="253" t="s">
        <v>3360</v>
      </c>
      <c r="F206" s="69">
        <v>8.01440476655167E14</v>
      </c>
      <c r="G206" s="154" t="s">
        <v>3361</v>
      </c>
      <c r="H206" s="78">
        <v>38538.0</v>
      </c>
      <c r="I206" s="30" t="s">
        <v>182</v>
      </c>
      <c r="J206" s="69"/>
      <c r="K206" s="69"/>
      <c r="R206" s="62"/>
    </row>
    <row r="207" ht="15.75" customHeight="1">
      <c r="A207" s="11" t="s">
        <v>15</v>
      </c>
      <c r="B207" s="205" t="s">
        <v>2020</v>
      </c>
      <c r="C207" s="69" t="str">
        <f t="shared" si="22"/>
        <v>Quarta-Feira</v>
      </c>
      <c r="D207" s="445" t="str">
        <f>IF(C207&lt;&gt;"Quarta-Feira","14:40","09:40")</f>
        <v>09:40</v>
      </c>
      <c r="E207" s="253" t="s">
        <v>3362</v>
      </c>
      <c r="F207" s="69">
        <v>2.09803018010018E14</v>
      </c>
      <c r="G207" s="154" t="s">
        <v>3363</v>
      </c>
      <c r="H207" s="78">
        <v>22100.0</v>
      </c>
      <c r="I207" s="30" t="s">
        <v>182</v>
      </c>
      <c r="J207" s="69"/>
      <c r="K207" s="69"/>
      <c r="R207" s="62"/>
    </row>
    <row r="208" ht="15.75" customHeight="1">
      <c r="A208" s="11" t="s">
        <v>16</v>
      </c>
      <c r="B208" s="205" t="s">
        <v>2013</v>
      </c>
      <c r="C208" s="69" t="str">
        <f t="shared" si="22"/>
        <v>Quarta-Feira</v>
      </c>
      <c r="D208" s="445" t="str">
        <f>IF(C208&lt;&gt;"Quarta-Feira","15:00","10:00")</f>
        <v>10:00</v>
      </c>
      <c r="E208" s="253" t="s">
        <v>3364</v>
      </c>
      <c r="F208" s="69">
        <v>7.08104525348932E14</v>
      </c>
      <c r="G208" s="154" t="s">
        <v>3365</v>
      </c>
      <c r="H208" s="78">
        <v>21994.0</v>
      </c>
      <c r="I208" s="30" t="s">
        <v>182</v>
      </c>
      <c r="J208" s="69"/>
      <c r="K208" s="69"/>
      <c r="R208" s="62"/>
    </row>
    <row r="209" ht="15.75" customHeight="1">
      <c r="A209" s="11" t="s">
        <v>17</v>
      </c>
      <c r="B209" s="205" t="s">
        <v>2018</v>
      </c>
      <c r="C209" s="69" t="str">
        <f t="shared" si="22"/>
        <v>Quarta-Feira</v>
      </c>
      <c r="D209" s="445" t="str">
        <f>IF(C209&lt;&gt;"Quarta-Feira","15:20","10:20")</f>
        <v>10:20</v>
      </c>
      <c r="E209" s="253" t="s">
        <v>3366</v>
      </c>
      <c r="F209" s="69">
        <v>7.07402055685277E14</v>
      </c>
      <c r="G209" s="154" t="s">
        <v>3367</v>
      </c>
      <c r="H209" s="72">
        <v>20462.0</v>
      </c>
      <c r="I209" s="30" t="s">
        <v>1822</v>
      </c>
      <c r="J209" s="69"/>
      <c r="K209" s="69"/>
      <c r="R209" s="62"/>
    </row>
    <row r="210" ht="15.75" customHeight="1">
      <c r="A210" s="11" t="s">
        <v>85</v>
      </c>
      <c r="B210" s="205" t="s">
        <v>2023</v>
      </c>
      <c r="C210" s="69" t="str">
        <f t="shared" si="22"/>
        <v>Quarta-Feira</v>
      </c>
      <c r="D210" s="445" t="str">
        <f>IF(C210&lt;&gt;"Quarta-Feira","15:40","10:40")</f>
        <v>10:40</v>
      </c>
      <c r="E210" s="253" t="s">
        <v>3368</v>
      </c>
      <c r="F210" s="69">
        <v>7.00504779985153E14</v>
      </c>
      <c r="G210" s="154" t="s">
        <v>3369</v>
      </c>
      <c r="H210" s="78">
        <v>20032.0</v>
      </c>
      <c r="I210" s="30" t="s">
        <v>182</v>
      </c>
      <c r="J210" s="69"/>
      <c r="K210" s="69"/>
      <c r="R210" s="62"/>
    </row>
    <row r="211" ht="15.75" customHeight="1">
      <c r="A211" s="11" t="s">
        <v>87</v>
      </c>
      <c r="B211" s="205" t="s">
        <v>2020</v>
      </c>
      <c r="C211" s="69" t="str">
        <f t="shared" si="22"/>
        <v>Quarta-Feira</v>
      </c>
      <c r="D211" s="445" t="str">
        <f>IF(C211&lt;&gt;"Quarta-Feira","16:00","11:00")</f>
        <v>11:00</v>
      </c>
      <c r="E211" s="253" t="s">
        <v>3370</v>
      </c>
      <c r="F211" s="69">
        <v>8.98001901063862E14</v>
      </c>
      <c r="G211" s="154" t="s">
        <v>3371</v>
      </c>
      <c r="H211" s="153">
        <v>18007.0</v>
      </c>
      <c r="I211" s="30" t="s">
        <v>1822</v>
      </c>
      <c r="J211" s="69"/>
      <c r="K211" s="69"/>
      <c r="R211" s="62"/>
    </row>
    <row r="212" ht="15.75" customHeight="1">
      <c r="A212" s="11" t="s">
        <v>90</v>
      </c>
      <c r="B212" s="205" t="s">
        <v>2023</v>
      </c>
      <c r="C212" s="69" t="str">
        <f t="shared" si="22"/>
        <v>Quarta-Feira</v>
      </c>
      <c r="D212" s="445" t="str">
        <f>IF(C212&lt;&gt;"Quarta-Feira","16:20","11:20")</f>
        <v>11:20</v>
      </c>
      <c r="E212" s="253" t="s">
        <v>3372</v>
      </c>
      <c r="F212" s="69">
        <v>8.01440401145382E14</v>
      </c>
      <c r="G212" s="154" t="s">
        <v>3373</v>
      </c>
      <c r="H212" s="153">
        <v>20444.0</v>
      </c>
      <c r="I212" s="30" t="s">
        <v>182</v>
      </c>
      <c r="J212" s="69"/>
      <c r="K212" s="69"/>
      <c r="R212" s="62"/>
    </row>
    <row r="213" ht="15.75" customHeight="1">
      <c r="A213" s="11" t="s">
        <v>93</v>
      </c>
      <c r="B213" s="205" t="s">
        <v>2013</v>
      </c>
      <c r="C213" s="69" t="str">
        <f t="shared" si="22"/>
        <v>Quarta-Feira</v>
      </c>
      <c r="D213" s="445" t="str">
        <f>IF(C213&lt;&gt;"Quarta-Feira","16:40","11:40")</f>
        <v>11:40</v>
      </c>
      <c r="E213" s="253" t="s">
        <v>3374</v>
      </c>
      <c r="F213" s="69">
        <v>8.98001481197977E14</v>
      </c>
      <c r="G213" s="154" t="s">
        <v>3375</v>
      </c>
      <c r="H213" s="153">
        <v>41781.0</v>
      </c>
      <c r="I213" s="30" t="s">
        <v>182</v>
      </c>
      <c r="J213" s="69"/>
      <c r="K213" s="69"/>
      <c r="R213" s="62"/>
    </row>
    <row r="214" ht="15.75" customHeight="1">
      <c r="B214" s="167"/>
      <c r="E214" s="231"/>
      <c r="G214" s="167"/>
      <c r="J214" s="62"/>
      <c r="K214" s="62"/>
      <c r="R214" s="62"/>
    </row>
    <row r="215" ht="15.75" customHeight="1">
      <c r="B215" s="167"/>
      <c r="E215" s="231"/>
      <c r="G215" s="167"/>
      <c r="J215" s="62"/>
      <c r="K215" s="62"/>
      <c r="R215" s="62"/>
    </row>
    <row r="216" ht="15.75" customHeight="1">
      <c r="B216" s="167"/>
      <c r="E216" s="231"/>
      <c r="G216" s="167"/>
      <c r="J216" s="62"/>
      <c r="K216" s="62"/>
      <c r="R216" s="62"/>
    </row>
    <row r="217" ht="15.75" customHeight="1">
      <c r="A217" s="20" t="s">
        <v>377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R217" s="62"/>
    </row>
    <row r="218" ht="15.75" customHeight="1">
      <c r="A218" s="21" t="str">
        <f>TEXT(DATE(VALUE(MID(A200,7,4)),VALUE(MID(A200,4,2)),VALUE(LEFT(A200,2)))+2,"dd/mm/yyyy")&amp;" 08h às 13h"</f>
        <v>29/05/2026 08h às 13h</v>
      </c>
      <c r="B218" s="2"/>
      <c r="C218" s="2"/>
      <c r="D218" s="2"/>
      <c r="E218" s="2"/>
      <c r="F218" s="2"/>
      <c r="G218" s="2"/>
      <c r="H218" s="2"/>
      <c r="I218" s="2"/>
      <c r="J218" s="2"/>
      <c r="K218" s="3"/>
      <c r="R218" s="62"/>
    </row>
    <row r="219" ht="15.75" customHeight="1">
      <c r="A219" s="22"/>
      <c r="B219" s="426" t="s">
        <v>3</v>
      </c>
      <c r="C219" s="24" t="s">
        <v>2</v>
      </c>
      <c r="D219" s="25" t="s">
        <v>5</v>
      </c>
      <c r="E219" s="26" t="s">
        <v>19</v>
      </c>
      <c r="F219" s="25" t="s">
        <v>6</v>
      </c>
      <c r="G219" s="234" t="s">
        <v>7</v>
      </c>
      <c r="H219" s="27" t="s">
        <v>8</v>
      </c>
      <c r="I219" s="28" t="s">
        <v>20</v>
      </c>
      <c r="J219" s="25" t="s">
        <v>21</v>
      </c>
      <c r="K219" s="25" t="s">
        <v>22</v>
      </c>
      <c r="R219" s="62"/>
    </row>
    <row r="220" ht="15.75" customHeight="1">
      <c r="A220" s="11" t="s">
        <v>10</v>
      </c>
      <c r="B220" s="205" t="s">
        <v>2380</v>
      </c>
      <c r="C220" s="69" t="str">
        <f t="shared" ref="C220:C231" si="24">PROPER(TEXT(DATE(MID($A$164,7,4),MID($A$164,4,2),LEFT($A$164,2)),"dddd"))</f>
        <v>Sexta-Feira</v>
      </c>
      <c r="D220" s="445" t="str">
        <f>IF(C220&lt;&gt;"Quarta-Feira","13:00","08:00")</f>
        <v>13:00</v>
      </c>
      <c r="E220" s="253" t="s">
        <v>3376</v>
      </c>
      <c r="F220" s="404">
        <v>2.01151341360008E14</v>
      </c>
      <c r="G220" s="154" t="s">
        <v>3377</v>
      </c>
      <c r="H220" s="78">
        <v>23950.0</v>
      </c>
      <c r="I220" s="30" t="s">
        <v>182</v>
      </c>
      <c r="J220" s="69"/>
      <c r="K220" s="69"/>
      <c r="N220" s="237" t="s">
        <v>386</v>
      </c>
      <c r="O220" s="95"/>
      <c r="P220" s="95"/>
      <c r="Q220" s="95"/>
      <c r="R220" s="95"/>
    </row>
    <row r="221" ht="15.75" customHeight="1">
      <c r="A221" s="11" t="s">
        <v>11</v>
      </c>
      <c r="B221" s="205" t="s">
        <v>2383</v>
      </c>
      <c r="C221" s="69" t="str">
        <f t="shared" si="24"/>
        <v>Sexta-Feira</v>
      </c>
      <c r="D221" s="445" t="str">
        <f>IF(C221&lt;&gt;"Quarta-Feira","13:20","08:20")</f>
        <v>13:20</v>
      </c>
      <c r="E221" s="253" t="s">
        <v>3378</v>
      </c>
      <c r="F221" s="69">
        <v>7.08006356771224E14</v>
      </c>
      <c r="G221" s="154" t="s">
        <v>3379</v>
      </c>
      <c r="H221" s="78">
        <v>20456.0</v>
      </c>
      <c r="I221" s="30" t="s">
        <v>182</v>
      </c>
      <c r="J221" s="69"/>
      <c r="K221" s="69"/>
      <c r="N221" s="239" t="s">
        <v>1823</v>
      </c>
      <c r="O221" s="2"/>
      <c r="P221" s="2"/>
      <c r="Q221" s="2"/>
      <c r="R221" s="2"/>
    </row>
    <row r="222" ht="15.75" customHeight="1">
      <c r="A222" s="11" t="s">
        <v>12</v>
      </c>
      <c r="B222" s="205" t="s">
        <v>2386</v>
      </c>
      <c r="C222" s="69" t="str">
        <f t="shared" si="24"/>
        <v>Sexta-Feira</v>
      </c>
      <c r="D222" s="445" t="str">
        <f>IF(C222&lt;&gt;"Quarta-Feira","13:40","08:40")</f>
        <v>13:40</v>
      </c>
      <c r="E222" s="253" t="s">
        <v>3380</v>
      </c>
      <c r="F222" s="69">
        <v>8.98001464036014E14</v>
      </c>
      <c r="G222" s="154" t="s">
        <v>3381</v>
      </c>
      <c r="H222" s="78">
        <v>41152.0</v>
      </c>
      <c r="I222" s="30" t="s">
        <v>182</v>
      </c>
      <c r="J222" s="69"/>
      <c r="K222" s="69"/>
      <c r="N222" s="240" t="s">
        <v>182</v>
      </c>
      <c r="O222" s="241" t="s">
        <v>194</v>
      </c>
      <c r="P222" s="241" t="s">
        <v>180</v>
      </c>
      <c r="Q222" s="242" t="s">
        <v>172</v>
      </c>
      <c r="R222" s="62" t="s">
        <v>1822</v>
      </c>
    </row>
    <row r="223" ht="15.75" customHeight="1">
      <c r="A223" s="11" t="s">
        <v>13</v>
      </c>
      <c r="B223" s="205" t="s">
        <v>2389</v>
      </c>
      <c r="C223" s="69" t="str">
        <f t="shared" si="24"/>
        <v>Sexta-Feira</v>
      </c>
      <c r="D223" s="445" t="str">
        <f>IF(C223&lt;&gt;"Quarta-Feira","14:00","09:00")</f>
        <v>14:00</v>
      </c>
      <c r="E223" s="253" t="s">
        <v>3382</v>
      </c>
      <c r="F223" s="69">
        <v>7.09000847757119E14</v>
      </c>
      <c r="G223" s="154" t="s">
        <v>3383</v>
      </c>
      <c r="H223" s="78">
        <v>20511.0</v>
      </c>
      <c r="I223" s="30" t="s">
        <v>182</v>
      </c>
      <c r="J223" s="69"/>
      <c r="K223" s="69"/>
      <c r="N223" s="244">
        <f t="shared" ref="N223:R223" si="25">COUNTIFS($I$220:$I$231,$N$186)</f>
        <v>9</v>
      </c>
      <c r="O223" s="244">
        <f t="shared" si="25"/>
        <v>9</v>
      </c>
      <c r="P223" s="244">
        <f t="shared" si="25"/>
        <v>9</v>
      </c>
      <c r="Q223" s="244">
        <f t="shared" si="25"/>
        <v>9</v>
      </c>
      <c r="R223" s="244">
        <f t="shared" si="25"/>
        <v>9</v>
      </c>
    </row>
    <row r="224" ht="15.75" customHeight="1">
      <c r="A224" s="11" t="s">
        <v>14</v>
      </c>
      <c r="B224" s="205" t="s">
        <v>2380</v>
      </c>
      <c r="C224" s="69" t="str">
        <f t="shared" si="24"/>
        <v>Sexta-Feira</v>
      </c>
      <c r="D224" s="445" t="str">
        <f>IF(C224&lt;&gt;"Quarta-Feira","14:20","09:20")</f>
        <v>14:20</v>
      </c>
      <c r="E224" s="253" t="s">
        <v>3384</v>
      </c>
      <c r="F224" s="69">
        <v>7.0630974897247E14</v>
      </c>
      <c r="G224" s="154" t="s">
        <v>3385</v>
      </c>
      <c r="H224" s="78">
        <v>16321.0</v>
      </c>
      <c r="I224" s="30" t="s">
        <v>182</v>
      </c>
      <c r="J224" s="69"/>
      <c r="K224" s="69"/>
      <c r="R224" s="62"/>
    </row>
    <row r="225" ht="15.75" customHeight="1">
      <c r="A225" s="11" t="s">
        <v>15</v>
      </c>
      <c r="B225" s="205" t="s">
        <v>2383</v>
      </c>
      <c r="C225" s="69" t="str">
        <f t="shared" si="24"/>
        <v>Sexta-Feira</v>
      </c>
      <c r="D225" s="445" t="str">
        <f>IF(C225&lt;&gt;"Quarta-Feira","14:40","09:40")</f>
        <v>14:40</v>
      </c>
      <c r="E225" s="253"/>
      <c r="F225" s="69"/>
      <c r="G225" s="154"/>
      <c r="H225" s="78"/>
      <c r="I225" s="30" t="s">
        <v>2347</v>
      </c>
      <c r="J225" s="69"/>
      <c r="K225" s="69"/>
      <c r="R225" s="62"/>
    </row>
    <row r="226" ht="15.75" customHeight="1">
      <c r="A226" s="11" t="s">
        <v>16</v>
      </c>
      <c r="B226" s="205" t="s">
        <v>2386</v>
      </c>
      <c r="C226" s="69" t="str">
        <f t="shared" si="24"/>
        <v>Sexta-Feira</v>
      </c>
      <c r="D226" s="445" t="str">
        <f>IF(C226&lt;&gt;"Quarta-Feira","15:00","10:00")</f>
        <v>15:00</v>
      </c>
      <c r="E226" s="253" t="s">
        <v>3386</v>
      </c>
      <c r="F226" s="404">
        <v>7.06301738265979E14</v>
      </c>
      <c r="G226" s="154" t="s">
        <v>3387</v>
      </c>
      <c r="H226" s="78">
        <v>25580.0</v>
      </c>
      <c r="I226" s="30" t="s">
        <v>182</v>
      </c>
      <c r="J226" s="69"/>
      <c r="K226" s="69"/>
      <c r="R226" s="62"/>
    </row>
    <row r="227" ht="15.75" customHeight="1">
      <c r="A227" s="11" t="s">
        <v>17</v>
      </c>
      <c r="B227" s="205" t="s">
        <v>2389</v>
      </c>
      <c r="C227" s="69" t="str">
        <f t="shared" si="24"/>
        <v>Sexta-Feira</v>
      </c>
      <c r="D227" s="445" t="str">
        <f>IF(C227&lt;&gt;"Quarta-Feira","15:20","10:20")</f>
        <v>15:20</v>
      </c>
      <c r="E227" s="253" t="s">
        <v>1478</v>
      </c>
      <c r="F227" s="69">
        <v>2.06882484830003E14</v>
      </c>
      <c r="G227" s="154" t="s">
        <v>1479</v>
      </c>
      <c r="H227" s="78">
        <v>15085.0</v>
      </c>
      <c r="I227" s="30" t="s">
        <v>182</v>
      </c>
      <c r="J227" s="69"/>
      <c r="K227" s="69"/>
      <c r="R227" s="62"/>
    </row>
    <row r="228" ht="15.75" customHeight="1">
      <c r="A228" s="11" t="s">
        <v>85</v>
      </c>
      <c r="B228" s="205" t="s">
        <v>2383</v>
      </c>
      <c r="C228" s="69" t="str">
        <f t="shared" si="24"/>
        <v>Sexta-Feira</v>
      </c>
      <c r="D228" s="445" t="str">
        <f>IF(C228&lt;&gt;"Quarta-Feira","15:40","10:40")</f>
        <v>15:40</v>
      </c>
      <c r="E228" s="253" t="s">
        <v>3192</v>
      </c>
      <c r="F228" s="69">
        <v>7.04603151329626E14</v>
      </c>
      <c r="G228" s="154" t="s">
        <v>3193</v>
      </c>
      <c r="H228" s="78">
        <v>23798.0</v>
      </c>
      <c r="I228" s="30" t="s">
        <v>182</v>
      </c>
      <c r="J228" s="69"/>
      <c r="K228" s="69"/>
      <c r="R228" s="62"/>
    </row>
    <row r="229" ht="15.75" customHeight="1">
      <c r="A229" s="11" t="s">
        <v>87</v>
      </c>
      <c r="B229" s="205" t="s">
        <v>2380</v>
      </c>
      <c r="C229" s="69" t="str">
        <f t="shared" si="24"/>
        <v>Sexta-Feira</v>
      </c>
      <c r="D229" s="445" t="str">
        <f>IF(C229&lt;&gt;"Quarta-Feira","16:00","11:00")</f>
        <v>16:00</v>
      </c>
      <c r="E229" s="253" t="s">
        <v>3388</v>
      </c>
      <c r="F229" s="69">
        <v>7.00009164991908E14</v>
      </c>
      <c r="G229" s="154" t="s">
        <v>3389</v>
      </c>
      <c r="H229" s="153">
        <v>33058.0</v>
      </c>
      <c r="I229" s="30" t="s">
        <v>1822</v>
      </c>
      <c r="J229" s="69"/>
      <c r="K229" s="69"/>
      <c r="R229" s="62"/>
    </row>
    <row r="230" ht="15.75" customHeight="1">
      <c r="A230" s="11" t="s">
        <v>90</v>
      </c>
      <c r="B230" s="205" t="s">
        <v>2380</v>
      </c>
      <c r="C230" s="69" t="str">
        <f t="shared" si="24"/>
        <v>Sexta-Feira</v>
      </c>
      <c r="D230" s="445" t="str">
        <f>IF(C230&lt;&gt;"Quarta-Feira","16:20","11:20")</f>
        <v>16:20</v>
      </c>
      <c r="E230" s="253" t="s">
        <v>3272</v>
      </c>
      <c r="F230" s="69">
        <v>7.07603255462491E14</v>
      </c>
      <c r="G230" s="154" t="s">
        <v>3273</v>
      </c>
      <c r="H230" s="153">
        <v>23447.0</v>
      </c>
      <c r="I230" s="30" t="s">
        <v>182</v>
      </c>
      <c r="J230" s="69"/>
      <c r="K230" s="69"/>
      <c r="R230" s="62"/>
    </row>
    <row r="231" ht="15.75" customHeight="1">
      <c r="A231" s="11" t="s">
        <v>93</v>
      </c>
      <c r="B231" s="205" t="s">
        <v>2380</v>
      </c>
      <c r="C231" s="69" t="str">
        <f t="shared" si="24"/>
        <v>Sexta-Feira</v>
      </c>
      <c r="D231" s="445" t="str">
        <f>IF(C231&lt;&gt;"Quarta-Feira","16:40","11:40")</f>
        <v>16:40</v>
      </c>
      <c r="E231" s="253" t="s">
        <v>3390</v>
      </c>
      <c r="F231" s="69">
        <v>7.04600191630324E14</v>
      </c>
      <c r="G231" s="154" t="s">
        <v>3391</v>
      </c>
      <c r="H231" s="153">
        <v>29736.0</v>
      </c>
      <c r="I231" s="30" t="s">
        <v>1822</v>
      </c>
      <c r="J231" s="69"/>
      <c r="K231" s="69"/>
      <c r="R231" s="62"/>
    </row>
    <row r="232" ht="15.75" customHeight="1">
      <c r="B232" s="167"/>
      <c r="E232" s="231"/>
      <c r="G232" s="167"/>
      <c r="J232" s="62"/>
      <c r="K232" s="62"/>
      <c r="R232" s="62"/>
    </row>
    <row r="233" ht="15.75" customHeight="1">
      <c r="B233" s="167"/>
      <c r="E233" s="231"/>
      <c r="G233" s="167"/>
      <c r="J233" s="62"/>
      <c r="K233" s="62"/>
      <c r="R233" s="62"/>
    </row>
    <row r="234" ht="15.75" customHeight="1">
      <c r="B234" s="167"/>
      <c r="E234" s="231"/>
      <c r="G234" s="167"/>
      <c r="J234" s="62"/>
      <c r="K234" s="62"/>
      <c r="R234" s="62"/>
    </row>
    <row r="235" ht="15.75" customHeight="1">
      <c r="B235" s="167"/>
      <c r="E235" s="231"/>
      <c r="G235" s="167"/>
      <c r="J235" s="62"/>
      <c r="K235" s="62"/>
      <c r="R235" s="62"/>
    </row>
    <row r="236" ht="15.75" customHeight="1">
      <c r="B236" s="167"/>
      <c r="E236" s="231"/>
      <c r="G236" s="167"/>
      <c r="J236" s="62"/>
      <c r="K236" s="62"/>
      <c r="R236" s="62"/>
    </row>
    <row r="237" ht="15.75" customHeight="1">
      <c r="B237" s="167"/>
      <c r="E237" s="231"/>
      <c r="G237" s="167"/>
      <c r="J237" s="62"/>
      <c r="K237" s="62"/>
      <c r="R237" s="62"/>
    </row>
    <row r="238" ht="15.75" customHeight="1">
      <c r="B238" s="167"/>
      <c r="E238" s="231"/>
      <c r="G238" s="167"/>
      <c r="J238" s="62"/>
      <c r="K238" s="62"/>
      <c r="R238" s="62"/>
    </row>
    <row r="239" ht="15.75" customHeight="1">
      <c r="B239" s="167"/>
      <c r="E239" s="231"/>
      <c r="G239" s="167"/>
      <c r="J239" s="62"/>
      <c r="K239" s="62"/>
      <c r="N239" s="237" t="s">
        <v>2079</v>
      </c>
      <c r="O239" s="95"/>
      <c r="P239" s="95"/>
      <c r="Q239" s="95"/>
      <c r="R239" s="95"/>
    </row>
    <row r="240" ht="15.75" customHeight="1">
      <c r="B240" s="167"/>
      <c r="E240" s="231"/>
      <c r="G240" s="167"/>
      <c r="J240" s="62"/>
      <c r="K240" s="62"/>
      <c r="N240" s="240" t="s">
        <v>182</v>
      </c>
      <c r="O240" s="241" t="s">
        <v>194</v>
      </c>
      <c r="P240" s="241" t="s">
        <v>180</v>
      </c>
      <c r="Q240" s="242" t="s">
        <v>172</v>
      </c>
      <c r="R240" s="62" t="s">
        <v>1822</v>
      </c>
    </row>
    <row r="241" ht="15.75" customHeight="1">
      <c r="B241" s="167"/>
      <c r="E241" s="231"/>
      <c r="G241" s="167"/>
      <c r="J241" s="62"/>
      <c r="K241" s="62"/>
      <c r="N241" s="197">
        <f t="shared" ref="N241:R241" si="26">SUM(N77:N235)</f>
        <v>85</v>
      </c>
      <c r="O241" s="197">
        <f t="shared" si="26"/>
        <v>30</v>
      </c>
      <c r="P241" s="197">
        <f t="shared" si="26"/>
        <v>30</v>
      </c>
      <c r="Q241" s="197">
        <f t="shared" si="26"/>
        <v>30</v>
      </c>
      <c r="R241" s="197">
        <f t="shared" si="26"/>
        <v>46</v>
      </c>
    </row>
    <row r="242" ht="15.75" customHeight="1">
      <c r="B242" s="167"/>
      <c r="E242" s="231"/>
      <c r="G242" s="167"/>
      <c r="J242" s="62"/>
      <c r="K242" s="62"/>
      <c r="R242" s="62"/>
    </row>
    <row r="243" ht="15.75" customHeight="1">
      <c r="B243" s="167"/>
      <c r="E243" s="231"/>
      <c r="G243" s="167"/>
      <c r="J243" s="62"/>
      <c r="K243" s="62"/>
      <c r="R243" s="62"/>
    </row>
    <row r="244" ht="15.75" customHeight="1">
      <c r="B244" s="167"/>
      <c r="E244" s="231"/>
      <c r="G244" s="167"/>
      <c r="J244" s="62"/>
      <c r="K244" s="62"/>
      <c r="R244" s="62"/>
    </row>
    <row r="245" ht="15.75" customHeight="1">
      <c r="B245" s="167"/>
      <c r="E245" s="231"/>
      <c r="G245" s="167"/>
      <c r="J245" s="62"/>
      <c r="K245" s="62"/>
      <c r="R245" s="62"/>
    </row>
    <row r="246" ht="15.75" customHeight="1">
      <c r="B246" s="167"/>
      <c r="E246" s="231"/>
      <c r="G246" s="167"/>
      <c r="J246" s="62"/>
      <c r="K246" s="62"/>
      <c r="R246" s="62"/>
    </row>
    <row r="247" ht="15.75" customHeight="1">
      <c r="B247" s="167"/>
      <c r="E247" s="231"/>
      <c r="G247" s="167"/>
      <c r="J247" s="62"/>
      <c r="K247" s="62"/>
      <c r="R247" s="62"/>
    </row>
    <row r="248" ht="15.75" customHeight="1">
      <c r="B248" s="167"/>
      <c r="E248" s="231"/>
      <c r="G248" s="167"/>
      <c r="J248" s="62"/>
      <c r="K248" s="62"/>
      <c r="R248" s="62"/>
    </row>
    <row r="249" ht="15.75" customHeight="1">
      <c r="B249" s="167"/>
      <c r="E249" s="231"/>
      <c r="G249" s="167"/>
      <c r="J249" s="62"/>
      <c r="K249" s="62"/>
      <c r="R249" s="62"/>
    </row>
    <row r="250" ht="15.75" customHeight="1">
      <c r="B250" s="167"/>
      <c r="E250" s="231"/>
      <c r="G250" s="167"/>
      <c r="J250" s="62"/>
      <c r="K250" s="62"/>
      <c r="R250" s="62"/>
    </row>
    <row r="251" ht="15.75" customHeight="1">
      <c r="B251" s="167"/>
      <c r="E251" s="231"/>
      <c r="G251" s="167"/>
      <c r="J251" s="62"/>
      <c r="K251" s="62"/>
      <c r="R251" s="62"/>
    </row>
    <row r="252" ht="15.75" customHeight="1">
      <c r="B252" s="167"/>
      <c r="E252" s="231"/>
      <c r="G252" s="167"/>
      <c r="J252" s="62"/>
      <c r="K252" s="62"/>
      <c r="R252" s="62"/>
    </row>
    <row r="253" ht="15.75" customHeight="1">
      <c r="B253" s="167"/>
      <c r="E253" s="231"/>
      <c r="G253" s="167"/>
      <c r="J253" s="62"/>
      <c r="K253" s="62"/>
      <c r="R253" s="62"/>
    </row>
    <row r="254" ht="15.75" customHeight="1">
      <c r="B254" s="167"/>
      <c r="E254" s="231"/>
      <c r="G254" s="167"/>
      <c r="J254" s="62"/>
      <c r="K254" s="62"/>
      <c r="R254" s="62"/>
    </row>
    <row r="255" ht="15.75" customHeight="1">
      <c r="B255" s="167"/>
      <c r="E255" s="231"/>
      <c r="G255" s="167"/>
      <c r="J255" s="62"/>
      <c r="K255" s="62"/>
      <c r="R255" s="62"/>
    </row>
    <row r="256" ht="15.75" customHeight="1">
      <c r="B256" s="167"/>
      <c r="E256" s="231"/>
      <c r="G256" s="167"/>
      <c r="J256" s="62"/>
      <c r="K256" s="62"/>
      <c r="R256" s="62"/>
    </row>
    <row r="257" ht="15.75" customHeight="1">
      <c r="B257" s="167"/>
      <c r="E257" s="231"/>
      <c r="G257" s="167"/>
      <c r="J257" s="62"/>
      <c r="K257" s="62"/>
      <c r="R257" s="62"/>
    </row>
    <row r="258" ht="15.75" customHeight="1">
      <c r="B258" s="167"/>
      <c r="E258" s="231"/>
      <c r="G258" s="167"/>
      <c r="J258" s="62"/>
      <c r="K258" s="62"/>
      <c r="R258" s="62"/>
    </row>
    <row r="259" ht="15.75" customHeight="1">
      <c r="B259" s="167"/>
      <c r="E259" s="231"/>
      <c r="G259" s="167"/>
      <c r="J259" s="62"/>
      <c r="K259" s="62"/>
      <c r="R259" s="62"/>
    </row>
    <row r="260" ht="15.75" customHeight="1">
      <c r="B260" s="167"/>
      <c r="E260" s="231"/>
      <c r="G260" s="167"/>
      <c r="J260" s="62"/>
      <c r="K260" s="62"/>
      <c r="R260" s="62"/>
    </row>
    <row r="261" ht="15.75" customHeight="1">
      <c r="B261" s="167"/>
      <c r="E261" s="231"/>
      <c r="G261" s="167"/>
      <c r="J261" s="62"/>
      <c r="K261" s="62"/>
      <c r="R261" s="62"/>
    </row>
    <row r="262" ht="15.75" customHeight="1">
      <c r="B262" s="167"/>
      <c r="E262" s="231"/>
      <c r="G262" s="167"/>
      <c r="J262" s="62"/>
      <c r="K262" s="62"/>
      <c r="R262" s="62"/>
    </row>
    <row r="263" ht="15.75" customHeight="1">
      <c r="B263" s="167"/>
      <c r="E263" s="231"/>
      <c r="G263" s="167"/>
      <c r="J263" s="62"/>
      <c r="K263" s="62"/>
      <c r="R263" s="62"/>
    </row>
    <row r="264" ht="15.75" customHeight="1">
      <c r="B264" s="167"/>
      <c r="E264" s="231"/>
      <c r="G264" s="167"/>
      <c r="J264" s="62"/>
      <c r="K264" s="62"/>
      <c r="R264" s="62"/>
    </row>
    <row r="265" ht="15.75" customHeight="1">
      <c r="B265" s="167"/>
      <c r="E265" s="231"/>
      <c r="G265" s="167"/>
      <c r="J265" s="62"/>
      <c r="K265" s="62"/>
      <c r="R265" s="62"/>
    </row>
    <row r="266" ht="15.75" customHeight="1">
      <c r="B266" s="167"/>
      <c r="E266" s="231"/>
      <c r="G266" s="167"/>
      <c r="J266" s="62"/>
      <c r="K266" s="62"/>
      <c r="R266" s="62"/>
    </row>
    <row r="267" ht="15.75" customHeight="1">
      <c r="B267" s="167"/>
      <c r="E267" s="231"/>
      <c r="G267" s="167"/>
      <c r="J267" s="62"/>
      <c r="K267" s="62"/>
      <c r="R267" s="62"/>
    </row>
    <row r="268" ht="15.75" customHeight="1">
      <c r="B268" s="167"/>
      <c r="E268" s="231"/>
      <c r="G268" s="167"/>
      <c r="J268" s="62"/>
      <c r="K268" s="62"/>
      <c r="R268" s="62"/>
    </row>
    <row r="269" ht="15.75" customHeight="1">
      <c r="B269" s="167"/>
      <c r="E269" s="231"/>
      <c r="G269" s="167"/>
      <c r="J269" s="62"/>
      <c r="K269" s="62"/>
      <c r="R269" s="62"/>
    </row>
    <row r="270" ht="15.75" customHeight="1">
      <c r="B270" s="167"/>
      <c r="E270" s="231"/>
      <c r="G270" s="167"/>
      <c r="J270" s="62"/>
      <c r="K270" s="62"/>
      <c r="R270" s="62"/>
    </row>
    <row r="271" ht="15.75" customHeight="1">
      <c r="B271" s="167"/>
      <c r="E271" s="231"/>
      <c r="G271" s="167"/>
      <c r="J271" s="62"/>
      <c r="K271" s="62"/>
      <c r="R271" s="62"/>
    </row>
    <row r="272" ht="15.75" customHeight="1">
      <c r="B272" s="167"/>
      <c r="E272" s="231"/>
      <c r="G272" s="167"/>
      <c r="J272" s="62"/>
      <c r="K272" s="62"/>
      <c r="R272" s="62"/>
    </row>
    <row r="273" ht="15.75" customHeight="1">
      <c r="B273" s="167"/>
      <c r="E273" s="231"/>
      <c r="G273" s="167"/>
      <c r="J273" s="62"/>
      <c r="K273" s="62"/>
      <c r="R273" s="62"/>
    </row>
    <row r="274" ht="15.75" customHeight="1">
      <c r="B274" s="167"/>
      <c r="E274" s="231"/>
      <c r="G274" s="167"/>
      <c r="J274" s="62"/>
      <c r="K274" s="62"/>
      <c r="R274" s="62"/>
    </row>
    <row r="275" ht="15.75" customHeight="1">
      <c r="B275" s="167"/>
      <c r="E275" s="231"/>
      <c r="G275" s="167"/>
      <c r="J275" s="62"/>
      <c r="K275" s="62"/>
      <c r="R275" s="62"/>
    </row>
    <row r="276" ht="15.75" customHeight="1">
      <c r="B276" s="167"/>
      <c r="E276" s="231"/>
      <c r="G276" s="167"/>
      <c r="J276" s="62"/>
      <c r="K276" s="62"/>
      <c r="R276" s="62"/>
    </row>
    <row r="277" ht="15.75" customHeight="1">
      <c r="B277" s="167"/>
      <c r="E277" s="231"/>
      <c r="G277" s="167"/>
      <c r="J277" s="62"/>
      <c r="K277" s="62"/>
      <c r="R277" s="62"/>
    </row>
    <row r="278" ht="15.75" customHeight="1">
      <c r="B278" s="167"/>
      <c r="E278" s="231"/>
      <c r="G278" s="167"/>
      <c r="J278" s="62"/>
      <c r="K278" s="62"/>
      <c r="R278" s="62"/>
    </row>
    <row r="279" ht="15.75" customHeight="1">
      <c r="B279" s="167"/>
      <c r="E279" s="231"/>
      <c r="G279" s="167"/>
      <c r="J279" s="62"/>
      <c r="K279" s="62"/>
      <c r="R279" s="62"/>
    </row>
    <row r="280" ht="15.75" customHeight="1">
      <c r="B280" s="167"/>
      <c r="E280" s="231"/>
      <c r="G280" s="167"/>
      <c r="J280" s="62"/>
      <c r="K280" s="62"/>
      <c r="R280" s="62"/>
    </row>
    <row r="281" ht="15.75" customHeight="1">
      <c r="B281" s="167"/>
      <c r="E281" s="231"/>
      <c r="G281" s="167"/>
      <c r="J281" s="62"/>
      <c r="K281" s="62"/>
      <c r="R281" s="62"/>
    </row>
    <row r="282" ht="15.75" customHeight="1">
      <c r="B282" s="167"/>
      <c r="E282" s="231"/>
      <c r="G282" s="167"/>
      <c r="J282" s="62"/>
      <c r="K282" s="62"/>
      <c r="R282" s="62"/>
    </row>
    <row r="283" ht="15.75" customHeight="1">
      <c r="B283" s="167"/>
      <c r="E283" s="231"/>
      <c r="G283" s="167"/>
      <c r="J283" s="62"/>
      <c r="K283" s="62"/>
      <c r="R283" s="62"/>
    </row>
    <row r="284" ht="15.75" customHeight="1">
      <c r="B284" s="167"/>
      <c r="E284" s="231"/>
      <c r="G284" s="167"/>
      <c r="J284" s="62"/>
      <c r="K284" s="62"/>
      <c r="R284" s="62"/>
    </row>
    <row r="285" ht="15.75" customHeight="1">
      <c r="B285" s="167"/>
      <c r="E285" s="231"/>
      <c r="G285" s="167"/>
      <c r="J285" s="62"/>
      <c r="K285" s="62"/>
      <c r="R285" s="62"/>
    </row>
    <row r="286" ht="15.75" customHeight="1">
      <c r="B286" s="167"/>
      <c r="E286" s="231"/>
      <c r="G286" s="167"/>
      <c r="J286" s="62"/>
      <c r="K286" s="62"/>
      <c r="R286" s="62"/>
    </row>
    <row r="287" ht="15.75" customHeight="1">
      <c r="B287" s="167"/>
      <c r="E287" s="231"/>
      <c r="G287" s="167"/>
      <c r="J287" s="62"/>
      <c r="K287" s="62"/>
      <c r="R287" s="62"/>
    </row>
    <row r="288" ht="15.75" customHeight="1">
      <c r="B288" s="167"/>
      <c r="E288" s="231"/>
      <c r="G288" s="167"/>
      <c r="J288" s="62"/>
      <c r="K288" s="62"/>
      <c r="R288" s="62"/>
    </row>
    <row r="289" ht="15.75" customHeight="1">
      <c r="B289" s="167"/>
      <c r="E289" s="231"/>
      <c r="G289" s="167"/>
      <c r="J289" s="62"/>
      <c r="K289" s="62"/>
      <c r="R289" s="62"/>
    </row>
    <row r="290" ht="15.75" customHeight="1">
      <c r="B290" s="167"/>
      <c r="E290" s="231"/>
      <c r="G290" s="167"/>
      <c r="J290" s="62"/>
      <c r="K290" s="62"/>
      <c r="R290" s="62"/>
    </row>
    <row r="291" ht="15.75" customHeight="1">
      <c r="B291" s="167"/>
      <c r="E291" s="231"/>
      <c r="G291" s="167"/>
      <c r="J291" s="62"/>
      <c r="K291" s="62"/>
      <c r="R291" s="62"/>
    </row>
    <row r="292" ht="15.75" customHeight="1">
      <c r="B292" s="167"/>
      <c r="E292" s="231"/>
      <c r="G292" s="167"/>
      <c r="J292" s="62"/>
      <c r="K292" s="62"/>
      <c r="R292" s="62"/>
    </row>
    <row r="293" ht="15.75" customHeight="1">
      <c r="B293" s="167"/>
      <c r="E293" s="231"/>
      <c r="G293" s="167"/>
      <c r="J293" s="62"/>
      <c r="K293" s="62"/>
      <c r="R293" s="62"/>
    </row>
    <row r="294" ht="15.75" customHeight="1">
      <c r="B294" s="167"/>
      <c r="E294" s="231"/>
      <c r="G294" s="167"/>
      <c r="J294" s="62"/>
      <c r="K294" s="62"/>
      <c r="R294" s="62"/>
    </row>
    <row r="295" ht="15.75" customHeight="1">
      <c r="B295" s="167"/>
      <c r="E295" s="231"/>
      <c r="G295" s="167"/>
      <c r="J295" s="62"/>
      <c r="K295" s="62"/>
      <c r="R295" s="62"/>
    </row>
    <row r="296" ht="15.75" customHeight="1">
      <c r="B296" s="167"/>
      <c r="E296" s="231"/>
      <c r="G296" s="167"/>
      <c r="J296" s="62"/>
      <c r="K296" s="62"/>
      <c r="R296" s="62"/>
    </row>
    <row r="297" ht="15.75" customHeight="1">
      <c r="B297" s="167"/>
      <c r="E297" s="231"/>
      <c r="G297" s="167"/>
      <c r="J297" s="62"/>
      <c r="K297" s="62"/>
      <c r="R297" s="62"/>
    </row>
    <row r="298" ht="15.75" customHeight="1">
      <c r="B298" s="167"/>
      <c r="E298" s="231"/>
      <c r="G298" s="167"/>
      <c r="J298" s="62"/>
      <c r="K298" s="62"/>
      <c r="R298" s="62"/>
    </row>
    <row r="299" ht="15.75" customHeight="1">
      <c r="B299" s="167"/>
      <c r="E299" s="231"/>
      <c r="G299" s="167"/>
      <c r="J299" s="62"/>
      <c r="K299" s="62"/>
      <c r="R299" s="62"/>
    </row>
    <row r="300" ht="15.75" customHeight="1">
      <c r="B300" s="167"/>
      <c r="E300" s="231"/>
      <c r="G300" s="167"/>
      <c r="J300" s="62"/>
      <c r="K300" s="62"/>
      <c r="R300" s="62"/>
    </row>
    <row r="301" ht="15.75" customHeight="1">
      <c r="B301" s="167"/>
      <c r="E301" s="231"/>
      <c r="G301" s="167"/>
      <c r="J301" s="62"/>
      <c r="K301" s="62"/>
      <c r="R301" s="62"/>
    </row>
    <row r="302" ht="15.75" customHeight="1">
      <c r="B302" s="167"/>
      <c r="E302" s="231"/>
      <c r="G302" s="167"/>
      <c r="J302" s="62"/>
      <c r="K302" s="62"/>
      <c r="R302" s="62"/>
    </row>
    <row r="303" ht="15.75" customHeight="1">
      <c r="B303" s="167"/>
      <c r="E303" s="231"/>
      <c r="G303" s="167"/>
      <c r="J303" s="62"/>
      <c r="K303" s="62"/>
      <c r="R303" s="62"/>
    </row>
    <row r="304" ht="15.75" customHeight="1">
      <c r="B304" s="167"/>
      <c r="E304" s="231"/>
      <c r="G304" s="167"/>
      <c r="J304" s="62"/>
      <c r="K304" s="62"/>
      <c r="R304" s="62"/>
    </row>
    <row r="305" ht="15.75" customHeight="1">
      <c r="B305" s="167"/>
      <c r="E305" s="231"/>
      <c r="G305" s="167"/>
      <c r="J305" s="62"/>
      <c r="K305" s="62"/>
      <c r="R305" s="62"/>
    </row>
    <row r="306" ht="15.75" customHeight="1">
      <c r="B306" s="167"/>
      <c r="E306" s="231"/>
      <c r="G306" s="167"/>
      <c r="J306" s="62"/>
      <c r="K306" s="62"/>
      <c r="R306" s="62"/>
    </row>
    <row r="307" ht="15.75" customHeight="1">
      <c r="B307" s="167"/>
      <c r="E307" s="231"/>
      <c r="G307" s="167"/>
      <c r="J307" s="62"/>
      <c r="K307" s="62"/>
      <c r="R307" s="62"/>
    </row>
    <row r="308" ht="15.75" customHeight="1">
      <c r="B308" s="167"/>
      <c r="E308" s="231"/>
      <c r="G308" s="167"/>
      <c r="J308" s="62"/>
      <c r="K308" s="62"/>
      <c r="R308" s="62"/>
    </row>
    <row r="309" ht="15.75" customHeight="1">
      <c r="B309" s="167"/>
      <c r="E309" s="231"/>
      <c r="G309" s="167"/>
      <c r="J309" s="62"/>
      <c r="K309" s="62"/>
      <c r="R309" s="62"/>
    </row>
    <row r="310" ht="15.75" customHeight="1">
      <c r="B310" s="167"/>
      <c r="E310" s="231"/>
      <c r="G310" s="167"/>
      <c r="J310" s="62"/>
      <c r="K310" s="62"/>
      <c r="R310" s="62"/>
    </row>
    <row r="311" ht="15.75" customHeight="1">
      <c r="B311" s="167"/>
      <c r="E311" s="231"/>
      <c r="G311" s="167"/>
      <c r="J311" s="62"/>
      <c r="K311" s="62"/>
      <c r="R311" s="62"/>
    </row>
    <row r="312" ht="15.75" customHeight="1">
      <c r="B312" s="167"/>
      <c r="E312" s="231"/>
      <c r="G312" s="167"/>
      <c r="J312" s="62"/>
      <c r="K312" s="62"/>
      <c r="R312" s="62"/>
    </row>
    <row r="313" ht="15.75" customHeight="1">
      <c r="B313" s="167"/>
      <c r="E313" s="231"/>
      <c r="G313" s="167"/>
      <c r="J313" s="62"/>
      <c r="K313" s="62"/>
      <c r="R313" s="62"/>
    </row>
    <row r="314" ht="15.75" customHeight="1">
      <c r="B314" s="167"/>
      <c r="E314" s="231"/>
      <c r="G314" s="167"/>
      <c r="J314" s="62"/>
      <c r="K314" s="62"/>
      <c r="R314" s="62"/>
    </row>
    <row r="315" ht="15.75" customHeight="1">
      <c r="B315" s="167"/>
      <c r="E315" s="231"/>
      <c r="G315" s="167"/>
      <c r="J315" s="62"/>
      <c r="K315" s="62"/>
      <c r="R315" s="62"/>
    </row>
    <row r="316" ht="15.75" customHeight="1">
      <c r="B316" s="167"/>
      <c r="E316" s="231"/>
      <c r="G316" s="167"/>
      <c r="J316" s="62"/>
      <c r="K316" s="62"/>
      <c r="R316" s="62"/>
    </row>
    <row r="317" ht="15.75" customHeight="1">
      <c r="B317" s="167"/>
      <c r="E317" s="231"/>
      <c r="G317" s="167"/>
      <c r="J317" s="62"/>
      <c r="K317" s="62"/>
      <c r="R317" s="62"/>
    </row>
    <row r="318" ht="15.75" customHeight="1">
      <c r="B318" s="167"/>
      <c r="E318" s="231"/>
      <c r="G318" s="167"/>
      <c r="J318" s="62"/>
      <c r="K318" s="62"/>
      <c r="R318" s="62"/>
    </row>
    <row r="319" ht="15.75" customHeight="1">
      <c r="B319" s="167"/>
      <c r="E319" s="231"/>
      <c r="G319" s="167"/>
      <c r="J319" s="62"/>
      <c r="K319" s="62"/>
      <c r="R319" s="62"/>
    </row>
    <row r="320" ht="15.75" customHeight="1">
      <c r="B320" s="167"/>
      <c r="E320" s="231"/>
      <c r="G320" s="167"/>
      <c r="J320" s="62"/>
      <c r="K320" s="62"/>
      <c r="R320" s="62"/>
    </row>
    <row r="321" ht="15.75" customHeight="1">
      <c r="B321" s="167"/>
      <c r="E321" s="231"/>
      <c r="G321" s="167"/>
      <c r="J321" s="62"/>
      <c r="K321" s="62"/>
      <c r="R321" s="62"/>
    </row>
    <row r="322" ht="15.75" customHeight="1">
      <c r="B322" s="167"/>
      <c r="E322" s="231"/>
      <c r="G322" s="167"/>
      <c r="J322" s="62"/>
      <c r="K322" s="62"/>
      <c r="R322" s="62"/>
    </row>
    <row r="323" ht="15.75" customHeight="1">
      <c r="B323" s="167"/>
      <c r="E323" s="231"/>
      <c r="G323" s="167"/>
      <c r="J323" s="62"/>
      <c r="K323" s="62"/>
      <c r="R323" s="62"/>
    </row>
    <row r="324" ht="15.75" customHeight="1">
      <c r="B324" s="167"/>
      <c r="E324" s="231"/>
      <c r="G324" s="167"/>
      <c r="J324" s="62"/>
      <c r="K324" s="62"/>
      <c r="R324" s="62"/>
    </row>
    <row r="325" ht="15.75" customHeight="1">
      <c r="B325" s="167"/>
      <c r="E325" s="231"/>
      <c r="G325" s="167"/>
      <c r="J325" s="62"/>
      <c r="K325" s="62"/>
      <c r="R325" s="62"/>
    </row>
    <row r="326" ht="15.75" customHeight="1">
      <c r="B326" s="167"/>
      <c r="E326" s="231"/>
      <c r="G326" s="167"/>
      <c r="J326" s="62"/>
      <c r="K326" s="62"/>
      <c r="R326" s="62"/>
    </row>
    <row r="327" ht="15.75" customHeight="1">
      <c r="B327" s="167"/>
      <c r="E327" s="231"/>
      <c r="G327" s="167"/>
      <c r="J327" s="62"/>
      <c r="K327" s="62"/>
      <c r="R327" s="62"/>
    </row>
    <row r="328" ht="15.75" customHeight="1">
      <c r="B328" s="167"/>
      <c r="E328" s="231"/>
      <c r="G328" s="167"/>
      <c r="J328" s="62"/>
      <c r="K328" s="62"/>
      <c r="R328" s="62"/>
    </row>
    <row r="329" ht="15.75" customHeight="1">
      <c r="B329" s="167"/>
      <c r="E329" s="231"/>
      <c r="G329" s="167"/>
      <c r="J329" s="62"/>
      <c r="K329" s="62"/>
      <c r="R329" s="62"/>
    </row>
    <row r="330" ht="15.75" customHeight="1">
      <c r="B330" s="167"/>
      <c r="E330" s="231"/>
      <c r="G330" s="167"/>
      <c r="J330" s="62"/>
      <c r="K330" s="62"/>
      <c r="R330" s="62"/>
    </row>
    <row r="331" ht="15.75" customHeight="1">
      <c r="B331" s="167"/>
      <c r="E331" s="231"/>
      <c r="G331" s="167"/>
      <c r="J331" s="62"/>
      <c r="K331" s="62"/>
      <c r="R331" s="62"/>
    </row>
    <row r="332" ht="15.75" customHeight="1">
      <c r="B332" s="167"/>
      <c r="E332" s="231"/>
      <c r="G332" s="167"/>
      <c r="J332" s="62"/>
      <c r="K332" s="62"/>
      <c r="R332" s="62"/>
    </row>
    <row r="333" ht="15.75" customHeight="1">
      <c r="B333" s="167"/>
      <c r="E333" s="231"/>
      <c r="G333" s="167"/>
      <c r="J333" s="62"/>
      <c r="K333" s="62"/>
      <c r="R333" s="62"/>
    </row>
    <row r="334" ht="15.75" customHeight="1">
      <c r="B334" s="167"/>
      <c r="E334" s="231"/>
      <c r="G334" s="167"/>
      <c r="J334" s="62"/>
      <c r="K334" s="62"/>
      <c r="R334" s="62"/>
    </row>
    <row r="335" ht="15.75" customHeight="1">
      <c r="B335" s="167"/>
      <c r="E335" s="231"/>
      <c r="G335" s="167"/>
      <c r="J335" s="62"/>
      <c r="K335" s="62"/>
      <c r="R335" s="62"/>
    </row>
    <row r="336" ht="15.75" customHeight="1">
      <c r="B336" s="167"/>
      <c r="E336" s="231"/>
      <c r="G336" s="167"/>
      <c r="J336" s="62"/>
      <c r="K336" s="62"/>
      <c r="R336" s="62"/>
    </row>
    <row r="337" ht="15.75" customHeight="1">
      <c r="B337" s="167"/>
      <c r="E337" s="231"/>
      <c r="G337" s="167"/>
      <c r="J337" s="62"/>
      <c r="K337" s="62"/>
      <c r="R337" s="62"/>
    </row>
    <row r="338" ht="15.75" customHeight="1">
      <c r="B338" s="167"/>
      <c r="E338" s="231"/>
      <c r="G338" s="167"/>
      <c r="J338" s="62"/>
      <c r="K338" s="62"/>
      <c r="R338" s="62"/>
    </row>
    <row r="339" ht="15.75" customHeight="1">
      <c r="B339" s="167"/>
      <c r="E339" s="231"/>
      <c r="G339" s="167"/>
      <c r="J339" s="62"/>
      <c r="K339" s="62"/>
      <c r="R339" s="62"/>
    </row>
    <row r="340" ht="15.75" customHeight="1">
      <c r="B340" s="167"/>
      <c r="E340" s="231"/>
      <c r="G340" s="167"/>
      <c r="J340" s="62"/>
      <c r="K340" s="62"/>
      <c r="R340" s="62"/>
    </row>
    <row r="341" ht="15.75" customHeight="1">
      <c r="B341" s="167"/>
      <c r="E341" s="231"/>
      <c r="G341" s="167"/>
      <c r="J341" s="62"/>
      <c r="K341" s="62"/>
      <c r="R341" s="62"/>
    </row>
    <row r="342" ht="15.75" customHeight="1">
      <c r="B342" s="167"/>
      <c r="E342" s="231"/>
      <c r="G342" s="167"/>
      <c r="J342" s="62"/>
      <c r="K342" s="62"/>
      <c r="R342" s="62"/>
    </row>
    <row r="343" ht="15.75" customHeight="1">
      <c r="B343" s="167"/>
      <c r="E343" s="231"/>
      <c r="G343" s="167"/>
      <c r="J343" s="62"/>
      <c r="K343" s="62"/>
      <c r="R343" s="62"/>
    </row>
    <row r="344" ht="15.75" customHeight="1">
      <c r="B344" s="167"/>
      <c r="E344" s="231"/>
      <c r="G344" s="167"/>
      <c r="J344" s="62"/>
      <c r="K344" s="62"/>
      <c r="R344" s="62"/>
    </row>
    <row r="345" ht="15.75" customHeight="1">
      <c r="B345" s="167"/>
      <c r="E345" s="231"/>
      <c r="G345" s="167"/>
      <c r="J345" s="62"/>
      <c r="K345" s="62"/>
      <c r="R345" s="62"/>
    </row>
    <row r="346" ht="15.75" customHeight="1">
      <c r="B346" s="167"/>
      <c r="E346" s="231"/>
      <c r="G346" s="167"/>
      <c r="J346" s="62"/>
      <c r="K346" s="62"/>
      <c r="R346" s="62"/>
    </row>
    <row r="347" ht="15.75" customHeight="1">
      <c r="B347" s="167"/>
      <c r="E347" s="231"/>
      <c r="G347" s="167"/>
      <c r="J347" s="62"/>
      <c r="K347" s="62"/>
      <c r="R347" s="62"/>
    </row>
    <row r="348" ht="15.75" customHeight="1">
      <c r="B348" s="167"/>
      <c r="E348" s="231"/>
      <c r="G348" s="167"/>
      <c r="J348" s="62"/>
      <c r="K348" s="62"/>
      <c r="R348" s="62"/>
    </row>
    <row r="349" ht="15.75" customHeight="1">
      <c r="B349" s="167"/>
      <c r="E349" s="231"/>
      <c r="G349" s="167"/>
      <c r="J349" s="62"/>
      <c r="K349" s="62"/>
      <c r="R349" s="62"/>
    </row>
    <row r="350" ht="15.75" customHeight="1">
      <c r="B350" s="167"/>
      <c r="E350" s="231"/>
      <c r="G350" s="167"/>
      <c r="J350" s="62"/>
      <c r="K350" s="62"/>
      <c r="R350" s="62"/>
    </row>
    <row r="351" ht="15.75" customHeight="1">
      <c r="B351" s="167"/>
      <c r="E351" s="231"/>
      <c r="G351" s="167"/>
      <c r="J351" s="62"/>
      <c r="K351" s="62"/>
      <c r="R351" s="62"/>
    </row>
    <row r="352" ht="15.75" customHeight="1">
      <c r="B352" s="167"/>
      <c r="E352" s="231"/>
      <c r="G352" s="167"/>
      <c r="J352" s="62"/>
      <c r="K352" s="62"/>
      <c r="R352" s="62"/>
    </row>
    <row r="353" ht="15.75" customHeight="1">
      <c r="B353" s="167"/>
      <c r="E353" s="231"/>
      <c r="G353" s="167"/>
      <c r="J353" s="62"/>
      <c r="K353" s="62"/>
      <c r="R353" s="62"/>
    </row>
    <row r="354" ht="15.75" customHeight="1">
      <c r="B354" s="167"/>
      <c r="E354" s="231"/>
      <c r="G354" s="167"/>
      <c r="J354" s="62"/>
      <c r="K354" s="62"/>
      <c r="R354" s="62"/>
    </row>
    <row r="355" ht="15.75" customHeight="1">
      <c r="B355" s="167"/>
      <c r="E355" s="231"/>
      <c r="G355" s="167"/>
      <c r="J355" s="62"/>
      <c r="K355" s="62"/>
      <c r="R355" s="62"/>
    </row>
    <row r="356" ht="15.75" customHeight="1">
      <c r="B356" s="167"/>
      <c r="E356" s="231"/>
      <c r="G356" s="167"/>
      <c r="J356" s="62"/>
      <c r="K356" s="62"/>
      <c r="R356" s="62"/>
    </row>
    <row r="357" ht="15.75" customHeight="1">
      <c r="B357" s="167"/>
      <c r="E357" s="231"/>
      <c r="G357" s="167"/>
      <c r="J357" s="62"/>
      <c r="K357" s="62"/>
      <c r="R357" s="62"/>
    </row>
    <row r="358" ht="15.75" customHeight="1">
      <c r="B358" s="167"/>
      <c r="E358" s="231"/>
      <c r="G358" s="167"/>
      <c r="J358" s="62"/>
      <c r="K358" s="62"/>
      <c r="R358" s="62"/>
    </row>
    <row r="359" ht="15.75" customHeight="1">
      <c r="B359" s="167"/>
      <c r="E359" s="231"/>
      <c r="G359" s="167"/>
      <c r="J359" s="62"/>
      <c r="K359" s="62"/>
      <c r="R359" s="62"/>
    </row>
    <row r="360" ht="15.75" customHeight="1">
      <c r="B360" s="167"/>
      <c r="E360" s="231"/>
      <c r="G360" s="167"/>
      <c r="J360" s="62"/>
      <c r="K360" s="62"/>
      <c r="R360" s="62"/>
    </row>
    <row r="361" ht="15.75" customHeight="1">
      <c r="B361" s="167"/>
      <c r="E361" s="231"/>
      <c r="G361" s="167"/>
      <c r="J361" s="62"/>
      <c r="K361" s="62"/>
      <c r="R361" s="62"/>
    </row>
    <row r="362" ht="15.75" customHeight="1">
      <c r="B362" s="167"/>
      <c r="E362" s="231"/>
      <c r="G362" s="167"/>
      <c r="J362" s="62"/>
      <c r="K362" s="62"/>
      <c r="R362" s="62"/>
    </row>
    <row r="363" ht="15.75" customHeight="1">
      <c r="B363" s="167"/>
      <c r="E363" s="231"/>
      <c r="G363" s="167"/>
      <c r="J363" s="62"/>
      <c r="K363" s="62"/>
      <c r="R363" s="62"/>
    </row>
    <row r="364" ht="15.75" customHeight="1">
      <c r="B364" s="167"/>
      <c r="E364" s="231"/>
      <c r="G364" s="167"/>
      <c r="J364" s="62"/>
      <c r="K364" s="62"/>
      <c r="R364" s="62"/>
    </row>
    <row r="365" ht="15.75" customHeight="1">
      <c r="B365" s="167"/>
      <c r="E365" s="231"/>
      <c r="G365" s="167"/>
      <c r="J365" s="62"/>
      <c r="K365" s="62"/>
      <c r="R365" s="62"/>
    </row>
    <row r="366" ht="15.75" customHeight="1">
      <c r="B366" s="167"/>
      <c r="E366" s="231"/>
      <c r="G366" s="167"/>
      <c r="J366" s="62"/>
      <c r="K366" s="62"/>
      <c r="R366" s="62"/>
    </row>
    <row r="367" ht="15.75" customHeight="1">
      <c r="B367" s="167"/>
      <c r="E367" s="231"/>
      <c r="G367" s="167"/>
      <c r="J367" s="62"/>
      <c r="K367" s="62"/>
      <c r="R367" s="62"/>
    </row>
    <row r="368" ht="15.75" customHeight="1">
      <c r="B368" s="167"/>
      <c r="E368" s="231"/>
      <c r="G368" s="167"/>
      <c r="J368" s="62"/>
      <c r="K368" s="62"/>
      <c r="R368" s="62"/>
    </row>
    <row r="369" ht="15.75" customHeight="1">
      <c r="B369" s="167"/>
      <c r="E369" s="231"/>
      <c r="G369" s="167"/>
      <c r="J369" s="62"/>
      <c r="K369" s="62"/>
      <c r="R369" s="62"/>
    </row>
    <row r="370" ht="15.75" customHeight="1">
      <c r="B370" s="167"/>
      <c r="E370" s="231"/>
      <c r="G370" s="167"/>
      <c r="J370" s="62"/>
      <c r="K370" s="62"/>
      <c r="R370" s="62"/>
    </row>
    <row r="371" ht="15.75" customHeight="1">
      <c r="B371" s="167"/>
      <c r="E371" s="231"/>
      <c r="G371" s="167"/>
      <c r="J371" s="62"/>
      <c r="K371" s="62"/>
      <c r="R371" s="62"/>
    </row>
    <row r="372" ht="15.75" customHeight="1">
      <c r="B372" s="167"/>
      <c r="E372" s="231"/>
      <c r="G372" s="167"/>
      <c r="J372" s="62"/>
      <c r="K372" s="62"/>
      <c r="R372" s="62"/>
    </row>
    <row r="373" ht="15.75" customHeight="1">
      <c r="B373" s="167"/>
      <c r="E373" s="231"/>
      <c r="G373" s="167"/>
      <c r="J373" s="62"/>
      <c r="K373" s="62"/>
      <c r="R373" s="62"/>
    </row>
    <row r="374" ht="15.75" customHeight="1">
      <c r="B374" s="167"/>
      <c r="E374" s="231"/>
      <c r="G374" s="167"/>
      <c r="J374" s="62"/>
      <c r="K374" s="62"/>
      <c r="R374" s="62"/>
    </row>
    <row r="375" ht="15.75" customHeight="1">
      <c r="B375" s="167"/>
      <c r="E375" s="231"/>
      <c r="G375" s="167"/>
      <c r="J375" s="62"/>
      <c r="K375" s="62"/>
      <c r="R375" s="62"/>
    </row>
    <row r="376" ht="15.75" customHeight="1">
      <c r="B376" s="167"/>
      <c r="E376" s="231"/>
      <c r="G376" s="167"/>
      <c r="J376" s="62"/>
      <c r="K376" s="62"/>
      <c r="R376" s="62"/>
    </row>
    <row r="377" ht="15.75" customHeight="1">
      <c r="B377" s="167"/>
      <c r="E377" s="231"/>
      <c r="G377" s="167"/>
      <c r="J377" s="62"/>
      <c r="K377" s="62"/>
      <c r="R377" s="62"/>
    </row>
    <row r="378" ht="15.75" customHeight="1">
      <c r="B378" s="167"/>
      <c r="E378" s="231"/>
      <c r="G378" s="167"/>
      <c r="J378" s="62"/>
      <c r="K378" s="62"/>
      <c r="R378" s="62"/>
    </row>
    <row r="379" ht="15.75" customHeight="1">
      <c r="B379" s="167"/>
      <c r="E379" s="231"/>
      <c r="G379" s="167"/>
      <c r="J379" s="62"/>
      <c r="K379" s="62"/>
      <c r="R379" s="62"/>
    </row>
    <row r="380" ht="15.75" customHeight="1">
      <c r="B380" s="167"/>
      <c r="E380" s="231"/>
      <c r="G380" s="167"/>
      <c r="J380" s="62"/>
      <c r="K380" s="62"/>
      <c r="R380" s="62"/>
    </row>
    <row r="381" ht="15.75" customHeight="1">
      <c r="B381" s="167"/>
      <c r="E381" s="231"/>
      <c r="G381" s="167"/>
      <c r="J381" s="62"/>
      <c r="K381" s="62"/>
      <c r="R381" s="62"/>
    </row>
    <row r="382" ht="15.75" customHeight="1">
      <c r="B382" s="167"/>
      <c r="E382" s="231"/>
      <c r="G382" s="167"/>
      <c r="J382" s="62"/>
      <c r="K382" s="62"/>
      <c r="R382" s="62"/>
    </row>
    <row r="383" ht="15.75" customHeight="1">
      <c r="B383" s="167"/>
      <c r="E383" s="231"/>
      <c r="G383" s="167"/>
      <c r="J383" s="62"/>
      <c r="K383" s="62"/>
      <c r="R383" s="62"/>
    </row>
    <row r="384" ht="15.75" customHeight="1">
      <c r="B384" s="167"/>
      <c r="E384" s="231"/>
      <c r="G384" s="167"/>
      <c r="J384" s="62"/>
      <c r="K384" s="62"/>
      <c r="R384" s="62"/>
    </row>
    <row r="385" ht="15.75" customHeight="1">
      <c r="B385" s="167"/>
      <c r="E385" s="231"/>
      <c r="G385" s="167"/>
      <c r="J385" s="62"/>
      <c r="K385" s="62"/>
      <c r="R385" s="62"/>
    </row>
    <row r="386" ht="15.75" customHeight="1">
      <c r="B386" s="167"/>
      <c r="E386" s="231"/>
      <c r="G386" s="167"/>
      <c r="J386" s="62"/>
      <c r="K386" s="62"/>
      <c r="R386" s="62"/>
    </row>
    <row r="387" ht="15.75" customHeight="1">
      <c r="B387" s="167"/>
      <c r="E387" s="231"/>
      <c r="G387" s="167"/>
      <c r="J387" s="62"/>
      <c r="K387" s="62"/>
      <c r="R387" s="62"/>
    </row>
    <row r="388" ht="15.75" customHeight="1">
      <c r="B388" s="167"/>
      <c r="E388" s="231"/>
      <c r="G388" s="167"/>
      <c r="J388" s="62"/>
      <c r="K388" s="62"/>
      <c r="R388" s="62"/>
    </row>
    <row r="389" ht="15.75" customHeight="1">
      <c r="B389" s="167"/>
      <c r="E389" s="231"/>
      <c r="G389" s="167"/>
      <c r="J389" s="62"/>
      <c r="K389" s="62"/>
      <c r="R389" s="62"/>
    </row>
    <row r="390" ht="15.75" customHeight="1">
      <c r="B390" s="167"/>
      <c r="E390" s="231"/>
      <c r="G390" s="167"/>
      <c r="J390" s="62"/>
      <c r="K390" s="62"/>
      <c r="R390" s="62"/>
    </row>
    <row r="391" ht="15.75" customHeight="1">
      <c r="B391" s="167"/>
      <c r="E391" s="231"/>
      <c r="G391" s="167"/>
      <c r="J391" s="62"/>
      <c r="K391" s="62"/>
      <c r="R391" s="62"/>
    </row>
    <row r="392" ht="15.75" customHeight="1">
      <c r="B392" s="167"/>
      <c r="E392" s="231"/>
      <c r="G392" s="167"/>
      <c r="J392" s="62"/>
      <c r="K392" s="62"/>
      <c r="R392" s="62"/>
    </row>
    <row r="393" ht="15.75" customHeight="1">
      <c r="B393" s="167"/>
      <c r="E393" s="231"/>
      <c r="G393" s="167"/>
      <c r="J393" s="62"/>
      <c r="K393" s="62"/>
      <c r="R393" s="62"/>
    </row>
    <row r="394" ht="15.75" customHeight="1">
      <c r="B394" s="167"/>
      <c r="E394" s="231"/>
      <c r="G394" s="167"/>
      <c r="J394" s="62"/>
      <c r="K394" s="62"/>
      <c r="R394" s="62"/>
    </row>
    <row r="395" ht="15.75" customHeight="1">
      <c r="B395" s="167"/>
      <c r="E395" s="231"/>
      <c r="G395" s="167"/>
      <c r="J395" s="62"/>
      <c r="K395" s="62"/>
      <c r="R395" s="62"/>
    </row>
    <row r="396" ht="15.75" customHeight="1">
      <c r="B396" s="167"/>
      <c r="E396" s="231"/>
      <c r="G396" s="167"/>
      <c r="J396" s="62"/>
      <c r="K396" s="62"/>
      <c r="R396" s="62"/>
    </row>
    <row r="397" ht="15.75" customHeight="1">
      <c r="B397" s="167"/>
      <c r="E397" s="231"/>
      <c r="G397" s="167"/>
      <c r="J397" s="62"/>
      <c r="K397" s="62"/>
      <c r="R397" s="62"/>
    </row>
    <row r="398" ht="15.75" customHeight="1">
      <c r="B398" s="167"/>
      <c r="E398" s="231"/>
      <c r="G398" s="167"/>
      <c r="J398" s="62"/>
      <c r="K398" s="62"/>
      <c r="R398" s="62"/>
    </row>
    <row r="399" ht="15.75" customHeight="1">
      <c r="B399" s="167"/>
      <c r="E399" s="231"/>
      <c r="G399" s="167"/>
      <c r="J399" s="62"/>
      <c r="K399" s="62"/>
      <c r="R399" s="62"/>
    </row>
    <row r="400" ht="15.75" customHeight="1">
      <c r="B400" s="167"/>
      <c r="E400" s="231"/>
      <c r="G400" s="167"/>
      <c r="J400" s="62"/>
      <c r="K400" s="62"/>
      <c r="R400" s="62"/>
    </row>
    <row r="401" ht="15.75" customHeight="1">
      <c r="B401" s="167"/>
      <c r="E401" s="231"/>
      <c r="G401" s="167"/>
      <c r="J401" s="62"/>
      <c r="K401" s="62"/>
      <c r="R401" s="62"/>
    </row>
    <row r="402" ht="15.75" customHeight="1">
      <c r="B402" s="167"/>
      <c r="E402" s="231"/>
      <c r="G402" s="167"/>
      <c r="J402" s="62"/>
      <c r="K402" s="62"/>
      <c r="R402" s="62"/>
    </row>
    <row r="403" ht="15.75" customHeight="1">
      <c r="B403" s="167"/>
      <c r="E403" s="231"/>
      <c r="G403" s="167"/>
      <c r="J403" s="62"/>
      <c r="K403" s="62"/>
      <c r="R403" s="62"/>
    </row>
    <row r="404" ht="15.75" customHeight="1">
      <c r="B404" s="167"/>
      <c r="E404" s="231"/>
      <c r="G404" s="167"/>
      <c r="J404" s="62"/>
      <c r="K404" s="62"/>
      <c r="R404" s="62"/>
    </row>
    <row r="405" ht="15.75" customHeight="1">
      <c r="B405" s="167"/>
      <c r="E405" s="231"/>
      <c r="G405" s="167"/>
      <c r="J405" s="62"/>
      <c r="K405" s="62"/>
      <c r="R405" s="62"/>
    </row>
    <row r="406" ht="15.75" customHeight="1">
      <c r="B406" s="167"/>
      <c r="E406" s="231"/>
      <c r="G406" s="167"/>
      <c r="J406" s="62"/>
      <c r="K406" s="62"/>
      <c r="R406" s="62"/>
    </row>
    <row r="407" ht="15.75" customHeight="1">
      <c r="B407" s="167"/>
      <c r="E407" s="231"/>
      <c r="G407" s="167"/>
      <c r="J407" s="62"/>
      <c r="K407" s="62"/>
      <c r="R407" s="62"/>
    </row>
    <row r="408" ht="15.75" customHeight="1">
      <c r="B408" s="167"/>
      <c r="E408" s="231"/>
      <c r="G408" s="167"/>
      <c r="J408" s="62"/>
      <c r="K408" s="62"/>
      <c r="R408" s="62"/>
    </row>
    <row r="409" ht="15.75" customHeight="1">
      <c r="B409" s="167"/>
      <c r="E409" s="231"/>
      <c r="G409" s="167"/>
      <c r="J409" s="62"/>
      <c r="K409" s="62"/>
      <c r="R409" s="62"/>
    </row>
    <row r="410" ht="15.75" customHeight="1">
      <c r="B410" s="167"/>
      <c r="E410" s="231"/>
      <c r="G410" s="167"/>
      <c r="J410" s="62"/>
      <c r="K410" s="62"/>
      <c r="R410" s="62"/>
    </row>
    <row r="411" ht="15.75" customHeight="1">
      <c r="B411" s="167"/>
      <c r="E411" s="231"/>
      <c r="G411" s="167"/>
      <c r="J411" s="62"/>
      <c r="K411" s="62"/>
      <c r="R411" s="62"/>
    </row>
    <row r="412" ht="15.75" customHeight="1">
      <c r="B412" s="167"/>
      <c r="E412" s="231"/>
      <c r="G412" s="167"/>
      <c r="J412" s="62"/>
      <c r="K412" s="62"/>
      <c r="R412" s="62"/>
    </row>
    <row r="413" ht="15.75" customHeight="1">
      <c r="B413" s="167"/>
      <c r="E413" s="231"/>
      <c r="G413" s="167"/>
      <c r="J413" s="62"/>
      <c r="K413" s="62"/>
      <c r="R413" s="62"/>
    </row>
    <row r="414" ht="15.75" customHeight="1">
      <c r="B414" s="167"/>
      <c r="E414" s="231"/>
      <c r="G414" s="167"/>
      <c r="J414" s="62"/>
      <c r="K414" s="62"/>
      <c r="R414" s="62"/>
    </row>
    <row r="415" ht="15.75" customHeight="1">
      <c r="B415" s="167"/>
      <c r="E415" s="231"/>
      <c r="G415" s="167"/>
      <c r="J415" s="62"/>
      <c r="K415" s="62"/>
      <c r="R415" s="62"/>
    </row>
    <row r="416" ht="15.75" customHeight="1">
      <c r="B416" s="167"/>
      <c r="E416" s="231"/>
      <c r="G416" s="167"/>
      <c r="J416" s="62"/>
      <c r="K416" s="62"/>
      <c r="R416" s="62"/>
    </row>
    <row r="417" ht="15.75" customHeight="1">
      <c r="B417" s="167"/>
      <c r="E417" s="231"/>
      <c r="G417" s="167"/>
      <c r="J417" s="62"/>
      <c r="K417" s="62"/>
      <c r="R417" s="62"/>
    </row>
    <row r="418" ht="15.75" customHeight="1">
      <c r="B418" s="167"/>
      <c r="E418" s="231"/>
      <c r="G418" s="167"/>
      <c r="J418" s="62"/>
      <c r="K418" s="62"/>
      <c r="R418" s="62"/>
    </row>
    <row r="419" ht="15.75" customHeight="1">
      <c r="B419" s="167"/>
      <c r="E419" s="231"/>
      <c r="G419" s="167"/>
      <c r="J419" s="62"/>
      <c r="K419" s="62"/>
      <c r="R419" s="62"/>
    </row>
    <row r="420" ht="15.75" customHeight="1">
      <c r="B420" s="167"/>
      <c r="E420" s="231"/>
      <c r="G420" s="167"/>
      <c r="J420" s="62"/>
      <c r="K420" s="62"/>
      <c r="R420" s="62"/>
    </row>
    <row r="421" ht="15.75" customHeight="1">
      <c r="B421" s="167"/>
      <c r="E421" s="231"/>
      <c r="G421" s="167"/>
      <c r="J421" s="62"/>
      <c r="K421" s="62"/>
      <c r="R421" s="62"/>
    </row>
    <row r="422" ht="15.75" customHeight="1">
      <c r="B422" s="167"/>
      <c r="E422" s="231"/>
      <c r="G422" s="167"/>
      <c r="J422" s="62"/>
      <c r="K422" s="62"/>
      <c r="R422" s="62"/>
    </row>
    <row r="423" ht="15.75" customHeight="1">
      <c r="B423" s="167"/>
      <c r="E423" s="231"/>
      <c r="G423" s="167"/>
      <c r="J423" s="62"/>
      <c r="K423" s="62"/>
      <c r="R423" s="62"/>
    </row>
    <row r="424" ht="15.75" customHeight="1">
      <c r="B424" s="167"/>
      <c r="E424" s="231"/>
      <c r="G424" s="167"/>
      <c r="J424" s="62"/>
      <c r="K424" s="62"/>
      <c r="R424" s="62"/>
    </row>
    <row r="425" ht="15.75" customHeight="1">
      <c r="B425" s="167"/>
      <c r="E425" s="231"/>
      <c r="G425" s="167"/>
      <c r="J425" s="62"/>
      <c r="K425" s="62"/>
      <c r="R425" s="62"/>
    </row>
    <row r="426" ht="15.75" customHeight="1">
      <c r="B426" s="167"/>
      <c r="E426" s="231"/>
      <c r="G426" s="167"/>
      <c r="J426" s="62"/>
      <c r="K426" s="62"/>
      <c r="R426" s="62"/>
    </row>
    <row r="427" ht="15.75" customHeight="1">
      <c r="B427" s="167"/>
      <c r="E427" s="231"/>
      <c r="G427" s="167"/>
      <c r="J427" s="62"/>
      <c r="K427" s="62"/>
      <c r="R427" s="62"/>
    </row>
    <row r="428" ht="15.75" customHeight="1">
      <c r="B428" s="167"/>
      <c r="E428" s="231"/>
      <c r="G428" s="167"/>
      <c r="J428" s="62"/>
      <c r="K428" s="62"/>
      <c r="R428" s="62"/>
    </row>
    <row r="429" ht="15.75" customHeight="1">
      <c r="B429" s="167"/>
      <c r="E429" s="231"/>
      <c r="G429" s="167"/>
      <c r="J429" s="62"/>
      <c r="K429" s="62"/>
      <c r="R429" s="62"/>
    </row>
    <row r="430" ht="15.75" customHeight="1">
      <c r="B430" s="167"/>
      <c r="E430" s="231"/>
      <c r="G430" s="167"/>
      <c r="J430" s="62"/>
      <c r="K430" s="62"/>
      <c r="R430" s="62"/>
    </row>
    <row r="431" ht="15.75" customHeight="1">
      <c r="B431" s="167"/>
      <c r="E431" s="231"/>
      <c r="G431" s="167"/>
      <c r="J431" s="62"/>
      <c r="K431" s="62"/>
      <c r="R431" s="62"/>
    </row>
    <row r="432" ht="15.75" customHeight="1">
      <c r="B432" s="167"/>
      <c r="E432" s="231"/>
      <c r="G432" s="167"/>
      <c r="J432" s="62"/>
      <c r="K432" s="62"/>
      <c r="R432" s="62"/>
    </row>
    <row r="433" ht="15.75" customHeight="1">
      <c r="B433" s="167"/>
      <c r="E433" s="231"/>
      <c r="G433" s="167"/>
      <c r="J433" s="62"/>
      <c r="K433" s="62"/>
      <c r="R433" s="62"/>
    </row>
    <row r="434" ht="15.75" customHeight="1">
      <c r="B434" s="167"/>
      <c r="E434" s="231"/>
      <c r="G434" s="167"/>
      <c r="J434" s="62"/>
      <c r="K434" s="62"/>
      <c r="R434" s="62"/>
    </row>
    <row r="435" ht="15.75" customHeight="1">
      <c r="B435" s="167"/>
      <c r="E435" s="231"/>
      <c r="G435" s="167"/>
      <c r="J435" s="62"/>
      <c r="K435" s="62"/>
      <c r="R435" s="62"/>
    </row>
    <row r="436" ht="15.75" customHeight="1">
      <c r="B436" s="167"/>
      <c r="E436" s="231"/>
      <c r="G436" s="167"/>
      <c r="J436" s="62"/>
      <c r="K436" s="62"/>
      <c r="R436" s="62"/>
    </row>
    <row r="437" ht="15.75" customHeight="1">
      <c r="B437" s="167"/>
      <c r="E437" s="231"/>
      <c r="G437" s="167"/>
      <c r="J437" s="62"/>
      <c r="K437" s="62"/>
      <c r="R437" s="62"/>
    </row>
    <row r="438" ht="15.75" customHeight="1">
      <c r="B438" s="167"/>
      <c r="E438" s="231"/>
      <c r="G438" s="167"/>
      <c r="J438" s="62"/>
      <c r="K438" s="62"/>
      <c r="R438" s="62"/>
    </row>
    <row r="439" ht="15.75" customHeight="1">
      <c r="B439" s="167"/>
      <c r="E439" s="231"/>
      <c r="G439" s="167"/>
      <c r="J439" s="62"/>
      <c r="K439" s="62"/>
      <c r="R439" s="62"/>
    </row>
    <row r="440" ht="15.75" customHeight="1">
      <c r="B440" s="167"/>
      <c r="E440" s="231"/>
      <c r="G440" s="167"/>
      <c r="J440" s="62"/>
      <c r="K440" s="62"/>
      <c r="R440" s="62"/>
    </row>
    <row r="441" ht="15.75" customHeight="1">
      <c r="B441" s="167"/>
      <c r="E441" s="231"/>
      <c r="G441" s="167"/>
      <c r="J441" s="62"/>
      <c r="K441" s="62"/>
      <c r="R441" s="62"/>
    </row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3">
    <mergeCell ref="A1:K1"/>
    <mergeCell ref="A2:K2"/>
    <mergeCell ref="N4:R4"/>
    <mergeCell ref="N9:R9"/>
    <mergeCell ref="A19:K19"/>
    <mergeCell ref="N22:R22"/>
    <mergeCell ref="N23:R23"/>
    <mergeCell ref="A20:K20"/>
    <mergeCell ref="A37:K37"/>
    <mergeCell ref="A38:K38"/>
    <mergeCell ref="N40:R40"/>
    <mergeCell ref="N41:R41"/>
    <mergeCell ref="A55:K55"/>
    <mergeCell ref="A56:K56"/>
    <mergeCell ref="N58:R58"/>
    <mergeCell ref="N63:R63"/>
    <mergeCell ref="A73:K73"/>
    <mergeCell ref="A74:K74"/>
    <mergeCell ref="N76:R76"/>
    <mergeCell ref="N77:R77"/>
    <mergeCell ref="A91:K91"/>
    <mergeCell ref="A92:K92"/>
    <mergeCell ref="N94:R94"/>
    <mergeCell ref="N95:R95"/>
    <mergeCell ref="A109:K109"/>
    <mergeCell ref="A110:K110"/>
    <mergeCell ref="N112:R112"/>
    <mergeCell ref="N113:R113"/>
    <mergeCell ref="A127:K127"/>
    <mergeCell ref="A128:K128"/>
    <mergeCell ref="N130:R130"/>
    <mergeCell ref="N131:R131"/>
    <mergeCell ref="A145:K145"/>
    <mergeCell ref="N148:R148"/>
    <mergeCell ref="N149:R149"/>
    <mergeCell ref="A146:K146"/>
    <mergeCell ref="A163:K163"/>
    <mergeCell ref="A164:K164"/>
    <mergeCell ref="N166:R166"/>
    <mergeCell ref="N167:R167"/>
    <mergeCell ref="A181:K181"/>
    <mergeCell ref="A182:K182"/>
    <mergeCell ref="A218:K218"/>
    <mergeCell ref="N220:R220"/>
    <mergeCell ref="N221:R221"/>
    <mergeCell ref="N239:R239"/>
    <mergeCell ref="N184:R184"/>
    <mergeCell ref="N185:R185"/>
    <mergeCell ref="A199:K199"/>
    <mergeCell ref="A200:K200"/>
    <mergeCell ref="N202:R202"/>
    <mergeCell ref="N203:R203"/>
    <mergeCell ref="A217:K217"/>
  </mergeCells>
  <dataValidations>
    <dataValidation type="list" allowBlank="1" showErrorMessage="1" sqref="I4:I15 I22:I33 I40:I51 I58:I69 I76:I87 I94:I105 I112:I123 I130:I141 I148:I159 I166:I177 I184:I195 I202:I213 I220:I231">
      <formula1>"Não atendido,Atendido,Vagas livre,Desistência"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3.88"/>
    <col customWidth="1" min="4" max="4" width="11.88"/>
    <col customWidth="1" min="5" max="5" width="16.0"/>
    <col customWidth="1" min="6" max="6" width="17.0"/>
    <col customWidth="1" min="7" max="7" width="42.63"/>
    <col customWidth="1" min="8" max="8" width="16.13"/>
    <col customWidth="1" min="9" max="9" width="20.38"/>
    <col customWidth="1" min="10" max="10" width="16.5"/>
    <col customWidth="1" min="11" max="11" width="14.8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3392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2081</v>
      </c>
      <c r="C4" s="69" t="str">
        <f t="shared" ref="C4:C15" si="1">PROPER(TEXT(DATE(MID($A$2,7,4),MID($A$2,4,2),LEFT($A$2,2)),"dddd"))</f>
        <v>Terça-Feira</v>
      </c>
      <c r="D4" s="445" t="str">
        <f>IF(C4&lt;&gt;"Quarta-Feira","13:00","08:00")</f>
        <v>13:00</v>
      </c>
      <c r="E4" s="219" t="s">
        <v>3393</v>
      </c>
      <c r="F4" s="192">
        <v>1.07424994100004E14</v>
      </c>
      <c r="G4" s="54" t="s">
        <v>3394</v>
      </c>
      <c r="H4" s="193">
        <v>20199.0</v>
      </c>
      <c r="I4" s="18" t="s">
        <v>41</v>
      </c>
      <c r="J4" s="97"/>
      <c r="K4" s="97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5" t="s">
        <v>2083</v>
      </c>
      <c r="C5" s="69" t="str">
        <f t="shared" si="1"/>
        <v>Terça-Feira</v>
      </c>
      <c r="D5" s="445" t="str">
        <f>IF(C5&lt;&gt;"Quarta-Feira","13:20","08:20")</f>
        <v>13:20</v>
      </c>
      <c r="E5" s="69">
        <v>3.646220589E10</v>
      </c>
      <c r="F5" s="206">
        <v>8.01440477878283E14</v>
      </c>
      <c r="G5" s="125" t="s">
        <v>3395</v>
      </c>
      <c r="H5" s="153">
        <v>19709.0</v>
      </c>
      <c r="I5" s="18" t="s">
        <v>41</v>
      </c>
      <c r="J5" s="37"/>
      <c r="K5" s="37"/>
      <c r="N5" s="239" t="s">
        <v>2085</v>
      </c>
      <c r="O5" s="2"/>
      <c r="P5" s="2"/>
      <c r="Q5" s="2"/>
      <c r="R5" s="62"/>
    </row>
    <row r="6" ht="20.25" customHeight="1">
      <c r="A6" s="11" t="s">
        <v>12</v>
      </c>
      <c r="B6" s="205" t="s">
        <v>2086</v>
      </c>
      <c r="C6" s="69" t="str">
        <f t="shared" si="1"/>
        <v>Terça-Feira</v>
      </c>
      <c r="D6" s="445" t="str">
        <f>IF(C6&lt;&gt;"Quarta-Feira","13:40","08:40")</f>
        <v>13:40</v>
      </c>
      <c r="E6" s="253" t="s">
        <v>445</v>
      </c>
      <c r="F6" s="206">
        <v>8.01440406110773E14</v>
      </c>
      <c r="G6" s="125" t="s">
        <v>3396</v>
      </c>
      <c r="H6" s="153">
        <v>17381.0</v>
      </c>
      <c r="I6" s="18" t="s">
        <v>41</v>
      </c>
      <c r="J6" s="37"/>
      <c r="K6" s="97"/>
      <c r="N6" s="240" t="s">
        <v>41</v>
      </c>
      <c r="O6" s="241" t="s">
        <v>194</v>
      </c>
      <c r="P6" s="241" t="s">
        <v>180</v>
      </c>
      <c r="Q6" s="242" t="s">
        <v>2087</v>
      </c>
      <c r="R6" s="62"/>
    </row>
    <row r="7" ht="15.75" customHeight="1">
      <c r="A7" s="11" t="s">
        <v>13</v>
      </c>
      <c r="B7" s="205" t="s">
        <v>2088</v>
      </c>
      <c r="C7" s="69" t="str">
        <f t="shared" si="1"/>
        <v>Terça-Feira</v>
      </c>
      <c r="D7" s="445" t="str">
        <f>IF(C7&lt;&gt;"Quarta-Feira","14:00","09:00")</f>
        <v>14:00</v>
      </c>
      <c r="E7" s="214" t="s">
        <v>3397</v>
      </c>
      <c r="F7" s="79">
        <v>7.00503776879459E14</v>
      </c>
      <c r="G7" s="74" t="s">
        <v>3398</v>
      </c>
      <c r="H7" s="78">
        <v>29535.0</v>
      </c>
      <c r="I7" s="18" t="s">
        <v>41</v>
      </c>
      <c r="J7" s="266"/>
      <c r="K7" s="266"/>
      <c r="N7" s="244">
        <f t="shared" ref="N7:P7" si="2">COUNTIFS($I$4:$I$15,N6)</f>
        <v>10</v>
      </c>
      <c r="O7" s="244">
        <f t="shared" si="2"/>
        <v>0</v>
      </c>
      <c r="P7" s="244">
        <f t="shared" si="2"/>
        <v>2</v>
      </c>
      <c r="Q7" s="244">
        <f>COUNTIF(I4:I15,Q6)</f>
        <v>0</v>
      </c>
      <c r="R7" s="62"/>
    </row>
    <row r="8" ht="15.75" customHeight="1">
      <c r="A8" s="11" t="s">
        <v>14</v>
      </c>
      <c r="B8" s="205" t="s">
        <v>2081</v>
      </c>
      <c r="C8" s="69" t="str">
        <f t="shared" si="1"/>
        <v>Terça-Feira</v>
      </c>
      <c r="D8" s="445" t="str">
        <f>IF(C8&lt;&gt;"Quarta-Feira","14:20","09:20")</f>
        <v>14:20</v>
      </c>
      <c r="E8" s="267" t="s">
        <v>3399</v>
      </c>
      <c r="F8" s="457">
        <v>7.05001442401759E14</v>
      </c>
      <c r="G8" s="268" t="s">
        <v>3400</v>
      </c>
      <c r="H8" s="269">
        <v>12416.0</v>
      </c>
      <c r="I8" s="18" t="s">
        <v>41</v>
      </c>
      <c r="J8" s="128"/>
      <c r="K8" s="128"/>
      <c r="R8" s="62"/>
    </row>
    <row r="9" ht="15.75" customHeight="1">
      <c r="A9" s="11" t="s">
        <v>15</v>
      </c>
      <c r="B9" s="205" t="s">
        <v>2088</v>
      </c>
      <c r="C9" s="69" t="str">
        <f t="shared" si="1"/>
        <v>Terça-Feira</v>
      </c>
      <c r="D9" s="445" t="str">
        <f>IF(C9&lt;&gt;"Quarta-Feira","14:40","09:40")</f>
        <v>14:40</v>
      </c>
      <c r="E9" s="215" t="s">
        <v>3401</v>
      </c>
      <c r="F9" s="170">
        <v>7.09207275383132E14</v>
      </c>
      <c r="G9" s="186" t="s">
        <v>3402</v>
      </c>
      <c r="H9" s="72">
        <v>27603.0</v>
      </c>
      <c r="I9" s="18" t="s">
        <v>41</v>
      </c>
      <c r="J9" s="37"/>
      <c r="K9" s="37"/>
      <c r="R9" s="62"/>
    </row>
    <row r="10" ht="15.75" customHeight="1">
      <c r="A10" s="11" t="s">
        <v>16</v>
      </c>
      <c r="B10" s="205" t="s">
        <v>2092</v>
      </c>
      <c r="C10" s="69" t="str">
        <f t="shared" si="1"/>
        <v>Terça-Feira</v>
      </c>
      <c r="D10" s="445" t="str">
        <f>IF(C10&lt;&gt;"Quarta-Feira","15:00","10:00")</f>
        <v>15:00</v>
      </c>
      <c r="E10" s="214" t="s">
        <v>3403</v>
      </c>
      <c r="F10" s="79">
        <v>7.08503360357979E14</v>
      </c>
      <c r="G10" s="186" t="s">
        <v>3404</v>
      </c>
      <c r="H10" s="78">
        <v>32434.0</v>
      </c>
      <c r="I10" s="18" t="s">
        <v>41</v>
      </c>
      <c r="J10" s="266"/>
      <c r="K10" s="266"/>
      <c r="R10" s="62"/>
    </row>
    <row r="11" ht="15.75" customHeight="1">
      <c r="A11" s="11" t="s">
        <v>17</v>
      </c>
      <c r="B11" s="205" t="s">
        <v>2093</v>
      </c>
      <c r="C11" s="69" t="str">
        <f t="shared" si="1"/>
        <v>Terça-Feira</v>
      </c>
      <c r="D11" s="445" t="str">
        <f>IF(C11&lt;&gt;"Quarta-Feira","15:20","10:20")</f>
        <v>15:20</v>
      </c>
      <c r="E11" s="215" t="s">
        <v>3405</v>
      </c>
      <c r="F11" s="170">
        <v>7.05000202729155E14</v>
      </c>
      <c r="G11" s="197" t="s">
        <v>870</v>
      </c>
      <c r="H11" s="460">
        <v>14855.0</v>
      </c>
      <c r="I11" s="18" t="s">
        <v>41</v>
      </c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205" t="s">
        <v>2094</v>
      </c>
      <c r="C12" s="69" t="str">
        <f t="shared" si="1"/>
        <v>Terça-Feira</v>
      </c>
      <c r="D12" s="445" t="str">
        <f>IF(C12&lt;&gt;"Quarta-Feira","15:40","10:40")</f>
        <v>15:40</v>
      </c>
      <c r="E12" s="247" t="s">
        <v>3406</v>
      </c>
      <c r="F12" s="146">
        <v>8.01440427402587E14</v>
      </c>
      <c r="G12" s="74" t="s">
        <v>3407</v>
      </c>
      <c r="H12" s="86">
        <v>19101.0</v>
      </c>
      <c r="I12" s="18" t="s">
        <v>41</v>
      </c>
      <c r="J12" s="37"/>
      <c r="K12" s="37"/>
      <c r="R12" s="62"/>
    </row>
    <row r="13" ht="15.75" customHeight="1">
      <c r="A13" s="11" t="s">
        <v>87</v>
      </c>
      <c r="B13" s="205" t="s">
        <v>2095</v>
      </c>
      <c r="C13" s="69" t="str">
        <f t="shared" si="1"/>
        <v>Terça-Feira</v>
      </c>
      <c r="D13" s="445" t="str">
        <f>IF(C13&lt;&gt;"Quarta-Feira","16:00","11:00")</f>
        <v>16:00</v>
      </c>
      <c r="E13" s="218"/>
      <c r="F13" s="146"/>
      <c r="G13" s="74"/>
      <c r="H13" s="86"/>
      <c r="I13" s="18" t="s">
        <v>180</v>
      </c>
      <c r="J13" s="37"/>
      <c r="K13" s="37"/>
      <c r="R13" s="62"/>
    </row>
    <row r="14" ht="15.75" customHeight="1">
      <c r="A14" s="11" t="s">
        <v>90</v>
      </c>
      <c r="B14" s="205" t="s">
        <v>2097</v>
      </c>
      <c r="C14" s="69" t="str">
        <f t="shared" si="1"/>
        <v>Terça-Feira</v>
      </c>
      <c r="D14" s="445" t="str">
        <f>IF(C14&lt;&gt;"Quarta-Feira","16:20","11:20")</f>
        <v>16:20</v>
      </c>
      <c r="E14" s="258" t="s">
        <v>3408</v>
      </c>
      <c r="F14" s="127">
        <v>7.05006041358954E14</v>
      </c>
      <c r="G14" s="74" t="s">
        <v>3409</v>
      </c>
      <c r="H14" s="153">
        <v>26090.0</v>
      </c>
      <c r="I14" s="18" t="s">
        <v>41</v>
      </c>
      <c r="J14" s="37"/>
      <c r="K14" s="37"/>
      <c r="R14" s="62"/>
    </row>
    <row r="15" ht="15.75" customHeight="1">
      <c r="A15" s="11" t="s">
        <v>93</v>
      </c>
      <c r="B15" s="205" t="s">
        <v>2095</v>
      </c>
      <c r="C15" s="69" t="str">
        <f t="shared" si="1"/>
        <v>Terça-Feira</v>
      </c>
      <c r="D15" s="445" t="str">
        <f>IF(C15&lt;&gt;"Quarta-Feira","16:40","11:40")</f>
        <v>16:40</v>
      </c>
      <c r="E15" s="258"/>
      <c r="F15" s="127"/>
      <c r="G15" s="74"/>
      <c r="H15" s="153"/>
      <c r="I15" s="18" t="s">
        <v>180</v>
      </c>
      <c r="J15" s="37"/>
      <c r="K15" s="37"/>
      <c r="R15" s="62"/>
    </row>
    <row r="16" ht="15.75" customHeight="1">
      <c r="E16" s="231"/>
      <c r="J16" s="62"/>
      <c r="K16" s="62"/>
      <c r="R16" s="62"/>
    </row>
    <row r="17" ht="15.75" customHeight="1">
      <c r="E17" s="231"/>
      <c r="J17" s="62"/>
      <c r="K17" s="62"/>
      <c r="R17" s="62"/>
    </row>
    <row r="18" ht="15.0" customHeight="1">
      <c r="E18" s="231"/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tr">
        <f>TEXT(DATE(VALUE(MID(A2,7,4)),VALUE(MID(A2,4,2)),VALUE(LEFT(A2,2)))+2,"dd/mm/yyyy")&amp;" 13h às 17h"</f>
        <v>07/05/2026 13h às 17h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1789</v>
      </c>
      <c r="C22" s="69" t="str">
        <f t="shared" ref="C22:C33" si="3">PROPER(TEXT(DATE(MID($A$20,7,4),MID($A$20,4,2),LEFT($A$20,2)),"dddd"))</f>
        <v>Quinta-Feira</v>
      </c>
      <c r="D22" s="445" t="str">
        <f>IF(C22&lt;&gt;"Quarta-Feira","13:00","08:00")</f>
        <v>13:00</v>
      </c>
      <c r="E22" s="219" t="s">
        <v>3410</v>
      </c>
      <c r="F22" s="127">
        <v>7.03408225679011E14</v>
      </c>
      <c r="G22" s="74" t="s">
        <v>3411</v>
      </c>
      <c r="H22" s="153">
        <v>22283.0</v>
      </c>
      <c r="I22" s="18" t="s">
        <v>41</v>
      </c>
      <c r="J22" s="127"/>
      <c r="K22" s="12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1713</v>
      </c>
      <c r="C23" s="69" t="str">
        <f t="shared" si="3"/>
        <v>Quinta-Feira</v>
      </c>
      <c r="D23" s="445" t="str">
        <f>IF(C23&lt;&gt;"Quarta-Feira","13:20","08:20")</f>
        <v>13:20</v>
      </c>
      <c r="E23" s="215" t="s">
        <v>3412</v>
      </c>
      <c r="F23" s="127">
        <v>7.00004515554802E14</v>
      </c>
      <c r="G23" s="74" t="s">
        <v>3413</v>
      </c>
      <c r="H23" s="153">
        <v>21160.0</v>
      </c>
      <c r="I23" s="18" t="s">
        <v>2566</v>
      </c>
      <c r="J23" s="127"/>
      <c r="K23" s="127"/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1780</v>
      </c>
      <c r="C24" s="69" t="str">
        <f t="shared" si="3"/>
        <v>Quinta-Feira</v>
      </c>
      <c r="D24" s="445" t="str">
        <f>IF(C24&lt;&gt;"Quarta-Feira","13:40","08:40")</f>
        <v>13:40</v>
      </c>
      <c r="E24" s="215" t="s">
        <v>3414</v>
      </c>
      <c r="F24" s="127">
        <v>2.04297704930005E14</v>
      </c>
      <c r="G24" s="74" t="s">
        <v>3415</v>
      </c>
      <c r="H24" s="153">
        <v>19617.0</v>
      </c>
      <c r="I24" s="18" t="s">
        <v>41</v>
      </c>
      <c r="J24" s="127"/>
      <c r="K24" s="127"/>
      <c r="L24" s="197" t="s">
        <v>520</v>
      </c>
      <c r="N24" s="240" t="s">
        <v>41</v>
      </c>
      <c r="O24" s="241" t="s">
        <v>194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1720</v>
      </c>
      <c r="C25" s="69" t="str">
        <f t="shared" si="3"/>
        <v>Quinta-Feira</v>
      </c>
      <c r="D25" s="445" t="str">
        <f>IF(C25&lt;&gt;"Quarta-Feira","14:00","09:00")</f>
        <v>14:00</v>
      </c>
      <c r="E25" s="214" t="s">
        <v>3416</v>
      </c>
      <c r="F25" s="127">
        <v>2.0429581054E14</v>
      </c>
      <c r="G25" s="74" t="s">
        <v>3417</v>
      </c>
      <c r="H25" s="153">
        <v>19403.0</v>
      </c>
      <c r="I25" s="18" t="s">
        <v>41</v>
      </c>
      <c r="J25" s="127"/>
      <c r="K25" s="127"/>
      <c r="L25" s="197" t="s">
        <v>520</v>
      </c>
      <c r="N25" s="244">
        <f t="shared" ref="N25:Q25" si="4">COUNTIFS($I$22:$I$33,N24)</f>
        <v>10</v>
      </c>
      <c r="O25" s="244">
        <f t="shared" si="4"/>
        <v>0</v>
      </c>
      <c r="P25" s="244">
        <f t="shared" si="4"/>
        <v>0</v>
      </c>
      <c r="Q25" s="244">
        <f t="shared" si="4"/>
        <v>1</v>
      </c>
      <c r="R25" s="62"/>
    </row>
    <row r="26" ht="18.0" customHeight="1">
      <c r="A26" s="11" t="s">
        <v>14</v>
      </c>
      <c r="B26" s="205" t="s">
        <v>1795</v>
      </c>
      <c r="C26" s="69" t="str">
        <f t="shared" si="3"/>
        <v>Quinta-Feira</v>
      </c>
      <c r="D26" s="445" t="str">
        <f>IF(C26&lt;&gt;"Quarta-Feira","14:20","09:20")</f>
        <v>14:20</v>
      </c>
      <c r="E26" s="247" t="s">
        <v>3418</v>
      </c>
      <c r="F26" s="127">
        <v>7.02905585110473E14</v>
      </c>
      <c r="G26" s="74" t="s">
        <v>3419</v>
      </c>
      <c r="H26" s="153">
        <v>26677.0</v>
      </c>
      <c r="I26" s="18" t="s">
        <v>41</v>
      </c>
      <c r="J26" s="127"/>
      <c r="K26" s="127"/>
      <c r="L26" s="197" t="s">
        <v>520</v>
      </c>
      <c r="R26" s="62"/>
    </row>
    <row r="27" ht="15.75" customHeight="1">
      <c r="A27" s="11" t="s">
        <v>15</v>
      </c>
      <c r="B27" s="205" t="s">
        <v>1789</v>
      </c>
      <c r="C27" s="69" t="str">
        <f t="shared" si="3"/>
        <v>Quinta-Feira</v>
      </c>
      <c r="D27" s="445" t="str">
        <f>IF(C27&lt;&gt;"Quarta-Feira","14:40","09:40")</f>
        <v>14:40</v>
      </c>
      <c r="E27" s="247" t="s">
        <v>3420</v>
      </c>
      <c r="F27" s="127">
        <v>7.00409443913845E14</v>
      </c>
      <c r="G27" s="74" t="s">
        <v>3421</v>
      </c>
      <c r="H27" s="153">
        <v>22107.0</v>
      </c>
      <c r="I27" s="18" t="s">
        <v>41</v>
      </c>
      <c r="J27" s="127"/>
      <c r="K27" s="127"/>
      <c r="L27" s="197" t="s">
        <v>520</v>
      </c>
      <c r="R27" s="62"/>
    </row>
    <row r="28" ht="15.75" customHeight="1">
      <c r="A28" s="11" t="s">
        <v>16</v>
      </c>
      <c r="B28" s="205" t="s">
        <v>2652</v>
      </c>
      <c r="C28" s="69" t="str">
        <f t="shared" si="3"/>
        <v>Quinta-Feira</v>
      </c>
      <c r="D28" s="445" t="str">
        <f>IF(C28&lt;&gt;"Quarta-Feira","15:00","10:00")</f>
        <v>15:00</v>
      </c>
      <c r="E28" s="214"/>
      <c r="F28" s="79"/>
      <c r="G28" s="74" t="s">
        <v>3422</v>
      </c>
      <c r="H28" s="78"/>
      <c r="I28" s="18" t="s">
        <v>41</v>
      </c>
      <c r="J28" s="266"/>
      <c r="K28" s="127"/>
      <c r="L28" s="197" t="s">
        <v>520</v>
      </c>
      <c r="R28" s="62"/>
    </row>
    <row r="29" ht="15.75" customHeight="1">
      <c r="A29" s="11" t="s">
        <v>17</v>
      </c>
      <c r="B29" s="205" t="s">
        <v>2655</v>
      </c>
      <c r="C29" s="69" t="str">
        <f t="shared" si="3"/>
        <v>Quinta-Feira</v>
      </c>
      <c r="D29" s="445" t="str">
        <f>IF(C29&lt;&gt;"Quarta-Feira","15:20","10:20")</f>
        <v>15:20</v>
      </c>
      <c r="E29" s="215" t="s">
        <v>3423</v>
      </c>
      <c r="F29" s="127">
        <v>7.04808552398249E14</v>
      </c>
      <c r="G29" s="74" t="s">
        <v>3424</v>
      </c>
      <c r="H29" s="153">
        <v>13103.0</v>
      </c>
      <c r="I29" s="18" t="s">
        <v>41</v>
      </c>
      <c r="J29" s="127"/>
      <c r="K29" s="127"/>
      <c r="L29" s="197" t="s">
        <v>520</v>
      </c>
      <c r="R29" s="62"/>
    </row>
    <row r="30" ht="15.75" customHeight="1">
      <c r="A30" s="11" t="s">
        <v>85</v>
      </c>
      <c r="B30" s="205" t="s">
        <v>2658</v>
      </c>
      <c r="C30" s="69" t="str">
        <f t="shared" si="3"/>
        <v>Quinta-Feira</v>
      </c>
      <c r="D30" s="445" t="str">
        <f>IF(C30&lt;&gt;"Quarta-Feira","15:40","10:40")</f>
        <v>15:40</v>
      </c>
      <c r="E30" s="258" t="s">
        <v>3425</v>
      </c>
      <c r="F30" s="127">
        <v>7.06402118410085E14</v>
      </c>
      <c r="G30" s="74" t="s">
        <v>3426</v>
      </c>
      <c r="H30" s="153">
        <v>28596.0</v>
      </c>
      <c r="I30" s="18" t="s">
        <v>41</v>
      </c>
      <c r="J30" s="127"/>
      <c r="K30" s="127"/>
      <c r="L30" s="197" t="s">
        <v>520</v>
      </c>
      <c r="R30" s="62"/>
    </row>
    <row r="31" ht="15.75" customHeight="1">
      <c r="A31" s="11" t="s">
        <v>87</v>
      </c>
      <c r="B31" s="205" t="s">
        <v>1734</v>
      </c>
      <c r="C31" s="69" t="str">
        <f t="shared" si="3"/>
        <v>Quinta-Feira</v>
      </c>
      <c r="D31" s="445" t="str">
        <f>IF(C31&lt;&gt;"Quarta-Feira","16:00","11:00")</f>
        <v>16:00</v>
      </c>
      <c r="E31" s="218" t="s">
        <v>178</v>
      </c>
      <c r="F31" s="127" t="s">
        <v>178</v>
      </c>
      <c r="G31" s="74" t="s">
        <v>3427</v>
      </c>
      <c r="H31" s="153">
        <v>31043.0</v>
      </c>
      <c r="I31" s="18" t="s">
        <v>41</v>
      </c>
      <c r="J31" s="127"/>
      <c r="K31" s="127"/>
      <c r="L31" s="197" t="s">
        <v>520</v>
      </c>
      <c r="R31" s="62"/>
    </row>
    <row r="32" ht="15.75" customHeight="1">
      <c r="A32" s="11" t="s">
        <v>90</v>
      </c>
      <c r="B32" s="205" t="s">
        <v>2658</v>
      </c>
      <c r="C32" s="69" t="str">
        <f t="shared" si="3"/>
        <v>Quinta-Feira</v>
      </c>
      <c r="D32" s="445" t="str">
        <f>IF(C32&lt;&gt;"Quarta-Feira","16:20","11:20")</f>
        <v>16:20</v>
      </c>
      <c r="E32" s="258" t="s">
        <v>3428</v>
      </c>
      <c r="F32" s="127">
        <v>7.02905546144672E14</v>
      </c>
      <c r="G32" s="74" t="s">
        <v>3429</v>
      </c>
      <c r="H32" s="153">
        <v>20201.0</v>
      </c>
      <c r="I32" s="18" t="s">
        <v>2087</v>
      </c>
      <c r="J32" s="127"/>
      <c r="K32" s="127"/>
      <c r="L32" s="197" t="s">
        <v>520</v>
      </c>
      <c r="R32" s="62"/>
    </row>
    <row r="33" ht="15.75" customHeight="1">
      <c r="A33" s="11" t="s">
        <v>93</v>
      </c>
      <c r="B33" s="205" t="s">
        <v>1734</v>
      </c>
      <c r="C33" s="69" t="str">
        <f t="shared" si="3"/>
        <v>Quinta-Feira</v>
      </c>
      <c r="D33" s="445" t="str">
        <f>IF(C33&lt;&gt;"Quarta-Feira","16:40","11:40")</f>
        <v>16:40</v>
      </c>
      <c r="E33" s="258" t="s">
        <v>3430</v>
      </c>
      <c r="F33" s="127">
        <v>8.01440471118031E14</v>
      </c>
      <c r="G33" s="74" t="s">
        <v>3431</v>
      </c>
      <c r="H33" s="153">
        <v>24839.0</v>
      </c>
      <c r="I33" s="18" t="s">
        <v>41</v>
      </c>
      <c r="J33" s="127"/>
      <c r="K33" s="127"/>
      <c r="R33" s="62"/>
    </row>
    <row r="34" ht="15.75" customHeight="1">
      <c r="E34" s="231"/>
      <c r="J34" s="62"/>
      <c r="K34" s="62"/>
      <c r="R34" s="62"/>
    </row>
    <row r="35" ht="15.75" customHeight="1">
      <c r="E35" s="231"/>
      <c r="J35" s="62"/>
      <c r="K35" s="62"/>
      <c r="R35" s="62"/>
    </row>
    <row r="36" ht="15.75" customHeight="1">
      <c r="E36" s="231"/>
      <c r="J36" s="62"/>
      <c r="K36" s="62"/>
      <c r="R36" s="62"/>
    </row>
    <row r="37" ht="15.75" customHeight="1">
      <c r="A37" s="20" t="s">
        <v>18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4.75" customHeight="1">
      <c r="A38" s="21" t="str">
        <f>TEXT(DATE(VALUE(MID(A2,7,4)),VALUE(MID(A2,4,2)),VALUE(LEFT(A2,2)))+7,"dd/mm/yyyy")&amp;" 13h às 17h"</f>
        <v>12/05/2026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23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205" t="s">
        <v>2081</v>
      </c>
      <c r="C40" s="69" t="str">
        <f t="shared" ref="C40:C51" si="5">PROPER(TEXT(DATE(MID($A$38,7,4),MID($A$38,4,2),LEFT($A$38,2)),"dddd"))</f>
        <v>Terça-Feira</v>
      </c>
      <c r="D40" s="445" t="str">
        <f>IF(C40&lt;&gt;"Quarta-Feira","13:00","08:00")</f>
        <v>13:00</v>
      </c>
      <c r="E40" s="214" t="s">
        <v>2622</v>
      </c>
      <c r="F40" s="79">
        <v>7.034070460218E14</v>
      </c>
      <c r="G40" s="74" t="s">
        <v>2623</v>
      </c>
      <c r="H40" s="72">
        <v>22704.0</v>
      </c>
      <c r="I40" s="30" t="s">
        <v>41</v>
      </c>
      <c r="J40" s="274"/>
      <c r="K40" s="274"/>
      <c r="L40" s="197" t="s">
        <v>520</v>
      </c>
      <c r="N40" s="237" t="s">
        <v>386</v>
      </c>
      <c r="O40" s="95"/>
      <c r="P40" s="95"/>
      <c r="Q40" s="95"/>
      <c r="R40" s="62"/>
    </row>
    <row r="41" ht="15.75" customHeight="1">
      <c r="A41" s="11" t="s">
        <v>11</v>
      </c>
      <c r="B41" s="205" t="s">
        <v>2083</v>
      </c>
      <c r="C41" s="69" t="str">
        <f t="shared" si="5"/>
        <v>Terça-Feira</v>
      </c>
      <c r="D41" s="445" t="str">
        <f>IF(C41&lt;&gt;"Quarta-Feira","13:20","08:20")</f>
        <v>13:20</v>
      </c>
      <c r="E41" s="214" t="s">
        <v>3432</v>
      </c>
      <c r="F41" s="79">
        <v>1.6366335487E14</v>
      </c>
      <c r="G41" s="297" t="s">
        <v>3433</v>
      </c>
      <c r="H41" s="72">
        <v>15790.0</v>
      </c>
      <c r="I41" s="30" t="s">
        <v>2087</v>
      </c>
      <c r="J41" s="274"/>
      <c r="K41" s="274"/>
      <c r="N41" s="239" t="s">
        <v>2085</v>
      </c>
      <c r="O41" s="2"/>
      <c r="P41" s="2"/>
      <c r="Q41" s="2"/>
      <c r="R41" s="62"/>
    </row>
    <row r="42" ht="15.75" customHeight="1">
      <c r="A42" s="11" t="s">
        <v>12</v>
      </c>
      <c r="B42" s="205" t="s">
        <v>2086</v>
      </c>
      <c r="C42" s="69" t="str">
        <f t="shared" si="5"/>
        <v>Terça-Feira</v>
      </c>
      <c r="D42" s="445" t="str">
        <f>IF(C42&lt;&gt;"Quarta-Feira","13:40","08:40")</f>
        <v>13:40</v>
      </c>
      <c r="E42" s="214"/>
      <c r="F42" s="79"/>
      <c r="G42" s="74"/>
      <c r="H42" s="72"/>
      <c r="I42" s="30"/>
      <c r="J42" s="336"/>
      <c r="K42" s="336"/>
      <c r="L42" s="197" t="s">
        <v>520</v>
      </c>
      <c r="N42" s="240" t="s">
        <v>182</v>
      </c>
      <c r="O42" s="241" t="s">
        <v>194</v>
      </c>
      <c r="P42" s="241" t="s">
        <v>180</v>
      </c>
      <c r="Q42" s="242" t="s">
        <v>2087</v>
      </c>
      <c r="R42" s="62" t="s">
        <v>438</v>
      </c>
    </row>
    <row r="43" ht="15.75" customHeight="1">
      <c r="A43" s="11" t="s">
        <v>13</v>
      </c>
      <c r="B43" s="205" t="s">
        <v>2088</v>
      </c>
      <c r="C43" s="69" t="str">
        <f t="shared" si="5"/>
        <v>Terça-Feira</v>
      </c>
      <c r="D43" s="445" t="str">
        <f>IF(C43&lt;&gt;"Quarta-Feira","14:00","09:00")</f>
        <v>14:00</v>
      </c>
      <c r="E43" s="214" t="s">
        <v>2153</v>
      </c>
      <c r="F43" s="79">
        <v>7.00002287262002E14</v>
      </c>
      <c r="G43" s="74" t="s">
        <v>2154</v>
      </c>
      <c r="H43" s="72">
        <v>19480.0</v>
      </c>
      <c r="I43" s="30" t="s">
        <v>41</v>
      </c>
      <c r="J43" s="274"/>
      <c r="K43" s="274"/>
      <c r="L43" s="197" t="s">
        <v>520</v>
      </c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1</v>
      </c>
      <c r="R43" s="62">
        <f>COUNTIFS(I40:I51,R42)</f>
        <v>0</v>
      </c>
    </row>
    <row r="44" ht="15.75" customHeight="1">
      <c r="A44" s="11" t="s">
        <v>14</v>
      </c>
      <c r="B44" s="205" t="s">
        <v>2081</v>
      </c>
      <c r="C44" s="69" t="str">
        <f t="shared" si="5"/>
        <v>Terça-Feira</v>
      </c>
      <c r="D44" s="445" t="str">
        <f>IF(C44&lt;&gt;"Quarta-Feira","14:20","09:20")</f>
        <v>14:20</v>
      </c>
      <c r="E44" s="214" t="s">
        <v>3434</v>
      </c>
      <c r="F44" s="79">
        <v>8.01440406547942E14</v>
      </c>
      <c r="G44" s="297" t="s">
        <v>3435</v>
      </c>
      <c r="H44" s="72">
        <v>25769.0</v>
      </c>
      <c r="I44" s="18" t="s">
        <v>41</v>
      </c>
      <c r="J44" s="274"/>
      <c r="K44" s="274"/>
      <c r="L44" s="197" t="s">
        <v>520</v>
      </c>
      <c r="R44" s="62"/>
    </row>
    <row r="45" ht="15.75" customHeight="1">
      <c r="A45" s="11" t="s">
        <v>15</v>
      </c>
      <c r="B45" s="205" t="s">
        <v>2088</v>
      </c>
      <c r="C45" s="69" t="str">
        <f t="shared" si="5"/>
        <v>Terça-Feira</v>
      </c>
      <c r="D45" s="445" t="str">
        <f>IF(C45&lt;&gt;"Quarta-Feira","14:40","09:40")</f>
        <v>14:40</v>
      </c>
      <c r="E45" s="214" t="s">
        <v>3436</v>
      </c>
      <c r="F45" s="79">
        <v>7.0810514103804E14</v>
      </c>
      <c r="G45" s="74" t="s">
        <v>3437</v>
      </c>
      <c r="H45" s="72">
        <v>32302.0</v>
      </c>
      <c r="I45" s="30" t="s">
        <v>41</v>
      </c>
      <c r="J45" s="274"/>
      <c r="K45" s="274"/>
      <c r="L45" s="197" t="s">
        <v>520</v>
      </c>
      <c r="R45" s="62"/>
    </row>
    <row r="46" ht="15.75" customHeight="1">
      <c r="A46" s="11" t="s">
        <v>16</v>
      </c>
      <c r="B46" s="205" t="s">
        <v>2092</v>
      </c>
      <c r="C46" s="69" t="str">
        <f t="shared" si="5"/>
        <v>Terça-Feira</v>
      </c>
      <c r="D46" s="445" t="str">
        <f>IF(C46&lt;&gt;"Quarta-Feira","15:00","10:00")</f>
        <v>15:00</v>
      </c>
      <c r="E46" s="214"/>
      <c r="F46" s="79"/>
      <c r="G46" s="306"/>
      <c r="H46" s="72"/>
      <c r="I46" s="18"/>
      <c r="J46" s="336"/>
      <c r="K46" s="274"/>
      <c r="R46" s="62"/>
    </row>
    <row r="47" ht="15.75" customHeight="1">
      <c r="A47" s="11" t="s">
        <v>17</v>
      </c>
      <c r="B47" s="205" t="s">
        <v>2093</v>
      </c>
      <c r="C47" s="69" t="str">
        <f t="shared" si="5"/>
        <v>Terça-Feira</v>
      </c>
      <c r="D47" s="445" t="str">
        <f>IF(C47&lt;&gt;"Quarta-Feira","15:20","10:20")</f>
        <v>15:20</v>
      </c>
      <c r="E47" s="214" t="s">
        <v>3438</v>
      </c>
      <c r="F47" s="79">
        <v>2.07238639320002E14</v>
      </c>
      <c r="G47" s="74" t="s">
        <v>3439</v>
      </c>
      <c r="H47" s="72">
        <v>25520.0</v>
      </c>
      <c r="I47" s="18" t="s">
        <v>41</v>
      </c>
      <c r="J47" s="336"/>
      <c r="K47" s="336"/>
      <c r="R47" s="62"/>
    </row>
    <row r="48" ht="15.75" customHeight="1">
      <c r="A48" s="11" t="s">
        <v>85</v>
      </c>
      <c r="B48" s="205" t="s">
        <v>2094</v>
      </c>
      <c r="C48" s="69" t="str">
        <f t="shared" si="5"/>
        <v>Terça-Feira</v>
      </c>
      <c r="D48" s="445" t="str">
        <f>IF(C48&lt;&gt;"Quarta-Feira","15:40","10:40")</f>
        <v>15:40</v>
      </c>
      <c r="E48" s="214" t="s">
        <v>3440</v>
      </c>
      <c r="F48" s="79">
        <v>7.05004850855151E14</v>
      </c>
      <c r="G48" s="74" t="s">
        <v>3441</v>
      </c>
      <c r="H48" s="72">
        <v>18659.0</v>
      </c>
      <c r="I48" s="30" t="s">
        <v>41</v>
      </c>
      <c r="J48" s="274"/>
      <c r="K48" s="274"/>
      <c r="L48" s="197" t="s">
        <v>576</v>
      </c>
      <c r="R48" s="62"/>
    </row>
    <row r="49" ht="15.75" customHeight="1">
      <c r="A49" s="11" t="s">
        <v>87</v>
      </c>
      <c r="B49" s="205" t="s">
        <v>2095</v>
      </c>
      <c r="C49" s="69" t="str">
        <f t="shared" si="5"/>
        <v>Terça-Feira</v>
      </c>
      <c r="D49" s="445" t="str">
        <f>IF(C49&lt;&gt;"Quarta-Feira","16:00","11:00")</f>
        <v>16:00</v>
      </c>
      <c r="E49" s="214" t="s">
        <v>3033</v>
      </c>
      <c r="F49" s="79">
        <v>2.01539090260001E14</v>
      </c>
      <c r="G49" s="74" t="s">
        <v>3034</v>
      </c>
      <c r="H49" s="72">
        <v>20612.0</v>
      </c>
      <c r="I49" s="18"/>
      <c r="J49" s="336"/>
      <c r="K49" s="274"/>
      <c r="R49" s="62"/>
    </row>
    <row r="50" ht="15.75" customHeight="1">
      <c r="A50" s="11" t="s">
        <v>90</v>
      </c>
      <c r="B50" s="205" t="s">
        <v>2097</v>
      </c>
      <c r="C50" s="69" t="str">
        <f t="shared" si="5"/>
        <v>Terça-Feira</v>
      </c>
      <c r="D50" s="445" t="str">
        <f>IF(C50&lt;&gt;"Quarta-Feira","16:20","11:20")</f>
        <v>16:20</v>
      </c>
      <c r="E50" s="214" t="s">
        <v>3442</v>
      </c>
      <c r="F50" s="79">
        <v>7.0040678869575E14</v>
      </c>
      <c r="G50" s="74" t="s">
        <v>3443</v>
      </c>
      <c r="H50" s="274">
        <v>19965.0</v>
      </c>
      <c r="I50" s="18" t="s">
        <v>41</v>
      </c>
      <c r="J50" s="274"/>
      <c r="K50" s="274"/>
      <c r="R50" s="62"/>
    </row>
    <row r="51" ht="15.75" customHeight="1">
      <c r="A51" s="11" t="s">
        <v>93</v>
      </c>
      <c r="B51" s="205" t="s">
        <v>2095</v>
      </c>
      <c r="C51" s="69" t="str">
        <f t="shared" si="5"/>
        <v>Terça-Feira</v>
      </c>
      <c r="D51" s="445" t="str">
        <f>IF(C51&lt;&gt;"Quarta-Feira","16:40","11:40")</f>
        <v>16:40</v>
      </c>
      <c r="E51" s="214"/>
      <c r="F51" s="79"/>
      <c r="G51" s="74"/>
      <c r="H51" s="274"/>
      <c r="I51" s="18"/>
      <c r="J51" s="336"/>
      <c r="K51" s="274"/>
      <c r="R51" s="62"/>
    </row>
    <row r="52" ht="15.75" customHeight="1">
      <c r="E52" s="231"/>
      <c r="J52" s="62"/>
      <c r="K52" s="62"/>
      <c r="R52" s="62"/>
    </row>
    <row r="53" ht="15.75" customHeight="1">
      <c r="E53" s="231"/>
      <c r="J53" s="62"/>
      <c r="K53" s="62"/>
      <c r="R53" s="62"/>
    </row>
    <row r="54" ht="15.75" customHeight="1">
      <c r="E54" s="231"/>
      <c r="J54" s="62"/>
      <c r="K54" s="62"/>
      <c r="R54" s="62"/>
    </row>
    <row r="55" ht="15.75" customHeight="1">
      <c r="A55" s="20" t="s">
        <v>18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14/05/2026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23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205" t="s">
        <v>1789</v>
      </c>
      <c r="C58" s="69" t="str">
        <f t="shared" ref="C58:C69" si="7">PROPER(TEXT(DATE(MID($A$56,7,4),MID($A$56,4,2),LEFT($A$56,2)),"dddd"))</f>
        <v>Quinta-Feira</v>
      </c>
      <c r="D58" s="445" t="str">
        <f>IF(C58&lt;&gt;"Quarta-Feira","13:00","08:00")</f>
        <v>13:00</v>
      </c>
      <c r="E58" s="214" t="s">
        <v>3444</v>
      </c>
      <c r="F58" s="206">
        <v>7.03407203880414E14</v>
      </c>
      <c r="G58" s="148" t="s">
        <v>3445</v>
      </c>
      <c r="H58" s="150">
        <v>18151.0</v>
      </c>
      <c r="I58" s="18" t="s">
        <v>41</v>
      </c>
      <c r="J58" s="212"/>
      <c r="K58" s="212"/>
      <c r="L58" s="197" t="s">
        <v>520</v>
      </c>
      <c r="N58" s="237" t="s">
        <v>386</v>
      </c>
      <c r="O58" s="95"/>
      <c r="P58" s="95"/>
      <c r="Q58" s="95"/>
      <c r="R58" s="62"/>
    </row>
    <row r="59" ht="15.75" customHeight="1">
      <c r="A59" s="11" t="s">
        <v>11</v>
      </c>
      <c r="B59" s="205" t="s">
        <v>1713</v>
      </c>
      <c r="C59" s="69" t="str">
        <f t="shared" si="7"/>
        <v>Quinta-Feira</v>
      </c>
      <c r="D59" s="445" t="str">
        <f>IF(C59&lt;&gt;"Quarta-Feira","13:20","08:20")</f>
        <v>13:20</v>
      </c>
      <c r="E59" s="214"/>
      <c r="F59" s="387"/>
      <c r="G59" s="148"/>
      <c r="H59" s="150"/>
      <c r="I59" s="18" t="s">
        <v>180</v>
      </c>
      <c r="J59" s="212"/>
      <c r="K59" s="212"/>
      <c r="N59" s="239" t="s">
        <v>2085</v>
      </c>
      <c r="O59" s="2"/>
      <c r="P59" s="2"/>
      <c r="Q59" s="2"/>
      <c r="R59" s="62"/>
    </row>
    <row r="60" ht="15.75" customHeight="1">
      <c r="A60" s="11" t="s">
        <v>12</v>
      </c>
      <c r="B60" s="205" t="s">
        <v>1780</v>
      </c>
      <c r="C60" s="69" t="str">
        <f t="shared" si="7"/>
        <v>Quinta-Feira</v>
      </c>
      <c r="D60" s="445" t="str">
        <f>IF(C60&lt;&gt;"Quarta-Feira","13:40","08:40")</f>
        <v>13:40</v>
      </c>
      <c r="E60" s="214" t="s">
        <v>3446</v>
      </c>
      <c r="F60" s="206">
        <v>8.98001454868696E14</v>
      </c>
      <c r="G60" s="148" t="s">
        <v>3447</v>
      </c>
      <c r="H60" s="150">
        <v>26416.0</v>
      </c>
      <c r="I60" s="18" t="s">
        <v>41</v>
      </c>
      <c r="J60" s="212"/>
      <c r="K60" s="212"/>
      <c r="L60" s="197" t="s">
        <v>520</v>
      </c>
      <c r="N60" s="240" t="s">
        <v>182</v>
      </c>
      <c r="O60" s="241" t="s">
        <v>194</v>
      </c>
      <c r="P60" s="241" t="s">
        <v>180</v>
      </c>
      <c r="Q60" s="241" t="s">
        <v>2087</v>
      </c>
      <c r="R60" s="62"/>
    </row>
    <row r="61" ht="15.75" customHeight="1">
      <c r="A61" s="11" t="s">
        <v>13</v>
      </c>
      <c r="B61" s="205" t="s">
        <v>1720</v>
      </c>
      <c r="C61" s="69" t="str">
        <f t="shared" si="7"/>
        <v>Quinta-Feira</v>
      </c>
      <c r="D61" s="445" t="str">
        <f>IF(C61&lt;&gt;"Quarta-Feira","14:00","09:00")</f>
        <v>14:00</v>
      </c>
      <c r="E61" s="214" t="s">
        <v>3448</v>
      </c>
      <c r="F61" s="206">
        <v>8.01440405045064E14</v>
      </c>
      <c r="G61" s="148" t="s">
        <v>3449</v>
      </c>
      <c r="H61" s="150">
        <v>23886.0</v>
      </c>
      <c r="I61" s="18" t="s">
        <v>41</v>
      </c>
      <c r="J61" s="212"/>
      <c r="K61" s="212"/>
      <c r="L61" s="197" t="s">
        <v>520</v>
      </c>
      <c r="N61" s="244">
        <f t="shared" ref="N61:Q61" si="8">COUNTIFS($I$58:$I$69,N60)</f>
        <v>0</v>
      </c>
      <c r="O61" s="244">
        <f t="shared" si="8"/>
        <v>0</v>
      </c>
      <c r="P61" s="244">
        <f t="shared" si="8"/>
        <v>1</v>
      </c>
      <c r="Q61" s="244">
        <f t="shared" si="8"/>
        <v>0</v>
      </c>
      <c r="R61" s="62"/>
    </row>
    <row r="62" ht="15.75" customHeight="1">
      <c r="A62" s="11" t="s">
        <v>14</v>
      </c>
      <c r="B62" s="205" t="s">
        <v>1795</v>
      </c>
      <c r="C62" s="69" t="str">
        <f t="shared" si="7"/>
        <v>Quinta-Feira</v>
      </c>
      <c r="D62" s="445" t="str">
        <f>IF(C62&lt;&gt;"Quarta-Feira","14:20","09:20")</f>
        <v>14:20</v>
      </c>
      <c r="E62" s="214" t="s">
        <v>3450</v>
      </c>
      <c r="F62" s="206">
        <v>7.02302141122714E14</v>
      </c>
      <c r="G62" s="148" t="s">
        <v>3451</v>
      </c>
      <c r="H62" s="150">
        <v>34658.0</v>
      </c>
      <c r="I62" s="18" t="s">
        <v>41</v>
      </c>
      <c r="J62" s="212"/>
      <c r="K62" s="212"/>
      <c r="R62" s="62"/>
    </row>
    <row r="63" ht="15.75" customHeight="1">
      <c r="A63" s="11" t="s">
        <v>15</v>
      </c>
      <c r="B63" s="205" t="s">
        <v>1789</v>
      </c>
      <c r="C63" s="69" t="str">
        <f t="shared" si="7"/>
        <v>Quinta-Feira</v>
      </c>
      <c r="D63" s="445" t="str">
        <f>IF(C63&lt;&gt;"Quarta-Feira","14:40","09:40")</f>
        <v>14:40</v>
      </c>
      <c r="E63" s="214" t="s">
        <v>1790</v>
      </c>
      <c r="F63" s="387">
        <v>8.0144048185127E14</v>
      </c>
      <c r="G63" s="148" t="s">
        <v>1791</v>
      </c>
      <c r="H63" s="150">
        <v>17835.0</v>
      </c>
      <c r="I63" s="18" t="s">
        <v>41</v>
      </c>
      <c r="J63" s="212"/>
      <c r="K63" s="212"/>
      <c r="L63" s="197" t="s">
        <v>520</v>
      </c>
      <c r="R63" s="62"/>
    </row>
    <row r="64" ht="15.75" customHeight="1">
      <c r="A64" s="11" t="s">
        <v>16</v>
      </c>
      <c r="B64" s="205" t="s">
        <v>2652</v>
      </c>
      <c r="C64" s="69" t="str">
        <f t="shared" si="7"/>
        <v>Quinta-Feira</v>
      </c>
      <c r="D64" s="445" t="str">
        <f>IF(C64&lt;&gt;"Quarta-Feira","15:00","10:00")</f>
        <v>15:00</v>
      </c>
      <c r="E64" s="214" t="s">
        <v>3452</v>
      </c>
      <c r="F64" s="206">
        <v>7.04205707108284E14</v>
      </c>
      <c r="G64" s="148" t="s">
        <v>3453</v>
      </c>
      <c r="H64" s="150">
        <v>23425.0</v>
      </c>
      <c r="I64" s="18" t="s">
        <v>41</v>
      </c>
      <c r="J64" s="212"/>
      <c r="K64" s="212"/>
      <c r="L64" s="197" t="s">
        <v>520</v>
      </c>
      <c r="R64" s="62"/>
    </row>
    <row r="65" ht="15.75" customHeight="1">
      <c r="A65" s="11" t="s">
        <v>17</v>
      </c>
      <c r="B65" s="205" t="s">
        <v>2655</v>
      </c>
      <c r="C65" s="69" t="str">
        <f t="shared" si="7"/>
        <v>Quinta-Feira</v>
      </c>
      <c r="D65" s="445" t="str">
        <f>IF(C65&lt;&gt;"Quarta-Feira","15:20","10:20")</f>
        <v>15:20</v>
      </c>
      <c r="E65" s="214" t="s">
        <v>3454</v>
      </c>
      <c r="F65" s="206">
        <v>7.0800483690912E14</v>
      </c>
      <c r="G65" s="148" t="s">
        <v>3455</v>
      </c>
      <c r="H65" s="150">
        <v>24527.0</v>
      </c>
      <c r="I65" s="18" t="s">
        <v>41</v>
      </c>
      <c r="J65" s="212"/>
      <c r="K65" s="212"/>
      <c r="L65" s="197" t="s">
        <v>520</v>
      </c>
      <c r="R65" s="62"/>
    </row>
    <row r="66" ht="15.75" customHeight="1">
      <c r="A66" s="11" t="s">
        <v>85</v>
      </c>
      <c r="B66" s="205" t="s">
        <v>2658</v>
      </c>
      <c r="C66" s="69" t="str">
        <f t="shared" si="7"/>
        <v>Quinta-Feira</v>
      </c>
      <c r="D66" s="445" t="str">
        <f>IF(C66&lt;&gt;"Quarta-Feira","15:40","10:40")</f>
        <v>15:40</v>
      </c>
      <c r="E66" s="214" t="s">
        <v>3456</v>
      </c>
      <c r="F66" s="206">
        <v>7.06905194742237E14</v>
      </c>
      <c r="G66" s="148" t="s">
        <v>3457</v>
      </c>
      <c r="H66" s="150">
        <v>25169.0</v>
      </c>
      <c r="I66" s="18" t="s">
        <v>41</v>
      </c>
      <c r="J66" s="212"/>
      <c r="K66" s="212"/>
      <c r="R66" s="62"/>
    </row>
    <row r="67" ht="15.75" customHeight="1">
      <c r="A67" s="11" t="s">
        <v>87</v>
      </c>
      <c r="B67" s="205" t="s">
        <v>1734</v>
      </c>
      <c r="C67" s="69" t="str">
        <f t="shared" si="7"/>
        <v>Quinta-Feira</v>
      </c>
      <c r="D67" s="445" t="str">
        <f>IF(C67&lt;&gt;"Quarta-Feira","16:00","11:00")</f>
        <v>16:00</v>
      </c>
      <c r="E67" s="214" t="s">
        <v>3430</v>
      </c>
      <c r="F67" s="206">
        <v>8.01440471118031E14</v>
      </c>
      <c r="G67" s="148" t="s">
        <v>3431</v>
      </c>
      <c r="H67" s="150">
        <v>24839.0</v>
      </c>
      <c r="I67" s="18" t="s">
        <v>41</v>
      </c>
      <c r="J67" s="212"/>
      <c r="K67" s="212"/>
      <c r="L67" s="197" t="s">
        <v>520</v>
      </c>
      <c r="R67" s="62"/>
    </row>
    <row r="68" ht="15.75" customHeight="1">
      <c r="A68" s="11" t="s">
        <v>90</v>
      </c>
      <c r="B68" s="205" t="s">
        <v>2658</v>
      </c>
      <c r="C68" s="69" t="str">
        <f t="shared" si="7"/>
        <v>Quinta-Feira</v>
      </c>
      <c r="D68" s="445" t="str">
        <f>IF(C68&lt;&gt;"Quarta-Feira","16:20","11:20")</f>
        <v>16:20</v>
      </c>
      <c r="E68" s="214" t="s">
        <v>3458</v>
      </c>
      <c r="F68" s="206">
        <v>1.25397632100007E14</v>
      </c>
      <c r="G68" s="148" t="s">
        <v>3459</v>
      </c>
      <c r="H68" s="150">
        <v>28153.0</v>
      </c>
      <c r="I68" s="18" t="s">
        <v>41</v>
      </c>
      <c r="J68" s="212"/>
      <c r="K68" s="212"/>
      <c r="R68" s="62"/>
    </row>
    <row r="69" ht="15.75" customHeight="1">
      <c r="A69" s="11" t="s">
        <v>93</v>
      </c>
      <c r="B69" s="205" t="s">
        <v>1734</v>
      </c>
      <c r="C69" s="69" t="str">
        <f t="shared" si="7"/>
        <v>Quinta-Feira</v>
      </c>
      <c r="D69" s="445" t="str">
        <f>IF(C69&lt;&gt;"Quarta-Feira","16:40","11:40")</f>
        <v>16:40</v>
      </c>
      <c r="E69" s="214" t="s">
        <v>3460</v>
      </c>
      <c r="F69" s="206">
        <v>7.06008824317441E14</v>
      </c>
      <c r="G69" s="148" t="s">
        <v>3461</v>
      </c>
      <c r="H69" s="150">
        <v>31043.0</v>
      </c>
      <c r="I69" s="18" t="s">
        <v>41</v>
      </c>
      <c r="J69" s="212"/>
      <c r="K69" s="212"/>
      <c r="R69" s="62"/>
    </row>
    <row r="70" ht="15.75" customHeight="1">
      <c r="E70" s="231"/>
      <c r="G70" s="197"/>
      <c r="J70" s="62"/>
      <c r="K70" s="62"/>
      <c r="R70" s="62"/>
    </row>
    <row r="71" ht="15.75" customHeight="1">
      <c r="E71" s="231"/>
      <c r="J71" s="62"/>
      <c r="K71" s="62"/>
      <c r="R71" s="62"/>
    </row>
    <row r="72" ht="15.75" customHeight="1">
      <c r="E72" s="231"/>
      <c r="J72" s="62"/>
      <c r="K72" s="62"/>
      <c r="R72" s="62"/>
    </row>
    <row r="73" ht="15.75" customHeight="1">
      <c r="A73" s="350" t="s">
        <v>18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TEXT(DATE(VALUE(MID(A38,7,4)),VALUE(MID(A38,4,2)),VALUE(LEFT(A38,2)))+7,"dd/mm/yyyy")&amp;" 13h às 17h"</f>
        <v>19/05/2026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410"/>
      <c r="B75" s="411" t="s">
        <v>3</v>
      </c>
      <c r="C75" s="412" t="s">
        <v>2</v>
      </c>
      <c r="D75" s="413" t="s">
        <v>5</v>
      </c>
      <c r="E75" s="461" t="s">
        <v>19</v>
      </c>
      <c r="F75" s="413" t="s">
        <v>6</v>
      </c>
      <c r="G75" s="414" t="s">
        <v>7</v>
      </c>
      <c r="H75" s="415" t="s">
        <v>8</v>
      </c>
      <c r="I75" s="416" t="s">
        <v>20</v>
      </c>
      <c r="J75" s="413" t="s">
        <v>21</v>
      </c>
      <c r="K75" s="413" t="s">
        <v>22</v>
      </c>
      <c r="R75" s="62"/>
    </row>
    <row r="76" ht="15.75" customHeight="1">
      <c r="A76" s="417" t="s">
        <v>10</v>
      </c>
      <c r="B76" s="205" t="s">
        <v>2081</v>
      </c>
      <c r="C76" s="206" t="str">
        <f t="shared" ref="C76:C87" si="9">PROPER(TEXT(DATE(MID($A$74,7,4),MID($A$74,4,2),LEFT($A$74,2)),"dddd"))</f>
        <v>Terça-Feira</v>
      </c>
      <c r="D76" s="445" t="str">
        <f>IF(C76&lt;&gt;"Quarta-Feira","13:00","08:00")</f>
        <v>13:00</v>
      </c>
      <c r="E76" s="418" t="s">
        <v>3462</v>
      </c>
      <c r="F76" s="127">
        <v>8.98000082161854E14</v>
      </c>
      <c r="G76" s="186" t="s">
        <v>3463</v>
      </c>
      <c r="H76" s="153">
        <v>20290.0</v>
      </c>
      <c r="I76" s="29" t="s">
        <v>41</v>
      </c>
      <c r="J76" s="289"/>
      <c r="K76" s="289"/>
      <c r="N76" s="237" t="s">
        <v>386</v>
      </c>
      <c r="O76" s="95"/>
      <c r="P76" s="95"/>
      <c r="Q76" s="95"/>
      <c r="R76" s="62"/>
    </row>
    <row r="77" ht="15.75" customHeight="1">
      <c r="A77" s="417" t="s">
        <v>11</v>
      </c>
      <c r="B77" s="205" t="s">
        <v>2083</v>
      </c>
      <c r="C77" s="206" t="str">
        <f t="shared" si="9"/>
        <v>Terça-Feira</v>
      </c>
      <c r="D77" s="445" t="str">
        <f>IF(C77&lt;&gt;"Quarta-Feira","13:20","08:20")</f>
        <v>13:20</v>
      </c>
      <c r="E77" s="419" t="s">
        <v>3464</v>
      </c>
      <c r="F77" s="127">
        <v>8.01440421486185E14</v>
      </c>
      <c r="G77" s="186" t="s">
        <v>3465</v>
      </c>
      <c r="H77" s="153">
        <v>27470.0</v>
      </c>
      <c r="I77" s="29" t="s">
        <v>41</v>
      </c>
      <c r="J77" s="289"/>
      <c r="K77" s="289"/>
      <c r="N77" s="239" t="s">
        <v>2085</v>
      </c>
      <c r="O77" s="2"/>
      <c r="P77" s="2"/>
      <c r="Q77" s="2"/>
      <c r="R77" s="62"/>
    </row>
    <row r="78" ht="15.75" customHeight="1">
      <c r="A78" s="417" t="s">
        <v>12</v>
      </c>
      <c r="B78" s="205" t="s">
        <v>2086</v>
      </c>
      <c r="C78" s="206" t="str">
        <f t="shared" si="9"/>
        <v>Terça-Feira</v>
      </c>
      <c r="D78" s="445" t="str">
        <f>IF(C78&lt;&gt;"Quarta-Feira","13:40","08:40")</f>
        <v>13:40</v>
      </c>
      <c r="E78" s="418" t="s">
        <v>3466</v>
      </c>
      <c r="F78" s="127">
        <v>7.0500164931045E14</v>
      </c>
      <c r="G78" s="186" t="s">
        <v>3467</v>
      </c>
      <c r="H78" s="153">
        <v>15775.0</v>
      </c>
      <c r="I78" s="29" t="s">
        <v>2087</v>
      </c>
      <c r="J78" s="289"/>
      <c r="K78" s="289"/>
      <c r="N78" s="240" t="s">
        <v>182</v>
      </c>
      <c r="O78" s="241" t="s">
        <v>194</v>
      </c>
      <c r="P78" s="241" t="s">
        <v>180</v>
      </c>
      <c r="Q78" s="242" t="s">
        <v>2087</v>
      </c>
      <c r="R78" s="62"/>
    </row>
    <row r="79" ht="15.75" customHeight="1">
      <c r="A79" s="417" t="s">
        <v>13</v>
      </c>
      <c r="B79" s="205" t="s">
        <v>2088</v>
      </c>
      <c r="C79" s="206" t="str">
        <f t="shared" si="9"/>
        <v>Terça-Feira</v>
      </c>
      <c r="D79" s="445" t="str">
        <f>IF(C79&lt;&gt;"Quarta-Feira","14:00","09:00")</f>
        <v>14:00</v>
      </c>
      <c r="E79" s="418" t="s">
        <v>3468</v>
      </c>
      <c r="F79" s="127">
        <v>7.0080143081468E14</v>
      </c>
      <c r="G79" s="186" t="s">
        <v>3469</v>
      </c>
      <c r="H79" s="153">
        <v>27919.0</v>
      </c>
      <c r="I79" s="29" t="s">
        <v>41</v>
      </c>
      <c r="J79" s="289"/>
      <c r="K79" s="289"/>
      <c r="N79" s="244">
        <f t="shared" ref="N79:Q79" si="10">COUNTIFS($I$76:$I$87,N78)</f>
        <v>0</v>
      </c>
      <c r="O79" s="244">
        <f t="shared" si="10"/>
        <v>0</v>
      </c>
      <c r="P79" s="244">
        <f t="shared" si="10"/>
        <v>0</v>
      </c>
      <c r="Q79" s="244">
        <f t="shared" si="10"/>
        <v>1</v>
      </c>
      <c r="R79" s="62"/>
    </row>
    <row r="80" ht="15.75" customHeight="1">
      <c r="A80" s="417" t="s">
        <v>14</v>
      </c>
      <c r="B80" s="205" t="s">
        <v>2081</v>
      </c>
      <c r="C80" s="206" t="str">
        <f t="shared" si="9"/>
        <v>Terça-Feira</v>
      </c>
      <c r="D80" s="445" t="str">
        <f>IF(C80&lt;&gt;"Quarta-Feira","14:20","09:20")</f>
        <v>14:20</v>
      </c>
      <c r="E80" s="420" t="s">
        <v>3470</v>
      </c>
      <c r="F80" s="127">
        <v>7.07601218968695E14</v>
      </c>
      <c r="G80" s="186" t="s">
        <v>3471</v>
      </c>
      <c r="H80" s="156">
        <v>27990.0</v>
      </c>
      <c r="I80" s="29" t="s">
        <v>41</v>
      </c>
      <c r="J80" s="69"/>
      <c r="K80" s="289"/>
      <c r="R80" s="62"/>
    </row>
    <row r="81" ht="15.75" customHeight="1">
      <c r="A81" s="417" t="s">
        <v>15</v>
      </c>
      <c r="B81" s="205" t="s">
        <v>2088</v>
      </c>
      <c r="C81" s="206" t="str">
        <f t="shared" si="9"/>
        <v>Terça-Feira</v>
      </c>
      <c r="D81" s="445" t="str">
        <f>IF(C81&lt;&gt;"Quarta-Feira","14:40","09:40")</f>
        <v>14:40</v>
      </c>
      <c r="E81" s="420" t="s">
        <v>3472</v>
      </c>
      <c r="F81" s="127">
        <v>7.0610300721616E14</v>
      </c>
      <c r="G81" s="186" t="s">
        <v>3473</v>
      </c>
      <c r="H81" s="153">
        <v>26489.0</v>
      </c>
      <c r="I81" s="29" t="s">
        <v>41</v>
      </c>
      <c r="J81" s="289"/>
      <c r="K81" s="289"/>
      <c r="R81" s="62"/>
    </row>
    <row r="82" ht="15.75" customHeight="1">
      <c r="A82" s="417" t="s">
        <v>16</v>
      </c>
      <c r="B82" s="205" t="s">
        <v>2092</v>
      </c>
      <c r="C82" s="206" t="str">
        <f t="shared" si="9"/>
        <v>Terça-Feira</v>
      </c>
      <c r="D82" s="445" t="str">
        <f>IF(C82&lt;&gt;"Quarta-Feira","15:00","10:00")</f>
        <v>15:00</v>
      </c>
      <c r="E82" s="420"/>
      <c r="F82" s="127"/>
      <c r="G82" s="186"/>
      <c r="H82" s="153"/>
      <c r="I82" s="29"/>
      <c r="J82" s="289"/>
      <c r="K82" s="289"/>
      <c r="R82" s="62"/>
    </row>
    <row r="83" ht="15.75" customHeight="1">
      <c r="A83" s="417" t="s">
        <v>17</v>
      </c>
      <c r="B83" s="205" t="s">
        <v>2093</v>
      </c>
      <c r="C83" s="206" t="str">
        <f t="shared" si="9"/>
        <v>Terça-Feira</v>
      </c>
      <c r="D83" s="445" t="str">
        <f>IF(C83&lt;&gt;"Quarta-Feira","15:20","10:20")</f>
        <v>15:20</v>
      </c>
      <c r="E83" s="420" t="s">
        <v>3474</v>
      </c>
      <c r="F83" s="127">
        <v>7.06807221261128E14</v>
      </c>
      <c r="G83" s="186" t="s">
        <v>3475</v>
      </c>
      <c r="H83" s="153">
        <v>33576.0</v>
      </c>
      <c r="I83" s="29" t="s">
        <v>41</v>
      </c>
      <c r="J83" s="289"/>
      <c r="K83" s="289"/>
      <c r="R83" s="62"/>
    </row>
    <row r="84" ht="16.5" customHeight="1">
      <c r="A84" s="417" t="s">
        <v>85</v>
      </c>
      <c r="B84" s="205" t="s">
        <v>2094</v>
      </c>
      <c r="C84" s="206" t="str">
        <f t="shared" si="9"/>
        <v>Terça-Feira</v>
      </c>
      <c r="D84" s="445" t="str">
        <f>IF(C84&lt;&gt;"Quarta-Feira","15:40","10:40")</f>
        <v>15:40</v>
      </c>
      <c r="E84" s="420" t="s">
        <v>3476</v>
      </c>
      <c r="F84" s="127">
        <v>7.0850730714117E14</v>
      </c>
      <c r="G84" s="186" t="s">
        <v>3477</v>
      </c>
      <c r="H84" s="153">
        <v>17620.0</v>
      </c>
      <c r="I84" s="29" t="s">
        <v>41</v>
      </c>
      <c r="J84" s="289"/>
      <c r="K84" s="289"/>
      <c r="R84" s="62"/>
    </row>
    <row r="85" ht="15.75" customHeight="1">
      <c r="A85" s="417" t="s">
        <v>87</v>
      </c>
      <c r="B85" s="205" t="s">
        <v>2095</v>
      </c>
      <c r="C85" s="206" t="str">
        <f t="shared" si="9"/>
        <v>Terça-Feira</v>
      </c>
      <c r="D85" s="445" t="str">
        <f>IF(C85&lt;&gt;"Quarta-Feira","16:00","11:00")</f>
        <v>16:00</v>
      </c>
      <c r="E85" s="418"/>
      <c r="F85" s="127"/>
      <c r="G85" s="186"/>
      <c r="H85" s="153"/>
      <c r="I85" s="29"/>
      <c r="J85" s="289"/>
      <c r="K85" s="423"/>
      <c r="R85" s="62"/>
    </row>
    <row r="86" ht="15.75" customHeight="1">
      <c r="A86" s="417" t="s">
        <v>90</v>
      </c>
      <c r="B86" s="205" t="s">
        <v>2097</v>
      </c>
      <c r="C86" s="206" t="str">
        <f t="shared" si="9"/>
        <v>Terça-Feira</v>
      </c>
      <c r="D86" s="445" t="str">
        <f>IF(C86&lt;&gt;"Quarta-Feira","16:20","11:20")</f>
        <v>16:20</v>
      </c>
      <c r="E86" s="420" t="s">
        <v>3478</v>
      </c>
      <c r="F86" s="295">
        <v>8.98002117854526E14</v>
      </c>
      <c r="G86" s="186" t="s">
        <v>3479</v>
      </c>
      <c r="H86" s="462">
        <v>19134.0</v>
      </c>
      <c r="I86" s="29" t="s">
        <v>41</v>
      </c>
      <c r="J86" s="423"/>
      <c r="K86" s="423"/>
      <c r="R86" s="62"/>
    </row>
    <row r="87" ht="15.75" customHeight="1">
      <c r="A87" s="417" t="s">
        <v>93</v>
      </c>
      <c r="B87" s="205" t="s">
        <v>2095</v>
      </c>
      <c r="C87" s="206" t="str">
        <f t="shared" si="9"/>
        <v>Terça-Feira</v>
      </c>
      <c r="D87" s="445" t="str">
        <f>IF(C87&lt;&gt;"Quarta-Feira","16:40","11:40")</f>
        <v>16:40</v>
      </c>
      <c r="E87" s="418"/>
      <c r="F87" s="295"/>
      <c r="G87" s="423"/>
      <c r="H87" s="153"/>
      <c r="I87" s="29"/>
      <c r="J87" s="295"/>
      <c r="K87" s="339"/>
      <c r="R87" s="62"/>
    </row>
    <row r="88" ht="15.75" customHeight="1">
      <c r="E88" s="231"/>
      <c r="J88" s="62"/>
      <c r="K88" s="62"/>
      <c r="R88" s="62"/>
    </row>
    <row r="89" ht="15.75" customHeight="1">
      <c r="E89" s="231"/>
      <c r="J89" s="62"/>
      <c r="K89" s="62"/>
      <c r="R89" s="62"/>
    </row>
    <row r="90" ht="15.75" customHeight="1">
      <c r="E90" s="231"/>
      <c r="J90" s="62"/>
      <c r="K90" s="62"/>
      <c r="R90" s="62"/>
    </row>
    <row r="91" ht="15.75" customHeight="1">
      <c r="A91" s="20" t="s">
        <v>18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13h às 17h"</f>
        <v>21/05/2026 13h às 17h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23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5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1789</v>
      </c>
      <c r="C94" s="69" t="str">
        <f t="shared" ref="C94:C105" si="11">PROPER(TEXT(DATE(MID($A$92,7,4),MID($A$92,4,2),LEFT($A$92,2)),"dddd"))</f>
        <v>Quinta-Feira</v>
      </c>
      <c r="D94" s="445" t="str">
        <f>IF(C94&lt;&gt;"Quarta-Feira","13:00","08:00")</f>
        <v>13:00</v>
      </c>
      <c r="E94" s="218" t="s">
        <v>2209</v>
      </c>
      <c r="F94" s="149">
        <v>7.07006899165335E14</v>
      </c>
      <c r="G94" s="148" t="s">
        <v>2210</v>
      </c>
      <c r="H94" s="344">
        <v>17220.0</v>
      </c>
      <c r="I94" s="18" t="s">
        <v>41</v>
      </c>
      <c r="J94" s="212"/>
      <c r="K94" s="212"/>
      <c r="N94" s="237" t="s">
        <v>386</v>
      </c>
      <c r="O94" s="95"/>
      <c r="P94" s="95"/>
      <c r="Q94" s="95"/>
      <c r="R94" s="62"/>
    </row>
    <row r="95" ht="21.0" customHeight="1">
      <c r="A95" s="11" t="s">
        <v>11</v>
      </c>
      <c r="B95" s="205" t="s">
        <v>1713</v>
      </c>
      <c r="C95" s="69" t="str">
        <f t="shared" si="11"/>
        <v>Quinta-Feira</v>
      </c>
      <c r="D95" s="445" t="str">
        <f>IF(C95&lt;&gt;"Quarta-Feira","13:20","08:20")</f>
        <v>13:20</v>
      </c>
      <c r="E95" s="218"/>
      <c r="F95" s="425"/>
      <c r="G95" s="148"/>
      <c r="H95" s="437"/>
      <c r="I95" s="18" t="s">
        <v>180</v>
      </c>
      <c r="J95" s="212"/>
      <c r="K95" s="212"/>
      <c r="N95" s="239" t="s">
        <v>2085</v>
      </c>
      <c r="O95" s="2"/>
      <c r="P95" s="2"/>
      <c r="Q95" s="2"/>
      <c r="R95" s="62"/>
    </row>
    <row r="96" ht="15.75" customHeight="1">
      <c r="A96" s="11" t="s">
        <v>12</v>
      </c>
      <c r="B96" s="205" t="s">
        <v>1780</v>
      </c>
      <c r="C96" s="69" t="str">
        <f t="shared" si="11"/>
        <v>Quinta-Feira</v>
      </c>
      <c r="D96" s="445" t="str">
        <f>IF(C96&lt;&gt;"Quarta-Feira","13:40","08:40")</f>
        <v>13:40</v>
      </c>
      <c r="E96" s="218" t="s">
        <v>3480</v>
      </c>
      <c r="F96" s="149">
        <v>7.08109529069838E14</v>
      </c>
      <c r="G96" s="148" t="s">
        <v>3481</v>
      </c>
      <c r="H96" s="344">
        <v>33300.0</v>
      </c>
      <c r="I96" s="18" t="s">
        <v>2566</v>
      </c>
      <c r="J96" s="212"/>
      <c r="K96" s="212"/>
      <c r="N96" s="240" t="s">
        <v>182</v>
      </c>
      <c r="O96" s="241" t="s">
        <v>194</v>
      </c>
      <c r="P96" s="241" t="s">
        <v>180</v>
      </c>
      <c r="Q96" s="242" t="s">
        <v>2087</v>
      </c>
      <c r="R96" s="62"/>
    </row>
    <row r="97" ht="15.75" customHeight="1">
      <c r="A97" s="11" t="s">
        <v>13</v>
      </c>
      <c r="B97" s="205" t="s">
        <v>1720</v>
      </c>
      <c r="C97" s="69" t="str">
        <f t="shared" si="11"/>
        <v>Quinta-Feira</v>
      </c>
      <c r="D97" s="445" t="str">
        <f>IF(C97&lt;&gt;"Quarta-Feira","14:00","09:00")</f>
        <v>14:00</v>
      </c>
      <c r="E97" s="218" t="s">
        <v>3482</v>
      </c>
      <c r="F97" s="206">
        <v>7.06803796834821E14</v>
      </c>
      <c r="G97" s="205" t="s">
        <v>3483</v>
      </c>
      <c r="H97" s="432">
        <v>19395.0</v>
      </c>
      <c r="I97" s="18" t="s">
        <v>41</v>
      </c>
      <c r="J97" s="212"/>
      <c r="K97" s="212"/>
      <c r="N97" s="244">
        <f t="shared" ref="N97:Q97" si="12">COUNTIFS($I$94:$I$105,N96)</f>
        <v>0</v>
      </c>
      <c r="O97" s="244">
        <f t="shared" si="12"/>
        <v>0</v>
      </c>
      <c r="P97" s="244">
        <f t="shared" si="12"/>
        <v>1</v>
      </c>
      <c r="Q97" s="244">
        <f t="shared" si="12"/>
        <v>0</v>
      </c>
      <c r="R97" s="62"/>
    </row>
    <row r="98" ht="15.75" customHeight="1">
      <c r="A98" s="11" t="s">
        <v>14</v>
      </c>
      <c r="B98" s="205" t="s">
        <v>1795</v>
      </c>
      <c r="C98" s="69" t="str">
        <f t="shared" si="11"/>
        <v>Quinta-Feira</v>
      </c>
      <c r="D98" s="445" t="str">
        <f>IF(C98&lt;&gt;"Quarta-Feira","14:20","09:20")</f>
        <v>14:20</v>
      </c>
      <c r="E98" s="218" t="s">
        <v>3484</v>
      </c>
      <c r="F98" s="149">
        <v>7.00602418555363E14</v>
      </c>
      <c r="G98" s="148" t="s">
        <v>3485</v>
      </c>
      <c r="H98" s="344">
        <v>21644.0</v>
      </c>
      <c r="I98" s="18" t="s">
        <v>41</v>
      </c>
      <c r="J98" s="212"/>
      <c r="K98" s="212"/>
      <c r="R98" s="62"/>
    </row>
    <row r="99" ht="15.75" customHeight="1">
      <c r="A99" s="11" t="s">
        <v>15</v>
      </c>
      <c r="B99" s="205" t="s">
        <v>1789</v>
      </c>
      <c r="C99" s="69" t="str">
        <f t="shared" si="11"/>
        <v>Quinta-Feira</v>
      </c>
      <c r="D99" s="445" t="str">
        <f>IF(C99&lt;&gt;"Quarta-Feira","14:40","09:40")</f>
        <v>14:40</v>
      </c>
      <c r="E99" s="218" t="s">
        <v>3486</v>
      </c>
      <c r="F99" s="149">
        <v>8.0144040498886E14</v>
      </c>
      <c r="G99" s="148" t="s">
        <v>3487</v>
      </c>
      <c r="H99" s="344">
        <v>16572.0</v>
      </c>
      <c r="I99" s="18" t="s">
        <v>41</v>
      </c>
      <c r="J99" s="212"/>
      <c r="K99" s="212"/>
      <c r="R99" s="62"/>
    </row>
    <row r="100" ht="15.75" customHeight="1">
      <c r="A100" s="11" t="s">
        <v>16</v>
      </c>
      <c r="B100" s="205" t="s">
        <v>2652</v>
      </c>
      <c r="C100" s="69" t="str">
        <f t="shared" si="11"/>
        <v>Quinta-Feira</v>
      </c>
      <c r="D100" s="445" t="str">
        <f>IF(C100&lt;&gt;"Quarta-Feira","15:00","10:00")</f>
        <v>15:00</v>
      </c>
      <c r="E100" s="218" t="s">
        <v>3488</v>
      </c>
      <c r="F100" s="149">
        <v>8.98050047501989E14</v>
      </c>
      <c r="G100" s="148" t="s">
        <v>3489</v>
      </c>
      <c r="H100" s="344">
        <v>18782.0</v>
      </c>
      <c r="I100" s="18" t="s">
        <v>41</v>
      </c>
      <c r="J100" s="212"/>
      <c r="K100" s="212"/>
      <c r="R100" s="62"/>
    </row>
    <row r="101" ht="15.75" customHeight="1">
      <c r="A101" s="11" t="s">
        <v>17</v>
      </c>
      <c r="B101" s="205" t="s">
        <v>2655</v>
      </c>
      <c r="C101" s="69" t="str">
        <f t="shared" si="11"/>
        <v>Quinta-Feira</v>
      </c>
      <c r="D101" s="445" t="str">
        <f>IF(C101&lt;&gt;"Quarta-Feira","15:20","10:20")</f>
        <v>15:20</v>
      </c>
      <c r="E101" s="218" t="s">
        <v>3490</v>
      </c>
      <c r="F101" s="149">
        <v>2.01538911860006E14</v>
      </c>
      <c r="G101" s="148" t="s">
        <v>3491</v>
      </c>
      <c r="H101" s="344">
        <v>21843.0</v>
      </c>
      <c r="I101" s="18" t="s">
        <v>41</v>
      </c>
      <c r="J101" s="212"/>
      <c r="K101" s="212"/>
      <c r="R101" s="62"/>
    </row>
    <row r="102" ht="15.75" customHeight="1">
      <c r="A102" s="11" t="s">
        <v>85</v>
      </c>
      <c r="B102" s="205" t="s">
        <v>2658</v>
      </c>
      <c r="C102" s="69" t="str">
        <f t="shared" si="11"/>
        <v>Quinta-Feira</v>
      </c>
      <c r="D102" s="445" t="str">
        <f>IF(C102&lt;&gt;"Quarta-Feira","15:40","10:40")</f>
        <v>15:40</v>
      </c>
      <c r="E102" s="218" t="s">
        <v>3492</v>
      </c>
      <c r="F102" s="149">
        <v>8.98001460485086E14</v>
      </c>
      <c r="G102" s="148" t="s">
        <v>3493</v>
      </c>
      <c r="H102" s="344">
        <v>18253.0</v>
      </c>
      <c r="I102" s="18" t="s">
        <v>41</v>
      </c>
      <c r="J102" s="212"/>
      <c r="K102" s="212"/>
      <c r="R102" s="62"/>
      <c r="V102" s="292"/>
    </row>
    <row r="103" ht="15.75" customHeight="1">
      <c r="A103" s="11" t="s">
        <v>87</v>
      </c>
      <c r="B103" s="205" t="s">
        <v>1734</v>
      </c>
      <c r="C103" s="69" t="str">
        <f t="shared" si="11"/>
        <v>Quinta-Feira</v>
      </c>
      <c r="D103" s="445" t="str">
        <f>IF(C103&lt;&gt;"Quarta-Feira","16:00","11:00")</f>
        <v>16:00</v>
      </c>
      <c r="E103" s="218" t="s">
        <v>3494</v>
      </c>
      <c r="F103" s="149">
        <v>7.0500828262565E14</v>
      </c>
      <c r="G103" s="197" t="s">
        <v>3495</v>
      </c>
      <c r="H103" s="344">
        <v>28537.0</v>
      </c>
      <c r="I103" s="18" t="s">
        <v>41</v>
      </c>
      <c r="J103" s="212"/>
      <c r="K103" s="212"/>
      <c r="R103" s="62"/>
    </row>
    <row r="104" ht="15.75" customHeight="1">
      <c r="A104" s="11" t="s">
        <v>90</v>
      </c>
      <c r="B104" s="205" t="s">
        <v>2658</v>
      </c>
      <c r="C104" s="69" t="str">
        <f t="shared" si="11"/>
        <v>Quinta-Feira</v>
      </c>
      <c r="D104" s="445" t="str">
        <f>IF(C104&lt;&gt;"Quarta-Feira","16:20","11:20")</f>
        <v>16:20</v>
      </c>
      <c r="E104" s="218" t="s">
        <v>3496</v>
      </c>
      <c r="F104" s="149">
        <v>7.034036514304E14</v>
      </c>
      <c r="G104" s="148" t="s">
        <v>3497</v>
      </c>
      <c r="H104" s="344">
        <v>19943.0</v>
      </c>
      <c r="I104" s="18"/>
      <c r="J104" s="212"/>
      <c r="K104" s="212"/>
      <c r="R104" s="62"/>
    </row>
    <row r="105" ht="15.75" customHeight="1">
      <c r="A105" s="11" t="s">
        <v>93</v>
      </c>
      <c r="B105" s="205" t="s">
        <v>1734</v>
      </c>
      <c r="C105" s="69" t="str">
        <f t="shared" si="11"/>
        <v>Quinta-Feira</v>
      </c>
      <c r="D105" s="445" t="str">
        <f>IF(C105&lt;&gt;"Quarta-Feira","16:40","11:40")</f>
        <v>16:40</v>
      </c>
      <c r="E105" s="218" t="s">
        <v>3498</v>
      </c>
      <c r="F105" s="149">
        <v>8.98001451084368E14</v>
      </c>
      <c r="G105" s="148" t="s">
        <v>3499</v>
      </c>
      <c r="H105" s="344">
        <v>31287.0</v>
      </c>
      <c r="I105" s="18"/>
      <c r="J105" s="212"/>
      <c r="K105" s="212"/>
      <c r="R105" s="62"/>
    </row>
    <row r="106" ht="15.75" customHeight="1">
      <c r="E106" s="231"/>
      <c r="J106" s="62"/>
      <c r="K106" s="62"/>
      <c r="R106" s="62"/>
    </row>
    <row r="107" ht="15.75" customHeight="1">
      <c r="E107" s="231"/>
      <c r="J107" s="62"/>
      <c r="K107" s="62"/>
      <c r="R107" s="62"/>
    </row>
    <row r="108" ht="15.75" customHeight="1">
      <c r="E108" s="231"/>
      <c r="J108" s="62"/>
      <c r="K108" s="62"/>
      <c r="R108" s="62"/>
    </row>
    <row r="109" ht="15.75" customHeight="1">
      <c r="A109" s="20" t="s">
        <v>18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TEXT(DATE(VALUE(MID(A74,7,4)),VALUE(MID(A74,4,2)),VALUE(LEFT(A74,2)))+7,"dd/mm/yyyy")&amp;" 13h às 17h"</f>
        <v>26/05/2026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23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2081</v>
      </c>
      <c r="C112" s="69" t="str">
        <f t="shared" ref="C112:C123" si="13">PROPER(TEXT(DATE(MID($A$110,7,4),MID($A$110,4,2),LEFT($A$110,2)),"dddd"))</f>
        <v>Terça-Feira</v>
      </c>
      <c r="D112" s="445" t="str">
        <f>IF(C112&lt;&gt;"Quarta-Feira","13:00","08:00")</f>
        <v>13:00</v>
      </c>
      <c r="E112" s="253" t="s">
        <v>3500</v>
      </c>
      <c r="F112" s="69">
        <v>7.06202026770567E14</v>
      </c>
      <c r="G112" s="154" t="s">
        <v>3501</v>
      </c>
      <c r="H112" s="193">
        <v>30677.0</v>
      </c>
      <c r="I112" s="18" t="s">
        <v>2087</v>
      </c>
      <c r="J112" s="97"/>
      <c r="K112" s="97"/>
      <c r="N112" s="237" t="s">
        <v>386</v>
      </c>
      <c r="O112" s="95"/>
      <c r="P112" s="95"/>
      <c r="Q112" s="95"/>
      <c r="R112" s="62"/>
    </row>
    <row r="113" ht="15.75" customHeight="1">
      <c r="A113" s="11" t="s">
        <v>11</v>
      </c>
      <c r="B113" s="205" t="s">
        <v>2083</v>
      </c>
      <c r="C113" s="69" t="str">
        <f t="shared" si="13"/>
        <v>Terça-Feira</v>
      </c>
      <c r="D113" s="445" t="str">
        <f>IF(C113&lt;&gt;"Quarta-Feira","13:20","08:20")</f>
        <v>13:20</v>
      </c>
      <c r="E113" s="253"/>
      <c r="F113" s="69"/>
      <c r="G113" s="154" t="s">
        <v>3502</v>
      </c>
      <c r="H113" s="193"/>
      <c r="I113" s="18" t="s">
        <v>41</v>
      </c>
      <c r="J113" s="97"/>
      <c r="K113" s="97"/>
      <c r="N113" s="239" t="s">
        <v>2085</v>
      </c>
      <c r="O113" s="2"/>
      <c r="P113" s="2"/>
      <c r="Q113" s="2"/>
      <c r="R113" s="62"/>
    </row>
    <row r="114" ht="15.75" customHeight="1">
      <c r="A114" s="11" t="s">
        <v>12</v>
      </c>
      <c r="B114" s="205" t="s">
        <v>2086</v>
      </c>
      <c r="C114" s="69" t="str">
        <f t="shared" si="13"/>
        <v>Terça-Feira</v>
      </c>
      <c r="D114" s="445" t="str">
        <f>IF(C114&lt;&gt;"Quarta-Feira","13:40","08:40")</f>
        <v>13:40</v>
      </c>
      <c r="E114" s="253" t="s">
        <v>3503</v>
      </c>
      <c r="F114" s="69">
        <v>7.0470300219834E14</v>
      </c>
      <c r="G114" s="154" t="s">
        <v>252</v>
      </c>
      <c r="H114" s="193">
        <v>21663.0</v>
      </c>
      <c r="I114" s="18" t="s">
        <v>41</v>
      </c>
      <c r="J114" s="97"/>
      <c r="K114" s="97"/>
      <c r="N114" s="240" t="s">
        <v>182</v>
      </c>
      <c r="O114" s="241" t="s">
        <v>194</v>
      </c>
      <c r="P114" s="241" t="s">
        <v>180</v>
      </c>
      <c r="Q114" s="242" t="s">
        <v>2087</v>
      </c>
      <c r="R114" s="62"/>
    </row>
    <row r="115" ht="15.75" customHeight="1">
      <c r="A115" s="11" t="s">
        <v>13</v>
      </c>
      <c r="B115" s="205" t="s">
        <v>2088</v>
      </c>
      <c r="C115" s="69" t="str">
        <f t="shared" si="13"/>
        <v>Terça-Feira</v>
      </c>
      <c r="D115" s="445" t="str">
        <f>IF(C115&lt;&gt;"Quarta-Feira","14:00","09:00")</f>
        <v>14:00</v>
      </c>
      <c r="E115" s="253" t="s">
        <v>3504</v>
      </c>
      <c r="F115" s="69">
        <v>8.01440488193147E14</v>
      </c>
      <c r="G115" s="154" t="s">
        <v>3505</v>
      </c>
      <c r="H115" s="193">
        <v>38826.0</v>
      </c>
      <c r="I115" s="18" t="s">
        <v>41</v>
      </c>
      <c r="J115" s="97"/>
      <c r="K115" s="97"/>
      <c r="N115" s="244">
        <f t="shared" ref="N115:Q115" si="14">COUNTIFS($I$112:$I$123,N114)</f>
        <v>0</v>
      </c>
      <c r="O115" s="244">
        <f t="shared" si="14"/>
        <v>0</v>
      </c>
      <c r="P115" s="244">
        <f t="shared" si="14"/>
        <v>2</v>
      </c>
      <c r="Q115" s="244">
        <f t="shared" si="14"/>
        <v>1</v>
      </c>
      <c r="R115" s="62"/>
    </row>
    <row r="116" ht="15.75" customHeight="1">
      <c r="A116" s="11" t="s">
        <v>14</v>
      </c>
      <c r="B116" s="205" t="s">
        <v>2081</v>
      </c>
      <c r="C116" s="69" t="str">
        <f t="shared" si="13"/>
        <v>Terça-Feira</v>
      </c>
      <c r="D116" s="445" t="str">
        <f>IF(C116&lt;&gt;"Quarta-Feira","14:20","09:20")</f>
        <v>14:20</v>
      </c>
      <c r="E116" s="253"/>
      <c r="F116" s="69"/>
      <c r="G116" s="154"/>
      <c r="H116" s="193"/>
      <c r="I116" s="18"/>
      <c r="J116" s="97"/>
      <c r="K116" s="97"/>
      <c r="R116" s="62"/>
    </row>
    <row r="117" ht="15.75" customHeight="1">
      <c r="A117" s="11" t="s">
        <v>15</v>
      </c>
      <c r="B117" s="205" t="s">
        <v>2088</v>
      </c>
      <c r="C117" s="69" t="str">
        <f t="shared" si="13"/>
        <v>Terça-Feira</v>
      </c>
      <c r="D117" s="445" t="str">
        <f>IF(C117&lt;&gt;"Quarta-Feira","14:40","09:40")</f>
        <v>14:40</v>
      </c>
      <c r="E117" s="253" t="s">
        <v>3506</v>
      </c>
      <c r="F117" s="69">
        <v>7.08405277429669E14</v>
      </c>
      <c r="G117" s="154" t="s">
        <v>3507</v>
      </c>
      <c r="H117" s="193">
        <v>33674.0</v>
      </c>
      <c r="I117" s="18" t="s">
        <v>41</v>
      </c>
      <c r="J117" s="97"/>
      <c r="K117" s="97"/>
      <c r="R117" s="62"/>
    </row>
    <row r="118" ht="15.75" customHeight="1">
      <c r="A118" s="11" t="s">
        <v>16</v>
      </c>
      <c r="B118" s="205" t="s">
        <v>2092</v>
      </c>
      <c r="C118" s="69" t="str">
        <f t="shared" si="13"/>
        <v>Terça-Feira</v>
      </c>
      <c r="D118" s="445" t="str">
        <f>IF(C118&lt;&gt;"Quarta-Feira","15:00","10:00")</f>
        <v>15:00</v>
      </c>
      <c r="E118" s="253"/>
      <c r="F118" s="69"/>
      <c r="G118" s="154"/>
      <c r="H118" s="193"/>
      <c r="I118" s="18" t="s">
        <v>180</v>
      </c>
      <c r="J118" s="97"/>
      <c r="K118" s="97"/>
      <c r="R118" s="62"/>
    </row>
    <row r="119" ht="15.75" customHeight="1">
      <c r="A119" s="11" t="s">
        <v>17</v>
      </c>
      <c r="B119" s="205" t="s">
        <v>2093</v>
      </c>
      <c r="C119" s="69" t="str">
        <f t="shared" si="13"/>
        <v>Terça-Feira</v>
      </c>
      <c r="D119" s="445" t="str">
        <f>IF(C119&lt;&gt;"Quarta-Feira","15:20","10:20")</f>
        <v>15:20</v>
      </c>
      <c r="E119" s="253" t="s">
        <v>3508</v>
      </c>
      <c r="F119" s="69">
        <v>7.02809161663364E14</v>
      </c>
      <c r="G119" s="154" t="s">
        <v>3509</v>
      </c>
      <c r="H119" s="193">
        <v>20876.0</v>
      </c>
      <c r="I119" s="18" t="s">
        <v>41</v>
      </c>
      <c r="J119" s="97"/>
      <c r="K119" s="97"/>
      <c r="R119" s="62"/>
    </row>
    <row r="120" ht="15.75" customHeight="1">
      <c r="A120" s="11" t="s">
        <v>85</v>
      </c>
      <c r="B120" s="205" t="s">
        <v>2094</v>
      </c>
      <c r="C120" s="69" t="str">
        <f t="shared" si="13"/>
        <v>Terça-Feira</v>
      </c>
      <c r="D120" s="445" t="str">
        <f>IF(C120&lt;&gt;"Quarta-Feira","15:40","10:40")</f>
        <v>15:40</v>
      </c>
      <c r="E120" s="253" t="s">
        <v>1771</v>
      </c>
      <c r="F120" s="69">
        <v>7.06409659523386E14</v>
      </c>
      <c r="G120" s="154" t="s">
        <v>1772</v>
      </c>
      <c r="H120" s="193">
        <v>14733.0</v>
      </c>
      <c r="I120" s="18" t="s">
        <v>41</v>
      </c>
      <c r="J120" s="97"/>
      <c r="K120" s="97"/>
      <c r="R120" s="62"/>
    </row>
    <row r="121" ht="15.75" customHeight="1">
      <c r="A121" s="11" t="s">
        <v>87</v>
      </c>
      <c r="B121" s="205" t="s">
        <v>2095</v>
      </c>
      <c r="C121" s="69" t="str">
        <f t="shared" si="13"/>
        <v>Terça-Feira</v>
      </c>
      <c r="D121" s="445" t="str">
        <f>IF(C121&lt;&gt;"Quarta-Feira","16:00","11:00")</f>
        <v>16:00</v>
      </c>
      <c r="E121" s="253" t="s">
        <v>2693</v>
      </c>
      <c r="F121" s="69">
        <v>7.04205769636187E14</v>
      </c>
      <c r="G121" s="197" t="s">
        <v>2694</v>
      </c>
      <c r="H121" s="193">
        <v>16783.0</v>
      </c>
      <c r="I121" s="18"/>
      <c r="J121" s="97"/>
      <c r="K121" s="97"/>
      <c r="R121" s="62"/>
    </row>
    <row r="122" ht="15.75" customHeight="1">
      <c r="A122" s="11" t="s">
        <v>90</v>
      </c>
      <c r="B122" s="205" t="s">
        <v>2097</v>
      </c>
      <c r="C122" s="69" t="str">
        <f t="shared" si="13"/>
        <v>Terça-Feira</v>
      </c>
      <c r="D122" s="445" t="str">
        <f>IF(C122&lt;&gt;"Quarta-Feira","16:20","11:20")</f>
        <v>16:20</v>
      </c>
      <c r="E122" s="253" t="s">
        <v>3510</v>
      </c>
      <c r="F122" s="69">
        <v>8.01440403298321E14</v>
      </c>
      <c r="G122" s="154" t="s">
        <v>3511</v>
      </c>
      <c r="H122" s="193">
        <v>18053.0</v>
      </c>
      <c r="I122" s="18"/>
      <c r="J122" s="97"/>
      <c r="K122" s="97"/>
      <c r="R122" s="62"/>
    </row>
    <row r="123" ht="15.75" customHeight="1">
      <c r="A123" s="11" t="s">
        <v>93</v>
      </c>
      <c r="B123" s="205" t="s">
        <v>2095</v>
      </c>
      <c r="C123" s="69" t="str">
        <f t="shared" si="13"/>
        <v>Terça-Feira</v>
      </c>
      <c r="D123" s="445" t="str">
        <f>IF(C123&lt;&gt;"Quarta-Feira","16:40","11:40")</f>
        <v>16:40</v>
      </c>
      <c r="E123" s="253"/>
      <c r="F123" s="69"/>
      <c r="G123" s="154"/>
      <c r="H123" s="193"/>
      <c r="I123" s="18" t="s">
        <v>180</v>
      </c>
      <c r="J123" s="97"/>
      <c r="K123" s="97"/>
      <c r="R123" s="62"/>
    </row>
    <row r="124" ht="15.75" customHeight="1">
      <c r="A124" s="438"/>
      <c r="B124" s="430"/>
      <c r="C124" s="275"/>
      <c r="D124" s="439"/>
      <c r="E124" s="254"/>
      <c r="F124" s="440"/>
      <c r="G124" s="441"/>
      <c r="H124" s="255"/>
      <c r="I124" s="442"/>
      <c r="J124" s="443"/>
      <c r="K124" s="443"/>
      <c r="R124" s="62"/>
    </row>
    <row r="125" ht="15.75" customHeight="1">
      <c r="A125" s="438"/>
      <c r="B125" s="430"/>
      <c r="C125" s="275"/>
      <c r="D125" s="439"/>
      <c r="E125" s="254"/>
      <c r="F125" s="440"/>
      <c r="G125" s="441"/>
      <c r="H125" s="255"/>
      <c r="I125" s="442"/>
      <c r="J125" s="443"/>
      <c r="K125" s="443"/>
      <c r="R125" s="62"/>
    </row>
    <row r="126" ht="15.75" customHeight="1">
      <c r="A126" s="438"/>
      <c r="B126" s="430"/>
      <c r="C126" s="275"/>
      <c r="D126" s="439"/>
      <c r="E126" s="254"/>
      <c r="F126" s="440"/>
      <c r="G126" s="441"/>
      <c r="H126" s="255"/>
      <c r="I126" s="442"/>
      <c r="J126" s="443"/>
      <c r="K126" s="443"/>
      <c r="R126" s="62"/>
    </row>
    <row r="127" ht="15.75" customHeight="1">
      <c r="A127" s="20" t="s">
        <v>18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13h às 17h"</f>
        <v>28/05/2026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23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1789</v>
      </c>
      <c r="C130" s="69" t="str">
        <f t="shared" ref="C130:C141" si="15">PROPER(TEXT(DATE(MID($A$92,7,4),MID($A$92,4,2),LEFT($A$92,2)),"dddd"))</f>
        <v>Quinta-Feira</v>
      </c>
      <c r="D130" s="445" t="str">
        <f>IF(C130&lt;&gt;"Quarta-Feira","13:00","08:00")</f>
        <v>13:00</v>
      </c>
      <c r="E130" s="218" t="s">
        <v>3512</v>
      </c>
      <c r="F130" s="149">
        <v>2.07261188470009E14</v>
      </c>
      <c r="G130" s="148" t="s">
        <v>3513</v>
      </c>
      <c r="H130" s="344">
        <v>14687.0</v>
      </c>
      <c r="I130" s="18" t="s">
        <v>41</v>
      </c>
      <c r="J130" s="212"/>
      <c r="K130" s="212"/>
      <c r="N130" s="237" t="s">
        <v>386</v>
      </c>
      <c r="O130" s="95"/>
      <c r="P130" s="95"/>
      <c r="Q130" s="95"/>
      <c r="R130" s="62"/>
    </row>
    <row r="131" ht="15.75" customHeight="1">
      <c r="A131" s="11" t="s">
        <v>11</v>
      </c>
      <c r="B131" s="205" t="s">
        <v>1713</v>
      </c>
      <c r="C131" s="69" t="str">
        <f t="shared" si="15"/>
        <v>Quinta-Feira</v>
      </c>
      <c r="D131" s="445" t="str">
        <f>IF(C131&lt;&gt;"Quarta-Feira","13:20","08:20")</f>
        <v>13:20</v>
      </c>
      <c r="E131" s="218"/>
      <c r="F131" s="425"/>
      <c r="G131" s="148"/>
      <c r="H131" s="437"/>
      <c r="I131" s="18" t="s">
        <v>180</v>
      </c>
      <c r="J131" s="212"/>
      <c r="K131" s="212"/>
      <c r="N131" s="239" t="s">
        <v>2085</v>
      </c>
      <c r="O131" s="2"/>
      <c r="P131" s="2"/>
      <c r="Q131" s="2"/>
      <c r="R131" s="62"/>
    </row>
    <row r="132" ht="15.75" customHeight="1">
      <c r="A132" s="11" t="s">
        <v>12</v>
      </c>
      <c r="B132" s="205" t="s">
        <v>1780</v>
      </c>
      <c r="C132" s="69" t="str">
        <f t="shared" si="15"/>
        <v>Quinta-Feira</v>
      </c>
      <c r="D132" s="445" t="str">
        <f>IF(C132&lt;&gt;"Quarta-Feira","13:40","08:40")</f>
        <v>13:40</v>
      </c>
      <c r="E132" s="218" t="s">
        <v>3514</v>
      </c>
      <c r="F132" s="149">
        <v>7.09601675830978E14</v>
      </c>
      <c r="G132" s="148" t="s">
        <v>3515</v>
      </c>
      <c r="H132" s="344">
        <v>12222.0</v>
      </c>
      <c r="I132" s="18" t="s">
        <v>41</v>
      </c>
      <c r="J132" s="212"/>
      <c r="K132" s="212"/>
      <c r="N132" s="240" t="s">
        <v>182</v>
      </c>
      <c r="O132" s="241" t="s">
        <v>194</v>
      </c>
      <c r="P132" s="241" t="s">
        <v>180</v>
      </c>
      <c r="Q132" s="242" t="s">
        <v>2087</v>
      </c>
      <c r="R132" s="62"/>
    </row>
    <row r="133" ht="15.75" customHeight="1">
      <c r="A133" s="11" t="s">
        <v>13</v>
      </c>
      <c r="B133" s="205" t="s">
        <v>1720</v>
      </c>
      <c r="C133" s="69" t="str">
        <f t="shared" si="15"/>
        <v>Quinta-Feira</v>
      </c>
      <c r="D133" s="445" t="str">
        <f>IF(C133&lt;&gt;"Quarta-Feira","14:00","09:00")</f>
        <v>14:00</v>
      </c>
      <c r="E133" s="218" t="s">
        <v>3516</v>
      </c>
      <c r="F133" s="206">
        <v>7.04808533980345E14</v>
      </c>
      <c r="G133" s="205" t="s">
        <v>3517</v>
      </c>
      <c r="H133" s="432">
        <v>23584.0</v>
      </c>
      <c r="I133" s="18" t="s">
        <v>41</v>
      </c>
      <c r="J133" s="212"/>
      <c r="K133" s="212"/>
      <c r="N133" s="244">
        <f t="shared" ref="N133:Q133" si="16">COUNTIFS($I$130:$I$141,N132)</f>
        <v>0</v>
      </c>
      <c r="O133" s="244">
        <f t="shared" si="16"/>
        <v>0</v>
      </c>
      <c r="P133" s="244">
        <f t="shared" si="16"/>
        <v>1</v>
      </c>
      <c r="Q133" s="244">
        <f t="shared" si="16"/>
        <v>2</v>
      </c>
      <c r="R133" s="62"/>
    </row>
    <row r="134" ht="15.75" customHeight="1">
      <c r="A134" s="11" t="s">
        <v>14</v>
      </c>
      <c r="B134" s="205" t="s">
        <v>1795</v>
      </c>
      <c r="C134" s="69" t="str">
        <f t="shared" si="15"/>
        <v>Quinta-Feira</v>
      </c>
      <c r="D134" s="445" t="str">
        <f>IF(C134&lt;&gt;"Quarta-Feira","14:20","09:20")</f>
        <v>14:20</v>
      </c>
      <c r="E134" s="218" t="s">
        <v>3518</v>
      </c>
      <c r="F134" s="149">
        <v>7.05603436941611E14</v>
      </c>
      <c r="G134" s="148" t="s">
        <v>3519</v>
      </c>
      <c r="H134" s="344">
        <v>15176.0</v>
      </c>
      <c r="I134" s="18" t="s">
        <v>41</v>
      </c>
      <c r="J134" s="212"/>
      <c r="K134" s="212"/>
      <c r="R134" s="62"/>
    </row>
    <row r="135" ht="15.75" customHeight="1">
      <c r="A135" s="11" t="s">
        <v>15</v>
      </c>
      <c r="B135" s="205" t="s">
        <v>1789</v>
      </c>
      <c r="C135" s="69" t="str">
        <f t="shared" si="15"/>
        <v>Quinta-Feira</v>
      </c>
      <c r="D135" s="445" t="str">
        <f>IF(C135&lt;&gt;"Quarta-Feira","14:40","09:40")</f>
        <v>14:40</v>
      </c>
      <c r="E135" s="218" t="s">
        <v>2179</v>
      </c>
      <c r="F135" s="149">
        <v>7.00501718455453E14</v>
      </c>
      <c r="G135" s="148" t="s">
        <v>2181</v>
      </c>
      <c r="H135" s="344">
        <v>16907.0</v>
      </c>
      <c r="I135" s="18" t="s">
        <v>41</v>
      </c>
      <c r="J135" s="212"/>
      <c r="K135" s="212"/>
      <c r="R135" s="62"/>
    </row>
    <row r="136" ht="15.75" customHeight="1">
      <c r="A136" s="11" t="s">
        <v>16</v>
      </c>
      <c r="B136" s="205" t="s">
        <v>2652</v>
      </c>
      <c r="C136" s="69" t="str">
        <f t="shared" si="15"/>
        <v>Quinta-Feira</v>
      </c>
      <c r="D136" s="445" t="str">
        <f>IF(C136&lt;&gt;"Quarta-Feira","15:00","10:00")</f>
        <v>15:00</v>
      </c>
      <c r="E136" s="218" t="s">
        <v>3520</v>
      </c>
      <c r="F136" s="149">
        <v>7.08208110435147E14</v>
      </c>
      <c r="G136" s="148" t="s">
        <v>3521</v>
      </c>
      <c r="H136" s="344">
        <v>32934.0</v>
      </c>
      <c r="I136" s="18" t="s">
        <v>2087</v>
      </c>
      <c r="J136" s="212"/>
      <c r="K136" s="212"/>
      <c r="R136" s="62"/>
    </row>
    <row r="137" ht="15.75" customHeight="1">
      <c r="A137" s="11" t="s">
        <v>17</v>
      </c>
      <c r="B137" s="205" t="s">
        <v>2655</v>
      </c>
      <c r="C137" s="69" t="str">
        <f t="shared" si="15"/>
        <v>Quinta-Feira</v>
      </c>
      <c r="D137" s="445" t="str">
        <f>IF(C137&lt;&gt;"Quarta-Feira","15:20","10:20")</f>
        <v>15:20</v>
      </c>
      <c r="E137" s="218" t="s">
        <v>3522</v>
      </c>
      <c r="F137" s="149">
        <v>7.04204209803281E14</v>
      </c>
      <c r="G137" s="148" t="s">
        <v>3523</v>
      </c>
      <c r="H137" s="344">
        <v>21931.0</v>
      </c>
      <c r="I137" s="18" t="s">
        <v>41</v>
      </c>
      <c r="J137" s="212"/>
      <c r="K137" s="212"/>
      <c r="R137" s="62"/>
    </row>
    <row r="138" ht="15.75" customHeight="1">
      <c r="A138" s="11" t="s">
        <v>85</v>
      </c>
      <c r="B138" s="205" t="s">
        <v>2658</v>
      </c>
      <c r="C138" s="69" t="str">
        <f t="shared" si="15"/>
        <v>Quinta-Feira</v>
      </c>
      <c r="D138" s="445" t="str">
        <f>IF(C138&lt;&gt;"Quarta-Feira","15:40","10:40")</f>
        <v>15:40</v>
      </c>
      <c r="E138" s="218" t="s">
        <v>3524</v>
      </c>
      <c r="F138" s="149">
        <v>7.00004225545304E14</v>
      </c>
      <c r="G138" s="148" t="s">
        <v>3525</v>
      </c>
      <c r="H138" s="344">
        <v>32486.0</v>
      </c>
      <c r="I138" s="18" t="s">
        <v>2087</v>
      </c>
      <c r="J138" s="212"/>
      <c r="K138" s="212"/>
      <c r="R138" s="62"/>
    </row>
    <row r="139" ht="15.75" customHeight="1">
      <c r="A139" s="11" t="s">
        <v>87</v>
      </c>
      <c r="B139" s="205" t="s">
        <v>1734</v>
      </c>
      <c r="C139" s="69" t="str">
        <f t="shared" si="15"/>
        <v>Quinta-Feira</v>
      </c>
      <c r="D139" s="445" t="str">
        <f>IF(C139&lt;&gt;"Quarta-Feira","16:00","11:00")</f>
        <v>16:00</v>
      </c>
      <c r="E139" s="218" t="s">
        <v>3526</v>
      </c>
      <c r="F139" s="149">
        <v>7.0780161109581E14</v>
      </c>
      <c r="G139" s="148" t="s">
        <v>3527</v>
      </c>
      <c r="H139" s="344">
        <v>27442.0</v>
      </c>
      <c r="I139" s="18" t="s">
        <v>41</v>
      </c>
      <c r="J139" s="212"/>
      <c r="K139" s="212"/>
      <c r="R139" s="62"/>
    </row>
    <row r="140" ht="15.75" customHeight="1">
      <c r="A140" s="11" t="s">
        <v>90</v>
      </c>
      <c r="B140" s="205" t="s">
        <v>2658</v>
      </c>
      <c r="C140" s="69" t="str">
        <f t="shared" si="15"/>
        <v>Quinta-Feira</v>
      </c>
      <c r="D140" s="445" t="str">
        <f>IF(C140&lt;&gt;"Quarta-Feira","16:20","11:20")</f>
        <v>16:20</v>
      </c>
      <c r="E140" s="218" t="s">
        <v>3528</v>
      </c>
      <c r="F140" s="149">
        <v>7.03607060584831E14</v>
      </c>
      <c r="G140" s="148" t="s">
        <v>3529</v>
      </c>
      <c r="H140" s="344">
        <v>20299.0</v>
      </c>
      <c r="I140" s="18" t="s">
        <v>41</v>
      </c>
      <c r="J140" s="212"/>
      <c r="K140" s="212"/>
      <c r="R140" s="62"/>
    </row>
    <row r="141" ht="15.75" customHeight="1">
      <c r="A141" s="11" t="s">
        <v>93</v>
      </c>
      <c r="B141" s="205" t="s">
        <v>1734</v>
      </c>
      <c r="C141" s="69" t="str">
        <f t="shared" si="15"/>
        <v>Quinta-Feira</v>
      </c>
      <c r="D141" s="445" t="str">
        <f>IF(C141&lt;&gt;"Quarta-Feira","16:40","11:40")</f>
        <v>16:40</v>
      </c>
      <c r="E141" s="218" t="s">
        <v>3530</v>
      </c>
      <c r="F141" s="149">
        <v>7.0230903426782E14</v>
      </c>
      <c r="G141" s="148" t="s">
        <v>3531</v>
      </c>
      <c r="H141" s="344">
        <v>27657.0</v>
      </c>
      <c r="I141" s="18" t="s">
        <v>41</v>
      </c>
      <c r="J141" s="212"/>
      <c r="K141" s="212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customHeight="1">
      <c r="A145" s="20" t="s">
        <v>18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/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23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5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2081</v>
      </c>
      <c r="C148" s="69" t="str">
        <f t="shared" ref="C148:C159" si="17">PROPER(TEXT(DATE(MID($A$110,7,4),MID($A$110,4,2),LEFT($A$110,2)),"dddd"))</f>
        <v>Terça-Feira</v>
      </c>
      <c r="D148" s="445" t="str">
        <f>IF(C148&lt;&gt;"Quarta-Feira","13:00","08:00")</f>
        <v>13:00</v>
      </c>
      <c r="E148" s="214"/>
      <c r="F148" s="170"/>
      <c r="G148" s="100"/>
      <c r="H148" s="78"/>
      <c r="I148" s="18"/>
      <c r="J148" s="97"/>
      <c r="K148" s="97"/>
      <c r="N148" s="237" t="s">
        <v>386</v>
      </c>
      <c r="O148" s="95"/>
      <c r="P148" s="95"/>
      <c r="Q148" s="95"/>
      <c r="R148" s="62"/>
    </row>
    <row r="149" ht="15.75" customHeight="1">
      <c r="A149" s="11" t="s">
        <v>11</v>
      </c>
      <c r="B149" s="205" t="s">
        <v>2083</v>
      </c>
      <c r="C149" s="69" t="str">
        <f t="shared" si="17"/>
        <v>Terça-Feira</v>
      </c>
      <c r="D149" s="445" t="str">
        <f>IF(C149&lt;&gt;"Quarta-Feira","13:20","08:20")</f>
        <v>13:20</v>
      </c>
      <c r="E149" s="214"/>
      <c r="F149" s="170"/>
      <c r="G149" s="100"/>
      <c r="H149" s="78"/>
      <c r="I149" s="18"/>
      <c r="J149" s="97"/>
      <c r="K149" s="97"/>
      <c r="N149" s="239" t="s">
        <v>2085</v>
      </c>
      <c r="O149" s="2"/>
      <c r="P149" s="2"/>
      <c r="Q149" s="2"/>
      <c r="R149" s="62"/>
    </row>
    <row r="150" ht="15.75" customHeight="1">
      <c r="A150" s="11" t="s">
        <v>12</v>
      </c>
      <c r="B150" s="205" t="s">
        <v>2086</v>
      </c>
      <c r="C150" s="69" t="str">
        <f t="shared" si="17"/>
        <v>Terça-Feira</v>
      </c>
      <c r="D150" s="445" t="str">
        <f>IF(C150&lt;&gt;"Quarta-Feira","13:40","08:40")</f>
        <v>13:40</v>
      </c>
      <c r="E150" s="214"/>
      <c r="F150" s="170"/>
      <c r="G150" s="100"/>
      <c r="H150" s="78"/>
      <c r="I150" s="18"/>
      <c r="J150" s="97"/>
      <c r="K150" s="97"/>
      <c r="N150" s="240" t="s">
        <v>182</v>
      </c>
      <c r="O150" s="241" t="s">
        <v>194</v>
      </c>
      <c r="P150" s="241" t="s">
        <v>180</v>
      </c>
      <c r="Q150" s="242" t="s">
        <v>2087</v>
      </c>
      <c r="R150" s="62"/>
    </row>
    <row r="151" ht="15.75" customHeight="1">
      <c r="A151" s="11" t="s">
        <v>13</v>
      </c>
      <c r="B151" s="205" t="s">
        <v>2088</v>
      </c>
      <c r="C151" s="69" t="str">
        <f t="shared" si="17"/>
        <v>Terça-Feira</v>
      </c>
      <c r="D151" s="445" t="str">
        <f>IF(C151&lt;&gt;"Quarta-Feira","14:00","09:00")</f>
        <v>14:00</v>
      </c>
      <c r="E151" s="214"/>
      <c r="F151" s="170"/>
      <c r="G151" s="100"/>
      <c r="H151" s="78"/>
      <c r="I151" s="18"/>
      <c r="J151" s="97"/>
      <c r="K151" s="97"/>
      <c r="N151" s="244">
        <f t="shared" ref="N151:Q151" si="18">COUNTIFS($I$148:$I$159,N150)</f>
        <v>0</v>
      </c>
      <c r="O151" s="244">
        <f t="shared" si="18"/>
        <v>0</v>
      </c>
      <c r="P151" s="244">
        <f t="shared" si="18"/>
        <v>0</v>
      </c>
      <c r="Q151" s="244">
        <f t="shared" si="18"/>
        <v>0</v>
      </c>
      <c r="R151" s="62"/>
    </row>
    <row r="152" ht="15.75" customHeight="1">
      <c r="A152" s="11" t="s">
        <v>14</v>
      </c>
      <c r="B152" s="205" t="s">
        <v>2081</v>
      </c>
      <c r="C152" s="69" t="str">
        <f t="shared" si="17"/>
        <v>Terça-Feira</v>
      </c>
      <c r="D152" s="445" t="str">
        <f>IF(C152&lt;&gt;"Quarta-Feira","14:20","09:20")</f>
        <v>14:20</v>
      </c>
      <c r="E152" s="214"/>
      <c r="F152" s="170"/>
      <c r="G152" s="100"/>
      <c r="H152" s="78"/>
      <c r="I152" s="18"/>
      <c r="J152" s="97"/>
      <c r="K152" s="97"/>
      <c r="R152" s="62"/>
    </row>
    <row r="153" ht="15.75" customHeight="1">
      <c r="A153" s="11" t="s">
        <v>15</v>
      </c>
      <c r="B153" s="205" t="s">
        <v>2088</v>
      </c>
      <c r="C153" s="69" t="str">
        <f t="shared" si="17"/>
        <v>Terça-Feira</v>
      </c>
      <c r="D153" s="445" t="str">
        <f>IF(C153&lt;&gt;"Quarta-Feira","14:40","09:40")</f>
        <v>14:40</v>
      </c>
      <c r="E153" s="214"/>
      <c r="F153" s="170"/>
      <c r="G153" s="100"/>
      <c r="H153" s="78"/>
      <c r="I153" s="18"/>
      <c r="J153" s="97"/>
      <c r="K153" s="97"/>
      <c r="R153" s="62"/>
    </row>
    <row r="154" ht="15.75" customHeight="1">
      <c r="A154" s="11" t="s">
        <v>16</v>
      </c>
      <c r="B154" s="205" t="s">
        <v>2092</v>
      </c>
      <c r="C154" s="69" t="str">
        <f t="shared" si="17"/>
        <v>Terça-Feira</v>
      </c>
      <c r="D154" s="445" t="str">
        <f>IF(C154&lt;&gt;"Quarta-Feira","15:00","10:00")</f>
        <v>15:00</v>
      </c>
      <c r="E154" s="214"/>
      <c r="F154" s="170"/>
      <c r="G154" s="100"/>
      <c r="H154" s="78"/>
      <c r="I154" s="18"/>
      <c r="J154" s="97"/>
      <c r="K154" s="97"/>
      <c r="R154" s="62"/>
    </row>
    <row r="155" ht="15.75" customHeight="1">
      <c r="A155" s="11" t="s">
        <v>17</v>
      </c>
      <c r="B155" s="205" t="s">
        <v>2093</v>
      </c>
      <c r="C155" s="69" t="str">
        <f t="shared" si="17"/>
        <v>Terça-Feira</v>
      </c>
      <c r="D155" s="445" t="str">
        <f>IF(C155&lt;&gt;"Quarta-Feira","15:20","10:20")</f>
        <v>15:20</v>
      </c>
      <c r="E155" s="214"/>
      <c r="F155" s="170"/>
      <c r="G155" s="100"/>
      <c r="H155" s="78"/>
      <c r="I155" s="18"/>
      <c r="J155" s="97"/>
      <c r="K155" s="97"/>
      <c r="R155" s="62"/>
    </row>
    <row r="156" ht="15.75" customHeight="1">
      <c r="A156" s="11" t="s">
        <v>85</v>
      </c>
      <c r="B156" s="205" t="s">
        <v>2094</v>
      </c>
      <c r="C156" s="69" t="str">
        <f t="shared" si="17"/>
        <v>Terça-Feira</v>
      </c>
      <c r="D156" s="445" t="str">
        <f>IF(C156&lt;&gt;"Quarta-Feira","15:40","10:40")</f>
        <v>15:40</v>
      </c>
      <c r="E156" s="214"/>
      <c r="F156" s="170"/>
      <c r="G156" s="100"/>
      <c r="H156" s="78"/>
      <c r="I156" s="18"/>
      <c r="J156" s="97"/>
      <c r="K156" s="97"/>
      <c r="R156" s="62"/>
    </row>
    <row r="157" ht="15.75" customHeight="1">
      <c r="A157" s="11" t="s">
        <v>87</v>
      </c>
      <c r="B157" s="205" t="s">
        <v>2095</v>
      </c>
      <c r="C157" s="69" t="str">
        <f t="shared" si="17"/>
        <v>Terça-Feira</v>
      </c>
      <c r="D157" s="445" t="str">
        <f>IF(C157&lt;&gt;"Quarta-Feira","16:00","11:00")</f>
        <v>16:00</v>
      </c>
      <c r="E157" s="214"/>
      <c r="F157" s="170"/>
      <c r="G157" s="100"/>
      <c r="H157" s="78"/>
      <c r="I157" s="18"/>
      <c r="J157" s="97"/>
      <c r="K157" s="97"/>
      <c r="R157" s="62"/>
    </row>
    <row r="158" ht="15.75" customHeight="1">
      <c r="A158" s="11" t="s">
        <v>90</v>
      </c>
      <c r="B158" s="205" t="s">
        <v>2097</v>
      </c>
      <c r="C158" s="69" t="str">
        <f t="shared" si="17"/>
        <v>Terça-Feira</v>
      </c>
      <c r="D158" s="445" t="str">
        <f>IF(C158&lt;&gt;"Quarta-Feira","16:20","11:20")</f>
        <v>16:20</v>
      </c>
      <c r="E158" s="214"/>
      <c r="F158" s="170"/>
      <c r="G158" s="100"/>
      <c r="H158" s="78"/>
      <c r="I158" s="18"/>
      <c r="J158" s="97"/>
      <c r="K158" s="97"/>
      <c r="R158" s="62"/>
    </row>
    <row r="159" ht="15.75" customHeight="1">
      <c r="A159" s="11" t="s">
        <v>93</v>
      </c>
      <c r="B159" s="205" t="s">
        <v>2095</v>
      </c>
      <c r="C159" s="69" t="str">
        <f t="shared" si="17"/>
        <v>Terça-Feira</v>
      </c>
      <c r="D159" s="445" t="str">
        <f>IF(C159&lt;&gt;"Quarta-Feira","16:40","11:40")</f>
        <v>16:40</v>
      </c>
      <c r="E159" s="214"/>
      <c r="F159" s="170"/>
      <c r="G159" s="100"/>
      <c r="H159" s="78"/>
      <c r="I159" s="18"/>
      <c r="J159" s="97"/>
      <c r="K159" s="97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438"/>
      <c r="B163" s="430"/>
      <c r="C163" s="275"/>
      <c r="D163" s="439"/>
      <c r="E163" s="254"/>
      <c r="F163" s="440"/>
      <c r="G163" s="441"/>
      <c r="H163" s="255"/>
      <c r="I163" s="442"/>
      <c r="J163" s="443"/>
      <c r="K163" s="443"/>
      <c r="R163" s="62"/>
    </row>
    <row r="164" ht="15.75" customHeight="1">
      <c r="A164" s="438"/>
      <c r="B164" s="430"/>
      <c r="C164" s="275"/>
      <c r="D164" s="439"/>
      <c r="E164" s="254"/>
      <c r="F164" s="440"/>
      <c r="G164" s="441"/>
      <c r="H164" s="255"/>
      <c r="I164" s="442"/>
      <c r="J164" s="443"/>
      <c r="K164" s="443"/>
      <c r="N164" s="237" t="s">
        <v>2079</v>
      </c>
      <c r="O164" s="95"/>
      <c r="P164" s="95"/>
      <c r="Q164" s="95"/>
      <c r="R164" s="62"/>
    </row>
    <row r="165" ht="15.75" customHeight="1">
      <c r="A165" s="438"/>
      <c r="B165" s="430"/>
      <c r="C165" s="275"/>
      <c r="D165" s="439"/>
      <c r="E165" s="254"/>
      <c r="F165" s="440"/>
      <c r="G165" s="441"/>
      <c r="H165" s="255"/>
      <c r="I165" s="442"/>
      <c r="J165" s="443"/>
      <c r="K165" s="443"/>
      <c r="N165" s="240" t="s">
        <v>182</v>
      </c>
      <c r="O165" s="241" t="s">
        <v>194</v>
      </c>
      <c r="P165" s="241" t="s">
        <v>180</v>
      </c>
      <c r="Q165" s="242" t="s">
        <v>172</v>
      </c>
      <c r="R165" s="62"/>
    </row>
    <row r="166" ht="15.75" customHeight="1">
      <c r="A166" s="438"/>
      <c r="B166" s="430"/>
      <c r="C166" s="275"/>
      <c r="D166" s="439"/>
      <c r="E166" s="254"/>
      <c r="F166" s="440"/>
      <c r="G166" s="441"/>
      <c r="H166" s="255"/>
      <c r="I166" s="442"/>
      <c r="J166" s="443"/>
      <c r="K166" s="443"/>
      <c r="N166" s="197">
        <f t="shared" ref="N166:Q166" si="19">SUM(N4:N162)</f>
        <v>20</v>
      </c>
      <c r="O166" s="197">
        <f t="shared" si="19"/>
        <v>0</v>
      </c>
      <c r="P166" s="197">
        <f t="shared" si="19"/>
        <v>7</v>
      </c>
      <c r="Q166" s="197">
        <f t="shared" si="19"/>
        <v>6</v>
      </c>
      <c r="R166" s="62"/>
    </row>
    <row r="167" ht="15.75" customHeight="1">
      <c r="A167" s="438"/>
      <c r="B167" s="430"/>
      <c r="C167" s="275"/>
      <c r="D167" s="439"/>
      <c r="E167" s="254"/>
      <c r="F167" s="440"/>
      <c r="G167" s="441"/>
      <c r="H167" s="255"/>
      <c r="I167" s="442"/>
      <c r="J167" s="443"/>
      <c r="K167" s="443"/>
      <c r="R167" s="62"/>
    </row>
    <row r="168" ht="15.75" customHeight="1">
      <c r="A168" s="438"/>
      <c r="B168" s="430"/>
      <c r="C168" s="275"/>
      <c r="D168" s="439"/>
      <c r="E168" s="254"/>
      <c r="F168" s="440"/>
      <c r="G168" s="441"/>
      <c r="H168" s="255"/>
      <c r="I168" s="442"/>
      <c r="J168" s="443"/>
      <c r="K168" s="443"/>
      <c r="R168" s="62"/>
    </row>
    <row r="169" ht="15.75" customHeight="1">
      <c r="A169" s="438"/>
      <c r="B169" s="430"/>
      <c r="C169" s="275"/>
      <c r="D169" s="439"/>
      <c r="E169" s="254"/>
      <c r="F169" s="440"/>
      <c r="G169" s="441"/>
      <c r="H169" s="255"/>
      <c r="I169" s="442"/>
      <c r="J169" s="443"/>
      <c r="K169" s="443"/>
      <c r="R169" s="62"/>
    </row>
    <row r="170" ht="15.75" customHeight="1">
      <c r="A170" s="438"/>
      <c r="B170" s="430"/>
      <c r="C170" s="275"/>
      <c r="D170" s="439"/>
      <c r="E170" s="254"/>
      <c r="F170" s="440"/>
      <c r="G170" s="441"/>
      <c r="H170" s="255"/>
      <c r="I170" s="442"/>
      <c r="J170" s="443"/>
      <c r="K170" s="443"/>
      <c r="R170" s="62"/>
    </row>
    <row r="171" ht="15.75" customHeight="1">
      <c r="A171" s="438"/>
      <c r="B171" s="430"/>
      <c r="C171" s="275"/>
      <c r="D171" s="439"/>
      <c r="E171" s="254"/>
      <c r="F171" s="440"/>
      <c r="G171" s="441"/>
      <c r="H171" s="255"/>
      <c r="I171" s="442"/>
      <c r="J171" s="443"/>
      <c r="K171" s="443"/>
      <c r="R171" s="62"/>
    </row>
    <row r="172" ht="15.75" customHeight="1">
      <c r="A172" s="438"/>
      <c r="B172" s="430"/>
      <c r="C172" s="275"/>
      <c r="D172" s="439"/>
      <c r="E172" s="254"/>
      <c r="F172" s="440"/>
      <c r="G172" s="441"/>
      <c r="H172" s="255"/>
      <c r="I172" s="442"/>
      <c r="J172" s="443"/>
      <c r="K172" s="443"/>
      <c r="R172" s="62"/>
    </row>
    <row r="173" ht="15.75" customHeight="1">
      <c r="A173" s="438"/>
      <c r="B173" s="430"/>
      <c r="C173" s="275"/>
      <c r="D173" s="439"/>
      <c r="E173" s="254"/>
      <c r="F173" s="440"/>
      <c r="G173" s="441"/>
      <c r="H173" s="255"/>
      <c r="I173" s="442"/>
      <c r="J173" s="443"/>
      <c r="K173" s="443"/>
      <c r="R173" s="62"/>
    </row>
    <row r="174" ht="15.75" customHeight="1">
      <c r="A174" s="438"/>
      <c r="B174" s="430"/>
      <c r="C174" s="275"/>
      <c r="D174" s="439"/>
      <c r="E174" s="254"/>
      <c r="F174" s="440"/>
      <c r="G174" s="441"/>
      <c r="H174" s="255"/>
      <c r="I174" s="442"/>
      <c r="J174" s="443"/>
      <c r="K174" s="443"/>
      <c r="R174" s="62"/>
    </row>
    <row r="175" ht="15.75" customHeight="1">
      <c r="A175" s="438"/>
      <c r="B175" s="430"/>
      <c r="C175" s="275"/>
      <c r="D175" s="439"/>
      <c r="E175" s="254"/>
      <c r="F175" s="440"/>
      <c r="G175" s="441"/>
      <c r="H175" s="255"/>
      <c r="I175" s="442"/>
      <c r="J175" s="443"/>
      <c r="K175" s="443"/>
      <c r="R175" s="62"/>
    </row>
    <row r="176" ht="15.75" customHeight="1">
      <c r="A176" s="438"/>
      <c r="B176" s="430"/>
      <c r="C176" s="275"/>
      <c r="D176" s="439"/>
      <c r="E176" s="254"/>
      <c r="F176" s="440"/>
      <c r="G176" s="441"/>
      <c r="H176" s="255"/>
      <c r="I176" s="442"/>
      <c r="J176" s="443"/>
      <c r="K176" s="443"/>
      <c r="R176" s="62"/>
    </row>
    <row r="177" ht="15.75" customHeight="1">
      <c r="A177" s="438"/>
      <c r="B177" s="430"/>
      <c r="C177" s="275"/>
      <c r="D177" s="439"/>
      <c r="E177" s="254"/>
      <c r="F177" s="440"/>
      <c r="G177" s="441"/>
      <c r="H177" s="255"/>
      <c r="I177" s="442"/>
      <c r="J177" s="443"/>
      <c r="K177" s="443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>
      <c r="A330" s="438"/>
      <c r="B330" s="430"/>
      <c r="C330" s="275"/>
      <c r="D330" s="439"/>
      <c r="E330" s="254"/>
      <c r="F330" s="440"/>
      <c r="G330" s="441"/>
      <c r="H330" s="255"/>
      <c r="I330" s="442"/>
      <c r="J330" s="443"/>
      <c r="K330" s="443"/>
      <c r="R330" s="62"/>
    </row>
    <row r="331" ht="15.75" customHeight="1">
      <c r="A331" s="438"/>
      <c r="B331" s="430"/>
      <c r="C331" s="275"/>
      <c r="D331" s="439"/>
      <c r="E331" s="254"/>
      <c r="F331" s="440"/>
      <c r="G331" s="441"/>
      <c r="H331" s="255"/>
      <c r="I331" s="442"/>
      <c r="J331" s="443"/>
      <c r="K331" s="443"/>
      <c r="R331" s="62"/>
    </row>
    <row r="332" ht="15.75" customHeight="1">
      <c r="A332" s="438"/>
      <c r="B332" s="430"/>
      <c r="C332" s="275"/>
      <c r="D332" s="439"/>
      <c r="E332" s="254"/>
      <c r="F332" s="440"/>
      <c r="G332" s="441"/>
      <c r="H332" s="255"/>
      <c r="I332" s="442"/>
      <c r="J332" s="443"/>
      <c r="K332" s="443"/>
      <c r="R332" s="62"/>
    </row>
    <row r="333" ht="15.75" customHeight="1">
      <c r="A333" s="438"/>
      <c r="B333" s="430"/>
      <c r="C333" s="275"/>
      <c r="D333" s="439"/>
      <c r="E333" s="254"/>
      <c r="F333" s="440"/>
      <c r="G333" s="441"/>
      <c r="H333" s="255"/>
      <c r="I333" s="442"/>
      <c r="J333" s="443"/>
      <c r="K333" s="443"/>
      <c r="R333" s="62"/>
    </row>
    <row r="334" ht="15.75" customHeight="1">
      <c r="A334" s="438"/>
      <c r="B334" s="430"/>
      <c r="C334" s="275"/>
      <c r="D334" s="439"/>
      <c r="E334" s="254"/>
      <c r="F334" s="440"/>
      <c r="G334" s="441"/>
      <c r="H334" s="255"/>
      <c r="I334" s="442"/>
      <c r="J334" s="443"/>
      <c r="K334" s="443"/>
      <c r="R334" s="62"/>
    </row>
    <row r="335" ht="15.75" customHeight="1">
      <c r="A335" s="438"/>
      <c r="B335" s="430"/>
      <c r="C335" s="275"/>
      <c r="D335" s="439"/>
      <c r="E335" s="254"/>
      <c r="F335" s="440"/>
      <c r="G335" s="441"/>
      <c r="H335" s="255"/>
      <c r="I335" s="442"/>
      <c r="J335" s="443"/>
      <c r="K335" s="443"/>
      <c r="R335" s="62"/>
    </row>
    <row r="336" ht="15.75" customHeight="1">
      <c r="A336" s="438"/>
      <c r="B336" s="430"/>
      <c r="C336" s="275"/>
      <c r="D336" s="439"/>
      <c r="E336" s="254"/>
      <c r="F336" s="440"/>
      <c r="G336" s="441"/>
      <c r="H336" s="255"/>
      <c r="I336" s="442"/>
      <c r="J336" s="443"/>
      <c r="K336" s="443"/>
      <c r="R336" s="62"/>
    </row>
    <row r="337" ht="15.75" customHeight="1">
      <c r="A337" s="438"/>
      <c r="B337" s="430"/>
      <c r="C337" s="275"/>
      <c r="D337" s="439"/>
      <c r="E337" s="254"/>
      <c r="F337" s="440"/>
      <c r="G337" s="441"/>
      <c r="H337" s="255"/>
      <c r="I337" s="442"/>
      <c r="J337" s="443"/>
      <c r="K337" s="443"/>
      <c r="R337" s="62"/>
    </row>
    <row r="338" ht="15.75" customHeight="1">
      <c r="A338" s="438"/>
      <c r="B338" s="430"/>
      <c r="C338" s="275"/>
      <c r="D338" s="439"/>
      <c r="E338" s="254"/>
      <c r="F338" s="440"/>
      <c r="G338" s="441"/>
      <c r="H338" s="255"/>
      <c r="I338" s="442"/>
      <c r="J338" s="443"/>
      <c r="K338" s="443"/>
      <c r="R338" s="62"/>
    </row>
    <row r="339" ht="15.75" customHeight="1">
      <c r="A339" s="438"/>
      <c r="B339" s="430"/>
      <c r="C339" s="275"/>
      <c r="D339" s="439"/>
      <c r="E339" s="254"/>
      <c r="F339" s="440"/>
      <c r="G339" s="441"/>
      <c r="H339" s="255"/>
      <c r="I339" s="442"/>
      <c r="J339" s="443"/>
      <c r="K339" s="443"/>
      <c r="R339" s="62"/>
    </row>
    <row r="340" ht="15.75" customHeight="1">
      <c r="A340" s="438"/>
      <c r="B340" s="430"/>
      <c r="C340" s="275"/>
      <c r="D340" s="439"/>
      <c r="E340" s="254"/>
      <c r="F340" s="440"/>
      <c r="G340" s="441"/>
      <c r="H340" s="255"/>
      <c r="I340" s="442"/>
      <c r="J340" s="443"/>
      <c r="K340" s="443"/>
      <c r="R340" s="62"/>
    </row>
    <row r="341" ht="15.75" customHeight="1">
      <c r="A341" s="438"/>
      <c r="B341" s="430"/>
      <c r="C341" s="275"/>
      <c r="D341" s="439"/>
      <c r="E341" s="254"/>
      <c r="F341" s="440"/>
      <c r="G341" s="441"/>
      <c r="H341" s="255"/>
      <c r="I341" s="442"/>
      <c r="J341" s="443"/>
      <c r="K341" s="443"/>
      <c r="R341" s="62"/>
    </row>
    <row r="342" ht="15.75" customHeight="1">
      <c r="A342" s="438"/>
      <c r="B342" s="430"/>
      <c r="C342" s="275"/>
      <c r="D342" s="439"/>
      <c r="E342" s="254"/>
      <c r="F342" s="440"/>
      <c r="G342" s="441"/>
      <c r="H342" s="255"/>
      <c r="I342" s="442"/>
      <c r="J342" s="443"/>
      <c r="K342" s="443"/>
      <c r="R342" s="62"/>
    </row>
    <row r="343" ht="15.75" customHeight="1">
      <c r="A343" s="438"/>
      <c r="B343" s="430"/>
      <c r="C343" s="275"/>
      <c r="D343" s="439"/>
      <c r="E343" s="254"/>
      <c r="F343" s="440"/>
      <c r="G343" s="441"/>
      <c r="H343" s="255"/>
      <c r="I343" s="442"/>
      <c r="J343" s="443"/>
      <c r="K343" s="443"/>
      <c r="R343" s="62"/>
    </row>
    <row r="344" ht="15.75" customHeight="1">
      <c r="A344" s="438"/>
      <c r="B344" s="430"/>
      <c r="C344" s="275"/>
      <c r="D344" s="439"/>
      <c r="E344" s="254"/>
      <c r="F344" s="440"/>
      <c r="G344" s="441"/>
      <c r="H344" s="255"/>
      <c r="I344" s="442"/>
      <c r="J344" s="443"/>
      <c r="K344" s="443"/>
      <c r="R344" s="62"/>
    </row>
    <row r="345" ht="15.75" customHeight="1">
      <c r="A345" s="438"/>
      <c r="B345" s="430"/>
      <c r="C345" s="275"/>
      <c r="D345" s="439"/>
      <c r="E345" s="254"/>
      <c r="F345" s="440"/>
      <c r="G345" s="441"/>
      <c r="H345" s="255"/>
      <c r="I345" s="442"/>
      <c r="J345" s="443"/>
      <c r="K345" s="443"/>
      <c r="R345" s="62"/>
    </row>
    <row r="346" ht="15.75" customHeight="1">
      <c r="A346" s="438"/>
      <c r="B346" s="430"/>
      <c r="C346" s="275"/>
      <c r="D346" s="439"/>
      <c r="E346" s="254"/>
      <c r="F346" s="440"/>
      <c r="G346" s="441"/>
      <c r="H346" s="255"/>
      <c r="I346" s="442"/>
      <c r="J346" s="443"/>
      <c r="K346" s="443"/>
      <c r="R346" s="62"/>
    </row>
    <row r="347" ht="15.75" customHeight="1">
      <c r="A347" s="438"/>
      <c r="B347" s="430"/>
      <c r="C347" s="275"/>
      <c r="D347" s="439"/>
      <c r="E347" s="254"/>
      <c r="F347" s="440"/>
      <c r="G347" s="441"/>
      <c r="H347" s="255"/>
      <c r="I347" s="442"/>
      <c r="J347" s="443"/>
      <c r="K347" s="443"/>
      <c r="R347" s="62"/>
    </row>
    <row r="348" ht="15.75" customHeight="1">
      <c r="A348" s="438"/>
      <c r="B348" s="430"/>
      <c r="C348" s="275"/>
      <c r="D348" s="439"/>
      <c r="E348" s="254"/>
      <c r="F348" s="440"/>
      <c r="G348" s="441"/>
      <c r="H348" s="255"/>
      <c r="I348" s="442"/>
      <c r="J348" s="443"/>
      <c r="K348" s="443"/>
      <c r="R348" s="62"/>
    </row>
    <row r="349" ht="15.75" customHeight="1">
      <c r="A349" s="438"/>
      <c r="B349" s="430"/>
      <c r="C349" s="275"/>
      <c r="D349" s="439"/>
      <c r="E349" s="254"/>
      <c r="F349" s="440"/>
      <c r="G349" s="441"/>
      <c r="H349" s="255"/>
      <c r="I349" s="442"/>
      <c r="J349" s="443"/>
      <c r="K349" s="443"/>
      <c r="R349" s="62"/>
    </row>
    <row r="350" ht="15.75" customHeight="1">
      <c r="A350" s="438"/>
      <c r="B350" s="430"/>
      <c r="C350" s="275"/>
      <c r="D350" s="439"/>
      <c r="E350" s="254"/>
      <c r="F350" s="440"/>
      <c r="G350" s="441"/>
      <c r="H350" s="255"/>
      <c r="I350" s="442"/>
      <c r="J350" s="443"/>
      <c r="K350" s="443"/>
      <c r="R350" s="62"/>
    </row>
    <row r="351" ht="15.75" customHeight="1">
      <c r="A351" s="438"/>
      <c r="B351" s="430"/>
      <c r="C351" s="275"/>
      <c r="D351" s="439"/>
      <c r="E351" s="254"/>
      <c r="F351" s="440"/>
      <c r="G351" s="441"/>
      <c r="H351" s="255"/>
      <c r="I351" s="442"/>
      <c r="J351" s="443"/>
      <c r="K351" s="443"/>
      <c r="R351" s="62"/>
    </row>
    <row r="352" ht="15.75" customHeight="1">
      <c r="A352" s="438"/>
      <c r="B352" s="430"/>
      <c r="C352" s="275"/>
      <c r="D352" s="439"/>
      <c r="E352" s="254"/>
      <c r="F352" s="440"/>
      <c r="G352" s="441"/>
      <c r="H352" s="255"/>
      <c r="I352" s="442"/>
      <c r="J352" s="443"/>
      <c r="K352" s="443"/>
      <c r="R352" s="62"/>
    </row>
    <row r="353" ht="15.75" customHeight="1">
      <c r="A353" s="438"/>
      <c r="B353" s="430"/>
      <c r="C353" s="275"/>
      <c r="D353" s="439"/>
      <c r="E353" s="254"/>
      <c r="F353" s="440"/>
      <c r="G353" s="441"/>
      <c r="H353" s="255"/>
      <c r="I353" s="442"/>
      <c r="J353" s="443"/>
      <c r="K353" s="443"/>
      <c r="R353" s="62"/>
    </row>
    <row r="354" ht="15.75" customHeight="1">
      <c r="A354" s="438"/>
      <c r="B354" s="430"/>
      <c r="C354" s="275"/>
      <c r="D354" s="439"/>
      <c r="E354" s="254"/>
      <c r="F354" s="440"/>
      <c r="G354" s="441"/>
      <c r="H354" s="255"/>
      <c r="I354" s="442"/>
      <c r="J354" s="443"/>
      <c r="K354" s="443"/>
      <c r="R354" s="62"/>
    </row>
    <row r="355" ht="15.75" customHeight="1">
      <c r="A355" s="438"/>
      <c r="B355" s="430"/>
      <c r="C355" s="275"/>
      <c r="D355" s="439"/>
      <c r="E355" s="254"/>
      <c r="F355" s="440"/>
      <c r="G355" s="441"/>
      <c r="H355" s="255"/>
      <c r="I355" s="442"/>
      <c r="J355" s="443"/>
      <c r="K355" s="443"/>
      <c r="R355" s="62"/>
    </row>
    <row r="356" ht="15.75" customHeight="1">
      <c r="A356" s="438"/>
      <c r="B356" s="430"/>
      <c r="C356" s="275"/>
      <c r="D356" s="439"/>
      <c r="E356" s="254"/>
      <c r="F356" s="440"/>
      <c r="G356" s="441"/>
      <c r="H356" s="255"/>
      <c r="I356" s="442"/>
      <c r="J356" s="443"/>
      <c r="K356" s="443"/>
      <c r="R356" s="62"/>
    </row>
    <row r="357" ht="15.75" customHeight="1">
      <c r="A357" s="438"/>
      <c r="B357" s="430"/>
      <c r="C357" s="275"/>
      <c r="D357" s="439"/>
      <c r="E357" s="254"/>
      <c r="F357" s="440"/>
      <c r="G357" s="441"/>
      <c r="H357" s="255"/>
      <c r="I357" s="442"/>
      <c r="J357" s="443"/>
      <c r="K357" s="443"/>
      <c r="R357" s="62"/>
    </row>
    <row r="358" ht="15.75" customHeight="1">
      <c r="A358" s="438"/>
      <c r="B358" s="430"/>
      <c r="C358" s="275"/>
      <c r="D358" s="439"/>
      <c r="E358" s="254"/>
      <c r="F358" s="440"/>
      <c r="G358" s="441"/>
      <c r="H358" s="255"/>
      <c r="I358" s="442"/>
      <c r="J358" s="443"/>
      <c r="K358" s="443"/>
      <c r="R358" s="62"/>
    </row>
    <row r="359" ht="15.75" customHeight="1">
      <c r="A359" s="438"/>
      <c r="B359" s="430"/>
      <c r="C359" s="275"/>
      <c r="D359" s="439"/>
      <c r="E359" s="254"/>
      <c r="F359" s="440"/>
      <c r="G359" s="441"/>
      <c r="H359" s="255"/>
      <c r="I359" s="442"/>
      <c r="J359" s="443"/>
      <c r="K359" s="443"/>
      <c r="R359" s="62"/>
    </row>
    <row r="360" ht="15.75" customHeight="1">
      <c r="A360" s="438"/>
      <c r="B360" s="430"/>
      <c r="C360" s="275"/>
      <c r="D360" s="439"/>
      <c r="E360" s="254"/>
      <c r="F360" s="440"/>
      <c r="G360" s="441"/>
      <c r="H360" s="255"/>
      <c r="I360" s="442"/>
      <c r="J360" s="443"/>
      <c r="K360" s="443"/>
      <c r="R360" s="62"/>
    </row>
    <row r="361" ht="15.75" customHeight="1">
      <c r="A361" s="438"/>
      <c r="B361" s="430"/>
      <c r="C361" s="275"/>
      <c r="D361" s="439"/>
      <c r="E361" s="254"/>
      <c r="F361" s="440"/>
      <c r="G361" s="441"/>
      <c r="H361" s="255"/>
      <c r="I361" s="442"/>
      <c r="J361" s="443"/>
      <c r="K361" s="443"/>
      <c r="R361" s="62"/>
    </row>
    <row r="362" ht="15.75" customHeight="1">
      <c r="A362" s="438"/>
      <c r="B362" s="430"/>
      <c r="C362" s="275"/>
      <c r="D362" s="439"/>
      <c r="E362" s="254"/>
      <c r="F362" s="440"/>
      <c r="G362" s="441"/>
      <c r="H362" s="255"/>
      <c r="I362" s="442"/>
      <c r="J362" s="443"/>
      <c r="K362" s="443"/>
      <c r="R362" s="62"/>
    </row>
    <row r="363" ht="15.75" customHeight="1">
      <c r="A363" s="438"/>
      <c r="B363" s="430"/>
      <c r="C363" s="275"/>
      <c r="D363" s="439"/>
      <c r="E363" s="254"/>
      <c r="F363" s="440"/>
      <c r="G363" s="441"/>
      <c r="H363" s="255"/>
      <c r="I363" s="442"/>
      <c r="J363" s="443"/>
      <c r="K363" s="443"/>
      <c r="R363" s="62"/>
    </row>
    <row r="364" ht="15.75" customHeight="1">
      <c r="A364" s="438"/>
      <c r="B364" s="430"/>
      <c r="C364" s="275"/>
      <c r="D364" s="439"/>
      <c r="E364" s="254"/>
      <c r="F364" s="440"/>
      <c r="G364" s="441"/>
      <c r="H364" s="255"/>
      <c r="I364" s="442"/>
      <c r="J364" s="443"/>
      <c r="K364" s="443"/>
      <c r="R364" s="62"/>
    </row>
    <row r="365" ht="15.75" customHeight="1">
      <c r="A365" s="438"/>
      <c r="B365" s="430"/>
      <c r="C365" s="275"/>
      <c r="D365" s="439"/>
      <c r="E365" s="254"/>
      <c r="F365" s="440"/>
      <c r="G365" s="441"/>
      <c r="H365" s="255"/>
      <c r="I365" s="442"/>
      <c r="J365" s="443"/>
      <c r="K365" s="443"/>
      <c r="R365" s="62"/>
    </row>
    <row r="366" ht="15.75" customHeight="1">
      <c r="A366" s="438"/>
      <c r="B366" s="430"/>
      <c r="C366" s="275"/>
      <c r="D366" s="439"/>
      <c r="E366" s="254"/>
      <c r="F366" s="440"/>
      <c r="G366" s="441"/>
      <c r="H366" s="255"/>
      <c r="I366" s="442"/>
      <c r="J366" s="443"/>
      <c r="K366" s="443"/>
      <c r="R366" s="62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A1:K1"/>
    <mergeCell ref="A2:K2"/>
    <mergeCell ref="N4:Q4"/>
    <mergeCell ref="N5:Q5"/>
    <mergeCell ref="A19:K19"/>
    <mergeCell ref="N22:Q22"/>
    <mergeCell ref="N23:Q23"/>
    <mergeCell ref="A20:K20"/>
    <mergeCell ref="A37:K37"/>
    <mergeCell ref="A38:K38"/>
    <mergeCell ref="N40:Q40"/>
    <mergeCell ref="N41:Q41"/>
    <mergeCell ref="A55:K55"/>
    <mergeCell ref="A56:K56"/>
    <mergeCell ref="N58:Q58"/>
    <mergeCell ref="N59:Q59"/>
    <mergeCell ref="A73:K73"/>
    <mergeCell ref="A74:K74"/>
    <mergeCell ref="N76:Q76"/>
    <mergeCell ref="N77:Q77"/>
    <mergeCell ref="A91:K91"/>
    <mergeCell ref="A92:K92"/>
    <mergeCell ref="N94:Q94"/>
    <mergeCell ref="N95:Q95"/>
    <mergeCell ref="A109:K109"/>
    <mergeCell ref="A110:K110"/>
    <mergeCell ref="N112:Q112"/>
    <mergeCell ref="N113:Q113"/>
    <mergeCell ref="N149:Q149"/>
    <mergeCell ref="N164:Q164"/>
    <mergeCell ref="A127:K127"/>
    <mergeCell ref="A128:K128"/>
    <mergeCell ref="N130:Q130"/>
    <mergeCell ref="N131:Q131"/>
    <mergeCell ref="A145:K145"/>
    <mergeCell ref="A146:K146"/>
    <mergeCell ref="N148:Q148"/>
  </mergeCells>
  <dataValidations>
    <dataValidation type="list" allowBlank="1" showErrorMessage="1" sqref="I4:I15 I22:I33 I40:I51 I58:I69 I76:I87 I94:I105 I112:I123 I130:I141 I148:I159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5.0"/>
    <col customWidth="1" min="8" max="8" width="15.75"/>
    <col customWidth="1" min="9" max="9" width="20.38"/>
    <col customWidth="1" min="10" max="10" width="15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21" t="s">
        <v>3532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426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1980</v>
      </c>
      <c r="C4" s="69" t="str">
        <f t="shared" ref="C4:C15" si="1">PROPER(TEXT(DATE(MID($A$2,7,4),MID($A$2,4,2),LEFT($A$2,2)),"dddd"))</f>
        <v>Segunda-Feira</v>
      </c>
      <c r="D4" s="445" t="str">
        <f>IF(C4&lt;&gt;"Quarta-Feira","13:00","08:00")</f>
        <v>13:00</v>
      </c>
      <c r="E4" s="253" t="s">
        <v>3533</v>
      </c>
      <c r="F4" s="206">
        <v>7.07008869244239E14</v>
      </c>
      <c r="G4" s="125" t="s">
        <v>3534</v>
      </c>
      <c r="H4" s="126">
        <v>28114.0</v>
      </c>
      <c r="I4" s="30" t="s">
        <v>182</v>
      </c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95"/>
    </row>
    <row r="5" ht="15.75" customHeight="1">
      <c r="A5" s="11" t="s">
        <v>11</v>
      </c>
      <c r="B5" s="205" t="s">
        <v>1984</v>
      </c>
      <c r="C5" s="69" t="str">
        <f t="shared" si="1"/>
        <v>Segunda-Feira</v>
      </c>
      <c r="D5" s="445" t="str">
        <f>IF(C5&lt;&gt;"Quarta-Feira","13:20","08:20")</f>
        <v>13:20</v>
      </c>
      <c r="E5" s="253" t="s">
        <v>3535</v>
      </c>
      <c r="F5" s="206">
        <v>7.06802251042926E14</v>
      </c>
      <c r="G5" s="447" t="s">
        <v>3536</v>
      </c>
      <c r="H5" s="448">
        <v>17801.0</v>
      </c>
      <c r="I5" s="30" t="s">
        <v>182</v>
      </c>
      <c r="J5" s="69"/>
      <c r="K5" s="69"/>
      <c r="M5" s="236"/>
      <c r="N5" s="239" t="s">
        <v>1823</v>
      </c>
      <c r="O5" s="2"/>
      <c r="P5" s="2"/>
      <c r="Q5" s="2"/>
      <c r="R5" s="2"/>
    </row>
    <row r="6" ht="15.75" customHeight="1">
      <c r="A6" s="11" t="s">
        <v>12</v>
      </c>
      <c r="B6" s="205" t="s">
        <v>1988</v>
      </c>
      <c r="C6" s="69" t="str">
        <f t="shared" si="1"/>
        <v>Segunda-Feira</v>
      </c>
      <c r="D6" s="445" t="str">
        <f>IF(C6&lt;&gt;"Quarta-Feira","13:40","08:40")</f>
        <v>13:40</v>
      </c>
      <c r="E6" s="253" t="s">
        <v>3537</v>
      </c>
      <c r="F6" s="206">
        <v>7.02908519217179E14</v>
      </c>
      <c r="G6" s="125" t="s">
        <v>3538</v>
      </c>
      <c r="H6" s="126">
        <v>15497.0</v>
      </c>
      <c r="I6" s="30" t="s">
        <v>1822</v>
      </c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customHeight="1">
      <c r="A7" s="11" t="s">
        <v>13</v>
      </c>
      <c r="B7" s="205" t="s">
        <v>1991</v>
      </c>
      <c r="C7" s="69" t="str">
        <f t="shared" si="1"/>
        <v>Segunda-Feira</v>
      </c>
      <c r="D7" s="445" t="str">
        <f>IF(C7&lt;&gt;"Quarta-Feira","14:00","09:00")</f>
        <v>14:00</v>
      </c>
      <c r="E7" s="253"/>
      <c r="F7" s="69"/>
      <c r="G7" s="125" t="s">
        <v>3539</v>
      </c>
      <c r="H7" s="429"/>
      <c r="I7" s="30" t="s">
        <v>182</v>
      </c>
      <c r="J7" s="69"/>
      <c r="K7" s="69"/>
      <c r="M7" s="62"/>
      <c r="N7" s="244">
        <f t="shared" ref="N7:R7" si="2">COUNTIFS(I$4:I$15,N6)</f>
        <v>8</v>
      </c>
      <c r="O7" s="244">
        <f t="shared" si="2"/>
        <v>0</v>
      </c>
      <c r="P7" s="244">
        <f t="shared" si="2"/>
        <v>0</v>
      </c>
      <c r="Q7" s="244">
        <f t="shared" si="2"/>
        <v>0</v>
      </c>
      <c r="R7" s="449">
        <f t="shared" si="2"/>
        <v>0</v>
      </c>
      <c r="S7" s="343"/>
      <c r="T7" s="343"/>
      <c r="U7" s="343"/>
      <c r="V7" s="343"/>
      <c r="W7" s="343"/>
      <c r="X7" s="450"/>
    </row>
    <row r="8" ht="15.75" customHeight="1">
      <c r="A8" s="11" t="s">
        <v>14</v>
      </c>
      <c r="B8" s="205" t="s">
        <v>1980</v>
      </c>
      <c r="C8" s="69" t="str">
        <f t="shared" si="1"/>
        <v>Segunda-Feira</v>
      </c>
      <c r="D8" s="445" t="str">
        <f>IF(C8&lt;&gt;"Quarta-Feira","14:20","09:20")</f>
        <v>14:20</v>
      </c>
      <c r="E8" s="253" t="s">
        <v>3540</v>
      </c>
      <c r="F8" s="206">
        <v>2.0391029473E14</v>
      </c>
      <c r="G8" s="265" t="s">
        <v>3541</v>
      </c>
      <c r="H8" s="451">
        <v>18794.0</v>
      </c>
      <c r="I8" s="30" t="s">
        <v>182</v>
      </c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customHeight="1">
      <c r="A9" s="11" t="s">
        <v>15</v>
      </c>
      <c r="B9" s="205" t="s">
        <v>1984</v>
      </c>
      <c r="C9" s="69" t="str">
        <f t="shared" si="1"/>
        <v>Segunda-Feira</v>
      </c>
      <c r="D9" s="445" t="str">
        <f>IF(C9&lt;&gt;"Quarta-Feira","14:40","09:40")</f>
        <v>14:40</v>
      </c>
      <c r="E9" s="253" t="s">
        <v>3333</v>
      </c>
      <c r="F9" s="452">
        <v>7.05001673997355E14</v>
      </c>
      <c r="G9" s="447" t="s">
        <v>3334</v>
      </c>
      <c r="H9" s="448">
        <v>23701.0</v>
      </c>
      <c r="I9" s="30" t="s">
        <v>182</v>
      </c>
      <c r="J9" s="69"/>
      <c r="K9" s="69"/>
      <c r="L9" s="197" t="s">
        <v>393</v>
      </c>
      <c r="R9" s="62"/>
    </row>
    <row r="10" ht="15.75" customHeight="1">
      <c r="A10" s="11" t="s">
        <v>16</v>
      </c>
      <c r="B10" s="205" t="s">
        <v>1988</v>
      </c>
      <c r="C10" s="69" t="str">
        <f t="shared" si="1"/>
        <v>Segunda-Feira</v>
      </c>
      <c r="D10" s="445" t="str">
        <f>IF(C10&lt;&gt;"Quarta-Feira","15:00","10:00")</f>
        <v>15:00</v>
      </c>
      <c r="E10" s="253" t="s">
        <v>3542</v>
      </c>
      <c r="F10" s="206">
        <v>7.08505305299379E14</v>
      </c>
      <c r="G10" s="125" t="s">
        <v>158</v>
      </c>
      <c r="H10" s="126">
        <v>18621.0</v>
      </c>
      <c r="I10" s="30" t="s">
        <v>1822</v>
      </c>
      <c r="J10" s="69"/>
      <c r="K10" s="69"/>
      <c r="L10" s="197" t="s">
        <v>393</v>
      </c>
      <c r="R10" s="62"/>
    </row>
    <row r="11" ht="15.75" customHeight="1">
      <c r="A11" s="11" t="s">
        <v>17</v>
      </c>
      <c r="B11" s="205" t="s">
        <v>1991</v>
      </c>
      <c r="C11" s="69" t="str">
        <f t="shared" si="1"/>
        <v>Segunda-Feira</v>
      </c>
      <c r="D11" s="445" t="str">
        <f>IF(C11&lt;&gt;"Quarta-Feira","15:20","10:20")</f>
        <v>15:20</v>
      </c>
      <c r="E11" s="253" t="s">
        <v>2970</v>
      </c>
      <c r="F11" s="206">
        <v>7.00604480964664E14</v>
      </c>
      <c r="G11" s="125" t="s">
        <v>3543</v>
      </c>
      <c r="H11" s="432">
        <v>17857.0</v>
      </c>
      <c r="I11" s="30" t="s">
        <v>182</v>
      </c>
      <c r="J11" s="69"/>
      <c r="K11" s="69"/>
      <c r="L11" s="197" t="s">
        <v>393</v>
      </c>
      <c r="R11" s="62"/>
    </row>
    <row r="12" ht="15.75" customHeight="1">
      <c r="A12" s="11" t="s">
        <v>85</v>
      </c>
      <c r="B12" s="205" t="s">
        <v>1980</v>
      </c>
      <c r="C12" s="69" t="str">
        <f t="shared" si="1"/>
        <v>Segunda-Feira</v>
      </c>
      <c r="D12" s="445" t="str">
        <f>IF(C12&lt;&gt;"Quarta-Feira","15:40","10:40")</f>
        <v>15:40</v>
      </c>
      <c r="E12" s="253" t="s">
        <v>3544</v>
      </c>
      <c r="F12" s="69">
        <v>7.06501384156096E14</v>
      </c>
      <c r="G12" s="154" t="s">
        <v>3545</v>
      </c>
      <c r="H12" s="78">
        <v>17199.0</v>
      </c>
      <c r="I12" s="30" t="s">
        <v>182</v>
      </c>
      <c r="J12" s="69"/>
      <c r="K12" s="69"/>
      <c r="L12" s="197" t="s">
        <v>393</v>
      </c>
      <c r="R12" s="62"/>
    </row>
    <row r="13" ht="15.75" customHeight="1">
      <c r="A13" s="11" t="s">
        <v>87</v>
      </c>
      <c r="B13" s="205" t="s">
        <v>1984</v>
      </c>
      <c r="C13" s="69" t="str">
        <f t="shared" si="1"/>
        <v>Segunda-Feira</v>
      </c>
      <c r="D13" s="445" t="str">
        <f>IF(C13&lt;&gt;"Quarta-Feira","16:00","11:00")</f>
        <v>16:00</v>
      </c>
      <c r="E13" s="253" t="s">
        <v>3546</v>
      </c>
      <c r="F13" s="69">
        <v>7.00000024337409E14</v>
      </c>
      <c r="G13" s="154" t="s">
        <v>3547</v>
      </c>
      <c r="H13" s="153">
        <v>23467.0</v>
      </c>
      <c r="I13" s="30" t="s">
        <v>182</v>
      </c>
      <c r="J13" s="69"/>
      <c r="K13" s="69"/>
      <c r="L13" s="197" t="s">
        <v>393</v>
      </c>
      <c r="R13" s="62"/>
    </row>
    <row r="14" ht="15.75" customHeight="1">
      <c r="A14" s="11" t="s">
        <v>90</v>
      </c>
      <c r="B14" s="205" t="s">
        <v>1988</v>
      </c>
      <c r="C14" s="69" t="str">
        <f t="shared" si="1"/>
        <v>Segunda-Feira</v>
      </c>
      <c r="D14" s="445" t="str">
        <f>IF(C14&lt;&gt;"Quarta-Feira","16:20","11:20")</f>
        <v>16:20</v>
      </c>
      <c r="E14" s="253" t="s">
        <v>3548</v>
      </c>
      <c r="F14" s="69">
        <v>7.05607432857113E14</v>
      </c>
      <c r="G14" s="154" t="s">
        <v>3549</v>
      </c>
      <c r="H14" s="153">
        <v>20109.0</v>
      </c>
      <c r="I14" s="30" t="s">
        <v>1822</v>
      </c>
      <c r="J14" s="69"/>
      <c r="K14" s="69"/>
      <c r="L14" s="197" t="s">
        <v>393</v>
      </c>
      <c r="R14" s="62"/>
    </row>
    <row r="15" ht="15.75" customHeight="1">
      <c r="A15" s="11" t="s">
        <v>93</v>
      </c>
      <c r="B15" s="205" t="s">
        <v>1991</v>
      </c>
      <c r="C15" s="69" t="str">
        <f t="shared" si="1"/>
        <v>Segunda-Feira</v>
      </c>
      <c r="D15" s="445" t="str">
        <f>IF(C15&lt;&gt;"Quarta-Feira","16:40","11:40")</f>
        <v>16:40</v>
      </c>
      <c r="E15" s="253" t="s">
        <v>3550</v>
      </c>
      <c r="F15" s="69">
        <v>7.0520042934817E14</v>
      </c>
      <c r="G15" s="154" t="s">
        <v>3551</v>
      </c>
      <c r="H15" s="153">
        <v>18851.0</v>
      </c>
      <c r="I15" s="30" t="s">
        <v>1822</v>
      </c>
      <c r="J15" s="69"/>
      <c r="K15" s="69"/>
      <c r="L15" s="197" t="s">
        <v>393</v>
      </c>
      <c r="R15" s="62"/>
    </row>
    <row r="16" ht="15.75" customHeight="1">
      <c r="B16" s="167"/>
      <c r="E16" s="231"/>
      <c r="G16" s="167"/>
      <c r="J16" s="62"/>
      <c r="K16" s="62"/>
      <c r="R16" s="62"/>
    </row>
    <row r="17" ht="15.75" customHeight="1">
      <c r="B17" s="167"/>
      <c r="E17" s="231"/>
      <c r="G17" s="167"/>
      <c r="J17" s="62"/>
      <c r="K17" s="62"/>
      <c r="R17" s="62"/>
    </row>
    <row r="18" ht="15.75" customHeight="1">
      <c r="B18" s="167"/>
      <c r="E18" s="231"/>
      <c r="G18" s="167"/>
      <c r="J18" s="62"/>
      <c r="K18" s="62"/>
      <c r="R18" s="62"/>
    </row>
    <row r="19" ht="15.75" customHeight="1">
      <c r="A19" s="20" t="s">
        <v>377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22.5" customHeight="1">
      <c r="A20" s="21" t="str">
        <f>TEXT(DATE(VALUE(MID(A2,7,4)),VALUE(MID(A2,4,2)),VALUE(LEFT(A2,2)))+2,"dd/mm/yyyy")&amp;" 08h às 13h"</f>
        <v>03/06/2026 08h às 13h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7.25" customHeight="1">
      <c r="A21" s="22"/>
      <c r="B21" s="426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125" t="s">
        <v>65</v>
      </c>
      <c r="C22" s="69" t="str">
        <f t="shared" ref="C22:C33" si="3">PROPER(TEXT(DATE(MID($A$20,7,4),MID($A$20,4,2),LEFT($A$20,2)),"dddd"))</f>
        <v>Quarta-Feira</v>
      </c>
      <c r="D22" s="445" t="str">
        <f>IF(C22&lt;&gt;"Quarta-Feira","13:00","08:00")</f>
        <v>08:00</v>
      </c>
      <c r="E22" s="253" t="s">
        <v>1116</v>
      </c>
      <c r="F22" s="69">
        <v>7.01807288524677E14</v>
      </c>
      <c r="G22" s="154" t="s">
        <v>1117</v>
      </c>
      <c r="H22" s="156">
        <v>16163.0</v>
      </c>
      <c r="I22" s="69" t="s">
        <v>182</v>
      </c>
      <c r="J22" s="69"/>
      <c r="K22" s="69"/>
      <c r="N22" s="237" t="s">
        <v>386</v>
      </c>
      <c r="O22" s="95"/>
      <c r="P22" s="95"/>
      <c r="Q22" s="95"/>
      <c r="R22" s="95"/>
    </row>
    <row r="23" ht="15.75" customHeight="1">
      <c r="A23" s="11" t="s">
        <v>11</v>
      </c>
      <c r="B23" s="125" t="s">
        <v>201</v>
      </c>
      <c r="C23" s="69" t="str">
        <f t="shared" si="3"/>
        <v>Quarta-Feira</v>
      </c>
      <c r="D23" s="445" t="str">
        <f>IF(C23&lt;&gt;"Quarta-Feira","13:20","08:20")</f>
        <v>08:20</v>
      </c>
      <c r="E23" s="253" t="s">
        <v>3231</v>
      </c>
      <c r="F23" s="69">
        <v>7.00201449859227E14</v>
      </c>
      <c r="G23" s="154" t="s">
        <v>3232</v>
      </c>
      <c r="H23" s="153">
        <v>28937.0</v>
      </c>
      <c r="I23" s="69" t="s">
        <v>1822</v>
      </c>
      <c r="J23" s="69"/>
      <c r="K23" s="69"/>
      <c r="N23" s="239" t="s">
        <v>1823</v>
      </c>
      <c r="O23" s="2"/>
      <c r="P23" s="2"/>
      <c r="Q23" s="2"/>
      <c r="R23" s="2"/>
    </row>
    <row r="24" ht="15.75" customHeight="1">
      <c r="A24" s="11" t="s">
        <v>12</v>
      </c>
      <c r="B24" s="125" t="s">
        <v>1447</v>
      </c>
      <c r="C24" s="69" t="str">
        <f t="shared" si="3"/>
        <v>Quarta-Feira</v>
      </c>
      <c r="D24" s="445" t="str">
        <f>IF(C24&lt;&gt;"Quarta-Feira","13:40","08:40")</f>
        <v>08:40</v>
      </c>
      <c r="E24" s="253" t="s">
        <v>3552</v>
      </c>
      <c r="F24" s="69">
        <v>7.00101990636016E14</v>
      </c>
      <c r="G24" s="154" t="s">
        <v>3553</v>
      </c>
      <c r="H24" s="153">
        <v>15855.0</v>
      </c>
      <c r="I24" s="69" t="s">
        <v>182</v>
      </c>
      <c r="J24" s="69"/>
      <c r="K24" s="69"/>
      <c r="N24" s="240" t="s">
        <v>182</v>
      </c>
      <c r="O24" s="241" t="s">
        <v>194</v>
      </c>
      <c r="P24" s="241" t="s">
        <v>180</v>
      </c>
      <c r="Q24" s="242" t="s">
        <v>172</v>
      </c>
      <c r="R24" s="242" t="s">
        <v>1822</v>
      </c>
    </row>
    <row r="25" ht="15.75" customHeight="1">
      <c r="A25" s="11" t="s">
        <v>13</v>
      </c>
      <c r="B25" s="125" t="s">
        <v>821</v>
      </c>
      <c r="C25" s="69" t="str">
        <f t="shared" si="3"/>
        <v>Quarta-Feira</v>
      </c>
      <c r="D25" s="445" t="str">
        <f>IF(C25&lt;&gt;"Quarta-Feira","14:00","09:00")</f>
        <v>09:00</v>
      </c>
      <c r="E25" s="253" t="s">
        <v>3554</v>
      </c>
      <c r="F25" s="69">
        <v>8.01440441133407E14</v>
      </c>
      <c r="G25" s="154" t="s">
        <v>3555</v>
      </c>
      <c r="H25" s="153">
        <v>23816.0</v>
      </c>
      <c r="I25" s="69" t="s">
        <v>182</v>
      </c>
      <c r="J25" s="69"/>
      <c r="K25" s="69"/>
      <c r="L25" s="197" t="s">
        <v>441</v>
      </c>
      <c r="N25" s="244">
        <f>COUNTIFS(I$22:I$33,N24)</f>
        <v>9</v>
      </c>
      <c r="O25" s="244">
        <f t="shared" ref="O25:R25" si="4">COUNTIFS($I$22:$I$33,O24)</f>
        <v>0</v>
      </c>
      <c r="P25" s="244">
        <f t="shared" si="4"/>
        <v>0</v>
      </c>
      <c r="Q25" s="244">
        <f t="shared" si="4"/>
        <v>0</v>
      </c>
      <c r="R25" s="62">
        <f t="shared" si="4"/>
        <v>3</v>
      </c>
    </row>
    <row r="26" ht="15.75" customHeight="1">
      <c r="A26" s="11" t="s">
        <v>14</v>
      </c>
      <c r="B26" s="125" t="s">
        <v>201</v>
      </c>
      <c r="C26" s="69" t="str">
        <f t="shared" si="3"/>
        <v>Quarta-Feira</v>
      </c>
      <c r="D26" s="445" t="str">
        <f>IF(C26&lt;&gt;"Quarta-Feira","14:20","09:20")</f>
        <v>09:20</v>
      </c>
      <c r="E26" s="253" t="s">
        <v>3556</v>
      </c>
      <c r="F26" s="69">
        <v>8.98005922591853E14</v>
      </c>
      <c r="G26" s="154" t="s">
        <v>3557</v>
      </c>
      <c r="H26" s="153">
        <v>42240.0</v>
      </c>
      <c r="I26" s="69" t="s">
        <v>1822</v>
      </c>
      <c r="J26" s="69"/>
      <c r="K26" s="69"/>
      <c r="L26" s="197" t="s">
        <v>441</v>
      </c>
      <c r="R26" s="62"/>
    </row>
    <row r="27" ht="15.75" customHeight="1">
      <c r="A27" s="11" t="s">
        <v>15</v>
      </c>
      <c r="B27" s="125" t="s">
        <v>1447</v>
      </c>
      <c r="C27" s="69" t="str">
        <f t="shared" si="3"/>
        <v>Quarta-Feira</v>
      </c>
      <c r="D27" s="445" t="str">
        <f>IF(C27&lt;&gt;"Quarta-Feira","14:40","09:40")</f>
        <v>09:40</v>
      </c>
      <c r="E27" s="253" t="s">
        <v>3558</v>
      </c>
      <c r="F27" s="69">
        <v>7.00006996919902E14</v>
      </c>
      <c r="G27" s="154" t="s">
        <v>3559</v>
      </c>
      <c r="H27" s="153">
        <v>29314.0</v>
      </c>
      <c r="I27" s="69" t="s">
        <v>182</v>
      </c>
      <c r="J27" s="69"/>
      <c r="K27" s="69"/>
      <c r="L27" s="197" t="s">
        <v>441</v>
      </c>
      <c r="R27" s="62"/>
    </row>
    <row r="28" ht="15.75" customHeight="1">
      <c r="A28" s="11" t="s">
        <v>16</v>
      </c>
      <c r="B28" s="125" t="s">
        <v>65</v>
      </c>
      <c r="C28" s="69" t="str">
        <f t="shared" si="3"/>
        <v>Quarta-Feira</v>
      </c>
      <c r="D28" s="445" t="str">
        <f>IF(C28&lt;&gt;"Quarta-Feira","15:00","10:00")</f>
        <v>10:00</v>
      </c>
      <c r="E28" s="253" t="s">
        <v>3560</v>
      </c>
      <c r="F28" s="69">
        <v>8.01440421397581E14</v>
      </c>
      <c r="G28" s="154" t="s">
        <v>2363</v>
      </c>
      <c r="H28" s="153">
        <v>20627.0</v>
      </c>
      <c r="I28" s="69" t="s">
        <v>182</v>
      </c>
      <c r="J28" s="69"/>
      <c r="K28" s="69"/>
      <c r="L28" s="197" t="s">
        <v>441</v>
      </c>
      <c r="R28" s="62"/>
    </row>
    <row r="29" ht="15.75" customHeight="1">
      <c r="A29" s="11" t="s">
        <v>17</v>
      </c>
      <c r="B29" s="125" t="s">
        <v>201</v>
      </c>
      <c r="C29" s="69" t="str">
        <f t="shared" si="3"/>
        <v>Quarta-Feira</v>
      </c>
      <c r="D29" s="445" t="str">
        <f>IF(C29&lt;&gt;"Quarta-Feira","15:20","10:20")</f>
        <v>10:20</v>
      </c>
      <c r="E29" s="253" t="s">
        <v>3561</v>
      </c>
      <c r="F29" s="69">
        <v>7.06401645641783E14</v>
      </c>
      <c r="G29" s="154" t="s">
        <v>3562</v>
      </c>
      <c r="H29" s="153">
        <v>27806.0</v>
      </c>
      <c r="I29" s="69" t="s">
        <v>1822</v>
      </c>
      <c r="J29" s="69"/>
      <c r="K29" s="69"/>
      <c r="L29" s="197" t="s">
        <v>441</v>
      </c>
      <c r="R29" s="62"/>
    </row>
    <row r="30" ht="15.75" customHeight="1">
      <c r="A30" s="11" t="s">
        <v>85</v>
      </c>
      <c r="B30" s="125" t="s">
        <v>821</v>
      </c>
      <c r="C30" s="69" t="str">
        <f t="shared" si="3"/>
        <v>Quarta-Feira</v>
      </c>
      <c r="D30" s="445" t="str">
        <f>IF(C30&lt;&gt;"Quarta-Feira","15:40","10:40")</f>
        <v>10:40</v>
      </c>
      <c r="E30" s="253" t="s">
        <v>3563</v>
      </c>
      <c r="F30" s="69">
        <v>7.01404637001233E14</v>
      </c>
      <c r="G30" s="154" t="s">
        <v>3564</v>
      </c>
      <c r="H30" s="153">
        <v>20792.0</v>
      </c>
      <c r="I30" s="69" t="s">
        <v>182</v>
      </c>
      <c r="J30" s="69"/>
      <c r="K30" s="69"/>
      <c r="R30" s="62"/>
    </row>
    <row r="31" ht="15.75" customHeight="1">
      <c r="A31" s="11" t="s">
        <v>87</v>
      </c>
      <c r="B31" s="125" t="s">
        <v>1447</v>
      </c>
      <c r="C31" s="69" t="str">
        <f t="shared" si="3"/>
        <v>Quarta-Feira</v>
      </c>
      <c r="D31" s="445" t="str">
        <f>IF(C31&lt;&gt;"Quarta-Feira","16:00","11:00")</f>
        <v>11:00</v>
      </c>
      <c r="E31" s="253" t="s">
        <v>3565</v>
      </c>
      <c r="F31" s="69">
        <v>7.02608291896149E14</v>
      </c>
      <c r="G31" s="154" t="s">
        <v>3566</v>
      </c>
      <c r="H31" s="153">
        <v>19682.0</v>
      </c>
      <c r="I31" s="69" t="s">
        <v>182</v>
      </c>
      <c r="J31" s="69"/>
      <c r="K31" s="69"/>
      <c r="L31" s="197" t="s">
        <v>454</v>
      </c>
      <c r="R31" s="62"/>
    </row>
    <row r="32" ht="15.75" customHeight="1">
      <c r="A32" s="11" t="s">
        <v>90</v>
      </c>
      <c r="B32" s="125" t="s">
        <v>821</v>
      </c>
      <c r="C32" s="69" t="str">
        <f t="shared" si="3"/>
        <v>Quarta-Feira</v>
      </c>
      <c r="D32" s="445" t="str">
        <f>IF(C32&lt;&gt;"Quarta-Feira","16:20","11:20")</f>
        <v>11:20</v>
      </c>
      <c r="E32" s="253" t="s">
        <v>3567</v>
      </c>
      <c r="F32" s="69">
        <v>7.00002284818808E14</v>
      </c>
      <c r="G32" s="154" t="s">
        <v>3568</v>
      </c>
      <c r="H32" s="153">
        <v>24010.0</v>
      </c>
      <c r="I32" s="69" t="s">
        <v>182</v>
      </c>
      <c r="J32" s="69"/>
      <c r="K32" s="69"/>
      <c r="R32" s="62"/>
    </row>
    <row r="33" ht="15.75" customHeight="1">
      <c r="A33" s="11" t="s">
        <v>93</v>
      </c>
      <c r="B33" s="125" t="s">
        <v>65</v>
      </c>
      <c r="C33" s="69" t="str">
        <f t="shared" si="3"/>
        <v>Quarta-Feira</v>
      </c>
      <c r="D33" s="445" t="str">
        <f>IF(C33&lt;&gt;"Quarta-Feira","16:40","11:40")</f>
        <v>11:40</v>
      </c>
      <c r="E33" s="253" t="s">
        <v>1443</v>
      </c>
      <c r="F33" s="69">
        <v>7.0700588833743E14</v>
      </c>
      <c r="G33" s="154" t="s">
        <v>1444</v>
      </c>
      <c r="H33" s="153">
        <v>19761.0</v>
      </c>
      <c r="I33" s="69" t="s">
        <v>182</v>
      </c>
      <c r="J33" s="69"/>
      <c r="K33" s="69"/>
      <c r="R33" s="62"/>
    </row>
    <row r="34" ht="15.75" customHeight="1">
      <c r="B34" s="167"/>
      <c r="E34" s="231"/>
      <c r="G34" s="167"/>
      <c r="J34" s="62"/>
      <c r="K34" s="62"/>
      <c r="R34" s="62"/>
    </row>
    <row r="35" ht="15.75" customHeight="1">
      <c r="B35" s="167"/>
      <c r="E35" s="231"/>
      <c r="G35" s="167"/>
      <c r="J35" s="62"/>
      <c r="K35" s="62"/>
      <c r="R35" s="62"/>
    </row>
    <row r="36" ht="15.75" customHeight="1">
      <c r="B36" s="167"/>
      <c r="E36" s="231"/>
      <c r="G36" s="167"/>
      <c r="J36" s="62"/>
      <c r="K36" s="62"/>
      <c r="R36" s="62"/>
    </row>
    <row r="37" ht="15.75" customHeight="1">
      <c r="A37" s="20" t="s">
        <v>377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1" t="str">
        <f>TEXT(DATE(VALUE(MID(A20,7,4)),VALUE(MID(A20,4,2)),VALUE(LEFT(A20,2)))+2,"dd/mm/yyyy")&amp;" 13h às 17h"</f>
        <v>05/06/2026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426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125" t="s">
        <v>757</v>
      </c>
      <c r="C40" s="69" t="str">
        <f t="shared" ref="C40:C51" si="5">PROPER(TEXT(DATE(MID($A$38,7,4),MID($A$38,4,2),LEFT($A$38,2)),"dddd"))</f>
        <v>Sexta-Feira</v>
      </c>
      <c r="D40" s="445" t="str">
        <f>IF(C40&lt;&gt;"Quarta-Feira","13:00","08:00")</f>
        <v>13:00</v>
      </c>
      <c r="E40" s="507"/>
      <c r="F40" s="389"/>
      <c r="G40" s="119" t="s">
        <v>2925</v>
      </c>
      <c r="H40" s="508"/>
      <c r="I40" s="30"/>
      <c r="J40" s="69"/>
      <c r="K40" s="69"/>
      <c r="N40" s="237" t="s">
        <v>386</v>
      </c>
      <c r="O40" s="95"/>
      <c r="P40" s="95"/>
      <c r="Q40" s="95"/>
      <c r="R40" s="95"/>
    </row>
    <row r="41" ht="15.75" customHeight="1">
      <c r="A41" s="11" t="s">
        <v>15</v>
      </c>
      <c r="B41" s="125" t="s">
        <v>1467</v>
      </c>
      <c r="C41" s="69" t="str">
        <f t="shared" si="5"/>
        <v>Sexta-Feira</v>
      </c>
      <c r="D41" s="445" t="str">
        <f>IF(C41&lt;&gt;"Quarta-Feira","13:20","08:20")</f>
        <v>13:20</v>
      </c>
      <c r="E41" s="507"/>
      <c r="F41" s="389"/>
      <c r="G41" s="119" t="s">
        <v>2925</v>
      </c>
      <c r="H41" s="508"/>
      <c r="I41" s="30"/>
      <c r="J41" s="69"/>
      <c r="K41" s="69"/>
      <c r="R41" s="62"/>
    </row>
    <row r="42" ht="15.75" customHeight="1">
      <c r="A42" s="11" t="s">
        <v>12</v>
      </c>
      <c r="B42" s="125" t="s">
        <v>216</v>
      </c>
      <c r="C42" s="69" t="str">
        <f t="shared" si="5"/>
        <v>Sexta-Feira</v>
      </c>
      <c r="D42" s="445" t="str">
        <f>IF(C42&lt;&gt;"Quarta-Feira","13:40","08:40")</f>
        <v>13:40</v>
      </c>
      <c r="E42" s="507"/>
      <c r="F42" s="389"/>
      <c r="G42" s="119" t="s">
        <v>2925</v>
      </c>
      <c r="H42" s="508"/>
      <c r="I42" s="30"/>
      <c r="J42" s="69"/>
      <c r="K42" s="69"/>
      <c r="N42" s="240" t="s">
        <v>182</v>
      </c>
      <c r="O42" s="241" t="s">
        <v>194</v>
      </c>
      <c r="P42" s="241" t="s">
        <v>180</v>
      </c>
      <c r="Q42" s="242" t="s">
        <v>172</v>
      </c>
      <c r="R42" s="62" t="s">
        <v>1822</v>
      </c>
    </row>
    <row r="43" ht="15.75" customHeight="1">
      <c r="A43" s="11" t="s">
        <v>13</v>
      </c>
      <c r="B43" s="125" t="s">
        <v>197</v>
      </c>
      <c r="C43" s="69" t="str">
        <f t="shared" si="5"/>
        <v>Sexta-Feira</v>
      </c>
      <c r="D43" s="445" t="str">
        <f>IF(C43&lt;&gt;"Quarta-Feira","14:00","09:00")</f>
        <v>14:00</v>
      </c>
      <c r="E43" s="507"/>
      <c r="F43" s="389"/>
      <c r="G43" s="119" t="s">
        <v>2925</v>
      </c>
      <c r="H43" s="508"/>
      <c r="I43" s="30"/>
      <c r="J43" s="69"/>
      <c r="K43" s="69"/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0</v>
      </c>
    </row>
    <row r="44" ht="15.75" customHeight="1">
      <c r="A44" s="11" t="s">
        <v>14</v>
      </c>
      <c r="B44" s="125" t="s">
        <v>757</v>
      </c>
      <c r="C44" s="69" t="str">
        <f t="shared" si="5"/>
        <v>Sexta-Feira</v>
      </c>
      <c r="D44" s="445" t="str">
        <f>IF(C44&lt;&gt;"Quarta-Feira","14:20","09:20")</f>
        <v>14:20</v>
      </c>
      <c r="E44" s="507"/>
      <c r="F44" s="389"/>
      <c r="G44" s="119" t="s">
        <v>2925</v>
      </c>
      <c r="H44" s="508"/>
      <c r="I44" s="30"/>
      <c r="J44" s="69"/>
      <c r="K44" s="69"/>
      <c r="R44" s="62"/>
    </row>
    <row r="45" ht="15.75" customHeight="1">
      <c r="A45" s="11" t="s">
        <v>11</v>
      </c>
      <c r="B45" s="125" t="s">
        <v>1467</v>
      </c>
      <c r="C45" s="69" t="str">
        <f t="shared" si="5"/>
        <v>Sexta-Feira</v>
      </c>
      <c r="D45" s="445" t="str">
        <f>IF(C45&lt;&gt;"Quarta-Feira","14:40","09:40")</f>
        <v>14:40</v>
      </c>
      <c r="E45" s="507"/>
      <c r="F45" s="389"/>
      <c r="G45" s="119" t="s">
        <v>2925</v>
      </c>
      <c r="H45" s="509"/>
      <c r="I45" s="30"/>
      <c r="J45" s="69"/>
      <c r="K45" s="69"/>
      <c r="N45" s="239" t="s">
        <v>1823</v>
      </c>
      <c r="O45" s="2"/>
      <c r="P45" s="2"/>
      <c r="Q45" s="2"/>
      <c r="R45" s="2"/>
    </row>
    <row r="46" ht="15.75" customHeight="1">
      <c r="A46" s="11" t="s">
        <v>16</v>
      </c>
      <c r="B46" s="125" t="s">
        <v>216</v>
      </c>
      <c r="C46" s="69" t="str">
        <f t="shared" si="5"/>
        <v>Sexta-Feira</v>
      </c>
      <c r="D46" s="445" t="str">
        <f>IF(C46&lt;&gt;"Quarta-Feira","15:00","10:00")</f>
        <v>15:00</v>
      </c>
      <c r="E46" s="507"/>
      <c r="F46" s="389"/>
      <c r="G46" s="119" t="s">
        <v>2925</v>
      </c>
      <c r="H46" s="508"/>
      <c r="I46" s="30"/>
      <c r="J46" s="69"/>
      <c r="K46" s="69"/>
      <c r="R46" s="62"/>
    </row>
    <row r="47" ht="15.75" customHeight="1">
      <c r="A47" s="11" t="s">
        <v>17</v>
      </c>
      <c r="B47" s="125" t="s">
        <v>197</v>
      </c>
      <c r="C47" s="69" t="str">
        <f t="shared" si="5"/>
        <v>Sexta-Feira</v>
      </c>
      <c r="D47" s="445" t="str">
        <f>IF(C47&lt;&gt;"Quarta-Feira","15:20","10:20")</f>
        <v>15:20</v>
      </c>
      <c r="E47" s="507"/>
      <c r="F47" s="389"/>
      <c r="G47" s="119" t="s">
        <v>2925</v>
      </c>
      <c r="H47" s="508"/>
      <c r="I47" s="30"/>
      <c r="J47" s="69"/>
      <c r="K47" s="69"/>
      <c r="R47" s="62"/>
    </row>
    <row r="48" ht="15.75" customHeight="1">
      <c r="A48" s="11" t="s">
        <v>85</v>
      </c>
      <c r="B48" s="125" t="s">
        <v>1467</v>
      </c>
      <c r="C48" s="69" t="str">
        <f t="shared" si="5"/>
        <v>Sexta-Feira</v>
      </c>
      <c r="D48" s="445" t="str">
        <f>IF(C48&lt;&gt;"Quarta-Feira","15:40","10:40")</f>
        <v>15:40</v>
      </c>
      <c r="E48" s="507"/>
      <c r="F48" s="389"/>
      <c r="G48" s="119" t="s">
        <v>2925</v>
      </c>
      <c r="H48" s="508"/>
      <c r="I48" s="30"/>
      <c r="J48" s="69"/>
      <c r="K48" s="69"/>
      <c r="R48" s="62"/>
    </row>
    <row r="49" ht="15.75" customHeight="1">
      <c r="A49" s="11" t="s">
        <v>87</v>
      </c>
      <c r="B49" s="125" t="s">
        <v>757</v>
      </c>
      <c r="C49" s="69" t="str">
        <f t="shared" si="5"/>
        <v>Sexta-Feira</v>
      </c>
      <c r="D49" s="445" t="str">
        <f>IF(C49&lt;&gt;"Quarta-Feira","16:00","11:00")</f>
        <v>16:00</v>
      </c>
      <c r="E49" s="507"/>
      <c r="F49" s="510"/>
      <c r="G49" s="119" t="s">
        <v>2925</v>
      </c>
      <c r="H49" s="508"/>
      <c r="I49" s="30"/>
      <c r="J49" s="69"/>
      <c r="K49" s="69"/>
      <c r="R49" s="62"/>
    </row>
    <row r="50" ht="15.75" customHeight="1">
      <c r="A50" s="11" t="s">
        <v>90</v>
      </c>
      <c r="B50" s="125" t="s">
        <v>757</v>
      </c>
      <c r="C50" s="69" t="str">
        <f t="shared" si="5"/>
        <v>Sexta-Feira</v>
      </c>
      <c r="D50" s="445" t="str">
        <f>IF(C50&lt;&gt;"Quarta-Feira","16:20","11:20")</f>
        <v>16:20</v>
      </c>
      <c r="E50" s="507"/>
      <c r="F50" s="389"/>
      <c r="G50" s="119" t="s">
        <v>2925</v>
      </c>
      <c r="H50" s="511"/>
      <c r="I50" s="30"/>
      <c r="J50" s="69"/>
      <c r="K50" s="69"/>
      <c r="R50" s="62"/>
    </row>
    <row r="51" ht="15.75" customHeight="1">
      <c r="A51" s="11" t="s">
        <v>93</v>
      </c>
      <c r="B51" s="125" t="s">
        <v>757</v>
      </c>
      <c r="C51" s="69" t="str">
        <f t="shared" si="5"/>
        <v>Sexta-Feira</v>
      </c>
      <c r="D51" s="445" t="str">
        <f>IF(C51&lt;&gt;"Quarta-Feira","16:40","11:40")</f>
        <v>16:40</v>
      </c>
      <c r="E51" s="507"/>
      <c r="F51" s="389"/>
      <c r="G51" s="119" t="s">
        <v>2925</v>
      </c>
      <c r="H51" s="508"/>
      <c r="I51" s="30"/>
      <c r="J51" s="69"/>
      <c r="K51" s="69"/>
      <c r="R51" s="62"/>
    </row>
    <row r="52" ht="15.75" customHeight="1">
      <c r="B52" s="167"/>
      <c r="E52" s="454"/>
      <c r="G52" s="167"/>
      <c r="J52" s="62"/>
      <c r="K52" s="62"/>
      <c r="R52" s="62"/>
    </row>
    <row r="53" ht="15.75" customHeight="1">
      <c r="B53" s="167"/>
      <c r="E53" s="231"/>
      <c r="G53" s="167"/>
      <c r="J53" s="62"/>
      <c r="K53" s="62"/>
      <c r="R53" s="62"/>
    </row>
    <row r="54" ht="15.75" customHeight="1">
      <c r="B54" s="167"/>
      <c r="E54" s="231"/>
      <c r="G54" s="167"/>
      <c r="J54" s="62"/>
      <c r="K54" s="62"/>
      <c r="R54" s="62"/>
    </row>
    <row r="55" ht="15.75" customHeight="1">
      <c r="A55" s="20" t="s">
        <v>377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TEXT(DATE(VALUE(MID(A2,7,4)),VALUE(MID(A2,4,2)),VALUE(LEFT(A2,2)))+7,"dd/mm/yyyy")&amp;" 13h às 17h"</f>
        <v>08/06/2026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426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8.75" customHeight="1">
      <c r="A58" s="11" t="s">
        <v>10</v>
      </c>
      <c r="B58" s="125" t="s">
        <v>1357</v>
      </c>
      <c r="C58" s="69" t="str">
        <f>PROPER(TEXT(DATE(MID($A$56,7,4),MID($A$56,4,2),LEFT($A$56,2)),"dddd"))</f>
        <v>Segunda-Feira</v>
      </c>
      <c r="D58" s="445" t="str">
        <f>IF(C58&lt;&gt;"Quarta-Feira","13:00","08:00")</f>
        <v>13:00</v>
      </c>
      <c r="E58" s="253" t="s">
        <v>3569</v>
      </c>
      <c r="F58" s="69">
        <v>7.04506338772012E14</v>
      </c>
      <c r="G58" s="154" t="s">
        <v>3570</v>
      </c>
      <c r="H58" s="455">
        <v>20202.0</v>
      </c>
      <c r="I58" s="30" t="s">
        <v>182</v>
      </c>
      <c r="J58" s="69"/>
      <c r="K58" s="69"/>
      <c r="N58" s="237" t="s">
        <v>386</v>
      </c>
      <c r="O58" s="95"/>
      <c r="P58" s="95"/>
      <c r="Q58" s="95"/>
      <c r="R58" s="95"/>
    </row>
    <row r="59" ht="15.75" customHeight="1">
      <c r="A59" s="11" t="s">
        <v>11</v>
      </c>
      <c r="B59" s="125" t="s">
        <v>1358</v>
      </c>
      <c r="C59" s="69" t="s">
        <v>1294</v>
      </c>
      <c r="D59" s="445" t="str">
        <f>IF(C59&lt;&gt;"Quarta-Feira","13:20","08:20")</f>
        <v>13:20</v>
      </c>
      <c r="E59" s="253" t="s">
        <v>3571</v>
      </c>
      <c r="F59" s="69">
        <v>7.02309181081713E14</v>
      </c>
      <c r="G59" s="154" t="s">
        <v>1298</v>
      </c>
      <c r="H59" s="193">
        <v>23744.0</v>
      </c>
      <c r="I59" s="30" t="s">
        <v>1822</v>
      </c>
      <c r="J59" s="69"/>
      <c r="K59" s="69"/>
      <c r="N59" s="239" t="s">
        <v>1823</v>
      </c>
      <c r="O59" s="2"/>
      <c r="P59" s="2"/>
      <c r="Q59" s="2"/>
      <c r="R59" s="2"/>
    </row>
    <row r="60" ht="15.75" customHeight="1">
      <c r="A60" s="11" t="s">
        <v>12</v>
      </c>
      <c r="B60" s="125" t="s">
        <v>1360</v>
      </c>
      <c r="C60" s="69" t="s">
        <v>1294</v>
      </c>
      <c r="D60" s="445" t="str">
        <f>IF(C60&lt;&gt;"Quarta-Feira","13:40","08:40")</f>
        <v>13:40</v>
      </c>
      <c r="E60" s="253" t="s">
        <v>3542</v>
      </c>
      <c r="F60" s="69">
        <v>7.08505305299379E14</v>
      </c>
      <c r="G60" s="154" t="s">
        <v>158</v>
      </c>
      <c r="H60" s="193">
        <v>18621.0</v>
      </c>
      <c r="I60" s="30" t="s">
        <v>182</v>
      </c>
      <c r="J60" s="69"/>
      <c r="K60" s="69"/>
      <c r="N60" s="240" t="s">
        <v>182</v>
      </c>
      <c r="O60" s="241" t="s">
        <v>194</v>
      </c>
      <c r="P60" s="241" t="s">
        <v>180</v>
      </c>
      <c r="Q60" s="242" t="s">
        <v>172</v>
      </c>
      <c r="R60" s="62" t="s">
        <v>1822</v>
      </c>
    </row>
    <row r="61" ht="15.75" customHeight="1">
      <c r="A61" s="11" t="s">
        <v>13</v>
      </c>
      <c r="B61" s="125" t="s">
        <v>1362</v>
      </c>
      <c r="C61" s="69" t="s">
        <v>1294</v>
      </c>
      <c r="D61" s="445" t="str">
        <f>IF(C61&lt;&gt;"Quarta-Feira","14:00","09:00")</f>
        <v>14:00</v>
      </c>
      <c r="E61" s="253" t="s">
        <v>3572</v>
      </c>
      <c r="F61" s="69">
        <v>7.00003633264501E14</v>
      </c>
      <c r="G61" s="154" t="s">
        <v>3573</v>
      </c>
      <c r="H61" s="193">
        <v>21657.0</v>
      </c>
      <c r="I61" s="30" t="s">
        <v>182</v>
      </c>
      <c r="J61" s="69"/>
      <c r="K61" s="69"/>
      <c r="N61" s="244">
        <f t="shared" ref="N61:R61" si="7">COUNTIFS($I$58:$I$69,N60)</f>
        <v>9</v>
      </c>
      <c r="O61" s="244">
        <f t="shared" si="7"/>
        <v>0</v>
      </c>
      <c r="P61" s="244">
        <f t="shared" si="7"/>
        <v>0</v>
      </c>
      <c r="Q61" s="244">
        <f t="shared" si="7"/>
        <v>0</v>
      </c>
      <c r="R61" s="244">
        <f t="shared" si="7"/>
        <v>3</v>
      </c>
    </row>
    <row r="62" ht="15.75" customHeight="1">
      <c r="A62" s="11" t="s">
        <v>14</v>
      </c>
      <c r="B62" s="125" t="s">
        <v>1357</v>
      </c>
      <c r="C62" s="69" t="s">
        <v>1294</v>
      </c>
      <c r="D62" s="445" t="str">
        <f>IF(C62&lt;&gt;"Quarta-Feira","14:20","09:20")</f>
        <v>14:20</v>
      </c>
      <c r="E62" s="253" t="s">
        <v>3574</v>
      </c>
      <c r="F62" s="69">
        <v>7.04603690946222E14</v>
      </c>
      <c r="G62" s="154" t="s">
        <v>3575</v>
      </c>
      <c r="H62" s="193">
        <v>24171.0</v>
      </c>
      <c r="I62" s="30" t="s">
        <v>182</v>
      </c>
      <c r="J62" s="69"/>
      <c r="K62" s="69"/>
      <c r="R62" s="62"/>
    </row>
    <row r="63" ht="15.75" customHeight="1">
      <c r="A63" s="11" t="s">
        <v>15</v>
      </c>
      <c r="B63" s="125" t="s">
        <v>1362</v>
      </c>
      <c r="C63" s="69" t="s">
        <v>1294</v>
      </c>
      <c r="D63" s="445" t="str">
        <f>IF(C63&lt;&gt;"Quarta-Feira","14:40","09:40")</f>
        <v>14:40</v>
      </c>
      <c r="E63" s="253" t="s">
        <v>3576</v>
      </c>
      <c r="F63" s="69">
        <v>2.06880195650004E14</v>
      </c>
      <c r="G63" s="154" t="s">
        <v>3577</v>
      </c>
      <c r="H63" s="193">
        <v>16925.0</v>
      </c>
      <c r="I63" s="30" t="s">
        <v>182</v>
      </c>
      <c r="J63" s="69"/>
      <c r="K63" s="69"/>
      <c r="R63" s="62"/>
    </row>
    <row r="64" ht="15.75" customHeight="1">
      <c r="A64" s="11" t="s">
        <v>16</v>
      </c>
      <c r="B64" s="125" t="s">
        <v>1358</v>
      </c>
      <c r="C64" s="69" t="s">
        <v>1294</v>
      </c>
      <c r="D64" s="445" t="str">
        <f>IF(C64&lt;&gt;"Quarta-Feira","15:00","10:00")</f>
        <v>15:00</v>
      </c>
      <c r="E64" s="253" t="s">
        <v>3578</v>
      </c>
      <c r="F64" s="69">
        <v>7.0840227937406E14</v>
      </c>
      <c r="G64" s="154" t="s">
        <v>3579</v>
      </c>
      <c r="H64" s="193">
        <v>29723.0</v>
      </c>
      <c r="I64" s="30" t="s">
        <v>1822</v>
      </c>
      <c r="J64" s="69"/>
      <c r="K64" s="69"/>
      <c r="R64" s="62"/>
    </row>
    <row r="65" ht="15.75" customHeight="1">
      <c r="A65" s="11" t="s">
        <v>17</v>
      </c>
      <c r="B65" s="125" t="s">
        <v>1360</v>
      </c>
      <c r="C65" s="69" t="s">
        <v>1294</v>
      </c>
      <c r="D65" s="445" t="str">
        <f>IF(C65&lt;&gt;"Quarta-Feira","15:20","10:20")</f>
        <v>15:20</v>
      </c>
      <c r="E65" s="253" t="s">
        <v>3580</v>
      </c>
      <c r="F65" s="69">
        <v>7.01004843540393E14</v>
      </c>
      <c r="G65" s="154" t="s">
        <v>3581</v>
      </c>
      <c r="H65" s="193">
        <v>22040.0</v>
      </c>
      <c r="I65" s="30" t="s">
        <v>182</v>
      </c>
      <c r="J65" s="69"/>
      <c r="K65" s="69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</row>
    <row r="66" ht="15.75" customHeight="1">
      <c r="A66" s="11" t="s">
        <v>85</v>
      </c>
      <c r="B66" s="125" t="s">
        <v>1357</v>
      </c>
      <c r="C66" s="69" t="s">
        <v>1294</v>
      </c>
      <c r="D66" s="445" t="str">
        <f>IF(C66&lt;&gt;"Quarta-Feira","15:40","10:40")</f>
        <v>15:40</v>
      </c>
      <c r="E66" s="253" t="s">
        <v>3582</v>
      </c>
      <c r="F66" s="69">
        <v>7.02300158846417E14</v>
      </c>
      <c r="G66" s="154" t="s">
        <v>3583</v>
      </c>
      <c r="H66" s="193">
        <v>20409.0</v>
      </c>
      <c r="I66" s="30" t="s">
        <v>182</v>
      </c>
      <c r="J66" s="69"/>
      <c r="K66" s="69"/>
      <c r="R66" s="62"/>
    </row>
    <row r="67" ht="15.75" customHeight="1">
      <c r="A67" s="11" t="s">
        <v>87</v>
      </c>
      <c r="B67" s="125" t="s">
        <v>1358</v>
      </c>
      <c r="C67" s="69" t="s">
        <v>1294</v>
      </c>
      <c r="D67" s="445" t="str">
        <f>IF(C67&lt;&gt;"Quarta-Feira","16:00","11:00")</f>
        <v>16:00</v>
      </c>
      <c r="E67" s="253" t="s">
        <v>3584</v>
      </c>
      <c r="F67" s="69">
        <v>7.01208030217316E14</v>
      </c>
      <c r="G67" s="154" t="s">
        <v>3585</v>
      </c>
      <c r="H67" s="193">
        <v>24590.0</v>
      </c>
      <c r="I67" s="30" t="s">
        <v>182</v>
      </c>
      <c r="J67" s="69"/>
      <c r="K67" s="69"/>
      <c r="R67" s="62"/>
    </row>
    <row r="68" ht="15.75" customHeight="1">
      <c r="A68" s="11" t="s">
        <v>90</v>
      </c>
      <c r="B68" s="125" t="s">
        <v>1360</v>
      </c>
      <c r="C68" s="69" t="s">
        <v>1294</v>
      </c>
      <c r="D68" s="445" t="str">
        <f>IF(C68&lt;&gt;"Quarta-Feira","16:20","11:20")</f>
        <v>16:20</v>
      </c>
      <c r="E68" s="253" t="s">
        <v>3586</v>
      </c>
      <c r="F68" s="69">
        <v>8.98001901195173E14</v>
      </c>
      <c r="G68" s="154" t="s">
        <v>3587</v>
      </c>
      <c r="H68" s="193">
        <v>19054.0</v>
      </c>
      <c r="I68" s="30" t="s">
        <v>182</v>
      </c>
      <c r="J68" s="69"/>
      <c r="K68" s="69"/>
      <c r="R68" s="62"/>
    </row>
    <row r="69" ht="15.75" customHeight="1">
      <c r="A69" s="11" t="s">
        <v>93</v>
      </c>
      <c r="B69" s="125" t="s">
        <v>1362</v>
      </c>
      <c r="C69" s="69" t="s">
        <v>1294</v>
      </c>
      <c r="D69" s="445" t="str">
        <f>IF(C69&lt;&gt;"Quarta-Feira","16:40","11:40")</f>
        <v>16:40</v>
      </c>
      <c r="E69" s="253" t="s">
        <v>3588</v>
      </c>
      <c r="F69" s="69">
        <v>7.04208719251586E14</v>
      </c>
      <c r="G69" s="154" t="s">
        <v>3589</v>
      </c>
      <c r="H69" s="193">
        <v>37019.0</v>
      </c>
      <c r="I69" s="30" t="s">
        <v>1822</v>
      </c>
      <c r="J69" s="69"/>
      <c r="K69" s="69"/>
      <c r="R69" s="62"/>
    </row>
    <row r="70" ht="15.75" customHeight="1">
      <c r="B70" s="167"/>
      <c r="E70" s="231"/>
      <c r="G70" s="167"/>
      <c r="J70" s="62"/>
      <c r="K70" s="62"/>
      <c r="R70" s="62"/>
    </row>
    <row r="71" ht="15.75" customHeight="1">
      <c r="B71" s="167"/>
      <c r="E71" s="231"/>
      <c r="G71" s="167"/>
      <c r="J71" s="62"/>
      <c r="K71" s="62"/>
      <c r="R71" s="62"/>
    </row>
    <row r="72" ht="15.0" customHeight="1">
      <c r="B72" s="167"/>
      <c r="E72" s="231"/>
      <c r="G72" s="167"/>
      <c r="J72" s="62"/>
      <c r="K72" s="62"/>
      <c r="R72" s="62"/>
    </row>
    <row r="73" ht="15.75" customHeight="1">
      <c r="A73" s="20" t="s">
        <v>377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TEXT(DATE(VALUE(MID(A56,7,4)),VALUE(MID(A56,4,2)),VALUE(LEFT(A56,2)))+2,"dd/mm/yyyy")&amp;" 08h às 13h"</f>
        <v>10/06/2026 08h às 13h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426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5.75" customHeight="1">
      <c r="A76" s="11" t="s">
        <v>10</v>
      </c>
      <c r="B76" s="125" t="s">
        <v>65</v>
      </c>
      <c r="C76" s="69" t="str">
        <f t="shared" ref="C76:C87" si="8">PROPER(TEXT(DATE(MID($A$74,7,4),MID($A$74,4,2),LEFT($A$74,2)),"dddd"))</f>
        <v>Quarta-Feira</v>
      </c>
      <c r="D76" s="445" t="str">
        <f>IF(C76&lt;&gt;"Quarta-Feira","13:00","08:00")</f>
        <v>08:00</v>
      </c>
      <c r="E76" s="253"/>
      <c r="F76" s="69">
        <v>7.00501733710752E14</v>
      </c>
      <c r="G76" s="154" t="s">
        <v>3590</v>
      </c>
      <c r="H76" s="193">
        <v>28428.0</v>
      </c>
      <c r="I76" s="30" t="s">
        <v>1822</v>
      </c>
      <c r="J76" s="69"/>
      <c r="K76" s="69"/>
      <c r="L76" s="197" t="s">
        <v>520</v>
      </c>
      <c r="N76" s="237" t="s">
        <v>386</v>
      </c>
      <c r="O76" s="95"/>
      <c r="P76" s="95"/>
      <c r="Q76" s="95"/>
      <c r="R76" s="95"/>
    </row>
    <row r="77" ht="15.75" customHeight="1">
      <c r="A77" s="11" t="s">
        <v>11</v>
      </c>
      <c r="B77" s="125" t="s">
        <v>201</v>
      </c>
      <c r="C77" s="69" t="str">
        <f t="shared" si="8"/>
        <v>Quarta-Feira</v>
      </c>
      <c r="D77" s="445" t="str">
        <f>IF(C77&lt;&gt;"Quarta-Feira","13:20","08:20")</f>
        <v>08:20</v>
      </c>
      <c r="E77" s="253" t="s">
        <v>3591</v>
      </c>
      <c r="F77" s="69">
        <v>7.05800462867232E14</v>
      </c>
      <c r="G77" s="154" t="s">
        <v>3592</v>
      </c>
      <c r="H77" s="72">
        <v>17778.0</v>
      </c>
      <c r="I77" s="30" t="s">
        <v>182</v>
      </c>
      <c r="J77" s="69"/>
      <c r="K77" s="69"/>
      <c r="N77" s="239" t="s">
        <v>1823</v>
      </c>
      <c r="O77" s="2"/>
      <c r="P77" s="2"/>
      <c r="Q77" s="2"/>
      <c r="R77" s="2"/>
    </row>
    <row r="78" ht="15.75" customHeight="1">
      <c r="A78" s="11" t="s">
        <v>12</v>
      </c>
      <c r="B78" s="125" t="s">
        <v>1447</v>
      </c>
      <c r="C78" s="69" t="str">
        <f t="shared" si="8"/>
        <v>Quarta-Feira</v>
      </c>
      <c r="D78" s="445" t="str">
        <f>IF(C78&lt;&gt;"Quarta-Feira","13:40","08:40")</f>
        <v>08:40</v>
      </c>
      <c r="E78" s="253" t="s">
        <v>3593</v>
      </c>
      <c r="F78" s="69">
        <v>7.05203424060473E14</v>
      </c>
      <c r="G78" s="154" t="s">
        <v>3594</v>
      </c>
      <c r="H78" s="78">
        <v>20614.0</v>
      </c>
      <c r="I78" s="30" t="s">
        <v>182</v>
      </c>
      <c r="J78" s="69"/>
      <c r="K78" s="69"/>
      <c r="L78" s="197" t="s">
        <v>520</v>
      </c>
      <c r="N78" s="240" t="s">
        <v>182</v>
      </c>
      <c r="O78" s="241" t="s">
        <v>194</v>
      </c>
      <c r="P78" s="241" t="s">
        <v>180</v>
      </c>
      <c r="Q78" s="242" t="s">
        <v>172</v>
      </c>
      <c r="R78" s="62" t="s">
        <v>1822</v>
      </c>
    </row>
    <row r="79" ht="15.75" customHeight="1">
      <c r="A79" s="11" t="s">
        <v>13</v>
      </c>
      <c r="B79" s="125" t="s">
        <v>821</v>
      </c>
      <c r="C79" s="69" t="str">
        <f t="shared" si="8"/>
        <v>Quarta-Feira</v>
      </c>
      <c r="D79" s="445" t="str">
        <f>IF(C79&lt;&gt;"Quarta-Feira","14:00","09:00")</f>
        <v>09:00</v>
      </c>
      <c r="E79" s="253" t="s">
        <v>3595</v>
      </c>
      <c r="F79" s="69">
        <v>7.0860150204758E14</v>
      </c>
      <c r="G79" s="433" t="s">
        <v>3596</v>
      </c>
      <c r="H79" s="78">
        <v>14869.0</v>
      </c>
      <c r="I79" s="30" t="s">
        <v>182</v>
      </c>
      <c r="J79" s="69"/>
      <c r="K79" s="69"/>
      <c r="L79" s="197" t="s">
        <v>520</v>
      </c>
      <c r="N79" s="244">
        <f t="shared" ref="N79:R79" si="9">COUNTIFS($I$76:$I$87,N78)</f>
        <v>10</v>
      </c>
      <c r="O79" s="244">
        <f t="shared" si="9"/>
        <v>0</v>
      </c>
      <c r="P79" s="244">
        <f t="shared" si="9"/>
        <v>0</v>
      </c>
      <c r="Q79" s="244">
        <f t="shared" si="9"/>
        <v>0</v>
      </c>
      <c r="R79" s="244">
        <f t="shared" si="9"/>
        <v>2</v>
      </c>
    </row>
    <row r="80" ht="18.0" customHeight="1">
      <c r="A80" s="11" t="s">
        <v>14</v>
      </c>
      <c r="B80" s="125" t="s">
        <v>201</v>
      </c>
      <c r="C80" s="69" t="str">
        <f t="shared" si="8"/>
        <v>Quarta-Feira</v>
      </c>
      <c r="D80" s="445" t="str">
        <f>IF(C80&lt;&gt;"Quarta-Feira","14:20","09:20")</f>
        <v>09:20</v>
      </c>
      <c r="E80" s="253" t="s">
        <v>3597</v>
      </c>
      <c r="F80" s="69">
        <v>7.04109142545575E14</v>
      </c>
      <c r="G80" s="154" t="s">
        <v>3598</v>
      </c>
      <c r="H80" s="78">
        <v>28148.0</v>
      </c>
      <c r="I80" s="30" t="s">
        <v>1822</v>
      </c>
      <c r="J80" s="69"/>
      <c r="K80" s="69"/>
      <c r="L80" s="197" t="s">
        <v>520</v>
      </c>
      <c r="R80" s="62"/>
    </row>
    <row r="81" ht="15.75" customHeight="1">
      <c r="A81" s="11" t="s">
        <v>15</v>
      </c>
      <c r="B81" s="125" t="s">
        <v>1447</v>
      </c>
      <c r="C81" s="69" t="str">
        <f t="shared" si="8"/>
        <v>Quarta-Feira</v>
      </c>
      <c r="D81" s="445" t="str">
        <f>IF(C81&lt;&gt;"Quarta-Feira","14:40","09:40")</f>
        <v>09:40</v>
      </c>
      <c r="E81" s="253" t="s">
        <v>3599</v>
      </c>
      <c r="F81" s="69">
        <v>7.02809624332464E14</v>
      </c>
      <c r="G81" s="154" t="s">
        <v>3600</v>
      </c>
      <c r="H81" s="78">
        <v>15948.0</v>
      </c>
      <c r="I81" s="30" t="s">
        <v>182</v>
      </c>
      <c r="J81" s="69"/>
      <c r="K81" s="69"/>
      <c r="L81" s="197" t="s">
        <v>520</v>
      </c>
      <c r="R81" s="62"/>
    </row>
    <row r="82" ht="15.75" customHeight="1">
      <c r="A82" s="11" t="s">
        <v>16</v>
      </c>
      <c r="B82" s="125" t="s">
        <v>65</v>
      </c>
      <c r="C82" s="69" t="str">
        <f t="shared" si="8"/>
        <v>Quarta-Feira</v>
      </c>
      <c r="D82" s="445" t="str">
        <f>IF(C82&lt;&gt;"Quarta-Feira","15:00","10:00")</f>
        <v>10:00</v>
      </c>
      <c r="E82" s="253" t="s">
        <v>2480</v>
      </c>
      <c r="F82" s="69">
        <v>7.01009816295795E14</v>
      </c>
      <c r="G82" s="154" t="s">
        <v>2481</v>
      </c>
      <c r="H82" s="78">
        <v>22773.0</v>
      </c>
      <c r="I82" s="30" t="s">
        <v>182</v>
      </c>
      <c r="J82" s="69"/>
      <c r="K82" s="69"/>
      <c r="L82" s="197" t="s">
        <v>520</v>
      </c>
      <c r="R82" s="62"/>
    </row>
    <row r="83" ht="15.75" customHeight="1">
      <c r="A83" s="11" t="s">
        <v>178</v>
      </c>
      <c r="B83" s="125" t="s">
        <v>201</v>
      </c>
      <c r="C83" s="69" t="str">
        <f t="shared" si="8"/>
        <v>Quarta-Feira</v>
      </c>
      <c r="D83" s="445" t="str">
        <f>IF(C83&lt;&gt;"Quarta-Feira","15:20","10:20")</f>
        <v>10:20</v>
      </c>
      <c r="E83" s="253" t="s">
        <v>3601</v>
      </c>
      <c r="F83" s="69">
        <v>2.01156129250002E14</v>
      </c>
      <c r="G83" s="154" t="s">
        <v>3602</v>
      </c>
      <c r="H83" s="72">
        <v>15455.0</v>
      </c>
      <c r="I83" s="30" t="s">
        <v>182</v>
      </c>
      <c r="J83" s="69"/>
      <c r="K83" s="69"/>
      <c r="L83" s="197" t="s">
        <v>520</v>
      </c>
      <c r="R83" s="62"/>
    </row>
    <row r="84" ht="15.75" customHeight="1">
      <c r="A84" s="11" t="s">
        <v>85</v>
      </c>
      <c r="B84" s="125" t="s">
        <v>821</v>
      </c>
      <c r="C84" s="69" t="str">
        <f t="shared" si="8"/>
        <v>Quarta-Feira</v>
      </c>
      <c r="D84" s="445" t="str">
        <f>IF(C84&lt;&gt;"Quarta-Feira","15:40","10:40")</f>
        <v>10:40</v>
      </c>
      <c r="E84" s="253" t="s">
        <v>3603</v>
      </c>
      <c r="F84" s="69">
        <v>7.0040499487784E14</v>
      </c>
      <c r="G84" s="154" t="s">
        <v>3604</v>
      </c>
      <c r="H84" s="78">
        <v>28948.0</v>
      </c>
      <c r="I84" s="30" t="s">
        <v>182</v>
      </c>
      <c r="J84" s="69"/>
      <c r="K84" s="69"/>
      <c r="L84" s="197" t="s">
        <v>520</v>
      </c>
      <c r="R84" s="62"/>
    </row>
    <row r="85" ht="15.75" customHeight="1">
      <c r="A85" s="11" t="s">
        <v>87</v>
      </c>
      <c r="B85" s="125" t="s">
        <v>1447</v>
      </c>
      <c r="C85" s="69" t="str">
        <f t="shared" si="8"/>
        <v>Quarta-Feira</v>
      </c>
      <c r="D85" s="445" t="str">
        <f>IF(C85&lt;&gt;"Quarta-Feira","16:00","11:00")</f>
        <v>11:00</v>
      </c>
      <c r="E85" s="253" t="s">
        <v>3605</v>
      </c>
      <c r="F85" s="69">
        <v>7.04606183070329E14</v>
      </c>
      <c r="G85" s="154" t="s">
        <v>3606</v>
      </c>
      <c r="H85" s="153">
        <v>19247.0</v>
      </c>
      <c r="I85" s="30" t="s">
        <v>182</v>
      </c>
      <c r="J85" s="69"/>
      <c r="K85" s="69"/>
      <c r="L85" s="197" t="s">
        <v>520</v>
      </c>
      <c r="R85" s="62"/>
    </row>
    <row r="86" ht="15.75" customHeight="1">
      <c r="A86" s="11" t="s">
        <v>90</v>
      </c>
      <c r="B86" s="125" t="s">
        <v>821</v>
      </c>
      <c r="C86" s="69" t="str">
        <f t="shared" si="8"/>
        <v>Quarta-Feira</v>
      </c>
      <c r="D86" s="445" t="str">
        <f>IF(C86&lt;&gt;"Quarta-Feira","16:20","11:20")</f>
        <v>11:20</v>
      </c>
      <c r="E86" s="253" t="s">
        <v>3607</v>
      </c>
      <c r="F86" s="69">
        <v>7.04302566245899E14</v>
      </c>
      <c r="G86" s="154" t="s">
        <v>3608</v>
      </c>
      <c r="H86" s="153">
        <v>16006.0</v>
      </c>
      <c r="I86" s="30" t="s">
        <v>182</v>
      </c>
      <c r="J86" s="69"/>
      <c r="K86" s="69"/>
      <c r="L86" s="197" t="s">
        <v>520</v>
      </c>
      <c r="R86" s="62"/>
    </row>
    <row r="87" ht="15.75" customHeight="1">
      <c r="A87" s="11" t="s">
        <v>93</v>
      </c>
      <c r="B87" s="125" t="s">
        <v>65</v>
      </c>
      <c r="C87" s="69" t="str">
        <f t="shared" si="8"/>
        <v>Quarta-Feira</v>
      </c>
      <c r="D87" s="445" t="str">
        <f>IF(C87&lt;&gt;"Quarta-Feira","16:40","11:40")</f>
        <v>11:40</v>
      </c>
      <c r="E87" s="253" t="s">
        <v>3609</v>
      </c>
      <c r="F87" s="69">
        <v>7.00006386948801E14</v>
      </c>
      <c r="G87" s="154" t="s">
        <v>3610</v>
      </c>
      <c r="H87" s="153">
        <v>11400.0</v>
      </c>
      <c r="I87" s="30" t="s">
        <v>182</v>
      </c>
      <c r="J87" s="69"/>
      <c r="K87" s="69"/>
      <c r="R87" s="62"/>
    </row>
    <row r="88" ht="15.75" customHeight="1">
      <c r="B88" s="167"/>
      <c r="E88" s="231"/>
      <c r="G88" s="167"/>
      <c r="J88" s="62"/>
      <c r="K88" s="62"/>
      <c r="R88" s="62"/>
    </row>
    <row r="89" ht="15.75" customHeight="1">
      <c r="B89" s="167"/>
      <c r="E89" s="231"/>
      <c r="G89" s="167"/>
      <c r="J89" s="62"/>
      <c r="K89" s="62"/>
      <c r="R89" s="62"/>
    </row>
    <row r="90" ht="15.75" customHeight="1">
      <c r="B90" s="167"/>
      <c r="E90" s="231"/>
      <c r="G90" s="167"/>
      <c r="J90" s="62"/>
      <c r="K90" s="62"/>
      <c r="R90" s="62"/>
    </row>
    <row r="91" ht="15.75" customHeight="1">
      <c r="A91" s="20" t="s">
        <v>377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08h às 13h"</f>
        <v>12/06/2026 08h às 13h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426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34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2380</v>
      </c>
      <c r="C94" s="69" t="str">
        <f t="shared" ref="C94:C105" si="10">PROPER(TEXT(DATE(MID($A$92,7,4),MID($A$92,4,2),LEFT($A$92,2)),"dddd"))</f>
        <v>Sexta-Feira</v>
      </c>
      <c r="D94" s="445" t="str">
        <f>IF(C94&lt;&gt;"Quarta-Feira","13:00","08:00")</f>
        <v>13:00</v>
      </c>
      <c r="E94" s="253" t="s">
        <v>3611</v>
      </c>
      <c r="F94" s="69">
        <v>7.00005862219409E14</v>
      </c>
      <c r="G94" s="154" t="s">
        <v>3612</v>
      </c>
      <c r="H94" s="193">
        <v>16996.0</v>
      </c>
      <c r="I94" s="30" t="s">
        <v>182</v>
      </c>
      <c r="J94" s="69"/>
      <c r="K94" s="69"/>
      <c r="L94" s="197" t="s">
        <v>520</v>
      </c>
      <c r="N94" s="237" t="s">
        <v>386</v>
      </c>
      <c r="O94" s="95"/>
      <c r="P94" s="95"/>
      <c r="Q94" s="95"/>
      <c r="R94" s="95"/>
    </row>
    <row r="95" ht="15.75" customHeight="1">
      <c r="A95" s="11" t="s">
        <v>11</v>
      </c>
      <c r="B95" s="205" t="s">
        <v>2383</v>
      </c>
      <c r="C95" s="69" t="str">
        <f t="shared" si="10"/>
        <v>Sexta-Feira</v>
      </c>
      <c r="D95" s="445" t="str">
        <f>IF(C95&lt;&gt;"Quarta-Feira","13:20","08:20")</f>
        <v>13:20</v>
      </c>
      <c r="E95" s="253" t="s">
        <v>3613</v>
      </c>
      <c r="F95" s="69">
        <v>7.08109519987834E14</v>
      </c>
      <c r="G95" s="154" t="s">
        <v>3614</v>
      </c>
      <c r="H95" s="72">
        <v>23140.0</v>
      </c>
      <c r="I95" s="30" t="s">
        <v>1822</v>
      </c>
      <c r="J95" s="69"/>
      <c r="K95" s="69"/>
      <c r="N95" s="239" t="s">
        <v>1823</v>
      </c>
      <c r="O95" s="2"/>
      <c r="P95" s="2"/>
      <c r="Q95" s="2"/>
      <c r="R95" s="2"/>
    </row>
    <row r="96" ht="15.75" customHeight="1">
      <c r="A96" s="11" t="s">
        <v>12</v>
      </c>
      <c r="B96" s="205" t="s">
        <v>2386</v>
      </c>
      <c r="C96" s="69" t="str">
        <f t="shared" si="10"/>
        <v>Sexta-Feira</v>
      </c>
      <c r="D96" s="445" t="str">
        <f>IF(C96&lt;&gt;"Quarta-Feira","13:40","08:40")</f>
        <v>13:40</v>
      </c>
      <c r="E96" s="253" t="s">
        <v>3615</v>
      </c>
      <c r="F96" s="69">
        <v>7.02809181444269E14</v>
      </c>
      <c r="G96" s="154" t="s">
        <v>3616</v>
      </c>
      <c r="H96" s="78">
        <v>21159.0</v>
      </c>
      <c r="I96" s="30" t="s">
        <v>182</v>
      </c>
      <c r="J96" s="69"/>
      <c r="K96" s="69"/>
      <c r="L96" s="197" t="s">
        <v>520</v>
      </c>
      <c r="N96" s="240" t="s">
        <v>182</v>
      </c>
      <c r="O96" s="241" t="s">
        <v>194</v>
      </c>
      <c r="P96" s="241" t="s">
        <v>180</v>
      </c>
      <c r="Q96" s="242" t="s">
        <v>172</v>
      </c>
      <c r="R96" s="62" t="s">
        <v>1822</v>
      </c>
    </row>
    <row r="97" ht="15.75" customHeight="1">
      <c r="A97" s="11" t="s">
        <v>13</v>
      </c>
      <c r="B97" s="205" t="s">
        <v>2389</v>
      </c>
      <c r="C97" s="69" t="str">
        <f t="shared" si="10"/>
        <v>Sexta-Feira</v>
      </c>
      <c r="D97" s="445" t="str">
        <f>IF(C97&lt;&gt;"Quarta-Feira","14:00","09:00")</f>
        <v>14:00</v>
      </c>
      <c r="E97" s="253" t="s">
        <v>3617</v>
      </c>
      <c r="F97" s="69">
        <v>7.08408798169668E14</v>
      </c>
      <c r="G97" s="154" t="s">
        <v>3618</v>
      </c>
      <c r="H97" s="78">
        <v>19864.0</v>
      </c>
      <c r="I97" s="30" t="s">
        <v>182</v>
      </c>
      <c r="J97" s="69"/>
      <c r="K97" s="69"/>
      <c r="L97" s="197" t="s">
        <v>520</v>
      </c>
      <c r="N97" s="244">
        <f t="shared" ref="N97:Q97" si="11">COUNTIFS($I$94:$I$105,N96)</f>
        <v>8</v>
      </c>
      <c r="O97" s="244">
        <f t="shared" si="11"/>
        <v>0</v>
      </c>
      <c r="P97" s="244">
        <f t="shared" si="11"/>
        <v>0</v>
      </c>
      <c r="Q97" s="244">
        <f t="shared" si="11"/>
        <v>0</v>
      </c>
      <c r="R97" s="62">
        <f>COUNTIFS(I94:I105,R96)</f>
        <v>4</v>
      </c>
    </row>
    <row r="98" ht="15.75" customHeight="1">
      <c r="A98" s="11" t="s">
        <v>14</v>
      </c>
      <c r="B98" s="205" t="s">
        <v>2380</v>
      </c>
      <c r="C98" s="69" t="str">
        <f t="shared" si="10"/>
        <v>Sexta-Feira</v>
      </c>
      <c r="D98" s="445" t="str">
        <f>IF(C98&lt;&gt;"Quarta-Feira","14:20","09:20")</f>
        <v>14:20</v>
      </c>
      <c r="E98" s="253" t="s">
        <v>3619</v>
      </c>
      <c r="F98" s="69">
        <v>7.09804062019699E14</v>
      </c>
      <c r="G98" s="154" t="s">
        <v>3620</v>
      </c>
      <c r="H98" s="78">
        <v>15118.0</v>
      </c>
      <c r="I98" s="30" t="s">
        <v>182</v>
      </c>
      <c r="J98" s="69"/>
      <c r="K98" s="69"/>
      <c r="L98" s="197" t="s">
        <v>520</v>
      </c>
      <c r="R98" s="62"/>
    </row>
    <row r="99" ht="15.75" customHeight="1">
      <c r="A99" s="11" t="s">
        <v>15</v>
      </c>
      <c r="B99" s="205" t="s">
        <v>2383</v>
      </c>
      <c r="C99" s="69" t="str">
        <f t="shared" si="10"/>
        <v>Sexta-Feira</v>
      </c>
      <c r="D99" s="445" t="str">
        <f>IF(C99&lt;&gt;"Quarta-Feira","14:40","09:40")</f>
        <v>14:40</v>
      </c>
      <c r="E99" s="253" t="s">
        <v>3621</v>
      </c>
      <c r="F99" s="69">
        <v>2.03923603860003E14</v>
      </c>
      <c r="G99" s="154" t="s">
        <v>3622</v>
      </c>
      <c r="H99" s="78">
        <v>27173.0</v>
      </c>
      <c r="I99" s="30" t="s">
        <v>1822</v>
      </c>
      <c r="J99" s="69"/>
      <c r="K99" s="69"/>
      <c r="L99" s="197" t="s">
        <v>520</v>
      </c>
      <c r="R99" s="62"/>
    </row>
    <row r="100" ht="15.75" customHeight="1">
      <c r="A100" s="11" t="s">
        <v>16</v>
      </c>
      <c r="B100" s="205" t="s">
        <v>2386</v>
      </c>
      <c r="C100" s="69" t="str">
        <f t="shared" si="10"/>
        <v>Sexta-Feira</v>
      </c>
      <c r="D100" s="445" t="str">
        <f>IF(C100&lt;&gt;"Quarta-Feira","15:00","10:00")</f>
        <v>15:00</v>
      </c>
      <c r="E100" s="253" t="s">
        <v>3319</v>
      </c>
      <c r="F100" s="69">
        <v>7.00004650024905E14</v>
      </c>
      <c r="G100" s="154" t="s">
        <v>3320</v>
      </c>
      <c r="H100" s="78">
        <v>21403.0</v>
      </c>
      <c r="I100" s="30" t="s">
        <v>182</v>
      </c>
      <c r="J100" s="69"/>
      <c r="K100" s="69"/>
      <c r="R100" s="62"/>
    </row>
    <row r="101" ht="15.75" customHeight="1">
      <c r="A101" s="11" t="s">
        <v>17</v>
      </c>
      <c r="B101" s="205" t="s">
        <v>2389</v>
      </c>
      <c r="C101" s="69" t="str">
        <f t="shared" si="10"/>
        <v>Sexta-Feira</v>
      </c>
      <c r="D101" s="445" t="str">
        <f>IF(C101&lt;&gt;"Quarta-Feira","15:20","10:20")</f>
        <v>15:20</v>
      </c>
      <c r="E101" s="253" t="s">
        <v>3623</v>
      </c>
      <c r="F101" s="69">
        <v>8.98001407085257E14</v>
      </c>
      <c r="G101" s="154" t="s">
        <v>3624</v>
      </c>
      <c r="H101" s="72">
        <v>22712.0</v>
      </c>
      <c r="I101" s="30" t="s">
        <v>182</v>
      </c>
      <c r="J101" s="69"/>
      <c r="K101" s="69"/>
      <c r="R101" s="62"/>
    </row>
    <row r="102" ht="15.75" customHeight="1">
      <c r="A102" s="11" t="s">
        <v>85</v>
      </c>
      <c r="B102" s="205" t="s">
        <v>2383</v>
      </c>
      <c r="C102" s="69" t="str">
        <f t="shared" si="10"/>
        <v>Sexta-Feira</v>
      </c>
      <c r="D102" s="445" t="str">
        <f>IF(C102&lt;&gt;"Quarta-Feira","15:40","10:40")</f>
        <v>15:40</v>
      </c>
      <c r="E102" s="253" t="s">
        <v>3625</v>
      </c>
      <c r="F102" s="69">
        <v>8.98001488632946E14</v>
      </c>
      <c r="G102" s="154" t="s">
        <v>3626</v>
      </c>
      <c r="H102" s="78">
        <v>28164.0</v>
      </c>
      <c r="I102" s="30" t="s">
        <v>182</v>
      </c>
      <c r="J102" s="69"/>
      <c r="K102" s="69"/>
      <c r="L102" s="197" t="s">
        <v>576</v>
      </c>
      <c r="R102" s="62"/>
    </row>
    <row r="103" ht="15.75" customHeight="1">
      <c r="A103" s="11" t="s">
        <v>87</v>
      </c>
      <c r="B103" s="205" t="s">
        <v>2380</v>
      </c>
      <c r="C103" s="69" t="str">
        <f t="shared" si="10"/>
        <v>Sexta-Feira</v>
      </c>
      <c r="D103" s="445" t="str">
        <f>IF(C103&lt;&gt;"Quarta-Feira","16:00","11:00")</f>
        <v>16:00</v>
      </c>
      <c r="E103" s="253" t="s">
        <v>3627</v>
      </c>
      <c r="F103" s="69">
        <v>2.01153218230004E14</v>
      </c>
      <c r="G103" s="154" t="s">
        <v>3628</v>
      </c>
      <c r="H103" s="153">
        <v>20267.0</v>
      </c>
      <c r="I103" s="30" t="s">
        <v>1822</v>
      </c>
      <c r="J103" s="69"/>
      <c r="K103" s="69"/>
      <c r="R103" s="62"/>
    </row>
    <row r="104" ht="15.75" customHeight="1">
      <c r="A104" s="11" t="s">
        <v>90</v>
      </c>
      <c r="B104" s="205" t="s">
        <v>2380</v>
      </c>
      <c r="C104" s="69" t="str">
        <f t="shared" si="10"/>
        <v>Sexta-Feira</v>
      </c>
      <c r="D104" s="445" t="str">
        <f>IF(C104&lt;&gt;"Quarta-Feira","16:20","11:20")</f>
        <v>16:20</v>
      </c>
      <c r="E104" s="253" t="s">
        <v>3629</v>
      </c>
      <c r="F104" s="69">
        <v>7.04303568975496E14</v>
      </c>
      <c r="G104" s="154" t="s">
        <v>3630</v>
      </c>
      <c r="H104" s="153">
        <v>25822.0</v>
      </c>
      <c r="I104" s="30" t="s">
        <v>1822</v>
      </c>
      <c r="J104" s="69"/>
      <c r="K104" s="69"/>
      <c r="R104" s="62"/>
    </row>
    <row r="105" ht="15.75" customHeight="1">
      <c r="A105" s="11" t="s">
        <v>93</v>
      </c>
      <c r="B105" s="205" t="s">
        <v>2380</v>
      </c>
      <c r="C105" s="69" t="str">
        <f t="shared" si="10"/>
        <v>Sexta-Feira</v>
      </c>
      <c r="D105" s="445" t="str">
        <f>IF(C105&lt;&gt;"Quarta-Feira","16:40","11:40")</f>
        <v>16:40</v>
      </c>
      <c r="E105" s="253" t="s">
        <v>3631</v>
      </c>
      <c r="F105" s="69">
        <v>7.06809722943428E14</v>
      </c>
      <c r="G105" s="154" t="s">
        <v>3632</v>
      </c>
      <c r="H105" s="153">
        <v>22098.0</v>
      </c>
      <c r="I105" s="30" t="s">
        <v>182</v>
      </c>
      <c r="J105" s="69"/>
      <c r="K105" s="69"/>
      <c r="R105" s="62"/>
    </row>
    <row r="106" ht="15.75" customHeight="1">
      <c r="B106" s="167"/>
      <c r="E106" s="231"/>
      <c r="G106" s="167"/>
      <c r="J106" s="62"/>
      <c r="K106" s="62"/>
      <c r="R106" s="62"/>
    </row>
    <row r="107" ht="15.75" customHeight="1">
      <c r="B107" s="167"/>
      <c r="E107" s="231"/>
      <c r="G107" s="167"/>
      <c r="J107" s="62"/>
      <c r="K107" s="62"/>
      <c r="R107" s="62"/>
    </row>
    <row r="108" ht="15.75" customHeight="1">
      <c r="B108" s="167"/>
      <c r="E108" s="231"/>
      <c r="G108" s="167"/>
      <c r="J108" s="62"/>
      <c r="K108" s="62"/>
      <c r="R108" s="62"/>
    </row>
    <row r="109" ht="15.75" customHeight="1">
      <c r="A109" s="20" t="s">
        <v>377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TEXT(DATE(VALUE(MID(A56,7,4)),VALUE(MID(A56,4,2)),VALUE(LEFT(A56,2)))+7,"dd/mm/yyyy")&amp;" 13h às 17h"</f>
        <v>15/06/2026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426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1980</v>
      </c>
      <c r="C112" s="69" t="str">
        <f t="shared" ref="C112:C123" si="12">PROPER(TEXT(DATE(MID($A$110,7,4),MID($A$110,4,2),LEFT($A$110,2)),"dddd"))</f>
        <v>Segunda-Feira</v>
      </c>
      <c r="D112" s="445" t="str">
        <f>IF(C112&lt;&gt;"Quarta-Feira","13:00","08:00")</f>
        <v>13:00</v>
      </c>
      <c r="E112" s="253" t="s">
        <v>3633</v>
      </c>
      <c r="F112" s="69">
        <v>7.02609219340149E14</v>
      </c>
      <c r="G112" s="154" t="s">
        <v>3634</v>
      </c>
      <c r="H112" s="453">
        <v>17942.0</v>
      </c>
      <c r="I112" s="30" t="s">
        <v>182</v>
      </c>
      <c r="J112" s="69"/>
      <c r="K112" s="69"/>
      <c r="N112" s="237" t="s">
        <v>386</v>
      </c>
      <c r="O112" s="95"/>
      <c r="P112" s="95"/>
      <c r="Q112" s="95"/>
      <c r="R112" s="95"/>
    </row>
    <row r="113" ht="15.75" customHeight="1">
      <c r="A113" s="11" t="s">
        <v>11</v>
      </c>
      <c r="B113" s="205" t="s">
        <v>1984</v>
      </c>
      <c r="C113" s="69" t="str">
        <f t="shared" si="12"/>
        <v>Segunda-Feira</v>
      </c>
      <c r="D113" s="445" t="str">
        <f>IF(C113&lt;&gt;"Quarta-Feira","13:20","08:20")</f>
        <v>13:20</v>
      </c>
      <c r="E113" s="253" t="s">
        <v>3635</v>
      </c>
      <c r="F113" s="69">
        <v>8.98001454099323E14</v>
      </c>
      <c r="G113" s="154" t="s">
        <v>3636</v>
      </c>
      <c r="H113" s="72">
        <v>25464.0</v>
      </c>
      <c r="I113" s="30" t="s">
        <v>182</v>
      </c>
      <c r="J113" s="69"/>
      <c r="K113" s="69"/>
      <c r="N113" s="239" t="s">
        <v>1823</v>
      </c>
      <c r="O113" s="2"/>
      <c r="P113" s="2"/>
      <c r="Q113" s="2"/>
      <c r="R113" s="2"/>
    </row>
    <row r="114" ht="15.75" customHeight="1">
      <c r="A114" s="11" t="s">
        <v>12</v>
      </c>
      <c r="B114" s="205" t="s">
        <v>1988</v>
      </c>
      <c r="C114" s="69" t="str">
        <f t="shared" si="12"/>
        <v>Segunda-Feira</v>
      </c>
      <c r="D114" s="445" t="str">
        <f>IF(C114&lt;&gt;"Quarta-Feira","13:40","08:40")</f>
        <v>13:40</v>
      </c>
      <c r="E114" s="253" t="s">
        <v>2463</v>
      </c>
      <c r="F114" s="69">
        <v>7.0690711387063E14</v>
      </c>
      <c r="G114" s="154" t="s">
        <v>2464</v>
      </c>
      <c r="H114" s="78">
        <v>20183.0</v>
      </c>
      <c r="I114" s="30" t="s">
        <v>182</v>
      </c>
      <c r="J114" s="69"/>
      <c r="K114" s="69"/>
      <c r="N114" s="240" t="s">
        <v>182</v>
      </c>
      <c r="O114" s="241" t="s">
        <v>194</v>
      </c>
      <c r="P114" s="241" t="s">
        <v>180</v>
      </c>
      <c r="Q114" s="242" t="s">
        <v>172</v>
      </c>
      <c r="R114" s="62" t="s">
        <v>1822</v>
      </c>
    </row>
    <row r="115" ht="15.75" customHeight="1">
      <c r="A115" s="11" t="s">
        <v>13</v>
      </c>
      <c r="B115" s="205" t="s">
        <v>1991</v>
      </c>
      <c r="C115" s="69" t="str">
        <f t="shared" si="12"/>
        <v>Segunda-Feira</v>
      </c>
      <c r="D115" s="445" t="str">
        <f>IF(C115&lt;&gt;"Quarta-Feira","14:00","09:00")</f>
        <v>14:00</v>
      </c>
      <c r="E115" s="253" t="s">
        <v>3637</v>
      </c>
      <c r="F115" s="69">
        <v>7.0810888566961E14</v>
      </c>
      <c r="G115" s="154" t="s">
        <v>3638</v>
      </c>
      <c r="H115" s="78">
        <v>24104.0</v>
      </c>
      <c r="I115" s="30" t="s">
        <v>182</v>
      </c>
      <c r="J115" s="69"/>
      <c r="K115" s="69"/>
      <c r="N115" s="244">
        <f t="shared" ref="N115:R115" si="13">COUNTIFS($I$112:$I$123,N114)</f>
        <v>12</v>
      </c>
      <c r="O115" s="244">
        <f t="shared" si="13"/>
        <v>0</v>
      </c>
      <c r="P115" s="244">
        <f t="shared" si="13"/>
        <v>0</v>
      </c>
      <c r="Q115" s="244">
        <f t="shared" si="13"/>
        <v>0</v>
      </c>
      <c r="R115" s="244">
        <f t="shared" si="13"/>
        <v>0</v>
      </c>
    </row>
    <row r="116" ht="15.75" customHeight="1">
      <c r="A116" s="11" t="s">
        <v>14</v>
      </c>
      <c r="B116" s="205" t="s">
        <v>1980</v>
      </c>
      <c r="C116" s="69" t="str">
        <f t="shared" si="12"/>
        <v>Segunda-Feira</v>
      </c>
      <c r="D116" s="445" t="str">
        <f>IF(C116&lt;&gt;"Quarta-Feira","14:20","09:20")</f>
        <v>14:20</v>
      </c>
      <c r="E116" s="253" t="s">
        <v>3639</v>
      </c>
      <c r="F116" s="69">
        <v>7.00708992222279E14</v>
      </c>
      <c r="G116" s="154" t="s">
        <v>3640</v>
      </c>
      <c r="H116" s="78">
        <v>24339.0</v>
      </c>
      <c r="I116" s="30" t="s">
        <v>182</v>
      </c>
      <c r="J116" s="69"/>
      <c r="K116" s="69"/>
      <c r="R116" s="62"/>
    </row>
    <row r="117" ht="15.75" customHeight="1">
      <c r="A117" s="11" t="s">
        <v>15</v>
      </c>
      <c r="B117" s="205" t="s">
        <v>1984</v>
      </c>
      <c r="C117" s="69" t="str">
        <f t="shared" si="12"/>
        <v>Segunda-Feira</v>
      </c>
      <c r="D117" s="445" t="str">
        <f>IF(C117&lt;&gt;"Quarta-Feira","14:40","09:40")</f>
        <v>14:40</v>
      </c>
      <c r="E117" s="253" t="s">
        <v>3641</v>
      </c>
      <c r="F117" s="69">
        <v>8.98001468644663E14</v>
      </c>
      <c r="G117" s="154" t="s">
        <v>3642</v>
      </c>
      <c r="H117" s="78">
        <v>41346.0</v>
      </c>
      <c r="I117" s="30" t="s">
        <v>182</v>
      </c>
      <c r="J117" s="69"/>
      <c r="K117" s="69"/>
      <c r="R117" s="62"/>
    </row>
    <row r="118" ht="15.75" customHeight="1">
      <c r="A118" s="11" t="s">
        <v>16</v>
      </c>
      <c r="B118" s="205" t="s">
        <v>1988</v>
      </c>
      <c r="C118" s="69" t="str">
        <f t="shared" si="12"/>
        <v>Segunda-Feira</v>
      </c>
      <c r="D118" s="445" t="str">
        <f>IF(C118&lt;&gt;"Quarta-Feira","15:00","10:00")</f>
        <v>15:00</v>
      </c>
      <c r="E118" s="253" t="s">
        <v>3643</v>
      </c>
      <c r="F118" s="69">
        <v>7.00001377188005E14</v>
      </c>
      <c r="G118" s="154" t="s">
        <v>3644</v>
      </c>
      <c r="H118" s="78">
        <v>18740.0</v>
      </c>
      <c r="I118" s="30" t="s">
        <v>182</v>
      </c>
      <c r="J118" s="69"/>
      <c r="K118" s="69"/>
      <c r="R118" s="62"/>
    </row>
    <row r="119" ht="15.75" customHeight="1">
      <c r="A119" s="11" t="s">
        <v>17</v>
      </c>
      <c r="B119" s="205" t="s">
        <v>1991</v>
      </c>
      <c r="C119" s="69" t="str">
        <f t="shared" si="12"/>
        <v>Segunda-Feira</v>
      </c>
      <c r="D119" s="445" t="str">
        <f>IF(C119&lt;&gt;"Quarta-Feira","15:20","10:20")</f>
        <v>15:20</v>
      </c>
      <c r="E119" s="253" t="s">
        <v>3645</v>
      </c>
      <c r="F119" s="69">
        <v>8.01440484073597E14</v>
      </c>
      <c r="G119" s="154" t="s">
        <v>3646</v>
      </c>
      <c r="H119" s="72">
        <v>20497.0</v>
      </c>
      <c r="I119" s="30" t="s">
        <v>182</v>
      </c>
      <c r="J119" s="69"/>
      <c r="K119" s="69"/>
      <c r="R119" s="62"/>
    </row>
    <row r="120" ht="15.75" customHeight="1">
      <c r="A120" s="11" t="s">
        <v>85</v>
      </c>
      <c r="B120" s="205" t="s">
        <v>1980</v>
      </c>
      <c r="C120" s="69" t="str">
        <f t="shared" si="12"/>
        <v>Segunda-Feira</v>
      </c>
      <c r="D120" s="445" t="str">
        <f>IF(C120&lt;&gt;"Quarta-Feira","15:40","10:40")</f>
        <v>15:40</v>
      </c>
      <c r="E120" s="253" t="s">
        <v>3647</v>
      </c>
      <c r="F120" s="69">
        <v>7.01805298936275E14</v>
      </c>
      <c r="G120" s="154" t="s">
        <v>3648</v>
      </c>
      <c r="H120" s="78">
        <v>25745.0</v>
      </c>
      <c r="I120" s="30" t="s">
        <v>182</v>
      </c>
      <c r="J120" s="69"/>
      <c r="K120" s="69"/>
      <c r="R120" s="62"/>
      <c r="V120" s="292"/>
    </row>
    <row r="121" ht="15.75" customHeight="1">
      <c r="A121" s="11" t="s">
        <v>87</v>
      </c>
      <c r="B121" s="205" t="s">
        <v>1984</v>
      </c>
      <c r="C121" s="69" t="str">
        <f t="shared" si="12"/>
        <v>Segunda-Feira</v>
      </c>
      <c r="D121" s="445" t="str">
        <f>IF(C121&lt;&gt;"Quarta-Feira","16:00","11:00")</f>
        <v>16:00</v>
      </c>
      <c r="E121" s="253" t="s">
        <v>3649</v>
      </c>
      <c r="F121" s="69">
        <v>7.07605206147997E14</v>
      </c>
      <c r="G121" s="154" t="s">
        <v>3650</v>
      </c>
      <c r="H121" s="153">
        <v>25377.0</v>
      </c>
      <c r="I121" s="30" t="s">
        <v>182</v>
      </c>
      <c r="J121" s="69"/>
      <c r="K121" s="69"/>
      <c r="R121" s="62"/>
    </row>
    <row r="122" ht="15.75" customHeight="1">
      <c r="A122" s="11" t="s">
        <v>90</v>
      </c>
      <c r="B122" s="205" t="s">
        <v>1988</v>
      </c>
      <c r="C122" s="69" t="str">
        <f t="shared" si="12"/>
        <v>Segunda-Feira</v>
      </c>
      <c r="D122" s="445" t="str">
        <f>IF(C122&lt;&gt;"Quarta-Feira","16:20","11:20")</f>
        <v>16:20</v>
      </c>
      <c r="E122" s="253" t="s">
        <v>3651</v>
      </c>
      <c r="F122" s="69">
        <v>7.08606086826182E14</v>
      </c>
      <c r="G122" s="154" t="s">
        <v>3652</v>
      </c>
      <c r="H122" s="153">
        <v>21887.0</v>
      </c>
      <c r="I122" s="30" t="s">
        <v>182</v>
      </c>
      <c r="J122" s="69"/>
      <c r="K122" s="69"/>
      <c r="R122" s="62"/>
    </row>
    <row r="123" ht="15.75" customHeight="1">
      <c r="A123" s="11" t="s">
        <v>93</v>
      </c>
      <c r="B123" s="205" t="s">
        <v>1991</v>
      </c>
      <c r="C123" s="69" t="str">
        <f t="shared" si="12"/>
        <v>Segunda-Feira</v>
      </c>
      <c r="D123" s="445" t="str">
        <f>IF(C123&lt;&gt;"Quarta-Feira","16:40","11:40")</f>
        <v>16:40</v>
      </c>
      <c r="E123" s="253" t="s">
        <v>3653</v>
      </c>
      <c r="F123" s="69">
        <v>7.0400235746686E14</v>
      </c>
      <c r="G123" s="154" t="s">
        <v>3654</v>
      </c>
      <c r="H123" s="153">
        <v>26090.0</v>
      </c>
      <c r="I123" s="30" t="s">
        <v>182</v>
      </c>
      <c r="J123" s="69"/>
      <c r="K123" s="69"/>
      <c r="R123" s="62"/>
    </row>
    <row r="124" ht="15.75" customHeight="1">
      <c r="B124" s="167"/>
      <c r="E124" s="231"/>
      <c r="G124" s="167"/>
      <c r="J124" s="62"/>
      <c r="K124" s="62"/>
      <c r="R124" s="62"/>
    </row>
    <row r="125" ht="15.75" customHeight="1">
      <c r="B125" s="167"/>
      <c r="E125" s="231"/>
      <c r="G125" s="167"/>
      <c r="J125" s="62"/>
      <c r="K125" s="62"/>
      <c r="R125" s="62"/>
    </row>
    <row r="126" ht="15.75" customHeight="1">
      <c r="B126" s="167"/>
      <c r="E126" s="231"/>
      <c r="G126" s="167"/>
      <c r="J126" s="62"/>
      <c r="K126" s="62"/>
      <c r="R126" s="62"/>
    </row>
    <row r="127" ht="15.75" customHeight="1">
      <c r="A127" s="20" t="s">
        <v>377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08h às 13h"</f>
        <v>17/06/2026 08h às 13h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426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34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2013</v>
      </c>
      <c r="C130" s="69" t="str">
        <f t="shared" ref="C130:C141" si="14">PROPER(TEXT(DATE(MID($A$128,7,4),MID($A$128,4,2),LEFT($A$128,2)),"dddd"))</f>
        <v>Quarta-Feira</v>
      </c>
      <c r="D130" s="445" t="str">
        <f>IF(C130&lt;&gt;"Quarta-Feira","13:00","08:00")</f>
        <v>08:00</v>
      </c>
      <c r="E130" s="253" t="s">
        <v>3655</v>
      </c>
      <c r="F130" s="69">
        <v>7.00004639675105E14</v>
      </c>
      <c r="G130" s="154" t="s">
        <v>3656</v>
      </c>
      <c r="H130" s="193">
        <v>19035.0</v>
      </c>
      <c r="I130" s="30" t="s">
        <v>182</v>
      </c>
      <c r="J130" s="69"/>
      <c r="K130" s="69"/>
      <c r="N130" s="237" t="s">
        <v>386</v>
      </c>
      <c r="O130" s="95"/>
      <c r="P130" s="95"/>
      <c r="Q130" s="95"/>
      <c r="R130" s="95"/>
    </row>
    <row r="131" ht="15.75" customHeight="1">
      <c r="A131" s="11" t="s">
        <v>11</v>
      </c>
      <c r="B131" s="205" t="s">
        <v>2018</v>
      </c>
      <c r="C131" s="69" t="str">
        <f t="shared" si="14"/>
        <v>Quarta-Feira</v>
      </c>
      <c r="D131" s="445" t="str">
        <f>IF(C131&lt;&gt;"Quarta-Feira","13:20","08:20")</f>
        <v>08:20</v>
      </c>
      <c r="E131" s="253" t="s">
        <v>3657</v>
      </c>
      <c r="F131" s="69">
        <v>7.00509511048252E14</v>
      </c>
      <c r="G131" s="154" t="s">
        <v>3658</v>
      </c>
      <c r="H131" s="512">
        <v>22572.0</v>
      </c>
      <c r="I131" s="30" t="s">
        <v>1822</v>
      </c>
      <c r="J131" s="69"/>
      <c r="K131" s="69"/>
      <c r="N131" s="239" t="s">
        <v>1823</v>
      </c>
      <c r="O131" s="2"/>
      <c r="P131" s="2"/>
      <c r="Q131" s="2"/>
      <c r="R131" s="2"/>
    </row>
    <row r="132" ht="15.75" customHeight="1">
      <c r="A132" s="11" t="s">
        <v>12</v>
      </c>
      <c r="B132" s="205" t="s">
        <v>2020</v>
      </c>
      <c r="C132" s="69" t="str">
        <f t="shared" si="14"/>
        <v>Quarta-Feira</v>
      </c>
      <c r="D132" s="445" t="str">
        <f>IF(C132&lt;&gt;"Quarta-Feira","13:40","08:40")</f>
        <v>08:40</v>
      </c>
      <c r="E132" s="253" t="s">
        <v>3659</v>
      </c>
      <c r="F132" s="69">
        <v>8.98002116543993E14</v>
      </c>
      <c r="G132" s="154" t="s">
        <v>3660</v>
      </c>
      <c r="H132" s="72">
        <v>18846.0</v>
      </c>
      <c r="I132" s="30" t="s">
        <v>182</v>
      </c>
      <c r="J132" s="69"/>
      <c r="K132" s="69"/>
      <c r="L132" s="63"/>
      <c r="M132" s="63"/>
      <c r="N132" s="240" t="s">
        <v>182</v>
      </c>
      <c r="O132" s="241" t="s">
        <v>194</v>
      </c>
      <c r="P132" s="241" t="s">
        <v>180</v>
      </c>
      <c r="Q132" s="242" t="s">
        <v>172</v>
      </c>
      <c r="R132" s="343" t="s">
        <v>1822</v>
      </c>
      <c r="S132" s="63"/>
      <c r="T132" s="63"/>
      <c r="U132" s="63"/>
      <c r="V132" s="63"/>
      <c r="W132" s="63"/>
      <c r="X132" s="63"/>
    </row>
    <row r="133" ht="15.75" customHeight="1">
      <c r="A133" s="11" t="s">
        <v>13</v>
      </c>
      <c r="B133" s="205" t="s">
        <v>2023</v>
      </c>
      <c r="C133" s="69" t="str">
        <f t="shared" si="14"/>
        <v>Quarta-Feira</v>
      </c>
      <c r="D133" s="445" t="str">
        <f>IF(C133&lt;&gt;"Quarta-Feira","14:00","09:00")</f>
        <v>09:00</v>
      </c>
      <c r="E133" s="253" t="s">
        <v>3661</v>
      </c>
      <c r="F133" s="69">
        <v>7.0780768791731E14</v>
      </c>
      <c r="G133" s="154" t="s">
        <v>3662</v>
      </c>
      <c r="H133" s="78">
        <v>26508.0</v>
      </c>
      <c r="I133" s="30" t="s">
        <v>182</v>
      </c>
      <c r="J133" s="69"/>
      <c r="K133" s="69"/>
      <c r="N133" s="244">
        <f t="shared" ref="N133:R133" si="15">COUNTIFS($I$130:$I$141,N132)</f>
        <v>8</v>
      </c>
      <c r="O133" s="244">
        <f t="shared" si="15"/>
        <v>0</v>
      </c>
      <c r="P133" s="244">
        <f t="shared" si="15"/>
        <v>0</v>
      </c>
      <c r="Q133" s="244">
        <f t="shared" si="15"/>
        <v>0</v>
      </c>
      <c r="R133" s="244">
        <f t="shared" si="15"/>
        <v>4</v>
      </c>
    </row>
    <row r="134" ht="15.75" customHeight="1">
      <c r="A134" s="11" t="s">
        <v>14</v>
      </c>
      <c r="B134" s="205" t="s">
        <v>2018</v>
      </c>
      <c r="C134" s="69" t="str">
        <f t="shared" si="14"/>
        <v>Quarta-Feira</v>
      </c>
      <c r="D134" s="445" t="str">
        <f>IF(C134&lt;&gt;"Quarta-Feira","14:20","09:20")</f>
        <v>09:20</v>
      </c>
      <c r="E134" s="253" t="s">
        <v>3663</v>
      </c>
      <c r="F134" s="69">
        <v>7.05801416767531E14</v>
      </c>
      <c r="G134" s="154" t="s">
        <v>3664</v>
      </c>
      <c r="H134" s="78">
        <v>22193.0</v>
      </c>
      <c r="I134" s="30" t="s">
        <v>1822</v>
      </c>
      <c r="J134" s="69"/>
      <c r="K134" s="69"/>
      <c r="R134" s="62"/>
    </row>
    <row r="135" ht="15.75" customHeight="1">
      <c r="A135" s="11" t="s">
        <v>15</v>
      </c>
      <c r="B135" s="205" t="s">
        <v>2020</v>
      </c>
      <c r="C135" s="69" t="str">
        <f t="shared" si="14"/>
        <v>Quarta-Feira</v>
      </c>
      <c r="D135" s="445" t="str">
        <f>IF(C135&lt;&gt;"Quarta-Feira","14:40","09:40")</f>
        <v>09:40</v>
      </c>
      <c r="E135" s="253" t="s">
        <v>3665</v>
      </c>
      <c r="F135" s="69">
        <v>2.0115539608E14</v>
      </c>
      <c r="G135" s="154" t="s">
        <v>3666</v>
      </c>
      <c r="H135" s="78">
        <v>19374.0</v>
      </c>
      <c r="I135" s="30" t="s">
        <v>1822</v>
      </c>
      <c r="J135" s="69"/>
      <c r="K135" s="69"/>
      <c r="R135" s="62"/>
    </row>
    <row r="136" ht="15.75" customHeight="1">
      <c r="A136" s="11" t="s">
        <v>16</v>
      </c>
      <c r="B136" s="205" t="s">
        <v>2013</v>
      </c>
      <c r="C136" s="69" t="str">
        <f t="shared" si="14"/>
        <v>Quarta-Feira</v>
      </c>
      <c r="D136" s="445" t="str">
        <f>IF(C136&lt;&gt;"Quarta-Feira","15:00","10:00")</f>
        <v>10:00</v>
      </c>
      <c r="E136" s="253" t="s">
        <v>3667</v>
      </c>
      <c r="F136" s="69">
        <v>7.02400526742426E14</v>
      </c>
      <c r="G136" s="154" t="s">
        <v>1243</v>
      </c>
      <c r="H136" s="150">
        <v>21303.0</v>
      </c>
      <c r="I136" s="30" t="s">
        <v>182</v>
      </c>
      <c r="J136" s="69"/>
      <c r="K136" s="69"/>
      <c r="L136" s="63"/>
      <c r="M136" s="63"/>
      <c r="N136" s="63"/>
      <c r="O136" s="63"/>
      <c r="P136" s="63"/>
      <c r="Q136" s="63"/>
      <c r="R136" s="343"/>
      <c r="S136" s="63"/>
      <c r="T136" s="63"/>
      <c r="U136" s="63"/>
      <c r="V136" s="63"/>
      <c r="W136" s="63"/>
      <c r="X136" s="63"/>
    </row>
    <row r="137" ht="15.75" customHeight="1">
      <c r="A137" s="11" t="s">
        <v>17</v>
      </c>
      <c r="B137" s="205" t="s">
        <v>2018</v>
      </c>
      <c r="C137" s="69" t="str">
        <f t="shared" si="14"/>
        <v>Quarta-Feira</v>
      </c>
      <c r="D137" s="445" t="str">
        <f>IF(C137&lt;&gt;"Quarta-Feira","15:20","10:20")</f>
        <v>10:20</v>
      </c>
      <c r="E137" s="253" t="s">
        <v>3668</v>
      </c>
      <c r="F137" s="69">
        <v>8.98001413699954E14</v>
      </c>
      <c r="G137" s="154" t="s">
        <v>3669</v>
      </c>
      <c r="H137" s="72">
        <v>21935.0</v>
      </c>
      <c r="I137" s="30" t="s">
        <v>1822</v>
      </c>
      <c r="J137" s="69"/>
      <c r="K137" s="69"/>
      <c r="R137" s="62"/>
    </row>
    <row r="138" ht="15.75" customHeight="1">
      <c r="A138" s="11" t="s">
        <v>85</v>
      </c>
      <c r="B138" s="205" t="s">
        <v>2023</v>
      </c>
      <c r="C138" s="69" t="str">
        <f t="shared" si="14"/>
        <v>Quarta-Feira</v>
      </c>
      <c r="D138" s="445" t="str">
        <f>IF(C138&lt;&gt;"Quarta-Feira","15:40","10:40")</f>
        <v>10:40</v>
      </c>
      <c r="E138" s="253" t="s">
        <v>3670</v>
      </c>
      <c r="F138" s="253" t="s">
        <v>3671</v>
      </c>
      <c r="G138" s="154" t="s">
        <v>3672</v>
      </c>
      <c r="H138" s="78">
        <v>12830.0</v>
      </c>
      <c r="I138" s="30" t="s">
        <v>182</v>
      </c>
      <c r="J138" s="69"/>
      <c r="K138" s="69"/>
      <c r="R138" s="62"/>
    </row>
    <row r="139" ht="15.75" customHeight="1">
      <c r="A139" s="11" t="s">
        <v>87</v>
      </c>
      <c r="B139" s="205" t="s">
        <v>2020</v>
      </c>
      <c r="C139" s="69" t="str">
        <f t="shared" si="14"/>
        <v>Quarta-Feira</v>
      </c>
      <c r="D139" s="445" t="str">
        <f>IF(C139&lt;&gt;"Quarta-Feira","16:00","11:00")</f>
        <v>11:00</v>
      </c>
      <c r="E139" s="253" t="s">
        <v>3673</v>
      </c>
      <c r="F139" s="69">
        <v>8.01440468849713E14</v>
      </c>
      <c r="G139" s="154" t="s">
        <v>3674</v>
      </c>
      <c r="H139" s="153">
        <v>30660.0</v>
      </c>
      <c r="I139" s="30" t="s">
        <v>182</v>
      </c>
      <c r="J139" s="69"/>
      <c r="K139" s="69"/>
      <c r="R139" s="62"/>
    </row>
    <row r="140" ht="15.75" customHeight="1">
      <c r="A140" s="11" t="s">
        <v>90</v>
      </c>
      <c r="B140" s="205" t="s">
        <v>2023</v>
      </c>
      <c r="C140" s="69" t="str">
        <f t="shared" si="14"/>
        <v>Quarta-Feira</v>
      </c>
      <c r="D140" s="445" t="str">
        <f>IF(C140&lt;&gt;"Quarta-Feira","16:20","11:20")</f>
        <v>11:20</v>
      </c>
      <c r="E140" s="253" t="s">
        <v>3675</v>
      </c>
      <c r="F140" s="69">
        <v>7.00005435973206E14</v>
      </c>
      <c r="G140" s="154" t="s">
        <v>3676</v>
      </c>
      <c r="H140" s="78">
        <v>17459.0</v>
      </c>
      <c r="I140" s="30" t="s">
        <v>182</v>
      </c>
      <c r="J140" s="69"/>
      <c r="K140" s="69"/>
      <c r="R140" s="62"/>
    </row>
    <row r="141" ht="15.75" customHeight="1">
      <c r="A141" s="11" t="s">
        <v>93</v>
      </c>
      <c r="B141" s="205" t="s">
        <v>2013</v>
      </c>
      <c r="C141" s="69" t="str">
        <f t="shared" si="14"/>
        <v>Quarta-Feira</v>
      </c>
      <c r="D141" s="445" t="str">
        <f>IF(C141&lt;&gt;"Quarta-Feira","16:40","11:40")</f>
        <v>11:40</v>
      </c>
      <c r="E141" s="253" t="s">
        <v>3677</v>
      </c>
      <c r="F141" s="69">
        <v>7.0960865308537E14</v>
      </c>
      <c r="G141" s="154" t="s">
        <v>3678</v>
      </c>
      <c r="H141" s="153">
        <v>20862.0</v>
      </c>
      <c r="I141" s="30" t="s">
        <v>182</v>
      </c>
      <c r="J141" s="69"/>
      <c r="K141" s="69"/>
      <c r="R141" s="62"/>
    </row>
    <row r="142" ht="15.75" customHeight="1">
      <c r="B142" s="167"/>
      <c r="E142" s="231"/>
      <c r="G142" s="167"/>
      <c r="J142" s="62"/>
      <c r="K142" s="62"/>
      <c r="R142" s="62"/>
    </row>
    <row r="143" ht="15.75" customHeight="1">
      <c r="B143" s="167"/>
      <c r="E143" s="231"/>
      <c r="G143" s="167"/>
      <c r="J143" s="62"/>
      <c r="K143" s="62"/>
      <c r="R143" s="62"/>
    </row>
    <row r="144" ht="15.75" customHeight="1">
      <c r="B144" s="167"/>
      <c r="E144" s="231"/>
      <c r="G144" s="167"/>
      <c r="J144" s="62"/>
      <c r="K144" s="62"/>
      <c r="R144" s="62"/>
    </row>
    <row r="145" ht="15.75" customHeight="1">
      <c r="A145" s="20" t="s">
        <v>377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08h às 13h"</f>
        <v>19/06/2026 08h às 13h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426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34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2380</v>
      </c>
      <c r="C148" s="69" t="str">
        <f t="shared" ref="C148:C159" si="16">PROPER(TEXT(DATE(MID($A$146,7,4),MID($A$146,4,2),LEFT($A$146,2)),"dddd"))</f>
        <v>Sexta-Feira</v>
      </c>
      <c r="D148" s="445" t="str">
        <f>IF(C148&lt;&gt;"Quarta-Feira","13:00","08:00")</f>
        <v>13:00</v>
      </c>
      <c r="E148" s="253" t="s">
        <v>3679</v>
      </c>
      <c r="F148" s="404">
        <v>2.03922978110006E14</v>
      </c>
      <c r="G148" s="154" t="s">
        <v>3680</v>
      </c>
      <c r="H148" s="78">
        <v>18469.0</v>
      </c>
      <c r="I148" s="30" t="s">
        <v>182</v>
      </c>
      <c r="J148" s="69"/>
      <c r="K148" s="69"/>
      <c r="L148" s="197" t="s">
        <v>520</v>
      </c>
      <c r="N148" s="237" t="s">
        <v>386</v>
      </c>
      <c r="O148" s="95"/>
      <c r="P148" s="95"/>
      <c r="Q148" s="95"/>
      <c r="R148" s="95"/>
    </row>
    <row r="149" ht="15.75" customHeight="1">
      <c r="A149" s="11" t="s">
        <v>11</v>
      </c>
      <c r="B149" s="205" t="s">
        <v>2383</v>
      </c>
      <c r="C149" s="69" t="str">
        <f t="shared" si="16"/>
        <v>Sexta-Feira</v>
      </c>
      <c r="D149" s="445" t="str">
        <f>IF(C149&lt;&gt;"Quarta-Feira","13:20","08:20")</f>
        <v>13:20</v>
      </c>
      <c r="E149" s="253" t="s">
        <v>3681</v>
      </c>
      <c r="F149" s="69">
        <v>7.06407150833985E14</v>
      </c>
      <c r="G149" s="154" t="s">
        <v>3682</v>
      </c>
      <c r="H149" s="78">
        <v>23572.0</v>
      </c>
      <c r="I149" s="30" t="s">
        <v>182</v>
      </c>
      <c r="J149" s="69"/>
      <c r="K149" s="69"/>
      <c r="N149" s="239" t="s">
        <v>1823</v>
      </c>
      <c r="O149" s="2"/>
      <c r="P149" s="2"/>
      <c r="Q149" s="2"/>
      <c r="R149" s="2"/>
    </row>
    <row r="150" ht="15.75" customHeight="1">
      <c r="A150" s="11" t="s">
        <v>12</v>
      </c>
      <c r="B150" s="205" t="s">
        <v>2386</v>
      </c>
      <c r="C150" s="69" t="str">
        <f t="shared" si="16"/>
        <v>Sexta-Feira</v>
      </c>
      <c r="D150" s="445" t="str">
        <f>IF(C150&lt;&gt;"Quarta-Feira","13:40","08:40")</f>
        <v>13:40</v>
      </c>
      <c r="E150" s="253" t="s">
        <v>3683</v>
      </c>
      <c r="F150" s="69">
        <v>7.06200017795461E14</v>
      </c>
      <c r="G150" s="154" t="s">
        <v>3684</v>
      </c>
      <c r="H150" s="78">
        <v>28996.0</v>
      </c>
      <c r="I150" s="30" t="s">
        <v>182</v>
      </c>
      <c r="J150" s="69"/>
      <c r="K150" s="69"/>
      <c r="N150" s="240" t="s">
        <v>182</v>
      </c>
      <c r="O150" s="241" t="s">
        <v>194</v>
      </c>
      <c r="P150" s="241" t="s">
        <v>180</v>
      </c>
      <c r="Q150" s="242" t="s">
        <v>172</v>
      </c>
      <c r="R150" s="62" t="s">
        <v>1822</v>
      </c>
    </row>
    <row r="151" ht="15.75" customHeight="1">
      <c r="A151" s="11" t="s">
        <v>13</v>
      </c>
      <c r="B151" s="205" t="s">
        <v>2389</v>
      </c>
      <c r="C151" s="69" t="str">
        <f t="shared" si="16"/>
        <v>Sexta-Feira</v>
      </c>
      <c r="D151" s="445" t="str">
        <f>IF(C151&lt;&gt;"Quarta-Feira","14:00","09:00")</f>
        <v>14:00</v>
      </c>
      <c r="E151" s="253" t="s">
        <v>3685</v>
      </c>
      <c r="F151" s="69">
        <v>7.0040231650275E14</v>
      </c>
      <c r="G151" s="154" t="s">
        <v>3686</v>
      </c>
      <c r="H151" s="78">
        <v>16801.0</v>
      </c>
      <c r="I151" s="30" t="s">
        <v>182</v>
      </c>
      <c r="J151" s="69"/>
      <c r="K151" s="69"/>
      <c r="N151" s="244">
        <f t="shared" ref="N151:R151" si="17">COUNTIFS($I$148:$I$159,N150)</f>
        <v>10</v>
      </c>
      <c r="O151" s="244">
        <f t="shared" si="17"/>
        <v>0</v>
      </c>
      <c r="P151" s="244">
        <f t="shared" si="17"/>
        <v>0</v>
      </c>
      <c r="Q151" s="244">
        <f t="shared" si="17"/>
        <v>0</v>
      </c>
      <c r="R151" s="244">
        <f t="shared" si="17"/>
        <v>2</v>
      </c>
    </row>
    <row r="152" ht="15.75" customHeight="1">
      <c r="A152" s="11" t="s">
        <v>14</v>
      </c>
      <c r="B152" s="205" t="s">
        <v>2380</v>
      </c>
      <c r="C152" s="69" t="str">
        <f t="shared" si="16"/>
        <v>Sexta-Feira</v>
      </c>
      <c r="D152" s="445" t="str">
        <f>IF(C152&lt;&gt;"Quarta-Feira","14:20","09:20")</f>
        <v>14:20</v>
      </c>
      <c r="E152" s="253" t="s">
        <v>3687</v>
      </c>
      <c r="F152" s="69">
        <v>7.00002726620404E14</v>
      </c>
      <c r="G152" s="154" t="s">
        <v>3688</v>
      </c>
      <c r="H152" s="78">
        <v>20565.0</v>
      </c>
      <c r="I152" s="30" t="s">
        <v>182</v>
      </c>
      <c r="J152" s="69"/>
      <c r="K152" s="69"/>
      <c r="R152" s="62"/>
    </row>
    <row r="153" ht="15.75" customHeight="1">
      <c r="A153" s="11" t="s">
        <v>15</v>
      </c>
      <c r="B153" s="205" t="s">
        <v>2383</v>
      </c>
      <c r="C153" s="69" t="str">
        <f t="shared" si="16"/>
        <v>Sexta-Feira</v>
      </c>
      <c r="D153" s="445" t="str">
        <f>IF(C153&lt;&gt;"Quarta-Feira","14:40","09:40")</f>
        <v>14:40</v>
      </c>
      <c r="E153" s="253" t="s">
        <v>3689</v>
      </c>
      <c r="F153" s="69">
        <v>7.00304912939236E14</v>
      </c>
      <c r="G153" s="154" t="s">
        <v>3232</v>
      </c>
      <c r="H153" s="78">
        <v>28200.0</v>
      </c>
      <c r="I153" s="30" t="s">
        <v>182</v>
      </c>
      <c r="J153" s="69"/>
      <c r="K153" s="69"/>
      <c r="R153" s="62"/>
    </row>
    <row r="154" ht="15.75" customHeight="1">
      <c r="A154" s="11" t="s">
        <v>16</v>
      </c>
      <c r="B154" s="205" t="s">
        <v>2386</v>
      </c>
      <c r="C154" s="69" t="str">
        <f t="shared" si="16"/>
        <v>Sexta-Feira</v>
      </c>
      <c r="D154" s="445" t="str">
        <f>IF(C154&lt;&gt;"Quarta-Feira","15:00","10:00")</f>
        <v>15:00</v>
      </c>
      <c r="E154" s="253" t="s">
        <v>3690</v>
      </c>
      <c r="F154" s="404">
        <v>7.01001832948997E14</v>
      </c>
      <c r="G154" s="154" t="s">
        <v>3691</v>
      </c>
      <c r="H154" s="78">
        <v>23070.0</v>
      </c>
      <c r="I154" s="30" t="s">
        <v>1822</v>
      </c>
      <c r="J154" s="69"/>
      <c r="K154" s="69"/>
      <c r="R154" s="62"/>
    </row>
    <row r="155" ht="15.75" customHeight="1">
      <c r="A155" s="11" t="s">
        <v>17</v>
      </c>
      <c r="B155" s="205" t="s">
        <v>2389</v>
      </c>
      <c r="C155" s="69" t="str">
        <f t="shared" si="16"/>
        <v>Sexta-Feira</v>
      </c>
      <c r="D155" s="445" t="str">
        <f>IF(C155&lt;&gt;"Quarta-Feira","15:20","10:20")</f>
        <v>15:20</v>
      </c>
      <c r="E155" s="253" t="s">
        <v>3692</v>
      </c>
      <c r="F155" s="69">
        <v>7.02109719594292E14</v>
      </c>
      <c r="G155" s="154" t="s">
        <v>3693</v>
      </c>
      <c r="H155" s="78">
        <v>15487.0</v>
      </c>
      <c r="I155" s="30" t="s">
        <v>1822</v>
      </c>
      <c r="J155" s="69"/>
      <c r="K155" s="69"/>
      <c r="R155" s="62"/>
    </row>
    <row r="156" ht="15.75" customHeight="1">
      <c r="A156" s="11" t="s">
        <v>85</v>
      </c>
      <c r="B156" s="205" t="s">
        <v>2383</v>
      </c>
      <c r="C156" s="69" t="str">
        <f t="shared" si="16"/>
        <v>Sexta-Feira</v>
      </c>
      <c r="D156" s="445" t="str">
        <f>IF(C156&lt;&gt;"Quarta-Feira","15:40","10:40")</f>
        <v>15:40</v>
      </c>
      <c r="E156" s="253" t="s">
        <v>3694</v>
      </c>
      <c r="F156" s="69">
        <v>7.04009861735965E14</v>
      </c>
      <c r="G156" s="154" t="s">
        <v>3695</v>
      </c>
      <c r="H156" s="78">
        <v>18370.0</v>
      </c>
      <c r="I156" s="30" t="s">
        <v>182</v>
      </c>
      <c r="J156" s="69"/>
      <c r="K156" s="69"/>
      <c r="L156" s="197" t="s">
        <v>576</v>
      </c>
      <c r="R156" s="62"/>
    </row>
    <row r="157" ht="15.75" customHeight="1">
      <c r="A157" s="11" t="s">
        <v>87</v>
      </c>
      <c r="B157" s="205" t="s">
        <v>2380</v>
      </c>
      <c r="C157" s="69" t="str">
        <f t="shared" si="16"/>
        <v>Sexta-Feira</v>
      </c>
      <c r="D157" s="445" t="str">
        <f>IF(C157&lt;&gt;"Quarta-Feira","16:00","11:00")</f>
        <v>16:00</v>
      </c>
      <c r="E157" s="253" t="s">
        <v>3696</v>
      </c>
      <c r="F157" s="69">
        <v>7.02507383427838E14</v>
      </c>
      <c r="G157" s="154" t="s">
        <v>3697</v>
      </c>
      <c r="H157" s="153">
        <v>22645.0</v>
      </c>
      <c r="I157" s="30" t="s">
        <v>182</v>
      </c>
      <c r="J157" s="69"/>
      <c r="K157" s="69"/>
      <c r="R157" s="62"/>
    </row>
    <row r="158" ht="15.75" customHeight="1">
      <c r="A158" s="11" t="s">
        <v>90</v>
      </c>
      <c r="B158" s="205" t="s">
        <v>2380</v>
      </c>
      <c r="C158" s="69" t="str">
        <f t="shared" si="16"/>
        <v>Sexta-Feira</v>
      </c>
      <c r="D158" s="445" t="str">
        <f>IF(C158&lt;&gt;"Quarta-Feira","16:20","11:20")</f>
        <v>16:20</v>
      </c>
      <c r="E158" s="253" t="s">
        <v>3698</v>
      </c>
      <c r="F158" s="69">
        <v>7.06003375326142E14</v>
      </c>
      <c r="G158" s="154" t="s">
        <v>3699</v>
      </c>
      <c r="H158" s="153">
        <v>32538.0</v>
      </c>
      <c r="I158" s="30" t="s">
        <v>182</v>
      </c>
      <c r="J158" s="69"/>
      <c r="K158" s="69"/>
      <c r="R158" s="62"/>
    </row>
    <row r="159" ht="15.75" customHeight="1">
      <c r="A159" s="11" t="s">
        <v>93</v>
      </c>
      <c r="B159" s="205" t="s">
        <v>2380</v>
      </c>
      <c r="C159" s="69" t="str">
        <f t="shared" si="16"/>
        <v>Sexta-Feira</v>
      </c>
      <c r="D159" s="445" t="str">
        <f>IF(C159&lt;&gt;"Quarta-Feira","16:40","11:40")</f>
        <v>16:40</v>
      </c>
      <c r="E159" s="253" t="s">
        <v>3700</v>
      </c>
      <c r="F159" s="69">
        <v>7.07401042073579E14</v>
      </c>
      <c r="G159" s="154" t="s">
        <v>3701</v>
      </c>
      <c r="H159" s="153">
        <v>25378.0</v>
      </c>
      <c r="I159" s="30" t="s">
        <v>182</v>
      </c>
      <c r="J159" s="69"/>
      <c r="K159" s="69"/>
      <c r="R159" s="62"/>
    </row>
    <row r="160" ht="15.75" customHeight="1">
      <c r="B160" s="167"/>
      <c r="E160" s="231"/>
      <c r="G160" s="167"/>
      <c r="J160" s="62"/>
      <c r="K160" s="62"/>
      <c r="R160" s="62"/>
    </row>
    <row r="161" ht="15.75" customHeight="1">
      <c r="B161" s="167"/>
      <c r="E161" s="231"/>
      <c r="G161" s="167"/>
      <c r="J161" s="62"/>
      <c r="K161" s="62"/>
      <c r="R161" s="62"/>
    </row>
    <row r="162" ht="15.75" customHeight="1">
      <c r="B162" s="167"/>
      <c r="E162" s="231"/>
      <c r="G162" s="167"/>
      <c r="J162" s="62"/>
      <c r="K162" s="62"/>
      <c r="R162" s="62"/>
    </row>
    <row r="163" ht="15.75" customHeight="1">
      <c r="A163" s="20" t="s">
        <v>377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TEXT(DATE(VALUE(MID(A110,7,4)),VALUE(MID(A110,4,2)),VALUE(LEFT(A110,2)))+7,"dd/mm/yyyy")&amp;" 13h às 17h"</f>
        <v>22/06/2026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426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34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1980</v>
      </c>
      <c r="C166" s="69" t="str">
        <f t="shared" ref="C166:C177" si="18">PROPER(TEXT(DATE(MID($A$164,7,4),MID($A$164,4,2),LEFT($A$164,2)),"dddd"))</f>
        <v>Segunda-Feira</v>
      </c>
      <c r="D166" s="445" t="str">
        <f>IF(C166&lt;&gt;"Quarta-Feira","13:00","08:00")</f>
        <v>13:00</v>
      </c>
      <c r="E166" s="253" t="s">
        <v>3702</v>
      </c>
      <c r="F166" s="69">
        <v>2.03910674210009E14</v>
      </c>
      <c r="G166" s="154" t="s">
        <v>3703</v>
      </c>
      <c r="H166" s="193">
        <v>17715.0</v>
      </c>
      <c r="I166" s="30" t="s">
        <v>182</v>
      </c>
      <c r="J166" s="69"/>
      <c r="K166" s="69"/>
      <c r="N166" s="237" t="s">
        <v>386</v>
      </c>
      <c r="O166" s="95"/>
      <c r="P166" s="95"/>
      <c r="Q166" s="95"/>
      <c r="R166" s="95"/>
    </row>
    <row r="167" ht="15.75" customHeight="1">
      <c r="A167" s="11" t="s">
        <v>11</v>
      </c>
      <c r="B167" s="205" t="s">
        <v>1984</v>
      </c>
      <c r="C167" s="69" t="str">
        <f t="shared" si="18"/>
        <v>Segunda-Feira</v>
      </c>
      <c r="D167" s="445" t="str">
        <f>IF(C167&lt;&gt;"Quarta-Feira","13:20","08:20")</f>
        <v>13:20</v>
      </c>
      <c r="E167" s="253" t="s">
        <v>3571</v>
      </c>
      <c r="F167" s="69">
        <v>7.02309181081713E14</v>
      </c>
      <c r="G167" s="154" t="s">
        <v>1298</v>
      </c>
      <c r="H167" s="193">
        <v>23744.0</v>
      </c>
      <c r="I167" s="30" t="s">
        <v>182</v>
      </c>
      <c r="J167" s="69"/>
      <c r="K167" s="69"/>
      <c r="N167" s="239" t="s">
        <v>1823</v>
      </c>
      <c r="O167" s="2"/>
      <c r="P167" s="2"/>
      <c r="Q167" s="2"/>
      <c r="R167" s="2"/>
    </row>
    <row r="168" ht="15.75" customHeight="1">
      <c r="A168" s="11" t="s">
        <v>12</v>
      </c>
      <c r="B168" s="205" t="s">
        <v>1988</v>
      </c>
      <c r="C168" s="69" t="str">
        <f t="shared" si="18"/>
        <v>Segunda-Feira</v>
      </c>
      <c r="D168" s="445" t="str">
        <f>IF(C168&lt;&gt;"Quarta-Feira","13:40","08:40")</f>
        <v>13:40</v>
      </c>
      <c r="E168" s="253" t="s">
        <v>3704</v>
      </c>
      <c r="F168" s="69">
        <v>7.00604427095967E14</v>
      </c>
      <c r="G168" s="197" t="s">
        <v>3705</v>
      </c>
      <c r="H168" s="193">
        <v>21231.0</v>
      </c>
      <c r="I168" s="30" t="s">
        <v>1822</v>
      </c>
      <c r="J168" s="69"/>
      <c r="K168" s="69"/>
      <c r="N168" s="240" t="s">
        <v>182</v>
      </c>
      <c r="O168" s="241" t="s">
        <v>194</v>
      </c>
      <c r="P168" s="241" t="s">
        <v>180</v>
      </c>
      <c r="Q168" s="242" t="s">
        <v>172</v>
      </c>
      <c r="R168" s="62" t="s">
        <v>1822</v>
      </c>
    </row>
    <row r="169" ht="15.75" customHeight="1">
      <c r="A169" s="11" t="s">
        <v>13</v>
      </c>
      <c r="B169" s="205" t="s">
        <v>1991</v>
      </c>
      <c r="C169" s="69" t="str">
        <f t="shared" si="18"/>
        <v>Segunda-Feira</v>
      </c>
      <c r="D169" s="445" t="str">
        <f>IF(C169&lt;&gt;"Quarta-Feira","14:00","09:00")</f>
        <v>14:00</v>
      </c>
      <c r="E169" s="253" t="s">
        <v>3706</v>
      </c>
      <c r="F169" s="69">
        <v>7.06409103480585E14</v>
      </c>
      <c r="G169" s="154" t="s">
        <v>3707</v>
      </c>
      <c r="H169" s="193">
        <v>28900.0</v>
      </c>
      <c r="I169" s="30" t="s">
        <v>1822</v>
      </c>
      <c r="J169" s="69"/>
      <c r="K169" s="69"/>
      <c r="N169" s="244">
        <f t="shared" ref="N169:R169" si="19">COUNTIFS($I$166:$I$177,$N$168)</f>
        <v>10</v>
      </c>
      <c r="O169" s="244">
        <f t="shared" si="19"/>
        <v>10</v>
      </c>
      <c r="P169" s="244">
        <f t="shared" si="19"/>
        <v>10</v>
      </c>
      <c r="Q169" s="244">
        <f t="shared" si="19"/>
        <v>10</v>
      </c>
      <c r="R169" s="244">
        <f t="shared" si="19"/>
        <v>10</v>
      </c>
    </row>
    <row r="170" ht="15.75" customHeight="1">
      <c r="A170" s="11" t="s">
        <v>14</v>
      </c>
      <c r="B170" s="205" t="s">
        <v>1980</v>
      </c>
      <c r="C170" s="69" t="str">
        <f t="shared" si="18"/>
        <v>Segunda-Feira</v>
      </c>
      <c r="D170" s="445" t="str">
        <f>IF(C170&lt;&gt;"Quarta-Feira","14:20","09:20")</f>
        <v>14:20</v>
      </c>
      <c r="E170" s="253" t="s">
        <v>3708</v>
      </c>
      <c r="F170" s="69">
        <v>7.05003815612255E14</v>
      </c>
      <c r="G170" s="154" t="s">
        <v>3709</v>
      </c>
      <c r="H170" s="193">
        <v>32985.0</v>
      </c>
      <c r="I170" s="30" t="s">
        <v>182</v>
      </c>
      <c r="J170" s="69"/>
      <c r="K170" s="69"/>
      <c r="R170" s="62"/>
    </row>
    <row r="171" ht="15.75" customHeight="1">
      <c r="A171" s="11" t="s">
        <v>15</v>
      </c>
      <c r="B171" s="205" t="s">
        <v>1984</v>
      </c>
      <c r="C171" s="69" t="str">
        <f t="shared" si="18"/>
        <v>Segunda-Feira</v>
      </c>
      <c r="D171" s="445" t="str">
        <f>IF(C171&lt;&gt;"Quarta-Feira","14:40","09:40")</f>
        <v>14:40</v>
      </c>
      <c r="E171" s="253" t="s">
        <v>3710</v>
      </c>
      <c r="F171" s="69">
        <v>7.04204705756881E14</v>
      </c>
      <c r="G171" s="154" t="s">
        <v>3711</v>
      </c>
      <c r="H171" s="193">
        <v>23722.0</v>
      </c>
      <c r="I171" s="30" t="s">
        <v>182</v>
      </c>
      <c r="J171" s="69"/>
      <c r="K171" s="69"/>
      <c r="R171" s="62"/>
    </row>
    <row r="172" ht="15.75" customHeight="1">
      <c r="A172" s="11" t="s">
        <v>16</v>
      </c>
      <c r="B172" s="205" t="s">
        <v>1988</v>
      </c>
      <c r="C172" s="69" t="str">
        <f t="shared" si="18"/>
        <v>Segunda-Feira</v>
      </c>
      <c r="D172" s="445" t="str">
        <f>IF(C172&lt;&gt;"Quarta-Feira","15:00","10:00")</f>
        <v>15:00</v>
      </c>
      <c r="E172" s="253" t="s">
        <v>3712</v>
      </c>
      <c r="F172" s="69">
        <v>8.98002117279122E14</v>
      </c>
      <c r="G172" s="154" t="s">
        <v>3713</v>
      </c>
      <c r="H172" s="193">
        <v>19320.0</v>
      </c>
      <c r="I172" s="30" t="s">
        <v>182</v>
      </c>
      <c r="J172" s="69"/>
      <c r="K172" s="69"/>
      <c r="R172" s="62"/>
    </row>
    <row r="173" ht="15.75" customHeight="1">
      <c r="A173" s="11" t="s">
        <v>17</v>
      </c>
      <c r="B173" s="205" t="s">
        <v>1991</v>
      </c>
      <c r="C173" s="69" t="str">
        <f t="shared" si="18"/>
        <v>Segunda-Feira</v>
      </c>
      <c r="D173" s="445" t="str">
        <f>IF(C173&lt;&gt;"Quarta-Feira","15:20","10:20")</f>
        <v>15:20</v>
      </c>
      <c r="E173" s="253" t="s">
        <v>3714</v>
      </c>
      <c r="F173" s="69">
        <v>7.07809639686616E14</v>
      </c>
      <c r="G173" s="154" t="s">
        <v>3715</v>
      </c>
      <c r="H173" s="193">
        <v>18997.0</v>
      </c>
      <c r="I173" s="30" t="s">
        <v>182</v>
      </c>
      <c r="J173" s="69"/>
      <c r="K173" s="69"/>
      <c r="R173" s="62"/>
    </row>
    <row r="174" ht="15.75" customHeight="1">
      <c r="A174" s="11" t="s">
        <v>85</v>
      </c>
      <c r="B174" s="205" t="s">
        <v>1980</v>
      </c>
      <c r="C174" s="69" t="str">
        <f t="shared" si="18"/>
        <v>Segunda-Feira</v>
      </c>
      <c r="D174" s="445" t="str">
        <f>IF(C174&lt;&gt;"Quarta-Feira","15:40","10:40")</f>
        <v>15:40</v>
      </c>
      <c r="E174" s="253" t="s">
        <v>3716</v>
      </c>
      <c r="F174" s="69">
        <v>8.01440484597472E14</v>
      </c>
      <c r="G174" s="154" t="s">
        <v>3717</v>
      </c>
      <c r="H174" s="193">
        <v>23167.0</v>
      </c>
      <c r="I174" s="30" t="s">
        <v>182</v>
      </c>
      <c r="J174" s="69"/>
      <c r="K174" s="69"/>
      <c r="R174" s="62"/>
    </row>
    <row r="175" ht="15.75" customHeight="1">
      <c r="A175" s="11" t="s">
        <v>87</v>
      </c>
      <c r="B175" s="205" t="s">
        <v>1984</v>
      </c>
      <c r="C175" s="69" t="str">
        <f t="shared" si="18"/>
        <v>Segunda-Feira</v>
      </c>
      <c r="D175" s="445" t="str">
        <f>IF(C175&lt;&gt;"Quarta-Feira","16:00","11:00")</f>
        <v>16:00</v>
      </c>
      <c r="E175" s="253" t="s">
        <v>3718</v>
      </c>
      <c r="F175" s="69">
        <v>7.02106735895398E14</v>
      </c>
      <c r="G175" s="154" t="s">
        <v>3719</v>
      </c>
      <c r="H175" s="193">
        <v>21156.0</v>
      </c>
      <c r="I175" s="30" t="s">
        <v>182</v>
      </c>
      <c r="J175" s="69"/>
      <c r="K175" s="69"/>
      <c r="R175" s="62"/>
    </row>
    <row r="176" ht="15.75" customHeight="1">
      <c r="A176" s="11" t="s">
        <v>90</v>
      </c>
      <c r="B176" s="205" t="s">
        <v>1988</v>
      </c>
      <c r="C176" s="69" t="str">
        <f t="shared" si="18"/>
        <v>Segunda-Feira</v>
      </c>
      <c r="D176" s="445" t="str">
        <f>IF(C176&lt;&gt;"Quarta-Feira","16:20","11:20")</f>
        <v>16:20</v>
      </c>
      <c r="E176" s="253" t="s">
        <v>3720</v>
      </c>
      <c r="F176" s="69">
        <v>8.01440411764484E14</v>
      </c>
      <c r="G176" s="154" t="s">
        <v>3721</v>
      </c>
      <c r="H176" s="193">
        <v>37496.0</v>
      </c>
      <c r="I176" s="30" t="s">
        <v>182</v>
      </c>
      <c r="J176" s="69"/>
      <c r="K176" s="69"/>
      <c r="R176" s="62"/>
    </row>
    <row r="177" ht="15.75" customHeight="1">
      <c r="A177" s="11" t="s">
        <v>93</v>
      </c>
      <c r="B177" s="205" t="s">
        <v>1991</v>
      </c>
      <c r="C177" s="69" t="str">
        <f t="shared" si="18"/>
        <v>Segunda-Feira</v>
      </c>
      <c r="D177" s="445" t="str">
        <f>IF(C177&lt;&gt;"Quarta-Feira","16:40","11:40")</f>
        <v>16:40</v>
      </c>
      <c r="E177" s="253" t="s">
        <v>3722</v>
      </c>
      <c r="F177" s="69">
        <v>7.02909582904278E14</v>
      </c>
      <c r="G177" s="154" t="s">
        <v>3723</v>
      </c>
      <c r="H177" s="193">
        <v>22849.0</v>
      </c>
      <c r="I177" s="30" t="s">
        <v>182</v>
      </c>
      <c r="J177" s="69"/>
      <c r="K177" s="69"/>
      <c r="R177" s="62"/>
    </row>
    <row r="178" ht="15.75" customHeight="1">
      <c r="B178" s="167"/>
      <c r="E178" s="231"/>
      <c r="G178" s="167"/>
      <c r="J178" s="62"/>
      <c r="K178" s="62"/>
      <c r="R178" s="62"/>
    </row>
    <row r="179" ht="15.75" customHeight="1">
      <c r="B179" s="167"/>
      <c r="E179" s="231"/>
      <c r="G179" s="167"/>
      <c r="J179" s="62"/>
      <c r="K179" s="62"/>
      <c r="R179" s="62"/>
    </row>
    <row r="180" ht="15.75" customHeight="1">
      <c r="B180" s="167"/>
      <c r="E180" s="231"/>
      <c r="G180" s="167"/>
      <c r="J180" s="62"/>
      <c r="K180" s="62"/>
      <c r="R180" s="62"/>
    </row>
    <row r="181" ht="15.75" customHeight="1">
      <c r="A181" s="20" t="s">
        <v>377</v>
      </c>
      <c r="B181" s="2"/>
      <c r="C181" s="2"/>
      <c r="D181" s="2"/>
      <c r="E181" s="2"/>
      <c r="F181" s="2"/>
      <c r="G181" s="2"/>
      <c r="H181" s="2"/>
      <c r="I181" s="2"/>
      <c r="J181" s="2"/>
      <c r="K181" s="3"/>
      <c r="R181" s="62"/>
    </row>
    <row r="182" ht="15.75" customHeight="1">
      <c r="A182" s="21" t="str">
        <f>TEXT(DATE(VALUE(MID(A164,7,4)),VALUE(MID(A164,4,2)),VALUE(LEFT(A164,2)))+2,"dd/mm/yyyy")&amp;" 08h às 13h"</f>
        <v>24/06/2026 08h às 13h</v>
      </c>
      <c r="B182" s="2"/>
      <c r="C182" s="2"/>
      <c r="D182" s="2"/>
      <c r="E182" s="2"/>
      <c r="F182" s="2"/>
      <c r="G182" s="2"/>
      <c r="H182" s="2"/>
      <c r="I182" s="2"/>
      <c r="J182" s="2"/>
      <c r="K182" s="3"/>
    </row>
    <row r="183" ht="15.75" customHeight="1">
      <c r="A183" s="22"/>
      <c r="B183" s="426" t="s">
        <v>3</v>
      </c>
      <c r="C183" s="24" t="s">
        <v>2</v>
      </c>
      <c r="D183" s="25" t="s">
        <v>5</v>
      </c>
      <c r="E183" s="26" t="s">
        <v>19</v>
      </c>
      <c r="F183" s="25" t="s">
        <v>6</v>
      </c>
      <c r="G183" s="234" t="s">
        <v>7</v>
      </c>
      <c r="H183" s="27" t="s">
        <v>8</v>
      </c>
      <c r="I183" s="28" t="s">
        <v>20</v>
      </c>
      <c r="J183" s="25" t="s">
        <v>21</v>
      </c>
      <c r="K183" s="25" t="s">
        <v>22</v>
      </c>
    </row>
    <row r="184" ht="15.75" customHeight="1">
      <c r="A184" s="11" t="s">
        <v>10</v>
      </c>
      <c r="B184" s="205" t="s">
        <v>2013</v>
      </c>
      <c r="C184" s="69" t="str">
        <f t="shared" ref="C184:C195" si="20">PROPER(TEXT(DATE(MID($A$128,7,4),MID($A$128,4,2),LEFT($A$128,2)),"dddd"))</f>
        <v>Quarta-Feira</v>
      </c>
      <c r="D184" s="445" t="str">
        <f>IF(C184&lt;&gt;"Quarta-Feira","13:00","08:00")</f>
        <v>08:00</v>
      </c>
      <c r="E184" s="253" t="s">
        <v>3724</v>
      </c>
      <c r="F184" s="69">
        <v>2.01151750370018E14</v>
      </c>
      <c r="G184" s="154" t="s">
        <v>3725</v>
      </c>
      <c r="H184" s="193">
        <v>16834.0</v>
      </c>
      <c r="I184" s="30" t="s">
        <v>1822</v>
      </c>
      <c r="J184" s="69"/>
      <c r="K184" s="69"/>
      <c r="N184" s="237" t="s">
        <v>386</v>
      </c>
      <c r="O184" s="95"/>
      <c r="P184" s="95"/>
      <c r="Q184" s="95"/>
      <c r="R184" s="95"/>
    </row>
    <row r="185" ht="15.75" customHeight="1">
      <c r="A185" s="11" t="s">
        <v>11</v>
      </c>
      <c r="B185" s="205" t="s">
        <v>2018</v>
      </c>
      <c r="C185" s="69" t="str">
        <f t="shared" si="20"/>
        <v>Quarta-Feira</v>
      </c>
      <c r="D185" s="445" t="str">
        <f>IF(C185&lt;&gt;"Quarta-Feira","13:20","08:20")</f>
        <v>08:20</v>
      </c>
      <c r="E185" s="253" t="s">
        <v>3726</v>
      </c>
      <c r="F185" s="69">
        <v>7.00001381212209E14</v>
      </c>
      <c r="G185" s="154" t="s">
        <v>3727</v>
      </c>
      <c r="H185" s="72">
        <v>22261.0</v>
      </c>
      <c r="I185" s="30" t="s">
        <v>1822</v>
      </c>
      <c r="J185" s="69"/>
      <c r="K185" s="69"/>
      <c r="N185" s="239" t="s">
        <v>1823</v>
      </c>
      <c r="O185" s="2"/>
      <c r="P185" s="2"/>
      <c r="Q185" s="2"/>
      <c r="R185" s="2"/>
    </row>
    <row r="186" ht="15.75" customHeight="1">
      <c r="A186" s="11" t="s">
        <v>12</v>
      </c>
      <c r="B186" s="205" t="s">
        <v>2020</v>
      </c>
      <c r="C186" s="69" t="str">
        <f t="shared" si="20"/>
        <v>Quarta-Feira</v>
      </c>
      <c r="D186" s="445" t="str">
        <f>IF(C186&lt;&gt;"Quarta-Feira","13:40","08:40")</f>
        <v>08:40</v>
      </c>
      <c r="E186" s="253" t="s">
        <v>3728</v>
      </c>
      <c r="F186" s="69">
        <v>8.0144049336283E14</v>
      </c>
      <c r="G186" s="154" t="s">
        <v>3729</v>
      </c>
      <c r="H186" s="78">
        <v>15627.0</v>
      </c>
      <c r="I186" s="30" t="s">
        <v>182</v>
      </c>
      <c r="J186" s="69"/>
      <c r="K186" s="69"/>
      <c r="N186" s="240" t="s">
        <v>182</v>
      </c>
      <c r="O186" s="241" t="s">
        <v>194</v>
      </c>
      <c r="P186" s="241" t="s">
        <v>180</v>
      </c>
      <c r="Q186" s="242" t="s">
        <v>172</v>
      </c>
      <c r="R186" s="62" t="s">
        <v>1822</v>
      </c>
    </row>
    <row r="187" ht="15.75" customHeight="1">
      <c r="A187" s="11" t="s">
        <v>13</v>
      </c>
      <c r="B187" s="205" t="s">
        <v>2023</v>
      </c>
      <c r="C187" s="69" t="str">
        <f t="shared" si="20"/>
        <v>Quarta-Feira</v>
      </c>
      <c r="D187" s="445" t="str">
        <f>IF(C187&lt;&gt;"Quarta-Feira","14:00","09:00")</f>
        <v>09:00</v>
      </c>
      <c r="E187" s="253" t="s">
        <v>3730</v>
      </c>
      <c r="F187" s="69">
        <v>7.00803448597586E14</v>
      </c>
      <c r="G187" s="154" t="s">
        <v>3731</v>
      </c>
      <c r="H187" s="78">
        <v>28297.0</v>
      </c>
      <c r="I187" s="30" t="s">
        <v>1822</v>
      </c>
      <c r="J187" s="69"/>
      <c r="K187" s="69"/>
      <c r="N187" s="244">
        <f t="shared" ref="N187:R187" si="21">COUNTIFS($I$184:$I$195,$N$168)</f>
        <v>6</v>
      </c>
      <c r="O187" s="244">
        <f t="shared" si="21"/>
        <v>6</v>
      </c>
      <c r="P187" s="244">
        <f t="shared" si="21"/>
        <v>6</v>
      </c>
      <c r="Q187" s="244">
        <f t="shared" si="21"/>
        <v>6</v>
      </c>
      <c r="R187" s="244">
        <f t="shared" si="21"/>
        <v>6</v>
      </c>
    </row>
    <row r="188" ht="15.75" customHeight="1">
      <c r="A188" s="11" t="s">
        <v>14</v>
      </c>
      <c r="B188" s="205" t="s">
        <v>2018</v>
      </c>
      <c r="C188" s="69" t="str">
        <f t="shared" si="20"/>
        <v>Quarta-Feira</v>
      </c>
      <c r="D188" s="445" t="str">
        <f>IF(C188&lt;&gt;"Quarta-Feira","14:20","09:20")</f>
        <v>09:20</v>
      </c>
      <c r="E188" s="253" t="s">
        <v>2934</v>
      </c>
      <c r="F188" s="69">
        <v>7.00406974314249E14</v>
      </c>
      <c r="G188" s="154" t="s">
        <v>2935</v>
      </c>
      <c r="H188" s="72">
        <v>14957.0</v>
      </c>
      <c r="I188" s="30" t="s">
        <v>1822</v>
      </c>
      <c r="J188" s="69"/>
      <c r="K188" s="69"/>
      <c r="R188" s="62"/>
    </row>
    <row r="189" ht="15.75" customHeight="1">
      <c r="A189" s="11" t="s">
        <v>15</v>
      </c>
      <c r="B189" s="205" t="s">
        <v>2020</v>
      </c>
      <c r="C189" s="69" t="str">
        <f t="shared" si="20"/>
        <v>Quarta-Feira</v>
      </c>
      <c r="D189" s="445" t="str">
        <f>IF(C189&lt;&gt;"Quarta-Feira","14:40","09:40")</f>
        <v>09:40</v>
      </c>
      <c r="E189" s="253" t="s">
        <v>3732</v>
      </c>
      <c r="F189" s="69">
        <v>7.04501322435718E14</v>
      </c>
      <c r="G189" s="154" t="s">
        <v>3733</v>
      </c>
      <c r="H189" s="78">
        <v>27695.0</v>
      </c>
      <c r="I189" s="30" t="s">
        <v>182</v>
      </c>
      <c r="J189" s="69"/>
      <c r="K189" s="69"/>
      <c r="R189" s="62"/>
    </row>
    <row r="190" ht="15.75" customHeight="1">
      <c r="A190" s="11" t="s">
        <v>16</v>
      </c>
      <c r="B190" s="205" t="s">
        <v>2013</v>
      </c>
      <c r="C190" s="69" t="str">
        <f t="shared" si="20"/>
        <v>Quarta-Feira</v>
      </c>
      <c r="D190" s="445" t="str">
        <f>IF(C190&lt;&gt;"Quarta-Feira","15:00","10:00")</f>
        <v>10:00</v>
      </c>
      <c r="E190" s="253" t="s">
        <v>3734</v>
      </c>
      <c r="F190" s="69">
        <v>7.08108543149133E14</v>
      </c>
      <c r="G190" s="154" t="s">
        <v>3735</v>
      </c>
      <c r="H190" s="78">
        <v>29070.0</v>
      </c>
      <c r="I190" s="30" t="s">
        <v>182</v>
      </c>
      <c r="J190" s="69"/>
      <c r="K190" s="69"/>
      <c r="R190" s="62"/>
    </row>
    <row r="191" ht="15.75" customHeight="1">
      <c r="A191" s="11" t="s">
        <v>17</v>
      </c>
      <c r="B191" s="205" t="s">
        <v>2018</v>
      </c>
      <c r="C191" s="69" t="str">
        <f t="shared" si="20"/>
        <v>Quarta-Feira</v>
      </c>
      <c r="D191" s="445" t="str">
        <f>IF(C191&lt;&gt;"Quarta-Feira","15:20","10:20")</f>
        <v>10:20</v>
      </c>
      <c r="E191" s="253" t="s">
        <v>3736</v>
      </c>
      <c r="F191" s="69">
        <v>8.01440409478275E14</v>
      </c>
      <c r="G191" s="154" t="s">
        <v>3737</v>
      </c>
      <c r="H191" s="72">
        <v>37487.0</v>
      </c>
      <c r="I191" s="30" t="s">
        <v>1822</v>
      </c>
      <c r="J191" s="69"/>
      <c r="K191" s="69"/>
      <c r="R191" s="62"/>
    </row>
    <row r="192" ht="15.75" customHeight="1">
      <c r="A192" s="11" t="s">
        <v>85</v>
      </c>
      <c r="B192" s="205" t="s">
        <v>2023</v>
      </c>
      <c r="C192" s="69" t="str">
        <f t="shared" si="20"/>
        <v>Quarta-Feira</v>
      </c>
      <c r="D192" s="445" t="str">
        <f>IF(C192&lt;&gt;"Quarta-Feira","15:40","10:40")</f>
        <v>10:40</v>
      </c>
      <c r="E192" s="253" t="s">
        <v>3738</v>
      </c>
      <c r="F192" s="69">
        <v>7.04603687749926E14</v>
      </c>
      <c r="G192" s="154" t="s">
        <v>3739</v>
      </c>
      <c r="H192" s="78">
        <v>27924.0</v>
      </c>
      <c r="I192" s="30" t="s">
        <v>182</v>
      </c>
      <c r="J192" s="69"/>
      <c r="K192" s="69"/>
      <c r="R192" s="62"/>
    </row>
    <row r="193" ht="15.75" customHeight="1">
      <c r="A193" s="11" t="s">
        <v>87</v>
      </c>
      <c r="B193" s="205" t="s">
        <v>2020</v>
      </c>
      <c r="C193" s="69" t="str">
        <f t="shared" si="20"/>
        <v>Quarta-Feira</v>
      </c>
      <c r="D193" s="445" t="str">
        <f>IF(C193&lt;&gt;"Quarta-Feira","16:00","11:00")</f>
        <v>11:00</v>
      </c>
      <c r="E193" s="253" t="s">
        <v>3740</v>
      </c>
      <c r="F193" s="69">
        <v>1.25639597740008E14</v>
      </c>
      <c r="G193" s="154" t="s">
        <v>3741</v>
      </c>
      <c r="H193" s="153">
        <v>27616.0</v>
      </c>
      <c r="I193" s="30" t="s">
        <v>182</v>
      </c>
      <c r="J193" s="69"/>
      <c r="K193" s="69"/>
      <c r="R193" s="62"/>
    </row>
    <row r="194" ht="15.75" customHeight="1">
      <c r="A194" s="11" t="s">
        <v>90</v>
      </c>
      <c r="B194" s="205" t="s">
        <v>2023</v>
      </c>
      <c r="C194" s="69" t="str">
        <f t="shared" si="20"/>
        <v>Quarta-Feira</v>
      </c>
      <c r="D194" s="445" t="str">
        <f>IF(C194&lt;&gt;"Quarta-Feira","16:20","11:20")</f>
        <v>11:20</v>
      </c>
      <c r="E194" s="253" t="s">
        <v>3742</v>
      </c>
      <c r="F194" s="69">
        <v>7.04602656496928E14</v>
      </c>
      <c r="G194" s="154" t="s">
        <v>1861</v>
      </c>
      <c r="H194" s="153">
        <v>26935.0</v>
      </c>
      <c r="I194" s="30" t="s">
        <v>1822</v>
      </c>
      <c r="J194" s="69"/>
      <c r="K194" s="69"/>
      <c r="R194" s="62"/>
    </row>
    <row r="195" ht="15.75" customHeight="1">
      <c r="A195" s="11" t="s">
        <v>93</v>
      </c>
      <c r="B195" s="205" t="s">
        <v>2013</v>
      </c>
      <c r="C195" s="69" t="str">
        <f t="shared" si="20"/>
        <v>Quarta-Feira</v>
      </c>
      <c r="D195" s="445" t="str">
        <f>IF(C195&lt;&gt;"Quarta-Feira","16:40","11:40")</f>
        <v>11:40</v>
      </c>
      <c r="E195" s="253" t="s">
        <v>3743</v>
      </c>
      <c r="F195" s="69">
        <v>1.7093354831E10</v>
      </c>
      <c r="G195" s="154" t="s">
        <v>3744</v>
      </c>
      <c r="H195" s="153">
        <v>18069.0</v>
      </c>
      <c r="I195" s="30" t="s">
        <v>182</v>
      </c>
      <c r="J195" s="69"/>
      <c r="K195" s="69"/>
      <c r="R195" s="62"/>
    </row>
    <row r="196" ht="15.75" customHeight="1">
      <c r="B196" s="167"/>
      <c r="E196" s="231"/>
      <c r="G196" s="167"/>
      <c r="J196" s="62"/>
      <c r="K196" s="62"/>
      <c r="R196" s="62"/>
    </row>
    <row r="197" ht="15.75" customHeight="1">
      <c r="B197" s="167"/>
      <c r="E197" s="231"/>
      <c r="G197" s="167"/>
      <c r="J197" s="62"/>
      <c r="K197" s="62"/>
      <c r="R197" s="62"/>
    </row>
    <row r="198" ht="15.75" customHeight="1">
      <c r="B198" s="167"/>
      <c r="E198" s="231"/>
      <c r="G198" s="167"/>
      <c r="J198" s="62"/>
      <c r="K198" s="62"/>
      <c r="R198" s="62"/>
    </row>
    <row r="199" ht="15.75" customHeight="1">
      <c r="A199" s="20" t="s">
        <v>377</v>
      </c>
      <c r="B199" s="2"/>
      <c r="C199" s="2"/>
      <c r="D199" s="2"/>
      <c r="E199" s="2"/>
      <c r="F199" s="2"/>
      <c r="G199" s="2"/>
      <c r="H199" s="2"/>
      <c r="I199" s="2"/>
      <c r="J199" s="2"/>
      <c r="K199" s="3"/>
      <c r="R199" s="62"/>
    </row>
    <row r="200" ht="15.75" customHeight="1">
      <c r="A200" s="21" t="str">
        <f>TEXT(DATE(VALUE(MID(A182,7,4)),VALUE(MID(A182,4,2)),VALUE(LEFT(A182,2)))+2,"dd/mm/yyyy")&amp;" 13h às 17h"</f>
        <v>26/06/2026 13h às 17h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  <c r="R200" s="62"/>
    </row>
    <row r="201" ht="15.75" customHeight="1">
      <c r="A201" s="22"/>
      <c r="B201" s="426" t="s">
        <v>3</v>
      </c>
      <c r="C201" s="24" t="s">
        <v>2</v>
      </c>
      <c r="D201" s="25" t="s">
        <v>5</v>
      </c>
      <c r="E201" s="26" t="s">
        <v>19</v>
      </c>
      <c r="F201" s="25" t="s">
        <v>6</v>
      </c>
      <c r="G201" s="234" t="s">
        <v>7</v>
      </c>
      <c r="H201" s="27" t="s">
        <v>8</v>
      </c>
      <c r="I201" s="28" t="s">
        <v>20</v>
      </c>
      <c r="J201" s="25" t="s">
        <v>21</v>
      </c>
      <c r="K201" s="25" t="s">
        <v>22</v>
      </c>
      <c r="R201" s="62"/>
    </row>
    <row r="202" ht="15.75" customHeight="1">
      <c r="A202" s="11" t="s">
        <v>10</v>
      </c>
      <c r="B202" s="205" t="s">
        <v>2380</v>
      </c>
      <c r="C202" s="69" t="str">
        <f t="shared" ref="C202:C213" si="22">PROPER(TEXT(DATE(MID($A$146,7,4),MID($A$146,4,2),LEFT($A$146,2)),"dddd"))</f>
        <v>Sexta-Feira</v>
      </c>
      <c r="D202" s="445" t="str">
        <f>IF(C202&lt;&gt;"Quarta-Feira","13:00","08:00")</f>
        <v>13:00</v>
      </c>
      <c r="E202" s="253" t="s">
        <v>3745</v>
      </c>
      <c r="F202" s="404">
        <v>7.0110789639208E14</v>
      </c>
      <c r="G202" s="154" t="s">
        <v>3746</v>
      </c>
      <c r="H202" s="78">
        <v>20492.0</v>
      </c>
      <c r="I202" s="30" t="s">
        <v>182</v>
      </c>
      <c r="J202" s="69"/>
      <c r="K202" s="69"/>
      <c r="N202" s="237" t="s">
        <v>386</v>
      </c>
      <c r="O202" s="95"/>
      <c r="P202" s="95"/>
      <c r="Q202" s="95"/>
      <c r="R202" s="95"/>
    </row>
    <row r="203" ht="15.75" customHeight="1">
      <c r="A203" s="11" t="s">
        <v>11</v>
      </c>
      <c r="B203" s="205" t="s">
        <v>2383</v>
      </c>
      <c r="C203" s="69" t="str">
        <f t="shared" si="22"/>
        <v>Sexta-Feira</v>
      </c>
      <c r="D203" s="445" t="str">
        <f>IF(C203&lt;&gt;"Quarta-Feira","13:20","08:20")</f>
        <v>13:20</v>
      </c>
      <c r="E203" s="253" t="s">
        <v>3747</v>
      </c>
      <c r="F203" s="69">
        <v>7.0290352162807E14</v>
      </c>
      <c r="G203" s="154" t="s">
        <v>3748</v>
      </c>
      <c r="H203" s="78">
        <v>20701.0</v>
      </c>
      <c r="I203" s="30" t="s">
        <v>1822</v>
      </c>
      <c r="J203" s="69"/>
      <c r="K203" s="69"/>
      <c r="N203" s="239" t="s">
        <v>1823</v>
      </c>
      <c r="O203" s="2"/>
      <c r="P203" s="2"/>
      <c r="Q203" s="2"/>
      <c r="R203" s="2"/>
    </row>
    <row r="204" ht="15.75" customHeight="1">
      <c r="A204" s="11" t="s">
        <v>12</v>
      </c>
      <c r="B204" s="205" t="s">
        <v>2386</v>
      </c>
      <c r="C204" s="69" t="str">
        <f t="shared" si="22"/>
        <v>Sexta-Feira</v>
      </c>
      <c r="D204" s="445" t="str">
        <f>IF(C204&lt;&gt;"Quarta-Feira","13:40","08:40")</f>
        <v>13:40</v>
      </c>
      <c r="E204" s="253" t="s">
        <v>3749</v>
      </c>
      <c r="F204" s="69">
        <v>7.00409923236847E14</v>
      </c>
      <c r="G204" s="154" t="s">
        <v>3750</v>
      </c>
      <c r="H204" s="78">
        <v>17536.0</v>
      </c>
      <c r="I204" s="30" t="s">
        <v>182</v>
      </c>
      <c r="J204" s="69"/>
      <c r="K204" s="69"/>
      <c r="N204" s="240" t="s">
        <v>182</v>
      </c>
      <c r="O204" s="241" t="s">
        <v>194</v>
      </c>
      <c r="P204" s="241" t="s">
        <v>180</v>
      </c>
      <c r="Q204" s="242" t="s">
        <v>172</v>
      </c>
      <c r="R204" s="62" t="s">
        <v>1822</v>
      </c>
    </row>
    <row r="205" ht="15.75" customHeight="1">
      <c r="A205" s="11" t="s">
        <v>13</v>
      </c>
      <c r="B205" s="205" t="s">
        <v>2389</v>
      </c>
      <c r="C205" s="69" t="str">
        <f t="shared" si="22"/>
        <v>Sexta-Feira</v>
      </c>
      <c r="D205" s="445" t="str">
        <f>IF(C205&lt;&gt;"Quarta-Feira","14:00","09:00")</f>
        <v>14:00</v>
      </c>
      <c r="E205" s="253" t="s">
        <v>3751</v>
      </c>
      <c r="F205" s="69">
        <v>7.02107784637098E14</v>
      </c>
      <c r="G205" s="154" t="s">
        <v>3752</v>
      </c>
      <c r="H205" s="78">
        <v>25160.0</v>
      </c>
      <c r="I205" s="30" t="s">
        <v>182</v>
      </c>
      <c r="J205" s="69"/>
      <c r="K205" s="69"/>
      <c r="N205" s="244">
        <f t="shared" ref="N205:R205" si="23">COUNTIFS($I$202:$I$213,$N$168)</f>
        <v>7</v>
      </c>
      <c r="O205" s="244">
        <f t="shared" si="23"/>
        <v>7</v>
      </c>
      <c r="P205" s="244">
        <f t="shared" si="23"/>
        <v>7</v>
      </c>
      <c r="Q205" s="244">
        <f t="shared" si="23"/>
        <v>7</v>
      </c>
      <c r="R205" s="244">
        <f t="shared" si="23"/>
        <v>7</v>
      </c>
    </row>
    <row r="206" ht="15.75" customHeight="1">
      <c r="A206" s="11" t="s">
        <v>14</v>
      </c>
      <c r="B206" s="205" t="s">
        <v>2380</v>
      </c>
      <c r="C206" s="69" t="str">
        <f t="shared" si="22"/>
        <v>Sexta-Feira</v>
      </c>
      <c r="D206" s="445" t="str">
        <f>IF(C206&lt;&gt;"Quarta-Feira","14:20","09:20")</f>
        <v>14:20</v>
      </c>
      <c r="E206" s="253" t="s">
        <v>3753</v>
      </c>
      <c r="F206" s="206">
        <v>7.04006350501265E14</v>
      </c>
      <c r="G206" s="205" t="s">
        <v>3754</v>
      </c>
      <c r="H206" s="77">
        <v>16533.0</v>
      </c>
      <c r="I206" s="30" t="s">
        <v>182</v>
      </c>
      <c r="J206" s="69"/>
      <c r="K206" s="69"/>
      <c r="R206" s="62"/>
    </row>
    <row r="207" ht="15.75" customHeight="1">
      <c r="A207" s="11" t="s">
        <v>15</v>
      </c>
      <c r="B207" s="205" t="s">
        <v>2383</v>
      </c>
      <c r="C207" s="69" t="str">
        <f t="shared" si="22"/>
        <v>Sexta-Feira</v>
      </c>
      <c r="D207" s="445" t="str">
        <f>IF(C207&lt;&gt;"Quarta-Feira","14:40","09:40")</f>
        <v>14:40</v>
      </c>
      <c r="E207" s="253"/>
      <c r="F207" s="206"/>
      <c r="G207" s="205"/>
      <c r="H207" s="77"/>
      <c r="I207" s="30" t="s">
        <v>2347</v>
      </c>
      <c r="J207" s="69"/>
      <c r="K207" s="69"/>
      <c r="R207" s="62"/>
    </row>
    <row r="208" ht="15.75" customHeight="1">
      <c r="A208" s="11" t="s">
        <v>16</v>
      </c>
      <c r="B208" s="205" t="s">
        <v>2386</v>
      </c>
      <c r="C208" s="69" t="str">
        <f t="shared" si="22"/>
        <v>Sexta-Feira</v>
      </c>
      <c r="D208" s="445" t="str">
        <f>IF(C208&lt;&gt;"Quarta-Feira","15:00","10:00")</f>
        <v>15:00</v>
      </c>
      <c r="E208" s="253" t="s">
        <v>3755</v>
      </c>
      <c r="F208" s="404">
        <v>7.07809641188113E14</v>
      </c>
      <c r="G208" s="154" t="s">
        <v>3756</v>
      </c>
      <c r="H208" s="78">
        <v>27689.0</v>
      </c>
      <c r="I208" s="30" t="s">
        <v>182</v>
      </c>
      <c r="J208" s="69"/>
      <c r="K208" s="69"/>
      <c r="R208" s="62"/>
    </row>
    <row r="209" ht="15.75" customHeight="1">
      <c r="A209" s="11" t="s">
        <v>17</v>
      </c>
      <c r="B209" s="205" t="s">
        <v>2389</v>
      </c>
      <c r="C209" s="69" t="str">
        <f t="shared" si="22"/>
        <v>Sexta-Feira</v>
      </c>
      <c r="D209" s="445" t="str">
        <f>IF(C209&lt;&gt;"Quarta-Feira","15:20","10:20")</f>
        <v>15:20</v>
      </c>
      <c r="E209" s="253" t="s">
        <v>3757</v>
      </c>
      <c r="F209" s="69">
        <v>2.06882580980002E14</v>
      </c>
      <c r="G209" s="154" t="s">
        <v>3758</v>
      </c>
      <c r="H209" s="78">
        <v>22196.0</v>
      </c>
      <c r="I209" s="30" t="s">
        <v>1822</v>
      </c>
      <c r="J209" s="69"/>
      <c r="K209" s="69"/>
      <c r="R209" s="62"/>
    </row>
    <row r="210" ht="15.75" customHeight="1">
      <c r="A210" s="11" t="s">
        <v>85</v>
      </c>
      <c r="B210" s="205" t="s">
        <v>2383</v>
      </c>
      <c r="C210" s="69" t="str">
        <f t="shared" si="22"/>
        <v>Sexta-Feira</v>
      </c>
      <c r="D210" s="445" t="str">
        <f>IF(C210&lt;&gt;"Quarta-Feira","15:40","10:40")</f>
        <v>15:40</v>
      </c>
      <c r="E210" s="253" t="s">
        <v>3759</v>
      </c>
      <c r="F210" s="69">
        <v>7.00009663413802E14</v>
      </c>
      <c r="G210" s="154" t="s">
        <v>3760</v>
      </c>
      <c r="H210" s="78">
        <v>15084.0</v>
      </c>
      <c r="I210" s="30" t="s">
        <v>1822</v>
      </c>
      <c r="J210" s="69"/>
      <c r="K210" s="69"/>
      <c r="R210" s="62"/>
    </row>
    <row r="211" ht="15.75" customHeight="1">
      <c r="A211" s="11" t="s">
        <v>87</v>
      </c>
      <c r="B211" s="205" t="s">
        <v>2380</v>
      </c>
      <c r="C211" s="69" t="str">
        <f t="shared" si="22"/>
        <v>Sexta-Feira</v>
      </c>
      <c r="D211" s="445" t="str">
        <f>IF(C211&lt;&gt;"Quarta-Feira","16:00","11:00")</f>
        <v>16:00</v>
      </c>
      <c r="E211" s="253" t="s">
        <v>3761</v>
      </c>
      <c r="F211" s="69">
        <v>7.05009034050853E14</v>
      </c>
      <c r="G211" s="154" t="s">
        <v>3762</v>
      </c>
      <c r="H211" s="153">
        <v>26645.0</v>
      </c>
      <c r="I211" s="30" t="s">
        <v>182</v>
      </c>
      <c r="J211" s="69"/>
      <c r="K211" s="69"/>
      <c r="R211" s="62"/>
    </row>
    <row r="212" ht="15.75" customHeight="1">
      <c r="A212" s="11" t="s">
        <v>90</v>
      </c>
      <c r="B212" s="205" t="s">
        <v>2380</v>
      </c>
      <c r="C212" s="69" t="str">
        <f t="shared" si="22"/>
        <v>Sexta-Feira</v>
      </c>
      <c r="D212" s="445" t="str">
        <f>IF(C212&lt;&gt;"Quarta-Feira","16:20","11:20")</f>
        <v>16:20</v>
      </c>
      <c r="E212" s="253" t="s">
        <v>3763</v>
      </c>
      <c r="F212" s="69">
        <v>7.04001878986462E14</v>
      </c>
      <c r="G212" s="154" t="s">
        <v>3764</v>
      </c>
      <c r="H212" s="153">
        <v>25828.0</v>
      </c>
      <c r="I212" s="30" t="s">
        <v>1822</v>
      </c>
      <c r="J212" s="69"/>
      <c r="K212" s="69"/>
      <c r="R212" s="62"/>
    </row>
    <row r="213" ht="15.75" customHeight="1">
      <c r="A213" s="11" t="s">
        <v>93</v>
      </c>
      <c r="B213" s="205" t="s">
        <v>2380</v>
      </c>
      <c r="C213" s="69" t="str">
        <f t="shared" si="22"/>
        <v>Sexta-Feira</v>
      </c>
      <c r="D213" s="445" t="str">
        <f>IF(C213&lt;&gt;"Quarta-Feira","16:40","11:40")</f>
        <v>16:40</v>
      </c>
      <c r="E213" s="253" t="s">
        <v>3765</v>
      </c>
      <c r="F213" s="69">
        <v>7.00003289872607E14</v>
      </c>
      <c r="G213" s="154" t="s">
        <v>3766</v>
      </c>
      <c r="H213" s="153">
        <v>17929.0</v>
      </c>
      <c r="I213" s="30" t="s">
        <v>182</v>
      </c>
      <c r="J213" s="69"/>
      <c r="K213" s="69"/>
      <c r="R213" s="62"/>
    </row>
    <row r="214" ht="15.75" customHeight="1">
      <c r="B214" s="167"/>
      <c r="E214" s="231"/>
      <c r="G214" s="167"/>
      <c r="J214" s="62"/>
      <c r="K214" s="62"/>
      <c r="R214" s="62"/>
    </row>
    <row r="215" ht="15.75" customHeight="1">
      <c r="B215" s="167"/>
      <c r="E215" s="231"/>
      <c r="G215" s="167"/>
      <c r="J215" s="62"/>
      <c r="K215" s="62"/>
      <c r="R215" s="62"/>
    </row>
    <row r="216" ht="15.75" customHeight="1">
      <c r="B216" s="167"/>
      <c r="E216" s="231"/>
      <c r="G216" s="167"/>
      <c r="J216" s="62"/>
      <c r="K216" s="62"/>
      <c r="R216" s="62"/>
    </row>
    <row r="217" ht="15.75" customHeight="1">
      <c r="A217" s="20" t="s">
        <v>377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R217" s="62"/>
    </row>
    <row r="218" ht="15.75" customHeight="1">
      <c r="A218" s="21" t="str">
        <f>TEXT(DATE(VALUE(MID(A164,7,4)),VALUE(MID(A164,4,2)),VALUE(LEFT(A164,2)))+7,"dd/mm/yyyy")&amp;" 13h às 17h"</f>
        <v>29/06/2026 13h às 17h</v>
      </c>
      <c r="B218" s="2"/>
      <c r="C218" s="2"/>
      <c r="D218" s="2"/>
      <c r="E218" s="2"/>
      <c r="F218" s="2"/>
      <c r="G218" s="2"/>
      <c r="H218" s="2"/>
      <c r="I218" s="2"/>
      <c r="J218" s="2"/>
      <c r="K218" s="3"/>
      <c r="R218" s="62"/>
    </row>
    <row r="219" ht="15.75" customHeight="1">
      <c r="A219" s="22"/>
      <c r="B219" s="426" t="s">
        <v>3</v>
      </c>
      <c r="C219" s="24" t="s">
        <v>2</v>
      </c>
      <c r="D219" s="25" t="s">
        <v>5</v>
      </c>
      <c r="E219" s="26" t="s">
        <v>19</v>
      </c>
      <c r="F219" s="25" t="s">
        <v>6</v>
      </c>
      <c r="G219" s="234" t="s">
        <v>7</v>
      </c>
      <c r="H219" s="27" t="s">
        <v>8</v>
      </c>
      <c r="I219" s="28" t="s">
        <v>20</v>
      </c>
      <c r="J219" s="25" t="s">
        <v>21</v>
      </c>
      <c r="K219" s="25" t="s">
        <v>22</v>
      </c>
      <c r="R219" s="62"/>
    </row>
    <row r="220" ht="15.75" customHeight="1">
      <c r="A220" s="11" t="s">
        <v>10</v>
      </c>
      <c r="B220" s="205" t="s">
        <v>1980</v>
      </c>
      <c r="C220" s="69" t="str">
        <f t="shared" ref="C220:C231" si="24">PROPER(TEXT(DATE(MID($A$164,7,4),MID($A$164,4,2),LEFT($A$164,2)),"dddd"))</f>
        <v>Segunda-Feira</v>
      </c>
      <c r="D220" s="445" t="str">
        <f>IF(C220&lt;&gt;"Quarta-Feira","13:00","08:00")</f>
        <v>13:00</v>
      </c>
      <c r="E220" s="507"/>
      <c r="F220" s="389"/>
      <c r="G220" s="119"/>
      <c r="H220" s="508"/>
      <c r="I220" s="30"/>
      <c r="J220" s="312" t="s">
        <v>3767</v>
      </c>
      <c r="K220" s="69"/>
      <c r="N220" s="237" t="s">
        <v>386</v>
      </c>
      <c r="O220" s="95"/>
      <c r="P220" s="95"/>
      <c r="Q220" s="95"/>
      <c r="R220" s="95"/>
    </row>
    <row r="221" ht="15.75" customHeight="1">
      <c r="A221" s="11" t="s">
        <v>11</v>
      </c>
      <c r="B221" s="205" t="s">
        <v>1984</v>
      </c>
      <c r="C221" s="69" t="str">
        <f t="shared" si="24"/>
        <v>Segunda-Feira</v>
      </c>
      <c r="D221" s="445" t="str">
        <f>IF(C221&lt;&gt;"Quarta-Feira","13:20","08:20")</f>
        <v>13:20</v>
      </c>
      <c r="E221" s="507" t="s">
        <v>3768</v>
      </c>
      <c r="F221" s="389">
        <v>7.02800117960261E14</v>
      </c>
      <c r="G221" s="119" t="s">
        <v>3769</v>
      </c>
      <c r="H221" s="508">
        <v>22471.0</v>
      </c>
      <c r="I221" s="30"/>
      <c r="J221" s="312" t="s">
        <v>3767</v>
      </c>
      <c r="K221" s="69"/>
      <c r="N221" s="239" t="s">
        <v>1823</v>
      </c>
      <c r="O221" s="2"/>
      <c r="P221" s="2"/>
      <c r="Q221" s="2"/>
      <c r="R221" s="2"/>
    </row>
    <row r="222" ht="15.75" customHeight="1">
      <c r="A222" s="11" t="s">
        <v>12</v>
      </c>
      <c r="B222" s="205" t="s">
        <v>1988</v>
      </c>
      <c r="C222" s="69" t="str">
        <f t="shared" si="24"/>
        <v>Segunda-Feira</v>
      </c>
      <c r="D222" s="445" t="str">
        <f>IF(C222&lt;&gt;"Quarta-Feira","13:40","08:40")</f>
        <v>13:40</v>
      </c>
      <c r="E222" s="507" t="s">
        <v>3770</v>
      </c>
      <c r="F222" s="389">
        <v>7.00808494856682E14</v>
      </c>
      <c r="G222" s="119" t="s">
        <v>3771</v>
      </c>
      <c r="H222" s="508">
        <v>16613.0</v>
      </c>
      <c r="I222" s="30"/>
      <c r="J222" s="312" t="s">
        <v>3767</v>
      </c>
      <c r="K222" s="69"/>
      <c r="N222" s="240" t="s">
        <v>182</v>
      </c>
      <c r="O222" s="241" t="s">
        <v>194</v>
      </c>
      <c r="P222" s="241" t="s">
        <v>180</v>
      </c>
      <c r="Q222" s="242" t="s">
        <v>172</v>
      </c>
      <c r="R222" s="62" t="s">
        <v>1822</v>
      </c>
    </row>
    <row r="223" ht="15.75" customHeight="1">
      <c r="A223" s="11" t="s">
        <v>13</v>
      </c>
      <c r="B223" s="205" t="s">
        <v>1991</v>
      </c>
      <c r="C223" s="69" t="str">
        <f t="shared" si="24"/>
        <v>Segunda-Feira</v>
      </c>
      <c r="D223" s="445" t="str">
        <f>IF(C223&lt;&gt;"Quarta-Feira","14:00","09:00")</f>
        <v>14:00</v>
      </c>
      <c r="E223" s="507" t="s">
        <v>3280</v>
      </c>
      <c r="F223" s="389">
        <v>7.0500063703415E14</v>
      </c>
      <c r="G223" s="119" t="s">
        <v>3281</v>
      </c>
      <c r="H223" s="508">
        <v>38871.0</v>
      </c>
      <c r="I223" s="30"/>
      <c r="J223" s="312" t="s">
        <v>3767</v>
      </c>
      <c r="K223" s="69"/>
      <c r="N223" s="244">
        <f t="shared" ref="N223:R223" si="25">COUNTIFS($I$166:$I$177,$N$168)</f>
        <v>10</v>
      </c>
      <c r="O223" s="244">
        <f t="shared" si="25"/>
        <v>10</v>
      </c>
      <c r="P223" s="244">
        <f t="shared" si="25"/>
        <v>10</v>
      </c>
      <c r="Q223" s="244">
        <f t="shared" si="25"/>
        <v>10</v>
      </c>
      <c r="R223" s="244">
        <f t="shared" si="25"/>
        <v>10</v>
      </c>
    </row>
    <row r="224" ht="15.75" customHeight="1">
      <c r="A224" s="11" t="s">
        <v>14</v>
      </c>
      <c r="B224" s="205" t="s">
        <v>1980</v>
      </c>
      <c r="C224" s="69" t="str">
        <f t="shared" si="24"/>
        <v>Segunda-Feira</v>
      </c>
      <c r="D224" s="445" t="str">
        <f>IF(C224&lt;&gt;"Quarta-Feira","14:20","09:20")</f>
        <v>14:20</v>
      </c>
      <c r="E224" s="507"/>
      <c r="F224" s="389"/>
      <c r="G224" s="119"/>
      <c r="H224" s="508"/>
      <c r="I224" s="30"/>
      <c r="J224" s="312" t="s">
        <v>3767</v>
      </c>
      <c r="K224" s="69"/>
      <c r="R224" s="62"/>
    </row>
    <row r="225" ht="15.75" customHeight="1">
      <c r="A225" s="11" t="s">
        <v>15</v>
      </c>
      <c r="B225" s="205" t="s">
        <v>1984</v>
      </c>
      <c r="C225" s="69" t="str">
        <f t="shared" si="24"/>
        <v>Segunda-Feira</v>
      </c>
      <c r="D225" s="445" t="str">
        <f>IF(C225&lt;&gt;"Quarta-Feira","14:40","09:40")</f>
        <v>14:40</v>
      </c>
      <c r="E225" s="507" t="s">
        <v>3772</v>
      </c>
      <c r="F225" s="389">
        <v>7.00009757003802E14</v>
      </c>
      <c r="G225" s="119" t="s">
        <v>3773</v>
      </c>
      <c r="H225" s="508">
        <v>23694.0</v>
      </c>
      <c r="I225" s="30"/>
      <c r="J225" s="312" t="s">
        <v>3767</v>
      </c>
      <c r="K225" s="69"/>
      <c r="R225" s="62"/>
    </row>
    <row r="226" ht="15.75" customHeight="1">
      <c r="A226" s="11" t="s">
        <v>16</v>
      </c>
      <c r="B226" s="205" t="s">
        <v>1988</v>
      </c>
      <c r="C226" s="69" t="str">
        <f t="shared" si="24"/>
        <v>Segunda-Feira</v>
      </c>
      <c r="D226" s="445" t="str">
        <f>IF(C226&lt;&gt;"Quarta-Feira","15:00","10:00")</f>
        <v>15:00</v>
      </c>
      <c r="E226" s="507" t="s">
        <v>3774</v>
      </c>
      <c r="F226" s="389">
        <v>7.0250224856844E14</v>
      </c>
      <c r="G226" s="119" t="s">
        <v>3775</v>
      </c>
      <c r="H226" s="508">
        <v>21073.0</v>
      </c>
      <c r="I226" s="30"/>
      <c r="J226" s="312" t="s">
        <v>3767</v>
      </c>
      <c r="K226" s="69"/>
      <c r="R226" s="62"/>
    </row>
    <row r="227" ht="15.75" customHeight="1">
      <c r="A227" s="11" t="s">
        <v>17</v>
      </c>
      <c r="B227" s="205" t="s">
        <v>1991</v>
      </c>
      <c r="C227" s="69" t="str">
        <f t="shared" si="24"/>
        <v>Segunda-Feira</v>
      </c>
      <c r="D227" s="445" t="str">
        <f>IF(C227&lt;&gt;"Quarta-Feira","15:20","10:20")</f>
        <v>15:20</v>
      </c>
      <c r="E227" s="507"/>
      <c r="F227" s="389"/>
      <c r="G227" s="119"/>
      <c r="H227" s="508"/>
      <c r="I227" s="30"/>
      <c r="J227" s="312" t="s">
        <v>3767</v>
      </c>
      <c r="K227" s="69"/>
      <c r="R227" s="62"/>
    </row>
    <row r="228" ht="15.75" customHeight="1">
      <c r="A228" s="11" t="s">
        <v>85</v>
      </c>
      <c r="B228" s="205" t="s">
        <v>1980</v>
      </c>
      <c r="C228" s="69" t="str">
        <f t="shared" si="24"/>
        <v>Segunda-Feira</v>
      </c>
      <c r="D228" s="445" t="str">
        <f>IF(C228&lt;&gt;"Quarta-Feira","15:40","10:40")</f>
        <v>15:40</v>
      </c>
      <c r="E228" s="507"/>
      <c r="F228" s="389"/>
      <c r="G228" s="119"/>
      <c r="H228" s="508"/>
      <c r="I228" s="30"/>
      <c r="J228" s="312" t="s">
        <v>3767</v>
      </c>
      <c r="K228" s="69"/>
      <c r="R228" s="62"/>
    </row>
    <row r="229" ht="15.75" customHeight="1">
      <c r="A229" s="11" t="s">
        <v>87</v>
      </c>
      <c r="B229" s="205" t="s">
        <v>1984</v>
      </c>
      <c r="C229" s="69" t="str">
        <f t="shared" si="24"/>
        <v>Segunda-Feira</v>
      </c>
      <c r="D229" s="445" t="str">
        <f>IF(C229&lt;&gt;"Quarta-Feira","16:00","11:00")</f>
        <v>16:00</v>
      </c>
      <c r="E229" s="507" t="s">
        <v>3776</v>
      </c>
      <c r="F229" s="389">
        <v>7.06501321033892E14</v>
      </c>
      <c r="G229" s="119" t="s">
        <v>3777</v>
      </c>
      <c r="H229" s="513">
        <v>25299.0</v>
      </c>
      <c r="I229" s="30"/>
      <c r="J229" s="312" t="s">
        <v>3767</v>
      </c>
      <c r="K229" s="69"/>
      <c r="R229" s="62"/>
    </row>
    <row r="230" ht="15.75" customHeight="1">
      <c r="A230" s="11" t="s">
        <v>90</v>
      </c>
      <c r="B230" s="205" t="s">
        <v>1988</v>
      </c>
      <c r="C230" s="69" t="str">
        <f t="shared" si="24"/>
        <v>Segunda-Feira</v>
      </c>
      <c r="D230" s="445" t="str">
        <f>IF(C230&lt;&gt;"Quarta-Feira","16:20","11:20")</f>
        <v>16:20</v>
      </c>
      <c r="E230" s="507" t="s">
        <v>3778</v>
      </c>
      <c r="F230" s="389">
        <v>7.01802201338871E14</v>
      </c>
      <c r="G230" s="119" t="s">
        <v>3779</v>
      </c>
      <c r="H230" s="508">
        <v>29719.0</v>
      </c>
      <c r="I230" s="30"/>
      <c r="J230" s="312" t="s">
        <v>3767</v>
      </c>
      <c r="K230" s="69"/>
      <c r="R230" s="62"/>
    </row>
    <row r="231" ht="15.75" customHeight="1">
      <c r="A231" s="11" t="s">
        <v>93</v>
      </c>
      <c r="B231" s="205" t="s">
        <v>1991</v>
      </c>
      <c r="C231" s="69" t="str">
        <f t="shared" si="24"/>
        <v>Segunda-Feira</v>
      </c>
      <c r="D231" s="445" t="str">
        <f>IF(C231&lt;&gt;"Quarta-Feira","16:40","11:40")</f>
        <v>16:40</v>
      </c>
      <c r="E231" s="507" t="s">
        <v>3780</v>
      </c>
      <c r="F231" s="389">
        <v>7.0050997378126E14</v>
      </c>
      <c r="G231" s="119" t="s">
        <v>3781</v>
      </c>
      <c r="H231" s="508">
        <v>21274.0</v>
      </c>
      <c r="I231" s="30"/>
      <c r="J231" s="312" t="s">
        <v>3767</v>
      </c>
      <c r="K231" s="69"/>
      <c r="R231" s="62"/>
    </row>
    <row r="232" ht="15.75" customHeight="1">
      <c r="B232" s="167"/>
      <c r="E232" s="231"/>
      <c r="G232" s="167"/>
      <c r="H232" s="62"/>
      <c r="J232" s="62"/>
      <c r="K232" s="62"/>
      <c r="R232" s="62"/>
    </row>
    <row r="233" ht="15.75" customHeight="1">
      <c r="B233" s="167"/>
      <c r="E233" s="231"/>
      <c r="G233" s="167"/>
      <c r="H233" s="62"/>
      <c r="J233" s="62"/>
      <c r="K233" s="62"/>
      <c r="R233" s="62"/>
    </row>
    <row r="234" ht="15.75" customHeight="1">
      <c r="B234" s="167"/>
      <c r="E234" s="231"/>
      <c r="G234" s="167"/>
      <c r="J234" s="62"/>
      <c r="K234" s="62"/>
      <c r="R234" s="62"/>
    </row>
    <row r="235" ht="15.75" hidden="1" customHeight="1">
      <c r="A235" s="20" t="s">
        <v>377</v>
      </c>
      <c r="B235" s="2"/>
      <c r="C235" s="2"/>
      <c r="D235" s="2"/>
      <c r="E235" s="2"/>
      <c r="F235" s="2"/>
      <c r="G235" s="2"/>
      <c r="H235" s="2"/>
      <c r="I235" s="2"/>
      <c r="J235" s="2"/>
      <c r="K235" s="3"/>
      <c r="R235" s="62"/>
    </row>
    <row r="236" ht="15.75" hidden="1" customHeight="1">
      <c r="A236" s="21" t="str">
        <f>TEXT(DATE(VALUE(MID(A218,7,4)),VALUE(MID(A218,4,2)),VALUE(LEFT(A218,2)))+2,"dd/mm/yyyy")&amp;" 08h às 13h"</f>
        <v>01/07/2026 08h às 13h</v>
      </c>
      <c r="B236" s="2"/>
      <c r="C236" s="2"/>
      <c r="D236" s="2"/>
      <c r="E236" s="2"/>
      <c r="F236" s="2"/>
      <c r="G236" s="2"/>
      <c r="H236" s="2"/>
      <c r="I236" s="2"/>
      <c r="J236" s="2"/>
      <c r="K236" s="3"/>
    </row>
    <row r="237" ht="15.75" hidden="1" customHeight="1">
      <c r="A237" s="22"/>
      <c r="B237" s="426" t="s">
        <v>3</v>
      </c>
      <c r="C237" s="24" t="s">
        <v>2</v>
      </c>
      <c r="D237" s="25" t="s">
        <v>5</v>
      </c>
      <c r="E237" s="26" t="s">
        <v>19</v>
      </c>
      <c r="F237" s="25" t="s">
        <v>6</v>
      </c>
      <c r="G237" s="234" t="s">
        <v>7</v>
      </c>
      <c r="H237" s="27" t="s">
        <v>8</v>
      </c>
      <c r="I237" s="28" t="s">
        <v>20</v>
      </c>
      <c r="J237" s="25" t="s">
        <v>21</v>
      </c>
      <c r="K237" s="25" t="s">
        <v>22</v>
      </c>
    </row>
    <row r="238" ht="15.75" hidden="1" customHeight="1">
      <c r="A238" s="11" t="s">
        <v>10</v>
      </c>
      <c r="B238" s="205" t="s">
        <v>2013</v>
      </c>
      <c r="C238" s="69" t="str">
        <f t="shared" ref="C238:C249" si="26">PROPER(TEXT(DATE(MID($A$128,7,4),MID($A$128,4,2),LEFT($A$128,2)),"dddd"))</f>
        <v>Quarta-Feira</v>
      </c>
      <c r="D238" s="445" t="str">
        <f>IF(C238&lt;&gt;"Quarta-Feira","13:00","08:00")</f>
        <v>08:00</v>
      </c>
      <c r="E238" s="253"/>
      <c r="F238" s="69"/>
      <c r="G238" s="154"/>
      <c r="H238" s="193"/>
      <c r="I238" s="30"/>
      <c r="J238" s="69"/>
      <c r="K238" s="69"/>
      <c r="N238" s="237" t="s">
        <v>386</v>
      </c>
      <c r="O238" s="95"/>
      <c r="P238" s="95"/>
      <c r="Q238" s="95"/>
      <c r="R238" s="95"/>
    </row>
    <row r="239" ht="15.75" hidden="1" customHeight="1">
      <c r="A239" s="11" t="s">
        <v>11</v>
      </c>
      <c r="B239" s="205" t="s">
        <v>2018</v>
      </c>
      <c r="C239" s="69" t="str">
        <f t="shared" si="26"/>
        <v>Quarta-Feira</v>
      </c>
      <c r="D239" s="445" t="str">
        <f>IF(C239&lt;&gt;"Quarta-Feira","13:20","08:20")</f>
        <v>08:20</v>
      </c>
      <c r="E239" s="253"/>
      <c r="F239" s="69"/>
      <c r="G239" s="154"/>
      <c r="H239" s="72"/>
      <c r="I239" s="30"/>
      <c r="J239" s="69"/>
      <c r="K239" s="69"/>
      <c r="N239" s="239" t="s">
        <v>1823</v>
      </c>
      <c r="O239" s="2"/>
      <c r="P239" s="2"/>
      <c r="Q239" s="2"/>
      <c r="R239" s="2"/>
    </row>
    <row r="240" ht="15.75" hidden="1" customHeight="1">
      <c r="A240" s="11" t="s">
        <v>12</v>
      </c>
      <c r="B240" s="205" t="s">
        <v>2020</v>
      </c>
      <c r="C240" s="69" t="str">
        <f t="shared" si="26"/>
        <v>Quarta-Feira</v>
      </c>
      <c r="D240" s="445" t="str">
        <f>IF(C240&lt;&gt;"Quarta-Feira","13:40","08:40")</f>
        <v>08:40</v>
      </c>
      <c r="E240" s="253"/>
      <c r="F240" s="69"/>
      <c r="G240" s="154"/>
      <c r="H240" s="78"/>
      <c r="I240" s="30"/>
      <c r="J240" s="69"/>
      <c r="K240" s="69"/>
      <c r="N240" s="240" t="s">
        <v>182</v>
      </c>
      <c r="O240" s="241" t="s">
        <v>194</v>
      </c>
      <c r="P240" s="241" t="s">
        <v>180</v>
      </c>
      <c r="Q240" s="242" t="s">
        <v>172</v>
      </c>
      <c r="R240" s="62" t="s">
        <v>1822</v>
      </c>
    </row>
    <row r="241" ht="15.75" hidden="1" customHeight="1">
      <c r="A241" s="11" t="s">
        <v>13</v>
      </c>
      <c r="B241" s="205" t="s">
        <v>2023</v>
      </c>
      <c r="C241" s="69" t="str">
        <f t="shared" si="26"/>
        <v>Quarta-Feira</v>
      </c>
      <c r="D241" s="445" t="str">
        <f>IF(C241&lt;&gt;"Quarta-Feira","14:00","09:00")</f>
        <v>09:00</v>
      </c>
      <c r="E241" s="253"/>
      <c r="F241" s="69"/>
      <c r="G241" s="154"/>
      <c r="H241" s="78"/>
      <c r="I241" s="30"/>
      <c r="J241" s="69"/>
      <c r="K241" s="69"/>
      <c r="N241" s="244">
        <f t="shared" ref="N241:R241" si="27">COUNTIFS($I$184:$I$195,$N$168)</f>
        <v>6</v>
      </c>
      <c r="O241" s="244">
        <f t="shared" si="27"/>
        <v>6</v>
      </c>
      <c r="P241" s="244">
        <f t="shared" si="27"/>
        <v>6</v>
      </c>
      <c r="Q241" s="244">
        <f t="shared" si="27"/>
        <v>6</v>
      </c>
      <c r="R241" s="244">
        <f t="shared" si="27"/>
        <v>6</v>
      </c>
    </row>
    <row r="242" ht="15.75" hidden="1" customHeight="1">
      <c r="A242" s="11" t="s">
        <v>14</v>
      </c>
      <c r="B242" s="205" t="s">
        <v>2018</v>
      </c>
      <c r="C242" s="69" t="str">
        <f t="shared" si="26"/>
        <v>Quarta-Feira</v>
      </c>
      <c r="D242" s="445" t="str">
        <f>IF(C242&lt;&gt;"Quarta-Feira","14:20","09:20")</f>
        <v>09:20</v>
      </c>
      <c r="E242" s="253"/>
      <c r="F242" s="69"/>
      <c r="G242" s="154"/>
      <c r="H242" s="78"/>
      <c r="I242" s="30"/>
      <c r="J242" s="69"/>
      <c r="K242" s="69"/>
      <c r="R242" s="62"/>
    </row>
    <row r="243" ht="15.75" hidden="1" customHeight="1">
      <c r="A243" s="11" t="s">
        <v>15</v>
      </c>
      <c r="B243" s="205" t="s">
        <v>2020</v>
      </c>
      <c r="C243" s="69" t="str">
        <f t="shared" si="26"/>
        <v>Quarta-Feira</v>
      </c>
      <c r="D243" s="445" t="str">
        <f>IF(C243&lt;&gt;"Quarta-Feira","14:40","09:40")</f>
        <v>09:40</v>
      </c>
      <c r="E243" s="253"/>
      <c r="F243" s="69"/>
      <c r="G243" s="154"/>
      <c r="H243" s="78"/>
      <c r="I243" s="30"/>
      <c r="J243" s="69"/>
      <c r="K243" s="69"/>
      <c r="R243" s="62"/>
    </row>
    <row r="244" ht="15.75" hidden="1" customHeight="1">
      <c r="A244" s="11" t="s">
        <v>16</v>
      </c>
      <c r="B244" s="205" t="s">
        <v>2013</v>
      </c>
      <c r="C244" s="69" t="str">
        <f t="shared" si="26"/>
        <v>Quarta-Feira</v>
      </c>
      <c r="D244" s="445" t="str">
        <f>IF(C244&lt;&gt;"Quarta-Feira","15:00","10:00")</f>
        <v>10:00</v>
      </c>
      <c r="E244" s="253"/>
      <c r="F244" s="69"/>
      <c r="G244" s="154"/>
      <c r="H244" s="78"/>
      <c r="I244" s="30"/>
      <c r="J244" s="69"/>
      <c r="K244" s="69"/>
      <c r="R244" s="62"/>
    </row>
    <row r="245" ht="15.75" hidden="1" customHeight="1">
      <c r="A245" s="11" t="s">
        <v>17</v>
      </c>
      <c r="B245" s="205" t="s">
        <v>2018</v>
      </c>
      <c r="C245" s="69" t="str">
        <f t="shared" si="26"/>
        <v>Quarta-Feira</v>
      </c>
      <c r="D245" s="445" t="str">
        <f>IF(C245&lt;&gt;"Quarta-Feira","15:20","10:20")</f>
        <v>10:20</v>
      </c>
      <c r="E245" s="253"/>
      <c r="F245" s="69"/>
      <c r="G245" s="154"/>
      <c r="H245" s="72"/>
      <c r="I245" s="30"/>
      <c r="J245" s="69"/>
      <c r="K245" s="69"/>
      <c r="R245" s="62"/>
    </row>
    <row r="246" ht="15.75" hidden="1" customHeight="1">
      <c r="A246" s="11" t="s">
        <v>85</v>
      </c>
      <c r="B246" s="205" t="s">
        <v>2023</v>
      </c>
      <c r="C246" s="69" t="str">
        <f t="shared" si="26"/>
        <v>Quarta-Feira</v>
      </c>
      <c r="D246" s="445" t="str">
        <f>IF(C246&lt;&gt;"Quarta-Feira","15:40","10:40")</f>
        <v>10:40</v>
      </c>
      <c r="E246" s="253"/>
      <c r="F246" s="69"/>
      <c r="G246" s="154"/>
      <c r="H246" s="78"/>
      <c r="I246" s="30"/>
      <c r="J246" s="69"/>
      <c r="K246" s="69"/>
      <c r="R246" s="62"/>
    </row>
    <row r="247" ht="15.75" hidden="1" customHeight="1">
      <c r="A247" s="11" t="s">
        <v>87</v>
      </c>
      <c r="B247" s="205" t="s">
        <v>2020</v>
      </c>
      <c r="C247" s="69" t="str">
        <f t="shared" si="26"/>
        <v>Quarta-Feira</v>
      </c>
      <c r="D247" s="445" t="str">
        <f>IF(C247&lt;&gt;"Quarta-Feira","16:00","11:00")</f>
        <v>11:00</v>
      </c>
      <c r="E247" s="253"/>
      <c r="F247" s="69"/>
      <c r="G247" s="154"/>
      <c r="H247" s="153"/>
      <c r="I247" s="30"/>
      <c r="J247" s="69"/>
      <c r="K247" s="69"/>
      <c r="R247" s="62"/>
    </row>
    <row r="248" ht="15.75" hidden="1" customHeight="1">
      <c r="A248" s="11" t="s">
        <v>90</v>
      </c>
      <c r="B248" s="205" t="s">
        <v>2023</v>
      </c>
      <c r="C248" s="69" t="str">
        <f t="shared" si="26"/>
        <v>Quarta-Feira</v>
      </c>
      <c r="D248" s="445" t="str">
        <f>IF(C248&lt;&gt;"Quarta-Feira","16:20","11:20")</f>
        <v>11:20</v>
      </c>
      <c r="E248" s="253"/>
      <c r="F248" s="69"/>
      <c r="G248" s="154"/>
      <c r="H248" s="153"/>
      <c r="I248" s="30"/>
      <c r="J248" s="69"/>
      <c r="K248" s="69"/>
      <c r="R248" s="62"/>
    </row>
    <row r="249" ht="15.75" hidden="1" customHeight="1">
      <c r="A249" s="11" t="s">
        <v>93</v>
      </c>
      <c r="B249" s="205" t="s">
        <v>2013</v>
      </c>
      <c r="C249" s="69" t="str">
        <f t="shared" si="26"/>
        <v>Quarta-Feira</v>
      </c>
      <c r="D249" s="445" t="str">
        <f>IF(C249&lt;&gt;"Quarta-Feira","16:40","11:40")</f>
        <v>11:40</v>
      </c>
      <c r="E249" s="253"/>
      <c r="F249" s="69"/>
      <c r="G249" s="154"/>
      <c r="H249" s="153"/>
      <c r="I249" s="30"/>
      <c r="J249" s="69"/>
      <c r="K249" s="69"/>
      <c r="R249" s="62"/>
    </row>
    <row r="250" ht="15.75" customHeight="1">
      <c r="B250" s="167"/>
      <c r="E250" s="231"/>
      <c r="G250" s="167"/>
      <c r="J250" s="62"/>
      <c r="K250" s="62"/>
      <c r="R250" s="62"/>
    </row>
    <row r="251" ht="15.75" customHeight="1">
      <c r="B251" s="167"/>
      <c r="E251" s="231"/>
      <c r="G251" s="167"/>
      <c r="J251" s="62"/>
      <c r="K251" s="62"/>
      <c r="R251" s="62"/>
    </row>
    <row r="252" ht="15.75" customHeight="1">
      <c r="B252" s="167"/>
      <c r="E252" s="231"/>
      <c r="G252" s="167"/>
      <c r="J252" s="62"/>
      <c r="K252" s="62"/>
      <c r="R252" s="62"/>
    </row>
    <row r="253" ht="15.75" customHeight="1">
      <c r="B253" s="167"/>
      <c r="E253" s="231"/>
      <c r="G253" s="167"/>
      <c r="J253" s="62"/>
      <c r="K253" s="62"/>
      <c r="R253" s="62"/>
    </row>
    <row r="254" ht="15.75" customHeight="1">
      <c r="B254" s="167"/>
      <c r="E254" s="231"/>
      <c r="G254" s="167"/>
      <c r="J254" s="62"/>
      <c r="K254" s="62"/>
      <c r="R254" s="62"/>
    </row>
    <row r="255" ht="15.75" customHeight="1">
      <c r="B255" s="167"/>
      <c r="E255" s="231"/>
      <c r="G255" s="167"/>
      <c r="J255" s="62"/>
      <c r="K255" s="62"/>
      <c r="R255" s="62"/>
    </row>
    <row r="256" ht="15.75" customHeight="1">
      <c r="B256" s="167"/>
      <c r="E256" s="231"/>
      <c r="G256" s="167"/>
      <c r="J256" s="62"/>
      <c r="K256" s="62"/>
      <c r="R256" s="62"/>
    </row>
    <row r="257" ht="15.75" customHeight="1">
      <c r="B257" s="167"/>
      <c r="E257" s="231"/>
      <c r="G257" s="167"/>
      <c r="J257" s="62"/>
      <c r="K257" s="62"/>
      <c r="R257" s="62"/>
    </row>
    <row r="258" ht="15.75" customHeight="1">
      <c r="B258" s="167"/>
      <c r="E258" s="231"/>
      <c r="G258" s="167"/>
      <c r="J258" s="62"/>
      <c r="K258" s="62"/>
      <c r="R258" s="62"/>
    </row>
    <row r="259" ht="15.75" customHeight="1">
      <c r="B259" s="167"/>
      <c r="E259" s="231"/>
      <c r="G259" s="167"/>
      <c r="J259" s="62"/>
      <c r="K259" s="62"/>
      <c r="R259" s="62"/>
    </row>
    <row r="260" ht="15.75" customHeight="1">
      <c r="B260" s="167"/>
      <c r="E260" s="231"/>
      <c r="G260" s="167"/>
      <c r="J260" s="62"/>
      <c r="K260" s="62"/>
      <c r="N260" s="237" t="s">
        <v>2079</v>
      </c>
      <c r="O260" s="95"/>
      <c r="P260" s="95"/>
      <c r="Q260" s="95"/>
      <c r="R260" s="95"/>
    </row>
    <row r="261" ht="15.75" customHeight="1">
      <c r="B261" s="167"/>
      <c r="E261" s="231"/>
      <c r="G261" s="167"/>
      <c r="J261" s="62"/>
      <c r="K261" s="62"/>
      <c r="N261" s="240" t="s">
        <v>182</v>
      </c>
      <c r="O261" s="241" t="s">
        <v>194</v>
      </c>
      <c r="P261" s="241" t="s">
        <v>180</v>
      </c>
      <c r="Q261" s="242" t="s">
        <v>172</v>
      </c>
      <c r="R261" s="62" t="s">
        <v>1822</v>
      </c>
    </row>
    <row r="262" ht="15.75" customHeight="1">
      <c r="B262" s="167"/>
      <c r="E262" s="231"/>
      <c r="G262" s="167"/>
      <c r="J262" s="62"/>
      <c r="K262" s="62"/>
      <c r="N262" s="197">
        <f t="shared" ref="N262:R262" si="28">SUM(N59:N256)</f>
        <v>96</v>
      </c>
      <c r="O262" s="197">
        <f t="shared" si="28"/>
        <v>39</v>
      </c>
      <c r="P262" s="197">
        <f t="shared" si="28"/>
        <v>39</v>
      </c>
      <c r="Q262" s="197">
        <f t="shared" si="28"/>
        <v>39</v>
      </c>
      <c r="R262" s="197">
        <f t="shared" si="28"/>
        <v>54</v>
      </c>
    </row>
    <row r="263" ht="15.75" customHeight="1">
      <c r="B263" s="167"/>
      <c r="E263" s="231"/>
      <c r="G263" s="167"/>
      <c r="J263" s="62"/>
      <c r="K263" s="62"/>
      <c r="R263" s="62"/>
    </row>
    <row r="264" ht="15.75" customHeight="1">
      <c r="B264" s="167"/>
      <c r="E264" s="231"/>
      <c r="G264" s="167"/>
      <c r="J264" s="62"/>
      <c r="K264" s="62"/>
      <c r="R264" s="62"/>
    </row>
    <row r="265" ht="15.75" customHeight="1">
      <c r="B265" s="167"/>
      <c r="E265" s="231"/>
      <c r="G265" s="167"/>
      <c r="J265" s="62"/>
      <c r="K265" s="62"/>
      <c r="R265" s="62"/>
    </row>
    <row r="266" ht="15.75" customHeight="1">
      <c r="B266" s="167"/>
      <c r="E266" s="231"/>
      <c r="G266" s="167"/>
      <c r="J266" s="62"/>
      <c r="K266" s="62"/>
      <c r="R266" s="62"/>
    </row>
    <row r="267" ht="15.75" customHeight="1">
      <c r="B267" s="167"/>
      <c r="E267" s="231"/>
      <c r="G267" s="167"/>
      <c r="J267" s="62"/>
      <c r="K267" s="62"/>
      <c r="R267" s="62"/>
    </row>
    <row r="268" ht="15.75" customHeight="1">
      <c r="B268" s="167"/>
      <c r="E268" s="231"/>
      <c r="G268" s="167"/>
      <c r="J268" s="62"/>
      <c r="K268" s="62"/>
      <c r="R268" s="62"/>
    </row>
    <row r="269" ht="15.75" customHeight="1">
      <c r="B269" s="167"/>
      <c r="E269" s="231"/>
      <c r="G269" s="167"/>
      <c r="J269" s="62"/>
      <c r="K269" s="62"/>
      <c r="R269" s="62"/>
    </row>
    <row r="270" ht="15.75" customHeight="1">
      <c r="B270" s="167"/>
      <c r="E270" s="231"/>
      <c r="G270" s="167"/>
      <c r="J270" s="62"/>
      <c r="K270" s="62"/>
      <c r="R270" s="62"/>
    </row>
    <row r="271" ht="15.75" customHeight="1">
      <c r="B271" s="167"/>
      <c r="E271" s="231"/>
      <c r="G271" s="167"/>
      <c r="J271" s="62"/>
      <c r="K271" s="62"/>
      <c r="R271" s="62"/>
    </row>
    <row r="272" ht="15.75" customHeight="1">
      <c r="B272" s="167"/>
      <c r="E272" s="231"/>
      <c r="G272" s="167"/>
      <c r="J272" s="62"/>
      <c r="K272" s="62"/>
      <c r="R272" s="62"/>
    </row>
    <row r="273" ht="15.75" customHeight="1">
      <c r="B273" s="167"/>
      <c r="E273" s="231"/>
      <c r="G273" s="167"/>
      <c r="J273" s="62"/>
      <c r="K273" s="62"/>
      <c r="R273" s="62"/>
    </row>
    <row r="274" ht="15.75" customHeight="1">
      <c r="B274" s="167"/>
      <c r="E274" s="231"/>
      <c r="G274" s="167"/>
      <c r="J274" s="62"/>
      <c r="K274" s="62"/>
      <c r="R274" s="62"/>
    </row>
    <row r="275" ht="15.75" customHeight="1">
      <c r="B275" s="167"/>
      <c r="E275" s="231"/>
      <c r="G275" s="167"/>
      <c r="J275" s="62"/>
      <c r="K275" s="62"/>
      <c r="R275" s="62"/>
    </row>
    <row r="276" ht="15.75" customHeight="1">
      <c r="B276" s="167"/>
      <c r="E276" s="231"/>
      <c r="G276" s="167"/>
      <c r="J276" s="62"/>
      <c r="K276" s="62"/>
      <c r="R276" s="62"/>
    </row>
    <row r="277" ht="15.75" customHeight="1">
      <c r="B277" s="167"/>
      <c r="E277" s="231"/>
      <c r="G277" s="167"/>
      <c r="J277" s="62"/>
      <c r="K277" s="62"/>
      <c r="R277" s="62"/>
    </row>
    <row r="278" ht="15.75" customHeight="1">
      <c r="B278" s="167"/>
      <c r="E278" s="231"/>
      <c r="G278" s="167"/>
      <c r="J278" s="62"/>
      <c r="K278" s="62"/>
      <c r="R278" s="62"/>
    </row>
    <row r="279" ht="15.75" customHeight="1">
      <c r="B279" s="167"/>
      <c r="E279" s="231"/>
      <c r="G279" s="167"/>
      <c r="J279" s="62"/>
      <c r="K279" s="62"/>
      <c r="R279" s="62"/>
    </row>
    <row r="280" ht="15.75" customHeight="1">
      <c r="B280" s="167"/>
      <c r="E280" s="231"/>
      <c r="G280" s="167"/>
      <c r="J280" s="62"/>
      <c r="K280" s="62"/>
      <c r="R280" s="62"/>
    </row>
    <row r="281" ht="15.75" customHeight="1">
      <c r="B281" s="167"/>
      <c r="E281" s="231"/>
      <c r="G281" s="167"/>
      <c r="J281" s="62"/>
      <c r="K281" s="62"/>
      <c r="R281" s="62"/>
    </row>
    <row r="282" ht="15.75" customHeight="1">
      <c r="B282" s="167"/>
      <c r="E282" s="231"/>
      <c r="G282" s="167"/>
      <c r="J282" s="62"/>
      <c r="K282" s="62"/>
      <c r="R282" s="62"/>
    </row>
    <row r="283" ht="15.75" customHeight="1">
      <c r="B283" s="167"/>
      <c r="E283" s="231"/>
      <c r="G283" s="167"/>
      <c r="J283" s="62"/>
      <c r="K283" s="62"/>
      <c r="R283" s="62"/>
    </row>
    <row r="284" ht="15.75" customHeight="1">
      <c r="B284" s="167"/>
      <c r="E284" s="231"/>
      <c r="G284" s="167"/>
      <c r="J284" s="62"/>
      <c r="K284" s="62"/>
      <c r="R284" s="62"/>
    </row>
    <row r="285" ht="15.75" customHeight="1">
      <c r="B285" s="167"/>
      <c r="E285" s="231"/>
      <c r="G285" s="167"/>
      <c r="J285" s="62"/>
      <c r="K285" s="62"/>
      <c r="R285" s="62"/>
    </row>
    <row r="286" ht="15.75" customHeight="1">
      <c r="B286" s="167"/>
      <c r="E286" s="231"/>
      <c r="G286" s="167"/>
      <c r="J286" s="62"/>
      <c r="K286" s="62"/>
      <c r="R286" s="62"/>
    </row>
    <row r="287" ht="15.75" customHeight="1">
      <c r="B287" s="167"/>
      <c r="E287" s="231"/>
      <c r="G287" s="167"/>
      <c r="J287" s="62"/>
      <c r="K287" s="62"/>
      <c r="R287" s="62"/>
    </row>
    <row r="288" ht="15.75" customHeight="1">
      <c r="B288" s="167"/>
      <c r="E288" s="231"/>
      <c r="G288" s="167"/>
      <c r="J288" s="62"/>
      <c r="K288" s="62"/>
      <c r="R288" s="62"/>
    </row>
    <row r="289" ht="15.75" customHeight="1">
      <c r="B289" s="167"/>
      <c r="E289" s="231"/>
      <c r="G289" s="167"/>
      <c r="J289" s="62"/>
      <c r="K289" s="62"/>
      <c r="R289" s="62"/>
    </row>
    <row r="290" ht="15.75" customHeight="1">
      <c r="B290" s="167"/>
      <c r="E290" s="231"/>
      <c r="G290" s="167"/>
      <c r="J290" s="62"/>
      <c r="K290" s="62"/>
      <c r="R290" s="62"/>
    </row>
    <row r="291" ht="15.75" customHeight="1">
      <c r="B291" s="167"/>
      <c r="E291" s="231"/>
      <c r="G291" s="167"/>
      <c r="J291" s="62"/>
      <c r="K291" s="62"/>
      <c r="R291" s="62"/>
    </row>
    <row r="292" ht="15.75" customHeight="1">
      <c r="B292" s="167"/>
      <c r="E292" s="231"/>
      <c r="G292" s="167"/>
      <c r="J292" s="62"/>
      <c r="K292" s="62"/>
      <c r="R292" s="62"/>
    </row>
    <row r="293" ht="15.75" customHeight="1">
      <c r="B293" s="167"/>
      <c r="E293" s="231"/>
      <c r="G293" s="167"/>
      <c r="J293" s="62"/>
      <c r="K293" s="62"/>
      <c r="R293" s="62"/>
    </row>
    <row r="294" ht="15.75" customHeight="1">
      <c r="B294" s="167"/>
      <c r="E294" s="231"/>
      <c r="G294" s="167"/>
      <c r="J294" s="62"/>
      <c r="K294" s="62"/>
      <c r="R294" s="62"/>
    </row>
    <row r="295" ht="15.75" customHeight="1">
      <c r="B295" s="167"/>
      <c r="E295" s="231"/>
      <c r="G295" s="167"/>
      <c r="J295" s="62"/>
      <c r="K295" s="62"/>
      <c r="R295" s="62"/>
    </row>
    <row r="296" ht="15.75" customHeight="1">
      <c r="B296" s="167"/>
      <c r="E296" s="231"/>
      <c r="G296" s="167"/>
      <c r="J296" s="62"/>
      <c r="K296" s="62"/>
      <c r="R296" s="62"/>
    </row>
    <row r="297" ht="15.75" customHeight="1">
      <c r="B297" s="167"/>
      <c r="E297" s="231"/>
      <c r="G297" s="167"/>
      <c r="J297" s="62"/>
      <c r="K297" s="62"/>
      <c r="R297" s="62"/>
    </row>
    <row r="298" ht="15.75" customHeight="1">
      <c r="B298" s="167"/>
      <c r="E298" s="231"/>
      <c r="G298" s="167"/>
      <c r="J298" s="62"/>
      <c r="K298" s="62"/>
      <c r="R298" s="62"/>
    </row>
    <row r="299" ht="15.75" customHeight="1">
      <c r="B299" s="167"/>
      <c r="E299" s="231"/>
      <c r="G299" s="167"/>
      <c r="J299" s="62"/>
      <c r="K299" s="62"/>
      <c r="R299" s="62"/>
    </row>
    <row r="300" ht="15.75" customHeight="1">
      <c r="B300" s="167"/>
      <c r="E300" s="231"/>
      <c r="G300" s="167"/>
      <c r="J300" s="62"/>
      <c r="K300" s="62"/>
      <c r="R300" s="62"/>
    </row>
    <row r="301" ht="15.75" customHeight="1">
      <c r="B301" s="167"/>
      <c r="E301" s="231"/>
      <c r="G301" s="167"/>
      <c r="J301" s="62"/>
      <c r="K301" s="62"/>
      <c r="R301" s="62"/>
    </row>
    <row r="302" ht="15.75" customHeight="1">
      <c r="B302" s="167"/>
      <c r="E302" s="231"/>
      <c r="G302" s="167"/>
      <c r="J302" s="62"/>
      <c r="K302" s="62"/>
      <c r="R302" s="62"/>
    </row>
    <row r="303" ht="15.75" customHeight="1">
      <c r="B303" s="167"/>
      <c r="E303" s="231"/>
      <c r="G303" s="167"/>
      <c r="J303" s="62"/>
      <c r="K303" s="62"/>
      <c r="R303" s="62"/>
    </row>
    <row r="304" ht="15.75" customHeight="1">
      <c r="B304" s="167"/>
      <c r="E304" s="231"/>
      <c r="G304" s="167"/>
      <c r="J304" s="62"/>
      <c r="K304" s="62"/>
      <c r="R304" s="62"/>
    </row>
    <row r="305" ht="15.75" customHeight="1">
      <c r="B305" s="167"/>
      <c r="E305" s="231"/>
      <c r="G305" s="167"/>
      <c r="J305" s="62"/>
      <c r="K305" s="62"/>
      <c r="R305" s="62"/>
    </row>
    <row r="306" ht="15.75" customHeight="1">
      <c r="B306" s="167"/>
      <c r="E306" s="231"/>
      <c r="G306" s="167"/>
      <c r="J306" s="62"/>
      <c r="K306" s="62"/>
      <c r="R306" s="62"/>
    </row>
    <row r="307" ht="15.75" customHeight="1">
      <c r="B307" s="167"/>
      <c r="E307" s="231"/>
      <c r="G307" s="167"/>
      <c r="J307" s="62"/>
      <c r="K307" s="62"/>
      <c r="R307" s="62"/>
    </row>
    <row r="308" ht="15.75" customHeight="1">
      <c r="B308" s="167"/>
      <c r="E308" s="231"/>
      <c r="G308" s="167"/>
      <c r="J308" s="62"/>
      <c r="K308" s="62"/>
      <c r="R308" s="62"/>
    </row>
    <row r="309" ht="15.75" customHeight="1">
      <c r="B309" s="167"/>
      <c r="E309" s="231"/>
      <c r="G309" s="167"/>
      <c r="J309" s="62"/>
      <c r="K309" s="62"/>
      <c r="R309" s="62"/>
    </row>
    <row r="310" ht="15.75" customHeight="1">
      <c r="B310" s="167"/>
      <c r="E310" s="231"/>
      <c r="G310" s="167"/>
      <c r="J310" s="62"/>
      <c r="K310" s="62"/>
      <c r="R310" s="62"/>
    </row>
    <row r="311" ht="15.75" customHeight="1">
      <c r="B311" s="167"/>
      <c r="E311" s="231"/>
      <c r="G311" s="167"/>
      <c r="J311" s="62"/>
      <c r="K311" s="62"/>
      <c r="R311" s="62"/>
    </row>
    <row r="312" ht="15.75" customHeight="1">
      <c r="B312" s="167"/>
      <c r="E312" s="231"/>
      <c r="G312" s="167"/>
      <c r="J312" s="62"/>
      <c r="K312" s="62"/>
      <c r="R312" s="62"/>
    </row>
    <row r="313" ht="15.75" customHeight="1">
      <c r="B313" s="167"/>
      <c r="E313" s="231"/>
      <c r="G313" s="167"/>
      <c r="J313" s="62"/>
      <c r="K313" s="62"/>
      <c r="R313" s="62"/>
    </row>
    <row r="314" ht="15.75" customHeight="1">
      <c r="B314" s="167"/>
      <c r="E314" s="231"/>
      <c r="G314" s="167"/>
      <c r="J314" s="62"/>
      <c r="K314" s="62"/>
      <c r="R314" s="62"/>
    </row>
    <row r="315" ht="15.75" customHeight="1">
      <c r="B315" s="167"/>
      <c r="E315" s="231"/>
      <c r="G315" s="167"/>
      <c r="J315" s="62"/>
      <c r="K315" s="62"/>
      <c r="R315" s="62"/>
    </row>
    <row r="316" ht="15.75" customHeight="1">
      <c r="B316" s="167"/>
      <c r="E316" s="231"/>
      <c r="G316" s="167"/>
      <c r="J316" s="62"/>
      <c r="K316" s="62"/>
      <c r="R316" s="62"/>
    </row>
    <row r="317" ht="15.75" customHeight="1">
      <c r="B317" s="167"/>
      <c r="E317" s="231"/>
      <c r="G317" s="167"/>
      <c r="J317" s="62"/>
      <c r="K317" s="62"/>
      <c r="R317" s="62"/>
    </row>
    <row r="318" ht="15.75" customHeight="1">
      <c r="B318" s="167"/>
      <c r="E318" s="231"/>
      <c r="G318" s="167"/>
      <c r="J318" s="62"/>
      <c r="K318" s="62"/>
      <c r="R318" s="62"/>
    </row>
    <row r="319" ht="15.75" customHeight="1">
      <c r="B319" s="167"/>
      <c r="E319" s="231"/>
      <c r="G319" s="167"/>
      <c r="J319" s="62"/>
      <c r="K319" s="62"/>
      <c r="R319" s="62"/>
    </row>
    <row r="320" ht="15.75" customHeight="1">
      <c r="B320" s="167"/>
      <c r="E320" s="231"/>
      <c r="G320" s="167"/>
      <c r="J320" s="62"/>
      <c r="K320" s="62"/>
      <c r="R320" s="62"/>
    </row>
    <row r="321" ht="15.75" customHeight="1">
      <c r="B321" s="167"/>
      <c r="E321" s="231"/>
      <c r="G321" s="167"/>
      <c r="J321" s="62"/>
      <c r="K321" s="62"/>
      <c r="R321" s="62"/>
    </row>
    <row r="322" ht="15.75" customHeight="1">
      <c r="B322" s="167"/>
      <c r="E322" s="231"/>
      <c r="G322" s="167"/>
      <c r="J322" s="62"/>
      <c r="K322" s="62"/>
      <c r="R322" s="62"/>
    </row>
    <row r="323" ht="15.75" customHeight="1">
      <c r="B323" s="167"/>
      <c r="E323" s="231"/>
      <c r="G323" s="167"/>
      <c r="J323" s="62"/>
      <c r="K323" s="62"/>
      <c r="R323" s="62"/>
    </row>
    <row r="324" ht="15.75" customHeight="1">
      <c r="B324" s="167"/>
      <c r="E324" s="231"/>
      <c r="G324" s="167"/>
      <c r="J324" s="62"/>
      <c r="K324" s="62"/>
      <c r="R324" s="62"/>
    </row>
    <row r="325" ht="15.75" customHeight="1">
      <c r="B325" s="167"/>
      <c r="E325" s="231"/>
      <c r="G325" s="167"/>
      <c r="J325" s="62"/>
      <c r="K325" s="62"/>
      <c r="R325" s="62"/>
    </row>
    <row r="326" ht="15.75" customHeight="1">
      <c r="B326" s="167"/>
      <c r="E326" s="231"/>
      <c r="G326" s="167"/>
      <c r="J326" s="62"/>
      <c r="K326" s="62"/>
      <c r="R326" s="62"/>
    </row>
    <row r="327" ht="15.75" customHeight="1">
      <c r="B327" s="167"/>
      <c r="E327" s="231"/>
      <c r="G327" s="167"/>
      <c r="J327" s="62"/>
      <c r="K327" s="62"/>
      <c r="R327" s="62"/>
    </row>
    <row r="328" ht="15.75" customHeight="1">
      <c r="B328" s="167"/>
      <c r="E328" s="231"/>
      <c r="G328" s="167"/>
      <c r="J328" s="62"/>
      <c r="K328" s="62"/>
      <c r="R328" s="62"/>
    </row>
    <row r="329" ht="15.75" customHeight="1">
      <c r="B329" s="167"/>
      <c r="E329" s="231"/>
      <c r="G329" s="167"/>
      <c r="J329" s="62"/>
      <c r="K329" s="62"/>
      <c r="R329" s="62"/>
    </row>
    <row r="330" ht="15.75" customHeight="1">
      <c r="B330" s="167"/>
      <c r="E330" s="231"/>
      <c r="G330" s="167"/>
      <c r="J330" s="62"/>
      <c r="K330" s="62"/>
      <c r="R330" s="62"/>
    </row>
    <row r="331" ht="15.75" customHeight="1">
      <c r="B331" s="167"/>
      <c r="E331" s="231"/>
      <c r="G331" s="167"/>
      <c r="J331" s="62"/>
      <c r="K331" s="62"/>
      <c r="R331" s="62"/>
    </row>
    <row r="332" ht="15.75" customHeight="1">
      <c r="B332" s="167"/>
      <c r="E332" s="231"/>
      <c r="G332" s="167"/>
      <c r="J332" s="62"/>
      <c r="K332" s="62"/>
      <c r="R332" s="62"/>
    </row>
    <row r="333" ht="15.75" customHeight="1">
      <c r="B333" s="167"/>
      <c r="E333" s="231"/>
      <c r="G333" s="167"/>
      <c r="J333" s="62"/>
      <c r="K333" s="62"/>
      <c r="R333" s="62"/>
    </row>
    <row r="334" ht="15.75" customHeight="1">
      <c r="B334" s="167"/>
      <c r="E334" s="231"/>
      <c r="G334" s="167"/>
      <c r="J334" s="62"/>
      <c r="K334" s="62"/>
      <c r="R334" s="62"/>
    </row>
    <row r="335" ht="15.75" customHeight="1">
      <c r="B335" s="167"/>
      <c r="E335" s="231"/>
      <c r="G335" s="167"/>
      <c r="J335" s="62"/>
      <c r="K335" s="62"/>
      <c r="R335" s="62"/>
    </row>
    <row r="336" ht="15.75" customHeight="1">
      <c r="B336" s="167"/>
      <c r="E336" s="231"/>
      <c r="G336" s="167"/>
      <c r="J336" s="62"/>
      <c r="K336" s="62"/>
      <c r="R336" s="62"/>
    </row>
    <row r="337" ht="15.75" customHeight="1">
      <c r="B337" s="167"/>
      <c r="E337" s="231"/>
      <c r="G337" s="167"/>
      <c r="J337" s="62"/>
      <c r="K337" s="62"/>
      <c r="R337" s="62"/>
    </row>
    <row r="338" ht="15.75" customHeight="1">
      <c r="B338" s="167"/>
      <c r="E338" s="231"/>
      <c r="G338" s="167"/>
      <c r="J338" s="62"/>
      <c r="K338" s="62"/>
      <c r="R338" s="62"/>
    </row>
    <row r="339" ht="15.75" customHeight="1">
      <c r="B339" s="167"/>
      <c r="E339" s="231"/>
      <c r="G339" s="167"/>
      <c r="J339" s="62"/>
      <c r="K339" s="62"/>
      <c r="R339" s="62"/>
    </row>
    <row r="340" ht="15.75" customHeight="1">
      <c r="B340" s="167"/>
      <c r="E340" s="231"/>
      <c r="G340" s="167"/>
      <c r="J340" s="62"/>
      <c r="K340" s="62"/>
      <c r="R340" s="62"/>
    </row>
    <row r="341" ht="15.75" customHeight="1">
      <c r="B341" s="167"/>
      <c r="E341" s="231"/>
      <c r="G341" s="167"/>
      <c r="J341" s="62"/>
      <c r="K341" s="62"/>
      <c r="R341" s="62"/>
    </row>
    <row r="342" ht="15.75" customHeight="1">
      <c r="B342" s="167"/>
      <c r="E342" s="231"/>
      <c r="G342" s="167"/>
      <c r="J342" s="62"/>
      <c r="K342" s="62"/>
      <c r="R342" s="62"/>
    </row>
    <row r="343" ht="15.75" customHeight="1">
      <c r="B343" s="167"/>
      <c r="E343" s="231"/>
      <c r="G343" s="167"/>
      <c r="J343" s="62"/>
      <c r="K343" s="62"/>
      <c r="R343" s="62"/>
    </row>
    <row r="344" ht="15.75" customHeight="1">
      <c r="B344" s="167"/>
      <c r="E344" s="231"/>
      <c r="G344" s="167"/>
      <c r="J344" s="62"/>
      <c r="K344" s="62"/>
      <c r="R344" s="62"/>
    </row>
    <row r="345" ht="15.75" customHeight="1">
      <c r="B345" s="167"/>
      <c r="E345" s="231"/>
      <c r="G345" s="167"/>
      <c r="J345" s="62"/>
      <c r="K345" s="62"/>
      <c r="R345" s="62"/>
    </row>
    <row r="346" ht="15.75" customHeight="1">
      <c r="B346" s="167"/>
      <c r="E346" s="231"/>
      <c r="G346" s="167"/>
      <c r="J346" s="62"/>
      <c r="K346" s="62"/>
      <c r="R346" s="62"/>
    </row>
    <row r="347" ht="15.75" customHeight="1">
      <c r="B347" s="167"/>
      <c r="E347" s="231"/>
      <c r="G347" s="167"/>
      <c r="J347" s="62"/>
      <c r="K347" s="62"/>
      <c r="R347" s="62"/>
    </row>
    <row r="348" ht="15.75" customHeight="1">
      <c r="B348" s="167"/>
      <c r="E348" s="231"/>
      <c r="G348" s="167"/>
      <c r="J348" s="62"/>
      <c r="K348" s="62"/>
      <c r="R348" s="62"/>
    </row>
    <row r="349" ht="15.75" customHeight="1">
      <c r="B349" s="167"/>
      <c r="E349" s="231"/>
      <c r="G349" s="167"/>
      <c r="J349" s="62"/>
      <c r="K349" s="62"/>
      <c r="R349" s="62"/>
    </row>
    <row r="350" ht="15.75" customHeight="1">
      <c r="B350" s="167"/>
      <c r="E350" s="231"/>
      <c r="G350" s="167"/>
      <c r="J350" s="62"/>
      <c r="K350" s="62"/>
      <c r="R350" s="62"/>
    </row>
    <row r="351" ht="15.75" customHeight="1">
      <c r="B351" s="167"/>
      <c r="E351" s="231"/>
      <c r="G351" s="167"/>
      <c r="J351" s="62"/>
      <c r="K351" s="62"/>
      <c r="R351" s="62"/>
    </row>
    <row r="352" ht="15.75" customHeight="1">
      <c r="B352" s="167"/>
      <c r="E352" s="231"/>
      <c r="G352" s="167"/>
      <c r="J352" s="62"/>
      <c r="K352" s="62"/>
      <c r="R352" s="62"/>
    </row>
    <row r="353" ht="15.75" customHeight="1">
      <c r="B353" s="167"/>
      <c r="E353" s="231"/>
      <c r="G353" s="167"/>
      <c r="J353" s="62"/>
      <c r="K353" s="62"/>
      <c r="R353" s="62"/>
    </row>
    <row r="354" ht="15.75" customHeight="1">
      <c r="B354" s="167"/>
      <c r="E354" s="231"/>
      <c r="G354" s="167"/>
      <c r="J354" s="62"/>
      <c r="K354" s="62"/>
      <c r="R354" s="62"/>
    </row>
    <row r="355" ht="15.75" customHeight="1">
      <c r="B355" s="167"/>
      <c r="E355" s="231"/>
      <c r="G355" s="167"/>
      <c r="J355" s="62"/>
      <c r="K355" s="62"/>
      <c r="R355" s="62"/>
    </row>
    <row r="356" ht="15.75" customHeight="1">
      <c r="B356" s="167"/>
      <c r="E356" s="231"/>
      <c r="G356" s="167"/>
      <c r="J356" s="62"/>
      <c r="K356" s="62"/>
      <c r="R356" s="62"/>
    </row>
    <row r="357" ht="15.75" customHeight="1">
      <c r="B357" s="167"/>
      <c r="E357" s="231"/>
      <c r="G357" s="167"/>
      <c r="J357" s="62"/>
      <c r="K357" s="62"/>
      <c r="R357" s="62"/>
    </row>
    <row r="358" ht="15.75" customHeight="1">
      <c r="B358" s="167"/>
      <c r="E358" s="231"/>
      <c r="G358" s="167"/>
      <c r="J358" s="62"/>
      <c r="K358" s="62"/>
      <c r="R358" s="62"/>
    </row>
    <row r="359" ht="15.75" customHeight="1">
      <c r="B359" s="167"/>
      <c r="E359" s="231"/>
      <c r="G359" s="167"/>
      <c r="J359" s="62"/>
      <c r="K359" s="62"/>
      <c r="R359" s="62"/>
    </row>
    <row r="360" ht="15.75" customHeight="1">
      <c r="B360" s="167"/>
      <c r="E360" s="231"/>
      <c r="G360" s="167"/>
      <c r="J360" s="62"/>
      <c r="K360" s="62"/>
      <c r="R360" s="62"/>
    </row>
    <row r="361" ht="15.75" customHeight="1">
      <c r="B361" s="167"/>
      <c r="E361" s="231"/>
      <c r="G361" s="167"/>
      <c r="J361" s="62"/>
      <c r="K361" s="62"/>
      <c r="R361" s="62"/>
    </row>
    <row r="362" ht="15.75" customHeight="1">
      <c r="B362" s="167"/>
      <c r="E362" s="231"/>
      <c r="G362" s="167"/>
      <c r="J362" s="62"/>
      <c r="K362" s="62"/>
      <c r="R362" s="62"/>
    </row>
    <row r="363" ht="15.75" customHeight="1">
      <c r="B363" s="167"/>
      <c r="E363" s="231"/>
      <c r="G363" s="167"/>
      <c r="J363" s="62"/>
      <c r="K363" s="62"/>
      <c r="R363" s="62"/>
    </row>
    <row r="364" ht="15.75" customHeight="1">
      <c r="B364" s="167"/>
      <c r="E364" s="231"/>
      <c r="G364" s="167"/>
      <c r="J364" s="62"/>
      <c r="K364" s="62"/>
      <c r="R364" s="62"/>
    </row>
    <row r="365" ht="15.75" customHeight="1">
      <c r="B365" s="167"/>
      <c r="E365" s="231"/>
      <c r="G365" s="167"/>
      <c r="J365" s="62"/>
      <c r="K365" s="62"/>
      <c r="R365" s="62"/>
    </row>
    <row r="366" ht="15.75" customHeight="1">
      <c r="B366" s="167"/>
      <c r="E366" s="231"/>
      <c r="G366" s="167"/>
      <c r="J366" s="62"/>
      <c r="K366" s="62"/>
      <c r="R366" s="62"/>
    </row>
    <row r="367" ht="15.75" customHeight="1">
      <c r="B367" s="167"/>
      <c r="E367" s="231"/>
      <c r="G367" s="167"/>
      <c r="J367" s="62"/>
      <c r="K367" s="62"/>
      <c r="R367" s="62"/>
    </row>
    <row r="368" ht="15.75" customHeight="1">
      <c r="B368" s="167"/>
      <c r="E368" s="231"/>
      <c r="G368" s="167"/>
      <c r="J368" s="62"/>
      <c r="K368" s="62"/>
      <c r="R368" s="62"/>
    </row>
    <row r="369" ht="15.75" customHeight="1">
      <c r="B369" s="167"/>
      <c r="E369" s="231"/>
      <c r="G369" s="167"/>
      <c r="J369" s="62"/>
      <c r="K369" s="62"/>
      <c r="R369" s="62"/>
    </row>
    <row r="370" ht="15.75" customHeight="1">
      <c r="B370" s="167"/>
      <c r="E370" s="231"/>
      <c r="G370" s="167"/>
      <c r="J370" s="62"/>
      <c r="K370" s="62"/>
      <c r="R370" s="62"/>
    </row>
    <row r="371" ht="15.75" customHeight="1">
      <c r="B371" s="167"/>
      <c r="E371" s="231"/>
      <c r="G371" s="167"/>
      <c r="J371" s="62"/>
      <c r="K371" s="62"/>
      <c r="R371" s="62"/>
    </row>
    <row r="372" ht="15.75" customHeight="1">
      <c r="B372" s="167"/>
      <c r="E372" s="231"/>
      <c r="G372" s="167"/>
      <c r="J372" s="62"/>
      <c r="K372" s="62"/>
      <c r="R372" s="62"/>
    </row>
    <row r="373" ht="15.75" customHeight="1">
      <c r="B373" s="167"/>
      <c r="E373" s="231"/>
      <c r="G373" s="167"/>
      <c r="J373" s="62"/>
      <c r="K373" s="62"/>
      <c r="R373" s="62"/>
    </row>
    <row r="374" ht="15.75" customHeight="1">
      <c r="B374" s="167"/>
      <c r="E374" s="231"/>
      <c r="G374" s="167"/>
      <c r="J374" s="62"/>
      <c r="K374" s="62"/>
      <c r="R374" s="62"/>
    </row>
    <row r="375" ht="15.75" customHeight="1">
      <c r="B375" s="167"/>
      <c r="E375" s="231"/>
      <c r="G375" s="167"/>
      <c r="J375" s="62"/>
      <c r="K375" s="62"/>
      <c r="R375" s="62"/>
    </row>
    <row r="376" ht="15.75" customHeight="1">
      <c r="B376" s="167"/>
      <c r="E376" s="231"/>
      <c r="G376" s="167"/>
      <c r="J376" s="62"/>
      <c r="K376" s="62"/>
      <c r="R376" s="62"/>
    </row>
    <row r="377" ht="15.75" customHeight="1">
      <c r="B377" s="167"/>
      <c r="E377" s="231"/>
      <c r="G377" s="167"/>
      <c r="J377" s="62"/>
      <c r="K377" s="62"/>
      <c r="R377" s="62"/>
    </row>
    <row r="378" ht="15.75" customHeight="1">
      <c r="B378" s="167"/>
      <c r="E378" s="231"/>
      <c r="G378" s="167"/>
      <c r="J378" s="62"/>
      <c r="K378" s="62"/>
      <c r="R378" s="62"/>
    </row>
    <row r="379" ht="15.75" customHeight="1">
      <c r="B379" s="167"/>
      <c r="E379" s="231"/>
      <c r="G379" s="167"/>
      <c r="J379" s="62"/>
      <c r="K379" s="62"/>
      <c r="R379" s="62"/>
    </row>
    <row r="380" ht="15.75" customHeight="1">
      <c r="B380" s="167"/>
      <c r="E380" s="231"/>
      <c r="G380" s="167"/>
      <c r="J380" s="62"/>
      <c r="K380" s="62"/>
      <c r="R380" s="62"/>
    </row>
    <row r="381" ht="15.75" customHeight="1">
      <c r="B381" s="167"/>
      <c r="E381" s="231"/>
      <c r="G381" s="167"/>
      <c r="J381" s="62"/>
      <c r="K381" s="62"/>
      <c r="R381" s="62"/>
    </row>
    <row r="382" ht="15.75" customHeight="1">
      <c r="B382" s="167"/>
      <c r="E382" s="231"/>
      <c r="G382" s="167"/>
      <c r="J382" s="62"/>
      <c r="K382" s="62"/>
      <c r="R382" s="62"/>
    </row>
    <row r="383" ht="15.75" customHeight="1">
      <c r="B383" s="167"/>
      <c r="E383" s="231"/>
      <c r="G383" s="167"/>
      <c r="J383" s="62"/>
      <c r="K383" s="62"/>
      <c r="R383" s="62"/>
    </row>
    <row r="384" ht="15.75" customHeight="1">
      <c r="B384" s="167"/>
      <c r="E384" s="231"/>
      <c r="G384" s="167"/>
      <c r="J384" s="62"/>
      <c r="K384" s="62"/>
      <c r="R384" s="62"/>
    </row>
    <row r="385" ht="15.75" customHeight="1">
      <c r="B385" s="167"/>
      <c r="E385" s="231"/>
      <c r="G385" s="167"/>
      <c r="J385" s="62"/>
      <c r="K385" s="62"/>
      <c r="R385" s="62"/>
    </row>
    <row r="386" ht="15.75" customHeight="1">
      <c r="B386" s="167"/>
      <c r="E386" s="231"/>
      <c r="G386" s="167"/>
      <c r="J386" s="62"/>
      <c r="K386" s="62"/>
      <c r="R386" s="62"/>
    </row>
    <row r="387" ht="15.75" customHeight="1">
      <c r="B387" s="167"/>
      <c r="E387" s="231"/>
      <c r="G387" s="167"/>
      <c r="J387" s="62"/>
      <c r="K387" s="62"/>
      <c r="R387" s="62"/>
    </row>
    <row r="388" ht="15.75" customHeight="1">
      <c r="B388" s="167"/>
      <c r="E388" s="231"/>
      <c r="G388" s="167"/>
      <c r="J388" s="62"/>
      <c r="K388" s="62"/>
      <c r="R388" s="62"/>
    </row>
    <row r="389" ht="15.75" customHeight="1">
      <c r="B389" s="167"/>
      <c r="E389" s="231"/>
      <c r="G389" s="167"/>
      <c r="J389" s="62"/>
      <c r="K389" s="62"/>
      <c r="R389" s="62"/>
    </row>
    <row r="390" ht="15.75" customHeight="1">
      <c r="B390" s="167"/>
      <c r="E390" s="231"/>
      <c r="G390" s="167"/>
      <c r="J390" s="62"/>
      <c r="K390" s="62"/>
      <c r="R390" s="62"/>
    </row>
    <row r="391" ht="15.75" customHeight="1">
      <c r="B391" s="167"/>
      <c r="E391" s="231"/>
      <c r="G391" s="167"/>
      <c r="J391" s="62"/>
      <c r="K391" s="62"/>
      <c r="R391" s="62"/>
    </row>
    <row r="392" ht="15.75" customHeight="1">
      <c r="B392" s="167"/>
      <c r="E392" s="231"/>
      <c r="G392" s="167"/>
      <c r="J392" s="62"/>
      <c r="K392" s="62"/>
      <c r="R392" s="62"/>
    </row>
    <row r="393" ht="15.75" customHeight="1">
      <c r="B393" s="167"/>
      <c r="E393" s="231"/>
      <c r="G393" s="167"/>
      <c r="J393" s="62"/>
      <c r="K393" s="62"/>
      <c r="R393" s="62"/>
    </row>
    <row r="394" ht="15.75" customHeight="1">
      <c r="B394" s="167"/>
      <c r="E394" s="231"/>
      <c r="G394" s="167"/>
      <c r="J394" s="62"/>
      <c r="K394" s="62"/>
      <c r="R394" s="62"/>
    </row>
    <row r="395" ht="15.75" customHeight="1">
      <c r="B395" s="167"/>
      <c r="E395" s="231"/>
      <c r="G395" s="167"/>
      <c r="J395" s="62"/>
      <c r="K395" s="62"/>
      <c r="R395" s="62"/>
    </row>
    <row r="396" ht="15.75" customHeight="1">
      <c r="B396" s="167"/>
      <c r="E396" s="231"/>
      <c r="G396" s="167"/>
      <c r="J396" s="62"/>
      <c r="K396" s="62"/>
      <c r="R396" s="62"/>
    </row>
    <row r="397" ht="15.75" customHeight="1">
      <c r="B397" s="167"/>
      <c r="E397" s="231"/>
      <c r="G397" s="167"/>
      <c r="J397" s="62"/>
      <c r="K397" s="62"/>
      <c r="R397" s="62"/>
    </row>
    <row r="398" ht="15.75" customHeight="1">
      <c r="B398" s="167"/>
      <c r="E398" s="231"/>
      <c r="G398" s="167"/>
      <c r="J398" s="62"/>
      <c r="K398" s="62"/>
      <c r="R398" s="62"/>
    </row>
    <row r="399" ht="15.75" customHeight="1">
      <c r="B399" s="167"/>
      <c r="E399" s="231"/>
      <c r="G399" s="167"/>
      <c r="J399" s="62"/>
      <c r="K399" s="62"/>
      <c r="R399" s="62"/>
    </row>
    <row r="400" ht="15.75" customHeight="1">
      <c r="B400" s="167"/>
      <c r="E400" s="231"/>
      <c r="G400" s="167"/>
      <c r="J400" s="62"/>
      <c r="K400" s="62"/>
      <c r="R400" s="62"/>
    </row>
    <row r="401" ht="15.75" customHeight="1">
      <c r="B401" s="167"/>
      <c r="E401" s="231"/>
      <c r="G401" s="167"/>
      <c r="J401" s="62"/>
      <c r="K401" s="62"/>
      <c r="R401" s="62"/>
    </row>
    <row r="402" ht="15.75" customHeight="1">
      <c r="B402" s="167"/>
      <c r="E402" s="231"/>
      <c r="G402" s="167"/>
      <c r="J402" s="62"/>
      <c r="K402" s="62"/>
      <c r="R402" s="62"/>
    </row>
    <row r="403" ht="15.75" customHeight="1">
      <c r="B403" s="167"/>
      <c r="E403" s="231"/>
      <c r="G403" s="167"/>
      <c r="J403" s="62"/>
      <c r="K403" s="62"/>
      <c r="R403" s="62"/>
    </row>
    <row r="404" ht="15.75" customHeight="1">
      <c r="B404" s="167"/>
      <c r="E404" s="231"/>
      <c r="G404" s="167"/>
      <c r="J404" s="62"/>
      <c r="K404" s="62"/>
      <c r="R404" s="62"/>
    </row>
    <row r="405" ht="15.75" customHeight="1">
      <c r="B405" s="167"/>
      <c r="E405" s="231"/>
      <c r="G405" s="167"/>
      <c r="J405" s="62"/>
      <c r="K405" s="62"/>
      <c r="R405" s="62"/>
    </row>
    <row r="406" ht="15.75" customHeight="1">
      <c r="B406" s="167"/>
      <c r="E406" s="231"/>
      <c r="G406" s="167"/>
      <c r="J406" s="62"/>
      <c r="K406" s="62"/>
      <c r="R406" s="62"/>
    </row>
    <row r="407" ht="15.75" customHeight="1">
      <c r="B407" s="167"/>
      <c r="E407" s="231"/>
      <c r="G407" s="167"/>
      <c r="J407" s="62"/>
      <c r="K407" s="62"/>
      <c r="R407" s="62"/>
    </row>
    <row r="408" ht="15.75" customHeight="1">
      <c r="B408" s="167"/>
      <c r="E408" s="231"/>
      <c r="G408" s="167"/>
      <c r="J408" s="62"/>
      <c r="K408" s="62"/>
      <c r="R408" s="62"/>
    </row>
    <row r="409" ht="15.75" customHeight="1">
      <c r="B409" s="167"/>
      <c r="E409" s="231"/>
      <c r="G409" s="167"/>
      <c r="J409" s="62"/>
      <c r="K409" s="62"/>
      <c r="R409" s="62"/>
    </row>
    <row r="410" ht="15.75" customHeight="1">
      <c r="B410" s="167"/>
      <c r="E410" s="231"/>
      <c r="G410" s="167"/>
      <c r="J410" s="62"/>
      <c r="K410" s="62"/>
      <c r="R410" s="62"/>
    </row>
    <row r="411" ht="15.75" customHeight="1">
      <c r="B411" s="167"/>
      <c r="E411" s="231"/>
      <c r="G411" s="167"/>
      <c r="J411" s="62"/>
      <c r="K411" s="62"/>
      <c r="R411" s="62"/>
    </row>
    <row r="412" ht="15.75" customHeight="1">
      <c r="B412" s="167"/>
      <c r="E412" s="231"/>
      <c r="G412" s="167"/>
      <c r="J412" s="62"/>
      <c r="K412" s="62"/>
      <c r="R412" s="62"/>
    </row>
    <row r="413" ht="15.75" customHeight="1">
      <c r="B413" s="167"/>
      <c r="E413" s="231"/>
      <c r="G413" s="167"/>
      <c r="J413" s="62"/>
      <c r="K413" s="62"/>
      <c r="R413" s="62"/>
    </row>
    <row r="414" ht="15.75" customHeight="1">
      <c r="B414" s="167"/>
      <c r="E414" s="231"/>
      <c r="G414" s="167"/>
      <c r="J414" s="62"/>
      <c r="K414" s="62"/>
      <c r="R414" s="62"/>
    </row>
    <row r="415" ht="15.75" customHeight="1">
      <c r="B415" s="167"/>
      <c r="E415" s="231"/>
      <c r="G415" s="167"/>
      <c r="J415" s="62"/>
      <c r="K415" s="62"/>
      <c r="R415" s="62"/>
    </row>
    <row r="416" ht="15.75" customHeight="1">
      <c r="B416" s="167"/>
      <c r="E416" s="231"/>
      <c r="G416" s="167"/>
      <c r="J416" s="62"/>
      <c r="K416" s="62"/>
      <c r="R416" s="62"/>
    </row>
    <row r="417" ht="15.75" customHeight="1">
      <c r="B417" s="167"/>
      <c r="E417" s="231"/>
      <c r="G417" s="167"/>
      <c r="J417" s="62"/>
      <c r="K417" s="62"/>
      <c r="R417" s="62"/>
    </row>
    <row r="418" ht="15.75" customHeight="1">
      <c r="B418" s="167"/>
      <c r="E418" s="231"/>
      <c r="G418" s="167"/>
      <c r="J418" s="62"/>
      <c r="K418" s="62"/>
      <c r="R418" s="62"/>
    </row>
    <row r="419" ht="15.75" customHeight="1">
      <c r="B419" s="167"/>
      <c r="E419" s="231"/>
      <c r="G419" s="167"/>
      <c r="J419" s="62"/>
      <c r="K419" s="62"/>
      <c r="R419" s="62"/>
    </row>
    <row r="420" ht="15.75" customHeight="1">
      <c r="B420" s="167"/>
      <c r="E420" s="231"/>
      <c r="G420" s="167"/>
      <c r="J420" s="62"/>
      <c r="K420" s="62"/>
      <c r="R420" s="62"/>
    </row>
    <row r="421" ht="15.75" customHeight="1">
      <c r="B421" s="167"/>
      <c r="E421" s="231"/>
      <c r="G421" s="167"/>
      <c r="J421" s="62"/>
      <c r="K421" s="62"/>
      <c r="R421" s="62"/>
    </row>
    <row r="422" ht="15.75" customHeight="1">
      <c r="B422" s="167"/>
      <c r="E422" s="231"/>
      <c r="G422" s="167"/>
      <c r="J422" s="62"/>
      <c r="K422" s="62"/>
      <c r="R422" s="62"/>
    </row>
    <row r="423" ht="15.75" customHeight="1">
      <c r="B423" s="167"/>
      <c r="E423" s="231"/>
      <c r="G423" s="167"/>
      <c r="J423" s="62"/>
      <c r="K423" s="62"/>
      <c r="R423" s="62"/>
    </row>
    <row r="424" ht="15.75" customHeight="1">
      <c r="B424" s="167"/>
      <c r="E424" s="231"/>
      <c r="G424" s="167"/>
      <c r="J424" s="62"/>
      <c r="K424" s="62"/>
      <c r="R424" s="62"/>
    </row>
    <row r="425" ht="15.75" customHeight="1">
      <c r="B425" s="167"/>
      <c r="E425" s="231"/>
      <c r="G425" s="167"/>
      <c r="J425" s="62"/>
      <c r="K425" s="62"/>
      <c r="R425" s="62"/>
    </row>
    <row r="426" ht="15.75" customHeight="1">
      <c r="B426" s="167"/>
      <c r="E426" s="231"/>
      <c r="G426" s="167"/>
      <c r="J426" s="62"/>
      <c r="K426" s="62"/>
      <c r="R426" s="62"/>
    </row>
    <row r="427" ht="15.75" customHeight="1">
      <c r="B427" s="167"/>
      <c r="E427" s="231"/>
      <c r="G427" s="167"/>
      <c r="J427" s="62"/>
      <c r="K427" s="62"/>
      <c r="R427" s="62"/>
    </row>
    <row r="428" ht="15.75" customHeight="1">
      <c r="B428" s="167"/>
      <c r="E428" s="231"/>
      <c r="G428" s="167"/>
      <c r="J428" s="62"/>
      <c r="K428" s="62"/>
      <c r="R428" s="62"/>
    </row>
    <row r="429" ht="15.75" customHeight="1">
      <c r="B429" s="167"/>
      <c r="E429" s="231"/>
      <c r="G429" s="167"/>
      <c r="J429" s="62"/>
      <c r="K429" s="62"/>
      <c r="R429" s="62"/>
    </row>
    <row r="430" ht="15.75" customHeight="1">
      <c r="B430" s="167"/>
      <c r="E430" s="231"/>
      <c r="G430" s="167"/>
      <c r="J430" s="62"/>
      <c r="K430" s="62"/>
      <c r="R430" s="62"/>
    </row>
    <row r="431" ht="15.75" customHeight="1">
      <c r="B431" s="167"/>
      <c r="E431" s="231"/>
      <c r="G431" s="167"/>
      <c r="J431" s="62"/>
      <c r="K431" s="62"/>
      <c r="R431" s="62"/>
    </row>
    <row r="432" ht="15.75" customHeight="1">
      <c r="B432" s="167"/>
      <c r="E432" s="231"/>
      <c r="G432" s="167"/>
      <c r="J432" s="62"/>
      <c r="K432" s="62"/>
      <c r="R432" s="62"/>
    </row>
    <row r="433" ht="15.75" customHeight="1">
      <c r="B433" s="167"/>
      <c r="E433" s="231"/>
      <c r="G433" s="167"/>
      <c r="J433" s="62"/>
      <c r="K433" s="62"/>
      <c r="R433" s="62"/>
    </row>
    <row r="434" ht="15.75" customHeight="1">
      <c r="B434" s="167"/>
      <c r="E434" s="231"/>
      <c r="G434" s="167"/>
      <c r="J434" s="62"/>
      <c r="K434" s="62"/>
      <c r="R434" s="62"/>
    </row>
    <row r="435" ht="15.75" customHeight="1">
      <c r="B435" s="167"/>
      <c r="E435" s="231"/>
      <c r="G435" s="167"/>
      <c r="J435" s="62"/>
      <c r="K435" s="62"/>
      <c r="R435" s="62"/>
    </row>
    <row r="436" ht="15.75" customHeight="1">
      <c r="B436" s="167"/>
      <c r="E436" s="231"/>
      <c r="G436" s="167"/>
      <c r="J436" s="62"/>
      <c r="K436" s="62"/>
      <c r="R436" s="62"/>
    </row>
    <row r="437" ht="15.75" customHeight="1">
      <c r="B437" s="167"/>
      <c r="E437" s="231"/>
      <c r="G437" s="167"/>
      <c r="J437" s="62"/>
      <c r="K437" s="62"/>
      <c r="R437" s="62"/>
    </row>
    <row r="438" ht="15.75" customHeight="1">
      <c r="B438" s="167"/>
      <c r="E438" s="231"/>
      <c r="G438" s="167"/>
      <c r="J438" s="62"/>
      <c r="K438" s="62"/>
      <c r="R438" s="62"/>
    </row>
    <row r="439" ht="15.75" customHeight="1">
      <c r="B439" s="167"/>
      <c r="E439" s="231"/>
      <c r="G439" s="167"/>
      <c r="J439" s="62"/>
      <c r="K439" s="62"/>
      <c r="R439" s="62"/>
    </row>
    <row r="440" ht="15.75" customHeight="1">
      <c r="B440" s="167"/>
      <c r="E440" s="231"/>
      <c r="G440" s="167"/>
      <c r="J440" s="62"/>
      <c r="K440" s="62"/>
      <c r="R440" s="62"/>
    </row>
    <row r="441" ht="15.75" customHeight="1">
      <c r="B441" s="167"/>
      <c r="E441" s="231"/>
      <c r="G441" s="167"/>
      <c r="J441" s="62"/>
      <c r="K441" s="62"/>
      <c r="R441" s="62"/>
    </row>
    <row r="442" ht="15.75" customHeight="1">
      <c r="B442" s="167"/>
      <c r="E442" s="231"/>
      <c r="G442" s="167"/>
      <c r="J442" s="62"/>
      <c r="K442" s="62"/>
      <c r="R442" s="62"/>
    </row>
    <row r="443" ht="15.75" customHeight="1">
      <c r="B443" s="167"/>
      <c r="E443" s="231"/>
      <c r="G443" s="167"/>
      <c r="J443" s="62"/>
      <c r="K443" s="62"/>
      <c r="R443" s="62"/>
    </row>
    <row r="444" ht="15.75" customHeight="1">
      <c r="B444" s="167"/>
      <c r="E444" s="231"/>
      <c r="G444" s="167"/>
      <c r="J444" s="62"/>
      <c r="K444" s="62"/>
      <c r="R444" s="62"/>
    </row>
    <row r="445" ht="15.75" customHeight="1">
      <c r="B445" s="167"/>
      <c r="E445" s="231"/>
      <c r="G445" s="167"/>
      <c r="J445" s="62"/>
      <c r="K445" s="62"/>
      <c r="R445" s="62"/>
    </row>
    <row r="446" ht="15.75" customHeight="1">
      <c r="B446" s="167"/>
      <c r="E446" s="231"/>
      <c r="G446" s="167"/>
      <c r="J446" s="62"/>
      <c r="K446" s="62"/>
      <c r="R446" s="62"/>
    </row>
    <row r="447" ht="15.75" customHeight="1">
      <c r="B447" s="167"/>
      <c r="E447" s="231"/>
      <c r="G447" s="167"/>
      <c r="J447" s="62"/>
      <c r="K447" s="62"/>
      <c r="R447" s="62"/>
    </row>
    <row r="448" ht="15.75" customHeight="1">
      <c r="B448" s="167"/>
      <c r="E448" s="231"/>
      <c r="G448" s="167"/>
      <c r="J448" s="62"/>
      <c r="K448" s="62"/>
      <c r="R448" s="62"/>
    </row>
    <row r="449" ht="15.75" customHeight="1">
      <c r="B449" s="167"/>
      <c r="E449" s="231"/>
      <c r="G449" s="167"/>
      <c r="J449" s="62"/>
      <c r="K449" s="62"/>
      <c r="R449" s="62"/>
    </row>
    <row r="450" ht="15.75" customHeight="1">
      <c r="B450" s="167"/>
      <c r="E450" s="231"/>
      <c r="G450" s="167"/>
      <c r="J450" s="62"/>
      <c r="K450" s="62"/>
      <c r="R450" s="62"/>
    </row>
    <row r="451" ht="15.75" customHeight="1">
      <c r="B451" s="167"/>
      <c r="E451" s="231"/>
      <c r="G451" s="167"/>
      <c r="J451" s="62"/>
      <c r="K451" s="62"/>
      <c r="R451" s="62"/>
    </row>
    <row r="452" ht="15.75" customHeight="1">
      <c r="B452" s="167"/>
      <c r="E452" s="231"/>
      <c r="G452" s="167"/>
      <c r="J452" s="62"/>
      <c r="K452" s="62"/>
      <c r="R452" s="62"/>
    </row>
    <row r="453" ht="15.75" customHeight="1">
      <c r="B453" s="167"/>
      <c r="E453" s="231"/>
      <c r="G453" s="167"/>
      <c r="J453" s="62"/>
      <c r="K453" s="62"/>
      <c r="R453" s="62"/>
    </row>
    <row r="454" ht="15.75" customHeight="1">
      <c r="B454" s="167"/>
      <c r="E454" s="231"/>
      <c r="G454" s="167"/>
      <c r="J454" s="62"/>
      <c r="K454" s="62"/>
      <c r="R454" s="62"/>
    </row>
    <row r="455" ht="15.75" customHeight="1">
      <c r="B455" s="167"/>
      <c r="E455" s="231"/>
      <c r="G455" s="167"/>
      <c r="J455" s="62"/>
      <c r="K455" s="62"/>
      <c r="R455" s="62"/>
    </row>
    <row r="456" ht="15.75" customHeight="1">
      <c r="B456" s="167"/>
      <c r="E456" s="231"/>
      <c r="G456" s="167"/>
      <c r="J456" s="62"/>
      <c r="K456" s="62"/>
      <c r="R456" s="62"/>
    </row>
    <row r="457" ht="15.75" customHeight="1">
      <c r="B457" s="167"/>
      <c r="E457" s="231"/>
      <c r="G457" s="167"/>
      <c r="J457" s="62"/>
      <c r="K457" s="62"/>
      <c r="R457" s="62"/>
    </row>
    <row r="458" ht="15.75" customHeight="1">
      <c r="B458" s="167"/>
      <c r="E458" s="231"/>
      <c r="G458" s="167"/>
      <c r="J458" s="62"/>
      <c r="K458" s="62"/>
      <c r="R458" s="62"/>
    </row>
    <row r="459" ht="15.75" customHeight="1">
      <c r="B459" s="167"/>
      <c r="E459" s="231"/>
      <c r="G459" s="167"/>
      <c r="J459" s="62"/>
      <c r="K459" s="62"/>
      <c r="R459" s="62"/>
    </row>
    <row r="460" ht="15.75" customHeight="1">
      <c r="B460" s="167"/>
      <c r="E460" s="231"/>
      <c r="G460" s="167"/>
      <c r="J460" s="62"/>
      <c r="K460" s="62"/>
      <c r="R460" s="62"/>
    </row>
    <row r="461" ht="15.75" customHeight="1">
      <c r="B461" s="167"/>
      <c r="E461" s="231"/>
      <c r="G461" s="167"/>
      <c r="J461" s="62"/>
      <c r="K461" s="62"/>
      <c r="R461" s="62"/>
    </row>
    <row r="462" ht="15.75" customHeight="1">
      <c r="B462" s="167"/>
      <c r="E462" s="231"/>
      <c r="G462" s="167"/>
      <c r="J462" s="62"/>
      <c r="K462" s="62"/>
      <c r="R462" s="62"/>
    </row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7">
    <mergeCell ref="A1:K1"/>
    <mergeCell ref="A2:K2"/>
    <mergeCell ref="N4:R4"/>
    <mergeCell ref="N5:R5"/>
    <mergeCell ref="A19:K19"/>
    <mergeCell ref="N22:R22"/>
    <mergeCell ref="N23:R23"/>
    <mergeCell ref="A20:K20"/>
    <mergeCell ref="A37:K37"/>
    <mergeCell ref="A38:K38"/>
    <mergeCell ref="N40:R40"/>
    <mergeCell ref="N45:R45"/>
    <mergeCell ref="A55:K55"/>
    <mergeCell ref="A56:K56"/>
    <mergeCell ref="N58:R58"/>
    <mergeCell ref="N59:R59"/>
    <mergeCell ref="A73:K73"/>
    <mergeCell ref="A74:K74"/>
    <mergeCell ref="N76:R76"/>
    <mergeCell ref="N77:R77"/>
    <mergeCell ref="A91:K91"/>
    <mergeCell ref="A92:K92"/>
    <mergeCell ref="N94:R94"/>
    <mergeCell ref="N95:R95"/>
    <mergeCell ref="A109:K109"/>
    <mergeCell ref="A110:K110"/>
    <mergeCell ref="N112:R112"/>
    <mergeCell ref="N113:R113"/>
    <mergeCell ref="A127:K127"/>
    <mergeCell ref="A128:K128"/>
    <mergeCell ref="N130:R130"/>
    <mergeCell ref="N131:R131"/>
    <mergeCell ref="A145:K145"/>
    <mergeCell ref="N148:R148"/>
    <mergeCell ref="N149:R149"/>
    <mergeCell ref="A146:K146"/>
    <mergeCell ref="A163:K163"/>
    <mergeCell ref="A164:K164"/>
    <mergeCell ref="N166:R166"/>
    <mergeCell ref="N167:R167"/>
    <mergeCell ref="A181:K181"/>
    <mergeCell ref="A182:K182"/>
    <mergeCell ref="A218:K218"/>
    <mergeCell ref="N220:R220"/>
    <mergeCell ref="N221:R221"/>
    <mergeCell ref="A235:K235"/>
    <mergeCell ref="A236:K236"/>
    <mergeCell ref="N238:R238"/>
    <mergeCell ref="N239:R239"/>
    <mergeCell ref="N260:R260"/>
    <mergeCell ref="N184:R184"/>
    <mergeCell ref="N185:R185"/>
    <mergeCell ref="A199:K199"/>
    <mergeCell ref="A200:K200"/>
    <mergeCell ref="N202:R202"/>
    <mergeCell ref="N203:R203"/>
    <mergeCell ref="A217:K217"/>
  </mergeCells>
  <dataValidations>
    <dataValidation type="list" allowBlank="1" showErrorMessage="1" sqref="I4:I15 I22:I33 I40:I51 I58:I69 I76:I87 I94:I105 I112:I123 I130:I141 I148:I159 I166:I177 I184:I195 I202:I213 I220:I231 I238:I249">
      <formula1>"Não atendido,Atendido,Vagas livre,Desistência"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4"/>
  <legacyDrawing r:id="rId5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3.88"/>
    <col customWidth="1" min="4" max="4" width="11.88"/>
    <col customWidth="1" min="5" max="5" width="16.0"/>
    <col customWidth="1" min="6" max="6" width="17.0"/>
    <col customWidth="1" min="7" max="7" width="42.63"/>
    <col customWidth="1" min="8" max="8" width="16.13"/>
    <col customWidth="1" min="9" max="9" width="20.38"/>
    <col customWidth="1" min="10" max="10" width="16.5"/>
    <col customWidth="1" min="11" max="11" width="14.8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3782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2081</v>
      </c>
      <c r="C4" s="69" t="str">
        <f t="shared" ref="C4:C15" si="1">PROPER(TEXT(DATE(MID($A$2,7,4),MID($A$2,4,2),LEFT($A$2,2)),"dddd"))</f>
        <v>Terça-Feira</v>
      </c>
      <c r="D4" s="445" t="str">
        <f>IF(C4&lt;&gt;"Quarta-Feira","13:00","08:00")</f>
        <v>13:00</v>
      </c>
      <c r="E4" s="219" t="s">
        <v>3783</v>
      </c>
      <c r="F4" s="192">
        <v>7.07408029490478E14</v>
      </c>
      <c r="G4" s="54" t="s">
        <v>3784</v>
      </c>
      <c r="H4" s="193">
        <v>17023.0</v>
      </c>
      <c r="I4" s="18" t="s">
        <v>41</v>
      </c>
      <c r="J4" s="97"/>
      <c r="K4" s="97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5" t="s">
        <v>2083</v>
      </c>
      <c r="C5" s="69" t="str">
        <f t="shared" si="1"/>
        <v>Terça-Feira</v>
      </c>
      <c r="D5" s="445" t="str">
        <f>IF(C5&lt;&gt;"Quarta-Feira","13:20","08:20")</f>
        <v>13:20</v>
      </c>
      <c r="E5" s="253" t="s">
        <v>3785</v>
      </c>
      <c r="F5" s="206">
        <v>7.03609065158735E14</v>
      </c>
      <c r="G5" s="125" t="s">
        <v>3786</v>
      </c>
      <c r="H5" s="153">
        <v>19996.0</v>
      </c>
      <c r="I5" s="18" t="s">
        <v>41</v>
      </c>
      <c r="J5" s="37"/>
      <c r="K5" s="37"/>
      <c r="N5" s="239" t="s">
        <v>2085</v>
      </c>
      <c r="O5" s="2"/>
      <c r="P5" s="2"/>
      <c r="Q5" s="2"/>
      <c r="R5" s="62"/>
    </row>
    <row r="6" ht="20.25" customHeight="1">
      <c r="A6" s="11" t="s">
        <v>12</v>
      </c>
      <c r="B6" s="205" t="s">
        <v>2086</v>
      </c>
      <c r="C6" s="69" t="str">
        <f t="shared" si="1"/>
        <v>Terça-Feira</v>
      </c>
      <c r="D6" s="445" t="str">
        <f>IF(C6&lt;&gt;"Quarta-Feira","13:40","08:40")</f>
        <v>13:40</v>
      </c>
      <c r="E6" s="253" t="s">
        <v>1673</v>
      </c>
      <c r="F6" s="206">
        <v>1.20759346320006E14</v>
      </c>
      <c r="G6" s="125" t="s">
        <v>1674</v>
      </c>
      <c r="H6" s="153">
        <v>22477.0</v>
      </c>
      <c r="I6" s="18" t="s">
        <v>2566</v>
      </c>
      <c r="J6" s="37"/>
      <c r="K6" s="97"/>
      <c r="N6" s="240" t="s">
        <v>41</v>
      </c>
      <c r="O6" s="241" t="s">
        <v>194</v>
      </c>
      <c r="P6" s="241" t="s">
        <v>180</v>
      </c>
      <c r="Q6" s="242" t="s">
        <v>2087</v>
      </c>
      <c r="R6" s="62"/>
    </row>
    <row r="7" ht="15.75" customHeight="1">
      <c r="A7" s="11" t="s">
        <v>13</v>
      </c>
      <c r="B7" s="205" t="s">
        <v>2088</v>
      </c>
      <c r="C7" s="69" t="str">
        <f t="shared" si="1"/>
        <v>Terça-Feira</v>
      </c>
      <c r="D7" s="445" t="str">
        <f>IF(C7&lt;&gt;"Quarta-Feira","14:00","09:00")</f>
        <v>14:00</v>
      </c>
      <c r="E7" s="214" t="s">
        <v>3787</v>
      </c>
      <c r="F7" s="79">
        <v>7.02100741052792E14</v>
      </c>
      <c r="G7" s="74" t="s">
        <v>3788</v>
      </c>
      <c r="H7" s="78">
        <v>20360.0</v>
      </c>
      <c r="I7" s="18" t="s">
        <v>41</v>
      </c>
      <c r="J7" s="266"/>
      <c r="K7" s="266"/>
      <c r="N7" s="244">
        <f t="shared" ref="N7:P7" si="2">COUNTIFS($I$4:$I$15,N6)</f>
        <v>7</v>
      </c>
      <c r="O7" s="244">
        <f t="shared" si="2"/>
        <v>0</v>
      </c>
      <c r="P7" s="244">
        <f t="shared" si="2"/>
        <v>3</v>
      </c>
      <c r="Q7" s="244">
        <f>COUNTIF(I4:I15,Q6)</f>
        <v>1</v>
      </c>
      <c r="R7" s="62"/>
    </row>
    <row r="8" ht="15.75" customHeight="1">
      <c r="A8" s="11" t="s">
        <v>14</v>
      </c>
      <c r="B8" s="205" t="s">
        <v>2081</v>
      </c>
      <c r="C8" s="69" t="str">
        <f t="shared" si="1"/>
        <v>Terça-Feira</v>
      </c>
      <c r="D8" s="445" t="str">
        <f>IF(C8&lt;&gt;"Quarta-Feira","14:20","09:20")</f>
        <v>14:20</v>
      </c>
      <c r="E8" s="267" t="s">
        <v>3789</v>
      </c>
      <c r="F8" s="457">
        <v>7.0860352235238E14</v>
      </c>
      <c r="G8" s="268" t="s">
        <v>3790</v>
      </c>
      <c r="H8" s="269">
        <v>22121.0</v>
      </c>
      <c r="I8" s="18" t="s">
        <v>2087</v>
      </c>
      <c r="J8" s="128"/>
      <c r="K8" s="128"/>
      <c r="R8" s="62"/>
    </row>
    <row r="9" ht="15.75" customHeight="1">
      <c r="A9" s="11" t="s">
        <v>15</v>
      </c>
      <c r="B9" s="205" t="s">
        <v>2088</v>
      </c>
      <c r="C9" s="69" t="str">
        <f t="shared" si="1"/>
        <v>Terça-Feira</v>
      </c>
      <c r="D9" s="445" t="str">
        <f>IF(C9&lt;&gt;"Quarta-Feira","14:40","09:40")</f>
        <v>14:40</v>
      </c>
      <c r="E9" s="215" t="s">
        <v>3791</v>
      </c>
      <c r="F9" s="170">
        <v>7.08403243547365E14</v>
      </c>
      <c r="G9" s="186" t="s">
        <v>3792</v>
      </c>
      <c r="H9" s="72">
        <v>23816.0</v>
      </c>
      <c r="I9" s="18" t="s">
        <v>41</v>
      </c>
      <c r="J9" s="37"/>
      <c r="K9" s="37"/>
      <c r="R9" s="62"/>
    </row>
    <row r="10" ht="15.75" customHeight="1">
      <c r="A10" s="11" t="s">
        <v>16</v>
      </c>
      <c r="B10" s="205" t="s">
        <v>2092</v>
      </c>
      <c r="C10" s="69" t="str">
        <f t="shared" si="1"/>
        <v>Terça-Feira</v>
      </c>
      <c r="D10" s="445" t="str">
        <f>IF(C10&lt;&gt;"Quarta-Feira","15:00","10:00")</f>
        <v>15:00</v>
      </c>
      <c r="E10" s="214"/>
      <c r="F10" s="79"/>
      <c r="G10" s="74"/>
      <c r="H10" s="78"/>
      <c r="I10" s="18" t="s">
        <v>180</v>
      </c>
      <c r="J10" s="266"/>
      <c r="K10" s="266"/>
      <c r="R10" s="62"/>
    </row>
    <row r="11" ht="15.75" customHeight="1">
      <c r="A11" s="11" t="s">
        <v>17</v>
      </c>
      <c r="B11" s="205" t="s">
        <v>2093</v>
      </c>
      <c r="C11" s="69" t="str">
        <f t="shared" si="1"/>
        <v>Terça-Feira</v>
      </c>
      <c r="D11" s="445" t="str">
        <f>IF(C11&lt;&gt;"Quarta-Feira","15:20","10:20")</f>
        <v>15:20</v>
      </c>
      <c r="E11" s="214" t="s">
        <v>3793</v>
      </c>
      <c r="F11" s="79">
        <v>8.01440408244203E14</v>
      </c>
      <c r="G11" s="74" t="s">
        <v>3794</v>
      </c>
      <c r="H11" s="78">
        <v>21942.0</v>
      </c>
      <c r="I11" s="18" t="s">
        <v>41</v>
      </c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205" t="s">
        <v>2094</v>
      </c>
      <c r="C12" s="69" t="str">
        <f t="shared" si="1"/>
        <v>Terça-Feira</v>
      </c>
      <c r="D12" s="445" t="str">
        <f>IF(C12&lt;&gt;"Quarta-Feira","15:40","10:40")</f>
        <v>15:40</v>
      </c>
      <c r="E12" s="247" t="s">
        <v>3072</v>
      </c>
      <c r="F12" s="146">
        <v>7.04203780018689E14</v>
      </c>
      <c r="G12" s="74" t="s">
        <v>3073</v>
      </c>
      <c r="H12" s="86">
        <v>17849.0</v>
      </c>
      <c r="I12" s="18" t="s">
        <v>41</v>
      </c>
      <c r="J12" s="37"/>
      <c r="K12" s="37"/>
      <c r="R12" s="62"/>
    </row>
    <row r="13" ht="15.75" customHeight="1">
      <c r="A13" s="11" t="s">
        <v>87</v>
      </c>
      <c r="B13" s="205" t="s">
        <v>2095</v>
      </c>
      <c r="C13" s="69" t="str">
        <f t="shared" si="1"/>
        <v>Terça-Feira</v>
      </c>
      <c r="D13" s="445" t="str">
        <f>IF(C13&lt;&gt;"Quarta-Feira","16:00","11:00")</f>
        <v>16:00</v>
      </c>
      <c r="E13" s="218"/>
      <c r="F13" s="146"/>
      <c r="G13" s="74"/>
      <c r="H13" s="86"/>
      <c r="I13" s="18" t="s">
        <v>180</v>
      </c>
      <c r="J13" s="37"/>
      <c r="K13" s="37"/>
      <c r="R13" s="62"/>
    </row>
    <row r="14" ht="15.75" customHeight="1">
      <c r="A14" s="11" t="s">
        <v>90</v>
      </c>
      <c r="B14" s="205" t="s">
        <v>2097</v>
      </c>
      <c r="C14" s="69" t="str">
        <f t="shared" si="1"/>
        <v>Terça-Feira</v>
      </c>
      <c r="D14" s="445" t="str">
        <f>IF(C14&lt;&gt;"Quarta-Feira","16:20","11:20")</f>
        <v>16:20</v>
      </c>
      <c r="E14" s="258" t="s">
        <v>3795</v>
      </c>
      <c r="F14" s="127">
        <v>7.00402930709945E14</v>
      </c>
      <c r="G14" s="74" t="s">
        <v>3796</v>
      </c>
      <c r="H14" s="153">
        <v>23822.0</v>
      </c>
      <c r="I14" s="18" t="s">
        <v>41</v>
      </c>
      <c r="J14" s="37"/>
      <c r="K14" s="37"/>
      <c r="R14" s="62"/>
    </row>
    <row r="15" ht="15.75" customHeight="1">
      <c r="A15" s="11" t="s">
        <v>93</v>
      </c>
      <c r="B15" s="205" t="s">
        <v>2095</v>
      </c>
      <c r="C15" s="69" t="str">
        <f t="shared" si="1"/>
        <v>Terça-Feira</v>
      </c>
      <c r="D15" s="445" t="str">
        <f>IF(C15&lt;&gt;"Quarta-Feira","16:40","11:40")</f>
        <v>16:40</v>
      </c>
      <c r="E15" s="258"/>
      <c r="F15" s="127"/>
      <c r="G15" s="74"/>
      <c r="H15" s="153"/>
      <c r="I15" s="18" t="s">
        <v>180</v>
      </c>
      <c r="J15" s="37"/>
      <c r="K15" s="37"/>
      <c r="R15" s="62"/>
    </row>
    <row r="16" ht="15.75" customHeight="1">
      <c r="E16" s="231"/>
      <c r="J16" s="62"/>
      <c r="K16" s="62"/>
      <c r="R16" s="62"/>
    </row>
    <row r="17" ht="15.75" customHeight="1">
      <c r="E17" s="231"/>
      <c r="J17" s="62"/>
      <c r="K17" s="62"/>
      <c r="R17" s="62"/>
    </row>
    <row r="18" ht="15.0" customHeight="1">
      <c r="E18" s="231"/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tr">
        <f>TEXT(DATE(VALUE(MID(A2,7,4)),VALUE(MID(A2,4,2)),VALUE(LEFT(A2,2)))+2,"dd/mm/yyyy")&amp;" 13h às 17h"</f>
        <v>04/06/2026 13h às 17h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1789</v>
      </c>
      <c r="C22" s="69" t="str">
        <f t="shared" ref="C22:C33" si="3">PROPER(TEXT(DATE(MID($A$20,7,4),MID($A$20,4,2),LEFT($A$20,2)),"dddd"))</f>
        <v>Quinta-Feira</v>
      </c>
      <c r="D22" s="445" t="str">
        <f>IF(C22&lt;&gt;"Quarta-Feira","13:00","08:00")</f>
        <v>13:00</v>
      </c>
      <c r="E22" s="507"/>
      <c r="F22" s="114"/>
      <c r="G22" s="105" t="s">
        <v>2798</v>
      </c>
      <c r="H22" s="106"/>
      <c r="I22" s="18"/>
      <c r="J22" s="127"/>
      <c r="K22" s="12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1713</v>
      </c>
      <c r="C23" s="69" t="str">
        <f t="shared" si="3"/>
        <v>Quinta-Feira</v>
      </c>
      <c r="D23" s="445" t="str">
        <f>IF(C23&lt;&gt;"Quarta-Feira","13:20","08:20")</f>
        <v>13:20</v>
      </c>
      <c r="E23" s="514"/>
      <c r="F23" s="114"/>
      <c r="G23" s="105" t="s">
        <v>2798</v>
      </c>
      <c r="H23" s="106"/>
      <c r="I23" s="18"/>
      <c r="J23" s="127"/>
      <c r="K23" s="127"/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1780</v>
      </c>
      <c r="C24" s="69" t="str">
        <f t="shared" si="3"/>
        <v>Quinta-Feira</v>
      </c>
      <c r="D24" s="445" t="str">
        <f>IF(C24&lt;&gt;"Quarta-Feira","13:40","08:40")</f>
        <v>13:40</v>
      </c>
      <c r="E24" s="514"/>
      <c r="F24" s="114"/>
      <c r="G24" s="105" t="s">
        <v>2798</v>
      </c>
      <c r="H24" s="106"/>
      <c r="I24" s="18"/>
      <c r="J24" s="127"/>
      <c r="K24" s="127"/>
      <c r="L24" s="197" t="s">
        <v>520</v>
      </c>
      <c r="N24" s="240" t="s">
        <v>41</v>
      </c>
      <c r="O24" s="241" t="s">
        <v>194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1720</v>
      </c>
      <c r="C25" s="69" t="str">
        <f t="shared" si="3"/>
        <v>Quinta-Feira</v>
      </c>
      <c r="D25" s="445" t="str">
        <f>IF(C25&lt;&gt;"Quarta-Feira","14:00","09:00")</f>
        <v>14:00</v>
      </c>
      <c r="E25" s="390"/>
      <c r="F25" s="114"/>
      <c r="G25" s="105" t="s">
        <v>2798</v>
      </c>
      <c r="H25" s="106"/>
      <c r="I25" s="18"/>
      <c r="J25" s="127"/>
      <c r="K25" s="127"/>
      <c r="L25" s="197" t="s">
        <v>520</v>
      </c>
      <c r="N25" s="244">
        <f t="shared" ref="N25:Q25" si="4">COUNTIFS($I$22:$I$33,N24)</f>
        <v>0</v>
      </c>
      <c r="O25" s="244">
        <f t="shared" si="4"/>
        <v>0</v>
      </c>
      <c r="P25" s="244">
        <f t="shared" si="4"/>
        <v>0</v>
      </c>
      <c r="Q25" s="244">
        <f t="shared" si="4"/>
        <v>0</v>
      </c>
      <c r="R25" s="62"/>
    </row>
    <row r="26" ht="18.0" customHeight="1">
      <c r="A26" s="11" t="s">
        <v>14</v>
      </c>
      <c r="B26" s="205" t="s">
        <v>1795</v>
      </c>
      <c r="C26" s="69" t="str">
        <f t="shared" si="3"/>
        <v>Quinta-Feira</v>
      </c>
      <c r="D26" s="445" t="str">
        <f>IF(C26&lt;&gt;"Quarta-Feira","14:20","09:20")</f>
        <v>14:20</v>
      </c>
      <c r="E26" s="515"/>
      <c r="F26" s="114"/>
      <c r="G26" s="105" t="s">
        <v>2798</v>
      </c>
      <c r="H26" s="106"/>
      <c r="I26" s="18"/>
      <c r="J26" s="127"/>
      <c r="K26" s="127"/>
      <c r="L26" s="197" t="s">
        <v>520</v>
      </c>
      <c r="R26" s="62"/>
    </row>
    <row r="27" ht="15.75" customHeight="1">
      <c r="A27" s="11" t="s">
        <v>15</v>
      </c>
      <c r="B27" s="205" t="s">
        <v>1789</v>
      </c>
      <c r="C27" s="69" t="str">
        <f t="shared" si="3"/>
        <v>Quinta-Feira</v>
      </c>
      <c r="D27" s="445" t="str">
        <f>IF(C27&lt;&gt;"Quarta-Feira","14:40","09:40")</f>
        <v>14:40</v>
      </c>
      <c r="E27" s="515"/>
      <c r="F27" s="114"/>
      <c r="G27" s="105" t="s">
        <v>2798</v>
      </c>
      <c r="H27" s="106"/>
      <c r="I27" s="18"/>
      <c r="J27" s="127"/>
      <c r="K27" s="127"/>
      <c r="L27" s="197" t="s">
        <v>520</v>
      </c>
      <c r="R27" s="62"/>
    </row>
    <row r="28" ht="15.75" customHeight="1">
      <c r="A28" s="11" t="s">
        <v>16</v>
      </c>
      <c r="B28" s="205" t="s">
        <v>2652</v>
      </c>
      <c r="C28" s="69" t="str">
        <f t="shared" si="3"/>
        <v>Quinta-Feira</v>
      </c>
      <c r="D28" s="445" t="str">
        <f>IF(C28&lt;&gt;"Quarta-Feira","15:00","10:00")</f>
        <v>15:00</v>
      </c>
      <c r="E28" s="390"/>
      <c r="F28" s="104"/>
      <c r="G28" s="105" t="s">
        <v>2798</v>
      </c>
      <c r="H28" s="391"/>
      <c r="I28" s="18"/>
      <c r="J28" s="266"/>
      <c r="K28" s="127"/>
      <c r="L28" s="197" t="s">
        <v>520</v>
      </c>
      <c r="R28" s="62"/>
    </row>
    <row r="29" ht="15.75" customHeight="1">
      <c r="A29" s="11" t="s">
        <v>17</v>
      </c>
      <c r="B29" s="205" t="s">
        <v>2655</v>
      </c>
      <c r="C29" s="69" t="str">
        <f t="shared" si="3"/>
        <v>Quinta-Feira</v>
      </c>
      <c r="D29" s="445" t="str">
        <f>IF(C29&lt;&gt;"Quarta-Feira","15:20","10:20")</f>
        <v>15:20</v>
      </c>
      <c r="E29" s="514"/>
      <c r="F29" s="114"/>
      <c r="G29" s="105" t="s">
        <v>2798</v>
      </c>
      <c r="H29" s="106"/>
      <c r="I29" s="18"/>
      <c r="J29" s="127"/>
      <c r="K29" s="127"/>
      <c r="L29" s="197" t="s">
        <v>520</v>
      </c>
      <c r="R29" s="62"/>
    </row>
    <row r="30" ht="15.75" customHeight="1">
      <c r="A30" s="11" t="s">
        <v>85</v>
      </c>
      <c r="B30" s="205" t="s">
        <v>2658</v>
      </c>
      <c r="C30" s="69" t="str">
        <f t="shared" si="3"/>
        <v>Quinta-Feira</v>
      </c>
      <c r="D30" s="445" t="str">
        <f>IF(C30&lt;&gt;"Quarta-Feira","15:40","10:40")</f>
        <v>15:40</v>
      </c>
      <c r="E30" s="394"/>
      <c r="F30" s="114"/>
      <c r="G30" s="105" t="s">
        <v>2798</v>
      </c>
      <c r="H30" s="106"/>
      <c r="I30" s="18"/>
      <c r="J30" s="127"/>
      <c r="K30" s="127"/>
      <c r="L30" s="197" t="s">
        <v>520</v>
      </c>
      <c r="R30" s="62"/>
    </row>
    <row r="31" ht="15.75" customHeight="1">
      <c r="A31" s="11" t="s">
        <v>87</v>
      </c>
      <c r="B31" s="205" t="s">
        <v>1734</v>
      </c>
      <c r="C31" s="69" t="str">
        <f t="shared" si="3"/>
        <v>Quinta-Feira</v>
      </c>
      <c r="D31" s="445" t="str">
        <f>IF(C31&lt;&gt;"Quarta-Feira","16:00","11:00")</f>
        <v>16:00</v>
      </c>
      <c r="E31" s="390"/>
      <c r="F31" s="114"/>
      <c r="G31" s="105" t="s">
        <v>2798</v>
      </c>
      <c r="H31" s="106"/>
      <c r="I31" s="18"/>
      <c r="J31" s="127"/>
      <c r="K31" s="127"/>
      <c r="L31" s="197" t="s">
        <v>520</v>
      </c>
      <c r="R31" s="62"/>
    </row>
    <row r="32" ht="15.75" customHeight="1">
      <c r="A32" s="11" t="s">
        <v>90</v>
      </c>
      <c r="B32" s="205" t="s">
        <v>2658</v>
      </c>
      <c r="C32" s="69" t="str">
        <f t="shared" si="3"/>
        <v>Quinta-Feira</v>
      </c>
      <c r="D32" s="445" t="str">
        <f>IF(C32&lt;&gt;"Quarta-Feira","16:20","11:20")</f>
        <v>16:20</v>
      </c>
      <c r="E32" s="394"/>
      <c r="F32" s="114"/>
      <c r="G32" s="105" t="s">
        <v>2798</v>
      </c>
      <c r="H32" s="106"/>
      <c r="I32" s="18"/>
      <c r="J32" s="127"/>
      <c r="K32" s="127"/>
      <c r="L32" s="197" t="s">
        <v>520</v>
      </c>
      <c r="R32" s="62"/>
    </row>
    <row r="33" ht="15.75" customHeight="1">
      <c r="A33" s="11" t="s">
        <v>93</v>
      </c>
      <c r="B33" s="205" t="s">
        <v>1734</v>
      </c>
      <c r="C33" s="69" t="str">
        <f t="shared" si="3"/>
        <v>Quinta-Feira</v>
      </c>
      <c r="D33" s="445" t="str">
        <f>IF(C33&lt;&gt;"Quarta-Feira","16:40","11:40")</f>
        <v>16:40</v>
      </c>
      <c r="E33" s="394"/>
      <c r="F33" s="114"/>
      <c r="G33" s="105" t="s">
        <v>2798</v>
      </c>
      <c r="H33" s="106"/>
      <c r="I33" s="18"/>
      <c r="J33" s="127"/>
      <c r="K33" s="127"/>
      <c r="R33" s="62"/>
    </row>
    <row r="34" ht="15.75" customHeight="1">
      <c r="E34" s="231"/>
      <c r="J34" s="62"/>
      <c r="K34" s="62"/>
      <c r="R34" s="62"/>
    </row>
    <row r="35" ht="15.75" customHeight="1">
      <c r="E35" s="231"/>
      <c r="J35" s="62"/>
      <c r="K35" s="62"/>
      <c r="R35" s="62"/>
    </row>
    <row r="36" ht="15.75" customHeight="1">
      <c r="E36" s="231"/>
      <c r="J36" s="62"/>
      <c r="K36" s="62"/>
      <c r="R36" s="62"/>
    </row>
    <row r="37" ht="15.75" customHeight="1">
      <c r="A37" s="20" t="s">
        <v>18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4.75" customHeight="1">
      <c r="A38" s="21" t="str">
        <f>TEXT(DATE(VALUE(MID(A2,7,4)),VALUE(MID(A2,4,2)),VALUE(LEFT(A2,2)))+7,"dd/mm/yyyy")&amp;" 13h às 17h"</f>
        <v>09/06/2026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23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205" t="s">
        <v>2081</v>
      </c>
      <c r="C40" s="69" t="str">
        <f t="shared" ref="C40:C51" si="5">PROPER(TEXT(DATE(MID($A$38,7,4),MID($A$38,4,2),LEFT($A$38,2)),"dddd"))</f>
        <v>Terça-Feira</v>
      </c>
      <c r="D40" s="445" t="str">
        <f>IF(C40&lt;&gt;"Quarta-Feira","13:00","08:00")</f>
        <v>13:00</v>
      </c>
      <c r="E40" s="214" t="s">
        <v>3797</v>
      </c>
      <c r="F40" s="79">
        <v>7.02003335750188E14</v>
      </c>
      <c r="G40" s="74" t="s">
        <v>3798</v>
      </c>
      <c r="H40" s="72">
        <v>16695.0</v>
      </c>
      <c r="I40" s="30" t="s">
        <v>41</v>
      </c>
      <c r="J40" s="274"/>
      <c r="K40" s="274"/>
      <c r="L40" s="197" t="s">
        <v>520</v>
      </c>
      <c r="N40" s="237" t="s">
        <v>386</v>
      </c>
      <c r="O40" s="95"/>
      <c r="P40" s="95"/>
      <c r="Q40" s="95"/>
      <c r="R40" s="62"/>
    </row>
    <row r="41" ht="15.75" customHeight="1">
      <c r="A41" s="11" t="s">
        <v>11</v>
      </c>
      <c r="B41" s="205" t="s">
        <v>2083</v>
      </c>
      <c r="C41" s="69" t="str">
        <f t="shared" si="5"/>
        <v>Terça-Feira</v>
      </c>
      <c r="D41" s="445" t="str">
        <f>IF(C41&lt;&gt;"Quarta-Feira","13:20","08:20")</f>
        <v>13:20</v>
      </c>
      <c r="E41" s="214" t="s">
        <v>3432</v>
      </c>
      <c r="F41" s="79">
        <v>1.6366335487E14</v>
      </c>
      <c r="G41" s="74" t="s">
        <v>3433</v>
      </c>
      <c r="H41" s="72">
        <v>15790.0</v>
      </c>
      <c r="I41" s="30" t="s">
        <v>41</v>
      </c>
      <c r="J41" s="274"/>
      <c r="K41" s="274"/>
      <c r="N41" s="239" t="s">
        <v>2085</v>
      </c>
      <c r="O41" s="2"/>
      <c r="P41" s="2"/>
      <c r="Q41" s="2"/>
      <c r="R41" s="62"/>
    </row>
    <row r="42" ht="15.75" customHeight="1">
      <c r="A42" s="11" t="s">
        <v>12</v>
      </c>
      <c r="B42" s="205" t="s">
        <v>2086</v>
      </c>
      <c r="C42" s="69" t="str">
        <f t="shared" si="5"/>
        <v>Terça-Feira</v>
      </c>
      <c r="D42" s="445" t="str">
        <f>IF(C42&lt;&gt;"Quarta-Feira","13:40","08:40")</f>
        <v>13:40</v>
      </c>
      <c r="E42" s="214" t="s">
        <v>1673</v>
      </c>
      <c r="F42" s="79">
        <v>1.20759346320006E14</v>
      </c>
      <c r="G42" s="74" t="s">
        <v>1674</v>
      </c>
      <c r="H42" s="72">
        <v>22477.0</v>
      </c>
      <c r="I42" s="30" t="s">
        <v>41</v>
      </c>
      <c r="J42" s="336"/>
      <c r="K42" s="336"/>
      <c r="L42" s="197" t="s">
        <v>520</v>
      </c>
      <c r="N42" s="240" t="s">
        <v>182</v>
      </c>
      <c r="O42" s="241" t="s">
        <v>194</v>
      </c>
      <c r="P42" s="241" t="s">
        <v>180</v>
      </c>
      <c r="Q42" s="242" t="s">
        <v>2087</v>
      </c>
      <c r="R42" s="62" t="s">
        <v>438</v>
      </c>
    </row>
    <row r="43" ht="15.75" customHeight="1">
      <c r="A43" s="11" t="s">
        <v>13</v>
      </c>
      <c r="B43" s="205" t="s">
        <v>2088</v>
      </c>
      <c r="C43" s="69" t="str">
        <f t="shared" si="5"/>
        <v>Terça-Feira</v>
      </c>
      <c r="D43" s="445" t="str">
        <f>IF(C43&lt;&gt;"Quarta-Feira","14:00","09:00")</f>
        <v>14:00</v>
      </c>
      <c r="E43" s="214" t="s">
        <v>3799</v>
      </c>
      <c r="F43" s="79">
        <v>7.06206506337763E14</v>
      </c>
      <c r="G43" s="74" t="s">
        <v>3800</v>
      </c>
      <c r="H43" s="72">
        <v>21351.0</v>
      </c>
      <c r="I43" s="30" t="s">
        <v>41</v>
      </c>
      <c r="J43" s="274"/>
      <c r="K43" s="274"/>
      <c r="L43" s="197" t="s">
        <v>520</v>
      </c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0</v>
      </c>
    </row>
    <row r="44" ht="15.75" customHeight="1">
      <c r="A44" s="11" t="s">
        <v>14</v>
      </c>
      <c r="B44" s="205" t="s">
        <v>2081</v>
      </c>
      <c r="C44" s="69" t="str">
        <f t="shared" si="5"/>
        <v>Terça-Feira</v>
      </c>
      <c r="D44" s="445" t="str">
        <f>IF(C44&lt;&gt;"Quarta-Feira","14:20","09:20")</f>
        <v>14:20</v>
      </c>
      <c r="E44" s="214" t="s">
        <v>3801</v>
      </c>
      <c r="F44" s="79">
        <v>7.04101168999975E14</v>
      </c>
      <c r="G44" s="306" t="s">
        <v>3802</v>
      </c>
      <c r="H44" s="72">
        <v>21354.0</v>
      </c>
      <c r="I44" s="18" t="s">
        <v>41</v>
      </c>
      <c r="J44" s="274"/>
      <c r="K44" s="274"/>
      <c r="L44" s="197" t="s">
        <v>520</v>
      </c>
      <c r="R44" s="62"/>
    </row>
    <row r="45" ht="15.75" customHeight="1">
      <c r="A45" s="11" t="s">
        <v>15</v>
      </c>
      <c r="B45" s="205" t="s">
        <v>2088</v>
      </c>
      <c r="C45" s="69" t="str">
        <f t="shared" si="5"/>
        <v>Terça-Feira</v>
      </c>
      <c r="D45" s="445" t="str">
        <f>IF(C45&lt;&gt;"Quarta-Feira","14:40","09:40")</f>
        <v>14:40</v>
      </c>
      <c r="E45" s="214" t="s">
        <v>3803</v>
      </c>
      <c r="F45" s="79">
        <v>7.0500624736035E14</v>
      </c>
      <c r="G45" s="74" t="s">
        <v>3804</v>
      </c>
      <c r="H45" s="72">
        <v>24302.0</v>
      </c>
      <c r="I45" s="30" t="s">
        <v>41</v>
      </c>
      <c r="J45" s="274"/>
      <c r="K45" s="274"/>
      <c r="L45" s="197" t="s">
        <v>520</v>
      </c>
      <c r="R45" s="62"/>
    </row>
    <row r="46" ht="15.75" customHeight="1">
      <c r="A46" s="11" t="s">
        <v>16</v>
      </c>
      <c r="B46" s="205" t="s">
        <v>2092</v>
      </c>
      <c r="C46" s="69" t="str">
        <f t="shared" si="5"/>
        <v>Terça-Feira</v>
      </c>
      <c r="D46" s="445" t="str">
        <f>IF(C46&lt;&gt;"Quarta-Feira","15:00","10:00")</f>
        <v>15:00</v>
      </c>
      <c r="E46" s="214"/>
      <c r="F46" s="79"/>
      <c r="G46" s="306"/>
      <c r="H46" s="72"/>
      <c r="I46" s="18"/>
      <c r="J46" s="336"/>
      <c r="K46" s="274"/>
      <c r="R46" s="62"/>
    </row>
    <row r="47" ht="15.75" customHeight="1">
      <c r="A47" s="11" t="s">
        <v>17</v>
      </c>
      <c r="B47" s="205" t="s">
        <v>2093</v>
      </c>
      <c r="C47" s="69" t="str">
        <f t="shared" si="5"/>
        <v>Terça-Feira</v>
      </c>
      <c r="D47" s="445" t="str">
        <f>IF(C47&lt;&gt;"Quarta-Feira","15:20","10:20")</f>
        <v>15:20</v>
      </c>
      <c r="E47" s="214" t="s">
        <v>3805</v>
      </c>
      <c r="F47" s="79">
        <v>7.06001329644143E14</v>
      </c>
      <c r="G47" s="74" t="s">
        <v>3806</v>
      </c>
      <c r="H47" s="72">
        <v>31866.0</v>
      </c>
      <c r="I47" s="18" t="s">
        <v>41</v>
      </c>
      <c r="J47" s="336"/>
      <c r="K47" s="336"/>
      <c r="R47" s="62"/>
    </row>
    <row r="48" ht="15.75" customHeight="1">
      <c r="A48" s="11" t="s">
        <v>85</v>
      </c>
      <c r="B48" s="205" t="s">
        <v>2094</v>
      </c>
      <c r="C48" s="69" t="str">
        <f t="shared" si="5"/>
        <v>Terça-Feira</v>
      </c>
      <c r="D48" s="445" t="str">
        <f>IF(C48&lt;&gt;"Quarta-Feira","15:40","10:40")</f>
        <v>15:40</v>
      </c>
      <c r="E48" s="214" t="s">
        <v>2686</v>
      </c>
      <c r="F48" s="79">
        <v>1.03869192990006E14</v>
      </c>
      <c r="G48" s="74" t="s">
        <v>2687</v>
      </c>
      <c r="H48" s="72">
        <v>20718.0</v>
      </c>
      <c r="I48" s="30" t="s">
        <v>41</v>
      </c>
      <c r="J48" s="274"/>
      <c r="K48" s="274"/>
      <c r="L48" s="197" t="s">
        <v>576</v>
      </c>
      <c r="R48" s="62"/>
    </row>
    <row r="49" ht="15.75" customHeight="1">
      <c r="A49" s="11" t="s">
        <v>87</v>
      </c>
      <c r="B49" s="205" t="s">
        <v>2095</v>
      </c>
      <c r="C49" s="69" t="str">
        <f t="shared" si="5"/>
        <v>Terça-Feira</v>
      </c>
      <c r="D49" s="445" t="str">
        <f>IF(C49&lt;&gt;"Quarta-Feira","16:00","11:00")</f>
        <v>16:00</v>
      </c>
      <c r="E49" s="214"/>
      <c r="F49" s="79"/>
      <c r="G49" s="74"/>
      <c r="H49" s="72"/>
      <c r="I49" s="18"/>
      <c r="J49" s="336"/>
      <c r="K49" s="274"/>
      <c r="R49" s="62"/>
    </row>
    <row r="50" ht="15.75" customHeight="1">
      <c r="A50" s="11" t="s">
        <v>90</v>
      </c>
      <c r="B50" s="205" t="s">
        <v>2097</v>
      </c>
      <c r="C50" s="69" t="str">
        <f t="shared" si="5"/>
        <v>Terça-Feira</v>
      </c>
      <c r="D50" s="445" t="str">
        <f>IF(C50&lt;&gt;"Quarta-Feira","16:20","11:20")</f>
        <v>16:20</v>
      </c>
      <c r="E50" s="214" t="s">
        <v>3807</v>
      </c>
      <c r="F50" s="79">
        <v>7.00708903593675E14</v>
      </c>
      <c r="G50" s="74" t="s">
        <v>3808</v>
      </c>
      <c r="H50" s="274">
        <v>23549.0</v>
      </c>
      <c r="I50" s="18" t="s">
        <v>41</v>
      </c>
      <c r="J50" s="274"/>
      <c r="K50" s="274"/>
      <c r="R50" s="62"/>
    </row>
    <row r="51" ht="15.75" customHeight="1">
      <c r="A51" s="11" t="s">
        <v>93</v>
      </c>
      <c r="B51" s="205" t="s">
        <v>2095</v>
      </c>
      <c r="C51" s="69" t="str">
        <f t="shared" si="5"/>
        <v>Terça-Feira</v>
      </c>
      <c r="D51" s="445" t="str">
        <f>IF(C51&lt;&gt;"Quarta-Feira","16:40","11:40")</f>
        <v>16:40</v>
      </c>
      <c r="E51" s="214"/>
      <c r="F51" s="79"/>
      <c r="G51" s="74"/>
      <c r="H51" s="274"/>
      <c r="I51" s="18"/>
      <c r="J51" s="336"/>
      <c r="K51" s="274"/>
      <c r="R51" s="62"/>
    </row>
    <row r="52" ht="15.75" customHeight="1">
      <c r="E52" s="231"/>
      <c r="J52" s="62"/>
      <c r="K52" s="62"/>
      <c r="R52" s="62"/>
    </row>
    <row r="53" ht="15.75" customHeight="1">
      <c r="E53" s="231"/>
      <c r="J53" s="62"/>
      <c r="K53" s="62"/>
      <c r="R53" s="62"/>
    </row>
    <row r="54" ht="15.75" customHeight="1">
      <c r="E54" s="231"/>
      <c r="J54" s="62"/>
      <c r="K54" s="62"/>
      <c r="R54" s="62"/>
    </row>
    <row r="55" ht="15.75" customHeight="1">
      <c r="A55" s="20" t="s">
        <v>18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11/06/2026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23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205" t="s">
        <v>1789</v>
      </c>
      <c r="C58" s="69" t="str">
        <f t="shared" ref="C58:C69" si="7">PROPER(TEXT(DATE(MID($A$56,7,4),MID($A$56,4,2),LEFT($A$56,2)),"dddd"))</f>
        <v>Quinta-Feira</v>
      </c>
      <c r="D58" s="445" t="str">
        <f>IF(C58&lt;&gt;"Quarta-Feira","13:00","08:00")</f>
        <v>13:00</v>
      </c>
      <c r="E58" s="214" t="s">
        <v>3809</v>
      </c>
      <c r="F58" s="206">
        <v>8.98002117763997E14</v>
      </c>
      <c r="G58" s="148" t="s">
        <v>3810</v>
      </c>
      <c r="H58" s="150">
        <v>21161.0</v>
      </c>
      <c r="I58" s="18" t="s">
        <v>41</v>
      </c>
      <c r="J58" s="212"/>
      <c r="K58" s="212"/>
      <c r="L58" s="197" t="s">
        <v>520</v>
      </c>
      <c r="N58" s="237" t="s">
        <v>386</v>
      </c>
      <c r="O58" s="95"/>
      <c r="P58" s="95"/>
      <c r="Q58" s="95"/>
      <c r="R58" s="62"/>
    </row>
    <row r="59" ht="15.75" customHeight="1">
      <c r="A59" s="11" t="s">
        <v>11</v>
      </c>
      <c r="B59" s="205" t="s">
        <v>1713</v>
      </c>
      <c r="C59" s="69" t="str">
        <f t="shared" si="7"/>
        <v>Quinta-Feira</v>
      </c>
      <c r="D59" s="445" t="str">
        <f>IF(C59&lt;&gt;"Quarta-Feira","13:20","08:20")</f>
        <v>13:20</v>
      </c>
      <c r="E59" s="214"/>
      <c r="F59" s="387"/>
      <c r="G59" s="148"/>
      <c r="H59" s="150"/>
      <c r="I59" s="18"/>
      <c r="J59" s="212"/>
      <c r="K59" s="212"/>
      <c r="N59" s="239" t="s">
        <v>2085</v>
      </c>
      <c r="O59" s="2"/>
      <c r="P59" s="2"/>
      <c r="Q59" s="2"/>
      <c r="R59" s="62"/>
    </row>
    <row r="60" ht="15.75" customHeight="1">
      <c r="A60" s="11" t="s">
        <v>12</v>
      </c>
      <c r="B60" s="205" t="s">
        <v>1780</v>
      </c>
      <c r="C60" s="69" t="str">
        <f t="shared" si="7"/>
        <v>Quinta-Feira</v>
      </c>
      <c r="D60" s="445" t="str">
        <f>IF(C60&lt;&gt;"Quarta-Feira","13:40","08:40")</f>
        <v>13:40</v>
      </c>
      <c r="E60" s="214" t="s">
        <v>3811</v>
      </c>
      <c r="F60" s="206">
        <v>2.04302089060002E14</v>
      </c>
      <c r="G60" s="148" t="s">
        <v>3812</v>
      </c>
      <c r="H60" s="150">
        <v>29771.0</v>
      </c>
      <c r="I60" s="18" t="s">
        <v>2087</v>
      </c>
      <c r="J60" s="212"/>
      <c r="K60" s="212"/>
      <c r="L60" s="197" t="s">
        <v>520</v>
      </c>
      <c r="N60" s="240" t="s">
        <v>182</v>
      </c>
      <c r="O60" s="241" t="s">
        <v>194</v>
      </c>
      <c r="P60" s="241" t="s">
        <v>180</v>
      </c>
      <c r="Q60" s="241" t="s">
        <v>2087</v>
      </c>
      <c r="R60" s="62"/>
    </row>
    <row r="61" ht="15.75" customHeight="1">
      <c r="A61" s="11" t="s">
        <v>13</v>
      </c>
      <c r="B61" s="205" t="s">
        <v>1720</v>
      </c>
      <c r="C61" s="69" t="str">
        <f t="shared" si="7"/>
        <v>Quinta-Feira</v>
      </c>
      <c r="D61" s="445" t="str">
        <f>IF(C61&lt;&gt;"Quarta-Feira","14:00","09:00")</f>
        <v>14:00</v>
      </c>
      <c r="E61" s="214" t="s">
        <v>3813</v>
      </c>
      <c r="F61" s="206">
        <v>7.02400035362526E14</v>
      </c>
      <c r="G61" s="148" t="s">
        <v>3814</v>
      </c>
      <c r="H61" s="150">
        <v>33040.0</v>
      </c>
      <c r="I61" s="18" t="s">
        <v>41</v>
      </c>
      <c r="J61" s="212"/>
      <c r="K61" s="212"/>
      <c r="L61" s="197" t="s">
        <v>520</v>
      </c>
      <c r="N61" s="244">
        <f t="shared" ref="N61:Q61" si="8">COUNTIFS($I$58:$I$69,N60)</f>
        <v>0</v>
      </c>
      <c r="O61" s="244">
        <f t="shared" si="8"/>
        <v>0</v>
      </c>
      <c r="P61" s="244">
        <f t="shared" si="8"/>
        <v>0</v>
      </c>
      <c r="Q61" s="244">
        <f t="shared" si="8"/>
        <v>1</v>
      </c>
      <c r="R61" s="62"/>
    </row>
    <row r="62" ht="15.75" customHeight="1">
      <c r="A62" s="11" t="s">
        <v>14</v>
      </c>
      <c r="B62" s="205" t="s">
        <v>1795</v>
      </c>
      <c r="C62" s="69" t="str">
        <f t="shared" si="7"/>
        <v>Quinta-Feira</v>
      </c>
      <c r="D62" s="445" t="str">
        <f>IF(C62&lt;&gt;"Quarta-Feira","14:20","09:20")</f>
        <v>14:20</v>
      </c>
      <c r="E62" s="214" t="s">
        <v>2589</v>
      </c>
      <c r="F62" s="206">
        <v>8.01440456759102E14</v>
      </c>
      <c r="G62" s="148" t="s">
        <v>2590</v>
      </c>
      <c r="H62" s="150">
        <v>32493.0</v>
      </c>
      <c r="I62" s="18" t="s">
        <v>41</v>
      </c>
      <c r="J62" s="212"/>
      <c r="K62" s="212"/>
      <c r="R62" s="62"/>
    </row>
    <row r="63" ht="15.75" customHeight="1">
      <c r="A63" s="11" t="s">
        <v>15</v>
      </c>
      <c r="B63" s="205" t="s">
        <v>1789</v>
      </c>
      <c r="C63" s="69" t="str">
        <f t="shared" si="7"/>
        <v>Quinta-Feira</v>
      </c>
      <c r="D63" s="445" t="str">
        <f>IF(C63&lt;&gt;"Quarta-Feira","14:40","09:40")</f>
        <v>14:40</v>
      </c>
      <c r="E63" s="214" t="s">
        <v>3815</v>
      </c>
      <c r="F63" s="387">
        <v>7.06808703438623E14</v>
      </c>
      <c r="G63" s="148" t="s">
        <v>3816</v>
      </c>
      <c r="H63" s="150">
        <v>21205.0</v>
      </c>
      <c r="I63" s="18" t="s">
        <v>41</v>
      </c>
      <c r="J63" s="212"/>
      <c r="K63" s="212"/>
      <c r="L63" s="197" t="s">
        <v>520</v>
      </c>
      <c r="R63" s="62"/>
    </row>
    <row r="64" ht="15.75" customHeight="1">
      <c r="A64" s="11" t="s">
        <v>16</v>
      </c>
      <c r="B64" s="205" t="s">
        <v>2652</v>
      </c>
      <c r="C64" s="69" t="str">
        <f t="shared" si="7"/>
        <v>Quinta-Feira</v>
      </c>
      <c r="D64" s="445" t="str">
        <f>IF(C64&lt;&gt;"Quarta-Feira","15:00","10:00")</f>
        <v>15:00</v>
      </c>
      <c r="E64" s="214" t="s">
        <v>3817</v>
      </c>
      <c r="F64" s="206">
        <v>7.0230215229121E14</v>
      </c>
      <c r="G64" s="148" t="s">
        <v>3818</v>
      </c>
      <c r="H64" s="150">
        <v>25153.0</v>
      </c>
      <c r="I64" s="18" t="s">
        <v>41</v>
      </c>
      <c r="J64" s="212"/>
      <c r="K64" s="212"/>
      <c r="L64" s="197" t="s">
        <v>520</v>
      </c>
      <c r="R64" s="62"/>
    </row>
    <row r="65" ht="15.75" customHeight="1">
      <c r="A65" s="11" t="s">
        <v>17</v>
      </c>
      <c r="B65" s="205" t="s">
        <v>2655</v>
      </c>
      <c r="C65" s="69" t="str">
        <f t="shared" si="7"/>
        <v>Quinta-Feira</v>
      </c>
      <c r="D65" s="445" t="str">
        <f>IF(C65&lt;&gt;"Quarta-Feira","15:20","10:20")</f>
        <v>15:20</v>
      </c>
      <c r="E65" s="214" t="s">
        <v>3819</v>
      </c>
      <c r="F65" s="206">
        <v>7.0640268319618E14</v>
      </c>
      <c r="G65" s="148" t="s">
        <v>3820</v>
      </c>
      <c r="H65" s="150">
        <v>22351.0</v>
      </c>
      <c r="I65" s="18" t="s">
        <v>41</v>
      </c>
      <c r="J65" s="212"/>
      <c r="K65" s="212"/>
      <c r="L65" s="197" t="s">
        <v>520</v>
      </c>
      <c r="R65" s="62"/>
    </row>
    <row r="66" ht="15.75" customHeight="1">
      <c r="A66" s="11" t="s">
        <v>85</v>
      </c>
      <c r="B66" s="205" t="s">
        <v>2658</v>
      </c>
      <c r="C66" s="69" t="str">
        <f t="shared" si="7"/>
        <v>Quinta-Feira</v>
      </c>
      <c r="D66" s="445" t="str">
        <f>IF(C66&lt;&gt;"Quarta-Feira","15:40","10:40")</f>
        <v>15:40</v>
      </c>
      <c r="E66" s="214" t="s">
        <v>3821</v>
      </c>
      <c r="F66" s="206">
        <v>1.06258440300003E14</v>
      </c>
      <c r="G66" s="148" t="s">
        <v>3822</v>
      </c>
      <c r="H66" s="150">
        <v>19139.0</v>
      </c>
      <c r="I66" s="18" t="s">
        <v>41</v>
      </c>
      <c r="J66" s="212"/>
      <c r="K66" s="212"/>
      <c r="R66" s="62"/>
    </row>
    <row r="67" ht="15.75" customHeight="1">
      <c r="A67" s="11" t="s">
        <v>87</v>
      </c>
      <c r="B67" s="205" t="s">
        <v>1734</v>
      </c>
      <c r="C67" s="69" t="str">
        <f t="shared" si="7"/>
        <v>Quinta-Feira</v>
      </c>
      <c r="D67" s="445" t="str">
        <f>IF(C67&lt;&gt;"Quarta-Feira","16:00","11:00")</f>
        <v>16:00</v>
      </c>
      <c r="E67" s="214" t="s">
        <v>3823</v>
      </c>
      <c r="F67" s="206">
        <v>2.01535449660002E14</v>
      </c>
      <c r="G67" s="148" t="s">
        <v>3824</v>
      </c>
      <c r="H67" s="150">
        <v>31345.0</v>
      </c>
      <c r="I67" s="18" t="s">
        <v>41</v>
      </c>
      <c r="J67" s="212"/>
      <c r="K67" s="212"/>
      <c r="L67" s="197" t="s">
        <v>520</v>
      </c>
      <c r="R67" s="62"/>
    </row>
    <row r="68" ht="15.75" customHeight="1">
      <c r="A68" s="11" t="s">
        <v>90</v>
      </c>
      <c r="B68" s="205" t="s">
        <v>2658</v>
      </c>
      <c r="C68" s="69" t="str">
        <f t="shared" si="7"/>
        <v>Quinta-Feira</v>
      </c>
      <c r="D68" s="445" t="str">
        <f>IF(C68&lt;&gt;"Quarta-Feira","16:20","11:20")</f>
        <v>16:20</v>
      </c>
      <c r="E68" s="214" t="s">
        <v>3825</v>
      </c>
      <c r="F68" s="206">
        <v>7.08402742284369E14</v>
      </c>
      <c r="G68" s="148" t="s">
        <v>3826</v>
      </c>
      <c r="H68" s="150">
        <v>24749.0</v>
      </c>
      <c r="I68" s="18"/>
      <c r="J68" s="212"/>
      <c r="K68" s="212"/>
      <c r="R68" s="62"/>
    </row>
    <row r="69" ht="15.75" customHeight="1">
      <c r="A69" s="11" t="s">
        <v>93</v>
      </c>
      <c r="B69" s="205" t="s">
        <v>1734</v>
      </c>
      <c r="C69" s="69" t="str">
        <f t="shared" si="7"/>
        <v>Quinta-Feira</v>
      </c>
      <c r="D69" s="445" t="str">
        <f>IF(C69&lt;&gt;"Quarta-Feira","16:40","11:40")</f>
        <v>16:40</v>
      </c>
      <c r="E69" s="214" t="s">
        <v>3827</v>
      </c>
      <c r="F69" s="206">
        <v>7.02806609295364E14</v>
      </c>
      <c r="G69" s="148" t="s">
        <v>3828</v>
      </c>
      <c r="H69" s="150">
        <v>28247.0</v>
      </c>
      <c r="I69" s="18" t="s">
        <v>41</v>
      </c>
      <c r="J69" s="212"/>
      <c r="K69" s="212"/>
      <c r="R69" s="62"/>
    </row>
    <row r="70" ht="15.75" customHeight="1">
      <c r="E70" s="231"/>
      <c r="G70" s="197"/>
      <c r="J70" s="62"/>
      <c r="K70" s="62"/>
      <c r="R70" s="62"/>
    </row>
    <row r="71" ht="15.75" customHeight="1">
      <c r="E71" s="231"/>
      <c r="J71" s="62"/>
      <c r="K71" s="62"/>
      <c r="R71" s="62"/>
    </row>
    <row r="72" ht="15.75" customHeight="1">
      <c r="E72" s="231"/>
      <c r="J72" s="62"/>
      <c r="K72" s="62"/>
      <c r="R72" s="62"/>
    </row>
    <row r="73" ht="15.75" customHeight="1">
      <c r="A73" s="350" t="s">
        <v>18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TEXT(DATE(VALUE(MID(A38,7,4)),VALUE(MID(A38,4,2)),VALUE(LEFT(A38,2)))+7,"dd/mm/yyyy")&amp;" 13h às 17h"</f>
        <v>16/06/2026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410"/>
      <c r="B75" s="411" t="s">
        <v>3</v>
      </c>
      <c r="C75" s="412" t="s">
        <v>2</v>
      </c>
      <c r="D75" s="413" t="s">
        <v>5</v>
      </c>
      <c r="E75" s="461" t="s">
        <v>19</v>
      </c>
      <c r="F75" s="413" t="s">
        <v>6</v>
      </c>
      <c r="G75" s="414" t="s">
        <v>7</v>
      </c>
      <c r="H75" s="415" t="s">
        <v>8</v>
      </c>
      <c r="I75" s="416" t="s">
        <v>20</v>
      </c>
      <c r="J75" s="413" t="s">
        <v>21</v>
      </c>
      <c r="K75" s="413" t="s">
        <v>22</v>
      </c>
      <c r="R75" s="62"/>
    </row>
    <row r="76" ht="15.75" customHeight="1">
      <c r="A76" s="417" t="s">
        <v>10</v>
      </c>
      <c r="B76" s="205" t="s">
        <v>2081</v>
      </c>
      <c r="C76" s="206" t="str">
        <f t="shared" ref="C76:C87" si="9">PROPER(TEXT(DATE(MID($A$74,7,4),MID($A$74,4,2),LEFT($A$74,2)),"dddd"))</f>
        <v>Terça-Feira</v>
      </c>
      <c r="D76" s="445" t="str">
        <f>IF(C76&lt;&gt;"Quarta-Feira","13:00","08:00")</f>
        <v>13:00</v>
      </c>
      <c r="E76" s="418" t="s">
        <v>3829</v>
      </c>
      <c r="F76" s="127">
        <v>8.98001427494586E14</v>
      </c>
      <c r="G76" s="186" t="s">
        <v>3830</v>
      </c>
      <c r="H76" s="153">
        <v>27628.0</v>
      </c>
      <c r="I76" s="29" t="s">
        <v>41</v>
      </c>
      <c r="J76" s="289"/>
      <c r="K76" s="289"/>
      <c r="N76" s="237" t="s">
        <v>386</v>
      </c>
      <c r="O76" s="95"/>
      <c r="P76" s="95"/>
      <c r="Q76" s="95"/>
      <c r="R76" s="62"/>
    </row>
    <row r="77" ht="15.75" customHeight="1">
      <c r="A77" s="417" t="s">
        <v>11</v>
      </c>
      <c r="B77" s="205" t="s">
        <v>2083</v>
      </c>
      <c r="C77" s="206" t="str">
        <f t="shared" si="9"/>
        <v>Terça-Feira</v>
      </c>
      <c r="D77" s="445" t="str">
        <f>IF(C77&lt;&gt;"Quarta-Feira","13:20","08:20")</f>
        <v>13:20</v>
      </c>
      <c r="E77" s="419" t="s">
        <v>3831</v>
      </c>
      <c r="F77" s="127">
        <v>8.01440471927681E14</v>
      </c>
      <c r="G77" s="186" t="s">
        <v>3832</v>
      </c>
      <c r="H77" s="153">
        <v>26071.0</v>
      </c>
      <c r="I77" s="29" t="s">
        <v>41</v>
      </c>
      <c r="J77" s="289"/>
      <c r="K77" s="289"/>
      <c r="N77" s="239" t="s">
        <v>2085</v>
      </c>
      <c r="O77" s="2"/>
      <c r="P77" s="2"/>
      <c r="Q77" s="2"/>
      <c r="R77" s="62"/>
    </row>
    <row r="78" ht="15.75" customHeight="1">
      <c r="A78" s="417" t="s">
        <v>12</v>
      </c>
      <c r="B78" s="205" t="s">
        <v>2086</v>
      </c>
      <c r="C78" s="206" t="str">
        <f t="shared" si="9"/>
        <v>Terça-Feira</v>
      </c>
      <c r="D78" s="445" t="str">
        <f>IF(C78&lt;&gt;"Quarta-Feira","13:40","08:40")</f>
        <v>13:40</v>
      </c>
      <c r="E78" s="418"/>
      <c r="F78" s="127"/>
      <c r="G78" s="186"/>
      <c r="H78" s="153"/>
      <c r="I78" s="29"/>
      <c r="J78" s="289"/>
      <c r="K78" s="289"/>
      <c r="N78" s="240" t="s">
        <v>182</v>
      </c>
      <c r="O78" s="241" t="s">
        <v>194</v>
      </c>
      <c r="P78" s="241" t="s">
        <v>180</v>
      </c>
      <c r="Q78" s="242" t="s">
        <v>2087</v>
      </c>
      <c r="R78" s="62"/>
    </row>
    <row r="79" ht="15.75" customHeight="1">
      <c r="A79" s="417" t="s">
        <v>13</v>
      </c>
      <c r="B79" s="205" t="s">
        <v>2088</v>
      </c>
      <c r="C79" s="206" t="str">
        <f t="shared" si="9"/>
        <v>Terça-Feira</v>
      </c>
      <c r="D79" s="445" t="str">
        <f>IF(C79&lt;&gt;"Quarta-Feira","14:00","09:00")</f>
        <v>14:00</v>
      </c>
      <c r="E79" s="418" t="s">
        <v>3833</v>
      </c>
      <c r="F79" s="127">
        <v>7.01000828571492E14</v>
      </c>
      <c r="G79" s="186" t="s">
        <v>3834</v>
      </c>
      <c r="H79" s="153">
        <v>20772.0</v>
      </c>
      <c r="I79" s="29" t="s">
        <v>41</v>
      </c>
      <c r="J79" s="289"/>
      <c r="K79" s="289"/>
      <c r="N79" s="244">
        <f t="shared" ref="N79:Q79" si="10">COUNTIFS($I$76:$I$87,N78)</f>
        <v>0</v>
      </c>
      <c r="O79" s="244">
        <f t="shared" si="10"/>
        <v>0</v>
      </c>
      <c r="P79" s="244">
        <f t="shared" si="10"/>
        <v>0</v>
      </c>
      <c r="Q79" s="244">
        <f t="shared" si="10"/>
        <v>0</v>
      </c>
      <c r="R79" s="62"/>
    </row>
    <row r="80" ht="15.75" customHeight="1">
      <c r="A80" s="417" t="s">
        <v>14</v>
      </c>
      <c r="B80" s="205" t="s">
        <v>2081</v>
      </c>
      <c r="C80" s="206" t="str">
        <f t="shared" si="9"/>
        <v>Terça-Feira</v>
      </c>
      <c r="D80" s="445" t="str">
        <f>IF(C80&lt;&gt;"Quarta-Feira","14:20","09:20")</f>
        <v>14:20</v>
      </c>
      <c r="E80" s="420" t="s">
        <v>3835</v>
      </c>
      <c r="F80" s="127">
        <v>7.0840832225867E14</v>
      </c>
      <c r="G80" s="186" t="s">
        <v>3836</v>
      </c>
      <c r="H80" s="156">
        <v>17156.0</v>
      </c>
      <c r="I80" s="29" t="s">
        <v>41</v>
      </c>
      <c r="J80" s="69"/>
      <c r="K80" s="289"/>
      <c r="R80" s="62"/>
    </row>
    <row r="81" ht="15.75" customHeight="1">
      <c r="A81" s="417" t="s">
        <v>15</v>
      </c>
      <c r="B81" s="205" t="s">
        <v>2088</v>
      </c>
      <c r="C81" s="206" t="str">
        <f t="shared" si="9"/>
        <v>Terça-Feira</v>
      </c>
      <c r="D81" s="445" t="str">
        <f>IF(C81&lt;&gt;"Quarta-Feira","14:40","09:40")</f>
        <v>14:40</v>
      </c>
      <c r="E81" s="420" t="s">
        <v>3837</v>
      </c>
      <c r="F81" s="127">
        <v>7.04506387322017E14</v>
      </c>
      <c r="G81" s="186" t="s">
        <v>3838</v>
      </c>
      <c r="H81" s="153">
        <v>31569.0</v>
      </c>
      <c r="I81" s="29" t="s">
        <v>41</v>
      </c>
      <c r="J81" s="289"/>
      <c r="K81" s="289"/>
      <c r="R81" s="62"/>
    </row>
    <row r="82" ht="15.75" customHeight="1">
      <c r="A82" s="417" t="s">
        <v>16</v>
      </c>
      <c r="B82" s="205" t="s">
        <v>2092</v>
      </c>
      <c r="C82" s="206" t="str">
        <f t="shared" si="9"/>
        <v>Terça-Feira</v>
      </c>
      <c r="D82" s="445" t="str">
        <f>IF(C82&lt;&gt;"Quarta-Feira","15:00","10:00")</f>
        <v>15:00</v>
      </c>
      <c r="E82" s="420"/>
      <c r="F82" s="127"/>
      <c r="G82" s="186"/>
      <c r="H82" s="153"/>
      <c r="I82" s="29"/>
      <c r="J82" s="289"/>
      <c r="K82" s="289"/>
      <c r="R82" s="62"/>
    </row>
    <row r="83" ht="15.75" customHeight="1">
      <c r="A83" s="417" t="s">
        <v>17</v>
      </c>
      <c r="B83" s="205" t="s">
        <v>2093</v>
      </c>
      <c r="C83" s="206" t="str">
        <f t="shared" si="9"/>
        <v>Terça-Feira</v>
      </c>
      <c r="D83" s="445" t="str">
        <f>IF(C83&lt;&gt;"Quarta-Feira","15:20","10:20")</f>
        <v>15:20</v>
      </c>
      <c r="E83" s="420" t="s">
        <v>3839</v>
      </c>
      <c r="F83" s="127">
        <v>7.0410608928845E14</v>
      </c>
      <c r="G83" s="186" t="s">
        <v>3840</v>
      </c>
      <c r="H83" s="153">
        <v>13441.0</v>
      </c>
      <c r="I83" s="29" t="s">
        <v>41</v>
      </c>
      <c r="J83" s="289"/>
      <c r="K83" s="289"/>
      <c r="R83" s="62"/>
    </row>
    <row r="84" ht="16.5" customHeight="1">
      <c r="A84" s="417" t="s">
        <v>85</v>
      </c>
      <c r="B84" s="205" t="s">
        <v>2094</v>
      </c>
      <c r="C84" s="206" t="str">
        <f t="shared" si="9"/>
        <v>Terça-Feira</v>
      </c>
      <c r="D84" s="445" t="str">
        <f>IF(C84&lt;&gt;"Quarta-Feira","15:40","10:40")</f>
        <v>15:40</v>
      </c>
      <c r="E84" s="420" t="s">
        <v>3841</v>
      </c>
      <c r="F84" s="127">
        <v>7.00404410915348E14</v>
      </c>
      <c r="G84" s="186" t="s">
        <v>3842</v>
      </c>
      <c r="H84" s="153">
        <v>31361.0</v>
      </c>
      <c r="I84" s="29" t="s">
        <v>41</v>
      </c>
      <c r="J84" s="289"/>
      <c r="K84" s="289"/>
      <c r="R84" s="62"/>
    </row>
    <row r="85" ht="15.75" customHeight="1">
      <c r="A85" s="417" t="s">
        <v>87</v>
      </c>
      <c r="B85" s="205" t="s">
        <v>2095</v>
      </c>
      <c r="C85" s="206" t="str">
        <f t="shared" si="9"/>
        <v>Terça-Feira</v>
      </c>
      <c r="D85" s="445" t="str">
        <f>IF(C85&lt;&gt;"Quarta-Feira","16:00","11:00")</f>
        <v>16:00</v>
      </c>
      <c r="E85" s="418"/>
      <c r="F85" s="127"/>
      <c r="G85" s="186"/>
      <c r="H85" s="153"/>
      <c r="I85" s="29"/>
      <c r="J85" s="289"/>
      <c r="K85" s="423"/>
      <c r="R85" s="62"/>
    </row>
    <row r="86" ht="15.75" customHeight="1">
      <c r="A86" s="417" t="s">
        <v>90</v>
      </c>
      <c r="B86" s="205" t="s">
        <v>2097</v>
      </c>
      <c r="C86" s="206" t="str">
        <f t="shared" si="9"/>
        <v>Terça-Feira</v>
      </c>
      <c r="D86" s="445" t="str">
        <f>IF(C86&lt;&gt;"Quarta-Feira","16:20","11:20")</f>
        <v>16:20</v>
      </c>
      <c r="E86" s="420" t="s">
        <v>3843</v>
      </c>
      <c r="F86" s="295">
        <v>7.03008886047974E14</v>
      </c>
      <c r="G86" s="186" t="s">
        <v>2098</v>
      </c>
      <c r="H86" s="462">
        <v>22833.0</v>
      </c>
      <c r="I86" s="29" t="s">
        <v>41</v>
      </c>
      <c r="J86" s="423"/>
      <c r="K86" s="423"/>
      <c r="R86" s="62"/>
    </row>
    <row r="87" ht="15.75" customHeight="1">
      <c r="A87" s="417" t="s">
        <v>93</v>
      </c>
      <c r="B87" s="205" t="s">
        <v>2095</v>
      </c>
      <c r="C87" s="206" t="str">
        <f t="shared" si="9"/>
        <v>Terça-Feira</v>
      </c>
      <c r="D87" s="445" t="str">
        <f>IF(C87&lt;&gt;"Quarta-Feira","16:40","11:40")</f>
        <v>16:40</v>
      </c>
      <c r="E87" s="418"/>
      <c r="F87" s="295"/>
      <c r="G87" s="423"/>
      <c r="H87" s="153"/>
      <c r="I87" s="29"/>
      <c r="J87" s="295"/>
      <c r="K87" s="339"/>
      <c r="R87" s="62"/>
    </row>
    <row r="88" ht="15.75" customHeight="1">
      <c r="E88" s="231"/>
      <c r="J88" s="62"/>
      <c r="K88" s="62"/>
      <c r="R88" s="62"/>
    </row>
    <row r="89" ht="15.75" customHeight="1">
      <c r="E89" s="231"/>
      <c r="J89" s="62"/>
      <c r="K89" s="62"/>
      <c r="R89" s="62"/>
    </row>
    <row r="90" ht="15.75" customHeight="1">
      <c r="E90" s="231"/>
      <c r="J90" s="62"/>
      <c r="K90" s="62"/>
      <c r="R90" s="62"/>
    </row>
    <row r="91" ht="15.75" customHeight="1">
      <c r="A91" s="20" t="s">
        <v>18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13h às 17h"</f>
        <v>18/06/2026 13h às 17h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23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5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1789</v>
      </c>
      <c r="C94" s="69" t="str">
        <f t="shared" ref="C94:C105" si="11">PROPER(TEXT(DATE(MID($A$92,7,4),MID($A$92,4,2),LEFT($A$92,2)),"dddd"))</f>
        <v>Quinta-Feira</v>
      </c>
      <c r="D94" s="445" t="str">
        <f>IF(C94&lt;&gt;"Quarta-Feira","13:00","08:00")</f>
        <v>13:00</v>
      </c>
      <c r="E94" s="218" t="s">
        <v>3844</v>
      </c>
      <c r="F94" s="149">
        <v>7.00503908654459E14</v>
      </c>
      <c r="G94" s="148" t="s">
        <v>3845</v>
      </c>
      <c r="H94" s="344">
        <v>18123.0</v>
      </c>
      <c r="I94" s="18" t="s">
        <v>41</v>
      </c>
      <c r="J94" s="212"/>
      <c r="K94" s="212"/>
      <c r="N94" s="237" t="s">
        <v>386</v>
      </c>
      <c r="O94" s="95"/>
      <c r="P94" s="95"/>
      <c r="Q94" s="95"/>
      <c r="R94" s="62"/>
    </row>
    <row r="95" ht="21.0" customHeight="1">
      <c r="A95" s="11" t="s">
        <v>11</v>
      </c>
      <c r="B95" s="205" t="s">
        <v>1713</v>
      </c>
      <c r="C95" s="69" t="str">
        <f t="shared" si="11"/>
        <v>Quinta-Feira</v>
      </c>
      <c r="D95" s="445" t="str">
        <f>IF(C95&lt;&gt;"Quarta-Feira","13:20","08:20")</f>
        <v>13:20</v>
      </c>
      <c r="E95" s="218"/>
      <c r="F95" s="425"/>
      <c r="G95" s="148"/>
      <c r="H95" s="437"/>
      <c r="I95" s="18"/>
      <c r="J95" s="212"/>
      <c r="K95" s="212"/>
      <c r="N95" s="239" t="s">
        <v>2085</v>
      </c>
      <c r="O95" s="2"/>
      <c r="P95" s="2"/>
      <c r="Q95" s="2"/>
      <c r="R95" s="62"/>
    </row>
    <row r="96" ht="15.75" customHeight="1">
      <c r="A96" s="11" t="s">
        <v>12</v>
      </c>
      <c r="B96" s="205" t="s">
        <v>1780</v>
      </c>
      <c r="C96" s="69" t="str">
        <f t="shared" si="11"/>
        <v>Quinta-Feira</v>
      </c>
      <c r="D96" s="445" t="str">
        <f>IF(C96&lt;&gt;"Quarta-Feira","13:40","08:40")</f>
        <v>13:40</v>
      </c>
      <c r="E96" s="218" t="s">
        <v>3846</v>
      </c>
      <c r="F96" s="149">
        <v>9.80016277103526E14</v>
      </c>
      <c r="G96" s="148" t="s">
        <v>3847</v>
      </c>
      <c r="H96" s="344">
        <v>31638.0</v>
      </c>
      <c r="I96" s="18" t="s">
        <v>41</v>
      </c>
      <c r="J96" s="212"/>
      <c r="K96" s="212"/>
      <c r="N96" s="240" t="s">
        <v>182</v>
      </c>
      <c r="O96" s="241" t="s">
        <v>194</v>
      </c>
      <c r="P96" s="241" t="s">
        <v>180</v>
      </c>
      <c r="Q96" s="242" t="s">
        <v>2087</v>
      </c>
      <c r="R96" s="62"/>
    </row>
    <row r="97" ht="15.75" customHeight="1">
      <c r="A97" s="11" t="s">
        <v>13</v>
      </c>
      <c r="B97" s="205" t="s">
        <v>1720</v>
      </c>
      <c r="C97" s="69" t="str">
        <f t="shared" si="11"/>
        <v>Quinta-Feira</v>
      </c>
      <c r="D97" s="445" t="str">
        <f>IF(C97&lt;&gt;"Quarta-Feira","14:00","09:00")</f>
        <v>14:00</v>
      </c>
      <c r="E97" s="218" t="s">
        <v>3848</v>
      </c>
      <c r="F97" s="206">
        <v>8.01440417309118E14</v>
      </c>
      <c r="G97" s="205" t="s">
        <v>3849</v>
      </c>
      <c r="H97" s="432">
        <v>23084.0</v>
      </c>
      <c r="I97" s="18" t="s">
        <v>41</v>
      </c>
      <c r="J97" s="212"/>
      <c r="K97" s="212"/>
      <c r="N97" s="244">
        <f t="shared" ref="N97:Q97" si="12">COUNTIFS($I$94:$I$105,N96)</f>
        <v>0</v>
      </c>
      <c r="O97" s="244">
        <f t="shared" si="12"/>
        <v>0</v>
      </c>
      <c r="P97" s="244">
        <f t="shared" si="12"/>
        <v>0</v>
      </c>
      <c r="Q97" s="244">
        <f t="shared" si="12"/>
        <v>1</v>
      </c>
      <c r="R97" s="62"/>
    </row>
    <row r="98" ht="15.75" customHeight="1">
      <c r="A98" s="11" t="s">
        <v>14</v>
      </c>
      <c r="B98" s="205" t="s">
        <v>1795</v>
      </c>
      <c r="C98" s="69" t="str">
        <f t="shared" si="11"/>
        <v>Quinta-Feira</v>
      </c>
      <c r="D98" s="445" t="str">
        <f>IF(C98&lt;&gt;"Quarta-Feira","14:20","09:20")</f>
        <v>14:20</v>
      </c>
      <c r="E98" s="218" t="s">
        <v>3850</v>
      </c>
      <c r="F98" s="149">
        <v>7.05209498383573E14</v>
      </c>
      <c r="G98" s="148" t="s">
        <v>3851</v>
      </c>
      <c r="H98" s="344">
        <v>27707.0</v>
      </c>
      <c r="I98" s="18" t="s">
        <v>41</v>
      </c>
      <c r="J98" s="212"/>
      <c r="K98" s="212"/>
      <c r="R98" s="62"/>
    </row>
    <row r="99" ht="15.75" customHeight="1">
      <c r="A99" s="11" t="s">
        <v>15</v>
      </c>
      <c r="B99" s="205" t="s">
        <v>1789</v>
      </c>
      <c r="C99" s="69" t="str">
        <f t="shared" si="11"/>
        <v>Quinta-Feira</v>
      </c>
      <c r="D99" s="445" t="str">
        <f>IF(C99&lt;&gt;"Quarta-Feira","14:40","09:40")</f>
        <v>14:40</v>
      </c>
      <c r="E99" s="218" t="s">
        <v>3852</v>
      </c>
      <c r="F99" s="149">
        <v>8.98002117733656E14</v>
      </c>
      <c r="G99" s="148" t="s">
        <v>3853</v>
      </c>
      <c r="H99" s="344">
        <v>12309.0</v>
      </c>
      <c r="I99" s="18" t="s">
        <v>41</v>
      </c>
      <c r="J99" s="212"/>
      <c r="K99" s="212"/>
      <c r="R99" s="62"/>
    </row>
    <row r="100" ht="15.75" customHeight="1">
      <c r="A100" s="11" t="s">
        <v>16</v>
      </c>
      <c r="B100" s="205" t="s">
        <v>2652</v>
      </c>
      <c r="C100" s="69" t="str">
        <f t="shared" si="11"/>
        <v>Quinta-Feira</v>
      </c>
      <c r="D100" s="445" t="str">
        <f>IF(C100&lt;&gt;"Quarta-Feira","15:00","10:00")</f>
        <v>15:00</v>
      </c>
      <c r="E100" s="218"/>
      <c r="F100" s="149"/>
      <c r="G100" s="148" t="s">
        <v>3854</v>
      </c>
      <c r="H100" s="344"/>
      <c r="I100" s="18" t="s">
        <v>41</v>
      </c>
      <c r="J100" s="212"/>
      <c r="K100" s="212"/>
      <c r="R100" s="62"/>
    </row>
    <row r="101" ht="15.75" customHeight="1">
      <c r="A101" s="11" t="s">
        <v>17</v>
      </c>
      <c r="B101" s="205" t="s">
        <v>2655</v>
      </c>
      <c r="C101" s="69" t="str">
        <f t="shared" si="11"/>
        <v>Quinta-Feira</v>
      </c>
      <c r="D101" s="445" t="str">
        <f>IF(C101&lt;&gt;"Quarta-Feira","15:20","10:20")</f>
        <v>15:20</v>
      </c>
      <c r="E101" s="218" t="s">
        <v>178</v>
      </c>
      <c r="F101" s="149" t="s">
        <v>178</v>
      </c>
      <c r="G101" s="148" t="s">
        <v>3855</v>
      </c>
      <c r="H101" s="344">
        <v>27610.0</v>
      </c>
      <c r="I101" s="18" t="s">
        <v>41</v>
      </c>
      <c r="J101" s="212"/>
      <c r="K101" s="212"/>
      <c r="R101" s="62"/>
    </row>
    <row r="102" ht="15.75" customHeight="1">
      <c r="A102" s="11" t="s">
        <v>85</v>
      </c>
      <c r="B102" s="205" t="s">
        <v>2658</v>
      </c>
      <c r="C102" s="69" t="str">
        <f t="shared" si="11"/>
        <v>Quinta-Feira</v>
      </c>
      <c r="D102" s="445" t="str">
        <f>IF(C102&lt;&gt;"Quarta-Feira","15:40","10:40")</f>
        <v>15:40</v>
      </c>
      <c r="E102" s="218" t="s">
        <v>3856</v>
      </c>
      <c r="F102" s="149">
        <v>7.06300746713976E14</v>
      </c>
      <c r="G102" s="148" t="s">
        <v>3857</v>
      </c>
      <c r="H102" s="344">
        <v>19164.0</v>
      </c>
      <c r="I102" s="18" t="s">
        <v>41</v>
      </c>
      <c r="J102" s="212"/>
      <c r="K102" s="212"/>
      <c r="R102" s="62"/>
      <c r="V102" s="292"/>
    </row>
    <row r="103" ht="15.75" customHeight="1">
      <c r="A103" s="11" t="s">
        <v>87</v>
      </c>
      <c r="B103" s="205" t="s">
        <v>1734</v>
      </c>
      <c r="C103" s="69" t="str">
        <f t="shared" si="11"/>
        <v>Quinta-Feira</v>
      </c>
      <c r="D103" s="445" t="str">
        <f>IF(C103&lt;&gt;"Quarta-Feira","16:00","11:00")</f>
        <v>16:00</v>
      </c>
      <c r="E103" s="218" t="s">
        <v>3055</v>
      </c>
      <c r="F103" s="149">
        <v>7.04506377619912E14</v>
      </c>
      <c r="G103" s="148" t="s">
        <v>3056</v>
      </c>
      <c r="H103" s="344">
        <v>33760.0</v>
      </c>
      <c r="I103" s="18" t="s">
        <v>41</v>
      </c>
      <c r="J103" s="212"/>
      <c r="K103" s="212"/>
      <c r="R103" s="62"/>
    </row>
    <row r="104" ht="15.75" customHeight="1">
      <c r="A104" s="11" t="s">
        <v>90</v>
      </c>
      <c r="B104" s="205" t="s">
        <v>2658</v>
      </c>
      <c r="C104" s="69" t="str">
        <f t="shared" si="11"/>
        <v>Quinta-Feira</v>
      </c>
      <c r="D104" s="445" t="str">
        <f>IF(C104&lt;&gt;"Quarta-Feira","16:20","11:20")</f>
        <v>16:20</v>
      </c>
      <c r="E104" s="218" t="s">
        <v>3858</v>
      </c>
      <c r="F104" s="149">
        <v>7.08603506581389E14</v>
      </c>
      <c r="G104" s="148" t="s">
        <v>3859</v>
      </c>
      <c r="H104" s="344">
        <v>19581.0</v>
      </c>
      <c r="I104" s="18" t="s">
        <v>2087</v>
      </c>
      <c r="J104" s="212"/>
      <c r="K104" s="212"/>
      <c r="R104" s="62"/>
    </row>
    <row r="105" ht="15.75" customHeight="1">
      <c r="A105" s="11" t="s">
        <v>93</v>
      </c>
      <c r="B105" s="205" t="s">
        <v>1734</v>
      </c>
      <c r="C105" s="69" t="str">
        <f t="shared" si="11"/>
        <v>Quinta-Feira</v>
      </c>
      <c r="D105" s="445" t="str">
        <f>IF(C105&lt;&gt;"Quarta-Feira","16:40","11:40")</f>
        <v>16:40</v>
      </c>
      <c r="E105" s="218"/>
      <c r="F105" s="149"/>
      <c r="G105" s="148"/>
      <c r="H105" s="344"/>
      <c r="I105" s="18"/>
      <c r="J105" s="212"/>
      <c r="K105" s="212"/>
      <c r="R105" s="62"/>
    </row>
    <row r="106" ht="15.75" customHeight="1">
      <c r="E106" s="231"/>
      <c r="J106" s="62"/>
      <c r="K106" s="62"/>
      <c r="R106" s="62"/>
    </row>
    <row r="107" ht="15.75" customHeight="1">
      <c r="E107" s="231"/>
      <c r="J107" s="62"/>
      <c r="K107" s="62"/>
      <c r="R107" s="62"/>
    </row>
    <row r="108" ht="15.75" customHeight="1">
      <c r="E108" s="231"/>
      <c r="J108" s="62"/>
      <c r="K108" s="62"/>
      <c r="R108" s="62"/>
    </row>
    <row r="109" ht="15.75" customHeight="1">
      <c r="A109" s="20" t="s">
        <v>18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TEXT(DATE(VALUE(MID(A74,7,4)),VALUE(MID(A74,4,2)),VALUE(LEFT(A74,2)))+7,"dd/mm/yyyy")&amp;" 13h às 17h"</f>
        <v>23/06/2026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23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2081</v>
      </c>
      <c r="C112" s="69" t="str">
        <f t="shared" ref="C112:C123" si="13">PROPER(TEXT(DATE(MID($A$110,7,4),MID($A$110,4,2),LEFT($A$110,2)),"dddd"))</f>
        <v>Terça-Feira</v>
      </c>
      <c r="D112" s="445" t="str">
        <f>IF(C112&lt;&gt;"Quarta-Feira","13:00","08:00")</f>
        <v>13:00</v>
      </c>
      <c r="E112" s="253" t="s">
        <v>3835</v>
      </c>
      <c r="F112" s="69">
        <v>7.0840832225867E14</v>
      </c>
      <c r="G112" s="154" t="s">
        <v>3836</v>
      </c>
      <c r="H112" s="193">
        <v>17156.0</v>
      </c>
      <c r="I112" s="18" t="s">
        <v>2087</v>
      </c>
      <c r="J112" s="97"/>
      <c r="K112" s="97"/>
      <c r="N112" s="237" t="s">
        <v>386</v>
      </c>
      <c r="O112" s="95"/>
      <c r="P112" s="95"/>
      <c r="Q112" s="95"/>
      <c r="R112" s="62"/>
    </row>
    <row r="113" ht="15.75" customHeight="1">
      <c r="A113" s="11" t="s">
        <v>11</v>
      </c>
      <c r="B113" s="205" t="s">
        <v>2083</v>
      </c>
      <c r="C113" s="69" t="str">
        <f t="shared" si="13"/>
        <v>Terça-Feira</v>
      </c>
      <c r="D113" s="445" t="str">
        <f>IF(C113&lt;&gt;"Quarta-Feira","13:20","08:20")</f>
        <v>13:20</v>
      </c>
      <c r="E113" s="253" t="s">
        <v>3860</v>
      </c>
      <c r="F113" s="69">
        <v>7.00608492235267E14</v>
      </c>
      <c r="G113" s="154" t="s">
        <v>3861</v>
      </c>
      <c r="H113" s="193">
        <v>19544.0</v>
      </c>
      <c r="I113" s="18" t="s">
        <v>41</v>
      </c>
      <c r="J113" s="97"/>
      <c r="K113" s="97"/>
      <c r="N113" s="239" t="s">
        <v>2085</v>
      </c>
      <c r="O113" s="2"/>
      <c r="P113" s="2"/>
      <c r="Q113" s="2"/>
      <c r="R113" s="62"/>
    </row>
    <row r="114" ht="15.75" customHeight="1">
      <c r="A114" s="11" t="s">
        <v>12</v>
      </c>
      <c r="B114" s="205" t="s">
        <v>2086</v>
      </c>
      <c r="C114" s="69" t="str">
        <f t="shared" si="13"/>
        <v>Terça-Feira</v>
      </c>
      <c r="D114" s="445" t="str">
        <f>IF(C114&lt;&gt;"Quarta-Feira","13:40","08:40")</f>
        <v>13:40</v>
      </c>
      <c r="E114" s="253"/>
      <c r="F114" s="69"/>
      <c r="G114" s="154"/>
      <c r="H114" s="193"/>
      <c r="I114" s="18" t="s">
        <v>180</v>
      </c>
      <c r="J114" s="97"/>
      <c r="K114" s="97"/>
      <c r="N114" s="240" t="s">
        <v>182</v>
      </c>
      <c r="O114" s="241" t="s">
        <v>194</v>
      </c>
      <c r="P114" s="241" t="s">
        <v>180</v>
      </c>
      <c r="Q114" s="242" t="s">
        <v>2087</v>
      </c>
      <c r="R114" s="62"/>
    </row>
    <row r="115" ht="15.75" customHeight="1">
      <c r="A115" s="11" t="s">
        <v>13</v>
      </c>
      <c r="B115" s="205" t="s">
        <v>2088</v>
      </c>
      <c r="C115" s="69" t="str">
        <f t="shared" si="13"/>
        <v>Terça-Feira</v>
      </c>
      <c r="D115" s="445" t="str">
        <f>IF(C115&lt;&gt;"Quarta-Feira","14:00","09:00")</f>
        <v>14:00</v>
      </c>
      <c r="E115" s="253" t="s">
        <v>3862</v>
      </c>
      <c r="F115" s="69">
        <v>2.07257336610003E14</v>
      </c>
      <c r="G115" s="154" t="s">
        <v>3863</v>
      </c>
      <c r="H115" s="193">
        <v>23688.0</v>
      </c>
      <c r="I115" s="18" t="s">
        <v>41</v>
      </c>
      <c r="J115" s="97"/>
      <c r="K115" s="97"/>
      <c r="N115" s="244">
        <f t="shared" ref="N115:Q115" si="14">COUNTIFS($I$112:$I$123,N114)</f>
        <v>0</v>
      </c>
      <c r="O115" s="244">
        <f t="shared" si="14"/>
        <v>0</v>
      </c>
      <c r="P115" s="244">
        <f t="shared" si="14"/>
        <v>1</v>
      </c>
      <c r="Q115" s="244">
        <f t="shared" si="14"/>
        <v>1</v>
      </c>
      <c r="R115" s="62"/>
    </row>
    <row r="116" ht="15.75" customHeight="1">
      <c r="A116" s="11" t="s">
        <v>14</v>
      </c>
      <c r="B116" s="205" t="s">
        <v>2081</v>
      </c>
      <c r="C116" s="69" t="str">
        <f t="shared" si="13"/>
        <v>Terça-Feira</v>
      </c>
      <c r="D116" s="445" t="str">
        <f>IF(C116&lt;&gt;"Quarta-Feira","14:20","09:20")</f>
        <v>14:20</v>
      </c>
      <c r="E116" s="253" t="s">
        <v>3864</v>
      </c>
      <c r="F116" s="69">
        <v>8.98000283767199E14</v>
      </c>
      <c r="G116" s="154" t="s">
        <v>3865</v>
      </c>
      <c r="H116" s="193">
        <v>24935.0</v>
      </c>
      <c r="I116" s="18" t="s">
        <v>2566</v>
      </c>
      <c r="J116" s="97"/>
      <c r="K116" s="97"/>
      <c r="R116" s="62"/>
    </row>
    <row r="117" ht="15.75" customHeight="1">
      <c r="A117" s="11" t="s">
        <v>15</v>
      </c>
      <c r="B117" s="205" t="s">
        <v>2088</v>
      </c>
      <c r="C117" s="69" t="str">
        <f t="shared" si="13"/>
        <v>Terça-Feira</v>
      </c>
      <c r="D117" s="445" t="str">
        <f>IF(C117&lt;&gt;"Quarta-Feira","14:40","09:40")</f>
        <v>14:40</v>
      </c>
      <c r="E117" s="253" t="s">
        <v>3866</v>
      </c>
      <c r="F117" s="69">
        <v>7.0010549506992E14</v>
      </c>
      <c r="G117" s="154" t="s">
        <v>3867</v>
      </c>
      <c r="H117" s="193">
        <v>23445.0</v>
      </c>
      <c r="I117" s="18" t="s">
        <v>41</v>
      </c>
      <c r="J117" s="97"/>
      <c r="K117" s="97"/>
      <c r="R117" s="62"/>
    </row>
    <row r="118" ht="15.75" customHeight="1">
      <c r="A118" s="11" t="s">
        <v>16</v>
      </c>
      <c r="B118" s="205" t="s">
        <v>2092</v>
      </c>
      <c r="C118" s="69" t="str">
        <f t="shared" si="13"/>
        <v>Terça-Feira</v>
      </c>
      <c r="D118" s="445" t="str">
        <f>IF(C118&lt;&gt;"Quarta-Feira","15:00","10:00")</f>
        <v>15:00</v>
      </c>
      <c r="E118" s="253"/>
      <c r="F118" s="69"/>
      <c r="G118" s="154"/>
      <c r="H118" s="193"/>
      <c r="I118" s="18"/>
      <c r="J118" s="97"/>
      <c r="K118" s="97"/>
      <c r="R118" s="62"/>
    </row>
    <row r="119" ht="15.75" customHeight="1">
      <c r="A119" s="11" t="s">
        <v>17</v>
      </c>
      <c r="B119" s="205" t="s">
        <v>2093</v>
      </c>
      <c r="C119" s="69" t="str">
        <f t="shared" si="13"/>
        <v>Terça-Feira</v>
      </c>
      <c r="D119" s="445" t="str">
        <f>IF(C119&lt;&gt;"Quarta-Feira","15:20","10:20")</f>
        <v>15:20</v>
      </c>
      <c r="E119" s="253" t="s">
        <v>3868</v>
      </c>
      <c r="F119" s="69">
        <v>7.09808035521897E14</v>
      </c>
      <c r="G119" s="154" t="s">
        <v>3869</v>
      </c>
      <c r="H119" s="193">
        <v>17135.0</v>
      </c>
      <c r="I119" s="18" t="s">
        <v>41</v>
      </c>
      <c r="J119" s="97"/>
      <c r="K119" s="97"/>
      <c r="R119" s="62"/>
    </row>
    <row r="120" ht="15.75" customHeight="1">
      <c r="A120" s="11" t="s">
        <v>85</v>
      </c>
      <c r="B120" s="205" t="s">
        <v>2094</v>
      </c>
      <c r="C120" s="69" t="str">
        <f t="shared" si="13"/>
        <v>Terça-Feira</v>
      </c>
      <c r="D120" s="445" t="str">
        <f>IF(C120&lt;&gt;"Quarta-Feira","15:40","10:40")</f>
        <v>15:40</v>
      </c>
      <c r="E120" s="253" t="s">
        <v>3870</v>
      </c>
      <c r="F120" s="69">
        <v>8.01440480834747E14</v>
      </c>
      <c r="G120" s="154" t="s">
        <v>3871</v>
      </c>
      <c r="H120" s="193">
        <v>24428.0</v>
      </c>
      <c r="I120" s="18" t="s">
        <v>2566</v>
      </c>
      <c r="J120" s="97"/>
      <c r="K120" s="97"/>
      <c r="R120" s="62"/>
    </row>
    <row r="121" ht="15.75" customHeight="1">
      <c r="A121" s="11" t="s">
        <v>87</v>
      </c>
      <c r="B121" s="205" t="s">
        <v>2095</v>
      </c>
      <c r="C121" s="69" t="str">
        <f t="shared" si="13"/>
        <v>Terça-Feira</v>
      </c>
      <c r="D121" s="445" t="str">
        <f>IF(C121&lt;&gt;"Quarta-Feira","16:00","11:00")</f>
        <v>16:00</v>
      </c>
      <c r="E121" s="253"/>
      <c r="F121" s="69"/>
      <c r="G121" s="154"/>
      <c r="H121" s="193"/>
      <c r="I121" s="18"/>
      <c r="J121" s="97"/>
      <c r="K121" s="97"/>
      <c r="R121" s="62"/>
    </row>
    <row r="122" ht="15.75" customHeight="1">
      <c r="A122" s="11" t="s">
        <v>90</v>
      </c>
      <c r="B122" s="205" t="s">
        <v>2097</v>
      </c>
      <c r="C122" s="69" t="str">
        <f t="shared" si="13"/>
        <v>Terça-Feira</v>
      </c>
      <c r="D122" s="445" t="str">
        <f>IF(C122&lt;&gt;"Quarta-Feira","16:20","11:20")</f>
        <v>16:20</v>
      </c>
      <c r="E122" s="253" t="s">
        <v>3872</v>
      </c>
      <c r="F122" s="69">
        <v>7.01802284922371E14</v>
      </c>
      <c r="G122" s="154" t="s">
        <v>3873</v>
      </c>
      <c r="H122" s="193">
        <v>17818.0</v>
      </c>
      <c r="I122" s="18" t="s">
        <v>41</v>
      </c>
      <c r="J122" s="97"/>
      <c r="K122" s="97"/>
      <c r="R122" s="62"/>
    </row>
    <row r="123" ht="15.75" customHeight="1">
      <c r="A123" s="11" t="s">
        <v>93</v>
      </c>
      <c r="B123" s="205" t="s">
        <v>2095</v>
      </c>
      <c r="C123" s="69" t="str">
        <f t="shared" si="13"/>
        <v>Terça-Feira</v>
      </c>
      <c r="D123" s="445" t="str">
        <f>IF(C123&lt;&gt;"Quarta-Feira","16:40","11:40")</f>
        <v>16:40</v>
      </c>
      <c r="E123" s="253"/>
      <c r="F123" s="69"/>
      <c r="G123" s="154"/>
      <c r="H123" s="193"/>
      <c r="I123" s="18"/>
      <c r="J123" s="97"/>
      <c r="K123" s="97"/>
      <c r="R123" s="62"/>
    </row>
    <row r="124" ht="15.75" customHeight="1">
      <c r="A124" s="438"/>
      <c r="B124" s="430"/>
      <c r="C124" s="275"/>
      <c r="D124" s="439"/>
      <c r="E124" s="254"/>
      <c r="F124" s="440"/>
      <c r="G124" s="441"/>
      <c r="H124" s="255"/>
      <c r="I124" s="442"/>
      <c r="J124" s="443"/>
      <c r="K124" s="443"/>
      <c r="R124" s="62"/>
    </row>
    <row r="125" ht="15.75" customHeight="1">
      <c r="A125" s="438"/>
      <c r="B125" s="430"/>
      <c r="C125" s="275"/>
      <c r="D125" s="439"/>
      <c r="E125" s="254"/>
      <c r="F125" s="440"/>
      <c r="G125" s="441"/>
      <c r="H125" s="255"/>
      <c r="I125" s="442"/>
      <c r="J125" s="443"/>
      <c r="K125" s="443"/>
      <c r="R125" s="62"/>
    </row>
    <row r="126" ht="15.75" customHeight="1">
      <c r="A126" s="438"/>
      <c r="B126" s="430"/>
      <c r="C126" s="275"/>
      <c r="D126" s="439"/>
      <c r="E126" s="254"/>
      <c r="F126" s="440"/>
      <c r="G126" s="441"/>
      <c r="H126" s="255"/>
      <c r="I126" s="442"/>
      <c r="J126" s="443"/>
      <c r="K126" s="443"/>
      <c r="R126" s="62"/>
    </row>
    <row r="127" ht="15.75" customHeight="1">
      <c r="A127" s="20" t="s">
        <v>18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13h às 17h"</f>
        <v>25/06/2026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23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1789</v>
      </c>
      <c r="C130" s="69" t="str">
        <f t="shared" ref="C130:C141" si="15">PROPER(TEXT(DATE(MID($A$92,7,4),MID($A$92,4,2),LEFT($A$92,2)),"dddd"))</f>
        <v>Quinta-Feira</v>
      </c>
      <c r="D130" s="445" t="str">
        <f>IF(C130&lt;&gt;"Quarta-Feira","13:00","08:00")</f>
        <v>13:00</v>
      </c>
      <c r="E130" s="218" t="s">
        <v>3874</v>
      </c>
      <c r="F130" s="149">
        <v>7.04504397100414E14</v>
      </c>
      <c r="G130" s="148" t="s">
        <v>3875</v>
      </c>
      <c r="H130" s="344">
        <v>18283.0</v>
      </c>
      <c r="I130" s="18" t="s">
        <v>41</v>
      </c>
      <c r="J130" s="212"/>
      <c r="K130" s="212"/>
      <c r="N130" s="237" t="s">
        <v>386</v>
      </c>
      <c r="O130" s="95"/>
      <c r="P130" s="95"/>
      <c r="Q130" s="95"/>
      <c r="R130" s="62"/>
    </row>
    <row r="131" ht="15.75" customHeight="1">
      <c r="A131" s="11" t="s">
        <v>11</v>
      </c>
      <c r="B131" s="205" t="s">
        <v>1713</v>
      </c>
      <c r="C131" s="69" t="str">
        <f t="shared" si="15"/>
        <v>Quinta-Feira</v>
      </c>
      <c r="D131" s="445" t="str">
        <f>IF(C131&lt;&gt;"Quarta-Feira","13:20","08:20")</f>
        <v>13:20</v>
      </c>
      <c r="E131" s="218"/>
      <c r="F131" s="425"/>
      <c r="G131" s="148"/>
      <c r="H131" s="437"/>
      <c r="I131" s="18" t="s">
        <v>180</v>
      </c>
      <c r="J131" s="212"/>
      <c r="K131" s="212"/>
      <c r="N131" s="239" t="s">
        <v>2085</v>
      </c>
      <c r="O131" s="2"/>
      <c r="P131" s="2"/>
      <c r="Q131" s="2"/>
      <c r="R131" s="62"/>
    </row>
    <row r="132" ht="15.75" customHeight="1">
      <c r="A132" s="11" t="s">
        <v>12</v>
      </c>
      <c r="B132" s="205" t="s">
        <v>1780</v>
      </c>
      <c r="C132" s="69" t="str">
        <f t="shared" si="15"/>
        <v>Quinta-Feira</v>
      </c>
      <c r="D132" s="445" t="str">
        <f>IF(C132&lt;&gt;"Quarta-Feira","13:40","08:40")</f>
        <v>13:40</v>
      </c>
      <c r="E132" s="218" t="s">
        <v>3876</v>
      </c>
      <c r="F132" s="149">
        <v>7.02908560540477E14</v>
      </c>
      <c r="G132" s="148" t="s">
        <v>3877</v>
      </c>
      <c r="H132" s="344">
        <v>34147.0</v>
      </c>
      <c r="I132" s="18" t="s">
        <v>41</v>
      </c>
      <c r="J132" s="212"/>
      <c r="K132" s="212"/>
      <c r="N132" s="240" t="s">
        <v>182</v>
      </c>
      <c r="O132" s="241" t="s">
        <v>194</v>
      </c>
      <c r="P132" s="241" t="s">
        <v>180</v>
      </c>
      <c r="Q132" s="242" t="s">
        <v>2087</v>
      </c>
      <c r="R132" s="62"/>
    </row>
    <row r="133" ht="15.75" customHeight="1">
      <c r="A133" s="11" t="s">
        <v>13</v>
      </c>
      <c r="B133" s="205" t="s">
        <v>1720</v>
      </c>
      <c r="C133" s="69" t="str">
        <f t="shared" si="15"/>
        <v>Quinta-Feira</v>
      </c>
      <c r="D133" s="445" t="str">
        <f>IF(C133&lt;&gt;"Quarta-Feira","14:00","09:00")</f>
        <v>14:00</v>
      </c>
      <c r="E133" s="218" t="s">
        <v>3878</v>
      </c>
      <c r="F133" s="206">
        <v>7.02006874924185E14</v>
      </c>
      <c r="G133" s="205" t="s">
        <v>3879</v>
      </c>
      <c r="H133" s="432">
        <v>25869.0</v>
      </c>
      <c r="I133" s="18" t="s">
        <v>2087</v>
      </c>
      <c r="J133" s="212"/>
      <c r="K133" s="212"/>
      <c r="N133" s="244">
        <f t="shared" ref="N133:Q133" si="16">COUNTIFS($I$130:$I$141,N132)</f>
        <v>0</v>
      </c>
      <c r="O133" s="244">
        <f t="shared" si="16"/>
        <v>0</v>
      </c>
      <c r="P133" s="244">
        <f t="shared" si="16"/>
        <v>1</v>
      </c>
      <c r="Q133" s="244">
        <f t="shared" si="16"/>
        <v>2</v>
      </c>
      <c r="R133" s="62"/>
    </row>
    <row r="134" ht="15.75" customHeight="1">
      <c r="A134" s="11" t="s">
        <v>14</v>
      </c>
      <c r="B134" s="205" t="s">
        <v>1795</v>
      </c>
      <c r="C134" s="69" t="str">
        <f t="shared" si="15"/>
        <v>Quinta-Feira</v>
      </c>
      <c r="D134" s="445" t="str">
        <f>IF(C134&lt;&gt;"Quarta-Feira","14:20","09:20")</f>
        <v>14:20</v>
      </c>
      <c r="E134" s="218"/>
      <c r="F134" s="149"/>
      <c r="G134" s="148"/>
      <c r="H134" s="344"/>
      <c r="I134" s="18"/>
      <c r="J134" s="212"/>
      <c r="K134" s="212"/>
      <c r="R134" s="62"/>
    </row>
    <row r="135" ht="15.75" customHeight="1">
      <c r="A135" s="11" t="s">
        <v>15</v>
      </c>
      <c r="B135" s="205" t="s">
        <v>1789</v>
      </c>
      <c r="C135" s="69" t="str">
        <f t="shared" si="15"/>
        <v>Quinta-Feira</v>
      </c>
      <c r="D135" s="445" t="str">
        <f>IF(C135&lt;&gt;"Quarta-Feira","14:40","09:40")</f>
        <v>14:40</v>
      </c>
      <c r="E135" s="218" t="s">
        <v>2705</v>
      </c>
      <c r="F135" s="149">
        <v>2.10147475130001E14</v>
      </c>
      <c r="G135" s="148" t="s">
        <v>2706</v>
      </c>
      <c r="H135" s="344">
        <v>22473.0</v>
      </c>
      <c r="I135" s="18" t="s">
        <v>41</v>
      </c>
      <c r="J135" s="212"/>
      <c r="K135" s="212"/>
      <c r="R135" s="62"/>
    </row>
    <row r="136" ht="15.75" customHeight="1">
      <c r="A136" s="11" t="s">
        <v>16</v>
      </c>
      <c r="B136" s="205" t="s">
        <v>2652</v>
      </c>
      <c r="C136" s="69" t="str">
        <f t="shared" si="15"/>
        <v>Quinta-Feira</v>
      </c>
      <c r="D136" s="445" t="str">
        <f>IF(C136&lt;&gt;"Quarta-Feira","15:00","10:00")</f>
        <v>15:00</v>
      </c>
      <c r="E136" s="218" t="s">
        <v>3880</v>
      </c>
      <c r="F136" s="149">
        <v>7.06701537600319E14</v>
      </c>
      <c r="G136" s="148" t="s">
        <v>3881</v>
      </c>
      <c r="H136" s="344">
        <v>27809.0</v>
      </c>
      <c r="I136" s="18" t="s">
        <v>2087</v>
      </c>
      <c r="J136" s="212"/>
      <c r="K136" s="212"/>
      <c r="R136" s="62"/>
    </row>
    <row r="137" ht="15.75" customHeight="1">
      <c r="A137" s="11" t="s">
        <v>17</v>
      </c>
      <c r="B137" s="205" t="s">
        <v>2655</v>
      </c>
      <c r="C137" s="69" t="str">
        <f t="shared" si="15"/>
        <v>Quinta-Feira</v>
      </c>
      <c r="D137" s="445" t="str">
        <f>IF(C137&lt;&gt;"Quarta-Feira","15:20","10:20")</f>
        <v>15:20</v>
      </c>
      <c r="E137" s="218" t="s">
        <v>3882</v>
      </c>
      <c r="F137" s="149">
        <v>7.00509731834052E14</v>
      </c>
      <c r="G137" s="148" t="s">
        <v>3883</v>
      </c>
      <c r="H137" s="344">
        <v>18575.0</v>
      </c>
      <c r="I137" s="18" t="s">
        <v>41</v>
      </c>
      <c r="J137" s="212"/>
      <c r="K137" s="212"/>
      <c r="R137" s="62"/>
    </row>
    <row r="138" ht="15.75" customHeight="1">
      <c r="A138" s="11" t="s">
        <v>85</v>
      </c>
      <c r="B138" s="205" t="s">
        <v>2658</v>
      </c>
      <c r="C138" s="69" t="str">
        <f t="shared" si="15"/>
        <v>Quinta-Feira</v>
      </c>
      <c r="D138" s="445" t="str">
        <f>IF(C138&lt;&gt;"Quarta-Feira","15:40","10:40")</f>
        <v>15:40</v>
      </c>
      <c r="E138" s="218" t="s">
        <v>3858</v>
      </c>
      <c r="F138" s="149">
        <v>7.08603506581389E14</v>
      </c>
      <c r="G138" s="148" t="s">
        <v>3859</v>
      </c>
      <c r="H138" s="344">
        <v>19581.0</v>
      </c>
      <c r="I138" s="18" t="s">
        <v>41</v>
      </c>
      <c r="J138" s="212"/>
      <c r="K138" s="212"/>
      <c r="R138" s="62"/>
    </row>
    <row r="139" ht="15.75" customHeight="1">
      <c r="A139" s="11" t="s">
        <v>87</v>
      </c>
      <c r="B139" s="205" t="s">
        <v>1734</v>
      </c>
      <c r="C139" s="69" t="str">
        <f t="shared" si="15"/>
        <v>Quinta-Feira</v>
      </c>
      <c r="D139" s="445" t="str">
        <f>IF(C139&lt;&gt;"Quarta-Feira","16:00","11:00")</f>
        <v>16:00</v>
      </c>
      <c r="E139" s="218"/>
      <c r="F139" s="149"/>
      <c r="G139" s="148" t="s">
        <v>3884</v>
      </c>
      <c r="H139" s="344"/>
      <c r="I139" s="18" t="s">
        <v>41</v>
      </c>
      <c r="J139" s="212"/>
      <c r="K139" s="212"/>
      <c r="R139" s="62"/>
    </row>
    <row r="140" ht="15.75" customHeight="1">
      <c r="A140" s="11" t="s">
        <v>90</v>
      </c>
      <c r="B140" s="205" t="s">
        <v>2658</v>
      </c>
      <c r="C140" s="69" t="str">
        <f t="shared" si="15"/>
        <v>Quinta-Feira</v>
      </c>
      <c r="D140" s="445" t="str">
        <f>IF(C140&lt;&gt;"Quarta-Feira","16:20","11:20")</f>
        <v>16:20</v>
      </c>
      <c r="E140" s="218" t="s">
        <v>3885</v>
      </c>
      <c r="F140" s="149">
        <v>7.06403175366783E14</v>
      </c>
      <c r="G140" s="148" t="s">
        <v>3886</v>
      </c>
      <c r="H140" s="344">
        <v>23060.0</v>
      </c>
      <c r="I140" s="18" t="s">
        <v>41</v>
      </c>
      <c r="J140" s="212"/>
      <c r="K140" s="212"/>
      <c r="R140" s="62"/>
    </row>
    <row r="141" ht="15.75" customHeight="1">
      <c r="A141" s="11" t="s">
        <v>93</v>
      </c>
      <c r="B141" s="205" t="s">
        <v>1734</v>
      </c>
      <c r="C141" s="69" t="str">
        <f t="shared" si="15"/>
        <v>Quinta-Feira</v>
      </c>
      <c r="D141" s="445" t="str">
        <f>IF(C141&lt;&gt;"Quarta-Feira","16:40","11:40")</f>
        <v>16:40</v>
      </c>
      <c r="E141" s="218"/>
      <c r="F141" s="149"/>
      <c r="G141" s="148"/>
      <c r="H141" s="344"/>
      <c r="I141" s="18" t="s">
        <v>41</v>
      </c>
      <c r="J141" s="212"/>
      <c r="K141" s="212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customHeight="1">
      <c r="A145" s="20" t="s">
        <v>18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TEXT(DATE(VALUE(MID(A110,7,4)),VALUE(MID(A110,4,2)),VALUE(LEFT(A110,2)))+7,"dd/mm/yyyy")&amp;" 13h às 17h"</f>
        <v>30/06/2026 13h às 17h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23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5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2081</v>
      </c>
      <c r="C148" s="69" t="str">
        <f t="shared" ref="C148:C159" si="17">PROPER(TEXT(DATE(MID($A$110,7,4),MID($A$110,4,2),LEFT($A$110,2)),"dddd"))</f>
        <v>Terça-Feira</v>
      </c>
      <c r="D148" s="445" t="str">
        <f>IF(C148&lt;&gt;"Quarta-Feira","13:00","08:00")</f>
        <v>13:00</v>
      </c>
      <c r="E148" s="253" t="s">
        <v>3887</v>
      </c>
      <c r="F148" s="69">
        <v>7.07005899135338E14</v>
      </c>
      <c r="G148" s="154" t="s">
        <v>3888</v>
      </c>
      <c r="H148" s="193">
        <v>23911.0</v>
      </c>
      <c r="I148" s="18" t="s">
        <v>41</v>
      </c>
      <c r="J148" s="97"/>
      <c r="K148" s="97"/>
      <c r="N148" s="237" t="s">
        <v>386</v>
      </c>
      <c r="O148" s="95"/>
      <c r="P148" s="95"/>
      <c r="Q148" s="95"/>
      <c r="R148" s="62"/>
    </row>
    <row r="149" ht="15.75" customHeight="1">
      <c r="A149" s="11" t="s">
        <v>11</v>
      </c>
      <c r="B149" s="205" t="s">
        <v>2083</v>
      </c>
      <c r="C149" s="69" t="str">
        <f t="shared" si="17"/>
        <v>Terça-Feira</v>
      </c>
      <c r="D149" s="445" t="str">
        <f>IF(C149&lt;&gt;"Quarta-Feira","13:20","08:20")</f>
        <v>13:20</v>
      </c>
      <c r="E149" s="253" t="s">
        <v>3889</v>
      </c>
      <c r="F149" s="69">
        <v>7.08402753428863E14</v>
      </c>
      <c r="G149" s="154" t="s">
        <v>3890</v>
      </c>
      <c r="H149" s="193">
        <v>17969.0</v>
      </c>
      <c r="I149" s="18" t="s">
        <v>41</v>
      </c>
      <c r="J149" s="97"/>
      <c r="K149" s="97"/>
      <c r="N149" s="239" t="s">
        <v>2085</v>
      </c>
      <c r="O149" s="2"/>
      <c r="P149" s="2"/>
      <c r="Q149" s="2"/>
      <c r="R149" s="62"/>
    </row>
    <row r="150" ht="15.75" customHeight="1">
      <c r="A150" s="11" t="s">
        <v>12</v>
      </c>
      <c r="B150" s="205" t="s">
        <v>2086</v>
      </c>
      <c r="C150" s="69" t="str">
        <f t="shared" si="17"/>
        <v>Terça-Feira</v>
      </c>
      <c r="D150" s="445" t="str">
        <f>IF(C150&lt;&gt;"Quarta-Feira","13:40","08:40")</f>
        <v>13:40</v>
      </c>
      <c r="E150" s="253"/>
      <c r="F150" s="69"/>
      <c r="G150" s="154"/>
      <c r="H150" s="193"/>
      <c r="I150" s="18" t="s">
        <v>180</v>
      </c>
      <c r="J150" s="97"/>
      <c r="K150" s="97"/>
      <c r="N150" s="240" t="s">
        <v>182</v>
      </c>
      <c r="O150" s="241" t="s">
        <v>194</v>
      </c>
      <c r="P150" s="241" t="s">
        <v>180</v>
      </c>
      <c r="Q150" s="242" t="s">
        <v>2087</v>
      </c>
      <c r="R150" s="62"/>
    </row>
    <row r="151" ht="15.75" customHeight="1">
      <c r="A151" s="11" t="s">
        <v>13</v>
      </c>
      <c r="B151" s="205" t="s">
        <v>2088</v>
      </c>
      <c r="C151" s="69" t="str">
        <f t="shared" si="17"/>
        <v>Terça-Feira</v>
      </c>
      <c r="D151" s="445" t="str">
        <f>IF(C151&lt;&gt;"Quarta-Feira","14:00","09:00")</f>
        <v>14:00</v>
      </c>
      <c r="E151" s="253" t="s">
        <v>3891</v>
      </c>
      <c r="F151" s="69">
        <v>7.05408437394696E14</v>
      </c>
      <c r="G151" s="154" t="s">
        <v>3892</v>
      </c>
      <c r="H151" s="193">
        <v>22109.0</v>
      </c>
      <c r="I151" s="18" t="s">
        <v>41</v>
      </c>
      <c r="J151" s="97"/>
      <c r="K151" s="97"/>
      <c r="N151" s="244">
        <f t="shared" ref="N151:Q151" si="18">COUNTIFS($I$112:$I$123,N150)</f>
        <v>0</v>
      </c>
      <c r="O151" s="244">
        <f t="shared" si="18"/>
        <v>0</v>
      </c>
      <c r="P151" s="244">
        <f t="shared" si="18"/>
        <v>1</v>
      </c>
      <c r="Q151" s="244">
        <f t="shared" si="18"/>
        <v>1</v>
      </c>
      <c r="R151" s="62"/>
    </row>
    <row r="152" ht="15.75" customHeight="1">
      <c r="A152" s="11" t="s">
        <v>14</v>
      </c>
      <c r="B152" s="205" t="s">
        <v>2081</v>
      </c>
      <c r="C152" s="69" t="str">
        <f t="shared" si="17"/>
        <v>Terça-Feira</v>
      </c>
      <c r="D152" s="445" t="str">
        <f>IF(C152&lt;&gt;"Quarta-Feira","14:20","09:20")</f>
        <v>14:20</v>
      </c>
      <c r="E152" s="253" t="s">
        <v>3893</v>
      </c>
      <c r="F152" s="69">
        <v>8.0144040625393E14</v>
      </c>
      <c r="G152" s="154" t="s">
        <v>3894</v>
      </c>
      <c r="H152" s="193">
        <v>17520.0</v>
      </c>
      <c r="I152" s="18" t="s">
        <v>41</v>
      </c>
      <c r="J152" s="97"/>
      <c r="K152" s="97"/>
      <c r="R152" s="62"/>
    </row>
    <row r="153" ht="15.75" customHeight="1">
      <c r="A153" s="11" t="s">
        <v>15</v>
      </c>
      <c r="B153" s="205" t="s">
        <v>2088</v>
      </c>
      <c r="C153" s="69" t="str">
        <f t="shared" si="17"/>
        <v>Terça-Feira</v>
      </c>
      <c r="D153" s="445" t="str">
        <f>IF(C153&lt;&gt;"Quarta-Feira","14:40","09:40")</f>
        <v>14:40</v>
      </c>
      <c r="E153" s="253" t="s">
        <v>3895</v>
      </c>
      <c r="F153" s="69">
        <v>7.00909901566599E14</v>
      </c>
      <c r="G153" s="154" t="s">
        <v>3896</v>
      </c>
      <c r="H153" s="127" t="s">
        <v>178</v>
      </c>
      <c r="I153" s="18" t="s">
        <v>41</v>
      </c>
      <c r="J153" s="97"/>
      <c r="K153" s="97"/>
      <c r="R153" s="62"/>
    </row>
    <row r="154" ht="15.75" customHeight="1">
      <c r="A154" s="11" t="s">
        <v>16</v>
      </c>
      <c r="B154" s="205" t="s">
        <v>2092</v>
      </c>
      <c r="C154" s="69" t="str">
        <f t="shared" si="17"/>
        <v>Terça-Feira</v>
      </c>
      <c r="D154" s="445" t="str">
        <f>IF(C154&lt;&gt;"Quarta-Feira","15:00","10:00")</f>
        <v>15:00</v>
      </c>
      <c r="E154" s="253"/>
      <c r="F154" s="69"/>
      <c r="G154" s="154"/>
      <c r="H154" s="193"/>
      <c r="I154" s="18" t="s">
        <v>180</v>
      </c>
      <c r="J154" s="97"/>
      <c r="K154" s="97"/>
      <c r="R154" s="62"/>
    </row>
    <row r="155" ht="15.75" customHeight="1">
      <c r="A155" s="11" t="s">
        <v>17</v>
      </c>
      <c r="B155" s="205" t="s">
        <v>2093</v>
      </c>
      <c r="C155" s="69" t="str">
        <f t="shared" si="17"/>
        <v>Terça-Feira</v>
      </c>
      <c r="D155" s="445" t="str">
        <f>IF(C155&lt;&gt;"Quarta-Feira","15:20","10:20")</f>
        <v>15:20</v>
      </c>
      <c r="E155" s="253" t="s">
        <v>3897</v>
      </c>
      <c r="F155" s="69">
        <v>7.07404056461374E14</v>
      </c>
      <c r="G155" s="154" t="s">
        <v>3898</v>
      </c>
      <c r="H155" s="193">
        <v>27047.0</v>
      </c>
      <c r="I155" s="18" t="s">
        <v>41</v>
      </c>
      <c r="J155" s="97"/>
      <c r="K155" s="97"/>
      <c r="R155" s="62"/>
    </row>
    <row r="156" ht="15.75" customHeight="1">
      <c r="A156" s="11" t="s">
        <v>85</v>
      </c>
      <c r="B156" s="205" t="s">
        <v>2094</v>
      </c>
      <c r="C156" s="69" t="str">
        <f t="shared" si="17"/>
        <v>Terça-Feira</v>
      </c>
      <c r="D156" s="445" t="str">
        <f>IF(C156&lt;&gt;"Quarta-Feira","15:40","10:40")</f>
        <v>15:40</v>
      </c>
      <c r="E156" s="253" t="s">
        <v>3899</v>
      </c>
      <c r="F156" s="62">
        <v>8.01440408485308E14</v>
      </c>
      <c r="G156" s="154" t="s">
        <v>3900</v>
      </c>
      <c r="H156" s="193">
        <v>26157.0</v>
      </c>
      <c r="I156" s="18" t="s">
        <v>41</v>
      </c>
      <c r="J156" s="97"/>
      <c r="K156" s="97"/>
      <c r="R156" s="62"/>
    </row>
    <row r="157" ht="15.75" customHeight="1">
      <c r="A157" s="11" t="s">
        <v>87</v>
      </c>
      <c r="B157" s="205" t="s">
        <v>2095</v>
      </c>
      <c r="C157" s="69" t="str">
        <f t="shared" si="17"/>
        <v>Terça-Feira</v>
      </c>
      <c r="D157" s="445" t="str">
        <f>IF(C157&lt;&gt;"Quarta-Feira","16:00","11:00")</f>
        <v>16:00</v>
      </c>
      <c r="E157" s="253"/>
      <c r="F157" s="69"/>
      <c r="G157" s="154"/>
      <c r="H157" s="193"/>
      <c r="I157" s="18" t="s">
        <v>180</v>
      </c>
      <c r="J157" s="97"/>
      <c r="K157" s="97"/>
      <c r="R157" s="62"/>
    </row>
    <row r="158" ht="15.75" customHeight="1">
      <c r="A158" s="11" t="s">
        <v>90</v>
      </c>
      <c r="B158" s="205" t="s">
        <v>2097</v>
      </c>
      <c r="C158" s="69" t="str">
        <f t="shared" si="17"/>
        <v>Terça-Feira</v>
      </c>
      <c r="D158" s="445" t="str">
        <f>IF(C158&lt;&gt;"Quarta-Feira","16:20","11:20")</f>
        <v>16:20</v>
      </c>
      <c r="E158" s="253"/>
      <c r="F158" s="69"/>
      <c r="G158" s="154"/>
      <c r="H158" s="193"/>
      <c r="I158" s="18" t="s">
        <v>180</v>
      </c>
      <c r="J158" s="97"/>
      <c r="K158" s="97"/>
      <c r="R158" s="62"/>
    </row>
    <row r="159" ht="15.75" customHeight="1">
      <c r="A159" s="11" t="s">
        <v>93</v>
      </c>
      <c r="B159" s="205" t="s">
        <v>2095</v>
      </c>
      <c r="C159" s="69" t="str">
        <f t="shared" si="17"/>
        <v>Terça-Feira</v>
      </c>
      <c r="D159" s="445" t="str">
        <f>IF(C159&lt;&gt;"Quarta-Feira","16:40","11:40")</f>
        <v>16:40</v>
      </c>
      <c r="E159" s="253"/>
      <c r="F159" s="69"/>
      <c r="G159" s="154"/>
      <c r="H159" s="193"/>
      <c r="I159" s="18" t="s">
        <v>180</v>
      </c>
      <c r="J159" s="97"/>
      <c r="K159" s="97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438"/>
      <c r="B163" s="430"/>
      <c r="C163" s="275"/>
      <c r="D163" s="439"/>
      <c r="E163" s="254"/>
      <c r="F163" s="440"/>
      <c r="G163" s="441"/>
      <c r="H163" s="255"/>
      <c r="I163" s="442"/>
      <c r="J163" s="443"/>
      <c r="K163" s="443"/>
      <c r="R163" s="62"/>
    </row>
    <row r="164" ht="15.75" customHeight="1">
      <c r="A164" s="438"/>
      <c r="B164" s="430"/>
      <c r="C164" s="275"/>
      <c r="D164" s="439"/>
      <c r="E164" s="254"/>
      <c r="F164" s="440"/>
      <c r="G164" s="441"/>
      <c r="H164" s="255"/>
      <c r="I164" s="442"/>
      <c r="J164" s="443"/>
      <c r="K164" s="443"/>
      <c r="N164" s="237" t="s">
        <v>2079</v>
      </c>
      <c r="O164" s="95"/>
      <c r="P164" s="95"/>
      <c r="Q164" s="95"/>
      <c r="R164" s="62"/>
    </row>
    <row r="165" ht="15.75" customHeight="1">
      <c r="A165" s="438"/>
      <c r="B165" s="430"/>
      <c r="C165" s="275"/>
      <c r="D165" s="439"/>
      <c r="E165" s="254"/>
      <c r="F165" s="440"/>
      <c r="G165" s="441"/>
      <c r="H165" s="255"/>
      <c r="I165" s="442"/>
      <c r="J165" s="443"/>
      <c r="K165" s="443"/>
      <c r="N165" s="240" t="s">
        <v>182</v>
      </c>
      <c r="O165" s="241" t="s">
        <v>194</v>
      </c>
      <c r="P165" s="241" t="s">
        <v>180</v>
      </c>
      <c r="Q165" s="242" t="s">
        <v>172</v>
      </c>
      <c r="R165" s="62"/>
    </row>
    <row r="166" ht="15.75" customHeight="1">
      <c r="A166" s="438"/>
      <c r="B166" s="430"/>
      <c r="C166" s="275"/>
      <c r="D166" s="439"/>
      <c r="E166" s="254"/>
      <c r="F166" s="440"/>
      <c r="G166" s="441"/>
      <c r="H166" s="255"/>
      <c r="I166" s="442"/>
      <c r="J166" s="443"/>
      <c r="K166" s="443"/>
      <c r="N166" s="62">
        <f t="shared" ref="N166:Q166" si="19">SUM(N4:N162)</f>
        <v>7</v>
      </c>
      <c r="O166" s="62">
        <f t="shared" si="19"/>
        <v>0</v>
      </c>
      <c r="P166" s="62">
        <f t="shared" si="19"/>
        <v>6</v>
      </c>
      <c r="Q166" s="62">
        <f t="shared" si="19"/>
        <v>7</v>
      </c>
      <c r="R166" s="62"/>
    </row>
    <row r="167" ht="15.75" customHeight="1">
      <c r="A167" s="438"/>
      <c r="B167" s="430"/>
      <c r="C167" s="275"/>
      <c r="D167" s="439"/>
      <c r="E167" s="254"/>
      <c r="F167" s="440"/>
      <c r="G167" s="441"/>
      <c r="H167" s="255"/>
      <c r="I167" s="442"/>
      <c r="J167" s="443"/>
      <c r="K167" s="443"/>
      <c r="N167" s="62"/>
      <c r="O167" s="62"/>
      <c r="P167" s="62"/>
      <c r="Q167" s="62"/>
      <c r="R167" s="62"/>
    </row>
    <row r="168" ht="15.75" customHeight="1">
      <c r="A168" s="438"/>
      <c r="B168" s="430"/>
      <c r="C168" s="275"/>
      <c r="D168" s="439"/>
      <c r="E168" s="254"/>
      <c r="F168" s="440"/>
      <c r="G168" s="441"/>
      <c r="H168" s="255"/>
      <c r="I168" s="442"/>
      <c r="J168" s="443"/>
      <c r="K168" s="443"/>
      <c r="R168" s="62"/>
    </row>
    <row r="169" ht="15.75" customHeight="1">
      <c r="A169" s="438"/>
      <c r="B169" s="430"/>
      <c r="C169" s="275"/>
      <c r="D169" s="439"/>
      <c r="E169" s="254"/>
      <c r="F169" s="440"/>
      <c r="G169" s="441"/>
      <c r="H169" s="255"/>
      <c r="I169" s="442"/>
      <c r="J169" s="443"/>
      <c r="K169" s="443"/>
      <c r="R169" s="62"/>
    </row>
    <row r="170" ht="15.75" customHeight="1">
      <c r="A170" s="438"/>
      <c r="B170" s="430"/>
      <c r="C170" s="275"/>
      <c r="D170" s="439"/>
      <c r="E170" s="254"/>
      <c r="F170" s="440"/>
      <c r="G170" s="441"/>
      <c r="H170" s="255"/>
      <c r="I170" s="442"/>
      <c r="J170" s="443"/>
      <c r="K170" s="443"/>
      <c r="R170" s="62"/>
    </row>
    <row r="171" ht="15.75" customHeight="1">
      <c r="A171" s="438"/>
      <c r="B171" s="430"/>
      <c r="C171" s="275"/>
      <c r="D171" s="439"/>
      <c r="E171" s="254"/>
      <c r="F171" s="440"/>
      <c r="G171" s="441"/>
      <c r="H171" s="255"/>
      <c r="I171" s="442"/>
      <c r="J171" s="443"/>
      <c r="K171" s="443"/>
      <c r="R171" s="62"/>
    </row>
    <row r="172" ht="15.75" customHeight="1">
      <c r="A172" s="438"/>
      <c r="B172" s="430"/>
      <c r="C172" s="275"/>
      <c r="D172" s="439"/>
      <c r="E172" s="254"/>
      <c r="F172" s="440"/>
      <c r="G172" s="441"/>
      <c r="H172" s="255"/>
      <c r="I172" s="442"/>
      <c r="J172" s="443"/>
      <c r="K172" s="443"/>
      <c r="R172" s="62"/>
    </row>
    <row r="173" ht="15.75" customHeight="1">
      <c r="A173" s="438"/>
      <c r="B173" s="430"/>
      <c r="C173" s="275"/>
      <c r="D173" s="439"/>
      <c r="E173" s="254"/>
      <c r="F173" s="440"/>
      <c r="G173" s="441"/>
      <c r="H173" s="255"/>
      <c r="I173" s="442"/>
      <c r="J173" s="443"/>
      <c r="K173" s="443"/>
      <c r="R173" s="62"/>
    </row>
    <row r="174" ht="15.75" customHeight="1">
      <c r="A174" s="438"/>
      <c r="B174" s="430"/>
      <c r="C174" s="275"/>
      <c r="D174" s="439"/>
      <c r="E174" s="254"/>
      <c r="F174" s="440"/>
      <c r="G174" s="441"/>
      <c r="H174" s="255"/>
      <c r="I174" s="442"/>
      <c r="J174" s="443"/>
      <c r="K174" s="443"/>
      <c r="R174" s="62"/>
    </row>
    <row r="175" ht="15.75" customHeight="1">
      <c r="A175" s="438"/>
      <c r="B175" s="430"/>
      <c r="C175" s="275"/>
      <c r="D175" s="439"/>
      <c r="E175" s="254"/>
      <c r="F175" s="440"/>
      <c r="G175" s="441"/>
      <c r="H175" s="255"/>
      <c r="I175" s="442"/>
      <c r="J175" s="443"/>
      <c r="K175" s="443"/>
      <c r="R175" s="62"/>
    </row>
    <row r="176" ht="15.75" customHeight="1">
      <c r="A176" s="438"/>
      <c r="B176" s="430"/>
      <c r="C176" s="275"/>
      <c r="D176" s="439"/>
      <c r="E176" s="254"/>
      <c r="F176" s="440"/>
      <c r="G176" s="441"/>
      <c r="H176" s="255"/>
      <c r="I176" s="442"/>
      <c r="J176" s="443"/>
      <c r="K176" s="443"/>
      <c r="R176" s="62"/>
    </row>
    <row r="177" ht="15.75" customHeight="1">
      <c r="A177" s="438"/>
      <c r="B177" s="430"/>
      <c r="C177" s="275"/>
      <c r="D177" s="439"/>
      <c r="E177" s="254"/>
      <c r="F177" s="440"/>
      <c r="G177" s="441"/>
      <c r="H177" s="255"/>
      <c r="I177" s="442"/>
      <c r="J177" s="443"/>
      <c r="K177" s="443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>
      <c r="A330" s="438"/>
      <c r="B330" s="430"/>
      <c r="C330" s="275"/>
      <c r="D330" s="439"/>
      <c r="E330" s="254"/>
      <c r="F330" s="440"/>
      <c r="G330" s="441"/>
      <c r="H330" s="255"/>
      <c r="I330" s="442"/>
      <c r="J330" s="443"/>
      <c r="K330" s="443"/>
      <c r="R330" s="62"/>
    </row>
    <row r="331" ht="15.75" customHeight="1">
      <c r="A331" s="438"/>
      <c r="B331" s="430"/>
      <c r="C331" s="275"/>
      <c r="D331" s="439"/>
      <c r="E331" s="254"/>
      <c r="F331" s="440"/>
      <c r="G331" s="441"/>
      <c r="H331" s="255"/>
      <c r="I331" s="442"/>
      <c r="J331" s="443"/>
      <c r="K331" s="443"/>
      <c r="R331" s="62"/>
    </row>
    <row r="332" ht="15.75" customHeight="1">
      <c r="A332" s="438"/>
      <c r="B332" s="430"/>
      <c r="C332" s="275"/>
      <c r="D332" s="439"/>
      <c r="E332" s="254"/>
      <c r="F332" s="440"/>
      <c r="G332" s="441"/>
      <c r="H332" s="255"/>
      <c r="I332" s="442"/>
      <c r="J332" s="443"/>
      <c r="K332" s="443"/>
      <c r="R332" s="62"/>
    </row>
    <row r="333" ht="15.75" customHeight="1">
      <c r="A333" s="438"/>
      <c r="B333" s="430"/>
      <c r="C333" s="275"/>
      <c r="D333" s="439"/>
      <c r="E333" s="254"/>
      <c r="F333" s="440"/>
      <c r="G333" s="441"/>
      <c r="H333" s="255"/>
      <c r="I333" s="442"/>
      <c r="J333" s="443"/>
      <c r="K333" s="443"/>
      <c r="R333" s="62"/>
    </row>
    <row r="334" ht="15.75" customHeight="1">
      <c r="A334" s="438"/>
      <c r="B334" s="430"/>
      <c r="C334" s="275"/>
      <c r="D334" s="439"/>
      <c r="E334" s="254"/>
      <c r="F334" s="440"/>
      <c r="G334" s="441"/>
      <c r="H334" s="255"/>
      <c r="I334" s="442"/>
      <c r="J334" s="443"/>
      <c r="K334" s="443"/>
      <c r="R334" s="62"/>
    </row>
    <row r="335" ht="15.75" customHeight="1">
      <c r="A335" s="438"/>
      <c r="B335" s="430"/>
      <c r="C335" s="275"/>
      <c r="D335" s="439"/>
      <c r="E335" s="254"/>
      <c r="F335" s="440"/>
      <c r="G335" s="441"/>
      <c r="H335" s="255"/>
      <c r="I335" s="442"/>
      <c r="J335" s="443"/>
      <c r="K335" s="443"/>
      <c r="R335" s="62"/>
    </row>
    <row r="336" ht="15.75" customHeight="1">
      <c r="A336" s="438"/>
      <c r="B336" s="430"/>
      <c r="C336" s="275"/>
      <c r="D336" s="439"/>
      <c r="E336" s="254"/>
      <c r="F336" s="440"/>
      <c r="G336" s="441"/>
      <c r="H336" s="255"/>
      <c r="I336" s="442"/>
      <c r="J336" s="443"/>
      <c r="K336" s="443"/>
      <c r="R336" s="62"/>
    </row>
    <row r="337" ht="15.75" customHeight="1">
      <c r="A337" s="438"/>
      <c r="B337" s="430"/>
      <c r="C337" s="275"/>
      <c r="D337" s="439"/>
      <c r="E337" s="254"/>
      <c r="F337" s="440"/>
      <c r="G337" s="441"/>
      <c r="H337" s="255"/>
      <c r="I337" s="442"/>
      <c r="J337" s="443"/>
      <c r="K337" s="443"/>
      <c r="R337" s="62"/>
    </row>
    <row r="338" ht="15.75" customHeight="1">
      <c r="A338" s="438"/>
      <c r="B338" s="430"/>
      <c r="C338" s="275"/>
      <c r="D338" s="439"/>
      <c r="E338" s="254"/>
      <c r="F338" s="440"/>
      <c r="G338" s="441"/>
      <c r="H338" s="255"/>
      <c r="I338" s="442"/>
      <c r="J338" s="443"/>
      <c r="K338" s="443"/>
      <c r="R338" s="62"/>
    </row>
    <row r="339" ht="15.75" customHeight="1">
      <c r="A339" s="438"/>
      <c r="B339" s="430"/>
      <c r="C339" s="275"/>
      <c r="D339" s="439"/>
      <c r="E339" s="254"/>
      <c r="F339" s="440"/>
      <c r="G339" s="441"/>
      <c r="H339" s="255"/>
      <c r="I339" s="442"/>
      <c r="J339" s="443"/>
      <c r="K339" s="443"/>
      <c r="R339" s="62"/>
    </row>
    <row r="340" ht="15.75" customHeight="1">
      <c r="A340" s="438"/>
      <c r="B340" s="430"/>
      <c r="C340" s="275"/>
      <c r="D340" s="439"/>
      <c r="E340" s="254"/>
      <c r="F340" s="440"/>
      <c r="G340" s="441"/>
      <c r="H340" s="255"/>
      <c r="I340" s="442"/>
      <c r="J340" s="443"/>
      <c r="K340" s="443"/>
      <c r="R340" s="62"/>
    </row>
    <row r="341" ht="15.75" customHeight="1">
      <c r="A341" s="438"/>
      <c r="B341" s="430"/>
      <c r="C341" s="275"/>
      <c r="D341" s="439"/>
      <c r="E341" s="254"/>
      <c r="F341" s="440"/>
      <c r="G341" s="441"/>
      <c r="H341" s="255"/>
      <c r="I341" s="442"/>
      <c r="J341" s="443"/>
      <c r="K341" s="443"/>
      <c r="R341" s="62"/>
    </row>
    <row r="342" ht="15.75" customHeight="1">
      <c r="A342" s="438"/>
      <c r="B342" s="430"/>
      <c r="C342" s="275"/>
      <c r="D342" s="439"/>
      <c r="E342" s="254"/>
      <c r="F342" s="440"/>
      <c r="G342" s="441"/>
      <c r="H342" s="255"/>
      <c r="I342" s="442"/>
      <c r="J342" s="443"/>
      <c r="K342" s="443"/>
      <c r="R342" s="62"/>
    </row>
    <row r="343" ht="15.75" customHeight="1">
      <c r="A343" s="438"/>
      <c r="B343" s="430"/>
      <c r="C343" s="275"/>
      <c r="D343" s="439"/>
      <c r="E343" s="254"/>
      <c r="F343" s="440"/>
      <c r="G343" s="441"/>
      <c r="H343" s="255"/>
      <c r="I343" s="442"/>
      <c r="J343" s="443"/>
      <c r="K343" s="443"/>
      <c r="R343" s="62"/>
    </row>
    <row r="344" ht="15.75" customHeight="1">
      <c r="A344" s="438"/>
      <c r="B344" s="430"/>
      <c r="C344" s="275"/>
      <c r="D344" s="439"/>
      <c r="E344" s="254"/>
      <c r="F344" s="440"/>
      <c r="G344" s="441"/>
      <c r="H344" s="255"/>
      <c r="I344" s="442"/>
      <c r="J344" s="443"/>
      <c r="K344" s="443"/>
      <c r="R344" s="62"/>
    </row>
    <row r="345" ht="15.75" customHeight="1">
      <c r="A345" s="438"/>
      <c r="B345" s="430"/>
      <c r="C345" s="275"/>
      <c r="D345" s="439"/>
      <c r="E345" s="254"/>
      <c r="F345" s="440"/>
      <c r="G345" s="441"/>
      <c r="H345" s="255"/>
      <c r="I345" s="442"/>
      <c r="J345" s="443"/>
      <c r="K345" s="443"/>
      <c r="R345" s="62"/>
    </row>
    <row r="346" ht="15.75" customHeight="1">
      <c r="A346" s="438"/>
      <c r="B346" s="430"/>
      <c r="C346" s="275"/>
      <c r="D346" s="439"/>
      <c r="E346" s="254"/>
      <c r="F346" s="440"/>
      <c r="G346" s="441"/>
      <c r="H346" s="255"/>
      <c r="I346" s="442"/>
      <c r="J346" s="443"/>
      <c r="K346" s="443"/>
      <c r="R346" s="62"/>
    </row>
    <row r="347" ht="15.75" customHeight="1">
      <c r="A347" s="438"/>
      <c r="B347" s="430"/>
      <c r="C347" s="275"/>
      <c r="D347" s="439"/>
      <c r="E347" s="254"/>
      <c r="F347" s="440"/>
      <c r="G347" s="441"/>
      <c r="H347" s="255"/>
      <c r="I347" s="442"/>
      <c r="J347" s="443"/>
      <c r="K347" s="443"/>
      <c r="R347" s="62"/>
    </row>
    <row r="348" ht="15.75" customHeight="1">
      <c r="A348" s="438"/>
      <c r="B348" s="430"/>
      <c r="C348" s="275"/>
      <c r="D348" s="439"/>
      <c r="E348" s="254"/>
      <c r="F348" s="440"/>
      <c r="G348" s="441"/>
      <c r="H348" s="255"/>
      <c r="I348" s="442"/>
      <c r="J348" s="443"/>
      <c r="K348" s="443"/>
      <c r="R348" s="62"/>
    </row>
    <row r="349" ht="15.75" customHeight="1">
      <c r="A349" s="438"/>
      <c r="B349" s="430"/>
      <c r="C349" s="275"/>
      <c r="D349" s="439"/>
      <c r="E349" s="254"/>
      <c r="F349" s="440"/>
      <c r="G349" s="441"/>
      <c r="H349" s="255"/>
      <c r="I349" s="442"/>
      <c r="J349" s="443"/>
      <c r="K349" s="443"/>
      <c r="R349" s="62"/>
    </row>
    <row r="350" ht="15.75" customHeight="1">
      <c r="A350" s="438"/>
      <c r="B350" s="430"/>
      <c r="C350" s="275"/>
      <c r="D350" s="439"/>
      <c r="E350" s="254"/>
      <c r="F350" s="440"/>
      <c r="G350" s="441"/>
      <c r="H350" s="255"/>
      <c r="I350" s="442"/>
      <c r="J350" s="443"/>
      <c r="K350" s="443"/>
      <c r="R350" s="62"/>
    </row>
    <row r="351" ht="15.75" customHeight="1">
      <c r="A351" s="438"/>
      <c r="B351" s="430"/>
      <c r="C351" s="275"/>
      <c r="D351" s="439"/>
      <c r="E351" s="254"/>
      <c r="F351" s="440"/>
      <c r="G351" s="441"/>
      <c r="H351" s="255"/>
      <c r="I351" s="442"/>
      <c r="J351" s="443"/>
      <c r="K351" s="443"/>
      <c r="R351" s="62"/>
    </row>
    <row r="352" ht="15.75" customHeight="1">
      <c r="A352" s="438"/>
      <c r="B352" s="430"/>
      <c r="C352" s="275"/>
      <c r="D352" s="439"/>
      <c r="E352" s="254"/>
      <c r="F352" s="440"/>
      <c r="G352" s="441"/>
      <c r="H352" s="255"/>
      <c r="I352" s="442"/>
      <c r="J352" s="443"/>
      <c r="K352" s="443"/>
      <c r="R352" s="62"/>
    </row>
    <row r="353" ht="15.75" customHeight="1">
      <c r="A353" s="438"/>
      <c r="B353" s="430"/>
      <c r="C353" s="275"/>
      <c r="D353" s="439"/>
      <c r="E353" s="254"/>
      <c r="F353" s="440"/>
      <c r="G353" s="441"/>
      <c r="H353" s="255"/>
      <c r="I353" s="442"/>
      <c r="J353" s="443"/>
      <c r="K353" s="443"/>
      <c r="R353" s="62"/>
    </row>
    <row r="354" ht="15.75" customHeight="1">
      <c r="A354" s="438"/>
      <c r="B354" s="430"/>
      <c r="C354" s="275"/>
      <c r="D354" s="439"/>
      <c r="E354" s="254"/>
      <c r="F354" s="440"/>
      <c r="G354" s="441"/>
      <c r="H354" s="255"/>
      <c r="I354" s="442"/>
      <c r="J354" s="443"/>
      <c r="K354" s="443"/>
      <c r="R354" s="62"/>
    </row>
    <row r="355" ht="15.75" customHeight="1">
      <c r="A355" s="438"/>
      <c r="B355" s="430"/>
      <c r="C355" s="275"/>
      <c r="D355" s="439"/>
      <c r="E355" s="254"/>
      <c r="F355" s="440"/>
      <c r="G355" s="441"/>
      <c r="H355" s="255"/>
      <c r="I355" s="442"/>
      <c r="J355" s="443"/>
      <c r="K355" s="443"/>
      <c r="R355" s="62"/>
    </row>
    <row r="356" ht="15.75" customHeight="1">
      <c r="A356" s="438"/>
      <c r="B356" s="430"/>
      <c r="C356" s="275"/>
      <c r="D356" s="439"/>
      <c r="E356" s="254"/>
      <c r="F356" s="440"/>
      <c r="G356" s="441"/>
      <c r="H356" s="255"/>
      <c r="I356" s="442"/>
      <c r="J356" s="443"/>
      <c r="K356" s="443"/>
      <c r="R356" s="62"/>
    </row>
    <row r="357" ht="15.75" customHeight="1">
      <c r="A357" s="438"/>
      <c r="B357" s="430"/>
      <c r="C357" s="275"/>
      <c r="D357" s="439"/>
      <c r="E357" s="254"/>
      <c r="F357" s="440"/>
      <c r="G357" s="441"/>
      <c r="H357" s="255"/>
      <c r="I357" s="442"/>
      <c r="J357" s="443"/>
      <c r="K357" s="443"/>
      <c r="R357" s="62"/>
    </row>
    <row r="358" ht="15.75" customHeight="1">
      <c r="A358" s="438"/>
      <c r="B358" s="430"/>
      <c r="C358" s="275"/>
      <c r="D358" s="439"/>
      <c r="E358" s="254"/>
      <c r="F358" s="440"/>
      <c r="G358" s="441"/>
      <c r="H358" s="255"/>
      <c r="I358" s="442"/>
      <c r="J358" s="443"/>
      <c r="K358" s="443"/>
      <c r="R358" s="62"/>
    </row>
    <row r="359" ht="15.75" customHeight="1">
      <c r="A359" s="438"/>
      <c r="B359" s="430"/>
      <c r="C359" s="275"/>
      <c r="D359" s="439"/>
      <c r="E359" s="254"/>
      <c r="F359" s="440"/>
      <c r="G359" s="441"/>
      <c r="H359" s="255"/>
      <c r="I359" s="442"/>
      <c r="J359" s="443"/>
      <c r="K359" s="443"/>
      <c r="R359" s="62"/>
    </row>
    <row r="360" ht="15.75" customHeight="1">
      <c r="A360" s="438"/>
      <c r="B360" s="430"/>
      <c r="C360" s="275"/>
      <c r="D360" s="439"/>
      <c r="E360" s="254"/>
      <c r="F360" s="440"/>
      <c r="G360" s="441"/>
      <c r="H360" s="255"/>
      <c r="I360" s="442"/>
      <c r="J360" s="443"/>
      <c r="K360" s="443"/>
      <c r="R360" s="62"/>
    </row>
    <row r="361" ht="15.75" customHeight="1">
      <c r="A361" s="438"/>
      <c r="B361" s="430"/>
      <c r="C361" s="275"/>
      <c r="D361" s="439"/>
      <c r="E361" s="254"/>
      <c r="F361" s="440"/>
      <c r="G361" s="441"/>
      <c r="H361" s="255"/>
      <c r="I361" s="442"/>
      <c r="J361" s="443"/>
      <c r="K361" s="443"/>
      <c r="R361" s="62"/>
    </row>
    <row r="362" ht="15.75" customHeight="1">
      <c r="A362" s="438"/>
      <c r="B362" s="430"/>
      <c r="C362" s="275"/>
      <c r="D362" s="439"/>
      <c r="E362" s="254"/>
      <c r="F362" s="440"/>
      <c r="G362" s="441"/>
      <c r="H362" s="255"/>
      <c r="I362" s="442"/>
      <c r="J362" s="443"/>
      <c r="K362" s="443"/>
      <c r="R362" s="62"/>
    </row>
    <row r="363" ht="15.75" customHeight="1">
      <c r="A363" s="438"/>
      <c r="B363" s="430"/>
      <c r="C363" s="275"/>
      <c r="D363" s="439"/>
      <c r="E363" s="254"/>
      <c r="F363" s="440"/>
      <c r="G363" s="441"/>
      <c r="H363" s="255"/>
      <c r="I363" s="442"/>
      <c r="J363" s="443"/>
      <c r="K363" s="443"/>
      <c r="R363" s="62"/>
    </row>
    <row r="364" ht="15.75" customHeight="1">
      <c r="A364" s="438"/>
      <c r="B364" s="430"/>
      <c r="C364" s="275"/>
      <c r="D364" s="439"/>
      <c r="E364" s="254"/>
      <c r="F364" s="440"/>
      <c r="G364" s="441"/>
      <c r="H364" s="255"/>
      <c r="I364" s="442"/>
      <c r="J364" s="443"/>
      <c r="K364" s="443"/>
      <c r="R364" s="62"/>
    </row>
    <row r="365" ht="15.75" customHeight="1">
      <c r="A365" s="438"/>
      <c r="B365" s="430"/>
      <c r="C365" s="275"/>
      <c r="D365" s="439"/>
      <c r="E365" s="254"/>
      <c r="F365" s="440"/>
      <c r="G365" s="441"/>
      <c r="H365" s="255"/>
      <c r="I365" s="442"/>
      <c r="J365" s="443"/>
      <c r="K365" s="443"/>
      <c r="R365" s="62"/>
    </row>
    <row r="366" ht="15.75" customHeight="1">
      <c r="A366" s="438"/>
      <c r="B366" s="430"/>
      <c r="C366" s="275"/>
      <c r="D366" s="439"/>
      <c r="E366" s="254"/>
      <c r="F366" s="440"/>
      <c r="G366" s="441"/>
      <c r="H366" s="255"/>
      <c r="I366" s="442"/>
      <c r="J366" s="443"/>
      <c r="K366" s="443"/>
      <c r="R366" s="62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A1:K1"/>
    <mergeCell ref="A2:K2"/>
    <mergeCell ref="N4:Q4"/>
    <mergeCell ref="N5:Q5"/>
    <mergeCell ref="A19:K19"/>
    <mergeCell ref="N22:Q22"/>
    <mergeCell ref="N23:Q23"/>
    <mergeCell ref="A20:K20"/>
    <mergeCell ref="A37:K37"/>
    <mergeCell ref="A38:K38"/>
    <mergeCell ref="N40:Q40"/>
    <mergeCell ref="N41:Q41"/>
    <mergeCell ref="A55:K55"/>
    <mergeCell ref="A56:K56"/>
    <mergeCell ref="N58:Q58"/>
    <mergeCell ref="N59:Q59"/>
    <mergeCell ref="A73:K73"/>
    <mergeCell ref="A74:K74"/>
    <mergeCell ref="N76:Q76"/>
    <mergeCell ref="N77:Q77"/>
    <mergeCell ref="A91:K91"/>
    <mergeCell ref="A92:K92"/>
    <mergeCell ref="N94:Q94"/>
    <mergeCell ref="N95:Q95"/>
    <mergeCell ref="A109:K109"/>
    <mergeCell ref="A110:K110"/>
    <mergeCell ref="N112:Q112"/>
    <mergeCell ref="N113:Q113"/>
    <mergeCell ref="N149:Q149"/>
    <mergeCell ref="N164:Q164"/>
    <mergeCell ref="A127:K127"/>
    <mergeCell ref="A128:K128"/>
    <mergeCell ref="N130:Q130"/>
    <mergeCell ref="N131:Q131"/>
    <mergeCell ref="A145:K145"/>
    <mergeCell ref="A146:K146"/>
    <mergeCell ref="N148:Q148"/>
  </mergeCells>
  <dataValidations>
    <dataValidation type="list" allowBlank="1" showErrorMessage="1" sqref="I4:I15 I22:I33 I40:I51 I58:I69 I76:I87 I94:I105 I112:I123 I130:I141 I148:I159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5.0"/>
    <col customWidth="1" min="8" max="8" width="15.75"/>
    <col customWidth="1" min="9" max="9" width="20.38"/>
    <col customWidth="1" min="10" max="10" width="15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hidden="1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hidden="1" customHeight="1">
      <c r="A2" s="21" t="s">
        <v>3532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hidden="1" customHeight="1">
      <c r="A3" s="22"/>
      <c r="B3" s="426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hidden="1" customHeight="1">
      <c r="A4" s="11" t="s">
        <v>10</v>
      </c>
      <c r="B4" s="205" t="s">
        <v>1980</v>
      </c>
      <c r="C4" s="69" t="str">
        <f t="shared" ref="C4:C15" si="1">PROPER(TEXT(DATE(MID($A$2,7,4),MID($A$2,4,2),LEFT($A$2,2)),"dddd"))</f>
        <v>Segunda-Feira</v>
      </c>
      <c r="D4" s="445" t="str">
        <f>IF(C4&lt;&gt;"Quarta-Feira","13:00","08:00")</f>
        <v>13:00</v>
      </c>
      <c r="E4" s="253"/>
      <c r="F4" s="206"/>
      <c r="G4" s="125"/>
      <c r="H4" s="126"/>
      <c r="I4" s="30"/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95"/>
    </row>
    <row r="5" ht="15.75" hidden="1" customHeight="1">
      <c r="A5" s="11" t="s">
        <v>11</v>
      </c>
      <c r="B5" s="205" t="s">
        <v>1984</v>
      </c>
      <c r="C5" s="69" t="str">
        <f t="shared" si="1"/>
        <v>Segunda-Feira</v>
      </c>
      <c r="D5" s="445" t="str">
        <f>IF(C5&lt;&gt;"Quarta-Feira","13:20","08:20")</f>
        <v>13:20</v>
      </c>
      <c r="E5" s="253"/>
      <c r="F5" s="206"/>
      <c r="G5" s="447"/>
      <c r="H5" s="448"/>
      <c r="I5" s="30"/>
      <c r="J5" s="69"/>
      <c r="K5" s="69"/>
      <c r="M5" s="236"/>
      <c r="N5" s="239" t="s">
        <v>1823</v>
      </c>
      <c r="O5" s="2"/>
      <c r="P5" s="2"/>
      <c r="Q5" s="2"/>
      <c r="R5" s="2"/>
    </row>
    <row r="6" ht="15.75" hidden="1" customHeight="1">
      <c r="A6" s="11" t="s">
        <v>12</v>
      </c>
      <c r="B6" s="205" t="s">
        <v>1988</v>
      </c>
      <c r="C6" s="69" t="str">
        <f t="shared" si="1"/>
        <v>Segunda-Feira</v>
      </c>
      <c r="D6" s="445" t="str">
        <f>IF(C6&lt;&gt;"Quarta-Feira","13:40","08:40")</f>
        <v>13:40</v>
      </c>
      <c r="E6" s="253"/>
      <c r="F6" s="206"/>
      <c r="G6" s="125"/>
      <c r="H6" s="126"/>
      <c r="I6" s="30"/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hidden="1" customHeight="1">
      <c r="A7" s="11" t="s">
        <v>13</v>
      </c>
      <c r="B7" s="205" t="s">
        <v>1991</v>
      </c>
      <c r="C7" s="69" t="str">
        <f t="shared" si="1"/>
        <v>Segunda-Feira</v>
      </c>
      <c r="D7" s="445" t="str">
        <f>IF(C7&lt;&gt;"Quarta-Feira","14:00","09:00")</f>
        <v>14:00</v>
      </c>
      <c r="E7" s="253"/>
      <c r="F7" s="69"/>
      <c r="G7" s="125"/>
      <c r="H7" s="429"/>
      <c r="I7" s="30"/>
      <c r="J7" s="69"/>
      <c r="K7" s="69"/>
      <c r="M7" s="62"/>
      <c r="N7" s="244">
        <f t="shared" ref="N7:R7" si="2">COUNTIFS(I$4:I$15,N6)</f>
        <v>0</v>
      </c>
      <c r="O7" s="244">
        <f t="shared" si="2"/>
        <v>0</v>
      </c>
      <c r="P7" s="244">
        <f t="shared" si="2"/>
        <v>0</v>
      </c>
      <c r="Q7" s="244">
        <f t="shared" si="2"/>
        <v>0</v>
      </c>
      <c r="R7" s="449">
        <f t="shared" si="2"/>
        <v>0</v>
      </c>
      <c r="S7" s="343"/>
      <c r="T7" s="343"/>
      <c r="U7" s="343"/>
      <c r="V7" s="343"/>
      <c r="W7" s="343"/>
      <c r="X7" s="450"/>
    </row>
    <row r="8" ht="15.75" hidden="1" customHeight="1">
      <c r="A8" s="11" t="s">
        <v>14</v>
      </c>
      <c r="B8" s="205" t="s">
        <v>1980</v>
      </c>
      <c r="C8" s="69" t="str">
        <f t="shared" si="1"/>
        <v>Segunda-Feira</v>
      </c>
      <c r="D8" s="445" t="str">
        <f>IF(C8&lt;&gt;"Quarta-Feira","14:20","09:20")</f>
        <v>14:20</v>
      </c>
      <c r="E8" s="253"/>
      <c r="F8" s="206"/>
      <c r="G8" s="265"/>
      <c r="H8" s="451"/>
      <c r="I8" s="30"/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hidden="1" customHeight="1">
      <c r="A9" s="11" t="s">
        <v>15</v>
      </c>
      <c r="B9" s="205" t="s">
        <v>1984</v>
      </c>
      <c r="C9" s="69" t="str">
        <f t="shared" si="1"/>
        <v>Segunda-Feira</v>
      </c>
      <c r="D9" s="445" t="str">
        <f>IF(C9&lt;&gt;"Quarta-Feira","14:40","09:40")</f>
        <v>14:40</v>
      </c>
      <c r="E9" s="253"/>
      <c r="F9" s="452"/>
      <c r="G9" s="447"/>
      <c r="H9" s="448"/>
      <c r="I9" s="30"/>
      <c r="J9" s="69"/>
      <c r="K9" s="69"/>
      <c r="L9" s="197" t="s">
        <v>393</v>
      </c>
      <c r="R9" s="62"/>
    </row>
    <row r="10" ht="15.75" hidden="1" customHeight="1">
      <c r="A10" s="11" t="s">
        <v>16</v>
      </c>
      <c r="B10" s="205" t="s">
        <v>1988</v>
      </c>
      <c r="C10" s="69" t="str">
        <f t="shared" si="1"/>
        <v>Segunda-Feira</v>
      </c>
      <c r="D10" s="445" t="str">
        <f>IF(C10&lt;&gt;"Quarta-Feira","15:00","10:00")</f>
        <v>15:00</v>
      </c>
      <c r="E10" s="253"/>
      <c r="F10" s="206"/>
      <c r="G10" s="125"/>
      <c r="H10" s="126"/>
      <c r="I10" s="30"/>
      <c r="J10" s="69"/>
      <c r="K10" s="69"/>
      <c r="L10" s="197" t="s">
        <v>393</v>
      </c>
      <c r="R10" s="62"/>
    </row>
    <row r="11" ht="15.75" hidden="1" customHeight="1">
      <c r="A11" s="11" t="s">
        <v>17</v>
      </c>
      <c r="B11" s="205" t="s">
        <v>1991</v>
      </c>
      <c r="C11" s="69" t="str">
        <f t="shared" si="1"/>
        <v>Segunda-Feira</v>
      </c>
      <c r="D11" s="445" t="str">
        <f>IF(C11&lt;&gt;"Quarta-Feira","15:20","10:20")</f>
        <v>15:20</v>
      </c>
      <c r="E11" s="253"/>
      <c r="F11" s="206"/>
      <c r="G11" s="125"/>
      <c r="H11" s="432"/>
      <c r="I11" s="30"/>
      <c r="J11" s="69"/>
      <c r="K11" s="69"/>
      <c r="L11" s="197" t="s">
        <v>393</v>
      </c>
      <c r="R11" s="62"/>
    </row>
    <row r="12" ht="15.75" hidden="1" customHeight="1">
      <c r="A12" s="11" t="s">
        <v>85</v>
      </c>
      <c r="B12" s="205" t="s">
        <v>1980</v>
      </c>
      <c r="C12" s="69" t="str">
        <f t="shared" si="1"/>
        <v>Segunda-Feira</v>
      </c>
      <c r="D12" s="445" t="str">
        <f>IF(C12&lt;&gt;"Quarta-Feira","15:40","10:40")</f>
        <v>15:40</v>
      </c>
      <c r="E12" s="253"/>
      <c r="F12" s="69"/>
      <c r="G12" s="154"/>
      <c r="H12" s="78"/>
      <c r="I12" s="30"/>
      <c r="J12" s="69"/>
      <c r="K12" s="69"/>
      <c r="L12" s="197" t="s">
        <v>393</v>
      </c>
      <c r="R12" s="62"/>
    </row>
    <row r="13" ht="15.75" hidden="1" customHeight="1">
      <c r="A13" s="11" t="s">
        <v>87</v>
      </c>
      <c r="B13" s="205" t="s">
        <v>1984</v>
      </c>
      <c r="C13" s="69" t="str">
        <f t="shared" si="1"/>
        <v>Segunda-Feira</v>
      </c>
      <c r="D13" s="445" t="str">
        <f>IF(C13&lt;&gt;"Quarta-Feira","16:00","11:00")</f>
        <v>16:00</v>
      </c>
      <c r="E13" s="253"/>
      <c r="F13" s="69"/>
      <c r="G13" s="154"/>
      <c r="H13" s="153"/>
      <c r="I13" s="30"/>
      <c r="J13" s="69"/>
      <c r="K13" s="69"/>
      <c r="L13" s="197" t="s">
        <v>393</v>
      </c>
      <c r="R13" s="62"/>
    </row>
    <row r="14" ht="15.75" hidden="1" customHeight="1">
      <c r="A14" s="11" t="s">
        <v>90</v>
      </c>
      <c r="B14" s="205" t="s">
        <v>1988</v>
      </c>
      <c r="C14" s="69" t="str">
        <f t="shared" si="1"/>
        <v>Segunda-Feira</v>
      </c>
      <c r="D14" s="445" t="str">
        <f>IF(C14&lt;&gt;"Quarta-Feira","16:20","11:20")</f>
        <v>16:20</v>
      </c>
      <c r="E14" s="253"/>
      <c r="F14" s="69"/>
      <c r="G14" s="154"/>
      <c r="H14" s="153"/>
      <c r="I14" s="30"/>
      <c r="J14" s="69"/>
      <c r="K14" s="69"/>
      <c r="L14" s="197" t="s">
        <v>393</v>
      </c>
      <c r="R14" s="62"/>
    </row>
    <row r="15" ht="15.75" hidden="1" customHeight="1">
      <c r="A15" s="11" t="s">
        <v>93</v>
      </c>
      <c r="B15" s="205" t="s">
        <v>1991</v>
      </c>
      <c r="C15" s="69" t="str">
        <f t="shared" si="1"/>
        <v>Segunda-Feira</v>
      </c>
      <c r="D15" s="445" t="str">
        <f>IF(C15&lt;&gt;"Quarta-Feira","16:40","11:40")</f>
        <v>16:40</v>
      </c>
      <c r="E15" s="253"/>
      <c r="F15" s="69"/>
      <c r="G15" s="154"/>
      <c r="H15" s="153"/>
      <c r="I15" s="30"/>
      <c r="J15" s="69"/>
      <c r="K15" s="69"/>
      <c r="L15" s="197" t="s">
        <v>393</v>
      </c>
      <c r="R15" s="62"/>
    </row>
    <row r="16" ht="15.75" hidden="1" customHeight="1">
      <c r="B16" s="167"/>
      <c r="E16" s="231"/>
      <c r="G16" s="167"/>
      <c r="J16" s="62"/>
      <c r="K16" s="62"/>
      <c r="R16" s="62"/>
    </row>
    <row r="17" ht="15.75" hidden="1" customHeight="1">
      <c r="B17" s="167"/>
      <c r="E17" s="231"/>
      <c r="G17" s="167"/>
      <c r="J17" s="62"/>
      <c r="K17" s="62"/>
      <c r="R17" s="62"/>
    </row>
    <row r="18" ht="15.75" hidden="1" customHeight="1">
      <c r="B18" s="167"/>
      <c r="E18" s="231"/>
      <c r="G18" s="167"/>
      <c r="J18" s="62"/>
      <c r="K18" s="62"/>
      <c r="R18" s="62"/>
    </row>
    <row r="19" ht="15.75" customHeight="1">
      <c r="A19" s="20" t="s">
        <v>377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22.5" customHeight="1">
      <c r="A20" s="21" t="s">
        <v>3901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7.25" customHeight="1">
      <c r="A21" s="22"/>
      <c r="B21" s="426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125" t="s">
        <v>65</v>
      </c>
      <c r="C22" s="69" t="str">
        <f t="shared" ref="C22:C33" si="3">PROPER(TEXT(DATE(MID($A$20,7,4),MID($A$20,4,2),LEFT($A$20,2)),"dddd"))</f>
        <v>Quarta-Feira</v>
      </c>
      <c r="D22" s="445" t="str">
        <f>IF(C22&lt;&gt;"Quarta-Feira","13:00","08:00")</f>
        <v>08:00</v>
      </c>
      <c r="E22" s="253" t="s">
        <v>3902</v>
      </c>
      <c r="F22" s="69">
        <v>7.02903545560271E14</v>
      </c>
      <c r="G22" s="154" t="s">
        <v>3903</v>
      </c>
      <c r="H22" s="156">
        <v>25761.0</v>
      </c>
      <c r="I22" s="69" t="s">
        <v>182</v>
      </c>
      <c r="J22" s="69"/>
      <c r="K22" s="69"/>
      <c r="N22" s="237" t="s">
        <v>386</v>
      </c>
      <c r="O22" s="95"/>
      <c r="P22" s="95"/>
      <c r="Q22" s="95"/>
      <c r="R22" s="95"/>
    </row>
    <row r="23" ht="15.75" customHeight="1">
      <c r="A23" s="11" t="s">
        <v>11</v>
      </c>
      <c r="B23" s="125" t="s">
        <v>201</v>
      </c>
      <c r="C23" s="69" t="str">
        <f t="shared" si="3"/>
        <v>Quarta-Feira</v>
      </c>
      <c r="D23" s="445" t="str">
        <f>IF(C23&lt;&gt;"Quarta-Feira","13:20","08:20")</f>
        <v>08:20</v>
      </c>
      <c r="E23" s="253" t="s">
        <v>3904</v>
      </c>
      <c r="F23" s="253" t="s">
        <v>3905</v>
      </c>
      <c r="G23" s="154" t="s">
        <v>3906</v>
      </c>
      <c r="H23" s="153">
        <v>20810.0</v>
      </c>
      <c r="I23" s="69" t="s">
        <v>1822</v>
      </c>
      <c r="J23" s="69"/>
      <c r="K23" s="69"/>
      <c r="N23" s="239" t="s">
        <v>1823</v>
      </c>
      <c r="O23" s="2"/>
      <c r="P23" s="2"/>
      <c r="Q23" s="2"/>
      <c r="R23" s="2"/>
    </row>
    <row r="24" ht="15.75" customHeight="1">
      <c r="A24" s="11" t="s">
        <v>12</v>
      </c>
      <c r="B24" s="125" t="s">
        <v>1447</v>
      </c>
      <c r="C24" s="69" t="str">
        <f t="shared" si="3"/>
        <v>Quarta-Feira</v>
      </c>
      <c r="D24" s="445" t="str">
        <f>IF(C24&lt;&gt;"Quarta-Feira","13:40","08:40")</f>
        <v>08:40</v>
      </c>
      <c r="E24" s="253" t="s">
        <v>3907</v>
      </c>
      <c r="F24" s="69">
        <v>1.04009158600018E14</v>
      </c>
      <c r="G24" s="154" t="s">
        <v>3908</v>
      </c>
      <c r="H24" s="153">
        <v>18322.0</v>
      </c>
      <c r="I24" s="69" t="s">
        <v>182</v>
      </c>
      <c r="J24" s="69"/>
      <c r="K24" s="69"/>
      <c r="N24" s="240" t="s">
        <v>182</v>
      </c>
      <c r="O24" s="241" t="s">
        <v>194</v>
      </c>
      <c r="P24" s="241" t="s">
        <v>180</v>
      </c>
      <c r="Q24" s="242" t="s">
        <v>172</v>
      </c>
      <c r="R24" s="242" t="s">
        <v>1822</v>
      </c>
    </row>
    <row r="25" ht="15.75" customHeight="1">
      <c r="A25" s="11" t="s">
        <v>13</v>
      </c>
      <c r="B25" s="125" t="s">
        <v>821</v>
      </c>
      <c r="C25" s="69" t="str">
        <f t="shared" si="3"/>
        <v>Quarta-Feira</v>
      </c>
      <c r="D25" s="445" t="str">
        <f>IF(C25&lt;&gt;"Quarta-Feira","14:00","09:00")</f>
        <v>09:00</v>
      </c>
      <c r="E25" s="253" t="s">
        <v>3909</v>
      </c>
      <c r="F25" s="69">
        <v>7.01005896010195E14</v>
      </c>
      <c r="G25" s="154" t="s">
        <v>3910</v>
      </c>
      <c r="H25" s="153">
        <v>21967.0</v>
      </c>
      <c r="I25" s="69" t="s">
        <v>182</v>
      </c>
      <c r="J25" s="69"/>
      <c r="K25" s="69"/>
      <c r="L25" s="197" t="s">
        <v>441</v>
      </c>
      <c r="N25" s="244">
        <f>COUNTIFS(I$22:I$33,N24)</f>
        <v>10</v>
      </c>
      <c r="O25" s="244">
        <f t="shared" ref="O25:R25" si="4">COUNTIFS($I$22:$I$33,O24)</f>
        <v>0</v>
      </c>
      <c r="P25" s="244">
        <f t="shared" si="4"/>
        <v>0</v>
      </c>
      <c r="Q25" s="244">
        <f t="shared" si="4"/>
        <v>0</v>
      </c>
      <c r="R25" s="62">
        <f t="shared" si="4"/>
        <v>2</v>
      </c>
    </row>
    <row r="26" ht="15.75" customHeight="1">
      <c r="A26" s="11" t="s">
        <v>14</v>
      </c>
      <c r="B26" s="125" t="s">
        <v>201</v>
      </c>
      <c r="C26" s="69" t="str">
        <f t="shared" si="3"/>
        <v>Quarta-Feira</v>
      </c>
      <c r="D26" s="445" t="str">
        <f>IF(C26&lt;&gt;"Quarta-Feira","14:20","09:20")</f>
        <v>09:20</v>
      </c>
      <c r="E26" s="253" t="s">
        <v>3911</v>
      </c>
      <c r="F26" s="69">
        <v>8.01440409797249E14</v>
      </c>
      <c r="G26" s="154" t="s">
        <v>3912</v>
      </c>
      <c r="H26" s="153">
        <v>17464.0</v>
      </c>
      <c r="I26" s="69" t="s">
        <v>1822</v>
      </c>
      <c r="J26" s="69"/>
      <c r="K26" s="69"/>
      <c r="L26" s="197" t="s">
        <v>441</v>
      </c>
      <c r="R26" s="62"/>
    </row>
    <row r="27" ht="15.75" customHeight="1">
      <c r="A27" s="11" t="s">
        <v>15</v>
      </c>
      <c r="B27" s="125" t="s">
        <v>1447</v>
      </c>
      <c r="C27" s="69" t="str">
        <f t="shared" si="3"/>
        <v>Quarta-Feira</v>
      </c>
      <c r="D27" s="445" t="str">
        <f>IF(C27&lt;&gt;"Quarta-Feira","14:40","09:40")</f>
        <v>09:40</v>
      </c>
      <c r="E27" s="253" t="s">
        <v>3177</v>
      </c>
      <c r="F27" s="69">
        <v>7.02906536748177E14</v>
      </c>
      <c r="G27" s="154" t="s">
        <v>3178</v>
      </c>
      <c r="H27" s="153">
        <v>27620.0</v>
      </c>
      <c r="I27" s="69" t="s">
        <v>182</v>
      </c>
      <c r="J27" s="69"/>
      <c r="K27" s="69"/>
      <c r="L27" s="197" t="s">
        <v>441</v>
      </c>
      <c r="R27" s="62"/>
    </row>
    <row r="28" ht="15.75" customHeight="1">
      <c r="A28" s="11" t="s">
        <v>16</v>
      </c>
      <c r="B28" s="125" t="s">
        <v>65</v>
      </c>
      <c r="C28" s="69" t="str">
        <f t="shared" si="3"/>
        <v>Quarta-Feira</v>
      </c>
      <c r="D28" s="445" t="str">
        <f>IF(C28&lt;&gt;"Quarta-Feira","15:00","10:00")</f>
        <v>10:00</v>
      </c>
      <c r="E28" s="253" t="s">
        <v>3913</v>
      </c>
      <c r="F28" s="69">
        <v>8.98000189528798E14</v>
      </c>
      <c r="G28" s="154" t="s">
        <v>3914</v>
      </c>
      <c r="H28" s="153">
        <v>17801.0</v>
      </c>
      <c r="I28" s="69" t="s">
        <v>182</v>
      </c>
      <c r="J28" s="69"/>
      <c r="K28" s="69"/>
      <c r="L28" s="197" t="s">
        <v>441</v>
      </c>
      <c r="R28" s="62"/>
    </row>
    <row r="29" ht="15.75" customHeight="1">
      <c r="A29" s="11" t="s">
        <v>17</v>
      </c>
      <c r="B29" s="125" t="s">
        <v>201</v>
      </c>
      <c r="C29" s="69" t="str">
        <f t="shared" si="3"/>
        <v>Quarta-Feira</v>
      </c>
      <c r="D29" s="445" t="str">
        <f>IF(C29&lt;&gt;"Quarta-Feira","15:20","10:20")</f>
        <v>10:20</v>
      </c>
      <c r="E29" s="253" t="s">
        <v>3915</v>
      </c>
      <c r="F29" s="69">
        <v>7.0680715498343E14</v>
      </c>
      <c r="G29" s="154" t="s">
        <v>3916</v>
      </c>
      <c r="H29" s="153">
        <v>18848.0</v>
      </c>
      <c r="I29" s="69" t="s">
        <v>182</v>
      </c>
      <c r="J29" s="69"/>
      <c r="K29" s="69"/>
      <c r="L29" s="197" t="s">
        <v>441</v>
      </c>
      <c r="R29" s="62"/>
    </row>
    <row r="30" ht="15.75" customHeight="1">
      <c r="A30" s="11" t="s">
        <v>85</v>
      </c>
      <c r="B30" s="125" t="s">
        <v>821</v>
      </c>
      <c r="C30" s="69" t="str">
        <f t="shared" si="3"/>
        <v>Quarta-Feira</v>
      </c>
      <c r="D30" s="445" t="str">
        <f>IF(C30&lt;&gt;"Quarta-Feira","15:40","10:40")</f>
        <v>10:40</v>
      </c>
      <c r="E30" s="253" t="s">
        <v>3917</v>
      </c>
      <c r="F30" s="69">
        <v>7.04007330059363E14</v>
      </c>
      <c r="G30" s="154" t="s">
        <v>3918</v>
      </c>
      <c r="H30" s="153">
        <v>25373.0</v>
      </c>
      <c r="I30" s="69" t="s">
        <v>182</v>
      </c>
      <c r="J30" s="69"/>
      <c r="K30" s="69"/>
      <c r="R30" s="62"/>
    </row>
    <row r="31" ht="15.75" customHeight="1">
      <c r="A31" s="11" t="s">
        <v>87</v>
      </c>
      <c r="B31" s="125" t="s">
        <v>1447</v>
      </c>
      <c r="C31" s="69" t="str">
        <f t="shared" si="3"/>
        <v>Quarta-Feira</v>
      </c>
      <c r="D31" s="445" t="str">
        <f>IF(C31&lt;&gt;"Quarta-Feira","16:00","11:00")</f>
        <v>11:00</v>
      </c>
      <c r="E31" s="253" t="s">
        <v>3919</v>
      </c>
      <c r="F31" s="69">
        <v>7.0040192700084E14</v>
      </c>
      <c r="G31" s="154" t="s">
        <v>3920</v>
      </c>
      <c r="H31" s="153">
        <v>19470.0</v>
      </c>
      <c r="I31" s="69" t="s">
        <v>182</v>
      </c>
      <c r="J31" s="69"/>
      <c r="K31" s="69"/>
      <c r="L31" s="197" t="s">
        <v>454</v>
      </c>
      <c r="R31" s="62"/>
    </row>
    <row r="32" ht="15.75" customHeight="1">
      <c r="A32" s="11" t="s">
        <v>90</v>
      </c>
      <c r="B32" s="125" t="s">
        <v>821</v>
      </c>
      <c r="C32" s="69" t="str">
        <f t="shared" si="3"/>
        <v>Quarta-Feira</v>
      </c>
      <c r="D32" s="445" t="str">
        <f>IF(C32&lt;&gt;"Quarta-Feira","16:20","11:20")</f>
        <v>11:20</v>
      </c>
      <c r="E32" s="253" t="s">
        <v>3921</v>
      </c>
      <c r="F32" s="69">
        <v>7.01401603810233E14</v>
      </c>
      <c r="G32" s="154" t="s">
        <v>3922</v>
      </c>
      <c r="H32" s="153">
        <v>13408.0</v>
      </c>
      <c r="I32" s="69" t="s">
        <v>182</v>
      </c>
      <c r="J32" s="69"/>
      <c r="K32" s="69"/>
      <c r="R32" s="62"/>
    </row>
    <row r="33" ht="15.75" customHeight="1">
      <c r="A33" s="11" t="s">
        <v>93</v>
      </c>
      <c r="B33" s="125" t="s">
        <v>65</v>
      </c>
      <c r="C33" s="69" t="str">
        <f t="shared" si="3"/>
        <v>Quarta-Feira</v>
      </c>
      <c r="D33" s="445" t="str">
        <f>IF(C33&lt;&gt;"Quarta-Feira","16:40","11:40")</f>
        <v>11:40</v>
      </c>
      <c r="E33" s="253" t="s">
        <v>1009</v>
      </c>
      <c r="F33" s="69">
        <v>7.09603688348772E14</v>
      </c>
      <c r="G33" s="154" t="s">
        <v>1010</v>
      </c>
      <c r="H33" s="153">
        <v>28469.0</v>
      </c>
      <c r="I33" s="69" t="s">
        <v>182</v>
      </c>
      <c r="J33" s="69"/>
      <c r="K33" s="69"/>
      <c r="R33" s="62"/>
    </row>
    <row r="34" ht="15.75" customHeight="1">
      <c r="B34" s="167"/>
      <c r="E34" s="231"/>
      <c r="G34" s="167"/>
      <c r="J34" s="62"/>
      <c r="K34" s="62"/>
      <c r="R34" s="62"/>
    </row>
    <row r="35" ht="15.75" customHeight="1">
      <c r="B35" s="167"/>
      <c r="E35" s="231"/>
      <c r="G35" s="167"/>
      <c r="J35" s="62"/>
      <c r="K35" s="62"/>
      <c r="R35" s="62"/>
    </row>
    <row r="36" ht="15.75" customHeight="1">
      <c r="B36" s="167"/>
      <c r="E36" s="231"/>
      <c r="G36" s="167"/>
      <c r="J36" s="62"/>
      <c r="K36" s="62"/>
      <c r="R36" s="62"/>
    </row>
    <row r="37" ht="15.75" customHeight="1">
      <c r="A37" s="20" t="s">
        <v>377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1" t="str">
        <f>TEXT(DATE(VALUE(MID(A20,7,4)),VALUE(MID(A20,4,2)),VALUE(LEFT(A20,2)))+2,"dd/mm/yyyy")&amp;" 13h às 17h"</f>
        <v>03/07/2026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426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125" t="s">
        <v>757</v>
      </c>
      <c r="C40" s="69" t="str">
        <f t="shared" ref="C40:C51" si="5">PROPER(TEXT(DATE(MID($A$38,7,4),MID($A$38,4,2),LEFT($A$38,2)),"dddd"))</f>
        <v>Sexta-Feira</v>
      </c>
      <c r="D40" s="445" t="str">
        <f>IF(C40&lt;&gt;"Quarta-Feira","13:00","08:00")</f>
        <v>13:00</v>
      </c>
      <c r="E40" s="253"/>
      <c r="F40" s="69"/>
      <c r="G40" s="154"/>
      <c r="H40" s="193"/>
      <c r="I40" s="30"/>
      <c r="J40" s="69"/>
      <c r="K40" s="69"/>
      <c r="N40" s="237" t="s">
        <v>386</v>
      </c>
      <c r="O40" s="95"/>
      <c r="P40" s="95"/>
      <c r="Q40" s="95"/>
      <c r="R40" s="95"/>
    </row>
    <row r="41" ht="15.75" customHeight="1">
      <c r="A41" s="11" t="s">
        <v>15</v>
      </c>
      <c r="B41" s="125" t="s">
        <v>1467</v>
      </c>
      <c r="C41" s="69" t="str">
        <f t="shared" si="5"/>
        <v>Sexta-Feira</v>
      </c>
      <c r="D41" s="445" t="str">
        <f>IF(C41&lt;&gt;"Quarta-Feira","13:20","08:20")</f>
        <v>13:20</v>
      </c>
      <c r="E41" s="253"/>
      <c r="F41" s="69"/>
      <c r="G41" s="154"/>
      <c r="H41" s="193"/>
      <c r="I41" s="30"/>
      <c r="J41" s="69"/>
      <c r="K41" s="69"/>
      <c r="R41" s="62"/>
    </row>
    <row r="42" ht="15.75" customHeight="1">
      <c r="A42" s="11" t="s">
        <v>12</v>
      </c>
      <c r="B42" s="125" t="s">
        <v>216</v>
      </c>
      <c r="C42" s="69" t="str">
        <f t="shared" si="5"/>
        <v>Sexta-Feira</v>
      </c>
      <c r="D42" s="445" t="str">
        <f>IF(C42&lt;&gt;"Quarta-Feira","13:40","08:40")</f>
        <v>13:40</v>
      </c>
      <c r="E42" s="253"/>
      <c r="F42" s="69"/>
      <c r="G42" s="154"/>
      <c r="H42" s="193"/>
      <c r="I42" s="30"/>
      <c r="J42" s="69"/>
      <c r="K42" s="69"/>
      <c r="N42" s="240" t="s">
        <v>182</v>
      </c>
      <c r="O42" s="241" t="s">
        <v>194</v>
      </c>
      <c r="P42" s="241" t="s">
        <v>180</v>
      </c>
      <c r="Q42" s="242" t="s">
        <v>172</v>
      </c>
      <c r="R42" s="62" t="s">
        <v>1822</v>
      </c>
    </row>
    <row r="43" ht="15.75" customHeight="1">
      <c r="A43" s="11" t="s">
        <v>13</v>
      </c>
      <c r="B43" s="125" t="s">
        <v>197</v>
      </c>
      <c r="C43" s="69" t="str">
        <f t="shared" si="5"/>
        <v>Sexta-Feira</v>
      </c>
      <c r="D43" s="445" t="str">
        <f>IF(C43&lt;&gt;"Quarta-Feira","14:00","09:00")</f>
        <v>14:00</v>
      </c>
      <c r="E43" s="253" t="s">
        <v>3923</v>
      </c>
      <c r="F43" s="69">
        <v>7.0810267156014E14</v>
      </c>
      <c r="G43" s="154" t="s">
        <v>3924</v>
      </c>
      <c r="H43" s="193">
        <v>27167.0</v>
      </c>
      <c r="I43" s="30"/>
      <c r="J43" s="69"/>
      <c r="K43" s="69"/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0</v>
      </c>
    </row>
    <row r="44" ht="15.75" customHeight="1">
      <c r="A44" s="11" t="s">
        <v>14</v>
      </c>
      <c r="B44" s="125" t="s">
        <v>757</v>
      </c>
      <c r="C44" s="69" t="str">
        <f t="shared" si="5"/>
        <v>Sexta-Feira</v>
      </c>
      <c r="D44" s="445" t="str">
        <f>IF(C44&lt;&gt;"Quarta-Feira","14:20","09:20")</f>
        <v>14:20</v>
      </c>
      <c r="E44" s="253"/>
      <c r="F44" s="69"/>
      <c r="G44" s="154"/>
      <c r="H44" s="193"/>
      <c r="I44" s="30"/>
      <c r="J44" s="69"/>
      <c r="K44" s="69"/>
      <c r="R44" s="62"/>
    </row>
    <row r="45" ht="15.75" customHeight="1">
      <c r="A45" s="11" t="s">
        <v>11</v>
      </c>
      <c r="B45" s="125" t="s">
        <v>1467</v>
      </c>
      <c r="C45" s="69" t="str">
        <f t="shared" si="5"/>
        <v>Sexta-Feira</v>
      </c>
      <c r="D45" s="445" t="str">
        <f>IF(C45&lt;&gt;"Quarta-Feira","14:40","09:40")</f>
        <v>14:40</v>
      </c>
      <c r="E45" s="253" t="s">
        <v>3925</v>
      </c>
      <c r="F45" s="69">
        <v>7.08407223577963E14</v>
      </c>
      <c r="G45" s="154" t="s">
        <v>3926</v>
      </c>
      <c r="H45" s="156">
        <v>24283.0</v>
      </c>
      <c r="I45" s="30"/>
      <c r="J45" s="69"/>
      <c r="K45" s="69"/>
      <c r="N45" s="239" t="s">
        <v>1823</v>
      </c>
      <c r="O45" s="2"/>
      <c r="P45" s="2"/>
      <c r="Q45" s="2"/>
      <c r="R45" s="2"/>
    </row>
    <row r="46" ht="15.75" customHeight="1">
      <c r="A46" s="11" t="s">
        <v>16</v>
      </c>
      <c r="B46" s="125" t="s">
        <v>216</v>
      </c>
      <c r="C46" s="69" t="str">
        <f t="shared" si="5"/>
        <v>Sexta-Feira</v>
      </c>
      <c r="D46" s="445" t="str">
        <f>IF(C46&lt;&gt;"Quarta-Feira","15:00","10:00")</f>
        <v>15:00</v>
      </c>
      <c r="E46" s="253"/>
      <c r="F46" s="69"/>
      <c r="G46" s="154"/>
      <c r="H46" s="193"/>
      <c r="I46" s="30"/>
      <c r="J46" s="69"/>
      <c r="K46" s="69"/>
      <c r="R46" s="62"/>
    </row>
    <row r="47" ht="15.75" customHeight="1">
      <c r="A47" s="11" t="s">
        <v>17</v>
      </c>
      <c r="B47" s="125" t="s">
        <v>197</v>
      </c>
      <c r="C47" s="69" t="str">
        <f t="shared" si="5"/>
        <v>Sexta-Feira</v>
      </c>
      <c r="D47" s="445" t="str">
        <f>IF(C47&lt;&gt;"Quarta-Feira","15:20","10:20")</f>
        <v>15:20</v>
      </c>
      <c r="E47" s="253"/>
      <c r="F47" s="69"/>
      <c r="G47" s="154"/>
      <c r="H47" s="193"/>
      <c r="I47" s="30"/>
      <c r="J47" s="69"/>
      <c r="K47" s="69"/>
      <c r="R47" s="62"/>
    </row>
    <row r="48" ht="15.75" customHeight="1">
      <c r="A48" s="11" t="s">
        <v>85</v>
      </c>
      <c r="B48" s="125" t="s">
        <v>1467</v>
      </c>
      <c r="C48" s="69" t="str">
        <f t="shared" si="5"/>
        <v>Sexta-Feira</v>
      </c>
      <c r="D48" s="445" t="str">
        <f>IF(C48&lt;&gt;"Quarta-Feira","15:40","10:40")</f>
        <v>15:40</v>
      </c>
      <c r="E48" s="253" t="s">
        <v>3927</v>
      </c>
      <c r="F48" s="69">
        <v>2.09795318660002E14</v>
      </c>
      <c r="G48" s="154" t="s">
        <v>3928</v>
      </c>
      <c r="H48" s="193">
        <v>21109.0</v>
      </c>
      <c r="I48" s="30"/>
      <c r="J48" s="69"/>
      <c r="K48" s="69"/>
      <c r="R48" s="62"/>
    </row>
    <row r="49" ht="15.75" customHeight="1">
      <c r="A49" s="11" t="s">
        <v>87</v>
      </c>
      <c r="B49" s="125" t="s">
        <v>757</v>
      </c>
      <c r="C49" s="69" t="str">
        <f t="shared" si="5"/>
        <v>Sexta-Feira</v>
      </c>
      <c r="D49" s="445" t="str">
        <f>IF(C49&lt;&gt;"Quarta-Feira","16:00","11:00")</f>
        <v>16:00</v>
      </c>
      <c r="E49" s="253"/>
      <c r="F49" s="404"/>
      <c r="G49" s="154"/>
      <c r="H49" s="193"/>
      <c r="I49" s="30"/>
      <c r="J49" s="69"/>
      <c r="K49" s="69"/>
      <c r="R49" s="62"/>
    </row>
    <row r="50" ht="15.75" customHeight="1">
      <c r="A50" s="11" t="s">
        <v>90</v>
      </c>
      <c r="B50" s="125" t="s">
        <v>757</v>
      </c>
      <c r="C50" s="69" t="str">
        <f t="shared" si="5"/>
        <v>Sexta-Feira</v>
      </c>
      <c r="D50" s="445" t="str">
        <f>IF(C50&lt;&gt;"Quarta-Feira","16:20","11:20")</f>
        <v>16:20</v>
      </c>
      <c r="E50" s="253"/>
      <c r="F50" s="69"/>
      <c r="G50" s="154"/>
      <c r="H50" s="453"/>
      <c r="I50" s="30"/>
      <c r="J50" s="69"/>
      <c r="K50" s="69"/>
      <c r="R50" s="62"/>
    </row>
    <row r="51" ht="15.75" customHeight="1">
      <c r="A51" s="11" t="s">
        <v>93</v>
      </c>
      <c r="B51" s="125" t="s">
        <v>757</v>
      </c>
      <c r="C51" s="69" t="str">
        <f t="shared" si="5"/>
        <v>Sexta-Feira</v>
      </c>
      <c r="D51" s="445" t="str">
        <f>IF(C51&lt;&gt;"Quarta-Feira","16:40","11:40")</f>
        <v>16:40</v>
      </c>
      <c r="E51" s="253"/>
      <c r="F51" s="69"/>
      <c r="G51" s="154"/>
      <c r="H51" s="193"/>
      <c r="I51" s="30"/>
      <c r="J51" s="69"/>
      <c r="K51" s="69"/>
      <c r="R51" s="62"/>
    </row>
    <row r="52" ht="15.75" customHeight="1">
      <c r="B52" s="167"/>
      <c r="E52" s="454"/>
      <c r="G52" s="167"/>
      <c r="J52" s="62"/>
      <c r="K52" s="62"/>
      <c r="R52" s="62"/>
    </row>
    <row r="53" ht="15.75" customHeight="1">
      <c r="B53" s="167"/>
      <c r="E53" s="231"/>
      <c r="G53" s="167"/>
      <c r="J53" s="62"/>
      <c r="K53" s="62"/>
      <c r="R53" s="62"/>
    </row>
    <row r="54" ht="15.75" customHeight="1">
      <c r="B54" s="167"/>
      <c r="E54" s="231"/>
      <c r="G54" s="167"/>
      <c r="J54" s="62"/>
      <c r="K54" s="62"/>
      <c r="R54" s="62"/>
    </row>
    <row r="55" ht="15.75" customHeight="1">
      <c r="A55" s="20" t="s">
        <v>377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TEXT(DATE(VALUE(MID(A38,7,4)),VALUE(MID(A38,4,2)),VALUE(LEFT(A38,2)))+3,"dd/mm/yyyy")&amp;" 13h às 17h"</f>
        <v>06/07/2026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426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8.75" customHeight="1">
      <c r="A58" s="11" t="s">
        <v>10</v>
      </c>
      <c r="B58" s="125" t="s">
        <v>1357</v>
      </c>
      <c r="C58" s="69" t="str">
        <f>PROPER(TEXT(DATE(MID($A$56,7,4),MID($A$56,4,2),LEFT($A$56,2)),"dddd"))</f>
        <v>Segunda-Feira</v>
      </c>
      <c r="D58" s="445" t="str">
        <f>IF(C58&lt;&gt;"Quarta-Feira","13:00","08:00")</f>
        <v>13:00</v>
      </c>
      <c r="E58" s="253"/>
      <c r="F58" s="69"/>
      <c r="G58" s="154"/>
      <c r="H58" s="455"/>
      <c r="I58" s="30"/>
      <c r="J58" s="69"/>
      <c r="K58" s="69"/>
      <c r="N58" s="237" t="s">
        <v>386</v>
      </c>
      <c r="O58" s="95"/>
      <c r="P58" s="95"/>
      <c r="Q58" s="95"/>
      <c r="R58" s="95"/>
    </row>
    <row r="59" ht="15.75" customHeight="1">
      <c r="A59" s="11" t="s">
        <v>11</v>
      </c>
      <c r="B59" s="125" t="s">
        <v>1358</v>
      </c>
      <c r="C59" s="69" t="s">
        <v>1294</v>
      </c>
      <c r="D59" s="445" t="str">
        <f>IF(C59&lt;&gt;"Quarta-Feira","13:20","08:20")</f>
        <v>13:20</v>
      </c>
      <c r="E59" s="253"/>
      <c r="F59" s="69"/>
      <c r="G59" s="154"/>
      <c r="H59" s="193"/>
      <c r="I59" s="30"/>
      <c r="J59" s="69"/>
      <c r="K59" s="69"/>
      <c r="N59" s="239" t="s">
        <v>1823</v>
      </c>
      <c r="O59" s="2"/>
      <c r="P59" s="2"/>
      <c r="Q59" s="2"/>
      <c r="R59" s="2"/>
    </row>
    <row r="60" ht="15.75" customHeight="1">
      <c r="A60" s="11" t="s">
        <v>12</v>
      </c>
      <c r="B60" s="125" t="s">
        <v>1360</v>
      </c>
      <c r="C60" s="69" t="s">
        <v>1294</v>
      </c>
      <c r="D60" s="445" t="str">
        <f>IF(C60&lt;&gt;"Quarta-Feira","13:40","08:40")</f>
        <v>13:40</v>
      </c>
      <c r="E60" s="253"/>
      <c r="F60" s="69"/>
      <c r="G60" s="154"/>
      <c r="H60" s="193"/>
      <c r="I60" s="30"/>
      <c r="J60" s="69"/>
      <c r="K60" s="69"/>
      <c r="N60" s="240" t="s">
        <v>182</v>
      </c>
      <c r="O60" s="241" t="s">
        <v>194</v>
      </c>
      <c r="P60" s="241" t="s">
        <v>180</v>
      </c>
      <c r="Q60" s="242" t="s">
        <v>172</v>
      </c>
      <c r="R60" s="62" t="s">
        <v>1822</v>
      </c>
    </row>
    <row r="61" ht="15.75" customHeight="1">
      <c r="A61" s="11" t="s">
        <v>13</v>
      </c>
      <c r="B61" s="125" t="s">
        <v>1362</v>
      </c>
      <c r="C61" s="69" t="s">
        <v>1294</v>
      </c>
      <c r="D61" s="445" t="str">
        <f>IF(C61&lt;&gt;"Quarta-Feira","14:00","09:00")</f>
        <v>14:00</v>
      </c>
      <c r="E61" s="253"/>
      <c r="F61" s="69"/>
      <c r="G61" s="154"/>
      <c r="H61" s="193"/>
      <c r="I61" s="30"/>
      <c r="J61" s="69"/>
      <c r="K61" s="69"/>
      <c r="N61" s="244">
        <f t="shared" ref="N61:R61" si="7">COUNTIFS($I$58:$I$69,N60)</f>
        <v>0</v>
      </c>
      <c r="O61" s="244">
        <f t="shared" si="7"/>
        <v>0</v>
      </c>
      <c r="P61" s="244">
        <f t="shared" si="7"/>
        <v>0</v>
      </c>
      <c r="Q61" s="244">
        <f t="shared" si="7"/>
        <v>0</v>
      </c>
      <c r="R61" s="244">
        <f t="shared" si="7"/>
        <v>0</v>
      </c>
    </row>
    <row r="62" ht="15.75" customHeight="1">
      <c r="A62" s="11" t="s">
        <v>14</v>
      </c>
      <c r="B62" s="125" t="s">
        <v>1357</v>
      </c>
      <c r="C62" s="69" t="s">
        <v>1294</v>
      </c>
      <c r="D62" s="445" t="str">
        <f>IF(C62&lt;&gt;"Quarta-Feira","14:20","09:20")</f>
        <v>14:20</v>
      </c>
      <c r="E62" s="253"/>
      <c r="F62" s="69"/>
      <c r="G62" s="154"/>
      <c r="H62" s="193"/>
      <c r="I62" s="30"/>
      <c r="J62" s="69"/>
      <c r="K62" s="69"/>
      <c r="R62" s="62"/>
    </row>
    <row r="63" ht="15.75" customHeight="1">
      <c r="A63" s="11" t="s">
        <v>15</v>
      </c>
      <c r="B63" s="125" t="s">
        <v>1362</v>
      </c>
      <c r="C63" s="69" t="s">
        <v>1294</v>
      </c>
      <c r="D63" s="445" t="str">
        <f>IF(C63&lt;&gt;"Quarta-Feira","14:40","09:40")</f>
        <v>14:40</v>
      </c>
      <c r="E63" s="253"/>
      <c r="F63" s="69"/>
      <c r="G63" s="154"/>
      <c r="H63" s="193"/>
      <c r="I63" s="30"/>
      <c r="J63" s="69"/>
      <c r="K63" s="69"/>
      <c r="R63" s="62"/>
    </row>
    <row r="64" ht="15.75" customHeight="1">
      <c r="A64" s="11" t="s">
        <v>16</v>
      </c>
      <c r="B64" s="125" t="s">
        <v>1358</v>
      </c>
      <c r="C64" s="69" t="s">
        <v>1294</v>
      </c>
      <c r="D64" s="445" t="str">
        <f>IF(C64&lt;&gt;"Quarta-Feira","15:00","10:00")</f>
        <v>15:00</v>
      </c>
      <c r="E64" s="253"/>
      <c r="F64" s="69"/>
      <c r="G64" s="154"/>
      <c r="H64" s="193"/>
      <c r="I64" s="30"/>
      <c r="J64" s="69"/>
      <c r="K64" s="69"/>
      <c r="R64" s="62"/>
    </row>
    <row r="65" ht="15.75" customHeight="1">
      <c r="A65" s="11" t="s">
        <v>17</v>
      </c>
      <c r="B65" s="125" t="s">
        <v>1360</v>
      </c>
      <c r="C65" s="69" t="s">
        <v>1294</v>
      </c>
      <c r="D65" s="445" t="str">
        <f>IF(C65&lt;&gt;"Quarta-Feira","15:20","10:20")</f>
        <v>15:20</v>
      </c>
      <c r="E65" s="253"/>
      <c r="F65" s="69"/>
      <c r="G65" s="154"/>
      <c r="H65" s="193"/>
      <c r="I65" s="30"/>
      <c r="J65" s="69"/>
      <c r="K65" s="69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</row>
    <row r="66" ht="15.75" customHeight="1">
      <c r="A66" s="11" t="s">
        <v>85</v>
      </c>
      <c r="B66" s="125" t="s">
        <v>1357</v>
      </c>
      <c r="C66" s="69" t="s">
        <v>1294</v>
      </c>
      <c r="D66" s="445" t="str">
        <f>IF(C66&lt;&gt;"Quarta-Feira","15:40","10:40")</f>
        <v>15:40</v>
      </c>
      <c r="E66" s="253"/>
      <c r="F66" s="69"/>
      <c r="G66" s="154"/>
      <c r="H66" s="193"/>
      <c r="I66" s="30"/>
      <c r="J66" s="69"/>
      <c r="K66" s="69"/>
      <c r="R66" s="62"/>
    </row>
    <row r="67" ht="15.75" customHeight="1">
      <c r="A67" s="11" t="s">
        <v>87</v>
      </c>
      <c r="B67" s="125" t="s">
        <v>1358</v>
      </c>
      <c r="C67" s="69" t="s">
        <v>1294</v>
      </c>
      <c r="D67" s="445" t="str">
        <f>IF(C67&lt;&gt;"Quarta-Feira","16:00","11:00")</f>
        <v>16:00</v>
      </c>
      <c r="E67" s="253"/>
      <c r="F67" s="69"/>
      <c r="G67" s="154"/>
      <c r="H67" s="193"/>
      <c r="I67" s="30"/>
      <c r="J67" s="69"/>
      <c r="K67" s="69"/>
      <c r="R67" s="62"/>
    </row>
    <row r="68" ht="15.75" customHeight="1">
      <c r="A68" s="11" t="s">
        <v>90</v>
      </c>
      <c r="B68" s="125" t="s">
        <v>1360</v>
      </c>
      <c r="C68" s="69" t="s">
        <v>1294</v>
      </c>
      <c r="D68" s="445" t="str">
        <f>IF(C68&lt;&gt;"Quarta-Feira","16:20","11:20")</f>
        <v>16:20</v>
      </c>
      <c r="E68" s="253"/>
      <c r="F68" s="69"/>
      <c r="G68" s="154"/>
      <c r="H68" s="193"/>
      <c r="I68" s="30"/>
      <c r="J68" s="69"/>
      <c r="K68" s="69"/>
      <c r="R68" s="62"/>
    </row>
    <row r="69" ht="15.75" customHeight="1">
      <c r="A69" s="11" t="s">
        <v>93</v>
      </c>
      <c r="B69" s="125" t="s">
        <v>1362</v>
      </c>
      <c r="C69" s="69" t="s">
        <v>1294</v>
      </c>
      <c r="D69" s="445" t="str">
        <f>IF(C69&lt;&gt;"Quarta-Feira","16:40","11:40")</f>
        <v>16:40</v>
      </c>
      <c r="E69" s="253"/>
      <c r="F69" s="69"/>
      <c r="G69" s="154"/>
      <c r="H69" s="193"/>
      <c r="I69" s="30"/>
      <c r="J69" s="69"/>
      <c r="K69" s="69"/>
      <c r="R69" s="62"/>
    </row>
    <row r="70" ht="15.75" customHeight="1">
      <c r="B70" s="167"/>
      <c r="E70" s="231"/>
      <c r="G70" s="167"/>
      <c r="J70" s="62"/>
      <c r="K70" s="62"/>
      <c r="R70" s="62"/>
    </row>
    <row r="71" ht="15.75" customHeight="1">
      <c r="B71" s="167"/>
      <c r="E71" s="231"/>
      <c r="G71" s="167"/>
      <c r="J71" s="62"/>
      <c r="K71" s="62"/>
      <c r="R71" s="62"/>
    </row>
    <row r="72" ht="15.0" customHeight="1">
      <c r="B72" s="167"/>
      <c r="E72" s="231"/>
      <c r="G72" s="167"/>
      <c r="J72" s="62"/>
      <c r="K72" s="62"/>
      <c r="R72" s="62"/>
    </row>
    <row r="73" ht="15.75" customHeight="1">
      <c r="A73" s="20" t="s">
        <v>377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TEXT(DATE(VALUE(MID(A56,7,4)),VALUE(MID(A56,4,2)),VALUE(LEFT(A56,2)))+2,"dd/mm/yyyy")&amp;" 08h às 13h"</f>
        <v>08/07/2026 08h às 13h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426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5.75" customHeight="1">
      <c r="A76" s="11" t="s">
        <v>10</v>
      </c>
      <c r="B76" s="125" t="s">
        <v>65</v>
      </c>
      <c r="C76" s="69" t="str">
        <f t="shared" ref="C76:C87" si="8">PROPER(TEXT(DATE(MID($A$74,7,4),MID($A$74,4,2),LEFT($A$74,2)),"dddd"))</f>
        <v>Quarta-Feira</v>
      </c>
      <c r="D76" s="445" t="str">
        <f>IF(C76&lt;&gt;"Quarta-Feira","13:00","08:00")</f>
        <v>08:00</v>
      </c>
      <c r="E76" s="253"/>
      <c r="F76" s="69"/>
      <c r="G76" s="154"/>
      <c r="H76" s="193"/>
      <c r="I76" s="30"/>
      <c r="J76" s="69"/>
      <c r="K76" s="69"/>
      <c r="L76" s="197" t="s">
        <v>520</v>
      </c>
      <c r="N76" s="237" t="s">
        <v>386</v>
      </c>
      <c r="O76" s="95"/>
      <c r="P76" s="95"/>
      <c r="Q76" s="95"/>
      <c r="R76" s="95"/>
    </row>
    <row r="77" ht="15.75" customHeight="1">
      <c r="A77" s="11" t="s">
        <v>11</v>
      </c>
      <c r="B77" s="125" t="s">
        <v>201</v>
      </c>
      <c r="C77" s="69" t="str">
        <f t="shared" si="8"/>
        <v>Quarta-Feira</v>
      </c>
      <c r="D77" s="445" t="str">
        <f>IF(C77&lt;&gt;"Quarta-Feira","13:20","08:20")</f>
        <v>08:20</v>
      </c>
      <c r="E77" s="253"/>
      <c r="F77" s="69"/>
      <c r="G77" s="154"/>
      <c r="H77" s="72"/>
      <c r="I77" s="30"/>
      <c r="J77" s="69"/>
      <c r="K77" s="69"/>
      <c r="N77" s="239" t="s">
        <v>1823</v>
      </c>
      <c r="O77" s="2"/>
      <c r="P77" s="2"/>
      <c r="Q77" s="2"/>
      <c r="R77" s="2"/>
    </row>
    <row r="78" ht="15.75" customHeight="1">
      <c r="A78" s="11" t="s">
        <v>12</v>
      </c>
      <c r="B78" s="125" t="s">
        <v>1447</v>
      </c>
      <c r="C78" s="69" t="str">
        <f t="shared" si="8"/>
        <v>Quarta-Feira</v>
      </c>
      <c r="D78" s="445" t="str">
        <f>IF(C78&lt;&gt;"Quarta-Feira","13:40","08:40")</f>
        <v>08:40</v>
      </c>
      <c r="E78" s="253"/>
      <c r="F78" s="69"/>
      <c r="G78" s="154"/>
      <c r="H78" s="78"/>
      <c r="I78" s="30"/>
      <c r="J78" s="69"/>
      <c r="K78" s="69"/>
      <c r="L78" s="197" t="s">
        <v>520</v>
      </c>
      <c r="N78" s="240" t="s">
        <v>182</v>
      </c>
      <c r="O78" s="241" t="s">
        <v>194</v>
      </c>
      <c r="P78" s="241" t="s">
        <v>180</v>
      </c>
      <c r="Q78" s="242" t="s">
        <v>172</v>
      </c>
      <c r="R78" s="62" t="s">
        <v>1822</v>
      </c>
    </row>
    <row r="79" ht="15.75" customHeight="1">
      <c r="A79" s="11" t="s">
        <v>13</v>
      </c>
      <c r="B79" s="125" t="s">
        <v>821</v>
      </c>
      <c r="C79" s="69" t="str">
        <f t="shared" si="8"/>
        <v>Quarta-Feira</v>
      </c>
      <c r="D79" s="445" t="str">
        <f>IF(C79&lt;&gt;"Quarta-Feira","14:00","09:00")</f>
        <v>09:00</v>
      </c>
      <c r="E79" s="253"/>
      <c r="F79" s="69"/>
      <c r="G79" s="433"/>
      <c r="H79" s="78"/>
      <c r="I79" s="30"/>
      <c r="J79" s="69"/>
      <c r="K79" s="69"/>
      <c r="L79" s="197" t="s">
        <v>520</v>
      </c>
      <c r="N79" s="244">
        <f t="shared" ref="N79:R79" si="9">COUNTIFS($I$76:$I$87,N78)</f>
        <v>0</v>
      </c>
      <c r="O79" s="244">
        <f t="shared" si="9"/>
        <v>0</v>
      </c>
      <c r="P79" s="244">
        <f t="shared" si="9"/>
        <v>0</v>
      </c>
      <c r="Q79" s="244">
        <f t="shared" si="9"/>
        <v>0</v>
      </c>
      <c r="R79" s="244">
        <f t="shared" si="9"/>
        <v>0</v>
      </c>
    </row>
    <row r="80" ht="18.0" customHeight="1">
      <c r="A80" s="11" t="s">
        <v>14</v>
      </c>
      <c r="B80" s="125" t="s">
        <v>201</v>
      </c>
      <c r="C80" s="69" t="str">
        <f t="shared" si="8"/>
        <v>Quarta-Feira</v>
      </c>
      <c r="D80" s="445" t="str">
        <f>IF(C80&lt;&gt;"Quarta-Feira","14:20","09:20")</f>
        <v>09:20</v>
      </c>
      <c r="E80" s="253"/>
      <c r="F80" s="69"/>
      <c r="G80" s="154"/>
      <c r="H80" s="78"/>
      <c r="I80" s="30"/>
      <c r="J80" s="69"/>
      <c r="K80" s="69"/>
      <c r="L80" s="197" t="s">
        <v>520</v>
      </c>
      <c r="R80" s="62"/>
    </row>
    <row r="81" ht="15.75" customHeight="1">
      <c r="A81" s="11" t="s">
        <v>15</v>
      </c>
      <c r="B81" s="125" t="s">
        <v>1447</v>
      </c>
      <c r="C81" s="69" t="str">
        <f t="shared" si="8"/>
        <v>Quarta-Feira</v>
      </c>
      <c r="D81" s="445" t="str">
        <f>IF(C81&lt;&gt;"Quarta-Feira","14:40","09:40")</f>
        <v>09:40</v>
      </c>
      <c r="E81" s="253"/>
      <c r="F81" s="69"/>
      <c r="G81" s="154"/>
      <c r="H81" s="78"/>
      <c r="I81" s="30"/>
      <c r="J81" s="69"/>
      <c r="K81" s="69"/>
      <c r="L81" s="197" t="s">
        <v>520</v>
      </c>
      <c r="R81" s="62"/>
    </row>
    <row r="82" ht="15.75" customHeight="1">
      <c r="A82" s="11" t="s">
        <v>16</v>
      </c>
      <c r="B82" s="125" t="s">
        <v>65</v>
      </c>
      <c r="C82" s="69" t="str">
        <f t="shared" si="8"/>
        <v>Quarta-Feira</v>
      </c>
      <c r="D82" s="445" t="str">
        <f>IF(C82&lt;&gt;"Quarta-Feira","15:00","10:00")</f>
        <v>10:00</v>
      </c>
      <c r="E82" s="253"/>
      <c r="F82" s="69"/>
      <c r="G82" s="154"/>
      <c r="H82" s="78"/>
      <c r="I82" s="30"/>
      <c r="J82" s="69"/>
      <c r="K82" s="69"/>
      <c r="L82" s="197" t="s">
        <v>520</v>
      </c>
      <c r="R82" s="62"/>
    </row>
    <row r="83" ht="15.75" customHeight="1">
      <c r="A83" s="11" t="s">
        <v>178</v>
      </c>
      <c r="B83" s="125" t="s">
        <v>201</v>
      </c>
      <c r="C83" s="69" t="str">
        <f t="shared" si="8"/>
        <v>Quarta-Feira</v>
      </c>
      <c r="D83" s="445" t="str">
        <f>IF(C83&lt;&gt;"Quarta-Feira","15:20","10:20")</f>
        <v>10:20</v>
      </c>
      <c r="E83" s="253"/>
      <c r="F83" s="69"/>
      <c r="G83" s="154"/>
      <c r="H83" s="72"/>
      <c r="I83" s="30"/>
      <c r="J83" s="69"/>
      <c r="K83" s="69"/>
      <c r="L83" s="197" t="s">
        <v>520</v>
      </c>
      <c r="R83" s="62"/>
    </row>
    <row r="84" ht="15.75" customHeight="1">
      <c r="A84" s="11" t="s">
        <v>85</v>
      </c>
      <c r="B84" s="125" t="s">
        <v>821</v>
      </c>
      <c r="C84" s="69" t="str">
        <f t="shared" si="8"/>
        <v>Quarta-Feira</v>
      </c>
      <c r="D84" s="445" t="str">
        <f>IF(C84&lt;&gt;"Quarta-Feira","15:40","10:40")</f>
        <v>10:40</v>
      </c>
      <c r="E84" s="253"/>
      <c r="F84" s="69"/>
      <c r="G84" s="154"/>
      <c r="H84" s="78"/>
      <c r="I84" s="30"/>
      <c r="J84" s="69"/>
      <c r="K84" s="69"/>
      <c r="L84" s="197" t="s">
        <v>520</v>
      </c>
      <c r="R84" s="62"/>
    </row>
    <row r="85" ht="15.75" customHeight="1">
      <c r="A85" s="11" t="s">
        <v>87</v>
      </c>
      <c r="B85" s="125" t="s">
        <v>1447</v>
      </c>
      <c r="C85" s="69" t="str">
        <f t="shared" si="8"/>
        <v>Quarta-Feira</v>
      </c>
      <c r="D85" s="445" t="str">
        <f>IF(C85&lt;&gt;"Quarta-Feira","16:00","11:00")</f>
        <v>11:00</v>
      </c>
      <c r="E85" s="253"/>
      <c r="F85" s="69"/>
      <c r="G85" s="154"/>
      <c r="H85" s="153"/>
      <c r="I85" s="30"/>
      <c r="J85" s="69"/>
      <c r="K85" s="69"/>
      <c r="L85" s="197" t="s">
        <v>520</v>
      </c>
      <c r="R85" s="62"/>
    </row>
    <row r="86" ht="15.75" customHeight="1">
      <c r="A86" s="11" t="s">
        <v>90</v>
      </c>
      <c r="B86" s="125" t="s">
        <v>821</v>
      </c>
      <c r="C86" s="69" t="str">
        <f t="shared" si="8"/>
        <v>Quarta-Feira</v>
      </c>
      <c r="D86" s="445" t="str">
        <f>IF(C86&lt;&gt;"Quarta-Feira","16:20","11:20")</f>
        <v>11:20</v>
      </c>
      <c r="E86" s="253"/>
      <c r="F86" s="69"/>
      <c r="G86" s="154"/>
      <c r="H86" s="153"/>
      <c r="I86" s="30"/>
      <c r="J86" s="69"/>
      <c r="K86" s="69"/>
      <c r="L86" s="197" t="s">
        <v>520</v>
      </c>
      <c r="R86" s="62"/>
    </row>
    <row r="87" ht="15.75" customHeight="1">
      <c r="A87" s="11" t="s">
        <v>93</v>
      </c>
      <c r="B87" s="125" t="s">
        <v>65</v>
      </c>
      <c r="C87" s="69" t="str">
        <f t="shared" si="8"/>
        <v>Quarta-Feira</v>
      </c>
      <c r="D87" s="445" t="str">
        <f>IF(C87&lt;&gt;"Quarta-Feira","16:40","11:40")</f>
        <v>11:40</v>
      </c>
      <c r="E87" s="253"/>
      <c r="F87" s="69"/>
      <c r="G87" s="154"/>
      <c r="H87" s="153"/>
      <c r="I87" s="30"/>
      <c r="J87" s="69"/>
      <c r="K87" s="69"/>
      <c r="R87" s="62"/>
    </row>
    <row r="88" ht="15.75" customHeight="1">
      <c r="B88" s="167"/>
      <c r="E88" s="231"/>
      <c r="G88" s="167"/>
      <c r="J88" s="62"/>
      <c r="K88" s="62"/>
      <c r="R88" s="62"/>
    </row>
    <row r="89" ht="15.75" customHeight="1">
      <c r="B89" s="167"/>
      <c r="E89" s="231"/>
      <c r="G89" s="167"/>
      <c r="J89" s="62"/>
      <c r="K89" s="62"/>
      <c r="R89" s="62"/>
    </row>
    <row r="90" ht="15.75" customHeight="1">
      <c r="B90" s="167"/>
      <c r="E90" s="231"/>
      <c r="G90" s="167"/>
      <c r="J90" s="62"/>
      <c r="K90" s="62"/>
      <c r="R90" s="62"/>
    </row>
    <row r="91" ht="15.75" customHeight="1">
      <c r="A91" s="20" t="s">
        <v>377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08h às 13h"</f>
        <v>10/07/2026 08h às 13h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426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34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2380</v>
      </c>
      <c r="C94" s="69" t="str">
        <f t="shared" ref="C94:C105" si="10">PROPER(TEXT(DATE(MID($A$92,7,4),MID($A$92,4,2),LEFT($A$92,2)),"dddd"))</f>
        <v>Sexta-Feira</v>
      </c>
      <c r="D94" s="445" t="str">
        <f>IF(C94&lt;&gt;"Quarta-Feira","13:00","08:00")</f>
        <v>13:00</v>
      </c>
      <c r="E94" s="253"/>
      <c r="F94" s="69"/>
      <c r="G94" s="154"/>
      <c r="H94" s="193"/>
      <c r="I94" s="30"/>
      <c r="J94" s="69"/>
      <c r="K94" s="69"/>
      <c r="L94" s="197" t="s">
        <v>520</v>
      </c>
      <c r="N94" s="237" t="s">
        <v>386</v>
      </c>
      <c r="O94" s="95"/>
      <c r="P94" s="95"/>
      <c r="Q94" s="95"/>
      <c r="R94" s="95"/>
    </row>
    <row r="95" ht="15.75" customHeight="1">
      <c r="A95" s="11" t="s">
        <v>11</v>
      </c>
      <c r="B95" s="205" t="s">
        <v>2383</v>
      </c>
      <c r="C95" s="69" t="str">
        <f t="shared" si="10"/>
        <v>Sexta-Feira</v>
      </c>
      <c r="D95" s="445" t="str">
        <f>IF(C95&lt;&gt;"Quarta-Feira","13:20","08:20")</f>
        <v>13:20</v>
      </c>
      <c r="E95" s="253"/>
      <c r="F95" s="69"/>
      <c r="G95" s="154"/>
      <c r="H95" s="72"/>
      <c r="I95" s="30"/>
      <c r="J95" s="69"/>
      <c r="K95" s="69"/>
      <c r="N95" s="239" t="s">
        <v>1823</v>
      </c>
      <c r="O95" s="2"/>
      <c r="P95" s="2"/>
      <c r="Q95" s="2"/>
      <c r="R95" s="2"/>
    </row>
    <row r="96" ht="15.75" customHeight="1">
      <c r="A96" s="11" t="s">
        <v>12</v>
      </c>
      <c r="B96" s="205" t="s">
        <v>2386</v>
      </c>
      <c r="C96" s="69" t="str">
        <f t="shared" si="10"/>
        <v>Sexta-Feira</v>
      </c>
      <c r="D96" s="445" t="str">
        <f>IF(C96&lt;&gt;"Quarta-Feira","13:40","08:40")</f>
        <v>13:40</v>
      </c>
      <c r="E96" s="253"/>
      <c r="F96" s="69"/>
      <c r="G96" s="154"/>
      <c r="H96" s="78"/>
      <c r="I96" s="30"/>
      <c r="J96" s="69"/>
      <c r="K96" s="69"/>
      <c r="L96" s="197" t="s">
        <v>520</v>
      </c>
      <c r="N96" s="240" t="s">
        <v>182</v>
      </c>
      <c r="O96" s="241" t="s">
        <v>194</v>
      </c>
      <c r="P96" s="241" t="s">
        <v>180</v>
      </c>
      <c r="Q96" s="242" t="s">
        <v>172</v>
      </c>
      <c r="R96" s="62" t="s">
        <v>1822</v>
      </c>
    </row>
    <row r="97" ht="15.75" customHeight="1">
      <c r="A97" s="11" t="s">
        <v>13</v>
      </c>
      <c r="B97" s="205" t="s">
        <v>2389</v>
      </c>
      <c r="C97" s="69" t="str">
        <f t="shared" si="10"/>
        <v>Sexta-Feira</v>
      </c>
      <c r="D97" s="445" t="str">
        <f>IF(C97&lt;&gt;"Quarta-Feira","14:00","09:00")</f>
        <v>14:00</v>
      </c>
      <c r="E97" s="253"/>
      <c r="F97" s="69"/>
      <c r="G97" s="154"/>
      <c r="H97" s="78"/>
      <c r="I97" s="30"/>
      <c r="J97" s="69"/>
      <c r="K97" s="69"/>
      <c r="L97" s="197" t="s">
        <v>520</v>
      </c>
      <c r="N97" s="244">
        <f t="shared" ref="N97:Q97" si="11">COUNTIFS($I$94:$I$105,N96)</f>
        <v>0</v>
      </c>
      <c r="O97" s="244">
        <f t="shared" si="11"/>
        <v>0</v>
      </c>
      <c r="P97" s="244">
        <f t="shared" si="11"/>
        <v>0</v>
      </c>
      <c r="Q97" s="244">
        <f t="shared" si="11"/>
        <v>0</v>
      </c>
      <c r="R97" s="62">
        <f>COUNTIFS(I94:I105,R96)</f>
        <v>0</v>
      </c>
    </row>
    <row r="98" ht="15.75" customHeight="1">
      <c r="A98" s="11" t="s">
        <v>14</v>
      </c>
      <c r="B98" s="205" t="s">
        <v>2380</v>
      </c>
      <c r="C98" s="69" t="str">
        <f t="shared" si="10"/>
        <v>Sexta-Feira</v>
      </c>
      <c r="D98" s="445" t="str">
        <f>IF(C98&lt;&gt;"Quarta-Feira","14:20","09:20")</f>
        <v>14:20</v>
      </c>
      <c r="E98" s="253"/>
      <c r="F98" s="69"/>
      <c r="G98" s="154"/>
      <c r="H98" s="78"/>
      <c r="I98" s="30"/>
      <c r="J98" s="69"/>
      <c r="K98" s="69"/>
      <c r="L98" s="197" t="s">
        <v>520</v>
      </c>
      <c r="R98" s="62"/>
    </row>
    <row r="99" ht="15.75" customHeight="1">
      <c r="A99" s="11" t="s">
        <v>15</v>
      </c>
      <c r="B99" s="205" t="s">
        <v>2383</v>
      </c>
      <c r="C99" s="69" t="str">
        <f t="shared" si="10"/>
        <v>Sexta-Feira</v>
      </c>
      <c r="D99" s="445" t="str">
        <f>IF(C99&lt;&gt;"Quarta-Feira","14:40","09:40")</f>
        <v>14:40</v>
      </c>
      <c r="E99" s="253"/>
      <c r="F99" s="69"/>
      <c r="G99" s="154"/>
      <c r="H99" s="78"/>
      <c r="I99" s="30"/>
      <c r="J99" s="69"/>
      <c r="K99" s="69"/>
      <c r="L99" s="197" t="s">
        <v>520</v>
      </c>
      <c r="R99" s="62"/>
    </row>
    <row r="100" ht="15.75" customHeight="1">
      <c r="A100" s="11" t="s">
        <v>16</v>
      </c>
      <c r="B100" s="205" t="s">
        <v>2386</v>
      </c>
      <c r="C100" s="69" t="str">
        <f t="shared" si="10"/>
        <v>Sexta-Feira</v>
      </c>
      <c r="D100" s="445" t="str">
        <f>IF(C100&lt;&gt;"Quarta-Feira","15:00","10:00")</f>
        <v>15:00</v>
      </c>
      <c r="E100" s="253"/>
      <c r="F100" s="69"/>
      <c r="G100" s="154"/>
      <c r="H100" s="78"/>
      <c r="I100" s="30"/>
      <c r="J100" s="69"/>
      <c r="K100" s="69"/>
      <c r="R100" s="62"/>
    </row>
    <row r="101" ht="15.75" customHeight="1">
      <c r="A101" s="11" t="s">
        <v>17</v>
      </c>
      <c r="B101" s="205" t="s">
        <v>2389</v>
      </c>
      <c r="C101" s="69" t="str">
        <f t="shared" si="10"/>
        <v>Sexta-Feira</v>
      </c>
      <c r="D101" s="445" t="str">
        <f>IF(C101&lt;&gt;"Quarta-Feira","15:20","10:20")</f>
        <v>15:20</v>
      </c>
      <c r="E101" s="253"/>
      <c r="F101" s="69"/>
      <c r="G101" s="154"/>
      <c r="H101" s="72"/>
      <c r="I101" s="30"/>
      <c r="J101" s="69"/>
      <c r="K101" s="69"/>
      <c r="R101" s="62"/>
    </row>
    <row r="102" ht="15.75" customHeight="1">
      <c r="A102" s="11" t="s">
        <v>85</v>
      </c>
      <c r="B102" s="205" t="s">
        <v>2383</v>
      </c>
      <c r="C102" s="69" t="str">
        <f t="shared" si="10"/>
        <v>Sexta-Feira</v>
      </c>
      <c r="D102" s="445" t="str">
        <f>IF(C102&lt;&gt;"Quarta-Feira","15:40","10:40")</f>
        <v>15:40</v>
      </c>
      <c r="E102" s="253"/>
      <c r="F102" s="69"/>
      <c r="G102" s="154"/>
      <c r="H102" s="78"/>
      <c r="I102" s="30"/>
      <c r="J102" s="69"/>
      <c r="K102" s="69"/>
      <c r="L102" s="197" t="s">
        <v>576</v>
      </c>
      <c r="R102" s="62"/>
    </row>
    <row r="103" ht="15.75" customHeight="1">
      <c r="A103" s="11" t="s">
        <v>87</v>
      </c>
      <c r="B103" s="205" t="s">
        <v>2380</v>
      </c>
      <c r="C103" s="69" t="str">
        <f t="shared" si="10"/>
        <v>Sexta-Feira</v>
      </c>
      <c r="D103" s="445" t="str">
        <f>IF(C103&lt;&gt;"Quarta-Feira","16:00","11:00")</f>
        <v>16:00</v>
      </c>
      <c r="E103" s="253"/>
      <c r="F103" s="69"/>
      <c r="G103" s="154"/>
      <c r="H103" s="153"/>
      <c r="I103" s="30"/>
      <c r="J103" s="69"/>
      <c r="K103" s="69"/>
      <c r="R103" s="62"/>
    </row>
    <row r="104" ht="15.75" customHeight="1">
      <c r="A104" s="11" t="s">
        <v>90</v>
      </c>
      <c r="B104" s="205" t="s">
        <v>2380</v>
      </c>
      <c r="C104" s="69" t="str">
        <f t="shared" si="10"/>
        <v>Sexta-Feira</v>
      </c>
      <c r="D104" s="445" t="str">
        <f>IF(C104&lt;&gt;"Quarta-Feira","16:20","11:20")</f>
        <v>16:20</v>
      </c>
      <c r="E104" s="253"/>
      <c r="F104" s="69"/>
      <c r="G104" s="154"/>
      <c r="H104" s="153"/>
      <c r="I104" s="30"/>
      <c r="J104" s="69"/>
      <c r="K104" s="69"/>
      <c r="R104" s="62"/>
    </row>
    <row r="105" ht="15.75" customHeight="1">
      <c r="A105" s="11" t="s">
        <v>93</v>
      </c>
      <c r="B105" s="205" t="s">
        <v>2380</v>
      </c>
      <c r="C105" s="69" t="str">
        <f t="shared" si="10"/>
        <v>Sexta-Feira</v>
      </c>
      <c r="D105" s="445" t="str">
        <f>IF(C105&lt;&gt;"Quarta-Feira","16:40","11:40")</f>
        <v>16:40</v>
      </c>
      <c r="E105" s="253"/>
      <c r="F105" s="69"/>
      <c r="G105" s="154"/>
      <c r="H105" s="153"/>
      <c r="I105" s="30"/>
      <c r="J105" s="69"/>
      <c r="K105" s="69"/>
      <c r="R105" s="62"/>
    </row>
    <row r="106" ht="15.75" customHeight="1">
      <c r="B106" s="167"/>
      <c r="E106" s="231"/>
      <c r="G106" s="167"/>
      <c r="J106" s="62"/>
      <c r="K106" s="62"/>
      <c r="R106" s="62"/>
    </row>
    <row r="107" ht="15.75" customHeight="1">
      <c r="B107" s="167"/>
      <c r="E107" s="231"/>
      <c r="G107" s="167"/>
      <c r="J107" s="62"/>
      <c r="K107" s="62"/>
      <c r="R107" s="62"/>
    </row>
    <row r="108" ht="15.75" customHeight="1">
      <c r="B108" s="167"/>
      <c r="E108" s="231"/>
      <c r="G108" s="167"/>
      <c r="J108" s="62"/>
      <c r="K108" s="62"/>
      <c r="R108" s="62"/>
    </row>
    <row r="109" ht="15.75" customHeight="1">
      <c r="A109" s="20" t="s">
        <v>377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TEXT(DATE(VALUE(MID(A56,7,4)),VALUE(MID(A56,4,2)),VALUE(LEFT(A56,2)))+7,"dd/mm/yyyy")&amp;" 13h às 17h"</f>
        <v>13/07/2026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426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1980</v>
      </c>
      <c r="C112" s="69" t="str">
        <f t="shared" ref="C112:C123" si="12">PROPER(TEXT(DATE(MID($A$110,7,4),MID($A$110,4,2),LEFT($A$110,2)),"dddd"))</f>
        <v>Segunda-Feira</v>
      </c>
      <c r="D112" s="445" t="str">
        <f>IF(C112&lt;&gt;"Quarta-Feira","13:00","08:00")</f>
        <v>13:00</v>
      </c>
      <c r="E112" s="253"/>
      <c r="F112" s="69"/>
      <c r="G112" s="154"/>
      <c r="H112" s="453"/>
      <c r="I112" s="30"/>
      <c r="J112" s="69"/>
      <c r="K112" s="69"/>
      <c r="N112" s="237" t="s">
        <v>386</v>
      </c>
      <c r="O112" s="95"/>
      <c r="P112" s="95"/>
      <c r="Q112" s="95"/>
      <c r="R112" s="95"/>
    </row>
    <row r="113" ht="15.75" customHeight="1">
      <c r="A113" s="11" t="s">
        <v>11</v>
      </c>
      <c r="B113" s="205" t="s">
        <v>1984</v>
      </c>
      <c r="C113" s="69" t="str">
        <f t="shared" si="12"/>
        <v>Segunda-Feira</v>
      </c>
      <c r="D113" s="445" t="str">
        <f>IF(C113&lt;&gt;"Quarta-Feira","13:20","08:20")</f>
        <v>13:20</v>
      </c>
      <c r="E113" s="253"/>
      <c r="F113" s="69"/>
      <c r="G113" s="154"/>
      <c r="H113" s="72"/>
      <c r="I113" s="30"/>
      <c r="J113" s="69"/>
      <c r="K113" s="69"/>
      <c r="N113" s="239" t="s">
        <v>1823</v>
      </c>
      <c r="O113" s="2"/>
      <c r="P113" s="2"/>
      <c r="Q113" s="2"/>
      <c r="R113" s="2"/>
    </row>
    <row r="114" ht="15.75" customHeight="1">
      <c r="A114" s="11" t="s">
        <v>12</v>
      </c>
      <c r="B114" s="205" t="s">
        <v>1988</v>
      </c>
      <c r="C114" s="69" t="str">
        <f t="shared" si="12"/>
        <v>Segunda-Feira</v>
      </c>
      <c r="D114" s="445" t="str">
        <f>IF(C114&lt;&gt;"Quarta-Feira","13:40","08:40")</f>
        <v>13:40</v>
      </c>
      <c r="E114" s="253"/>
      <c r="F114" s="69"/>
      <c r="G114" s="154"/>
      <c r="H114" s="78"/>
      <c r="I114" s="30"/>
      <c r="J114" s="69"/>
      <c r="K114" s="69"/>
      <c r="N114" s="240" t="s">
        <v>182</v>
      </c>
      <c r="O114" s="241" t="s">
        <v>194</v>
      </c>
      <c r="P114" s="241" t="s">
        <v>180</v>
      </c>
      <c r="Q114" s="242" t="s">
        <v>172</v>
      </c>
      <c r="R114" s="62" t="s">
        <v>1822</v>
      </c>
    </row>
    <row r="115" ht="15.75" customHeight="1">
      <c r="A115" s="11" t="s">
        <v>13</v>
      </c>
      <c r="B115" s="205" t="s">
        <v>1991</v>
      </c>
      <c r="C115" s="69" t="str">
        <f t="shared" si="12"/>
        <v>Segunda-Feira</v>
      </c>
      <c r="D115" s="445" t="str">
        <f>IF(C115&lt;&gt;"Quarta-Feira","14:00","09:00")</f>
        <v>14:00</v>
      </c>
      <c r="E115" s="253"/>
      <c r="F115" s="69"/>
      <c r="G115" s="154"/>
      <c r="H115" s="78"/>
      <c r="I115" s="30"/>
      <c r="J115" s="69"/>
      <c r="K115" s="69"/>
      <c r="N115" s="244">
        <f t="shared" ref="N115:R115" si="13">COUNTIFS($I$112:$I$123,N114)</f>
        <v>0</v>
      </c>
      <c r="O115" s="244">
        <f t="shared" si="13"/>
        <v>0</v>
      </c>
      <c r="P115" s="244">
        <f t="shared" si="13"/>
        <v>0</v>
      </c>
      <c r="Q115" s="244">
        <f t="shared" si="13"/>
        <v>0</v>
      </c>
      <c r="R115" s="244">
        <f t="shared" si="13"/>
        <v>0</v>
      </c>
    </row>
    <row r="116" ht="15.75" customHeight="1">
      <c r="A116" s="11" t="s">
        <v>14</v>
      </c>
      <c r="B116" s="205" t="s">
        <v>1980</v>
      </c>
      <c r="C116" s="69" t="str">
        <f t="shared" si="12"/>
        <v>Segunda-Feira</v>
      </c>
      <c r="D116" s="445" t="str">
        <f>IF(C116&lt;&gt;"Quarta-Feira","14:20","09:20")</f>
        <v>14:20</v>
      </c>
      <c r="E116" s="253"/>
      <c r="F116" s="69"/>
      <c r="G116" s="154"/>
      <c r="H116" s="78"/>
      <c r="I116" s="30"/>
      <c r="J116" s="69"/>
      <c r="K116" s="69"/>
      <c r="R116" s="62"/>
    </row>
    <row r="117" ht="15.75" customHeight="1">
      <c r="A117" s="11" t="s">
        <v>15</v>
      </c>
      <c r="B117" s="205" t="s">
        <v>1984</v>
      </c>
      <c r="C117" s="69" t="str">
        <f t="shared" si="12"/>
        <v>Segunda-Feira</v>
      </c>
      <c r="D117" s="445" t="str">
        <f>IF(C117&lt;&gt;"Quarta-Feira","14:40","09:40")</f>
        <v>14:40</v>
      </c>
      <c r="E117" s="253"/>
      <c r="F117" s="69"/>
      <c r="G117" s="154"/>
      <c r="H117" s="78"/>
      <c r="I117" s="30"/>
      <c r="J117" s="69"/>
      <c r="K117" s="69"/>
      <c r="R117" s="62"/>
    </row>
    <row r="118" ht="15.75" customHeight="1">
      <c r="A118" s="11" t="s">
        <v>16</v>
      </c>
      <c r="B118" s="205" t="s">
        <v>1988</v>
      </c>
      <c r="C118" s="69" t="str">
        <f t="shared" si="12"/>
        <v>Segunda-Feira</v>
      </c>
      <c r="D118" s="445" t="str">
        <f>IF(C118&lt;&gt;"Quarta-Feira","15:00","10:00")</f>
        <v>15:00</v>
      </c>
      <c r="E118" s="253"/>
      <c r="F118" s="69"/>
      <c r="G118" s="154"/>
      <c r="H118" s="78"/>
      <c r="I118" s="30"/>
      <c r="J118" s="69"/>
      <c r="K118" s="69"/>
      <c r="R118" s="62"/>
    </row>
    <row r="119" ht="15.75" customHeight="1">
      <c r="A119" s="11" t="s">
        <v>17</v>
      </c>
      <c r="B119" s="205" t="s">
        <v>1991</v>
      </c>
      <c r="C119" s="69" t="str">
        <f t="shared" si="12"/>
        <v>Segunda-Feira</v>
      </c>
      <c r="D119" s="445" t="str">
        <f>IF(C119&lt;&gt;"Quarta-Feira","15:20","10:20")</f>
        <v>15:20</v>
      </c>
      <c r="E119" s="253"/>
      <c r="F119" s="69"/>
      <c r="G119" s="154"/>
      <c r="H119" s="72"/>
      <c r="I119" s="30"/>
      <c r="J119" s="69"/>
      <c r="K119" s="69"/>
      <c r="R119" s="62"/>
    </row>
    <row r="120" ht="15.75" customHeight="1">
      <c r="A120" s="11" t="s">
        <v>85</v>
      </c>
      <c r="B120" s="205" t="s">
        <v>1980</v>
      </c>
      <c r="C120" s="69" t="str">
        <f t="shared" si="12"/>
        <v>Segunda-Feira</v>
      </c>
      <c r="D120" s="445" t="str">
        <f>IF(C120&lt;&gt;"Quarta-Feira","15:40","10:40")</f>
        <v>15:40</v>
      </c>
      <c r="E120" s="253"/>
      <c r="F120" s="69"/>
      <c r="G120" s="154"/>
      <c r="H120" s="78"/>
      <c r="I120" s="30"/>
      <c r="J120" s="69"/>
      <c r="K120" s="69"/>
      <c r="R120" s="62"/>
      <c r="V120" s="292"/>
    </row>
    <row r="121" ht="15.75" customHeight="1">
      <c r="A121" s="11" t="s">
        <v>87</v>
      </c>
      <c r="B121" s="205" t="s">
        <v>1984</v>
      </c>
      <c r="C121" s="69" t="str">
        <f t="shared" si="12"/>
        <v>Segunda-Feira</v>
      </c>
      <c r="D121" s="445" t="str">
        <f>IF(C121&lt;&gt;"Quarta-Feira","16:00","11:00")</f>
        <v>16:00</v>
      </c>
      <c r="E121" s="253"/>
      <c r="F121" s="69"/>
      <c r="G121" s="154"/>
      <c r="H121" s="153"/>
      <c r="I121" s="30"/>
      <c r="J121" s="69"/>
      <c r="K121" s="69"/>
      <c r="R121" s="62"/>
    </row>
    <row r="122" ht="15.75" customHeight="1">
      <c r="A122" s="11" t="s">
        <v>90</v>
      </c>
      <c r="B122" s="205" t="s">
        <v>1988</v>
      </c>
      <c r="C122" s="69" t="str">
        <f t="shared" si="12"/>
        <v>Segunda-Feira</v>
      </c>
      <c r="D122" s="445" t="str">
        <f>IF(C122&lt;&gt;"Quarta-Feira","16:20","11:20")</f>
        <v>16:20</v>
      </c>
      <c r="E122" s="253"/>
      <c r="F122" s="69"/>
      <c r="G122" s="154"/>
      <c r="H122" s="153"/>
      <c r="I122" s="30"/>
      <c r="J122" s="69"/>
      <c r="K122" s="69"/>
      <c r="R122" s="62"/>
    </row>
    <row r="123" ht="15.75" customHeight="1">
      <c r="A123" s="11" t="s">
        <v>93</v>
      </c>
      <c r="B123" s="205" t="s">
        <v>1991</v>
      </c>
      <c r="C123" s="69" t="str">
        <f t="shared" si="12"/>
        <v>Segunda-Feira</v>
      </c>
      <c r="D123" s="445" t="str">
        <f>IF(C123&lt;&gt;"Quarta-Feira","16:40","11:40")</f>
        <v>16:40</v>
      </c>
      <c r="E123" s="253"/>
      <c r="F123" s="69"/>
      <c r="G123" s="154"/>
      <c r="H123" s="153"/>
      <c r="I123" s="30"/>
      <c r="J123" s="69"/>
      <c r="K123" s="69"/>
      <c r="R123" s="62"/>
    </row>
    <row r="124" ht="15.75" customHeight="1">
      <c r="B124" s="167"/>
      <c r="E124" s="231"/>
      <c r="G124" s="167"/>
      <c r="J124" s="62"/>
      <c r="K124" s="62"/>
      <c r="R124" s="62"/>
    </row>
    <row r="125" ht="15.75" customHeight="1">
      <c r="B125" s="167"/>
      <c r="E125" s="231"/>
      <c r="G125" s="167"/>
      <c r="J125" s="62"/>
      <c r="K125" s="62"/>
      <c r="R125" s="62"/>
    </row>
    <row r="126" ht="15.75" customHeight="1">
      <c r="B126" s="167"/>
      <c r="E126" s="231"/>
      <c r="G126" s="167"/>
      <c r="J126" s="62"/>
      <c r="K126" s="62"/>
      <c r="R126" s="62"/>
    </row>
    <row r="127" ht="15.75" customHeight="1">
      <c r="A127" s="20" t="s">
        <v>377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08h às 13h"</f>
        <v>15/07/2026 08h às 13h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426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34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2013</v>
      </c>
      <c r="C130" s="69" t="str">
        <f t="shared" ref="C130:C141" si="14">PROPER(TEXT(DATE(MID($A$128,7,4),MID($A$128,4,2),LEFT($A$128,2)),"dddd"))</f>
        <v>Quarta-Feira</v>
      </c>
      <c r="D130" s="445" t="str">
        <f>IF(C130&lt;&gt;"Quarta-Feira","13:00","08:00")</f>
        <v>08:00</v>
      </c>
      <c r="E130" s="253"/>
      <c r="F130" s="69"/>
      <c r="G130" s="154"/>
      <c r="H130" s="193"/>
      <c r="I130" s="30"/>
      <c r="J130" s="69"/>
      <c r="K130" s="69"/>
      <c r="N130" s="237" t="s">
        <v>386</v>
      </c>
      <c r="O130" s="95"/>
      <c r="P130" s="95"/>
      <c r="Q130" s="95"/>
      <c r="R130" s="95"/>
    </row>
    <row r="131" ht="15.75" customHeight="1">
      <c r="A131" s="11" t="s">
        <v>11</v>
      </c>
      <c r="B131" s="205" t="s">
        <v>2018</v>
      </c>
      <c r="C131" s="69" t="str">
        <f t="shared" si="14"/>
        <v>Quarta-Feira</v>
      </c>
      <c r="D131" s="445" t="str">
        <f>IF(C131&lt;&gt;"Quarta-Feira","13:20","08:20")</f>
        <v>08:20</v>
      </c>
      <c r="E131" s="253"/>
      <c r="F131" s="69"/>
      <c r="G131" s="154"/>
      <c r="H131" s="72"/>
      <c r="I131" s="30"/>
      <c r="J131" s="69"/>
      <c r="K131" s="69"/>
      <c r="N131" s="239" t="s">
        <v>1823</v>
      </c>
      <c r="O131" s="2"/>
      <c r="P131" s="2"/>
      <c r="Q131" s="2"/>
      <c r="R131" s="2"/>
    </row>
    <row r="132" ht="15.75" customHeight="1">
      <c r="A132" s="11" t="s">
        <v>12</v>
      </c>
      <c r="B132" s="205" t="s">
        <v>2020</v>
      </c>
      <c r="C132" s="69" t="str">
        <f t="shared" si="14"/>
        <v>Quarta-Feira</v>
      </c>
      <c r="D132" s="445" t="str">
        <f>IF(C132&lt;&gt;"Quarta-Feira","13:40","08:40")</f>
        <v>08:40</v>
      </c>
      <c r="E132" s="253"/>
      <c r="F132" s="69"/>
      <c r="G132" s="154"/>
      <c r="H132" s="72"/>
      <c r="I132" s="30"/>
      <c r="J132" s="69"/>
      <c r="K132" s="69"/>
      <c r="L132" s="63"/>
      <c r="M132" s="63"/>
      <c r="N132" s="240" t="s">
        <v>182</v>
      </c>
      <c r="O132" s="241" t="s">
        <v>194</v>
      </c>
      <c r="P132" s="241" t="s">
        <v>180</v>
      </c>
      <c r="Q132" s="242" t="s">
        <v>172</v>
      </c>
      <c r="R132" s="343" t="s">
        <v>1822</v>
      </c>
      <c r="S132" s="63"/>
      <c r="T132" s="63"/>
      <c r="U132" s="63"/>
      <c r="V132" s="63"/>
      <c r="W132" s="63"/>
      <c r="X132" s="63"/>
    </row>
    <row r="133" ht="15.75" customHeight="1">
      <c r="A133" s="11" t="s">
        <v>13</v>
      </c>
      <c r="B133" s="205" t="s">
        <v>2023</v>
      </c>
      <c r="C133" s="69" t="str">
        <f t="shared" si="14"/>
        <v>Quarta-Feira</v>
      </c>
      <c r="D133" s="445" t="str">
        <f>IF(C133&lt;&gt;"Quarta-Feira","14:00","09:00")</f>
        <v>09:00</v>
      </c>
      <c r="E133" s="253"/>
      <c r="F133" s="69"/>
      <c r="G133" s="154"/>
      <c r="H133" s="78"/>
      <c r="I133" s="30"/>
      <c r="J133" s="69"/>
      <c r="K133" s="69"/>
      <c r="N133" s="244">
        <f t="shared" ref="N133:R133" si="15">COUNTIFS($I$130:$I$141,N132)</f>
        <v>0</v>
      </c>
      <c r="O133" s="244">
        <f t="shared" si="15"/>
        <v>0</v>
      </c>
      <c r="P133" s="244">
        <f t="shared" si="15"/>
        <v>0</v>
      </c>
      <c r="Q133" s="244">
        <f t="shared" si="15"/>
        <v>0</v>
      </c>
      <c r="R133" s="244">
        <f t="shared" si="15"/>
        <v>0</v>
      </c>
    </row>
    <row r="134" ht="15.75" customHeight="1">
      <c r="A134" s="11" t="s">
        <v>14</v>
      </c>
      <c r="B134" s="205" t="s">
        <v>2018</v>
      </c>
      <c r="C134" s="69" t="str">
        <f t="shared" si="14"/>
        <v>Quarta-Feira</v>
      </c>
      <c r="D134" s="445" t="str">
        <f>IF(C134&lt;&gt;"Quarta-Feira","14:20","09:20")</f>
        <v>09:20</v>
      </c>
      <c r="E134" s="253"/>
      <c r="F134" s="69"/>
      <c r="G134" s="154"/>
      <c r="H134" s="78"/>
      <c r="I134" s="30"/>
      <c r="J134" s="69"/>
      <c r="K134" s="69"/>
      <c r="R134" s="62"/>
    </row>
    <row r="135" ht="15.75" customHeight="1">
      <c r="A135" s="11" t="s">
        <v>15</v>
      </c>
      <c r="B135" s="205" t="s">
        <v>2020</v>
      </c>
      <c r="C135" s="69" t="str">
        <f t="shared" si="14"/>
        <v>Quarta-Feira</v>
      </c>
      <c r="D135" s="445" t="str">
        <f>IF(C135&lt;&gt;"Quarta-Feira","14:40","09:40")</f>
        <v>09:40</v>
      </c>
      <c r="E135" s="253"/>
      <c r="F135" s="69"/>
      <c r="G135" s="154"/>
      <c r="H135" s="78"/>
      <c r="I135" s="30"/>
      <c r="J135" s="69"/>
      <c r="K135" s="69"/>
      <c r="R135" s="62"/>
    </row>
    <row r="136" ht="15.75" customHeight="1">
      <c r="A136" s="11" t="s">
        <v>16</v>
      </c>
      <c r="B136" s="205" t="s">
        <v>2013</v>
      </c>
      <c r="C136" s="69" t="str">
        <f t="shared" si="14"/>
        <v>Quarta-Feira</v>
      </c>
      <c r="D136" s="445" t="str">
        <f>IF(C136&lt;&gt;"Quarta-Feira","15:00","10:00")</f>
        <v>10:00</v>
      </c>
      <c r="E136" s="253"/>
      <c r="F136" s="69"/>
      <c r="G136" s="154"/>
      <c r="H136" s="150"/>
      <c r="I136" s="30"/>
      <c r="J136" s="69"/>
      <c r="K136" s="69"/>
      <c r="L136" s="63"/>
      <c r="M136" s="63"/>
      <c r="N136" s="63"/>
      <c r="O136" s="63"/>
      <c r="P136" s="63"/>
      <c r="Q136" s="63"/>
      <c r="R136" s="343"/>
      <c r="S136" s="63"/>
      <c r="T136" s="63"/>
      <c r="U136" s="63"/>
      <c r="V136" s="63"/>
      <c r="W136" s="63"/>
      <c r="X136" s="63"/>
    </row>
    <row r="137" ht="15.75" customHeight="1">
      <c r="A137" s="11" t="s">
        <v>17</v>
      </c>
      <c r="B137" s="205" t="s">
        <v>2018</v>
      </c>
      <c r="C137" s="69" t="str">
        <f t="shared" si="14"/>
        <v>Quarta-Feira</v>
      </c>
      <c r="D137" s="445" t="str">
        <f>IF(C137&lt;&gt;"Quarta-Feira","15:20","10:20")</f>
        <v>10:20</v>
      </c>
      <c r="E137" s="253"/>
      <c r="F137" s="69"/>
      <c r="G137" s="154"/>
      <c r="H137" s="72"/>
      <c r="I137" s="30"/>
      <c r="J137" s="69"/>
      <c r="K137" s="69"/>
      <c r="R137" s="62"/>
    </row>
    <row r="138" ht="15.75" customHeight="1">
      <c r="A138" s="11" t="s">
        <v>85</v>
      </c>
      <c r="B138" s="205" t="s">
        <v>2023</v>
      </c>
      <c r="C138" s="69" t="str">
        <f t="shared" si="14"/>
        <v>Quarta-Feira</v>
      </c>
      <c r="D138" s="445" t="str">
        <f>IF(C138&lt;&gt;"Quarta-Feira","15:40","10:40")</f>
        <v>10:40</v>
      </c>
      <c r="E138" s="253"/>
      <c r="F138" s="253"/>
      <c r="G138" s="154"/>
      <c r="H138" s="78"/>
      <c r="I138" s="30"/>
      <c r="J138" s="69"/>
      <c r="K138" s="69"/>
      <c r="R138" s="62"/>
    </row>
    <row r="139" ht="15.75" customHeight="1">
      <c r="A139" s="11" t="s">
        <v>87</v>
      </c>
      <c r="B139" s="205" t="s">
        <v>2020</v>
      </c>
      <c r="C139" s="69" t="str">
        <f t="shared" si="14"/>
        <v>Quarta-Feira</v>
      </c>
      <c r="D139" s="445" t="str">
        <f>IF(C139&lt;&gt;"Quarta-Feira","16:00","11:00")</f>
        <v>11:00</v>
      </c>
      <c r="E139" s="253"/>
      <c r="F139" s="69"/>
      <c r="G139" s="154"/>
      <c r="H139" s="153"/>
      <c r="I139" s="30"/>
      <c r="J139" s="69"/>
      <c r="K139" s="69"/>
      <c r="R139" s="62"/>
    </row>
    <row r="140" ht="15.75" customHeight="1">
      <c r="A140" s="11" t="s">
        <v>90</v>
      </c>
      <c r="B140" s="205" t="s">
        <v>2023</v>
      </c>
      <c r="C140" s="69" t="str">
        <f t="shared" si="14"/>
        <v>Quarta-Feira</v>
      </c>
      <c r="D140" s="445" t="str">
        <f>IF(C140&lt;&gt;"Quarta-Feira","16:20","11:20")</f>
        <v>11:20</v>
      </c>
      <c r="E140" s="253"/>
      <c r="F140" s="69"/>
      <c r="G140" s="154"/>
      <c r="H140" s="78"/>
      <c r="I140" s="30"/>
      <c r="J140" s="69"/>
      <c r="K140" s="69"/>
      <c r="R140" s="62"/>
    </row>
    <row r="141" ht="15.75" customHeight="1">
      <c r="A141" s="11" t="s">
        <v>93</v>
      </c>
      <c r="B141" s="205" t="s">
        <v>2013</v>
      </c>
      <c r="C141" s="69" t="str">
        <f t="shared" si="14"/>
        <v>Quarta-Feira</v>
      </c>
      <c r="D141" s="445" t="str">
        <f>IF(C141&lt;&gt;"Quarta-Feira","16:40","11:40")</f>
        <v>11:40</v>
      </c>
      <c r="E141" s="253"/>
      <c r="F141" s="69"/>
      <c r="G141" s="154"/>
      <c r="H141" s="153"/>
      <c r="I141" s="30"/>
      <c r="J141" s="69"/>
      <c r="K141" s="69"/>
      <c r="R141" s="62"/>
    </row>
    <row r="142" ht="15.75" customHeight="1">
      <c r="B142" s="167"/>
      <c r="E142" s="231"/>
      <c r="G142" s="167"/>
      <c r="J142" s="62"/>
      <c r="K142" s="62"/>
      <c r="R142" s="62"/>
    </row>
    <row r="143" ht="15.75" customHeight="1">
      <c r="B143" s="167"/>
      <c r="E143" s="231"/>
      <c r="G143" s="167"/>
      <c r="J143" s="62"/>
      <c r="K143" s="62"/>
      <c r="R143" s="62"/>
    </row>
    <row r="144" ht="15.75" customHeight="1">
      <c r="B144" s="167"/>
      <c r="E144" s="231"/>
      <c r="G144" s="167"/>
      <c r="J144" s="62"/>
      <c r="K144" s="62"/>
      <c r="R144" s="62"/>
    </row>
    <row r="145" ht="15.75" customHeight="1">
      <c r="A145" s="20" t="s">
        <v>377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08h às 13h"</f>
        <v>17/07/2026 08h às 13h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426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34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2380</v>
      </c>
      <c r="C148" s="69" t="str">
        <f t="shared" ref="C148:C159" si="16">PROPER(TEXT(DATE(MID($A$146,7,4),MID($A$146,4,2),LEFT($A$146,2)),"dddd"))</f>
        <v>Sexta-Feira</v>
      </c>
      <c r="D148" s="445" t="str">
        <f>IF(C148&lt;&gt;"Quarta-Feira","13:00","08:00")</f>
        <v>13:00</v>
      </c>
      <c r="E148" s="253"/>
      <c r="F148" s="404"/>
      <c r="G148" s="154"/>
      <c r="H148" s="78"/>
      <c r="I148" s="30"/>
      <c r="J148" s="69"/>
      <c r="K148" s="69"/>
      <c r="L148" s="197" t="s">
        <v>520</v>
      </c>
      <c r="N148" s="237" t="s">
        <v>386</v>
      </c>
      <c r="O148" s="95"/>
      <c r="P148" s="95"/>
      <c r="Q148" s="95"/>
      <c r="R148" s="95"/>
    </row>
    <row r="149" ht="15.75" customHeight="1">
      <c r="A149" s="11" t="s">
        <v>11</v>
      </c>
      <c r="B149" s="205" t="s">
        <v>2383</v>
      </c>
      <c r="C149" s="69" t="str">
        <f t="shared" si="16"/>
        <v>Sexta-Feira</v>
      </c>
      <c r="D149" s="445" t="str">
        <f>IF(C149&lt;&gt;"Quarta-Feira","13:20","08:20")</f>
        <v>13:20</v>
      </c>
      <c r="E149" s="253"/>
      <c r="F149" s="69"/>
      <c r="G149" s="154"/>
      <c r="H149" s="78"/>
      <c r="I149" s="30"/>
      <c r="J149" s="69"/>
      <c r="K149" s="69"/>
      <c r="N149" s="239" t="s">
        <v>1823</v>
      </c>
      <c r="O149" s="2"/>
      <c r="P149" s="2"/>
      <c r="Q149" s="2"/>
      <c r="R149" s="2"/>
    </row>
    <row r="150" ht="15.75" customHeight="1">
      <c r="A150" s="11" t="s">
        <v>12</v>
      </c>
      <c r="B150" s="205" t="s">
        <v>2386</v>
      </c>
      <c r="C150" s="69" t="str">
        <f t="shared" si="16"/>
        <v>Sexta-Feira</v>
      </c>
      <c r="D150" s="445" t="str">
        <f>IF(C150&lt;&gt;"Quarta-Feira","13:40","08:40")</f>
        <v>13:40</v>
      </c>
      <c r="E150" s="253"/>
      <c r="F150" s="69"/>
      <c r="G150" s="154"/>
      <c r="H150" s="78"/>
      <c r="I150" s="30"/>
      <c r="J150" s="69"/>
      <c r="K150" s="69"/>
      <c r="N150" s="240" t="s">
        <v>182</v>
      </c>
      <c r="O150" s="241" t="s">
        <v>194</v>
      </c>
      <c r="P150" s="241" t="s">
        <v>180</v>
      </c>
      <c r="Q150" s="242" t="s">
        <v>172</v>
      </c>
      <c r="R150" s="62" t="s">
        <v>1822</v>
      </c>
    </row>
    <row r="151" ht="15.75" customHeight="1">
      <c r="A151" s="11" t="s">
        <v>13</v>
      </c>
      <c r="B151" s="205" t="s">
        <v>2389</v>
      </c>
      <c r="C151" s="69" t="str">
        <f t="shared" si="16"/>
        <v>Sexta-Feira</v>
      </c>
      <c r="D151" s="445" t="str">
        <f>IF(C151&lt;&gt;"Quarta-Feira","14:00","09:00")</f>
        <v>14:00</v>
      </c>
      <c r="E151" s="253"/>
      <c r="F151" s="69"/>
      <c r="G151" s="154"/>
      <c r="H151" s="78"/>
      <c r="I151" s="30"/>
      <c r="J151" s="69"/>
      <c r="K151" s="69"/>
      <c r="N151" s="244">
        <f t="shared" ref="N151:R151" si="17">COUNTIFS($I$148:$I$159,N150)</f>
        <v>0</v>
      </c>
      <c r="O151" s="244">
        <f t="shared" si="17"/>
        <v>0</v>
      </c>
      <c r="P151" s="244">
        <f t="shared" si="17"/>
        <v>0</v>
      </c>
      <c r="Q151" s="244">
        <f t="shared" si="17"/>
        <v>0</v>
      </c>
      <c r="R151" s="244">
        <f t="shared" si="17"/>
        <v>0</v>
      </c>
    </row>
    <row r="152" ht="15.75" customHeight="1">
      <c r="A152" s="11" t="s">
        <v>14</v>
      </c>
      <c r="B152" s="205" t="s">
        <v>2380</v>
      </c>
      <c r="C152" s="69" t="str">
        <f t="shared" si="16"/>
        <v>Sexta-Feira</v>
      </c>
      <c r="D152" s="445" t="str">
        <f>IF(C152&lt;&gt;"Quarta-Feira","14:20","09:20")</f>
        <v>14:20</v>
      </c>
      <c r="E152" s="253"/>
      <c r="F152" s="69"/>
      <c r="G152" s="154"/>
      <c r="H152" s="78"/>
      <c r="I152" s="30"/>
      <c r="J152" s="69"/>
      <c r="K152" s="69"/>
      <c r="R152" s="62"/>
    </row>
    <row r="153" ht="15.75" customHeight="1">
      <c r="A153" s="11" t="s">
        <v>15</v>
      </c>
      <c r="B153" s="205" t="s">
        <v>2383</v>
      </c>
      <c r="C153" s="69" t="str">
        <f t="shared" si="16"/>
        <v>Sexta-Feira</v>
      </c>
      <c r="D153" s="445" t="str">
        <f>IF(C153&lt;&gt;"Quarta-Feira","14:40","09:40")</f>
        <v>14:40</v>
      </c>
      <c r="E153" s="253"/>
      <c r="F153" s="69"/>
      <c r="G153" s="154"/>
      <c r="H153" s="78"/>
      <c r="I153" s="30"/>
      <c r="J153" s="69"/>
      <c r="K153" s="69"/>
      <c r="R153" s="62"/>
    </row>
    <row r="154" ht="15.75" customHeight="1">
      <c r="A154" s="11" t="s">
        <v>16</v>
      </c>
      <c r="B154" s="205" t="s">
        <v>2386</v>
      </c>
      <c r="C154" s="69" t="str">
        <f t="shared" si="16"/>
        <v>Sexta-Feira</v>
      </c>
      <c r="D154" s="445" t="str">
        <f>IF(C154&lt;&gt;"Quarta-Feira","15:00","10:00")</f>
        <v>15:00</v>
      </c>
      <c r="E154" s="253"/>
      <c r="F154" s="404"/>
      <c r="G154" s="154"/>
      <c r="H154" s="78"/>
      <c r="I154" s="30"/>
      <c r="J154" s="69"/>
      <c r="K154" s="69"/>
      <c r="R154" s="62"/>
    </row>
    <row r="155" ht="15.75" customHeight="1">
      <c r="A155" s="11" t="s">
        <v>17</v>
      </c>
      <c r="B155" s="205" t="s">
        <v>2389</v>
      </c>
      <c r="C155" s="69" t="str">
        <f t="shared" si="16"/>
        <v>Sexta-Feira</v>
      </c>
      <c r="D155" s="445" t="str">
        <f>IF(C155&lt;&gt;"Quarta-Feira","15:20","10:20")</f>
        <v>15:20</v>
      </c>
      <c r="E155" s="253"/>
      <c r="F155" s="69"/>
      <c r="G155" s="154"/>
      <c r="H155" s="78"/>
      <c r="I155" s="30"/>
      <c r="J155" s="69"/>
      <c r="K155" s="69"/>
      <c r="R155" s="62"/>
    </row>
    <row r="156" ht="15.75" customHeight="1">
      <c r="A156" s="11" t="s">
        <v>85</v>
      </c>
      <c r="B156" s="205" t="s">
        <v>2383</v>
      </c>
      <c r="C156" s="69" t="str">
        <f t="shared" si="16"/>
        <v>Sexta-Feira</v>
      </c>
      <c r="D156" s="445" t="str">
        <f>IF(C156&lt;&gt;"Quarta-Feira","15:40","10:40")</f>
        <v>15:40</v>
      </c>
      <c r="E156" s="253"/>
      <c r="F156" s="69"/>
      <c r="G156" s="154"/>
      <c r="H156" s="78"/>
      <c r="I156" s="30"/>
      <c r="J156" s="69"/>
      <c r="K156" s="69"/>
      <c r="L156" s="197" t="s">
        <v>576</v>
      </c>
      <c r="R156" s="62"/>
    </row>
    <row r="157" ht="15.75" customHeight="1">
      <c r="A157" s="11" t="s">
        <v>87</v>
      </c>
      <c r="B157" s="205" t="s">
        <v>2380</v>
      </c>
      <c r="C157" s="69" t="str">
        <f t="shared" si="16"/>
        <v>Sexta-Feira</v>
      </c>
      <c r="D157" s="445" t="str">
        <f>IF(C157&lt;&gt;"Quarta-Feira","16:00","11:00")</f>
        <v>16:00</v>
      </c>
      <c r="E157" s="253"/>
      <c r="F157" s="69"/>
      <c r="G157" s="154"/>
      <c r="H157" s="153"/>
      <c r="I157" s="30"/>
      <c r="J157" s="69"/>
      <c r="K157" s="69"/>
      <c r="R157" s="62"/>
    </row>
    <row r="158" ht="15.75" customHeight="1">
      <c r="A158" s="11" t="s">
        <v>90</v>
      </c>
      <c r="B158" s="205" t="s">
        <v>2380</v>
      </c>
      <c r="C158" s="69" t="str">
        <f t="shared" si="16"/>
        <v>Sexta-Feira</v>
      </c>
      <c r="D158" s="445" t="str">
        <f>IF(C158&lt;&gt;"Quarta-Feira","16:20","11:20")</f>
        <v>16:20</v>
      </c>
      <c r="E158" s="253"/>
      <c r="F158" s="69"/>
      <c r="G158" s="154"/>
      <c r="H158" s="153"/>
      <c r="I158" s="30"/>
      <c r="J158" s="69"/>
      <c r="K158" s="69"/>
      <c r="R158" s="62"/>
    </row>
    <row r="159" ht="15.75" customHeight="1">
      <c r="A159" s="11" t="s">
        <v>93</v>
      </c>
      <c r="B159" s="205" t="s">
        <v>2380</v>
      </c>
      <c r="C159" s="69" t="str">
        <f t="shared" si="16"/>
        <v>Sexta-Feira</v>
      </c>
      <c r="D159" s="445" t="str">
        <f>IF(C159&lt;&gt;"Quarta-Feira","16:40","11:40")</f>
        <v>16:40</v>
      </c>
      <c r="E159" s="253"/>
      <c r="F159" s="69"/>
      <c r="G159" s="154"/>
      <c r="H159" s="153"/>
      <c r="I159" s="30"/>
      <c r="J159" s="69"/>
      <c r="K159" s="69"/>
      <c r="R159" s="62"/>
    </row>
    <row r="160" ht="15.75" customHeight="1">
      <c r="B160" s="167"/>
      <c r="E160" s="231"/>
      <c r="G160" s="167"/>
      <c r="J160" s="62"/>
      <c r="K160" s="62"/>
      <c r="R160" s="62"/>
    </row>
    <row r="161" ht="15.75" customHeight="1">
      <c r="B161" s="167"/>
      <c r="E161" s="231"/>
      <c r="G161" s="167"/>
      <c r="J161" s="62"/>
      <c r="K161" s="62"/>
      <c r="R161" s="62"/>
    </row>
    <row r="162" ht="15.75" customHeight="1">
      <c r="B162" s="167"/>
      <c r="E162" s="231"/>
      <c r="G162" s="167"/>
      <c r="J162" s="62"/>
      <c r="K162" s="62"/>
      <c r="R162" s="62"/>
    </row>
    <row r="163" ht="15.75" customHeight="1">
      <c r="A163" s="20" t="s">
        <v>377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TEXT(DATE(VALUE(MID(A110,7,4)),VALUE(MID(A110,4,2)),VALUE(LEFT(A110,2)))+7,"dd/mm/yyyy")&amp;" 13h às 17h"</f>
        <v>20/07/2026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426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34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1980</v>
      </c>
      <c r="C166" s="69" t="str">
        <f t="shared" ref="C166:C177" si="18">PROPER(TEXT(DATE(MID($A$164,7,4),MID($A$164,4,2),LEFT($A$164,2)),"dddd"))</f>
        <v>Segunda-Feira</v>
      </c>
      <c r="D166" s="445" t="str">
        <f>IF(C166&lt;&gt;"Quarta-Feira","13:00","08:00")</f>
        <v>13:00</v>
      </c>
      <c r="E166" s="253"/>
      <c r="F166" s="69"/>
      <c r="G166" s="154"/>
      <c r="H166" s="193"/>
      <c r="I166" s="30"/>
      <c r="J166" s="69"/>
      <c r="K166" s="69"/>
      <c r="N166" s="237" t="s">
        <v>386</v>
      </c>
      <c r="O166" s="95"/>
      <c r="P166" s="95"/>
      <c r="Q166" s="95"/>
      <c r="R166" s="95"/>
    </row>
    <row r="167" ht="15.75" customHeight="1">
      <c r="A167" s="11" t="s">
        <v>11</v>
      </c>
      <c r="B167" s="205" t="s">
        <v>1984</v>
      </c>
      <c r="C167" s="69" t="str">
        <f t="shared" si="18"/>
        <v>Segunda-Feira</v>
      </c>
      <c r="D167" s="445" t="str">
        <f>IF(C167&lt;&gt;"Quarta-Feira","13:20","08:20")</f>
        <v>13:20</v>
      </c>
      <c r="E167" s="253"/>
      <c r="F167" s="69"/>
      <c r="G167" s="154"/>
      <c r="H167" s="193"/>
      <c r="I167" s="30"/>
      <c r="J167" s="69"/>
      <c r="K167" s="69"/>
      <c r="N167" s="239" t="s">
        <v>1823</v>
      </c>
      <c r="O167" s="2"/>
      <c r="P167" s="2"/>
      <c r="Q167" s="2"/>
      <c r="R167" s="2"/>
    </row>
    <row r="168" ht="15.75" customHeight="1">
      <c r="A168" s="11" t="s">
        <v>12</v>
      </c>
      <c r="B168" s="205" t="s">
        <v>1988</v>
      </c>
      <c r="C168" s="69" t="str">
        <f t="shared" si="18"/>
        <v>Segunda-Feira</v>
      </c>
      <c r="D168" s="445" t="str">
        <f>IF(C168&lt;&gt;"Quarta-Feira","13:40","08:40")</f>
        <v>13:40</v>
      </c>
      <c r="E168" s="253"/>
      <c r="F168" s="69"/>
      <c r="G168" s="154"/>
      <c r="H168" s="193"/>
      <c r="I168" s="30"/>
      <c r="J168" s="69"/>
      <c r="K168" s="69"/>
      <c r="N168" s="240" t="s">
        <v>182</v>
      </c>
      <c r="O168" s="241" t="s">
        <v>194</v>
      </c>
      <c r="P168" s="241" t="s">
        <v>180</v>
      </c>
      <c r="Q168" s="242" t="s">
        <v>172</v>
      </c>
      <c r="R168" s="62" t="s">
        <v>1822</v>
      </c>
    </row>
    <row r="169" ht="15.75" customHeight="1">
      <c r="A169" s="11" t="s">
        <v>13</v>
      </c>
      <c r="B169" s="205" t="s">
        <v>1991</v>
      </c>
      <c r="C169" s="69" t="str">
        <f t="shared" si="18"/>
        <v>Segunda-Feira</v>
      </c>
      <c r="D169" s="445" t="str">
        <f>IF(C169&lt;&gt;"Quarta-Feira","14:00","09:00")</f>
        <v>14:00</v>
      </c>
      <c r="E169" s="253"/>
      <c r="F169" s="69"/>
      <c r="G169" s="154"/>
      <c r="H169" s="193"/>
      <c r="I169" s="30"/>
      <c r="J169" s="69"/>
      <c r="K169" s="69"/>
      <c r="N169" s="244">
        <f t="shared" ref="N169:R169" si="19">COUNTIFS($I$166:$I$177,$N$168)</f>
        <v>0</v>
      </c>
      <c r="O169" s="244">
        <f t="shared" si="19"/>
        <v>0</v>
      </c>
      <c r="P169" s="244">
        <f t="shared" si="19"/>
        <v>0</v>
      </c>
      <c r="Q169" s="244">
        <f t="shared" si="19"/>
        <v>0</v>
      </c>
      <c r="R169" s="244">
        <f t="shared" si="19"/>
        <v>0</v>
      </c>
    </row>
    <row r="170" ht="15.75" customHeight="1">
      <c r="A170" s="11" t="s">
        <v>14</v>
      </c>
      <c r="B170" s="205" t="s">
        <v>1980</v>
      </c>
      <c r="C170" s="69" t="str">
        <f t="shared" si="18"/>
        <v>Segunda-Feira</v>
      </c>
      <c r="D170" s="445" t="str">
        <f>IF(C170&lt;&gt;"Quarta-Feira","14:20","09:20")</f>
        <v>14:20</v>
      </c>
      <c r="E170" s="253"/>
      <c r="F170" s="69"/>
      <c r="G170" s="154"/>
      <c r="H170" s="193"/>
      <c r="I170" s="30"/>
      <c r="J170" s="69"/>
      <c r="K170" s="69"/>
      <c r="R170" s="62"/>
    </row>
    <row r="171" ht="15.75" customHeight="1">
      <c r="A171" s="11" t="s">
        <v>15</v>
      </c>
      <c r="B171" s="205" t="s">
        <v>1984</v>
      </c>
      <c r="C171" s="69" t="str">
        <f t="shared" si="18"/>
        <v>Segunda-Feira</v>
      </c>
      <c r="D171" s="445" t="str">
        <f>IF(C171&lt;&gt;"Quarta-Feira","14:40","09:40")</f>
        <v>14:40</v>
      </c>
      <c r="E171" s="253"/>
      <c r="F171" s="69"/>
      <c r="G171" s="154"/>
      <c r="H171" s="193"/>
      <c r="I171" s="30"/>
      <c r="J171" s="69"/>
      <c r="K171" s="69"/>
      <c r="R171" s="62"/>
    </row>
    <row r="172" ht="15.75" customHeight="1">
      <c r="A172" s="11" t="s">
        <v>16</v>
      </c>
      <c r="B172" s="205" t="s">
        <v>1988</v>
      </c>
      <c r="C172" s="69" t="str">
        <f t="shared" si="18"/>
        <v>Segunda-Feira</v>
      </c>
      <c r="D172" s="445" t="str">
        <f>IF(C172&lt;&gt;"Quarta-Feira","15:00","10:00")</f>
        <v>15:00</v>
      </c>
      <c r="E172" s="253"/>
      <c r="F172" s="69"/>
      <c r="G172" s="154"/>
      <c r="H172" s="193"/>
      <c r="I172" s="30"/>
      <c r="J172" s="69"/>
      <c r="K172" s="69"/>
      <c r="R172" s="62"/>
    </row>
    <row r="173" ht="15.75" customHeight="1">
      <c r="A173" s="11" t="s">
        <v>17</v>
      </c>
      <c r="B173" s="205" t="s">
        <v>1991</v>
      </c>
      <c r="C173" s="69" t="str">
        <f t="shared" si="18"/>
        <v>Segunda-Feira</v>
      </c>
      <c r="D173" s="445" t="str">
        <f>IF(C173&lt;&gt;"Quarta-Feira","15:20","10:20")</f>
        <v>15:20</v>
      </c>
      <c r="E173" s="253"/>
      <c r="F173" s="69"/>
      <c r="G173" s="154"/>
      <c r="H173" s="193"/>
      <c r="I173" s="30"/>
      <c r="J173" s="69"/>
      <c r="K173" s="69"/>
      <c r="R173" s="62"/>
    </row>
    <row r="174" ht="15.75" customHeight="1">
      <c r="A174" s="11" t="s">
        <v>85</v>
      </c>
      <c r="B174" s="205" t="s">
        <v>1980</v>
      </c>
      <c r="C174" s="69" t="str">
        <f t="shared" si="18"/>
        <v>Segunda-Feira</v>
      </c>
      <c r="D174" s="445" t="str">
        <f>IF(C174&lt;&gt;"Quarta-Feira","15:40","10:40")</f>
        <v>15:40</v>
      </c>
      <c r="E174" s="253"/>
      <c r="F174" s="69"/>
      <c r="G174" s="154"/>
      <c r="H174" s="193"/>
      <c r="I174" s="30"/>
      <c r="J174" s="69"/>
      <c r="K174" s="69"/>
      <c r="R174" s="62"/>
    </row>
    <row r="175" ht="15.75" customHeight="1">
      <c r="A175" s="11" t="s">
        <v>87</v>
      </c>
      <c r="B175" s="205" t="s">
        <v>1984</v>
      </c>
      <c r="C175" s="69" t="str">
        <f t="shared" si="18"/>
        <v>Segunda-Feira</v>
      </c>
      <c r="D175" s="445" t="str">
        <f>IF(C175&lt;&gt;"Quarta-Feira","16:00","11:00")</f>
        <v>16:00</v>
      </c>
      <c r="E175" s="253"/>
      <c r="F175" s="69"/>
      <c r="G175" s="154"/>
      <c r="H175" s="193"/>
      <c r="I175" s="30"/>
      <c r="J175" s="69"/>
      <c r="K175" s="69"/>
      <c r="R175" s="62"/>
    </row>
    <row r="176" ht="15.75" customHeight="1">
      <c r="A176" s="11" t="s">
        <v>90</v>
      </c>
      <c r="B176" s="205" t="s">
        <v>1988</v>
      </c>
      <c r="C176" s="69" t="str">
        <f t="shared" si="18"/>
        <v>Segunda-Feira</v>
      </c>
      <c r="D176" s="445" t="str">
        <f>IF(C176&lt;&gt;"Quarta-Feira","16:20","11:20")</f>
        <v>16:20</v>
      </c>
      <c r="E176" s="253"/>
      <c r="F176" s="69"/>
      <c r="G176" s="154"/>
      <c r="H176" s="193"/>
      <c r="I176" s="30"/>
      <c r="J176" s="69"/>
      <c r="K176" s="69"/>
      <c r="R176" s="62"/>
    </row>
    <row r="177" ht="15.75" customHeight="1">
      <c r="A177" s="11" t="s">
        <v>93</v>
      </c>
      <c r="B177" s="205" t="s">
        <v>1991</v>
      </c>
      <c r="C177" s="69" t="str">
        <f t="shared" si="18"/>
        <v>Segunda-Feira</v>
      </c>
      <c r="D177" s="445" t="str">
        <f>IF(C177&lt;&gt;"Quarta-Feira","16:40","11:40")</f>
        <v>16:40</v>
      </c>
      <c r="E177" s="253"/>
      <c r="F177" s="69"/>
      <c r="G177" s="154"/>
      <c r="H177" s="193"/>
      <c r="I177" s="30"/>
      <c r="J177" s="69"/>
      <c r="K177" s="69"/>
      <c r="R177" s="62"/>
    </row>
    <row r="178" ht="15.75" customHeight="1">
      <c r="B178" s="167"/>
      <c r="E178" s="231"/>
      <c r="G178" s="167"/>
      <c r="J178" s="62"/>
      <c r="K178" s="62"/>
      <c r="R178" s="62"/>
    </row>
    <row r="179" ht="15.75" customHeight="1">
      <c r="B179" s="167"/>
      <c r="E179" s="231"/>
      <c r="G179" s="167"/>
      <c r="J179" s="62"/>
      <c r="K179" s="62"/>
      <c r="R179" s="62"/>
    </row>
    <row r="180" ht="15.75" customHeight="1">
      <c r="B180" s="167"/>
      <c r="E180" s="231"/>
      <c r="G180" s="167"/>
      <c r="J180" s="62"/>
      <c r="K180" s="62"/>
      <c r="R180" s="62"/>
    </row>
    <row r="181" ht="15.75" customHeight="1">
      <c r="A181" s="20" t="s">
        <v>377</v>
      </c>
      <c r="B181" s="2"/>
      <c r="C181" s="2"/>
      <c r="D181" s="2"/>
      <c r="E181" s="2"/>
      <c r="F181" s="2"/>
      <c r="G181" s="2"/>
      <c r="H181" s="2"/>
      <c r="I181" s="2"/>
      <c r="J181" s="2"/>
      <c r="K181" s="3"/>
      <c r="R181" s="62"/>
    </row>
    <row r="182" ht="15.75" customHeight="1">
      <c r="A182" s="21" t="str">
        <f>TEXT(DATE(VALUE(MID(A164,7,4)),VALUE(MID(A164,4,2)),VALUE(LEFT(A164,2)))+2,"dd/mm/yyyy")&amp;" 08h às 13h"</f>
        <v>22/07/2026 08h às 13h</v>
      </c>
      <c r="B182" s="2"/>
      <c r="C182" s="2"/>
      <c r="D182" s="2"/>
      <c r="E182" s="2"/>
      <c r="F182" s="2"/>
      <c r="G182" s="2"/>
      <c r="H182" s="2"/>
      <c r="I182" s="2"/>
      <c r="J182" s="2"/>
      <c r="K182" s="3"/>
    </row>
    <row r="183" ht="15.75" customHeight="1">
      <c r="A183" s="22"/>
      <c r="B183" s="426" t="s">
        <v>3</v>
      </c>
      <c r="C183" s="24" t="s">
        <v>2</v>
      </c>
      <c r="D183" s="25" t="s">
        <v>5</v>
      </c>
      <c r="E183" s="26" t="s">
        <v>19</v>
      </c>
      <c r="F183" s="25" t="s">
        <v>6</v>
      </c>
      <c r="G183" s="234" t="s">
        <v>7</v>
      </c>
      <c r="H183" s="27" t="s">
        <v>8</v>
      </c>
      <c r="I183" s="28" t="s">
        <v>20</v>
      </c>
      <c r="J183" s="25" t="s">
        <v>21</v>
      </c>
      <c r="K183" s="25" t="s">
        <v>22</v>
      </c>
    </row>
    <row r="184" ht="15.75" customHeight="1">
      <c r="A184" s="11" t="s">
        <v>10</v>
      </c>
      <c r="B184" s="205" t="s">
        <v>2013</v>
      </c>
      <c r="C184" s="69" t="str">
        <f t="shared" ref="C184:C195" si="20">PROPER(TEXT(DATE(MID($A$128,7,4),MID($A$128,4,2),LEFT($A$128,2)),"dddd"))</f>
        <v>Quarta-Feira</v>
      </c>
      <c r="D184" s="445" t="str">
        <f>IF(C184&lt;&gt;"Quarta-Feira","13:00","08:00")</f>
        <v>08:00</v>
      </c>
      <c r="E184" s="253"/>
      <c r="F184" s="69"/>
      <c r="G184" s="154"/>
      <c r="H184" s="193"/>
      <c r="I184" s="30"/>
      <c r="J184" s="69"/>
      <c r="K184" s="69"/>
      <c r="N184" s="237" t="s">
        <v>386</v>
      </c>
      <c r="O184" s="95"/>
      <c r="P184" s="95"/>
      <c r="Q184" s="95"/>
      <c r="R184" s="95"/>
    </row>
    <row r="185" ht="15.75" customHeight="1">
      <c r="A185" s="11" t="s">
        <v>11</v>
      </c>
      <c r="B185" s="205" t="s">
        <v>2018</v>
      </c>
      <c r="C185" s="69" t="str">
        <f t="shared" si="20"/>
        <v>Quarta-Feira</v>
      </c>
      <c r="D185" s="445" t="str">
        <f>IF(C185&lt;&gt;"Quarta-Feira","13:20","08:20")</f>
        <v>08:20</v>
      </c>
      <c r="E185" s="253"/>
      <c r="F185" s="69"/>
      <c r="G185" s="154"/>
      <c r="H185" s="72"/>
      <c r="I185" s="30"/>
      <c r="J185" s="69"/>
      <c r="K185" s="69"/>
      <c r="N185" s="239" t="s">
        <v>1823</v>
      </c>
      <c r="O185" s="2"/>
      <c r="P185" s="2"/>
      <c r="Q185" s="2"/>
      <c r="R185" s="2"/>
    </row>
    <row r="186" ht="15.75" customHeight="1">
      <c r="A186" s="11" t="s">
        <v>12</v>
      </c>
      <c r="B186" s="205" t="s">
        <v>2020</v>
      </c>
      <c r="C186" s="69" t="str">
        <f t="shared" si="20"/>
        <v>Quarta-Feira</v>
      </c>
      <c r="D186" s="445" t="str">
        <f>IF(C186&lt;&gt;"Quarta-Feira","13:40","08:40")</f>
        <v>08:40</v>
      </c>
      <c r="E186" s="253"/>
      <c r="F186" s="69"/>
      <c r="G186" s="154"/>
      <c r="H186" s="78"/>
      <c r="I186" s="30"/>
      <c r="J186" s="69"/>
      <c r="K186" s="69"/>
      <c r="N186" s="240" t="s">
        <v>182</v>
      </c>
      <c r="O186" s="241" t="s">
        <v>194</v>
      </c>
      <c r="P186" s="241" t="s">
        <v>180</v>
      </c>
      <c r="Q186" s="242" t="s">
        <v>172</v>
      </c>
      <c r="R186" s="62" t="s">
        <v>1822</v>
      </c>
    </row>
    <row r="187" ht="15.75" customHeight="1">
      <c r="A187" s="11" t="s">
        <v>13</v>
      </c>
      <c r="B187" s="205" t="s">
        <v>2023</v>
      </c>
      <c r="C187" s="69" t="str">
        <f t="shared" si="20"/>
        <v>Quarta-Feira</v>
      </c>
      <c r="D187" s="445" t="str">
        <f>IF(C187&lt;&gt;"Quarta-Feira","14:00","09:00")</f>
        <v>09:00</v>
      </c>
      <c r="E187" s="253"/>
      <c r="F187" s="69"/>
      <c r="G187" s="154"/>
      <c r="H187" s="78"/>
      <c r="I187" s="30"/>
      <c r="J187" s="69"/>
      <c r="K187" s="69"/>
      <c r="N187" s="244">
        <f t="shared" ref="N187:R187" si="21">COUNTIFS($I$184:$I$195,$N$168)</f>
        <v>0</v>
      </c>
      <c r="O187" s="244">
        <f t="shared" si="21"/>
        <v>0</v>
      </c>
      <c r="P187" s="244">
        <f t="shared" si="21"/>
        <v>0</v>
      </c>
      <c r="Q187" s="244">
        <f t="shared" si="21"/>
        <v>0</v>
      </c>
      <c r="R187" s="244">
        <f t="shared" si="21"/>
        <v>0</v>
      </c>
    </row>
    <row r="188" ht="15.75" customHeight="1">
      <c r="A188" s="11" t="s">
        <v>14</v>
      </c>
      <c r="B188" s="205" t="s">
        <v>2018</v>
      </c>
      <c r="C188" s="69" t="str">
        <f t="shared" si="20"/>
        <v>Quarta-Feira</v>
      </c>
      <c r="D188" s="445" t="str">
        <f>IF(C188&lt;&gt;"Quarta-Feira","14:20","09:20")</f>
        <v>09:20</v>
      </c>
      <c r="E188" s="253"/>
      <c r="F188" s="69"/>
      <c r="G188" s="154"/>
      <c r="H188" s="78"/>
      <c r="I188" s="30"/>
      <c r="J188" s="69"/>
      <c r="K188" s="69"/>
      <c r="R188" s="62"/>
    </row>
    <row r="189" ht="15.75" customHeight="1">
      <c r="A189" s="11" t="s">
        <v>15</v>
      </c>
      <c r="B189" s="205" t="s">
        <v>2020</v>
      </c>
      <c r="C189" s="69" t="str">
        <f t="shared" si="20"/>
        <v>Quarta-Feira</v>
      </c>
      <c r="D189" s="445" t="str">
        <f>IF(C189&lt;&gt;"Quarta-Feira","14:40","09:40")</f>
        <v>09:40</v>
      </c>
      <c r="E189" s="253"/>
      <c r="F189" s="69"/>
      <c r="G189" s="154"/>
      <c r="H189" s="78"/>
      <c r="I189" s="30"/>
      <c r="J189" s="69"/>
      <c r="K189" s="69"/>
      <c r="R189" s="62"/>
    </row>
    <row r="190" ht="15.75" customHeight="1">
      <c r="A190" s="11" t="s">
        <v>16</v>
      </c>
      <c r="B190" s="205" t="s">
        <v>2013</v>
      </c>
      <c r="C190" s="69" t="str">
        <f t="shared" si="20"/>
        <v>Quarta-Feira</v>
      </c>
      <c r="D190" s="445" t="str">
        <f>IF(C190&lt;&gt;"Quarta-Feira","15:00","10:00")</f>
        <v>10:00</v>
      </c>
      <c r="E190" s="253"/>
      <c r="F190" s="69"/>
      <c r="G190" s="154"/>
      <c r="H190" s="78"/>
      <c r="I190" s="30"/>
      <c r="J190" s="69"/>
      <c r="K190" s="69"/>
      <c r="R190" s="62"/>
    </row>
    <row r="191" ht="15.75" customHeight="1">
      <c r="A191" s="11" t="s">
        <v>17</v>
      </c>
      <c r="B191" s="205" t="s">
        <v>2018</v>
      </c>
      <c r="C191" s="69" t="str">
        <f t="shared" si="20"/>
        <v>Quarta-Feira</v>
      </c>
      <c r="D191" s="445" t="str">
        <f>IF(C191&lt;&gt;"Quarta-Feira","15:20","10:20")</f>
        <v>10:20</v>
      </c>
      <c r="E191" s="253"/>
      <c r="F191" s="69"/>
      <c r="G191" s="154"/>
      <c r="H191" s="72"/>
      <c r="I191" s="30"/>
      <c r="J191" s="69"/>
      <c r="K191" s="69"/>
      <c r="R191" s="62"/>
    </row>
    <row r="192" ht="15.75" customHeight="1">
      <c r="A192" s="11" t="s">
        <v>85</v>
      </c>
      <c r="B192" s="205" t="s">
        <v>2023</v>
      </c>
      <c r="C192" s="69" t="str">
        <f t="shared" si="20"/>
        <v>Quarta-Feira</v>
      </c>
      <c r="D192" s="445" t="str">
        <f>IF(C192&lt;&gt;"Quarta-Feira","15:40","10:40")</f>
        <v>10:40</v>
      </c>
      <c r="E192" s="253"/>
      <c r="F192" s="69"/>
      <c r="G192" s="154"/>
      <c r="H192" s="78"/>
      <c r="I192" s="30"/>
      <c r="J192" s="69"/>
      <c r="K192" s="69"/>
      <c r="R192" s="62"/>
    </row>
    <row r="193" ht="15.75" customHeight="1">
      <c r="A193" s="11" t="s">
        <v>87</v>
      </c>
      <c r="B193" s="205" t="s">
        <v>2020</v>
      </c>
      <c r="C193" s="69" t="str">
        <f t="shared" si="20"/>
        <v>Quarta-Feira</v>
      </c>
      <c r="D193" s="445" t="str">
        <f>IF(C193&lt;&gt;"Quarta-Feira","16:00","11:00")</f>
        <v>11:00</v>
      </c>
      <c r="E193" s="253"/>
      <c r="F193" s="69"/>
      <c r="G193" s="154"/>
      <c r="H193" s="153"/>
      <c r="I193" s="30"/>
      <c r="J193" s="69"/>
      <c r="K193" s="69"/>
      <c r="R193" s="62"/>
    </row>
    <row r="194" ht="15.75" customHeight="1">
      <c r="A194" s="11" t="s">
        <v>90</v>
      </c>
      <c r="B194" s="205" t="s">
        <v>2023</v>
      </c>
      <c r="C194" s="69" t="str">
        <f t="shared" si="20"/>
        <v>Quarta-Feira</v>
      </c>
      <c r="D194" s="445" t="str">
        <f>IF(C194&lt;&gt;"Quarta-Feira","16:20","11:20")</f>
        <v>11:20</v>
      </c>
      <c r="E194" s="253"/>
      <c r="F194" s="69"/>
      <c r="G194" s="154"/>
      <c r="H194" s="153"/>
      <c r="I194" s="30"/>
      <c r="J194" s="69"/>
      <c r="K194" s="69"/>
      <c r="R194" s="62"/>
    </row>
    <row r="195" ht="15.75" customHeight="1">
      <c r="A195" s="11" t="s">
        <v>93</v>
      </c>
      <c r="B195" s="205" t="s">
        <v>2013</v>
      </c>
      <c r="C195" s="69" t="str">
        <f t="shared" si="20"/>
        <v>Quarta-Feira</v>
      </c>
      <c r="D195" s="445" t="str">
        <f>IF(C195&lt;&gt;"Quarta-Feira","16:40","11:40")</f>
        <v>11:40</v>
      </c>
      <c r="E195" s="253"/>
      <c r="F195" s="69"/>
      <c r="G195" s="154"/>
      <c r="H195" s="153"/>
      <c r="I195" s="30"/>
      <c r="J195" s="69"/>
      <c r="K195" s="69"/>
      <c r="R195" s="62"/>
    </row>
    <row r="196" ht="15.75" customHeight="1">
      <c r="B196" s="167"/>
      <c r="E196" s="231"/>
      <c r="G196" s="167"/>
      <c r="J196" s="62"/>
      <c r="K196" s="62"/>
      <c r="R196" s="62"/>
    </row>
    <row r="197" ht="15.75" customHeight="1">
      <c r="B197" s="167"/>
      <c r="E197" s="231"/>
      <c r="G197" s="167"/>
      <c r="J197" s="62"/>
      <c r="K197" s="62"/>
      <c r="R197" s="62"/>
    </row>
    <row r="198" ht="15.75" customHeight="1">
      <c r="B198" s="167"/>
      <c r="E198" s="231"/>
      <c r="G198" s="167"/>
      <c r="J198" s="62"/>
      <c r="K198" s="62"/>
      <c r="R198" s="62"/>
    </row>
    <row r="199" ht="15.75" customHeight="1">
      <c r="A199" s="20" t="s">
        <v>377</v>
      </c>
      <c r="B199" s="2"/>
      <c r="C199" s="2"/>
      <c r="D199" s="2"/>
      <c r="E199" s="2"/>
      <c r="F199" s="2"/>
      <c r="G199" s="2"/>
      <c r="H199" s="2"/>
      <c r="I199" s="2"/>
      <c r="J199" s="2"/>
      <c r="K199" s="3"/>
      <c r="R199" s="62"/>
    </row>
    <row r="200" ht="15.75" customHeight="1">
      <c r="A200" s="21" t="str">
        <f>TEXT(DATE(VALUE(MID(A182,7,4)),VALUE(MID(A182,4,2)),VALUE(LEFT(A182,2)))+2,"dd/mm/yyyy")&amp;" 08h às 13h"</f>
        <v>24/07/2026 08h às 13h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  <c r="R200" s="62"/>
    </row>
    <row r="201" ht="15.75" customHeight="1">
      <c r="A201" s="22"/>
      <c r="B201" s="426" t="s">
        <v>3</v>
      </c>
      <c r="C201" s="24" t="s">
        <v>2</v>
      </c>
      <c r="D201" s="25" t="s">
        <v>5</v>
      </c>
      <c r="E201" s="26" t="s">
        <v>19</v>
      </c>
      <c r="F201" s="25" t="s">
        <v>6</v>
      </c>
      <c r="G201" s="234" t="s">
        <v>7</v>
      </c>
      <c r="H201" s="27" t="s">
        <v>8</v>
      </c>
      <c r="I201" s="28" t="s">
        <v>20</v>
      </c>
      <c r="J201" s="25" t="s">
        <v>21</v>
      </c>
      <c r="K201" s="25" t="s">
        <v>22</v>
      </c>
      <c r="R201" s="62"/>
    </row>
    <row r="202" ht="15.75" customHeight="1">
      <c r="A202" s="11" t="s">
        <v>10</v>
      </c>
      <c r="B202" s="205" t="s">
        <v>2380</v>
      </c>
      <c r="C202" s="69" t="str">
        <f t="shared" ref="C202:C213" si="22">PROPER(TEXT(DATE(MID($A$146,7,4),MID($A$146,4,2),LEFT($A$146,2)),"dddd"))</f>
        <v>Sexta-Feira</v>
      </c>
      <c r="D202" s="445" t="str">
        <f>IF(C202&lt;&gt;"Quarta-Feira","13:00","08:00")</f>
        <v>13:00</v>
      </c>
      <c r="E202" s="253"/>
      <c r="F202" s="404"/>
      <c r="G202" s="154"/>
      <c r="H202" s="78"/>
      <c r="I202" s="30"/>
      <c r="J202" s="69"/>
      <c r="K202" s="69"/>
      <c r="N202" s="237" t="s">
        <v>386</v>
      </c>
      <c r="O202" s="95"/>
      <c r="P202" s="95"/>
      <c r="Q202" s="95"/>
      <c r="R202" s="95"/>
    </row>
    <row r="203" ht="15.75" customHeight="1">
      <c r="A203" s="11" t="s">
        <v>11</v>
      </c>
      <c r="B203" s="205" t="s">
        <v>2383</v>
      </c>
      <c r="C203" s="69" t="str">
        <f t="shared" si="22"/>
        <v>Sexta-Feira</v>
      </c>
      <c r="D203" s="445" t="str">
        <f>IF(C203&lt;&gt;"Quarta-Feira","13:20","08:20")</f>
        <v>13:20</v>
      </c>
      <c r="E203" s="253"/>
      <c r="F203" s="69"/>
      <c r="G203" s="154"/>
      <c r="H203" s="78"/>
      <c r="I203" s="30"/>
      <c r="J203" s="69"/>
      <c r="K203" s="69"/>
      <c r="N203" s="239" t="s">
        <v>1823</v>
      </c>
      <c r="O203" s="2"/>
      <c r="P203" s="2"/>
      <c r="Q203" s="2"/>
      <c r="R203" s="2"/>
    </row>
    <row r="204" ht="15.75" customHeight="1">
      <c r="A204" s="11" t="s">
        <v>12</v>
      </c>
      <c r="B204" s="205" t="s">
        <v>2386</v>
      </c>
      <c r="C204" s="69" t="str">
        <f t="shared" si="22"/>
        <v>Sexta-Feira</v>
      </c>
      <c r="D204" s="445" t="str">
        <f>IF(C204&lt;&gt;"Quarta-Feira","13:40","08:40")</f>
        <v>13:40</v>
      </c>
      <c r="E204" s="253"/>
      <c r="F204" s="69"/>
      <c r="G204" s="154"/>
      <c r="H204" s="78"/>
      <c r="I204" s="30"/>
      <c r="J204" s="69"/>
      <c r="K204" s="69"/>
      <c r="N204" s="240" t="s">
        <v>182</v>
      </c>
      <c r="O204" s="241" t="s">
        <v>194</v>
      </c>
      <c r="P204" s="241" t="s">
        <v>180</v>
      </c>
      <c r="Q204" s="242" t="s">
        <v>172</v>
      </c>
      <c r="R204" s="62" t="s">
        <v>1822</v>
      </c>
    </row>
    <row r="205" ht="15.75" customHeight="1">
      <c r="A205" s="11" t="s">
        <v>13</v>
      </c>
      <c r="B205" s="205" t="s">
        <v>2389</v>
      </c>
      <c r="C205" s="69" t="str">
        <f t="shared" si="22"/>
        <v>Sexta-Feira</v>
      </c>
      <c r="D205" s="445" t="str">
        <f>IF(C205&lt;&gt;"Quarta-Feira","14:00","09:00")</f>
        <v>14:00</v>
      </c>
      <c r="E205" s="253"/>
      <c r="F205" s="69"/>
      <c r="G205" s="154"/>
      <c r="H205" s="78"/>
      <c r="I205" s="30"/>
      <c r="J205" s="69"/>
      <c r="K205" s="69"/>
      <c r="N205" s="244">
        <f t="shared" ref="N205:R205" si="23">COUNTIFS($I$202:$I$213,$N$168)</f>
        <v>0</v>
      </c>
      <c r="O205" s="244">
        <f t="shared" si="23"/>
        <v>0</v>
      </c>
      <c r="P205" s="244">
        <f t="shared" si="23"/>
        <v>0</v>
      </c>
      <c r="Q205" s="244">
        <f t="shared" si="23"/>
        <v>0</v>
      </c>
      <c r="R205" s="244">
        <f t="shared" si="23"/>
        <v>0</v>
      </c>
    </row>
    <row r="206" ht="15.75" customHeight="1">
      <c r="A206" s="11" t="s">
        <v>14</v>
      </c>
      <c r="B206" s="205" t="s">
        <v>2380</v>
      </c>
      <c r="C206" s="69" t="str">
        <f t="shared" si="22"/>
        <v>Sexta-Feira</v>
      </c>
      <c r="D206" s="445" t="str">
        <f>IF(C206&lt;&gt;"Quarta-Feira","14:20","09:20")</f>
        <v>14:20</v>
      </c>
      <c r="E206" s="253"/>
      <c r="F206" s="69"/>
      <c r="G206" s="154"/>
      <c r="H206" s="78"/>
      <c r="I206" s="30"/>
      <c r="J206" s="69"/>
      <c r="K206" s="69"/>
      <c r="R206" s="62"/>
    </row>
    <row r="207" ht="15.75" customHeight="1">
      <c r="A207" s="11" t="s">
        <v>15</v>
      </c>
      <c r="B207" s="205" t="s">
        <v>2383</v>
      </c>
      <c r="C207" s="69" t="str">
        <f t="shared" si="22"/>
        <v>Sexta-Feira</v>
      </c>
      <c r="D207" s="445" t="str">
        <f>IF(C207&lt;&gt;"Quarta-Feira","14:40","09:40")</f>
        <v>14:40</v>
      </c>
      <c r="E207" s="253"/>
      <c r="F207" s="69"/>
      <c r="G207" s="154"/>
      <c r="H207" s="78"/>
      <c r="I207" s="30"/>
      <c r="J207" s="69"/>
      <c r="K207" s="69"/>
      <c r="R207" s="62"/>
    </row>
    <row r="208" ht="15.75" customHeight="1">
      <c r="A208" s="11" t="s">
        <v>16</v>
      </c>
      <c r="B208" s="205" t="s">
        <v>2386</v>
      </c>
      <c r="C208" s="69" t="str">
        <f t="shared" si="22"/>
        <v>Sexta-Feira</v>
      </c>
      <c r="D208" s="445" t="str">
        <f>IF(C208&lt;&gt;"Quarta-Feira","15:00","10:00")</f>
        <v>15:00</v>
      </c>
      <c r="E208" s="253"/>
      <c r="F208" s="404"/>
      <c r="G208" s="154"/>
      <c r="H208" s="78"/>
      <c r="I208" s="30"/>
      <c r="J208" s="69"/>
      <c r="K208" s="69"/>
      <c r="R208" s="62"/>
    </row>
    <row r="209" ht="15.75" customHeight="1">
      <c r="A209" s="11" t="s">
        <v>17</v>
      </c>
      <c r="B209" s="205" t="s">
        <v>2389</v>
      </c>
      <c r="C209" s="69" t="str">
        <f t="shared" si="22"/>
        <v>Sexta-Feira</v>
      </c>
      <c r="D209" s="445" t="str">
        <f>IF(C209&lt;&gt;"Quarta-Feira","15:20","10:20")</f>
        <v>15:20</v>
      </c>
      <c r="E209" s="253"/>
      <c r="F209" s="69"/>
      <c r="G209" s="154"/>
      <c r="H209" s="78"/>
      <c r="I209" s="30"/>
      <c r="J209" s="69"/>
      <c r="K209" s="69"/>
      <c r="R209" s="62"/>
    </row>
    <row r="210" ht="15.75" customHeight="1">
      <c r="A210" s="11" t="s">
        <v>85</v>
      </c>
      <c r="B210" s="205" t="s">
        <v>2383</v>
      </c>
      <c r="C210" s="69" t="str">
        <f t="shared" si="22"/>
        <v>Sexta-Feira</v>
      </c>
      <c r="D210" s="445" t="str">
        <f>IF(C210&lt;&gt;"Quarta-Feira","15:40","10:40")</f>
        <v>15:40</v>
      </c>
      <c r="E210" s="253"/>
      <c r="F210" s="69"/>
      <c r="G210" s="154"/>
      <c r="H210" s="78"/>
      <c r="I210" s="30"/>
      <c r="J210" s="69"/>
      <c r="K210" s="69"/>
      <c r="R210" s="62"/>
    </row>
    <row r="211" ht="15.75" customHeight="1">
      <c r="A211" s="11" t="s">
        <v>87</v>
      </c>
      <c r="B211" s="205" t="s">
        <v>2380</v>
      </c>
      <c r="C211" s="69" t="str">
        <f t="shared" si="22"/>
        <v>Sexta-Feira</v>
      </c>
      <c r="D211" s="445" t="str">
        <f>IF(C211&lt;&gt;"Quarta-Feira","16:00","11:00")</f>
        <v>16:00</v>
      </c>
      <c r="E211" s="253"/>
      <c r="F211" s="69"/>
      <c r="G211" s="154"/>
      <c r="H211" s="153"/>
      <c r="I211" s="30"/>
      <c r="J211" s="69"/>
      <c r="K211" s="69"/>
      <c r="R211" s="62"/>
    </row>
    <row r="212" ht="15.75" customHeight="1">
      <c r="A212" s="11" t="s">
        <v>90</v>
      </c>
      <c r="B212" s="205" t="s">
        <v>2380</v>
      </c>
      <c r="C212" s="69" t="str">
        <f t="shared" si="22"/>
        <v>Sexta-Feira</v>
      </c>
      <c r="D212" s="445" t="str">
        <f>IF(C212&lt;&gt;"Quarta-Feira","16:20","11:20")</f>
        <v>16:20</v>
      </c>
      <c r="E212" s="253"/>
      <c r="F212" s="69"/>
      <c r="G212" s="154"/>
      <c r="H212" s="153"/>
      <c r="I212" s="30"/>
      <c r="J212" s="69"/>
      <c r="K212" s="69"/>
      <c r="R212" s="62"/>
    </row>
    <row r="213" ht="15.75" customHeight="1">
      <c r="A213" s="11" t="s">
        <v>93</v>
      </c>
      <c r="B213" s="205" t="s">
        <v>2380</v>
      </c>
      <c r="C213" s="69" t="str">
        <f t="shared" si="22"/>
        <v>Sexta-Feira</v>
      </c>
      <c r="D213" s="445" t="str">
        <f>IF(C213&lt;&gt;"Quarta-Feira","16:40","11:40")</f>
        <v>16:40</v>
      </c>
      <c r="E213" s="253"/>
      <c r="F213" s="69"/>
      <c r="G213" s="154"/>
      <c r="H213" s="153"/>
      <c r="I213" s="30"/>
      <c r="J213" s="69"/>
      <c r="K213" s="69"/>
      <c r="R213" s="62"/>
    </row>
    <row r="214" ht="15.75" customHeight="1">
      <c r="B214" s="167"/>
      <c r="E214" s="231"/>
      <c r="G214" s="167"/>
      <c r="J214" s="62"/>
      <c r="K214" s="62"/>
      <c r="R214" s="62"/>
    </row>
    <row r="215" ht="15.75" customHeight="1">
      <c r="B215" s="167"/>
      <c r="E215" s="231"/>
      <c r="G215" s="167"/>
      <c r="J215" s="62"/>
      <c r="K215" s="62"/>
      <c r="R215" s="62"/>
    </row>
    <row r="216" ht="15.75" customHeight="1">
      <c r="B216" s="167"/>
      <c r="E216" s="231"/>
      <c r="G216" s="167"/>
      <c r="J216" s="62"/>
      <c r="K216" s="62"/>
      <c r="R216" s="62"/>
    </row>
    <row r="217" ht="15.75" customHeight="1">
      <c r="A217" s="20" t="s">
        <v>377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R217" s="62"/>
    </row>
    <row r="218" ht="15.75" customHeight="1">
      <c r="A218" s="21" t="str">
        <f>TEXT(DATE(VALUE(MID(A164,7,4)),VALUE(MID(A164,4,2)),VALUE(LEFT(A164,2)))+7,"dd/mm/yyyy")&amp;" 13h às 17h"</f>
        <v>27/07/2026 13h às 17h</v>
      </c>
      <c r="B218" s="2"/>
      <c r="C218" s="2"/>
      <c r="D218" s="2"/>
      <c r="E218" s="2"/>
      <c r="F218" s="2"/>
      <c r="G218" s="2"/>
      <c r="H218" s="2"/>
      <c r="I218" s="2"/>
      <c r="J218" s="2"/>
      <c r="K218" s="3"/>
      <c r="R218" s="62"/>
    </row>
    <row r="219" ht="15.75" customHeight="1">
      <c r="A219" s="22"/>
      <c r="B219" s="426" t="s">
        <v>3</v>
      </c>
      <c r="C219" s="24" t="s">
        <v>2</v>
      </c>
      <c r="D219" s="25" t="s">
        <v>5</v>
      </c>
      <c r="E219" s="26" t="s">
        <v>19</v>
      </c>
      <c r="F219" s="25" t="s">
        <v>6</v>
      </c>
      <c r="G219" s="234" t="s">
        <v>7</v>
      </c>
      <c r="H219" s="27" t="s">
        <v>8</v>
      </c>
      <c r="I219" s="28" t="s">
        <v>20</v>
      </c>
      <c r="J219" s="25" t="s">
        <v>21</v>
      </c>
      <c r="K219" s="25" t="s">
        <v>22</v>
      </c>
      <c r="R219" s="62"/>
    </row>
    <row r="220" ht="15.75" customHeight="1">
      <c r="A220" s="11" t="s">
        <v>10</v>
      </c>
      <c r="B220" s="205" t="s">
        <v>1980</v>
      </c>
      <c r="C220" s="69" t="str">
        <f t="shared" ref="C220:C231" si="24">PROPER(TEXT(DATE(MID($A$164,7,4),MID($A$164,4,2),LEFT($A$164,2)),"dddd"))</f>
        <v>Segunda-Feira</v>
      </c>
      <c r="D220" s="445" t="str">
        <f>IF(C220&lt;&gt;"Quarta-Feira","13:00","08:00")</f>
        <v>13:00</v>
      </c>
      <c r="E220" s="253"/>
      <c r="F220" s="69"/>
      <c r="G220" s="154"/>
      <c r="H220" s="193"/>
      <c r="I220" s="30"/>
      <c r="J220" s="69"/>
      <c r="K220" s="69"/>
      <c r="N220" s="237" t="s">
        <v>386</v>
      </c>
      <c r="O220" s="95"/>
      <c r="P220" s="95"/>
      <c r="Q220" s="95"/>
      <c r="R220" s="95"/>
    </row>
    <row r="221" ht="15.75" customHeight="1">
      <c r="A221" s="11" t="s">
        <v>11</v>
      </c>
      <c r="B221" s="205" t="s">
        <v>1984</v>
      </c>
      <c r="C221" s="69" t="str">
        <f t="shared" si="24"/>
        <v>Segunda-Feira</v>
      </c>
      <c r="D221" s="445" t="str">
        <f>IF(C221&lt;&gt;"Quarta-Feira","13:20","08:20")</f>
        <v>13:20</v>
      </c>
      <c r="E221" s="253"/>
      <c r="F221" s="69"/>
      <c r="G221" s="154"/>
      <c r="H221" s="193"/>
      <c r="I221" s="30"/>
      <c r="J221" s="69"/>
      <c r="K221" s="69"/>
      <c r="N221" s="239" t="s">
        <v>1823</v>
      </c>
      <c r="O221" s="2"/>
      <c r="P221" s="2"/>
      <c r="Q221" s="2"/>
      <c r="R221" s="2"/>
    </row>
    <row r="222" ht="15.75" customHeight="1">
      <c r="A222" s="11" t="s">
        <v>12</v>
      </c>
      <c r="B222" s="205" t="s">
        <v>1988</v>
      </c>
      <c r="C222" s="69" t="str">
        <f t="shared" si="24"/>
        <v>Segunda-Feira</v>
      </c>
      <c r="D222" s="445" t="str">
        <f>IF(C222&lt;&gt;"Quarta-Feira","13:40","08:40")</f>
        <v>13:40</v>
      </c>
      <c r="E222" s="253"/>
      <c r="F222" s="69"/>
      <c r="G222" s="154"/>
      <c r="H222" s="193"/>
      <c r="I222" s="30"/>
      <c r="J222" s="69"/>
      <c r="K222" s="69"/>
      <c r="N222" s="240" t="s">
        <v>182</v>
      </c>
      <c r="O222" s="241" t="s">
        <v>194</v>
      </c>
      <c r="P222" s="241" t="s">
        <v>180</v>
      </c>
      <c r="Q222" s="242" t="s">
        <v>172</v>
      </c>
      <c r="R222" s="62" t="s">
        <v>1822</v>
      </c>
    </row>
    <row r="223" ht="15.75" customHeight="1">
      <c r="A223" s="11" t="s">
        <v>13</v>
      </c>
      <c r="B223" s="205" t="s">
        <v>1991</v>
      </c>
      <c r="C223" s="69" t="str">
        <f t="shared" si="24"/>
        <v>Segunda-Feira</v>
      </c>
      <c r="D223" s="445" t="str">
        <f>IF(C223&lt;&gt;"Quarta-Feira","14:00","09:00")</f>
        <v>14:00</v>
      </c>
      <c r="E223" s="253"/>
      <c r="F223" s="69"/>
      <c r="G223" s="154"/>
      <c r="H223" s="193"/>
      <c r="I223" s="30"/>
      <c r="J223" s="69"/>
      <c r="K223" s="69"/>
      <c r="N223" s="244">
        <f t="shared" ref="N223:R223" si="25">COUNTIFS($I$166:$I$177,$N$168)</f>
        <v>0</v>
      </c>
      <c r="O223" s="244">
        <f t="shared" si="25"/>
        <v>0</v>
      </c>
      <c r="P223" s="244">
        <f t="shared" si="25"/>
        <v>0</v>
      </c>
      <c r="Q223" s="244">
        <f t="shared" si="25"/>
        <v>0</v>
      </c>
      <c r="R223" s="244">
        <f t="shared" si="25"/>
        <v>0</v>
      </c>
    </row>
    <row r="224" ht="15.75" customHeight="1">
      <c r="A224" s="11" t="s">
        <v>14</v>
      </c>
      <c r="B224" s="205" t="s">
        <v>1980</v>
      </c>
      <c r="C224" s="69" t="str">
        <f t="shared" si="24"/>
        <v>Segunda-Feira</v>
      </c>
      <c r="D224" s="445" t="str">
        <f>IF(C224&lt;&gt;"Quarta-Feira","14:20","09:20")</f>
        <v>14:20</v>
      </c>
      <c r="E224" s="253"/>
      <c r="F224" s="69"/>
      <c r="G224" s="154"/>
      <c r="H224" s="193"/>
      <c r="I224" s="30"/>
      <c r="J224" s="69"/>
      <c r="K224" s="69"/>
      <c r="R224" s="62"/>
    </row>
    <row r="225" ht="15.75" customHeight="1">
      <c r="A225" s="11" t="s">
        <v>15</v>
      </c>
      <c r="B225" s="205" t="s">
        <v>1984</v>
      </c>
      <c r="C225" s="69" t="str">
        <f t="shared" si="24"/>
        <v>Segunda-Feira</v>
      </c>
      <c r="D225" s="445" t="str">
        <f>IF(C225&lt;&gt;"Quarta-Feira","14:40","09:40")</f>
        <v>14:40</v>
      </c>
      <c r="E225" s="253"/>
      <c r="F225" s="69"/>
      <c r="G225" s="154"/>
      <c r="H225" s="193"/>
      <c r="I225" s="30"/>
      <c r="J225" s="69"/>
      <c r="K225" s="69"/>
      <c r="R225" s="62"/>
    </row>
    <row r="226" ht="15.75" customHeight="1">
      <c r="A226" s="11" t="s">
        <v>16</v>
      </c>
      <c r="B226" s="205" t="s">
        <v>1988</v>
      </c>
      <c r="C226" s="69" t="str">
        <f t="shared" si="24"/>
        <v>Segunda-Feira</v>
      </c>
      <c r="D226" s="445" t="str">
        <f>IF(C226&lt;&gt;"Quarta-Feira","15:00","10:00")</f>
        <v>15:00</v>
      </c>
      <c r="E226" s="253"/>
      <c r="F226" s="69"/>
      <c r="G226" s="154"/>
      <c r="H226" s="193"/>
      <c r="I226" s="30"/>
      <c r="J226" s="69"/>
      <c r="K226" s="69"/>
      <c r="R226" s="62"/>
    </row>
    <row r="227" ht="15.75" customHeight="1">
      <c r="A227" s="11" t="s">
        <v>17</v>
      </c>
      <c r="B227" s="205" t="s">
        <v>1991</v>
      </c>
      <c r="C227" s="69" t="str">
        <f t="shared" si="24"/>
        <v>Segunda-Feira</v>
      </c>
      <c r="D227" s="445" t="str">
        <f>IF(C227&lt;&gt;"Quarta-Feira","15:20","10:20")</f>
        <v>15:20</v>
      </c>
      <c r="E227" s="253"/>
      <c r="F227" s="69"/>
      <c r="G227" s="154"/>
      <c r="H227" s="193"/>
      <c r="I227" s="30"/>
      <c r="J227" s="69"/>
      <c r="K227" s="69"/>
      <c r="R227" s="62"/>
    </row>
    <row r="228" ht="15.75" customHeight="1">
      <c r="A228" s="11" t="s">
        <v>85</v>
      </c>
      <c r="B228" s="205" t="s">
        <v>1980</v>
      </c>
      <c r="C228" s="69" t="str">
        <f t="shared" si="24"/>
        <v>Segunda-Feira</v>
      </c>
      <c r="D228" s="445" t="str">
        <f>IF(C228&lt;&gt;"Quarta-Feira","15:40","10:40")</f>
        <v>15:40</v>
      </c>
      <c r="E228" s="253"/>
      <c r="F228" s="69"/>
      <c r="G228" s="154"/>
      <c r="H228" s="193"/>
      <c r="I228" s="30"/>
      <c r="J228" s="69"/>
      <c r="K228" s="69"/>
      <c r="R228" s="62"/>
    </row>
    <row r="229" ht="15.75" customHeight="1">
      <c r="A229" s="11" t="s">
        <v>87</v>
      </c>
      <c r="B229" s="205" t="s">
        <v>1984</v>
      </c>
      <c r="C229" s="69" t="str">
        <f t="shared" si="24"/>
        <v>Segunda-Feira</v>
      </c>
      <c r="D229" s="445" t="str">
        <f>IF(C229&lt;&gt;"Quarta-Feira","16:00","11:00")</f>
        <v>16:00</v>
      </c>
      <c r="E229" s="253"/>
      <c r="F229" s="69"/>
      <c r="G229" s="154"/>
      <c r="H229" s="193"/>
      <c r="I229" s="30"/>
      <c r="J229" s="69"/>
      <c r="K229" s="69"/>
      <c r="R229" s="62"/>
    </row>
    <row r="230" ht="15.75" customHeight="1">
      <c r="A230" s="11" t="s">
        <v>90</v>
      </c>
      <c r="B230" s="205" t="s">
        <v>1988</v>
      </c>
      <c r="C230" s="69" t="str">
        <f t="shared" si="24"/>
        <v>Segunda-Feira</v>
      </c>
      <c r="D230" s="445" t="str">
        <f>IF(C230&lt;&gt;"Quarta-Feira","16:20","11:20")</f>
        <v>16:20</v>
      </c>
      <c r="E230" s="253"/>
      <c r="F230" s="69"/>
      <c r="G230" s="154"/>
      <c r="H230" s="193"/>
      <c r="I230" s="30"/>
      <c r="J230" s="69"/>
      <c r="K230" s="69"/>
      <c r="R230" s="62"/>
    </row>
    <row r="231" ht="15.75" customHeight="1">
      <c r="A231" s="11" t="s">
        <v>93</v>
      </c>
      <c r="B231" s="205" t="s">
        <v>1991</v>
      </c>
      <c r="C231" s="69" t="str">
        <f t="shared" si="24"/>
        <v>Segunda-Feira</v>
      </c>
      <c r="D231" s="445" t="str">
        <f>IF(C231&lt;&gt;"Quarta-Feira","16:40","11:40")</f>
        <v>16:40</v>
      </c>
      <c r="E231" s="253"/>
      <c r="F231" s="69"/>
      <c r="G231" s="154"/>
      <c r="H231" s="193"/>
      <c r="I231" s="30"/>
      <c r="J231" s="69"/>
      <c r="K231" s="69"/>
      <c r="R231" s="62"/>
    </row>
    <row r="232" ht="15.75" customHeight="1">
      <c r="B232" s="167"/>
      <c r="E232" s="231"/>
      <c r="G232" s="167"/>
      <c r="J232" s="62"/>
      <c r="K232" s="62"/>
      <c r="R232" s="62"/>
    </row>
    <row r="233" ht="15.75" customHeight="1">
      <c r="B233" s="167"/>
      <c r="E233" s="231"/>
      <c r="G233" s="167"/>
      <c r="J233" s="62"/>
      <c r="K233" s="62"/>
      <c r="R233" s="62"/>
    </row>
    <row r="234" ht="15.75" customHeight="1">
      <c r="B234" s="167"/>
      <c r="E234" s="231"/>
      <c r="G234" s="167"/>
      <c r="J234" s="62"/>
      <c r="K234" s="62"/>
      <c r="R234" s="62"/>
    </row>
    <row r="235" ht="15.75" customHeight="1">
      <c r="A235" s="20" t="s">
        <v>377</v>
      </c>
      <c r="B235" s="2"/>
      <c r="C235" s="2"/>
      <c r="D235" s="2"/>
      <c r="E235" s="2"/>
      <c r="F235" s="2"/>
      <c r="G235" s="2"/>
      <c r="H235" s="2"/>
      <c r="I235" s="2"/>
      <c r="J235" s="2"/>
      <c r="K235" s="3"/>
      <c r="R235" s="62"/>
    </row>
    <row r="236" ht="15.75" customHeight="1">
      <c r="A236" s="21" t="str">
        <f>TEXT(DATE(VALUE(MID(A218,7,4)),VALUE(MID(A218,4,2)),VALUE(LEFT(A218,2)))+2,"dd/mm/yyyy")&amp;" 08h às 13h"</f>
        <v>29/07/2026 08h às 13h</v>
      </c>
      <c r="B236" s="2"/>
      <c r="C236" s="2"/>
      <c r="D236" s="2"/>
      <c r="E236" s="2"/>
      <c r="F236" s="2"/>
      <c r="G236" s="2"/>
      <c r="H236" s="2"/>
      <c r="I236" s="2"/>
      <c r="J236" s="2"/>
      <c r="K236" s="3"/>
    </row>
    <row r="237" ht="15.75" customHeight="1">
      <c r="A237" s="22"/>
      <c r="B237" s="426" t="s">
        <v>3</v>
      </c>
      <c r="C237" s="24" t="s">
        <v>2</v>
      </c>
      <c r="D237" s="25" t="s">
        <v>5</v>
      </c>
      <c r="E237" s="26" t="s">
        <v>19</v>
      </c>
      <c r="F237" s="25" t="s">
        <v>6</v>
      </c>
      <c r="G237" s="234" t="s">
        <v>7</v>
      </c>
      <c r="H237" s="27" t="s">
        <v>8</v>
      </c>
      <c r="I237" s="28" t="s">
        <v>20</v>
      </c>
      <c r="J237" s="25" t="s">
        <v>21</v>
      </c>
      <c r="K237" s="25" t="s">
        <v>22</v>
      </c>
    </row>
    <row r="238" ht="15.75" customHeight="1">
      <c r="A238" s="11" t="s">
        <v>10</v>
      </c>
      <c r="B238" s="205" t="s">
        <v>2013</v>
      </c>
      <c r="C238" s="69" t="str">
        <f t="shared" ref="C238:C249" si="26">PROPER(TEXT(DATE(MID($A$128,7,4),MID($A$128,4,2),LEFT($A$128,2)),"dddd"))</f>
        <v>Quarta-Feira</v>
      </c>
      <c r="D238" s="445" t="str">
        <f>IF(C238&lt;&gt;"Quarta-Feira","13:00","08:00")</f>
        <v>08:00</v>
      </c>
      <c r="E238" s="253"/>
      <c r="F238" s="69"/>
      <c r="G238" s="154"/>
      <c r="H238" s="193"/>
      <c r="I238" s="30"/>
      <c r="J238" s="69"/>
      <c r="K238" s="69"/>
      <c r="N238" s="237" t="s">
        <v>386</v>
      </c>
      <c r="O238" s="95"/>
      <c r="P238" s="95"/>
      <c r="Q238" s="95"/>
      <c r="R238" s="95"/>
    </row>
    <row r="239" ht="15.75" customHeight="1">
      <c r="A239" s="11" t="s">
        <v>11</v>
      </c>
      <c r="B239" s="205" t="s">
        <v>2018</v>
      </c>
      <c r="C239" s="69" t="str">
        <f t="shared" si="26"/>
        <v>Quarta-Feira</v>
      </c>
      <c r="D239" s="445" t="str">
        <f>IF(C239&lt;&gt;"Quarta-Feira","13:20","08:20")</f>
        <v>08:20</v>
      </c>
      <c r="E239" s="253"/>
      <c r="F239" s="69"/>
      <c r="G239" s="154"/>
      <c r="H239" s="72"/>
      <c r="I239" s="30"/>
      <c r="J239" s="69"/>
      <c r="K239" s="69"/>
      <c r="N239" s="239" t="s">
        <v>1823</v>
      </c>
      <c r="O239" s="2"/>
      <c r="P239" s="2"/>
      <c r="Q239" s="2"/>
      <c r="R239" s="2"/>
    </row>
    <row r="240" ht="15.75" customHeight="1">
      <c r="A240" s="11" t="s">
        <v>12</v>
      </c>
      <c r="B240" s="205" t="s">
        <v>2020</v>
      </c>
      <c r="C240" s="69" t="str">
        <f t="shared" si="26"/>
        <v>Quarta-Feira</v>
      </c>
      <c r="D240" s="445" t="str">
        <f>IF(C240&lt;&gt;"Quarta-Feira","13:40","08:40")</f>
        <v>08:40</v>
      </c>
      <c r="E240" s="253"/>
      <c r="F240" s="69"/>
      <c r="G240" s="154"/>
      <c r="H240" s="78"/>
      <c r="I240" s="30"/>
      <c r="J240" s="69"/>
      <c r="K240" s="69"/>
      <c r="N240" s="240" t="s">
        <v>182</v>
      </c>
      <c r="O240" s="241" t="s">
        <v>194</v>
      </c>
      <c r="P240" s="241" t="s">
        <v>180</v>
      </c>
      <c r="Q240" s="242" t="s">
        <v>172</v>
      </c>
      <c r="R240" s="62" t="s">
        <v>1822</v>
      </c>
    </row>
    <row r="241" ht="15.75" customHeight="1">
      <c r="A241" s="11" t="s">
        <v>13</v>
      </c>
      <c r="B241" s="205" t="s">
        <v>2023</v>
      </c>
      <c r="C241" s="69" t="str">
        <f t="shared" si="26"/>
        <v>Quarta-Feira</v>
      </c>
      <c r="D241" s="445" t="str">
        <f>IF(C241&lt;&gt;"Quarta-Feira","14:00","09:00")</f>
        <v>09:00</v>
      </c>
      <c r="E241" s="253"/>
      <c r="F241" s="69"/>
      <c r="G241" s="154"/>
      <c r="H241" s="78"/>
      <c r="I241" s="30"/>
      <c r="J241" s="69"/>
      <c r="K241" s="69"/>
      <c r="N241" s="244">
        <f t="shared" ref="N241:R241" si="27">COUNTIFS($I$184:$I$195,$N$168)</f>
        <v>0</v>
      </c>
      <c r="O241" s="244">
        <f t="shared" si="27"/>
        <v>0</v>
      </c>
      <c r="P241" s="244">
        <f t="shared" si="27"/>
        <v>0</v>
      </c>
      <c r="Q241" s="244">
        <f t="shared" si="27"/>
        <v>0</v>
      </c>
      <c r="R241" s="244">
        <f t="shared" si="27"/>
        <v>0</v>
      </c>
    </row>
    <row r="242" ht="15.75" customHeight="1">
      <c r="A242" s="11" t="s">
        <v>14</v>
      </c>
      <c r="B242" s="205" t="s">
        <v>2018</v>
      </c>
      <c r="C242" s="69" t="str">
        <f t="shared" si="26"/>
        <v>Quarta-Feira</v>
      </c>
      <c r="D242" s="445" t="str">
        <f>IF(C242&lt;&gt;"Quarta-Feira","14:20","09:20")</f>
        <v>09:20</v>
      </c>
      <c r="E242" s="253"/>
      <c r="F242" s="69"/>
      <c r="G242" s="154"/>
      <c r="H242" s="78"/>
      <c r="I242" s="30"/>
      <c r="J242" s="69"/>
      <c r="K242" s="69"/>
      <c r="R242" s="62"/>
    </row>
    <row r="243" ht="15.75" customHeight="1">
      <c r="A243" s="11" t="s">
        <v>15</v>
      </c>
      <c r="B243" s="205" t="s">
        <v>2020</v>
      </c>
      <c r="C243" s="69" t="str">
        <f t="shared" si="26"/>
        <v>Quarta-Feira</v>
      </c>
      <c r="D243" s="445" t="str">
        <f>IF(C243&lt;&gt;"Quarta-Feira","14:40","09:40")</f>
        <v>09:40</v>
      </c>
      <c r="E243" s="253"/>
      <c r="F243" s="69"/>
      <c r="G243" s="154"/>
      <c r="H243" s="78"/>
      <c r="I243" s="30"/>
      <c r="J243" s="69"/>
      <c r="K243" s="69"/>
      <c r="R243" s="62"/>
    </row>
    <row r="244" ht="15.75" customHeight="1">
      <c r="A244" s="11" t="s">
        <v>16</v>
      </c>
      <c r="B244" s="205" t="s">
        <v>2013</v>
      </c>
      <c r="C244" s="69" t="str">
        <f t="shared" si="26"/>
        <v>Quarta-Feira</v>
      </c>
      <c r="D244" s="445" t="str">
        <f>IF(C244&lt;&gt;"Quarta-Feira","15:00","10:00")</f>
        <v>10:00</v>
      </c>
      <c r="E244" s="253"/>
      <c r="F244" s="69"/>
      <c r="G244" s="154"/>
      <c r="H244" s="78"/>
      <c r="I244" s="30"/>
      <c r="J244" s="69"/>
      <c r="K244" s="69"/>
      <c r="R244" s="62"/>
    </row>
    <row r="245" ht="15.75" customHeight="1">
      <c r="A245" s="11" t="s">
        <v>17</v>
      </c>
      <c r="B245" s="205" t="s">
        <v>2018</v>
      </c>
      <c r="C245" s="69" t="str">
        <f t="shared" si="26"/>
        <v>Quarta-Feira</v>
      </c>
      <c r="D245" s="445" t="str">
        <f>IF(C245&lt;&gt;"Quarta-Feira","15:20","10:20")</f>
        <v>10:20</v>
      </c>
      <c r="E245" s="253"/>
      <c r="F245" s="69"/>
      <c r="G245" s="154"/>
      <c r="H245" s="72"/>
      <c r="I245" s="30"/>
      <c r="J245" s="69"/>
      <c r="K245" s="69"/>
      <c r="R245" s="62"/>
    </row>
    <row r="246" ht="15.75" customHeight="1">
      <c r="A246" s="11" t="s">
        <v>85</v>
      </c>
      <c r="B246" s="205" t="s">
        <v>2023</v>
      </c>
      <c r="C246" s="69" t="str">
        <f t="shared" si="26"/>
        <v>Quarta-Feira</v>
      </c>
      <c r="D246" s="445" t="str">
        <f>IF(C246&lt;&gt;"Quarta-Feira","15:40","10:40")</f>
        <v>10:40</v>
      </c>
      <c r="E246" s="253"/>
      <c r="F246" s="69"/>
      <c r="G246" s="154"/>
      <c r="H246" s="78"/>
      <c r="I246" s="30"/>
      <c r="J246" s="69"/>
      <c r="K246" s="69"/>
      <c r="R246" s="62"/>
    </row>
    <row r="247" ht="15.75" customHeight="1">
      <c r="A247" s="11" t="s">
        <v>87</v>
      </c>
      <c r="B247" s="205" t="s">
        <v>2020</v>
      </c>
      <c r="C247" s="69" t="str">
        <f t="shared" si="26"/>
        <v>Quarta-Feira</v>
      </c>
      <c r="D247" s="445" t="str">
        <f>IF(C247&lt;&gt;"Quarta-Feira","16:00","11:00")</f>
        <v>11:00</v>
      </c>
      <c r="E247" s="253"/>
      <c r="F247" s="69"/>
      <c r="G247" s="154"/>
      <c r="H247" s="153"/>
      <c r="I247" s="30"/>
      <c r="J247" s="69"/>
      <c r="K247" s="69"/>
      <c r="R247" s="62"/>
    </row>
    <row r="248" ht="15.75" customHeight="1">
      <c r="A248" s="11" t="s">
        <v>90</v>
      </c>
      <c r="B248" s="205" t="s">
        <v>2023</v>
      </c>
      <c r="C248" s="69" t="str">
        <f t="shared" si="26"/>
        <v>Quarta-Feira</v>
      </c>
      <c r="D248" s="445" t="str">
        <f>IF(C248&lt;&gt;"Quarta-Feira","16:20","11:20")</f>
        <v>11:20</v>
      </c>
      <c r="E248" s="253"/>
      <c r="F248" s="69"/>
      <c r="G248" s="154"/>
      <c r="H248" s="153"/>
      <c r="I248" s="30"/>
      <c r="J248" s="69"/>
      <c r="K248" s="69"/>
      <c r="R248" s="62"/>
    </row>
    <row r="249" ht="15.75" customHeight="1">
      <c r="A249" s="11" t="s">
        <v>93</v>
      </c>
      <c r="B249" s="205" t="s">
        <v>2013</v>
      </c>
      <c r="C249" s="69" t="str">
        <f t="shared" si="26"/>
        <v>Quarta-Feira</v>
      </c>
      <c r="D249" s="445" t="str">
        <f>IF(C249&lt;&gt;"Quarta-Feira","16:40","11:40")</f>
        <v>11:40</v>
      </c>
      <c r="E249" s="253"/>
      <c r="F249" s="69"/>
      <c r="G249" s="154"/>
      <c r="H249" s="153"/>
      <c r="I249" s="30"/>
      <c r="J249" s="69"/>
      <c r="K249" s="69"/>
      <c r="R249" s="62"/>
    </row>
    <row r="250" ht="15.75" customHeight="1">
      <c r="B250" s="167"/>
      <c r="E250" s="231"/>
      <c r="G250" s="167"/>
      <c r="J250" s="62"/>
      <c r="K250" s="62"/>
      <c r="R250" s="62"/>
    </row>
    <row r="251" ht="15.75" customHeight="1">
      <c r="B251" s="167"/>
      <c r="E251" s="231"/>
      <c r="G251" s="167"/>
      <c r="J251" s="62"/>
      <c r="K251" s="62"/>
      <c r="R251" s="62"/>
    </row>
    <row r="252" ht="15.75" customHeight="1">
      <c r="B252" s="167"/>
      <c r="E252" s="231"/>
      <c r="G252" s="167"/>
      <c r="J252" s="62"/>
      <c r="K252" s="62"/>
      <c r="R252" s="62"/>
    </row>
    <row r="253" ht="15.75" customHeight="1">
      <c r="A253" s="20" t="s">
        <v>377</v>
      </c>
      <c r="B253" s="2"/>
      <c r="C253" s="2"/>
      <c r="D253" s="2"/>
      <c r="E253" s="2"/>
      <c r="F253" s="2"/>
      <c r="G253" s="2"/>
      <c r="H253" s="2"/>
      <c r="I253" s="2"/>
      <c r="J253" s="2"/>
      <c r="K253" s="3"/>
      <c r="R253" s="62"/>
    </row>
    <row r="254" ht="15.75" customHeight="1">
      <c r="A254" s="21" t="str">
        <f>TEXT(DATE(VALUE(MID(A236,7,4)),VALUE(MID(A236,4,2)),VALUE(LEFT(A236,2)))+2,"dd/mm/yyyy")&amp;" 08h às 13h"</f>
        <v>31/07/2026 08h às 13h</v>
      </c>
      <c r="B254" s="2"/>
      <c r="C254" s="2"/>
      <c r="D254" s="2"/>
      <c r="E254" s="2"/>
      <c r="F254" s="2"/>
      <c r="G254" s="2"/>
      <c r="H254" s="2"/>
      <c r="I254" s="2"/>
      <c r="J254" s="2"/>
      <c r="K254" s="3"/>
      <c r="R254" s="62"/>
    </row>
    <row r="255" ht="15.75" customHeight="1">
      <c r="A255" s="22"/>
      <c r="B255" s="426" t="s">
        <v>3</v>
      </c>
      <c r="C255" s="24" t="s">
        <v>2</v>
      </c>
      <c r="D255" s="25" t="s">
        <v>5</v>
      </c>
      <c r="E255" s="26" t="s">
        <v>19</v>
      </c>
      <c r="F255" s="25" t="s">
        <v>6</v>
      </c>
      <c r="G255" s="234" t="s">
        <v>7</v>
      </c>
      <c r="H255" s="27" t="s">
        <v>8</v>
      </c>
      <c r="I255" s="28" t="s">
        <v>20</v>
      </c>
      <c r="J255" s="25" t="s">
        <v>21</v>
      </c>
      <c r="K255" s="25" t="s">
        <v>22</v>
      </c>
      <c r="R255" s="62"/>
    </row>
    <row r="256" ht="15.75" customHeight="1">
      <c r="A256" s="11" t="s">
        <v>10</v>
      </c>
      <c r="B256" s="205" t="s">
        <v>2380</v>
      </c>
      <c r="C256" s="69" t="str">
        <f t="shared" ref="C256:C267" si="28">PROPER(TEXT(DATE(MID($A$146,7,4),MID($A$146,4,2),LEFT($A$146,2)),"dddd"))</f>
        <v>Sexta-Feira</v>
      </c>
      <c r="D256" s="445" t="str">
        <f>IF(C256&lt;&gt;"Quarta-Feira","13:00","08:00")</f>
        <v>13:00</v>
      </c>
      <c r="E256" s="253"/>
      <c r="F256" s="404"/>
      <c r="G256" s="154"/>
      <c r="H256" s="78"/>
      <c r="I256" s="30"/>
      <c r="J256" s="69"/>
      <c r="K256" s="69"/>
      <c r="N256" s="237" t="s">
        <v>386</v>
      </c>
      <c r="O256" s="95"/>
      <c r="P256" s="95"/>
      <c r="Q256" s="95"/>
      <c r="R256" s="95"/>
    </row>
    <row r="257" ht="15.75" customHeight="1">
      <c r="A257" s="11" t="s">
        <v>11</v>
      </c>
      <c r="B257" s="205" t="s">
        <v>2383</v>
      </c>
      <c r="C257" s="69" t="str">
        <f t="shared" si="28"/>
        <v>Sexta-Feira</v>
      </c>
      <c r="D257" s="445" t="str">
        <f>IF(C257&lt;&gt;"Quarta-Feira","13:20","08:20")</f>
        <v>13:20</v>
      </c>
      <c r="E257" s="253"/>
      <c r="F257" s="69"/>
      <c r="G257" s="154"/>
      <c r="H257" s="78"/>
      <c r="I257" s="30"/>
      <c r="J257" s="69"/>
      <c r="K257" s="69"/>
      <c r="N257" s="239" t="s">
        <v>1823</v>
      </c>
      <c r="O257" s="2"/>
      <c r="P257" s="2"/>
      <c r="Q257" s="2"/>
      <c r="R257" s="2"/>
    </row>
    <row r="258" ht="15.75" customHeight="1">
      <c r="A258" s="11" t="s">
        <v>12</v>
      </c>
      <c r="B258" s="205" t="s">
        <v>2386</v>
      </c>
      <c r="C258" s="69" t="str">
        <f t="shared" si="28"/>
        <v>Sexta-Feira</v>
      </c>
      <c r="D258" s="445" t="str">
        <f>IF(C258&lt;&gt;"Quarta-Feira","13:40","08:40")</f>
        <v>13:40</v>
      </c>
      <c r="E258" s="253"/>
      <c r="F258" s="69"/>
      <c r="G258" s="154"/>
      <c r="H258" s="78"/>
      <c r="I258" s="30"/>
      <c r="J258" s="69"/>
      <c r="K258" s="69"/>
      <c r="N258" s="240" t="s">
        <v>182</v>
      </c>
      <c r="O258" s="241" t="s">
        <v>194</v>
      </c>
      <c r="P258" s="241" t="s">
        <v>180</v>
      </c>
      <c r="Q258" s="242" t="s">
        <v>172</v>
      </c>
      <c r="R258" s="62" t="s">
        <v>1822</v>
      </c>
    </row>
    <row r="259" ht="15.75" customHeight="1">
      <c r="A259" s="11" t="s">
        <v>13</v>
      </c>
      <c r="B259" s="205" t="s">
        <v>2389</v>
      </c>
      <c r="C259" s="69" t="str">
        <f t="shared" si="28"/>
        <v>Sexta-Feira</v>
      </c>
      <c r="D259" s="445" t="str">
        <f>IF(C259&lt;&gt;"Quarta-Feira","14:00","09:00")</f>
        <v>14:00</v>
      </c>
      <c r="E259" s="253"/>
      <c r="F259" s="69"/>
      <c r="G259" s="154"/>
      <c r="H259" s="78"/>
      <c r="I259" s="30"/>
      <c r="J259" s="69"/>
      <c r="K259" s="69"/>
      <c r="N259" s="244">
        <f t="shared" ref="N259:R259" si="29">COUNTIFS($I$202:$I$213,$N$168)</f>
        <v>0</v>
      </c>
      <c r="O259" s="244">
        <f t="shared" si="29"/>
        <v>0</v>
      </c>
      <c r="P259" s="244">
        <f t="shared" si="29"/>
        <v>0</v>
      </c>
      <c r="Q259" s="244">
        <f t="shared" si="29"/>
        <v>0</v>
      </c>
      <c r="R259" s="244">
        <f t="shared" si="29"/>
        <v>0</v>
      </c>
    </row>
    <row r="260" ht="15.75" customHeight="1">
      <c r="A260" s="11" t="s">
        <v>14</v>
      </c>
      <c r="B260" s="205" t="s">
        <v>2380</v>
      </c>
      <c r="C260" s="69" t="str">
        <f t="shared" si="28"/>
        <v>Sexta-Feira</v>
      </c>
      <c r="D260" s="445" t="str">
        <f>IF(C260&lt;&gt;"Quarta-Feira","14:20","09:20")</f>
        <v>14:20</v>
      </c>
      <c r="E260" s="253"/>
      <c r="F260" s="69"/>
      <c r="G260" s="154"/>
      <c r="H260" s="78"/>
      <c r="I260" s="30"/>
      <c r="J260" s="69"/>
      <c r="K260" s="69"/>
      <c r="R260" s="62"/>
    </row>
    <row r="261" ht="15.75" customHeight="1">
      <c r="A261" s="11" t="s">
        <v>15</v>
      </c>
      <c r="B261" s="205" t="s">
        <v>2383</v>
      </c>
      <c r="C261" s="69" t="str">
        <f t="shared" si="28"/>
        <v>Sexta-Feira</v>
      </c>
      <c r="D261" s="445" t="str">
        <f>IF(C261&lt;&gt;"Quarta-Feira","14:40","09:40")</f>
        <v>14:40</v>
      </c>
      <c r="E261" s="253"/>
      <c r="F261" s="69"/>
      <c r="G261" s="154"/>
      <c r="H261" s="78"/>
      <c r="I261" s="30"/>
      <c r="J261" s="69"/>
      <c r="K261" s="69"/>
      <c r="R261" s="62"/>
    </row>
    <row r="262" ht="15.75" customHeight="1">
      <c r="A262" s="11" t="s">
        <v>16</v>
      </c>
      <c r="B262" s="205" t="s">
        <v>2386</v>
      </c>
      <c r="C262" s="69" t="str">
        <f t="shared" si="28"/>
        <v>Sexta-Feira</v>
      </c>
      <c r="D262" s="445" t="str">
        <f>IF(C262&lt;&gt;"Quarta-Feira","15:00","10:00")</f>
        <v>15:00</v>
      </c>
      <c r="E262" s="253"/>
      <c r="F262" s="404"/>
      <c r="G262" s="154"/>
      <c r="H262" s="78"/>
      <c r="I262" s="30"/>
      <c r="J262" s="69"/>
      <c r="K262" s="69"/>
      <c r="R262" s="62"/>
    </row>
    <row r="263" ht="15.75" customHeight="1">
      <c r="A263" s="11" t="s">
        <v>17</v>
      </c>
      <c r="B263" s="205" t="s">
        <v>2389</v>
      </c>
      <c r="C263" s="69" t="str">
        <f t="shared" si="28"/>
        <v>Sexta-Feira</v>
      </c>
      <c r="D263" s="445" t="str">
        <f>IF(C263&lt;&gt;"Quarta-Feira","15:20","10:20")</f>
        <v>15:20</v>
      </c>
      <c r="E263" s="253"/>
      <c r="F263" s="69"/>
      <c r="G263" s="154"/>
      <c r="H263" s="78"/>
      <c r="I263" s="30"/>
      <c r="J263" s="69"/>
      <c r="K263" s="69"/>
      <c r="R263" s="62"/>
    </row>
    <row r="264" ht="15.75" customHeight="1">
      <c r="A264" s="11" t="s">
        <v>85</v>
      </c>
      <c r="B264" s="205" t="s">
        <v>2383</v>
      </c>
      <c r="C264" s="69" t="str">
        <f t="shared" si="28"/>
        <v>Sexta-Feira</v>
      </c>
      <c r="D264" s="445" t="str">
        <f>IF(C264&lt;&gt;"Quarta-Feira","15:40","10:40")</f>
        <v>15:40</v>
      </c>
      <c r="E264" s="253"/>
      <c r="F264" s="69"/>
      <c r="G264" s="154"/>
      <c r="H264" s="78"/>
      <c r="I264" s="30"/>
      <c r="J264" s="69"/>
      <c r="K264" s="69"/>
      <c r="R264" s="62"/>
    </row>
    <row r="265" ht="15.75" customHeight="1">
      <c r="A265" s="11" t="s">
        <v>87</v>
      </c>
      <c r="B265" s="205" t="s">
        <v>2380</v>
      </c>
      <c r="C265" s="69" t="str">
        <f t="shared" si="28"/>
        <v>Sexta-Feira</v>
      </c>
      <c r="D265" s="445" t="str">
        <f>IF(C265&lt;&gt;"Quarta-Feira","16:00","11:00")</f>
        <v>16:00</v>
      </c>
      <c r="E265" s="253"/>
      <c r="F265" s="69"/>
      <c r="G265" s="154"/>
      <c r="H265" s="153"/>
      <c r="I265" s="30"/>
      <c r="J265" s="69"/>
      <c r="K265" s="69"/>
      <c r="R265" s="62"/>
    </row>
    <row r="266" ht="15.75" customHeight="1">
      <c r="A266" s="11" t="s">
        <v>90</v>
      </c>
      <c r="B266" s="205" t="s">
        <v>2380</v>
      </c>
      <c r="C266" s="69" t="str">
        <f t="shared" si="28"/>
        <v>Sexta-Feira</v>
      </c>
      <c r="D266" s="445" t="str">
        <f>IF(C266&lt;&gt;"Quarta-Feira","16:20","11:20")</f>
        <v>16:20</v>
      </c>
      <c r="E266" s="253"/>
      <c r="F266" s="69"/>
      <c r="G266" s="154"/>
      <c r="H266" s="153"/>
      <c r="I266" s="30"/>
      <c r="J266" s="69"/>
      <c r="K266" s="69"/>
      <c r="R266" s="62"/>
    </row>
    <row r="267" ht="15.75" customHeight="1">
      <c r="A267" s="11" t="s">
        <v>93</v>
      </c>
      <c r="B267" s="205" t="s">
        <v>2380</v>
      </c>
      <c r="C267" s="69" t="str">
        <f t="shared" si="28"/>
        <v>Sexta-Feira</v>
      </c>
      <c r="D267" s="445" t="str">
        <f>IF(C267&lt;&gt;"Quarta-Feira","16:40","11:40")</f>
        <v>16:40</v>
      </c>
      <c r="E267" s="253"/>
      <c r="F267" s="69"/>
      <c r="G267" s="154"/>
      <c r="H267" s="153"/>
      <c r="I267" s="30"/>
      <c r="J267" s="69"/>
      <c r="K267" s="69"/>
      <c r="R267" s="62"/>
    </row>
    <row r="268" ht="15.75" customHeight="1">
      <c r="B268" s="167"/>
      <c r="E268" s="231"/>
      <c r="G268" s="167"/>
      <c r="J268" s="62"/>
      <c r="K268" s="62"/>
      <c r="R268" s="62"/>
    </row>
    <row r="269" ht="15.75" customHeight="1">
      <c r="B269" s="167"/>
      <c r="E269" s="231"/>
      <c r="G269" s="167"/>
      <c r="J269" s="62"/>
      <c r="K269" s="62"/>
      <c r="R269" s="62"/>
    </row>
    <row r="270" ht="15.75" customHeight="1">
      <c r="B270" s="167"/>
      <c r="E270" s="231"/>
      <c r="G270" s="167"/>
      <c r="J270" s="62"/>
      <c r="K270" s="62"/>
      <c r="R270" s="62"/>
    </row>
    <row r="271" ht="15.75" customHeight="1">
      <c r="B271" s="167"/>
      <c r="E271" s="231"/>
      <c r="G271" s="167"/>
      <c r="J271" s="62"/>
      <c r="K271" s="62"/>
      <c r="R271" s="62"/>
    </row>
    <row r="272" ht="15.75" customHeight="1">
      <c r="B272" s="167"/>
      <c r="E272" s="231"/>
      <c r="G272" s="167"/>
      <c r="J272" s="62"/>
      <c r="K272" s="62"/>
      <c r="R272" s="62"/>
    </row>
    <row r="273" ht="15.75" customHeight="1">
      <c r="B273" s="167"/>
      <c r="E273" s="231"/>
      <c r="G273" s="167"/>
      <c r="J273" s="62"/>
      <c r="K273" s="62"/>
      <c r="R273" s="62"/>
    </row>
    <row r="274" ht="15.75" customHeight="1">
      <c r="B274" s="167"/>
      <c r="E274" s="231"/>
      <c r="G274" s="167"/>
      <c r="J274" s="62"/>
      <c r="K274" s="62"/>
      <c r="R274" s="62"/>
    </row>
    <row r="275" ht="15.75" customHeight="1">
      <c r="B275" s="167"/>
      <c r="E275" s="231"/>
      <c r="G275" s="167"/>
      <c r="J275" s="62"/>
      <c r="K275" s="62"/>
      <c r="R275" s="62"/>
    </row>
    <row r="276" ht="15.75" customHeight="1">
      <c r="B276" s="167"/>
      <c r="E276" s="231"/>
      <c r="G276" s="167"/>
      <c r="J276" s="62"/>
      <c r="K276" s="62"/>
      <c r="N276" s="237" t="s">
        <v>2079</v>
      </c>
      <c r="O276" s="95"/>
      <c r="P276" s="95"/>
      <c r="Q276" s="95"/>
      <c r="R276" s="95"/>
    </row>
    <row r="277" ht="15.75" customHeight="1">
      <c r="B277" s="167"/>
      <c r="E277" s="231"/>
      <c r="G277" s="167"/>
      <c r="J277" s="62"/>
      <c r="K277" s="62"/>
      <c r="N277" s="240" t="s">
        <v>182</v>
      </c>
      <c r="O277" s="241" t="s">
        <v>194</v>
      </c>
      <c r="P277" s="241" t="s">
        <v>180</v>
      </c>
      <c r="Q277" s="242" t="s">
        <v>172</v>
      </c>
      <c r="R277" s="62" t="s">
        <v>1822</v>
      </c>
    </row>
    <row r="278" ht="15.75" customHeight="1">
      <c r="B278" s="167"/>
      <c r="E278" s="231"/>
      <c r="G278" s="167"/>
      <c r="J278" s="62"/>
      <c r="K278" s="62"/>
      <c r="N278" s="197">
        <f t="shared" ref="N278:R278" si="30">SUM(N59:N272)</f>
        <v>0</v>
      </c>
      <c r="O278" s="197">
        <f t="shared" si="30"/>
        <v>0</v>
      </c>
      <c r="P278" s="197">
        <f t="shared" si="30"/>
        <v>0</v>
      </c>
      <c r="Q278" s="197">
        <f t="shared" si="30"/>
        <v>0</v>
      </c>
      <c r="R278" s="197">
        <f t="shared" si="30"/>
        <v>0</v>
      </c>
    </row>
    <row r="279" ht="15.75" customHeight="1">
      <c r="B279" s="167"/>
      <c r="E279" s="231"/>
      <c r="G279" s="167"/>
      <c r="J279" s="62"/>
      <c r="K279" s="62"/>
      <c r="R279" s="62"/>
    </row>
    <row r="280" ht="15.75" customHeight="1">
      <c r="B280" s="167"/>
      <c r="E280" s="231"/>
      <c r="G280" s="167"/>
      <c r="J280" s="62"/>
      <c r="K280" s="62"/>
      <c r="R280" s="62"/>
    </row>
    <row r="281" ht="15.75" customHeight="1">
      <c r="B281" s="167"/>
      <c r="E281" s="231"/>
      <c r="G281" s="167"/>
      <c r="J281" s="62"/>
      <c r="K281" s="62"/>
      <c r="R281" s="62"/>
    </row>
    <row r="282" ht="15.75" customHeight="1">
      <c r="B282" s="167"/>
      <c r="E282" s="231"/>
      <c r="G282" s="167"/>
      <c r="J282" s="62"/>
      <c r="K282" s="62"/>
      <c r="R282" s="62"/>
    </row>
    <row r="283" ht="15.75" customHeight="1">
      <c r="B283" s="167"/>
      <c r="E283" s="231"/>
      <c r="G283" s="167"/>
      <c r="J283" s="62"/>
      <c r="K283" s="62"/>
      <c r="R283" s="62"/>
    </row>
    <row r="284" ht="15.75" customHeight="1">
      <c r="B284" s="167"/>
      <c r="E284" s="231"/>
      <c r="G284" s="167"/>
      <c r="J284" s="62"/>
      <c r="K284" s="62"/>
      <c r="R284" s="62"/>
    </row>
    <row r="285" ht="15.75" customHeight="1">
      <c r="B285" s="167"/>
      <c r="E285" s="231"/>
      <c r="G285" s="167"/>
      <c r="J285" s="62"/>
      <c r="K285" s="62"/>
      <c r="R285" s="62"/>
    </row>
    <row r="286" ht="15.75" customHeight="1">
      <c r="B286" s="167"/>
      <c r="E286" s="231"/>
      <c r="G286" s="167"/>
      <c r="J286" s="62"/>
      <c r="K286" s="62"/>
      <c r="R286" s="62"/>
    </row>
    <row r="287" ht="15.75" customHeight="1">
      <c r="B287" s="167"/>
      <c r="E287" s="231"/>
      <c r="G287" s="167"/>
      <c r="J287" s="62"/>
      <c r="K287" s="62"/>
      <c r="R287" s="62"/>
    </row>
    <row r="288" ht="15.75" customHeight="1">
      <c r="B288" s="167"/>
      <c r="E288" s="231"/>
      <c r="G288" s="167"/>
      <c r="J288" s="62"/>
      <c r="K288" s="62"/>
      <c r="R288" s="62"/>
    </row>
    <row r="289" ht="15.75" customHeight="1">
      <c r="B289" s="167"/>
      <c r="E289" s="231"/>
      <c r="G289" s="167"/>
      <c r="J289" s="62"/>
      <c r="K289" s="62"/>
      <c r="R289" s="62"/>
    </row>
    <row r="290" ht="15.75" customHeight="1">
      <c r="B290" s="167"/>
      <c r="E290" s="231"/>
      <c r="G290" s="167"/>
      <c r="J290" s="62"/>
      <c r="K290" s="62"/>
      <c r="R290" s="62"/>
    </row>
    <row r="291" ht="15.75" customHeight="1">
      <c r="B291" s="167"/>
      <c r="E291" s="231"/>
      <c r="G291" s="167"/>
      <c r="J291" s="62"/>
      <c r="K291" s="62"/>
      <c r="R291" s="62"/>
    </row>
    <row r="292" ht="15.75" customHeight="1">
      <c r="B292" s="167"/>
      <c r="E292" s="231"/>
      <c r="G292" s="167"/>
      <c r="J292" s="62"/>
      <c r="K292" s="62"/>
      <c r="R292" s="62"/>
    </row>
    <row r="293" ht="15.75" customHeight="1">
      <c r="B293" s="167"/>
      <c r="E293" s="231"/>
      <c r="G293" s="167"/>
      <c r="J293" s="62"/>
      <c r="K293" s="62"/>
      <c r="R293" s="62"/>
    </row>
    <row r="294" ht="15.75" customHeight="1">
      <c r="B294" s="167"/>
      <c r="E294" s="231"/>
      <c r="G294" s="167"/>
      <c r="J294" s="62"/>
      <c r="K294" s="62"/>
      <c r="R294" s="62"/>
    </row>
    <row r="295" ht="15.75" customHeight="1">
      <c r="B295" s="167"/>
      <c r="E295" s="231"/>
      <c r="G295" s="167"/>
      <c r="J295" s="62"/>
      <c r="K295" s="62"/>
      <c r="R295" s="62"/>
    </row>
    <row r="296" ht="15.75" customHeight="1">
      <c r="B296" s="167"/>
      <c r="E296" s="231"/>
      <c r="G296" s="167"/>
      <c r="J296" s="62"/>
      <c r="K296" s="62"/>
      <c r="R296" s="62"/>
    </row>
    <row r="297" ht="15.75" customHeight="1">
      <c r="B297" s="167"/>
      <c r="E297" s="231"/>
      <c r="G297" s="167"/>
      <c r="J297" s="62"/>
      <c r="K297" s="62"/>
      <c r="R297" s="62"/>
    </row>
    <row r="298" ht="15.75" customHeight="1">
      <c r="B298" s="167"/>
      <c r="E298" s="231"/>
      <c r="G298" s="167"/>
      <c r="J298" s="62"/>
      <c r="K298" s="62"/>
      <c r="R298" s="62"/>
    </row>
    <row r="299" ht="15.75" customHeight="1">
      <c r="B299" s="167"/>
      <c r="E299" s="231"/>
      <c r="G299" s="167"/>
      <c r="J299" s="62"/>
      <c r="K299" s="62"/>
      <c r="R299" s="62"/>
    </row>
    <row r="300" ht="15.75" customHeight="1">
      <c r="B300" s="167"/>
      <c r="E300" s="231"/>
      <c r="G300" s="167"/>
      <c r="J300" s="62"/>
      <c r="K300" s="62"/>
      <c r="R300" s="62"/>
    </row>
    <row r="301" ht="15.75" customHeight="1">
      <c r="B301" s="167"/>
      <c r="E301" s="231"/>
      <c r="G301" s="167"/>
      <c r="J301" s="62"/>
      <c r="K301" s="62"/>
      <c r="R301" s="62"/>
    </row>
    <row r="302" ht="15.75" customHeight="1">
      <c r="B302" s="167"/>
      <c r="E302" s="231"/>
      <c r="G302" s="167"/>
      <c r="J302" s="62"/>
      <c r="K302" s="62"/>
      <c r="R302" s="62"/>
    </row>
    <row r="303" ht="15.75" customHeight="1">
      <c r="B303" s="167"/>
      <c r="E303" s="231"/>
      <c r="G303" s="167"/>
      <c r="J303" s="62"/>
      <c r="K303" s="62"/>
      <c r="R303" s="62"/>
    </row>
    <row r="304" ht="15.75" customHeight="1">
      <c r="B304" s="167"/>
      <c r="E304" s="231"/>
      <c r="G304" s="167"/>
      <c r="J304" s="62"/>
      <c r="K304" s="62"/>
      <c r="R304" s="62"/>
    </row>
    <row r="305" ht="15.75" customHeight="1">
      <c r="B305" s="167"/>
      <c r="E305" s="231"/>
      <c r="G305" s="167"/>
      <c r="J305" s="62"/>
      <c r="K305" s="62"/>
      <c r="R305" s="62"/>
    </row>
    <row r="306" ht="15.75" customHeight="1">
      <c r="B306" s="167"/>
      <c r="E306" s="231"/>
      <c r="G306" s="167"/>
      <c r="J306" s="62"/>
      <c r="K306" s="62"/>
      <c r="R306" s="62"/>
    </row>
    <row r="307" ht="15.75" customHeight="1">
      <c r="B307" s="167"/>
      <c r="E307" s="231"/>
      <c r="G307" s="167"/>
      <c r="J307" s="62"/>
      <c r="K307" s="62"/>
      <c r="R307" s="62"/>
    </row>
    <row r="308" ht="15.75" customHeight="1">
      <c r="B308" s="167"/>
      <c r="E308" s="231"/>
      <c r="G308" s="167"/>
      <c r="J308" s="62"/>
      <c r="K308" s="62"/>
      <c r="R308" s="62"/>
    </row>
    <row r="309" ht="15.75" customHeight="1">
      <c r="B309" s="167"/>
      <c r="E309" s="231"/>
      <c r="G309" s="167"/>
      <c r="J309" s="62"/>
      <c r="K309" s="62"/>
      <c r="R309" s="62"/>
    </row>
    <row r="310" ht="15.75" customHeight="1">
      <c r="B310" s="167"/>
      <c r="E310" s="231"/>
      <c r="G310" s="167"/>
      <c r="J310" s="62"/>
      <c r="K310" s="62"/>
      <c r="R310" s="62"/>
    </row>
    <row r="311" ht="15.75" customHeight="1">
      <c r="B311" s="167"/>
      <c r="E311" s="231"/>
      <c r="G311" s="167"/>
      <c r="J311" s="62"/>
      <c r="K311" s="62"/>
      <c r="R311" s="62"/>
    </row>
    <row r="312" ht="15.75" customHeight="1">
      <c r="B312" s="167"/>
      <c r="E312" s="231"/>
      <c r="G312" s="167"/>
      <c r="J312" s="62"/>
      <c r="K312" s="62"/>
      <c r="R312" s="62"/>
    </row>
    <row r="313" ht="15.75" customHeight="1">
      <c r="B313" s="167"/>
      <c r="E313" s="231"/>
      <c r="G313" s="167"/>
      <c r="J313" s="62"/>
      <c r="K313" s="62"/>
      <c r="R313" s="62"/>
    </row>
    <row r="314" ht="15.75" customHeight="1">
      <c r="B314" s="167"/>
      <c r="E314" s="231"/>
      <c r="G314" s="167"/>
      <c r="J314" s="62"/>
      <c r="K314" s="62"/>
      <c r="R314" s="62"/>
    </row>
    <row r="315" ht="15.75" customHeight="1">
      <c r="B315" s="167"/>
      <c r="E315" s="231"/>
      <c r="G315" s="167"/>
      <c r="J315" s="62"/>
      <c r="K315" s="62"/>
      <c r="R315" s="62"/>
    </row>
    <row r="316" ht="15.75" customHeight="1">
      <c r="B316" s="167"/>
      <c r="E316" s="231"/>
      <c r="G316" s="167"/>
      <c r="J316" s="62"/>
      <c r="K316" s="62"/>
      <c r="R316" s="62"/>
    </row>
    <row r="317" ht="15.75" customHeight="1">
      <c r="B317" s="167"/>
      <c r="E317" s="231"/>
      <c r="G317" s="167"/>
      <c r="J317" s="62"/>
      <c r="K317" s="62"/>
      <c r="R317" s="62"/>
    </row>
    <row r="318" ht="15.75" customHeight="1">
      <c r="B318" s="167"/>
      <c r="E318" s="231"/>
      <c r="G318" s="167"/>
      <c r="J318" s="62"/>
      <c r="K318" s="62"/>
      <c r="R318" s="62"/>
    </row>
    <row r="319" ht="15.75" customHeight="1">
      <c r="B319" s="167"/>
      <c r="E319" s="231"/>
      <c r="G319" s="167"/>
      <c r="J319" s="62"/>
      <c r="K319" s="62"/>
      <c r="R319" s="62"/>
    </row>
    <row r="320" ht="15.75" customHeight="1">
      <c r="B320" s="167"/>
      <c r="E320" s="231"/>
      <c r="G320" s="167"/>
      <c r="J320" s="62"/>
      <c r="K320" s="62"/>
      <c r="R320" s="62"/>
    </row>
    <row r="321" ht="15.75" customHeight="1">
      <c r="B321" s="167"/>
      <c r="E321" s="231"/>
      <c r="G321" s="167"/>
      <c r="J321" s="62"/>
      <c r="K321" s="62"/>
      <c r="R321" s="62"/>
    </row>
    <row r="322" ht="15.75" customHeight="1">
      <c r="B322" s="167"/>
      <c r="E322" s="231"/>
      <c r="G322" s="167"/>
      <c r="J322" s="62"/>
      <c r="K322" s="62"/>
      <c r="R322" s="62"/>
    </row>
    <row r="323" ht="15.75" customHeight="1">
      <c r="B323" s="167"/>
      <c r="E323" s="231"/>
      <c r="G323" s="167"/>
      <c r="J323" s="62"/>
      <c r="K323" s="62"/>
      <c r="R323" s="62"/>
    </row>
    <row r="324" ht="15.75" customHeight="1">
      <c r="B324" s="167"/>
      <c r="E324" s="231"/>
      <c r="G324" s="167"/>
      <c r="J324" s="62"/>
      <c r="K324" s="62"/>
      <c r="R324" s="62"/>
    </row>
    <row r="325" ht="15.75" customHeight="1">
      <c r="B325" s="167"/>
      <c r="E325" s="231"/>
      <c r="G325" s="167"/>
      <c r="J325" s="62"/>
      <c r="K325" s="62"/>
      <c r="R325" s="62"/>
    </row>
    <row r="326" ht="15.75" customHeight="1">
      <c r="B326" s="167"/>
      <c r="E326" s="231"/>
      <c r="G326" s="167"/>
      <c r="J326" s="62"/>
      <c r="K326" s="62"/>
      <c r="R326" s="62"/>
    </row>
    <row r="327" ht="15.75" customHeight="1">
      <c r="B327" s="167"/>
      <c r="E327" s="231"/>
      <c r="G327" s="167"/>
      <c r="J327" s="62"/>
      <c r="K327" s="62"/>
      <c r="R327" s="62"/>
    </row>
    <row r="328" ht="15.75" customHeight="1">
      <c r="B328" s="167"/>
      <c r="E328" s="231"/>
      <c r="G328" s="167"/>
      <c r="J328" s="62"/>
      <c r="K328" s="62"/>
      <c r="R328" s="62"/>
    </row>
    <row r="329" ht="15.75" customHeight="1">
      <c r="B329" s="167"/>
      <c r="E329" s="231"/>
      <c r="G329" s="167"/>
      <c r="J329" s="62"/>
      <c r="K329" s="62"/>
      <c r="R329" s="62"/>
    </row>
    <row r="330" ht="15.75" customHeight="1">
      <c r="B330" s="167"/>
      <c r="E330" s="231"/>
      <c r="G330" s="167"/>
      <c r="J330" s="62"/>
      <c r="K330" s="62"/>
      <c r="R330" s="62"/>
    </row>
    <row r="331" ht="15.75" customHeight="1">
      <c r="B331" s="167"/>
      <c r="E331" s="231"/>
      <c r="G331" s="167"/>
      <c r="J331" s="62"/>
      <c r="K331" s="62"/>
      <c r="R331" s="62"/>
    </row>
    <row r="332" ht="15.75" customHeight="1">
      <c r="B332" s="167"/>
      <c r="E332" s="231"/>
      <c r="G332" s="167"/>
      <c r="J332" s="62"/>
      <c r="K332" s="62"/>
      <c r="R332" s="62"/>
    </row>
    <row r="333" ht="15.75" customHeight="1">
      <c r="B333" s="167"/>
      <c r="E333" s="231"/>
      <c r="G333" s="167"/>
      <c r="J333" s="62"/>
      <c r="K333" s="62"/>
      <c r="R333" s="62"/>
    </row>
    <row r="334" ht="15.75" customHeight="1">
      <c r="B334" s="167"/>
      <c r="E334" s="231"/>
      <c r="G334" s="167"/>
      <c r="J334" s="62"/>
      <c r="K334" s="62"/>
      <c r="R334" s="62"/>
    </row>
    <row r="335" ht="15.75" customHeight="1">
      <c r="B335" s="167"/>
      <c r="E335" s="231"/>
      <c r="G335" s="167"/>
      <c r="J335" s="62"/>
      <c r="K335" s="62"/>
      <c r="R335" s="62"/>
    </row>
    <row r="336" ht="15.75" customHeight="1">
      <c r="B336" s="167"/>
      <c r="E336" s="231"/>
      <c r="G336" s="167"/>
      <c r="J336" s="62"/>
      <c r="K336" s="62"/>
      <c r="R336" s="62"/>
    </row>
    <row r="337" ht="15.75" customHeight="1">
      <c r="B337" s="167"/>
      <c r="E337" s="231"/>
      <c r="G337" s="167"/>
      <c r="J337" s="62"/>
      <c r="K337" s="62"/>
      <c r="R337" s="62"/>
    </row>
    <row r="338" ht="15.75" customHeight="1">
      <c r="B338" s="167"/>
      <c r="E338" s="231"/>
      <c r="G338" s="167"/>
      <c r="J338" s="62"/>
      <c r="K338" s="62"/>
      <c r="R338" s="62"/>
    </row>
    <row r="339" ht="15.75" customHeight="1">
      <c r="B339" s="167"/>
      <c r="E339" s="231"/>
      <c r="G339" s="167"/>
      <c r="J339" s="62"/>
      <c r="K339" s="62"/>
      <c r="R339" s="62"/>
    </row>
    <row r="340" ht="15.75" customHeight="1">
      <c r="B340" s="167"/>
      <c r="E340" s="231"/>
      <c r="G340" s="167"/>
      <c r="J340" s="62"/>
      <c r="K340" s="62"/>
      <c r="R340" s="62"/>
    </row>
    <row r="341" ht="15.75" customHeight="1">
      <c r="B341" s="167"/>
      <c r="E341" s="231"/>
      <c r="G341" s="167"/>
      <c r="J341" s="62"/>
      <c r="K341" s="62"/>
      <c r="R341" s="62"/>
    </row>
    <row r="342" ht="15.75" customHeight="1">
      <c r="B342" s="167"/>
      <c r="E342" s="231"/>
      <c r="G342" s="167"/>
      <c r="J342" s="62"/>
      <c r="K342" s="62"/>
      <c r="R342" s="62"/>
    </row>
    <row r="343" ht="15.75" customHeight="1">
      <c r="B343" s="167"/>
      <c r="E343" s="231"/>
      <c r="G343" s="167"/>
      <c r="J343" s="62"/>
      <c r="K343" s="62"/>
      <c r="R343" s="62"/>
    </row>
    <row r="344" ht="15.75" customHeight="1">
      <c r="B344" s="167"/>
      <c r="E344" s="231"/>
      <c r="G344" s="167"/>
      <c r="J344" s="62"/>
      <c r="K344" s="62"/>
      <c r="R344" s="62"/>
    </row>
    <row r="345" ht="15.75" customHeight="1">
      <c r="B345" s="167"/>
      <c r="E345" s="231"/>
      <c r="G345" s="167"/>
      <c r="J345" s="62"/>
      <c r="K345" s="62"/>
      <c r="R345" s="62"/>
    </row>
    <row r="346" ht="15.75" customHeight="1">
      <c r="B346" s="167"/>
      <c r="E346" s="231"/>
      <c r="G346" s="167"/>
      <c r="J346" s="62"/>
      <c r="K346" s="62"/>
      <c r="R346" s="62"/>
    </row>
    <row r="347" ht="15.75" customHeight="1">
      <c r="B347" s="167"/>
      <c r="E347" s="231"/>
      <c r="G347" s="167"/>
      <c r="J347" s="62"/>
      <c r="K347" s="62"/>
      <c r="R347" s="62"/>
    </row>
    <row r="348" ht="15.75" customHeight="1">
      <c r="B348" s="167"/>
      <c r="E348" s="231"/>
      <c r="G348" s="167"/>
      <c r="J348" s="62"/>
      <c r="K348" s="62"/>
      <c r="R348" s="62"/>
    </row>
    <row r="349" ht="15.75" customHeight="1">
      <c r="B349" s="167"/>
      <c r="E349" s="231"/>
      <c r="G349" s="167"/>
      <c r="J349" s="62"/>
      <c r="K349" s="62"/>
      <c r="R349" s="62"/>
    </row>
    <row r="350" ht="15.75" customHeight="1">
      <c r="B350" s="167"/>
      <c r="E350" s="231"/>
      <c r="G350" s="167"/>
      <c r="J350" s="62"/>
      <c r="K350" s="62"/>
      <c r="R350" s="62"/>
    </row>
    <row r="351" ht="15.75" customHeight="1">
      <c r="B351" s="167"/>
      <c r="E351" s="231"/>
      <c r="G351" s="167"/>
      <c r="J351" s="62"/>
      <c r="K351" s="62"/>
      <c r="R351" s="62"/>
    </row>
    <row r="352" ht="15.75" customHeight="1">
      <c r="B352" s="167"/>
      <c r="E352" s="231"/>
      <c r="G352" s="167"/>
      <c r="J352" s="62"/>
      <c r="K352" s="62"/>
      <c r="R352" s="62"/>
    </row>
    <row r="353" ht="15.75" customHeight="1">
      <c r="B353" s="167"/>
      <c r="E353" s="231"/>
      <c r="G353" s="167"/>
      <c r="J353" s="62"/>
      <c r="K353" s="62"/>
      <c r="R353" s="62"/>
    </row>
    <row r="354" ht="15.75" customHeight="1">
      <c r="B354" s="167"/>
      <c r="E354" s="231"/>
      <c r="G354" s="167"/>
      <c r="J354" s="62"/>
      <c r="K354" s="62"/>
      <c r="R354" s="62"/>
    </row>
    <row r="355" ht="15.75" customHeight="1">
      <c r="B355" s="167"/>
      <c r="E355" s="231"/>
      <c r="G355" s="167"/>
      <c r="J355" s="62"/>
      <c r="K355" s="62"/>
      <c r="R355" s="62"/>
    </row>
    <row r="356" ht="15.75" customHeight="1">
      <c r="B356" s="167"/>
      <c r="E356" s="231"/>
      <c r="G356" s="167"/>
      <c r="J356" s="62"/>
      <c r="K356" s="62"/>
      <c r="R356" s="62"/>
    </row>
    <row r="357" ht="15.75" customHeight="1">
      <c r="B357" s="167"/>
      <c r="E357" s="231"/>
      <c r="G357" s="167"/>
      <c r="J357" s="62"/>
      <c r="K357" s="62"/>
      <c r="R357" s="62"/>
    </row>
    <row r="358" ht="15.75" customHeight="1">
      <c r="B358" s="167"/>
      <c r="E358" s="231"/>
      <c r="G358" s="167"/>
      <c r="J358" s="62"/>
      <c r="K358" s="62"/>
      <c r="R358" s="62"/>
    </row>
    <row r="359" ht="15.75" customHeight="1">
      <c r="B359" s="167"/>
      <c r="E359" s="231"/>
      <c r="G359" s="167"/>
      <c r="J359" s="62"/>
      <c r="K359" s="62"/>
      <c r="R359" s="62"/>
    </row>
    <row r="360" ht="15.75" customHeight="1">
      <c r="B360" s="167"/>
      <c r="E360" s="231"/>
      <c r="G360" s="167"/>
      <c r="J360" s="62"/>
      <c r="K360" s="62"/>
      <c r="R360" s="62"/>
    </row>
    <row r="361" ht="15.75" customHeight="1">
      <c r="B361" s="167"/>
      <c r="E361" s="231"/>
      <c r="G361" s="167"/>
      <c r="J361" s="62"/>
      <c r="K361" s="62"/>
      <c r="R361" s="62"/>
    </row>
    <row r="362" ht="15.75" customHeight="1">
      <c r="B362" s="167"/>
      <c r="E362" s="231"/>
      <c r="G362" s="167"/>
      <c r="J362" s="62"/>
      <c r="K362" s="62"/>
      <c r="R362" s="62"/>
    </row>
    <row r="363" ht="15.75" customHeight="1">
      <c r="B363" s="167"/>
      <c r="E363" s="231"/>
      <c r="G363" s="167"/>
      <c r="J363" s="62"/>
      <c r="K363" s="62"/>
      <c r="R363" s="62"/>
    </row>
    <row r="364" ht="15.75" customHeight="1">
      <c r="B364" s="167"/>
      <c r="E364" s="231"/>
      <c r="G364" s="167"/>
      <c r="J364" s="62"/>
      <c r="K364" s="62"/>
      <c r="R364" s="62"/>
    </row>
    <row r="365" ht="15.75" customHeight="1">
      <c r="B365" s="167"/>
      <c r="E365" s="231"/>
      <c r="G365" s="167"/>
      <c r="J365" s="62"/>
      <c r="K365" s="62"/>
      <c r="R365" s="62"/>
    </row>
    <row r="366" ht="15.75" customHeight="1">
      <c r="B366" s="167"/>
      <c r="E366" s="231"/>
      <c r="G366" s="167"/>
      <c r="J366" s="62"/>
      <c r="K366" s="62"/>
      <c r="R366" s="62"/>
    </row>
    <row r="367" ht="15.75" customHeight="1">
      <c r="B367" s="167"/>
      <c r="E367" s="231"/>
      <c r="G367" s="167"/>
      <c r="J367" s="62"/>
      <c r="K367" s="62"/>
      <c r="R367" s="62"/>
    </row>
    <row r="368" ht="15.75" customHeight="1">
      <c r="B368" s="167"/>
      <c r="E368" s="231"/>
      <c r="G368" s="167"/>
      <c r="J368" s="62"/>
      <c r="K368" s="62"/>
      <c r="R368" s="62"/>
    </row>
    <row r="369" ht="15.75" customHeight="1">
      <c r="B369" s="167"/>
      <c r="E369" s="231"/>
      <c r="G369" s="167"/>
      <c r="J369" s="62"/>
      <c r="K369" s="62"/>
      <c r="R369" s="62"/>
    </row>
    <row r="370" ht="15.75" customHeight="1">
      <c r="B370" s="167"/>
      <c r="E370" s="231"/>
      <c r="G370" s="167"/>
      <c r="J370" s="62"/>
      <c r="K370" s="62"/>
      <c r="R370" s="62"/>
    </row>
    <row r="371" ht="15.75" customHeight="1">
      <c r="B371" s="167"/>
      <c r="E371" s="231"/>
      <c r="G371" s="167"/>
      <c r="J371" s="62"/>
      <c r="K371" s="62"/>
      <c r="R371" s="62"/>
    </row>
    <row r="372" ht="15.75" customHeight="1">
      <c r="B372" s="167"/>
      <c r="E372" s="231"/>
      <c r="G372" s="167"/>
      <c r="J372" s="62"/>
      <c r="K372" s="62"/>
      <c r="R372" s="62"/>
    </row>
    <row r="373" ht="15.75" customHeight="1">
      <c r="B373" s="167"/>
      <c r="E373" s="231"/>
      <c r="G373" s="167"/>
      <c r="J373" s="62"/>
      <c r="K373" s="62"/>
      <c r="R373" s="62"/>
    </row>
    <row r="374" ht="15.75" customHeight="1">
      <c r="B374" s="167"/>
      <c r="E374" s="231"/>
      <c r="G374" s="167"/>
      <c r="J374" s="62"/>
      <c r="K374" s="62"/>
      <c r="R374" s="62"/>
    </row>
    <row r="375" ht="15.75" customHeight="1">
      <c r="B375" s="167"/>
      <c r="E375" s="231"/>
      <c r="G375" s="167"/>
      <c r="J375" s="62"/>
      <c r="K375" s="62"/>
      <c r="R375" s="62"/>
    </row>
    <row r="376" ht="15.75" customHeight="1">
      <c r="B376" s="167"/>
      <c r="E376" s="231"/>
      <c r="G376" s="167"/>
      <c r="J376" s="62"/>
      <c r="K376" s="62"/>
      <c r="R376" s="62"/>
    </row>
    <row r="377" ht="15.75" customHeight="1">
      <c r="B377" s="167"/>
      <c r="E377" s="231"/>
      <c r="G377" s="167"/>
      <c r="J377" s="62"/>
      <c r="K377" s="62"/>
      <c r="R377" s="62"/>
    </row>
    <row r="378" ht="15.75" customHeight="1">
      <c r="B378" s="167"/>
      <c r="E378" s="231"/>
      <c r="G378" s="167"/>
      <c r="J378" s="62"/>
      <c r="K378" s="62"/>
      <c r="R378" s="62"/>
    </row>
    <row r="379" ht="15.75" customHeight="1">
      <c r="B379" s="167"/>
      <c r="E379" s="231"/>
      <c r="G379" s="167"/>
      <c r="J379" s="62"/>
      <c r="K379" s="62"/>
      <c r="R379" s="62"/>
    </row>
    <row r="380" ht="15.75" customHeight="1">
      <c r="B380" s="167"/>
      <c r="E380" s="231"/>
      <c r="G380" s="167"/>
      <c r="J380" s="62"/>
      <c r="K380" s="62"/>
      <c r="R380" s="62"/>
    </row>
    <row r="381" ht="15.75" customHeight="1">
      <c r="B381" s="167"/>
      <c r="E381" s="231"/>
      <c r="G381" s="167"/>
      <c r="J381" s="62"/>
      <c r="K381" s="62"/>
      <c r="R381" s="62"/>
    </row>
    <row r="382" ht="15.75" customHeight="1">
      <c r="B382" s="167"/>
      <c r="E382" s="231"/>
      <c r="G382" s="167"/>
      <c r="J382" s="62"/>
      <c r="K382" s="62"/>
      <c r="R382" s="62"/>
    </row>
    <row r="383" ht="15.75" customHeight="1">
      <c r="B383" s="167"/>
      <c r="E383" s="231"/>
      <c r="G383" s="167"/>
      <c r="J383" s="62"/>
      <c r="K383" s="62"/>
      <c r="R383" s="62"/>
    </row>
    <row r="384" ht="15.75" customHeight="1">
      <c r="B384" s="167"/>
      <c r="E384" s="231"/>
      <c r="G384" s="167"/>
      <c r="J384" s="62"/>
      <c r="K384" s="62"/>
      <c r="R384" s="62"/>
    </row>
    <row r="385" ht="15.75" customHeight="1">
      <c r="B385" s="167"/>
      <c r="E385" s="231"/>
      <c r="G385" s="167"/>
      <c r="J385" s="62"/>
      <c r="K385" s="62"/>
      <c r="R385" s="62"/>
    </row>
    <row r="386" ht="15.75" customHeight="1">
      <c r="B386" s="167"/>
      <c r="E386" s="231"/>
      <c r="G386" s="167"/>
      <c r="J386" s="62"/>
      <c r="K386" s="62"/>
      <c r="R386" s="62"/>
    </row>
    <row r="387" ht="15.75" customHeight="1">
      <c r="B387" s="167"/>
      <c r="E387" s="231"/>
      <c r="G387" s="167"/>
      <c r="J387" s="62"/>
      <c r="K387" s="62"/>
      <c r="R387" s="62"/>
    </row>
    <row r="388" ht="15.75" customHeight="1">
      <c r="B388" s="167"/>
      <c r="E388" s="231"/>
      <c r="G388" s="167"/>
      <c r="J388" s="62"/>
      <c r="K388" s="62"/>
      <c r="R388" s="62"/>
    </row>
    <row r="389" ht="15.75" customHeight="1">
      <c r="B389" s="167"/>
      <c r="E389" s="231"/>
      <c r="G389" s="167"/>
      <c r="J389" s="62"/>
      <c r="K389" s="62"/>
      <c r="R389" s="62"/>
    </row>
    <row r="390" ht="15.75" customHeight="1">
      <c r="B390" s="167"/>
      <c r="E390" s="231"/>
      <c r="G390" s="167"/>
      <c r="J390" s="62"/>
      <c r="K390" s="62"/>
      <c r="R390" s="62"/>
    </row>
    <row r="391" ht="15.75" customHeight="1">
      <c r="B391" s="167"/>
      <c r="E391" s="231"/>
      <c r="G391" s="167"/>
      <c r="J391" s="62"/>
      <c r="K391" s="62"/>
      <c r="R391" s="62"/>
    </row>
    <row r="392" ht="15.75" customHeight="1">
      <c r="B392" s="167"/>
      <c r="E392" s="231"/>
      <c r="G392" s="167"/>
      <c r="J392" s="62"/>
      <c r="K392" s="62"/>
      <c r="R392" s="62"/>
    </row>
    <row r="393" ht="15.75" customHeight="1">
      <c r="B393" s="167"/>
      <c r="E393" s="231"/>
      <c r="G393" s="167"/>
      <c r="J393" s="62"/>
      <c r="K393" s="62"/>
      <c r="R393" s="62"/>
    </row>
    <row r="394" ht="15.75" customHeight="1">
      <c r="B394" s="167"/>
      <c r="E394" s="231"/>
      <c r="G394" s="167"/>
      <c r="J394" s="62"/>
      <c r="K394" s="62"/>
      <c r="R394" s="62"/>
    </row>
    <row r="395" ht="15.75" customHeight="1">
      <c r="B395" s="167"/>
      <c r="E395" s="231"/>
      <c r="G395" s="167"/>
      <c r="J395" s="62"/>
      <c r="K395" s="62"/>
      <c r="R395" s="62"/>
    </row>
    <row r="396" ht="15.75" customHeight="1">
      <c r="B396" s="167"/>
      <c r="E396" s="231"/>
      <c r="G396" s="167"/>
      <c r="J396" s="62"/>
      <c r="K396" s="62"/>
      <c r="R396" s="62"/>
    </row>
    <row r="397" ht="15.75" customHeight="1">
      <c r="B397" s="167"/>
      <c r="E397" s="231"/>
      <c r="G397" s="167"/>
      <c r="J397" s="62"/>
      <c r="K397" s="62"/>
      <c r="R397" s="62"/>
    </row>
    <row r="398" ht="15.75" customHeight="1">
      <c r="B398" s="167"/>
      <c r="E398" s="231"/>
      <c r="G398" s="167"/>
      <c r="J398" s="62"/>
      <c r="K398" s="62"/>
      <c r="R398" s="62"/>
    </row>
    <row r="399" ht="15.75" customHeight="1">
      <c r="B399" s="167"/>
      <c r="E399" s="231"/>
      <c r="G399" s="167"/>
      <c r="J399" s="62"/>
      <c r="K399" s="62"/>
      <c r="R399" s="62"/>
    </row>
    <row r="400" ht="15.75" customHeight="1">
      <c r="B400" s="167"/>
      <c r="E400" s="231"/>
      <c r="G400" s="167"/>
      <c r="J400" s="62"/>
      <c r="K400" s="62"/>
      <c r="R400" s="62"/>
    </row>
    <row r="401" ht="15.75" customHeight="1">
      <c r="B401" s="167"/>
      <c r="E401" s="231"/>
      <c r="G401" s="167"/>
      <c r="J401" s="62"/>
      <c r="K401" s="62"/>
      <c r="R401" s="62"/>
    </row>
    <row r="402" ht="15.75" customHeight="1">
      <c r="B402" s="167"/>
      <c r="E402" s="231"/>
      <c r="G402" s="167"/>
      <c r="J402" s="62"/>
      <c r="K402" s="62"/>
      <c r="R402" s="62"/>
    </row>
    <row r="403" ht="15.75" customHeight="1">
      <c r="B403" s="167"/>
      <c r="E403" s="231"/>
      <c r="G403" s="167"/>
      <c r="J403" s="62"/>
      <c r="K403" s="62"/>
      <c r="R403" s="62"/>
    </row>
    <row r="404" ht="15.75" customHeight="1">
      <c r="B404" s="167"/>
      <c r="E404" s="231"/>
      <c r="G404" s="167"/>
      <c r="J404" s="62"/>
      <c r="K404" s="62"/>
      <c r="R404" s="62"/>
    </row>
    <row r="405" ht="15.75" customHeight="1">
      <c r="B405" s="167"/>
      <c r="E405" s="231"/>
      <c r="G405" s="167"/>
      <c r="J405" s="62"/>
      <c r="K405" s="62"/>
      <c r="R405" s="62"/>
    </row>
    <row r="406" ht="15.75" customHeight="1">
      <c r="B406" s="167"/>
      <c r="E406" s="231"/>
      <c r="G406" s="167"/>
      <c r="J406" s="62"/>
      <c r="K406" s="62"/>
      <c r="R406" s="62"/>
    </row>
    <row r="407" ht="15.75" customHeight="1">
      <c r="B407" s="167"/>
      <c r="E407" s="231"/>
      <c r="G407" s="167"/>
      <c r="J407" s="62"/>
      <c r="K407" s="62"/>
      <c r="R407" s="62"/>
    </row>
    <row r="408" ht="15.75" customHeight="1">
      <c r="B408" s="167"/>
      <c r="E408" s="231"/>
      <c r="G408" s="167"/>
      <c r="J408" s="62"/>
      <c r="K408" s="62"/>
      <c r="R408" s="62"/>
    </row>
    <row r="409" ht="15.75" customHeight="1">
      <c r="B409" s="167"/>
      <c r="E409" s="231"/>
      <c r="G409" s="167"/>
      <c r="J409" s="62"/>
      <c r="K409" s="62"/>
      <c r="R409" s="62"/>
    </row>
    <row r="410" ht="15.75" customHeight="1">
      <c r="B410" s="167"/>
      <c r="E410" s="231"/>
      <c r="G410" s="167"/>
      <c r="J410" s="62"/>
      <c r="K410" s="62"/>
      <c r="R410" s="62"/>
    </row>
    <row r="411" ht="15.75" customHeight="1">
      <c r="B411" s="167"/>
      <c r="E411" s="231"/>
      <c r="G411" s="167"/>
      <c r="J411" s="62"/>
      <c r="K411" s="62"/>
      <c r="R411" s="62"/>
    </row>
    <row r="412" ht="15.75" customHeight="1">
      <c r="B412" s="167"/>
      <c r="E412" s="231"/>
      <c r="G412" s="167"/>
      <c r="J412" s="62"/>
      <c r="K412" s="62"/>
      <c r="R412" s="62"/>
    </row>
    <row r="413" ht="15.75" customHeight="1">
      <c r="B413" s="167"/>
      <c r="E413" s="231"/>
      <c r="G413" s="167"/>
      <c r="J413" s="62"/>
      <c r="K413" s="62"/>
      <c r="R413" s="62"/>
    </row>
    <row r="414" ht="15.75" customHeight="1">
      <c r="B414" s="167"/>
      <c r="E414" s="231"/>
      <c r="G414" s="167"/>
      <c r="J414" s="62"/>
      <c r="K414" s="62"/>
      <c r="R414" s="62"/>
    </row>
    <row r="415" ht="15.75" customHeight="1">
      <c r="B415" s="167"/>
      <c r="E415" s="231"/>
      <c r="G415" s="167"/>
      <c r="J415" s="62"/>
      <c r="K415" s="62"/>
      <c r="R415" s="62"/>
    </row>
    <row r="416" ht="15.75" customHeight="1">
      <c r="B416" s="167"/>
      <c r="E416" s="231"/>
      <c r="G416" s="167"/>
      <c r="J416" s="62"/>
      <c r="K416" s="62"/>
      <c r="R416" s="62"/>
    </row>
    <row r="417" ht="15.75" customHeight="1">
      <c r="B417" s="167"/>
      <c r="E417" s="231"/>
      <c r="G417" s="167"/>
      <c r="J417" s="62"/>
      <c r="K417" s="62"/>
      <c r="R417" s="62"/>
    </row>
    <row r="418" ht="15.75" customHeight="1">
      <c r="B418" s="167"/>
      <c r="E418" s="231"/>
      <c r="G418" s="167"/>
      <c r="J418" s="62"/>
      <c r="K418" s="62"/>
      <c r="R418" s="62"/>
    </row>
    <row r="419" ht="15.75" customHeight="1">
      <c r="B419" s="167"/>
      <c r="E419" s="231"/>
      <c r="G419" s="167"/>
      <c r="J419" s="62"/>
      <c r="K419" s="62"/>
      <c r="R419" s="62"/>
    </row>
    <row r="420" ht="15.75" customHeight="1">
      <c r="B420" s="167"/>
      <c r="E420" s="231"/>
      <c r="G420" s="167"/>
      <c r="J420" s="62"/>
      <c r="K420" s="62"/>
      <c r="R420" s="62"/>
    </row>
    <row r="421" ht="15.75" customHeight="1">
      <c r="B421" s="167"/>
      <c r="E421" s="231"/>
      <c r="G421" s="167"/>
      <c r="J421" s="62"/>
      <c r="K421" s="62"/>
      <c r="R421" s="62"/>
    </row>
    <row r="422" ht="15.75" customHeight="1">
      <c r="B422" s="167"/>
      <c r="E422" s="231"/>
      <c r="G422" s="167"/>
      <c r="J422" s="62"/>
      <c r="K422" s="62"/>
      <c r="R422" s="62"/>
    </row>
    <row r="423" ht="15.75" customHeight="1">
      <c r="B423" s="167"/>
      <c r="E423" s="231"/>
      <c r="G423" s="167"/>
      <c r="J423" s="62"/>
      <c r="K423" s="62"/>
      <c r="R423" s="62"/>
    </row>
    <row r="424" ht="15.75" customHeight="1">
      <c r="B424" s="167"/>
      <c r="E424" s="231"/>
      <c r="G424" s="167"/>
      <c r="J424" s="62"/>
      <c r="K424" s="62"/>
      <c r="R424" s="62"/>
    </row>
    <row r="425" ht="15.75" customHeight="1">
      <c r="B425" s="167"/>
      <c r="E425" s="231"/>
      <c r="G425" s="167"/>
      <c r="J425" s="62"/>
      <c r="K425" s="62"/>
      <c r="R425" s="62"/>
    </row>
    <row r="426" ht="15.75" customHeight="1">
      <c r="B426" s="167"/>
      <c r="E426" s="231"/>
      <c r="G426" s="167"/>
      <c r="J426" s="62"/>
      <c r="K426" s="62"/>
      <c r="R426" s="62"/>
    </row>
    <row r="427" ht="15.75" customHeight="1">
      <c r="B427" s="167"/>
      <c r="E427" s="231"/>
      <c r="G427" s="167"/>
      <c r="J427" s="62"/>
      <c r="K427" s="62"/>
      <c r="R427" s="62"/>
    </row>
    <row r="428" ht="15.75" customHeight="1">
      <c r="B428" s="167"/>
      <c r="E428" s="231"/>
      <c r="G428" s="167"/>
      <c r="J428" s="62"/>
      <c r="K428" s="62"/>
      <c r="R428" s="62"/>
    </row>
    <row r="429" ht="15.75" customHeight="1">
      <c r="B429" s="167"/>
      <c r="E429" s="231"/>
      <c r="G429" s="167"/>
      <c r="J429" s="62"/>
      <c r="K429" s="62"/>
      <c r="R429" s="62"/>
    </row>
    <row r="430" ht="15.75" customHeight="1">
      <c r="B430" s="167"/>
      <c r="E430" s="231"/>
      <c r="G430" s="167"/>
      <c r="J430" s="62"/>
      <c r="K430" s="62"/>
      <c r="R430" s="62"/>
    </row>
    <row r="431" ht="15.75" customHeight="1">
      <c r="B431" s="167"/>
      <c r="E431" s="231"/>
      <c r="G431" s="167"/>
      <c r="J431" s="62"/>
      <c r="K431" s="62"/>
      <c r="R431" s="62"/>
    </row>
    <row r="432" ht="15.75" customHeight="1">
      <c r="B432" s="167"/>
      <c r="E432" s="231"/>
      <c r="G432" s="167"/>
      <c r="J432" s="62"/>
      <c r="K432" s="62"/>
      <c r="R432" s="62"/>
    </row>
    <row r="433" ht="15.75" customHeight="1">
      <c r="B433" s="167"/>
      <c r="E433" s="231"/>
      <c r="G433" s="167"/>
      <c r="J433" s="62"/>
      <c r="K433" s="62"/>
      <c r="R433" s="62"/>
    </row>
    <row r="434" ht="15.75" customHeight="1">
      <c r="B434" s="167"/>
      <c r="E434" s="231"/>
      <c r="G434" s="167"/>
      <c r="J434" s="62"/>
      <c r="K434" s="62"/>
      <c r="R434" s="62"/>
    </row>
    <row r="435" ht="15.75" customHeight="1">
      <c r="B435" s="167"/>
      <c r="E435" s="231"/>
      <c r="G435" s="167"/>
      <c r="J435" s="62"/>
      <c r="K435" s="62"/>
      <c r="R435" s="62"/>
    </row>
    <row r="436" ht="15.75" customHeight="1">
      <c r="B436" s="167"/>
      <c r="E436" s="231"/>
      <c r="G436" s="167"/>
      <c r="J436" s="62"/>
      <c r="K436" s="62"/>
      <c r="R436" s="62"/>
    </row>
    <row r="437" ht="15.75" customHeight="1">
      <c r="B437" s="167"/>
      <c r="E437" s="231"/>
      <c r="G437" s="167"/>
      <c r="J437" s="62"/>
      <c r="K437" s="62"/>
      <c r="R437" s="62"/>
    </row>
    <row r="438" ht="15.75" customHeight="1">
      <c r="B438" s="167"/>
      <c r="E438" s="231"/>
      <c r="G438" s="167"/>
      <c r="J438" s="62"/>
      <c r="K438" s="62"/>
      <c r="R438" s="62"/>
    </row>
    <row r="439" ht="15.75" customHeight="1">
      <c r="B439" s="167"/>
      <c r="E439" s="231"/>
      <c r="G439" s="167"/>
      <c r="J439" s="62"/>
      <c r="K439" s="62"/>
      <c r="R439" s="62"/>
    </row>
    <row r="440" ht="15.75" customHeight="1">
      <c r="B440" s="167"/>
      <c r="E440" s="231"/>
      <c r="G440" s="167"/>
      <c r="J440" s="62"/>
      <c r="K440" s="62"/>
      <c r="R440" s="62"/>
    </row>
    <row r="441" ht="15.75" customHeight="1">
      <c r="B441" s="167"/>
      <c r="E441" s="231"/>
      <c r="G441" s="167"/>
      <c r="J441" s="62"/>
      <c r="K441" s="62"/>
      <c r="R441" s="62"/>
    </row>
    <row r="442" ht="15.75" customHeight="1">
      <c r="B442" s="167"/>
      <c r="E442" s="231"/>
      <c r="G442" s="167"/>
      <c r="J442" s="62"/>
      <c r="K442" s="62"/>
      <c r="R442" s="62"/>
    </row>
    <row r="443" ht="15.75" customHeight="1">
      <c r="B443" s="167"/>
      <c r="E443" s="231"/>
      <c r="G443" s="167"/>
      <c r="J443" s="62"/>
      <c r="K443" s="62"/>
      <c r="R443" s="62"/>
    </row>
    <row r="444" ht="15.75" customHeight="1">
      <c r="B444" s="167"/>
      <c r="E444" s="231"/>
      <c r="G444" s="167"/>
      <c r="J444" s="62"/>
      <c r="K444" s="62"/>
      <c r="R444" s="62"/>
    </row>
    <row r="445" ht="15.75" customHeight="1">
      <c r="B445" s="167"/>
      <c r="E445" s="231"/>
      <c r="G445" s="167"/>
      <c r="J445" s="62"/>
      <c r="K445" s="62"/>
      <c r="R445" s="62"/>
    </row>
    <row r="446" ht="15.75" customHeight="1">
      <c r="B446" s="167"/>
      <c r="E446" s="231"/>
      <c r="G446" s="167"/>
      <c r="J446" s="62"/>
      <c r="K446" s="62"/>
      <c r="R446" s="62"/>
    </row>
    <row r="447" ht="15.75" customHeight="1">
      <c r="B447" s="167"/>
      <c r="E447" s="231"/>
      <c r="G447" s="167"/>
      <c r="J447" s="62"/>
      <c r="K447" s="62"/>
      <c r="R447" s="62"/>
    </row>
    <row r="448" ht="15.75" customHeight="1">
      <c r="B448" s="167"/>
      <c r="E448" s="231"/>
      <c r="G448" s="167"/>
      <c r="J448" s="62"/>
      <c r="K448" s="62"/>
      <c r="R448" s="62"/>
    </row>
    <row r="449" ht="15.75" customHeight="1">
      <c r="B449" s="167"/>
      <c r="E449" s="231"/>
      <c r="G449" s="167"/>
      <c r="J449" s="62"/>
      <c r="K449" s="62"/>
      <c r="R449" s="62"/>
    </row>
    <row r="450" ht="15.75" customHeight="1">
      <c r="B450" s="167"/>
      <c r="E450" s="231"/>
      <c r="G450" s="167"/>
      <c r="J450" s="62"/>
      <c r="K450" s="62"/>
      <c r="R450" s="62"/>
    </row>
    <row r="451" ht="15.75" customHeight="1">
      <c r="B451" s="167"/>
      <c r="E451" s="231"/>
      <c r="G451" s="167"/>
      <c r="J451" s="62"/>
      <c r="K451" s="62"/>
      <c r="R451" s="62"/>
    </row>
    <row r="452" ht="15.75" customHeight="1">
      <c r="B452" s="167"/>
      <c r="E452" s="231"/>
      <c r="G452" s="167"/>
      <c r="J452" s="62"/>
      <c r="K452" s="62"/>
      <c r="R452" s="62"/>
    </row>
    <row r="453" ht="15.75" customHeight="1">
      <c r="B453" s="167"/>
      <c r="E453" s="231"/>
      <c r="G453" s="167"/>
      <c r="J453" s="62"/>
      <c r="K453" s="62"/>
      <c r="R453" s="62"/>
    </row>
    <row r="454" ht="15.75" customHeight="1">
      <c r="B454" s="167"/>
      <c r="E454" s="231"/>
      <c r="G454" s="167"/>
      <c r="J454" s="62"/>
      <c r="K454" s="62"/>
      <c r="R454" s="62"/>
    </row>
    <row r="455" ht="15.75" customHeight="1">
      <c r="B455" s="167"/>
      <c r="E455" s="231"/>
      <c r="G455" s="167"/>
      <c r="J455" s="62"/>
      <c r="K455" s="62"/>
      <c r="R455" s="62"/>
    </row>
    <row r="456" ht="15.75" customHeight="1">
      <c r="B456" s="167"/>
      <c r="E456" s="231"/>
      <c r="G456" s="167"/>
      <c r="J456" s="62"/>
      <c r="K456" s="62"/>
      <c r="R456" s="62"/>
    </row>
    <row r="457" ht="15.75" customHeight="1">
      <c r="B457" s="167"/>
      <c r="E457" s="231"/>
      <c r="G457" s="167"/>
      <c r="J457" s="62"/>
      <c r="K457" s="62"/>
      <c r="R457" s="62"/>
    </row>
    <row r="458" ht="15.75" customHeight="1">
      <c r="B458" s="167"/>
      <c r="E458" s="231"/>
      <c r="G458" s="167"/>
      <c r="J458" s="62"/>
      <c r="K458" s="62"/>
      <c r="R458" s="62"/>
    </row>
    <row r="459" ht="15.75" customHeight="1">
      <c r="B459" s="167"/>
      <c r="E459" s="231"/>
      <c r="G459" s="167"/>
      <c r="J459" s="62"/>
      <c r="K459" s="62"/>
      <c r="R459" s="62"/>
    </row>
    <row r="460" ht="15.75" customHeight="1">
      <c r="B460" s="167"/>
      <c r="E460" s="231"/>
      <c r="G460" s="167"/>
      <c r="J460" s="62"/>
      <c r="K460" s="62"/>
      <c r="R460" s="62"/>
    </row>
    <row r="461" ht="15.75" customHeight="1">
      <c r="B461" s="167"/>
      <c r="E461" s="231"/>
      <c r="G461" s="167"/>
      <c r="J461" s="62"/>
      <c r="K461" s="62"/>
      <c r="R461" s="62"/>
    </row>
    <row r="462" ht="15.75" customHeight="1">
      <c r="B462" s="167"/>
      <c r="E462" s="231"/>
      <c r="G462" s="167"/>
      <c r="J462" s="62"/>
      <c r="K462" s="62"/>
      <c r="R462" s="62"/>
    </row>
    <row r="463" ht="15.75" customHeight="1">
      <c r="B463" s="167"/>
      <c r="E463" s="231"/>
      <c r="G463" s="167"/>
      <c r="J463" s="62"/>
      <c r="K463" s="62"/>
      <c r="R463" s="62"/>
    </row>
    <row r="464" ht="15.75" customHeight="1">
      <c r="B464" s="167"/>
      <c r="E464" s="231"/>
      <c r="G464" s="167"/>
      <c r="J464" s="62"/>
      <c r="K464" s="62"/>
      <c r="R464" s="62"/>
    </row>
    <row r="465" ht="15.75" customHeight="1">
      <c r="B465" s="167"/>
      <c r="E465" s="231"/>
      <c r="G465" s="167"/>
      <c r="J465" s="62"/>
      <c r="K465" s="62"/>
      <c r="R465" s="62"/>
    </row>
    <row r="466" ht="15.75" customHeight="1">
      <c r="B466" s="167"/>
      <c r="E466" s="231"/>
      <c r="G466" s="167"/>
      <c r="J466" s="62"/>
      <c r="K466" s="62"/>
      <c r="R466" s="62"/>
    </row>
    <row r="467" ht="15.75" customHeight="1">
      <c r="B467" s="167"/>
      <c r="E467" s="231"/>
      <c r="G467" s="167"/>
      <c r="J467" s="62"/>
      <c r="K467" s="62"/>
      <c r="R467" s="62"/>
    </row>
    <row r="468" ht="15.75" customHeight="1">
      <c r="B468" s="167"/>
      <c r="E468" s="231"/>
      <c r="G468" s="167"/>
      <c r="J468" s="62"/>
      <c r="K468" s="62"/>
      <c r="R468" s="62"/>
    </row>
    <row r="469" ht="15.75" customHeight="1">
      <c r="B469" s="167"/>
      <c r="E469" s="231"/>
      <c r="G469" s="167"/>
      <c r="J469" s="62"/>
      <c r="K469" s="62"/>
      <c r="R469" s="62"/>
    </row>
    <row r="470" ht="15.75" customHeight="1">
      <c r="B470" s="167"/>
      <c r="E470" s="231"/>
      <c r="G470" s="167"/>
      <c r="J470" s="62"/>
      <c r="K470" s="62"/>
      <c r="R470" s="62"/>
    </row>
    <row r="471" ht="15.75" customHeight="1">
      <c r="B471" s="167"/>
      <c r="E471" s="231"/>
      <c r="G471" s="167"/>
      <c r="J471" s="62"/>
      <c r="K471" s="62"/>
      <c r="R471" s="62"/>
    </row>
    <row r="472" ht="15.75" customHeight="1">
      <c r="B472" s="167"/>
      <c r="E472" s="231"/>
      <c r="G472" s="167"/>
      <c r="J472" s="62"/>
      <c r="K472" s="62"/>
      <c r="R472" s="62"/>
    </row>
    <row r="473" ht="15.75" customHeight="1">
      <c r="B473" s="167"/>
      <c r="E473" s="231"/>
      <c r="G473" s="167"/>
      <c r="J473" s="62"/>
      <c r="K473" s="62"/>
      <c r="R473" s="62"/>
    </row>
    <row r="474" ht="15.75" customHeight="1">
      <c r="B474" s="167"/>
      <c r="E474" s="231"/>
      <c r="G474" s="167"/>
      <c r="J474" s="62"/>
      <c r="K474" s="62"/>
      <c r="R474" s="62"/>
    </row>
    <row r="475" ht="15.75" customHeight="1">
      <c r="B475" s="167"/>
      <c r="E475" s="231"/>
      <c r="G475" s="167"/>
      <c r="J475" s="62"/>
      <c r="K475" s="62"/>
      <c r="R475" s="62"/>
    </row>
    <row r="476" ht="15.75" customHeight="1">
      <c r="B476" s="167"/>
      <c r="E476" s="231"/>
      <c r="G476" s="167"/>
      <c r="J476" s="62"/>
      <c r="K476" s="62"/>
      <c r="R476" s="62"/>
    </row>
    <row r="477" ht="15.75" customHeight="1">
      <c r="B477" s="167"/>
      <c r="E477" s="231"/>
      <c r="G477" s="167"/>
      <c r="J477" s="62"/>
      <c r="K477" s="62"/>
      <c r="R477" s="62"/>
    </row>
    <row r="478" ht="15.75" customHeight="1">
      <c r="B478" s="167"/>
      <c r="E478" s="231"/>
      <c r="G478" s="167"/>
      <c r="J478" s="62"/>
      <c r="K478" s="62"/>
      <c r="R478" s="62"/>
    </row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1">
    <mergeCell ref="N184:R184"/>
    <mergeCell ref="N185:R185"/>
    <mergeCell ref="A199:K199"/>
    <mergeCell ref="A200:K200"/>
    <mergeCell ref="N202:R202"/>
    <mergeCell ref="N203:R203"/>
    <mergeCell ref="A217:K217"/>
    <mergeCell ref="A218:K218"/>
    <mergeCell ref="N220:R220"/>
    <mergeCell ref="N221:R221"/>
    <mergeCell ref="A235:K235"/>
    <mergeCell ref="A236:K236"/>
    <mergeCell ref="N238:R238"/>
    <mergeCell ref="N239:R239"/>
    <mergeCell ref="A1:K1"/>
    <mergeCell ref="A2:K2"/>
    <mergeCell ref="N4:R4"/>
    <mergeCell ref="N5:R5"/>
    <mergeCell ref="A19:K19"/>
    <mergeCell ref="N22:R22"/>
    <mergeCell ref="N23:R23"/>
    <mergeCell ref="A20:K20"/>
    <mergeCell ref="A37:K37"/>
    <mergeCell ref="A38:K38"/>
    <mergeCell ref="N40:R40"/>
    <mergeCell ref="N45:R45"/>
    <mergeCell ref="A55:K55"/>
    <mergeCell ref="A56:K56"/>
    <mergeCell ref="N58:R58"/>
    <mergeCell ref="N59:R59"/>
    <mergeCell ref="A73:K73"/>
    <mergeCell ref="A74:K74"/>
    <mergeCell ref="N76:R76"/>
    <mergeCell ref="N77:R77"/>
    <mergeCell ref="A91:K91"/>
    <mergeCell ref="A92:K92"/>
    <mergeCell ref="N94:R94"/>
    <mergeCell ref="N95:R95"/>
    <mergeCell ref="A109:K109"/>
    <mergeCell ref="A110:K110"/>
    <mergeCell ref="N112:R112"/>
    <mergeCell ref="N113:R113"/>
    <mergeCell ref="A127:K127"/>
    <mergeCell ref="A128:K128"/>
    <mergeCell ref="N130:R130"/>
    <mergeCell ref="N131:R131"/>
    <mergeCell ref="A145:K145"/>
    <mergeCell ref="N148:R148"/>
    <mergeCell ref="N149:R149"/>
    <mergeCell ref="A146:K146"/>
    <mergeCell ref="A163:K163"/>
    <mergeCell ref="A164:K164"/>
    <mergeCell ref="N166:R166"/>
    <mergeCell ref="N167:R167"/>
    <mergeCell ref="A181:K181"/>
    <mergeCell ref="A182:K182"/>
    <mergeCell ref="A253:K253"/>
    <mergeCell ref="A254:K254"/>
    <mergeCell ref="N256:R256"/>
    <mergeCell ref="N257:R257"/>
    <mergeCell ref="N276:R276"/>
  </mergeCells>
  <dataValidations>
    <dataValidation type="list" allowBlank="1" showErrorMessage="1" sqref="I4:I15 I22:I33 I40:I51 I58:I69 I76:I87 I94:I105 I112:I123 I130:I141 I148:I159 I166:I177 I184:I195 I202:I213 I220:I231 I238:I249 I256:I267">
      <formula1>"Não atendido,Atendido,Vagas livre,Desistência"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31.38"/>
    <col customWidth="1" min="3" max="3" width="15.5"/>
    <col customWidth="1" min="4" max="4" width="11.88"/>
    <col customWidth="1" min="5" max="5" width="16.0"/>
    <col customWidth="1" min="6" max="6" width="17.0"/>
    <col customWidth="1" min="7" max="7" width="35.0"/>
    <col customWidth="1" min="8" max="8" width="15.75"/>
    <col customWidth="1" min="9" max="9" width="20.38"/>
    <col customWidth="1" min="10" max="10" width="15.38"/>
    <col customWidth="1" min="11" max="11" width="14.63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hidden="1" customHeight="1">
      <c r="A1" s="20" t="s">
        <v>377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hidden="1" customHeight="1">
      <c r="A2" s="21" t="s">
        <v>3532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hidden="1" customHeight="1">
      <c r="A3" s="22"/>
      <c r="B3" s="426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hidden="1" customHeight="1">
      <c r="A4" s="11" t="s">
        <v>10</v>
      </c>
      <c r="B4" s="205" t="s">
        <v>1980</v>
      </c>
      <c r="C4" s="69" t="str">
        <f t="shared" ref="C4:C15" si="1">PROPER(TEXT(DATE(MID($A$2,7,4),MID($A$2,4,2),LEFT($A$2,2)),"dddd"))</f>
        <v>Segunda-Feira</v>
      </c>
      <c r="D4" s="445" t="str">
        <f>IF(C4&lt;&gt;"Quarta-Feira","13:00","08:00")</f>
        <v>13:00</v>
      </c>
      <c r="E4" s="253"/>
      <c r="F4" s="206"/>
      <c r="G4" s="125"/>
      <c r="H4" s="126"/>
      <c r="I4" s="30"/>
      <c r="J4" s="69"/>
      <c r="K4" s="69"/>
      <c r="L4" s="235" t="s">
        <v>385</v>
      </c>
      <c r="M4" s="236"/>
      <c r="N4" s="237" t="s">
        <v>386</v>
      </c>
      <c r="O4" s="95"/>
      <c r="P4" s="95"/>
      <c r="Q4" s="95"/>
      <c r="R4" s="95"/>
    </row>
    <row r="5" ht="15.75" hidden="1" customHeight="1">
      <c r="A5" s="11" t="s">
        <v>11</v>
      </c>
      <c r="B5" s="205" t="s">
        <v>1984</v>
      </c>
      <c r="C5" s="69" t="str">
        <f t="shared" si="1"/>
        <v>Segunda-Feira</v>
      </c>
      <c r="D5" s="445" t="str">
        <f>IF(C5&lt;&gt;"Quarta-Feira","13:20","08:20")</f>
        <v>13:20</v>
      </c>
      <c r="E5" s="253"/>
      <c r="F5" s="206"/>
      <c r="G5" s="447"/>
      <c r="H5" s="448"/>
      <c r="I5" s="30"/>
      <c r="J5" s="69"/>
      <c r="K5" s="69"/>
      <c r="M5" s="236"/>
      <c r="N5" s="239" t="s">
        <v>1823</v>
      </c>
      <c r="O5" s="2"/>
      <c r="P5" s="2"/>
      <c r="Q5" s="2"/>
      <c r="R5" s="2"/>
    </row>
    <row r="6" ht="15.75" hidden="1" customHeight="1">
      <c r="A6" s="11" t="s">
        <v>12</v>
      </c>
      <c r="B6" s="205" t="s">
        <v>1988</v>
      </c>
      <c r="C6" s="69" t="str">
        <f t="shared" si="1"/>
        <v>Segunda-Feira</v>
      </c>
      <c r="D6" s="445" t="str">
        <f>IF(C6&lt;&gt;"Quarta-Feira","13:40","08:40")</f>
        <v>13:40</v>
      </c>
      <c r="E6" s="253"/>
      <c r="F6" s="206"/>
      <c r="G6" s="125"/>
      <c r="H6" s="126"/>
      <c r="I6" s="30"/>
      <c r="J6" s="69"/>
      <c r="K6" s="69"/>
      <c r="L6" s="197" t="s">
        <v>393</v>
      </c>
      <c r="M6" s="236"/>
      <c r="N6" s="240" t="s">
        <v>182</v>
      </c>
      <c r="O6" s="241" t="s">
        <v>194</v>
      </c>
      <c r="P6" s="241" t="s">
        <v>180</v>
      </c>
      <c r="Q6" s="242" t="s">
        <v>172</v>
      </c>
      <c r="R6" s="62" t="s">
        <v>1822</v>
      </c>
    </row>
    <row r="7" ht="15.75" hidden="1" customHeight="1">
      <c r="A7" s="11" t="s">
        <v>13</v>
      </c>
      <c r="B7" s="205" t="s">
        <v>1991</v>
      </c>
      <c r="C7" s="69" t="str">
        <f t="shared" si="1"/>
        <v>Segunda-Feira</v>
      </c>
      <c r="D7" s="445" t="str">
        <f>IF(C7&lt;&gt;"Quarta-Feira","14:00","09:00")</f>
        <v>14:00</v>
      </c>
      <c r="E7" s="253"/>
      <c r="F7" s="69"/>
      <c r="G7" s="125"/>
      <c r="H7" s="429"/>
      <c r="I7" s="30"/>
      <c r="J7" s="69"/>
      <c r="K7" s="69"/>
      <c r="M7" s="62"/>
      <c r="N7" s="244">
        <f t="shared" ref="N7:R7" si="2">COUNTIFS(I$4:I$15,N6)</f>
        <v>0</v>
      </c>
      <c r="O7" s="244">
        <f t="shared" si="2"/>
        <v>0</v>
      </c>
      <c r="P7" s="244">
        <f t="shared" si="2"/>
        <v>0</v>
      </c>
      <c r="Q7" s="244">
        <f t="shared" si="2"/>
        <v>0</v>
      </c>
      <c r="R7" s="449">
        <f t="shared" si="2"/>
        <v>0</v>
      </c>
      <c r="S7" s="343"/>
      <c r="T7" s="343"/>
      <c r="U7" s="343"/>
      <c r="V7" s="343"/>
      <c r="W7" s="343"/>
      <c r="X7" s="450"/>
    </row>
    <row r="8" ht="15.75" hidden="1" customHeight="1">
      <c r="A8" s="11" t="s">
        <v>14</v>
      </c>
      <c r="B8" s="205" t="s">
        <v>1980</v>
      </c>
      <c r="C8" s="69" t="str">
        <f t="shared" si="1"/>
        <v>Segunda-Feira</v>
      </c>
      <c r="D8" s="445" t="str">
        <f>IF(C8&lt;&gt;"Quarta-Feira","14:20","09:20")</f>
        <v>14:20</v>
      </c>
      <c r="E8" s="253"/>
      <c r="F8" s="206"/>
      <c r="G8" s="265"/>
      <c r="H8" s="451"/>
      <c r="I8" s="30"/>
      <c r="J8" s="69"/>
      <c r="K8" s="69"/>
      <c r="L8" s="197" t="s">
        <v>402</v>
      </c>
      <c r="M8" s="62"/>
      <c r="N8" s="62"/>
      <c r="O8" s="62"/>
      <c r="P8" s="62"/>
      <c r="Q8" s="62"/>
      <c r="R8" s="62"/>
    </row>
    <row r="9" ht="15.75" hidden="1" customHeight="1">
      <c r="A9" s="11" t="s">
        <v>15</v>
      </c>
      <c r="B9" s="205" t="s">
        <v>1984</v>
      </c>
      <c r="C9" s="69" t="str">
        <f t="shared" si="1"/>
        <v>Segunda-Feira</v>
      </c>
      <c r="D9" s="445" t="str">
        <f>IF(C9&lt;&gt;"Quarta-Feira","14:40","09:40")</f>
        <v>14:40</v>
      </c>
      <c r="E9" s="253"/>
      <c r="F9" s="452"/>
      <c r="G9" s="447"/>
      <c r="H9" s="448"/>
      <c r="I9" s="30"/>
      <c r="J9" s="69"/>
      <c r="K9" s="69"/>
      <c r="L9" s="197" t="s">
        <v>393</v>
      </c>
      <c r="R9" s="62"/>
    </row>
    <row r="10" ht="15.75" hidden="1" customHeight="1">
      <c r="A10" s="11" t="s">
        <v>16</v>
      </c>
      <c r="B10" s="205" t="s">
        <v>1988</v>
      </c>
      <c r="C10" s="69" t="str">
        <f t="shared" si="1"/>
        <v>Segunda-Feira</v>
      </c>
      <c r="D10" s="445" t="str">
        <f>IF(C10&lt;&gt;"Quarta-Feira","15:00","10:00")</f>
        <v>15:00</v>
      </c>
      <c r="E10" s="253"/>
      <c r="F10" s="206"/>
      <c r="G10" s="125"/>
      <c r="H10" s="126"/>
      <c r="I10" s="30"/>
      <c r="J10" s="69"/>
      <c r="K10" s="69"/>
      <c r="L10" s="197" t="s">
        <v>393</v>
      </c>
      <c r="R10" s="62"/>
    </row>
    <row r="11" ht="15.75" hidden="1" customHeight="1">
      <c r="A11" s="11" t="s">
        <v>17</v>
      </c>
      <c r="B11" s="205" t="s">
        <v>1991</v>
      </c>
      <c r="C11" s="69" t="str">
        <f t="shared" si="1"/>
        <v>Segunda-Feira</v>
      </c>
      <c r="D11" s="445" t="str">
        <f>IF(C11&lt;&gt;"Quarta-Feira","15:20","10:20")</f>
        <v>15:20</v>
      </c>
      <c r="E11" s="253"/>
      <c r="F11" s="206"/>
      <c r="G11" s="125"/>
      <c r="H11" s="432"/>
      <c r="I11" s="30"/>
      <c r="J11" s="69"/>
      <c r="K11" s="69"/>
      <c r="L11" s="197" t="s">
        <v>393</v>
      </c>
      <c r="R11" s="62"/>
    </row>
    <row r="12" ht="15.75" hidden="1" customHeight="1">
      <c r="A12" s="11" t="s">
        <v>85</v>
      </c>
      <c r="B12" s="205" t="s">
        <v>1980</v>
      </c>
      <c r="C12" s="69" t="str">
        <f t="shared" si="1"/>
        <v>Segunda-Feira</v>
      </c>
      <c r="D12" s="445" t="str">
        <f>IF(C12&lt;&gt;"Quarta-Feira","15:40","10:40")</f>
        <v>15:40</v>
      </c>
      <c r="E12" s="253"/>
      <c r="F12" s="69"/>
      <c r="G12" s="154"/>
      <c r="H12" s="78"/>
      <c r="I12" s="30"/>
      <c r="J12" s="69"/>
      <c r="K12" s="69"/>
      <c r="L12" s="197" t="s">
        <v>393</v>
      </c>
      <c r="R12" s="62"/>
    </row>
    <row r="13" ht="15.75" hidden="1" customHeight="1">
      <c r="A13" s="11" t="s">
        <v>87</v>
      </c>
      <c r="B13" s="205" t="s">
        <v>1984</v>
      </c>
      <c r="C13" s="69" t="str">
        <f t="shared" si="1"/>
        <v>Segunda-Feira</v>
      </c>
      <c r="D13" s="445" t="str">
        <f>IF(C13&lt;&gt;"Quarta-Feira","16:00","11:00")</f>
        <v>16:00</v>
      </c>
      <c r="E13" s="253"/>
      <c r="F13" s="69"/>
      <c r="G13" s="154"/>
      <c r="H13" s="153"/>
      <c r="I13" s="30"/>
      <c r="J13" s="69"/>
      <c r="K13" s="69"/>
      <c r="L13" s="197" t="s">
        <v>393</v>
      </c>
      <c r="R13" s="62"/>
    </row>
    <row r="14" ht="15.75" hidden="1" customHeight="1">
      <c r="A14" s="11" t="s">
        <v>90</v>
      </c>
      <c r="B14" s="205" t="s">
        <v>1988</v>
      </c>
      <c r="C14" s="69" t="str">
        <f t="shared" si="1"/>
        <v>Segunda-Feira</v>
      </c>
      <c r="D14" s="445" t="str">
        <f>IF(C14&lt;&gt;"Quarta-Feira","16:20","11:20")</f>
        <v>16:20</v>
      </c>
      <c r="E14" s="253"/>
      <c r="F14" s="69"/>
      <c r="G14" s="154"/>
      <c r="H14" s="153"/>
      <c r="I14" s="30"/>
      <c r="J14" s="69"/>
      <c r="K14" s="69"/>
      <c r="L14" s="197" t="s">
        <v>393</v>
      </c>
      <c r="R14" s="62"/>
    </row>
    <row r="15" ht="15.75" hidden="1" customHeight="1">
      <c r="A15" s="11" t="s">
        <v>93</v>
      </c>
      <c r="B15" s="205" t="s">
        <v>1991</v>
      </c>
      <c r="C15" s="69" t="str">
        <f t="shared" si="1"/>
        <v>Segunda-Feira</v>
      </c>
      <c r="D15" s="445" t="str">
        <f>IF(C15&lt;&gt;"Quarta-Feira","16:40","11:40")</f>
        <v>16:40</v>
      </c>
      <c r="E15" s="253"/>
      <c r="F15" s="69"/>
      <c r="G15" s="154"/>
      <c r="H15" s="153"/>
      <c r="I15" s="30"/>
      <c r="J15" s="69"/>
      <c r="K15" s="69"/>
      <c r="L15" s="197" t="s">
        <v>393</v>
      </c>
      <c r="R15" s="62"/>
    </row>
    <row r="16" ht="15.75" hidden="1" customHeight="1">
      <c r="B16" s="167"/>
      <c r="E16" s="231"/>
      <c r="G16" s="167"/>
      <c r="J16" s="62"/>
      <c r="K16" s="62"/>
      <c r="R16" s="62"/>
    </row>
    <row r="17" ht="15.75" hidden="1" customHeight="1">
      <c r="B17" s="167"/>
      <c r="E17" s="231"/>
      <c r="G17" s="167"/>
      <c r="J17" s="62"/>
      <c r="K17" s="62"/>
      <c r="R17" s="62"/>
    </row>
    <row r="18" ht="15.75" customHeight="1">
      <c r="B18" s="167"/>
      <c r="E18" s="231"/>
      <c r="G18" s="167"/>
      <c r="J18" s="62"/>
      <c r="K18" s="62"/>
      <c r="R18" s="62"/>
    </row>
    <row r="19" ht="15.75" customHeight="1">
      <c r="A19" s="20" t="s">
        <v>377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22.5" customHeight="1">
      <c r="A20" s="21" t="s">
        <v>3929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7.25" customHeight="1">
      <c r="A21" s="22"/>
      <c r="B21" s="426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125" t="s">
        <v>65</v>
      </c>
      <c r="C22" s="69" t="str">
        <f t="shared" ref="C22:C33" si="3">PROPER(TEXT(DATE(MID($A$20,7,4),MID($A$20,4,2),LEFT($A$20,2)),"dddd"))</f>
        <v>Segunda-Feira</v>
      </c>
      <c r="D22" s="445" t="str">
        <f>IF(C22&lt;&gt;"Quarta-Feira","13:00","08:00")</f>
        <v>13:00</v>
      </c>
      <c r="E22" s="253"/>
      <c r="F22" s="69"/>
      <c r="G22" s="154"/>
      <c r="H22" s="156"/>
      <c r="I22" s="69"/>
      <c r="J22" s="69"/>
      <c r="K22" s="69"/>
      <c r="N22" s="237" t="s">
        <v>386</v>
      </c>
      <c r="O22" s="95"/>
      <c r="P22" s="95"/>
      <c r="Q22" s="95"/>
      <c r="R22" s="95"/>
    </row>
    <row r="23" ht="15.75" customHeight="1">
      <c r="A23" s="11" t="s">
        <v>11</v>
      </c>
      <c r="B23" s="125" t="s">
        <v>201</v>
      </c>
      <c r="C23" s="69" t="str">
        <f t="shared" si="3"/>
        <v>Segunda-Feira</v>
      </c>
      <c r="D23" s="445" t="str">
        <f>IF(C23&lt;&gt;"Quarta-Feira","13:20","08:20")</f>
        <v>13:20</v>
      </c>
      <c r="E23" s="253"/>
      <c r="F23" s="69"/>
      <c r="G23" s="154"/>
      <c r="H23" s="153"/>
      <c r="I23" s="69"/>
      <c r="J23" s="69"/>
      <c r="K23" s="69"/>
      <c r="N23" s="239" t="s">
        <v>1823</v>
      </c>
      <c r="O23" s="2"/>
      <c r="P23" s="2"/>
      <c r="Q23" s="2"/>
      <c r="R23" s="2"/>
    </row>
    <row r="24" ht="15.75" customHeight="1">
      <c r="A24" s="11" t="s">
        <v>12</v>
      </c>
      <c r="B24" s="125" t="s">
        <v>1447</v>
      </c>
      <c r="C24" s="69" t="str">
        <f t="shared" si="3"/>
        <v>Segunda-Feira</v>
      </c>
      <c r="D24" s="445" t="str">
        <f>IF(C24&lt;&gt;"Quarta-Feira","13:40","08:40")</f>
        <v>13:40</v>
      </c>
      <c r="E24" s="253"/>
      <c r="F24" s="69"/>
      <c r="G24" s="154"/>
      <c r="H24" s="153"/>
      <c r="I24" s="69"/>
      <c r="J24" s="69"/>
      <c r="K24" s="69"/>
      <c r="N24" s="240" t="s">
        <v>182</v>
      </c>
      <c r="O24" s="241" t="s">
        <v>194</v>
      </c>
      <c r="P24" s="241" t="s">
        <v>180</v>
      </c>
      <c r="Q24" s="242" t="s">
        <v>172</v>
      </c>
      <c r="R24" s="242" t="s">
        <v>1822</v>
      </c>
    </row>
    <row r="25" ht="15.75" customHeight="1">
      <c r="A25" s="11" t="s">
        <v>13</v>
      </c>
      <c r="B25" s="125" t="s">
        <v>821</v>
      </c>
      <c r="C25" s="69" t="str">
        <f t="shared" si="3"/>
        <v>Segunda-Feira</v>
      </c>
      <c r="D25" s="445" t="str">
        <f>IF(C25&lt;&gt;"Quarta-Feira","14:00","09:00")</f>
        <v>14:00</v>
      </c>
      <c r="E25" s="253"/>
      <c r="F25" s="69"/>
      <c r="G25" s="154"/>
      <c r="H25" s="153"/>
      <c r="I25" s="69"/>
      <c r="J25" s="69"/>
      <c r="K25" s="69"/>
      <c r="L25" s="197" t="s">
        <v>441</v>
      </c>
      <c r="N25" s="244">
        <f>COUNTIFS(I$22:I$33,N24)</f>
        <v>0</v>
      </c>
      <c r="O25" s="244">
        <f t="shared" ref="O25:R25" si="4">COUNTIFS($I$22:$I$33,O24)</f>
        <v>0</v>
      </c>
      <c r="P25" s="244">
        <f t="shared" si="4"/>
        <v>0</v>
      </c>
      <c r="Q25" s="244">
        <f t="shared" si="4"/>
        <v>0</v>
      </c>
      <c r="R25" s="62">
        <f t="shared" si="4"/>
        <v>0</v>
      </c>
    </row>
    <row r="26" ht="15.75" customHeight="1">
      <c r="A26" s="11" t="s">
        <v>14</v>
      </c>
      <c r="B26" s="125" t="s">
        <v>201</v>
      </c>
      <c r="C26" s="69" t="str">
        <f t="shared" si="3"/>
        <v>Segunda-Feira</v>
      </c>
      <c r="D26" s="445" t="str">
        <f>IF(C26&lt;&gt;"Quarta-Feira","14:20","09:20")</f>
        <v>14:20</v>
      </c>
      <c r="E26" s="253"/>
      <c r="F26" s="69"/>
      <c r="G26" s="154"/>
      <c r="H26" s="153"/>
      <c r="I26" s="69"/>
      <c r="J26" s="69"/>
      <c r="K26" s="69"/>
      <c r="L26" s="197" t="s">
        <v>441</v>
      </c>
      <c r="R26" s="62"/>
    </row>
    <row r="27" ht="15.75" customHeight="1">
      <c r="A27" s="11" t="s">
        <v>15</v>
      </c>
      <c r="B27" s="125" t="s">
        <v>1447</v>
      </c>
      <c r="C27" s="69" t="str">
        <f t="shared" si="3"/>
        <v>Segunda-Feira</v>
      </c>
      <c r="D27" s="445" t="str">
        <f>IF(C27&lt;&gt;"Quarta-Feira","14:40","09:40")</f>
        <v>14:40</v>
      </c>
      <c r="E27" s="253"/>
      <c r="F27" s="69"/>
      <c r="G27" s="154"/>
      <c r="H27" s="153"/>
      <c r="I27" s="69"/>
      <c r="J27" s="69"/>
      <c r="K27" s="69"/>
      <c r="L27" s="197" t="s">
        <v>441</v>
      </c>
      <c r="R27" s="62"/>
    </row>
    <row r="28" ht="15.75" customHeight="1">
      <c r="A28" s="11" t="s">
        <v>16</v>
      </c>
      <c r="B28" s="125" t="s">
        <v>65</v>
      </c>
      <c r="C28" s="69" t="str">
        <f t="shared" si="3"/>
        <v>Segunda-Feira</v>
      </c>
      <c r="D28" s="445" t="str">
        <f>IF(C28&lt;&gt;"Quarta-Feira","15:00","10:00")</f>
        <v>15:00</v>
      </c>
      <c r="E28" s="253"/>
      <c r="F28" s="69"/>
      <c r="G28" s="154"/>
      <c r="H28" s="153"/>
      <c r="I28" s="69"/>
      <c r="J28" s="69"/>
      <c r="K28" s="69"/>
      <c r="L28" s="197" t="s">
        <v>441</v>
      </c>
      <c r="R28" s="62"/>
    </row>
    <row r="29" ht="15.75" customHeight="1">
      <c r="A29" s="11" t="s">
        <v>17</v>
      </c>
      <c r="B29" s="125" t="s">
        <v>201</v>
      </c>
      <c r="C29" s="69" t="str">
        <f t="shared" si="3"/>
        <v>Segunda-Feira</v>
      </c>
      <c r="D29" s="445" t="str">
        <f>IF(C29&lt;&gt;"Quarta-Feira","15:20","10:20")</f>
        <v>15:20</v>
      </c>
      <c r="E29" s="253"/>
      <c r="F29" s="69"/>
      <c r="G29" s="154"/>
      <c r="H29" s="153"/>
      <c r="I29" s="69"/>
      <c r="J29" s="69"/>
      <c r="K29" s="69"/>
      <c r="L29" s="197" t="s">
        <v>441</v>
      </c>
      <c r="R29" s="62"/>
    </row>
    <row r="30" ht="15.75" customHeight="1">
      <c r="A30" s="11" t="s">
        <v>85</v>
      </c>
      <c r="B30" s="125" t="s">
        <v>821</v>
      </c>
      <c r="C30" s="69" t="str">
        <f t="shared" si="3"/>
        <v>Segunda-Feira</v>
      </c>
      <c r="D30" s="445" t="str">
        <f>IF(C30&lt;&gt;"Quarta-Feira","15:40","10:40")</f>
        <v>15:40</v>
      </c>
      <c r="E30" s="253"/>
      <c r="F30" s="69"/>
      <c r="G30" s="154"/>
      <c r="H30" s="153"/>
      <c r="I30" s="69"/>
      <c r="J30" s="69"/>
      <c r="K30" s="69"/>
      <c r="R30" s="62"/>
    </row>
    <row r="31" ht="15.75" customHeight="1">
      <c r="A31" s="11" t="s">
        <v>87</v>
      </c>
      <c r="B31" s="125" t="s">
        <v>1447</v>
      </c>
      <c r="C31" s="69" t="str">
        <f t="shared" si="3"/>
        <v>Segunda-Feira</v>
      </c>
      <c r="D31" s="445" t="str">
        <f>IF(C31&lt;&gt;"Quarta-Feira","16:00","11:00")</f>
        <v>16:00</v>
      </c>
      <c r="E31" s="253"/>
      <c r="F31" s="69"/>
      <c r="G31" s="154"/>
      <c r="H31" s="153"/>
      <c r="I31" s="69"/>
      <c r="J31" s="69"/>
      <c r="K31" s="69"/>
      <c r="L31" s="197" t="s">
        <v>454</v>
      </c>
      <c r="R31" s="62"/>
    </row>
    <row r="32" ht="15.75" customHeight="1">
      <c r="A32" s="11" t="s">
        <v>90</v>
      </c>
      <c r="B32" s="125" t="s">
        <v>821</v>
      </c>
      <c r="C32" s="69" t="str">
        <f t="shared" si="3"/>
        <v>Segunda-Feira</v>
      </c>
      <c r="D32" s="445" t="str">
        <f>IF(C32&lt;&gt;"Quarta-Feira","16:20","11:20")</f>
        <v>16:20</v>
      </c>
      <c r="E32" s="253"/>
      <c r="F32" s="69"/>
      <c r="G32" s="154"/>
      <c r="H32" s="153"/>
      <c r="I32" s="69"/>
      <c r="J32" s="69"/>
      <c r="K32" s="69"/>
      <c r="R32" s="62"/>
    </row>
    <row r="33" ht="15.75" customHeight="1">
      <c r="A33" s="11" t="s">
        <v>93</v>
      </c>
      <c r="B33" s="125" t="s">
        <v>65</v>
      </c>
      <c r="C33" s="69" t="str">
        <f t="shared" si="3"/>
        <v>Segunda-Feira</v>
      </c>
      <c r="D33" s="445" t="str">
        <f>IF(C33&lt;&gt;"Quarta-Feira","16:40","11:40")</f>
        <v>16:40</v>
      </c>
      <c r="E33" s="253"/>
      <c r="F33" s="69"/>
      <c r="G33" s="154"/>
      <c r="H33" s="153"/>
      <c r="I33" s="69"/>
      <c r="J33" s="69"/>
      <c r="K33" s="69"/>
      <c r="R33" s="62"/>
    </row>
    <row r="34" ht="15.75" customHeight="1">
      <c r="B34" s="167"/>
      <c r="E34" s="231"/>
      <c r="G34" s="167"/>
      <c r="J34" s="62"/>
      <c r="K34" s="62"/>
      <c r="R34" s="62"/>
    </row>
    <row r="35" ht="15.75" customHeight="1">
      <c r="B35" s="167"/>
      <c r="E35" s="231"/>
      <c r="G35" s="167"/>
      <c r="J35" s="62"/>
      <c r="K35" s="62"/>
      <c r="R35" s="62"/>
    </row>
    <row r="36" ht="15.75" customHeight="1">
      <c r="B36" s="167"/>
      <c r="E36" s="231"/>
      <c r="G36" s="167"/>
      <c r="J36" s="62"/>
      <c r="K36" s="62"/>
      <c r="R36" s="62"/>
    </row>
    <row r="37" ht="15.75" customHeight="1">
      <c r="A37" s="20" t="s">
        <v>377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15.75" customHeight="1">
      <c r="A38" s="21" t="str">
        <f>TEXT(DATE(VALUE(MID(A20,7,4)),VALUE(MID(A20,4,2)),VALUE(LEFT(A20,2)))+2,"dd/mm/yyyy")&amp;" 08h às 13h"</f>
        <v>05/08/2026 08h às 13h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426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125" t="s">
        <v>757</v>
      </c>
      <c r="C40" s="69" t="str">
        <f t="shared" ref="C40:C51" si="5">PROPER(TEXT(DATE(MID($A$38,7,4),MID($A$38,4,2),LEFT($A$38,2)),"dddd"))</f>
        <v>Quarta-Feira</v>
      </c>
      <c r="D40" s="445" t="str">
        <f>IF(C40&lt;&gt;"Quarta-Feira","13:00","08:00")</f>
        <v>08:00</v>
      </c>
      <c r="E40" s="253"/>
      <c r="F40" s="69"/>
      <c r="G40" s="154"/>
      <c r="H40" s="193"/>
      <c r="I40" s="30"/>
      <c r="J40" s="69"/>
      <c r="K40" s="69"/>
      <c r="N40" s="237" t="s">
        <v>386</v>
      </c>
      <c r="O40" s="95"/>
      <c r="P40" s="95"/>
      <c r="Q40" s="95"/>
      <c r="R40" s="95"/>
    </row>
    <row r="41" ht="15.75" customHeight="1">
      <c r="A41" s="11" t="s">
        <v>15</v>
      </c>
      <c r="B41" s="125" t="s">
        <v>1467</v>
      </c>
      <c r="C41" s="69" t="str">
        <f t="shared" si="5"/>
        <v>Quarta-Feira</v>
      </c>
      <c r="D41" s="445" t="str">
        <f>IF(C41&lt;&gt;"Quarta-Feira","13:20","08:20")</f>
        <v>08:20</v>
      </c>
      <c r="E41" s="253"/>
      <c r="F41" s="69"/>
      <c r="G41" s="154"/>
      <c r="H41" s="193"/>
      <c r="I41" s="30"/>
      <c r="J41" s="69"/>
      <c r="K41" s="69"/>
      <c r="R41" s="62"/>
    </row>
    <row r="42" ht="15.75" customHeight="1">
      <c r="A42" s="11" t="s">
        <v>12</v>
      </c>
      <c r="B42" s="125" t="s">
        <v>216</v>
      </c>
      <c r="C42" s="69" t="str">
        <f t="shared" si="5"/>
        <v>Quarta-Feira</v>
      </c>
      <c r="D42" s="445" t="str">
        <f>IF(C42&lt;&gt;"Quarta-Feira","13:40","08:40")</f>
        <v>08:40</v>
      </c>
      <c r="E42" s="253"/>
      <c r="F42" s="69"/>
      <c r="G42" s="154"/>
      <c r="H42" s="193"/>
      <c r="I42" s="30"/>
      <c r="J42" s="69"/>
      <c r="K42" s="69"/>
      <c r="N42" s="240" t="s">
        <v>182</v>
      </c>
      <c r="O42" s="241" t="s">
        <v>194</v>
      </c>
      <c r="P42" s="241" t="s">
        <v>180</v>
      </c>
      <c r="Q42" s="242" t="s">
        <v>172</v>
      </c>
      <c r="R42" s="62" t="s">
        <v>1822</v>
      </c>
    </row>
    <row r="43" ht="15.75" customHeight="1">
      <c r="A43" s="11" t="s">
        <v>13</v>
      </c>
      <c r="B43" s="125" t="s">
        <v>197</v>
      </c>
      <c r="C43" s="69" t="str">
        <f t="shared" si="5"/>
        <v>Quarta-Feira</v>
      </c>
      <c r="D43" s="445" t="str">
        <f>IF(C43&lt;&gt;"Quarta-Feira","14:00","09:00")</f>
        <v>09:00</v>
      </c>
      <c r="E43" s="253"/>
      <c r="F43" s="69"/>
      <c r="G43" s="154"/>
      <c r="H43" s="193"/>
      <c r="I43" s="30"/>
      <c r="J43" s="69"/>
      <c r="K43" s="69"/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0</v>
      </c>
    </row>
    <row r="44" ht="15.75" customHeight="1">
      <c r="A44" s="11" t="s">
        <v>14</v>
      </c>
      <c r="B44" s="125" t="s">
        <v>757</v>
      </c>
      <c r="C44" s="69" t="str">
        <f t="shared" si="5"/>
        <v>Quarta-Feira</v>
      </c>
      <c r="D44" s="445" t="str">
        <f>IF(C44&lt;&gt;"Quarta-Feira","14:20","09:20")</f>
        <v>09:20</v>
      </c>
      <c r="E44" s="253"/>
      <c r="F44" s="69"/>
      <c r="G44" s="154"/>
      <c r="H44" s="193"/>
      <c r="I44" s="30"/>
      <c r="J44" s="69"/>
      <c r="K44" s="69"/>
      <c r="R44" s="62"/>
    </row>
    <row r="45" ht="15.75" customHeight="1">
      <c r="A45" s="11" t="s">
        <v>11</v>
      </c>
      <c r="B45" s="125" t="s">
        <v>1467</v>
      </c>
      <c r="C45" s="69" t="str">
        <f t="shared" si="5"/>
        <v>Quarta-Feira</v>
      </c>
      <c r="D45" s="445" t="str">
        <f>IF(C45&lt;&gt;"Quarta-Feira","14:40","09:40")</f>
        <v>09:40</v>
      </c>
      <c r="E45" s="253"/>
      <c r="F45" s="69"/>
      <c r="G45" s="154"/>
      <c r="H45" s="156"/>
      <c r="I45" s="30"/>
      <c r="J45" s="69"/>
      <c r="K45" s="69"/>
      <c r="N45" s="239" t="s">
        <v>1823</v>
      </c>
      <c r="O45" s="2"/>
      <c r="P45" s="2"/>
      <c r="Q45" s="2"/>
      <c r="R45" s="2"/>
    </row>
    <row r="46" ht="15.75" customHeight="1">
      <c r="A46" s="11" t="s">
        <v>16</v>
      </c>
      <c r="B46" s="125" t="s">
        <v>216</v>
      </c>
      <c r="C46" s="69" t="str">
        <f t="shared" si="5"/>
        <v>Quarta-Feira</v>
      </c>
      <c r="D46" s="445" t="str">
        <f>IF(C46&lt;&gt;"Quarta-Feira","15:00","10:00")</f>
        <v>10:00</v>
      </c>
      <c r="E46" s="253"/>
      <c r="F46" s="69"/>
      <c r="G46" s="154"/>
      <c r="H46" s="193"/>
      <c r="I46" s="30"/>
      <c r="J46" s="69"/>
      <c r="K46" s="69"/>
      <c r="R46" s="62"/>
    </row>
    <row r="47" ht="15.75" customHeight="1">
      <c r="A47" s="11" t="s">
        <v>17</v>
      </c>
      <c r="B47" s="125" t="s">
        <v>197</v>
      </c>
      <c r="C47" s="69" t="str">
        <f t="shared" si="5"/>
        <v>Quarta-Feira</v>
      </c>
      <c r="D47" s="445" t="str">
        <f>IF(C47&lt;&gt;"Quarta-Feira","15:20","10:20")</f>
        <v>10:20</v>
      </c>
      <c r="E47" s="253"/>
      <c r="F47" s="69"/>
      <c r="G47" s="154"/>
      <c r="H47" s="193"/>
      <c r="I47" s="30"/>
      <c r="J47" s="69"/>
      <c r="K47" s="69"/>
      <c r="R47" s="62"/>
    </row>
    <row r="48" ht="15.75" customHeight="1">
      <c r="A48" s="11" t="s">
        <v>85</v>
      </c>
      <c r="B48" s="125" t="s">
        <v>1467</v>
      </c>
      <c r="C48" s="69" t="str">
        <f t="shared" si="5"/>
        <v>Quarta-Feira</v>
      </c>
      <c r="D48" s="445" t="str">
        <f>IF(C48&lt;&gt;"Quarta-Feira","15:40","10:40")</f>
        <v>10:40</v>
      </c>
      <c r="E48" s="253"/>
      <c r="F48" s="69"/>
      <c r="G48" s="154"/>
      <c r="H48" s="193"/>
      <c r="I48" s="30"/>
      <c r="J48" s="69"/>
      <c r="K48" s="69"/>
      <c r="R48" s="62"/>
    </row>
    <row r="49" ht="15.75" customHeight="1">
      <c r="A49" s="11" t="s">
        <v>87</v>
      </c>
      <c r="B49" s="125" t="s">
        <v>757</v>
      </c>
      <c r="C49" s="69" t="str">
        <f t="shared" si="5"/>
        <v>Quarta-Feira</v>
      </c>
      <c r="D49" s="445" t="str">
        <f>IF(C49&lt;&gt;"Quarta-Feira","16:00","11:00")</f>
        <v>11:00</v>
      </c>
      <c r="E49" s="253"/>
      <c r="F49" s="404"/>
      <c r="G49" s="154"/>
      <c r="H49" s="193"/>
      <c r="I49" s="30"/>
      <c r="J49" s="69"/>
      <c r="K49" s="69"/>
      <c r="R49" s="62"/>
    </row>
    <row r="50" ht="15.75" customHeight="1">
      <c r="A50" s="11" t="s">
        <v>90</v>
      </c>
      <c r="B50" s="125" t="s">
        <v>757</v>
      </c>
      <c r="C50" s="69" t="str">
        <f t="shared" si="5"/>
        <v>Quarta-Feira</v>
      </c>
      <c r="D50" s="445" t="str">
        <f>IF(C50&lt;&gt;"Quarta-Feira","16:20","11:20")</f>
        <v>11:20</v>
      </c>
      <c r="E50" s="253"/>
      <c r="F50" s="69"/>
      <c r="G50" s="154"/>
      <c r="H50" s="453"/>
      <c r="I50" s="30"/>
      <c r="J50" s="69"/>
      <c r="K50" s="69"/>
      <c r="R50" s="62"/>
    </row>
    <row r="51" ht="15.75" customHeight="1">
      <c r="A51" s="11" t="s">
        <v>93</v>
      </c>
      <c r="B51" s="125" t="s">
        <v>757</v>
      </c>
      <c r="C51" s="69" t="str">
        <f t="shared" si="5"/>
        <v>Quarta-Feira</v>
      </c>
      <c r="D51" s="445" t="str">
        <f>IF(C51&lt;&gt;"Quarta-Feira","16:40","11:40")</f>
        <v>11:40</v>
      </c>
      <c r="E51" s="253"/>
      <c r="F51" s="69"/>
      <c r="G51" s="154"/>
      <c r="H51" s="193"/>
      <c r="I51" s="30"/>
      <c r="J51" s="69"/>
      <c r="K51" s="69"/>
      <c r="R51" s="62"/>
    </row>
    <row r="52" ht="15.75" customHeight="1">
      <c r="B52" s="167"/>
      <c r="E52" s="454"/>
      <c r="G52" s="167"/>
      <c r="J52" s="62"/>
      <c r="K52" s="62"/>
      <c r="R52" s="62"/>
    </row>
    <row r="53" ht="15.75" customHeight="1">
      <c r="B53" s="167"/>
      <c r="E53" s="231"/>
      <c r="G53" s="167"/>
      <c r="J53" s="62"/>
      <c r="K53" s="62"/>
      <c r="R53" s="62"/>
    </row>
    <row r="54" ht="15.75" customHeight="1">
      <c r="B54" s="167"/>
      <c r="E54" s="231"/>
      <c r="G54" s="167"/>
      <c r="J54" s="62"/>
      <c r="K54" s="62"/>
      <c r="R54" s="62"/>
    </row>
    <row r="55" ht="15.75" customHeight="1">
      <c r="A55" s="20" t="s">
        <v>377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07/08/2026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426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8.75" customHeight="1">
      <c r="A58" s="11" t="s">
        <v>10</v>
      </c>
      <c r="B58" s="125" t="s">
        <v>1357</v>
      </c>
      <c r="C58" s="69" t="str">
        <f t="shared" ref="C58:C69" si="7">PROPER(TEXT(DATE(MID($A$56,7,4),MID($A$56,4,2),LEFT($A$56,2)),"dddd"))</f>
        <v>Sexta-Feira</v>
      </c>
      <c r="D58" s="445" t="str">
        <f>IF(C58&lt;&gt;"Quarta-Feira","13:00","08:00")</f>
        <v>13:00</v>
      </c>
      <c r="E58" s="253"/>
      <c r="F58" s="69"/>
      <c r="G58" s="154"/>
      <c r="H58" s="455"/>
      <c r="I58" s="30"/>
      <c r="J58" s="69"/>
      <c r="K58" s="69"/>
      <c r="N58" s="237" t="s">
        <v>386</v>
      </c>
      <c r="O58" s="95"/>
      <c r="P58" s="95"/>
      <c r="Q58" s="95"/>
      <c r="R58" s="95"/>
    </row>
    <row r="59" ht="15.75" customHeight="1">
      <c r="A59" s="11" t="s">
        <v>11</v>
      </c>
      <c r="B59" s="125" t="s">
        <v>1358</v>
      </c>
      <c r="C59" s="69" t="str">
        <f t="shared" si="7"/>
        <v>Sexta-Feira</v>
      </c>
      <c r="D59" s="445" t="str">
        <f>IF(C59&lt;&gt;"Quarta-Feira","13:20","08:20")</f>
        <v>13:20</v>
      </c>
      <c r="E59" s="253"/>
      <c r="F59" s="69"/>
      <c r="G59" s="154"/>
      <c r="H59" s="193"/>
      <c r="I59" s="30"/>
      <c r="J59" s="69"/>
      <c r="K59" s="69"/>
      <c r="N59" s="239" t="s">
        <v>1823</v>
      </c>
      <c r="O59" s="2"/>
      <c r="P59" s="2"/>
      <c r="Q59" s="2"/>
      <c r="R59" s="2"/>
    </row>
    <row r="60" ht="15.75" customHeight="1">
      <c r="A60" s="11" t="s">
        <v>12</v>
      </c>
      <c r="B60" s="125" t="s">
        <v>1360</v>
      </c>
      <c r="C60" s="69" t="str">
        <f t="shared" si="7"/>
        <v>Sexta-Feira</v>
      </c>
      <c r="D60" s="445" t="str">
        <f>IF(C60&lt;&gt;"Quarta-Feira","13:40","08:40")</f>
        <v>13:40</v>
      </c>
      <c r="E60" s="253"/>
      <c r="F60" s="69"/>
      <c r="G60" s="154"/>
      <c r="H60" s="193"/>
      <c r="I60" s="30"/>
      <c r="J60" s="69"/>
      <c r="K60" s="69"/>
      <c r="N60" s="240" t="s">
        <v>182</v>
      </c>
      <c r="O60" s="241" t="s">
        <v>194</v>
      </c>
      <c r="P60" s="241" t="s">
        <v>180</v>
      </c>
      <c r="Q60" s="242" t="s">
        <v>172</v>
      </c>
      <c r="R60" s="62" t="s">
        <v>1822</v>
      </c>
    </row>
    <row r="61" ht="15.75" customHeight="1">
      <c r="A61" s="11" t="s">
        <v>13</v>
      </c>
      <c r="B61" s="125" t="s">
        <v>1362</v>
      </c>
      <c r="C61" s="69" t="str">
        <f t="shared" si="7"/>
        <v>Sexta-Feira</v>
      </c>
      <c r="D61" s="445" t="str">
        <f>IF(C61&lt;&gt;"Quarta-Feira","14:00","09:00")</f>
        <v>14:00</v>
      </c>
      <c r="E61" s="253"/>
      <c r="F61" s="69"/>
      <c r="G61" s="154"/>
      <c r="H61" s="193"/>
      <c r="I61" s="30"/>
      <c r="J61" s="69"/>
      <c r="K61" s="69"/>
      <c r="N61" s="244">
        <f t="shared" ref="N61:R61" si="8">COUNTIFS($I$58:$I$69,N60)</f>
        <v>0</v>
      </c>
      <c r="O61" s="244">
        <f t="shared" si="8"/>
        <v>0</v>
      </c>
      <c r="P61" s="244">
        <f t="shared" si="8"/>
        <v>0</v>
      </c>
      <c r="Q61" s="244">
        <f t="shared" si="8"/>
        <v>0</v>
      </c>
      <c r="R61" s="244">
        <f t="shared" si="8"/>
        <v>0</v>
      </c>
    </row>
    <row r="62" ht="15.75" customHeight="1">
      <c r="A62" s="11" t="s">
        <v>14</v>
      </c>
      <c r="B62" s="125" t="s">
        <v>1357</v>
      </c>
      <c r="C62" s="69" t="str">
        <f t="shared" si="7"/>
        <v>Sexta-Feira</v>
      </c>
      <c r="D62" s="445" t="str">
        <f>IF(C62&lt;&gt;"Quarta-Feira","14:20","09:20")</f>
        <v>14:20</v>
      </c>
      <c r="E62" s="253"/>
      <c r="F62" s="69"/>
      <c r="G62" s="154"/>
      <c r="H62" s="193"/>
      <c r="I62" s="30"/>
      <c r="J62" s="69"/>
      <c r="K62" s="69"/>
      <c r="R62" s="62"/>
    </row>
    <row r="63" ht="15.75" customHeight="1">
      <c r="A63" s="11" t="s">
        <v>15</v>
      </c>
      <c r="B63" s="125" t="s">
        <v>1362</v>
      </c>
      <c r="C63" s="69" t="str">
        <f t="shared" si="7"/>
        <v>Sexta-Feira</v>
      </c>
      <c r="D63" s="445" t="str">
        <f>IF(C63&lt;&gt;"Quarta-Feira","14:40","09:40")</f>
        <v>14:40</v>
      </c>
      <c r="E63" s="253"/>
      <c r="F63" s="69"/>
      <c r="G63" s="154"/>
      <c r="H63" s="193"/>
      <c r="I63" s="30"/>
      <c r="J63" s="69"/>
      <c r="K63" s="69"/>
      <c r="R63" s="62"/>
    </row>
    <row r="64" ht="15.75" customHeight="1">
      <c r="A64" s="11" t="s">
        <v>16</v>
      </c>
      <c r="B64" s="125" t="s">
        <v>1358</v>
      </c>
      <c r="C64" s="69" t="str">
        <f t="shared" si="7"/>
        <v>Sexta-Feira</v>
      </c>
      <c r="D64" s="445" t="str">
        <f>IF(C64&lt;&gt;"Quarta-Feira","15:00","10:00")</f>
        <v>15:00</v>
      </c>
      <c r="E64" s="253"/>
      <c r="F64" s="69"/>
      <c r="G64" s="154"/>
      <c r="H64" s="193"/>
      <c r="I64" s="30"/>
      <c r="J64" s="69"/>
      <c r="K64" s="69"/>
      <c r="R64" s="62"/>
    </row>
    <row r="65" ht="15.75" customHeight="1">
      <c r="A65" s="11" t="s">
        <v>17</v>
      </c>
      <c r="B65" s="125" t="s">
        <v>1360</v>
      </c>
      <c r="C65" s="69" t="str">
        <f t="shared" si="7"/>
        <v>Sexta-Feira</v>
      </c>
      <c r="D65" s="445" t="str">
        <f>IF(C65&lt;&gt;"Quarta-Feira","15:20","10:20")</f>
        <v>15:20</v>
      </c>
      <c r="E65" s="253"/>
      <c r="F65" s="69"/>
      <c r="G65" s="154"/>
      <c r="H65" s="193"/>
      <c r="I65" s="30"/>
      <c r="J65" s="69"/>
      <c r="K65" s="69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</row>
    <row r="66" ht="15.75" customHeight="1">
      <c r="A66" s="11" t="s">
        <v>85</v>
      </c>
      <c r="B66" s="125" t="s">
        <v>1357</v>
      </c>
      <c r="C66" s="69" t="str">
        <f t="shared" si="7"/>
        <v>Sexta-Feira</v>
      </c>
      <c r="D66" s="445" t="str">
        <f>IF(C66&lt;&gt;"Quarta-Feira","15:40","10:40")</f>
        <v>15:40</v>
      </c>
      <c r="E66" s="253"/>
      <c r="F66" s="69"/>
      <c r="G66" s="154"/>
      <c r="H66" s="193"/>
      <c r="I66" s="30"/>
      <c r="J66" s="69"/>
      <c r="K66" s="69"/>
      <c r="R66" s="62"/>
    </row>
    <row r="67" ht="15.75" customHeight="1">
      <c r="A67" s="11" t="s">
        <v>87</v>
      </c>
      <c r="B67" s="125" t="s">
        <v>1358</v>
      </c>
      <c r="C67" s="69" t="str">
        <f t="shared" si="7"/>
        <v>Sexta-Feira</v>
      </c>
      <c r="D67" s="445" t="str">
        <f>IF(C67&lt;&gt;"Quarta-Feira","16:00","11:00")</f>
        <v>16:00</v>
      </c>
      <c r="E67" s="253"/>
      <c r="F67" s="69"/>
      <c r="G67" s="154"/>
      <c r="H67" s="193"/>
      <c r="I67" s="30"/>
      <c r="J67" s="69"/>
      <c r="K67" s="69"/>
      <c r="R67" s="62"/>
    </row>
    <row r="68" ht="15.75" customHeight="1">
      <c r="A68" s="11" t="s">
        <v>90</v>
      </c>
      <c r="B68" s="125" t="s">
        <v>1360</v>
      </c>
      <c r="C68" s="69" t="str">
        <f t="shared" si="7"/>
        <v>Sexta-Feira</v>
      </c>
      <c r="D68" s="445" t="str">
        <f>IF(C68&lt;&gt;"Quarta-Feira","16:20","11:20")</f>
        <v>16:20</v>
      </c>
      <c r="E68" s="253"/>
      <c r="F68" s="69"/>
      <c r="G68" s="154"/>
      <c r="H68" s="193"/>
      <c r="I68" s="30"/>
      <c r="J68" s="69"/>
      <c r="K68" s="69"/>
      <c r="R68" s="62"/>
    </row>
    <row r="69" ht="15.75" customHeight="1">
      <c r="A69" s="11" t="s">
        <v>93</v>
      </c>
      <c r="B69" s="125" t="s">
        <v>1362</v>
      </c>
      <c r="C69" s="69" t="str">
        <f t="shared" si="7"/>
        <v>Sexta-Feira</v>
      </c>
      <c r="D69" s="445" t="str">
        <f>IF(C69&lt;&gt;"Quarta-Feira","16:40","11:40")</f>
        <v>16:40</v>
      </c>
      <c r="E69" s="253"/>
      <c r="F69" s="69"/>
      <c r="G69" s="154"/>
      <c r="H69" s="193"/>
      <c r="I69" s="30"/>
      <c r="J69" s="69"/>
      <c r="K69" s="69"/>
      <c r="R69" s="62"/>
    </row>
    <row r="70" ht="15.75" customHeight="1">
      <c r="B70" s="167"/>
      <c r="E70" s="231"/>
      <c r="G70" s="167"/>
      <c r="J70" s="62"/>
      <c r="K70" s="62"/>
      <c r="R70" s="62"/>
    </row>
    <row r="71" ht="15.75" customHeight="1">
      <c r="B71" s="167"/>
      <c r="E71" s="231"/>
      <c r="G71" s="167"/>
      <c r="J71" s="62"/>
      <c r="K71" s="62"/>
      <c r="R71" s="62"/>
    </row>
    <row r="72" ht="15.0" customHeight="1">
      <c r="B72" s="167"/>
      <c r="E72" s="231"/>
      <c r="G72" s="167"/>
      <c r="J72" s="62"/>
      <c r="K72" s="62"/>
      <c r="R72" s="62"/>
    </row>
    <row r="73" ht="15.75" customHeight="1">
      <c r="A73" s="20" t="s">
        <v>377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TEXT(DATE(VALUE(MID(A56,7,4)),VALUE(MID(A56,4,2)),VALUE(LEFT(A56,2)))+3,"dd/mm/yyyy")&amp;" 13h às 17h"</f>
        <v>10/08/2026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426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5.75" customHeight="1">
      <c r="A76" s="11" t="s">
        <v>10</v>
      </c>
      <c r="B76" s="125" t="s">
        <v>65</v>
      </c>
      <c r="C76" s="69" t="str">
        <f t="shared" ref="C76:C87" si="9">PROPER(TEXT(DATE(MID($A$74,7,4),MID($A$74,4,2),LEFT($A$74,2)),"dddd"))</f>
        <v>Segunda-Feira</v>
      </c>
      <c r="D76" s="445" t="str">
        <f>IF(C76&lt;&gt;"Quarta-Feira","13:00","08:00")</f>
        <v>13:00</v>
      </c>
      <c r="E76" s="253"/>
      <c r="F76" s="69"/>
      <c r="G76" s="154"/>
      <c r="H76" s="193"/>
      <c r="I76" s="30"/>
      <c r="J76" s="69"/>
      <c r="K76" s="69"/>
      <c r="L76" s="197" t="s">
        <v>520</v>
      </c>
      <c r="N76" s="237" t="s">
        <v>386</v>
      </c>
      <c r="O76" s="95"/>
      <c r="P76" s="95"/>
      <c r="Q76" s="95"/>
      <c r="R76" s="95"/>
    </row>
    <row r="77" ht="15.75" customHeight="1">
      <c r="A77" s="11" t="s">
        <v>11</v>
      </c>
      <c r="B77" s="125" t="s">
        <v>201</v>
      </c>
      <c r="C77" s="69" t="str">
        <f t="shared" si="9"/>
        <v>Segunda-Feira</v>
      </c>
      <c r="D77" s="445" t="str">
        <f>IF(C77&lt;&gt;"Quarta-Feira","13:20","08:20")</f>
        <v>13:20</v>
      </c>
      <c r="E77" s="253"/>
      <c r="F77" s="69"/>
      <c r="G77" s="154"/>
      <c r="H77" s="72"/>
      <c r="I77" s="30"/>
      <c r="J77" s="69"/>
      <c r="K77" s="69"/>
      <c r="N77" s="239" t="s">
        <v>1823</v>
      </c>
      <c r="O77" s="2"/>
      <c r="P77" s="2"/>
      <c r="Q77" s="2"/>
      <c r="R77" s="2"/>
    </row>
    <row r="78" ht="15.75" customHeight="1">
      <c r="A78" s="11" t="s">
        <v>12</v>
      </c>
      <c r="B78" s="125" t="s">
        <v>1447</v>
      </c>
      <c r="C78" s="69" t="str">
        <f t="shared" si="9"/>
        <v>Segunda-Feira</v>
      </c>
      <c r="D78" s="445" t="str">
        <f>IF(C78&lt;&gt;"Quarta-Feira","13:40","08:40")</f>
        <v>13:40</v>
      </c>
      <c r="E78" s="253"/>
      <c r="F78" s="69"/>
      <c r="G78" s="154"/>
      <c r="H78" s="78"/>
      <c r="I78" s="30"/>
      <c r="J78" s="69"/>
      <c r="K78" s="69"/>
      <c r="L78" s="197" t="s">
        <v>520</v>
      </c>
      <c r="N78" s="240" t="s">
        <v>182</v>
      </c>
      <c r="O78" s="241" t="s">
        <v>194</v>
      </c>
      <c r="P78" s="241" t="s">
        <v>180</v>
      </c>
      <c r="Q78" s="242" t="s">
        <v>172</v>
      </c>
      <c r="R78" s="62" t="s">
        <v>1822</v>
      </c>
    </row>
    <row r="79" ht="15.75" customHeight="1">
      <c r="A79" s="11" t="s">
        <v>13</v>
      </c>
      <c r="B79" s="125" t="s">
        <v>821</v>
      </c>
      <c r="C79" s="69" t="str">
        <f t="shared" si="9"/>
        <v>Segunda-Feira</v>
      </c>
      <c r="D79" s="445" t="str">
        <f>IF(C79&lt;&gt;"Quarta-Feira","14:00","09:00")</f>
        <v>14:00</v>
      </c>
      <c r="E79" s="253"/>
      <c r="F79" s="69"/>
      <c r="G79" s="433"/>
      <c r="H79" s="78"/>
      <c r="I79" s="30"/>
      <c r="J79" s="69"/>
      <c r="K79" s="69"/>
      <c r="L79" s="197" t="s">
        <v>520</v>
      </c>
      <c r="N79" s="244">
        <f t="shared" ref="N79:R79" si="10">COUNTIFS($I$76:$I$87,N78)</f>
        <v>0</v>
      </c>
      <c r="O79" s="244">
        <f t="shared" si="10"/>
        <v>0</v>
      </c>
      <c r="P79" s="244">
        <f t="shared" si="10"/>
        <v>0</v>
      </c>
      <c r="Q79" s="244">
        <f t="shared" si="10"/>
        <v>0</v>
      </c>
      <c r="R79" s="244">
        <f t="shared" si="10"/>
        <v>0</v>
      </c>
    </row>
    <row r="80" ht="18.0" customHeight="1">
      <c r="A80" s="11" t="s">
        <v>14</v>
      </c>
      <c r="B80" s="125" t="s">
        <v>201</v>
      </c>
      <c r="C80" s="69" t="str">
        <f t="shared" si="9"/>
        <v>Segunda-Feira</v>
      </c>
      <c r="D80" s="445" t="str">
        <f>IF(C80&lt;&gt;"Quarta-Feira","14:20","09:20")</f>
        <v>14:20</v>
      </c>
      <c r="E80" s="253"/>
      <c r="F80" s="69"/>
      <c r="G80" s="154"/>
      <c r="H80" s="78"/>
      <c r="I80" s="30"/>
      <c r="J80" s="69"/>
      <c r="K80" s="69"/>
      <c r="L80" s="197" t="s">
        <v>520</v>
      </c>
      <c r="R80" s="62"/>
    </row>
    <row r="81" ht="15.75" customHeight="1">
      <c r="A81" s="11" t="s">
        <v>15</v>
      </c>
      <c r="B81" s="125" t="s">
        <v>1447</v>
      </c>
      <c r="C81" s="69" t="str">
        <f t="shared" si="9"/>
        <v>Segunda-Feira</v>
      </c>
      <c r="D81" s="445" t="str">
        <f>IF(C81&lt;&gt;"Quarta-Feira","14:40","09:40")</f>
        <v>14:40</v>
      </c>
      <c r="E81" s="253"/>
      <c r="F81" s="69"/>
      <c r="G81" s="154"/>
      <c r="H81" s="78"/>
      <c r="I81" s="30"/>
      <c r="J81" s="69"/>
      <c r="K81" s="69"/>
      <c r="L81" s="197" t="s">
        <v>520</v>
      </c>
      <c r="R81" s="62"/>
    </row>
    <row r="82" ht="15.75" customHeight="1">
      <c r="A82" s="11" t="s">
        <v>16</v>
      </c>
      <c r="B82" s="125" t="s">
        <v>65</v>
      </c>
      <c r="C82" s="69" t="str">
        <f t="shared" si="9"/>
        <v>Segunda-Feira</v>
      </c>
      <c r="D82" s="445" t="str">
        <f>IF(C82&lt;&gt;"Quarta-Feira","15:00","10:00")</f>
        <v>15:00</v>
      </c>
      <c r="E82" s="253"/>
      <c r="F82" s="69"/>
      <c r="G82" s="154"/>
      <c r="H82" s="78"/>
      <c r="I82" s="30"/>
      <c r="J82" s="69"/>
      <c r="K82" s="69"/>
      <c r="L82" s="197" t="s">
        <v>520</v>
      </c>
      <c r="R82" s="62"/>
    </row>
    <row r="83" ht="15.75" customHeight="1">
      <c r="A83" s="11" t="s">
        <v>178</v>
      </c>
      <c r="B83" s="125" t="s">
        <v>201</v>
      </c>
      <c r="C83" s="69" t="str">
        <f t="shared" si="9"/>
        <v>Segunda-Feira</v>
      </c>
      <c r="D83" s="445" t="str">
        <f>IF(C83&lt;&gt;"Quarta-Feira","15:20","10:20")</f>
        <v>15:20</v>
      </c>
      <c r="E83" s="253"/>
      <c r="F83" s="69"/>
      <c r="G83" s="154"/>
      <c r="H83" s="72"/>
      <c r="I83" s="30"/>
      <c r="J83" s="69"/>
      <c r="K83" s="69"/>
      <c r="L83" s="197" t="s">
        <v>520</v>
      </c>
      <c r="R83" s="62"/>
    </row>
    <row r="84" ht="15.75" customHeight="1">
      <c r="A84" s="11" t="s">
        <v>85</v>
      </c>
      <c r="B84" s="125" t="s">
        <v>821</v>
      </c>
      <c r="C84" s="69" t="str">
        <f t="shared" si="9"/>
        <v>Segunda-Feira</v>
      </c>
      <c r="D84" s="445" t="str">
        <f>IF(C84&lt;&gt;"Quarta-Feira","15:40","10:40")</f>
        <v>15:40</v>
      </c>
      <c r="E84" s="253"/>
      <c r="F84" s="69"/>
      <c r="G84" s="154"/>
      <c r="H84" s="78"/>
      <c r="I84" s="30"/>
      <c r="J84" s="69"/>
      <c r="K84" s="69"/>
      <c r="L84" s="197" t="s">
        <v>520</v>
      </c>
      <c r="R84" s="62"/>
    </row>
    <row r="85" ht="15.75" customHeight="1">
      <c r="A85" s="11" t="s">
        <v>87</v>
      </c>
      <c r="B85" s="125" t="s">
        <v>1447</v>
      </c>
      <c r="C85" s="69" t="str">
        <f t="shared" si="9"/>
        <v>Segunda-Feira</v>
      </c>
      <c r="D85" s="445" t="str">
        <f>IF(C85&lt;&gt;"Quarta-Feira","16:00","11:00")</f>
        <v>16:00</v>
      </c>
      <c r="E85" s="253"/>
      <c r="F85" s="69"/>
      <c r="G85" s="154"/>
      <c r="H85" s="153"/>
      <c r="I85" s="30"/>
      <c r="J85" s="69"/>
      <c r="K85" s="69"/>
      <c r="L85" s="197" t="s">
        <v>520</v>
      </c>
      <c r="R85" s="62"/>
    </row>
    <row r="86" ht="15.75" customHeight="1">
      <c r="A86" s="11" t="s">
        <v>90</v>
      </c>
      <c r="B86" s="125" t="s">
        <v>821</v>
      </c>
      <c r="C86" s="69" t="str">
        <f t="shared" si="9"/>
        <v>Segunda-Feira</v>
      </c>
      <c r="D86" s="445" t="str">
        <f>IF(C86&lt;&gt;"Quarta-Feira","16:20","11:20")</f>
        <v>16:20</v>
      </c>
      <c r="E86" s="253"/>
      <c r="F86" s="69"/>
      <c r="G86" s="154"/>
      <c r="H86" s="153"/>
      <c r="I86" s="30"/>
      <c r="J86" s="69"/>
      <c r="K86" s="69"/>
      <c r="L86" s="197" t="s">
        <v>520</v>
      </c>
      <c r="R86" s="62"/>
    </row>
    <row r="87" ht="15.75" customHeight="1">
      <c r="A87" s="11" t="s">
        <v>93</v>
      </c>
      <c r="B87" s="125" t="s">
        <v>65</v>
      </c>
      <c r="C87" s="69" t="str">
        <f t="shared" si="9"/>
        <v>Segunda-Feira</v>
      </c>
      <c r="D87" s="445" t="str">
        <f>IF(C87&lt;&gt;"Quarta-Feira","16:40","11:40")</f>
        <v>16:40</v>
      </c>
      <c r="E87" s="253"/>
      <c r="F87" s="69"/>
      <c r="G87" s="154"/>
      <c r="H87" s="153"/>
      <c r="I87" s="30"/>
      <c r="J87" s="69"/>
      <c r="K87" s="69"/>
      <c r="R87" s="62"/>
    </row>
    <row r="88" ht="15.75" customHeight="1">
      <c r="B88" s="167"/>
      <c r="E88" s="231"/>
      <c r="G88" s="167"/>
      <c r="J88" s="62"/>
      <c r="K88" s="62"/>
      <c r="R88" s="62"/>
    </row>
    <row r="89" ht="15.75" customHeight="1">
      <c r="B89" s="167"/>
      <c r="E89" s="231"/>
      <c r="G89" s="167"/>
      <c r="J89" s="62"/>
      <c r="K89" s="62"/>
      <c r="R89" s="62"/>
    </row>
    <row r="90" ht="15.75" customHeight="1">
      <c r="B90" s="167"/>
      <c r="E90" s="231"/>
      <c r="G90" s="167"/>
      <c r="J90" s="62"/>
      <c r="K90" s="62"/>
      <c r="R90" s="62"/>
    </row>
    <row r="91" ht="15.75" customHeight="1">
      <c r="A91" s="20" t="s">
        <v>377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08h às 13h"</f>
        <v>12/08/2026 08h às 13h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426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34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2380</v>
      </c>
      <c r="C94" s="69" t="str">
        <f t="shared" ref="C94:C105" si="11">PROPER(TEXT(DATE(MID($A$92,7,4),MID($A$92,4,2),LEFT($A$92,2)),"dddd"))</f>
        <v>Quarta-Feira</v>
      </c>
      <c r="D94" s="445" t="str">
        <f>IF(C94&lt;&gt;"Quarta-Feira","13:00","08:00")</f>
        <v>08:00</v>
      </c>
      <c r="E94" s="253"/>
      <c r="F94" s="69"/>
      <c r="G94" s="154"/>
      <c r="H94" s="193"/>
      <c r="I94" s="30"/>
      <c r="J94" s="69"/>
      <c r="K94" s="69"/>
      <c r="L94" s="197" t="s">
        <v>520</v>
      </c>
      <c r="N94" s="237" t="s">
        <v>386</v>
      </c>
      <c r="O94" s="95"/>
      <c r="P94" s="95"/>
      <c r="Q94" s="95"/>
      <c r="R94" s="95"/>
    </row>
    <row r="95" ht="15.75" customHeight="1">
      <c r="A95" s="11" t="s">
        <v>11</v>
      </c>
      <c r="B95" s="205" t="s">
        <v>2383</v>
      </c>
      <c r="C95" s="69" t="str">
        <f t="shared" si="11"/>
        <v>Quarta-Feira</v>
      </c>
      <c r="D95" s="445" t="str">
        <f>IF(C95&lt;&gt;"Quarta-Feira","13:20","08:20")</f>
        <v>08:20</v>
      </c>
      <c r="E95" s="253"/>
      <c r="F95" s="69"/>
      <c r="G95" s="154"/>
      <c r="H95" s="72"/>
      <c r="I95" s="30"/>
      <c r="J95" s="69"/>
      <c r="K95" s="69"/>
      <c r="N95" s="239" t="s">
        <v>1823</v>
      </c>
      <c r="O95" s="2"/>
      <c r="P95" s="2"/>
      <c r="Q95" s="2"/>
      <c r="R95" s="2"/>
    </row>
    <row r="96" ht="15.75" customHeight="1">
      <c r="A96" s="11" t="s">
        <v>12</v>
      </c>
      <c r="B96" s="205" t="s">
        <v>2386</v>
      </c>
      <c r="C96" s="69" t="str">
        <f t="shared" si="11"/>
        <v>Quarta-Feira</v>
      </c>
      <c r="D96" s="445" t="str">
        <f>IF(C96&lt;&gt;"Quarta-Feira","13:40","08:40")</f>
        <v>08:40</v>
      </c>
      <c r="E96" s="253"/>
      <c r="F96" s="69"/>
      <c r="G96" s="154"/>
      <c r="H96" s="78"/>
      <c r="I96" s="30"/>
      <c r="J96" s="69"/>
      <c r="K96" s="69"/>
      <c r="L96" s="197" t="s">
        <v>520</v>
      </c>
      <c r="N96" s="240" t="s">
        <v>182</v>
      </c>
      <c r="O96" s="241" t="s">
        <v>194</v>
      </c>
      <c r="P96" s="241" t="s">
        <v>180</v>
      </c>
      <c r="Q96" s="242" t="s">
        <v>172</v>
      </c>
      <c r="R96" s="62" t="s">
        <v>1822</v>
      </c>
    </row>
    <row r="97" ht="15.75" customHeight="1">
      <c r="A97" s="11" t="s">
        <v>13</v>
      </c>
      <c r="B97" s="205" t="s">
        <v>2389</v>
      </c>
      <c r="C97" s="69" t="str">
        <f t="shared" si="11"/>
        <v>Quarta-Feira</v>
      </c>
      <c r="D97" s="445" t="str">
        <f>IF(C97&lt;&gt;"Quarta-Feira","14:00","09:00")</f>
        <v>09:00</v>
      </c>
      <c r="E97" s="253"/>
      <c r="F97" s="69"/>
      <c r="G97" s="154"/>
      <c r="H97" s="78"/>
      <c r="I97" s="30"/>
      <c r="J97" s="69"/>
      <c r="K97" s="69"/>
      <c r="L97" s="197" t="s">
        <v>520</v>
      </c>
      <c r="N97" s="244">
        <f t="shared" ref="N97:Q97" si="12">COUNTIFS($I$94:$I$105,N96)</f>
        <v>0</v>
      </c>
      <c r="O97" s="244">
        <f t="shared" si="12"/>
        <v>0</v>
      </c>
      <c r="P97" s="244">
        <f t="shared" si="12"/>
        <v>0</v>
      </c>
      <c r="Q97" s="244">
        <f t="shared" si="12"/>
        <v>0</v>
      </c>
      <c r="R97" s="62">
        <f>COUNTIFS(I94:I105,R96)</f>
        <v>0</v>
      </c>
    </row>
    <row r="98" ht="15.75" customHeight="1">
      <c r="A98" s="11" t="s">
        <v>14</v>
      </c>
      <c r="B98" s="205" t="s">
        <v>2380</v>
      </c>
      <c r="C98" s="69" t="str">
        <f t="shared" si="11"/>
        <v>Quarta-Feira</v>
      </c>
      <c r="D98" s="445" t="str">
        <f>IF(C98&lt;&gt;"Quarta-Feira","14:20","09:20")</f>
        <v>09:20</v>
      </c>
      <c r="E98" s="253"/>
      <c r="F98" s="69"/>
      <c r="G98" s="154"/>
      <c r="H98" s="78"/>
      <c r="I98" s="30"/>
      <c r="J98" s="69"/>
      <c r="K98" s="69"/>
      <c r="L98" s="197" t="s">
        <v>520</v>
      </c>
      <c r="R98" s="62"/>
    </row>
    <row r="99" ht="15.75" customHeight="1">
      <c r="A99" s="11" t="s">
        <v>15</v>
      </c>
      <c r="B99" s="205" t="s">
        <v>2383</v>
      </c>
      <c r="C99" s="69" t="str">
        <f t="shared" si="11"/>
        <v>Quarta-Feira</v>
      </c>
      <c r="D99" s="445" t="str">
        <f>IF(C99&lt;&gt;"Quarta-Feira","14:40","09:40")</f>
        <v>09:40</v>
      </c>
      <c r="E99" s="253"/>
      <c r="F99" s="69"/>
      <c r="G99" s="154"/>
      <c r="H99" s="78"/>
      <c r="I99" s="30"/>
      <c r="J99" s="69"/>
      <c r="K99" s="69"/>
      <c r="L99" s="197" t="s">
        <v>520</v>
      </c>
      <c r="R99" s="62"/>
    </row>
    <row r="100" ht="15.75" customHeight="1">
      <c r="A100" s="11" t="s">
        <v>16</v>
      </c>
      <c r="B100" s="205" t="s">
        <v>2386</v>
      </c>
      <c r="C100" s="69" t="str">
        <f t="shared" si="11"/>
        <v>Quarta-Feira</v>
      </c>
      <c r="D100" s="445" t="str">
        <f>IF(C100&lt;&gt;"Quarta-Feira","15:00","10:00")</f>
        <v>10:00</v>
      </c>
      <c r="E100" s="253"/>
      <c r="F100" s="69"/>
      <c r="G100" s="154"/>
      <c r="H100" s="78"/>
      <c r="I100" s="30"/>
      <c r="J100" s="69"/>
      <c r="K100" s="69"/>
      <c r="R100" s="62"/>
    </row>
    <row r="101" ht="15.75" customHeight="1">
      <c r="A101" s="11" t="s">
        <v>17</v>
      </c>
      <c r="B101" s="205" t="s">
        <v>2389</v>
      </c>
      <c r="C101" s="69" t="str">
        <f t="shared" si="11"/>
        <v>Quarta-Feira</v>
      </c>
      <c r="D101" s="445" t="str">
        <f>IF(C101&lt;&gt;"Quarta-Feira","15:20","10:20")</f>
        <v>10:20</v>
      </c>
      <c r="E101" s="253"/>
      <c r="F101" s="69"/>
      <c r="G101" s="154"/>
      <c r="H101" s="72"/>
      <c r="I101" s="30"/>
      <c r="J101" s="69"/>
      <c r="K101" s="69"/>
      <c r="R101" s="62"/>
    </row>
    <row r="102" ht="15.75" customHeight="1">
      <c r="A102" s="11" t="s">
        <v>85</v>
      </c>
      <c r="B102" s="205" t="s">
        <v>2383</v>
      </c>
      <c r="C102" s="69" t="str">
        <f t="shared" si="11"/>
        <v>Quarta-Feira</v>
      </c>
      <c r="D102" s="445" t="str">
        <f>IF(C102&lt;&gt;"Quarta-Feira","15:40","10:40")</f>
        <v>10:40</v>
      </c>
      <c r="E102" s="253"/>
      <c r="F102" s="69"/>
      <c r="G102" s="154"/>
      <c r="H102" s="78"/>
      <c r="I102" s="30"/>
      <c r="J102" s="69"/>
      <c r="K102" s="69"/>
      <c r="L102" s="197" t="s">
        <v>576</v>
      </c>
      <c r="R102" s="62"/>
    </row>
    <row r="103" ht="15.75" customHeight="1">
      <c r="A103" s="11" t="s">
        <v>87</v>
      </c>
      <c r="B103" s="205" t="s">
        <v>2380</v>
      </c>
      <c r="C103" s="69" t="str">
        <f t="shared" si="11"/>
        <v>Quarta-Feira</v>
      </c>
      <c r="D103" s="445" t="str">
        <f>IF(C103&lt;&gt;"Quarta-Feira","16:00","11:00")</f>
        <v>11:00</v>
      </c>
      <c r="E103" s="253"/>
      <c r="F103" s="69"/>
      <c r="G103" s="154"/>
      <c r="H103" s="153"/>
      <c r="I103" s="30"/>
      <c r="J103" s="69"/>
      <c r="K103" s="69"/>
      <c r="R103" s="62"/>
    </row>
    <row r="104" ht="15.75" customHeight="1">
      <c r="A104" s="11" t="s">
        <v>90</v>
      </c>
      <c r="B104" s="205" t="s">
        <v>2380</v>
      </c>
      <c r="C104" s="69" t="str">
        <f t="shared" si="11"/>
        <v>Quarta-Feira</v>
      </c>
      <c r="D104" s="445" t="str">
        <f>IF(C104&lt;&gt;"Quarta-Feira","16:20","11:20")</f>
        <v>11:20</v>
      </c>
      <c r="E104" s="253"/>
      <c r="F104" s="69"/>
      <c r="G104" s="154"/>
      <c r="H104" s="153"/>
      <c r="I104" s="30"/>
      <c r="J104" s="69"/>
      <c r="K104" s="69"/>
      <c r="R104" s="62"/>
    </row>
    <row r="105" ht="15.75" customHeight="1">
      <c r="A105" s="11" t="s">
        <v>93</v>
      </c>
      <c r="B105" s="205" t="s">
        <v>2380</v>
      </c>
      <c r="C105" s="69" t="str">
        <f t="shared" si="11"/>
        <v>Quarta-Feira</v>
      </c>
      <c r="D105" s="445" t="str">
        <f>IF(C105&lt;&gt;"Quarta-Feira","16:40","11:40")</f>
        <v>11:40</v>
      </c>
      <c r="E105" s="253"/>
      <c r="F105" s="69"/>
      <c r="G105" s="154"/>
      <c r="H105" s="153"/>
      <c r="I105" s="30"/>
      <c r="J105" s="69"/>
      <c r="K105" s="69"/>
      <c r="R105" s="62"/>
    </row>
    <row r="106" ht="15.75" customHeight="1">
      <c r="B106" s="167"/>
      <c r="E106" s="231"/>
      <c r="G106" s="167"/>
      <c r="J106" s="62"/>
      <c r="K106" s="62"/>
      <c r="R106" s="62"/>
    </row>
    <row r="107" ht="15.75" customHeight="1">
      <c r="B107" s="167"/>
      <c r="E107" s="231"/>
      <c r="G107" s="167"/>
      <c r="J107" s="62"/>
      <c r="K107" s="62"/>
      <c r="R107" s="62"/>
    </row>
    <row r="108" ht="15.75" customHeight="1">
      <c r="B108" s="167"/>
      <c r="E108" s="231"/>
      <c r="G108" s="167"/>
      <c r="J108" s="62"/>
      <c r="K108" s="62"/>
      <c r="R108" s="62"/>
    </row>
    <row r="109" ht="15.75" customHeight="1">
      <c r="A109" s="20" t="s">
        <v>377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TEXT(DATE(VALUE(MID(A56,7,4)),VALUE(MID(A56,4,2)),VALUE(LEFT(A56,2)))+7,"dd/mm/yyyy")&amp;" 13h às 17h"</f>
        <v>14/08/2026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426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1980</v>
      </c>
      <c r="C112" s="69" t="str">
        <f t="shared" ref="C112:C123" si="13">PROPER(TEXT(DATE(MID($A$110,7,4),MID($A$110,4,2),LEFT($A$110,2)),"dddd"))</f>
        <v>Sexta-Feira</v>
      </c>
      <c r="D112" s="445" t="str">
        <f>IF(C112&lt;&gt;"Quarta-Feira","13:00","08:00")</f>
        <v>13:00</v>
      </c>
      <c r="E112" s="253"/>
      <c r="F112" s="69"/>
      <c r="G112" s="154"/>
      <c r="H112" s="453"/>
      <c r="I112" s="30"/>
      <c r="J112" s="69"/>
      <c r="K112" s="69"/>
      <c r="N112" s="237" t="s">
        <v>386</v>
      </c>
      <c r="O112" s="95"/>
      <c r="P112" s="95"/>
      <c r="Q112" s="95"/>
      <c r="R112" s="95"/>
    </row>
    <row r="113" ht="15.75" customHeight="1">
      <c r="A113" s="11" t="s">
        <v>11</v>
      </c>
      <c r="B113" s="205" t="s">
        <v>1984</v>
      </c>
      <c r="C113" s="69" t="str">
        <f t="shared" si="13"/>
        <v>Sexta-Feira</v>
      </c>
      <c r="D113" s="445" t="str">
        <f>IF(C113&lt;&gt;"Quarta-Feira","13:20","08:20")</f>
        <v>13:20</v>
      </c>
      <c r="E113" s="253"/>
      <c r="F113" s="69"/>
      <c r="G113" s="154"/>
      <c r="H113" s="72"/>
      <c r="I113" s="30"/>
      <c r="J113" s="69"/>
      <c r="K113" s="69"/>
      <c r="N113" s="239" t="s">
        <v>1823</v>
      </c>
      <c r="O113" s="2"/>
      <c r="P113" s="2"/>
      <c r="Q113" s="2"/>
      <c r="R113" s="2"/>
    </row>
    <row r="114" ht="15.75" customHeight="1">
      <c r="A114" s="11" t="s">
        <v>12</v>
      </c>
      <c r="B114" s="205" t="s">
        <v>1988</v>
      </c>
      <c r="C114" s="69" t="str">
        <f t="shared" si="13"/>
        <v>Sexta-Feira</v>
      </c>
      <c r="D114" s="445" t="str">
        <f>IF(C114&lt;&gt;"Quarta-Feira","13:40","08:40")</f>
        <v>13:40</v>
      </c>
      <c r="E114" s="253"/>
      <c r="F114" s="69"/>
      <c r="G114" s="154"/>
      <c r="H114" s="78"/>
      <c r="I114" s="30"/>
      <c r="J114" s="69"/>
      <c r="K114" s="69"/>
      <c r="N114" s="240" t="s">
        <v>182</v>
      </c>
      <c r="O114" s="241" t="s">
        <v>194</v>
      </c>
      <c r="P114" s="241" t="s">
        <v>180</v>
      </c>
      <c r="Q114" s="242" t="s">
        <v>172</v>
      </c>
      <c r="R114" s="62" t="s">
        <v>1822</v>
      </c>
    </row>
    <row r="115" ht="15.75" customHeight="1">
      <c r="A115" s="11" t="s">
        <v>13</v>
      </c>
      <c r="B115" s="205" t="s">
        <v>1991</v>
      </c>
      <c r="C115" s="69" t="str">
        <f t="shared" si="13"/>
        <v>Sexta-Feira</v>
      </c>
      <c r="D115" s="445" t="str">
        <f>IF(C115&lt;&gt;"Quarta-Feira","14:00","09:00")</f>
        <v>14:00</v>
      </c>
      <c r="E115" s="253"/>
      <c r="F115" s="69"/>
      <c r="G115" s="154"/>
      <c r="H115" s="78"/>
      <c r="I115" s="30"/>
      <c r="J115" s="69"/>
      <c r="K115" s="69"/>
      <c r="N115" s="244">
        <f t="shared" ref="N115:R115" si="14">COUNTIFS($I$112:$I$123,N114)</f>
        <v>0</v>
      </c>
      <c r="O115" s="244">
        <f t="shared" si="14"/>
        <v>0</v>
      </c>
      <c r="P115" s="244">
        <f t="shared" si="14"/>
        <v>0</v>
      </c>
      <c r="Q115" s="244">
        <f t="shared" si="14"/>
        <v>0</v>
      </c>
      <c r="R115" s="244">
        <f t="shared" si="14"/>
        <v>0</v>
      </c>
    </row>
    <row r="116" ht="15.75" customHeight="1">
      <c r="A116" s="11" t="s">
        <v>14</v>
      </c>
      <c r="B116" s="205" t="s">
        <v>1980</v>
      </c>
      <c r="C116" s="69" t="str">
        <f t="shared" si="13"/>
        <v>Sexta-Feira</v>
      </c>
      <c r="D116" s="445" t="str">
        <f>IF(C116&lt;&gt;"Quarta-Feira","14:20","09:20")</f>
        <v>14:20</v>
      </c>
      <c r="E116" s="253"/>
      <c r="F116" s="69"/>
      <c r="G116" s="154"/>
      <c r="H116" s="78"/>
      <c r="I116" s="30"/>
      <c r="J116" s="69"/>
      <c r="K116" s="69"/>
      <c r="R116" s="62"/>
    </row>
    <row r="117" ht="15.75" customHeight="1">
      <c r="A117" s="11" t="s">
        <v>15</v>
      </c>
      <c r="B117" s="205" t="s">
        <v>1984</v>
      </c>
      <c r="C117" s="69" t="str">
        <f t="shared" si="13"/>
        <v>Sexta-Feira</v>
      </c>
      <c r="D117" s="445" t="str">
        <f>IF(C117&lt;&gt;"Quarta-Feira","14:40","09:40")</f>
        <v>14:40</v>
      </c>
      <c r="E117" s="253"/>
      <c r="F117" s="69"/>
      <c r="G117" s="154"/>
      <c r="H117" s="78"/>
      <c r="I117" s="30"/>
      <c r="J117" s="69"/>
      <c r="K117" s="69"/>
      <c r="R117" s="62"/>
    </row>
    <row r="118" ht="15.75" customHeight="1">
      <c r="A118" s="11" t="s">
        <v>16</v>
      </c>
      <c r="B118" s="205" t="s">
        <v>1988</v>
      </c>
      <c r="C118" s="69" t="str">
        <f t="shared" si="13"/>
        <v>Sexta-Feira</v>
      </c>
      <c r="D118" s="445" t="str">
        <f>IF(C118&lt;&gt;"Quarta-Feira","15:00","10:00")</f>
        <v>15:00</v>
      </c>
      <c r="E118" s="253"/>
      <c r="F118" s="69"/>
      <c r="G118" s="154"/>
      <c r="H118" s="78"/>
      <c r="I118" s="30"/>
      <c r="J118" s="69"/>
      <c r="K118" s="69"/>
      <c r="R118" s="62"/>
    </row>
    <row r="119" ht="15.75" customHeight="1">
      <c r="A119" s="11" t="s">
        <v>17</v>
      </c>
      <c r="B119" s="205" t="s">
        <v>1991</v>
      </c>
      <c r="C119" s="69" t="str">
        <f t="shared" si="13"/>
        <v>Sexta-Feira</v>
      </c>
      <c r="D119" s="445" t="str">
        <f>IF(C119&lt;&gt;"Quarta-Feira","15:20","10:20")</f>
        <v>15:20</v>
      </c>
      <c r="E119" s="253"/>
      <c r="F119" s="69"/>
      <c r="G119" s="154"/>
      <c r="H119" s="72"/>
      <c r="I119" s="30"/>
      <c r="J119" s="69"/>
      <c r="K119" s="69"/>
      <c r="R119" s="62"/>
    </row>
    <row r="120" ht="15.75" customHeight="1">
      <c r="A120" s="11" t="s">
        <v>85</v>
      </c>
      <c r="B120" s="205" t="s">
        <v>1980</v>
      </c>
      <c r="C120" s="69" t="str">
        <f t="shared" si="13"/>
        <v>Sexta-Feira</v>
      </c>
      <c r="D120" s="445" t="str">
        <f>IF(C120&lt;&gt;"Quarta-Feira","15:40","10:40")</f>
        <v>15:40</v>
      </c>
      <c r="E120" s="253"/>
      <c r="F120" s="69"/>
      <c r="G120" s="154"/>
      <c r="H120" s="78"/>
      <c r="I120" s="30"/>
      <c r="J120" s="69"/>
      <c r="K120" s="69"/>
      <c r="R120" s="62"/>
      <c r="V120" s="292"/>
    </row>
    <row r="121" ht="15.75" customHeight="1">
      <c r="A121" s="11" t="s">
        <v>87</v>
      </c>
      <c r="B121" s="205" t="s">
        <v>1984</v>
      </c>
      <c r="C121" s="69" t="str">
        <f t="shared" si="13"/>
        <v>Sexta-Feira</v>
      </c>
      <c r="D121" s="445" t="str">
        <f>IF(C121&lt;&gt;"Quarta-Feira","16:00","11:00")</f>
        <v>16:00</v>
      </c>
      <c r="E121" s="253"/>
      <c r="F121" s="69"/>
      <c r="G121" s="154"/>
      <c r="H121" s="153"/>
      <c r="I121" s="30"/>
      <c r="J121" s="69"/>
      <c r="K121" s="69"/>
      <c r="R121" s="62"/>
    </row>
    <row r="122" ht="15.75" customHeight="1">
      <c r="A122" s="11" t="s">
        <v>90</v>
      </c>
      <c r="B122" s="205" t="s">
        <v>1988</v>
      </c>
      <c r="C122" s="69" t="str">
        <f t="shared" si="13"/>
        <v>Sexta-Feira</v>
      </c>
      <c r="D122" s="445" t="str">
        <f>IF(C122&lt;&gt;"Quarta-Feira","16:20","11:20")</f>
        <v>16:20</v>
      </c>
      <c r="E122" s="253"/>
      <c r="F122" s="69"/>
      <c r="G122" s="154"/>
      <c r="H122" s="153"/>
      <c r="I122" s="30"/>
      <c r="J122" s="69"/>
      <c r="K122" s="69"/>
      <c r="R122" s="62"/>
    </row>
    <row r="123" ht="15.75" customHeight="1">
      <c r="A123" s="11" t="s">
        <v>93</v>
      </c>
      <c r="B123" s="205" t="s">
        <v>1991</v>
      </c>
      <c r="C123" s="69" t="str">
        <f t="shared" si="13"/>
        <v>Sexta-Feira</v>
      </c>
      <c r="D123" s="445" t="str">
        <f>IF(C123&lt;&gt;"Quarta-Feira","16:40","11:40")</f>
        <v>16:40</v>
      </c>
      <c r="E123" s="253"/>
      <c r="F123" s="69"/>
      <c r="G123" s="154"/>
      <c r="H123" s="153"/>
      <c r="I123" s="30"/>
      <c r="J123" s="69"/>
      <c r="K123" s="69"/>
      <c r="R123" s="62"/>
    </row>
    <row r="124" ht="15.75" customHeight="1">
      <c r="B124" s="167"/>
      <c r="E124" s="231"/>
      <c r="G124" s="167"/>
      <c r="J124" s="62"/>
      <c r="K124" s="62"/>
      <c r="R124" s="62"/>
    </row>
    <row r="125" ht="15.75" customHeight="1">
      <c r="B125" s="167"/>
      <c r="E125" s="231"/>
      <c r="G125" s="167"/>
      <c r="J125" s="62"/>
      <c r="K125" s="62"/>
      <c r="R125" s="62"/>
    </row>
    <row r="126" ht="15.75" customHeight="1">
      <c r="B126" s="167"/>
      <c r="E126" s="231"/>
      <c r="G126" s="167"/>
      <c r="J126" s="62"/>
      <c r="K126" s="62"/>
      <c r="R126" s="62"/>
    </row>
    <row r="127" ht="15.75" customHeight="1">
      <c r="A127" s="20" t="s">
        <v>377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TEXT(DATE(VALUE(MID(A110,7,4)),VALUE(MID(A110,4,2)),VALUE(LEFT(A110,2)))+3,"dd/mm/yyyy")&amp;" 13h às 17h"</f>
        <v>17/08/2026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426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34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2013</v>
      </c>
      <c r="C130" s="69" t="str">
        <f t="shared" ref="C130:C141" si="15">PROPER(TEXT(DATE(MID($A$128,7,4),MID($A$128,4,2),LEFT($A$128,2)),"dddd"))</f>
        <v>Segunda-Feira</v>
      </c>
      <c r="D130" s="445" t="str">
        <f>IF(C130&lt;&gt;"Quarta-Feira","13:00","08:00")</f>
        <v>13:00</v>
      </c>
      <c r="E130" s="253"/>
      <c r="F130" s="69"/>
      <c r="G130" s="154"/>
      <c r="H130" s="193"/>
      <c r="I130" s="30"/>
      <c r="J130" s="69"/>
      <c r="K130" s="69"/>
      <c r="N130" s="237" t="s">
        <v>386</v>
      </c>
      <c r="O130" s="95"/>
      <c r="P130" s="95"/>
      <c r="Q130" s="95"/>
      <c r="R130" s="95"/>
    </row>
    <row r="131" ht="15.75" customHeight="1">
      <c r="A131" s="11" t="s">
        <v>11</v>
      </c>
      <c r="B131" s="205" t="s">
        <v>2018</v>
      </c>
      <c r="C131" s="69" t="str">
        <f t="shared" si="15"/>
        <v>Segunda-Feira</v>
      </c>
      <c r="D131" s="445" t="str">
        <f>IF(C131&lt;&gt;"Quarta-Feira","13:20","08:20")</f>
        <v>13:20</v>
      </c>
      <c r="E131" s="253"/>
      <c r="F131" s="69"/>
      <c r="G131" s="154"/>
      <c r="H131" s="72"/>
      <c r="I131" s="30"/>
      <c r="J131" s="69"/>
      <c r="K131" s="69"/>
      <c r="N131" s="239" t="s">
        <v>1823</v>
      </c>
      <c r="O131" s="2"/>
      <c r="P131" s="2"/>
      <c r="Q131" s="2"/>
      <c r="R131" s="2"/>
    </row>
    <row r="132" ht="15.75" customHeight="1">
      <c r="A132" s="11" t="s">
        <v>12</v>
      </c>
      <c r="B132" s="205" t="s">
        <v>2020</v>
      </c>
      <c r="C132" s="69" t="str">
        <f t="shared" si="15"/>
        <v>Segunda-Feira</v>
      </c>
      <c r="D132" s="445" t="str">
        <f>IF(C132&lt;&gt;"Quarta-Feira","13:40","08:40")</f>
        <v>13:40</v>
      </c>
      <c r="E132" s="253"/>
      <c r="F132" s="69"/>
      <c r="G132" s="154"/>
      <c r="H132" s="72"/>
      <c r="I132" s="30"/>
      <c r="J132" s="69"/>
      <c r="K132" s="69"/>
      <c r="L132" s="63"/>
      <c r="M132" s="63"/>
      <c r="N132" s="240" t="s">
        <v>182</v>
      </c>
      <c r="O132" s="241" t="s">
        <v>194</v>
      </c>
      <c r="P132" s="241" t="s">
        <v>180</v>
      </c>
      <c r="Q132" s="242" t="s">
        <v>172</v>
      </c>
      <c r="R132" s="343" t="s">
        <v>1822</v>
      </c>
      <c r="S132" s="63"/>
      <c r="T132" s="63"/>
      <c r="U132" s="63"/>
      <c r="V132" s="63"/>
      <c r="W132" s="63"/>
      <c r="X132" s="63"/>
    </row>
    <row r="133" ht="15.75" customHeight="1">
      <c r="A133" s="11" t="s">
        <v>13</v>
      </c>
      <c r="B133" s="205" t="s">
        <v>2023</v>
      </c>
      <c r="C133" s="69" t="str">
        <f t="shared" si="15"/>
        <v>Segunda-Feira</v>
      </c>
      <c r="D133" s="445" t="str">
        <f>IF(C133&lt;&gt;"Quarta-Feira","14:00","09:00")</f>
        <v>14:00</v>
      </c>
      <c r="E133" s="253"/>
      <c r="F133" s="69"/>
      <c r="G133" s="154"/>
      <c r="H133" s="78"/>
      <c r="I133" s="30"/>
      <c r="J133" s="69"/>
      <c r="K133" s="69"/>
      <c r="N133" s="244">
        <f t="shared" ref="N133:R133" si="16">COUNTIFS($I$130:$I$141,N132)</f>
        <v>0</v>
      </c>
      <c r="O133" s="244">
        <f t="shared" si="16"/>
        <v>0</v>
      </c>
      <c r="P133" s="244">
        <f t="shared" si="16"/>
        <v>0</v>
      </c>
      <c r="Q133" s="244">
        <f t="shared" si="16"/>
        <v>0</v>
      </c>
      <c r="R133" s="244">
        <f t="shared" si="16"/>
        <v>0</v>
      </c>
    </row>
    <row r="134" ht="15.75" customHeight="1">
      <c r="A134" s="11" t="s">
        <v>14</v>
      </c>
      <c r="B134" s="205" t="s">
        <v>2018</v>
      </c>
      <c r="C134" s="69" t="str">
        <f t="shared" si="15"/>
        <v>Segunda-Feira</v>
      </c>
      <c r="D134" s="445" t="str">
        <f>IF(C134&lt;&gt;"Quarta-Feira","14:20","09:20")</f>
        <v>14:20</v>
      </c>
      <c r="E134" s="253"/>
      <c r="F134" s="69"/>
      <c r="G134" s="154"/>
      <c r="H134" s="78"/>
      <c r="I134" s="30"/>
      <c r="J134" s="69"/>
      <c r="K134" s="69"/>
      <c r="R134" s="62"/>
    </row>
    <row r="135" ht="15.75" customHeight="1">
      <c r="A135" s="11" t="s">
        <v>15</v>
      </c>
      <c r="B135" s="205" t="s">
        <v>2020</v>
      </c>
      <c r="C135" s="69" t="str">
        <f t="shared" si="15"/>
        <v>Segunda-Feira</v>
      </c>
      <c r="D135" s="445" t="str">
        <f>IF(C135&lt;&gt;"Quarta-Feira","14:40","09:40")</f>
        <v>14:40</v>
      </c>
      <c r="E135" s="253"/>
      <c r="F135" s="69"/>
      <c r="G135" s="154"/>
      <c r="H135" s="78"/>
      <c r="I135" s="30"/>
      <c r="J135" s="69"/>
      <c r="K135" s="69"/>
      <c r="R135" s="62"/>
    </row>
    <row r="136" ht="15.75" customHeight="1">
      <c r="A136" s="11" t="s">
        <v>16</v>
      </c>
      <c r="B136" s="205" t="s">
        <v>2013</v>
      </c>
      <c r="C136" s="69" t="str">
        <f t="shared" si="15"/>
        <v>Segunda-Feira</v>
      </c>
      <c r="D136" s="445" t="str">
        <f>IF(C136&lt;&gt;"Quarta-Feira","15:00","10:00")</f>
        <v>15:00</v>
      </c>
      <c r="E136" s="253"/>
      <c r="F136" s="69"/>
      <c r="G136" s="154"/>
      <c r="H136" s="150"/>
      <c r="I136" s="30"/>
      <c r="J136" s="69"/>
      <c r="K136" s="69"/>
      <c r="L136" s="63"/>
      <c r="M136" s="63"/>
      <c r="N136" s="63"/>
      <c r="O136" s="63"/>
      <c r="P136" s="63"/>
      <c r="Q136" s="63"/>
      <c r="R136" s="343"/>
      <c r="S136" s="63"/>
      <c r="T136" s="63"/>
      <c r="U136" s="63"/>
      <c r="V136" s="63"/>
      <c r="W136" s="63"/>
      <c r="X136" s="63"/>
    </row>
    <row r="137" ht="15.75" customHeight="1">
      <c r="A137" s="11" t="s">
        <v>17</v>
      </c>
      <c r="B137" s="205" t="s">
        <v>2018</v>
      </c>
      <c r="C137" s="69" t="str">
        <f t="shared" si="15"/>
        <v>Segunda-Feira</v>
      </c>
      <c r="D137" s="445" t="str">
        <f>IF(C137&lt;&gt;"Quarta-Feira","15:20","10:20")</f>
        <v>15:20</v>
      </c>
      <c r="E137" s="253"/>
      <c r="F137" s="69"/>
      <c r="G137" s="154"/>
      <c r="H137" s="72"/>
      <c r="I137" s="30"/>
      <c r="J137" s="69"/>
      <c r="K137" s="69"/>
      <c r="R137" s="62"/>
    </row>
    <row r="138" ht="15.75" customHeight="1">
      <c r="A138" s="11" t="s">
        <v>85</v>
      </c>
      <c r="B138" s="205" t="s">
        <v>2023</v>
      </c>
      <c r="C138" s="69" t="str">
        <f t="shared" si="15"/>
        <v>Segunda-Feira</v>
      </c>
      <c r="D138" s="445" t="str">
        <f>IF(C138&lt;&gt;"Quarta-Feira","15:40","10:40")</f>
        <v>15:40</v>
      </c>
      <c r="E138" s="253"/>
      <c r="F138" s="253"/>
      <c r="G138" s="154"/>
      <c r="H138" s="78"/>
      <c r="I138" s="30"/>
      <c r="J138" s="69"/>
      <c r="K138" s="69"/>
      <c r="R138" s="62"/>
    </row>
    <row r="139" ht="15.75" customHeight="1">
      <c r="A139" s="11" t="s">
        <v>87</v>
      </c>
      <c r="B139" s="205" t="s">
        <v>2020</v>
      </c>
      <c r="C139" s="69" t="str">
        <f t="shared" si="15"/>
        <v>Segunda-Feira</v>
      </c>
      <c r="D139" s="445" t="str">
        <f>IF(C139&lt;&gt;"Quarta-Feira","16:00","11:00")</f>
        <v>16:00</v>
      </c>
      <c r="E139" s="253"/>
      <c r="F139" s="69"/>
      <c r="G139" s="154"/>
      <c r="H139" s="153"/>
      <c r="I139" s="30"/>
      <c r="J139" s="69"/>
      <c r="K139" s="69"/>
      <c r="R139" s="62"/>
    </row>
    <row r="140" ht="15.75" customHeight="1">
      <c r="A140" s="11" t="s">
        <v>90</v>
      </c>
      <c r="B140" s="205" t="s">
        <v>2023</v>
      </c>
      <c r="C140" s="69" t="str">
        <f t="shared" si="15"/>
        <v>Segunda-Feira</v>
      </c>
      <c r="D140" s="445" t="str">
        <f>IF(C140&lt;&gt;"Quarta-Feira","16:20","11:20")</f>
        <v>16:20</v>
      </c>
      <c r="E140" s="253"/>
      <c r="F140" s="69"/>
      <c r="G140" s="154"/>
      <c r="H140" s="78"/>
      <c r="I140" s="30"/>
      <c r="J140" s="69"/>
      <c r="K140" s="69"/>
      <c r="R140" s="62"/>
    </row>
    <row r="141" ht="15.75" customHeight="1">
      <c r="A141" s="11" t="s">
        <v>93</v>
      </c>
      <c r="B141" s="205" t="s">
        <v>2013</v>
      </c>
      <c r="C141" s="69" t="str">
        <f t="shared" si="15"/>
        <v>Segunda-Feira</v>
      </c>
      <c r="D141" s="445" t="str">
        <f>IF(C141&lt;&gt;"Quarta-Feira","16:40","11:40")</f>
        <v>16:40</v>
      </c>
      <c r="E141" s="253"/>
      <c r="F141" s="69"/>
      <c r="G141" s="154"/>
      <c r="H141" s="153"/>
      <c r="I141" s="30"/>
      <c r="J141" s="69"/>
      <c r="K141" s="69"/>
      <c r="R141" s="62"/>
    </row>
    <row r="142" ht="15.75" customHeight="1">
      <c r="B142" s="167"/>
      <c r="E142" s="231"/>
      <c r="G142" s="167"/>
      <c r="J142" s="62"/>
      <c r="K142" s="62"/>
      <c r="R142" s="62"/>
    </row>
    <row r="143" ht="15.75" customHeight="1">
      <c r="B143" s="167"/>
      <c r="E143" s="231"/>
      <c r="G143" s="167"/>
      <c r="J143" s="62"/>
      <c r="K143" s="62"/>
      <c r="R143" s="62"/>
    </row>
    <row r="144" ht="15.75" customHeight="1">
      <c r="B144" s="167"/>
      <c r="E144" s="231"/>
      <c r="G144" s="167"/>
      <c r="J144" s="62"/>
      <c r="K144" s="62"/>
      <c r="R144" s="62"/>
    </row>
    <row r="145" ht="15.75" customHeight="1">
      <c r="A145" s="20" t="s">
        <v>377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08h às 13h"</f>
        <v>19/08/2026 08h às 13h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426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34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2380</v>
      </c>
      <c r="C148" s="69" t="str">
        <f t="shared" ref="C148:C159" si="17">PROPER(TEXT(DATE(MID($A$146,7,4),MID($A$146,4,2),LEFT($A$146,2)),"dddd"))</f>
        <v>Quarta-Feira</v>
      </c>
      <c r="D148" s="445" t="str">
        <f>IF(C148&lt;&gt;"Quarta-Feira","13:00","08:00")</f>
        <v>08:00</v>
      </c>
      <c r="E148" s="253"/>
      <c r="F148" s="404"/>
      <c r="G148" s="154"/>
      <c r="H148" s="78"/>
      <c r="I148" s="30"/>
      <c r="J148" s="69"/>
      <c r="K148" s="69"/>
      <c r="L148" s="197" t="s">
        <v>520</v>
      </c>
      <c r="N148" s="237" t="s">
        <v>386</v>
      </c>
      <c r="O148" s="95"/>
      <c r="P148" s="95"/>
      <c r="Q148" s="95"/>
      <c r="R148" s="95"/>
    </row>
    <row r="149" ht="15.75" customHeight="1">
      <c r="A149" s="11" t="s">
        <v>11</v>
      </c>
      <c r="B149" s="205" t="s">
        <v>2383</v>
      </c>
      <c r="C149" s="69" t="str">
        <f t="shared" si="17"/>
        <v>Quarta-Feira</v>
      </c>
      <c r="D149" s="445" t="str">
        <f>IF(C149&lt;&gt;"Quarta-Feira","13:20","08:20")</f>
        <v>08:20</v>
      </c>
      <c r="E149" s="253"/>
      <c r="F149" s="69"/>
      <c r="G149" s="154"/>
      <c r="H149" s="78"/>
      <c r="I149" s="30"/>
      <c r="J149" s="69"/>
      <c r="K149" s="69"/>
      <c r="N149" s="239" t="s">
        <v>1823</v>
      </c>
      <c r="O149" s="2"/>
      <c r="P149" s="2"/>
      <c r="Q149" s="2"/>
      <c r="R149" s="2"/>
    </row>
    <row r="150" ht="15.75" customHeight="1">
      <c r="A150" s="11" t="s">
        <v>12</v>
      </c>
      <c r="B150" s="205" t="s">
        <v>2386</v>
      </c>
      <c r="C150" s="69" t="str">
        <f t="shared" si="17"/>
        <v>Quarta-Feira</v>
      </c>
      <c r="D150" s="445" t="str">
        <f>IF(C150&lt;&gt;"Quarta-Feira","13:40","08:40")</f>
        <v>08:40</v>
      </c>
      <c r="E150" s="253"/>
      <c r="F150" s="69"/>
      <c r="G150" s="154"/>
      <c r="H150" s="78"/>
      <c r="I150" s="30"/>
      <c r="J150" s="69"/>
      <c r="K150" s="69"/>
      <c r="N150" s="240" t="s">
        <v>182</v>
      </c>
      <c r="O150" s="241" t="s">
        <v>194</v>
      </c>
      <c r="P150" s="241" t="s">
        <v>180</v>
      </c>
      <c r="Q150" s="242" t="s">
        <v>172</v>
      </c>
      <c r="R150" s="62" t="s">
        <v>1822</v>
      </c>
    </row>
    <row r="151" ht="15.75" customHeight="1">
      <c r="A151" s="11" t="s">
        <v>13</v>
      </c>
      <c r="B151" s="205" t="s">
        <v>2389</v>
      </c>
      <c r="C151" s="69" t="str">
        <f t="shared" si="17"/>
        <v>Quarta-Feira</v>
      </c>
      <c r="D151" s="445" t="str">
        <f>IF(C151&lt;&gt;"Quarta-Feira","14:00","09:00")</f>
        <v>09:00</v>
      </c>
      <c r="E151" s="253"/>
      <c r="F151" s="69"/>
      <c r="G151" s="154"/>
      <c r="H151" s="78"/>
      <c r="I151" s="30"/>
      <c r="J151" s="69"/>
      <c r="K151" s="69"/>
      <c r="N151" s="244">
        <f t="shared" ref="N151:R151" si="18">COUNTIFS($I$148:$I$159,N150)</f>
        <v>0</v>
      </c>
      <c r="O151" s="244">
        <f t="shared" si="18"/>
        <v>0</v>
      </c>
      <c r="P151" s="244">
        <f t="shared" si="18"/>
        <v>0</v>
      </c>
      <c r="Q151" s="244">
        <f t="shared" si="18"/>
        <v>0</v>
      </c>
      <c r="R151" s="244">
        <f t="shared" si="18"/>
        <v>0</v>
      </c>
    </row>
    <row r="152" ht="15.75" customHeight="1">
      <c r="A152" s="11" t="s">
        <v>14</v>
      </c>
      <c r="B152" s="205" t="s">
        <v>2380</v>
      </c>
      <c r="C152" s="69" t="str">
        <f t="shared" si="17"/>
        <v>Quarta-Feira</v>
      </c>
      <c r="D152" s="445" t="str">
        <f>IF(C152&lt;&gt;"Quarta-Feira","14:20","09:20")</f>
        <v>09:20</v>
      </c>
      <c r="E152" s="253"/>
      <c r="F152" s="69"/>
      <c r="G152" s="154"/>
      <c r="H152" s="78"/>
      <c r="I152" s="30"/>
      <c r="J152" s="69"/>
      <c r="K152" s="69"/>
      <c r="R152" s="62"/>
    </row>
    <row r="153" ht="15.75" customHeight="1">
      <c r="A153" s="11" t="s">
        <v>15</v>
      </c>
      <c r="B153" s="205" t="s">
        <v>2383</v>
      </c>
      <c r="C153" s="69" t="str">
        <f t="shared" si="17"/>
        <v>Quarta-Feira</v>
      </c>
      <c r="D153" s="445" t="str">
        <f>IF(C153&lt;&gt;"Quarta-Feira","14:40","09:40")</f>
        <v>09:40</v>
      </c>
      <c r="E153" s="253"/>
      <c r="F153" s="69"/>
      <c r="G153" s="154"/>
      <c r="H153" s="78"/>
      <c r="I153" s="30"/>
      <c r="J153" s="69"/>
      <c r="K153" s="69"/>
      <c r="R153" s="62"/>
    </row>
    <row r="154" ht="15.75" customHeight="1">
      <c r="A154" s="11" t="s">
        <v>16</v>
      </c>
      <c r="B154" s="205" t="s">
        <v>2386</v>
      </c>
      <c r="C154" s="69" t="str">
        <f t="shared" si="17"/>
        <v>Quarta-Feira</v>
      </c>
      <c r="D154" s="445" t="str">
        <f>IF(C154&lt;&gt;"Quarta-Feira","15:00","10:00")</f>
        <v>10:00</v>
      </c>
      <c r="E154" s="253"/>
      <c r="F154" s="404"/>
      <c r="G154" s="154"/>
      <c r="H154" s="78"/>
      <c r="I154" s="30"/>
      <c r="J154" s="69"/>
      <c r="K154" s="69"/>
      <c r="R154" s="62"/>
    </row>
    <row r="155" ht="15.75" customHeight="1">
      <c r="A155" s="11" t="s">
        <v>17</v>
      </c>
      <c r="B155" s="205" t="s">
        <v>2389</v>
      </c>
      <c r="C155" s="69" t="str">
        <f t="shared" si="17"/>
        <v>Quarta-Feira</v>
      </c>
      <c r="D155" s="445" t="str">
        <f>IF(C155&lt;&gt;"Quarta-Feira","15:20","10:20")</f>
        <v>10:20</v>
      </c>
      <c r="E155" s="253"/>
      <c r="F155" s="69"/>
      <c r="G155" s="154"/>
      <c r="H155" s="78"/>
      <c r="I155" s="30"/>
      <c r="J155" s="69"/>
      <c r="K155" s="69"/>
      <c r="R155" s="62"/>
    </row>
    <row r="156" ht="15.75" customHeight="1">
      <c r="A156" s="11" t="s">
        <v>85</v>
      </c>
      <c r="B156" s="205" t="s">
        <v>2383</v>
      </c>
      <c r="C156" s="69" t="str">
        <f t="shared" si="17"/>
        <v>Quarta-Feira</v>
      </c>
      <c r="D156" s="445" t="str">
        <f>IF(C156&lt;&gt;"Quarta-Feira","15:40","10:40")</f>
        <v>10:40</v>
      </c>
      <c r="E156" s="253"/>
      <c r="F156" s="69"/>
      <c r="G156" s="154"/>
      <c r="H156" s="78"/>
      <c r="I156" s="30"/>
      <c r="J156" s="69"/>
      <c r="K156" s="69"/>
      <c r="L156" s="197" t="s">
        <v>576</v>
      </c>
      <c r="R156" s="62"/>
    </row>
    <row r="157" ht="15.75" customHeight="1">
      <c r="A157" s="11" t="s">
        <v>87</v>
      </c>
      <c r="B157" s="205" t="s">
        <v>2380</v>
      </c>
      <c r="C157" s="69" t="str">
        <f t="shared" si="17"/>
        <v>Quarta-Feira</v>
      </c>
      <c r="D157" s="445" t="str">
        <f>IF(C157&lt;&gt;"Quarta-Feira","16:00","11:00")</f>
        <v>11:00</v>
      </c>
      <c r="E157" s="253"/>
      <c r="F157" s="69"/>
      <c r="G157" s="154"/>
      <c r="H157" s="153"/>
      <c r="I157" s="30"/>
      <c r="J157" s="69"/>
      <c r="K157" s="69"/>
      <c r="R157" s="62"/>
    </row>
    <row r="158" ht="15.75" customHeight="1">
      <c r="A158" s="11" t="s">
        <v>90</v>
      </c>
      <c r="B158" s="205" t="s">
        <v>2380</v>
      </c>
      <c r="C158" s="69" t="str">
        <f t="shared" si="17"/>
        <v>Quarta-Feira</v>
      </c>
      <c r="D158" s="445" t="str">
        <f>IF(C158&lt;&gt;"Quarta-Feira","16:20","11:20")</f>
        <v>11:20</v>
      </c>
      <c r="E158" s="253"/>
      <c r="F158" s="69"/>
      <c r="G158" s="154"/>
      <c r="H158" s="153"/>
      <c r="I158" s="30"/>
      <c r="J158" s="69"/>
      <c r="K158" s="69"/>
      <c r="R158" s="62"/>
    </row>
    <row r="159" ht="15.75" customHeight="1">
      <c r="A159" s="11" t="s">
        <v>93</v>
      </c>
      <c r="B159" s="205" t="s">
        <v>2380</v>
      </c>
      <c r="C159" s="69" t="str">
        <f t="shared" si="17"/>
        <v>Quarta-Feira</v>
      </c>
      <c r="D159" s="445" t="str">
        <f>IF(C159&lt;&gt;"Quarta-Feira","16:40","11:40")</f>
        <v>11:40</v>
      </c>
      <c r="E159" s="253"/>
      <c r="F159" s="69"/>
      <c r="G159" s="154"/>
      <c r="H159" s="153"/>
      <c r="I159" s="30"/>
      <c r="J159" s="69"/>
      <c r="K159" s="69"/>
      <c r="R159" s="62"/>
    </row>
    <row r="160" ht="15.75" customHeight="1">
      <c r="B160" s="167"/>
      <c r="E160" s="231"/>
      <c r="G160" s="167"/>
      <c r="J160" s="62"/>
      <c r="K160" s="62"/>
      <c r="R160" s="62"/>
    </row>
    <row r="161" ht="15.75" customHeight="1">
      <c r="B161" s="167"/>
      <c r="E161" s="231"/>
      <c r="G161" s="167"/>
      <c r="J161" s="62"/>
      <c r="K161" s="62"/>
      <c r="R161" s="62"/>
    </row>
    <row r="162" ht="15.75" customHeight="1">
      <c r="B162" s="167"/>
      <c r="E162" s="231"/>
      <c r="G162" s="167"/>
      <c r="J162" s="62"/>
      <c r="K162" s="62"/>
      <c r="R162" s="62"/>
    </row>
    <row r="163" ht="15.75" customHeight="1">
      <c r="A163" s="20" t="s">
        <v>377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TEXT(DATE(VALUE(MID(A110,7,4)),VALUE(MID(A110,4,2)),VALUE(LEFT(A110,2)))+7,"dd/mm/yyyy")&amp;" 13h às 17h"</f>
        <v>21/08/2026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426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34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1980</v>
      </c>
      <c r="C166" s="69" t="str">
        <f t="shared" ref="C166:C177" si="19">PROPER(TEXT(DATE(MID($A$164,7,4),MID($A$164,4,2),LEFT($A$164,2)),"dddd"))</f>
        <v>Sexta-Feira</v>
      </c>
      <c r="D166" s="445" t="str">
        <f>IF(C166&lt;&gt;"Quarta-Feira","13:00","08:00")</f>
        <v>13:00</v>
      </c>
      <c r="E166" s="253"/>
      <c r="F166" s="69"/>
      <c r="G166" s="154"/>
      <c r="H166" s="193"/>
      <c r="I166" s="30"/>
      <c r="J166" s="69"/>
      <c r="K166" s="69"/>
      <c r="N166" s="237" t="s">
        <v>386</v>
      </c>
      <c r="O166" s="95"/>
      <c r="P166" s="95"/>
      <c r="Q166" s="95"/>
      <c r="R166" s="95"/>
    </row>
    <row r="167" ht="15.75" customHeight="1">
      <c r="A167" s="11" t="s">
        <v>11</v>
      </c>
      <c r="B167" s="205" t="s">
        <v>1984</v>
      </c>
      <c r="C167" s="69" t="str">
        <f t="shared" si="19"/>
        <v>Sexta-Feira</v>
      </c>
      <c r="D167" s="445" t="str">
        <f>IF(C167&lt;&gt;"Quarta-Feira","13:20","08:20")</f>
        <v>13:20</v>
      </c>
      <c r="E167" s="253"/>
      <c r="F167" s="69"/>
      <c r="G167" s="154"/>
      <c r="H167" s="193"/>
      <c r="I167" s="30"/>
      <c r="J167" s="69"/>
      <c r="K167" s="69"/>
      <c r="N167" s="239" t="s">
        <v>1823</v>
      </c>
      <c r="O167" s="2"/>
      <c r="P167" s="2"/>
      <c r="Q167" s="2"/>
      <c r="R167" s="2"/>
    </row>
    <row r="168" ht="15.75" customHeight="1">
      <c r="A168" s="11" t="s">
        <v>12</v>
      </c>
      <c r="B168" s="205" t="s">
        <v>1988</v>
      </c>
      <c r="C168" s="69" t="str">
        <f t="shared" si="19"/>
        <v>Sexta-Feira</v>
      </c>
      <c r="D168" s="445" t="str">
        <f>IF(C168&lt;&gt;"Quarta-Feira","13:40","08:40")</f>
        <v>13:40</v>
      </c>
      <c r="E168" s="253"/>
      <c r="F168" s="69"/>
      <c r="G168" s="154"/>
      <c r="H168" s="193"/>
      <c r="I168" s="30"/>
      <c r="J168" s="69"/>
      <c r="K168" s="69"/>
      <c r="N168" s="240" t="s">
        <v>182</v>
      </c>
      <c r="O168" s="241" t="s">
        <v>194</v>
      </c>
      <c r="P168" s="241" t="s">
        <v>180</v>
      </c>
      <c r="Q168" s="242" t="s">
        <v>172</v>
      </c>
      <c r="R168" s="62" t="s">
        <v>1822</v>
      </c>
    </row>
    <row r="169" ht="15.75" customHeight="1">
      <c r="A169" s="11" t="s">
        <v>13</v>
      </c>
      <c r="B169" s="205" t="s">
        <v>1991</v>
      </c>
      <c r="C169" s="69" t="str">
        <f t="shared" si="19"/>
        <v>Sexta-Feira</v>
      </c>
      <c r="D169" s="445" t="str">
        <f>IF(C169&lt;&gt;"Quarta-Feira","14:00","09:00")</f>
        <v>14:00</v>
      </c>
      <c r="E169" s="253"/>
      <c r="F169" s="69"/>
      <c r="G169" s="154"/>
      <c r="H169" s="193"/>
      <c r="I169" s="30"/>
      <c r="J169" s="69"/>
      <c r="K169" s="69"/>
      <c r="N169" s="244">
        <f t="shared" ref="N169:R169" si="20">COUNTIFS($I$166:$I$177,$N$168)</f>
        <v>0</v>
      </c>
      <c r="O169" s="244">
        <f t="shared" si="20"/>
        <v>0</v>
      </c>
      <c r="P169" s="244">
        <f t="shared" si="20"/>
        <v>0</v>
      </c>
      <c r="Q169" s="244">
        <f t="shared" si="20"/>
        <v>0</v>
      </c>
      <c r="R169" s="244">
        <f t="shared" si="20"/>
        <v>0</v>
      </c>
    </row>
    <row r="170" ht="15.75" customHeight="1">
      <c r="A170" s="11" t="s">
        <v>14</v>
      </c>
      <c r="B170" s="205" t="s">
        <v>1980</v>
      </c>
      <c r="C170" s="69" t="str">
        <f t="shared" si="19"/>
        <v>Sexta-Feira</v>
      </c>
      <c r="D170" s="445" t="str">
        <f>IF(C170&lt;&gt;"Quarta-Feira","14:20","09:20")</f>
        <v>14:20</v>
      </c>
      <c r="E170" s="253"/>
      <c r="F170" s="69"/>
      <c r="G170" s="154"/>
      <c r="H170" s="193"/>
      <c r="I170" s="30"/>
      <c r="J170" s="69"/>
      <c r="K170" s="69"/>
      <c r="R170" s="62"/>
    </row>
    <row r="171" ht="15.75" customHeight="1">
      <c r="A171" s="11" t="s">
        <v>15</v>
      </c>
      <c r="B171" s="205" t="s">
        <v>1984</v>
      </c>
      <c r="C171" s="69" t="str">
        <f t="shared" si="19"/>
        <v>Sexta-Feira</v>
      </c>
      <c r="D171" s="445" t="str">
        <f>IF(C171&lt;&gt;"Quarta-Feira","14:40","09:40")</f>
        <v>14:40</v>
      </c>
      <c r="E171" s="253"/>
      <c r="F171" s="69"/>
      <c r="G171" s="154"/>
      <c r="H171" s="193"/>
      <c r="I171" s="30"/>
      <c r="J171" s="69"/>
      <c r="K171" s="69"/>
      <c r="R171" s="62"/>
    </row>
    <row r="172" ht="15.75" customHeight="1">
      <c r="A172" s="11" t="s">
        <v>16</v>
      </c>
      <c r="B172" s="205" t="s">
        <v>1988</v>
      </c>
      <c r="C172" s="69" t="str">
        <f t="shared" si="19"/>
        <v>Sexta-Feira</v>
      </c>
      <c r="D172" s="445" t="str">
        <f>IF(C172&lt;&gt;"Quarta-Feira","15:00","10:00")</f>
        <v>15:00</v>
      </c>
      <c r="E172" s="253"/>
      <c r="F172" s="69"/>
      <c r="G172" s="154"/>
      <c r="H172" s="193"/>
      <c r="I172" s="30"/>
      <c r="J172" s="69"/>
      <c r="K172" s="69"/>
      <c r="R172" s="62"/>
    </row>
    <row r="173" ht="15.75" customHeight="1">
      <c r="A173" s="11" t="s">
        <v>17</v>
      </c>
      <c r="B173" s="205" t="s">
        <v>1991</v>
      </c>
      <c r="C173" s="69" t="str">
        <f t="shared" si="19"/>
        <v>Sexta-Feira</v>
      </c>
      <c r="D173" s="445" t="str">
        <f>IF(C173&lt;&gt;"Quarta-Feira","15:20","10:20")</f>
        <v>15:20</v>
      </c>
      <c r="E173" s="253"/>
      <c r="F173" s="69"/>
      <c r="G173" s="154"/>
      <c r="H173" s="193"/>
      <c r="I173" s="30"/>
      <c r="J173" s="69"/>
      <c r="K173" s="69"/>
      <c r="R173" s="62"/>
    </row>
    <row r="174" ht="15.75" customHeight="1">
      <c r="A174" s="11" t="s">
        <v>85</v>
      </c>
      <c r="B174" s="205" t="s">
        <v>1980</v>
      </c>
      <c r="C174" s="69" t="str">
        <f t="shared" si="19"/>
        <v>Sexta-Feira</v>
      </c>
      <c r="D174" s="445" t="str">
        <f>IF(C174&lt;&gt;"Quarta-Feira","15:40","10:40")</f>
        <v>15:40</v>
      </c>
      <c r="E174" s="253"/>
      <c r="F174" s="69"/>
      <c r="G174" s="154"/>
      <c r="H174" s="193"/>
      <c r="I174" s="30"/>
      <c r="J174" s="69"/>
      <c r="K174" s="69"/>
      <c r="R174" s="62"/>
    </row>
    <row r="175" ht="15.75" customHeight="1">
      <c r="A175" s="11" t="s">
        <v>87</v>
      </c>
      <c r="B175" s="205" t="s">
        <v>1984</v>
      </c>
      <c r="C175" s="69" t="str">
        <f t="shared" si="19"/>
        <v>Sexta-Feira</v>
      </c>
      <c r="D175" s="445" t="str">
        <f>IF(C175&lt;&gt;"Quarta-Feira","16:00","11:00")</f>
        <v>16:00</v>
      </c>
      <c r="E175" s="253"/>
      <c r="F175" s="69"/>
      <c r="G175" s="154"/>
      <c r="H175" s="193"/>
      <c r="I175" s="30"/>
      <c r="J175" s="69"/>
      <c r="K175" s="69"/>
      <c r="R175" s="62"/>
    </row>
    <row r="176" ht="15.75" customHeight="1">
      <c r="A176" s="11" t="s">
        <v>90</v>
      </c>
      <c r="B176" s="205" t="s">
        <v>1988</v>
      </c>
      <c r="C176" s="69" t="str">
        <f t="shared" si="19"/>
        <v>Sexta-Feira</v>
      </c>
      <c r="D176" s="445" t="str">
        <f>IF(C176&lt;&gt;"Quarta-Feira","16:20","11:20")</f>
        <v>16:20</v>
      </c>
      <c r="E176" s="253"/>
      <c r="F176" s="69"/>
      <c r="G176" s="154"/>
      <c r="H176" s="193"/>
      <c r="I176" s="30"/>
      <c r="J176" s="69"/>
      <c r="K176" s="69"/>
      <c r="R176" s="62"/>
    </row>
    <row r="177" ht="15.75" customHeight="1">
      <c r="A177" s="11" t="s">
        <v>93</v>
      </c>
      <c r="B177" s="205" t="s">
        <v>1991</v>
      </c>
      <c r="C177" s="69" t="str">
        <f t="shared" si="19"/>
        <v>Sexta-Feira</v>
      </c>
      <c r="D177" s="445" t="str">
        <f>IF(C177&lt;&gt;"Quarta-Feira","16:40","11:40")</f>
        <v>16:40</v>
      </c>
      <c r="E177" s="253"/>
      <c r="F177" s="69"/>
      <c r="G177" s="154"/>
      <c r="H177" s="193"/>
      <c r="I177" s="30"/>
      <c r="J177" s="69"/>
      <c r="K177" s="69"/>
      <c r="R177" s="62"/>
    </row>
    <row r="178" ht="15.75" customHeight="1">
      <c r="B178" s="167"/>
      <c r="E178" s="231"/>
      <c r="G178" s="167"/>
      <c r="J178" s="62"/>
      <c r="K178" s="62"/>
      <c r="R178" s="62"/>
    </row>
    <row r="179" ht="15.75" customHeight="1">
      <c r="B179" s="167"/>
      <c r="E179" s="231"/>
      <c r="G179" s="167"/>
      <c r="J179" s="62"/>
      <c r="K179" s="62"/>
      <c r="R179" s="62"/>
    </row>
    <row r="180" ht="15.75" customHeight="1">
      <c r="B180" s="167"/>
      <c r="E180" s="231"/>
      <c r="G180" s="167"/>
      <c r="J180" s="62"/>
      <c r="K180" s="62"/>
      <c r="R180" s="62"/>
    </row>
    <row r="181" ht="15.75" customHeight="1">
      <c r="A181" s="20" t="s">
        <v>377</v>
      </c>
      <c r="B181" s="2"/>
      <c r="C181" s="2"/>
      <c r="D181" s="2"/>
      <c r="E181" s="2"/>
      <c r="F181" s="2"/>
      <c r="G181" s="2"/>
      <c r="H181" s="2"/>
      <c r="I181" s="2"/>
      <c r="J181" s="2"/>
      <c r="K181" s="3"/>
      <c r="R181" s="62"/>
    </row>
    <row r="182" ht="15.75" customHeight="1">
      <c r="A182" s="21" t="str">
        <f>TEXT(DATE(VALUE(MID(A164,7,4)),VALUE(MID(A164,4,2)),VALUE(LEFT(A164,2)))+3,"dd/mm/yyyy")&amp;" 13h às 17h"</f>
        <v>24/08/2026 13h às 17h</v>
      </c>
      <c r="B182" s="2"/>
      <c r="C182" s="2"/>
      <c r="D182" s="2"/>
      <c r="E182" s="2"/>
      <c r="F182" s="2"/>
      <c r="G182" s="2"/>
      <c r="H182" s="2"/>
      <c r="I182" s="2"/>
      <c r="J182" s="2"/>
      <c r="K182" s="3"/>
    </row>
    <row r="183" ht="15.75" customHeight="1">
      <c r="A183" s="22"/>
      <c r="B183" s="426" t="s">
        <v>3</v>
      </c>
      <c r="C183" s="24" t="s">
        <v>2</v>
      </c>
      <c r="D183" s="25" t="s">
        <v>5</v>
      </c>
      <c r="E183" s="26" t="s">
        <v>19</v>
      </c>
      <c r="F183" s="25" t="s">
        <v>6</v>
      </c>
      <c r="G183" s="234" t="s">
        <v>7</v>
      </c>
      <c r="H183" s="27" t="s">
        <v>8</v>
      </c>
      <c r="I183" s="28" t="s">
        <v>20</v>
      </c>
      <c r="J183" s="25" t="s">
        <v>21</v>
      </c>
      <c r="K183" s="25" t="s">
        <v>22</v>
      </c>
    </row>
    <row r="184" ht="15.75" customHeight="1">
      <c r="A184" s="11" t="s">
        <v>10</v>
      </c>
      <c r="B184" s="205" t="s">
        <v>2013</v>
      </c>
      <c r="C184" s="69" t="str">
        <f t="shared" ref="C184:C195" si="21">PROPER(TEXT(DATE(MID($A$182,7,4),MID($A$182,4,2),LEFT($A$182,2)),"dddd"))</f>
        <v>Segunda-Feira</v>
      </c>
      <c r="D184" s="445" t="str">
        <f>IF(C184&lt;&gt;"Quarta-Feira","13:00","08:00")</f>
        <v>13:00</v>
      </c>
      <c r="E184" s="253"/>
      <c r="F184" s="69"/>
      <c r="G184" s="154"/>
      <c r="H184" s="193"/>
      <c r="I184" s="30"/>
      <c r="J184" s="69"/>
      <c r="K184" s="69"/>
      <c r="N184" s="237" t="s">
        <v>386</v>
      </c>
      <c r="O184" s="95"/>
      <c r="P184" s="95"/>
      <c r="Q184" s="95"/>
      <c r="R184" s="95"/>
    </row>
    <row r="185" ht="15.75" customHeight="1">
      <c r="A185" s="11" t="s">
        <v>11</v>
      </c>
      <c r="B185" s="205" t="s">
        <v>2018</v>
      </c>
      <c r="C185" s="69" t="str">
        <f t="shared" si="21"/>
        <v>Segunda-Feira</v>
      </c>
      <c r="D185" s="445" t="str">
        <f>IF(C185&lt;&gt;"Quarta-Feira","13:20","08:20")</f>
        <v>13:20</v>
      </c>
      <c r="E185" s="253"/>
      <c r="F185" s="69"/>
      <c r="G185" s="154"/>
      <c r="H185" s="72"/>
      <c r="I185" s="30"/>
      <c r="J185" s="69"/>
      <c r="K185" s="69"/>
      <c r="N185" s="239" t="s">
        <v>1823</v>
      </c>
      <c r="O185" s="2"/>
      <c r="P185" s="2"/>
      <c r="Q185" s="2"/>
      <c r="R185" s="2"/>
    </row>
    <row r="186" ht="15.75" customHeight="1">
      <c r="A186" s="11" t="s">
        <v>12</v>
      </c>
      <c r="B186" s="205" t="s">
        <v>2020</v>
      </c>
      <c r="C186" s="69" t="str">
        <f t="shared" si="21"/>
        <v>Segunda-Feira</v>
      </c>
      <c r="D186" s="445" t="str">
        <f>IF(C186&lt;&gt;"Quarta-Feira","13:40","08:40")</f>
        <v>13:40</v>
      </c>
      <c r="E186" s="253"/>
      <c r="F186" s="69"/>
      <c r="G186" s="154"/>
      <c r="H186" s="78"/>
      <c r="I186" s="30"/>
      <c r="J186" s="69"/>
      <c r="K186" s="69"/>
      <c r="N186" s="240" t="s">
        <v>182</v>
      </c>
      <c r="O186" s="241" t="s">
        <v>194</v>
      </c>
      <c r="P186" s="241" t="s">
        <v>180</v>
      </c>
      <c r="Q186" s="242" t="s">
        <v>172</v>
      </c>
      <c r="R186" s="62" t="s">
        <v>1822</v>
      </c>
    </row>
    <row r="187" ht="15.75" customHeight="1">
      <c r="A187" s="11" t="s">
        <v>13</v>
      </c>
      <c r="B187" s="205" t="s">
        <v>2023</v>
      </c>
      <c r="C187" s="69" t="str">
        <f t="shared" si="21"/>
        <v>Segunda-Feira</v>
      </c>
      <c r="D187" s="445" t="str">
        <f>IF(C187&lt;&gt;"Quarta-Feira","14:00","09:00")</f>
        <v>14:00</v>
      </c>
      <c r="E187" s="253"/>
      <c r="F187" s="69"/>
      <c r="G187" s="154"/>
      <c r="H187" s="78"/>
      <c r="I187" s="30"/>
      <c r="J187" s="69"/>
      <c r="K187" s="69"/>
      <c r="N187" s="244">
        <f t="shared" ref="N187:R187" si="22">COUNTIFS($I$184:$I$195,$N$168)</f>
        <v>0</v>
      </c>
      <c r="O187" s="244">
        <f t="shared" si="22"/>
        <v>0</v>
      </c>
      <c r="P187" s="244">
        <f t="shared" si="22"/>
        <v>0</v>
      </c>
      <c r="Q187" s="244">
        <f t="shared" si="22"/>
        <v>0</v>
      </c>
      <c r="R187" s="244">
        <f t="shared" si="22"/>
        <v>0</v>
      </c>
    </row>
    <row r="188" ht="15.75" customHeight="1">
      <c r="A188" s="11" t="s">
        <v>14</v>
      </c>
      <c r="B188" s="205" t="s">
        <v>2018</v>
      </c>
      <c r="C188" s="69" t="str">
        <f t="shared" si="21"/>
        <v>Segunda-Feira</v>
      </c>
      <c r="D188" s="445" t="str">
        <f>IF(C188&lt;&gt;"Quarta-Feira","14:20","09:20")</f>
        <v>14:20</v>
      </c>
      <c r="E188" s="253"/>
      <c r="F188" s="69"/>
      <c r="G188" s="154"/>
      <c r="H188" s="78"/>
      <c r="I188" s="30"/>
      <c r="J188" s="69"/>
      <c r="K188" s="69"/>
      <c r="R188" s="62"/>
    </row>
    <row r="189" ht="15.75" customHeight="1">
      <c r="A189" s="11" t="s">
        <v>15</v>
      </c>
      <c r="B189" s="205" t="s">
        <v>2020</v>
      </c>
      <c r="C189" s="69" t="str">
        <f t="shared" si="21"/>
        <v>Segunda-Feira</v>
      </c>
      <c r="D189" s="445" t="str">
        <f>IF(C189&lt;&gt;"Quarta-Feira","14:40","09:40")</f>
        <v>14:40</v>
      </c>
      <c r="E189" s="253"/>
      <c r="F189" s="69"/>
      <c r="G189" s="154"/>
      <c r="H189" s="78"/>
      <c r="I189" s="30"/>
      <c r="J189" s="69"/>
      <c r="K189" s="69"/>
      <c r="R189" s="62"/>
    </row>
    <row r="190" ht="15.75" customHeight="1">
      <c r="A190" s="11" t="s">
        <v>16</v>
      </c>
      <c r="B190" s="205" t="s">
        <v>2013</v>
      </c>
      <c r="C190" s="69" t="str">
        <f t="shared" si="21"/>
        <v>Segunda-Feira</v>
      </c>
      <c r="D190" s="445" t="str">
        <f>IF(C190&lt;&gt;"Quarta-Feira","15:00","10:00")</f>
        <v>15:00</v>
      </c>
      <c r="E190" s="253"/>
      <c r="F190" s="69"/>
      <c r="G190" s="154"/>
      <c r="H190" s="78"/>
      <c r="I190" s="30"/>
      <c r="J190" s="69"/>
      <c r="K190" s="69"/>
      <c r="R190" s="62"/>
    </row>
    <row r="191" ht="15.75" customHeight="1">
      <c r="A191" s="11" t="s">
        <v>17</v>
      </c>
      <c r="B191" s="205" t="s">
        <v>2018</v>
      </c>
      <c r="C191" s="69" t="str">
        <f t="shared" si="21"/>
        <v>Segunda-Feira</v>
      </c>
      <c r="D191" s="445" t="str">
        <f>IF(C191&lt;&gt;"Quarta-Feira","15:20","10:20")</f>
        <v>15:20</v>
      </c>
      <c r="E191" s="253"/>
      <c r="F191" s="69"/>
      <c r="G191" s="154"/>
      <c r="H191" s="72"/>
      <c r="I191" s="30"/>
      <c r="J191" s="69"/>
      <c r="K191" s="69"/>
      <c r="R191" s="62"/>
    </row>
    <row r="192" ht="15.75" customHeight="1">
      <c r="A192" s="11" t="s">
        <v>85</v>
      </c>
      <c r="B192" s="205" t="s">
        <v>2023</v>
      </c>
      <c r="C192" s="69" t="str">
        <f t="shared" si="21"/>
        <v>Segunda-Feira</v>
      </c>
      <c r="D192" s="445" t="str">
        <f>IF(C192&lt;&gt;"Quarta-Feira","15:40","10:40")</f>
        <v>15:40</v>
      </c>
      <c r="E192" s="253"/>
      <c r="F192" s="69"/>
      <c r="G192" s="154"/>
      <c r="H192" s="78"/>
      <c r="I192" s="30"/>
      <c r="J192" s="69"/>
      <c r="K192" s="69"/>
      <c r="R192" s="62"/>
    </row>
    <row r="193" ht="15.75" customHeight="1">
      <c r="A193" s="11" t="s">
        <v>87</v>
      </c>
      <c r="B193" s="205" t="s">
        <v>2020</v>
      </c>
      <c r="C193" s="69" t="str">
        <f t="shared" si="21"/>
        <v>Segunda-Feira</v>
      </c>
      <c r="D193" s="445" t="str">
        <f>IF(C193&lt;&gt;"Quarta-Feira","16:00","11:00")</f>
        <v>16:00</v>
      </c>
      <c r="E193" s="253"/>
      <c r="F193" s="69"/>
      <c r="G193" s="154"/>
      <c r="H193" s="153"/>
      <c r="I193" s="30"/>
      <c r="J193" s="69"/>
      <c r="K193" s="69"/>
      <c r="R193" s="62"/>
    </row>
    <row r="194" ht="15.75" customHeight="1">
      <c r="A194" s="11" t="s">
        <v>90</v>
      </c>
      <c r="B194" s="205" t="s">
        <v>2023</v>
      </c>
      <c r="C194" s="69" t="str">
        <f t="shared" si="21"/>
        <v>Segunda-Feira</v>
      </c>
      <c r="D194" s="445" t="str">
        <f>IF(C194&lt;&gt;"Quarta-Feira","16:20","11:20")</f>
        <v>16:20</v>
      </c>
      <c r="E194" s="253"/>
      <c r="F194" s="69"/>
      <c r="G194" s="154"/>
      <c r="H194" s="153"/>
      <c r="I194" s="30"/>
      <c r="J194" s="69"/>
      <c r="K194" s="69"/>
      <c r="R194" s="62"/>
    </row>
    <row r="195" ht="15.75" customHeight="1">
      <c r="A195" s="11" t="s">
        <v>93</v>
      </c>
      <c r="B195" s="205" t="s">
        <v>2013</v>
      </c>
      <c r="C195" s="69" t="str">
        <f t="shared" si="21"/>
        <v>Segunda-Feira</v>
      </c>
      <c r="D195" s="445" t="str">
        <f>IF(C195&lt;&gt;"Quarta-Feira","16:40","11:40")</f>
        <v>16:40</v>
      </c>
      <c r="E195" s="253"/>
      <c r="F195" s="69"/>
      <c r="G195" s="154"/>
      <c r="H195" s="153"/>
      <c r="I195" s="30"/>
      <c r="J195" s="69"/>
      <c r="K195" s="69"/>
      <c r="R195" s="62"/>
    </row>
    <row r="196" ht="15.75" customHeight="1">
      <c r="B196" s="167"/>
      <c r="E196" s="231"/>
      <c r="G196" s="167"/>
      <c r="J196" s="62"/>
      <c r="K196" s="62"/>
      <c r="R196" s="62"/>
    </row>
    <row r="197" ht="15.75" customHeight="1">
      <c r="B197" s="167"/>
      <c r="E197" s="231"/>
      <c r="G197" s="167"/>
      <c r="J197" s="62"/>
      <c r="K197" s="62"/>
      <c r="R197" s="62"/>
    </row>
    <row r="198" ht="15.75" customHeight="1">
      <c r="B198" s="167"/>
      <c r="E198" s="231"/>
      <c r="G198" s="167"/>
      <c r="J198" s="62"/>
      <c r="K198" s="62"/>
      <c r="R198" s="62"/>
    </row>
    <row r="199" ht="15.75" customHeight="1">
      <c r="A199" s="20" t="s">
        <v>377</v>
      </c>
      <c r="B199" s="2"/>
      <c r="C199" s="2"/>
      <c r="D199" s="2"/>
      <c r="E199" s="2"/>
      <c r="F199" s="2"/>
      <c r="G199" s="2"/>
      <c r="H199" s="2"/>
      <c r="I199" s="2"/>
      <c r="J199" s="2"/>
      <c r="K199" s="3"/>
      <c r="R199" s="62"/>
    </row>
    <row r="200" ht="15.75" customHeight="1">
      <c r="A200" s="21" t="str">
        <f>TEXT(DATE(VALUE(MID(A182,7,4)),VALUE(MID(A182,4,2)),VALUE(LEFT(A182,2)))+2,"dd/mm/yyyy")&amp;" 08h às 13h"</f>
        <v>26/08/2026 08h às 13h</v>
      </c>
      <c r="B200" s="2"/>
      <c r="C200" s="2"/>
      <c r="D200" s="2"/>
      <c r="E200" s="2"/>
      <c r="F200" s="2"/>
      <c r="G200" s="2"/>
      <c r="H200" s="2"/>
      <c r="I200" s="2"/>
      <c r="J200" s="2"/>
      <c r="K200" s="3"/>
      <c r="R200" s="62"/>
    </row>
    <row r="201" ht="15.75" customHeight="1">
      <c r="A201" s="22"/>
      <c r="B201" s="426" t="s">
        <v>3</v>
      </c>
      <c r="C201" s="24" t="s">
        <v>2</v>
      </c>
      <c r="D201" s="25" t="s">
        <v>5</v>
      </c>
      <c r="E201" s="26" t="s">
        <v>19</v>
      </c>
      <c r="F201" s="25" t="s">
        <v>6</v>
      </c>
      <c r="G201" s="234" t="s">
        <v>7</v>
      </c>
      <c r="H201" s="27" t="s">
        <v>8</v>
      </c>
      <c r="I201" s="28" t="s">
        <v>20</v>
      </c>
      <c r="J201" s="25" t="s">
        <v>21</v>
      </c>
      <c r="K201" s="25" t="s">
        <v>22</v>
      </c>
      <c r="R201" s="62"/>
    </row>
    <row r="202" ht="15.75" customHeight="1">
      <c r="A202" s="11" t="s">
        <v>10</v>
      </c>
      <c r="B202" s="205" t="s">
        <v>2380</v>
      </c>
      <c r="C202" s="69" t="str">
        <f t="shared" ref="C202:C213" si="23">PROPER(TEXT(DATE(MID($A$200,7,4),MID($A$200,4,2),LEFT($A$200,2)),"dddd"))</f>
        <v>Quarta-Feira</v>
      </c>
      <c r="D202" s="445" t="str">
        <f>IF(C202&lt;&gt;"Quarta-Feira","13:00","08:00")</f>
        <v>08:00</v>
      </c>
      <c r="E202" s="253"/>
      <c r="F202" s="404"/>
      <c r="G202" s="154"/>
      <c r="H202" s="78"/>
      <c r="I202" s="30"/>
      <c r="J202" s="69"/>
      <c r="K202" s="69"/>
      <c r="N202" s="237" t="s">
        <v>386</v>
      </c>
      <c r="O202" s="95"/>
      <c r="P202" s="95"/>
      <c r="Q202" s="95"/>
      <c r="R202" s="95"/>
    </row>
    <row r="203" ht="15.75" customHeight="1">
      <c r="A203" s="11" t="s">
        <v>11</v>
      </c>
      <c r="B203" s="205" t="s">
        <v>2383</v>
      </c>
      <c r="C203" s="69" t="str">
        <f t="shared" si="23"/>
        <v>Quarta-Feira</v>
      </c>
      <c r="D203" s="445" t="str">
        <f>IF(C203&lt;&gt;"Quarta-Feira","13:20","08:20")</f>
        <v>08:20</v>
      </c>
      <c r="E203" s="253"/>
      <c r="F203" s="69"/>
      <c r="G203" s="154"/>
      <c r="H203" s="78"/>
      <c r="I203" s="30"/>
      <c r="J203" s="69"/>
      <c r="K203" s="69"/>
      <c r="N203" s="239" t="s">
        <v>1823</v>
      </c>
      <c r="O203" s="2"/>
      <c r="P203" s="2"/>
      <c r="Q203" s="2"/>
      <c r="R203" s="2"/>
    </row>
    <row r="204" ht="15.75" customHeight="1">
      <c r="A204" s="11" t="s">
        <v>12</v>
      </c>
      <c r="B204" s="205" t="s">
        <v>2386</v>
      </c>
      <c r="C204" s="69" t="str">
        <f t="shared" si="23"/>
        <v>Quarta-Feira</v>
      </c>
      <c r="D204" s="445" t="str">
        <f>IF(C204&lt;&gt;"Quarta-Feira","13:40","08:40")</f>
        <v>08:40</v>
      </c>
      <c r="E204" s="253"/>
      <c r="F204" s="69"/>
      <c r="G204" s="154"/>
      <c r="H204" s="78"/>
      <c r="I204" s="30"/>
      <c r="J204" s="69"/>
      <c r="K204" s="69"/>
      <c r="N204" s="240" t="s">
        <v>182</v>
      </c>
      <c r="O204" s="241" t="s">
        <v>194</v>
      </c>
      <c r="P204" s="241" t="s">
        <v>180</v>
      </c>
      <c r="Q204" s="242" t="s">
        <v>172</v>
      </c>
      <c r="R204" s="62" t="s">
        <v>1822</v>
      </c>
    </row>
    <row r="205" ht="15.75" customHeight="1">
      <c r="A205" s="11" t="s">
        <v>13</v>
      </c>
      <c r="B205" s="205" t="s">
        <v>2389</v>
      </c>
      <c r="C205" s="69" t="str">
        <f t="shared" si="23"/>
        <v>Quarta-Feira</v>
      </c>
      <c r="D205" s="445" t="str">
        <f>IF(C205&lt;&gt;"Quarta-Feira","14:00","09:00")</f>
        <v>09:00</v>
      </c>
      <c r="E205" s="253"/>
      <c r="F205" s="69"/>
      <c r="G205" s="154"/>
      <c r="H205" s="78"/>
      <c r="I205" s="30"/>
      <c r="J205" s="69"/>
      <c r="K205" s="69"/>
      <c r="N205" s="244">
        <f t="shared" ref="N205:R205" si="24">COUNTIFS($I$202:$I$213,$N$168)</f>
        <v>0</v>
      </c>
      <c r="O205" s="244">
        <f t="shared" si="24"/>
        <v>0</v>
      </c>
      <c r="P205" s="244">
        <f t="shared" si="24"/>
        <v>0</v>
      </c>
      <c r="Q205" s="244">
        <f t="shared" si="24"/>
        <v>0</v>
      </c>
      <c r="R205" s="244">
        <f t="shared" si="24"/>
        <v>0</v>
      </c>
    </row>
    <row r="206" ht="15.75" customHeight="1">
      <c r="A206" s="11" t="s">
        <v>14</v>
      </c>
      <c r="B206" s="205" t="s">
        <v>2380</v>
      </c>
      <c r="C206" s="69" t="str">
        <f t="shared" si="23"/>
        <v>Quarta-Feira</v>
      </c>
      <c r="D206" s="445" t="str">
        <f>IF(C206&lt;&gt;"Quarta-Feira","14:20","09:20")</f>
        <v>09:20</v>
      </c>
      <c r="E206" s="253"/>
      <c r="F206" s="69"/>
      <c r="G206" s="154"/>
      <c r="H206" s="78"/>
      <c r="I206" s="30"/>
      <c r="J206" s="69"/>
      <c r="K206" s="69"/>
      <c r="R206" s="62"/>
    </row>
    <row r="207" ht="15.75" customHeight="1">
      <c r="A207" s="11" t="s">
        <v>15</v>
      </c>
      <c r="B207" s="205" t="s">
        <v>2383</v>
      </c>
      <c r="C207" s="69" t="str">
        <f t="shared" si="23"/>
        <v>Quarta-Feira</v>
      </c>
      <c r="D207" s="445" t="str">
        <f>IF(C207&lt;&gt;"Quarta-Feira","14:40","09:40")</f>
        <v>09:40</v>
      </c>
      <c r="E207" s="253"/>
      <c r="F207" s="69"/>
      <c r="G207" s="154"/>
      <c r="H207" s="78"/>
      <c r="I207" s="30"/>
      <c r="J207" s="69"/>
      <c r="K207" s="69"/>
      <c r="R207" s="62"/>
    </row>
    <row r="208" ht="15.75" customHeight="1">
      <c r="A208" s="11" t="s">
        <v>16</v>
      </c>
      <c r="B208" s="205" t="s">
        <v>2386</v>
      </c>
      <c r="C208" s="69" t="str">
        <f t="shared" si="23"/>
        <v>Quarta-Feira</v>
      </c>
      <c r="D208" s="445" t="str">
        <f>IF(C208&lt;&gt;"Quarta-Feira","15:00","10:00")</f>
        <v>10:00</v>
      </c>
      <c r="E208" s="253"/>
      <c r="F208" s="404"/>
      <c r="G208" s="154"/>
      <c r="H208" s="78"/>
      <c r="I208" s="30"/>
      <c r="J208" s="69"/>
      <c r="K208" s="69"/>
      <c r="R208" s="62"/>
    </row>
    <row r="209" ht="15.75" customHeight="1">
      <c r="A209" s="11" t="s">
        <v>17</v>
      </c>
      <c r="B209" s="205" t="s">
        <v>2389</v>
      </c>
      <c r="C209" s="69" t="str">
        <f t="shared" si="23"/>
        <v>Quarta-Feira</v>
      </c>
      <c r="D209" s="445" t="str">
        <f>IF(C209&lt;&gt;"Quarta-Feira","15:20","10:20")</f>
        <v>10:20</v>
      </c>
      <c r="E209" s="253"/>
      <c r="F209" s="69"/>
      <c r="G209" s="154"/>
      <c r="H209" s="78"/>
      <c r="I209" s="30"/>
      <c r="J209" s="69"/>
      <c r="K209" s="69"/>
      <c r="R209" s="62"/>
    </row>
    <row r="210" ht="15.75" customHeight="1">
      <c r="A210" s="11" t="s">
        <v>85</v>
      </c>
      <c r="B210" s="205" t="s">
        <v>2383</v>
      </c>
      <c r="C210" s="69" t="str">
        <f t="shared" si="23"/>
        <v>Quarta-Feira</v>
      </c>
      <c r="D210" s="445" t="str">
        <f>IF(C210&lt;&gt;"Quarta-Feira","15:40","10:40")</f>
        <v>10:40</v>
      </c>
      <c r="E210" s="253"/>
      <c r="F210" s="69"/>
      <c r="G210" s="154"/>
      <c r="H210" s="78"/>
      <c r="I210" s="30"/>
      <c r="J210" s="69"/>
      <c r="K210" s="69"/>
      <c r="R210" s="62"/>
    </row>
    <row r="211" ht="15.75" customHeight="1">
      <c r="A211" s="11" t="s">
        <v>87</v>
      </c>
      <c r="B211" s="205" t="s">
        <v>2380</v>
      </c>
      <c r="C211" s="69" t="str">
        <f t="shared" si="23"/>
        <v>Quarta-Feira</v>
      </c>
      <c r="D211" s="445" t="str">
        <f>IF(C211&lt;&gt;"Quarta-Feira","16:00","11:00")</f>
        <v>11:00</v>
      </c>
      <c r="E211" s="253"/>
      <c r="F211" s="69"/>
      <c r="G211" s="154"/>
      <c r="H211" s="153"/>
      <c r="I211" s="30"/>
      <c r="J211" s="69"/>
      <c r="K211" s="69"/>
      <c r="R211" s="62"/>
    </row>
    <row r="212" ht="15.75" customHeight="1">
      <c r="A212" s="11" t="s">
        <v>90</v>
      </c>
      <c r="B212" s="205" t="s">
        <v>2380</v>
      </c>
      <c r="C212" s="69" t="str">
        <f t="shared" si="23"/>
        <v>Quarta-Feira</v>
      </c>
      <c r="D212" s="445" t="str">
        <f>IF(C212&lt;&gt;"Quarta-Feira","16:20","11:20")</f>
        <v>11:20</v>
      </c>
      <c r="E212" s="253"/>
      <c r="F212" s="69"/>
      <c r="G212" s="154"/>
      <c r="H212" s="153"/>
      <c r="I212" s="30"/>
      <c r="J212" s="69"/>
      <c r="K212" s="69"/>
      <c r="R212" s="62"/>
    </row>
    <row r="213" ht="15.75" customHeight="1">
      <c r="A213" s="11" t="s">
        <v>93</v>
      </c>
      <c r="B213" s="205" t="s">
        <v>2380</v>
      </c>
      <c r="C213" s="69" t="str">
        <f t="shared" si="23"/>
        <v>Quarta-Feira</v>
      </c>
      <c r="D213" s="445" t="str">
        <f>IF(C213&lt;&gt;"Quarta-Feira","16:40","11:40")</f>
        <v>11:40</v>
      </c>
      <c r="E213" s="253"/>
      <c r="F213" s="69"/>
      <c r="G213" s="154"/>
      <c r="H213" s="153"/>
      <c r="I213" s="30"/>
      <c r="J213" s="69"/>
      <c r="K213" s="69"/>
      <c r="R213" s="62"/>
    </row>
    <row r="214" ht="15.75" customHeight="1">
      <c r="B214" s="167"/>
      <c r="E214" s="231"/>
      <c r="G214" s="167"/>
      <c r="J214" s="62"/>
      <c r="K214" s="62"/>
      <c r="R214" s="62"/>
    </row>
    <row r="215" ht="15.75" customHeight="1">
      <c r="B215" s="167"/>
      <c r="E215" s="231"/>
      <c r="G215" s="167"/>
      <c r="J215" s="62"/>
      <c r="K215" s="62"/>
      <c r="R215" s="62"/>
    </row>
    <row r="216" ht="15.75" customHeight="1">
      <c r="B216" s="167"/>
      <c r="E216" s="231"/>
      <c r="G216" s="167"/>
      <c r="J216" s="62"/>
      <c r="K216" s="62"/>
      <c r="R216" s="62"/>
    </row>
    <row r="217" ht="15.75" customHeight="1">
      <c r="A217" s="20" t="s">
        <v>377</v>
      </c>
      <c r="B217" s="2"/>
      <c r="C217" s="2"/>
      <c r="D217" s="2"/>
      <c r="E217" s="2"/>
      <c r="F217" s="2"/>
      <c r="G217" s="2"/>
      <c r="H217" s="2"/>
      <c r="I217" s="2"/>
      <c r="J217" s="2"/>
      <c r="K217" s="3"/>
      <c r="R217" s="62"/>
    </row>
    <row r="218" ht="15.75" customHeight="1">
      <c r="A218" s="21" t="str">
        <f>TEXT(DATE(VALUE(MID(A164,7,4)),VALUE(MID(A164,4,2)),VALUE(LEFT(A164,2)))+7,"dd/mm/yyyy")&amp;" 13h às 17h"</f>
        <v>28/08/2026 13h às 17h</v>
      </c>
      <c r="B218" s="2"/>
      <c r="C218" s="2"/>
      <c r="D218" s="2"/>
      <c r="E218" s="2"/>
      <c r="F218" s="2"/>
      <c r="G218" s="2"/>
      <c r="H218" s="2"/>
      <c r="I218" s="2"/>
      <c r="J218" s="2"/>
      <c r="K218" s="3"/>
      <c r="R218" s="62"/>
    </row>
    <row r="219" ht="15.75" customHeight="1">
      <c r="A219" s="22"/>
      <c r="B219" s="426" t="s">
        <v>3</v>
      </c>
      <c r="C219" s="24" t="s">
        <v>2</v>
      </c>
      <c r="D219" s="25" t="s">
        <v>5</v>
      </c>
      <c r="E219" s="26" t="s">
        <v>19</v>
      </c>
      <c r="F219" s="25" t="s">
        <v>6</v>
      </c>
      <c r="G219" s="234" t="s">
        <v>7</v>
      </c>
      <c r="H219" s="27" t="s">
        <v>8</v>
      </c>
      <c r="I219" s="28" t="s">
        <v>20</v>
      </c>
      <c r="J219" s="25" t="s">
        <v>21</v>
      </c>
      <c r="K219" s="25" t="s">
        <v>22</v>
      </c>
      <c r="R219" s="62"/>
    </row>
    <row r="220" ht="15.75" customHeight="1">
      <c r="A220" s="11" t="s">
        <v>10</v>
      </c>
      <c r="B220" s="205" t="s">
        <v>1980</v>
      </c>
      <c r="C220" s="69" t="str">
        <f t="shared" ref="C220:C231" si="25">PROPER(TEXT(DATE(MID($A$218,7,4),MID($A$218,4,2),LEFT($A$218,2)),"dddd"))</f>
        <v>Sexta-Feira</v>
      </c>
      <c r="D220" s="445" t="str">
        <f>IF(C220&lt;&gt;"Quarta-Feira","13:00","08:00")</f>
        <v>13:00</v>
      </c>
      <c r="E220" s="253"/>
      <c r="F220" s="69"/>
      <c r="G220" s="154"/>
      <c r="H220" s="193"/>
      <c r="I220" s="30"/>
      <c r="J220" s="69"/>
      <c r="K220" s="69"/>
      <c r="N220" s="237" t="s">
        <v>386</v>
      </c>
      <c r="O220" s="95"/>
      <c r="P220" s="95"/>
      <c r="Q220" s="95"/>
      <c r="R220" s="95"/>
    </row>
    <row r="221" ht="15.75" customHeight="1">
      <c r="A221" s="11" t="s">
        <v>11</v>
      </c>
      <c r="B221" s="205" t="s">
        <v>1984</v>
      </c>
      <c r="C221" s="69" t="str">
        <f t="shared" si="25"/>
        <v>Sexta-Feira</v>
      </c>
      <c r="D221" s="445" t="str">
        <f>IF(C221&lt;&gt;"Quarta-Feira","13:20","08:20")</f>
        <v>13:20</v>
      </c>
      <c r="E221" s="253"/>
      <c r="F221" s="69"/>
      <c r="G221" s="154"/>
      <c r="H221" s="193"/>
      <c r="I221" s="30"/>
      <c r="J221" s="69"/>
      <c r="K221" s="69"/>
      <c r="N221" s="239" t="s">
        <v>1823</v>
      </c>
      <c r="O221" s="2"/>
      <c r="P221" s="2"/>
      <c r="Q221" s="2"/>
      <c r="R221" s="2"/>
    </row>
    <row r="222" ht="15.75" customHeight="1">
      <c r="A222" s="11" t="s">
        <v>12</v>
      </c>
      <c r="B222" s="205" t="s">
        <v>1988</v>
      </c>
      <c r="C222" s="69" t="str">
        <f t="shared" si="25"/>
        <v>Sexta-Feira</v>
      </c>
      <c r="D222" s="445" t="str">
        <f>IF(C222&lt;&gt;"Quarta-Feira","13:40","08:40")</f>
        <v>13:40</v>
      </c>
      <c r="E222" s="253"/>
      <c r="F222" s="69"/>
      <c r="G222" s="154"/>
      <c r="H222" s="193"/>
      <c r="I222" s="30"/>
      <c r="J222" s="69"/>
      <c r="K222" s="69"/>
      <c r="N222" s="240" t="s">
        <v>182</v>
      </c>
      <c r="O222" s="241" t="s">
        <v>194</v>
      </c>
      <c r="P222" s="241" t="s">
        <v>180</v>
      </c>
      <c r="Q222" s="242" t="s">
        <v>172</v>
      </c>
      <c r="R222" s="62" t="s">
        <v>1822</v>
      </c>
    </row>
    <row r="223" ht="15.75" customHeight="1">
      <c r="A223" s="11" t="s">
        <v>13</v>
      </c>
      <c r="B223" s="205" t="s">
        <v>1991</v>
      </c>
      <c r="C223" s="69" t="str">
        <f t="shared" si="25"/>
        <v>Sexta-Feira</v>
      </c>
      <c r="D223" s="445" t="str">
        <f>IF(C223&lt;&gt;"Quarta-Feira","14:00","09:00")</f>
        <v>14:00</v>
      </c>
      <c r="E223" s="253"/>
      <c r="F223" s="69"/>
      <c r="G223" s="154"/>
      <c r="H223" s="193"/>
      <c r="I223" s="30"/>
      <c r="J223" s="69"/>
      <c r="K223" s="69"/>
      <c r="N223" s="244">
        <f t="shared" ref="N223:R223" si="26">COUNTIFS($I$166:$I$177,$N$168)</f>
        <v>0</v>
      </c>
      <c r="O223" s="244">
        <f t="shared" si="26"/>
        <v>0</v>
      </c>
      <c r="P223" s="244">
        <f t="shared" si="26"/>
        <v>0</v>
      </c>
      <c r="Q223" s="244">
        <f t="shared" si="26"/>
        <v>0</v>
      </c>
      <c r="R223" s="244">
        <f t="shared" si="26"/>
        <v>0</v>
      </c>
    </row>
    <row r="224" ht="15.75" customHeight="1">
      <c r="A224" s="11" t="s">
        <v>14</v>
      </c>
      <c r="B224" s="205" t="s">
        <v>1980</v>
      </c>
      <c r="C224" s="69" t="str">
        <f t="shared" si="25"/>
        <v>Sexta-Feira</v>
      </c>
      <c r="D224" s="445" t="str">
        <f>IF(C224&lt;&gt;"Quarta-Feira","14:20","09:20")</f>
        <v>14:20</v>
      </c>
      <c r="E224" s="253"/>
      <c r="F224" s="69"/>
      <c r="G224" s="154"/>
      <c r="H224" s="193"/>
      <c r="I224" s="30"/>
      <c r="J224" s="69"/>
      <c r="K224" s="69"/>
      <c r="R224" s="62"/>
    </row>
    <row r="225" ht="15.75" customHeight="1">
      <c r="A225" s="11" t="s">
        <v>15</v>
      </c>
      <c r="B225" s="205" t="s">
        <v>1984</v>
      </c>
      <c r="C225" s="69" t="str">
        <f t="shared" si="25"/>
        <v>Sexta-Feira</v>
      </c>
      <c r="D225" s="445" t="str">
        <f>IF(C225&lt;&gt;"Quarta-Feira","14:40","09:40")</f>
        <v>14:40</v>
      </c>
      <c r="E225" s="253"/>
      <c r="F225" s="69"/>
      <c r="G225" s="154"/>
      <c r="H225" s="193"/>
      <c r="I225" s="30"/>
      <c r="J225" s="69"/>
      <c r="K225" s="69"/>
      <c r="R225" s="62"/>
    </row>
    <row r="226" ht="15.75" customHeight="1">
      <c r="A226" s="11" t="s">
        <v>16</v>
      </c>
      <c r="B226" s="205" t="s">
        <v>1988</v>
      </c>
      <c r="C226" s="69" t="str">
        <f t="shared" si="25"/>
        <v>Sexta-Feira</v>
      </c>
      <c r="D226" s="445" t="str">
        <f>IF(C226&lt;&gt;"Quarta-Feira","15:00","10:00")</f>
        <v>15:00</v>
      </c>
      <c r="E226" s="253"/>
      <c r="F226" s="69"/>
      <c r="G226" s="154"/>
      <c r="H226" s="193"/>
      <c r="I226" s="30"/>
      <c r="J226" s="69"/>
      <c r="K226" s="69"/>
      <c r="R226" s="62"/>
    </row>
    <row r="227" ht="15.75" customHeight="1">
      <c r="A227" s="11" t="s">
        <v>17</v>
      </c>
      <c r="B227" s="205" t="s">
        <v>1991</v>
      </c>
      <c r="C227" s="69" t="str">
        <f t="shared" si="25"/>
        <v>Sexta-Feira</v>
      </c>
      <c r="D227" s="445" t="str">
        <f>IF(C227&lt;&gt;"Quarta-Feira","15:20","10:20")</f>
        <v>15:20</v>
      </c>
      <c r="E227" s="253"/>
      <c r="F227" s="69"/>
      <c r="G227" s="154"/>
      <c r="H227" s="193"/>
      <c r="I227" s="30"/>
      <c r="J227" s="69"/>
      <c r="K227" s="69"/>
      <c r="R227" s="62"/>
    </row>
    <row r="228" ht="15.75" customHeight="1">
      <c r="A228" s="11" t="s">
        <v>85</v>
      </c>
      <c r="B228" s="205" t="s">
        <v>1980</v>
      </c>
      <c r="C228" s="69" t="str">
        <f t="shared" si="25"/>
        <v>Sexta-Feira</v>
      </c>
      <c r="D228" s="445" t="str">
        <f>IF(C228&lt;&gt;"Quarta-Feira","15:40","10:40")</f>
        <v>15:40</v>
      </c>
      <c r="E228" s="253"/>
      <c r="F228" s="69"/>
      <c r="G228" s="154"/>
      <c r="H228" s="193"/>
      <c r="I228" s="30"/>
      <c r="J228" s="69"/>
      <c r="K228" s="69"/>
      <c r="R228" s="62"/>
    </row>
    <row r="229" ht="15.75" customHeight="1">
      <c r="A229" s="11" t="s">
        <v>87</v>
      </c>
      <c r="B229" s="205" t="s">
        <v>1984</v>
      </c>
      <c r="C229" s="69" t="str">
        <f t="shared" si="25"/>
        <v>Sexta-Feira</v>
      </c>
      <c r="D229" s="445" t="str">
        <f>IF(C229&lt;&gt;"Quarta-Feira","16:00","11:00")</f>
        <v>16:00</v>
      </c>
      <c r="E229" s="253"/>
      <c r="F229" s="69"/>
      <c r="G229" s="154"/>
      <c r="H229" s="193"/>
      <c r="I229" s="30"/>
      <c r="J229" s="69"/>
      <c r="K229" s="69"/>
      <c r="R229" s="62"/>
    </row>
    <row r="230" ht="15.75" customHeight="1">
      <c r="A230" s="11" t="s">
        <v>90</v>
      </c>
      <c r="B230" s="205" t="s">
        <v>1988</v>
      </c>
      <c r="C230" s="69" t="str">
        <f t="shared" si="25"/>
        <v>Sexta-Feira</v>
      </c>
      <c r="D230" s="445" t="str">
        <f>IF(C230&lt;&gt;"Quarta-Feira","16:20","11:20")</f>
        <v>16:20</v>
      </c>
      <c r="E230" s="253"/>
      <c r="F230" s="69"/>
      <c r="G230" s="154"/>
      <c r="H230" s="193"/>
      <c r="I230" s="30"/>
      <c r="J230" s="69"/>
      <c r="K230" s="69"/>
      <c r="R230" s="62"/>
    </row>
    <row r="231" ht="15.75" customHeight="1">
      <c r="A231" s="11" t="s">
        <v>93</v>
      </c>
      <c r="B231" s="205" t="s">
        <v>1991</v>
      </c>
      <c r="C231" s="69" t="str">
        <f t="shared" si="25"/>
        <v>Sexta-Feira</v>
      </c>
      <c r="D231" s="445" t="str">
        <f>IF(C231&lt;&gt;"Quarta-Feira","16:40","11:40")</f>
        <v>16:40</v>
      </c>
      <c r="E231" s="253"/>
      <c r="F231" s="69"/>
      <c r="G231" s="154"/>
      <c r="H231" s="193"/>
      <c r="I231" s="30"/>
      <c r="J231" s="69"/>
      <c r="K231" s="69"/>
      <c r="R231" s="62"/>
    </row>
    <row r="232" ht="15.75" customHeight="1">
      <c r="B232" s="167"/>
      <c r="E232" s="231"/>
      <c r="G232" s="167"/>
      <c r="J232" s="62"/>
      <c r="K232" s="62"/>
      <c r="R232" s="62"/>
    </row>
    <row r="233" ht="15.75" customHeight="1">
      <c r="B233" s="167"/>
      <c r="E233" s="231"/>
      <c r="G233" s="167"/>
      <c r="J233" s="62"/>
      <c r="K233" s="62"/>
      <c r="R233" s="62"/>
    </row>
    <row r="234" ht="15.75" customHeight="1">
      <c r="B234" s="167"/>
      <c r="E234" s="231"/>
      <c r="G234" s="167"/>
      <c r="J234" s="62"/>
      <c r="K234" s="62"/>
      <c r="R234" s="62"/>
    </row>
    <row r="235" ht="15.75" customHeight="1">
      <c r="A235" s="20" t="s">
        <v>377</v>
      </c>
      <c r="B235" s="2"/>
      <c r="C235" s="2"/>
      <c r="D235" s="2"/>
      <c r="E235" s="2"/>
      <c r="F235" s="2"/>
      <c r="G235" s="2"/>
      <c r="H235" s="2"/>
      <c r="I235" s="2"/>
      <c r="J235" s="2"/>
      <c r="K235" s="3"/>
      <c r="R235" s="62"/>
    </row>
    <row r="236" ht="15.75" customHeight="1">
      <c r="A236" s="21" t="str">
        <f>TEXT(DATE(VALUE(MID(A218,7,4)),VALUE(MID(A218,4,2)),VALUE(LEFT(A218,2)))+3,"dd/mm/yyyy")&amp;" 13h às 17h"</f>
        <v>31/08/2026 13h às 17h</v>
      </c>
      <c r="B236" s="2"/>
      <c r="C236" s="2"/>
      <c r="D236" s="2"/>
      <c r="E236" s="2"/>
      <c r="F236" s="2"/>
      <c r="G236" s="2"/>
      <c r="H236" s="2"/>
      <c r="I236" s="2"/>
      <c r="J236" s="2"/>
      <c r="K236" s="3"/>
    </row>
    <row r="237" ht="15.75" customHeight="1">
      <c r="A237" s="22"/>
      <c r="B237" s="426" t="s">
        <v>3</v>
      </c>
      <c r="C237" s="24" t="s">
        <v>2</v>
      </c>
      <c r="D237" s="25" t="s">
        <v>5</v>
      </c>
      <c r="E237" s="26" t="s">
        <v>19</v>
      </c>
      <c r="F237" s="25" t="s">
        <v>6</v>
      </c>
      <c r="G237" s="234" t="s">
        <v>7</v>
      </c>
      <c r="H237" s="27" t="s">
        <v>8</v>
      </c>
      <c r="I237" s="28" t="s">
        <v>20</v>
      </c>
      <c r="J237" s="25" t="s">
        <v>21</v>
      </c>
      <c r="K237" s="25" t="s">
        <v>22</v>
      </c>
    </row>
    <row r="238" ht="15.75" customHeight="1">
      <c r="A238" s="11" t="s">
        <v>10</v>
      </c>
      <c r="B238" s="205" t="s">
        <v>2013</v>
      </c>
      <c r="C238" s="69" t="str">
        <f t="shared" ref="C238:C249" si="27">PROPER(TEXT(DATE(MID($A$236,7,4),MID($A$236,4,2),LEFT($A$236,2)),"dddd"))</f>
        <v>Segunda-Feira</v>
      </c>
      <c r="D238" s="445" t="str">
        <f>IF(C238&lt;&gt;"Quarta-Feira","13:00","08:00")</f>
        <v>13:00</v>
      </c>
      <c r="E238" s="253"/>
      <c r="F238" s="69"/>
      <c r="G238" s="154"/>
      <c r="H238" s="193"/>
      <c r="I238" s="30"/>
      <c r="J238" s="69"/>
      <c r="K238" s="69"/>
      <c r="N238" s="237" t="s">
        <v>386</v>
      </c>
      <c r="O238" s="95"/>
      <c r="P238" s="95"/>
      <c r="Q238" s="95"/>
      <c r="R238" s="95"/>
    </row>
    <row r="239" ht="15.75" customHeight="1">
      <c r="A239" s="11" t="s">
        <v>11</v>
      </c>
      <c r="B239" s="205" t="s">
        <v>2018</v>
      </c>
      <c r="C239" s="69" t="str">
        <f t="shared" si="27"/>
        <v>Segunda-Feira</v>
      </c>
      <c r="D239" s="445" t="str">
        <f>IF(C239&lt;&gt;"Quarta-Feira","13:20","08:20")</f>
        <v>13:20</v>
      </c>
      <c r="E239" s="253"/>
      <c r="F239" s="69"/>
      <c r="G239" s="154"/>
      <c r="H239" s="72"/>
      <c r="I239" s="30"/>
      <c r="J239" s="69"/>
      <c r="K239" s="69"/>
      <c r="N239" s="239" t="s">
        <v>1823</v>
      </c>
      <c r="O239" s="2"/>
      <c r="P239" s="2"/>
      <c r="Q239" s="2"/>
      <c r="R239" s="2"/>
    </row>
    <row r="240" ht="15.75" customHeight="1">
      <c r="A240" s="11" t="s">
        <v>12</v>
      </c>
      <c r="B240" s="205" t="s">
        <v>2020</v>
      </c>
      <c r="C240" s="69" t="str">
        <f t="shared" si="27"/>
        <v>Segunda-Feira</v>
      </c>
      <c r="D240" s="445" t="str">
        <f>IF(C240&lt;&gt;"Quarta-Feira","13:40","08:40")</f>
        <v>13:40</v>
      </c>
      <c r="E240" s="253"/>
      <c r="F240" s="69"/>
      <c r="G240" s="154"/>
      <c r="H240" s="78"/>
      <c r="I240" s="30"/>
      <c r="J240" s="69"/>
      <c r="K240" s="69"/>
      <c r="N240" s="240" t="s">
        <v>182</v>
      </c>
      <c r="O240" s="241" t="s">
        <v>194</v>
      </c>
      <c r="P240" s="241" t="s">
        <v>180</v>
      </c>
      <c r="Q240" s="242" t="s">
        <v>172</v>
      </c>
      <c r="R240" s="62" t="s">
        <v>1822</v>
      </c>
    </row>
    <row r="241" ht="15.75" customHeight="1">
      <c r="A241" s="11" t="s">
        <v>13</v>
      </c>
      <c r="B241" s="205" t="s">
        <v>2023</v>
      </c>
      <c r="C241" s="69" t="str">
        <f t="shared" si="27"/>
        <v>Segunda-Feira</v>
      </c>
      <c r="D241" s="445" t="str">
        <f>IF(C241&lt;&gt;"Quarta-Feira","14:00","09:00")</f>
        <v>14:00</v>
      </c>
      <c r="E241" s="253"/>
      <c r="F241" s="69"/>
      <c r="G241" s="154"/>
      <c r="H241" s="78"/>
      <c r="I241" s="30"/>
      <c r="J241" s="69"/>
      <c r="K241" s="69"/>
      <c r="N241" s="244">
        <f t="shared" ref="N241:R241" si="28">COUNTIFS($I$184:$I$195,$N$168)</f>
        <v>0</v>
      </c>
      <c r="O241" s="244">
        <f t="shared" si="28"/>
        <v>0</v>
      </c>
      <c r="P241" s="244">
        <f t="shared" si="28"/>
        <v>0</v>
      </c>
      <c r="Q241" s="244">
        <f t="shared" si="28"/>
        <v>0</v>
      </c>
      <c r="R241" s="244">
        <f t="shared" si="28"/>
        <v>0</v>
      </c>
    </row>
    <row r="242" ht="15.75" customHeight="1">
      <c r="A242" s="11" t="s">
        <v>14</v>
      </c>
      <c r="B242" s="205" t="s">
        <v>2018</v>
      </c>
      <c r="C242" s="69" t="str">
        <f t="shared" si="27"/>
        <v>Segunda-Feira</v>
      </c>
      <c r="D242" s="445" t="str">
        <f>IF(C242&lt;&gt;"Quarta-Feira","14:20","09:20")</f>
        <v>14:20</v>
      </c>
      <c r="E242" s="253"/>
      <c r="F242" s="69"/>
      <c r="G242" s="154"/>
      <c r="H242" s="78"/>
      <c r="I242" s="30"/>
      <c r="J242" s="69"/>
      <c r="K242" s="69"/>
      <c r="R242" s="62"/>
    </row>
    <row r="243" ht="15.75" customHeight="1">
      <c r="A243" s="11" t="s">
        <v>15</v>
      </c>
      <c r="B243" s="205" t="s">
        <v>2020</v>
      </c>
      <c r="C243" s="69" t="str">
        <f t="shared" si="27"/>
        <v>Segunda-Feira</v>
      </c>
      <c r="D243" s="445" t="str">
        <f>IF(C243&lt;&gt;"Quarta-Feira","14:40","09:40")</f>
        <v>14:40</v>
      </c>
      <c r="E243" s="253"/>
      <c r="F243" s="69"/>
      <c r="G243" s="154"/>
      <c r="H243" s="78"/>
      <c r="I243" s="30"/>
      <c r="J243" s="69"/>
      <c r="K243" s="69"/>
      <c r="R243" s="62"/>
    </row>
    <row r="244" ht="15.75" customHeight="1">
      <c r="A244" s="11" t="s">
        <v>16</v>
      </c>
      <c r="B244" s="205" t="s">
        <v>2013</v>
      </c>
      <c r="C244" s="69" t="str">
        <f t="shared" si="27"/>
        <v>Segunda-Feira</v>
      </c>
      <c r="D244" s="445" t="str">
        <f>IF(C244&lt;&gt;"Quarta-Feira","15:00","10:00")</f>
        <v>15:00</v>
      </c>
      <c r="E244" s="253"/>
      <c r="F244" s="69"/>
      <c r="G244" s="154"/>
      <c r="H244" s="78"/>
      <c r="I244" s="30"/>
      <c r="J244" s="69"/>
      <c r="K244" s="69"/>
      <c r="R244" s="62"/>
    </row>
    <row r="245" ht="15.75" customHeight="1">
      <c r="A245" s="11" t="s">
        <v>17</v>
      </c>
      <c r="B245" s="205" t="s">
        <v>2018</v>
      </c>
      <c r="C245" s="69" t="str">
        <f t="shared" si="27"/>
        <v>Segunda-Feira</v>
      </c>
      <c r="D245" s="445" t="str">
        <f>IF(C245&lt;&gt;"Quarta-Feira","15:20","10:20")</f>
        <v>15:20</v>
      </c>
      <c r="E245" s="253"/>
      <c r="F245" s="69"/>
      <c r="G245" s="154"/>
      <c r="H245" s="72"/>
      <c r="I245" s="30"/>
      <c r="J245" s="69"/>
      <c r="K245" s="69"/>
      <c r="R245" s="62"/>
    </row>
    <row r="246" ht="15.75" customHeight="1">
      <c r="A246" s="11" t="s">
        <v>85</v>
      </c>
      <c r="B246" s="205" t="s">
        <v>2023</v>
      </c>
      <c r="C246" s="69" t="str">
        <f t="shared" si="27"/>
        <v>Segunda-Feira</v>
      </c>
      <c r="D246" s="445" t="str">
        <f>IF(C246&lt;&gt;"Quarta-Feira","15:40","10:40")</f>
        <v>15:40</v>
      </c>
      <c r="E246" s="253"/>
      <c r="F246" s="69"/>
      <c r="G246" s="154"/>
      <c r="H246" s="78"/>
      <c r="I246" s="30"/>
      <c r="J246" s="69"/>
      <c r="K246" s="69"/>
      <c r="R246" s="62"/>
    </row>
    <row r="247" ht="15.75" customHeight="1">
      <c r="A247" s="11" t="s">
        <v>87</v>
      </c>
      <c r="B247" s="205" t="s">
        <v>2020</v>
      </c>
      <c r="C247" s="69" t="str">
        <f t="shared" si="27"/>
        <v>Segunda-Feira</v>
      </c>
      <c r="D247" s="445" t="str">
        <f>IF(C247&lt;&gt;"Quarta-Feira","16:00","11:00")</f>
        <v>16:00</v>
      </c>
      <c r="E247" s="253"/>
      <c r="F247" s="69"/>
      <c r="G247" s="154"/>
      <c r="H247" s="153"/>
      <c r="I247" s="30"/>
      <c r="J247" s="69"/>
      <c r="K247" s="69"/>
      <c r="R247" s="62"/>
    </row>
    <row r="248" ht="15.75" customHeight="1">
      <c r="A248" s="11" t="s">
        <v>90</v>
      </c>
      <c r="B248" s="205" t="s">
        <v>2023</v>
      </c>
      <c r="C248" s="69" t="str">
        <f t="shared" si="27"/>
        <v>Segunda-Feira</v>
      </c>
      <c r="D248" s="445" t="str">
        <f>IF(C248&lt;&gt;"Quarta-Feira","16:20","11:20")</f>
        <v>16:20</v>
      </c>
      <c r="E248" s="253"/>
      <c r="F248" s="69"/>
      <c r="G248" s="154"/>
      <c r="H248" s="153"/>
      <c r="I248" s="30"/>
      <c r="J248" s="69"/>
      <c r="K248" s="69"/>
      <c r="R248" s="62"/>
    </row>
    <row r="249" ht="15.75" customHeight="1">
      <c r="A249" s="11" t="s">
        <v>93</v>
      </c>
      <c r="B249" s="205" t="s">
        <v>2013</v>
      </c>
      <c r="C249" s="69" t="str">
        <f t="shared" si="27"/>
        <v>Segunda-Feira</v>
      </c>
      <c r="D249" s="445" t="str">
        <f>IF(C249&lt;&gt;"Quarta-Feira","16:40","11:40")</f>
        <v>16:40</v>
      </c>
      <c r="E249" s="253"/>
      <c r="F249" s="69"/>
      <c r="G249" s="154"/>
      <c r="H249" s="153"/>
      <c r="I249" s="30"/>
      <c r="J249" s="69"/>
      <c r="K249" s="69"/>
      <c r="R249" s="62"/>
    </row>
    <row r="250" ht="15.75" customHeight="1">
      <c r="B250" s="167"/>
      <c r="E250" s="231"/>
      <c r="G250" s="167"/>
      <c r="J250" s="62"/>
      <c r="K250" s="62"/>
      <c r="R250" s="62"/>
    </row>
    <row r="251" ht="15.75" customHeight="1">
      <c r="B251" s="167"/>
      <c r="E251" s="231"/>
      <c r="G251" s="167"/>
      <c r="J251" s="62"/>
      <c r="K251" s="62"/>
      <c r="R251" s="62"/>
    </row>
    <row r="252" ht="15.75" customHeight="1">
      <c r="B252" s="167"/>
      <c r="E252" s="231"/>
      <c r="G252" s="167"/>
      <c r="J252" s="62"/>
      <c r="K252" s="62"/>
      <c r="R252" s="62"/>
    </row>
    <row r="253" ht="15.75" hidden="1" customHeight="1">
      <c r="A253" s="20" t="s">
        <v>377</v>
      </c>
      <c r="B253" s="2"/>
      <c r="C253" s="2"/>
      <c r="D253" s="2"/>
      <c r="E253" s="2"/>
      <c r="F253" s="2"/>
      <c r="G253" s="2"/>
      <c r="H253" s="2"/>
      <c r="I253" s="2"/>
      <c r="J253" s="2"/>
      <c r="K253" s="3"/>
      <c r="R253" s="62"/>
    </row>
    <row r="254" ht="15.75" hidden="1" customHeight="1">
      <c r="A254" s="21" t="str">
        <f>TEXT(DATE(VALUE(MID(A236,7,4)),VALUE(MID(A236,4,2)),VALUE(LEFT(A236,2)))+2,"dd/mm/yyyy")&amp;" 08h às 13h"</f>
        <v>02/09/2026 08h às 13h</v>
      </c>
      <c r="B254" s="2"/>
      <c r="C254" s="2"/>
      <c r="D254" s="2"/>
      <c r="E254" s="2"/>
      <c r="F254" s="2"/>
      <c r="G254" s="2"/>
      <c r="H254" s="2"/>
      <c r="I254" s="2"/>
      <c r="J254" s="2"/>
      <c r="K254" s="3"/>
      <c r="R254" s="62"/>
    </row>
    <row r="255" ht="15.75" hidden="1" customHeight="1">
      <c r="A255" s="22"/>
      <c r="B255" s="426" t="s">
        <v>3</v>
      </c>
      <c r="C255" s="24" t="s">
        <v>2</v>
      </c>
      <c r="D255" s="25" t="s">
        <v>5</v>
      </c>
      <c r="E255" s="26" t="s">
        <v>19</v>
      </c>
      <c r="F255" s="25" t="s">
        <v>6</v>
      </c>
      <c r="G255" s="234" t="s">
        <v>7</v>
      </c>
      <c r="H255" s="27" t="s">
        <v>8</v>
      </c>
      <c r="I255" s="28" t="s">
        <v>20</v>
      </c>
      <c r="J255" s="25" t="s">
        <v>21</v>
      </c>
      <c r="K255" s="25" t="s">
        <v>22</v>
      </c>
      <c r="R255" s="62"/>
    </row>
    <row r="256" ht="15.75" hidden="1" customHeight="1">
      <c r="A256" s="11" t="s">
        <v>10</v>
      </c>
      <c r="B256" s="205" t="s">
        <v>2380</v>
      </c>
      <c r="C256" s="69" t="str">
        <f t="shared" ref="C256:C267" si="29">PROPER(TEXT(DATE(MID($A$146,7,4),MID($A$146,4,2),LEFT($A$146,2)),"dddd"))</f>
        <v>Quarta-Feira</v>
      </c>
      <c r="D256" s="445" t="str">
        <f>IF(C256&lt;&gt;"Quarta-Feira","13:00","08:00")</f>
        <v>08:00</v>
      </c>
      <c r="E256" s="253"/>
      <c r="F256" s="404"/>
      <c r="G256" s="154"/>
      <c r="H256" s="78"/>
      <c r="I256" s="30"/>
      <c r="J256" s="69"/>
      <c r="K256" s="69"/>
      <c r="N256" s="237" t="s">
        <v>386</v>
      </c>
      <c r="O256" s="95"/>
      <c r="P256" s="95"/>
      <c r="Q256" s="95"/>
      <c r="R256" s="95"/>
    </row>
    <row r="257" ht="15.75" hidden="1" customHeight="1">
      <c r="A257" s="11" t="s">
        <v>11</v>
      </c>
      <c r="B257" s="205" t="s">
        <v>2383</v>
      </c>
      <c r="C257" s="69" t="str">
        <f t="shared" si="29"/>
        <v>Quarta-Feira</v>
      </c>
      <c r="D257" s="445" t="str">
        <f>IF(C257&lt;&gt;"Quarta-Feira","13:20","08:20")</f>
        <v>08:20</v>
      </c>
      <c r="E257" s="253"/>
      <c r="F257" s="69"/>
      <c r="G257" s="154"/>
      <c r="H257" s="78"/>
      <c r="I257" s="30"/>
      <c r="J257" s="69"/>
      <c r="K257" s="69"/>
      <c r="N257" s="239" t="s">
        <v>1823</v>
      </c>
      <c r="O257" s="2"/>
      <c r="P257" s="2"/>
      <c r="Q257" s="2"/>
      <c r="R257" s="2"/>
    </row>
    <row r="258" ht="15.75" hidden="1" customHeight="1">
      <c r="A258" s="11" t="s">
        <v>12</v>
      </c>
      <c r="B258" s="205" t="s">
        <v>2386</v>
      </c>
      <c r="C258" s="69" t="str">
        <f t="shared" si="29"/>
        <v>Quarta-Feira</v>
      </c>
      <c r="D258" s="445" t="str">
        <f>IF(C258&lt;&gt;"Quarta-Feira","13:40","08:40")</f>
        <v>08:40</v>
      </c>
      <c r="E258" s="253"/>
      <c r="F258" s="69"/>
      <c r="G258" s="154"/>
      <c r="H258" s="78"/>
      <c r="I258" s="30"/>
      <c r="J258" s="69"/>
      <c r="K258" s="69"/>
      <c r="N258" s="240" t="s">
        <v>182</v>
      </c>
      <c r="O258" s="241" t="s">
        <v>194</v>
      </c>
      <c r="P258" s="241" t="s">
        <v>180</v>
      </c>
      <c r="Q258" s="242" t="s">
        <v>172</v>
      </c>
      <c r="R258" s="62" t="s">
        <v>1822</v>
      </c>
    </row>
    <row r="259" ht="15.75" hidden="1" customHeight="1">
      <c r="A259" s="11" t="s">
        <v>13</v>
      </c>
      <c r="B259" s="205" t="s">
        <v>2389</v>
      </c>
      <c r="C259" s="69" t="str">
        <f t="shared" si="29"/>
        <v>Quarta-Feira</v>
      </c>
      <c r="D259" s="445" t="str">
        <f>IF(C259&lt;&gt;"Quarta-Feira","14:00","09:00")</f>
        <v>09:00</v>
      </c>
      <c r="E259" s="253"/>
      <c r="F259" s="69"/>
      <c r="G259" s="154"/>
      <c r="H259" s="78"/>
      <c r="I259" s="30"/>
      <c r="J259" s="69"/>
      <c r="K259" s="69"/>
      <c r="N259" s="244">
        <f t="shared" ref="N259:R259" si="30">COUNTIFS($I$202:$I$213,$N$168)</f>
        <v>0</v>
      </c>
      <c r="O259" s="244">
        <f t="shared" si="30"/>
        <v>0</v>
      </c>
      <c r="P259" s="244">
        <f t="shared" si="30"/>
        <v>0</v>
      </c>
      <c r="Q259" s="244">
        <f t="shared" si="30"/>
        <v>0</v>
      </c>
      <c r="R259" s="244">
        <f t="shared" si="30"/>
        <v>0</v>
      </c>
    </row>
    <row r="260" ht="15.75" hidden="1" customHeight="1">
      <c r="A260" s="11" t="s">
        <v>14</v>
      </c>
      <c r="B260" s="205" t="s">
        <v>2380</v>
      </c>
      <c r="C260" s="69" t="str">
        <f t="shared" si="29"/>
        <v>Quarta-Feira</v>
      </c>
      <c r="D260" s="445" t="str">
        <f>IF(C260&lt;&gt;"Quarta-Feira","14:20","09:20")</f>
        <v>09:20</v>
      </c>
      <c r="E260" s="253"/>
      <c r="F260" s="69"/>
      <c r="G260" s="154"/>
      <c r="H260" s="78"/>
      <c r="I260" s="30"/>
      <c r="J260" s="69"/>
      <c r="K260" s="69"/>
      <c r="R260" s="62"/>
    </row>
    <row r="261" ht="15.75" hidden="1" customHeight="1">
      <c r="A261" s="11" t="s">
        <v>15</v>
      </c>
      <c r="B261" s="205" t="s">
        <v>2383</v>
      </c>
      <c r="C261" s="69" t="str">
        <f t="shared" si="29"/>
        <v>Quarta-Feira</v>
      </c>
      <c r="D261" s="445" t="str">
        <f>IF(C261&lt;&gt;"Quarta-Feira","14:40","09:40")</f>
        <v>09:40</v>
      </c>
      <c r="E261" s="253"/>
      <c r="F261" s="69"/>
      <c r="G261" s="154"/>
      <c r="H261" s="78"/>
      <c r="I261" s="30"/>
      <c r="J261" s="69"/>
      <c r="K261" s="69"/>
      <c r="R261" s="62"/>
    </row>
    <row r="262" ht="15.75" hidden="1" customHeight="1">
      <c r="A262" s="11" t="s">
        <v>16</v>
      </c>
      <c r="B262" s="205" t="s">
        <v>2386</v>
      </c>
      <c r="C262" s="69" t="str">
        <f t="shared" si="29"/>
        <v>Quarta-Feira</v>
      </c>
      <c r="D262" s="445" t="str">
        <f>IF(C262&lt;&gt;"Quarta-Feira","15:00","10:00")</f>
        <v>10:00</v>
      </c>
      <c r="E262" s="253"/>
      <c r="F262" s="404"/>
      <c r="G262" s="154"/>
      <c r="H262" s="78"/>
      <c r="I262" s="30"/>
      <c r="J262" s="69"/>
      <c r="K262" s="69"/>
      <c r="R262" s="62"/>
    </row>
    <row r="263" ht="15.75" hidden="1" customHeight="1">
      <c r="A263" s="11" t="s">
        <v>17</v>
      </c>
      <c r="B263" s="205" t="s">
        <v>2389</v>
      </c>
      <c r="C263" s="69" t="str">
        <f t="shared" si="29"/>
        <v>Quarta-Feira</v>
      </c>
      <c r="D263" s="445" t="str">
        <f>IF(C263&lt;&gt;"Quarta-Feira","15:20","10:20")</f>
        <v>10:20</v>
      </c>
      <c r="E263" s="253"/>
      <c r="F263" s="69"/>
      <c r="G263" s="154"/>
      <c r="H263" s="78"/>
      <c r="I263" s="30"/>
      <c r="J263" s="69"/>
      <c r="K263" s="69"/>
      <c r="R263" s="62"/>
    </row>
    <row r="264" ht="15.75" hidden="1" customHeight="1">
      <c r="A264" s="11" t="s">
        <v>85</v>
      </c>
      <c r="B264" s="205" t="s">
        <v>2383</v>
      </c>
      <c r="C264" s="69" t="str">
        <f t="shared" si="29"/>
        <v>Quarta-Feira</v>
      </c>
      <c r="D264" s="445" t="str">
        <f>IF(C264&lt;&gt;"Quarta-Feira","15:40","10:40")</f>
        <v>10:40</v>
      </c>
      <c r="E264" s="253"/>
      <c r="F264" s="69"/>
      <c r="G264" s="154"/>
      <c r="H264" s="78"/>
      <c r="I264" s="30"/>
      <c r="J264" s="69"/>
      <c r="K264" s="69"/>
      <c r="R264" s="62"/>
    </row>
    <row r="265" ht="15.75" hidden="1" customHeight="1">
      <c r="A265" s="11" t="s">
        <v>87</v>
      </c>
      <c r="B265" s="205" t="s">
        <v>2380</v>
      </c>
      <c r="C265" s="69" t="str">
        <f t="shared" si="29"/>
        <v>Quarta-Feira</v>
      </c>
      <c r="D265" s="445" t="str">
        <f>IF(C265&lt;&gt;"Quarta-Feira","16:00","11:00")</f>
        <v>11:00</v>
      </c>
      <c r="E265" s="253"/>
      <c r="F265" s="69"/>
      <c r="G265" s="154"/>
      <c r="H265" s="153"/>
      <c r="I265" s="30"/>
      <c r="J265" s="69"/>
      <c r="K265" s="69"/>
      <c r="R265" s="62"/>
    </row>
    <row r="266" ht="15.75" hidden="1" customHeight="1">
      <c r="A266" s="11" t="s">
        <v>90</v>
      </c>
      <c r="B266" s="205" t="s">
        <v>2380</v>
      </c>
      <c r="C266" s="69" t="str">
        <f t="shared" si="29"/>
        <v>Quarta-Feira</v>
      </c>
      <c r="D266" s="445" t="str">
        <f>IF(C266&lt;&gt;"Quarta-Feira","16:20","11:20")</f>
        <v>11:20</v>
      </c>
      <c r="E266" s="253"/>
      <c r="F266" s="69"/>
      <c r="G266" s="154"/>
      <c r="H266" s="153"/>
      <c r="I266" s="30"/>
      <c r="J266" s="69"/>
      <c r="K266" s="69"/>
      <c r="R266" s="62"/>
    </row>
    <row r="267" ht="15.75" hidden="1" customHeight="1">
      <c r="A267" s="11" t="s">
        <v>93</v>
      </c>
      <c r="B267" s="205" t="s">
        <v>2380</v>
      </c>
      <c r="C267" s="69" t="str">
        <f t="shared" si="29"/>
        <v>Quarta-Feira</v>
      </c>
      <c r="D267" s="445" t="str">
        <f>IF(C267&lt;&gt;"Quarta-Feira","16:40","11:40")</f>
        <v>11:40</v>
      </c>
      <c r="E267" s="253"/>
      <c r="F267" s="69"/>
      <c r="G267" s="154"/>
      <c r="H267" s="153"/>
      <c r="I267" s="30"/>
      <c r="J267" s="69"/>
      <c r="K267" s="69"/>
      <c r="R267" s="62"/>
    </row>
    <row r="268" ht="15.75" customHeight="1">
      <c r="B268" s="167"/>
      <c r="E268" s="231"/>
      <c r="G268" s="167"/>
      <c r="J268" s="62"/>
      <c r="K268" s="62"/>
      <c r="R268" s="62"/>
    </row>
    <row r="269" ht="15.75" customHeight="1">
      <c r="B269" s="167"/>
      <c r="E269" s="231"/>
      <c r="G269" s="167"/>
      <c r="J269" s="62"/>
      <c r="K269" s="62"/>
      <c r="R269" s="62"/>
    </row>
    <row r="270" ht="15.75" customHeight="1">
      <c r="B270" s="167"/>
      <c r="E270" s="231"/>
      <c r="G270" s="167"/>
      <c r="J270" s="62"/>
      <c r="K270" s="62"/>
      <c r="R270" s="62"/>
    </row>
    <row r="271" ht="15.75" customHeight="1">
      <c r="B271" s="167"/>
      <c r="E271" s="231"/>
      <c r="G271" s="167"/>
      <c r="J271" s="62"/>
      <c r="K271" s="62"/>
      <c r="R271" s="62"/>
    </row>
    <row r="272" ht="15.75" customHeight="1">
      <c r="B272" s="167"/>
      <c r="E272" s="231"/>
      <c r="G272" s="167"/>
      <c r="J272" s="62"/>
      <c r="K272" s="62"/>
      <c r="R272" s="62"/>
    </row>
    <row r="273" ht="15.75" customHeight="1">
      <c r="B273" s="167"/>
      <c r="E273" s="231"/>
      <c r="G273" s="167"/>
      <c r="J273" s="62"/>
      <c r="K273" s="62"/>
      <c r="R273" s="62"/>
    </row>
    <row r="274" ht="15.75" customHeight="1">
      <c r="B274" s="167"/>
      <c r="E274" s="231"/>
      <c r="G274" s="167"/>
      <c r="J274" s="62"/>
      <c r="K274" s="62"/>
      <c r="R274" s="62"/>
    </row>
    <row r="275" ht="15.75" customHeight="1">
      <c r="B275" s="167"/>
      <c r="E275" s="231"/>
      <c r="G275" s="167"/>
      <c r="J275" s="62"/>
      <c r="K275" s="62"/>
      <c r="R275" s="62"/>
    </row>
    <row r="276" ht="15.75" customHeight="1">
      <c r="B276" s="167"/>
      <c r="E276" s="231"/>
      <c r="G276" s="167"/>
      <c r="J276" s="62"/>
      <c r="K276" s="62"/>
      <c r="N276" s="237" t="s">
        <v>2079</v>
      </c>
      <c r="O276" s="95"/>
      <c r="P276" s="95"/>
      <c r="Q276" s="95"/>
      <c r="R276" s="95"/>
    </row>
    <row r="277" ht="15.75" customHeight="1">
      <c r="B277" s="167"/>
      <c r="E277" s="231"/>
      <c r="G277" s="167"/>
      <c r="J277" s="62"/>
      <c r="K277" s="62"/>
      <c r="N277" s="240" t="s">
        <v>182</v>
      </c>
      <c r="O277" s="241" t="s">
        <v>194</v>
      </c>
      <c r="P277" s="241" t="s">
        <v>180</v>
      </c>
      <c r="Q277" s="242" t="s">
        <v>172</v>
      </c>
      <c r="R277" s="62" t="s">
        <v>1822</v>
      </c>
    </row>
    <row r="278" ht="15.75" customHeight="1">
      <c r="B278" s="167"/>
      <c r="E278" s="231"/>
      <c r="G278" s="167"/>
      <c r="J278" s="62"/>
      <c r="K278" s="62"/>
      <c r="N278" s="197">
        <f t="shared" ref="N278:R278" si="31">SUM(N59:N272)</f>
        <v>0</v>
      </c>
      <c r="O278" s="197">
        <f t="shared" si="31"/>
        <v>0</v>
      </c>
      <c r="P278" s="197">
        <f t="shared" si="31"/>
        <v>0</v>
      </c>
      <c r="Q278" s="197">
        <f t="shared" si="31"/>
        <v>0</v>
      </c>
      <c r="R278" s="197">
        <f t="shared" si="31"/>
        <v>0</v>
      </c>
    </row>
    <row r="279" ht="15.75" customHeight="1">
      <c r="B279" s="167"/>
      <c r="E279" s="231"/>
      <c r="G279" s="167"/>
      <c r="J279" s="62"/>
      <c r="K279" s="62"/>
      <c r="R279" s="62"/>
    </row>
    <row r="280" ht="15.75" customHeight="1">
      <c r="B280" s="167"/>
      <c r="E280" s="231"/>
      <c r="G280" s="167"/>
      <c r="J280" s="62"/>
      <c r="K280" s="62"/>
      <c r="R280" s="62"/>
    </row>
    <row r="281" ht="15.75" customHeight="1">
      <c r="B281" s="167"/>
      <c r="E281" s="231"/>
      <c r="G281" s="167"/>
      <c r="J281" s="62"/>
      <c r="K281" s="62"/>
      <c r="R281" s="62"/>
    </row>
    <row r="282" ht="15.75" customHeight="1">
      <c r="B282" s="167"/>
      <c r="E282" s="231"/>
      <c r="G282" s="167"/>
      <c r="J282" s="62"/>
      <c r="K282" s="62"/>
      <c r="R282" s="62"/>
    </row>
    <row r="283" ht="15.75" customHeight="1">
      <c r="B283" s="167"/>
      <c r="E283" s="231"/>
      <c r="G283" s="167"/>
      <c r="J283" s="62"/>
      <c r="K283" s="62"/>
      <c r="R283" s="62"/>
    </row>
    <row r="284" ht="15.75" customHeight="1">
      <c r="B284" s="167"/>
      <c r="E284" s="231"/>
      <c r="G284" s="167"/>
      <c r="J284" s="62"/>
      <c r="K284" s="62"/>
      <c r="R284" s="62"/>
    </row>
    <row r="285" ht="15.75" customHeight="1">
      <c r="B285" s="167"/>
      <c r="E285" s="231"/>
      <c r="G285" s="167"/>
      <c r="J285" s="62"/>
      <c r="K285" s="62"/>
      <c r="R285" s="62"/>
    </row>
    <row r="286" ht="15.75" customHeight="1">
      <c r="B286" s="167"/>
      <c r="E286" s="231"/>
      <c r="G286" s="167"/>
      <c r="J286" s="62"/>
      <c r="K286" s="62"/>
      <c r="R286" s="62"/>
    </row>
    <row r="287" ht="15.75" customHeight="1">
      <c r="B287" s="167"/>
      <c r="E287" s="231"/>
      <c r="G287" s="167"/>
      <c r="J287" s="62"/>
      <c r="K287" s="62"/>
      <c r="R287" s="62"/>
    </row>
    <row r="288" ht="15.75" customHeight="1">
      <c r="B288" s="167"/>
      <c r="E288" s="231"/>
      <c r="G288" s="167"/>
      <c r="J288" s="62"/>
      <c r="K288" s="62"/>
      <c r="R288" s="62"/>
    </row>
    <row r="289" ht="15.75" customHeight="1">
      <c r="B289" s="167"/>
      <c r="E289" s="231"/>
      <c r="G289" s="167"/>
      <c r="J289" s="62"/>
      <c r="K289" s="62"/>
      <c r="R289" s="62"/>
    </row>
    <row r="290" ht="15.75" customHeight="1">
      <c r="B290" s="167"/>
      <c r="E290" s="231"/>
      <c r="G290" s="167"/>
      <c r="J290" s="62"/>
      <c r="K290" s="62"/>
      <c r="R290" s="62"/>
    </row>
    <row r="291" ht="15.75" customHeight="1">
      <c r="B291" s="167"/>
      <c r="E291" s="231"/>
      <c r="G291" s="167"/>
      <c r="J291" s="62"/>
      <c r="K291" s="62"/>
      <c r="R291" s="62"/>
    </row>
    <row r="292" ht="15.75" customHeight="1">
      <c r="B292" s="167"/>
      <c r="E292" s="231"/>
      <c r="G292" s="167"/>
      <c r="J292" s="62"/>
      <c r="K292" s="62"/>
      <c r="R292" s="62"/>
    </row>
    <row r="293" ht="15.75" customHeight="1">
      <c r="B293" s="167"/>
      <c r="E293" s="231"/>
      <c r="G293" s="167"/>
      <c r="J293" s="62"/>
      <c r="K293" s="62"/>
      <c r="R293" s="62"/>
    </row>
    <row r="294" ht="15.75" customHeight="1">
      <c r="B294" s="167"/>
      <c r="E294" s="231"/>
      <c r="G294" s="167"/>
      <c r="J294" s="62"/>
      <c r="K294" s="62"/>
      <c r="R294" s="62"/>
    </row>
    <row r="295" ht="15.75" customHeight="1">
      <c r="B295" s="167"/>
      <c r="E295" s="231"/>
      <c r="G295" s="167"/>
      <c r="J295" s="62"/>
      <c r="K295" s="62"/>
      <c r="R295" s="62"/>
    </row>
    <row r="296" ht="15.75" customHeight="1">
      <c r="B296" s="167"/>
      <c r="E296" s="231"/>
      <c r="G296" s="167"/>
      <c r="J296" s="62"/>
      <c r="K296" s="62"/>
      <c r="R296" s="62"/>
    </row>
    <row r="297" ht="15.75" customHeight="1">
      <c r="B297" s="167"/>
      <c r="E297" s="231"/>
      <c r="G297" s="167"/>
      <c r="J297" s="62"/>
      <c r="K297" s="62"/>
      <c r="R297" s="62"/>
    </row>
    <row r="298" ht="15.75" customHeight="1">
      <c r="B298" s="167"/>
      <c r="E298" s="231"/>
      <c r="G298" s="167"/>
      <c r="J298" s="62"/>
      <c r="K298" s="62"/>
      <c r="R298" s="62"/>
    </row>
    <row r="299" ht="15.75" customHeight="1">
      <c r="B299" s="167"/>
      <c r="E299" s="231"/>
      <c r="G299" s="167"/>
      <c r="J299" s="62"/>
      <c r="K299" s="62"/>
      <c r="R299" s="62"/>
    </row>
    <row r="300" ht="15.75" customHeight="1">
      <c r="B300" s="167"/>
      <c r="E300" s="231"/>
      <c r="G300" s="167"/>
      <c r="J300" s="62"/>
      <c r="K300" s="62"/>
      <c r="R300" s="62"/>
    </row>
    <row r="301" ht="15.75" customHeight="1">
      <c r="B301" s="167"/>
      <c r="E301" s="231"/>
      <c r="G301" s="167"/>
      <c r="J301" s="62"/>
      <c r="K301" s="62"/>
      <c r="R301" s="62"/>
    </row>
    <row r="302" ht="15.75" customHeight="1">
      <c r="B302" s="167"/>
      <c r="E302" s="231"/>
      <c r="G302" s="167"/>
      <c r="J302" s="62"/>
      <c r="K302" s="62"/>
      <c r="R302" s="62"/>
    </row>
    <row r="303" ht="15.75" customHeight="1">
      <c r="B303" s="167"/>
      <c r="E303" s="231"/>
      <c r="G303" s="167"/>
      <c r="J303" s="62"/>
      <c r="K303" s="62"/>
      <c r="R303" s="62"/>
    </row>
    <row r="304" ht="15.75" customHeight="1">
      <c r="B304" s="167"/>
      <c r="E304" s="231"/>
      <c r="G304" s="167"/>
      <c r="J304" s="62"/>
      <c r="K304" s="62"/>
      <c r="R304" s="62"/>
    </row>
    <row r="305" ht="15.75" customHeight="1">
      <c r="B305" s="167"/>
      <c r="E305" s="231"/>
      <c r="G305" s="167"/>
      <c r="J305" s="62"/>
      <c r="K305" s="62"/>
      <c r="R305" s="62"/>
    </row>
    <row r="306" ht="15.75" customHeight="1">
      <c r="B306" s="167"/>
      <c r="E306" s="231"/>
      <c r="G306" s="167"/>
      <c r="J306" s="62"/>
      <c r="K306" s="62"/>
      <c r="R306" s="62"/>
    </row>
    <row r="307" ht="15.75" customHeight="1">
      <c r="B307" s="167"/>
      <c r="E307" s="231"/>
      <c r="G307" s="167"/>
      <c r="J307" s="62"/>
      <c r="K307" s="62"/>
      <c r="R307" s="62"/>
    </row>
    <row r="308" ht="15.75" customHeight="1">
      <c r="B308" s="167"/>
      <c r="E308" s="231"/>
      <c r="G308" s="167"/>
      <c r="J308" s="62"/>
      <c r="K308" s="62"/>
      <c r="R308" s="62"/>
    </row>
    <row r="309" ht="15.75" customHeight="1">
      <c r="B309" s="167"/>
      <c r="E309" s="231"/>
      <c r="G309" s="167"/>
      <c r="J309" s="62"/>
      <c r="K309" s="62"/>
      <c r="R309" s="62"/>
    </row>
    <row r="310" ht="15.75" customHeight="1">
      <c r="B310" s="167"/>
      <c r="E310" s="231"/>
      <c r="G310" s="167"/>
      <c r="J310" s="62"/>
      <c r="K310" s="62"/>
      <c r="R310" s="62"/>
    </row>
    <row r="311" ht="15.75" customHeight="1">
      <c r="B311" s="167"/>
      <c r="E311" s="231"/>
      <c r="G311" s="167"/>
      <c r="J311" s="62"/>
      <c r="K311" s="62"/>
      <c r="R311" s="62"/>
    </row>
    <row r="312" ht="15.75" customHeight="1">
      <c r="B312" s="167"/>
      <c r="E312" s="231"/>
      <c r="G312" s="167"/>
      <c r="J312" s="62"/>
      <c r="K312" s="62"/>
      <c r="R312" s="62"/>
    </row>
    <row r="313" ht="15.75" customHeight="1">
      <c r="B313" s="167"/>
      <c r="E313" s="231"/>
      <c r="G313" s="167"/>
      <c r="J313" s="62"/>
      <c r="K313" s="62"/>
      <c r="R313" s="62"/>
    </row>
    <row r="314" ht="15.75" customHeight="1">
      <c r="B314" s="167"/>
      <c r="E314" s="231"/>
      <c r="G314" s="167"/>
      <c r="J314" s="62"/>
      <c r="K314" s="62"/>
      <c r="R314" s="62"/>
    </row>
    <row r="315" ht="15.75" customHeight="1">
      <c r="B315" s="167"/>
      <c r="E315" s="231"/>
      <c r="G315" s="167"/>
      <c r="J315" s="62"/>
      <c r="K315" s="62"/>
      <c r="R315" s="62"/>
    </row>
    <row r="316" ht="15.75" customHeight="1">
      <c r="B316" s="167"/>
      <c r="E316" s="231"/>
      <c r="G316" s="167"/>
      <c r="J316" s="62"/>
      <c r="K316" s="62"/>
      <c r="R316" s="62"/>
    </row>
    <row r="317" ht="15.75" customHeight="1">
      <c r="B317" s="167"/>
      <c r="E317" s="231"/>
      <c r="G317" s="167"/>
      <c r="J317" s="62"/>
      <c r="K317" s="62"/>
      <c r="R317" s="62"/>
    </row>
    <row r="318" ht="15.75" customHeight="1">
      <c r="B318" s="167"/>
      <c r="E318" s="231"/>
      <c r="G318" s="167"/>
      <c r="J318" s="62"/>
      <c r="K318" s="62"/>
      <c r="R318" s="62"/>
    </row>
    <row r="319" ht="15.75" customHeight="1">
      <c r="B319" s="167"/>
      <c r="E319" s="231"/>
      <c r="G319" s="167"/>
      <c r="J319" s="62"/>
      <c r="K319" s="62"/>
      <c r="R319" s="62"/>
    </row>
    <row r="320" ht="15.75" customHeight="1">
      <c r="B320" s="167"/>
      <c r="E320" s="231"/>
      <c r="G320" s="167"/>
      <c r="J320" s="62"/>
      <c r="K320" s="62"/>
      <c r="R320" s="62"/>
    </row>
    <row r="321" ht="15.75" customHeight="1">
      <c r="B321" s="167"/>
      <c r="E321" s="231"/>
      <c r="G321" s="167"/>
      <c r="J321" s="62"/>
      <c r="K321" s="62"/>
      <c r="R321" s="62"/>
    </row>
    <row r="322" ht="15.75" customHeight="1">
      <c r="B322" s="167"/>
      <c r="E322" s="231"/>
      <c r="G322" s="167"/>
      <c r="J322" s="62"/>
      <c r="K322" s="62"/>
      <c r="R322" s="62"/>
    </row>
    <row r="323" ht="15.75" customHeight="1">
      <c r="B323" s="167"/>
      <c r="E323" s="231"/>
      <c r="G323" s="167"/>
      <c r="J323" s="62"/>
      <c r="K323" s="62"/>
      <c r="R323" s="62"/>
    </row>
    <row r="324" ht="15.75" customHeight="1">
      <c r="B324" s="167"/>
      <c r="E324" s="231"/>
      <c r="G324" s="167"/>
      <c r="J324" s="62"/>
      <c r="K324" s="62"/>
      <c r="R324" s="62"/>
    </row>
    <row r="325" ht="15.75" customHeight="1">
      <c r="B325" s="167"/>
      <c r="E325" s="231"/>
      <c r="G325" s="167"/>
      <c r="J325" s="62"/>
      <c r="K325" s="62"/>
      <c r="R325" s="62"/>
    </row>
    <row r="326" ht="15.75" customHeight="1">
      <c r="B326" s="167"/>
      <c r="E326" s="231"/>
      <c r="G326" s="167"/>
      <c r="J326" s="62"/>
      <c r="K326" s="62"/>
      <c r="R326" s="62"/>
    </row>
    <row r="327" ht="15.75" customHeight="1">
      <c r="B327" s="167"/>
      <c r="E327" s="231"/>
      <c r="G327" s="167"/>
      <c r="J327" s="62"/>
      <c r="K327" s="62"/>
      <c r="R327" s="62"/>
    </row>
    <row r="328" ht="15.75" customHeight="1">
      <c r="B328" s="167"/>
      <c r="E328" s="231"/>
      <c r="G328" s="167"/>
      <c r="J328" s="62"/>
      <c r="K328" s="62"/>
      <c r="R328" s="62"/>
    </row>
    <row r="329" ht="15.75" customHeight="1">
      <c r="B329" s="167"/>
      <c r="E329" s="231"/>
      <c r="G329" s="167"/>
      <c r="J329" s="62"/>
      <c r="K329" s="62"/>
      <c r="R329" s="62"/>
    </row>
    <row r="330" ht="15.75" customHeight="1">
      <c r="B330" s="167"/>
      <c r="E330" s="231"/>
      <c r="G330" s="167"/>
      <c r="J330" s="62"/>
      <c r="K330" s="62"/>
      <c r="R330" s="62"/>
    </row>
    <row r="331" ht="15.75" customHeight="1">
      <c r="B331" s="167"/>
      <c r="E331" s="231"/>
      <c r="G331" s="167"/>
      <c r="J331" s="62"/>
      <c r="K331" s="62"/>
      <c r="R331" s="62"/>
    </row>
    <row r="332" ht="15.75" customHeight="1">
      <c r="B332" s="167"/>
      <c r="E332" s="231"/>
      <c r="G332" s="167"/>
      <c r="J332" s="62"/>
      <c r="K332" s="62"/>
      <c r="R332" s="62"/>
    </row>
    <row r="333" ht="15.75" customHeight="1">
      <c r="B333" s="167"/>
      <c r="E333" s="231"/>
      <c r="G333" s="167"/>
      <c r="J333" s="62"/>
      <c r="K333" s="62"/>
      <c r="R333" s="62"/>
    </row>
    <row r="334" ht="15.75" customHeight="1">
      <c r="B334" s="167"/>
      <c r="E334" s="231"/>
      <c r="G334" s="167"/>
      <c r="J334" s="62"/>
      <c r="K334" s="62"/>
      <c r="R334" s="62"/>
    </row>
    <row r="335" ht="15.75" customHeight="1">
      <c r="B335" s="167"/>
      <c r="E335" s="231"/>
      <c r="G335" s="167"/>
      <c r="J335" s="62"/>
      <c r="K335" s="62"/>
      <c r="R335" s="62"/>
    </row>
    <row r="336" ht="15.75" customHeight="1">
      <c r="B336" s="167"/>
      <c r="E336" s="231"/>
      <c r="G336" s="167"/>
      <c r="J336" s="62"/>
      <c r="K336" s="62"/>
      <c r="R336" s="62"/>
    </row>
    <row r="337" ht="15.75" customHeight="1">
      <c r="B337" s="167"/>
      <c r="E337" s="231"/>
      <c r="G337" s="167"/>
      <c r="J337" s="62"/>
      <c r="K337" s="62"/>
      <c r="R337" s="62"/>
    </row>
    <row r="338" ht="15.75" customHeight="1">
      <c r="B338" s="167"/>
      <c r="E338" s="231"/>
      <c r="G338" s="167"/>
      <c r="J338" s="62"/>
      <c r="K338" s="62"/>
      <c r="R338" s="62"/>
    </row>
    <row r="339" ht="15.75" customHeight="1">
      <c r="B339" s="167"/>
      <c r="E339" s="231"/>
      <c r="G339" s="167"/>
      <c r="J339" s="62"/>
      <c r="K339" s="62"/>
      <c r="R339" s="62"/>
    </row>
    <row r="340" ht="15.75" customHeight="1">
      <c r="B340" s="167"/>
      <c r="E340" s="231"/>
      <c r="G340" s="167"/>
      <c r="J340" s="62"/>
      <c r="K340" s="62"/>
      <c r="R340" s="62"/>
    </row>
    <row r="341" ht="15.75" customHeight="1">
      <c r="B341" s="167"/>
      <c r="E341" s="231"/>
      <c r="G341" s="167"/>
      <c r="J341" s="62"/>
      <c r="K341" s="62"/>
      <c r="R341" s="62"/>
    </row>
    <row r="342" ht="15.75" customHeight="1">
      <c r="B342" s="167"/>
      <c r="E342" s="231"/>
      <c r="G342" s="167"/>
      <c r="J342" s="62"/>
      <c r="K342" s="62"/>
      <c r="R342" s="62"/>
    </row>
    <row r="343" ht="15.75" customHeight="1">
      <c r="B343" s="167"/>
      <c r="E343" s="231"/>
      <c r="G343" s="167"/>
      <c r="J343" s="62"/>
      <c r="K343" s="62"/>
      <c r="R343" s="62"/>
    </row>
    <row r="344" ht="15.75" customHeight="1">
      <c r="B344" s="167"/>
      <c r="E344" s="231"/>
      <c r="G344" s="167"/>
      <c r="J344" s="62"/>
      <c r="K344" s="62"/>
      <c r="R344" s="62"/>
    </row>
    <row r="345" ht="15.75" customHeight="1">
      <c r="B345" s="167"/>
      <c r="E345" s="231"/>
      <c r="G345" s="167"/>
      <c r="J345" s="62"/>
      <c r="K345" s="62"/>
      <c r="R345" s="62"/>
    </row>
    <row r="346" ht="15.75" customHeight="1">
      <c r="B346" s="167"/>
      <c r="E346" s="231"/>
      <c r="G346" s="167"/>
      <c r="J346" s="62"/>
      <c r="K346" s="62"/>
      <c r="R346" s="62"/>
    </row>
    <row r="347" ht="15.75" customHeight="1">
      <c r="B347" s="167"/>
      <c r="E347" s="231"/>
      <c r="G347" s="167"/>
      <c r="J347" s="62"/>
      <c r="K347" s="62"/>
      <c r="R347" s="62"/>
    </row>
    <row r="348" ht="15.75" customHeight="1">
      <c r="B348" s="167"/>
      <c r="E348" s="231"/>
      <c r="G348" s="167"/>
      <c r="J348" s="62"/>
      <c r="K348" s="62"/>
      <c r="R348" s="62"/>
    </row>
    <row r="349" ht="15.75" customHeight="1">
      <c r="B349" s="167"/>
      <c r="E349" s="231"/>
      <c r="G349" s="167"/>
      <c r="J349" s="62"/>
      <c r="K349" s="62"/>
      <c r="R349" s="62"/>
    </row>
    <row r="350" ht="15.75" customHeight="1">
      <c r="B350" s="167"/>
      <c r="E350" s="231"/>
      <c r="G350" s="167"/>
      <c r="J350" s="62"/>
      <c r="K350" s="62"/>
      <c r="R350" s="62"/>
    </row>
    <row r="351" ht="15.75" customHeight="1">
      <c r="B351" s="167"/>
      <c r="E351" s="231"/>
      <c r="G351" s="167"/>
      <c r="J351" s="62"/>
      <c r="K351" s="62"/>
      <c r="R351" s="62"/>
    </row>
    <row r="352" ht="15.75" customHeight="1">
      <c r="B352" s="167"/>
      <c r="E352" s="231"/>
      <c r="G352" s="167"/>
      <c r="J352" s="62"/>
      <c r="K352" s="62"/>
      <c r="R352" s="62"/>
    </row>
    <row r="353" ht="15.75" customHeight="1">
      <c r="B353" s="167"/>
      <c r="E353" s="231"/>
      <c r="G353" s="167"/>
      <c r="J353" s="62"/>
      <c r="K353" s="62"/>
      <c r="R353" s="62"/>
    </row>
    <row r="354" ht="15.75" customHeight="1">
      <c r="B354" s="167"/>
      <c r="E354" s="231"/>
      <c r="G354" s="167"/>
      <c r="J354" s="62"/>
      <c r="K354" s="62"/>
      <c r="R354" s="62"/>
    </row>
    <row r="355" ht="15.75" customHeight="1">
      <c r="B355" s="167"/>
      <c r="E355" s="231"/>
      <c r="G355" s="167"/>
      <c r="J355" s="62"/>
      <c r="K355" s="62"/>
      <c r="R355" s="62"/>
    </row>
    <row r="356" ht="15.75" customHeight="1">
      <c r="B356" s="167"/>
      <c r="E356" s="231"/>
      <c r="G356" s="167"/>
      <c r="J356" s="62"/>
      <c r="K356" s="62"/>
      <c r="R356" s="62"/>
    </row>
    <row r="357" ht="15.75" customHeight="1">
      <c r="B357" s="167"/>
      <c r="E357" s="231"/>
      <c r="G357" s="167"/>
      <c r="J357" s="62"/>
      <c r="K357" s="62"/>
      <c r="R357" s="62"/>
    </row>
    <row r="358" ht="15.75" customHeight="1">
      <c r="B358" s="167"/>
      <c r="E358" s="231"/>
      <c r="G358" s="167"/>
      <c r="J358" s="62"/>
      <c r="K358" s="62"/>
      <c r="R358" s="62"/>
    </row>
    <row r="359" ht="15.75" customHeight="1">
      <c r="B359" s="167"/>
      <c r="E359" s="231"/>
      <c r="G359" s="167"/>
      <c r="J359" s="62"/>
      <c r="K359" s="62"/>
      <c r="R359" s="62"/>
    </row>
    <row r="360" ht="15.75" customHeight="1">
      <c r="B360" s="167"/>
      <c r="E360" s="231"/>
      <c r="G360" s="167"/>
      <c r="J360" s="62"/>
      <c r="K360" s="62"/>
      <c r="R360" s="62"/>
    </row>
    <row r="361" ht="15.75" customHeight="1">
      <c r="B361" s="167"/>
      <c r="E361" s="231"/>
      <c r="G361" s="167"/>
      <c r="J361" s="62"/>
      <c r="K361" s="62"/>
      <c r="R361" s="62"/>
    </row>
    <row r="362" ht="15.75" customHeight="1">
      <c r="B362" s="167"/>
      <c r="E362" s="231"/>
      <c r="G362" s="167"/>
      <c r="J362" s="62"/>
      <c r="K362" s="62"/>
      <c r="R362" s="62"/>
    </row>
    <row r="363" ht="15.75" customHeight="1">
      <c r="B363" s="167"/>
      <c r="E363" s="231"/>
      <c r="G363" s="167"/>
      <c r="J363" s="62"/>
      <c r="K363" s="62"/>
      <c r="R363" s="62"/>
    </row>
    <row r="364" ht="15.75" customHeight="1">
      <c r="B364" s="167"/>
      <c r="E364" s="231"/>
      <c r="G364" s="167"/>
      <c r="J364" s="62"/>
      <c r="K364" s="62"/>
      <c r="R364" s="62"/>
    </row>
    <row r="365" ht="15.75" customHeight="1">
      <c r="B365" s="167"/>
      <c r="E365" s="231"/>
      <c r="G365" s="167"/>
      <c r="J365" s="62"/>
      <c r="K365" s="62"/>
      <c r="R365" s="62"/>
    </row>
    <row r="366" ht="15.75" customHeight="1">
      <c r="B366" s="167"/>
      <c r="E366" s="231"/>
      <c r="G366" s="167"/>
      <c r="J366" s="62"/>
      <c r="K366" s="62"/>
      <c r="R366" s="62"/>
    </row>
    <row r="367" ht="15.75" customHeight="1">
      <c r="B367" s="167"/>
      <c r="E367" s="231"/>
      <c r="G367" s="167"/>
      <c r="J367" s="62"/>
      <c r="K367" s="62"/>
      <c r="R367" s="62"/>
    </row>
    <row r="368" ht="15.75" customHeight="1">
      <c r="B368" s="167"/>
      <c r="E368" s="231"/>
      <c r="G368" s="167"/>
      <c r="J368" s="62"/>
      <c r="K368" s="62"/>
      <c r="R368" s="62"/>
    </row>
    <row r="369" ht="15.75" customHeight="1">
      <c r="B369" s="167"/>
      <c r="E369" s="231"/>
      <c r="G369" s="167"/>
      <c r="J369" s="62"/>
      <c r="K369" s="62"/>
      <c r="R369" s="62"/>
    </row>
    <row r="370" ht="15.75" customHeight="1">
      <c r="B370" s="167"/>
      <c r="E370" s="231"/>
      <c r="G370" s="167"/>
      <c r="J370" s="62"/>
      <c r="K370" s="62"/>
      <c r="R370" s="62"/>
    </row>
    <row r="371" ht="15.75" customHeight="1">
      <c r="B371" s="167"/>
      <c r="E371" s="231"/>
      <c r="G371" s="167"/>
      <c r="J371" s="62"/>
      <c r="K371" s="62"/>
      <c r="R371" s="62"/>
    </row>
    <row r="372" ht="15.75" customHeight="1">
      <c r="B372" s="167"/>
      <c r="E372" s="231"/>
      <c r="G372" s="167"/>
      <c r="J372" s="62"/>
      <c r="K372" s="62"/>
      <c r="R372" s="62"/>
    </row>
    <row r="373" ht="15.75" customHeight="1">
      <c r="B373" s="167"/>
      <c r="E373" s="231"/>
      <c r="G373" s="167"/>
      <c r="J373" s="62"/>
      <c r="K373" s="62"/>
      <c r="R373" s="62"/>
    </row>
    <row r="374" ht="15.75" customHeight="1">
      <c r="B374" s="167"/>
      <c r="E374" s="231"/>
      <c r="G374" s="167"/>
      <c r="J374" s="62"/>
      <c r="K374" s="62"/>
      <c r="R374" s="62"/>
    </row>
    <row r="375" ht="15.75" customHeight="1">
      <c r="B375" s="167"/>
      <c r="E375" s="231"/>
      <c r="G375" s="167"/>
      <c r="J375" s="62"/>
      <c r="K375" s="62"/>
      <c r="R375" s="62"/>
    </row>
    <row r="376" ht="15.75" customHeight="1">
      <c r="B376" s="167"/>
      <c r="E376" s="231"/>
      <c r="G376" s="167"/>
      <c r="J376" s="62"/>
      <c r="K376" s="62"/>
      <c r="R376" s="62"/>
    </row>
    <row r="377" ht="15.75" customHeight="1">
      <c r="B377" s="167"/>
      <c r="E377" s="231"/>
      <c r="G377" s="167"/>
      <c r="J377" s="62"/>
      <c r="K377" s="62"/>
      <c r="R377" s="62"/>
    </row>
    <row r="378" ht="15.75" customHeight="1">
      <c r="B378" s="167"/>
      <c r="E378" s="231"/>
      <c r="G378" s="167"/>
      <c r="J378" s="62"/>
      <c r="K378" s="62"/>
      <c r="R378" s="62"/>
    </row>
    <row r="379" ht="15.75" customHeight="1">
      <c r="B379" s="167"/>
      <c r="E379" s="231"/>
      <c r="G379" s="167"/>
      <c r="J379" s="62"/>
      <c r="K379" s="62"/>
      <c r="R379" s="62"/>
    </row>
    <row r="380" ht="15.75" customHeight="1">
      <c r="B380" s="167"/>
      <c r="E380" s="231"/>
      <c r="G380" s="167"/>
      <c r="J380" s="62"/>
      <c r="K380" s="62"/>
      <c r="R380" s="62"/>
    </row>
    <row r="381" ht="15.75" customHeight="1">
      <c r="B381" s="167"/>
      <c r="E381" s="231"/>
      <c r="G381" s="167"/>
      <c r="J381" s="62"/>
      <c r="K381" s="62"/>
      <c r="R381" s="62"/>
    </row>
    <row r="382" ht="15.75" customHeight="1">
      <c r="B382" s="167"/>
      <c r="E382" s="231"/>
      <c r="G382" s="167"/>
      <c r="J382" s="62"/>
      <c r="K382" s="62"/>
      <c r="R382" s="62"/>
    </row>
    <row r="383" ht="15.75" customHeight="1">
      <c r="B383" s="167"/>
      <c r="E383" s="231"/>
      <c r="G383" s="167"/>
      <c r="J383" s="62"/>
      <c r="K383" s="62"/>
      <c r="R383" s="62"/>
    </row>
    <row r="384" ht="15.75" customHeight="1">
      <c r="B384" s="167"/>
      <c r="E384" s="231"/>
      <c r="G384" s="167"/>
      <c r="J384" s="62"/>
      <c r="K384" s="62"/>
      <c r="R384" s="62"/>
    </row>
    <row r="385" ht="15.75" customHeight="1">
      <c r="B385" s="167"/>
      <c r="E385" s="231"/>
      <c r="G385" s="167"/>
      <c r="J385" s="62"/>
      <c r="K385" s="62"/>
      <c r="R385" s="62"/>
    </row>
    <row r="386" ht="15.75" customHeight="1">
      <c r="B386" s="167"/>
      <c r="E386" s="231"/>
      <c r="G386" s="167"/>
      <c r="J386" s="62"/>
      <c r="K386" s="62"/>
      <c r="R386" s="62"/>
    </row>
    <row r="387" ht="15.75" customHeight="1">
      <c r="B387" s="167"/>
      <c r="E387" s="231"/>
      <c r="G387" s="167"/>
      <c r="J387" s="62"/>
      <c r="K387" s="62"/>
      <c r="R387" s="62"/>
    </row>
    <row r="388" ht="15.75" customHeight="1">
      <c r="B388" s="167"/>
      <c r="E388" s="231"/>
      <c r="G388" s="167"/>
      <c r="J388" s="62"/>
      <c r="K388" s="62"/>
      <c r="R388" s="62"/>
    </row>
    <row r="389" ht="15.75" customHeight="1">
      <c r="B389" s="167"/>
      <c r="E389" s="231"/>
      <c r="G389" s="167"/>
      <c r="J389" s="62"/>
      <c r="K389" s="62"/>
      <c r="R389" s="62"/>
    </row>
    <row r="390" ht="15.75" customHeight="1">
      <c r="B390" s="167"/>
      <c r="E390" s="231"/>
      <c r="G390" s="167"/>
      <c r="J390" s="62"/>
      <c r="K390" s="62"/>
      <c r="R390" s="62"/>
    </row>
    <row r="391" ht="15.75" customHeight="1">
      <c r="B391" s="167"/>
      <c r="E391" s="231"/>
      <c r="G391" s="167"/>
      <c r="J391" s="62"/>
      <c r="K391" s="62"/>
      <c r="R391" s="62"/>
    </row>
    <row r="392" ht="15.75" customHeight="1">
      <c r="B392" s="167"/>
      <c r="E392" s="231"/>
      <c r="G392" s="167"/>
      <c r="J392" s="62"/>
      <c r="K392" s="62"/>
      <c r="R392" s="62"/>
    </row>
    <row r="393" ht="15.75" customHeight="1">
      <c r="B393" s="167"/>
      <c r="E393" s="231"/>
      <c r="G393" s="167"/>
      <c r="J393" s="62"/>
      <c r="K393" s="62"/>
      <c r="R393" s="62"/>
    </row>
    <row r="394" ht="15.75" customHeight="1">
      <c r="B394" s="167"/>
      <c r="E394" s="231"/>
      <c r="G394" s="167"/>
      <c r="J394" s="62"/>
      <c r="K394" s="62"/>
      <c r="R394" s="62"/>
    </row>
    <row r="395" ht="15.75" customHeight="1">
      <c r="B395" s="167"/>
      <c r="E395" s="231"/>
      <c r="G395" s="167"/>
      <c r="J395" s="62"/>
      <c r="K395" s="62"/>
      <c r="R395" s="62"/>
    </row>
    <row r="396" ht="15.75" customHeight="1">
      <c r="B396" s="167"/>
      <c r="E396" s="231"/>
      <c r="G396" s="167"/>
      <c r="J396" s="62"/>
      <c r="K396" s="62"/>
      <c r="R396" s="62"/>
    </row>
    <row r="397" ht="15.75" customHeight="1">
      <c r="B397" s="167"/>
      <c r="E397" s="231"/>
      <c r="G397" s="167"/>
      <c r="J397" s="62"/>
      <c r="K397" s="62"/>
      <c r="R397" s="62"/>
    </row>
    <row r="398" ht="15.75" customHeight="1">
      <c r="B398" s="167"/>
      <c r="E398" s="231"/>
      <c r="G398" s="167"/>
      <c r="J398" s="62"/>
      <c r="K398" s="62"/>
      <c r="R398" s="62"/>
    </row>
    <row r="399" ht="15.75" customHeight="1">
      <c r="B399" s="167"/>
      <c r="E399" s="231"/>
      <c r="G399" s="167"/>
      <c r="J399" s="62"/>
      <c r="K399" s="62"/>
      <c r="R399" s="62"/>
    </row>
    <row r="400" ht="15.75" customHeight="1">
      <c r="B400" s="167"/>
      <c r="E400" s="231"/>
      <c r="G400" s="167"/>
      <c r="J400" s="62"/>
      <c r="K400" s="62"/>
      <c r="R400" s="62"/>
    </row>
    <row r="401" ht="15.75" customHeight="1">
      <c r="B401" s="167"/>
      <c r="E401" s="231"/>
      <c r="G401" s="167"/>
      <c r="J401" s="62"/>
      <c r="K401" s="62"/>
      <c r="R401" s="62"/>
    </row>
    <row r="402" ht="15.75" customHeight="1">
      <c r="B402" s="167"/>
      <c r="E402" s="231"/>
      <c r="G402" s="167"/>
      <c r="J402" s="62"/>
      <c r="K402" s="62"/>
      <c r="R402" s="62"/>
    </row>
    <row r="403" ht="15.75" customHeight="1">
      <c r="B403" s="167"/>
      <c r="E403" s="231"/>
      <c r="G403" s="167"/>
      <c r="J403" s="62"/>
      <c r="K403" s="62"/>
      <c r="R403" s="62"/>
    </row>
    <row r="404" ht="15.75" customHeight="1">
      <c r="B404" s="167"/>
      <c r="E404" s="231"/>
      <c r="G404" s="167"/>
      <c r="J404" s="62"/>
      <c r="K404" s="62"/>
      <c r="R404" s="62"/>
    </row>
    <row r="405" ht="15.75" customHeight="1">
      <c r="B405" s="167"/>
      <c r="E405" s="231"/>
      <c r="G405" s="167"/>
      <c r="J405" s="62"/>
      <c r="K405" s="62"/>
      <c r="R405" s="62"/>
    </row>
    <row r="406" ht="15.75" customHeight="1">
      <c r="B406" s="167"/>
      <c r="E406" s="231"/>
      <c r="G406" s="167"/>
      <c r="J406" s="62"/>
      <c r="K406" s="62"/>
      <c r="R406" s="62"/>
    </row>
    <row r="407" ht="15.75" customHeight="1">
      <c r="B407" s="167"/>
      <c r="E407" s="231"/>
      <c r="G407" s="167"/>
      <c r="J407" s="62"/>
      <c r="K407" s="62"/>
      <c r="R407" s="62"/>
    </row>
    <row r="408" ht="15.75" customHeight="1">
      <c r="B408" s="167"/>
      <c r="E408" s="231"/>
      <c r="G408" s="167"/>
      <c r="J408" s="62"/>
      <c r="K408" s="62"/>
      <c r="R408" s="62"/>
    </row>
    <row r="409" ht="15.75" customHeight="1">
      <c r="B409" s="167"/>
      <c r="E409" s="231"/>
      <c r="G409" s="167"/>
      <c r="J409" s="62"/>
      <c r="K409" s="62"/>
      <c r="R409" s="62"/>
    </row>
    <row r="410" ht="15.75" customHeight="1">
      <c r="B410" s="167"/>
      <c r="E410" s="231"/>
      <c r="G410" s="167"/>
      <c r="J410" s="62"/>
      <c r="K410" s="62"/>
      <c r="R410" s="62"/>
    </row>
    <row r="411" ht="15.75" customHeight="1">
      <c r="B411" s="167"/>
      <c r="E411" s="231"/>
      <c r="G411" s="167"/>
      <c r="J411" s="62"/>
      <c r="K411" s="62"/>
      <c r="R411" s="62"/>
    </row>
    <row r="412" ht="15.75" customHeight="1">
      <c r="B412" s="167"/>
      <c r="E412" s="231"/>
      <c r="G412" s="167"/>
      <c r="J412" s="62"/>
      <c r="K412" s="62"/>
      <c r="R412" s="62"/>
    </row>
    <row r="413" ht="15.75" customHeight="1">
      <c r="B413" s="167"/>
      <c r="E413" s="231"/>
      <c r="G413" s="167"/>
      <c r="J413" s="62"/>
      <c r="K413" s="62"/>
      <c r="R413" s="62"/>
    </row>
    <row r="414" ht="15.75" customHeight="1">
      <c r="B414" s="167"/>
      <c r="E414" s="231"/>
      <c r="G414" s="167"/>
      <c r="J414" s="62"/>
      <c r="K414" s="62"/>
      <c r="R414" s="62"/>
    </row>
    <row r="415" ht="15.75" customHeight="1">
      <c r="B415" s="167"/>
      <c r="E415" s="231"/>
      <c r="G415" s="167"/>
      <c r="J415" s="62"/>
      <c r="K415" s="62"/>
      <c r="R415" s="62"/>
    </row>
    <row r="416" ht="15.75" customHeight="1">
      <c r="B416" s="167"/>
      <c r="E416" s="231"/>
      <c r="G416" s="167"/>
      <c r="J416" s="62"/>
      <c r="K416" s="62"/>
      <c r="R416" s="62"/>
    </row>
    <row r="417" ht="15.75" customHeight="1">
      <c r="B417" s="167"/>
      <c r="E417" s="231"/>
      <c r="G417" s="167"/>
      <c r="J417" s="62"/>
      <c r="K417" s="62"/>
      <c r="R417" s="62"/>
    </row>
    <row r="418" ht="15.75" customHeight="1">
      <c r="B418" s="167"/>
      <c r="E418" s="231"/>
      <c r="G418" s="167"/>
      <c r="J418" s="62"/>
      <c r="K418" s="62"/>
      <c r="R418" s="62"/>
    </row>
    <row r="419" ht="15.75" customHeight="1">
      <c r="B419" s="167"/>
      <c r="E419" s="231"/>
      <c r="G419" s="167"/>
      <c r="J419" s="62"/>
      <c r="K419" s="62"/>
      <c r="R419" s="62"/>
    </row>
    <row r="420" ht="15.75" customHeight="1">
      <c r="B420" s="167"/>
      <c r="E420" s="231"/>
      <c r="G420" s="167"/>
      <c r="J420" s="62"/>
      <c r="K420" s="62"/>
      <c r="R420" s="62"/>
    </row>
    <row r="421" ht="15.75" customHeight="1">
      <c r="B421" s="167"/>
      <c r="E421" s="231"/>
      <c r="G421" s="167"/>
      <c r="J421" s="62"/>
      <c r="K421" s="62"/>
      <c r="R421" s="62"/>
    </row>
    <row r="422" ht="15.75" customHeight="1">
      <c r="B422" s="167"/>
      <c r="E422" s="231"/>
      <c r="G422" s="167"/>
      <c r="J422" s="62"/>
      <c r="K422" s="62"/>
      <c r="R422" s="62"/>
    </row>
    <row r="423" ht="15.75" customHeight="1">
      <c r="B423" s="167"/>
      <c r="E423" s="231"/>
      <c r="G423" s="167"/>
      <c r="J423" s="62"/>
      <c r="K423" s="62"/>
      <c r="R423" s="62"/>
    </row>
    <row r="424" ht="15.75" customHeight="1">
      <c r="B424" s="167"/>
      <c r="E424" s="231"/>
      <c r="G424" s="167"/>
      <c r="J424" s="62"/>
      <c r="K424" s="62"/>
      <c r="R424" s="62"/>
    </row>
    <row r="425" ht="15.75" customHeight="1">
      <c r="B425" s="167"/>
      <c r="E425" s="231"/>
      <c r="G425" s="167"/>
      <c r="J425" s="62"/>
      <c r="K425" s="62"/>
      <c r="R425" s="62"/>
    </row>
    <row r="426" ht="15.75" customHeight="1">
      <c r="B426" s="167"/>
      <c r="E426" s="231"/>
      <c r="G426" s="167"/>
      <c r="J426" s="62"/>
      <c r="K426" s="62"/>
      <c r="R426" s="62"/>
    </row>
    <row r="427" ht="15.75" customHeight="1">
      <c r="B427" s="167"/>
      <c r="E427" s="231"/>
      <c r="G427" s="167"/>
      <c r="J427" s="62"/>
      <c r="K427" s="62"/>
      <c r="R427" s="62"/>
    </row>
    <row r="428" ht="15.75" customHeight="1">
      <c r="B428" s="167"/>
      <c r="E428" s="231"/>
      <c r="G428" s="167"/>
      <c r="J428" s="62"/>
      <c r="K428" s="62"/>
      <c r="R428" s="62"/>
    </row>
    <row r="429" ht="15.75" customHeight="1">
      <c r="B429" s="167"/>
      <c r="E429" s="231"/>
      <c r="G429" s="167"/>
      <c r="J429" s="62"/>
      <c r="K429" s="62"/>
      <c r="R429" s="62"/>
    </row>
    <row r="430" ht="15.75" customHeight="1">
      <c r="B430" s="167"/>
      <c r="E430" s="231"/>
      <c r="G430" s="167"/>
      <c r="J430" s="62"/>
      <c r="K430" s="62"/>
      <c r="R430" s="62"/>
    </row>
    <row r="431" ht="15.75" customHeight="1">
      <c r="B431" s="167"/>
      <c r="E431" s="231"/>
      <c r="G431" s="167"/>
      <c r="J431" s="62"/>
      <c r="K431" s="62"/>
      <c r="R431" s="62"/>
    </row>
    <row r="432" ht="15.75" customHeight="1">
      <c r="B432" s="167"/>
      <c r="E432" s="231"/>
      <c r="G432" s="167"/>
      <c r="J432" s="62"/>
      <c r="K432" s="62"/>
      <c r="R432" s="62"/>
    </row>
    <row r="433" ht="15.75" customHeight="1">
      <c r="B433" s="167"/>
      <c r="E433" s="231"/>
      <c r="G433" s="167"/>
      <c r="J433" s="62"/>
      <c r="K433" s="62"/>
      <c r="R433" s="62"/>
    </row>
    <row r="434" ht="15.75" customHeight="1">
      <c r="B434" s="167"/>
      <c r="E434" s="231"/>
      <c r="G434" s="167"/>
      <c r="J434" s="62"/>
      <c r="K434" s="62"/>
      <c r="R434" s="62"/>
    </row>
    <row r="435" ht="15.75" customHeight="1">
      <c r="B435" s="167"/>
      <c r="E435" s="231"/>
      <c r="G435" s="167"/>
      <c r="J435" s="62"/>
      <c r="K435" s="62"/>
      <c r="R435" s="62"/>
    </row>
    <row r="436" ht="15.75" customHeight="1">
      <c r="B436" s="167"/>
      <c r="E436" s="231"/>
      <c r="G436" s="167"/>
      <c r="J436" s="62"/>
      <c r="K436" s="62"/>
      <c r="R436" s="62"/>
    </row>
    <row r="437" ht="15.75" customHeight="1">
      <c r="B437" s="167"/>
      <c r="E437" s="231"/>
      <c r="G437" s="167"/>
      <c r="J437" s="62"/>
      <c r="K437" s="62"/>
      <c r="R437" s="62"/>
    </row>
    <row r="438" ht="15.75" customHeight="1">
      <c r="B438" s="167"/>
      <c r="E438" s="231"/>
      <c r="G438" s="167"/>
      <c r="J438" s="62"/>
      <c r="K438" s="62"/>
      <c r="R438" s="62"/>
    </row>
    <row r="439" ht="15.75" customHeight="1">
      <c r="B439" s="167"/>
      <c r="E439" s="231"/>
      <c r="G439" s="167"/>
      <c r="J439" s="62"/>
      <c r="K439" s="62"/>
      <c r="R439" s="62"/>
    </row>
    <row r="440" ht="15.75" customHeight="1">
      <c r="B440" s="167"/>
      <c r="E440" s="231"/>
      <c r="G440" s="167"/>
      <c r="J440" s="62"/>
      <c r="K440" s="62"/>
      <c r="R440" s="62"/>
    </row>
    <row r="441" ht="15.75" customHeight="1">
      <c r="B441" s="167"/>
      <c r="E441" s="231"/>
      <c r="G441" s="167"/>
      <c r="J441" s="62"/>
      <c r="K441" s="62"/>
      <c r="R441" s="62"/>
    </row>
    <row r="442" ht="15.75" customHeight="1">
      <c r="B442" s="167"/>
      <c r="E442" s="231"/>
      <c r="G442" s="167"/>
      <c r="J442" s="62"/>
      <c r="K442" s="62"/>
      <c r="R442" s="62"/>
    </row>
    <row r="443" ht="15.75" customHeight="1">
      <c r="B443" s="167"/>
      <c r="E443" s="231"/>
      <c r="G443" s="167"/>
      <c r="J443" s="62"/>
      <c r="K443" s="62"/>
      <c r="R443" s="62"/>
    </row>
    <row r="444" ht="15.75" customHeight="1">
      <c r="B444" s="167"/>
      <c r="E444" s="231"/>
      <c r="G444" s="167"/>
      <c r="J444" s="62"/>
      <c r="K444" s="62"/>
      <c r="R444" s="62"/>
    </row>
    <row r="445" ht="15.75" customHeight="1">
      <c r="B445" s="167"/>
      <c r="E445" s="231"/>
      <c r="G445" s="167"/>
      <c r="J445" s="62"/>
      <c r="K445" s="62"/>
      <c r="R445" s="62"/>
    </row>
    <row r="446" ht="15.75" customHeight="1">
      <c r="B446" s="167"/>
      <c r="E446" s="231"/>
      <c r="G446" s="167"/>
      <c r="J446" s="62"/>
      <c r="K446" s="62"/>
      <c r="R446" s="62"/>
    </row>
    <row r="447" ht="15.75" customHeight="1">
      <c r="B447" s="167"/>
      <c r="E447" s="231"/>
      <c r="G447" s="167"/>
      <c r="J447" s="62"/>
      <c r="K447" s="62"/>
      <c r="R447" s="62"/>
    </row>
    <row r="448" ht="15.75" customHeight="1">
      <c r="B448" s="167"/>
      <c r="E448" s="231"/>
      <c r="G448" s="167"/>
      <c r="J448" s="62"/>
      <c r="K448" s="62"/>
      <c r="R448" s="62"/>
    </row>
    <row r="449" ht="15.75" customHeight="1">
      <c r="B449" s="167"/>
      <c r="E449" s="231"/>
      <c r="G449" s="167"/>
      <c r="J449" s="62"/>
      <c r="K449" s="62"/>
      <c r="R449" s="62"/>
    </row>
    <row r="450" ht="15.75" customHeight="1">
      <c r="B450" s="167"/>
      <c r="E450" s="231"/>
      <c r="G450" s="167"/>
      <c r="J450" s="62"/>
      <c r="K450" s="62"/>
      <c r="R450" s="62"/>
    </row>
    <row r="451" ht="15.75" customHeight="1">
      <c r="B451" s="167"/>
      <c r="E451" s="231"/>
      <c r="G451" s="167"/>
      <c r="J451" s="62"/>
      <c r="K451" s="62"/>
      <c r="R451" s="62"/>
    </row>
    <row r="452" ht="15.75" customHeight="1">
      <c r="B452" s="167"/>
      <c r="E452" s="231"/>
      <c r="G452" s="167"/>
      <c r="J452" s="62"/>
      <c r="K452" s="62"/>
      <c r="R452" s="62"/>
    </row>
    <row r="453" ht="15.75" customHeight="1">
      <c r="B453" s="167"/>
      <c r="E453" s="231"/>
      <c r="G453" s="167"/>
      <c r="J453" s="62"/>
      <c r="K453" s="62"/>
      <c r="R453" s="62"/>
    </row>
    <row r="454" ht="15.75" customHeight="1">
      <c r="B454" s="167"/>
      <c r="E454" s="231"/>
      <c r="G454" s="167"/>
      <c r="J454" s="62"/>
      <c r="K454" s="62"/>
      <c r="R454" s="62"/>
    </row>
    <row r="455" ht="15.75" customHeight="1">
      <c r="B455" s="167"/>
      <c r="E455" s="231"/>
      <c r="G455" s="167"/>
      <c r="J455" s="62"/>
      <c r="K455" s="62"/>
      <c r="R455" s="62"/>
    </row>
    <row r="456" ht="15.75" customHeight="1">
      <c r="B456" s="167"/>
      <c r="E456" s="231"/>
      <c r="G456" s="167"/>
      <c r="J456" s="62"/>
      <c r="K456" s="62"/>
      <c r="R456" s="62"/>
    </row>
    <row r="457" ht="15.75" customHeight="1">
      <c r="B457" s="167"/>
      <c r="E457" s="231"/>
      <c r="G457" s="167"/>
      <c r="J457" s="62"/>
      <c r="K457" s="62"/>
      <c r="R457" s="62"/>
    </row>
    <row r="458" ht="15.75" customHeight="1">
      <c r="B458" s="167"/>
      <c r="E458" s="231"/>
      <c r="G458" s="167"/>
      <c r="J458" s="62"/>
      <c r="K458" s="62"/>
      <c r="R458" s="62"/>
    </row>
    <row r="459" ht="15.75" customHeight="1">
      <c r="B459" s="167"/>
      <c r="E459" s="231"/>
      <c r="G459" s="167"/>
      <c r="J459" s="62"/>
      <c r="K459" s="62"/>
      <c r="R459" s="62"/>
    </row>
    <row r="460" ht="15.75" customHeight="1">
      <c r="B460" s="167"/>
      <c r="E460" s="231"/>
      <c r="G460" s="167"/>
      <c r="J460" s="62"/>
      <c r="K460" s="62"/>
      <c r="R460" s="62"/>
    </row>
    <row r="461" ht="15.75" customHeight="1">
      <c r="B461" s="167"/>
      <c r="E461" s="231"/>
      <c r="G461" s="167"/>
      <c r="J461" s="62"/>
      <c r="K461" s="62"/>
      <c r="R461" s="62"/>
    </row>
    <row r="462" ht="15.75" customHeight="1">
      <c r="B462" s="167"/>
      <c r="E462" s="231"/>
      <c r="G462" s="167"/>
      <c r="J462" s="62"/>
      <c r="K462" s="62"/>
      <c r="R462" s="62"/>
    </row>
    <row r="463" ht="15.75" customHeight="1">
      <c r="B463" s="167"/>
      <c r="E463" s="231"/>
      <c r="G463" s="167"/>
      <c r="J463" s="62"/>
      <c r="K463" s="62"/>
      <c r="R463" s="62"/>
    </row>
    <row r="464" ht="15.75" customHeight="1">
      <c r="B464" s="167"/>
      <c r="E464" s="231"/>
      <c r="G464" s="167"/>
      <c r="J464" s="62"/>
      <c r="K464" s="62"/>
      <c r="R464" s="62"/>
    </row>
    <row r="465" ht="15.75" customHeight="1">
      <c r="B465" s="167"/>
      <c r="E465" s="231"/>
      <c r="G465" s="167"/>
      <c r="J465" s="62"/>
      <c r="K465" s="62"/>
      <c r="R465" s="62"/>
    </row>
    <row r="466" ht="15.75" customHeight="1">
      <c r="B466" s="167"/>
      <c r="E466" s="231"/>
      <c r="G466" s="167"/>
      <c r="J466" s="62"/>
      <c r="K466" s="62"/>
      <c r="R466" s="62"/>
    </row>
    <row r="467" ht="15.75" customHeight="1">
      <c r="B467" s="167"/>
      <c r="E467" s="231"/>
      <c r="G467" s="167"/>
      <c r="J467" s="62"/>
      <c r="K467" s="62"/>
      <c r="R467" s="62"/>
    </row>
    <row r="468" ht="15.75" customHeight="1">
      <c r="B468" s="167"/>
      <c r="E468" s="231"/>
      <c r="G468" s="167"/>
      <c r="J468" s="62"/>
      <c r="K468" s="62"/>
      <c r="R468" s="62"/>
    </row>
    <row r="469" ht="15.75" customHeight="1">
      <c r="B469" s="167"/>
      <c r="E469" s="231"/>
      <c r="G469" s="167"/>
      <c r="J469" s="62"/>
      <c r="K469" s="62"/>
      <c r="R469" s="62"/>
    </row>
    <row r="470" ht="15.75" customHeight="1">
      <c r="B470" s="167"/>
      <c r="E470" s="231"/>
      <c r="G470" s="167"/>
      <c r="J470" s="62"/>
      <c r="K470" s="62"/>
      <c r="R470" s="62"/>
    </row>
    <row r="471" ht="15.75" customHeight="1">
      <c r="B471" s="167"/>
      <c r="E471" s="231"/>
      <c r="G471" s="167"/>
      <c r="J471" s="62"/>
      <c r="K471" s="62"/>
      <c r="R471" s="62"/>
    </row>
    <row r="472" ht="15.75" customHeight="1">
      <c r="B472" s="167"/>
      <c r="E472" s="231"/>
      <c r="G472" s="167"/>
      <c r="J472" s="62"/>
      <c r="K472" s="62"/>
      <c r="R472" s="62"/>
    </row>
    <row r="473" ht="15.75" customHeight="1">
      <c r="B473" s="167"/>
      <c r="E473" s="231"/>
      <c r="G473" s="167"/>
      <c r="J473" s="62"/>
      <c r="K473" s="62"/>
      <c r="R473" s="62"/>
    </row>
    <row r="474" ht="15.75" customHeight="1">
      <c r="B474" s="167"/>
      <c r="E474" s="231"/>
      <c r="G474" s="167"/>
      <c r="J474" s="62"/>
      <c r="K474" s="62"/>
      <c r="R474" s="62"/>
    </row>
    <row r="475" ht="15.75" customHeight="1">
      <c r="B475" s="167"/>
      <c r="E475" s="231"/>
      <c r="G475" s="167"/>
      <c r="J475" s="62"/>
      <c r="K475" s="62"/>
      <c r="R475" s="62"/>
    </row>
    <row r="476" ht="15.75" customHeight="1">
      <c r="B476" s="167"/>
      <c r="E476" s="231"/>
      <c r="G476" s="167"/>
      <c r="J476" s="62"/>
      <c r="K476" s="62"/>
      <c r="R476" s="62"/>
    </row>
    <row r="477" ht="15.75" customHeight="1">
      <c r="B477" s="167"/>
      <c r="E477" s="231"/>
      <c r="G477" s="167"/>
      <c r="J477" s="62"/>
      <c r="K477" s="62"/>
      <c r="R477" s="62"/>
    </row>
    <row r="478" ht="15.75" customHeight="1">
      <c r="B478" s="167"/>
      <c r="E478" s="231"/>
      <c r="G478" s="167"/>
      <c r="J478" s="62"/>
      <c r="K478" s="62"/>
      <c r="R478" s="62"/>
    </row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1">
    <mergeCell ref="N184:R184"/>
    <mergeCell ref="N185:R185"/>
    <mergeCell ref="A199:K199"/>
    <mergeCell ref="A200:K200"/>
    <mergeCell ref="N202:R202"/>
    <mergeCell ref="N203:R203"/>
    <mergeCell ref="A217:K217"/>
    <mergeCell ref="A218:K218"/>
    <mergeCell ref="N220:R220"/>
    <mergeCell ref="N221:R221"/>
    <mergeCell ref="A235:K235"/>
    <mergeCell ref="A236:K236"/>
    <mergeCell ref="N238:R238"/>
    <mergeCell ref="N239:R239"/>
    <mergeCell ref="A1:K1"/>
    <mergeCell ref="A2:K2"/>
    <mergeCell ref="N4:R4"/>
    <mergeCell ref="N5:R5"/>
    <mergeCell ref="A19:K19"/>
    <mergeCell ref="N22:R22"/>
    <mergeCell ref="N23:R23"/>
    <mergeCell ref="A20:K20"/>
    <mergeCell ref="A37:K37"/>
    <mergeCell ref="A38:K38"/>
    <mergeCell ref="N40:R40"/>
    <mergeCell ref="N45:R45"/>
    <mergeCell ref="A55:K55"/>
    <mergeCell ref="A56:K56"/>
    <mergeCell ref="N58:R58"/>
    <mergeCell ref="N59:R59"/>
    <mergeCell ref="A73:K73"/>
    <mergeCell ref="A74:K74"/>
    <mergeCell ref="N76:R76"/>
    <mergeCell ref="N77:R77"/>
    <mergeCell ref="A91:K91"/>
    <mergeCell ref="A92:K92"/>
    <mergeCell ref="N94:R94"/>
    <mergeCell ref="N95:R95"/>
    <mergeCell ref="A109:K109"/>
    <mergeCell ref="A110:K110"/>
    <mergeCell ref="N112:R112"/>
    <mergeCell ref="N113:R113"/>
    <mergeCell ref="A127:K127"/>
    <mergeCell ref="A128:K128"/>
    <mergeCell ref="N130:R130"/>
    <mergeCell ref="N131:R131"/>
    <mergeCell ref="A145:K145"/>
    <mergeCell ref="N148:R148"/>
    <mergeCell ref="N149:R149"/>
    <mergeCell ref="A146:K146"/>
    <mergeCell ref="A163:K163"/>
    <mergeCell ref="A164:K164"/>
    <mergeCell ref="N166:R166"/>
    <mergeCell ref="N167:R167"/>
    <mergeCell ref="A181:K181"/>
    <mergeCell ref="A182:K182"/>
    <mergeCell ref="A253:K253"/>
    <mergeCell ref="A254:K254"/>
    <mergeCell ref="N256:R256"/>
    <mergeCell ref="N257:R257"/>
    <mergeCell ref="N276:R276"/>
  </mergeCells>
  <dataValidations>
    <dataValidation type="list" allowBlank="1" showErrorMessage="1" sqref="I4:I15 I22:I33 I40:I51 I58:I69 I76:I87 I94:I105 I112:I123 I130:I141 I148:I159 I166:I177 I184:I195 I202:I213 I220:I231 I238:I249 I256:I267">
      <formula1>"Não atendido,Atendido,Vagas livre,Desistência"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3.88"/>
    <col customWidth="1" min="4" max="4" width="11.88"/>
    <col customWidth="1" min="5" max="5" width="16.0"/>
    <col customWidth="1" min="6" max="6" width="17.0"/>
    <col customWidth="1" min="7" max="7" width="42.63"/>
    <col customWidth="1" min="8" max="8" width="16.13"/>
    <col customWidth="1" min="9" max="9" width="20.38"/>
    <col customWidth="1" min="10" max="10" width="16.5"/>
    <col customWidth="1" min="11" max="11" width="14.8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3930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1789</v>
      </c>
      <c r="C4" s="69" t="str">
        <f t="shared" ref="C4:C15" si="1">PROPER(TEXT(DATE(MID($A$2,7,4),MID($A$2,4,2),LEFT($A$2,2)),"dddd"))</f>
        <v>Quinta-Feira</v>
      </c>
      <c r="D4" s="445" t="str">
        <f>IF(C4&lt;&gt;"Quarta-Feira","13:00","08:00")</f>
        <v>13:00</v>
      </c>
      <c r="E4" s="219"/>
      <c r="F4" s="192"/>
      <c r="G4" s="54" t="s">
        <v>3931</v>
      </c>
      <c r="H4" s="193"/>
      <c r="I4" s="18"/>
      <c r="J4" s="97"/>
      <c r="K4" s="97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5" t="s">
        <v>1713</v>
      </c>
      <c r="C5" s="69" t="str">
        <f t="shared" si="1"/>
        <v>Quinta-Feira</v>
      </c>
      <c r="D5" s="445" t="str">
        <f>IF(C5&lt;&gt;"Quarta-Feira","13:20","08:20")</f>
        <v>13:20</v>
      </c>
      <c r="E5" s="253"/>
      <c r="F5" s="206"/>
      <c r="G5" s="54" t="s">
        <v>3932</v>
      </c>
      <c r="H5" s="153"/>
      <c r="I5" s="18"/>
      <c r="J5" s="37"/>
      <c r="K5" s="37"/>
      <c r="N5" s="239" t="s">
        <v>2085</v>
      </c>
      <c r="O5" s="2"/>
      <c r="P5" s="2"/>
      <c r="Q5" s="2"/>
      <c r="R5" s="62"/>
    </row>
    <row r="6" ht="20.25" customHeight="1">
      <c r="A6" s="11" t="s">
        <v>12</v>
      </c>
      <c r="B6" s="205" t="s">
        <v>1780</v>
      </c>
      <c r="C6" s="69" t="str">
        <f t="shared" si="1"/>
        <v>Quinta-Feira</v>
      </c>
      <c r="D6" s="445" t="str">
        <f>IF(C6&lt;&gt;"Quarta-Feira","13:40","08:40")</f>
        <v>13:40</v>
      </c>
      <c r="E6" s="253"/>
      <c r="F6" s="206"/>
      <c r="G6" s="54" t="s">
        <v>3933</v>
      </c>
      <c r="H6" s="153"/>
      <c r="I6" s="18"/>
      <c r="J6" s="37"/>
      <c r="K6" s="97"/>
      <c r="N6" s="240" t="s">
        <v>41</v>
      </c>
      <c r="O6" s="241" t="s">
        <v>194</v>
      </c>
      <c r="P6" s="241" t="s">
        <v>180</v>
      </c>
      <c r="Q6" s="242" t="s">
        <v>2087</v>
      </c>
      <c r="R6" s="62"/>
    </row>
    <row r="7" ht="15.75" customHeight="1">
      <c r="A7" s="11" t="s">
        <v>13</v>
      </c>
      <c r="B7" s="205" t="s">
        <v>1720</v>
      </c>
      <c r="C7" s="69" t="str">
        <f t="shared" si="1"/>
        <v>Quinta-Feira</v>
      </c>
      <c r="D7" s="445" t="str">
        <f>IF(C7&lt;&gt;"Quarta-Feira","14:00","09:00")</f>
        <v>14:00</v>
      </c>
      <c r="E7" s="214"/>
      <c r="F7" s="79"/>
      <c r="G7" s="54" t="s">
        <v>3934</v>
      </c>
      <c r="H7" s="78"/>
      <c r="I7" s="18"/>
      <c r="J7" s="266"/>
      <c r="K7" s="266"/>
      <c r="N7" s="244">
        <f t="shared" ref="N7:P7" si="2">COUNTIFS($I$4:$I$15,N6)</f>
        <v>0</v>
      </c>
      <c r="O7" s="244">
        <f t="shared" si="2"/>
        <v>0</v>
      </c>
      <c r="P7" s="244">
        <f t="shared" si="2"/>
        <v>0</v>
      </c>
      <c r="Q7" s="244">
        <f>COUNTIF(I4:I15,Q6)</f>
        <v>0</v>
      </c>
      <c r="R7" s="62"/>
    </row>
    <row r="8" ht="15.75" customHeight="1">
      <c r="A8" s="11" t="s">
        <v>14</v>
      </c>
      <c r="B8" s="205" t="s">
        <v>1795</v>
      </c>
      <c r="C8" s="69" t="str">
        <f t="shared" si="1"/>
        <v>Quinta-Feira</v>
      </c>
      <c r="D8" s="445" t="str">
        <f>IF(C8&lt;&gt;"Quarta-Feira","14:20","09:20")</f>
        <v>14:20</v>
      </c>
      <c r="E8" s="267"/>
      <c r="F8" s="457"/>
      <c r="G8" s="54" t="s">
        <v>3935</v>
      </c>
      <c r="H8" s="269"/>
      <c r="I8" s="18"/>
      <c r="J8" s="128"/>
      <c r="K8" s="128"/>
      <c r="R8" s="62"/>
    </row>
    <row r="9" ht="15.75" customHeight="1">
      <c r="A9" s="11" t="s">
        <v>15</v>
      </c>
      <c r="B9" s="205" t="s">
        <v>1789</v>
      </c>
      <c r="C9" s="69" t="str">
        <f t="shared" si="1"/>
        <v>Quinta-Feira</v>
      </c>
      <c r="D9" s="445" t="str">
        <f>IF(C9&lt;&gt;"Quarta-Feira","14:40","09:40")</f>
        <v>14:40</v>
      </c>
      <c r="E9" s="215"/>
      <c r="F9" s="170"/>
      <c r="G9" s="54" t="s">
        <v>3936</v>
      </c>
      <c r="H9" s="72"/>
      <c r="I9" s="18"/>
      <c r="J9" s="37"/>
      <c r="K9" s="37"/>
      <c r="R9" s="62"/>
    </row>
    <row r="10" ht="15.75" customHeight="1">
      <c r="A10" s="11" t="s">
        <v>16</v>
      </c>
      <c r="B10" s="205" t="s">
        <v>2652</v>
      </c>
      <c r="C10" s="69" t="str">
        <f t="shared" si="1"/>
        <v>Quinta-Feira</v>
      </c>
      <c r="D10" s="445" t="str">
        <f>IF(C10&lt;&gt;"Quarta-Feira","15:00","10:00")</f>
        <v>15:00</v>
      </c>
      <c r="E10" s="214"/>
      <c r="F10" s="79"/>
      <c r="G10" s="54" t="s">
        <v>3937</v>
      </c>
      <c r="H10" s="78"/>
      <c r="I10" s="18"/>
      <c r="J10" s="266"/>
      <c r="K10" s="266"/>
      <c r="R10" s="62"/>
    </row>
    <row r="11" ht="15.75" customHeight="1">
      <c r="A11" s="11" t="s">
        <v>17</v>
      </c>
      <c r="B11" s="205" t="s">
        <v>2655</v>
      </c>
      <c r="C11" s="69" t="str">
        <f t="shared" si="1"/>
        <v>Quinta-Feira</v>
      </c>
      <c r="D11" s="445" t="str">
        <f>IF(C11&lt;&gt;"Quarta-Feira","15:20","10:20")</f>
        <v>15:20</v>
      </c>
      <c r="E11" s="214"/>
      <c r="F11" s="79"/>
      <c r="G11" s="54" t="s">
        <v>3938</v>
      </c>
      <c r="H11" s="78"/>
      <c r="I11" s="18"/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205" t="s">
        <v>2658</v>
      </c>
      <c r="C12" s="69" t="str">
        <f t="shared" si="1"/>
        <v>Quinta-Feira</v>
      </c>
      <c r="D12" s="445" t="str">
        <f>IF(C12&lt;&gt;"Quarta-Feira","15:40","10:40")</f>
        <v>15:40</v>
      </c>
      <c r="E12" s="247"/>
      <c r="F12" s="146"/>
      <c r="G12" s="54" t="s">
        <v>3939</v>
      </c>
      <c r="H12" s="86"/>
      <c r="I12" s="18"/>
      <c r="J12" s="37"/>
      <c r="K12" s="37"/>
      <c r="R12" s="62"/>
    </row>
    <row r="13" ht="15.75" customHeight="1">
      <c r="A13" s="11" t="s">
        <v>87</v>
      </c>
      <c r="B13" s="205" t="s">
        <v>1734</v>
      </c>
      <c r="C13" s="69" t="str">
        <f t="shared" si="1"/>
        <v>Quinta-Feira</v>
      </c>
      <c r="D13" s="445" t="str">
        <f>IF(C13&lt;&gt;"Quarta-Feira","16:00","11:00")</f>
        <v>16:00</v>
      </c>
      <c r="E13" s="218"/>
      <c r="F13" s="146"/>
      <c r="G13" s="54" t="s">
        <v>3940</v>
      </c>
      <c r="H13" s="86"/>
      <c r="I13" s="18"/>
      <c r="J13" s="37"/>
      <c r="K13" s="37"/>
      <c r="R13" s="62"/>
    </row>
    <row r="14" ht="15.75" customHeight="1">
      <c r="A14" s="11" t="s">
        <v>90</v>
      </c>
      <c r="B14" s="205" t="s">
        <v>2658</v>
      </c>
      <c r="C14" s="69" t="str">
        <f t="shared" si="1"/>
        <v>Quinta-Feira</v>
      </c>
      <c r="D14" s="445" t="str">
        <f>IF(C14&lt;&gt;"Quarta-Feira","16:20","11:20")</f>
        <v>16:20</v>
      </c>
      <c r="E14" s="258"/>
      <c r="F14" s="127"/>
      <c r="G14" s="54" t="s">
        <v>3941</v>
      </c>
      <c r="H14" s="153"/>
      <c r="I14" s="18"/>
      <c r="J14" s="37"/>
      <c r="K14" s="37"/>
      <c r="R14" s="62"/>
    </row>
    <row r="15" ht="15.75" customHeight="1">
      <c r="A15" s="11" t="s">
        <v>93</v>
      </c>
      <c r="B15" s="205" t="s">
        <v>1734</v>
      </c>
      <c r="C15" s="69" t="str">
        <f t="shared" si="1"/>
        <v>Quinta-Feira</v>
      </c>
      <c r="D15" s="445" t="str">
        <f>IF(C15&lt;&gt;"Quarta-Feira","16:40","11:40")</f>
        <v>16:40</v>
      </c>
      <c r="E15" s="258"/>
      <c r="F15" s="127"/>
      <c r="G15" s="54" t="s">
        <v>3942</v>
      </c>
      <c r="H15" s="153"/>
      <c r="I15" s="18"/>
      <c r="J15" s="37"/>
      <c r="K15" s="37"/>
      <c r="R15" s="62"/>
    </row>
    <row r="16" ht="15.75" customHeight="1">
      <c r="E16" s="231"/>
      <c r="J16" s="62"/>
      <c r="K16" s="62"/>
      <c r="R16" s="62"/>
    </row>
    <row r="17" ht="15.75" customHeight="1">
      <c r="E17" s="231"/>
      <c r="J17" s="62"/>
      <c r="K17" s="62"/>
      <c r="R17" s="62"/>
    </row>
    <row r="18" ht="15.0" customHeight="1">
      <c r="E18" s="231"/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tr">
        <f>TEXT(DATE(VALUE(MID(A2,7,4)),VALUE(MID(A2,4,2)),VALUE(LEFT(A2,2)))+5,"dd/mm/yyyy")&amp;" 13h às 17h"</f>
        <v>07/07/2026 13h às 17h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2081</v>
      </c>
      <c r="C22" s="69" t="str">
        <f t="shared" ref="C22:C33" si="3">PROPER(TEXT(DATE(MID($A$20,7,4),MID($A$20,4,2),LEFT($A$20,2)),"dddd"))</f>
        <v>Terça-Feira</v>
      </c>
      <c r="D22" s="445" t="str">
        <f>IF(C22&lt;&gt;"Quarta-Feira","13:00","08:00")</f>
        <v>13:00</v>
      </c>
      <c r="E22" s="253"/>
      <c r="F22" s="127"/>
      <c r="G22" s="148"/>
      <c r="H22" s="153"/>
      <c r="I22" s="18"/>
      <c r="J22" s="127"/>
      <c r="K22" s="12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2083</v>
      </c>
      <c r="C23" s="69" t="str">
        <f t="shared" si="3"/>
        <v>Terça-Feira</v>
      </c>
      <c r="D23" s="445" t="str">
        <f>IF(C23&lt;&gt;"Quarta-Feira","13:20","08:20")</f>
        <v>13:20</v>
      </c>
      <c r="E23" s="215"/>
      <c r="F23" s="127"/>
      <c r="G23" s="148"/>
      <c r="H23" s="153"/>
      <c r="I23" s="18"/>
      <c r="J23" s="127"/>
      <c r="K23" s="127"/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2086</v>
      </c>
      <c r="C24" s="69" t="str">
        <f t="shared" si="3"/>
        <v>Terça-Feira</v>
      </c>
      <c r="D24" s="445" t="str">
        <f>IF(C24&lt;&gt;"Quarta-Feira","13:40","08:40")</f>
        <v>13:40</v>
      </c>
      <c r="E24" s="215"/>
      <c r="F24" s="127"/>
      <c r="G24" s="148"/>
      <c r="H24" s="153"/>
      <c r="I24" s="18"/>
      <c r="J24" s="127"/>
      <c r="K24" s="127"/>
      <c r="L24" s="197" t="s">
        <v>520</v>
      </c>
      <c r="N24" s="240" t="s">
        <v>41</v>
      </c>
      <c r="O24" s="241" t="s">
        <v>194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2088</v>
      </c>
      <c r="C25" s="69" t="str">
        <f t="shared" si="3"/>
        <v>Terça-Feira</v>
      </c>
      <c r="D25" s="445" t="str">
        <f>IF(C25&lt;&gt;"Quarta-Feira","14:00","09:00")</f>
        <v>14:00</v>
      </c>
      <c r="E25" s="218"/>
      <c r="F25" s="127"/>
      <c r="G25" s="148"/>
      <c r="H25" s="153"/>
      <c r="I25" s="18"/>
      <c r="J25" s="127"/>
      <c r="K25" s="127"/>
      <c r="L25" s="197" t="s">
        <v>520</v>
      </c>
      <c r="N25" s="244">
        <f t="shared" ref="N25:Q25" si="4">COUNTIFS($I$22:$I$33,N24)</f>
        <v>0</v>
      </c>
      <c r="O25" s="244">
        <f t="shared" si="4"/>
        <v>0</v>
      </c>
      <c r="P25" s="244">
        <f t="shared" si="4"/>
        <v>0</v>
      </c>
      <c r="Q25" s="244">
        <f t="shared" si="4"/>
        <v>0</v>
      </c>
      <c r="R25" s="62"/>
    </row>
    <row r="26" ht="18.0" customHeight="1">
      <c r="A26" s="11" t="s">
        <v>14</v>
      </c>
      <c r="B26" s="205" t="s">
        <v>2081</v>
      </c>
      <c r="C26" s="69" t="str">
        <f t="shared" si="3"/>
        <v>Terça-Feira</v>
      </c>
      <c r="D26" s="445" t="str">
        <f>IF(C26&lt;&gt;"Quarta-Feira","14:20","09:20")</f>
        <v>14:20</v>
      </c>
      <c r="E26" s="368"/>
      <c r="F26" s="127"/>
      <c r="G26" s="148"/>
      <c r="H26" s="153"/>
      <c r="I26" s="18"/>
      <c r="J26" s="127"/>
      <c r="K26" s="127"/>
      <c r="L26" s="197" t="s">
        <v>520</v>
      </c>
      <c r="R26" s="62"/>
    </row>
    <row r="27" ht="15.75" customHeight="1">
      <c r="A27" s="11" t="s">
        <v>15</v>
      </c>
      <c r="B27" s="205" t="s">
        <v>2088</v>
      </c>
      <c r="C27" s="69" t="str">
        <f t="shared" si="3"/>
        <v>Terça-Feira</v>
      </c>
      <c r="D27" s="445" t="str">
        <f>IF(C27&lt;&gt;"Quarta-Feira","14:40","09:40")</f>
        <v>14:40</v>
      </c>
      <c r="E27" s="368"/>
      <c r="F27" s="127"/>
      <c r="G27" s="148"/>
      <c r="H27" s="153"/>
      <c r="I27" s="18"/>
      <c r="J27" s="127"/>
      <c r="K27" s="127"/>
      <c r="L27" s="197" t="s">
        <v>520</v>
      </c>
      <c r="R27" s="62"/>
    </row>
    <row r="28" ht="15.75" customHeight="1">
      <c r="A28" s="11" t="s">
        <v>16</v>
      </c>
      <c r="B28" s="205" t="s">
        <v>2092</v>
      </c>
      <c r="C28" s="69" t="str">
        <f t="shared" si="3"/>
        <v>Terça-Feira</v>
      </c>
      <c r="D28" s="445" t="str">
        <f>IF(C28&lt;&gt;"Quarta-Feira","15:00","10:00")</f>
        <v>15:00</v>
      </c>
      <c r="E28" s="218"/>
      <c r="F28" s="149"/>
      <c r="G28" s="148"/>
      <c r="H28" s="150"/>
      <c r="I28" s="18"/>
      <c r="J28" s="266"/>
      <c r="K28" s="127"/>
      <c r="L28" s="197" t="s">
        <v>520</v>
      </c>
      <c r="R28" s="62"/>
    </row>
    <row r="29" ht="15.75" customHeight="1">
      <c r="A29" s="11" t="s">
        <v>17</v>
      </c>
      <c r="B29" s="205" t="s">
        <v>2093</v>
      </c>
      <c r="C29" s="69" t="str">
        <f t="shared" si="3"/>
        <v>Terça-Feira</v>
      </c>
      <c r="D29" s="445" t="str">
        <f>IF(C29&lt;&gt;"Quarta-Feira","15:20","10:20")</f>
        <v>15:20</v>
      </c>
      <c r="E29" s="215"/>
      <c r="F29" s="127"/>
      <c r="G29" s="148"/>
      <c r="H29" s="153"/>
      <c r="I29" s="18"/>
      <c r="J29" s="127"/>
      <c r="K29" s="127"/>
      <c r="L29" s="197" t="s">
        <v>520</v>
      </c>
      <c r="R29" s="62"/>
    </row>
    <row r="30" ht="15.75" customHeight="1">
      <c r="A30" s="11" t="s">
        <v>85</v>
      </c>
      <c r="B30" s="205" t="s">
        <v>2094</v>
      </c>
      <c r="C30" s="69" t="str">
        <f t="shared" si="3"/>
        <v>Terça-Feira</v>
      </c>
      <c r="D30" s="445" t="str">
        <f>IF(C30&lt;&gt;"Quarta-Feira","15:40","10:40")</f>
        <v>15:40</v>
      </c>
      <c r="E30" s="258"/>
      <c r="F30" s="127"/>
      <c r="G30" s="148"/>
      <c r="H30" s="153"/>
      <c r="I30" s="18"/>
      <c r="J30" s="127"/>
      <c r="K30" s="127"/>
      <c r="L30" s="197" t="s">
        <v>520</v>
      </c>
      <c r="R30" s="62"/>
    </row>
    <row r="31" ht="15.75" customHeight="1">
      <c r="A31" s="11" t="s">
        <v>87</v>
      </c>
      <c r="B31" s="205" t="s">
        <v>2095</v>
      </c>
      <c r="C31" s="69" t="str">
        <f t="shared" si="3"/>
        <v>Terça-Feira</v>
      </c>
      <c r="D31" s="445" t="str">
        <f>IF(C31&lt;&gt;"Quarta-Feira","16:00","11:00")</f>
        <v>16:00</v>
      </c>
      <c r="E31" s="218"/>
      <c r="F31" s="127"/>
      <c r="G31" s="148"/>
      <c r="H31" s="153"/>
      <c r="I31" s="18"/>
      <c r="J31" s="127"/>
      <c r="K31" s="127"/>
      <c r="L31" s="197" t="s">
        <v>520</v>
      </c>
      <c r="R31" s="62"/>
    </row>
    <row r="32" ht="15.75" customHeight="1">
      <c r="A32" s="11" t="s">
        <v>90</v>
      </c>
      <c r="B32" s="205" t="s">
        <v>2097</v>
      </c>
      <c r="C32" s="69" t="str">
        <f t="shared" si="3"/>
        <v>Terça-Feira</v>
      </c>
      <c r="D32" s="445" t="str">
        <f>IF(C32&lt;&gt;"Quarta-Feira","16:20","11:20")</f>
        <v>16:20</v>
      </c>
      <c r="E32" s="258"/>
      <c r="F32" s="127"/>
      <c r="G32" s="148"/>
      <c r="H32" s="153"/>
      <c r="I32" s="18"/>
      <c r="J32" s="127"/>
      <c r="K32" s="127"/>
      <c r="L32" s="197" t="s">
        <v>520</v>
      </c>
      <c r="R32" s="62"/>
    </row>
    <row r="33" ht="15.75" customHeight="1">
      <c r="A33" s="11" t="s">
        <v>93</v>
      </c>
      <c r="B33" s="205" t="s">
        <v>2095</v>
      </c>
      <c r="C33" s="69" t="str">
        <f t="shared" si="3"/>
        <v>Terça-Feira</v>
      </c>
      <c r="D33" s="445" t="str">
        <f>IF(C33&lt;&gt;"Quarta-Feira","16:40","11:40")</f>
        <v>16:40</v>
      </c>
      <c r="E33" s="258"/>
      <c r="F33" s="127"/>
      <c r="G33" s="148"/>
      <c r="H33" s="153"/>
      <c r="I33" s="18"/>
      <c r="J33" s="127"/>
      <c r="K33" s="127"/>
      <c r="R33" s="62"/>
    </row>
    <row r="34" ht="15.75" customHeight="1">
      <c r="E34" s="231"/>
      <c r="J34" s="62"/>
      <c r="K34" s="62"/>
      <c r="R34" s="62"/>
    </row>
    <row r="35" ht="15.75" customHeight="1">
      <c r="E35" s="231"/>
      <c r="J35" s="62"/>
      <c r="K35" s="62"/>
      <c r="R35" s="62"/>
    </row>
    <row r="36" ht="15.75" customHeight="1">
      <c r="E36" s="231"/>
      <c r="J36" s="62"/>
      <c r="K36" s="62"/>
      <c r="R36" s="62"/>
    </row>
    <row r="37" ht="15.75" customHeight="1">
      <c r="A37" s="20" t="s">
        <v>18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4.75" customHeight="1">
      <c r="A38" s="21" t="str">
        <f>TEXT(DATE(VALUE(MID(A2,7,4)),VALUE(MID(A2,4,2)),VALUE(LEFT(A2,2)))+7,"dd/mm/yyyy")&amp;" 13h às 17h"</f>
        <v>09/07/2026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23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205" t="s">
        <v>1789</v>
      </c>
      <c r="C40" s="69" t="str">
        <f t="shared" ref="C40:C51" si="5">PROPER(TEXT(DATE(MID($A$38,7,4),MID($A$38,4,2),LEFT($A$38,2)),"dddd"))</f>
        <v>Quinta-Feira</v>
      </c>
      <c r="D40" s="445" t="str">
        <f>IF(C40&lt;&gt;"Quarta-Feira","13:00","08:00")</f>
        <v>13:00</v>
      </c>
      <c r="E40" s="214"/>
      <c r="F40" s="79"/>
      <c r="G40" s="74"/>
      <c r="H40" s="72"/>
      <c r="I40" s="30"/>
      <c r="J40" s="274"/>
      <c r="K40" s="274"/>
      <c r="L40" s="197" t="s">
        <v>520</v>
      </c>
      <c r="N40" s="237" t="s">
        <v>386</v>
      </c>
      <c r="O40" s="95"/>
      <c r="P40" s="95"/>
      <c r="Q40" s="95"/>
      <c r="R40" s="62"/>
    </row>
    <row r="41" ht="15.75" customHeight="1">
      <c r="A41" s="11" t="s">
        <v>11</v>
      </c>
      <c r="B41" s="205" t="s">
        <v>1713</v>
      </c>
      <c r="C41" s="69" t="str">
        <f t="shared" si="5"/>
        <v>Quinta-Feira</v>
      </c>
      <c r="D41" s="445" t="str">
        <f>IF(C41&lt;&gt;"Quarta-Feira","13:20","08:20")</f>
        <v>13:20</v>
      </c>
      <c r="E41" s="214"/>
      <c r="F41" s="79"/>
      <c r="G41" s="74"/>
      <c r="H41" s="72"/>
      <c r="I41" s="30"/>
      <c r="J41" s="274"/>
      <c r="K41" s="274"/>
      <c r="N41" s="239" t="s">
        <v>2085</v>
      </c>
      <c r="O41" s="2"/>
      <c r="P41" s="2"/>
      <c r="Q41" s="2"/>
      <c r="R41" s="62"/>
    </row>
    <row r="42" ht="15.75" customHeight="1">
      <c r="A42" s="11" t="s">
        <v>12</v>
      </c>
      <c r="B42" s="205" t="s">
        <v>1780</v>
      </c>
      <c r="C42" s="69" t="str">
        <f t="shared" si="5"/>
        <v>Quinta-Feira</v>
      </c>
      <c r="D42" s="445" t="str">
        <f>IF(C42&lt;&gt;"Quarta-Feira","13:40","08:40")</f>
        <v>13:40</v>
      </c>
      <c r="E42" s="214"/>
      <c r="F42" s="79"/>
      <c r="G42" s="74"/>
      <c r="H42" s="72"/>
      <c r="I42" s="30"/>
      <c r="J42" s="336"/>
      <c r="K42" s="336"/>
      <c r="L42" s="197" t="s">
        <v>520</v>
      </c>
      <c r="N42" s="240" t="s">
        <v>182</v>
      </c>
      <c r="O42" s="241" t="s">
        <v>194</v>
      </c>
      <c r="P42" s="241" t="s">
        <v>180</v>
      </c>
      <c r="Q42" s="242" t="s">
        <v>2087</v>
      </c>
      <c r="R42" s="62" t="s">
        <v>438</v>
      </c>
    </row>
    <row r="43" ht="15.75" customHeight="1">
      <c r="A43" s="11" t="s">
        <v>13</v>
      </c>
      <c r="B43" s="205" t="s">
        <v>1720</v>
      </c>
      <c r="C43" s="69" t="str">
        <f t="shared" si="5"/>
        <v>Quinta-Feira</v>
      </c>
      <c r="D43" s="445" t="str">
        <f>IF(C43&lt;&gt;"Quarta-Feira","14:00","09:00")</f>
        <v>14:00</v>
      </c>
      <c r="E43" s="214"/>
      <c r="F43" s="79"/>
      <c r="G43" s="74"/>
      <c r="H43" s="72"/>
      <c r="I43" s="30"/>
      <c r="J43" s="274"/>
      <c r="K43" s="274"/>
      <c r="L43" s="197" t="s">
        <v>520</v>
      </c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0</v>
      </c>
    </row>
    <row r="44" ht="15.75" customHeight="1">
      <c r="A44" s="11" t="s">
        <v>14</v>
      </c>
      <c r="B44" s="205" t="s">
        <v>1795</v>
      </c>
      <c r="C44" s="69" t="str">
        <f t="shared" si="5"/>
        <v>Quinta-Feira</v>
      </c>
      <c r="D44" s="445" t="str">
        <f>IF(C44&lt;&gt;"Quarta-Feira","14:20","09:20")</f>
        <v>14:20</v>
      </c>
      <c r="E44" s="214"/>
      <c r="F44" s="79"/>
      <c r="G44" s="306"/>
      <c r="H44" s="72"/>
      <c r="I44" s="18"/>
      <c r="J44" s="274"/>
      <c r="K44" s="274"/>
      <c r="L44" s="197" t="s">
        <v>520</v>
      </c>
      <c r="R44" s="62"/>
    </row>
    <row r="45" ht="15.75" customHeight="1">
      <c r="A45" s="11" t="s">
        <v>15</v>
      </c>
      <c r="B45" s="205" t="s">
        <v>1789</v>
      </c>
      <c r="C45" s="69" t="str">
        <f t="shared" si="5"/>
        <v>Quinta-Feira</v>
      </c>
      <c r="D45" s="445" t="str">
        <f>IF(C45&lt;&gt;"Quarta-Feira","14:40","09:40")</f>
        <v>14:40</v>
      </c>
      <c r="E45" s="214"/>
      <c r="F45" s="79"/>
      <c r="G45" s="74"/>
      <c r="H45" s="72"/>
      <c r="I45" s="30"/>
      <c r="J45" s="274"/>
      <c r="K45" s="274"/>
      <c r="L45" s="197" t="s">
        <v>520</v>
      </c>
      <c r="R45" s="62"/>
    </row>
    <row r="46" ht="15.75" customHeight="1">
      <c r="A46" s="11" t="s">
        <v>16</v>
      </c>
      <c r="B46" s="205" t="s">
        <v>2652</v>
      </c>
      <c r="C46" s="69" t="str">
        <f t="shared" si="5"/>
        <v>Quinta-Feira</v>
      </c>
      <c r="D46" s="445" t="str">
        <f>IF(C46&lt;&gt;"Quarta-Feira","15:00","10:00")</f>
        <v>15:00</v>
      </c>
      <c r="E46" s="214"/>
      <c r="F46" s="79"/>
      <c r="G46" s="306"/>
      <c r="H46" s="72"/>
      <c r="I46" s="18"/>
      <c r="J46" s="336"/>
      <c r="K46" s="274"/>
      <c r="R46" s="62"/>
    </row>
    <row r="47" ht="15.75" customHeight="1">
      <c r="A47" s="11" t="s">
        <v>17</v>
      </c>
      <c r="B47" s="205" t="s">
        <v>2655</v>
      </c>
      <c r="C47" s="69" t="str">
        <f t="shared" si="5"/>
        <v>Quinta-Feira</v>
      </c>
      <c r="D47" s="445" t="str">
        <f>IF(C47&lt;&gt;"Quarta-Feira","15:20","10:20")</f>
        <v>15:20</v>
      </c>
      <c r="E47" s="214"/>
      <c r="F47" s="79"/>
      <c r="G47" s="74"/>
      <c r="H47" s="72"/>
      <c r="I47" s="18"/>
      <c r="J47" s="336"/>
      <c r="K47" s="336"/>
      <c r="R47" s="62"/>
    </row>
    <row r="48" ht="15.75" customHeight="1">
      <c r="A48" s="11" t="s">
        <v>85</v>
      </c>
      <c r="B48" s="205" t="s">
        <v>2658</v>
      </c>
      <c r="C48" s="69" t="str">
        <f t="shared" si="5"/>
        <v>Quinta-Feira</v>
      </c>
      <c r="D48" s="445" t="str">
        <f>IF(C48&lt;&gt;"Quarta-Feira","15:40","10:40")</f>
        <v>15:40</v>
      </c>
      <c r="E48" s="214"/>
      <c r="F48" s="79"/>
      <c r="G48" s="74"/>
      <c r="H48" s="72"/>
      <c r="I48" s="30"/>
      <c r="J48" s="274"/>
      <c r="K48" s="274"/>
      <c r="L48" s="197" t="s">
        <v>576</v>
      </c>
      <c r="R48" s="62"/>
    </row>
    <row r="49" ht="15.75" customHeight="1">
      <c r="A49" s="11" t="s">
        <v>87</v>
      </c>
      <c r="B49" s="205" t="s">
        <v>1734</v>
      </c>
      <c r="C49" s="69" t="str">
        <f t="shared" si="5"/>
        <v>Quinta-Feira</v>
      </c>
      <c r="D49" s="445" t="str">
        <f>IF(C49&lt;&gt;"Quarta-Feira","16:00","11:00")</f>
        <v>16:00</v>
      </c>
      <c r="E49" s="214"/>
      <c r="F49" s="79"/>
      <c r="G49" s="74"/>
      <c r="H49" s="72"/>
      <c r="I49" s="18"/>
      <c r="J49" s="336"/>
      <c r="K49" s="274"/>
      <c r="R49" s="62"/>
    </row>
    <row r="50" ht="15.75" customHeight="1">
      <c r="A50" s="11" t="s">
        <v>90</v>
      </c>
      <c r="B50" s="205" t="s">
        <v>2658</v>
      </c>
      <c r="C50" s="69" t="str">
        <f t="shared" si="5"/>
        <v>Quinta-Feira</v>
      </c>
      <c r="D50" s="445" t="str">
        <f>IF(C50&lt;&gt;"Quarta-Feira","16:20","11:20")</f>
        <v>16:20</v>
      </c>
      <c r="E50" s="214"/>
      <c r="F50" s="79"/>
      <c r="G50" s="74"/>
      <c r="H50" s="274"/>
      <c r="I50" s="18"/>
      <c r="J50" s="274"/>
      <c r="K50" s="274"/>
      <c r="R50" s="62"/>
    </row>
    <row r="51" ht="15.75" customHeight="1">
      <c r="A51" s="11" t="s">
        <v>93</v>
      </c>
      <c r="B51" s="205" t="s">
        <v>1734</v>
      </c>
      <c r="C51" s="69" t="str">
        <f t="shared" si="5"/>
        <v>Quinta-Feira</v>
      </c>
      <c r="D51" s="445" t="str">
        <f>IF(C51&lt;&gt;"Quarta-Feira","16:40","11:40")</f>
        <v>16:40</v>
      </c>
      <c r="E51" s="214"/>
      <c r="F51" s="79"/>
      <c r="G51" s="74"/>
      <c r="H51" s="274"/>
      <c r="I51" s="18"/>
      <c r="J51" s="336"/>
      <c r="K51" s="274"/>
      <c r="R51" s="62"/>
    </row>
    <row r="52" ht="15.75" customHeight="1">
      <c r="E52" s="231"/>
      <c r="J52" s="62"/>
      <c r="K52" s="62"/>
      <c r="R52" s="62"/>
    </row>
    <row r="53" ht="15.75" customHeight="1">
      <c r="E53" s="231"/>
      <c r="J53" s="62"/>
      <c r="K53" s="62"/>
      <c r="R53" s="62"/>
    </row>
    <row r="54" ht="15.75" customHeight="1">
      <c r="E54" s="231"/>
      <c r="J54" s="62"/>
      <c r="K54" s="62"/>
      <c r="R54" s="62"/>
    </row>
    <row r="55" ht="15.75" customHeight="1">
      <c r="A55" s="20" t="s">
        <v>18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TEXT(DATE(VALUE(MID(A38,7,4)),VALUE(MID(A38,4,2)),VALUE(LEFT(A38,2)))+5,"dd/mm/yyyy")&amp;" 13h às 17h"</f>
        <v>14/07/2026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23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205" t="s">
        <v>2081</v>
      </c>
      <c r="C58" s="69" t="str">
        <f t="shared" ref="C58:C69" si="7">PROPER(TEXT(DATE(MID($A$56,7,4),MID($A$56,4,2),LEFT($A$56,2)),"dddd"))</f>
        <v>Terça-Feira</v>
      </c>
      <c r="D58" s="445" t="str">
        <f>IF(C58&lt;&gt;"Quarta-Feira","13:00","08:00")</f>
        <v>13:00</v>
      </c>
      <c r="E58" s="214"/>
      <c r="F58" s="206"/>
      <c r="G58" s="148"/>
      <c r="H58" s="150"/>
      <c r="I58" s="18"/>
      <c r="J58" s="212"/>
      <c r="K58" s="212"/>
      <c r="L58" s="197" t="s">
        <v>520</v>
      </c>
      <c r="N58" s="237" t="s">
        <v>386</v>
      </c>
      <c r="O58" s="95"/>
      <c r="P58" s="95"/>
      <c r="Q58" s="95"/>
      <c r="R58" s="62"/>
    </row>
    <row r="59" ht="15.75" customHeight="1">
      <c r="A59" s="11" t="s">
        <v>11</v>
      </c>
      <c r="B59" s="205" t="s">
        <v>2083</v>
      </c>
      <c r="C59" s="69" t="str">
        <f t="shared" si="7"/>
        <v>Terça-Feira</v>
      </c>
      <c r="D59" s="445" t="str">
        <f>IF(C59&lt;&gt;"Quarta-Feira","13:20","08:20")</f>
        <v>13:20</v>
      </c>
      <c r="E59" s="214"/>
      <c r="F59" s="387"/>
      <c r="G59" s="148"/>
      <c r="H59" s="150"/>
      <c r="I59" s="18"/>
      <c r="J59" s="212"/>
      <c r="K59" s="212"/>
      <c r="N59" s="239" t="s">
        <v>2085</v>
      </c>
      <c r="O59" s="2"/>
      <c r="P59" s="2"/>
      <c r="Q59" s="2"/>
      <c r="R59" s="62"/>
    </row>
    <row r="60" ht="15.75" customHeight="1">
      <c r="A60" s="11" t="s">
        <v>12</v>
      </c>
      <c r="B60" s="205" t="s">
        <v>2086</v>
      </c>
      <c r="C60" s="69" t="str">
        <f t="shared" si="7"/>
        <v>Terça-Feira</v>
      </c>
      <c r="D60" s="445" t="str">
        <f>IF(C60&lt;&gt;"Quarta-Feira","13:40","08:40")</f>
        <v>13:40</v>
      </c>
      <c r="E60" s="214"/>
      <c r="F60" s="206"/>
      <c r="G60" s="148"/>
      <c r="H60" s="150"/>
      <c r="I60" s="18"/>
      <c r="J60" s="212"/>
      <c r="K60" s="212"/>
      <c r="L60" s="197" t="s">
        <v>520</v>
      </c>
      <c r="N60" s="240" t="s">
        <v>182</v>
      </c>
      <c r="O60" s="241" t="s">
        <v>194</v>
      </c>
      <c r="P60" s="241" t="s">
        <v>180</v>
      </c>
      <c r="Q60" s="241" t="s">
        <v>2087</v>
      </c>
      <c r="R60" s="62"/>
    </row>
    <row r="61" ht="15.75" customHeight="1">
      <c r="A61" s="11" t="s">
        <v>13</v>
      </c>
      <c r="B61" s="205" t="s">
        <v>2088</v>
      </c>
      <c r="C61" s="69" t="str">
        <f t="shared" si="7"/>
        <v>Terça-Feira</v>
      </c>
      <c r="D61" s="445" t="str">
        <f>IF(C61&lt;&gt;"Quarta-Feira","14:00","09:00")</f>
        <v>14:00</v>
      </c>
      <c r="E61" s="214"/>
      <c r="F61" s="206"/>
      <c r="G61" s="148"/>
      <c r="H61" s="150"/>
      <c r="I61" s="18"/>
      <c r="J61" s="212"/>
      <c r="K61" s="212"/>
      <c r="L61" s="197" t="s">
        <v>520</v>
      </c>
      <c r="N61" s="244">
        <f t="shared" ref="N61:Q61" si="8">COUNTIFS($I$58:$I$69,N60)</f>
        <v>0</v>
      </c>
      <c r="O61" s="244">
        <f t="shared" si="8"/>
        <v>0</v>
      </c>
      <c r="P61" s="244">
        <f t="shared" si="8"/>
        <v>0</v>
      </c>
      <c r="Q61" s="244">
        <f t="shared" si="8"/>
        <v>0</v>
      </c>
      <c r="R61" s="62"/>
    </row>
    <row r="62" ht="15.75" customHeight="1">
      <c r="A62" s="11" t="s">
        <v>14</v>
      </c>
      <c r="B62" s="205" t="s">
        <v>2081</v>
      </c>
      <c r="C62" s="69" t="str">
        <f t="shared" si="7"/>
        <v>Terça-Feira</v>
      </c>
      <c r="D62" s="445" t="str">
        <f>IF(C62&lt;&gt;"Quarta-Feira","14:20","09:20")</f>
        <v>14:20</v>
      </c>
      <c r="E62" s="214"/>
      <c r="F62" s="206"/>
      <c r="G62" s="148"/>
      <c r="H62" s="150"/>
      <c r="I62" s="18"/>
      <c r="J62" s="212"/>
      <c r="K62" s="212"/>
      <c r="R62" s="62"/>
    </row>
    <row r="63" ht="15.75" customHeight="1">
      <c r="A63" s="11" t="s">
        <v>15</v>
      </c>
      <c r="B63" s="205" t="s">
        <v>2088</v>
      </c>
      <c r="C63" s="69" t="str">
        <f t="shared" si="7"/>
        <v>Terça-Feira</v>
      </c>
      <c r="D63" s="445" t="str">
        <f>IF(C63&lt;&gt;"Quarta-Feira","14:40","09:40")</f>
        <v>14:40</v>
      </c>
      <c r="E63" s="214"/>
      <c r="F63" s="387"/>
      <c r="G63" s="148"/>
      <c r="H63" s="150"/>
      <c r="I63" s="18"/>
      <c r="J63" s="212"/>
      <c r="K63" s="212"/>
      <c r="L63" s="197" t="s">
        <v>520</v>
      </c>
      <c r="R63" s="62"/>
    </row>
    <row r="64" ht="15.75" customHeight="1">
      <c r="A64" s="11" t="s">
        <v>16</v>
      </c>
      <c r="B64" s="205" t="s">
        <v>2092</v>
      </c>
      <c r="C64" s="69" t="str">
        <f t="shared" si="7"/>
        <v>Terça-Feira</v>
      </c>
      <c r="D64" s="445" t="str">
        <f>IF(C64&lt;&gt;"Quarta-Feira","15:00","10:00")</f>
        <v>15:00</v>
      </c>
      <c r="E64" s="214"/>
      <c r="F64" s="206"/>
      <c r="G64" s="148"/>
      <c r="H64" s="150"/>
      <c r="I64" s="18"/>
      <c r="J64" s="212"/>
      <c r="K64" s="212"/>
      <c r="L64" s="197" t="s">
        <v>520</v>
      </c>
      <c r="R64" s="62"/>
    </row>
    <row r="65" ht="15.75" customHeight="1">
      <c r="A65" s="11" t="s">
        <v>17</v>
      </c>
      <c r="B65" s="205" t="s">
        <v>2093</v>
      </c>
      <c r="C65" s="69" t="str">
        <f t="shared" si="7"/>
        <v>Terça-Feira</v>
      </c>
      <c r="D65" s="445" t="str">
        <f>IF(C65&lt;&gt;"Quarta-Feira","15:20","10:20")</f>
        <v>15:20</v>
      </c>
      <c r="E65" s="214"/>
      <c r="F65" s="206"/>
      <c r="G65" s="148"/>
      <c r="H65" s="150"/>
      <c r="I65" s="18"/>
      <c r="J65" s="212"/>
      <c r="K65" s="212"/>
      <c r="L65" s="197" t="s">
        <v>520</v>
      </c>
      <c r="R65" s="62"/>
    </row>
    <row r="66" ht="15.75" customHeight="1">
      <c r="A66" s="11" t="s">
        <v>85</v>
      </c>
      <c r="B66" s="205" t="s">
        <v>2094</v>
      </c>
      <c r="C66" s="69" t="str">
        <f t="shared" si="7"/>
        <v>Terça-Feira</v>
      </c>
      <c r="D66" s="445" t="str">
        <f>IF(C66&lt;&gt;"Quarta-Feira","15:40","10:40")</f>
        <v>15:40</v>
      </c>
      <c r="E66" s="214"/>
      <c r="F66" s="206"/>
      <c r="G66" s="148"/>
      <c r="H66" s="150"/>
      <c r="I66" s="18"/>
      <c r="J66" s="212"/>
      <c r="K66" s="212"/>
      <c r="R66" s="62"/>
    </row>
    <row r="67" ht="15.75" customHeight="1">
      <c r="A67" s="11" t="s">
        <v>87</v>
      </c>
      <c r="B67" s="205" t="s">
        <v>2095</v>
      </c>
      <c r="C67" s="69" t="str">
        <f t="shared" si="7"/>
        <v>Terça-Feira</v>
      </c>
      <c r="D67" s="445" t="str">
        <f>IF(C67&lt;&gt;"Quarta-Feira","16:00","11:00")</f>
        <v>16:00</v>
      </c>
      <c r="E67" s="214"/>
      <c r="F67" s="206"/>
      <c r="G67" s="148"/>
      <c r="H67" s="150"/>
      <c r="I67" s="18"/>
      <c r="J67" s="212"/>
      <c r="K67" s="212"/>
      <c r="L67" s="197" t="s">
        <v>520</v>
      </c>
      <c r="R67" s="62"/>
    </row>
    <row r="68" ht="15.75" customHeight="1">
      <c r="A68" s="11" t="s">
        <v>90</v>
      </c>
      <c r="B68" s="205" t="s">
        <v>2097</v>
      </c>
      <c r="C68" s="69" t="str">
        <f t="shared" si="7"/>
        <v>Terça-Feira</v>
      </c>
      <c r="D68" s="445" t="str">
        <f>IF(C68&lt;&gt;"Quarta-Feira","16:20","11:20")</f>
        <v>16:20</v>
      </c>
      <c r="E68" s="214"/>
      <c r="F68" s="206"/>
      <c r="G68" s="148"/>
      <c r="H68" s="150"/>
      <c r="I68" s="18"/>
      <c r="J68" s="212"/>
      <c r="K68" s="212"/>
      <c r="R68" s="62"/>
    </row>
    <row r="69" ht="15.75" customHeight="1">
      <c r="A69" s="11" t="s">
        <v>93</v>
      </c>
      <c r="B69" s="205" t="s">
        <v>2095</v>
      </c>
      <c r="C69" s="69" t="str">
        <f t="shared" si="7"/>
        <v>Terça-Feira</v>
      </c>
      <c r="D69" s="445" t="str">
        <f>IF(C69&lt;&gt;"Quarta-Feira","16:40","11:40")</f>
        <v>16:40</v>
      </c>
      <c r="E69" s="214"/>
      <c r="F69" s="206"/>
      <c r="G69" s="148"/>
      <c r="H69" s="150"/>
      <c r="I69" s="18"/>
      <c r="J69" s="212"/>
      <c r="K69" s="212"/>
      <c r="R69" s="62"/>
    </row>
    <row r="70" ht="15.75" customHeight="1">
      <c r="E70" s="231"/>
      <c r="G70" s="197"/>
      <c r="J70" s="62"/>
      <c r="K70" s="62"/>
      <c r="R70" s="62"/>
    </row>
    <row r="71" ht="15.75" customHeight="1">
      <c r="E71" s="231"/>
      <c r="J71" s="62"/>
      <c r="K71" s="62"/>
      <c r="R71" s="62"/>
    </row>
    <row r="72" ht="15.75" customHeight="1">
      <c r="E72" s="231"/>
      <c r="J72" s="62"/>
      <c r="K72" s="62"/>
      <c r="R72" s="62"/>
    </row>
    <row r="73" ht="15.75" customHeight="1">
      <c r="A73" s="20" t="s">
        <v>18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444" t="s">
        <v>3943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22"/>
      <c r="B75" s="23" t="s">
        <v>3</v>
      </c>
      <c r="C75" s="24" t="s">
        <v>2</v>
      </c>
      <c r="D75" s="25" t="s">
        <v>5</v>
      </c>
      <c r="E75" s="26" t="s">
        <v>19</v>
      </c>
      <c r="F75" s="25" t="s">
        <v>6</v>
      </c>
      <c r="G75" s="234" t="s">
        <v>7</v>
      </c>
      <c r="H75" s="27" t="s">
        <v>8</v>
      </c>
      <c r="I75" s="28" t="s">
        <v>20</v>
      </c>
      <c r="J75" s="25" t="s">
        <v>21</v>
      </c>
      <c r="K75" s="25" t="s">
        <v>22</v>
      </c>
      <c r="R75" s="62"/>
    </row>
    <row r="76" ht="15.75" customHeight="1">
      <c r="A76" s="11" t="s">
        <v>10</v>
      </c>
      <c r="B76" s="205" t="s">
        <v>1789</v>
      </c>
      <c r="C76" s="69" t="str">
        <f t="shared" ref="C76:C87" si="9">PROPER(TEXT(DATE(MID($A$74,7,4),MID($A$74,4,2),LEFT($A$74,2)),"dddd"))</f>
        <v>Sexta-Feira</v>
      </c>
      <c r="D76" s="445">
        <v>0.3333333333333333</v>
      </c>
      <c r="E76" s="219"/>
      <c r="F76" s="192"/>
      <c r="G76" s="54"/>
      <c r="H76" s="193"/>
      <c r="I76" s="18"/>
      <c r="J76" s="97"/>
      <c r="K76" s="97"/>
      <c r="R76" s="62"/>
    </row>
    <row r="77" ht="15.75" customHeight="1">
      <c r="A77" s="11" t="s">
        <v>11</v>
      </c>
      <c r="B77" s="205" t="s">
        <v>1713</v>
      </c>
      <c r="C77" s="69" t="str">
        <f t="shared" si="9"/>
        <v>Sexta-Feira</v>
      </c>
      <c r="D77" s="445">
        <v>0.3472222222222222</v>
      </c>
      <c r="E77" s="253"/>
      <c r="F77" s="206"/>
      <c r="G77" s="54"/>
      <c r="H77" s="153"/>
      <c r="I77" s="18"/>
      <c r="J77" s="37"/>
      <c r="K77" s="37"/>
      <c r="R77" s="62"/>
    </row>
    <row r="78" ht="15.75" customHeight="1">
      <c r="A78" s="11" t="s">
        <v>12</v>
      </c>
      <c r="B78" s="205" t="s">
        <v>1780</v>
      </c>
      <c r="C78" s="69" t="str">
        <f t="shared" si="9"/>
        <v>Sexta-Feira</v>
      </c>
      <c r="D78" s="445">
        <v>0.3611111111111111</v>
      </c>
      <c r="E78" s="253"/>
      <c r="F78" s="206"/>
      <c r="G78" s="54"/>
      <c r="H78" s="153"/>
      <c r="I78" s="18"/>
      <c r="J78" s="37"/>
      <c r="K78" s="97"/>
      <c r="R78" s="62"/>
    </row>
    <row r="79" ht="15.75" customHeight="1">
      <c r="A79" s="11" t="s">
        <v>13</v>
      </c>
      <c r="B79" s="205" t="s">
        <v>1720</v>
      </c>
      <c r="C79" s="69" t="str">
        <f t="shared" si="9"/>
        <v>Sexta-Feira</v>
      </c>
      <c r="D79" s="445">
        <v>0.375</v>
      </c>
      <c r="E79" s="214"/>
      <c r="F79" s="79"/>
      <c r="G79" s="54"/>
      <c r="H79" s="78"/>
      <c r="I79" s="18"/>
      <c r="J79" s="266"/>
      <c r="K79" s="266"/>
      <c r="R79" s="62"/>
    </row>
    <row r="80" ht="15.75" customHeight="1">
      <c r="A80" s="11" t="s">
        <v>14</v>
      </c>
      <c r="B80" s="205" t="s">
        <v>1795</v>
      </c>
      <c r="C80" s="69" t="str">
        <f t="shared" si="9"/>
        <v>Sexta-Feira</v>
      </c>
      <c r="D80" s="445">
        <v>0.3888888888888889</v>
      </c>
      <c r="E80" s="267"/>
      <c r="F80" s="457"/>
      <c r="G80" s="54"/>
      <c r="H80" s="269"/>
      <c r="I80" s="18"/>
      <c r="J80" s="128"/>
      <c r="K80" s="128"/>
      <c r="R80" s="62"/>
    </row>
    <row r="81" ht="15.75" customHeight="1">
      <c r="A81" s="11" t="s">
        <v>15</v>
      </c>
      <c r="B81" s="205" t="s">
        <v>1789</v>
      </c>
      <c r="C81" s="69" t="str">
        <f t="shared" si="9"/>
        <v>Sexta-Feira</v>
      </c>
      <c r="D81" s="445">
        <v>0.4027777777777778</v>
      </c>
      <c r="E81" s="215"/>
      <c r="F81" s="170"/>
      <c r="G81" s="54"/>
      <c r="H81" s="72"/>
      <c r="I81" s="18"/>
      <c r="J81" s="37"/>
      <c r="K81" s="37"/>
      <c r="R81" s="62"/>
    </row>
    <row r="82" ht="15.75" customHeight="1">
      <c r="A82" s="11" t="s">
        <v>16</v>
      </c>
      <c r="B82" s="205" t="s">
        <v>2652</v>
      </c>
      <c r="C82" s="69" t="str">
        <f t="shared" si="9"/>
        <v>Sexta-Feira</v>
      </c>
      <c r="D82" s="445">
        <v>0.4166666666666667</v>
      </c>
      <c r="E82" s="214"/>
      <c r="F82" s="79"/>
      <c r="G82" s="54"/>
      <c r="H82" s="78"/>
      <c r="I82" s="18"/>
      <c r="J82" s="266"/>
      <c r="K82" s="266"/>
      <c r="R82" s="62"/>
    </row>
    <row r="83" ht="15.75" customHeight="1">
      <c r="A83" s="11" t="s">
        <v>17</v>
      </c>
      <c r="B83" s="205" t="s">
        <v>2655</v>
      </c>
      <c r="C83" s="69" t="str">
        <f t="shared" si="9"/>
        <v>Sexta-Feira</v>
      </c>
      <c r="D83" s="445">
        <v>0.4305555555555556</v>
      </c>
      <c r="E83" s="214"/>
      <c r="F83" s="79"/>
      <c r="G83" s="54"/>
      <c r="H83" s="78"/>
      <c r="I83" s="18"/>
      <c r="J83" s="271"/>
      <c r="K83" s="37"/>
      <c r="R83" s="62"/>
    </row>
    <row r="84" ht="15.75" customHeight="1">
      <c r="A84" s="11" t="s">
        <v>85</v>
      </c>
      <c r="B84" s="205" t="s">
        <v>2658</v>
      </c>
      <c r="C84" s="69" t="str">
        <f t="shared" si="9"/>
        <v>Sexta-Feira</v>
      </c>
      <c r="D84" s="445">
        <v>0.4444444444444444</v>
      </c>
      <c r="E84" s="247"/>
      <c r="F84" s="146"/>
      <c r="G84" s="54"/>
      <c r="H84" s="86"/>
      <c r="I84" s="18"/>
      <c r="J84" s="37"/>
      <c r="K84" s="37"/>
      <c r="R84" s="62"/>
    </row>
    <row r="85" ht="15.75" customHeight="1">
      <c r="A85" s="11" t="s">
        <v>87</v>
      </c>
      <c r="B85" s="205" t="s">
        <v>1734</v>
      </c>
      <c r="C85" s="69" t="str">
        <f t="shared" si="9"/>
        <v>Sexta-Feira</v>
      </c>
      <c r="D85" s="445">
        <v>0.4583333333333333</v>
      </c>
      <c r="E85" s="218"/>
      <c r="F85" s="146"/>
      <c r="G85" s="54"/>
      <c r="H85" s="86"/>
      <c r="I85" s="18"/>
      <c r="J85" s="37"/>
      <c r="K85" s="37"/>
      <c r="R85" s="62"/>
    </row>
    <row r="86" ht="15.75" customHeight="1">
      <c r="A86" s="11" t="s">
        <v>90</v>
      </c>
      <c r="B86" s="205" t="s">
        <v>2658</v>
      </c>
      <c r="C86" s="69" t="str">
        <f t="shared" si="9"/>
        <v>Sexta-Feira</v>
      </c>
      <c r="D86" s="445">
        <v>0.4722222222222222</v>
      </c>
      <c r="E86" s="258"/>
      <c r="F86" s="127"/>
      <c r="G86" s="54"/>
      <c r="H86" s="153"/>
      <c r="I86" s="18"/>
      <c r="J86" s="37"/>
      <c r="K86" s="37"/>
      <c r="R86" s="62"/>
    </row>
    <row r="87" ht="15.75" customHeight="1">
      <c r="A87" s="11" t="s">
        <v>93</v>
      </c>
      <c r="B87" s="205" t="s">
        <v>1734</v>
      </c>
      <c r="C87" s="69" t="str">
        <f t="shared" si="9"/>
        <v>Sexta-Feira</v>
      </c>
      <c r="D87" s="445">
        <v>0.4861111111111111</v>
      </c>
      <c r="E87" s="258"/>
      <c r="F87" s="127"/>
      <c r="G87" s="54"/>
      <c r="H87" s="153"/>
      <c r="I87" s="18"/>
      <c r="J87" s="37"/>
      <c r="K87" s="37"/>
      <c r="R87" s="62"/>
    </row>
    <row r="88" ht="15.75" customHeight="1">
      <c r="E88" s="231"/>
      <c r="J88" s="62"/>
      <c r="K88" s="62"/>
      <c r="R88" s="62"/>
    </row>
    <row r="89" ht="15.75" customHeight="1">
      <c r="E89" s="231"/>
      <c r="J89" s="62"/>
      <c r="K89" s="62"/>
      <c r="R89" s="62"/>
    </row>
    <row r="90" ht="15.75" customHeight="1">
      <c r="E90" s="231"/>
      <c r="J90" s="62"/>
      <c r="K90" s="62"/>
      <c r="R90" s="62"/>
    </row>
    <row r="91" ht="15.75" customHeight="1">
      <c r="A91" s="350" t="s">
        <v>18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TEXT(DATE(VALUE(MID(A38,7,4)),VALUE(MID(A38,4,2)),VALUE(LEFT(A38,2)))+7,"dd/mm/yyyy")&amp;" 13h às 17h"</f>
        <v>16/07/2026 13h às 17h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410"/>
      <c r="B93" s="411" t="s">
        <v>3</v>
      </c>
      <c r="C93" s="412" t="s">
        <v>2</v>
      </c>
      <c r="D93" s="413" t="s">
        <v>5</v>
      </c>
      <c r="E93" s="461" t="s">
        <v>19</v>
      </c>
      <c r="F93" s="413" t="s">
        <v>6</v>
      </c>
      <c r="G93" s="414" t="s">
        <v>7</v>
      </c>
      <c r="H93" s="415" t="s">
        <v>8</v>
      </c>
      <c r="I93" s="416" t="s">
        <v>20</v>
      </c>
      <c r="J93" s="413" t="s">
        <v>21</v>
      </c>
      <c r="K93" s="413" t="s">
        <v>22</v>
      </c>
      <c r="R93" s="62"/>
    </row>
    <row r="94" ht="15.75" customHeight="1">
      <c r="A94" s="417" t="s">
        <v>10</v>
      </c>
      <c r="B94" s="205" t="s">
        <v>1789</v>
      </c>
      <c r="C94" s="206" t="str">
        <f t="shared" ref="C94:C105" si="10">PROPER(TEXT(DATE(MID($A$92,7,4),MID($A$92,4,2),LEFT($A$92,2)),"dddd"))</f>
        <v>Quinta-Feira</v>
      </c>
      <c r="D94" s="445" t="str">
        <f>IF(C94&lt;&gt;"Quarta-Feira","13:00","08:00")</f>
        <v>13:00</v>
      </c>
      <c r="E94" s="418"/>
      <c r="F94" s="127"/>
      <c r="G94" s="186"/>
      <c r="H94" s="153"/>
      <c r="I94" s="29"/>
      <c r="J94" s="289"/>
      <c r="K94" s="289"/>
      <c r="N94" s="237" t="s">
        <v>386</v>
      </c>
      <c r="O94" s="95"/>
      <c r="P94" s="95"/>
      <c r="Q94" s="95"/>
      <c r="R94" s="62"/>
    </row>
    <row r="95" ht="15.75" customHeight="1">
      <c r="A95" s="417" t="s">
        <v>11</v>
      </c>
      <c r="B95" s="205" t="s">
        <v>1713</v>
      </c>
      <c r="C95" s="206" t="str">
        <f t="shared" si="10"/>
        <v>Quinta-Feira</v>
      </c>
      <c r="D95" s="445" t="str">
        <f>IF(C95&lt;&gt;"Quarta-Feira","13:20","08:20")</f>
        <v>13:20</v>
      </c>
      <c r="E95" s="419"/>
      <c r="F95" s="127"/>
      <c r="G95" s="186"/>
      <c r="H95" s="153"/>
      <c r="I95" s="29"/>
      <c r="J95" s="289"/>
      <c r="K95" s="289"/>
      <c r="N95" s="239" t="s">
        <v>2085</v>
      </c>
      <c r="O95" s="2"/>
      <c r="P95" s="2"/>
      <c r="Q95" s="2"/>
      <c r="R95" s="62"/>
    </row>
    <row r="96" ht="15.75" customHeight="1">
      <c r="A96" s="417" t="s">
        <v>12</v>
      </c>
      <c r="B96" s="205" t="s">
        <v>1780</v>
      </c>
      <c r="C96" s="206" t="str">
        <f t="shared" si="10"/>
        <v>Quinta-Feira</v>
      </c>
      <c r="D96" s="445" t="str">
        <f>IF(C96&lt;&gt;"Quarta-Feira","13:40","08:40")</f>
        <v>13:40</v>
      </c>
      <c r="E96" s="418"/>
      <c r="F96" s="127"/>
      <c r="G96" s="186"/>
      <c r="H96" s="153"/>
      <c r="I96" s="29"/>
      <c r="J96" s="289"/>
      <c r="K96" s="289"/>
      <c r="N96" s="240" t="s">
        <v>182</v>
      </c>
      <c r="O96" s="241" t="s">
        <v>194</v>
      </c>
      <c r="P96" s="241" t="s">
        <v>180</v>
      </c>
      <c r="Q96" s="242" t="s">
        <v>2087</v>
      </c>
      <c r="R96" s="62"/>
    </row>
    <row r="97" ht="15.75" customHeight="1">
      <c r="A97" s="417" t="s">
        <v>13</v>
      </c>
      <c r="B97" s="205" t="s">
        <v>1720</v>
      </c>
      <c r="C97" s="206" t="str">
        <f t="shared" si="10"/>
        <v>Quinta-Feira</v>
      </c>
      <c r="D97" s="445" t="str">
        <f>IF(C97&lt;&gt;"Quarta-Feira","14:00","09:00")</f>
        <v>14:00</v>
      </c>
      <c r="E97" s="418"/>
      <c r="F97" s="127"/>
      <c r="G97" s="186"/>
      <c r="H97" s="153"/>
      <c r="I97" s="29"/>
      <c r="J97" s="289"/>
      <c r="K97" s="289"/>
      <c r="N97" s="244">
        <f t="shared" ref="N97:Q97" si="11">COUNTIFS($I$94:$I$105,N96)</f>
        <v>0</v>
      </c>
      <c r="O97" s="244">
        <f t="shared" si="11"/>
        <v>0</v>
      </c>
      <c r="P97" s="244">
        <f t="shared" si="11"/>
        <v>0</v>
      </c>
      <c r="Q97" s="244">
        <f t="shared" si="11"/>
        <v>0</v>
      </c>
      <c r="R97" s="62"/>
    </row>
    <row r="98" ht="15.75" customHeight="1">
      <c r="A98" s="417" t="s">
        <v>14</v>
      </c>
      <c r="B98" s="205" t="s">
        <v>1795</v>
      </c>
      <c r="C98" s="206" t="str">
        <f t="shared" si="10"/>
        <v>Quinta-Feira</v>
      </c>
      <c r="D98" s="445" t="str">
        <f>IF(C98&lt;&gt;"Quarta-Feira","14:20","09:20")</f>
        <v>14:20</v>
      </c>
      <c r="E98" s="420"/>
      <c r="F98" s="127"/>
      <c r="G98" s="186"/>
      <c r="H98" s="156"/>
      <c r="I98" s="29"/>
      <c r="J98" s="69"/>
      <c r="K98" s="289"/>
      <c r="R98" s="62"/>
    </row>
    <row r="99" ht="15.75" customHeight="1">
      <c r="A99" s="417" t="s">
        <v>15</v>
      </c>
      <c r="B99" s="205" t="s">
        <v>1789</v>
      </c>
      <c r="C99" s="206" t="str">
        <f t="shared" si="10"/>
        <v>Quinta-Feira</v>
      </c>
      <c r="D99" s="445" t="str">
        <f>IF(C99&lt;&gt;"Quarta-Feira","14:40","09:40")</f>
        <v>14:40</v>
      </c>
      <c r="E99" s="420"/>
      <c r="F99" s="127"/>
      <c r="G99" s="186"/>
      <c r="H99" s="153"/>
      <c r="I99" s="29"/>
      <c r="J99" s="289"/>
      <c r="K99" s="289"/>
      <c r="R99" s="62"/>
    </row>
    <row r="100" ht="15.75" customHeight="1">
      <c r="A100" s="417" t="s">
        <v>16</v>
      </c>
      <c r="B100" s="205" t="s">
        <v>2652</v>
      </c>
      <c r="C100" s="206" t="str">
        <f t="shared" si="10"/>
        <v>Quinta-Feira</v>
      </c>
      <c r="D100" s="445" t="str">
        <f>IF(C100&lt;&gt;"Quarta-Feira","15:00","10:00")</f>
        <v>15:00</v>
      </c>
      <c r="E100" s="420"/>
      <c r="F100" s="127"/>
      <c r="G100" s="186"/>
      <c r="H100" s="153"/>
      <c r="I100" s="29"/>
      <c r="J100" s="289"/>
      <c r="K100" s="289"/>
      <c r="R100" s="62"/>
    </row>
    <row r="101" ht="15.75" customHeight="1">
      <c r="A101" s="417" t="s">
        <v>17</v>
      </c>
      <c r="B101" s="205" t="s">
        <v>2655</v>
      </c>
      <c r="C101" s="206" t="str">
        <f t="shared" si="10"/>
        <v>Quinta-Feira</v>
      </c>
      <c r="D101" s="445" t="str">
        <f>IF(C101&lt;&gt;"Quarta-Feira","15:20","10:20")</f>
        <v>15:20</v>
      </c>
      <c r="E101" s="420"/>
      <c r="F101" s="127"/>
      <c r="G101" s="186"/>
      <c r="H101" s="153"/>
      <c r="I101" s="29"/>
      <c r="J101" s="289"/>
      <c r="K101" s="289"/>
      <c r="R101" s="62"/>
    </row>
    <row r="102" ht="16.5" customHeight="1">
      <c r="A102" s="417" t="s">
        <v>85</v>
      </c>
      <c r="B102" s="205" t="s">
        <v>2658</v>
      </c>
      <c r="C102" s="206" t="str">
        <f t="shared" si="10"/>
        <v>Quinta-Feira</v>
      </c>
      <c r="D102" s="445" t="str">
        <f>IF(C102&lt;&gt;"Quarta-Feira","15:40","10:40")</f>
        <v>15:40</v>
      </c>
      <c r="E102" s="420"/>
      <c r="F102" s="127"/>
      <c r="G102" s="186"/>
      <c r="H102" s="153"/>
      <c r="I102" s="29"/>
      <c r="J102" s="289"/>
      <c r="K102" s="289"/>
      <c r="R102" s="62"/>
    </row>
    <row r="103" ht="15.75" customHeight="1">
      <c r="A103" s="417" t="s">
        <v>87</v>
      </c>
      <c r="B103" s="205" t="s">
        <v>1734</v>
      </c>
      <c r="C103" s="206" t="str">
        <f t="shared" si="10"/>
        <v>Quinta-Feira</v>
      </c>
      <c r="D103" s="445" t="str">
        <f>IF(C103&lt;&gt;"Quarta-Feira","16:00","11:00")</f>
        <v>16:00</v>
      </c>
      <c r="E103" s="418"/>
      <c r="F103" s="127"/>
      <c r="G103" s="186"/>
      <c r="H103" s="153"/>
      <c r="I103" s="29"/>
      <c r="J103" s="289"/>
      <c r="K103" s="423"/>
      <c r="R103" s="62"/>
    </row>
    <row r="104" ht="15.75" customHeight="1">
      <c r="A104" s="417" t="s">
        <v>90</v>
      </c>
      <c r="B104" s="205" t="s">
        <v>2658</v>
      </c>
      <c r="C104" s="206" t="str">
        <f t="shared" si="10"/>
        <v>Quinta-Feira</v>
      </c>
      <c r="D104" s="445" t="str">
        <f>IF(C104&lt;&gt;"Quarta-Feira","16:20","11:20")</f>
        <v>16:20</v>
      </c>
      <c r="E104" s="420"/>
      <c r="F104" s="295"/>
      <c r="G104" s="186"/>
      <c r="H104" s="462"/>
      <c r="I104" s="29"/>
      <c r="J104" s="423"/>
      <c r="K104" s="423"/>
      <c r="R104" s="62"/>
    </row>
    <row r="105" ht="15.75" customHeight="1">
      <c r="A105" s="417" t="s">
        <v>93</v>
      </c>
      <c r="B105" s="205" t="s">
        <v>1734</v>
      </c>
      <c r="C105" s="206" t="str">
        <f t="shared" si="10"/>
        <v>Quinta-Feira</v>
      </c>
      <c r="D105" s="445" t="str">
        <f>IF(C105&lt;&gt;"Quarta-Feira","16:40","11:40")</f>
        <v>16:40</v>
      </c>
      <c r="E105" s="418"/>
      <c r="F105" s="295"/>
      <c r="G105" s="423"/>
      <c r="H105" s="153"/>
      <c r="I105" s="29"/>
      <c r="J105" s="295"/>
      <c r="K105" s="339"/>
      <c r="R105" s="62"/>
    </row>
    <row r="106" ht="15.75" customHeight="1">
      <c r="E106" s="231"/>
      <c r="J106" s="62"/>
      <c r="K106" s="62"/>
      <c r="R106" s="62"/>
    </row>
    <row r="107" ht="15.75" customHeight="1">
      <c r="E107" s="231"/>
      <c r="J107" s="62"/>
      <c r="K107" s="62"/>
      <c r="R107" s="62"/>
    </row>
    <row r="108" ht="15.75" customHeight="1">
      <c r="E108" s="231"/>
      <c r="J108" s="62"/>
      <c r="K108" s="62"/>
      <c r="R108" s="62"/>
    </row>
    <row r="109" ht="15.75" customHeight="1">
      <c r="A109" s="20" t="s">
        <v>18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TEXT(DATE(VALUE(MID(A92,7,4)),VALUE(MID(A92,4,2)),VALUE(LEFT(A92,2)))+5,"dd/mm/yyyy")&amp;" 13h às 17h"</f>
        <v>21/07/2026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23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2081</v>
      </c>
      <c r="C112" s="69" t="str">
        <f t="shared" ref="C112:C123" si="12">PROPER(TEXT(DATE(MID($A$110,7,4),MID($A$110,4,2),LEFT($A$110,2)),"dddd"))</f>
        <v>Terça-Feira</v>
      </c>
      <c r="D112" s="445" t="str">
        <f>IF(C112&lt;&gt;"Quarta-Feira","13:00","08:00")</f>
        <v>13:00</v>
      </c>
      <c r="E112" s="218"/>
      <c r="F112" s="149"/>
      <c r="G112" s="148"/>
      <c r="H112" s="344"/>
      <c r="I112" s="18"/>
      <c r="J112" s="212"/>
      <c r="K112" s="212"/>
      <c r="N112" s="237" t="s">
        <v>386</v>
      </c>
      <c r="O112" s="95"/>
      <c r="P112" s="95"/>
      <c r="Q112" s="95"/>
      <c r="R112" s="62"/>
    </row>
    <row r="113" ht="21.0" customHeight="1">
      <c r="A113" s="11" t="s">
        <v>11</v>
      </c>
      <c r="B113" s="205" t="s">
        <v>2083</v>
      </c>
      <c r="C113" s="69" t="str">
        <f t="shared" si="12"/>
        <v>Terça-Feira</v>
      </c>
      <c r="D113" s="445" t="str">
        <f>IF(C113&lt;&gt;"Quarta-Feira","13:20","08:20")</f>
        <v>13:20</v>
      </c>
      <c r="E113" s="218"/>
      <c r="F113" s="425"/>
      <c r="G113" s="148"/>
      <c r="H113" s="437"/>
      <c r="I113" s="18"/>
      <c r="J113" s="212"/>
      <c r="K113" s="212"/>
      <c r="N113" s="239" t="s">
        <v>2085</v>
      </c>
      <c r="O113" s="2"/>
      <c r="P113" s="2"/>
      <c r="Q113" s="2"/>
      <c r="R113" s="62"/>
    </row>
    <row r="114" ht="15.75" customHeight="1">
      <c r="A114" s="11" t="s">
        <v>12</v>
      </c>
      <c r="B114" s="205" t="s">
        <v>2086</v>
      </c>
      <c r="C114" s="69" t="str">
        <f t="shared" si="12"/>
        <v>Terça-Feira</v>
      </c>
      <c r="D114" s="445" t="str">
        <f>IF(C114&lt;&gt;"Quarta-Feira","13:40","08:40")</f>
        <v>13:40</v>
      </c>
      <c r="E114" s="218"/>
      <c r="F114" s="149"/>
      <c r="G114" s="148"/>
      <c r="H114" s="344"/>
      <c r="I114" s="18"/>
      <c r="J114" s="212"/>
      <c r="K114" s="212"/>
      <c r="N114" s="240" t="s">
        <v>182</v>
      </c>
      <c r="O114" s="241" t="s">
        <v>194</v>
      </c>
      <c r="P114" s="241" t="s">
        <v>180</v>
      </c>
      <c r="Q114" s="242" t="s">
        <v>2087</v>
      </c>
      <c r="R114" s="62"/>
    </row>
    <row r="115" ht="15.75" customHeight="1">
      <c r="A115" s="11" t="s">
        <v>13</v>
      </c>
      <c r="B115" s="205" t="s">
        <v>2088</v>
      </c>
      <c r="C115" s="69" t="str">
        <f t="shared" si="12"/>
        <v>Terça-Feira</v>
      </c>
      <c r="D115" s="445" t="str">
        <f>IF(C115&lt;&gt;"Quarta-Feira","14:00","09:00")</f>
        <v>14:00</v>
      </c>
      <c r="E115" s="218"/>
      <c r="F115" s="206"/>
      <c r="G115" s="205"/>
      <c r="H115" s="432"/>
      <c r="I115" s="18"/>
      <c r="J115" s="212"/>
      <c r="K115" s="212"/>
      <c r="N115" s="244">
        <f t="shared" ref="N115:Q115" si="13">COUNTIFS($I$112:$I$123,N114)</f>
        <v>0</v>
      </c>
      <c r="O115" s="244">
        <f t="shared" si="13"/>
        <v>0</v>
      </c>
      <c r="P115" s="244">
        <f t="shared" si="13"/>
        <v>0</v>
      </c>
      <c r="Q115" s="244">
        <f t="shared" si="13"/>
        <v>0</v>
      </c>
      <c r="R115" s="62"/>
    </row>
    <row r="116" ht="15.75" customHeight="1">
      <c r="A116" s="11" t="s">
        <v>14</v>
      </c>
      <c r="B116" s="205" t="s">
        <v>2081</v>
      </c>
      <c r="C116" s="69" t="str">
        <f t="shared" si="12"/>
        <v>Terça-Feira</v>
      </c>
      <c r="D116" s="445" t="str">
        <f>IF(C116&lt;&gt;"Quarta-Feira","14:20","09:20")</f>
        <v>14:20</v>
      </c>
      <c r="E116" s="218"/>
      <c r="F116" s="149"/>
      <c r="G116" s="148"/>
      <c r="H116" s="344"/>
      <c r="I116" s="18"/>
      <c r="J116" s="212"/>
      <c r="K116" s="212"/>
      <c r="R116" s="62"/>
    </row>
    <row r="117" ht="15.75" customHeight="1">
      <c r="A117" s="11" t="s">
        <v>15</v>
      </c>
      <c r="B117" s="205" t="s">
        <v>2088</v>
      </c>
      <c r="C117" s="69" t="str">
        <f t="shared" si="12"/>
        <v>Terça-Feira</v>
      </c>
      <c r="D117" s="445" t="str">
        <f>IF(C117&lt;&gt;"Quarta-Feira","14:40","09:40")</f>
        <v>14:40</v>
      </c>
      <c r="E117" s="218"/>
      <c r="F117" s="149"/>
      <c r="G117" s="148"/>
      <c r="H117" s="344"/>
      <c r="I117" s="18"/>
      <c r="J117" s="212"/>
      <c r="K117" s="212"/>
      <c r="R117" s="62"/>
    </row>
    <row r="118" ht="15.75" customHeight="1">
      <c r="A118" s="11" t="s">
        <v>16</v>
      </c>
      <c r="B118" s="205" t="s">
        <v>2092</v>
      </c>
      <c r="C118" s="69" t="str">
        <f t="shared" si="12"/>
        <v>Terça-Feira</v>
      </c>
      <c r="D118" s="445" t="str">
        <f>IF(C118&lt;&gt;"Quarta-Feira","15:00","10:00")</f>
        <v>15:00</v>
      </c>
      <c r="E118" s="218"/>
      <c r="F118" s="149"/>
      <c r="G118" s="148"/>
      <c r="H118" s="344"/>
      <c r="I118" s="18"/>
      <c r="J118" s="212"/>
      <c r="K118" s="212"/>
      <c r="R118" s="62"/>
    </row>
    <row r="119" ht="15.75" customHeight="1">
      <c r="A119" s="11" t="s">
        <v>17</v>
      </c>
      <c r="B119" s="205" t="s">
        <v>2093</v>
      </c>
      <c r="C119" s="69" t="str">
        <f t="shared" si="12"/>
        <v>Terça-Feira</v>
      </c>
      <c r="D119" s="445" t="str">
        <f>IF(C119&lt;&gt;"Quarta-Feira","15:20","10:20")</f>
        <v>15:20</v>
      </c>
      <c r="E119" s="218"/>
      <c r="F119" s="149"/>
      <c r="G119" s="148"/>
      <c r="H119" s="344"/>
      <c r="I119" s="18"/>
      <c r="J119" s="212"/>
      <c r="K119" s="212"/>
      <c r="R119" s="62"/>
    </row>
    <row r="120" ht="15.75" customHeight="1">
      <c r="A120" s="11" t="s">
        <v>85</v>
      </c>
      <c r="B120" s="205" t="s">
        <v>2094</v>
      </c>
      <c r="C120" s="69" t="str">
        <f t="shared" si="12"/>
        <v>Terça-Feira</v>
      </c>
      <c r="D120" s="445" t="str">
        <f>IF(C120&lt;&gt;"Quarta-Feira","15:40","10:40")</f>
        <v>15:40</v>
      </c>
      <c r="E120" s="218"/>
      <c r="F120" s="149"/>
      <c r="G120" s="148"/>
      <c r="H120" s="344"/>
      <c r="I120" s="18"/>
      <c r="J120" s="212"/>
      <c r="K120" s="212"/>
      <c r="R120" s="62"/>
      <c r="V120" s="292"/>
    </row>
    <row r="121" ht="15.75" customHeight="1">
      <c r="A121" s="11" t="s">
        <v>87</v>
      </c>
      <c r="B121" s="205" t="s">
        <v>2095</v>
      </c>
      <c r="C121" s="69" t="str">
        <f t="shared" si="12"/>
        <v>Terça-Feira</v>
      </c>
      <c r="D121" s="445" t="str">
        <f>IF(C121&lt;&gt;"Quarta-Feira","16:00","11:00")</f>
        <v>16:00</v>
      </c>
      <c r="E121" s="218"/>
      <c r="F121" s="149"/>
      <c r="G121" s="148"/>
      <c r="H121" s="344"/>
      <c r="I121" s="18"/>
      <c r="J121" s="212"/>
      <c r="K121" s="212"/>
      <c r="R121" s="62"/>
    </row>
    <row r="122" ht="15.75" customHeight="1">
      <c r="A122" s="11" t="s">
        <v>90</v>
      </c>
      <c r="B122" s="205" t="s">
        <v>2097</v>
      </c>
      <c r="C122" s="69" t="str">
        <f t="shared" si="12"/>
        <v>Terça-Feira</v>
      </c>
      <c r="D122" s="445" t="str">
        <f>IF(C122&lt;&gt;"Quarta-Feira","16:20","11:20")</f>
        <v>16:20</v>
      </c>
      <c r="E122" s="218"/>
      <c r="F122" s="149"/>
      <c r="G122" s="148"/>
      <c r="H122" s="344"/>
      <c r="I122" s="18"/>
      <c r="J122" s="212"/>
      <c r="K122" s="212"/>
      <c r="R122" s="62"/>
    </row>
    <row r="123" ht="15.75" customHeight="1">
      <c r="A123" s="11" t="s">
        <v>93</v>
      </c>
      <c r="B123" s="205" t="s">
        <v>2095</v>
      </c>
      <c r="C123" s="69" t="str">
        <f t="shared" si="12"/>
        <v>Terça-Feira</v>
      </c>
      <c r="D123" s="445" t="str">
        <f>IF(C123&lt;&gt;"Quarta-Feira","16:40","11:40")</f>
        <v>16:40</v>
      </c>
      <c r="E123" s="218"/>
      <c r="F123" s="149"/>
      <c r="G123" s="148"/>
      <c r="H123" s="344"/>
      <c r="I123" s="18"/>
      <c r="J123" s="212"/>
      <c r="K123" s="212"/>
      <c r="R123" s="62"/>
    </row>
    <row r="124" ht="15.75" customHeight="1">
      <c r="E124" s="231"/>
      <c r="J124" s="62"/>
      <c r="K124" s="62"/>
      <c r="R124" s="62"/>
    </row>
    <row r="125" ht="15.75" customHeight="1">
      <c r="E125" s="231"/>
      <c r="J125" s="62"/>
      <c r="K125" s="62"/>
      <c r="R125" s="62"/>
    </row>
    <row r="126" ht="15.75" customHeight="1">
      <c r="E126" s="231"/>
      <c r="J126" s="62"/>
      <c r="K126" s="62"/>
      <c r="R126" s="62"/>
    </row>
    <row r="127" ht="15.75" customHeight="1">
      <c r="A127" s="20" t="s">
        <v>18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TEXT(DATE(VALUE(MID(A92,7,4)),VALUE(MID(A92,4,2)),VALUE(LEFT(A92,2)))+7,"dd/mm/yyyy")&amp;" 13h às 17h"</f>
        <v>23/07/2026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23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1789</v>
      </c>
      <c r="C130" s="69" t="str">
        <f t="shared" ref="C130:C141" si="14">PROPER(TEXT(DATE(MID($A$128,7,4),MID($A$128,4,2),LEFT($A$128,2)),"dddd"))</f>
        <v>Quinta-Feira</v>
      </c>
      <c r="D130" s="445" t="str">
        <f>IF(C130&lt;&gt;"Quarta-Feira","13:00","08:00")</f>
        <v>13:00</v>
      </c>
      <c r="E130" s="253"/>
      <c r="F130" s="69"/>
      <c r="G130" s="154"/>
      <c r="H130" s="193"/>
      <c r="I130" s="18"/>
      <c r="J130" s="97"/>
      <c r="K130" s="97"/>
      <c r="N130" s="237" t="s">
        <v>386</v>
      </c>
      <c r="O130" s="95"/>
      <c r="P130" s="95"/>
      <c r="Q130" s="95"/>
      <c r="R130" s="62"/>
    </row>
    <row r="131" ht="15.75" customHeight="1">
      <c r="A131" s="11" t="s">
        <v>11</v>
      </c>
      <c r="B131" s="205" t="s">
        <v>1713</v>
      </c>
      <c r="C131" s="69" t="str">
        <f t="shared" si="14"/>
        <v>Quinta-Feira</v>
      </c>
      <c r="D131" s="445" t="str">
        <f>IF(C131&lt;&gt;"Quarta-Feira","13:20","08:20")</f>
        <v>13:20</v>
      </c>
      <c r="E131" s="253"/>
      <c r="F131" s="69"/>
      <c r="G131" s="154"/>
      <c r="H131" s="193"/>
      <c r="I131" s="18"/>
      <c r="J131" s="97"/>
      <c r="K131" s="97"/>
      <c r="N131" s="239" t="s">
        <v>2085</v>
      </c>
      <c r="O131" s="2"/>
      <c r="P131" s="2"/>
      <c r="Q131" s="2"/>
      <c r="R131" s="62"/>
    </row>
    <row r="132" ht="15.75" customHeight="1">
      <c r="A132" s="11" t="s">
        <v>12</v>
      </c>
      <c r="B132" s="205" t="s">
        <v>1780</v>
      </c>
      <c r="C132" s="69" t="str">
        <f t="shared" si="14"/>
        <v>Quinta-Feira</v>
      </c>
      <c r="D132" s="445" t="str">
        <f>IF(C132&lt;&gt;"Quarta-Feira","13:40","08:40")</f>
        <v>13:40</v>
      </c>
      <c r="E132" s="253"/>
      <c r="F132" s="69"/>
      <c r="G132" s="154"/>
      <c r="H132" s="193"/>
      <c r="I132" s="18"/>
      <c r="J132" s="97"/>
      <c r="K132" s="97"/>
      <c r="N132" s="240" t="s">
        <v>182</v>
      </c>
      <c r="O132" s="241" t="s">
        <v>194</v>
      </c>
      <c r="P132" s="241" t="s">
        <v>180</v>
      </c>
      <c r="Q132" s="242" t="s">
        <v>2087</v>
      </c>
      <c r="R132" s="62"/>
    </row>
    <row r="133" ht="15.75" customHeight="1">
      <c r="A133" s="11" t="s">
        <v>13</v>
      </c>
      <c r="B133" s="205" t="s">
        <v>1720</v>
      </c>
      <c r="C133" s="69" t="str">
        <f t="shared" si="14"/>
        <v>Quinta-Feira</v>
      </c>
      <c r="D133" s="445" t="str">
        <f>IF(C133&lt;&gt;"Quarta-Feira","14:00","09:00")</f>
        <v>14:00</v>
      </c>
      <c r="E133" s="253"/>
      <c r="F133" s="69"/>
      <c r="G133" s="154"/>
      <c r="H133" s="193"/>
      <c r="I133" s="18"/>
      <c r="J133" s="97"/>
      <c r="K133" s="97"/>
      <c r="N133" s="244">
        <f t="shared" ref="N133:Q133" si="15">COUNTIFS($I$130:$I$141,N132)</f>
        <v>0</v>
      </c>
      <c r="O133" s="244">
        <f t="shared" si="15"/>
        <v>0</v>
      </c>
      <c r="P133" s="244">
        <f t="shared" si="15"/>
        <v>0</v>
      </c>
      <c r="Q133" s="244">
        <f t="shared" si="15"/>
        <v>0</v>
      </c>
      <c r="R133" s="62"/>
    </row>
    <row r="134" ht="15.75" customHeight="1">
      <c r="A134" s="11" t="s">
        <v>14</v>
      </c>
      <c r="B134" s="205" t="s">
        <v>1795</v>
      </c>
      <c r="C134" s="69" t="str">
        <f t="shared" si="14"/>
        <v>Quinta-Feira</v>
      </c>
      <c r="D134" s="445" t="str">
        <f>IF(C134&lt;&gt;"Quarta-Feira","14:20","09:20")</f>
        <v>14:20</v>
      </c>
      <c r="E134" s="253"/>
      <c r="F134" s="69"/>
      <c r="G134" s="154"/>
      <c r="H134" s="193"/>
      <c r="I134" s="18"/>
      <c r="J134" s="97"/>
      <c r="K134" s="97"/>
      <c r="R134" s="62"/>
    </row>
    <row r="135" ht="15.75" customHeight="1">
      <c r="A135" s="11" t="s">
        <v>15</v>
      </c>
      <c r="B135" s="205" t="s">
        <v>1789</v>
      </c>
      <c r="C135" s="69" t="str">
        <f t="shared" si="14"/>
        <v>Quinta-Feira</v>
      </c>
      <c r="D135" s="445" t="str">
        <f>IF(C135&lt;&gt;"Quarta-Feira","14:40","09:40")</f>
        <v>14:40</v>
      </c>
      <c r="E135" s="253"/>
      <c r="F135" s="69"/>
      <c r="G135" s="154"/>
      <c r="H135" s="193"/>
      <c r="I135" s="18"/>
      <c r="J135" s="97"/>
      <c r="K135" s="97"/>
      <c r="R135" s="62"/>
    </row>
    <row r="136" ht="15.75" customHeight="1">
      <c r="A136" s="11" t="s">
        <v>16</v>
      </c>
      <c r="B136" s="205" t="s">
        <v>2652</v>
      </c>
      <c r="C136" s="69" t="str">
        <f t="shared" si="14"/>
        <v>Quinta-Feira</v>
      </c>
      <c r="D136" s="445" t="str">
        <f>IF(C136&lt;&gt;"Quarta-Feira","15:00","10:00")</f>
        <v>15:00</v>
      </c>
      <c r="E136" s="253"/>
      <c r="F136" s="69"/>
      <c r="G136" s="154"/>
      <c r="H136" s="193"/>
      <c r="I136" s="18"/>
      <c r="J136" s="97"/>
      <c r="K136" s="97"/>
      <c r="R136" s="62"/>
    </row>
    <row r="137" ht="15.75" customHeight="1">
      <c r="A137" s="11" t="s">
        <v>17</v>
      </c>
      <c r="B137" s="205" t="s">
        <v>2655</v>
      </c>
      <c r="C137" s="69" t="str">
        <f t="shared" si="14"/>
        <v>Quinta-Feira</v>
      </c>
      <c r="D137" s="445" t="str">
        <f>IF(C137&lt;&gt;"Quarta-Feira","15:20","10:20")</f>
        <v>15:20</v>
      </c>
      <c r="E137" s="253"/>
      <c r="F137" s="69"/>
      <c r="G137" s="154"/>
      <c r="H137" s="193"/>
      <c r="I137" s="18"/>
      <c r="J137" s="97"/>
      <c r="K137" s="97"/>
      <c r="R137" s="62"/>
    </row>
    <row r="138" ht="15.75" customHeight="1">
      <c r="A138" s="11" t="s">
        <v>85</v>
      </c>
      <c r="B138" s="205" t="s">
        <v>2658</v>
      </c>
      <c r="C138" s="69" t="str">
        <f t="shared" si="14"/>
        <v>Quinta-Feira</v>
      </c>
      <c r="D138" s="445" t="str">
        <f>IF(C138&lt;&gt;"Quarta-Feira","15:40","10:40")</f>
        <v>15:40</v>
      </c>
      <c r="E138" s="253"/>
      <c r="F138" s="69"/>
      <c r="G138" s="154"/>
      <c r="H138" s="193"/>
      <c r="I138" s="18"/>
      <c r="J138" s="97"/>
      <c r="K138" s="97"/>
      <c r="R138" s="62"/>
    </row>
    <row r="139" ht="15.75" customHeight="1">
      <c r="A139" s="11" t="s">
        <v>87</v>
      </c>
      <c r="B139" s="205" t="s">
        <v>1734</v>
      </c>
      <c r="C139" s="69" t="str">
        <f t="shared" si="14"/>
        <v>Quinta-Feira</v>
      </c>
      <c r="D139" s="445" t="str">
        <f>IF(C139&lt;&gt;"Quarta-Feira","16:00","11:00")</f>
        <v>16:00</v>
      </c>
      <c r="E139" s="253"/>
      <c r="F139" s="69"/>
      <c r="G139" s="154"/>
      <c r="H139" s="193"/>
      <c r="I139" s="18"/>
      <c r="J139" s="97"/>
      <c r="K139" s="97"/>
      <c r="R139" s="62"/>
    </row>
    <row r="140" ht="15.75" customHeight="1">
      <c r="A140" s="11" t="s">
        <v>90</v>
      </c>
      <c r="B140" s="205" t="s">
        <v>2658</v>
      </c>
      <c r="C140" s="69" t="str">
        <f t="shared" si="14"/>
        <v>Quinta-Feira</v>
      </c>
      <c r="D140" s="445" t="str">
        <f>IF(C140&lt;&gt;"Quarta-Feira","16:20","11:20")</f>
        <v>16:20</v>
      </c>
      <c r="E140" s="253"/>
      <c r="F140" s="69"/>
      <c r="G140" s="154"/>
      <c r="H140" s="193"/>
      <c r="I140" s="18"/>
      <c r="J140" s="97"/>
      <c r="K140" s="97"/>
      <c r="R140" s="62"/>
    </row>
    <row r="141" ht="15.75" customHeight="1">
      <c r="A141" s="11" t="s">
        <v>93</v>
      </c>
      <c r="B141" s="205" t="s">
        <v>1734</v>
      </c>
      <c r="C141" s="69" t="str">
        <f t="shared" si="14"/>
        <v>Quinta-Feira</v>
      </c>
      <c r="D141" s="445" t="str">
        <f>IF(C141&lt;&gt;"Quarta-Feira","16:40","11:40")</f>
        <v>16:40</v>
      </c>
      <c r="E141" s="253"/>
      <c r="F141" s="69"/>
      <c r="G141" s="154"/>
      <c r="H141" s="193"/>
      <c r="I141" s="18"/>
      <c r="J141" s="97"/>
      <c r="K141" s="97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customHeight="1">
      <c r="A145" s="20" t="s">
        <v>18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customHeight="1">
      <c r="A146" s="21" t="str">
        <f>TEXT(DATE(VALUE(MID(A128,7,4)),VALUE(MID(A128,4,2)),VALUE(LEFT(A128,2)))+2,"dd/mm/yyyy")&amp;" 13h às 17h"</f>
        <v>25/07/2026 13h às 17h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customHeight="1">
      <c r="A147" s="22"/>
      <c r="B147" s="23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5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customHeight="1">
      <c r="A148" s="11" t="s">
        <v>10</v>
      </c>
      <c r="B148" s="205" t="s">
        <v>2081</v>
      </c>
      <c r="C148" s="69" t="str">
        <f t="shared" ref="C148:C159" si="16">PROPER(TEXT(DATE(MID($A$110,7,4),MID($A$110,4,2),LEFT($A$110,2)),"dddd"))</f>
        <v>Terça-Feira</v>
      </c>
      <c r="D148" s="445" t="str">
        <f>IF(C148&lt;&gt;"Quarta-Feira","13:00","08:00")</f>
        <v>13:00</v>
      </c>
      <c r="E148" s="218"/>
      <c r="F148" s="149"/>
      <c r="G148" s="148"/>
      <c r="H148" s="344"/>
      <c r="I148" s="18"/>
      <c r="J148" s="212"/>
      <c r="K148" s="212"/>
      <c r="N148" s="237" t="s">
        <v>386</v>
      </c>
      <c r="O148" s="95"/>
      <c r="P148" s="95"/>
      <c r="Q148" s="95"/>
      <c r="R148" s="62"/>
    </row>
    <row r="149" ht="15.75" customHeight="1">
      <c r="A149" s="11" t="s">
        <v>11</v>
      </c>
      <c r="B149" s="205" t="s">
        <v>2083</v>
      </c>
      <c r="C149" s="69" t="str">
        <f t="shared" si="16"/>
        <v>Terça-Feira</v>
      </c>
      <c r="D149" s="445" t="str">
        <f>IF(C149&lt;&gt;"Quarta-Feira","13:20","08:20")</f>
        <v>13:20</v>
      </c>
      <c r="E149" s="218"/>
      <c r="F149" s="425"/>
      <c r="G149" s="148"/>
      <c r="H149" s="437"/>
      <c r="I149" s="18"/>
      <c r="J149" s="212"/>
      <c r="K149" s="212"/>
      <c r="N149" s="239" t="s">
        <v>2085</v>
      </c>
      <c r="O149" s="2"/>
      <c r="P149" s="2"/>
      <c r="Q149" s="2"/>
      <c r="R149" s="62"/>
    </row>
    <row r="150" ht="15.75" customHeight="1">
      <c r="A150" s="11" t="s">
        <v>12</v>
      </c>
      <c r="B150" s="205" t="s">
        <v>2086</v>
      </c>
      <c r="C150" s="69" t="str">
        <f t="shared" si="16"/>
        <v>Terça-Feira</v>
      </c>
      <c r="D150" s="445" t="str">
        <f>IF(C150&lt;&gt;"Quarta-Feira","13:40","08:40")</f>
        <v>13:40</v>
      </c>
      <c r="E150" s="218"/>
      <c r="F150" s="149"/>
      <c r="G150" s="148"/>
      <c r="H150" s="344"/>
      <c r="I150" s="18"/>
      <c r="J150" s="212"/>
      <c r="K150" s="212"/>
      <c r="N150" s="240" t="s">
        <v>182</v>
      </c>
      <c r="O150" s="241" t="s">
        <v>194</v>
      </c>
      <c r="P150" s="241" t="s">
        <v>180</v>
      </c>
      <c r="Q150" s="242" t="s">
        <v>2087</v>
      </c>
      <c r="R150" s="62"/>
    </row>
    <row r="151" ht="15.75" customHeight="1">
      <c r="A151" s="11" t="s">
        <v>13</v>
      </c>
      <c r="B151" s="205" t="s">
        <v>2088</v>
      </c>
      <c r="C151" s="69" t="str">
        <f t="shared" si="16"/>
        <v>Terça-Feira</v>
      </c>
      <c r="D151" s="445" t="str">
        <f>IF(C151&lt;&gt;"Quarta-Feira","14:00","09:00")</f>
        <v>14:00</v>
      </c>
      <c r="E151" s="218"/>
      <c r="F151" s="206"/>
      <c r="G151" s="205"/>
      <c r="H151" s="432"/>
      <c r="I151" s="18"/>
      <c r="J151" s="212"/>
      <c r="K151" s="212"/>
      <c r="N151" s="244">
        <f t="shared" ref="N151:Q151" si="17">COUNTIFS($I$148:$I$159,N150)</f>
        <v>0</v>
      </c>
      <c r="O151" s="244">
        <f t="shared" si="17"/>
        <v>0</v>
      </c>
      <c r="P151" s="244">
        <f t="shared" si="17"/>
        <v>0</v>
      </c>
      <c r="Q151" s="244">
        <f t="shared" si="17"/>
        <v>0</v>
      </c>
      <c r="R151" s="62"/>
    </row>
    <row r="152" ht="15.75" customHeight="1">
      <c r="A152" s="11" t="s">
        <v>14</v>
      </c>
      <c r="B152" s="205" t="s">
        <v>2081</v>
      </c>
      <c r="C152" s="69" t="str">
        <f t="shared" si="16"/>
        <v>Terça-Feira</v>
      </c>
      <c r="D152" s="445" t="str">
        <f>IF(C152&lt;&gt;"Quarta-Feira","14:20","09:20")</f>
        <v>14:20</v>
      </c>
      <c r="E152" s="218"/>
      <c r="F152" s="149"/>
      <c r="G152" s="148"/>
      <c r="H152" s="344"/>
      <c r="I152" s="18"/>
      <c r="J152" s="212"/>
      <c r="K152" s="212"/>
      <c r="R152" s="62"/>
    </row>
    <row r="153" ht="15.75" customHeight="1">
      <c r="A153" s="11" t="s">
        <v>15</v>
      </c>
      <c r="B153" s="205" t="s">
        <v>2088</v>
      </c>
      <c r="C153" s="69" t="str">
        <f t="shared" si="16"/>
        <v>Terça-Feira</v>
      </c>
      <c r="D153" s="445" t="str">
        <f>IF(C153&lt;&gt;"Quarta-Feira","14:40","09:40")</f>
        <v>14:40</v>
      </c>
      <c r="E153" s="218"/>
      <c r="F153" s="149"/>
      <c r="G153" s="148"/>
      <c r="H153" s="344"/>
      <c r="I153" s="18"/>
      <c r="J153" s="212"/>
      <c r="K153" s="212"/>
      <c r="R153" s="62"/>
    </row>
    <row r="154" ht="15.75" customHeight="1">
      <c r="A154" s="11" t="s">
        <v>16</v>
      </c>
      <c r="B154" s="205" t="s">
        <v>2092</v>
      </c>
      <c r="C154" s="69" t="str">
        <f t="shared" si="16"/>
        <v>Terça-Feira</v>
      </c>
      <c r="D154" s="445" t="str">
        <f>IF(C154&lt;&gt;"Quarta-Feira","15:00","10:00")</f>
        <v>15:00</v>
      </c>
      <c r="E154" s="218"/>
      <c r="F154" s="149"/>
      <c r="G154" s="148"/>
      <c r="H154" s="344"/>
      <c r="I154" s="18"/>
      <c r="J154" s="212"/>
      <c r="K154" s="212"/>
      <c r="R154" s="62"/>
    </row>
    <row r="155" ht="15.75" customHeight="1">
      <c r="A155" s="11" t="s">
        <v>17</v>
      </c>
      <c r="B155" s="205" t="s">
        <v>2093</v>
      </c>
      <c r="C155" s="69" t="str">
        <f t="shared" si="16"/>
        <v>Terça-Feira</v>
      </c>
      <c r="D155" s="445" t="str">
        <f>IF(C155&lt;&gt;"Quarta-Feira","15:20","10:20")</f>
        <v>15:20</v>
      </c>
      <c r="E155" s="218"/>
      <c r="F155" s="149"/>
      <c r="G155" s="148"/>
      <c r="H155" s="344"/>
      <c r="I155" s="18"/>
      <c r="J155" s="212"/>
      <c r="K155" s="212"/>
      <c r="R155" s="62"/>
    </row>
    <row r="156" ht="15.75" customHeight="1">
      <c r="A156" s="11" t="s">
        <v>85</v>
      </c>
      <c r="B156" s="205" t="s">
        <v>2094</v>
      </c>
      <c r="C156" s="69" t="str">
        <f t="shared" si="16"/>
        <v>Terça-Feira</v>
      </c>
      <c r="D156" s="445" t="str">
        <f>IF(C156&lt;&gt;"Quarta-Feira","15:40","10:40")</f>
        <v>15:40</v>
      </c>
      <c r="E156" s="218"/>
      <c r="F156" s="149"/>
      <c r="G156" s="148"/>
      <c r="H156" s="344"/>
      <c r="I156" s="18"/>
      <c r="J156" s="212"/>
      <c r="K156" s="212"/>
      <c r="R156" s="62"/>
    </row>
    <row r="157" ht="15.75" customHeight="1">
      <c r="A157" s="11" t="s">
        <v>87</v>
      </c>
      <c r="B157" s="205" t="s">
        <v>2095</v>
      </c>
      <c r="C157" s="69" t="str">
        <f t="shared" si="16"/>
        <v>Terça-Feira</v>
      </c>
      <c r="D157" s="445" t="str">
        <f>IF(C157&lt;&gt;"Quarta-Feira","16:00","11:00")</f>
        <v>16:00</v>
      </c>
      <c r="E157" s="218"/>
      <c r="F157" s="149"/>
      <c r="G157" s="148"/>
      <c r="H157" s="344"/>
      <c r="I157" s="18"/>
      <c r="J157" s="212"/>
      <c r="K157" s="212"/>
      <c r="R157" s="62"/>
    </row>
    <row r="158" ht="15.75" customHeight="1">
      <c r="A158" s="11" t="s">
        <v>90</v>
      </c>
      <c r="B158" s="205" t="s">
        <v>2097</v>
      </c>
      <c r="C158" s="69" t="str">
        <f t="shared" si="16"/>
        <v>Terça-Feira</v>
      </c>
      <c r="D158" s="445" t="str">
        <f>IF(C158&lt;&gt;"Quarta-Feira","16:20","11:20")</f>
        <v>16:20</v>
      </c>
      <c r="E158" s="218"/>
      <c r="F158" s="149"/>
      <c r="G158" s="148"/>
      <c r="H158" s="344"/>
      <c r="I158" s="18"/>
      <c r="J158" s="212"/>
      <c r="K158" s="212"/>
      <c r="R158" s="62"/>
    </row>
    <row r="159" ht="15.75" customHeight="1">
      <c r="A159" s="11" t="s">
        <v>93</v>
      </c>
      <c r="B159" s="205" t="s">
        <v>2095</v>
      </c>
      <c r="C159" s="69" t="str">
        <f t="shared" si="16"/>
        <v>Terça-Feira</v>
      </c>
      <c r="D159" s="445" t="str">
        <f>IF(C159&lt;&gt;"Quarta-Feira","16:40","11:40")</f>
        <v>16:40</v>
      </c>
      <c r="E159" s="218"/>
      <c r="F159" s="149"/>
      <c r="G159" s="148"/>
      <c r="H159" s="344"/>
      <c r="I159" s="18"/>
      <c r="J159" s="212"/>
      <c r="K159" s="212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20" t="s">
        <v>18</v>
      </c>
      <c r="B163" s="2"/>
      <c r="C163" s="2"/>
      <c r="D163" s="2"/>
      <c r="E163" s="2"/>
      <c r="F163" s="2"/>
      <c r="G163" s="2"/>
      <c r="H163" s="2"/>
      <c r="I163" s="2"/>
      <c r="J163" s="2"/>
      <c r="K163" s="3"/>
      <c r="R163" s="62"/>
    </row>
    <row r="164" ht="15.75" customHeight="1">
      <c r="A164" s="21" t="str">
        <f>TEXT(DATE(VALUE(MID(A128,7,4)),VALUE(MID(A128,4,2)),VALUE(LEFT(A128,2)))+7,"dd/mm/yyyy")&amp;" 13h às 17h"</f>
        <v>30/07/2026 13h às 17h</v>
      </c>
      <c r="B164" s="2"/>
      <c r="C164" s="2"/>
      <c r="D164" s="2"/>
      <c r="E164" s="2"/>
      <c r="F164" s="2"/>
      <c r="G164" s="2"/>
      <c r="H164" s="2"/>
      <c r="I164" s="2"/>
      <c r="J164" s="2"/>
      <c r="K164" s="3"/>
      <c r="R164" s="62"/>
    </row>
    <row r="165" ht="15.75" customHeight="1">
      <c r="A165" s="22"/>
      <c r="B165" s="23" t="s">
        <v>3</v>
      </c>
      <c r="C165" s="24" t="s">
        <v>2</v>
      </c>
      <c r="D165" s="25" t="s">
        <v>5</v>
      </c>
      <c r="E165" s="26" t="s">
        <v>19</v>
      </c>
      <c r="F165" s="25" t="s">
        <v>6</v>
      </c>
      <c r="G165" s="25" t="s">
        <v>7</v>
      </c>
      <c r="H165" s="27" t="s">
        <v>8</v>
      </c>
      <c r="I165" s="28" t="s">
        <v>20</v>
      </c>
      <c r="J165" s="25" t="s">
        <v>21</v>
      </c>
      <c r="K165" s="25" t="s">
        <v>22</v>
      </c>
      <c r="R165" s="62"/>
    </row>
    <row r="166" ht="15.75" customHeight="1">
      <c r="A166" s="11" t="s">
        <v>10</v>
      </c>
      <c r="B166" s="205" t="s">
        <v>1789</v>
      </c>
      <c r="C166" s="69" t="str">
        <f t="shared" ref="C166:C177" si="18">PROPER(TEXT(DATE(MID($A$128,7,4),MID($A$128,4,2),LEFT($A$128,2)),"dddd"))</f>
        <v>Quinta-Feira</v>
      </c>
      <c r="D166" s="445" t="str">
        <f>IF(C166&lt;&gt;"Quarta-Feira","13:00","08:00")</f>
        <v>13:00</v>
      </c>
      <c r="E166" s="253"/>
      <c r="F166" s="69"/>
      <c r="G166" s="154"/>
      <c r="H166" s="193"/>
      <c r="I166" s="18"/>
      <c r="J166" s="97"/>
      <c r="K166" s="97"/>
      <c r="N166" s="237" t="s">
        <v>386</v>
      </c>
      <c r="O166" s="95"/>
      <c r="P166" s="95"/>
      <c r="Q166" s="95"/>
      <c r="R166" s="62"/>
    </row>
    <row r="167" ht="15.75" customHeight="1">
      <c r="A167" s="11" t="s">
        <v>11</v>
      </c>
      <c r="B167" s="205" t="s">
        <v>1713</v>
      </c>
      <c r="C167" s="69" t="str">
        <f t="shared" si="18"/>
        <v>Quinta-Feira</v>
      </c>
      <c r="D167" s="445" t="str">
        <f>IF(C167&lt;&gt;"Quarta-Feira","13:20","08:20")</f>
        <v>13:20</v>
      </c>
      <c r="E167" s="253"/>
      <c r="F167" s="69"/>
      <c r="G167" s="154"/>
      <c r="H167" s="193"/>
      <c r="I167" s="18"/>
      <c r="J167" s="97"/>
      <c r="K167" s="97"/>
      <c r="N167" s="239" t="s">
        <v>2085</v>
      </c>
      <c r="O167" s="2"/>
      <c r="P167" s="2"/>
      <c r="Q167" s="2"/>
      <c r="R167" s="62"/>
    </row>
    <row r="168" ht="15.75" customHeight="1">
      <c r="A168" s="11" t="s">
        <v>12</v>
      </c>
      <c r="B168" s="205" t="s">
        <v>1780</v>
      </c>
      <c r="C168" s="69" t="str">
        <f t="shared" si="18"/>
        <v>Quinta-Feira</v>
      </c>
      <c r="D168" s="445" t="str">
        <f>IF(C168&lt;&gt;"Quarta-Feira","13:40","08:40")</f>
        <v>13:40</v>
      </c>
      <c r="E168" s="253"/>
      <c r="F168" s="69"/>
      <c r="G168" s="154"/>
      <c r="H168" s="193"/>
      <c r="I168" s="18"/>
      <c r="J168" s="97"/>
      <c r="K168" s="97"/>
      <c r="N168" s="240" t="s">
        <v>182</v>
      </c>
      <c r="O168" s="241" t="s">
        <v>194</v>
      </c>
      <c r="P168" s="241" t="s">
        <v>180</v>
      </c>
      <c r="Q168" s="242" t="s">
        <v>2087</v>
      </c>
      <c r="R168" s="62"/>
    </row>
    <row r="169" ht="15.75" customHeight="1">
      <c r="A169" s="11" t="s">
        <v>13</v>
      </c>
      <c r="B169" s="205" t="s">
        <v>1720</v>
      </c>
      <c r="C169" s="69" t="str">
        <f t="shared" si="18"/>
        <v>Quinta-Feira</v>
      </c>
      <c r="D169" s="445" t="str">
        <f>IF(C169&lt;&gt;"Quarta-Feira","14:00","09:00")</f>
        <v>14:00</v>
      </c>
      <c r="E169" s="253"/>
      <c r="F169" s="69"/>
      <c r="G169" s="154"/>
      <c r="H169" s="193"/>
      <c r="I169" s="18"/>
      <c r="J169" s="97"/>
      <c r="K169" s="97"/>
      <c r="N169" s="244">
        <f t="shared" ref="N169:Q169" si="19">COUNTIFS($I$130:$I$141,N168)</f>
        <v>0</v>
      </c>
      <c r="O169" s="244">
        <f t="shared" si="19"/>
        <v>0</v>
      </c>
      <c r="P169" s="244">
        <f t="shared" si="19"/>
        <v>0</v>
      </c>
      <c r="Q169" s="244">
        <f t="shared" si="19"/>
        <v>0</v>
      </c>
      <c r="R169" s="62"/>
    </row>
    <row r="170" ht="15.75" customHeight="1">
      <c r="A170" s="11" t="s">
        <v>14</v>
      </c>
      <c r="B170" s="205" t="s">
        <v>1795</v>
      </c>
      <c r="C170" s="69" t="str">
        <f t="shared" si="18"/>
        <v>Quinta-Feira</v>
      </c>
      <c r="D170" s="445" t="str">
        <f>IF(C170&lt;&gt;"Quarta-Feira","14:20","09:20")</f>
        <v>14:20</v>
      </c>
      <c r="E170" s="253"/>
      <c r="F170" s="69"/>
      <c r="G170" s="154"/>
      <c r="H170" s="193"/>
      <c r="I170" s="18"/>
      <c r="J170" s="97"/>
      <c r="K170" s="97"/>
      <c r="R170" s="62"/>
    </row>
    <row r="171" ht="15.75" customHeight="1">
      <c r="A171" s="11" t="s">
        <v>15</v>
      </c>
      <c r="B171" s="205" t="s">
        <v>1789</v>
      </c>
      <c r="C171" s="69" t="str">
        <f t="shared" si="18"/>
        <v>Quinta-Feira</v>
      </c>
      <c r="D171" s="445" t="str">
        <f>IF(C171&lt;&gt;"Quarta-Feira","14:40","09:40")</f>
        <v>14:40</v>
      </c>
      <c r="E171" s="253"/>
      <c r="F171" s="69"/>
      <c r="G171" s="154"/>
      <c r="H171" s="193"/>
      <c r="I171" s="18"/>
      <c r="J171" s="97"/>
      <c r="K171" s="97"/>
      <c r="R171" s="62"/>
    </row>
    <row r="172" ht="15.75" customHeight="1">
      <c r="A172" s="11" t="s">
        <v>16</v>
      </c>
      <c r="B172" s="205" t="s">
        <v>2652</v>
      </c>
      <c r="C172" s="69" t="str">
        <f t="shared" si="18"/>
        <v>Quinta-Feira</v>
      </c>
      <c r="D172" s="445" t="str">
        <f>IF(C172&lt;&gt;"Quarta-Feira","15:00","10:00")</f>
        <v>15:00</v>
      </c>
      <c r="E172" s="253"/>
      <c r="F172" s="69"/>
      <c r="G172" s="154"/>
      <c r="H172" s="193"/>
      <c r="I172" s="18"/>
      <c r="J172" s="97"/>
      <c r="K172" s="97"/>
      <c r="R172" s="62"/>
    </row>
    <row r="173" ht="15.75" customHeight="1">
      <c r="A173" s="11" t="s">
        <v>17</v>
      </c>
      <c r="B173" s="205" t="s">
        <v>2655</v>
      </c>
      <c r="C173" s="69" t="str">
        <f t="shared" si="18"/>
        <v>Quinta-Feira</v>
      </c>
      <c r="D173" s="445" t="str">
        <f>IF(C173&lt;&gt;"Quarta-Feira","15:20","10:20")</f>
        <v>15:20</v>
      </c>
      <c r="E173" s="253"/>
      <c r="F173" s="69"/>
      <c r="G173" s="154"/>
      <c r="H173" s="193"/>
      <c r="I173" s="18"/>
      <c r="J173" s="97"/>
      <c r="K173" s="97"/>
      <c r="R173" s="62"/>
    </row>
    <row r="174" ht="15.75" customHeight="1">
      <c r="A174" s="11" t="s">
        <v>85</v>
      </c>
      <c r="B174" s="205" t="s">
        <v>2658</v>
      </c>
      <c r="C174" s="69" t="str">
        <f t="shared" si="18"/>
        <v>Quinta-Feira</v>
      </c>
      <c r="D174" s="445" t="str">
        <f>IF(C174&lt;&gt;"Quarta-Feira","15:40","10:40")</f>
        <v>15:40</v>
      </c>
      <c r="E174" s="253"/>
      <c r="F174" s="69"/>
      <c r="G174" s="154"/>
      <c r="H174" s="193"/>
      <c r="I174" s="18"/>
      <c r="J174" s="97"/>
      <c r="K174" s="97"/>
      <c r="R174" s="62"/>
    </row>
    <row r="175" ht="15.75" customHeight="1">
      <c r="A175" s="11" t="s">
        <v>87</v>
      </c>
      <c r="B175" s="205" t="s">
        <v>1734</v>
      </c>
      <c r="C175" s="69" t="str">
        <f t="shared" si="18"/>
        <v>Quinta-Feira</v>
      </c>
      <c r="D175" s="445" t="str">
        <f>IF(C175&lt;&gt;"Quarta-Feira","16:00","11:00")</f>
        <v>16:00</v>
      </c>
      <c r="E175" s="253"/>
      <c r="F175" s="69"/>
      <c r="G175" s="154"/>
      <c r="H175" s="193"/>
      <c r="I175" s="18"/>
      <c r="J175" s="97"/>
      <c r="K175" s="97"/>
      <c r="R175" s="62"/>
    </row>
    <row r="176" ht="15.75" customHeight="1">
      <c r="A176" s="11" t="s">
        <v>90</v>
      </c>
      <c r="B176" s="205" t="s">
        <v>2658</v>
      </c>
      <c r="C176" s="69" t="str">
        <f t="shared" si="18"/>
        <v>Quinta-Feira</v>
      </c>
      <c r="D176" s="445" t="str">
        <f>IF(C176&lt;&gt;"Quarta-Feira","16:20","11:20")</f>
        <v>16:20</v>
      </c>
      <c r="E176" s="253"/>
      <c r="F176" s="69"/>
      <c r="G176" s="154"/>
      <c r="H176" s="193"/>
      <c r="I176" s="18"/>
      <c r="J176" s="97"/>
      <c r="K176" s="97"/>
      <c r="R176" s="62"/>
    </row>
    <row r="177" ht="15.75" customHeight="1">
      <c r="A177" s="11" t="s">
        <v>93</v>
      </c>
      <c r="B177" s="205" t="s">
        <v>1734</v>
      </c>
      <c r="C177" s="69" t="str">
        <f t="shared" si="18"/>
        <v>Quinta-Feira</v>
      </c>
      <c r="D177" s="445" t="str">
        <f>IF(C177&lt;&gt;"Quarta-Feira","16:40","11:40")</f>
        <v>16:40</v>
      </c>
      <c r="E177" s="253"/>
      <c r="F177" s="69"/>
      <c r="G177" s="154"/>
      <c r="H177" s="193"/>
      <c r="I177" s="18"/>
      <c r="J177" s="97"/>
      <c r="K177" s="97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N182" s="237" t="s">
        <v>2079</v>
      </c>
      <c r="O182" s="95"/>
      <c r="P182" s="95"/>
      <c r="Q182" s="95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N183" s="240" t="s">
        <v>182</v>
      </c>
      <c r="O183" s="241" t="s">
        <v>194</v>
      </c>
      <c r="P183" s="241" t="s">
        <v>180</v>
      </c>
      <c r="Q183" s="242" t="s">
        <v>172</v>
      </c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N184" s="197">
        <f t="shared" ref="N184:Q184" si="20">SUM(N4:N180)</f>
        <v>0</v>
      </c>
      <c r="O184" s="197">
        <f t="shared" si="20"/>
        <v>0</v>
      </c>
      <c r="P184" s="197">
        <f t="shared" si="20"/>
        <v>0</v>
      </c>
      <c r="Q184" s="197">
        <f t="shared" si="20"/>
        <v>0</v>
      </c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>
      <c r="A330" s="438"/>
      <c r="B330" s="430"/>
      <c r="C330" s="275"/>
      <c r="D330" s="439"/>
      <c r="E330" s="254"/>
      <c r="F330" s="440"/>
      <c r="G330" s="441"/>
      <c r="H330" s="255"/>
      <c r="I330" s="442"/>
      <c r="J330" s="443"/>
      <c r="K330" s="443"/>
      <c r="R330" s="62"/>
    </row>
    <row r="331" ht="15.75" customHeight="1">
      <c r="A331" s="438"/>
      <c r="B331" s="430"/>
      <c r="C331" s="275"/>
      <c r="D331" s="439"/>
      <c r="E331" s="254"/>
      <c r="F331" s="440"/>
      <c r="G331" s="441"/>
      <c r="H331" s="255"/>
      <c r="I331" s="442"/>
      <c r="J331" s="443"/>
      <c r="K331" s="443"/>
      <c r="R331" s="62"/>
    </row>
    <row r="332" ht="15.75" customHeight="1">
      <c r="A332" s="438"/>
      <c r="B332" s="430"/>
      <c r="C332" s="275"/>
      <c r="D332" s="439"/>
      <c r="E332" s="254"/>
      <c r="F332" s="440"/>
      <c r="G332" s="441"/>
      <c r="H332" s="255"/>
      <c r="I332" s="442"/>
      <c r="J332" s="443"/>
      <c r="K332" s="443"/>
      <c r="R332" s="62"/>
    </row>
    <row r="333" ht="15.75" customHeight="1">
      <c r="A333" s="438"/>
      <c r="B333" s="430"/>
      <c r="C333" s="275"/>
      <c r="D333" s="439"/>
      <c r="E333" s="254"/>
      <c r="F333" s="440"/>
      <c r="G333" s="441"/>
      <c r="H333" s="255"/>
      <c r="I333" s="442"/>
      <c r="J333" s="443"/>
      <c r="K333" s="443"/>
      <c r="R333" s="62"/>
    </row>
    <row r="334" ht="15.75" customHeight="1">
      <c r="A334" s="438"/>
      <c r="B334" s="430"/>
      <c r="C334" s="275"/>
      <c r="D334" s="439"/>
      <c r="E334" s="254"/>
      <c r="F334" s="440"/>
      <c r="G334" s="441"/>
      <c r="H334" s="255"/>
      <c r="I334" s="442"/>
      <c r="J334" s="443"/>
      <c r="K334" s="443"/>
      <c r="R334" s="62"/>
    </row>
    <row r="335" ht="15.75" customHeight="1">
      <c r="A335" s="438"/>
      <c r="B335" s="430"/>
      <c r="C335" s="275"/>
      <c r="D335" s="439"/>
      <c r="E335" s="254"/>
      <c r="F335" s="440"/>
      <c r="G335" s="441"/>
      <c r="H335" s="255"/>
      <c r="I335" s="442"/>
      <c r="J335" s="443"/>
      <c r="K335" s="443"/>
      <c r="R335" s="62"/>
    </row>
    <row r="336" ht="15.75" customHeight="1">
      <c r="A336" s="438"/>
      <c r="B336" s="430"/>
      <c r="C336" s="275"/>
      <c r="D336" s="439"/>
      <c r="E336" s="254"/>
      <c r="F336" s="440"/>
      <c r="G336" s="441"/>
      <c r="H336" s="255"/>
      <c r="I336" s="442"/>
      <c r="J336" s="443"/>
      <c r="K336" s="443"/>
      <c r="R336" s="62"/>
    </row>
    <row r="337" ht="15.75" customHeight="1">
      <c r="A337" s="438"/>
      <c r="B337" s="430"/>
      <c r="C337" s="275"/>
      <c r="D337" s="439"/>
      <c r="E337" s="254"/>
      <c r="F337" s="440"/>
      <c r="G337" s="441"/>
      <c r="H337" s="255"/>
      <c r="I337" s="442"/>
      <c r="J337" s="443"/>
      <c r="K337" s="443"/>
      <c r="R337" s="62"/>
    </row>
    <row r="338" ht="15.75" customHeight="1">
      <c r="A338" s="438"/>
      <c r="B338" s="430"/>
      <c r="C338" s="275"/>
      <c r="D338" s="439"/>
      <c r="E338" s="254"/>
      <c r="F338" s="440"/>
      <c r="G338" s="441"/>
      <c r="H338" s="255"/>
      <c r="I338" s="442"/>
      <c r="J338" s="443"/>
      <c r="K338" s="443"/>
      <c r="R338" s="62"/>
    </row>
    <row r="339" ht="15.75" customHeight="1">
      <c r="A339" s="438"/>
      <c r="B339" s="430"/>
      <c r="C339" s="275"/>
      <c r="D339" s="439"/>
      <c r="E339" s="254"/>
      <c r="F339" s="440"/>
      <c r="G339" s="441"/>
      <c r="H339" s="255"/>
      <c r="I339" s="442"/>
      <c r="J339" s="443"/>
      <c r="K339" s="443"/>
      <c r="R339" s="62"/>
    </row>
    <row r="340" ht="15.75" customHeight="1">
      <c r="A340" s="438"/>
      <c r="B340" s="430"/>
      <c r="C340" s="275"/>
      <c r="D340" s="439"/>
      <c r="E340" s="254"/>
      <c r="F340" s="440"/>
      <c r="G340" s="441"/>
      <c r="H340" s="255"/>
      <c r="I340" s="442"/>
      <c r="J340" s="443"/>
      <c r="K340" s="443"/>
      <c r="R340" s="62"/>
    </row>
    <row r="341" ht="15.75" customHeight="1">
      <c r="A341" s="438"/>
      <c r="B341" s="430"/>
      <c r="C341" s="275"/>
      <c r="D341" s="439"/>
      <c r="E341" s="254"/>
      <c r="F341" s="440"/>
      <c r="G341" s="441"/>
      <c r="H341" s="255"/>
      <c r="I341" s="442"/>
      <c r="J341" s="443"/>
      <c r="K341" s="443"/>
      <c r="R341" s="62"/>
    </row>
    <row r="342" ht="15.75" customHeight="1">
      <c r="A342" s="438"/>
      <c r="B342" s="430"/>
      <c r="C342" s="275"/>
      <c r="D342" s="439"/>
      <c r="E342" s="254"/>
      <c r="F342" s="440"/>
      <c r="G342" s="441"/>
      <c r="H342" s="255"/>
      <c r="I342" s="442"/>
      <c r="J342" s="443"/>
      <c r="K342" s="443"/>
      <c r="R342" s="62"/>
    </row>
    <row r="343" ht="15.75" customHeight="1">
      <c r="A343" s="438"/>
      <c r="B343" s="430"/>
      <c r="C343" s="275"/>
      <c r="D343" s="439"/>
      <c r="E343" s="254"/>
      <c r="F343" s="440"/>
      <c r="G343" s="441"/>
      <c r="H343" s="255"/>
      <c r="I343" s="442"/>
      <c r="J343" s="443"/>
      <c r="K343" s="443"/>
      <c r="R343" s="62"/>
    </row>
    <row r="344" ht="15.75" customHeight="1">
      <c r="A344" s="438"/>
      <c r="B344" s="430"/>
      <c r="C344" s="275"/>
      <c r="D344" s="439"/>
      <c r="E344" s="254"/>
      <c r="F344" s="440"/>
      <c r="G344" s="441"/>
      <c r="H344" s="255"/>
      <c r="I344" s="442"/>
      <c r="J344" s="443"/>
      <c r="K344" s="443"/>
      <c r="R344" s="62"/>
    </row>
    <row r="345" ht="15.75" customHeight="1">
      <c r="A345" s="438"/>
      <c r="B345" s="430"/>
      <c r="C345" s="275"/>
      <c r="D345" s="439"/>
      <c r="E345" s="254"/>
      <c r="F345" s="440"/>
      <c r="G345" s="441"/>
      <c r="H345" s="255"/>
      <c r="I345" s="442"/>
      <c r="J345" s="443"/>
      <c r="K345" s="443"/>
      <c r="R345" s="62"/>
    </row>
    <row r="346" ht="15.75" customHeight="1">
      <c r="A346" s="438"/>
      <c r="B346" s="430"/>
      <c r="C346" s="275"/>
      <c r="D346" s="439"/>
      <c r="E346" s="254"/>
      <c r="F346" s="440"/>
      <c r="G346" s="441"/>
      <c r="H346" s="255"/>
      <c r="I346" s="442"/>
      <c r="J346" s="443"/>
      <c r="K346" s="443"/>
      <c r="R346" s="62"/>
    </row>
    <row r="347" ht="15.75" customHeight="1">
      <c r="A347" s="438"/>
      <c r="B347" s="430"/>
      <c r="C347" s="275"/>
      <c r="D347" s="439"/>
      <c r="E347" s="254"/>
      <c r="F347" s="440"/>
      <c r="G347" s="441"/>
      <c r="H347" s="255"/>
      <c r="I347" s="442"/>
      <c r="J347" s="443"/>
      <c r="K347" s="443"/>
      <c r="R347" s="62"/>
    </row>
    <row r="348" ht="15.75" customHeight="1">
      <c r="A348" s="438"/>
      <c r="B348" s="430"/>
      <c r="C348" s="275"/>
      <c r="D348" s="439"/>
      <c r="E348" s="254"/>
      <c r="F348" s="440"/>
      <c r="G348" s="441"/>
      <c r="H348" s="255"/>
      <c r="I348" s="442"/>
      <c r="J348" s="443"/>
      <c r="K348" s="443"/>
      <c r="R348" s="62"/>
    </row>
    <row r="349" ht="15.75" customHeight="1">
      <c r="A349" s="438"/>
      <c r="B349" s="430"/>
      <c r="C349" s="275"/>
      <c r="D349" s="439"/>
      <c r="E349" s="254"/>
      <c r="F349" s="440"/>
      <c r="G349" s="441"/>
      <c r="H349" s="255"/>
      <c r="I349" s="442"/>
      <c r="J349" s="443"/>
      <c r="K349" s="443"/>
      <c r="R349" s="62"/>
    </row>
    <row r="350" ht="15.75" customHeight="1">
      <c r="A350" s="438"/>
      <c r="B350" s="430"/>
      <c r="C350" s="275"/>
      <c r="D350" s="439"/>
      <c r="E350" s="254"/>
      <c r="F350" s="440"/>
      <c r="G350" s="441"/>
      <c r="H350" s="255"/>
      <c r="I350" s="442"/>
      <c r="J350" s="443"/>
      <c r="K350" s="443"/>
      <c r="R350" s="62"/>
    </row>
    <row r="351" ht="15.75" customHeight="1">
      <c r="A351" s="438"/>
      <c r="B351" s="430"/>
      <c r="C351" s="275"/>
      <c r="D351" s="439"/>
      <c r="E351" s="254"/>
      <c r="F351" s="440"/>
      <c r="G351" s="441"/>
      <c r="H351" s="255"/>
      <c r="I351" s="442"/>
      <c r="J351" s="443"/>
      <c r="K351" s="443"/>
      <c r="R351" s="62"/>
    </row>
    <row r="352" ht="15.75" customHeight="1">
      <c r="A352" s="438"/>
      <c r="B352" s="430"/>
      <c r="C352" s="275"/>
      <c r="D352" s="439"/>
      <c r="E352" s="254"/>
      <c r="F352" s="440"/>
      <c r="G352" s="441"/>
      <c r="H352" s="255"/>
      <c r="I352" s="442"/>
      <c r="J352" s="443"/>
      <c r="K352" s="443"/>
      <c r="R352" s="62"/>
    </row>
    <row r="353" ht="15.75" customHeight="1">
      <c r="A353" s="438"/>
      <c r="B353" s="430"/>
      <c r="C353" s="275"/>
      <c r="D353" s="439"/>
      <c r="E353" s="254"/>
      <c r="F353" s="440"/>
      <c r="G353" s="441"/>
      <c r="H353" s="255"/>
      <c r="I353" s="442"/>
      <c r="J353" s="443"/>
      <c r="K353" s="443"/>
      <c r="R353" s="62"/>
    </row>
    <row r="354" ht="15.75" customHeight="1">
      <c r="A354" s="438"/>
      <c r="B354" s="430"/>
      <c r="C354" s="275"/>
      <c r="D354" s="439"/>
      <c r="E354" s="254"/>
      <c r="F354" s="440"/>
      <c r="G354" s="441"/>
      <c r="H354" s="255"/>
      <c r="I354" s="442"/>
      <c r="J354" s="443"/>
      <c r="K354" s="443"/>
      <c r="R354" s="62"/>
    </row>
    <row r="355" ht="15.75" customHeight="1">
      <c r="A355" s="438"/>
      <c r="B355" s="430"/>
      <c r="C355" s="275"/>
      <c r="D355" s="439"/>
      <c r="E355" s="254"/>
      <c r="F355" s="440"/>
      <c r="G355" s="441"/>
      <c r="H355" s="255"/>
      <c r="I355" s="442"/>
      <c r="J355" s="443"/>
      <c r="K355" s="443"/>
      <c r="R355" s="62"/>
    </row>
    <row r="356" ht="15.75" customHeight="1">
      <c r="A356" s="438"/>
      <c r="B356" s="430"/>
      <c r="C356" s="275"/>
      <c r="D356" s="439"/>
      <c r="E356" s="254"/>
      <c r="F356" s="440"/>
      <c r="G356" s="441"/>
      <c r="H356" s="255"/>
      <c r="I356" s="442"/>
      <c r="J356" s="443"/>
      <c r="K356" s="443"/>
      <c r="R356" s="62"/>
    </row>
    <row r="357" ht="15.75" customHeight="1">
      <c r="A357" s="438"/>
      <c r="B357" s="430"/>
      <c r="C357" s="275"/>
      <c r="D357" s="439"/>
      <c r="E357" s="254"/>
      <c r="F357" s="440"/>
      <c r="G357" s="441"/>
      <c r="H357" s="255"/>
      <c r="I357" s="442"/>
      <c r="J357" s="443"/>
      <c r="K357" s="443"/>
      <c r="R357" s="62"/>
    </row>
    <row r="358" ht="15.75" customHeight="1">
      <c r="A358" s="438"/>
      <c r="B358" s="430"/>
      <c r="C358" s="275"/>
      <c r="D358" s="439"/>
      <c r="E358" s="254"/>
      <c r="F358" s="440"/>
      <c r="G358" s="441"/>
      <c r="H358" s="255"/>
      <c r="I358" s="442"/>
      <c r="J358" s="443"/>
      <c r="K358" s="443"/>
      <c r="R358" s="62"/>
    </row>
    <row r="359" ht="15.75" customHeight="1">
      <c r="A359" s="438"/>
      <c r="B359" s="430"/>
      <c r="C359" s="275"/>
      <c r="D359" s="439"/>
      <c r="E359" s="254"/>
      <c r="F359" s="440"/>
      <c r="G359" s="441"/>
      <c r="H359" s="255"/>
      <c r="I359" s="442"/>
      <c r="J359" s="443"/>
      <c r="K359" s="443"/>
      <c r="R359" s="62"/>
    </row>
    <row r="360" ht="15.75" customHeight="1">
      <c r="A360" s="438"/>
      <c r="B360" s="430"/>
      <c r="C360" s="275"/>
      <c r="D360" s="439"/>
      <c r="E360" s="254"/>
      <c r="F360" s="440"/>
      <c r="G360" s="441"/>
      <c r="H360" s="255"/>
      <c r="I360" s="442"/>
      <c r="J360" s="443"/>
      <c r="K360" s="443"/>
      <c r="R360" s="62"/>
    </row>
    <row r="361" ht="15.75" customHeight="1">
      <c r="A361" s="438"/>
      <c r="B361" s="430"/>
      <c r="C361" s="275"/>
      <c r="D361" s="439"/>
      <c r="E361" s="254"/>
      <c r="F361" s="440"/>
      <c r="G361" s="441"/>
      <c r="H361" s="255"/>
      <c r="I361" s="442"/>
      <c r="J361" s="443"/>
      <c r="K361" s="443"/>
      <c r="R361" s="62"/>
    </row>
    <row r="362" ht="15.75" customHeight="1">
      <c r="A362" s="438"/>
      <c r="B362" s="430"/>
      <c r="C362" s="275"/>
      <c r="D362" s="439"/>
      <c r="E362" s="254"/>
      <c r="F362" s="440"/>
      <c r="G362" s="441"/>
      <c r="H362" s="255"/>
      <c r="I362" s="442"/>
      <c r="J362" s="443"/>
      <c r="K362" s="443"/>
      <c r="R362" s="62"/>
    </row>
    <row r="363" ht="15.75" customHeight="1">
      <c r="A363" s="438"/>
      <c r="B363" s="430"/>
      <c r="C363" s="275"/>
      <c r="D363" s="439"/>
      <c r="E363" s="254"/>
      <c r="F363" s="440"/>
      <c r="G363" s="441"/>
      <c r="H363" s="255"/>
      <c r="I363" s="442"/>
      <c r="J363" s="443"/>
      <c r="K363" s="443"/>
      <c r="R363" s="62"/>
    </row>
    <row r="364" ht="15.75" customHeight="1">
      <c r="A364" s="438"/>
      <c r="B364" s="430"/>
      <c r="C364" s="275"/>
      <c r="D364" s="439"/>
      <c r="E364" s="254"/>
      <c r="F364" s="440"/>
      <c r="G364" s="441"/>
      <c r="H364" s="255"/>
      <c r="I364" s="442"/>
      <c r="J364" s="443"/>
      <c r="K364" s="443"/>
      <c r="R364" s="62"/>
    </row>
    <row r="365" ht="15.75" customHeight="1">
      <c r="A365" s="438"/>
      <c r="B365" s="430"/>
      <c r="C365" s="275"/>
      <c r="D365" s="439"/>
      <c r="E365" s="254"/>
      <c r="F365" s="440"/>
      <c r="G365" s="441"/>
      <c r="H365" s="255"/>
      <c r="I365" s="442"/>
      <c r="J365" s="443"/>
      <c r="K365" s="443"/>
      <c r="R365" s="62"/>
    </row>
    <row r="366" ht="15.75" customHeight="1">
      <c r="A366" s="438"/>
      <c r="B366" s="430"/>
      <c r="C366" s="275"/>
      <c r="D366" s="439"/>
      <c r="E366" s="254"/>
      <c r="F366" s="440"/>
      <c r="G366" s="441"/>
      <c r="H366" s="255"/>
      <c r="I366" s="442"/>
      <c r="J366" s="443"/>
      <c r="K366" s="443"/>
      <c r="R366" s="62"/>
    </row>
    <row r="367" ht="15.75" customHeight="1">
      <c r="A367" s="438"/>
      <c r="B367" s="430"/>
      <c r="C367" s="275"/>
      <c r="D367" s="439"/>
      <c r="E367" s="254"/>
      <c r="F367" s="440"/>
      <c r="G367" s="441"/>
      <c r="H367" s="255"/>
      <c r="I367" s="442"/>
      <c r="J367" s="443"/>
      <c r="K367" s="443"/>
      <c r="R367" s="62"/>
    </row>
    <row r="368" ht="15.75" customHeight="1">
      <c r="A368" s="438"/>
      <c r="B368" s="430"/>
      <c r="C368" s="275"/>
      <c r="D368" s="439"/>
      <c r="E368" s="254"/>
      <c r="F368" s="440"/>
      <c r="G368" s="441"/>
      <c r="H368" s="255"/>
      <c r="I368" s="442"/>
      <c r="J368" s="443"/>
      <c r="K368" s="443"/>
      <c r="R368" s="62"/>
    </row>
    <row r="369" ht="15.75" customHeight="1">
      <c r="A369" s="438"/>
      <c r="B369" s="430"/>
      <c r="C369" s="275"/>
      <c r="D369" s="439"/>
      <c r="E369" s="254"/>
      <c r="F369" s="440"/>
      <c r="G369" s="441"/>
      <c r="H369" s="255"/>
      <c r="I369" s="442"/>
      <c r="J369" s="443"/>
      <c r="K369" s="443"/>
      <c r="R369" s="62"/>
    </row>
    <row r="370" ht="15.75" customHeight="1">
      <c r="A370" s="438"/>
      <c r="B370" s="430"/>
      <c r="C370" s="275"/>
      <c r="D370" s="439"/>
      <c r="E370" s="254"/>
      <c r="F370" s="440"/>
      <c r="G370" s="441"/>
      <c r="H370" s="255"/>
      <c r="I370" s="442"/>
      <c r="J370" s="443"/>
      <c r="K370" s="443"/>
      <c r="R370" s="62"/>
    </row>
    <row r="371" ht="15.75" customHeight="1">
      <c r="A371" s="438"/>
      <c r="B371" s="430"/>
      <c r="C371" s="275"/>
      <c r="D371" s="439"/>
      <c r="E371" s="254"/>
      <c r="F371" s="440"/>
      <c r="G371" s="441"/>
      <c r="H371" s="255"/>
      <c r="I371" s="442"/>
      <c r="J371" s="443"/>
      <c r="K371" s="443"/>
      <c r="R371" s="62"/>
    </row>
    <row r="372" ht="15.75" customHeight="1">
      <c r="A372" s="438"/>
      <c r="B372" s="430"/>
      <c r="C372" s="275"/>
      <c r="D372" s="439"/>
      <c r="E372" s="254"/>
      <c r="F372" s="440"/>
      <c r="G372" s="441"/>
      <c r="H372" s="255"/>
      <c r="I372" s="442"/>
      <c r="J372" s="443"/>
      <c r="K372" s="443"/>
      <c r="R372" s="62"/>
    </row>
    <row r="373" ht="15.75" customHeight="1">
      <c r="A373" s="438"/>
      <c r="B373" s="430"/>
      <c r="C373" s="275"/>
      <c r="D373" s="439"/>
      <c r="E373" s="254"/>
      <c r="F373" s="440"/>
      <c r="G373" s="441"/>
      <c r="H373" s="255"/>
      <c r="I373" s="442"/>
      <c r="J373" s="443"/>
      <c r="K373" s="443"/>
      <c r="R373" s="62"/>
    </row>
    <row r="374" ht="15.75" customHeight="1">
      <c r="A374" s="438"/>
      <c r="B374" s="430"/>
      <c r="C374" s="275"/>
      <c r="D374" s="439"/>
      <c r="E374" s="254"/>
      <c r="F374" s="440"/>
      <c r="G374" s="441"/>
      <c r="H374" s="255"/>
      <c r="I374" s="442"/>
      <c r="J374" s="443"/>
      <c r="K374" s="443"/>
      <c r="R374" s="62"/>
    </row>
    <row r="375" ht="15.75" customHeight="1">
      <c r="A375" s="438"/>
      <c r="B375" s="430"/>
      <c r="C375" s="275"/>
      <c r="D375" s="439"/>
      <c r="E375" s="254"/>
      <c r="F375" s="440"/>
      <c r="G375" s="441"/>
      <c r="H375" s="255"/>
      <c r="I375" s="442"/>
      <c r="J375" s="443"/>
      <c r="K375" s="443"/>
      <c r="R375" s="62"/>
    </row>
    <row r="376" ht="15.75" customHeight="1">
      <c r="A376" s="438"/>
      <c r="B376" s="430"/>
      <c r="C376" s="275"/>
      <c r="D376" s="439"/>
      <c r="E376" s="254"/>
      <c r="F376" s="440"/>
      <c r="G376" s="441"/>
      <c r="H376" s="255"/>
      <c r="I376" s="442"/>
      <c r="J376" s="443"/>
      <c r="K376" s="443"/>
      <c r="R376" s="62"/>
    </row>
    <row r="377" ht="15.75" customHeight="1">
      <c r="A377" s="438"/>
      <c r="B377" s="430"/>
      <c r="C377" s="275"/>
      <c r="D377" s="439"/>
      <c r="E377" s="254"/>
      <c r="F377" s="440"/>
      <c r="G377" s="441"/>
      <c r="H377" s="255"/>
      <c r="I377" s="442"/>
      <c r="J377" s="443"/>
      <c r="K377" s="443"/>
      <c r="R377" s="62"/>
    </row>
    <row r="378" ht="15.75" customHeight="1">
      <c r="A378" s="438"/>
      <c r="B378" s="430"/>
      <c r="C378" s="275"/>
      <c r="D378" s="439"/>
      <c r="E378" s="254"/>
      <c r="F378" s="440"/>
      <c r="G378" s="441"/>
      <c r="H378" s="255"/>
      <c r="I378" s="442"/>
      <c r="J378" s="443"/>
      <c r="K378" s="443"/>
      <c r="R378" s="62"/>
    </row>
    <row r="379" ht="15.75" customHeight="1">
      <c r="A379" s="438"/>
      <c r="B379" s="430"/>
      <c r="C379" s="275"/>
      <c r="D379" s="439"/>
      <c r="E379" s="254"/>
      <c r="F379" s="440"/>
      <c r="G379" s="441"/>
      <c r="H379" s="255"/>
      <c r="I379" s="442"/>
      <c r="J379" s="443"/>
      <c r="K379" s="443"/>
      <c r="R379" s="62"/>
    </row>
    <row r="380" ht="15.75" customHeight="1">
      <c r="A380" s="438"/>
      <c r="B380" s="430"/>
      <c r="C380" s="275"/>
      <c r="D380" s="439"/>
      <c r="E380" s="254"/>
      <c r="F380" s="440"/>
      <c r="G380" s="441"/>
      <c r="H380" s="255"/>
      <c r="I380" s="442"/>
      <c r="J380" s="443"/>
      <c r="K380" s="443"/>
      <c r="R380" s="62"/>
    </row>
    <row r="381" ht="15.75" customHeight="1">
      <c r="A381" s="438"/>
      <c r="B381" s="430"/>
      <c r="C381" s="275"/>
      <c r="D381" s="439"/>
      <c r="E381" s="254"/>
      <c r="F381" s="440"/>
      <c r="G381" s="441"/>
      <c r="H381" s="255"/>
      <c r="I381" s="442"/>
      <c r="J381" s="443"/>
      <c r="K381" s="443"/>
      <c r="R381" s="62"/>
    </row>
    <row r="382" ht="15.75" customHeight="1">
      <c r="A382" s="438"/>
      <c r="B382" s="430"/>
      <c r="C382" s="275"/>
      <c r="D382" s="439"/>
      <c r="E382" s="254"/>
      <c r="F382" s="440"/>
      <c r="G382" s="441"/>
      <c r="H382" s="255"/>
      <c r="I382" s="442"/>
      <c r="J382" s="443"/>
      <c r="K382" s="443"/>
      <c r="R382" s="62"/>
    </row>
    <row r="383" ht="15.75" customHeight="1">
      <c r="A383" s="438"/>
      <c r="B383" s="430"/>
      <c r="C383" s="275"/>
      <c r="D383" s="439"/>
      <c r="E383" s="254"/>
      <c r="F383" s="440"/>
      <c r="G383" s="441"/>
      <c r="H383" s="255"/>
      <c r="I383" s="442"/>
      <c r="J383" s="443"/>
      <c r="K383" s="443"/>
      <c r="R383" s="62"/>
    </row>
    <row r="384" ht="15.75" customHeight="1">
      <c r="A384" s="438"/>
      <c r="B384" s="430"/>
      <c r="C384" s="275"/>
      <c r="D384" s="439"/>
      <c r="E384" s="254"/>
      <c r="F384" s="440"/>
      <c r="G384" s="441"/>
      <c r="H384" s="255"/>
      <c r="I384" s="442"/>
      <c r="J384" s="443"/>
      <c r="K384" s="443"/>
      <c r="R384" s="62"/>
    </row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9">
    <mergeCell ref="A1:K1"/>
    <mergeCell ref="A2:K2"/>
    <mergeCell ref="N4:Q4"/>
    <mergeCell ref="N5:Q5"/>
    <mergeCell ref="A19:K19"/>
    <mergeCell ref="N22:Q22"/>
    <mergeCell ref="N23:Q23"/>
    <mergeCell ref="A20:K20"/>
    <mergeCell ref="A37:K37"/>
    <mergeCell ref="A38:K38"/>
    <mergeCell ref="N40:Q40"/>
    <mergeCell ref="N41:Q41"/>
    <mergeCell ref="A55:K55"/>
    <mergeCell ref="A56:K56"/>
    <mergeCell ref="N58:Q58"/>
    <mergeCell ref="N59:Q59"/>
    <mergeCell ref="A73:K73"/>
    <mergeCell ref="A74:K74"/>
    <mergeCell ref="A91:K91"/>
    <mergeCell ref="N94:Q94"/>
    <mergeCell ref="N95:Q95"/>
    <mergeCell ref="A92:K92"/>
    <mergeCell ref="A109:K109"/>
    <mergeCell ref="A110:K110"/>
    <mergeCell ref="N112:Q112"/>
    <mergeCell ref="N113:Q113"/>
    <mergeCell ref="A127:K127"/>
    <mergeCell ref="A128:K128"/>
    <mergeCell ref="A164:K164"/>
    <mergeCell ref="N166:Q166"/>
    <mergeCell ref="N167:Q167"/>
    <mergeCell ref="N182:Q182"/>
    <mergeCell ref="N130:Q130"/>
    <mergeCell ref="N131:Q131"/>
    <mergeCell ref="A145:K145"/>
    <mergeCell ref="A146:K146"/>
    <mergeCell ref="N148:Q148"/>
    <mergeCell ref="N149:Q149"/>
    <mergeCell ref="A163:K163"/>
  </mergeCells>
  <dataValidations>
    <dataValidation type="list" allowBlank="1" showErrorMessage="1" sqref="I4:I15 I22:I33 I40:I51 I58:I69 I76:I87 I94:I105 I112:I123 I130:I141 I148:I159 I166:I177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1.13"/>
    <col customWidth="1" min="3" max="3" width="13.88"/>
    <col customWidth="1" min="4" max="4" width="11.88"/>
    <col customWidth="1" min="5" max="5" width="16.0"/>
    <col customWidth="1" min="6" max="6" width="17.0"/>
    <col customWidth="1" min="7" max="7" width="42.63"/>
    <col customWidth="1" min="8" max="8" width="16.13"/>
    <col customWidth="1" min="9" max="9" width="20.38"/>
    <col customWidth="1" min="10" max="10" width="16.5"/>
    <col customWidth="1" min="11" max="11" width="14.88"/>
    <col customWidth="1" hidden="1" min="12" max="12" width="12.13"/>
    <col customWidth="1" min="13" max="13" width="3.5"/>
    <col customWidth="1" min="14" max="14" width="10.25"/>
    <col customWidth="1" min="18" max="18" width="10.5"/>
  </cols>
  <sheetData>
    <row r="1" ht="15.75" customHeight="1">
      <c r="A1" s="20" t="s">
        <v>18</v>
      </c>
      <c r="B1" s="2"/>
      <c r="C1" s="2"/>
      <c r="D1" s="2"/>
      <c r="E1" s="2"/>
      <c r="F1" s="2"/>
      <c r="G1" s="2"/>
      <c r="H1" s="2"/>
      <c r="I1" s="2"/>
      <c r="J1" s="2"/>
      <c r="K1" s="3"/>
      <c r="R1" s="62"/>
    </row>
    <row r="2" ht="15.75" customHeight="1">
      <c r="A2" s="444" t="s">
        <v>3944</v>
      </c>
      <c r="B2" s="2"/>
      <c r="C2" s="2"/>
      <c r="D2" s="2"/>
      <c r="E2" s="2"/>
      <c r="F2" s="2"/>
      <c r="G2" s="2"/>
      <c r="H2" s="2"/>
      <c r="I2" s="2"/>
      <c r="J2" s="2"/>
      <c r="K2" s="3"/>
      <c r="R2" s="62"/>
    </row>
    <row r="3" ht="15.75" customHeight="1">
      <c r="A3" s="22"/>
      <c r="B3" s="23" t="s">
        <v>3</v>
      </c>
      <c r="C3" s="24" t="s">
        <v>2</v>
      </c>
      <c r="D3" s="25" t="s">
        <v>5</v>
      </c>
      <c r="E3" s="26" t="s">
        <v>19</v>
      </c>
      <c r="F3" s="25" t="s">
        <v>6</v>
      </c>
      <c r="G3" s="234" t="s">
        <v>7</v>
      </c>
      <c r="H3" s="27" t="s">
        <v>8</v>
      </c>
      <c r="I3" s="28" t="s">
        <v>20</v>
      </c>
      <c r="J3" s="25" t="s">
        <v>21</v>
      </c>
      <c r="K3" s="25" t="s">
        <v>22</v>
      </c>
      <c r="R3" s="62"/>
    </row>
    <row r="4" ht="15.75" customHeight="1">
      <c r="A4" s="11" t="s">
        <v>10</v>
      </c>
      <c r="B4" s="205" t="s">
        <v>2081</v>
      </c>
      <c r="C4" s="69" t="str">
        <f t="shared" ref="C4:C15" si="1">PROPER(TEXT(DATE(MID($A$2,7,4),MID($A$2,4,2),LEFT($A$2,2)),"dddd"))</f>
        <v>Terça-Feira</v>
      </c>
      <c r="D4" s="445" t="str">
        <f>IF(C4&lt;&gt;"Quarta-Feira","13:00","08:00")</f>
        <v>13:00</v>
      </c>
      <c r="E4" s="219"/>
      <c r="F4" s="192"/>
      <c r="G4" s="54"/>
      <c r="H4" s="193"/>
      <c r="I4" s="18"/>
      <c r="J4" s="97"/>
      <c r="K4" s="97"/>
      <c r="N4" s="237" t="s">
        <v>386</v>
      </c>
      <c r="O4" s="95"/>
      <c r="P4" s="95"/>
      <c r="Q4" s="95"/>
      <c r="R4" s="62"/>
    </row>
    <row r="5" ht="15.75" customHeight="1">
      <c r="A5" s="11" t="s">
        <v>11</v>
      </c>
      <c r="B5" s="205" t="s">
        <v>2083</v>
      </c>
      <c r="C5" s="69" t="str">
        <f t="shared" si="1"/>
        <v>Terça-Feira</v>
      </c>
      <c r="D5" s="445" t="str">
        <f>IF(C5&lt;&gt;"Quarta-Feira","13:20","08:20")</f>
        <v>13:20</v>
      </c>
      <c r="E5" s="253"/>
      <c r="F5" s="206"/>
      <c r="G5" s="125"/>
      <c r="H5" s="153"/>
      <c r="I5" s="18"/>
      <c r="J5" s="37"/>
      <c r="K5" s="37"/>
      <c r="N5" s="239" t="s">
        <v>2085</v>
      </c>
      <c r="O5" s="2"/>
      <c r="P5" s="2"/>
      <c r="Q5" s="2"/>
      <c r="R5" s="62"/>
    </row>
    <row r="6" ht="20.25" customHeight="1">
      <c r="A6" s="11" t="s">
        <v>12</v>
      </c>
      <c r="B6" s="205" t="s">
        <v>2086</v>
      </c>
      <c r="C6" s="69" t="str">
        <f t="shared" si="1"/>
        <v>Terça-Feira</v>
      </c>
      <c r="D6" s="445" t="str">
        <f>IF(C6&lt;&gt;"Quarta-Feira","13:40","08:40")</f>
        <v>13:40</v>
      </c>
      <c r="E6" s="253"/>
      <c r="F6" s="206"/>
      <c r="G6" s="125"/>
      <c r="H6" s="153"/>
      <c r="I6" s="18"/>
      <c r="J6" s="37"/>
      <c r="K6" s="97"/>
      <c r="N6" s="240" t="s">
        <v>41</v>
      </c>
      <c r="O6" s="241" t="s">
        <v>194</v>
      </c>
      <c r="P6" s="241" t="s">
        <v>180</v>
      </c>
      <c r="Q6" s="242" t="s">
        <v>2087</v>
      </c>
      <c r="R6" s="62"/>
    </row>
    <row r="7" ht="15.75" customHeight="1">
      <c r="A7" s="11" t="s">
        <v>13</v>
      </c>
      <c r="B7" s="205" t="s">
        <v>2088</v>
      </c>
      <c r="C7" s="69" t="str">
        <f t="shared" si="1"/>
        <v>Terça-Feira</v>
      </c>
      <c r="D7" s="445" t="str">
        <f>IF(C7&lt;&gt;"Quarta-Feira","14:00","09:00")</f>
        <v>14:00</v>
      </c>
      <c r="E7" s="214"/>
      <c r="F7" s="79"/>
      <c r="G7" s="74"/>
      <c r="H7" s="78"/>
      <c r="I7" s="18"/>
      <c r="J7" s="266"/>
      <c r="K7" s="266"/>
      <c r="N7" s="244">
        <f t="shared" ref="N7:P7" si="2">COUNTIFS($I$4:$I$15,N6)</f>
        <v>0</v>
      </c>
      <c r="O7" s="244">
        <f t="shared" si="2"/>
        <v>0</v>
      </c>
      <c r="P7" s="244">
        <f t="shared" si="2"/>
        <v>0</v>
      </c>
      <c r="Q7" s="244">
        <f>COUNTIF(I4:I15,Q6)</f>
        <v>0</v>
      </c>
      <c r="R7" s="62"/>
    </row>
    <row r="8" ht="15.75" customHeight="1">
      <c r="A8" s="11" t="s">
        <v>14</v>
      </c>
      <c r="B8" s="205" t="s">
        <v>2081</v>
      </c>
      <c r="C8" s="69" t="str">
        <f t="shared" si="1"/>
        <v>Terça-Feira</v>
      </c>
      <c r="D8" s="445" t="str">
        <f>IF(C8&lt;&gt;"Quarta-Feira","14:20","09:20")</f>
        <v>14:20</v>
      </c>
      <c r="E8" s="267"/>
      <c r="F8" s="457"/>
      <c r="G8" s="268"/>
      <c r="H8" s="269"/>
      <c r="I8" s="18"/>
      <c r="J8" s="128"/>
      <c r="K8" s="128"/>
      <c r="R8" s="62"/>
    </row>
    <row r="9" ht="15.75" customHeight="1">
      <c r="A9" s="11" t="s">
        <v>15</v>
      </c>
      <c r="B9" s="205" t="s">
        <v>2088</v>
      </c>
      <c r="C9" s="69" t="str">
        <f t="shared" si="1"/>
        <v>Terça-Feira</v>
      </c>
      <c r="D9" s="445" t="str">
        <f>IF(C9&lt;&gt;"Quarta-Feira","14:40","09:40")</f>
        <v>14:40</v>
      </c>
      <c r="E9" s="215"/>
      <c r="F9" s="170"/>
      <c r="G9" s="186"/>
      <c r="H9" s="72"/>
      <c r="I9" s="18"/>
      <c r="J9" s="37"/>
      <c r="K9" s="37"/>
      <c r="R9" s="62"/>
    </row>
    <row r="10" ht="15.75" customHeight="1">
      <c r="A10" s="11" t="s">
        <v>16</v>
      </c>
      <c r="B10" s="205" t="s">
        <v>2092</v>
      </c>
      <c r="C10" s="69" t="str">
        <f t="shared" si="1"/>
        <v>Terça-Feira</v>
      </c>
      <c r="D10" s="445" t="str">
        <f>IF(C10&lt;&gt;"Quarta-Feira","15:00","10:00")</f>
        <v>15:00</v>
      </c>
      <c r="E10" s="214"/>
      <c r="F10" s="79"/>
      <c r="G10" s="74"/>
      <c r="H10" s="78"/>
      <c r="I10" s="18"/>
      <c r="J10" s="266"/>
      <c r="K10" s="266"/>
      <c r="R10" s="62"/>
    </row>
    <row r="11" ht="15.75" customHeight="1">
      <c r="A11" s="11" t="s">
        <v>17</v>
      </c>
      <c r="B11" s="205" t="s">
        <v>2093</v>
      </c>
      <c r="C11" s="69" t="str">
        <f t="shared" si="1"/>
        <v>Terça-Feira</v>
      </c>
      <c r="D11" s="445" t="str">
        <f>IF(C11&lt;&gt;"Quarta-Feira","15:20","10:20")</f>
        <v>15:20</v>
      </c>
      <c r="E11" s="214"/>
      <c r="F11" s="79"/>
      <c r="G11" s="74"/>
      <c r="H11" s="78"/>
      <c r="I11" s="18"/>
      <c r="J11" s="271"/>
      <c r="K11" s="37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</row>
    <row r="12" ht="15.75" customHeight="1">
      <c r="A12" s="11" t="s">
        <v>85</v>
      </c>
      <c r="B12" s="205" t="s">
        <v>2094</v>
      </c>
      <c r="C12" s="69" t="str">
        <f t="shared" si="1"/>
        <v>Terça-Feira</v>
      </c>
      <c r="D12" s="445" t="str">
        <f>IF(C12&lt;&gt;"Quarta-Feira","15:40","10:40")</f>
        <v>15:40</v>
      </c>
      <c r="E12" s="247"/>
      <c r="F12" s="146"/>
      <c r="G12" s="74"/>
      <c r="H12" s="86"/>
      <c r="I12" s="18"/>
      <c r="J12" s="37"/>
      <c r="K12" s="37"/>
      <c r="R12" s="62"/>
    </row>
    <row r="13" ht="15.75" customHeight="1">
      <c r="A13" s="11" t="s">
        <v>87</v>
      </c>
      <c r="B13" s="205" t="s">
        <v>2095</v>
      </c>
      <c r="C13" s="69" t="str">
        <f t="shared" si="1"/>
        <v>Terça-Feira</v>
      </c>
      <c r="D13" s="445" t="str">
        <f>IF(C13&lt;&gt;"Quarta-Feira","16:00","11:00")</f>
        <v>16:00</v>
      </c>
      <c r="E13" s="218"/>
      <c r="F13" s="146"/>
      <c r="G13" s="74"/>
      <c r="H13" s="86"/>
      <c r="I13" s="18"/>
      <c r="J13" s="37"/>
      <c r="K13" s="37"/>
      <c r="R13" s="62"/>
    </row>
    <row r="14" ht="15.75" customHeight="1">
      <c r="A14" s="11" t="s">
        <v>90</v>
      </c>
      <c r="B14" s="205" t="s">
        <v>2097</v>
      </c>
      <c r="C14" s="69" t="str">
        <f t="shared" si="1"/>
        <v>Terça-Feira</v>
      </c>
      <c r="D14" s="445" t="str">
        <f>IF(C14&lt;&gt;"Quarta-Feira","16:20","11:20")</f>
        <v>16:20</v>
      </c>
      <c r="E14" s="258"/>
      <c r="F14" s="127"/>
      <c r="G14" s="74"/>
      <c r="H14" s="153"/>
      <c r="I14" s="18"/>
      <c r="J14" s="37"/>
      <c r="K14" s="37"/>
      <c r="R14" s="62"/>
    </row>
    <row r="15" ht="15.75" customHeight="1">
      <c r="A15" s="11" t="s">
        <v>93</v>
      </c>
      <c r="B15" s="205" t="s">
        <v>2095</v>
      </c>
      <c r="C15" s="69" t="str">
        <f t="shared" si="1"/>
        <v>Terça-Feira</v>
      </c>
      <c r="D15" s="445" t="str">
        <f>IF(C15&lt;&gt;"Quarta-Feira","16:40","11:40")</f>
        <v>16:40</v>
      </c>
      <c r="E15" s="258"/>
      <c r="F15" s="127"/>
      <c r="G15" s="74"/>
      <c r="H15" s="153"/>
      <c r="I15" s="18"/>
      <c r="J15" s="37"/>
      <c r="K15" s="37"/>
      <c r="R15" s="62"/>
    </row>
    <row r="16" ht="15.75" customHeight="1">
      <c r="E16" s="231"/>
      <c r="J16" s="62"/>
      <c r="K16" s="62"/>
      <c r="R16" s="62"/>
    </row>
    <row r="17" ht="15.75" customHeight="1">
      <c r="E17" s="231"/>
      <c r="J17" s="62"/>
      <c r="K17" s="62"/>
      <c r="R17" s="62"/>
    </row>
    <row r="18" ht="15.0" customHeight="1">
      <c r="E18" s="231"/>
      <c r="J18" s="62"/>
      <c r="K18" s="62"/>
      <c r="R18" s="62"/>
    </row>
    <row r="19" ht="15.75" customHeight="1">
      <c r="A19" s="20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3"/>
      <c r="R19" s="62"/>
    </row>
    <row r="20" ht="15.75" customHeight="1">
      <c r="A20" s="21" t="str">
        <f>TEXT(DATE(VALUE(MID(A2,7,4)),VALUE(MID(A2,4,2)),VALUE(LEFT(A2,2)))+2,"dd/mm/yyyy")&amp;" 13h às 17h"</f>
        <v>06/08/2026 13h às 17h</v>
      </c>
      <c r="B20" s="2"/>
      <c r="C20" s="2"/>
      <c r="D20" s="2"/>
      <c r="E20" s="2"/>
      <c r="F20" s="2"/>
      <c r="G20" s="2"/>
      <c r="H20" s="2"/>
      <c r="I20" s="2"/>
      <c r="J20" s="2"/>
      <c r="K20" s="3"/>
      <c r="R20" s="62"/>
    </row>
    <row r="21" ht="15.75" customHeight="1">
      <c r="A21" s="22"/>
      <c r="B21" s="23" t="s">
        <v>3</v>
      </c>
      <c r="C21" s="24" t="s">
        <v>2</v>
      </c>
      <c r="D21" s="25" t="s">
        <v>5</v>
      </c>
      <c r="E21" s="26" t="s">
        <v>19</v>
      </c>
      <c r="F21" s="25" t="s">
        <v>6</v>
      </c>
      <c r="G21" s="234" t="s">
        <v>7</v>
      </c>
      <c r="H21" s="27" t="s">
        <v>8</v>
      </c>
      <c r="I21" s="28" t="s">
        <v>20</v>
      </c>
      <c r="J21" s="25" t="s">
        <v>21</v>
      </c>
      <c r="K21" s="25" t="s">
        <v>22</v>
      </c>
      <c r="R21" s="62"/>
    </row>
    <row r="22" ht="15.75" customHeight="1">
      <c r="A22" s="11" t="s">
        <v>10</v>
      </c>
      <c r="B22" s="205" t="s">
        <v>1789</v>
      </c>
      <c r="C22" s="69" t="str">
        <f t="shared" ref="C22:C33" si="3">PROPER(TEXT(DATE(MID($A$20,7,4),MID($A$20,4,2),LEFT($A$20,2)),"dddd"))</f>
        <v>Quinta-Feira</v>
      </c>
      <c r="D22" s="445" t="str">
        <f>IF(C22&lt;&gt;"Quarta-Feira","13:00","08:00")</f>
        <v>13:00</v>
      </c>
      <c r="E22" s="253"/>
      <c r="F22" s="127"/>
      <c r="G22" s="148"/>
      <c r="H22" s="153"/>
      <c r="I22" s="18"/>
      <c r="J22" s="127"/>
      <c r="K22" s="127"/>
      <c r="L22" s="197" t="s">
        <v>520</v>
      </c>
      <c r="N22" s="237" t="s">
        <v>386</v>
      </c>
      <c r="O22" s="95"/>
      <c r="P22" s="95"/>
      <c r="Q22" s="95"/>
      <c r="R22" s="62"/>
    </row>
    <row r="23" ht="15.75" customHeight="1">
      <c r="A23" s="11" t="s">
        <v>11</v>
      </c>
      <c r="B23" s="205" t="s">
        <v>1713</v>
      </c>
      <c r="C23" s="69" t="str">
        <f t="shared" si="3"/>
        <v>Quinta-Feira</v>
      </c>
      <c r="D23" s="445" t="str">
        <f>IF(C23&lt;&gt;"Quarta-Feira","13:20","08:20")</f>
        <v>13:20</v>
      </c>
      <c r="E23" s="215"/>
      <c r="F23" s="127"/>
      <c r="G23" s="148"/>
      <c r="H23" s="153"/>
      <c r="I23" s="18"/>
      <c r="J23" s="127"/>
      <c r="K23" s="127"/>
      <c r="N23" s="239" t="s">
        <v>2085</v>
      </c>
      <c r="O23" s="2"/>
      <c r="P23" s="2"/>
      <c r="Q23" s="2"/>
      <c r="R23" s="62"/>
    </row>
    <row r="24" ht="15.75" customHeight="1">
      <c r="A24" s="11" t="s">
        <v>12</v>
      </c>
      <c r="B24" s="205" t="s">
        <v>1780</v>
      </c>
      <c r="C24" s="69" t="str">
        <f t="shared" si="3"/>
        <v>Quinta-Feira</v>
      </c>
      <c r="D24" s="445" t="str">
        <f>IF(C24&lt;&gt;"Quarta-Feira","13:40","08:40")</f>
        <v>13:40</v>
      </c>
      <c r="E24" s="215"/>
      <c r="F24" s="127"/>
      <c r="G24" s="148"/>
      <c r="H24" s="153"/>
      <c r="I24" s="18"/>
      <c r="J24" s="127"/>
      <c r="K24" s="127"/>
      <c r="L24" s="197" t="s">
        <v>520</v>
      </c>
      <c r="N24" s="240" t="s">
        <v>41</v>
      </c>
      <c r="O24" s="241" t="s">
        <v>194</v>
      </c>
      <c r="P24" s="241" t="s">
        <v>180</v>
      </c>
      <c r="Q24" s="242" t="s">
        <v>2087</v>
      </c>
      <c r="R24" s="62"/>
    </row>
    <row r="25" ht="15.75" customHeight="1">
      <c r="A25" s="11" t="s">
        <v>13</v>
      </c>
      <c r="B25" s="205" t="s">
        <v>1720</v>
      </c>
      <c r="C25" s="69" t="str">
        <f t="shared" si="3"/>
        <v>Quinta-Feira</v>
      </c>
      <c r="D25" s="445" t="str">
        <f>IF(C25&lt;&gt;"Quarta-Feira","14:00","09:00")</f>
        <v>14:00</v>
      </c>
      <c r="E25" s="218"/>
      <c r="F25" s="127"/>
      <c r="G25" s="148"/>
      <c r="H25" s="153"/>
      <c r="I25" s="18"/>
      <c r="J25" s="127"/>
      <c r="K25" s="127"/>
      <c r="L25" s="197" t="s">
        <v>520</v>
      </c>
      <c r="N25" s="244">
        <f t="shared" ref="N25:Q25" si="4">COUNTIFS($I$22:$I$33,N24)</f>
        <v>0</v>
      </c>
      <c r="O25" s="244">
        <f t="shared" si="4"/>
        <v>0</v>
      </c>
      <c r="P25" s="244">
        <f t="shared" si="4"/>
        <v>0</v>
      </c>
      <c r="Q25" s="244">
        <f t="shared" si="4"/>
        <v>0</v>
      </c>
      <c r="R25" s="62"/>
    </row>
    <row r="26" ht="18.0" customHeight="1">
      <c r="A26" s="11" t="s">
        <v>14</v>
      </c>
      <c r="B26" s="205" t="s">
        <v>1795</v>
      </c>
      <c r="C26" s="69" t="str">
        <f t="shared" si="3"/>
        <v>Quinta-Feira</v>
      </c>
      <c r="D26" s="445" t="str">
        <f>IF(C26&lt;&gt;"Quarta-Feira","14:20","09:20")</f>
        <v>14:20</v>
      </c>
      <c r="E26" s="368"/>
      <c r="F26" s="127"/>
      <c r="G26" s="148"/>
      <c r="H26" s="153"/>
      <c r="I26" s="18"/>
      <c r="J26" s="127"/>
      <c r="K26" s="127"/>
      <c r="L26" s="197" t="s">
        <v>520</v>
      </c>
      <c r="R26" s="62"/>
    </row>
    <row r="27" ht="15.75" customHeight="1">
      <c r="A27" s="11" t="s">
        <v>15</v>
      </c>
      <c r="B27" s="205" t="s">
        <v>1789</v>
      </c>
      <c r="C27" s="69" t="str">
        <f t="shared" si="3"/>
        <v>Quinta-Feira</v>
      </c>
      <c r="D27" s="445" t="str">
        <f>IF(C27&lt;&gt;"Quarta-Feira","14:40","09:40")</f>
        <v>14:40</v>
      </c>
      <c r="E27" s="368"/>
      <c r="F27" s="127"/>
      <c r="G27" s="148"/>
      <c r="H27" s="153"/>
      <c r="I27" s="18"/>
      <c r="J27" s="127"/>
      <c r="K27" s="127"/>
      <c r="L27" s="197" t="s">
        <v>520</v>
      </c>
      <c r="R27" s="62"/>
    </row>
    <row r="28" ht="15.75" customHeight="1">
      <c r="A28" s="11" t="s">
        <v>16</v>
      </c>
      <c r="B28" s="205" t="s">
        <v>2652</v>
      </c>
      <c r="C28" s="69" t="str">
        <f t="shared" si="3"/>
        <v>Quinta-Feira</v>
      </c>
      <c r="D28" s="445" t="str">
        <f>IF(C28&lt;&gt;"Quarta-Feira","15:00","10:00")</f>
        <v>15:00</v>
      </c>
      <c r="E28" s="218"/>
      <c r="F28" s="149"/>
      <c r="G28" s="148"/>
      <c r="H28" s="150"/>
      <c r="I28" s="18"/>
      <c r="J28" s="266"/>
      <c r="K28" s="127"/>
      <c r="L28" s="197" t="s">
        <v>520</v>
      </c>
      <c r="R28" s="62"/>
    </row>
    <row r="29" ht="15.75" customHeight="1">
      <c r="A29" s="11" t="s">
        <v>17</v>
      </c>
      <c r="B29" s="205" t="s">
        <v>2655</v>
      </c>
      <c r="C29" s="69" t="str">
        <f t="shared" si="3"/>
        <v>Quinta-Feira</v>
      </c>
      <c r="D29" s="445" t="str">
        <f>IF(C29&lt;&gt;"Quarta-Feira","15:20","10:20")</f>
        <v>15:20</v>
      </c>
      <c r="E29" s="215"/>
      <c r="F29" s="127"/>
      <c r="G29" s="148"/>
      <c r="H29" s="153"/>
      <c r="I29" s="18"/>
      <c r="J29" s="127"/>
      <c r="K29" s="127"/>
      <c r="L29" s="197" t="s">
        <v>520</v>
      </c>
      <c r="R29" s="62"/>
    </row>
    <row r="30" ht="15.75" customHeight="1">
      <c r="A30" s="11" t="s">
        <v>85</v>
      </c>
      <c r="B30" s="205" t="s">
        <v>2658</v>
      </c>
      <c r="C30" s="69" t="str">
        <f t="shared" si="3"/>
        <v>Quinta-Feira</v>
      </c>
      <c r="D30" s="445" t="str">
        <f>IF(C30&lt;&gt;"Quarta-Feira","15:40","10:40")</f>
        <v>15:40</v>
      </c>
      <c r="E30" s="258"/>
      <c r="F30" s="127"/>
      <c r="G30" s="148"/>
      <c r="H30" s="153"/>
      <c r="I30" s="18"/>
      <c r="J30" s="127"/>
      <c r="K30" s="127"/>
      <c r="L30" s="197" t="s">
        <v>520</v>
      </c>
      <c r="R30" s="62"/>
    </row>
    <row r="31" ht="15.75" customHeight="1">
      <c r="A31" s="11" t="s">
        <v>87</v>
      </c>
      <c r="B31" s="205" t="s">
        <v>1734</v>
      </c>
      <c r="C31" s="69" t="str">
        <f t="shared" si="3"/>
        <v>Quinta-Feira</v>
      </c>
      <c r="D31" s="445" t="str">
        <f>IF(C31&lt;&gt;"Quarta-Feira","16:00","11:00")</f>
        <v>16:00</v>
      </c>
      <c r="E31" s="218"/>
      <c r="F31" s="127"/>
      <c r="G31" s="148"/>
      <c r="H31" s="153"/>
      <c r="I31" s="18"/>
      <c r="J31" s="127"/>
      <c r="K31" s="127"/>
      <c r="L31" s="197" t="s">
        <v>520</v>
      </c>
      <c r="R31" s="62"/>
    </row>
    <row r="32" ht="15.75" customHeight="1">
      <c r="A32" s="11" t="s">
        <v>90</v>
      </c>
      <c r="B32" s="205" t="s">
        <v>2658</v>
      </c>
      <c r="C32" s="69" t="str">
        <f t="shared" si="3"/>
        <v>Quinta-Feira</v>
      </c>
      <c r="D32" s="445" t="str">
        <f>IF(C32&lt;&gt;"Quarta-Feira","16:20","11:20")</f>
        <v>16:20</v>
      </c>
      <c r="E32" s="258"/>
      <c r="F32" s="127"/>
      <c r="G32" s="148"/>
      <c r="H32" s="153"/>
      <c r="I32" s="18"/>
      <c r="J32" s="127"/>
      <c r="K32" s="127"/>
      <c r="L32" s="197" t="s">
        <v>520</v>
      </c>
      <c r="R32" s="62"/>
    </row>
    <row r="33" ht="15.75" customHeight="1">
      <c r="A33" s="11" t="s">
        <v>93</v>
      </c>
      <c r="B33" s="205" t="s">
        <v>1734</v>
      </c>
      <c r="C33" s="69" t="str">
        <f t="shared" si="3"/>
        <v>Quinta-Feira</v>
      </c>
      <c r="D33" s="445" t="str">
        <f>IF(C33&lt;&gt;"Quarta-Feira","16:40","11:40")</f>
        <v>16:40</v>
      </c>
      <c r="E33" s="258"/>
      <c r="F33" s="127"/>
      <c r="G33" s="148"/>
      <c r="H33" s="153"/>
      <c r="I33" s="18"/>
      <c r="J33" s="127"/>
      <c r="K33" s="127"/>
      <c r="R33" s="62"/>
    </row>
    <row r="34" ht="15.75" customHeight="1">
      <c r="E34" s="231"/>
      <c r="J34" s="62"/>
      <c r="K34" s="62"/>
      <c r="R34" s="62"/>
    </row>
    <row r="35" ht="15.75" customHeight="1">
      <c r="E35" s="231"/>
      <c r="J35" s="62"/>
      <c r="K35" s="62"/>
      <c r="R35" s="62"/>
    </row>
    <row r="36" ht="15.75" customHeight="1">
      <c r="E36" s="231"/>
      <c r="J36" s="62"/>
      <c r="K36" s="62"/>
      <c r="R36" s="62"/>
    </row>
    <row r="37" ht="15.75" customHeight="1">
      <c r="A37" s="20" t="s">
        <v>18</v>
      </c>
      <c r="B37" s="2"/>
      <c r="C37" s="2"/>
      <c r="D37" s="2"/>
      <c r="E37" s="2"/>
      <c r="F37" s="2"/>
      <c r="G37" s="2"/>
      <c r="H37" s="2"/>
      <c r="I37" s="2"/>
      <c r="J37" s="2"/>
      <c r="K37" s="3"/>
      <c r="R37" s="62"/>
    </row>
    <row r="38" ht="24.75" customHeight="1">
      <c r="A38" s="21" t="str">
        <f>TEXT(DATE(VALUE(MID(A2,7,4)),VALUE(MID(A2,4,2)),VALUE(LEFT(A2,2)))+7,"dd/mm/yyyy")&amp;" 13h às 17h"</f>
        <v>11/08/2026 13h às 17h</v>
      </c>
      <c r="B38" s="2"/>
      <c r="C38" s="2"/>
      <c r="D38" s="2"/>
      <c r="E38" s="2"/>
      <c r="F38" s="2"/>
      <c r="G38" s="2"/>
      <c r="H38" s="2"/>
      <c r="I38" s="2"/>
      <c r="J38" s="2"/>
      <c r="K38" s="3"/>
      <c r="R38" s="62"/>
    </row>
    <row r="39" ht="15.75" customHeight="1">
      <c r="A39" s="22"/>
      <c r="B39" s="23" t="s">
        <v>3</v>
      </c>
      <c r="C39" s="24" t="s">
        <v>2</v>
      </c>
      <c r="D39" s="25" t="s">
        <v>5</v>
      </c>
      <c r="E39" s="26" t="s">
        <v>19</v>
      </c>
      <c r="F39" s="25" t="s">
        <v>6</v>
      </c>
      <c r="G39" s="234" t="s">
        <v>7</v>
      </c>
      <c r="H39" s="27" t="s">
        <v>8</v>
      </c>
      <c r="I39" s="28" t="s">
        <v>20</v>
      </c>
      <c r="J39" s="25" t="s">
        <v>21</v>
      </c>
      <c r="K39" s="25" t="s">
        <v>22</v>
      </c>
      <c r="R39" s="62"/>
    </row>
    <row r="40" ht="15.75" customHeight="1">
      <c r="A40" s="11" t="s">
        <v>10</v>
      </c>
      <c r="B40" s="205" t="s">
        <v>2081</v>
      </c>
      <c r="C40" s="69" t="str">
        <f t="shared" ref="C40:C51" si="5">PROPER(TEXT(DATE(MID($A$38,7,4),MID($A$38,4,2),LEFT($A$38,2)),"dddd"))</f>
        <v>Terça-Feira</v>
      </c>
      <c r="D40" s="445" t="str">
        <f>IF(C40&lt;&gt;"Quarta-Feira","13:00","08:00")</f>
        <v>13:00</v>
      </c>
      <c r="E40" s="214"/>
      <c r="F40" s="79"/>
      <c r="G40" s="74"/>
      <c r="H40" s="72"/>
      <c r="I40" s="30"/>
      <c r="J40" s="274"/>
      <c r="K40" s="274"/>
      <c r="L40" s="197" t="s">
        <v>520</v>
      </c>
      <c r="N40" s="237" t="s">
        <v>386</v>
      </c>
      <c r="O40" s="95"/>
      <c r="P40" s="95"/>
      <c r="Q40" s="95"/>
      <c r="R40" s="62"/>
    </row>
    <row r="41" ht="15.75" customHeight="1">
      <c r="A41" s="11" t="s">
        <v>11</v>
      </c>
      <c r="B41" s="205" t="s">
        <v>2083</v>
      </c>
      <c r="C41" s="69" t="str">
        <f t="shared" si="5"/>
        <v>Terça-Feira</v>
      </c>
      <c r="D41" s="445" t="str">
        <f>IF(C41&lt;&gt;"Quarta-Feira","13:20","08:20")</f>
        <v>13:20</v>
      </c>
      <c r="E41" s="214"/>
      <c r="F41" s="79"/>
      <c r="G41" s="74"/>
      <c r="H41" s="72"/>
      <c r="I41" s="30"/>
      <c r="J41" s="274"/>
      <c r="K41" s="274"/>
      <c r="N41" s="239" t="s">
        <v>2085</v>
      </c>
      <c r="O41" s="2"/>
      <c r="P41" s="2"/>
      <c r="Q41" s="2"/>
      <c r="R41" s="62"/>
    </row>
    <row r="42" ht="15.75" customHeight="1">
      <c r="A42" s="11" t="s">
        <v>12</v>
      </c>
      <c r="B42" s="205" t="s">
        <v>2086</v>
      </c>
      <c r="C42" s="69" t="str">
        <f t="shared" si="5"/>
        <v>Terça-Feira</v>
      </c>
      <c r="D42" s="445" t="str">
        <f>IF(C42&lt;&gt;"Quarta-Feira","13:40","08:40")</f>
        <v>13:40</v>
      </c>
      <c r="E42" s="214"/>
      <c r="F42" s="79"/>
      <c r="G42" s="74"/>
      <c r="H42" s="72"/>
      <c r="I42" s="30"/>
      <c r="J42" s="336"/>
      <c r="K42" s="336"/>
      <c r="L42" s="197" t="s">
        <v>520</v>
      </c>
      <c r="N42" s="240" t="s">
        <v>182</v>
      </c>
      <c r="O42" s="241" t="s">
        <v>194</v>
      </c>
      <c r="P42" s="241" t="s">
        <v>180</v>
      </c>
      <c r="Q42" s="242" t="s">
        <v>2087</v>
      </c>
      <c r="R42" s="62" t="s">
        <v>438</v>
      </c>
    </row>
    <row r="43" ht="15.75" customHeight="1">
      <c r="A43" s="11" t="s">
        <v>13</v>
      </c>
      <c r="B43" s="205" t="s">
        <v>2088</v>
      </c>
      <c r="C43" s="69" t="str">
        <f t="shared" si="5"/>
        <v>Terça-Feira</v>
      </c>
      <c r="D43" s="445" t="str">
        <f>IF(C43&lt;&gt;"Quarta-Feira","14:00","09:00")</f>
        <v>14:00</v>
      </c>
      <c r="E43" s="214"/>
      <c r="F43" s="79"/>
      <c r="G43" s="74"/>
      <c r="H43" s="72"/>
      <c r="I43" s="30"/>
      <c r="J43" s="274"/>
      <c r="K43" s="274"/>
      <c r="L43" s="197" t="s">
        <v>520</v>
      </c>
      <c r="N43" s="244">
        <f t="shared" ref="N43:Q43" si="6">COUNTIFS($I$40:$I$51,N42)</f>
        <v>0</v>
      </c>
      <c r="O43" s="244">
        <f t="shared" si="6"/>
        <v>0</v>
      </c>
      <c r="P43" s="244">
        <f t="shared" si="6"/>
        <v>0</v>
      </c>
      <c r="Q43" s="244">
        <f t="shared" si="6"/>
        <v>0</v>
      </c>
      <c r="R43" s="62">
        <f>COUNTIFS(I40:I51,R42)</f>
        <v>0</v>
      </c>
    </row>
    <row r="44" ht="15.75" customHeight="1">
      <c r="A44" s="11" t="s">
        <v>14</v>
      </c>
      <c r="B44" s="205" t="s">
        <v>2081</v>
      </c>
      <c r="C44" s="69" t="str">
        <f t="shared" si="5"/>
        <v>Terça-Feira</v>
      </c>
      <c r="D44" s="445" t="str">
        <f>IF(C44&lt;&gt;"Quarta-Feira","14:20","09:20")</f>
        <v>14:20</v>
      </c>
      <c r="E44" s="214"/>
      <c r="F44" s="79"/>
      <c r="G44" s="306"/>
      <c r="H44" s="72"/>
      <c r="I44" s="18"/>
      <c r="J44" s="274"/>
      <c r="K44" s="274"/>
      <c r="L44" s="197" t="s">
        <v>520</v>
      </c>
      <c r="R44" s="62"/>
    </row>
    <row r="45" ht="15.75" customHeight="1">
      <c r="A45" s="11" t="s">
        <v>15</v>
      </c>
      <c r="B45" s="205" t="s">
        <v>2088</v>
      </c>
      <c r="C45" s="69" t="str">
        <f t="shared" si="5"/>
        <v>Terça-Feira</v>
      </c>
      <c r="D45" s="445" t="str">
        <f>IF(C45&lt;&gt;"Quarta-Feira","14:40","09:40")</f>
        <v>14:40</v>
      </c>
      <c r="E45" s="214"/>
      <c r="F45" s="79"/>
      <c r="G45" s="74"/>
      <c r="H45" s="72"/>
      <c r="I45" s="30"/>
      <c r="J45" s="274"/>
      <c r="K45" s="274"/>
      <c r="L45" s="197" t="s">
        <v>520</v>
      </c>
      <c r="R45" s="62"/>
    </row>
    <row r="46" ht="15.75" customHeight="1">
      <c r="A46" s="11" t="s">
        <v>16</v>
      </c>
      <c r="B46" s="205" t="s">
        <v>2092</v>
      </c>
      <c r="C46" s="69" t="str">
        <f t="shared" si="5"/>
        <v>Terça-Feira</v>
      </c>
      <c r="D46" s="445" t="str">
        <f>IF(C46&lt;&gt;"Quarta-Feira","15:00","10:00")</f>
        <v>15:00</v>
      </c>
      <c r="E46" s="214"/>
      <c r="F46" s="79"/>
      <c r="G46" s="306"/>
      <c r="H46" s="72"/>
      <c r="I46" s="18"/>
      <c r="J46" s="336"/>
      <c r="K46" s="274"/>
      <c r="R46" s="62"/>
    </row>
    <row r="47" ht="15.75" customHeight="1">
      <c r="A47" s="11" t="s">
        <v>17</v>
      </c>
      <c r="B47" s="205" t="s">
        <v>2093</v>
      </c>
      <c r="C47" s="69" t="str">
        <f t="shared" si="5"/>
        <v>Terça-Feira</v>
      </c>
      <c r="D47" s="445" t="str">
        <f>IF(C47&lt;&gt;"Quarta-Feira","15:20","10:20")</f>
        <v>15:20</v>
      </c>
      <c r="E47" s="214"/>
      <c r="F47" s="79"/>
      <c r="G47" s="74"/>
      <c r="H47" s="72"/>
      <c r="I47" s="18"/>
      <c r="J47" s="336"/>
      <c r="K47" s="336"/>
      <c r="R47" s="62"/>
    </row>
    <row r="48" ht="15.75" customHeight="1">
      <c r="A48" s="11" t="s">
        <v>85</v>
      </c>
      <c r="B48" s="205" t="s">
        <v>2094</v>
      </c>
      <c r="C48" s="69" t="str">
        <f t="shared" si="5"/>
        <v>Terça-Feira</v>
      </c>
      <c r="D48" s="445" t="str">
        <f>IF(C48&lt;&gt;"Quarta-Feira","15:40","10:40")</f>
        <v>15:40</v>
      </c>
      <c r="E48" s="214"/>
      <c r="F48" s="79"/>
      <c r="G48" s="74"/>
      <c r="H48" s="72"/>
      <c r="I48" s="30"/>
      <c r="J48" s="274"/>
      <c r="K48" s="274"/>
      <c r="L48" s="197" t="s">
        <v>576</v>
      </c>
      <c r="R48" s="62"/>
    </row>
    <row r="49" ht="15.75" customHeight="1">
      <c r="A49" s="11" t="s">
        <v>87</v>
      </c>
      <c r="B49" s="205" t="s">
        <v>2095</v>
      </c>
      <c r="C49" s="69" t="str">
        <f t="shared" si="5"/>
        <v>Terça-Feira</v>
      </c>
      <c r="D49" s="445" t="str">
        <f>IF(C49&lt;&gt;"Quarta-Feira","16:00","11:00")</f>
        <v>16:00</v>
      </c>
      <c r="E49" s="214"/>
      <c r="F49" s="79"/>
      <c r="G49" s="74"/>
      <c r="H49" s="72"/>
      <c r="I49" s="18"/>
      <c r="J49" s="336"/>
      <c r="K49" s="274"/>
      <c r="R49" s="62"/>
    </row>
    <row r="50" ht="15.75" customHeight="1">
      <c r="A50" s="11" t="s">
        <v>90</v>
      </c>
      <c r="B50" s="205" t="s">
        <v>2097</v>
      </c>
      <c r="C50" s="69" t="str">
        <f t="shared" si="5"/>
        <v>Terça-Feira</v>
      </c>
      <c r="D50" s="445" t="str">
        <f>IF(C50&lt;&gt;"Quarta-Feira","16:20","11:20")</f>
        <v>16:20</v>
      </c>
      <c r="E50" s="214"/>
      <c r="F50" s="79"/>
      <c r="G50" s="74"/>
      <c r="H50" s="274"/>
      <c r="I50" s="18"/>
      <c r="J50" s="274"/>
      <c r="K50" s="274"/>
      <c r="R50" s="62"/>
    </row>
    <row r="51" ht="15.75" customHeight="1">
      <c r="A51" s="11" t="s">
        <v>93</v>
      </c>
      <c r="B51" s="205" t="s">
        <v>2095</v>
      </c>
      <c r="C51" s="69" t="str">
        <f t="shared" si="5"/>
        <v>Terça-Feira</v>
      </c>
      <c r="D51" s="445" t="str">
        <f>IF(C51&lt;&gt;"Quarta-Feira","16:40","11:40")</f>
        <v>16:40</v>
      </c>
      <c r="E51" s="214"/>
      <c r="F51" s="79"/>
      <c r="G51" s="74"/>
      <c r="H51" s="274"/>
      <c r="I51" s="18"/>
      <c r="J51" s="336"/>
      <c r="K51" s="274"/>
      <c r="R51" s="62"/>
    </row>
    <row r="52" ht="15.75" customHeight="1">
      <c r="E52" s="231"/>
      <c r="J52" s="62"/>
      <c r="K52" s="62"/>
      <c r="R52" s="62"/>
    </row>
    <row r="53" ht="15.75" customHeight="1">
      <c r="E53" s="231"/>
      <c r="J53" s="62"/>
      <c r="K53" s="62"/>
      <c r="R53" s="62"/>
    </row>
    <row r="54" ht="15.75" customHeight="1">
      <c r="E54" s="231"/>
      <c r="J54" s="62"/>
      <c r="K54" s="62"/>
      <c r="R54" s="62"/>
    </row>
    <row r="55" ht="15.75" customHeight="1">
      <c r="A55" s="20" t="s">
        <v>18</v>
      </c>
      <c r="B55" s="2"/>
      <c r="C55" s="2"/>
      <c r="D55" s="2"/>
      <c r="E55" s="2"/>
      <c r="F55" s="2"/>
      <c r="G55" s="2"/>
      <c r="H55" s="2"/>
      <c r="I55" s="2"/>
      <c r="J55" s="2"/>
      <c r="K55" s="3"/>
      <c r="R55" s="62"/>
    </row>
    <row r="56" ht="15.75" customHeight="1">
      <c r="A56" s="21" t="str">
        <f>TEXT(DATE(VALUE(MID(A38,7,4)),VALUE(MID(A38,4,2)),VALUE(LEFT(A38,2)))+2,"dd/mm/yyyy")&amp;" 13h às 17h"</f>
        <v>13/08/2026 13h às 17h</v>
      </c>
      <c r="B56" s="2"/>
      <c r="C56" s="2"/>
      <c r="D56" s="2"/>
      <c r="E56" s="2"/>
      <c r="F56" s="2"/>
      <c r="G56" s="2"/>
      <c r="H56" s="2"/>
      <c r="I56" s="2"/>
      <c r="J56" s="2"/>
      <c r="K56" s="3"/>
      <c r="R56" s="62"/>
    </row>
    <row r="57" ht="15.75" customHeight="1">
      <c r="A57" s="22"/>
      <c r="B57" s="23" t="s">
        <v>3</v>
      </c>
      <c r="C57" s="24" t="s">
        <v>2</v>
      </c>
      <c r="D57" s="25" t="s">
        <v>5</v>
      </c>
      <c r="E57" s="26" t="s">
        <v>19</v>
      </c>
      <c r="F57" s="25" t="s">
        <v>6</v>
      </c>
      <c r="G57" s="234" t="s">
        <v>7</v>
      </c>
      <c r="H57" s="27" t="s">
        <v>8</v>
      </c>
      <c r="I57" s="28" t="s">
        <v>20</v>
      </c>
      <c r="J57" s="25" t="s">
        <v>21</v>
      </c>
      <c r="K57" s="25" t="s">
        <v>22</v>
      </c>
      <c r="R57" s="62"/>
    </row>
    <row r="58" ht="15.75" customHeight="1">
      <c r="A58" s="11" t="s">
        <v>10</v>
      </c>
      <c r="B58" s="205" t="s">
        <v>1789</v>
      </c>
      <c r="C58" s="69" t="str">
        <f t="shared" ref="C58:C69" si="7">PROPER(TEXT(DATE(MID($A$56,7,4),MID($A$56,4,2),LEFT($A$56,2)),"dddd"))</f>
        <v>Quinta-Feira</v>
      </c>
      <c r="D58" s="445" t="str">
        <f>IF(C58&lt;&gt;"Quarta-Feira","13:00","08:00")</f>
        <v>13:00</v>
      </c>
      <c r="E58" s="214"/>
      <c r="F58" s="206"/>
      <c r="G58" s="148"/>
      <c r="H58" s="150"/>
      <c r="I58" s="18"/>
      <c r="J58" s="212"/>
      <c r="K58" s="212"/>
      <c r="L58" s="197" t="s">
        <v>520</v>
      </c>
      <c r="N58" s="237" t="s">
        <v>386</v>
      </c>
      <c r="O58" s="95"/>
      <c r="P58" s="95"/>
      <c r="Q58" s="95"/>
      <c r="R58" s="62"/>
    </row>
    <row r="59" ht="15.75" customHeight="1">
      <c r="A59" s="11" t="s">
        <v>11</v>
      </c>
      <c r="B59" s="205" t="s">
        <v>1713</v>
      </c>
      <c r="C59" s="69" t="str">
        <f t="shared" si="7"/>
        <v>Quinta-Feira</v>
      </c>
      <c r="D59" s="445" t="str">
        <f>IF(C59&lt;&gt;"Quarta-Feira","13:20","08:20")</f>
        <v>13:20</v>
      </c>
      <c r="E59" s="214"/>
      <c r="F59" s="387"/>
      <c r="G59" s="148"/>
      <c r="H59" s="150"/>
      <c r="I59" s="18"/>
      <c r="J59" s="212"/>
      <c r="K59" s="212"/>
      <c r="N59" s="239" t="s">
        <v>2085</v>
      </c>
      <c r="O59" s="2"/>
      <c r="P59" s="2"/>
      <c r="Q59" s="2"/>
      <c r="R59" s="62"/>
    </row>
    <row r="60" ht="15.75" customHeight="1">
      <c r="A60" s="11" t="s">
        <v>12</v>
      </c>
      <c r="B60" s="205" t="s">
        <v>1780</v>
      </c>
      <c r="C60" s="69" t="str">
        <f t="shared" si="7"/>
        <v>Quinta-Feira</v>
      </c>
      <c r="D60" s="445" t="str">
        <f>IF(C60&lt;&gt;"Quarta-Feira","13:40","08:40")</f>
        <v>13:40</v>
      </c>
      <c r="E60" s="214"/>
      <c r="F60" s="206"/>
      <c r="G60" s="148"/>
      <c r="H60" s="150"/>
      <c r="I60" s="18"/>
      <c r="J60" s="212"/>
      <c r="K60" s="212"/>
      <c r="L60" s="197" t="s">
        <v>520</v>
      </c>
      <c r="N60" s="240" t="s">
        <v>182</v>
      </c>
      <c r="O60" s="241" t="s">
        <v>194</v>
      </c>
      <c r="P60" s="241" t="s">
        <v>180</v>
      </c>
      <c r="Q60" s="241" t="s">
        <v>2087</v>
      </c>
      <c r="R60" s="62"/>
    </row>
    <row r="61" ht="15.75" customHeight="1">
      <c r="A61" s="11" t="s">
        <v>13</v>
      </c>
      <c r="B61" s="205" t="s">
        <v>1720</v>
      </c>
      <c r="C61" s="69" t="str">
        <f t="shared" si="7"/>
        <v>Quinta-Feira</v>
      </c>
      <c r="D61" s="445" t="str">
        <f>IF(C61&lt;&gt;"Quarta-Feira","14:00","09:00")</f>
        <v>14:00</v>
      </c>
      <c r="E61" s="214"/>
      <c r="F61" s="206"/>
      <c r="G61" s="148"/>
      <c r="H61" s="150"/>
      <c r="I61" s="18"/>
      <c r="J61" s="212"/>
      <c r="K61" s="212"/>
      <c r="L61" s="197" t="s">
        <v>520</v>
      </c>
      <c r="N61" s="244">
        <f t="shared" ref="N61:Q61" si="8">COUNTIFS($I$58:$I$69,N60)</f>
        <v>0</v>
      </c>
      <c r="O61" s="244">
        <f t="shared" si="8"/>
        <v>0</v>
      </c>
      <c r="P61" s="244">
        <f t="shared" si="8"/>
        <v>0</v>
      </c>
      <c r="Q61" s="244">
        <f t="shared" si="8"/>
        <v>0</v>
      </c>
      <c r="R61" s="62"/>
    </row>
    <row r="62" ht="15.75" customHeight="1">
      <c r="A62" s="11" t="s">
        <v>14</v>
      </c>
      <c r="B62" s="205" t="s">
        <v>1795</v>
      </c>
      <c r="C62" s="69" t="str">
        <f t="shared" si="7"/>
        <v>Quinta-Feira</v>
      </c>
      <c r="D62" s="445" t="str">
        <f>IF(C62&lt;&gt;"Quarta-Feira","14:20","09:20")</f>
        <v>14:20</v>
      </c>
      <c r="E62" s="214"/>
      <c r="F62" s="206"/>
      <c r="G62" s="148"/>
      <c r="H62" s="150"/>
      <c r="I62" s="18"/>
      <c r="J62" s="212"/>
      <c r="K62" s="212"/>
      <c r="R62" s="62"/>
    </row>
    <row r="63" ht="15.75" customHeight="1">
      <c r="A63" s="11" t="s">
        <v>15</v>
      </c>
      <c r="B63" s="205" t="s">
        <v>1789</v>
      </c>
      <c r="C63" s="69" t="str">
        <f t="shared" si="7"/>
        <v>Quinta-Feira</v>
      </c>
      <c r="D63" s="445" t="str">
        <f>IF(C63&lt;&gt;"Quarta-Feira","14:40","09:40")</f>
        <v>14:40</v>
      </c>
      <c r="E63" s="214"/>
      <c r="F63" s="387"/>
      <c r="G63" s="148"/>
      <c r="H63" s="150"/>
      <c r="I63" s="18"/>
      <c r="J63" s="212"/>
      <c r="K63" s="212"/>
      <c r="L63" s="197" t="s">
        <v>520</v>
      </c>
      <c r="R63" s="62"/>
    </row>
    <row r="64" ht="15.75" customHeight="1">
      <c r="A64" s="11" t="s">
        <v>16</v>
      </c>
      <c r="B64" s="205" t="s">
        <v>2652</v>
      </c>
      <c r="C64" s="69" t="str">
        <f t="shared" si="7"/>
        <v>Quinta-Feira</v>
      </c>
      <c r="D64" s="445" t="str">
        <f>IF(C64&lt;&gt;"Quarta-Feira","15:00","10:00")</f>
        <v>15:00</v>
      </c>
      <c r="E64" s="214"/>
      <c r="F64" s="206"/>
      <c r="G64" s="148"/>
      <c r="H64" s="150"/>
      <c r="I64" s="18"/>
      <c r="J64" s="212"/>
      <c r="K64" s="212"/>
      <c r="L64" s="197" t="s">
        <v>520</v>
      </c>
      <c r="R64" s="62"/>
    </row>
    <row r="65" ht="15.75" customHeight="1">
      <c r="A65" s="11" t="s">
        <v>17</v>
      </c>
      <c r="B65" s="205" t="s">
        <v>2655</v>
      </c>
      <c r="C65" s="69" t="str">
        <f t="shared" si="7"/>
        <v>Quinta-Feira</v>
      </c>
      <c r="D65" s="445" t="str">
        <f>IF(C65&lt;&gt;"Quarta-Feira","15:20","10:20")</f>
        <v>15:20</v>
      </c>
      <c r="E65" s="214"/>
      <c r="F65" s="206"/>
      <c r="G65" s="148"/>
      <c r="H65" s="150"/>
      <c r="I65" s="18"/>
      <c r="J65" s="212"/>
      <c r="K65" s="212"/>
      <c r="L65" s="197" t="s">
        <v>520</v>
      </c>
      <c r="R65" s="62"/>
    </row>
    <row r="66" ht="15.75" customHeight="1">
      <c r="A66" s="11" t="s">
        <v>85</v>
      </c>
      <c r="B66" s="205" t="s">
        <v>2658</v>
      </c>
      <c r="C66" s="69" t="str">
        <f t="shared" si="7"/>
        <v>Quinta-Feira</v>
      </c>
      <c r="D66" s="445" t="str">
        <f>IF(C66&lt;&gt;"Quarta-Feira","15:40","10:40")</f>
        <v>15:40</v>
      </c>
      <c r="E66" s="214"/>
      <c r="F66" s="206"/>
      <c r="G66" s="148"/>
      <c r="H66" s="150"/>
      <c r="I66" s="18"/>
      <c r="J66" s="212"/>
      <c r="K66" s="212"/>
      <c r="R66" s="62"/>
    </row>
    <row r="67" ht="15.75" customHeight="1">
      <c r="A67" s="11" t="s">
        <v>87</v>
      </c>
      <c r="B67" s="205" t="s">
        <v>1734</v>
      </c>
      <c r="C67" s="69" t="str">
        <f t="shared" si="7"/>
        <v>Quinta-Feira</v>
      </c>
      <c r="D67" s="445" t="str">
        <f>IF(C67&lt;&gt;"Quarta-Feira","16:00","11:00")</f>
        <v>16:00</v>
      </c>
      <c r="E67" s="214"/>
      <c r="F67" s="206"/>
      <c r="G67" s="148"/>
      <c r="H67" s="150"/>
      <c r="I67" s="18"/>
      <c r="J67" s="212"/>
      <c r="K67" s="212"/>
      <c r="L67" s="197" t="s">
        <v>520</v>
      </c>
      <c r="R67" s="62"/>
    </row>
    <row r="68" ht="15.75" customHeight="1">
      <c r="A68" s="11" t="s">
        <v>90</v>
      </c>
      <c r="B68" s="205" t="s">
        <v>2658</v>
      </c>
      <c r="C68" s="69" t="str">
        <f t="shared" si="7"/>
        <v>Quinta-Feira</v>
      </c>
      <c r="D68" s="445" t="str">
        <f>IF(C68&lt;&gt;"Quarta-Feira","16:20","11:20")</f>
        <v>16:20</v>
      </c>
      <c r="E68" s="214"/>
      <c r="F68" s="206"/>
      <c r="G68" s="148"/>
      <c r="H68" s="150"/>
      <c r="I68" s="18"/>
      <c r="J68" s="212"/>
      <c r="K68" s="212"/>
      <c r="R68" s="62"/>
    </row>
    <row r="69" ht="15.75" customHeight="1">
      <c r="A69" s="11" t="s">
        <v>93</v>
      </c>
      <c r="B69" s="205" t="s">
        <v>1734</v>
      </c>
      <c r="C69" s="69" t="str">
        <f t="shared" si="7"/>
        <v>Quinta-Feira</v>
      </c>
      <c r="D69" s="445" t="str">
        <f>IF(C69&lt;&gt;"Quarta-Feira","16:40","11:40")</f>
        <v>16:40</v>
      </c>
      <c r="E69" s="214"/>
      <c r="F69" s="206"/>
      <c r="G69" s="148"/>
      <c r="H69" s="150"/>
      <c r="I69" s="18"/>
      <c r="J69" s="212"/>
      <c r="K69" s="212"/>
      <c r="R69" s="62"/>
    </row>
    <row r="70" ht="15.75" customHeight="1">
      <c r="E70" s="231"/>
      <c r="G70" s="197"/>
      <c r="J70" s="62"/>
      <c r="K70" s="62"/>
      <c r="R70" s="62"/>
    </row>
    <row r="71" ht="15.75" customHeight="1">
      <c r="E71" s="231"/>
      <c r="J71" s="62"/>
      <c r="K71" s="62"/>
      <c r="R71" s="62"/>
    </row>
    <row r="72" ht="15.75" customHeight="1">
      <c r="E72" s="231"/>
      <c r="J72" s="62"/>
      <c r="K72" s="62"/>
      <c r="R72" s="62"/>
    </row>
    <row r="73" ht="15.75" customHeight="1">
      <c r="A73" s="350" t="s">
        <v>18</v>
      </c>
      <c r="B73" s="2"/>
      <c r="C73" s="2"/>
      <c r="D73" s="2"/>
      <c r="E73" s="2"/>
      <c r="F73" s="2"/>
      <c r="G73" s="2"/>
      <c r="H73" s="2"/>
      <c r="I73" s="2"/>
      <c r="J73" s="2"/>
      <c r="K73" s="3"/>
      <c r="R73" s="62"/>
    </row>
    <row r="74" ht="15.75" customHeight="1">
      <c r="A74" s="21" t="str">
        <f>TEXT(DATE(VALUE(MID(A38,7,4)),VALUE(MID(A38,4,2)),VALUE(LEFT(A38,2)))+7,"dd/mm/yyyy")&amp;" 13h às 17h"</f>
        <v>18/08/2026 13h às 17h</v>
      </c>
      <c r="B74" s="2"/>
      <c r="C74" s="2"/>
      <c r="D74" s="2"/>
      <c r="E74" s="2"/>
      <c r="F74" s="2"/>
      <c r="G74" s="2"/>
      <c r="H74" s="2"/>
      <c r="I74" s="2"/>
      <c r="J74" s="2"/>
      <c r="K74" s="3"/>
      <c r="R74" s="62"/>
    </row>
    <row r="75" ht="15.75" customHeight="1">
      <c r="A75" s="410"/>
      <c r="B75" s="411" t="s">
        <v>3</v>
      </c>
      <c r="C75" s="412" t="s">
        <v>2</v>
      </c>
      <c r="D75" s="413" t="s">
        <v>5</v>
      </c>
      <c r="E75" s="461" t="s">
        <v>19</v>
      </c>
      <c r="F75" s="413" t="s">
        <v>6</v>
      </c>
      <c r="G75" s="414" t="s">
        <v>7</v>
      </c>
      <c r="H75" s="415" t="s">
        <v>8</v>
      </c>
      <c r="I75" s="416" t="s">
        <v>20</v>
      </c>
      <c r="J75" s="413" t="s">
        <v>21</v>
      </c>
      <c r="K75" s="413" t="s">
        <v>22</v>
      </c>
      <c r="R75" s="62"/>
    </row>
    <row r="76" ht="15.75" customHeight="1">
      <c r="A76" s="417" t="s">
        <v>10</v>
      </c>
      <c r="B76" s="205" t="s">
        <v>2081</v>
      </c>
      <c r="C76" s="206" t="str">
        <f t="shared" ref="C76:C87" si="9">PROPER(TEXT(DATE(MID($A$74,7,4),MID($A$74,4,2),LEFT($A$74,2)),"dddd"))</f>
        <v>Terça-Feira</v>
      </c>
      <c r="D76" s="445" t="str">
        <f>IF(C76&lt;&gt;"Quarta-Feira","13:00","08:00")</f>
        <v>13:00</v>
      </c>
      <c r="E76" s="418"/>
      <c r="F76" s="127"/>
      <c r="G76" s="186"/>
      <c r="H76" s="153"/>
      <c r="I76" s="29"/>
      <c r="J76" s="289"/>
      <c r="K76" s="289"/>
      <c r="N76" s="237" t="s">
        <v>386</v>
      </c>
      <c r="O76" s="95"/>
      <c r="P76" s="95"/>
      <c r="Q76" s="95"/>
      <c r="R76" s="62"/>
    </row>
    <row r="77" ht="15.75" customHeight="1">
      <c r="A77" s="417" t="s">
        <v>11</v>
      </c>
      <c r="B77" s="205" t="s">
        <v>2083</v>
      </c>
      <c r="C77" s="206" t="str">
        <f t="shared" si="9"/>
        <v>Terça-Feira</v>
      </c>
      <c r="D77" s="445" t="str">
        <f>IF(C77&lt;&gt;"Quarta-Feira","13:20","08:20")</f>
        <v>13:20</v>
      </c>
      <c r="E77" s="419"/>
      <c r="F77" s="127"/>
      <c r="G77" s="186"/>
      <c r="H77" s="153"/>
      <c r="I77" s="29"/>
      <c r="J77" s="289"/>
      <c r="K77" s="289"/>
      <c r="N77" s="239" t="s">
        <v>2085</v>
      </c>
      <c r="O77" s="2"/>
      <c r="P77" s="2"/>
      <c r="Q77" s="2"/>
      <c r="R77" s="62"/>
    </row>
    <row r="78" ht="15.75" customHeight="1">
      <c r="A78" s="417" t="s">
        <v>12</v>
      </c>
      <c r="B78" s="205" t="s">
        <v>2086</v>
      </c>
      <c r="C78" s="206" t="str">
        <f t="shared" si="9"/>
        <v>Terça-Feira</v>
      </c>
      <c r="D78" s="445" t="str">
        <f>IF(C78&lt;&gt;"Quarta-Feira","13:40","08:40")</f>
        <v>13:40</v>
      </c>
      <c r="E78" s="418"/>
      <c r="F78" s="127"/>
      <c r="G78" s="186"/>
      <c r="H78" s="153"/>
      <c r="I78" s="29"/>
      <c r="J78" s="289"/>
      <c r="K78" s="289"/>
      <c r="N78" s="240" t="s">
        <v>182</v>
      </c>
      <c r="O78" s="241" t="s">
        <v>194</v>
      </c>
      <c r="P78" s="241" t="s">
        <v>180</v>
      </c>
      <c r="Q78" s="242" t="s">
        <v>2087</v>
      </c>
      <c r="R78" s="62"/>
    </row>
    <row r="79" ht="15.75" customHeight="1">
      <c r="A79" s="417" t="s">
        <v>13</v>
      </c>
      <c r="B79" s="205" t="s">
        <v>2088</v>
      </c>
      <c r="C79" s="206" t="str">
        <f t="shared" si="9"/>
        <v>Terça-Feira</v>
      </c>
      <c r="D79" s="445" t="str">
        <f>IF(C79&lt;&gt;"Quarta-Feira","14:00","09:00")</f>
        <v>14:00</v>
      </c>
      <c r="E79" s="418"/>
      <c r="F79" s="127"/>
      <c r="G79" s="186"/>
      <c r="H79" s="153"/>
      <c r="I79" s="29"/>
      <c r="J79" s="289"/>
      <c r="K79" s="289"/>
      <c r="N79" s="244">
        <f t="shared" ref="N79:Q79" si="10">COUNTIFS($I$76:$I$87,N78)</f>
        <v>0</v>
      </c>
      <c r="O79" s="244">
        <f t="shared" si="10"/>
        <v>0</v>
      </c>
      <c r="P79" s="244">
        <f t="shared" si="10"/>
        <v>0</v>
      </c>
      <c r="Q79" s="244">
        <f t="shared" si="10"/>
        <v>0</v>
      </c>
      <c r="R79" s="62"/>
    </row>
    <row r="80" ht="15.75" customHeight="1">
      <c r="A80" s="417" t="s">
        <v>14</v>
      </c>
      <c r="B80" s="205" t="s">
        <v>2081</v>
      </c>
      <c r="C80" s="206" t="str">
        <f t="shared" si="9"/>
        <v>Terça-Feira</v>
      </c>
      <c r="D80" s="445" t="str">
        <f>IF(C80&lt;&gt;"Quarta-Feira","14:20","09:20")</f>
        <v>14:20</v>
      </c>
      <c r="E80" s="420"/>
      <c r="F80" s="127"/>
      <c r="G80" s="186"/>
      <c r="H80" s="156"/>
      <c r="I80" s="29"/>
      <c r="J80" s="69"/>
      <c r="K80" s="289"/>
      <c r="R80" s="62"/>
    </row>
    <row r="81" ht="15.75" customHeight="1">
      <c r="A81" s="417" t="s">
        <v>15</v>
      </c>
      <c r="B81" s="205" t="s">
        <v>2088</v>
      </c>
      <c r="C81" s="206" t="str">
        <f t="shared" si="9"/>
        <v>Terça-Feira</v>
      </c>
      <c r="D81" s="445" t="str">
        <f>IF(C81&lt;&gt;"Quarta-Feira","14:40","09:40")</f>
        <v>14:40</v>
      </c>
      <c r="E81" s="420"/>
      <c r="F81" s="127"/>
      <c r="G81" s="186"/>
      <c r="H81" s="153"/>
      <c r="I81" s="29"/>
      <c r="J81" s="289"/>
      <c r="K81" s="289"/>
      <c r="R81" s="62"/>
    </row>
    <row r="82" ht="15.75" customHeight="1">
      <c r="A82" s="417" t="s">
        <v>16</v>
      </c>
      <c r="B82" s="205" t="s">
        <v>2092</v>
      </c>
      <c r="C82" s="206" t="str">
        <f t="shared" si="9"/>
        <v>Terça-Feira</v>
      </c>
      <c r="D82" s="445" t="str">
        <f>IF(C82&lt;&gt;"Quarta-Feira","15:00","10:00")</f>
        <v>15:00</v>
      </c>
      <c r="E82" s="420"/>
      <c r="F82" s="127"/>
      <c r="G82" s="186"/>
      <c r="H82" s="153"/>
      <c r="I82" s="29"/>
      <c r="J82" s="289"/>
      <c r="K82" s="289"/>
      <c r="R82" s="62"/>
    </row>
    <row r="83" ht="15.75" customHeight="1">
      <c r="A83" s="417" t="s">
        <v>17</v>
      </c>
      <c r="B83" s="205" t="s">
        <v>2093</v>
      </c>
      <c r="C83" s="206" t="str">
        <f t="shared" si="9"/>
        <v>Terça-Feira</v>
      </c>
      <c r="D83" s="445" t="str">
        <f>IF(C83&lt;&gt;"Quarta-Feira","15:20","10:20")</f>
        <v>15:20</v>
      </c>
      <c r="E83" s="420"/>
      <c r="F83" s="127"/>
      <c r="G83" s="186"/>
      <c r="H83" s="153"/>
      <c r="I83" s="29"/>
      <c r="J83" s="289"/>
      <c r="K83" s="289"/>
      <c r="R83" s="62"/>
    </row>
    <row r="84" ht="16.5" customHeight="1">
      <c r="A84" s="417" t="s">
        <v>85</v>
      </c>
      <c r="B84" s="205" t="s">
        <v>2094</v>
      </c>
      <c r="C84" s="206" t="str">
        <f t="shared" si="9"/>
        <v>Terça-Feira</v>
      </c>
      <c r="D84" s="445" t="str">
        <f>IF(C84&lt;&gt;"Quarta-Feira","15:40","10:40")</f>
        <v>15:40</v>
      </c>
      <c r="E84" s="420"/>
      <c r="F84" s="127"/>
      <c r="G84" s="186"/>
      <c r="H84" s="153"/>
      <c r="I84" s="29"/>
      <c r="J84" s="289"/>
      <c r="K84" s="289"/>
      <c r="R84" s="62"/>
    </row>
    <row r="85" ht="15.75" customHeight="1">
      <c r="A85" s="417" t="s">
        <v>87</v>
      </c>
      <c r="B85" s="205" t="s">
        <v>2095</v>
      </c>
      <c r="C85" s="206" t="str">
        <f t="shared" si="9"/>
        <v>Terça-Feira</v>
      </c>
      <c r="D85" s="445" t="str">
        <f>IF(C85&lt;&gt;"Quarta-Feira","16:00","11:00")</f>
        <v>16:00</v>
      </c>
      <c r="E85" s="418"/>
      <c r="F85" s="127"/>
      <c r="G85" s="186"/>
      <c r="H85" s="153"/>
      <c r="I85" s="29"/>
      <c r="J85" s="289"/>
      <c r="K85" s="423"/>
      <c r="R85" s="62"/>
    </row>
    <row r="86" ht="15.75" customHeight="1">
      <c r="A86" s="417" t="s">
        <v>90</v>
      </c>
      <c r="B86" s="205" t="s">
        <v>2097</v>
      </c>
      <c r="C86" s="206" t="str">
        <f t="shared" si="9"/>
        <v>Terça-Feira</v>
      </c>
      <c r="D86" s="445" t="str">
        <f>IF(C86&lt;&gt;"Quarta-Feira","16:20","11:20")</f>
        <v>16:20</v>
      </c>
      <c r="E86" s="420"/>
      <c r="F86" s="295"/>
      <c r="G86" s="186"/>
      <c r="H86" s="462"/>
      <c r="I86" s="29"/>
      <c r="J86" s="423"/>
      <c r="K86" s="423"/>
      <c r="R86" s="62"/>
    </row>
    <row r="87" ht="15.75" customHeight="1">
      <c r="A87" s="417" t="s">
        <v>93</v>
      </c>
      <c r="B87" s="205" t="s">
        <v>2095</v>
      </c>
      <c r="C87" s="206" t="str">
        <f t="shared" si="9"/>
        <v>Terça-Feira</v>
      </c>
      <c r="D87" s="445" t="str">
        <f>IF(C87&lt;&gt;"Quarta-Feira","16:40","11:40")</f>
        <v>16:40</v>
      </c>
      <c r="E87" s="418"/>
      <c r="F87" s="295"/>
      <c r="G87" s="423"/>
      <c r="H87" s="153"/>
      <c r="I87" s="29"/>
      <c r="J87" s="295"/>
      <c r="K87" s="339"/>
      <c r="R87" s="62"/>
    </row>
    <row r="88" ht="15.75" customHeight="1">
      <c r="E88" s="231"/>
      <c r="J88" s="62"/>
      <c r="K88" s="62"/>
      <c r="R88" s="62"/>
    </row>
    <row r="89" ht="15.75" customHeight="1">
      <c r="E89" s="231"/>
      <c r="J89" s="62"/>
      <c r="K89" s="62"/>
      <c r="R89" s="62"/>
    </row>
    <row r="90" ht="15.75" customHeight="1">
      <c r="E90" s="231"/>
      <c r="J90" s="62"/>
      <c r="K90" s="62"/>
      <c r="R90" s="62"/>
    </row>
    <row r="91" ht="15.75" customHeight="1">
      <c r="A91" s="20" t="s">
        <v>18</v>
      </c>
      <c r="B91" s="2"/>
      <c r="C91" s="2"/>
      <c r="D91" s="2"/>
      <c r="E91" s="2"/>
      <c r="F91" s="2"/>
      <c r="G91" s="2"/>
      <c r="H91" s="2"/>
      <c r="I91" s="2"/>
      <c r="J91" s="2"/>
      <c r="K91" s="3"/>
      <c r="R91" s="62"/>
    </row>
    <row r="92" ht="15.75" customHeight="1">
      <c r="A92" s="21" t="str">
        <f>TEXT(DATE(VALUE(MID(A74,7,4)),VALUE(MID(A74,4,2)),VALUE(LEFT(A74,2)))+2,"dd/mm/yyyy")&amp;" 13h às 17h"</f>
        <v>20/08/2026 13h às 17h</v>
      </c>
      <c r="B92" s="2"/>
      <c r="C92" s="2"/>
      <c r="D92" s="2"/>
      <c r="E92" s="2"/>
      <c r="F92" s="2"/>
      <c r="G92" s="2"/>
      <c r="H92" s="2"/>
      <c r="I92" s="2"/>
      <c r="J92" s="2"/>
      <c r="K92" s="3"/>
      <c r="R92" s="62"/>
    </row>
    <row r="93" ht="15.75" customHeight="1">
      <c r="A93" s="22"/>
      <c r="B93" s="23" t="s">
        <v>3</v>
      </c>
      <c r="C93" s="24" t="s">
        <v>2</v>
      </c>
      <c r="D93" s="25" t="s">
        <v>5</v>
      </c>
      <c r="E93" s="26" t="s">
        <v>19</v>
      </c>
      <c r="F93" s="25" t="s">
        <v>6</v>
      </c>
      <c r="G93" s="25" t="s">
        <v>7</v>
      </c>
      <c r="H93" s="27" t="s">
        <v>8</v>
      </c>
      <c r="I93" s="28" t="s">
        <v>20</v>
      </c>
      <c r="J93" s="25" t="s">
        <v>21</v>
      </c>
      <c r="K93" s="25" t="s">
        <v>22</v>
      </c>
      <c r="R93" s="62"/>
    </row>
    <row r="94" ht="15.75" customHeight="1">
      <c r="A94" s="11" t="s">
        <v>10</v>
      </c>
      <c r="B94" s="205" t="s">
        <v>1789</v>
      </c>
      <c r="C94" s="69" t="str">
        <f t="shared" ref="C94:C105" si="11">PROPER(TEXT(DATE(MID($A$92,7,4),MID($A$92,4,2),LEFT($A$92,2)),"dddd"))</f>
        <v>Quinta-Feira</v>
      </c>
      <c r="D94" s="445" t="str">
        <f>IF(C94&lt;&gt;"Quarta-Feira","13:00","08:00")</f>
        <v>13:00</v>
      </c>
      <c r="E94" s="218"/>
      <c r="F94" s="149"/>
      <c r="G94" s="148"/>
      <c r="H94" s="344"/>
      <c r="I94" s="18"/>
      <c r="J94" s="212"/>
      <c r="K94" s="212"/>
      <c r="N94" s="237" t="s">
        <v>386</v>
      </c>
      <c r="O94" s="95"/>
      <c r="P94" s="95"/>
      <c r="Q94" s="95"/>
      <c r="R94" s="62"/>
    </row>
    <row r="95" ht="21.0" customHeight="1">
      <c r="A95" s="11" t="s">
        <v>11</v>
      </c>
      <c r="B95" s="205" t="s">
        <v>1713</v>
      </c>
      <c r="C95" s="69" t="str">
        <f t="shared" si="11"/>
        <v>Quinta-Feira</v>
      </c>
      <c r="D95" s="445" t="str">
        <f>IF(C95&lt;&gt;"Quarta-Feira","13:20","08:20")</f>
        <v>13:20</v>
      </c>
      <c r="E95" s="218"/>
      <c r="F95" s="425"/>
      <c r="G95" s="148"/>
      <c r="H95" s="437"/>
      <c r="I95" s="18"/>
      <c r="J95" s="212"/>
      <c r="K95" s="212"/>
      <c r="N95" s="239" t="s">
        <v>2085</v>
      </c>
      <c r="O95" s="2"/>
      <c r="P95" s="2"/>
      <c r="Q95" s="2"/>
      <c r="R95" s="62"/>
    </row>
    <row r="96" ht="15.75" customHeight="1">
      <c r="A96" s="11" t="s">
        <v>12</v>
      </c>
      <c r="B96" s="205" t="s">
        <v>1780</v>
      </c>
      <c r="C96" s="69" t="str">
        <f t="shared" si="11"/>
        <v>Quinta-Feira</v>
      </c>
      <c r="D96" s="445" t="str">
        <f>IF(C96&lt;&gt;"Quarta-Feira","13:40","08:40")</f>
        <v>13:40</v>
      </c>
      <c r="E96" s="218"/>
      <c r="F96" s="149"/>
      <c r="G96" s="148"/>
      <c r="H96" s="344"/>
      <c r="I96" s="18"/>
      <c r="J96" s="212"/>
      <c r="K96" s="212"/>
      <c r="N96" s="240" t="s">
        <v>182</v>
      </c>
      <c r="O96" s="241" t="s">
        <v>194</v>
      </c>
      <c r="P96" s="241" t="s">
        <v>180</v>
      </c>
      <c r="Q96" s="242" t="s">
        <v>2087</v>
      </c>
      <c r="R96" s="62"/>
    </row>
    <row r="97" ht="15.75" customHeight="1">
      <c r="A97" s="11" t="s">
        <v>13</v>
      </c>
      <c r="B97" s="205" t="s">
        <v>1720</v>
      </c>
      <c r="C97" s="69" t="str">
        <f t="shared" si="11"/>
        <v>Quinta-Feira</v>
      </c>
      <c r="D97" s="445" t="str">
        <f>IF(C97&lt;&gt;"Quarta-Feira","14:00","09:00")</f>
        <v>14:00</v>
      </c>
      <c r="E97" s="218"/>
      <c r="F97" s="206"/>
      <c r="G97" s="205"/>
      <c r="H97" s="432"/>
      <c r="I97" s="18"/>
      <c r="J97" s="212"/>
      <c r="K97" s="212"/>
      <c r="N97" s="244">
        <f t="shared" ref="N97:Q97" si="12">COUNTIFS($I$94:$I$105,N96)</f>
        <v>0</v>
      </c>
      <c r="O97" s="244">
        <f t="shared" si="12"/>
        <v>0</v>
      </c>
      <c r="P97" s="244">
        <f t="shared" si="12"/>
        <v>0</v>
      </c>
      <c r="Q97" s="244">
        <f t="shared" si="12"/>
        <v>0</v>
      </c>
      <c r="R97" s="62"/>
    </row>
    <row r="98" ht="15.75" customHeight="1">
      <c r="A98" s="11" t="s">
        <v>14</v>
      </c>
      <c r="B98" s="205" t="s">
        <v>1795</v>
      </c>
      <c r="C98" s="69" t="str">
        <f t="shared" si="11"/>
        <v>Quinta-Feira</v>
      </c>
      <c r="D98" s="445" t="str">
        <f>IF(C98&lt;&gt;"Quarta-Feira","14:20","09:20")</f>
        <v>14:20</v>
      </c>
      <c r="E98" s="218"/>
      <c r="F98" s="149"/>
      <c r="G98" s="148"/>
      <c r="H98" s="344"/>
      <c r="I98" s="18"/>
      <c r="J98" s="212"/>
      <c r="K98" s="212"/>
      <c r="R98" s="62"/>
    </row>
    <row r="99" ht="15.75" customHeight="1">
      <c r="A99" s="11" t="s">
        <v>15</v>
      </c>
      <c r="B99" s="205" t="s">
        <v>1789</v>
      </c>
      <c r="C99" s="69" t="str">
        <f t="shared" si="11"/>
        <v>Quinta-Feira</v>
      </c>
      <c r="D99" s="445" t="str">
        <f>IF(C99&lt;&gt;"Quarta-Feira","14:40","09:40")</f>
        <v>14:40</v>
      </c>
      <c r="E99" s="218"/>
      <c r="F99" s="149"/>
      <c r="G99" s="148"/>
      <c r="H99" s="344"/>
      <c r="I99" s="18"/>
      <c r="J99" s="212"/>
      <c r="K99" s="212"/>
      <c r="R99" s="62"/>
    </row>
    <row r="100" ht="15.75" customHeight="1">
      <c r="A100" s="11" t="s">
        <v>16</v>
      </c>
      <c r="B100" s="205" t="s">
        <v>2652</v>
      </c>
      <c r="C100" s="69" t="str">
        <f t="shared" si="11"/>
        <v>Quinta-Feira</v>
      </c>
      <c r="D100" s="445" t="str">
        <f>IF(C100&lt;&gt;"Quarta-Feira","15:00","10:00")</f>
        <v>15:00</v>
      </c>
      <c r="E100" s="218"/>
      <c r="F100" s="149"/>
      <c r="G100" s="148"/>
      <c r="H100" s="344"/>
      <c r="I100" s="18"/>
      <c r="J100" s="212"/>
      <c r="K100" s="212"/>
      <c r="R100" s="62"/>
    </row>
    <row r="101" ht="15.75" customHeight="1">
      <c r="A101" s="11" t="s">
        <v>17</v>
      </c>
      <c r="B101" s="205" t="s">
        <v>2655</v>
      </c>
      <c r="C101" s="69" t="str">
        <f t="shared" si="11"/>
        <v>Quinta-Feira</v>
      </c>
      <c r="D101" s="445" t="str">
        <f>IF(C101&lt;&gt;"Quarta-Feira","15:20","10:20")</f>
        <v>15:20</v>
      </c>
      <c r="E101" s="218"/>
      <c r="F101" s="149"/>
      <c r="G101" s="148"/>
      <c r="H101" s="344"/>
      <c r="I101" s="18"/>
      <c r="J101" s="212"/>
      <c r="K101" s="212"/>
      <c r="R101" s="62"/>
    </row>
    <row r="102" ht="15.75" customHeight="1">
      <c r="A102" s="11" t="s">
        <v>85</v>
      </c>
      <c r="B102" s="205" t="s">
        <v>2658</v>
      </c>
      <c r="C102" s="69" t="str">
        <f t="shared" si="11"/>
        <v>Quinta-Feira</v>
      </c>
      <c r="D102" s="445" t="str">
        <f>IF(C102&lt;&gt;"Quarta-Feira","15:40","10:40")</f>
        <v>15:40</v>
      </c>
      <c r="E102" s="218"/>
      <c r="F102" s="149"/>
      <c r="G102" s="148"/>
      <c r="H102" s="344"/>
      <c r="I102" s="18"/>
      <c r="J102" s="212"/>
      <c r="K102" s="212"/>
      <c r="R102" s="62"/>
      <c r="V102" s="292"/>
    </row>
    <row r="103" ht="15.75" customHeight="1">
      <c r="A103" s="11" t="s">
        <v>87</v>
      </c>
      <c r="B103" s="205" t="s">
        <v>1734</v>
      </c>
      <c r="C103" s="69" t="str">
        <f t="shared" si="11"/>
        <v>Quinta-Feira</v>
      </c>
      <c r="D103" s="445" t="str">
        <f>IF(C103&lt;&gt;"Quarta-Feira","16:00","11:00")</f>
        <v>16:00</v>
      </c>
      <c r="E103" s="218"/>
      <c r="F103" s="149"/>
      <c r="G103" s="148"/>
      <c r="H103" s="344"/>
      <c r="I103" s="18"/>
      <c r="J103" s="212"/>
      <c r="K103" s="212"/>
      <c r="R103" s="62"/>
    </row>
    <row r="104" ht="15.75" customHeight="1">
      <c r="A104" s="11" t="s">
        <v>90</v>
      </c>
      <c r="B104" s="205" t="s">
        <v>2658</v>
      </c>
      <c r="C104" s="69" t="str">
        <f t="shared" si="11"/>
        <v>Quinta-Feira</v>
      </c>
      <c r="D104" s="445" t="str">
        <f>IF(C104&lt;&gt;"Quarta-Feira","16:20","11:20")</f>
        <v>16:20</v>
      </c>
      <c r="E104" s="218"/>
      <c r="F104" s="149"/>
      <c r="G104" s="148"/>
      <c r="H104" s="344"/>
      <c r="I104" s="18"/>
      <c r="J104" s="212"/>
      <c r="K104" s="212"/>
      <c r="R104" s="62"/>
    </row>
    <row r="105" ht="15.75" customHeight="1">
      <c r="A105" s="11" t="s">
        <v>93</v>
      </c>
      <c r="B105" s="205" t="s">
        <v>1734</v>
      </c>
      <c r="C105" s="69" t="str">
        <f t="shared" si="11"/>
        <v>Quinta-Feira</v>
      </c>
      <c r="D105" s="445" t="str">
        <f>IF(C105&lt;&gt;"Quarta-Feira","16:40","11:40")</f>
        <v>16:40</v>
      </c>
      <c r="E105" s="218"/>
      <c r="F105" s="149"/>
      <c r="G105" s="148"/>
      <c r="H105" s="344"/>
      <c r="I105" s="18"/>
      <c r="J105" s="212"/>
      <c r="K105" s="212"/>
      <c r="R105" s="62"/>
    </row>
    <row r="106" ht="15.75" customHeight="1">
      <c r="E106" s="231"/>
      <c r="J106" s="62"/>
      <c r="K106" s="62"/>
      <c r="R106" s="62"/>
    </row>
    <row r="107" ht="15.75" customHeight="1">
      <c r="E107" s="231"/>
      <c r="J107" s="62"/>
      <c r="K107" s="62"/>
      <c r="R107" s="62"/>
    </row>
    <row r="108" ht="15.75" customHeight="1">
      <c r="E108" s="231"/>
      <c r="J108" s="62"/>
      <c r="K108" s="62"/>
      <c r="R108" s="62"/>
    </row>
    <row r="109" ht="15.75" customHeight="1">
      <c r="A109" s="20" t="s">
        <v>18</v>
      </c>
      <c r="B109" s="2"/>
      <c r="C109" s="2"/>
      <c r="D109" s="2"/>
      <c r="E109" s="2"/>
      <c r="F109" s="2"/>
      <c r="G109" s="2"/>
      <c r="H109" s="2"/>
      <c r="I109" s="2"/>
      <c r="J109" s="2"/>
      <c r="K109" s="3"/>
      <c r="R109" s="62"/>
    </row>
    <row r="110" ht="15.75" customHeight="1">
      <c r="A110" s="21" t="str">
        <f>TEXT(DATE(VALUE(MID(A74,7,4)),VALUE(MID(A74,4,2)),VALUE(LEFT(A74,2)))+7,"dd/mm/yyyy")&amp;" 13h às 17h"</f>
        <v>25/08/2026 13h às 17h</v>
      </c>
      <c r="B110" s="2"/>
      <c r="C110" s="2"/>
      <c r="D110" s="2"/>
      <c r="E110" s="2"/>
      <c r="F110" s="2"/>
      <c r="G110" s="2"/>
      <c r="H110" s="2"/>
      <c r="I110" s="2"/>
      <c r="J110" s="2"/>
      <c r="K110" s="3"/>
      <c r="R110" s="62"/>
    </row>
    <row r="111" ht="15.75" customHeight="1">
      <c r="A111" s="22"/>
      <c r="B111" s="23" t="s">
        <v>3</v>
      </c>
      <c r="C111" s="24" t="s">
        <v>2</v>
      </c>
      <c r="D111" s="25" t="s">
        <v>5</v>
      </c>
      <c r="E111" s="26" t="s">
        <v>19</v>
      </c>
      <c r="F111" s="25" t="s">
        <v>6</v>
      </c>
      <c r="G111" s="25" t="s">
        <v>7</v>
      </c>
      <c r="H111" s="27" t="s">
        <v>8</v>
      </c>
      <c r="I111" s="28" t="s">
        <v>20</v>
      </c>
      <c r="J111" s="25" t="s">
        <v>21</v>
      </c>
      <c r="K111" s="25" t="s">
        <v>22</v>
      </c>
      <c r="R111" s="62"/>
    </row>
    <row r="112" ht="15.75" customHeight="1">
      <c r="A112" s="11" t="s">
        <v>10</v>
      </c>
      <c r="B112" s="205" t="s">
        <v>2081</v>
      </c>
      <c r="C112" s="69" t="str">
        <f t="shared" ref="C112:C123" si="13">PROPER(TEXT(DATE(MID($A$110,7,4),MID($A$110,4,2),LEFT($A$110,2)),"dddd"))</f>
        <v>Terça-Feira</v>
      </c>
      <c r="D112" s="445" t="str">
        <f>IF(C112&lt;&gt;"Quarta-Feira","13:00","08:00")</f>
        <v>13:00</v>
      </c>
      <c r="E112" s="253"/>
      <c r="F112" s="69"/>
      <c r="G112" s="154"/>
      <c r="H112" s="193"/>
      <c r="I112" s="18"/>
      <c r="J112" s="97"/>
      <c r="K112" s="97"/>
      <c r="N112" s="237" t="s">
        <v>386</v>
      </c>
      <c r="O112" s="95"/>
      <c r="P112" s="95"/>
      <c r="Q112" s="95"/>
      <c r="R112" s="62"/>
    </row>
    <row r="113" ht="15.75" customHeight="1">
      <c r="A113" s="11" t="s">
        <v>11</v>
      </c>
      <c r="B113" s="205" t="s">
        <v>2083</v>
      </c>
      <c r="C113" s="69" t="str">
        <f t="shared" si="13"/>
        <v>Terça-Feira</v>
      </c>
      <c r="D113" s="445" t="str">
        <f>IF(C113&lt;&gt;"Quarta-Feira","13:20","08:20")</f>
        <v>13:20</v>
      </c>
      <c r="E113" s="253"/>
      <c r="F113" s="69"/>
      <c r="G113" s="154"/>
      <c r="H113" s="193"/>
      <c r="I113" s="18"/>
      <c r="J113" s="97"/>
      <c r="K113" s="97"/>
      <c r="N113" s="239" t="s">
        <v>2085</v>
      </c>
      <c r="O113" s="2"/>
      <c r="P113" s="2"/>
      <c r="Q113" s="2"/>
      <c r="R113" s="62"/>
    </row>
    <row r="114" ht="15.75" customHeight="1">
      <c r="A114" s="11" t="s">
        <v>12</v>
      </c>
      <c r="B114" s="205" t="s">
        <v>2086</v>
      </c>
      <c r="C114" s="69" t="str">
        <f t="shared" si="13"/>
        <v>Terça-Feira</v>
      </c>
      <c r="D114" s="445" t="str">
        <f>IF(C114&lt;&gt;"Quarta-Feira","13:40","08:40")</f>
        <v>13:40</v>
      </c>
      <c r="E114" s="253"/>
      <c r="F114" s="69"/>
      <c r="G114" s="154"/>
      <c r="H114" s="193"/>
      <c r="I114" s="18"/>
      <c r="J114" s="97"/>
      <c r="K114" s="97"/>
      <c r="N114" s="240" t="s">
        <v>182</v>
      </c>
      <c r="O114" s="241" t="s">
        <v>194</v>
      </c>
      <c r="P114" s="241" t="s">
        <v>180</v>
      </c>
      <c r="Q114" s="242" t="s">
        <v>2087</v>
      </c>
      <c r="R114" s="62"/>
    </row>
    <row r="115" ht="15.75" customHeight="1">
      <c r="A115" s="11" t="s">
        <v>13</v>
      </c>
      <c r="B115" s="205" t="s">
        <v>2088</v>
      </c>
      <c r="C115" s="69" t="str">
        <f t="shared" si="13"/>
        <v>Terça-Feira</v>
      </c>
      <c r="D115" s="445" t="str">
        <f>IF(C115&lt;&gt;"Quarta-Feira","14:00","09:00")</f>
        <v>14:00</v>
      </c>
      <c r="E115" s="253"/>
      <c r="F115" s="69"/>
      <c r="G115" s="154"/>
      <c r="H115" s="193"/>
      <c r="I115" s="18"/>
      <c r="J115" s="97"/>
      <c r="K115" s="97"/>
      <c r="N115" s="244">
        <f t="shared" ref="N115:Q115" si="14">COUNTIFS($I$112:$I$123,N114)</f>
        <v>0</v>
      </c>
      <c r="O115" s="244">
        <f t="shared" si="14"/>
        <v>0</v>
      </c>
      <c r="P115" s="244">
        <f t="shared" si="14"/>
        <v>0</v>
      </c>
      <c r="Q115" s="244">
        <f t="shared" si="14"/>
        <v>0</v>
      </c>
      <c r="R115" s="62"/>
    </row>
    <row r="116" ht="15.75" customHeight="1">
      <c r="A116" s="11" t="s">
        <v>14</v>
      </c>
      <c r="B116" s="205" t="s">
        <v>2081</v>
      </c>
      <c r="C116" s="69" t="str">
        <f t="shared" si="13"/>
        <v>Terça-Feira</v>
      </c>
      <c r="D116" s="445" t="str">
        <f>IF(C116&lt;&gt;"Quarta-Feira","14:20","09:20")</f>
        <v>14:20</v>
      </c>
      <c r="E116" s="253"/>
      <c r="F116" s="69"/>
      <c r="G116" s="154"/>
      <c r="H116" s="193"/>
      <c r="I116" s="18"/>
      <c r="J116" s="97"/>
      <c r="K116" s="97"/>
      <c r="R116" s="62"/>
    </row>
    <row r="117" ht="15.75" customHeight="1">
      <c r="A117" s="11" t="s">
        <v>15</v>
      </c>
      <c r="B117" s="205" t="s">
        <v>2088</v>
      </c>
      <c r="C117" s="69" t="str">
        <f t="shared" si="13"/>
        <v>Terça-Feira</v>
      </c>
      <c r="D117" s="445" t="str">
        <f>IF(C117&lt;&gt;"Quarta-Feira","14:40","09:40")</f>
        <v>14:40</v>
      </c>
      <c r="E117" s="253"/>
      <c r="F117" s="69"/>
      <c r="G117" s="154"/>
      <c r="H117" s="193"/>
      <c r="I117" s="18"/>
      <c r="J117" s="97"/>
      <c r="K117" s="97"/>
      <c r="R117" s="62"/>
    </row>
    <row r="118" ht="15.75" customHeight="1">
      <c r="A118" s="11" t="s">
        <v>16</v>
      </c>
      <c r="B118" s="205" t="s">
        <v>2092</v>
      </c>
      <c r="C118" s="69" t="str">
        <f t="shared" si="13"/>
        <v>Terça-Feira</v>
      </c>
      <c r="D118" s="445" t="str">
        <f>IF(C118&lt;&gt;"Quarta-Feira","15:00","10:00")</f>
        <v>15:00</v>
      </c>
      <c r="E118" s="253"/>
      <c r="F118" s="69"/>
      <c r="G118" s="154"/>
      <c r="H118" s="193"/>
      <c r="I118" s="18"/>
      <c r="J118" s="97"/>
      <c r="K118" s="97"/>
      <c r="R118" s="62"/>
    </row>
    <row r="119" ht="15.75" customHeight="1">
      <c r="A119" s="11" t="s">
        <v>17</v>
      </c>
      <c r="B119" s="205" t="s">
        <v>2093</v>
      </c>
      <c r="C119" s="69" t="str">
        <f t="shared" si="13"/>
        <v>Terça-Feira</v>
      </c>
      <c r="D119" s="445" t="str">
        <f>IF(C119&lt;&gt;"Quarta-Feira","15:20","10:20")</f>
        <v>15:20</v>
      </c>
      <c r="E119" s="253"/>
      <c r="F119" s="69"/>
      <c r="G119" s="154"/>
      <c r="H119" s="193"/>
      <c r="I119" s="18"/>
      <c r="J119" s="97"/>
      <c r="K119" s="97"/>
      <c r="R119" s="62"/>
    </row>
    <row r="120" ht="15.75" customHeight="1">
      <c r="A120" s="11" t="s">
        <v>85</v>
      </c>
      <c r="B120" s="205" t="s">
        <v>2094</v>
      </c>
      <c r="C120" s="69" t="str">
        <f t="shared" si="13"/>
        <v>Terça-Feira</v>
      </c>
      <c r="D120" s="445" t="str">
        <f>IF(C120&lt;&gt;"Quarta-Feira","15:40","10:40")</f>
        <v>15:40</v>
      </c>
      <c r="E120" s="253"/>
      <c r="F120" s="69"/>
      <c r="G120" s="154"/>
      <c r="H120" s="193"/>
      <c r="I120" s="18"/>
      <c r="J120" s="97"/>
      <c r="K120" s="97"/>
      <c r="R120" s="62"/>
    </row>
    <row r="121" ht="15.75" customHeight="1">
      <c r="A121" s="11" t="s">
        <v>87</v>
      </c>
      <c r="B121" s="205" t="s">
        <v>2095</v>
      </c>
      <c r="C121" s="69" t="str">
        <f t="shared" si="13"/>
        <v>Terça-Feira</v>
      </c>
      <c r="D121" s="445" t="str">
        <f>IF(C121&lt;&gt;"Quarta-Feira","16:00","11:00")</f>
        <v>16:00</v>
      </c>
      <c r="E121" s="253"/>
      <c r="F121" s="69"/>
      <c r="G121" s="154"/>
      <c r="H121" s="193"/>
      <c r="I121" s="18"/>
      <c r="J121" s="97"/>
      <c r="K121" s="97"/>
      <c r="R121" s="62"/>
    </row>
    <row r="122" ht="15.75" customHeight="1">
      <c r="A122" s="11" t="s">
        <v>90</v>
      </c>
      <c r="B122" s="205" t="s">
        <v>2097</v>
      </c>
      <c r="C122" s="69" t="str">
        <f t="shared" si="13"/>
        <v>Terça-Feira</v>
      </c>
      <c r="D122" s="445" t="str">
        <f>IF(C122&lt;&gt;"Quarta-Feira","16:20","11:20")</f>
        <v>16:20</v>
      </c>
      <c r="E122" s="253"/>
      <c r="F122" s="69"/>
      <c r="G122" s="154"/>
      <c r="H122" s="193"/>
      <c r="I122" s="18"/>
      <c r="J122" s="97"/>
      <c r="K122" s="97"/>
      <c r="R122" s="62"/>
    </row>
    <row r="123" ht="15.75" customHeight="1">
      <c r="A123" s="11" t="s">
        <v>93</v>
      </c>
      <c r="B123" s="205" t="s">
        <v>2095</v>
      </c>
      <c r="C123" s="69" t="str">
        <f t="shared" si="13"/>
        <v>Terça-Feira</v>
      </c>
      <c r="D123" s="445" t="str">
        <f>IF(C123&lt;&gt;"Quarta-Feira","16:40","11:40")</f>
        <v>16:40</v>
      </c>
      <c r="E123" s="253"/>
      <c r="F123" s="69"/>
      <c r="G123" s="154"/>
      <c r="H123" s="193"/>
      <c r="I123" s="18"/>
      <c r="J123" s="97"/>
      <c r="K123" s="97"/>
      <c r="R123" s="62"/>
    </row>
    <row r="124" ht="15.75" customHeight="1">
      <c r="A124" s="438"/>
      <c r="B124" s="430"/>
      <c r="C124" s="275"/>
      <c r="D124" s="439"/>
      <c r="E124" s="254"/>
      <c r="F124" s="440"/>
      <c r="G124" s="441"/>
      <c r="H124" s="255"/>
      <c r="I124" s="442"/>
      <c r="J124" s="443"/>
      <c r="K124" s="443"/>
      <c r="R124" s="62"/>
    </row>
    <row r="125" ht="15.75" customHeight="1">
      <c r="A125" s="438"/>
      <c r="B125" s="430"/>
      <c r="C125" s="275"/>
      <c r="D125" s="439"/>
      <c r="E125" s="254"/>
      <c r="F125" s="440"/>
      <c r="G125" s="441"/>
      <c r="H125" s="255"/>
      <c r="I125" s="442"/>
      <c r="J125" s="443"/>
      <c r="K125" s="443"/>
      <c r="R125" s="62"/>
    </row>
    <row r="126" ht="15.75" customHeight="1">
      <c r="A126" s="438"/>
      <c r="B126" s="430"/>
      <c r="C126" s="275"/>
      <c r="D126" s="439"/>
      <c r="E126" s="254"/>
      <c r="F126" s="440"/>
      <c r="G126" s="441"/>
      <c r="H126" s="255"/>
      <c r="I126" s="442"/>
      <c r="J126" s="443"/>
      <c r="K126" s="443"/>
      <c r="R126" s="62"/>
    </row>
    <row r="127" ht="15.75" customHeight="1">
      <c r="A127" s="20" t="s">
        <v>18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  <c r="R127" s="62"/>
    </row>
    <row r="128" ht="15.75" customHeight="1">
      <c r="A128" s="21" t="str">
        <f>TEXT(DATE(VALUE(MID(A110,7,4)),VALUE(MID(A110,4,2)),VALUE(LEFT(A110,2)))+2,"dd/mm/yyyy")&amp;" 13h às 17h"</f>
        <v>27/08/2026 13h às 17h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R128" s="62"/>
    </row>
    <row r="129" ht="15.75" customHeight="1">
      <c r="A129" s="22"/>
      <c r="B129" s="23" t="s">
        <v>3</v>
      </c>
      <c r="C129" s="24" t="s">
        <v>2</v>
      </c>
      <c r="D129" s="25" t="s">
        <v>5</v>
      </c>
      <c r="E129" s="26" t="s">
        <v>19</v>
      </c>
      <c r="F129" s="25" t="s">
        <v>6</v>
      </c>
      <c r="G129" s="25" t="s">
        <v>7</v>
      </c>
      <c r="H129" s="27" t="s">
        <v>8</v>
      </c>
      <c r="I129" s="28" t="s">
        <v>20</v>
      </c>
      <c r="J129" s="25" t="s">
        <v>21</v>
      </c>
      <c r="K129" s="25" t="s">
        <v>22</v>
      </c>
      <c r="R129" s="62"/>
    </row>
    <row r="130" ht="15.75" customHeight="1">
      <c r="A130" s="11" t="s">
        <v>10</v>
      </c>
      <c r="B130" s="205" t="s">
        <v>1789</v>
      </c>
      <c r="C130" s="69" t="str">
        <f t="shared" ref="C130:C141" si="15">PROPER(TEXT(DATE(MID($A$92,7,4),MID($A$92,4,2),LEFT($A$92,2)),"dddd"))</f>
        <v>Quinta-Feira</v>
      </c>
      <c r="D130" s="445" t="str">
        <f>IF(C130&lt;&gt;"Quarta-Feira","13:00","08:00")</f>
        <v>13:00</v>
      </c>
      <c r="E130" s="218"/>
      <c r="F130" s="149"/>
      <c r="G130" s="148"/>
      <c r="H130" s="344"/>
      <c r="I130" s="18"/>
      <c r="J130" s="212"/>
      <c r="K130" s="212"/>
      <c r="N130" s="237" t="s">
        <v>386</v>
      </c>
      <c r="O130" s="95"/>
      <c r="P130" s="95"/>
      <c r="Q130" s="95"/>
      <c r="R130" s="62"/>
    </row>
    <row r="131" ht="15.75" customHeight="1">
      <c r="A131" s="11" t="s">
        <v>11</v>
      </c>
      <c r="B131" s="205" t="s">
        <v>1713</v>
      </c>
      <c r="C131" s="69" t="str">
        <f t="shared" si="15"/>
        <v>Quinta-Feira</v>
      </c>
      <c r="D131" s="445" t="str">
        <f>IF(C131&lt;&gt;"Quarta-Feira","13:20","08:20")</f>
        <v>13:20</v>
      </c>
      <c r="E131" s="218"/>
      <c r="F131" s="425"/>
      <c r="G131" s="148"/>
      <c r="H131" s="437"/>
      <c r="I131" s="18"/>
      <c r="J131" s="212"/>
      <c r="K131" s="212"/>
      <c r="N131" s="239" t="s">
        <v>2085</v>
      </c>
      <c r="O131" s="2"/>
      <c r="P131" s="2"/>
      <c r="Q131" s="2"/>
      <c r="R131" s="62"/>
    </row>
    <row r="132" ht="15.75" customHeight="1">
      <c r="A132" s="11" t="s">
        <v>12</v>
      </c>
      <c r="B132" s="205" t="s">
        <v>1780</v>
      </c>
      <c r="C132" s="69" t="str">
        <f t="shared" si="15"/>
        <v>Quinta-Feira</v>
      </c>
      <c r="D132" s="445" t="str">
        <f>IF(C132&lt;&gt;"Quarta-Feira","13:40","08:40")</f>
        <v>13:40</v>
      </c>
      <c r="E132" s="218"/>
      <c r="F132" s="149"/>
      <c r="G132" s="148"/>
      <c r="H132" s="344"/>
      <c r="I132" s="18"/>
      <c r="J132" s="212"/>
      <c r="K132" s="212"/>
      <c r="N132" s="240" t="s">
        <v>182</v>
      </c>
      <c r="O132" s="241" t="s">
        <v>194</v>
      </c>
      <c r="P132" s="241" t="s">
        <v>180</v>
      </c>
      <c r="Q132" s="242" t="s">
        <v>2087</v>
      </c>
      <c r="R132" s="62"/>
    </row>
    <row r="133" ht="15.75" customHeight="1">
      <c r="A133" s="11" t="s">
        <v>13</v>
      </c>
      <c r="B133" s="205" t="s">
        <v>1720</v>
      </c>
      <c r="C133" s="69" t="str">
        <f t="shared" si="15"/>
        <v>Quinta-Feira</v>
      </c>
      <c r="D133" s="445" t="str">
        <f>IF(C133&lt;&gt;"Quarta-Feira","14:00","09:00")</f>
        <v>14:00</v>
      </c>
      <c r="E133" s="218"/>
      <c r="F133" s="206"/>
      <c r="G133" s="205"/>
      <c r="H133" s="432"/>
      <c r="I133" s="18"/>
      <c r="J133" s="212"/>
      <c r="K133" s="212"/>
      <c r="N133" s="244">
        <f t="shared" ref="N133:Q133" si="16">COUNTIFS($I$130:$I$141,N132)</f>
        <v>0</v>
      </c>
      <c r="O133" s="244">
        <f t="shared" si="16"/>
        <v>0</v>
      </c>
      <c r="P133" s="244">
        <f t="shared" si="16"/>
        <v>0</v>
      </c>
      <c r="Q133" s="244">
        <f t="shared" si="16"/>
        <v>0</v>
      </c>
      <c r="R133" s="62"/>
    </row>
    <row r="134" ht="15.75" customHeight="1">
      <c r="A134" s="11" t="s">
        <v>14</v>
      </c>
      <c r="B134" s="205" t="s">
        <v>1795</v>
      </c>
      <c r="C134" s="69" t="str">
        <f t="shared" si="15"/>
        <v>Quinta-Feira</v>
      </c>
      <c r="D134" s="445" t="str">
        <f>IF(C134&lt;&gt;"Quarta-Feira","14:20","09:20")</f>
        <v>14:20</v>
      </c>
      <c r="E134" s="218"/>
      <c r="F134" s="149"/>
      <c r="G134" s="148"/>
      <c r="H134" s="344"/>
      <c r="I134" s="18"/>
      <c r="J134" s="212"/>
      <c r="K134" s="212"/>
      <c r="R134" s="62"/>
    </row>
    <row r="135" ht="15.75" customHeight="1">
      <c r="A135" s="11" t="s">
        <v>15</v>
      </c>
      <c r="B135" s="205" t="s">
        <v>1789</v>
      </c>
      <c r="C135" s="69" t="str">
        <f t="shared" si="15"/>
        <v>Quinta-Feira</v>
      </c>
      <c r="D135" s="445" t="str">
        <f>IF(C135&lt;&gt;"Quarta-Feira","14:40","09:40")</f>
        <v>14:40</v>
      </c>
      <c r="E135" s="218"/>
      <c r="F135" s="149"/>
      <c r="G135" s="148"/>
      <c r="H135" s="344"/>
      <c r="I135" s="18"/>
      <c r="J135" s="212"/>
      <c r="K135" s="212"/>
      <c r="R135" s="62"/>
    </row>
    <row r="136" ht="15.75" customHeight="1">
      <c r="A136" s="11" t="s">
        <v>16</v>
      </c>
      <c r="B136" s="205" t="s">
        <v>2652</v>
      </c>
      <c r="C136" s="69" t="str">
        <f t="shared" si="15"/>
        <v>Quinta-Feira</v>
      </c>
      <c r="D136" s="445" t="str">
        <f>IF(C136&lt;&gt;"Quarta-Feira","15:00","10:00")</f>
        <v>15:00</v>
      </c>
      <c r="E136" s="218"/>
      <c r="F136" s="149"/>
      <c r="G136" s="148"/>
      <c r="H136" s="344"/>
      <c r="I136" s="18"/>
      <c r="J136" s="212"/>
      <c r="K136" s="212"/>
      <c r="R136" s="62"/>
    </row>
    <row r="137" ht="15.75" customHeight="1">
      <c r="A137" s="11" t="s">
        <v>17</v>
      </c>
      <c r="B137" s="205" t="s">
        <v>2655</v>
      </c>
      <c r="C137" s="69" t="str">
        <f t="shared" si="15"/>
        <v>Quinta-Feira</v>
      </c>
      <c r="D137" s="445" t="str">
        <f>IF(C137&lt;&gt;"Quarta-Feira","15:20","10:20")</f>
        <v>15:20</v>
      </c>
      <c r="E137" s="218"/>
      <c r="F137" s="149"/>
      <c r="G137" s="148"/>
      <c r="H137" s="344"/>
      <c r="I137" s="18"/>
      <c r="J137" s="212"/>
      <c r="K137" s="212"/>
      <c r="R137" s="62"/>
    </row>
    <row r="138" ht="15.75" customHeight="1">
      <c r="A138" s="11" t="s">
        <v>85</v>
      </c>
      <c r="B138" s="205" t="s">
        <v>2658</v>
      </c>
      <c r="C138" s="69" t="str">
        <f t="shared" si="15"/>
        <v>Quinta-Feira</v>
      </c>
      <c r="D138" s="445" t="str">
        <f>IF(C138&lt;&gt;"Quarta-Feira","15:40","10:40")</f>
        <v>15:40</v>
      </c>
      <c r="E138" s="218"/>
      <c r="F138" s="149"/>
      <c r="G138" s="148"/>
      <c r="H138" s="344"/>
      <c r="I138" s="18"/>
      <c r="J138" s="212"/>
      <c r="K138" s="212"/>
      <c r="R138" s="62"/>
    </row>
    <row r="139" ht="15.75" customHeight="1">
      <c r="A139" s="11" t="s">
        <v>87</v>
      </c>
      <c r="B139" s="205" t="s">
        <v>1734</v>
      </c>
      <c r="C139" s="69" t="str">
        <f t="shared" si="15"/>
        <v>Quinta-Feira</v>
      </c>
      <c r="D139" s="445" t="str">
        <f>IF(C139&lt;&gt;"Quarta-Feira","16:00","11:00")</f>
        <v>16:00</v>
      </c>
      <c r="E139" s="218"/>
      <c r="F139" s="149"/>
      <c r="G139" s="148"/>
      <c r="H139" s="344"/>
      <c r="I139" s="18"/>
      <c r="J139" s="212"/>
      <c r="K139" s="212"/>
      <c r="R139" s="62"/>
    </row>
    <row r="140" ht="15.75" customHeight="1">
      <c r="A140" s="11" t="s">
        <v>90</v>
      </c>
      <c r="B140" s="205" t="s">
        <v>2658</v>
      </c>
      <c r="C140" s="69" t="str">
        <f t="shared" si="15"/>
        <v>Quinta-Feira</v>
      </c>
      <c r="D140" s="445" t="str">
        <f>IF(C140&lt;&gt;"Quarta-Feira","16:20","11:20")</f>
        <v>16:20</v>
      </c>
      <c r="E140" s="218"/>
      <c r="F140" s="149"/>
      <c r="G140" s="148"/>
      <c r="H140" s="344"/>
      <c r="I140" s="18"/>
      <c r="J140" s="212"/>
      <c r="K140" s="212"/>
      <c r="R140" s="62"/>
    </row>
    <row r="141" ht="15.75" customHeight="1">
      <c r="A141" s="11" t="s">
        <v>93</v>
      </c>
      <c r="B141" s="205" t="s">
        <v>1734</v>
      </c>
      <c r="C141" s="69" t="str">
        <f t="shared" si="15"/>
        <v>Quinta-Feira</v>
      </c>
      <c r="D141" s="445" t="str">
        <f>IF(C141&lt;&gt;"Quarta-Feira","16:40","11:40")</f>
        <v>16:40</v>
      </c>
      <c r="E141" s="218"/>
      <c r="F141" s="149"/>
      <c r="G141" s="148"/>
      <c r="H141" s="344"/>
      <c r="I141" s="18"/>
      <c r="J141" s="212"/>
      <c r="K141" s="212"/>
      <c r="R141" s="62"/>
    </row>
    <row r="142" ht="15.75" customHeight="1">
      <c r="A142" s="438"/>
      <c r="B142" s="430"/>
      <c r="C142" s="275"/>
      <c r="D142" s="439"/>
      <c r="E142" s="254"/>
      <c r="F142" s="440"/>
      <c r="G142" s="441"/>
      <c r="H142" s="255"/>
      <c r="I142" s="442"/>
      <c r="J142" s="443"/>
      <c r="K142" s="443"/>
      <c r="R142" s="62"/>
    </row>
    <row r="143" ht="15.75" customHeight="1">
      <c r="A143" s="438"/>
      <c r="B143" s="430"/>
      <c r="C143" s="275"/>
      <c r="D143" s="439"/>
      <c r="E143" s="254"/>
      <c r="F143" s="440"/>
      <c r="G143" s="441"/>
      <c r="H143" s="255"/>
      <c r="I143" s="442"/>
      <c r="J143" s="443"/>
      <c r="K143" s="443"/>
      <c r="R143" s="62"/>
    </row>
    <row r="144" ht="15.75" customHeight="1">
      <c r="A144" s="438"/>
      <c r="B144" s="430"/>
      <c r="C144" s="275"/>
      <c r="D144" s="439"/>
      <c r="E144" s="254"/>
      <c r="F144" s="440"/>
      <c r="G144" s="441"/>
      <c r="H144" s="255"/>
      <c r="I144" s="442"/>
      <c r="J144" s="443"/>
      <c r="K144" s="443"/>
      <c r="R144" s="62"/>
    </row>
    <row r="145" ht="15.75" hidden="1" customHeight="1">
      <c r="A145" s="20" t="s">
        <v>18</v>
      </c>
      <c r="B145" s="2"/>
      <c r="C145" s="2"/>
      <c r="D145" s="2"/>
      <c r="E145" s="2"/>
      <c r="F145" s="2"/>
      <c r="G145" s="2"/>
      <c r="H145" s="2"/>
      <c r="I145" s="2"/>
      <c r="J145" s="2"/>
      <c r="K145" s="3"/>
      <c r="R145" s="62"/>
    </row>
    <row r="146" ht="15.75" hidden="1" customHeight="1">
      <c r="A146" s="21" t="str">
        <f>TEXT(DATE(VALUE(MID(A110,7,4)),VALUE(MID(A110,4,2)),VALUE(LEFT(A110,2)))+7,"dd/mm/yyyy")&amp;" 13h às 17h"</f>
        <v>01/09/2026 13h às 17h</v>
      </c>
      <c r="B146" s="2"/>
      <c r="C146" s="2"/>
      <c r="D146" s="2"/>
      <c r="E146" s="2"/>
      <c r="F146" s="2"/>
      <c r="G146" s="2"/>
      <c r="H146" s="2"/>
      <c r="I146" s="2"/>
      <c r="J146" s="2"/>
      <c r="K146" s="3"/>
      <c r="R146" s="62"/>
    </row>
    <row r="147" ht="15.75" hidden="1" customHeight="1">
      <c r="A147" s="22"/>
      <c r="B147" s="23" t="s">
        <v>3</v>
      </c>
      <c r="C147" s="24" t="s">
        <v>2</v>
      </c>
      <c r="D147" s="25" t="s">
        <v>5</v>
      </c>
      <c r="E147" s="26" t="s">
        <v>19</v>
      </c>
      <c r="F147" s="25" t="s">
        <v>6</v>
      </c>
      <c r="G147" s="25" t="s">
        <v>7</v>
      </c>
      <c r="H147" s="27" t="s">
        <v>8</v>
      </c>
      <c r="I147" s="28" t="s">
        <v>20</v>
      </c>
      <c r="J147" s="25" t="s">
        <v>21</v>
      </c>
      <c r="K147" s="25" t="s">
        <v>22</v>
      </c>
      <c r="R147" s="62"/>
    </row>
    <row r="148" ht="15.75" hidden="1" customHeight="1">
      <c r="A148" s="11" t="s">
        <v>10</v>
      </c>
      <c r="B148" s="205" t="s">
        <v>2081</v>
      </c>
      <c r="C148" s="69" t="str">
        <f t="shared" ref="C148:C159" si="17">PROPER(TEXT(DATE(MID($A$110,7,4),MID($A$110,4,2),LEFT($A$110,2)),"dddd"))</f>
        <v>Terça-Feira</v>
      </c>
      <c r="D148" s="445" t="str">
        <f>IF(C148&lt;&gt;"Quarta-Feira","13:00","08:00")</f>
        <v>13:00</v>
      </c>
      <c r="E148" s="253"/>
      <c r="F148" s="69"/>
      <c r="G148" s="154"/>
      <c r="H148" s="193"/>
      <c r="I148" s="18"/>
      <c r="J148" s="97"/>
      <c r="K148" s="97"/>
      <c r="N148" s="237" t="s">
        <v>386</v>
      </c>
      <c r="O148" s="95"/>
      <c r="P148" s="95"/>
      <c r="Q148" s="95"/>
      <c r="R148" s="62"/>
    </row>
    <row r="149" ht="15.75" hidden="1" customHeight="1">
      <c r="A149" s="11" t="s">
        <v>11</v>
      </c>
      <c r="B149" s="205" t="s">
        <v>2083</v>
      </c>
      <c r="C149" s="69" t="str">
        <f t="shared" si="17"/>
        <v>Terça-Feira</v>
      </c>
      <c r="D149" s="445" t="str">
        <f>IF(C149&lt;&gt;"Quarta-Feira","13:20","08:20")</f>
        <v>13:20</v>
      </c>
      <c r="E149" s="253"/>
      <c r="F149" s="69"/>
      <c r="G149" s="154"/>
      <c r="H149" s="193"/>
      <c r="I149" s="18"/>
      <c r="J149" s="97"/>
      <c r="K149" s="97"/>
      <c r="N149" s="239" t="s">
        <v>2085</v>
      </c>
      <c r="O149" s="2"/>
      <c r="P149" s="2"/>
      <c r="Q149" s="2"/>
      <c r="R149" s="62"/>
    </row>
    <row r="150" ht="15.75" hidden="1" customHeight="1">
      <c r="A150" s="11" t="s">
        <v>12</v>
      </c>
      <c r="B150" s="205" t="s">
        <v>2086</v>
      </c>
      <c r="C150" s="69" t="str">
        <f t="shared" si="17"/>
        <v>Terça-Feira</v>
      </c>
      <c r="D150" s="445" t="str">
        <f>IF(C150&lt;&gt;"Quarta-Feira","13:40","08:40")</f>
        <v>13:40</v>
      </c>
      <c r="E150" s="253"/>
      <c r="F150" s="69"/>
      <c r="G150" s="154"/>
      <c r="H150" s="193"/>
      <c r="I150" s="18"/>
      <c r="J150" s="97"/>
      <c r="K150" s="97"/>
      <c r="N150" s="240" t="s">
        <v>182</v>
      </c>
      <c r="O150" s="241" t="s">
        <v>194</v>
      </c>
      <c r="P150" s="241" t="s">
        <v>180</v>
      </c>
      <c r="Q150" s="242" t="s">
        <v>2087</v>
      </c>
      <c r="R150" s="62"/>
    </row>
    <row r="151" ht="15.75" hidden="1" customHeight="1">
      <c r="A151" s="11" t="s">
        <v>13</v>
      </c>
      <c r="B151" s="205" t="s">
        <v>2088</v>
      </c>
      <c r="C151" s="69" t="str">
        <f t="shared" si="17"/>
        <v>Terça-Feira</v>
      </c>
      <c r="D151" s="445" t="str">
        <f>IF(C151&lt;&gt;"Quarta-Feira","14:00","09:00")</f>
        <v>14:00</v>
      </c>
      <c r="E151" s="253"/>
      <c r="F151" s="69"/>
      <c r="G151" s="154"/>
      <c r="H151" s="193"/>
      <c r="I151" s="18"/>
      <c r="J151" s="97"/>
      <c r="K151" s="97"/>
      <c r="N151" s="244">
        <f t="shared" ref="N151:Q151" si="18">COUNTIFS($I$112:$I$123,N150)</f>
        <v>0</v>
      </c>
      <c r="O151" s="244">
        <f t="shared" si="18"/>
        <v>0</v>
      </c>
      <c r="P151" s="244">
        <f t="shared" si="18"/>
        <v>0</v>
      </c>
      <c r="Q151" s="244">
        <f t="shared" si="18"/>
        <v>0</v>
      </c>
      <c r="R151" s="62"/>
    </row>
    <row r="152" ht="15.75" hidden="1" customHeight="1">
      <c r="A152" s="11" t="s">
        <v>14</v>
      </c>
      <c r="B152" s="205" t="s">
        <v>2081</v>
      </c>
      <c r="C152" s="69" t="str">
        <f t="shared" si="17"/>
        <v>Terça-Feira</v>
      </c>
      <c r="D152" s="445" t="str">
        <f>IF(C152&lt;&gt;"Quarta-Feira","14:20","09:20")</f>
        <v>14:20</v>
      </c>
      <c r="E152" s="253"/>
      <c r="F152" s="69"/>
      <c r="G152" s="154"/>
      <c r="H152" s="193"/>
      <c r="I152" s="18"/>
      <c r="J152" s="97"/>
      <c r="K152" s="97"/>
      <c r="R152" s="62"/>
    </row>
    <row r="153" ht="15.75" hidden="1" customHeight="1">
      <c r="A153" s="11" t="s">
        <v>15</v>
      </c>
      <c r="B153" s="205" t="s">
        <v>2088</v>
      </c>
      <c r="C153" s="69" t="str">
        <f t="shared" si="17"/>
        <v>Terça-Feira</v>
      </c>
      <c r="D153" s="445" t="str">
        <f>IF(C153&lt;&gt;"Quarta-Feira","14:40","09:40")</f>
        <v>14:40</v>
      </c>
      <c r="E153" s="253"/>
      <c r="F153" s="69"/>
      <c r="G153" s="154"/>
      <c r="H153" s="193"/>
      <c r="I153" s="18"/>
      <c r="J153" s="97"/>
      <c r="K153" s="97"/>
      <c r="R153" s="62"/>
    </row>
    <row r="154" ht="15.75" hidden="1" customHeight="1">
      <c r="A154" s="11" t="s">
        <v>16</v>
      </c>
      <c r="B154" s="205" t="s">
        <v>2092</v>
      </c>
      <c r="C154" s="69" t="str">
        <f t="shared" si="17"/>
        <v>Terça-Feira</v>
      </c>
      <c r="D154" s="445" t="str">
        <f>IF(C154&lt;&gt;"Quarta-Feira","15:00","10:00")</f>
        <v>15:00</v>
      </c>
      <c r="E154" s="253"/>
      <c r="F154" s="69"/>
      <c r="G154" s="154"/>
      <c r="H154" s="193"/>
      <c r="I154" s="18"/>
      <c r="J154" s="97"/>
      <c r="K154" s="97"/>
      <c r="R154" s="62"/>
    </row>
    <row r="155" ht="15.75" hidden="1" customHeight="1">
      <c r="A155" s="11" t="s">
        <v>17</v>
      </c>
      <c r="B155" s="205" t="s">
        <v>2093</v>
      </c>
      <c r="C155" s="69" t="str">
        <f t="shared" si="17"/>
        <v>Terça-Feira</v>
      </c>
      <c r="D155" s="445" t="str">
        <f>IF(C155&lt;&gt;"Quarta-Feira","15:20","10:20")</f>
        <v>15:20</v>
      </c>
      <c r="E155" s="253"/>
      <c r="F155" s="69"/>
      <c r="G155" s="154"/>
      <c r="H155" s="193"/>
      <c r="I155" s="18"/>
      <c r="J155" s="97"/>
      <c r="K155" s="97"/>
      <c r="R155" s="62"/>
    </row>
    <row r="156" ht="15.75" hidden="1" customHeight="1">
      <c r="A156" s="11" t="s">
        <v>85</v>
      </c>
      <c r="B156" s="205" t="s">
        <v>2094</v>
      </c>
      <c r="C156" s="69" t="str">
        <f t="shared" si="17"/>
        <v>Terça-Feira</v>
      </c>
      <c r="D156" s="445" t="str">
        <f>IF(C156&lt;&gt;"Quarta-Feira","15:40","10:40")</f>
        <v>15:40</v>
      </c>
      <c r="E156" s="253"/>
      <c r="F156" s="69"/>
      <c r="G156" s="154"/>
      <c r="H156" s="193"/>
      <c r="I156" s="18"/>
      <c r="J156" s="97"/>
      <c r="K156" s="97"/>
      <c r="R156" s="62"/>
    </row>
    <row r="157" ht="15.75" hidden="1" customHeight="1">
      <c r="A157" s="11" t="s">
        <v>87</v>
      </c>
      <c r="B157" s="205" t="s">
        <v>2095</v>
      </c>
      <c r="C157" s="69" t="str">
        <f t="shared" si="17"/>
        <v>Terça-Feira</v>
      </c>
      <c r="D157" s="445" t="str">
        <f>IF(C157&lt;&gt;"Quarta-Feira","16:00","11:00")</f>
        <v>16:00</v>
      </c>
      <c r="E157" s="253"/>
      <c r="F157" s="69"/>
      <c r="G157" s="154"/>
      <c r="H157" s="193"/>
      <c r="I157" s="18"/>
      <c r="J157" s="97"/>
      <c r="K157" s="97"/>
      <c r="R157" s="62"/>
    </row>
    <row r="158" ht="15.75" hidden="1" customHeight="1">
      <c r="A158" s="11" t="s">
        <v>90</v>
      </c>
      <c r="B158" s="205" t="s">
        <v>2097</v>
      </c>
      <c r="C158" s="69" t="str">
        <f t="shared" si="17"/>
        <v>Terça-Feira</v>
      </c>
      <c r="D158" s="445" t="str">
        <f>IF(C158&lt;&gt;"Quarta-Feira","16:20","11:20")</f>
        <v>16:20</v>
      </c>
      <c r="E158" s="253"/>
      <c r="F158" s="69"/>
      <c r="G158" s="154"/>
      <c r="H158" s="193"/>
      <c r="I158" s="18"/>
      <c r="J158" s="97"/>
      <c r="K158" s="97"/>
      <c r="R158" s="62"/>
    </row>
    <row r="159" ht="15.75" hidden="1" customHeight="1">
      <c r="A159" s="11" t="s">
        <v>93</v>
      </c>
      <c r="B159" s="205" t="s">
        <v>2095</v>
      </c>
      <c r="C159" s="69" t="str">
        <f t="shared" si="17"/>
        <v>Terça-Feira</v>
      </c>
      <c r="D159" s="445" t="str">
        <f>IF(C159&lt;&gt;"Quarta-Feira","16:40","11:40")</f>
        <v>16:40</v>
      </c>
      <c r="E159" s="253"/>
      <c r="F159" s="69"/>
      <c r="G159" s="154"/>
      <c r="H159" s="193"/>
      <c r="I159" s="18"/>
      <c r="J159" s="97"/>
      <c r="K159" s="97"/>
      <c r="R159" s="62"/>
    </row>
    <row r="160" ht="15.75" customHeight="1">
      <c r="A160" s="438"/>
      <c r="B160" s="430"/>
      <c r="C160" s="275"/>
      <c r="D160" s="439"/>
      <c r="E160" s="254"/>
      <c r="F160" s="440"/>
      <c r="G160" s="441"/>
      <c r="H160" s="255"/>
      <c r="I160" s="442"/>
      <c r="J160" s="443"/>
      <c r="K160" s="443"/>
      <c r="R160" s="62"/>
    </row>
    <row r="161" ht="15.75" customHeight="1">
      <c r="A161" s="438"/>
      <c r="B161" s="430"/>
      <c r="C161" s="275"/>
      <c r="D161" s="439"/>
      <c r="E161" s="254"/>
      <c r="F161" s="440"/>
      <c r="G161" s="441"/>
      <c r="H161" s="255"/>
      <c r="I161" s="442"/>
      <c r="J161" s="443"/>
      <c r="K161" s="443"/>
      <c r="R161" s="62"/>
    </row>
    <row r="162" ht="15.75" customHeight="1">
      <c r="A162" s="438"/>
      <c r="B162" s="430"/>
      <c r="C162" s="275"/>
      <c r="D162" s="439"/>
      <c r="E162" s="254"/>
      <c r="F162" s="440"/>
      <c r="G162" s="441"/>
      <c r="H162" s="255"/>
      <c r="I162" s="442"/>
      <c r="J162" s="443"/>
      <c r="K162" s="443"/>
      <c r="R162" s="62"/>
    </row>
    <row r="163" ht="15.75" customHeight="1">
      <c r="A163" s="438"/>
      <c r="B163" s="430"/>
      <c r="C163" s="275"/>
      <c r="D163" s="439"/>
      <c r="E163" s="254"/>
      <c r="F163" s="440"/>
      <c r="G163" s="441"/>
      <c r="H163" s="255"/>
      <c r="I163" s="442"/>
      <c r="J163" s="443"/>
      <c r="K163" s="443"/>
      <c r="R163" s="62"/>
    </row>
    <row r="164" ht="15.75" customHeight="1">
      <c r="A164" s="438"/>
      <c r="B164" s="430"/>
      <c r="C164" s="275"/>
      <c r="D164" s="439"/>
      <c r="E164" s="254"/>
      <c r="F164" s="440"/>
      <c r="G164" s="441"/>
      <c r="H164" s="255"/>
      <c r="I164" s="442"/>
      <c r="J164" s="443"/>
      <c r="K164" s="443"/>
      <c r="N164" s="237" t="s">
        <v>2079</v>
      </c>
      <c r="O164" s="95"/>
      <c r="P164" s="95"/>
      <c r="Q164" s="95"/>
      <c r="R164" s="62"/>
    </row>
    <row r="165" ht="15.75" customHeight="1">
      <c r="A165" s="438"/>
      <c r="B165" s="430"/>
      <c r="C165" s="275"/>
      <c r="D165" s="439"/>
      <c r="E165" s="254"/>
      <c r="F165" s="440"/>
      <c r="G165" s="441"/>
      <c r="H165" s="255"/>
      <c r="I165" s="442"/>
      <c r="J165" s="443"/>
      <c r="K165" s="443"/>
      <c r="N165" s="240" t="s">
        <v>182</v>
      </c>
      <c r="O165" s="241" t="s">
        <v>194</v>
      </c>
      <c r="P165" s="241" t="s">
        <v>180</v>
      </c>
      <c r="Q165" s="242" t="s">
        <v>172</v>
      </c>
      <c r="R165" s="62"/>
    </row>
    <row r="166" ht="15.75" customHeight="1">
      <c r="A166" s="438"/>
      <c r="B166" s="430"/>
      <c r="C166" s="275"/>
      <c r="D166" s="439"/>
      <c r="E166" s="254"/>
      <c r="F166" s="440"/>
      <c r="G166" s="441"/>
      <c r="H166" s="255"/>
      <c r="I166" s="442"/>
      <c r="J166" s="443"/>
      <c r="K166" s="443"/>
      <c r="N166" s="197">
        <f t="shared" ref="N166:Q166" si="19">SUM(N4:N162)</f>
        <v>0</v>
      </c>
      <c r="O166" s="197">
        <f t="shared" si="19"/>
        <v>0</v>
      </c>
      <c r="P166" s="197">
        <f t="shared" si="19"/>
        <v>0</v>
      </c>
      <c r="Q166" s="197">
        <f t="shared" si="19"/>
        <v>0</v>
      </c>
      <c r="R166" s="62"/>
    </row>
    <row r="167" ht="15.75" customHeight="1">
      <c r="A167" s="438"/>
      <c r="B167" s="430"/>
      <c r="C167" s="275"/>
      <c r="D167" s="439"/>
      <c r="E167" s="254"/>
      <c r="F167" s="440"/>
      <c r="G167" s="441"/>
      <c r="H167" s="255"/>
      <c r="I167" s="442"/>
      <c r="J167" s="443"/>
      <c r="K167" s="443"/>
      <c r="R167" s="62"/>
    </row>
    <row r="168" ht="15.75" customHeight="1">
      <c r="A168" s="438"/>
      <c r="B168" s="430"/>
      <c r="C168" s="275"/>
      <c r="D168" s="439"/>
      <c r="E168" s="254"/>
      <c r="F168" s="440"/>
      <c r="G168" s="441"/>
      <c r="H168" s="255"/>
      <c r="I168" s="442"/>
      <c r="J168" s="443"/>
      <c r="K168" s="443"/>
      <c r="R168" s="62"/>
    </row>
    <row r="169" ht="15.75" customHeight="1">
      <c r="A169" s="438"/>
      <c r="B169" s="430"/>
      <c r="C169" s="275"/>
      <c r="D169" s="439"/>
      <c r="E169" s="254"/>
      <c r="F169" s="440"/>
      <c r="G169" s="441"/>
      <c r="H169" s="255"/>
      <c r="I169" s="442"/>
      <c r="J169" s="443"/>
      <c r="K169" s="443"/>
      <c r="R169" s="62"/>
    </row>
    <row r="170" ht="15.75" customHeight="1">
      <c r="A170" s="438"/>
      <c r="B170" s="430"/>
      <c r="C170" s="275"/>
      <c r="D170" s="439"/>
      <c r="E170" s="254"/>
      <c r="F170" s="440"/>
      <c r="G170" s="441"/>
      <c r="H170" s="255"/>
      <c r="I170" s="442"/>
      <c r="J170" s="443"/>
      <c r="K170" s="443"/>
      <c r="R170" s="62"/>
    </row>
    <row r="171" ht="15.75" customHeight="1">
      <c r="A171" s="438"/>
      <c r="B171" s="430"/>
      <c r="C171" s="275"/>
      <c r="D171" s="439"/>
      <c r="E171" s="254"/>
      <c r="F171" s="440"/>
      <c r="G171" s="441"/>
      <c r="H171" s="255"/>
      <c r="I171" s="442"/>
      <c r="J171" s="443"/>
      <c r="K171" s="443"/>
      <c r="R171" s="62"/>
    </row>
    <row r="172" ht="15.75" customHeight="1">
      <c r="A172" s="438"/>
      <c r="B172" s="430"/>
      <c r="C172" s="275"/>
      <c r="D172" s="439"/>
      <c r="E172" s="254"/>
      <c r="F172" s="440"/>
      <c r="G172" s="441"/>
      <c r="H172" s="255"/>
      <c r="I172" s="442"/>
      <c r="J172" s="443"/>
      <c r="K172" s="443"/>
      <c r="R172" s="62"/>
    </row>
    <row r="173" ht="15.75" customHeight="1">
      <c r="A173" s="438"/>
      <c r="B173" s="430"/>
      <c r="C173" s="275"/>
      <c r="D173" s="439"/>
      <c r="E173" s="254"/>
      <c r="F173" s="440"/>
      <c r="G173" s="441"/>
      <c r="H173" s="255"/>
      <c r="I173" s="442"/>
      <c r="J173" s="443"/>
      <c r="K173" s="443"/>
      <c r="R173" s="62"/>
    </row>
    <row r="174" ht="15.75" customHeight="1">
      <c r="A174" s="438"/>
      <c r="B174" s="430"/>
      <c r="C174" s="275"/>
      <c r="D174" s="439"/>
      <c r="E174" s="254"/>
      <c r="F174" s="440"/>
      <c r="G174" s="441"/>
      <c r="H174" s="255"/>
      <c r="I174" s="442"/>
      <c r="J174" s="443"/>
      <c r="K174" s="443"/>
      <c r="R174" s="62"/>
    </row>
    <row r="175" ht="15.75" customHeight="1">
      <c r="A175" s="438"/>
      <c r="B175" s="430"/>
      <c r="C175" s="275"/>
      <c r="D175" s="439"/>
      <c r="E175" s="254"/>
      <c r="F175" s="440"/>
      <c r="G175" s="441"/>
      <c r="H175" s="255"/>
      <c r="I175" s="442"/>
      <c r="J175" s="443"/>
      <c r="K175" s="443"/>
      <c r="R175" s="62"/>
    </row>
    <row r="176" ht="15.75" customHeight="1">
      <c r="A176" s="438"/>
      <c r="B176" s="430"/>
      <c r="C176" s="275"/>
      <c r="D176" s="439"/>
      <c r="E176" s="254"/>
      <c r="F176" s="440"/>
      <c r="G176" s="441"/>
      <c r="H176" s="255"/>
      <c r="I176" s="442"/>
      <c r="J176" s="443"/>
      <c r="K176" s="443"/>
      <c r="R176" s="62"/>
    </row>
    <row r="177" ht="15.75" customHeight="1">
      <c r="A177" s="438"/>
      <c r="B177" s="430"/>
      <c r="C177" s="275"/>
      <c r="D177" s="439"/>
      <c r="E177" s="254"/>
      <c r="F177" s="440"/>
      <c r="G177" s="441"/>
      <c r="H177" s="255"/>
      <c r="I177" s="442"/>
      <c r="J177" s="443"/>
      <c r="K177" s="443"/>
      <c r="R177" s="62"/>
    </row>
    <row r="178" ht="15.75" customHeight="1">
      <c r="A178" s="438"/>
      <c r="B178" s="430"/>
      <c r="C178" s="275"/>
      <c r="D178" s="439"/>
      <c r="E178" s="254"/>
      <c r="F178" s="440"/>
      <c r="G178" s="441"/>
      <c r="H178" s="255"/>
      <c r="I178" s="442"/>
      <c r="J178" s="443"/>
      <c r="K178" s="443"/>
      <c r="R178" s="62"/>
    </row>
    <row r="179" ht="15.75" customHeight="1">
      <c r="A179" s="438"/>
      <c r="B179" s="430"/>
      <c r="C179" s="275"/>
      <c r="D179" s="439"/>
      <c r="E179" s="254"/>
      <c r="F179" s="440"/>
      <c r="G179" s="441"/>
      <c r="H179" s="255"/>
      <c r="I179" s="442"/>
      <c r="J179" s="443"/>
      <c r="K179" s="443"/>
      <c r="R179" s="62"/>
    </row>
    <row r="180" ht="15.75" customHeight="1">
      <c r="A180" s="438"/>
      <c r="B180" s="430"/>
      <c r="C180" s="275"/>
      <c r="D180" s="439"/>
      <c r="E180" s="254"/>
      <c r="F180" s="440"/>
      <c r="G180" s="441"/>
      <c r="H180" s="255"/>
      <c r="I180" s="442"/>
      <c r="J180" s="443"/>
      <c r="K180" s="443"/>
      <c r="R180" s="62"/>
    </row>
    <row r="181" ht="15.75" customHeight="1">
      <c r="A181" s="438"/>
      <c r="B181" s="430"/>
      <c r="C181" s="275"/>
      <c r="D181" s="439"/>
      <c r="E181" s="254"/>
      <c r="F181" s="440"/>
      <c r="G181" s="441"/>
      <c r="H181" s="255"/>
      <c r="I181" s="442"/>
      <c r="J181" s="443"/>
      <c r="K181" s="443"/>
      <c r="R181" s="62"/>
    </row>
    <row r="182" ht="15.75" customHeight="1">
      <c r="A182" s="438"/>
      <c r="B182" s="430"/>
      <c r="C182" s="275"/>
      <c r="D182" s="439"/>
      <c r="E182" s="254"/>
      <c r="F182" s="440"/>
      <c r="G182" s="441"/>
      <c r="H182" s="255"/>
      <c r="I182" s="442"/>
      <c r="J182" s="443"/>
      <c r="K182" s="443"/>
      <c r="R182" s="62"/>
    </row>
    <row r="183" ht="15.75" customHeight="1">
      <c r="A183" s="438"/>
      <c r="B183" s="430"/>
      <c r="C183" s="275"/>
      <c r="D183" s="439"/>
      <c r="E183" s="254"/>
      <c r="F183" s="440"/>
      <c r="G183" s="441"/>
      <c r="H183" s="255"/>
      <c r="I183" s="442"/>
      <c r="J183" s="443"/>
      <c r="K183" s="443"/>
      <c r="R183" s="62"/>
    </row>
    <row r="184" ht="15.75" customHeight="1">
      <c r="A184" s="438"/>
      <c r="B184" s="430"/>
      <c r="C184" s="275"/>
      <c r="D184" s="439"/>
      <c r="E184" s="254"/>
      <c r="F184" s="440"/>
      <c r="G184" s="441"/>
      <c r="H184" s="255"/>
      <c r="I184" s="442"/>
      <c r="J184" s="443"/>
      <c r="K184" s="443"/>
      <c r="R184" s="62"/>
    </row>
    <row r="185" ht="15.75" customHeight="1">
      <c r="A185" s="438"/>
      <c r="B185" s="430"/>
      <c r="C185" s="275"/>
      <c r="D185" s="439"/>
      <c r="E185" s="254"/>
      <c r="F185" s="440"/>
      <c r="G185" s="441"/>
      <c r="H185" s="255"/>
      <c r="I185" s="442"/>
      <c r="J185" s="443"/>
      <c r="K185" s="443"/>
      <c r="R185" s="62"/>
    </row>
    <row r="186" ht="15.75" customHeight="1">
      <c r="A186" s="438"/>
      <c r="B186" s="430"/>
      <c r="C186" s="275"/>
      <c r="D186" s="439"/>
      <c r="E186" s="254"/>
      <c r="F186" s="440"/>
      <c r="G186" s="441"/>
      <c r="H186" s="255"/>
      <c r="I186" s="442"/>
      <c r="J186" s="443"/>
      <c r="K186" s="443"/>
      <c r="R186" s="62"/>
    </row>
    <row r="187" ht="15.75" customHeight="1">
      <c r="A187" s="438"/>
      <c r="B187" s="430"/>
      <c r="C187" s="275"/>
      <c r="D187" s="439"/>
      <c r="E187" s="254"/>
      <c r="F187" s="440"/>
      <c r="G187" s="441"/>
      <c r="H187" s="255"/>
      <c r="I187" s="442"/>
      <c r="J187" s="443"/>
      <c r="K187" s="443"/>
      <c r="R187" s="62"/>
    </row>
    <row r="188" ht="15.75" customHeight="1">
      <c r="A188" s="438"/>
      <c r="B188" s="430"/>
      <c r="C188" s="275"/>
      <c r="D188" s="439"/>
      <c r="E188" s="254"/>
      <c r="F188" s="440"/>
      <c r="G188" s="441"/>
      <c r="H188" s="255"/>
      <c r="I188" s="442"/>
      <c r="J188" s="443"/>
      <c r="K188" s="443"/>
      <c r="R188" s="62"/>
    </row>
    <row r="189" ht="15.75" customHeight="1">
      <c r="A189" s="438"/>
      <c r="B189" s="430"/>
      <c r="C189" s="275"/>
      <c r="D189" s="439"/>
      <c r="E189" s="254"/>
      <c r="F189" s="440"/>
      <c r="G189" s="441"/>
      <c r="H189" s="255"/>
      <c r="I189" s="442"/>
      <c r="J189" s="443"/>
      <c r="K189" s="443"/>
      <c r="R189" s="62"/>
    </row>
    <row r="190" ht="15.75" customHeight="1">
      <c r="A190" s="438"/>
      <c r="B190" s="430"/>
      <c r="C190" s="275"/>
      <c r="D190" s="439"/>
      <c r="E190" s="254"/>
      <c r="F190" s="440"/>
      <c r="G190" s="441"/>
      <c r="H190" s="255"/>
      <c r="I190" s="442"/>
      <c r="J190" s="443"/>
      <c r="K190" s="443"/>
      <c r="R190" s="62"/>
    </row>
    <row r="191" ht="15.75" customHeight="1">
      <c r="A191" s="438"/>
      <c r="B191" s="430"/>
      <c r="C191" s="275"/>
      <c r="D191" s="439"/>
      <c r="E191" s="254"/>
      <c r="F191" s="440"/>
      <c r="G191" s="441"/>
      <c r="H191" s="255"/>
      <c r="I191" s="442"/>
      <c r="J191" s="443"/>
      <c r="K191" s="443"/>
      <c r="R191" s="62"/>
    </row>
    <row r="192" ht="15.75" customHeight="1">
      <c r="A192" s="438"/>
      <c r="B192" s="430"/>
      <c r="C192" s="275"/>
      <c r="D192" s="439"/>
      <c r="E192" s="254"/>
      <c r="F192" s="440"/>
      <c r="G192" s="441"/>
      <c r="H192" s="255"/>
      <c r="I192" s="442"/>
      <c r="J192" s="443"/>
      <c r="K192" s="443"/>
      <c r="R192" s="62"/>
    </row>
    <row r="193" ht="15.75" customHeight="1">
      <c r="A193" s="438"/>
      <c r="B193" s="430"/>
      <c r="C193" s="275"/>
      <c r="D193" s="439"/>
      <c r="E193" s="254"/>
      <c r="F193" s="440"/>
      <c r="G193" s="441"/>
      <c r="H193" s="255"/>
      <c r="I193" s="442"/>
      <c r="J193" s="443"/>
      <c r="K193" s="443"/>
      <c r="R193" s="62"/>
    </row>
    <row r="194" ht="15.75" customHeight="1">
      <c r="A194" s="438"/>
      <c r="B194" s="430"/>
      <c r="C194" s="275"/>
      <c r="D194" s="439"/>
      <c r="E194" s="254"/>
      <c r="F194" s="440"/>
      <c r="G194" s="441"/>
      <c r="H194" s="255"/>
      <c r="I194" s="442"/>
      <c r="J194" s="443"/>
      <c r="K194" s="443"/>
      <c r="R194" s="62"/>
    </row>
    <row r="195" ht="15.75" customHeight="1">
      <c r="A195" s="438"/>
      <c r="B195" s="430"/>
      <c r="C195" s="275"/>
      <c r="D195" s="439"/>
      <c r="E195" s="254"/>
      <c r="F195" s="440"/>
      <c r="G195" s="441"/>
      <c r="H195" s="255"/>
      <c r="I195" s="442"/>
      <c r="J195" s="443"/>
      <c r="K195" s="443"/>
      <c r="R195" s="62"/>
    </row>
    <row r="196" ht="15.75" customHeight="1">
      <c r="A196" s="438"/>
      <c r="B196" s="430"/>
      <c r="C196" s="275"/>
      <c r="D196" s="439"/>
      <c r="E196" s="254"/>
      <c r="F196" s="440"/>
      <c r="G196" s="441"/>
      <c r="H196" s="255"/>
      <c r="I196" s="442"/>
      <c r="J196" s="443"/>
      <c r="K196" s="443"/>
      <c r="R196" s="62"/>
    </row>
    <row r="197" ht="15.75" customHeight="1">
      <c r="A197" s="438"/>
      <c r="B197" s="430"/>
      <c r="C197" s="275"/>
      <c r="D197" s="439"/>
      <c r="E197" s="254"/>
      <c r="F197" s="440"/>
      <c r="G197" s="441"/>
      <c r="H197" s="255"/>
      <c r="I197" s="442"/>
      <c r="J197" s="443"/>
      <c r="K197" s="443"/>
      <c r="R197" s="62"/>
    </row>
    <row r="198" ht="15.75" customHeight="1">
      <c r="A198" s="438"/>
      <c r="B198" s="430"/>
      <c r="C198" s="275"/>
      <c r="D198" s="439"/>
      <c r="E198" s="254"/>
      <c r="F198" s="440"/>
      <c r="G198" s="441"/>
      <c r="H198" s="255"/>
      <c r="I198" s="442"/>
      <c r="J198" s="443"/>
      <c r="K198" s="443"/>
      <c r="R198" s="62"/>
    </row>
    <row r="199" ht="15.75" customHeight="1">
      <c r="A199" s="438"/>
      <c r="B199" s="430"/>
      <c r="C199" s="275"/>
      <c r="D199" s="439"/>
      <c r="E199" s="254"/>
      <c r="F199" s="440"/>
      <c r="G199" s="441"/>
      <c r="H199" s="255"/>
      <c r="I199" s="442"/>
      <c r="J199" s="443"/>
      <c r="K199" s="443"/>
      <c r="R199" s="62"/>
    </row>
    <row r="200" ht="15.75" customHeight="1">
      <c r="A200" s="438"/>
      <c r="B200" s="430"/>
      <c r="C200" s="275"/>
      <c r="D200" s="439"/>
      <c r="E200" s="254"/>
      <c r="F200" s="440"/>
      <c r="G200" s="441"/>
      <c r="H200" s="255"/>
      <c r="I200" s="442"/>
      <c r="J200" s="443"/>
      <c r="K200" s="443"/>
      <c r="R200" s="62"/>
    </row>
    <row r="201" ht="15.75" customHeight="1">
      <c r="A201" s="438"/>
      <c r="B201" s="430"/>
      <c r="C201" s="275"/>
      <c r="D201" s="439"/>
      <c r="E201" s="254"/>
      <c r="F201" s="440"/>
      <c r="G201" s="441"/>
      <c r="H201" s="255"/>
      <c r="I201" s="442"/>
      <c r="J201" s="443"/>
      <c r="K201" s="443"/>
      <c r="R201" s="62"/>
    </row>
    <row r="202" ht="15.75" customHeight="1">
      <c r="A202" s="438"/>
      <c r="B202" s="430"/>
      <c r="C202" s="275"/>
      <c r="D202" s="439"/>
      <c r="E202" s="254"/>
      <c r="F202" s="440"/>
      <c r="G202" s="441"/>
      <c r="H202" s="255"/>
      <c r="I202" s="442"/>
      <c r="J202" s="443"/>
      <c r="K202" s="443"/>
      <c r="R202" s="62"/>
    </row>
    <row r="203" ht="15.75" customHeight="1">
      <c r="A203" s="438"/>
      <c r="B203" s="430"/>
      <c r="C203" s="275"/>
      <c r="D203" s="439"/>
      <c r="E203" s="254"/>
      <c r="F203" s="440"/>
      <c r="G203" s="441"/>
      <c r="H203" s="255"/>
      <c r="I203" s="442"/>
      <c r="J203" s="443"/>
      <c r="K203" s="443"/>
      <c r="R203" s="62"/>
    </row>
    <row r="204" ht="15.75" customHeight="1">
      <c r="A204" s="438"/>
      <c r="B204" s="430"/>
      <c r="C204" s="275"/>
      <c r="D204" s="439"/>
      <c r="E204" s="254"/>
      <c r="F204" s="440"/>
      <c r="G204" s="441"/>
      <c r="H204" s="255"/>
      <c r="I204" s="442"/>
      <c r="J204" s="443"/>
      <c r="K204" s="443"/>
      <c r="R204" s="62"/>
    </row>
    <row r="205" ht="15.75" customHeight="1">
      <c r="A205" s="438"/>
      <c r="B205" s="430"/>
      <c r="C205" s="275"/>
      <c r="D205" s="439"/>
      <c r="E205" s="254"/>
      <c r="F205" s="440"/>
      <c r="G205" s="441"/>
      <c r="H205" s="255"/>
      <c r="I205" s="442"/>
      <c r="J205" s="443"/>
      <c r="K205" s="443"/>
      <c r="R205" s="62"/>
    </row>
    <row r="206" ht="15.75" customHeight="1">
      <c r="A206" s="438"/>
      <c r="B206" s="430"/>
      <c r="C206" s="275"/>
      <c r="D206" s="439"/>
      <c r="E206" s="254"/>
      <c r="F206" s="440"/>
      <c r="G206" s="441"/>
      <c r="H206" s="255"/>
      <c r="I206" s="442"/>
      <c r="J206" s="443"/>
      <c r="K206" s="443"/>
      <c r="R206" s="62"/>
    </row>
    <row r="207" ht="15.75" customHeight="1">
      <c r="A207" s="438"/>
      <c r="B207" s="430"/>
      <c r="C207" s="275"/>
      <c r="D207" s="439"/>
      <c r="E207" s="254"/>
      <c r="F207" s="440"/>
      <c r="G207" s="441"/>
      <c r="H207" s="255"/>
      <c r="I207" s="442"/>
      <c r="J207" s="443"/>
      <c r="K207" s="443"/>
      <c r="R207" s="62"/>
    </row>
    <row r="208" ht="15.75" customHeight="1">
      <c r="A208" s="438"/>
      <c r="B208" s="430"/>
      <c r="C208" s="275"/>
      <c r="D208" s="439"/>
      <c r="E208" s="254"/>
      <c r="F208" s="440"/>
      <c r="G208" s="441"/>
      <c r="H208" s="255"/>
      <c r="I208" s="442"/>
      <c r="J208" s="443"/>
      <c r="K208" s="443"/>
      <c r="R208" s="62"/>
    </row>
    <row r="209" ht="15.75" customHeight="1">
      <c r="A209" s="438"/>
      <c r="B209" s="430"/>
      <c r="C209" s="275"/>
      <c r="D209" s="439"/>
      <c r="E209" s="254"/>
      <c r="F209" s="440"/>
      <c r="G209" s="441"/>
      <c r="H209" s="255"/>
      <c r="I209" s="442"/>
      <c r="J209" s="443"/>
      <c r="K209" s="443"/>
      <c r="R209" s="62"/>
    </row>
    <row r="210" ht="15.75" customHeight="1">
      <c r="A210" s="438"/>
      <c r="B210" s="430"/>
      <c r="C210" s="275"/>
      <c r="D210" s="439"/>
      <c r="E210" s="254"/>
      <c r="F210" s="440"/>
      <c r="G210" s="441"/>
      <c r="H210" s="255"/>
      <c r="I210" s="442"/>
      <c r="J210" s="443"/>
      <c r="K210" s="443"/>
      <c r="R210" s="62"/>
    </row>
    <row r="211" ht="15.75" customHeight="1">
      <c r="A211" s="438"/>
      <c r="B211" s="430"/>
      <c r="C211" s="275"/>
      <c r="D211" s="439"/>
      <c r="E211" s="254"/>
      <c r="F211" s="440"/>
      <c r="G211" s="441"/>
      <c r="H211" s="255"/>
      <c r="I211" s="442"/>
      <c r="J211" s="443"/>
      <c r="K211" s="443"/>
      <c r="R211" s="62"/>
    </row>
    <row r="212" ht="15.75" customHeight="1">
      <c r="A212" s="438"/>
      <c r="B212" s="430"/>
      <c r="C212" s="275"/>
      <c r="D212" s="439"/>
      <c r="E212" s="254"/>
      <c r="F212" s="440"/>
      <c r="G212" s="441"/>
      <c r="H212" s="255"/>
      <c r="I212" s="442"/>
      <c r="J212" s="443"/>
      <c r="K212" s="443"/>
      <c r="R212" s="62"/>
    </row>
    <row r="213" ht="15.75" customHeight="1">
      <c r="A213" s="438"/>
      <c r="B213" s="430"/>
      <c r="C213" s="275"/>
      <c r="D213" s="439"/>
      <c r="E213" s="254"/>
      <c r="F213" s="440"/>
      <c r="G213" s="441"/>
      <c r="H213" s="255"/>
      <c r="I213" s="442"/>
      <c r="J213" s="443"/>
      <c r="K213" s="443"/>
      <c r="R213" s="62"/>
    </row>
    <row r="214" ht="15.75" customHeight="1">
      <c r="A214" s="438"/>
      <c r="B214" s="430"/>
      <c r="C214" s="275"/>
      <c r="D214" s="439"/>
      <c r="E214" s="254"/>
      <c r="F214" s="440"/>
      <c r="G214" s="441"/>
      <c r="H214" s="255"/>
      <c r="I214" s="442"/>
      <c r="J214" s="443"/>
      <c r="K214" s="443"/>
      <c r="R214" s="62"/>
    </row>
    <row r="215" ht="15.75" customHeight="1">
      <c r="A215" s="438"/>
      <c r="B215" s="430"/>
      <c r="C215" s="275"/>
      <c r="D215" s="439"/>
      <c r="E215" s="254"/>
      <c r="F215" s="440"/>
      <c r="G215" s="441"/>
      <c r="H215" s="255"/>
      <c r="I215" s="442"/>
      <c r="J215" s="443"/>
      <c r="K215" s="443"/>
      <c r="R215" s="62"/>
    </row>
    <row r="216" ht="15.75" customHeight="1">
      <c r="A216" s="438"/>
      <c r="B216" s="430"/>
      <c r="C216" s="275"/>
      <c r="D216" s="439"/>
      <c r="E216" s="254"/>
      <c r="F216" s="440"/>
      <c r="G216" s="441"/>
      <c r="H216" s="255"/>
      <c r="I216" s="442"/>
      <c r="J216" s="443"/>
      <c r="K216" s="443"/>
      <c r="R216" s="62"/>
    </row>
    <row r="217" ht="15.75" customHeight="1">
      <c r="A217" s="438"/>
      <c r="B217" s="430"/>
      <c r="C217" s="275"/>
      <c r="D217" s="439"/>
      <c r="E217" s="254"/>
      <c r="F217" s="440"/>
      <c r="G217" s="441"/>
      <c r="H217" s="255"/>
      <c r="I217" s="442"/>
      <c r="J217" s="443"/>
      <c r="K217" s="443"/>
      <c r="R217" s="62"/>
    </row>
    <row r="218" ht="15.75" customHeight="1">
      <c r="A218" s="438"/>
      <c r="B218" s="430"/>
      <c r="C218" s="275"/>
      <c r="D218" s="439"/>
      <c r="E218" s="254"/>
      <c r="F218" s="440"/>
      <c r="G218" s="441"/>
      <c r="H218" s="255"/>
      <c r="I218" s="442"/>
      <c r="J218" s="443"/>
      <c r="K218" s="443"/>
      <c r="R218" s="62"/>
    </row>
    <row r="219" ht="15.75" customHeight="1">
      <c r="A219" s="438"/>
      <c r="B219" s="430"/>
      <c r="C219" s="275"/>
      <c r="D219" s="439"/>
      <c r="E219" s="254"/>
      <c r="F219" s="440"/>
      <c r="G219" s="441"/>
      <c r="H219" s="255"/>
      <c r="I219" s="442"/>
      <c r="J219" s="443"/>
      <c r="K219" s="443"/>
      <c r="R219" s="62"/>
    </row>
    <row r="220" ht="15.75" customHeight="1">
      <c r="A220" s="438"/>
      <c r="B220" s="430"/>
      <c r="C220" s="275"/>
      <c r="D220" s="439"/>
      <c r="E220" s="254"/>
      <c r="F220" s="440"/>
      <c r="G220" s="441"/>
      <c r="H220" s="255"/>
      <c r="I220" s="442"/>
      <c r="J220" s="443"/>
      <c r="K220" s="443"/>
      <c r="R220" s="62"/>
    </row>
    <row r="221" ht="15.75" customHeight="1">
      <c r="A221" s="438"/>
      <c r="B221" s="430"/>
      <c r="C221" s="275"/>
      <c r="D221" s="439"/>
      <c r="E221" s="254"/>
      <c r="F221" s="440"/>
      <c r="G221" s="441"/>
      <c r="H221" s="255"/>
      <c r="I221" s="442"/>
      <c r="J221" s="443"/>
      <c r="K221" s="443"/>
      <c r="R221" s="62"/>
    </row>
    <row r="222" ht="15.75" customHeight="1">
      <c r="A222" s="438"/>
      <c r="B222" s="430"/>
      <c r="C222" s="275"/>
      <c r="D222" s="439"/>
      <c r="E222" s="254"/>
      <c r="F222" s="440"/>
      <c r="G222" s="441"/>
      <c r="H222" s="255"/>
      <c r="I222" s="442"/>
      <c r="J222" s="443"/>
      <c r="K222" s="443"/>
      <c r="R222" s="62"/>
    </row>
    <row r="223" ht="15.75" customHeight="1">
      <c r="A223" s="438"/>
      <c r="B223" s="430"/>
      <c r="C223" s="275"/>
      <c r="D223" s="439"/>
      <c r="E223" s="254"/>
      <c r="F223" s="440"/>
      <c r="G223" s="441"/>
      <c r="H223" s="255"/>
      <c r="I223" s="442"/>
      <c r="J223" s="443"/>
      <c r="K223" s="443"/>
      <c r="R223" s="62"/>
    </row>
    <row r="224" ht="15.75" customHeight="1">
      <c r="A224" s="438"/>
      <c r="B224" s="430"/>
      <c r="C224" s="275"/>
      <c r="D224" s="439"/>
      <c r="E224" s="254"/>
      <c r="F224" s="440"/>
      <c r="G224" s="441"/>
      <c r="H224" s="255"/>
      <c r="I224" s="442"/>
      <c r="J224" s="443"/>
      <c r="K224" s="443"/>
      <c r="R224" s="62"/>
    </row>
    <row r="225" ht="15.75" customHeight="1">
      <c r="A225" s="438"/>
      <c r="B225" s="430"/>
      <c r="C225" s="275"/>
      <c r="D225" s="439"/>
      <c r="E225" s="254"/>
      <c r="F225" s="440"/>
      <c r="G225" s="441"/>
      <c r="H225" s="255"/>
      <c r="I225" s="442"/>
      <c r="J225" s="443"/>
      <c r="K225" s="443"/>
      <c r="R225" s="62"/>
    </row>
    <row r="226" ht="15.75" customHeight="1">
      <c r="A226" s="438"/>
      <c r="B226" s="430"/>
      <c r="C226" s="275"/>
      <c r="D226" s="439"/>
      <c r="E226" s="254"/>
      <c r="F226" s="440"/>
      <c r="G226" s="441"/>
      <c r="H226" s="255"/>
      <c r="I226" s="442"/>
      <c r="J226" s="443"/>
      <c r="K226" s="443"/>
      <c r="R226" s="62"/>
    </row>
    <row r="227" ht="15.75" customHeight="1">
      <c r="A227" s="438"/>
      <c r="B227" s="430"/>
      <c r="C227" s="275"/>
      <c r="D227" s="439"/>
      <c r="E227" s="254"/>
      <c r="F227" s="440"/>
      <c r="G227" s="441"/>
      <c r="H227" s="255"/>
      <c r="I227" s="442"/>
      <c r="J227" s="443"/>
      <c r="K227" s="443"/>
      <c r="R227" s="62"/>
    </row>
    <row r="228" ht="15.75" customHeight="1">
      <c r="A228" s="438"/>
      <c r="B228" s="430"/>
      <c r="C228" s="275"/>
      <c r="D228" s="439"/>
      <c r="E228" s="254"/>
      <c r="F228" s="440"/>
      <c r="G228" s="441"/>
      <c r="H228" s="255"/>
      <c r="I228" s="442"/>
      <c r="J228" s="443"/>
      <c r="K228" s="443"/>
      <c r="R228" s="62"/>
    </row>
    <row r="229" ht="15.75" customHeight="1">
      <c r="A229" s="438"/>
      <c r="B229" s="430"/>
      <c r="C229" s="275"/>
      <c r="D229" s="439"/>
      <c r="E229" s="254"/>
      <c r="F229" s="440"/>
      <c r="G229" s="441"/>
      <c r="H229" s="255"/>
      <c r="I229" s="442"/>
      <c r="J229" s="443"/>
      <c r="K229" s="443"/>
      <c r="R229" s="62"/>
    </row>
    <row r="230" ht="15.75" customHeight="1">
      <c r="A230" s="438"/>
      <c r="B230" s="430"/>
      <c r="C230" s="275"/>
      <c r="D230" s="439"/>
      <c r="E230" s="254"/>
      <c r="F230" s="440"/>
      <c r="G230" s="441"/>
      <c r="H230" s="255"/>
      <c r="I230" s="442"/>
      <c r="J230" s="443"/>
      <c r="K230" s="443"/>
      <c r="R230" s="62"/>
    </row>
    <row r="231" ht="15.75" customHeight="1">
      <c r="A231" s="438"/>
      <c r="B231" s="430"/>
      <c r="C231" s="275"/>
      <c r="D231" s="439"/>
      <c r="E231" s="254"/>
      <c r="F231" s="440"/>
      <c r="G231" s="441"/>
      <c r="H231" s="255"/>
      <c r="I231" s="442"/>
      <c r="J231" s="443"/>
      <c r="K231" s="443"/>
      <c r="R231" s="62"/>
    </row>
    <row r="232" ht="15.75" customHeight="1">
      <c r="A232" s="438"/>
      <c r="B232" s="430"/>
      <c r="C232" s="275"/>
      <c r="D232" s="439"/>
      <c r="E232" s="254"/>
      <c r="F232" s="440"/>
      <c r="G232" s="441"/>
      <c r="H232" s="255"/>
      <c r="I232" s="442"/>
      <c r="J232" s="443"/>
      <c r="K232" s="443"/>
      <c r="R232" s="62"/>
    </row>
    <row r="233" ht="15.75" customHeight="1">
      <c r="A233" s="438"/>
      <c r="B233" s="430"/>
      <c r="C233" s="275"/>
      <c r="D233" s="439"/>
      <c r="E233" s="254"/>
      <c r="F233" s="440"/>
      <c r="G233" s="441"/>
      <c r="H233" s="255"/>
      <c r="I233" s="442"/>
      <c r="J233" s="443"/>
      <c r="K233" s="443"/>
      <c r="R233" s="62"/>
    </row>
    <row r="234" ht="15.75" customHeight="1">
      <c r="A234" s="438"/>
      <c r="B234" s="430"/>
      <c r="C234" s="275"/>
      <c r="D234" s="439"/>
      <c r="E234" s="254"/>
      <c r="F234" s="440"/>
      <c r="G234" s="441"/>
      <c r="H234" s="255"/>
      <c r="I234" s="442"/>
      <c r="J234" s="443"/>
      <c r="K234" s="443"/>
      <c r="R234" s="62"/>
    </row>
    <row r="235" ht="15.75" customHeight="1">
      <c r="A235" s="438"/>
      <c r="B235" s="430"/>
      <c r="C235" s="275"/>
      <c r="D235" s="439"/>
      <c r="E235" s="254"/>
      <c r="F235" s="440"/>
      <c r="G235" s="441"/>
      <c r="H235" s="255"/>
      <c r="I235" s="442"/>
      <c r="J235" s="443"/>
      <c r="K235" s="443"/>
      <c r="R235" s="62"/>
    </row>
    <row r="236" ht="15.75" customHeight="1">
      <c r="A236" s="438"/>
      <c r="B236" s="430"/>
      <c r="C236" s="275"/>
      <c r="D236" s="439"/>
      <c r="E236" s="254"/>
      <c r="F236" s="440"/>
      <c r="G236" s="441"/>
      <c r="H236" s="255"/>
      <c r="I236" s="442"/>
      <c r="J236" s="443"/>
      <c r="K236" s="443"/>
      <c r="R236" s="62"/>
    </row>
    <row r="237" ht="15.75" customHeight="1">
      <c r="A237" s="438"/>
      <c r="B237" s="430"/>
      <c r="C237" s="275"/>
      <c r="D237" s="439"/>
      <c r="E237" s="254"/>
      <c r="F237" s="440"/>
      <c r="G237" s="441"/>
      <c r="H237" s="255"/>
      <c r="I237" s="442"/>
      <c r="J237" s="443"/>
      <c r="K237" s="443"/>
      <c r="R237" s="62"/>
    </row>
    <row r="238" ht="15.75" customHeight="1">
      <c r="A238" s="438"/>
      <c r="B238" s="430"/>
      <c r="C238" s="275"/>
      <c r="D238" s="439"/>
      <c r="E238" s="254"/>
      <c r="F238" s="440"/>
      <c r="G238" s="441"/>
      <c r="H238" s="255"/>
      <c r="I238" s="442"/>
      <c r="J238" s="443"/>
      <c r="K238" s="443"/>
      <c r="R238" s="62"/>
    </row>
    <row r="239" ht="15.75" customHeight="1">
      <c r="A239" s="438"/>
      <c r="B239" s="430"/>
      <c r="C239" s="275"/>
      <c r="D239" s="439"/>
      <c r="E239" s="254"/>
      <c r="F239" s="440"/>
      <c r="G239" s="441"/>
      <c r="H239" s="255"/>
      <c r="I239" s="442"/>
      <c r="J239" s="443"/>
      <c r="K239" s="443"/>
      <c r="R239" s="62"/>
    </row>
    <row r="240" ht="15.75" customHeight="1">
      <c r="A240" s="438"/>
      <c r="B240" s="430"/>
      <c r="C240" s="275"/>
      <c r="D240" s="439"/>
      <c r="E240" s="254"/>
      <c r="F240" s="440"/>
      <c r="G240" s="441"/>
      <c r="H240" s="255"/>
      <c r="I240" s="442"/>
      <c r="J240" s="443"/>
      <c r="K240" s="443"/>
      <c r="R240" s="62"/>
    </row>
    <row r="241" ht="15.75" customHeight="1">
      <c r="A241" s="438"/>
      <c r="B241" s="430"/>
      <c r="C241" s="275"/>
      <c r="D241" s="439"/>
      <c r="E241" s="254"/>
      <c r="F241" s="440"/>
      <c r="G241" s="441"/>
      <c r="H241" s="255"/>
      <c r="I241" s="442"/>
      <c r="J241" s="443"/>
      <c r="K241" s="443"/>
      <c r="R241" s="62"/>
    </row>
    <row r="242" ht="15.75" customHeight="1">
      <c r="A242" s="438"/>
      <c r="B242" s="430"/>
      <c r="C242" s="275"/>
      <c r="D242" s="439"/>
      <c r="E242" s="254"/>
      <c r="F242" s="440"/>
      <c r="G242" s="441"/>
      <c r="H242" s="255"/>
      <c r="I242" s="442"/>
      <c r="J242" s="443"/>
      <c r="K242" s="443"/>
      <c r="R242" s="62"/>
    </row>
    <row r="243" ht="15.75" customHeight="1">
      <c r="A243" s="438"/>
      <c r="B243" s="430"/>
      <c r="C243" s="275"/>
      <c r="D243" s="439"/>
      <c r="E243" s="254"/>
      <c r="F243" s="440"/>
      <c r="G243" s="441"/>
      <c r="H243" s="255"/>
      <c r="I243" s="442"/>
      <c r="J243" s="443"/>
      <c r="K243" s="443"/>
      <c r="R243" s="62"/>
    </row>
    <row r="244" ht="15.75" customHeight="1">
      <c r="A244" s="438"/>
      <c r="B244" s="430"/>
      <c r="C244" s="275"/>
      <c r="D244" s="439"/>
      <c r="E244" s="254"/>
      <c r="F244" s="440"/>
      <c r="G244" s="441"/>
      <c r="H244" s="255"/>
      <c r="I244" s="442"/>
      <c r="J244" s="443"/>
      <c r="K244" s="443"/>
      <c r="R244" s="62"/>
    </row>
    <row r="245" ht="15.75" customHeight="1">
      <c r="A245" s="438"/>
      <c r="B245" s="430"/>
      <c r="C245" s="275"/>
      <c r="D245" s="439"/>
      <c r="E245" s="254"/>
      <c r="F245" s="440"/>
      <c r="G245" s="441"/>
      <c r="H245" s="255"/>
      <c r="I245" s="442"/>
      <c r="J245" s="443"/>
      <c r="K245" s="443"/>
      <c r="R245" s="62"/>
    </row>
    <row r="246" ht="15.75" customHeight="1">
      <c r="A246" s="438"/>
      <c r="B246" s="430"/>
      <c r="C246" s="275"/>
      <c r="D246" s="439"/>
      <c r="E246" s="254"/>
      <c r="F246" s="440"/>
      <c r="G246" s="441"/>
      <c r="H246" s="255"/>
      <c r="I246" s="442"/>
      <c r="J246" s="443"/>
      <c r="K246" s="443"/>
      <c r="R246" s="62"/>
    </row>
    <row r="247" ht="15.75" customHeight="1">
      <c r="A247" s="438"/>
      <c r="B247" s="430"/>
      <c r="C247" s="275"/>
      <c r="D247" s="439"/>
      <c r="E247" s="254"/>
      <c r="F247" s="440"/>
      <c r="G247" s="441"/>
      <c r="H247" s="255"/>
      <c r="I247" s="442"/>
      <c r="J247" s="443"/>
      <c r="K247" s="443"/>
      <c r="R247" s="62"/>
    </row>
    <row r="248" ht="15.75" customHeight="1">
      <c r="A248" s="438"/>
      <c r="B248" s="430"/>
      <c r="C248" s="275"/>
      <c r="D248" s="439"/>
      <c r="E248" s="254"/>
      <c r="F248" s="440"/>
      <c r="G248" s="441"/>
      <c r="H248" s="255"/>
      <c r="I248" s="442"/>
      <c r="J248" s="443"/>
      <c r="K248" s="443"/>
      <c r="R248" s="62"/>
    </row>
    <row r="249" ht="15.75" customHeight="1">
      <c r="A249" s="438"/>
      <c r="B249" s="430"/>
      <c r="C249" s="275"/>
      <c r="D249" s="439"/>
      <c r="E249" s="254"/>
      <c r="F249" s="440"/>
      <c r="G249" s="441"/>
      <c r="H249" s="255"/>
      <c r="I249" s="442"/>
      <c r="J249" s="443"/>
      <c r="K249" s="443"/>
      <c r="R249" s="62"/>
    </row>
    <row r="250" ht="15.75" customHeight="1">
      <c r="A250" s="438"/>
      <c r="B250" s="430"/>
      <c r="C250" s="275"/>
      <c r="D250" s="439"/>
      <c r="E250" s="254"/>
      <c r="F250" s="440"/>
      <c r="G250" s="441"/>
      <c r="H250" s="255"/>
      <c r="I250" s="442"/>
      <c r="J250" s="443"/>
      <c r="K250" s="443"/>
      <c r="R250" s="62"/>
    </row>
    <row r="251" ht="15.75" customHeight="1">
      <c r="A251" s="438"/>
      <c r="B251" s="430"/>
      <c r="C251" s="275"/>
      <c r="D251" s="439"/>
      <c r="E251" s="254"/>
      <c r="F251" s="440"/>
      <c r="G251" s="441"/>
      <c r="H251" s="255"/>
      <c r="I251" s="442"/>
      <c r="J251" s="443"/>
      <c r="K251" s="443"/>
      <c r="R251" s="62"/>
    </row>
    <row r="252" ht="15.75" customHeight="1">
      <c r="A252" s="438"/>
      <c r="B252" s="430"/>
      <c r="C252" s="275"/>
      <c r="D252" s="439"/>
      <c r="E252" s="254"/>
      <c r="F252" s="440"/>
      <c r="G252" s="441"/>
      <c r="H252" s="255"/>
      <c r="I252" s="442"/>
      <c r="J252" s="443"/>
      <c r="K252" s="443"/>
      <c r="R252" s="62"/>
    </row>
    <row r="253" ht="15.75" customHeight="1">
      <c r="A253" s="438"/>
      <c r="B253" s="430"/>
      <c r="C253" s="275"/>
      <c r="D253" s="439"/>
      <c r="E253" s="254"/>
      <c r="F253" s="440"/>
      <c r="G253" s="441"/>
      <c r="H253" s="255"/>
      <c r="I253" s="442"/>
      <c r="J253" s="443"/>
      <c r="K253" s="443"/>
      <c r="R253" s="62"/>
    </row>
    <row r="254" ht="15.75" customHeight="1">
      <c r="A254" s="438"/>
      <c r="B254" s="430"/>
      <c r="C254" s="275"/>
      <c r="D254" s="439"/>
      <c r="E254" s="254"/>
      <c r="F254" s="440"/>
      <c r="G254" s="441"/>
      <c r="H254" s="255"/>
      <c r="I254" s="442"/>
      <c r="J254" s="443"/>
      <c r="K254" s="443"/>
      <c r="R254" s="62"/>
    </row>
    <row r="255" ht="15.75" customHeight="1">
      <c r="A255" s="438"/>
      <c r="B255" s="430"/>
      <c r="C255" s="275"/>
      <c r="D255" s="439"/>
      <c r="E255" s="254"/>
      <c r="F255" s="440"/>
      <c r="G255" s="441"/>
      <c r="H255" s="255"/>
      <c r="I255" s="442"/>
      <c r="J255" s="443"/>
      <c r="K255" s="443"/>
      <c r="R255" s="62"/>
    </row>
    <row r="256" ht="15.75" customHeight="1">
      <c r="A256" s="438"/>
      <c r="B256" s="430"/>
      <c r="C256" s="275"/>
      <c r="D256" s="439"/>
      <c r="E256" s="254"/>
      <c r="F256" s="440"/>
      <c r="G256" s="441"/>
      <c r="H256" s="255"/>
      <c r="I256" s="442"/>
      <c r="J256" s="443"/>
      <c r="K256" s="443"/>
      <c r="R256" s="62"/>
    </row>
    <row r="257" ht="15.75" customHeight="1">
      <c r="A257" s="438"/>
      <c r="B257" s="430"/>
      <c r="C257" s="275"/>
      <c r="D257" s="439"/>
      <c r="E257" s="254"/>
      <c r="F257" s="440"/>
      <c r="G257" s="441"/>
      <c r="H257" s="255"/>
      <c r="I257" s="442"/>
      <c r="J257" s="443"/>
      <c r="K257" s="443"/>
      <c r="R257" s="62"/>
    </row>
    <row r="258" ht="15.75" customHeight="1">
      <c r="A258" s="438"/>
      <c r="B258" s="430"/>
      <c r="C258" s="275"/>
      <c r="D258" s="439"/>
      <c r="E258" s="254"/>
      <c r="F258" s="440"/>
      <c r="G258" s="441"/>
      <c r="H258" s="255"/>
      <c r="I258" s="442"/>
      <c r="J258" s="443"/>
      <c r="K258" s="443"/>
      <c r="R258" s="62"/>
    </row>
    <row r="259" ht="15.75" customHeight="1">
      <c r="A259" s="438"/>
      <c r="B259" s="430"/>
      <c r="C259" s="275"/>
      <c r="D259" s="439"/>
      <c r="E259" s="254"/>
      <c r="F259" s="440"/>
      <c r="G259" s="441"/>
      <c r="H259" s="255"/>
      <c r="I259" s="442"/>
      <c r="J259" s="443"/>
      <c r="K259" s="443"/>
      <c r="R259" s="62"/>
    </row>
    <row r="260" ht="15.75" customHeight="1">
      <c r="A260" s="438"/>
      <c r="B260" s="430"/>
      <c r="C260" s="275"/>
      <c r="D260" s="439"/>
      <c r="E260" s="254"/>
      <c r="F260" s="440"/>
      <c r="G260" s="441"/>
      <c r="H260" s="255"/>
      <c r="I260" s="442"/>
      <c r="J260" s="443"/>
      <c r="K260" s="443"/>
      <c r="R260" s="62"/>
    </row>
    <row r="261" ht="15.75" customHeight="1">
      <c r="A261" s="438"/>
      <c r="B261" s="430"/>
      <c r="C261" s="275"/>
      <c r="D261" s="439"/>
      <c r="E261" s="254"/>
      <c r="F261" s="440"/>
      <c r="G261" s="441"/>
      <c r="H261" s="255"/>
      <c r="I261" s="442"/>
      <c r="J261" s="443"/>
      <c r="K261" s="443"/>
      <c r="R261" s="62"/>
    </row>
    <row r="262" ht="15.75" customHeight="1">
      <c r="A262" s="438"/>
      <c r="B262" s="430"/>
      <c r="C262" s="275"/>
      <c r="D262" s="439"/>
      <c r="E262" s="254"/>
      <c r="F262" s="440"/>
      <c r="G262" s="441"/>
      <c r="H262" s="255"/>
      <c r="I262" s="442"/>
      <c r="J262" s="443"/>
      <c r="K262" s="443"/>
      <c r="R262" s="62"/>
    </row>
    <row r="263" ht="15.75" customHeight="1">
      <c r="A263" s="438"/>
      <c r="B263" s="430"/>
      <c r="C263" s="275"/>
      <c r="D263" s="439"/>
      <c r="E263" s="254"/>
      <c r="F263" s="440"/>
      <c r="G263" s="441"/>
      <c r="H263" s="255"/>
      <c r="I263" s="442"/>
      <c r="J263" s="443"/>
      <c r="K263" s="443"/>
      <c r="R263" s="62"/>
    </row>
    <row r="264" ht="15.75" customHeight="1">
      <c r="A264" s="438"/>
      <c r="B264" s="430"/>
      <c r="C264" s="275"/>
      <c r="D264" s="439"/>
      <c r="E264" s="254"/>
      <c r="F264" s="440"/>
      <c r="G264" s="441"/>
      <c r="H264" s="255"/>
      <c r="I264" s="442"/>
      <c r="J264" s="443"/>
      <c r="K264" s="443"/>
      <c r="R264" s="62"/>
    </row>
    <row r="265" ht="15.75" customHeight="1">
      <c r="A265" s="438"/>
      <c r="B265" s="430"/>
      <c r="C265" s="275"/>
      <c r="D265" s="439"/>
      <c r="E265" s="254"/>
      <c r="F265" s="440"/>
      <c r="G265" s="441"/>
      <c r="H265" s="255"/>
      <c r="I265" s="442"/>
      <c r="J265" s="443"/>
      <c r="K265" s="443"/>
      <c r="R265" s="62"/>
    </row>
    <row r="266" ht="15.75" customHeight="1">
      <c r="A266" s="438"/>
      <c r="B266" s="430"/>
      <c r="C266" s="275"/>
      <c r="D266" s="439"/>
      <c r="E266" s="254"/>
      <c r="F266" s="440"/>
      <c r="G266" s="441"/>
      <c r="H266" s="255"/>
      <c r="I266" s="442"/>
      <c r="J266" s="443"/>
      <c r="K266" s="443"/>
      <c r="R266" s="62"/>
    </row>
    <row r="267" ht="15.75" customHeight="1">
      <c r="A267" s="438"/>
      <c r="B267" s="430"/>
      <c r="C267" s="275"/>
      <c r="D267" s="439"/>
      <c r="E267" s="254"/>
      <c r="F267" s="440"/>
      <c r="G267" s="441"/>
      <c r="H267" s="255"/>
      <c r="I267" s="442"/>
      <c r="J267" s="443"/>
      <c r="K267" s="443"/>
      <c r="R267" s="62"/>
    </row>
    <row r="268" ht="15.75" customHeight="1">
      <c r="A268" s="438"/>
      <c r="B268" s="430"/>
      <c r="C268" s="275"/>
      <c r="D268" s="439"/>
      <c r="E268" s="254"/>
      <c r="F268" s="440"/>
      <c r="G268" s="441"/>
      <c r="H268" s="255"/>
      <c r="I268" s="442"/>
      <c r="J268" s="443"/>
      <c r="K268" s="443"/>
      <c r="R268" s="62"/>
    </row>
    <row r="269" ht="15.75" customHeight="1">
      <c r="A269" s="438"/>
      <c r="B269" s="430"/>
      <c r="C269" s="275"/>
      <c r="D269" s="439"/>
      <c r="E269" s="254"/>
      <c r="F269" s="440"/>
      <c r="G269" s="441"/>
      <c r="H269" s="255"/>
      <c r="I269" s="442"/>
      <c r="J269" s="443"/>
      <c r="K269" s="443"/>
      <c r="R269" s="62"/>
    </row>
    <row r="270" ht="15.75" customHeight="1">
      <c r="A270" s="438"/>
      <c r="B270" s="430"/>
      <c r="C270" s="275"/>
      <c r="D270" s="439"/>
      <c r="E270" s="254"/>
      <c r="F270" s="440"/>
      <c r="G270" s="441"/>
      <c r="H270" s="255"/>
      <c r="I270" s="442"/>
      <c r="J270" s="443"/>
      <c r="K270" s="443"/>
      <c r="R270" s="62"/>
    </row>
    <row r="271" ht="15.75" customHeight="1">
      <c r="A271" s="438"/>
      <c r="B271" s="430"/>
      <c r="C271" s="275"/>
      <c r="D271" s="439"/>
      <c r="E271" s="254"/>
      <c r="F271" s="440"/>
      <c r="G271" s="441"/>
      <c r="H271" s="255"/>
      <c r="I271" s="442"/>
      <c r="J271" s="443"/>
      <c r="K271" s="443"/>
      <c r="R271" s="62"/>
    </row>
    <row r="272" ht="15.75" customHeight="1">
      <c r="A272" s="438"/>
      <c r="B272" s="430"/>
      <c r="C272" s="275"/>
      <c r="D272" s="439"/>
      <c r="E272" s="254"/>
      <c r="F272" s="440"/>
      <c r="G272" s="441"/>
      <c r="H272" s="255"/>
      <c r="I272" s="442"/>
      <c r="J272" s="443"/>
      <c r="K272" s="443"/>
      <c r="R272" s="62"/>
    </row>
    <row r="273" ht="15.75" customHeight="1">
      <c r="A273" s="438"/>
      <c r="B273" s="430"/>
      <c r="C273" s="275"/>
      <c r="D273" s="439"/>
      <c r="E273" s="254"/>
      <c r="F273" s="440"/>
      <c r="G273" s="441"/>
      <c r="H273" s="255"/>
      <c r="I273" s="442"/>
      <c r="J273" s="443"/>
      <c r="K273" s="443"/>
      <c r="R273" s="62"/>
    </row>
    <row r="274" ht="15.75" customHeight="1">
      <c r="A274" s="438"/>
      <c r="B274" s="430"/>
      <c r="C274" s="275"/>
      <c r="D274" s="439"/>
      <c r="E274" s="254"/>
      <c r="F274" s="440"/>
      <c r="G274" s="441"/>
      <c r="H274" s="255"/>
      <c r="I274" s="442"/>
      <c r="J274" s="443"/>
      <c r="K274" s="443"/>
      <c r="R274" s="62"/>
    </row>
    <row r="275" ht="15.75" customHeight="1">
      <c r="A275" s="438"/>
      <c r="B275" s="430"/>
      <c r="C275" s="275"/>
      <c r="D275" s="439"/>
      <c r="E275" s="254"/>
      <c r="F275" s="440"/>
      <c r="G275" s="441"/>
      <c r="H275" s="255"/>
      <c r="I275" s="442"/>
      <c r="J275" s="443"/>
      <c r="K275" s="443"/>
      <c r="R275" s="62"/>
    </row>
    <row r="276" ht="15.75" customHeight="1">
      <c r="A276" s="438"/>
      <c r="B276" s="430"/>
      <c r="C276" s="275"/>
      <c r="D276" s="439"/>
      <c r="E276" s="254"/>
      <c r="F276" s="440"/>
      <c r="G276" s="441"/>
      <c r="H276" s="255"/>
      <c r="I276" s="442"/>
      <c r="J276" s="443"/>
      <c r="K276" s="443"/>
      <c r="R276" s="62"/>
    </row>
    <row r="277" ht="15.75" customHeight="1">
      <c r="A277" s="438"/>
      <c r="B277" s="430"/>
      <c r="C277" s="275"/>
      <c r="D277" s="439"/>
      <c r="E277" s="254"/>
      <c r="F277" s="440"/>
      <c r="G277" s="441"/>
      <c r="H277" s="255"/>
      <c r="I277" s="442"/>
      <c r="J277" s="443"/>
      <c r="K277" s="443"/>
      <c r="R277" s="62"/>
    </row>
    <row r="278" ht="15.75" customHeight="1">
      <c r="A278" s="438"/>
      <c r="B278" s="430"/>
      <c r="C278" s="275"/>
      <c r="D278" s="439"/>
      <c r="E278" s="254"/>
      <c r="F278" s="440"/>
      <c r="G278" s="441"/>
      <c r="H278" s="255"/>
      <c r="I278" s="442"/>
      <c r="J278" s="443"/>
      <c r="K278" s="443"/>
      <c r="R278" s="62"/>
    </row>
    <row r="279" ht="15.75" customHeight="1">
      <c r="A279" s="438"/>
      <c r="B279" s="430"/>
      <c r="C279" s="275"/>
      <c r="D279" s="439"/>
      <c r="E279" s="254"/>
      <c r="F279" s="440"/>
      <c r="G279" s="441"/>
      <c r="H279" s="255"/>
      <c r="I279" s="442"/>
      <c r="J279" s="443"/>
      <c r="K279" s="443"/>
      <c r="R279" s="62"/>
    </row>
    <row r="280" ht="15.75" customHeight="1">
      <c r="A280" s="438"/>
      <c r="B280" s="430"/>
      <c r="C280" s="275"/>
      <c r="D280" s="439"/>
      <c r="E280" s="254"/>
      <c r="F280" s="440"/>
      <c r="G280" s="441"/>
      <c r="H280" s="255"/>
      <c r="I280" s="442"/>
      <c r="J280" s="443"/>
      <c r="K280" s="443"/>
      <c r="R280" s="62"/>
    </row>
    <row r="281" ht="15.75" customHeight="1">
      <c r="A281" s="438"/>
      <c r="B281" s="430"/>
      <c r="C281" s="275"/>
      <c r="D281" s="439"/>
      <c r="E281" s="254"/>
      <c r="F281" s="440"/>
      <c r="G281" s="441"/>
      <c r="H281" s="255"/>
      <c r="I281" s="442"/>
      <c r="J281" s="443"/>
      <c r="K281" s="443"/>
      <c r="R281" s="62"/>
    </row>
    <row r="282" ht="15.75" customHeight="1">
      <c r="A282" s="438"/>
      <c r="B282" s="430"/>
      <c r="C282" s="275"/>
      <c r="D282" s="439"/>
      <c r="E282" s="254"/>
      <c r="F282" s="440"/>
      <c r="G282" s="441"/>
      <c r="H282" s="255"/>
      <c r="I282" s="442"/>
      <c r="J282" s="443"/>
      <c r="K282" s="443"/>
      <c r="R282" s="62"/>
    </row>
    <row r="283" ht="15.75" customHeight="1">
      <c r="A283" s="438"/>
      <c r="B283" s="430"/>
      <c r="C283" s="275"/>
      <c r="D283" s="439"/>
      <c r="E283" s="254"/>
      <c r="F283" s="440"/>
      <c r="G283" s="441"/>
      <c r="H283" s="255"/>
      <c r="I283" s="442"/>
      <c r="J283" s="443"/>
      <c r="K283" s="443"/>
      <c r="R283" s="62"/>
    </row>
    <row r="284" ht="15.75" customHeight="1">
      <c r="A284" s="438"/>
      <c r="B284" s="430"/>
      <c r="C284" s="275"/>
      <c r="D284" s="439"/>
      <c r="E284" s="254"/>
      <c r="F284" s="440"/>
      <c r="G284" s="441"/>
      <c r="H284" s="255"/>
      <c r="I284" s="442"/>
      <c r="J284" s="443"/>
      <c r="K284" s="443"/>
      <c r="R284" s="62"/>
    </row>
    <row r="285" ht="15.75" customHeight="1">
      <c r="A285" s="438"/>
      <c r="B285" s="430"/>
      <c r="C285" s="275"/>
      <c r="D285" s="439"/>
      <c r="E285" s="254"/>
      <c r="F285" s="440"/>
      <c r="G285" s="441"/>
      <c r="H285" s="255"/>
      <c r="I285" s="442"/>
      <c r="J285" s="443"/>
      <c r="K285" s="443"/>
      <c r="R285" s="62"/>
    </row>
    <row r="286" ht="15.75" customHeight="1">
      <c r="A286" s="438"/>
      <c r="B286" s="430"/>
      <c r="C286" s="275"/>
      <c r="D286" s="439"/>
      <c r="E286" s="254"/>
      <c r="F286" s="440"/>
      <c r="G286" s="441"/>
      <c r="H286" s="255"/>
      <c r="I286" s="442"/>
      <c r="J286" s="443"/>
      <c r="K286" s="443"/>
      <c r="R286" s="62"/>
    </row>
    <row r="287" ht="15.75" customHeight="1">
      <c r="A287" s="438"/>
      <c r="B287" s="430"/>
      <c r="C287" s="275"/>
      <c r="D287" s="439"/>
      <c r="E287" s="254"/>
      <c r="F287" s="440"/>
      <c r="G287" s="441"/>
      <c r="H287" s="255"/>
      <c r="I287" s="442"/>
      <c r="J287" s="443"/>
      <c r="K287" s="443"/>
      <c r="R287" s="62"/>
    </row>
    <row r="288" ht="15.75" customHeight="1">
      <c r="A288" s="438"/>
      <c r="B288" s="430"/>
      <c r="C288" s="275"/>
      <c r="D288" s="439"/>
      <c r="E288" s="254"/>
      <c r="F288" s="440"/>
      <c r="G288" s="441"/>
      <c r="H288" s="255"/>
      <c r="I288" s="442"/>
      <c r="J288" s="443"/>
      <c r="K288" s="443"/>
      <c r="R288" s="62"/>
    </row>
    <row r="289" ht="15.75" customHeight="1">
      <c r="A289" s="438"/>
      <c r="B289" s="430"/>
      <c r="C289" s="275"/>
      <c r="D289" s="439"/>
      <c r="E289" s="254"/>
      <c r="F289" s="440"/>
      <c r="G289" s="441"/>
      <c r="H289" s="255"/>
      <c r="I289" s="442"/>
      <c r="J289" s="443"/>
      <c r="K289" s="443"/>
      <c r="R289" s="62"/>
    </row>
    <row r="290" ht="15.75" customHeight="1">
      <c r="A290" s="438"/>
      <c r="B290" s="430"/>
      <c r="C290" s="275"/>
      <c r="D290" s="439"/>
      <c r="E290" s="254"/>
      <c r="F290" s="440"/>
      <c r="G290" s="441"/>
      <c r="H290" s="255"/>
      <c r="I290" s="442"/>
      <c r="J290" s="443"/>
      <c r="K290" s="443"/>
      <c r="R290" s="62"/>
    </row>
    <row r="291" ht="15.75" customHeight="1">
      <c r="A291" s="438"/>
      <c r="B291" s="430"/>
      <c r="C291" s="275"/>
      <c r="D291" s="439"/>
      <c r="E291" s="254"/>
      <c r="F291" s="440"/>
      <c r="G291" s="441"/>
      <c r="H291" s="255"/>
      <c r="I291" s="442"/>
      <c r="J291" s="443"/>
      <c r="K291" s="443"/>
      <c r="R291" s="62"/>
    </row>
    <row r="292" ht="15.75" customHeight="1">
      <c r="A292" s="438"/>
      <c r="B292" s="430"/>
      <c r="C292" s="275"/>
      <c r="D292" s="439"/>
      <c r="E292" s="254"/>
      <c r="F292" s="440"/>
      <c r="G292" s="441"/>
      <c r="H292" s="255"/>
      <c r="I292" s="442"/>
      <c r="J292" s="443"/>
      <c r="K292" s="443"/>
      <c r="R292" s="62"/>
    </row>
    <row r="293" ht="15.75" customHeight="1">
      <c r="A293" s="438"/>
      <c r="B293" s="430"/>
      <c r="C293" s="275"/>
      <c r="D293" s="439"/>
      <c r="E293" s="254"/>
      <c r="F293" s="440"/>
      <c r="G293" s="441"/>
      <c r="H293" s="255"/>
      <c r="I293" s="442"/>
      <c r="J293" s="443"/>
      <c r="K293" s="443"/>
      <c r="R293" s="62"/>
    </row>
    <row r="294" ht="15.75" customHeight="1">
      <c r="A294" s="438"/>
      <c r="B294" s="430"/>
      <c r="C294" s="275"/>
      <c r="D294" s="439"/>
      <c r="E294" s="254"/>
      <c r="F294" s="440"/>
      <c r="G294" s="441"/>
      <c r="H294" s="255"/>
      <c r="I294" s="442"/>
      <c r="J294" s="443"/>
      <c r="K294" s="443"/>
      <c r="R294" s="62"/>
    </row>
    <row r="295" ht="15.75" customHeight="1">
      <c r="A295" s="438"/>
      <c r="B295" s="430"/>
      <c r="C295" s="275"/>
      <c r="D295" s="439"/>
      <c r="E295" s="254"/>
      <c r="F295" s="440"/>
      <c r="G295" s="441"/>
      <c r="H295" s="255"/>
      <c r="I295" s="442"/>
      <c r="J295" s="443"/>
      <c r="K295" s="443"/>
      <c r="R295" s="62"/>
    </row>
    <row r="296" ht="15.75" customHeight="1">
      <c r="A296" s="438"/>
      <c r="B296" s="430"/>
      <c r="C296" s="275"/>
      <c r="D296" s="439"/>
      <c r="E296" s="254"/>
      <c r="F296" s="440"/>
      <c r="G296" s="441"/>
      <c r="H296" s="255"/>
      <c r="I296" s="442"/>
      <c r="J296" s="443"/>
      <c r="K296" s="443"/>
      <c r="R296" s="62"/>
    </row>
    <row r="297" ht="15.75" customHeight="1">
      <c r="A297" s="438"/>
      <c r="B297" s="430"/>
      <c r="C297" s="275"/>
      <c r="D297" s="439"/>
      <c r="E297" s="254"/>
      <c r="F297" s="440"/>
      <c r="G297" s="441"/>
      <c r="H297" s="255"/>
      <c r="I297" s="442"/>
      <c r="J297" s="443"/>
      <c r="K297" s="443"/>
      <c r="R297" s="62"/>
    </row>
    <row r="298" ht="15.75" customHeight="1">
      <c r="A298" s="438"/>
      <c r="B298" s="430"/>
      <c r="C298" s="275"/>
      <c r="D298" s="439"/>
      <c r="E298" s="254"/>
      <c r="F298" s="440"/>
      <c r="G298" s="441"/>
      <c r="H298" s="255"/>
      <c r="I298" s="442"/>
      <c r="J298" s="443"/>
      <c r="K298" s="443"/>
      <c r="R298" s="62"/>
    </row>
    <row r="299" ht="15.75" customHeight="1">
      <c r="A299" s="438"/>
      <c r="B299" s="430"/>
      <c r="C299" s="275"/>
      <c r="D299" s="439"/>
      <c r="E299" s="254"/>
      <c r="F299" s="440"/>
      <c r="G299" s="441"/>
      <c r="H299" s="255"/>
      <c r="I299" s="442"/>
      <c r="J299" s="443"/>
      <c r="K299" s="443"/>
      <c r="R299" s="62"/>
    </row>
    <row r="300" ht="15.75" customHeight="1">
      <c r="A300" s="438"/>
      <c r="B300" s="430"/>
      <c r="C300" s="275"/>
      <c r="D300" s="439"/>
      <c r="E300" s="254"/>
      <c r="F300" s="440"/>
      <c r="G300" s="441"/>
      <c r="H300" s="255"/>
      <c r="I300" s="442"/>
      <c r="J300" s="443"/>
      <c r="K300" s="443"/>
      <c r="R300" s="62"/>
    </row>
    <row r="301" ht="15.75" customHeight="1">
      <c r="A301" s="438"/>
      <c r="B301" s="430"/>
      <c r="C301" s="275"/>
      <c r="D301" s="439"/>
      <c r="E301" s="254"/>
      <c r="F301" s="440"/>
      <c r="G301" s="441"/>
      <c r="H301" s="255"/>
      <c r="I301" s="442"/>
      <c r="J301" s="443"/>
      <c r="K301" s="443"/>
      <c r="R301" s="62"/>
    </row>
    <row r="302" ht="15.75" customHeight="1">
      <c r="A302" s="438"/>
      <c r="B302" s="430"/>
      <c r="C302" s="275"/>
      <c r="D302" s="439"/>
      <c r="E302" s="254"/>
      <c r="F302" s="440"/>
      <c r="G302" s="441"/>
      <c r="H302" s="255"/>
      <c r="I302" s="442"/>
      <c r="J302" s="443"/>
      <c r="K302" s="443"/>
      <c r="R302" s="62"/>
    </row>
    <row r="303" ht="15.75" customHeight="1">
      <c r="A303" s="438"/>
      <c r="B303" s="430"/>
      <c r="C303" s="275"/>
      <c r="D303" s="439"/>
      <c r="E303" s="254"/>
      <c r="F303" s="440"/>
      <c r="G303" s="441"/>
      <c r="H303" s="255"/>
      <c r="I303" s="442"/>
      <c r="J303" s="443"/>
      <c r="K303" s="443"/>
      <c r="R303" s="62"/>
    </row>
    <row r="304" ht="15.75" customHeight="1">
      <c r="A304" s="438"/>
      <c r="B304" s="430"/>
      <c r="C304" s="275"/>
      <c r="D304" s="439"/>
      <c r="E304" s="254"/>
      <c r="F304" s="440"/>
      <c r="G304" s="441"/>
      <c r="H304" s="255"/>
      <c r="I304" s="442"/>
      <c r="J304" s="443"/>
      <c r="K304" s="443"/>
      <c r="R304" s="62"/>
    </row>
    <row r="305" ht="15.75" customHeight="1">
      <c r="A305" s="438"/>
      <c r="B305" s="430"/>
      <c r="C305" s="275"/>
      <c r="D305" s="439"/>
      <c r="E305" s="254"/>
      <c r="F305" s="440"/>
      <c r="G305" s="441"/>
      <c r="H305" s="255"/>
      <c r="I305" s="442"/>
      <c r="J305" s="443"/>
      <c r="K305" s="443"/>
      <c r="R305" s="62"/>
    </row>
    <row r="306" ht="15.75" customHeight="1">
      <c r="A306" s="438"/>
      <c r="B306" s="430"/>
      <c r="C306" s="275"/>
      <c r="D306" s="439"/>
      <c r="E306" s="254"/>
      <c r="F306" s="440"/>
      <c r="G306" s="441"/>
      <c r="H306" s="255"/>
      <c r="I306" s="442"/>
      <c r="J306" s="443"/>
      <c r="K306" s="443"/>
      <c r="R306" s="62"/>
    </row>
    <row r="307" ht="15.75" customHeight="1">
      <c r="A307" s="438"/>
      <c r="B307" s="430"/>
      <c r="C307" s="275"/>
      <c r="D307" s="439"/>
      <c r="E307" s="254"/>
      <c r="F307" s="440"/>
      <c r="G307" s="441"/>
      <c r="H307" s="255"/>
      <c r="I307" s="442"/>
      <c r="J307" s="443"/>
      <c r="K307" s="443"/>
      <c r="R307" s="62"/>
    </row>
    <row r="308" ht="15.75" customHeight="1">
      <c r="A308" s="438"/>
      <c r="B308" s="430"/>
      <c r="C308" s="275"/>
      <c r="D308" s="439"/>
      <c r="E308" s="254"/>
      <c r="F308" s="440"/>
      <c r="G308" s="441"/>
      <c r="H308" s="255"/>
      <c r="I308" s="442"/>
      <c r="J308" s="443"/>
      <c r="K308" s="443"/>
      <c r="R308" s="62"/>
    </row>
    <row r="309" ht="15.75" customHeight="1">
      <c r="A309" s="438"/>
      <c r="B309" s="430"/>
      <c r="C309" s="275"/>
      <c r="D309" s="439"/>
      <c r="E309" s="254"/>
      <c r="F309" s="440"/>
      <c r="G309" s="441"/>
      <c r="H309" s="255"/>
      <c r="I309" s="442"/>
      <c r="J309" s="443"/>
      <c r="K309" s="443"/>
      <c r="R309" s="62"/>
    </row>
    <row r="310" ht="15.75" customHeight="1">
      <c r="A310" s="438"/>
      <c r="B310" s="430"/>
      <c r="C310" s="275"/>
      <c r="D310" s="439"/>
      <c r="E310" s="254"/>
      <c r="F310" s="440"/>
      <c r="G310" s="441"/>
      <c r="H310" s="255"/>
      <c r="I310" s="442"/>
      <c r="J310" s="443"/>
      <c r="K310" s="443"/>
      <c r="R310" s="62"/>
    </row>
    <row r="311" ht="15.75" customHeight="1">
      <c r="A311" s="438"/>
      <c r="B311" s="430"/>
      <c r="C311" s="275"/>
      <c r="D311" s="439"/>
      <c r="E311" s="254"/>
      <c r="F311" s="440"/>
      <c r="G311" s="441"/>
      <c r="H311" s="255"/>
      <c r="I311" s="442"/>
      <c r="J311" s="443"/>
      <c r="K311" s="443"/>
      <c r="R311" s="62"/>
    </row>
    <row r="312" ht="15.75" customHeight="1">
      <c r="A312" s="438"/>
      <c r="B312" s="430"/>
      <c r="C312" s="275"/>
      <c r="D312" s="439"/>
      <c r="E312" s="254"/>
      <c r="F312" s="440"/>
      <c r="G312" s="441"/>
      <c r="H312" s="255"/>
      <c r="I312" s="442"/>
      <c r="J312" s="443"/>
      <c r="K312" s="443"/>
      <c r="R312" s="62"/>
    </row>
    <row r="313" ht="15.75" customHeight="1">
      <c r="A313" s="438"/>
      <c r="B313" s="430"/>
      <c r="C313" s="275"/>
      <c r="D313" s="439"/>
      <c r="E313" s="254"/>
      <c r="F313" s="440"/>
      <c r="G313" s="441"/>
      <c r="H313" s="255"/>
      <c r="I313" s="442"/>
      <c r="J313" s="443"/>
      <c r="K313" s="443"/>
      <c r="R313" s="62"/>
    </row>
    <row r="314" ht="15.75" customHeight="1">
      <c r="A314" s="438"/>
      <c r="B314" s="430"/>
      <c r="C314" s="275"/>
      <c r="D314" s="439"/>
      <c r="E314" s="254"/>
      <c r="F314" s="440"/>
      <c r="G314" s="441"/>
      <c r="H314" s="255"/>
      <c r="I314" s="442"/>
      <c r="J314" s="443"/>
      <c r="K314" s="443"/>
      <c r="R314" s="62"/>
    </row>
    <row r="315" ht="15.75" customHeight="1">
      <c r="A315" s="438"/>
      <c r="B315" s="430"/>
      <c r="C315" s="275"/>
      <c r="D315" s="439"/>
      <c r="E315" s="254"/>
      <c r="F315" s="440"/>
      <c r="G315" s="441"/>
      <c r="H315" s="255"/>
      <c r="I315" s="442"/>
      <c r="J315" s="443"/>
      <c r="K315" s="443"/>
      <c r="R315" s="62"/>
    </row>
    <row r="316" ht="15.75" customHeight="1">
      <c r="A316" s="438"/>
      <c r="B316" s="430"/>
      <c r="C316" s="275"/>
      <c r="D316" s="439"/>
      <c r="E316" s="254"/>
      <c r="F316" s="440"/>
      <c r="G316" s="441"/>
      <c r="H316" s="255"/>
      <c r="I316" s="442"/>
      <c r="J316" s="443"/>
      <c r="K316" s="443"/>
      <c r="R316" s="62"/>
    </row>
    <row r="317" ht="15.75" customHeight="1">
      <c r="A317" s="438"/>
      <c r="B317" s="430"/>
      <c r="C317" s="275"/>
      <c r="D317" s="439"/>
      <c r="E317" s="254"/>
      <c r="F317" s="440"/>
      <c r="G317" s="441"/>
      <c r="H317" s="255"/>
      <c r="I317" s="442"/>
      <c r="J317" s="443"/>
      <c r="K317" s="443"/>
      <c r="R317" s="62"/>
    </row>
    <row r="318" ht="15.75" customHeight="1">
      <c r="A318" s="438"/>
      <c r="B318" s="430"/>
      <c r="C318" s="275"/>
      <c r="D318" s="439"/>
      <c r="E318" s="254"/>
      <c r="F318" s="440"/>
      <c r="G318" s="441"/>
      <c r="H318" s="255"/>
      <c r="I318" s="442"/>
      <c r="J318" s="443"/>
      <c r="K318" s="443"/>
      <c r="R318" s="62"/>
    </row>
    <row r="319" ht="15.75" customHeight="1">
      <c r="A319" s="438"/>
      <c r="B319" s="430"/>
      <c r="C319" s="275"/>
      <c r="D319" s="439"/>
      <c r="E319" s="254"/>
      <c r="F319" s="440"/>
      <c r="G319" s="441"/>
      <c r="H319" s="255"/>
      <c r="I319" s="442"/>
      <c r="J319" s="443"/>
      <c r="K319" s="443"/>
      <c r="R319" s="62"/>
    </row>
    <row r="320" ht="15.75" customHeight="1">
      <c r="A320" s="438"/>
      <c r="B320" s="430"/>
      <c r="C320" s="275"/>
      <c r="D320" s="439"/>
      <c r="E320" s="254"/>
      <c r="F320" s="440"/>
      <c r="G320" s="441"/>
      <c r="H320" s="255"/>
      <c r="I320" s="442"/>
      <c r="J320" s="443"/>
      <c r="K320" s="443"/>
      <c r="R320" s="62"/>
    </row>
    <row r="321" ht="15.75" customHeight="1">
      <c r="A321" s="438"/>
      <c r="B321" s="430"/>
      <c r="C321" s="275"/>
      <c r="D321" s="439"/>
      <c r="E321" s="254"/>
      <c r="F321" s="440"/>
      <c r="G321" s="441"/>
      <c r="H321" s="255"/>
      <c r="I321" s="442"/>
      <c r="J321" s="443"/>
      <c r="K321" s="443"/>
      <c r="R321" s="62"/>
    </row>
    <row r="322" ht="15.75" customHeight="1">
      <c r="A322" s="438"/>
      <c r="B322" s="430"/>
      <c r="C322" s="275"/>
      <c r="D322" s="439"/>
      <c r="E322" s="254"/>
      <c r="F322" s="440"/>
      <c r="G322" s="441"/>
      <c r="H322" s="255"/>
      <c r="I322" s="442"/>
      <c r="J322" s="443"/>
      <c r="K322" s="443"/>
      <c r="R322" s="62"/>
    </row>
    <row r="323" ht="15.75" customHeight="1">
      <c r="A323" s="438"/>
      <c r="B323" s="430"/>
      <c r="C323" s="275"/>
      <c r="D323" s="439"/>
      <c r="E323" s="254"/>
      <c r="F323" s="440"/>
      <c r="G323" s="441"/>
      <c r="H323" s="255"/>
      <c r="I323" s="442"/>
      <c r="J323" s="443"/>
      <c r="K323" s="443"/>
      <c r="R323" s="62"/>
    </row>
    <row r="324" ht="15.75" customHeight="1">
      <c r="A324" s="438"/>
      <c r="B324" s="430"/>
      <c r="C324" s="275"/>
      <c r="D324" s="439"/>
      <c r="E324" s="254"/>
      <c r="F324" s="440"/>
      <c r="G324" s="441"/>
      <c r="H324" s="255"/>
      <c r="I324" s="442"/>
      <c r="J324" s="443"/>
      <c r="K324" s="443"/>
      <c r="R324" s="62"/>
    </row>
    <row r="325" ht="15.75" customHeight="1">
      <c r="A325" s="438"/>
      <c r="B325" s="430"/>
      <c r="C325" s="275"/>
      <c r="D325" s="439"/>
      <c r="E325" s="254"/>
      <c r="F325" s="440"/>
      <c r="G325" s="441"/>
      <c r="H325" s="255"/>
      <c r="I325" s="442"/>
      <c r="J325" s="443"/>
      <c r="K325" s="443"/>
      <c r="R325" s="62"/>
    </row>
    <row r="326" ht="15.75" customHeight="1">
      <c r="A326" s="438"/>
      <c r="B326" s="430"/>
      <c r="C326" s="275"/>
      <c r="D326" s="439"/>
      <c r="E326" s="254"/>
      <c r="F326" s="440"/>
      <c r="G326" s="441"/>
      <c r="H326" s="255"/>
      <c r="I326" s="442"/>
      <c r="J326" s="443"/>
      <c r="K326" s="443"/>
      <c r="R326" s="62"/>
    </row>
    <row r="327" ht="15.75" customHeight="1">
      <c r="A327" s="438"/>
      <c r="B327" s="430"/>
      <c r="C327" s="275"/>
      <c r="D327" s="439"/>
      <c r="E327" s="254"/>
      <c r="F327" s="440"/>
      <c r="G327" s="441"/>
      <c r="H327" s="255"/>
      <c r="I327" s="442"/>
      <c r="J327" s="443"/>
      <c r="K327" s="443"/>
      <c r="R327" s="62"/>
    </row>
    <row r="328" ht="15.75" customHeight="1">
      <c r="A328" s="438"/>
      <c r="B328" s="430"/>
      <c r="C328" s="275"/>
      <c r="D328" s="439"/>
      <c r="E328" s="254"/>
      <c r="F328" s="440"/>
      <c r="G328" s="441"/>
      <c r="H328" s="255"/>
      <c r="I328" s="442"/>
      <c r="J328" s="443"/>
      <c r="K328" s="443"/>
      <c r="R328" s="62"/>
    </row>
    <row r="329" ht="15.75" customHeight="1">
      <c r="A329" s="438"/>
      <c r="B329" s="430"/>
      <c r="C329" s="275"/>
      <c r="D329" s="439"/>
      <c r="E329" s="254"/>
      <c r="F329" s="440"/>
      <c r="G329" s="441"/>
      <c r="H329" s="255"/>
      <c r="I329" s="442"/>
      <c r="J329" s="443"/>
      <c r="K329" s="443"/>
      <c r="R329" s="62"/>
    </row>
    <row r="330" ht="15.75" customHeight="1">
      <c r="A330" s="438"/>
      <c r="B330" s="430"/>
      <c r="C330" s="275"/>
      <c r="D330" s="439"/>
      <c r="E330" s="254"/>
      <c r="F330" s="440"/>
      <c r="G330" s="441"/>
      <c r="H330" s="255"/>
      <c r="I330" s="442"/>
      <c r="J330" s="443"/>
      <c r="K330" s="443"/>
      <c r="R330" s="62"/>
    </row>
    <row r="331" ht="15.75" customHeight="1">
      <c r="A331" s="438"/>
      <c r="B331" s="430"/>
      <c r="C331" s="275"/>
      <c r="D331" s="439"/>
      <c r="E331" s="254"/>
      <c r="F331" s="440"/>
      <c r="G331" s="441"/>
      <c r="H331" s="255"/>
      <c r="I331" s="442"/>
      <c r="J331" s="443"/>
      <c r="K331" s="443"/>
      <c r="R331" s="62"/>
    </row>
    <row r="332" ht="15.75" customHeight="1">
      <c r="A332" s="438"/>
      <c r="B332" s="430"/>
      <c r="C332" s="275"/>
      <c r="D332" s="439"/>
      <c r="E332" s="254"/>
      <c r="F332" s="440"/>
      <c r="G332" s="441"/>
      <c r="H332" s="255"/>
      <c r="I332" s="442"/>
      <c r="J332" s="443"/>
      <c r="K332" s="443"/>
      <c r="R332" s="62"/>
    </row>
    <row r="333" ht="15.75" customHeight="1">
      <c r="A333" s="438"/>
      <c r="B333" s="430"/>
      <c r="C333" s="275"/>
      <c r="D333" s="439"/>
      <c r="E333" s="254"/>
      <c r="F333" s="440"/>
      <c r="G333" s="441"/>
      <c r="H333" s="255"/>
      <c r="I333" s="442"/>
      <c r="J333" s="443"/>
      <c r="K333" s="443"/>
      <c r="R333" s="62"/>
    </row>
    <row r="334" ht="15.75" customHeight="1">
      <c r="A334" s="438"/>
      <c r="B334" s="430"/>
      <c r="C334" s="275"/>
      <c r="D334" s="439"/>
      <c r="E334" s="254"/>
      <c r="F334" s="440"/>
      <c r="G334" s="441"/>
      <c r="H334" s="255"/>
      <c r="I334" s="442"/>
      <c r="J334" s="443"/>
      <c r="K334" s="443"/>
      <c r="R334" s="62"/>
    </row>
    <row r="335" ht="15.75" customHeight="1">
      <c r="A335" s="438"/>
      <c r="B335" s="430"/>
      <c r="C335" s="275"/>
      <c r="D335" s="439"/>
      <c r="E335" s="254"/>
      <c r="F335" s="440"/>
      <c r="G335" s="441"/>
      <c r="H335" s="255"/>
      <c r="I335" s="442"/>
      <c r="J335" s="443"/>
      <c r="K335" s="443"/>
      <c r="R335" s="62"/>
    </row>
    <row r="336" ht="15.75" customHeight="1">
      <c r="A336" s="438"/>
      <c r="B336" s="430"/>
      <c r="C336" s="275"/>
      <c r="D336" s="439"/>
      <c r="E336" s="254"/>
      <c r="F336" s="440"/>
      <c r="G336" s="441"/>
      <c r="H336" s="255"/>
      <c r="I336" s="442"/>
      <c r="J336" s="443"/>
      <c r="K336" s="443"/>
      <c r="R336" s="62"/>
    </row>
    <row r="337" ht="15.75" customHeight="1">
      <c r="A337" s="438"/>
      <c r="B337" s="430"/>
      <c r="C337" s="275"/>
      <c r="D337" s="439"/>
      <c r="E337" s="254"/>
      <c r="F337" s="440"/>
      <c r="G337" s="441"/>
      <c r="H337" s="255"/>
      <c r="I337" s="442"/>
      <c r="J337" s="443"/>
      <c r="K337" s="443"/>
      <c r="R337" s="62"/>
    </row>
    <row r="338" ht="15.75" customHeight="1">
      <c r="A338" s="438"/>
      <c r="B338" s="430"/>
      <c r="C338" s="275"/>
      <c r="D338" s="439"/>
      <c r="E338" s="254"/>
      <c r="F338" s="440"/>
      <c r="G338" s="441"/>
      <c r="H338" s="255"/>
      <c r="I338" s="442"/>
      <c r="J338" s="443"/>
      <c r="K338" s="443"/>
      <c r="R338" s="62"/>
    </row>
    <row r="339" ht="15.75" customHeight="1">
      <c r="A339" s="438"/>
      <c r="B339" s="430"/>
      <c r="C339" s="275"/>
      <c r="D339" s="439"/>
      <c r="E339" s="254"/>
      <c r="F339" s="440"/>
      <c r="G339" s="441"/>
      <c r="H339" s="255"/>
      <c r="I339" s="442"/>
      <c r="J339" s="443"/>
      <c r="K339" s="443"/>
      <c r="R339" s="62"/>
    </row>
    <row r="340" ht="15.75" customHeight="1">
      <c r="A340" s="438"/>
      <c r="B340" s="430"/>
      <c r="C340" s="275"/>
      <c r="D340" s="439"/>
      <c r="E340" s="254"/>
      <c r="F340" s="440"/>
      <c r="G340" s="441"/>
      <c r="H340" s="255"/>
      <c r="I340" s="442"/>
      <c r="J340" s="443"/>
      <c r="K340" s="443"/>
      <c r="R340" s="62"/>
    </row>
    <row r="341" ht="15.75" customHeight="1">
      <c r="A341" s="438"/>
      <c r="B341" s="430"/>
      <c r="C341" s="275"/>
      <c r="D341" s="439"/>
      <c r="E341" s="254"/>
      <c r="F341" s="440"/>
      <c r="G341" s="441"/>
      <c r="H341" s="255"/>
      <c r="I341" s="442"/>
      <c r="J341" s="443"/>
      <c r="K341" s="443"/>
      <c r="R341" s="62"/>
    </row>
    <row r="342" ht="15.75" customHeight="1">
      <c r="A342" s="438"/>
      <c r="B342" s="430"/>
      <c r="C342" s="275"/>
      <c r="D342" s="439"/>
      <c r="E342" s="254"/>
      <c r="F342" s="440"/>
      <c r="G342" s="441"/>
      <c r="H342" s="255"/>
      <c r="I342" s="442"/>
      <c r="J342" s="443"/>
      <c r="K342" s="443"/>
      <c r="R342" s="62"/>
    </row>
    <row r="343" ht="15.75" customHeight="1">
      <c r="A343" s="438"/>
      <c r="B343" s="430"/>
      <c r="C343" s="275"/>
      <c r="D343" s="439"/>
      <c r="E343" s="254"/>
      <c r="F343" s="440"/>
      <c r="G343" s="441"/>
      <c r="H343" s="255"/>
      <c r="I343" s="442"/>
      <c r="J343" s="443"/>
      <c r="K343" s="443"/>
      <c r="R343" s="62"/>
    </row>
    <row r="344" ht="15.75" customHeight="1">
      <c r="A344" s="438"/>
      <c r="B344" s="430"/>
      <c r="C344" s="275"/>
      <c r="D344" s="439"/>
      <c r="E344" s="254"/>
      <c r="F344" s="440"/>
      <c r="G344" s="441"/>
      <c r="H344" s="255"/>
      <c r="I344" s="442"/>
      <c r="J344" s="443"/>
      <c r="K344" s="443"/>
      <c r="R344" s="62"/>
    </row>
    <row r="345" ht="15.75" customHeight="1">
      <c r="A345" s="438"/>
      <c r="B345" s="430"/>
      <c r="C345" s="275"/>
      <c r="D345" s="439"/>
      <c r="E345" s="254"/>
      <c r="F345" s="440"/>
      <c r="G345" s="441"/>
      <c r="H345" s="255"/>
      <c r="I345" s="442"/>
      <c r="J345" s="443"/>
      <c r="K345" s="443"/>
      <c r="R345" s="62"/>
    </row>
    <row r="346" ht="15.75" customHeight="1">
      <c r="A346" s="438"/>
      <c r="B346" s="430"/>
      <c r="C346" s="275"/>
      <c r="D346" s="439"/>
      <c r="E346" s="254"/>
      <c r="F346" s="440"/>
      <c r="G346" s="441"/>
      <c r="H346" s="255"/>
      <c r="I346" s="442"/>
      <c r="J346" s="443"/>
      <c r="K346" s="443"/>
      <c r="R346" s="62"/>
    </row>
    <row r="347" ht="15.75" customHeight="1">
      <c r="A347" s="438"/>
      <c r="B347" s="430"/>
      <c r="C347" s="275"/>
      <c r="D347" s="439"/>
      <c r="E347" s="254"/>
      <c r="F347" s="440"/>
      <c r="G347" s="441"/>
      <c r="H347" s="255"/>
      <c r="I347" s="442"/>
      <c r="J347" s="443"/>
      <c r="K347" s="443"/>
      <c r="R347" s="62"/>
    </row>
    <row r="348" ht="15.75" customHeight="1">
      <c r="A348" s="438"/>
      <c r="B348" s="430"/>
      <c r="C348" s="275"/>
      <c r="D348" s="439"/>
      <c r="E348" s="254"/>
      <c r="F348" s="440"/>
      <c r="G348" s="441"/>
      <c r="H348" s="255"/>
      <c r="I348" s="442"/>
      <c r="J348" s="443"/>
      <c r="K348" s="443"/>
      <c r="R348" s="62"/>
    </row>
    <row r="349" ht="15.75" customHeight="1">
      <c r="A349" s="438"/>
      <c r="B349" s="430"/>
      <c r="C349" s="275"/>
      <c r="D349" s="439"/>
      <c r="E349" s="254"/>
      <c r="F349" s="440"/>
      <c r="G349" s="441"/>
      <c r="H349" s="255"/>
      <c r="I349" s="442"/>
      <c r="J349" s="443"/>
      <c r="K349" s="443"/>
      <c r="R349" s="62"/>
    </row>
    <row r="350" ht="15.75" customHeight="1">
      <c r="A350" s="438"/>
      <c r="B350" s="430"/>
      <c r="C350" s="275"/>
      <c r="D350" s="439"/>
      <c r="E350" s="254"/>
      <c r="F350" s="440"/>
      <c r="G350" s="441"/>
      <c r="H350" s="255"/>
      <c r="I350" s="442"/>
      <c r="J350" s="443"/>
      <c r="K350" s="443"/>
      <c r="R350" s="62"/>
    </row>
    <row r="351" ht="15.75" customHeight="1">
      <c r="A351" s="438"/>
      <c r="B351" s="430"/>
      <c r="C351" s="275"/>
      <c r="D351" s="439"/>
      <c r="E351" s="254"/>
      <c r="F351" s="440"/>
      <c r="G351" s="441"/>
      <c r="H351" s="255"/>
      <c r="I351" s="442"/>
      <c r="J351" s="443"/>
      <c r="K351" s="443"/>
      <c r="R351" s="62"/>
    </row>
    <row r="352" ht="15.75" customHeight="1">
      <c r="A352" s="438"/>
      <c r="B352" s="430"/>
      <c r="C352" s="275"/>
      <c r="D352" s="439"/>
      <c r="E352" s="254"/>
      <c r="F352" s="440"/>
      <c r="G352" s="441"/>
      <c r="H352" s="255"/>
      <c r="I352" s="442"/>
      <c r="J352" s="443"/>
      <c r="K352" s="443"/>
      <c r="R352" s="62"/>
    </row>
    <row r="353" ht="15.75" customHeight="1">
      <c r="A353" s="438"/>
      <c r="B353" s="430"/>
      <c r="C353" s="275"/>
      <c r="D353" s="439"/>
      <c r="E353" s="254"/>
      <c r="F353" s="440"/>
      <c r="G353" s="441"/>
      <c r="H353" s="255"/>
      <c r="I353" s="442"/>
      <c r="J353" s="443"/>
      <c r="K353" s="443"/>
      <c r="R353" s="62"/>
    </row>
    <row r="354" ht="15.75" customHeight="1">
      <c r="A354" s="438"/>
      <c r="B354" s="430"/>
      <c r="C354" s="275"/>
      <c r="D354" s="439"/>
      <c r="E354" s="254"/>
      <c r="F354" s="440"/>
      <c r="G354" s="441"/>
      <c r="H354" s="255"/>
      <c r="I354" s="442"/>
      <c r="J354" s="443"/>
      <c r="K354" s="443"/>
      <c r="R354" s="62"/>
    </row>
    <row r="355" ht="15.75" customHeight="1">
      <c r="A355" s="438"/>
      <c r="B355" s="430"/>
      <c r="C355" s="275"/>
      <c r="D355" s="439"/>
      <c r="E355" s="254"/>
      <c r="F355" s="440"/>
      <c r="G355" s="441"/>
      <c r="H355" s="255"/>
      <c r="I355" s="442"/>
      <c r="J355" s="443"/>
      <c r="K355" s="443"/>
      <c r="R355" s="62"/>
    </row>
    <row r="356" ht="15.75" customHeight="1">
      <c r="A356" s="438"/>
      <c r="B356" s="430"/>
      <c r="C356" s="275"/>
      <c r="D356" s="439"/>
      <c r="E356" s="254"/>
      <c r="F356" s="440"/>
      <c r="G356" s="441"/>
      <c r="H356" s="255"/>
      <c r="I356" s="442"/>
      <c r="J356" s="443"/>
      <c r="K356" s="443"/>
      <c r="R356" s="62"/>
    </row>
    <row r="357" ht="15.75" customHeight="1">
      <c r="A357" s="438"/>
      <c r="B357" s="430"/>
      <c r="C357" s="275"/>
      <c r="D357" s="439"/>
      <c r="E357" s="254"/>
      <c r="F357" s="440"/>
      <c r="G357" s="441"/>
      <c r="H357" s="255"/>
      <c r="I357" s="442"/>
      <c r="J357" s="443"/>
      <c r="K357" s="443"/>
      <c r="R357" s="62"/>
    </row>
    <row r="358" ht="15.75" customHeight="1">
      <c r="A358" s="438"/>
      <c r="B358" s="430"/>
      <c r="C358" s="275"/>
      <c r="D358" s="439"/>
      <c r="E358" s="254"/>
      <c r="F358" s="440"/>
      <c r="G358" s="441"/>
      <c r="H358" s="255"/>
      <c r="I358" s="442"/>
      <c r="J358" s="443"/>
      <c r="K358" s="443"/>
      <c r="R358" s="62"/>
    </row>
    <row r="359" ht="15.75" customHeight="1">
      <c r="A359" s="438"/>
      <c r="B359" s="430"/>
      <c r="C359" s="275"/>
      <c r="D359" s="439"/>
      <c r="E359" s="254"/>
      <c r="F359" s="440"/>
      <c r="G359" s="441"/>
      <c r="H359" s="255"/>
      <c r="I359" s="442"/>
      <c r="J359" s="443"/>
      <c r="K359" s="443"/>
      <c r="R359" s="62"/>
    </row>
    <row r="360" ht="15.75" customHeight="1">
      <c r="A360" s="438"/>
      <c r="B360" s="430"/>
      <c r="C360" s="275"/>
      <c r="D360" s="439"/>
      <c r="E360" s="254"/>
      <c r="F360" s="440"/>
      <c r="G360" s="441"/>
      <c r="H360" s="255"/>
      <c r="I360" s="442"/>
      <c r="J360" s="443"/>
      <c r="K360" s="443"/>
      <c r="R360" s="62"/>
    </row>
    <row r="361" ht="15.75" customHeight="1">
      <c r="A361" s="438"/>
      <c r="B361" s="430"/>
      <c r="C361" s="275"/>
      <c r="D361" s="439"/>
      <c r="E361" s="254"/>
      <c r="F361" s="440"/>
      <c r="G361" s="441"/>
      <c r="H361" s="255"/>
      <c r="I361" s="442"/>
      <c r="J361" s="443"/>
      <c r="K361" s="443"/>
      <c r="R361" s="62"/>
    </row>
    <row r="362" ht="15.75" customHeight="1">
      <c r="A362" s="438"/>
      <c r="B362" s="430"/>
      <c r="C362" s="275"/>
      <c r="D362" s="439"/>
      <c r="E362" s="254"/>
      <c r="F362" s="440"/>
      <c r="G362" s="441"/>
      <c r="H362" s="255"/>
      <c r="I362" s="442"/>
      <c r="J362" s="443"/>
      <c r="K362" s="443"/>
      <c r="R362" s="62"/>
    </row>
    <row r="363" ht="15.75" customHeight="1">
      <c r="A363" s="438"/>
      <c r="B363" s="430"/>
      <c r="C363" s="275"/>
      <c r="D363" s="439"/>
      <c r="E363" s="254"/>
      <c r="F363" s="440"/>
      <c r="G363" s="441"/>
      <c r="H363" s="255"/>
      <c r="I363" s="442"/>
      <c r="J363" s="443"/>
      <c r="K363" s="443"/>
      <c r="R363" s="62"/>
    </row>
    <row r="364" ht="15.75" customHeight="1">
      <c r="A364" s="438"/>
      <c r="B364" s="430"/>
      <c r="C364" s="275"/>
      <c r="D364" s="439"/>
      <c r="E364" s="254"/>
      <c r="F364" s="440"/>
      <c r="G364" s="441"/>
      <c r="H364" s="255"/>
      <c r="I364" s="442"/>
      <c r="J364" s="443"/>
      <c r="K364" s="443"/>
      <c r="R364" s="62"/>
    </row>
    <row r="365" ht="15.75" customHeight="1">
      <c r="A365" s="438"/>
      <c r="B365" s="430"/>
      <c r="C365" s="275"/>
      <c r="D365" s="439"/>
      <c r="E365" s="254"/>
      <c r="F365" s="440"/>
      <c r="G365" s="441"/>
      <c r="H365" s="255"/>
      <c r="I365" s="442"/>
      <c r="J365" s="443"/>
      <c r="K365" s="443"/>
      <c r="R365" s="62"/>
    </row>
    <row r="366" ht="15.75" customHeight="1">
      <c r="A366" s="438"/>
      <c r="B366" s="430"/>
      <c r="C366" s="275"/>
      <c r="D366" s="439"/>
      <c r="E366" s="254"/>
      <c r="F366" s="440"/>
      <c r="G366" s="441"/>
      <c r="H366" s="255"/>
      <c r="I366" s="442"/>
      <c r="J366" s="443"/>
      <c r="K366" s="443"/>
      <c r="R366" s="62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A1:K1"/>
    <mergeCell ref="A2:K2"/>
    <mergeCell ref="N4:Q4"/>
    <mergeCell ref="N5:Q5"/>
    <mergeCell ref="A19:K19"/>
    <mergeCell ref="N22:Q22"/>
    <mergeCell ref="N23:Q23"/>
    <mergeCell ref="A20:K20"/>
    <mergeCell ref="A37:K37"/>
    <mergeCell ref="A38:K38"/>
    <mergeCell ref="N40:Q40"/>
    <mergeCell ref="N41:Q41"/>
    <mergeCell ref="A55:K55"/>
    <mergeCell ref="A56:K56"/>
    <mergeCell ref="N58:Q58"/>
    <mergeCell ref="N59:Q59"/>
    <mergeCell ref="A73:K73"/>
    <mergeCell ref="A74:K74"/>
    <mergeCell ref="N76:Q76"/>
    <mergeCell ref="N77:Q77"/>
    <mergeCell ref="A91:K91"/>
    <mergeCell ref="A92:K92"/>
    <mergeCell ref="N94:Q94"/>
    <mergeCell ref="N95:Q95"/>
    <mergeCell ref="A109:K109"/>
    <mergeCell ref="A110:K110"/>
    <mergeCell ref="N112:Q112"/>
    <mergeCell ref="N113:Q113"/>
    <mergeCell ref="N149:Q149"/>
    <mergeCell ref="N164:Q164"/>
    <mergeCell ref="A127:K127"/>
    <mergeCell ref="A128:K128"/>
    <mergeCell ref="N130:Q130"/>
    <mergeCell ref="N131:Q131"/>
    <mergeCell ref="A145:K145"/>
    <mergeCell ref="A146:K146"/>
    <mergeCell ref="N148:Q148"/>
  </mergeCells>
  <dataValidations>
    <dataValidation type="list" allowBlank="1" showErrorMessage="1" sqref="I4:I15 I22:I33 I40:I51 I58:I69 I76:I87 I94:I105 I112:I123 I130:I141 I148:I159">
      <formula1>"Não atendido,Atendido,Vagas livres,Cancelado"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5"/>
    <col customWidth="1" min="2" max="2" width="46.5"/>
    <col customWidth="1" min="3" max="5" width="20.25"/>
    <col customWidth="1" min="6" max="6" width="19.75"/>
    <col customWidth="1" min="7" max="7" width="19.25"/>
    <col customWidth="1" min="8" max="8" width="23.25"/>
    <col customWidth="1" min="9" max="9" width="27.5"/>
  </cols>
  <sheetData>
    <row r="1" ht="37.5" customHeight="1">
      <c r="A1" s="516"/>
      <c r="B1" s="517" t="s">
        <v>3945</v>
      </c>
      <c r="C1" s="517" t="s">
        <v>3946</v>
      </c>
      <c r="D1" s="517" t="s">
        <v>3947</v>
      </c>
      <c r="E1" s="517" t="s">
        <v>3948</v>
      </c>
      <c r="F1" s="517" t="s">
        <v>3949</v>
      </c>
      <c r="G1" s="67" t="s">
        <v>3950</v>
      </c>
      <c r="H1" s="517" t="s">
        <v>3951</v>
      </c>
    </row>
    <row r="2" ht="15.75" customHeight="1">
      <c r="A2" s="427" t="s">
        <v>3952</v>
      </c>
      <c r="B2" s="518" t="s">
        <v>275</v>
      </c>
      <c r="C2" s="519">
        <v>6.0</v>
      </c>
      <c r="D2" s="519">
        <v>3.0</v>
      </c>
      <c r="E2" s="520">
        <v>237.0</v>
      </c>
      <c r="F2" s="521">
        <f t="shared" ref="F2:F4" si="1">E2/$K$2</f>
        <v>0.1928397071</v>
      </c>
      <c r="G2" s="522">
        <f t="shared" ref="G2:G4" si="2">F2*144</f>
        <v>27.76891782</v>
      </c>
      <c r="H2" s="523">
        <f t="shared" ref="H2:H4" si="3">F2*36</f>
        <v>6.942229455</v>
      </c>
      <c r="I2" s="524" t="s">
        <v>3953</v>
      </c>
      <c r="J2" s="525" t="s">
        <v>3952</v>
      </c>
      <c r="K2" s="525">
        <f>E2+E3+E4+E6+E8+E13+E14+E15+E16+E21+E25+E27</f>
        <v>1229</v>
      </c>
    </row>
    <row r="3" ht="15.75" customHeight="1">
      <c r="A3" s="427" t="s">
        <v>3952</v>
      </c>
      <c r="B3" s="518" t="s">
        <v>219</v>
      </c>
      <c r="C3" s="519">
        <v>8.0</v>
      </c>
      <c r="D3" s="519">
        <v>4.0</v>
      </c>
      <c r="E3" s="520">
        <v>164.0</v>
      </c>
      <c r="F3" s="521">
        <f t="shared" si="1"/>
        <v>0.1334418226</v>
      </c>
      <c r="G3" s="522">
        <f t="shared" si="2"/>
        <v>19.21562246</v>
      </c>
      <c r="H3" s="523">
        <f t="shared" si="3"/>
        <v>4.803905614</v>
      </c>
      <c r="J3" s="525" t="s">
        <v>3954</v>
      </c>
      <c r="K3" s="525">
        <f>E5+E7+E9+E10+E11+E12+E17+E18+E19+E20+E22+E23+E24+E26+E28+E29+E30+E31</f>
        <v>1096</v>
      </c>
    </row>
    <row r="4" ht="15.75" customHeight="1">
      <c r="A4" s="427" t="s">
        <v>3952</v>
      </c>
      <c r="B4" s="518" t="s">
        <v>1320</v>
      </c>
      <c r="C4" s="519">
        <v>9.0</v>
      </c>
      <c r="D4" s="519">
        <v>4.0</v>
      </c>
      <c r="E4" s="520">
        <v>159.0</v>
      </c>
      <c r="F4" s="521">
        <f t="shared" si="1"/>
        <v>0.1293734744</v>
      </c>
      <c r="G4" s="522">
        <f t="shared" si="2"/>
        <v>18.62978031</v>
      </c>
      <c r="H4" s="523">
        <f t="shared" si="3"/>
        <v>4.657445077</v>
      </c>
    </row>
    <row r="5" ht="15.75" customHeight="1">
      <c r="A5" s="526" t="s">
        <v>3954</v>
      </c>
      <c r="B5" s="518" t="s">
        <v>974</v>
      </c>
      <c r="C5" s="519">
        <v>6.0</v>
      </c>
      <c r="D5" s="519"/>
      <c r="E5" s="520">
        <v>134.0</v>
      </c>
      <c r="F5" s="521">
        <f>E5/$K$3</f>
        <v>0.1222627737</v>
      </c>
      <c r="G5" s="522">
        <f>F5*96</f>
        <v>11.73722628</v>
      </c>
      <c r="H5" s="523">
        <f>F5*24</f>
        <v>2.934306569</v>
      </c>
      <c r="I5" s="524" t="s">
        <v>3955</v>
      </c>
      <c r="J5" s="525" t="s">
        <v>3952</v>
      </c>
      <c r="K5" s="525">
        <v>144.0</v>
      </c>
    </row>
    <row r="6" ht="15.75" customHeight="1">
      <c r="A6" s="427" t="s">
        <v>3952</v>
      </c>
      <c r="B6" s="527" t="s">
        <v>398</v>
      </c>
      <c r="C6" s="519">
        <v>6.0</v>
      </c>
      <c r="D6" s="519">
        <v>3.0</v>
      </c>
      <c r="E6" s="520">
        <v>126.0</v>
      </c>
      <c r="F6" s="521">
        <f>E6/$K$2</f>
        <v>0.1025223759</v>
      </c>
      <c r="G6" s="522">
        <f>F6*144</f>
        <v>14.76322213</v>
      </c>
      <c r="H6" s="523">
        <f>F6*36</f>
        <v>3.690805533</v>
      </c>
      <c r="J6" s="525" t="s">
        <v>3954</v>
      </c>
      <c r="K6" s="525">
        <v>96.0</v>
      </c>
    </row>
    <row r="7" ht="15.75" customHeight="1">
      <c r="A7" s="526" t="s">
        <v>3954</v>
      </c>
      <c r="B7" s="518" t="s">
        <v>3956</v>
      </c>
      <c r="C7" s="519">
        <v>7.0</v>
      </c>
      <c r="D7" s="519"/>
      <c r="E7" s="520">
        <v>117.0</v>
      </c>
      <c r="F7" s="521">
        <f>E7/$K$3</f>
        <v>0.1067518248</v>
      </c>
      <c r="G7" s="522">
        <f>F7*96</f>
        <v>10.24817518</v>
      </c>
      <c r="H7" s="523">
        <f>F7*24</f>
        <v>2.562043796</v>
      </c>
    </row>
    <row r="8" ht="15.75" customHeight="1">
      <c r="A8" s="427" t="s">
        <v>3952</v>
      </c>
      <c r="B8" s="527" t="s">
        <v>928</v>
      </c>
      <c r="C8" s="519">
        <v>9.0</v>
      </c>
      <c r="D8" s="519">
        <v>4.0</v>
      </c>
      <c r="E8" s="520">
        <v>105.0</v>
      </c>
      <c r="F8" s="521">
        <f>E8/$K$2</f>
        <v>0.08543531326</v>
      </c>
      <c r="G8" s="522">
        <f>F8*144</f>
        <v>12.30268511</v>
      </c>
      <c r="H8" s="523">
        <f>F8*36</f>
        <v>3.075671277</v>
      </c>
    </row>
    <row r="9" ht="15.75" customHeight="1">
      <c r="A9" s="526" t="s">
        <v>3954</v>
      </c>
      <c r="B9" s="527" t="s">
        <v>1622</v>
      </c>
      <c r="C9" s="519">
        <v>5.0</v>
      </c>
      <c r="D9" s="519"/>
      <c r="E9" s="520">
        <v>94.0</v>
      </c>
      <c r="F9" s="521">
        <f t="shared" ref="F9:F12" si="4">E9/$K$3</f>
        <v>0.08576642336</v>
      </c>
      <c r="G9" s="522">
        <f t="shared" ref="G9:G12" si="5">F9*96</f>
        <v>8.233576642</v>
      </c>
      <c r="H9" s="523">
        <f t="shared" ref="H9:H12" si="6">F9*24</f>
        <v>2.058394161</v>
      </c>
    </row>
    <row r="10" ht="15.75" customHeight="1">
      <c r="A10" s="526" t="s">
        <v>3954</v>
      </c>
      <c r="B10" s="527" t="s">
        <v>3957</v>
      </c>
      <c r="C10" s="519">
        <v>4.0</v>
      </c>
      <c r="D10" s="519"/>
      <c r="E10" s="520">
        <v>88.0</v>
      </c>
      <c r="F10" s="521">
        <f t="shared" si="4"/>
        <v>0.0802919708</v>
      </c>
      <c r="G10" s="522">
        <f t="shared" si="5"/>
        <v>7.708029197</v>
      </c>
      <c r="H10" s="523">
        <f t="shared" si="6"/>
        <v>1.927007299</v>
      </c>
    </row>
    <row r="11" ht="15.75" customHeight="1">
      <c r="A11" s="526" t="s">
        <v>3954</v>
      </c>
      <c r="B11" s="518" t="s">
        <v>340</v>
      </c>
      <c r="C11" s="519">
        <v>6.0</v>
      </c>
      <c r="D11" s="519"/>
      <c r="E11" s="520">
        <v>85.0</v>
      </c>
      <c r="F11" s="521">
        <f t="shared" si="4"/>
        <v>0.07755474453</v>
      </c>
      <c r="G11" s="522">
        <f t="shared" si="5"/>
        <v>7.445255474</v>
      </c>
      <c r="H11" s="523">
        <f t="shared" si="6"/>
        <v>1.861313869</v>
      </c>
    </row>
    <row r="12" ht="15.75" customHeight="1">
      <c r="A12" s="526" t="s">
        <v>3954</v>
      </c>
      <c r="B12" s="518" t="s">
        <v>1613</v>
      </c>
      <c r="C12" s="519">
        <v>7.0</v>
      </c>
      <c r="D12" s="519"/>
      <c r="E12" s="520">
        <v>83.0</v>
      </c>
      <c r="F12" s="521">
        <f t="shared" si="4"/>
        <v>0.07572992701</v>
      </c>
      <c r="G12" s="522">
        <f t="shared" si="5"/>
        <v>7.270072993</v>
      </c>
      <c r="H12" s="523">
        <f t="shared" si="6"/>
        <v>1.817518248</v>
      </c>
    </row>
    <row r="13" ht="15.75" customHeight="1">
      <c r="A13" s="427" t="s">
        <v>3952</v>
      </c>
      <c r="B13" s="527" t="s">
        <v>294</v>
      </c>
      <c r="C13" s="519">
        <v>7.0</v>
      </c>
      <c r="D13" s="519">
        <v>3.0</v>
      </c>
      <c r="E13" s="520">
        <v>82.0</v>
      </c>
      <c r="F13" s="521">
        <f t="shared" ref="F13:F16" si="7">E13/$K$2</f>
        <v>0.06672091131</v>
      </c>
      <c r="G13" s="522">
        <f t="shared" ref="G13:G16" si="8">F13*144</f>
        <v>9.607811229</v>
      </c>
      <c r="H13" s="523">
        <f t="shared" ref="H13:H16" si="9">F13*36</f>
        <v>2.401952807</v>
      </c>
    </row>
    <row r="14" ht="15.75" customHeight="1">
      <c r="A14" s="427" t="s">
        <v>3952</v>
      </c>
      <c r="B14" s="518" t="s">
        <v>280</v>
      </c>
      <c r="C14" s="519">
        <v>5.0</v>
      </c>
      <c r="D14" s="519">
        <v>3.0</v>
      </c>
      <c r="E14" s="520">
        <v>81.0</v>
      </c>
      <c r="F14" s="521">
        <f t="shared" si="7"/>
        <v>0.06590724166</v>
      </c>
      <c r="G14" s="522">
        <f t="shared" si="8"/>
        <v>9.490642799</v>
      </c>
      <c r="H14" s="523">
        <f t="shared" si="9"/>
        <v>2.3726607</v>
      </c>
    </row>
    <row r="15" ht="15.75" customHeight="1">
      <c r="A15" s="427" t="s">
        <v>3952</v>
      </c>
      <c r="B15" s="527" t="s">
        <v>622</v>
      </c>
      <c r="C15" s="519">
        <v>6.0</v>
      </c>
      <c r="D15" s="519">
        <v>3.0</v>
      </c>
      <c r="E15" s="520">
        <v>79.0</v>
      </c>
      <c r="F15" s="521">
        <f t="shared" si="7"/>
        <v>0.06427990236</v>
      </c>
      <c r="G15" s="522">
        <f t="shared" si="8"/>
        <v>9.25630594</v>
      </c>
      <c r="H15" s="523">
        <f t="shared" si="9"/>
        <v>2.314076485</v>
      </c>
    </row>
    <row r="16" ht="15.75" customHeight="1">
      <c r="A16" s="427" t="s">
        <v>3952</v>
      </c>
      <c r="B16" s="527" t="s">
        <v>1392</v>
      </c>
      <c r="C16" s="519">
        <v>6.0</v>
      </c>
      <c r="D16" s="519">
        <v>3.0</v>
      </c>
      <c r="E16" s="520">
        <v>76.0</v>
      </c>
      <c r="F16" s="521">
        <f t="shared" si="7"/>
        <v>0.06183889341</v>
      </c>
      <c r="G16" s="522">
        <f t="shared" si="8"/>
        <v>8.904800651</v>
      </c>
      <c r="H16" s="523">
        <f t="shared" si="9"/>
        <v>2.226200163</v>
      </c>
    </row>
    <row r="17" ht="15.75" customHeight="1">
      <c r="A17" s="526" t="s">
        <v>3954</v>
      </c>
      <c r="B17" s="527" t="s">
        <v>192</v>
      </c>
      <c r="C17" s="519">
        <v>4.0</v>
      </c>
      <c r="D17" s="519"/>
      <c r="E17" s="520">
        <v>74.0</v>
      </c>
      <c r="F17" s="521">
        <f t="shared" ref="F17:F20" si="10">E17/$K$3</f>
        <v>0.06751824818</v>
      </c>
      <c r="G17" s="522">
        <f t="shared" ref="G17:G20" si="11">F17*96</f>
        <v>6.481751825</v>
      </c>
      <c r="H17" s="523">
        <f t="shared" ref="H17:H20" si="12">F17*24</f>
        <v>1.620437956</v>
      </c>
    </row>
    <row r="18" ht="15.75" customHeight="1">
      <c r="A18" s="526" t="s">
        <v>3954</v>
      </c>
      <c r="B18" s="518" t="s">
        <v>442</v>
      </c>
      <c r="C18" s="519">
        <v>5.0</v>
      </c>
      <c r="D18" s="519"/>
      <c r="E18" s="520">
        <v>63.0</v>
      </c>
      <c r="F18" s="521">
        <f t="shared" si="10"/>
        <v>0.05748175182</v>
      </c>
      <c r="G18" s="522">
        <f t="shared" si="11"/>
        <v>5.518248175</v>
      </c>
      <c r="H18" s="523">
        <f t="shared" si="12"/>
        <v>1.379562044</v>
      </c>
    </row>
    <row r="19" ht="15.75" customHeight="1">
      <c r="A19" s="526" t="s">
        <v>3954</v>
      </c>
      <c r="B19" s="527" t="s">
        <v>587</v>
      </c>
      <c r="C19" s="519">
        <v>5.0</v>
      </c>
      <c r="D19" s="519"/>
      <c r="E19" s="520">
        <v>62.0</v>
      </c>
      <c r="F19" s="521">
        <f t="shared" si="10"/>
        <v>0.05656934307</v>
      </c>
      <c r="G19" s="522">
        <f t="shared" si="11"/>
        <v>5.430656934</v>
      </c>
      <c r="H19" s="523">
        <f t="shared" si="12"/>
        <v>1.357664234</v>
      </c>
    </row>
    <row r="20" ht="15.75" customHeight="1">
      <c r="A20" s="526" t="s">
        <v>3954</v>
      </c>
      <c r="B20" s="527" t="s">
        <v>273</v>
      </c>
      <c r="C20" s="519">
        <v>7.0</v>
      </c>
      <c r="D20" s="519"/>
      <c r="E20" s="520">
        <v>52.0</v>
      </c>
      <c r="F20" s="521">
        <f t="shared" si="10"/>
        <v>0.04744525547</v>
      </c>
      <c r="G20" s="522">
        <f t="shared" si="11"/>
        <v>4.554744526</v>
      </c>
      <c r="H20" s="523">
        <f t="shared" si="12"/>
        <v>1.138686131</v>
      </c>
    </row>
    <row r="21" ht="15.75" customHeight="1">
      <c r="A21" s="427" t="s">
        <v>3952</v>
      </c>
      <c r="B21" s="527" t="s">
        <v>526</v>
      </c>
      <c r="C21" s="519">
        <v>4.0</v>
      </c>
      <c r="D21" s="519">
        <v>2.0</v>
      </c>
      <c r="E21" s="520">
        <v>47.0</v>
      </c>
      <c r="F21" s="521">
        <f>E21/$K$2</f>
        <v>0.03824247356</v>
      </c>
      <c r="G21" s="522">
        <f>F21*144</f>
        <v>5.506916192</v>
      </c>
      <c r="H21" s="523">
        <f>F21*36</f>
        <v>1.376729048</v>
      </c>
    </row>
    <row r="22" ht="15.75" customHeight="1">
      <c r="A22" s="526" t="s">
        <v>3954</v>
      </c>
      <c r="B22" s="527" t="s">
        <v>258</v>
      </c>
      <c r="C22" s="519">
        <v>4.0</v>
      </c>
      <c r="D22" s="519"/>
      <c r="E22" s="520">
        <v>43.0</v>
      </c>
      <c r="F22" s="521">
        <f t="shared" ref="F22:F24" si="13">E22/$K$3</f>
        <v>0.03923357664</v>
      </c>
      <c r="G22" s="522">
        <f t="shared" ref="G22:G24" si="14">F22*96</f>
        <v>3.766423358</v>
      </c>
      <c r="H22" s="523">
        <f t="shared" ref="H22:H24" si="15">F22*24</f>
        <v>0.9416058394</v>
      </c>
    </row>
    <row r="23" ht="15.75" customHeight="1">
      <c r="A23" s="526" t="s">
        <v>3954</v>
      </c>
      <c r="B23" s="527" t="s">
        <v>323</v>
      </c>
      <c r="C23" s="519">
        <v>6.0</v>
      </c>
      <c r="D23" s="519"/>
      <c r="E23" s="520">
        <v>41.0</v>
      </c>
      <c r="F23" s="521">
        <f t="shared" si="13"/>
        <v>0.03740875912</v>
      </c>
      <c r="G23" s="522">
        <f t="shared" si="14"/>
        <v>3.591240876</v>
      </c>
      <c r="H23" s="523">
        <f t="shared" si="15"/>
        <v>0.897810219</v>
      </c>
    </row>
    <row r="24" ht="15.75" customHeight="1">
      <c r="A24" s="526" t="s">
        <v>3954</v>
      </c>
      <c r="B24" s="527" t="s">
        <v>855</v>
      </c>
      <c r="C24" s="519">
        <v>4.0</v>
      </c>
      <c r="D24" s="519"/>
      <c r="E24" s="520">
        <v>39.0</v>
      </c>
      <c r="F24" s="521">
        <f t="shared" si="13"/>
        <v>0.03558394161</v>
      </c>
      <c r="G24" s="522">
        <f t="shared" si="14"/>
        <v>3.416058394</v>
      </c>
      <c r="H24" s="523">
        <f t="shared" si="15"/>
        <v>0.8540145985</v>
      </c>
    </row>
    <row r="25" ht="15.75" customHeight="1">
      <c r="A25" s="427" t="s">
        <v>3952</v>
      </c>
      <c r="B25" s="518" t="s">
        <v>263</v>
      </c>
      <c r="C25" s="519">
        <v>8.0</v>
      </c>
      <c r="D25" s="519">
        <v>4.0</v>
      </c>
      <c r="E25" s="520">
        <v>38.0</v>
      </c>
      <c r="F25" s="521">
        <f>E25/$K$2</f>
        <v>0.0309194467</v>
      </c>
      <c r="G25" s="522">
        <f>F25*144</f>
        <v>4.452400325</v>
      </c>
      <c r="H25" s="523">
        <f>F25*36</f>
        <v>1.113100081</v>
      </c>
    </row>
    <row r="26" ht="15.75" customHeight="1">
      <c r="A26" s="526" t="s">
        <v>3954</v>
      </c>
      <c r="B26" s="527" t="s">
        <v>492</v>
      </c>
      <c r="C26" s="519">
        <v>7.0</v>
      </c>
      <c r="D26" s="519"/>
      <c r="E26" s="520">
        <v>37.0</v>
      </c>
      <c r="F26" s="521">
        <f>E26/$K$3</f>
        <v>0.03375912409</v>
      </c>
      <c r="G26" s="522">
        <f>F26*96</f>
        <v>3.240875912</v>
      </c>
      <c r="H26" s="523">
        <f>F26*24</f>
        <v>0.8102189781</v>
      </c>
    </row>
    <row r="27" ht="15.75" customHeight="1">
      <c r="A27" s="427" t="s">
        <v>3952</v>
      </c>
      <c r="B27" s="527" t="s">
        <v>667</v>
      </c>
      <c r="C27" s="519">
        <v>7.0</v>
      </c>
      <c r="D27" s="519">
        <v>3.0</v>
      </c>
      <c r="E27" s="520">
        <v>35.0</v>
      </c>
      <c r="F27" s="521">
        <f>E27/$K$2</f>
        <v>0.02847843775</v>
      </c>
      <c r="G27" s="522">
        <f>F27*144</f>
        <v>4.100895037</v>
      </c>
      <c r="H27" s="523">
        <f>F27*36</f>
        <v>1.025223759</v>
      </c>
    </row>
    <row r="28" ht="15.75" customHeight="1">
      <c r="A28" s="526" t="s">
        <v>3954</v>
      </c>
      <c r="B28" s="527" t="s">
        <v>1704</v>
      </c>
      <c r="C28" s="519">
        <v>5.0</v>
      </c>
      <c r="D28" s="519"/>
      <c r="E28" s="520">
        <v>29.0</v>
      </c>
      <c r="F28" s="521">
        <f t="shared" ref="F28:F31" si="16">E28/$K$3</f>
        <v>0.02645985401</v>
      </c>
      <c r="G28" s="522">
        <f t="shared" ref="G28:G31" si="17">F28*96</f>
        <v>2.540145985</v>
      </c>
      <c r="H28" s="523">
        <f t="shared" ref="H28:H31" si="18">F28*24</f>
        <v>0.6350364964</v>
      </c>
    </row>
    <row r="29" ht="15.75" customHeight="1">
      <c r="A29" s="526" t="s">
        <v>3954</v>
      </c>
      <c r="B29" s="527" t="s">
        <v>447</v>
      </c>
      <c r="C29" s="519">
        <v>7.0</v>
      </c>
      <c r="D29" s="519"/>
      <c r="E29" s="520">
        <v>27.0</v>
      </c>
      <c r="F29" s="521">
        <f t="shared" si="16"/>
        <v>0.0246350365</v>
      </c>
      <c r="G29" s="522">
        <f t="shared" si="17"/>
        <v>2.364963504</v>
      </c>
      <c r="H29" s="523">
        <f t="shared" si="18"/>
        <v>0.5912408759</v>
      </c>
    </row>
    <row r="30" ht="15.75" customHeight="1">
      <c r="A30" s="526" t="s">
        <v>3954</v>
      </c>
      <c r="B30" s="527" t="s">
        <v>3958</v>
      </c>
      <c r="C30" s="519">
        <v>5.0</v>
      </c>
      <c r="D30" s="519"/>
      <c r="E30" s="520">
        <v>26.0</v>
      </c>
      <c r="F30" s="521">
        <f t="shared" si="16"/>
        <v>0.02372262774</v>
      </c>
      <c r="G30" s="522">
        <f t="shared" si="17"/>
        <v>2.277372263</v>
      </c>
      <c r="H30" s="523">
        <f t="shared" si="18"/>
        <v>0.5693430657</v>
      </c>
    </row>
    <row r="31" ht="15.75" customHeight="1">
      <c r="A31" s="526" t="s">
        <v>3954</v>
      </c>
      <c r="B31" s="527" t="s">
        <v>1597</v>
      </c>
      <c r="C31" s="519">
        <v>3.0</v>
      </c>
      <c r="D31" s="519"/>
      <c r="E31" s="520">
        <v>2.0</v>
      </c>
      <c r="F31" s="521">
        <f t="shared" si="16"/>
        <v>0.001824817518</v>
      </c>
      <c r="G31" s="522">
        <f t="shared" si="17"/>
        <v>0.1751824818</v>
      </c>
      <c r="H31" s="523">
        <f t="shared" si="18"/>
        <v>0.04379562044</v>
      </c>
    </row>
    <row r="32" ht="15.75" customHeight="1"/>
    <row r="33" ht="15.75" customHeight="1">
      <c r="D33" s="197">
        <f>SUM(D2:D27)</f>
        <v>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C$33"/>
  <mergeCells count="2">
    <mergeCell ref="I2:I3"/>
    <mergeCell ref="I5:I6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26.63"/>
    <col customWidth="1" min="3" max="3" width="16.63"/>
    <col customWidth="1" min="4" max="6" width="12.63"/>
    <col customWidth="1" min="8" max="8" width="20.75"/>
  </cols>
  <sheetData>
    <row r="1" ht="15.75" customHeight="1">
      <c r="A1" s="516"/>
      <c r="B1" s="517" t="s">
        <v>3945</v>
      </c>
      <c r="C1" s="517" t="s">
        <v>3946</v>
      </c>
      <c r="D1" s="517" t="s">
        <v>3947</v>
      </c>
      <c r="E1" s="517" t="s">
        <v>3948</v>
      </c>
      <c r="F1" s="517" t="s">
        <v>3949</v>
      </c>
      <c r="G1" s="67" t="s">
        <v>3950</v>
      </c>
      <c r="H1" s="517" t="s">
        <v>3951</v>
      </c>
    </row>
    <row r="2" ht="15.75" customHeight="1">
      <c r="A2" s="526" t="s">
        <v>3954</v>
      </c>
      <c r="B2" s="518" t="s">
        <v>974</v>
      </c>
      <c r="C2" s="519">
        <v>6.0</v>
      </c>
      <c r="D2" s="519">
        <v>1.0</v>
      </c>
      <c r="E2" s="520">
        <v>134.0</v>
      </c>
      <c r="F2" s="521">
        <v>0.12226277372262774</v>
      </c>
      <c r="G2" s="522">
        <v>11.737226277372264</v>
      </c>
      <c r="H2" s="523">
        <v>2.934306569343066</v>
      </c>
    </row>
    <row r="3" ht="15.75" customHeight="1">
      <c r="A3" s="526" t="s">
        <v>3954</v>
      </c>
      <c r="B3" s="518" t="s">
        <v>3956</v>
      </c>
      <c r="C3" s="519">
        <v>7.0</v>
      </c>
      <c r="D3" s="519">
        <v>2.0</v>
      </c>
      <c r="E3" s="520">
        <v>117.0</v>
      </c>
      <c r="F3" s="521">
        <v>0.10675182481751824</v>
      </c>
      <c r="G3" s="522">
        <v>10.248175182481752</v>
      </c>
      <c r="H3" s="523">
        <v>2.562043795620438</v>
      </c>
    </row>
    <row r="4" ht="15.75" customHeight="1">
      <c r="A4" s="526" t="s">
        <v>3954</v>
      </c>
      <c r="B4" s="527" t="s">
        <v>1622</v>
      </c>
      <c r="C4" s="519">
        <v>5.0</v>
      </c>
      <c r="D4" s="519">
        <v>1.0</v>
      </c>
      <c r="E4" s="520">
        <v>94.0</v>
      </c>
      <c r="F4" s="521">
        <v>0.08576642335766424</v>
      </c>
      <c r="G4" s="522">
        <v>8.233576642335766</v>
      </c>
      <c r="H4" s="523">
        <v>2.0583941605839415</v>
      </c>
    </row>
    <row r="5" ht="15.75" customHeight="1">
      <c r="A5" s="526" t="s">
        <v>3954</v>
      </c>
      <c r="B5" s="527" t="s">
        <v>3957</v>
      </c>
      <c r="C5" s="519">
        <v>4.0</v>
      </c>
      <c r="D5" s="519">
        <v>1.0</v>
      </c>
      <c r="E5" s="520">
        <v>88.0</v>
      </c>
      <c r="F5" s="521">
        <v>0.08029197080291971</v>
      </c>
      <c r="G5" s="522">
        <v>7.708029197080291</v>
      </c>
      <c r="H5" s="523">
        <v>1.9270072992700729</v>
      </c>
    </row>
    <row r="6" ht="15.75" customHeight="1">
      <c r="A6" s="526" t="s">
        <v>3954</v>
      </c>
      <c r="B6" s="518" t="s">
        <v>340</v>
      </c>
      <c r="C6" s="519">
        <v>6.0</v>
      </c>
      <c r="D6" s="519">
        <v>2.0</v>
      </c>
      <c r="E6" s="520">
        <v>85.0</v>
      </c>
      <c r="F6" s="521">
        <v>0.07755474452554745</v>
      </c>
      <c r="G6" s="522">
        <v>7.445255474452555</v>
      </c>
      <c r="H6" s="523">
        <v>1.8613138686131387</v>
      </c>
    </row>
    <row r="7" ht="15.75" customHeight="1">
      <c r="A7" s="526" t="s">
        <v>3954</v>
      </c>
      <c r="B7" s="518" t="s">
        <v>1613</v>
      </c>
      <c r="C7" s="519">
        <v>7.0</v>
      </c>
      <c r="D7" s="519">
        <v>2.0</v>
      </c>
      <c r="E7" s="520">
        <v>83.0</v>
      </c>
      <c r="F7" s="521">
        <v>0.07572992700729927</v>
      </c>
      <c r="G7" s="522">
        <v>7.27007299270073</v>
      </c>
      <c r="H7" s="523">
        <v>1.8175182481751826</v>
      </c>
    </row>
    <row r="8" ht="15.75" customHeight="1">
      <c r="A8" s="526" t="s">
        <v>3954</v>
      </c>
      <c r="B8" s="527" t="s">
        <v>192</v>
      </c>
      <c r="C8" s="519">
        <v>4.0</v>
      </c>
      <c r="D8" s="519">
        <v>1.0</v>
      </c>
      <c r="E8" s="520">
        <v>74.0</v>
      </c>
      <c r="F8" s="521">
        <v>0.06751824817518248</v>
      </c>
      <c r="G8" s="522">
        <v>6.481751824817518</v>
      </c>
      <c r="H8" s="523">
        <v>1.6204379562043796</v>
      </c>
    </row>
    <row r="9" ht="15.75" customHeight="1">
      <c r="A9" s="526" t="s">
        <v>3954</v>
      </c>
      <c r="B9" s="518" t="s">
        <v>442</v>
      </c>
      <c r="C9" s="519">
        <v>5.0</v>
      </c>
      <c r="D9" s="519">
        <v>1.0</v>
      </c>
      <c r="E9" s="520">
        <v>63.0</v>
      </c>
      <c r="F9" s="521">
        <v>0.05748175182481752</v>
      </c>
      <c r="G9" s="522">
        <v>5.518248175182482</v>
      </c>
      <c r="H9" s="523">
        <v>1.3795620437956204</v>
      </c>
    </row>
    <row r="10" ht="15.75" customHeight="1">
      <c r="A10" s="526" t="s">
        <v>3954</v>
      </c>
      <c r="B10" s="527" t="s">
        <v>587</v>
      </c>
      <c r="C10" s="519">
        <v>5.0</v>
      </c>
      <c r="D10" s="519">
        <v>1.0</v>
      </c>
      <c r="E10" s="520">
        <v>62.0</v>
      </c>
      <c r="F10" s="521">
        <v>0.05656934306569343</v>
      </c>
      <c r="G10" s="522">
        <v>5.430656934306569</v>
      </c>
      <c r="H10" s="523">
        <v>1.3576642335766422</v>
      </c>
    </row>
    <row r="11" ht="15.75" customHeight="1">
      <c r="A11" s="526" t="s">
        <v>3954</v>
      </c>
      <c r="B11" s="527" t="s">
        <v>273</v>
      </c>
      <c r="C11" s="519">
        <v>7.0</v>
      </c>
      <c r="D11" s="519">
        <v>2.0</v>
      </c>
      <c r="E11" s="520">
        <v>52.0</v>
      </c>
      <c r="F11" s="521">
        <v>0.04744525547445255</v>
      </c>
      <c r="G11" s="522">
        <v>4.554744525547445</v>
      </c>
      <c r="H11" s="523">
        <v>1.1386861313868613</v>
      </c>
    </row>
    <row r="12" ht="15.75" customHeight="1">
      <c r="A12" s="526" t="s">
        <v>3954</v>
      </c>
      <c r="B12" s="527" t="s">
        <v>258</v>
      </c>
      <c r="C12" s="519">
        <v>4.0</v>
      </c>
      <c r="D12" s="519">
        <v>1.0</v>
      </c>
      <c r="E12" s="520">
        <v>43.0</v>
      </c>
      <c r="F12" s="521">
        <v>0.03923357664233577</v>
      </c>
      <c r="G12" s="522">
        <v>3.766423357664234</v>
      </c>
      <c r="H12" s="523">
        <v>0.9416058394160585</v>
      </c>
    </row>
    <row r="13" ht="15.75" customHeight="1">
      <c r="A13" s="526" t="s">
        <v>3954</v>
      </c>
      <c r="B13" s="527" t="s">
        <v>323</v>
      </c>
      <c r="C13" s="519">
        <v>6.0</v>
      </c>
      <c r="D13" s="519">
        <v>2.0</v>
      </c>
      <c r="E13" s="520">
        <v>41.0</v>
      </c>
      <c r="F13" s="521">
        <v>0.037408759124087594</v>
      </c>
      <c r="G13" s="522">
        <v>3.5912408759124093</v>
      </c>
      <c r="H13" s="523">
        <v>0.8978102189781023</v>
      </c>
    </row>
    <row r="14" ht="15.75" customHeight="1">
      <c r="A14" s="526" t="s">
        <v>3954</v>
      </c>
      <c r="B14" s="527" t="s">
        <v>855</v>
      </c>
      <c r="C14" s="519">
        <v>4.0</v>
      </c>
      <c r="D14" s="519">
        <v>1.0</v>
      </c>
      <c r="E14" s="520">
        <v>39.0</v>
      </c>
      <c r="F14" s="521">
        <v>0.035583941605839414</v>
      </c>
      <c r="G14" s="522">
        <v>3.4160583941605838</v>
      </c>
      <c r="H14" s="523">
        <v>0.8540145985401459</v>
      </c>
    </row>
    <row r="15" ht="15.75" customHeight="1">
      <c r="A15" s="526" t="s">
        <v>3954</v>
      </c>
      <c r="B15" s="527" t="s">
        <v>492</v>
      </c>
      <c r="C15" s="519">
        <v>7.0</v>
      </c>
      <c r="D15" s="519">
        <v>1.0</v>
      </c>
      <c r="E15" s="520">
        <v>37.0</v>
      </c>
      <c r="F15" s="521">
        <v>0.03375912408759124</v>
      </c>
      <c r="G15" s="522">
        <v>3.240875912408759</v>
      </c>
      <c r="H15" s="523">
        <v>0.8102189781021898</v>
      </c>
    </row>
    <row r="16" ht="15.75" customHeight="1">
      <c r="A16" s="526" t="s">
        <v>3954</v>
      </c>
      <c r="B16" s="527" t="s">
        <v>1704</v>
      </c>
      <c r="C16" s="519">
        <v>5.0</v>
      </c>
      <c r="D16" s="519">
        <v>1.0</v>
      </c>
      <c r="E16" s="520">
        <v>29.0</v>
      </c>
      <c r="F16" s="521">
        <v>0.02645985401459854</v>
      </c>
      <c r="G16" s="522">
        <v>2.54014598540146</v>
      </c>
      <c r="H16" s="523">
        <v>0.635036496350365</v>
      </c>
    </row>
    <row r="17" ht="15.75" customHeight="1">
      <c r="A17" s="526" t="s">
        <v>3954</v>
      </c>
      <c r="B17" s="527" t="s">
        <v>447</v>
      </c>
      <c r="C17" s="519">
        <v>7.0</v>
      </c>
      <c r="D17" s="519">
        <v>2.0</v>
      </c>
      <c r="E17" s="520">
        <v>27.0</v>
      </c>
      <c r="F17" s="521">
        <v>0.024635036496350366</v>
      </c>
      <c r="G17" s="522">
        <v>2.3649635036496353</v>
      </c>
      <c r="H17" s="523">
        <v>0.5912408759124088</v>
      </c>
    </row>
    <row r="18" ht="15.75" customHeight="1">
      <c r="A18" s="526" t="s">
        <v>3954</v>
      </c>
      <c r="B18" s="527" t="s">
        <v>3958</v>
      </c>
      <c r="C18" s="519">
        <v>5.0</v>
      </c>
      <c r="D18" s="519">
        <v>1.0</v>
      </c>
      <c r="E18" s="520">
        <v>26.0</v>
      </c>
      <c r="F18" s="521">
        <v>0.023722627737226276</v>
      </c>
      <c r="G18" s="522">
        <v>2.2773722627737225</v>
      </c>
      <c r="H18" s="523">
        <v>0.5693430656934306</v>
      </c>
    </row>
    <row r="19" ht="15.75" customHeight="1">
      <c r="A19" s="526" t="s">
        <v>3954</v>
      </c>
      <c r="B19" s="527" t="s">
        <v>1597</v>
      </c>
      <c r="C19" s="519">
        <v>3.0</v>
      </c>
      <c r="D19" s="519">
        <v>1.0</v>
      </c>
      <c r="E19" s="520">
        <v>2.0</v>
      </c>
      <c r="F19" s="521">
        <v>0.0018248175182481751</v>
      </c>
      <c r="G19" s="522">
        <v>0.17518248175182483</v>
      </c>
      <c r="H19" s="523">
        <v>0.043795620437956206</v>
      </c>
    </row>
    <row r="20" ht="15.75" customHeight="1">
      <c r="D20" s="197">
        <f>SUM(D2:D19)</f>
        <v>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8.38"/>
    <col customWidth="1" min="3" max="5" width="12.63"/>
    <col customWidth="1" min="6" max="6" width="18.5"/>
    <col customWidth="1" min="7" max="7" width="14.38"/>
  </cols>
  <sheetData>
    <row r="1" ht="15.75" customHeight="1">
      <c r="A1" s="517"/>
      <c r="B1" s="517" t="s">
        <v>3945</v>
      </c>
      <c r="C1" s="517" t="s">
        <v>3946</v>
      </c>
      <c r="D1" s="517" t="s">
        <v>3947</v>
      </c>
      <c r="E1" s="517" t="s">
        <v>3948</v>
      </c>
      <c r="F1" s="517" t="s">
        <v>3949</v>
      </c>
      <c r="G1" s="67" t="s">
        <v>3950</v>
      </c>
      <c r="H1" s="517" t="s">
        <v>3951</v>
      </c>
    </row>
    <row r="2" ht="15.75" customHeight="1">
      <c r="A2" s="339" t="s">
        <v>3952</v>
      </c>
      <c r="B2" s="339" t="s">
        <v>275</v>
      </c>
      <c r="C2" s="528">
        <v>6.0</v>
      </c>
      <c r="D2" s="528">
        <v>3.0</v>
      </c>
      <c r="E2" s="528">
        <v>237.0</v>
      </c>
      <c r="F2" s="529">
        <v>0.19283970707892595</v>
      </c>
      <c r="G2" s="530">
        <v>27.768917819365335</v>
      </c>
      <c r="H2" s="531">
        <v>6.942229454841334</v>
      </c>
    </row>
    <row r="3" ht="15.75" customHeight="1">
      <c r="A3" s="339" t="s">
        <v>3952</v>
      </c>
      <c r="B3" s="339" t="s">
        <v>219</v>
      </c>
      <c r="C3" s="528">
        <v>8.0</v>
      </c>
      <c r="D3" s="528">
        <v>4.0</v>
      </c>
      <c r="E3" s="528">
        <v>164.0</v>
      </c>
      <c r="F3" s="529">
        <v>0.13344182262001628</v>
      </c>
      <c r="G3" s="530">
        <v>19.215622457282343</v>
      </c>
      <c r="H3" s="531">
        <v>4.803905614320586</v>
      </c>
    </row>
    <row r="4" ht="15.75" customHeight="1">
      <c r="A4" s="339" t="s">
        <v>3952</v>
      </c>
      <c r="B4" s="339" t="s">
        <v>1320</v>
      </c>
      <c r="C4" s="528">
        <v>9.0</v>
      </c>
      <c r="D4" s="528">
        <v>4.0</v>
      </c>
      <c r="E4" s="528">
        <v>159.0</v>
      </c>
      <c r="F4" s="529">
        <v>0.12937347436940602</v>
      </c>
      <c r="G4" s="530">
        <v>18.629780309194466</v>
      </c>
      <c r="H4" s="531">
        <v>4.6574450772986165</v>
      </c>
    </row>
    <row r="5" ht="15.75" customHeight="1">
      <c r="A5" s="339" t="s">
        <v>3952</v>
      </c>
      <c r="B5" s="423" t="s">
        <v>398</v>
      </c>
      <c r="C5" s="528">
        <v>5.0</v>
      </c>
      <c r="D5" s="528">
        <v>2.0</v>
      </c>
      <c r="E5" s="528">
        <v>126.0</v>
      </c>
      <c r="F5" s="529">
        <v>0.10252237591537836</v>
      </c>
      <c r="G5" s="530">
        <v>14.763222131814484</v>
      </c>
      <c r="H5" s="531">
        <v>3.690805532953621</v>
      </c>
    </row>
    <row r="6" ht="15.75" customHeight="1">
      <c r="A6" s="339" t="s">
        <v>3952</v>
      </c>
      <c r="B6" s="423" t="s">
        <v>928</v>
      </c>
      <c r="C6" s="528">
        <v>9.0</v>
      </c>
      <c r="D6" s="528">
        <v>4.0</v>
      </c>
      <c r="E6" s="528">
        <v>105.0</v>
      </c>
      <c r="F6" s="529">
        <v>0.0854353132628153</v>
      </c>
      <c r="G6" s="530">
        <v>12.302685109845402</v>
      </c>
      <c r="H6" s="531">
        <v>3.0756712774613506</v>
      </c>
    </row>
    <row r="7" ht="15.75" customHeight="1">
      <c r="A7" s="339" t="s">
        <v>3952</v>
      </c>
      <c r="B7" s="423" t="s">
        <v>294</v>
      </c>
      <c r="C7" s="528">
        <v>7.0</v>
      </c>
      <c r="D7" s="528">
        <v>3.0</v>
      </c>
      <c r="E7" s="528">
        <v>82.0</v>
      </c>
      <c r="F7" s="529">
        <v>0.06672091131000814</v>
      </c>
      <c r="G7" s="530">
        <v>9.607811228641172</v>
      </c>
      <c r="H7" s="531">
        <v>2.401952807160293</v>
      </c>
    </row>
    <row r="8" ht="15.75" customHeight="1">
      <c r="A8" s="339" t="s">
        <v>3952</v>
      </c>
      <c r="B8" s="339" t="s">
        <v>280</v>
      </c>
      <c r="C8" s="528">
        <v>5.0</v>
      </c>
      <c r="D8" s="528">
        <v>2.0</v>
      </c>
      <c r="E8" s="528">
        <v>81.0</v>
      </c>
      <c r="F8" s="529">
        <v>0.06590724165988608</v>
      </c>
      <c r="G8" s="530">
        <v>9.490642799023595</v>
      </c>
      <c r="H8" s="531">
        <v>2.3726606997558988</v>
      </c>
    </row>
    <row r="9" ht="15.75" customHeight="1">
      <c r="A9" s="339" t="s">
        <v>3952</v>
      </c>
      <c r="B9" s="423" t="s">
        <v>622</v>
      </c>
      <c r="C9" s="528">
        <v>6.0</v>
      </c>
      <c r="D9" s="528">
        <v>3.0</v>
      </c>
      <c r="E9" s="528">
        <v>79.0</v>
      </c>
      <c r="F9" s="529">
        <v>0.06427990235964198</v>
      </c>
      <c r="G9" s="530">
        <v>9.256305939788446</v>
      </c>
      <c r="H9" s="531">
        <v>2.3140764849471114</v>
      </c>
    </row>
    <row r="10" ht="15.75" customHeight="1">
      <c r="A10" s="339" t="s">
        <v>3952</v>
      </c>
      <c r="B10" s="423" t="s">
        <v>1392</v>
      </c>
      <c r="C10" s="528">
        <v>4.0</v>
      </c>
      <c r="D10" s="528">
        <v>2.0</v>
      </c>
      <c r="E10" s="528">
        <v>76.0</v>
      </c>
      <c r="F10" s="529">
        <v>0.061838893409275834</v>
      </c>
      <c r="G10" s="530">
        <v>8.90480065093572</v>
      </c>
      <c r="H10" s="531">
        <v>2.22620016273393</v>
      </c>
    </row>
    <row r="11" ht="15.75" customHeight="1">
      <c r="A11" s="339" t="s">
        <v>3952</v>
      </c>
      <c r="B11" s="423" t="s">
        <v>526</v>
      </c>
      <c r="C11" s="528">
        <v>4.0</v>
      </c>
      <c r="D11" s="528">
        <v>2.0</v>
      </c>
      <c r="E11" s="528">
        <v>47.0</v>
      </c>
      <c r="F11" s="529">
        <v>0.03824247355573637</v>
      </c>
      <c r="G11" s="530">
        <v>5.506916192026038</v>
      </c>
      <c r="H11" s="531">
        <v>1.3767290480065095</v>
      </c>
    </row>
    <row r="12" ht="15.75" customHeight="1">
      <c r="A12" s="339" t="s">
        <v>3952</v>
      </c>
      <c r="B12" s="339" t="s">
        <v>263</v>
      </c>
      <c r="C12" s="528">
        <v>8.0</v>
      </c>
      <c r="D12" s="528">
        <v>4.0</v>
      </c>
      <c r="E12" s="528">
        <v>38.0</v>
      </c>
      <c r="F12" s="529">
        <v>0.030919446704637917</v>
      </c>
      <c r="G12" s="530">
        <v>4.45240032546786</v>
      </c>
      <c r="H12" s="531">
        <v>1.113100081366965</v>
      </c>
    </row>
    <row r="13" ht="15.75" customHeight="1">
      <c r="A13" s="339" t="s">
        <v>3952</v>
      </c>
      <c r="B13" s="423" t="s">
        <v>667</v>
      </c>
      <c r="C13" s="528">
        <v>7.0</v>
      </c>
      <c r="D13" s="528">
        <v>3.0</v>
      </c>
      <c r="E13" s="528">
        <v>35.0</v>
      </c>
      <c r="F13" s="529">
        <v>0.028478437754271765</v>
      </c>
      <c r="G13" s="530">
        <v>4.100895036615134</v>
      </c>
      <c r="H13" s="531">
        <v>1.0252237591537836</v>
      </c>
    </row>
    <row r="14" ht="15.75" customHeight="1">
      <c r="D14" s="197">
        <f>SUM(D2:D13)</f>
        <v>36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13"/>
    <col customWidth="1" min="2" max="2" width="12.63"/>
    <col customWidth="1" min="3" max="3" width="8.5"/>
    <col customWidth="1" min="4" max="4" width="20.38"/>
    <col customWidth="1" min="5" max="5" width="19.38"/>
    <col customWidth="1" min="6" max="6" width="12.63"/>
    <col customWidth="1" min="7" max="7" width="13.75"/>
    <col customWidth="1" min="8" max="8" width="25.63"/>
    <col customWidth="1" min="10" max="10" width="20.13"/>
    <col customWidth="1" min="12" max="12" width="15.25"/>
  </cols>
  <sheetData>
    <row r="1" ht="36.0" customHeight="1">
      <c r="A1" s="1" t="s">
        <v>3959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31.5" customHeight="1">
      <c r="A2" s="32" t="s">
        <v>3960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10" t="s">
        <v>1</v>
      </c>
      <c r="L3" s="10" t="s">
        <v>20</v>
      </c>
      <c r="M3" s="8" t="s">
        <v>25</v>
      </c>
      <c r="N3" s="8" t="s">
        <v>26</v>
      </c>
      <c r="O3" s="8" t="s">
        <v>27</v>
      </c>
      <c r="P3" s="9" t="s">
        <v>28</v>
      </c>
      <c r="Q3" s="6" t="s">
        <v>29</v>
      </c>
      <c r="R3" s="9" t="s">
        <v>30</v>
      </c>
    </row>
    <row r="4" ht="15.75" customHeight="1">
      <c r="A4" s="11" t="s">
        <v>10</v>
      </c>
      <c r="B4" s="12">
        <v>45917.0</v>
      </c>
      <c r="C4" s="13" t="s">
        <v>348</v>
      </c>
      <c r="D4" s="33" t="s">
        <v>102</v>
      </c>
      <c r="E4" s="13" t="s">
        <v>3961</v>
      </c>
      <c r="F4" s="14">
        <v>0.5416666666666666</v>
      </c>
      <c r="G4" s="15">
        <v>2.09795186490008E14</v>
      </c>
      <c r="H4" s="16" t="s">
        <v>3962</v>
      </c>
      <c r="I4" s="17">
        <v>23211.0</v>
      </c>
      <c r="J4" s="16" t="s">
        <v>3963</v>
      </c>
      <c r="K4" s="532">
        <v>45917.0</v>
      </c>
      <c r="L4" s="18" t="s">
        <v>41</v>
      </c>
      <c r="M4" s="37"/>
      <c r="N4" s="38"/>
      <c r="O4" s="41"/>
      <c r="P4" s="40"/>
      <c r="Q4" s="41"/>
      <c r="R4" s="42"/>
    </row>
    <row r="5" ht="15.75" customHeight="1">
      <c r="A5" s="11" t="s">
        <v>11</v>
      </c>
      <c r="B5" s="12">
        <v>45917.0</v>
      </c>
      <c r="C5" s="13" t="s">
        <v>348</v>
      </c>
      <c r="D5" s="33" t="s">
        <v>102</v>
      </c>
      <c r="E5" s="13" t="s">
        <v>3961</v>
      </c>
      <c r="F5" s="14">
        <v>0.5625</v>
      </c>
      <c r="G5" s="15">
        <v>7.04206712840088E14</v>
      </c>
      <c r="H5" s="16" t="s">
        <v>3964</v>
      </c>
      <c r="I5" s="17">
        <v>25291.0</v>
      </c>
      <c r="J5" s="16" t="s">
        <v>3965</v>
      </c>
      <c r="K5" s="532">
        <v>45917.0</v>
      </c>
      <c r="L5" s="18" t="s">
        <v>41</v>
      </c>
      <c r="M5" s="37"/>
      <c r="N5" s="45"/>
      <c r="O5" s="46"/>
      <c r="P5" s="47"/>
      <c r="Q5" s="46"/>
      <c r="R5" s="48"/>
    </row>
    <row r="6" ht="15.75" customHeight="1">
      <c r="A6" s="11" t="s">
        <v>12</v>
      </c>
      <c r="B6" s="12">
        <v>45917.0</v>
      </c>
      <c r="C6" s="13" t="s">
        <v>348</v>
      </c>
      <c r="D6" s="33" t="s">
        <v>102</v>
      </c>
      <c r="E6" s="13" t="s">
        <v>3961</v>
      </c>
      <c r="F6" s="14">
        <v>0.5833333333333334</v>
      </c>
      <c r="G6" s="15">
        <v>7.0560247134911E14</v>
      </c>
      <c r="H6" s="16" t="s">
        <v>3966</v>
      </c>
      <c r="I6" s="17">
        <v>27052.0</v>
      </c>
      <c r="J6" s="19" t="s">
        <v>3967</v>
      </c>
      <c r="K6" s="532">
        <v>45917.0</v>
      </c>
      <c r="L6" s="18" t="s">
        <v>41</v>
      </c>
      <c r="M6" s="37"/>
      <c r="N6" s="49"/>
      <c r="O6" s="50"/>
      <c r="P6" s="51"/>
      <c r="Q6" s="50"/>
      <c r="R6" s="52"/>
    </row>
    <row r="7" ht="15.75" customHeight="1">
      <c r="A7" s="11" t="s">
        <v>13</v>
      </c>
      <c r="B7" s="12">
        <v>45917.0</v>
      </c>
      <c r="C7" s="13" t="s">
        <v>348</v>
      </c>
      <c r="D7" s="33" t="s">
        <v>102</v>
      </c>
      <c r="E7" s="13" t="s">
        <v>3961</v>
      </c>
      <c r="F7" s="14">
        <v>0.6041666666666666</v>
      </c>
      <c r="G7" s="15">
        <v>7.0050016622051E13</v>
      </c>
      <c r="H7" s="19" t="s">
        <v>3968</v>
      </c>
      <c r="I7" s="17">
        <v>20575.0</v>
      </c>
      <c r="J7" s="16" t="s">
        <v>3969</v>
      </c>
      <c r="K7" s="532">
        <v>45917.0</v>
      </c>
      <c r="L7" s="18" t="s">
        <v>41</v>
      </c>
      <c r="M7" s="37"/>
      <c r="N7" s="45"/>
      <c r="O7" s="56"/>
      <c r="P7" s="57"/>
      <c r="Q7" s="56"/>
      <c r="R7" s="48"/>
    </row>
    <row r="8" ht="15.75" customHeight="1">
      <c r="A8" s="11" t="s">
        <v>14</v>
      </c>
      <c r="B8" s="12">
        <v>45917.0</v>
      </c>
      <c r="C8" s="13" t="s">
        <v>348</v>
      </c>
      <c r="D8" s="33" t="s">
        <v>102</v>
      </c>
      <c r="E8" s="13" t="s">
        <v>3961</v>
      </c>
      <c r="F8" s="14">
        <v>0.625</v>
      </c>
      <c r="G8" s="15">
        <v>8.98001437075543E14</v>
      </c>
      <c r="H8" s="16" t="s">
        <v>3970</v>
      </c>
      <c r="I8" s="17">
        <v>20464.0</v>
      </c>
      <c r="J8" s="16" t="s">
        <v>3971</v>
      </c>
      <c r="K8" s="532">
        <v>45917.0</v>
      </c>
      <c r="L8" s="18" t="s">
        <v>41</v>
      </c>
      <c r="M8" s="37"/>
      <c r="N8" s="58"/>
      <c r="O8" s="59"/>
      <c r="P8" s="51"/>
      <c r="Q8" s="59"/>
      <c r="R8" s="60"/>
    </row>
    <row r="9" ht="15.75" customHeight="1">
      <c r="A9" s="11" t="s">
        <v>15</v>
      </c>
      <c r="B9" s="12">
        <v>45917.0</v>
      </c>
      <c r="C9" s="13" t="s">
        <v>348</v>
      </c>
      <c r="D9" s="33" t="s">
        <v>102</v>
      </c>
      <c r="E9" s="13" t="s">
        <v>3961</v>
      </c>
      <c r="F9" s="14">
        <v>0.6458333333333334</v>
      </c>
      <c r="G9" s="15">
        <v>2.04297360660002E14</v>
      </c>
      <c r="H9" s="16" t="s">
        <v>3972</v>
      </c>
      <c r="I9" s="17">
        <v>23166.0</v>
      </c>
      <c r="J9" s="16" t="s">
        <v>3973</v>
      </c>
      <c r="K9" s="532">
        <v>45917.0</v>
      </c>
      <c r="L9" s="18" t="s">
        <v>41</v>
      </c>
      <c r="M9" s="37"/>
      <c r="N9" s="45"/>
      <c r="O9" s="56"/>
      <c r="P9" s="57"/>
      <c r="Q9" s="56"/>
      <c r="R9" s="48"/>
    </row>
    <row r="10" ht="15.75" customHeight="1">
      <c r="A10" s="11" t="s">
        <v>16</v>
      </c>
      <c r="B10" s="12">
        <v>45917.0</v>
      </c>
      <c r="C10" s="13" t="s">
        <v>348</v>
      </c>
      <c r="D10" s="33" t="s">
        <v>102</v>
      </c>
      <c r="E10" s="13" t="s">
        <v>3961</v>
      </c>
      <c r="F10" s="14">
        <v>0.6666666666666666</v>
      </c>
      <c r="G10" s="15">
        <v>2.07268870850003E14</v>
      </c>
      <c r="H10" s="16" t="s">
        <v>3974</v>
      </c>
      <c r="I10" s="17">
        <v>29264.0</v>
      </c>
      <c r="J10" s="16" t="s">
        <v>3975</v>
      </c>
      <c r="K10" s="532">
        <v>45917.0</v>
      </c>
      <c r="L10" s="18" t="s">
        <v>41</v>
      </c>
      <c r="M10" s="37"/>
      <c r="N10" s="58"/>
      <c r="O10" s="59"/>
      <c r="P10" s="51"/>
      <c r="Q10" s="59"/>
      <c r="R10" s="60"/>
    </row>
    <row r="11" ht="15.75" customHeight="1">
      <c r="A11" s="11" t="s">
        <v>17</v>
      </c>
      <c r="B11" s="12">
        <v>45917.0</v>
      </c>
      <c r="C11" s="13" t="s">
        <v>348</v>
      </c>
      <c r="D11" s="33" t="s">
        <v>102</v>
      </c>
      <c r="E11" s="13" t="s">
        <v>3961</v>
      </c>
      <c r="F11" s="14">
        <v>0.6875</v>
      </c>
      <c r="G11" s="15">
        <v>7.04202787026783E14</v>
      </c>
      <c r="H11" s="16" t="s">
        <v>3976</v>
      </c>
      <c r="I11" s="17">
        <v>24087.0</v>
      </c>
      <c r="J11" s="16" t="s">
        <v>3977</v>
      </c>
      <c r="K11" s="532">
        <v>45917.0</v>
      </c>
      <c r="L11" s="18" t="s">
        <v>41</v>
      </c>
      <c r="M11" s="37"/>
      <c r="N11" s="45"/>
      <c r="O11" s="56"/>
      <c r="P11" s="57"/>
      <c r="Q11" s="56"/>
      <c r="R11" s="48"/>
    </row>
    <row r="12" ht="15.75" customHeight="1">
      <c r="D12" s="62"/>
    </row>
    <row r="13" ht="15.75" customHeight="1">
      <c r="D13" s="62"/>
    </row>
    <row r="14" ht="15.75" customHeight="1">
      <c r="D14" s="62"/>
    </row>
    <row r="15" ht="15.75" customHeight="1">
      <c r="D15" s="62"/>
    </row>
    <row r="16" ht="15.75" customHeight="1">
      <c r="D16" s="62"/>
    </row>
    <row r="17" ht="15.75" customHeight="1">
      <c r="D17" s="62"/>
    </row>
    <row r="18" ht="15.75" customHeight="1">
      <c r="D18" s="62"/>
    </row>
    <row r="19" ht="15.75" customHeight="1">
      <c r="D19" s="62"/>
    </row>
    <row r="20" ht="15.75" customHeight="1">
      <c r="D20" s="62"/>
    </row>
    <row r="21" ht="15.75" customHeight="1">
      <c r="D21" s="62"/>
    </row>
    <row r="22" ht="15.75" customHeight="1">
      <c r="D22" s="62"/>
    </row>
    <row r="23" ht="15.75" customHeight="1">
      <c r="D23" s="62"/>
    </row>
    <row r="24" ht="15.75" customHeight="1">
      <c r="D24" s="62"/>
    </row>
    <row r="25" ht="15.75" customHeight="1">
      <c r="D25" s="62"/>
    </row>
    <row r="26" ht="15.75" customHeight="1">
      <c r="D26" s="62"/>
    </row>
    <row r="27" ht="15.75" customHeight="1">
      <c r="D27" s="62"/>
    </row>
    <row r="28" ht="15.75" customHeight="1">
      <c r="D28" s="62"/>
    </row>
    <row r="29" ht="15.75" customHeight="1">
      <c r="D29" s="62"/>
    </row>
    <row r="30" ht="15.75" customHeight="1">
      <c r="D30" s="62"/>
    </row>
    <row r="31" ht="15.75" customHeight="1">
      <c r="D31" s="62"/>
    </row>
    <row r="32" ht="15.75" customHeight="1">
      <c r="D32" s="62"/>
    </row>
    <row r="33" ht="15.75" customHeight="1">
      <c r="D33" s="62"/>
    </row>
    <row r="34" ht="15.75" customHeight="1">
      <c r="D34" s="62"/>
    </row>
    <row r="35" ht="15.75" customHeight="1">
      <c r="D35" s="62"/>
    </row>
    <row r="36" ht="15.75" customHeight="1">
      <c r="D36" s="62"/>
    </row>
    <row r="37" ht="15.75" customHeight="1">
      <c r="D37" s="62"/>
    </row>
    <row r="38" ht="15.75" customHeight="1">
      <c r="D38" s="62"/>
    </row>
    <row r="39" ht="15.75" customHeight="1">
      <c r="D39" s="62"/>
    </row>
    <row r="40" ht="15.75" customHeight="1">
      <c r="D40" s="62"/>
    </row>
    <row r="41" ht="15.75" customHeight="1">
      <c r="D41" s="62"/>
    </row>
    <row r="42" ht="15.75" customHeight="1">
      <c r="D42" s="62"/>
    </row>
    <row r="43" ht="15.75" customHeight="1">
      <c r="D43" s="62"/>
    </row>
    <row r="44" ht="15.75" customHeight="1">
      <c r="D44" s="62"/>
    </row>
    <row r="45" ht="15.75" customHeight="1">
      <c r="D45" s="62"/>
    </row>
    <row r="46" ht="15.75" customHeight="1">
      <c r="D46" s="62"/>
    </row>
    <row r="47" ht="15.75" customHeight="1">
      <c r="D47" s="62"/>
    </row>
    <row r="48" ht="15.75" customHeight="1">
      <c r="D48" s="62"/>
    </row>
    <row r="49" ht="15.75" customHeight="1">
      <c r="D49" s="62"/>
    </row>
    <row r="50" ht="15.75" customHeight="1">
      <c r="D50" s="62"/>
    </row>
    <row r="51" ht="15.75" customHeight="1">
      <c r="D51" s="62"/>
    </row>
    <row r="52" ht="15.75" customHeight="1">
      <c r="D52" s="62"/>
    </row>
    <row r="53" ht="15.75" customHeight="1">
      <c r="D53" s="62"/>
    </row>
    <row r="54" ht="15.75" customHeight="1">
      <c r="D54" s="62"/>
    </row>
    <row r="55" ht="15.75" customHeight="1">
      <c r="D55" s="62"/>
    </row>
    <row r="56" ht="15.75" customHeight="1">
      <c r="D56" s="62"/>
    </row>
    <row r="57" ht="15.75" customHeight="1">
      <c r="D57" s="62"/>
    </row>
    <row r="58" ht="15.75" customHeight="1">
      <c r="D58" s="62"/>
    </row>
    <row r="59" ht="15.75" customHeight="1">
      <c r="D59" s="62"/>
    </row>
    <row r="60" ht="15.75" customHeight="1">
      <c r="D60" s="62"/>
    </row>
    <row r="61" ht="15.75" customHeight="1">
      <c r="D61" s="62"/>
    </row>
    <row r="62" ht="15.75" customHeight="1">
      <c r="D62" s="62"/>
    </row>
    <row r="63" ht="15.75" customHeight="1">
      <c r="D63" s="62"/>
    </row>
    <row r="64" ht="15.75" customHeight="1">
      <c r="D64" s="62"/>
    </row>
    <row r="65" ht="15.75" customHeight="1">
      <c r="D65" s="62"/>
    </row>
    <row r="66" ht="15.75" customHeight="1">
      <c r="D66" s="62"/>
    </row>
    <row r="67" ht="15.75" customHeight="1">
      <c r="D67" s="62"/>
    </row>
    <row r="68" ht="15.75" customHeight="1">
      <c r="D68" s="62"/>
    </row>
    <row r="69" ht="15.75" customHeight="1">
      <c r="D69" s="62"/>
    </row>
    <row r="70" ht="15.75" customHeight="1">
      <c r="D70" s="62"/>
    </row>
    <row r="71" ht="15.75" customHeight="1">
      <c r="D71" s="62"/>
    </row>
    <row r="72" ht="15.75" customHeight="1">
      <c r="D72" s="62"/>
    </row>
    <row r="73" ht="15.75" customHeight="1">
      <c r="D73" s="62"/>
    </row>
    <row r="74" ht="15.75" customHeight="1">
      <c r="D74" s="62"/>
    </row>
    <row r="75" ht="15.75" customHeight="1">
      <c r="D75" s="62"/>
    </row>
    <row r="76" ht="15.75" customHeight="1">
      <c r="D76" s="62"/>
    </row>
    <row r="77" ht="15.75" customHeight="1">
      <c r="D77" s="62"/>
    </row>
    <row r="78" ht="15.75" customHeight="1">
      <c r="D78" s="62"/>
    </row>
    <row r="79" ht="15.75" customHeight="1">
      <c r="D79" s="62"/>
    </row>
    <row r="80" ht="15.75" customHeight="1">
      <c r="D80" s="62"/>
    </row>
    <row r="81" ht="15.75" customHeight="1">
      <c r="D81" s="62"/>
    </row>
    <row r="82" ht="15.75" customHeight="1">
      <c r="D82" s="62"/>
    </row>
    <row r="83" ht="15.75" customHeight="1">
      <c r="D83" s="62"/>
    </row>
    <row r="84" ht="15.75" customHeight="1">
      <c r="D84" s="62"/>
    </row>
    <row r="85" ht="15.75" customHeight="1">
      <c r="D85" s="62"/>
    </row>
    <row r="86" ht="15.75" customHeight="1">
      <c r="D86" s="62"/>
    </row>
    <row r="87" ht="15.75" customHeight="1">
      <c r="D87" s="62"/>
    </row>
    <row r="88" ht="15.75" customHeight="1">
      <c r="D88" s="62"/>
    </row>
    <row r="89" ht="15.75" customHeight="1">
      <c r="D89" s="62"/>
    </row>
    <row r="90" ht="15.75" customHeight="1">
      <c r="D90" s="62"/>
    </row>
    <row r="91" ht="15.75" customHeight="1">
      <c r="D91" s="62"/>
    </row>
    <row r="92" ht="15.75" customHeight="1">
      <c r="D92" s="62"/>
    </row>
    <row r="93" ht="15.75" customHeight="1">
      <c r="D93" s="62"/>
    </row>
    <row r="94" ht="15.75" customHeight="1">
      <c r="D94" s="62"/>
    </row>
    <row r="95" ht="15.75" customHeight="1">
      <c r="D95" s="62"/>
    </row>
    <row r="96" ht="15.75" customHeight="1">
      <c r="D96" s="62"/>
    </row>
    <row r="97" ht="15.75" customHeight="1">
      <c r="D97" s="62"/>
    </row>
    <row r="98" ht="15.75" customHeight="1">
      <c r="D98" s="62"/>
    </row>
    <row r="99" ht="15.75" customHeight="1">
      <c r="D99" s="62"/>
    </row>
    <row r="100" ht="15.75" customHeight="1">
      <c r="D100" s="62"/>
    </row>
    <row r="101" ht="15.75" customHeight="1">
      <c r="D101" s="62"/>
    </row>
    <row r="102" ht="15.75" customHeight="1">
      <c r="D102" s="62"/>
    </row>
    <row r="103" ht="15.75" customHeight="1">
      <c r="D103" s="62"/>
    </row>
    <row r="104" ht="15.75" customHeight="1">
      <c r="D104" s="62"/>
    </row>
    <row r="105" ht="15.75" customHeight="1">
      <c r="D105" s="62"/>
    </row>
    <row r="106" ht="15.75" customHeight="1">
      <c r="D106" s="62"/>
    </row>
    <row r="107" ht="15.75" customHeight="1">
      <c r="D107" s="62"/>
    </row>
    <row r="108" ht="15.75" customHeight="1">
      <c r="D108" s="62"/>
    </row>
    <row r="109" ht="15.75" customHeight="1">
      <c r="D109" s="62"/>
    </row>
    <row r="110" ht="15.75" customHeight="1">
      <c r="D110" s="62"/>
    </row>
    <row r="111" ht="15.75" customHeight="1">
      <c r="D111" s="62"/>
    </row>
    <row r="112" ht="15.75" customHeight="1">
      <c r="D112" s="62"/>
    </row>
    <row r="113" ht="15.75" customHeight="1">
      <c r="D113" s="62"/>
    </row>
    <row r="114" ht="15.75" customHeight="1">
      <c r="D114" s="62"/>
    </row>
    <row r="115" ht="15.75" customHeight="1">
      <c r="D115" s="62"/>
    </row>
    <row r="116" ht="15.75" customHeight="1">
      <c r="D116" s="62"/>
    </row>
    <row r="117" ht="15.75" customHeight="1">
      <c r="D117" s="62"/>
    </row>
    <row r="118" ht="15.75" customHeight="1">
      <c r="D118" s="62"/>
    </row>
    <row r="119" ht="15.75" customHeight="1">
      <c r="D119" s="62"/>
    </row>
    <row r="120" ht="15.75" customHeight="1">
      <c r="D120" s="62"/>
    </row>
    <row r="121" ht="15.75" customHeight="1">
      <c r="D121" s="62"/>
    </row>
    <row r="122" ht="15.75" customHeight="1">
      <c r="D122" s="62"/>
    </row>
    <row r="123" ht="15.75" customHeight="1">
      <c r="D123" s="62"/>
    </row>
    <row r="124" ht="15.75" customHeight="1">
      <c r="D124" s="62"/>
    </row>
    <row r="125" ht="15.75" customHeight="1">
      <c r="D125" s="62"/>
    </row>
    <row r="126" ht="15.75" customHeight="1">
      <c r="D126" s="62"/>
    </row>
    <row r="127" ht="15.75" customHeight="1">
      <c r="D127" s="62"/>
    </row>
    <row r="128" ht="15.75" customHeight="1">
      <c r="D128" s="62"/>
    </row>
    <row r="129" ht="15.75" customHeight="1">
      <c r="D129" s="62"/>
    </row>
    <row r="130" ht="15.75" customHeight="1">
      <c r="D130" s="62"/>
    </row>
    <row r="131" ht="15.75" customHeight="1">
      <c r="D131" s="62"/>
    </row>
    <row r="132" ht="15.75" customHeight="1">
      <c r="D132" s="62"/>
    </row>
    <row r="133" ht="15.75" customHeight="1">
      <c r="D133" s="62"/>
    </row>
    <row r="134" ht="15.75" customHeight="1">
      <c r="D134" s="62"/>
    </row>
    <row r="135" ht="15.75" customHeight="1">
      <c r="D135" s="62"/>
    </row>
    <row r="136" ht="15.75" customHeight="1">
      <c r="D136" s="62"/>
    </row>
    <row r="137" ht="15.75" customHeight="1">
      <c r="D137" s="62"/>
    </row>
    <row r="138" ht="15.75" customHeight="1">
      <c r="D138" s="62"/>
    </row>
    <row r="139" ht="15.75" customHeight="1">
      <c r="D139" s="62"/>
    </row>
    <row r="140" ht="15.75" customHeight="1">
      <c r="D140" s="62"/>
    </row>
    <row r="141" ht="15.75" customHeight="1">
      <c r="D141" s="62"/>
    </row>
    <row r="142" ht="15.75" customHeight="1">
      <c r="D142" s="62"/>
    </row>
    <row r="143" ht="15.75" customHeight="1">
      <c r="D143" s="62"/>
    </row>
    <row r="144" ht="15.75" customHeight="1">
      <c r="D144" s="62"/>
    </row>
    <row r="145" ht="15.75" customHeight="1">
      <c r="D145" s="62"/>
    </row>
    <row r="146" ht="15.75" customHeight="1">
      <c r="D146" s="62"/>
    </row>
    <row r="147" ht="15.75" customHeight="1">
      <c r="D147" s="62"/>
    </row>
    <row r="148" ht="15.75" customHeight="1">
      <c r="D148" s="62"/>
    </row>
    <row r="149" ht="15.75" customHeight="1">
      <c r="D149" s="62"/>
    </row>
    <row r="150" ht="15.75" customHeight="1">
      <c r="D150" s="62"/>
    </row>
    <row r="151" ht="15.75" customHeight="1">
      <c r="D151" s="62"/>
    </row>
    <row r="152" ht="15.75" customHeight="1">
      <c r="D152" s="62"/>
    </row>
    <row r="153" ht="15.75" customHeight="1">
      <c r="D153" s="62"/>
    </row>
    <row r="154" ht="15.75" customHeight="1">
      <c r="D154" s="62"/>
    </row>
    <row r="155" ht="15.75" customHeight="1">
      <c r="D155" s="62"/>
    </row>
    <row r="156" ht="15.75" customHeight="1">
      <c r="D156" s="62"/>
    </row>
    <row r="157" ht="15.75" customHeight="1">
      <c r="D157" s="62"/>
    </row>
    <row r="158" ht="15.75" customHeight="1">
      <c r="D158" s="62"/>
    </row>
    <row r="159" ht="15.75" customHeight="1">
      <c r="D159" s="62"/>
    </row>
    <row r="160" ht="15.75" customHeight="1">
      <c r="D160" s="62"/>
    </row>
    <row r="161" ht="15.75" customHeight="1">
      <c r="D161" s="62"/>
    </row>
    <row r="162" ht="15.75" customHeight="1">
      <c r="D162" s="62"/>
    </row>
    <row r="163" ht="15.75" customHeight="1">
      <c r="D163" s="62"/>
    </row>
    <row r="164" ht="15.75" customHeight="1">
      <c r="D164" s="62"/>
    </row>
    <row r="165" ht="15.75" customHeight="1">
      <c r="D165" s="62"/>
    </row>
    <row r="166" ht="15.75" customHeight="1">
      <c r="D166" s="62"/>
    </row>
    <row r="167" ht="15.75" customHeight="1">
      <c r="D167" s="62"/>
    </row>
    <row r="168" ht="15.75" customHeight="1">
      <c r="D168" s="62"/>
    </row>
    <row r="169" ht="15.75" customHeight="1">
      <c r="D169" s="62"/>
    </row>
    <row r="170" ht="15.75" customHeight="1">
      <c r="D170" s="62"/>
    </row>
    <row r="171" ht="15.75" customHeight="1">
      <c r="D171" s="62"/>
    </row>
    <row r="172" ht="15.75" customHeight="1">
      <c r="D172" s="62"/>
    </row>
    <row r="173" ht="15.75" customHeight="1">
      <c r="D173" s="62"/>
    </row>
    <row r="174" ht="15.75" customHeight="1">
      <c r="D174" s="62"/>
    </row>
    <row r="175" ht="15.75" customHeight="1">
      <c r="D175" s="62"/>
    </row>
    <row r="176" ht="15.75" customHeight="1">
      <c r="D176" s="62"/>
    </row>
    <row r="177" ht="15.75" customHeight="1">
      <c r="D177" s="62"/>
    </row>
    <row r="178" ht="15.75" customHeight="1">
      <c r="D178" s="62"/>
    </row>
    <row r="179" ht="15.75" customHeight="1">
      <c r="D179" s="62"/>
    </row>
    <row r="180" ht="15.75" customHeight="1">
      <c r="D180" s="62"/>
    </row>
    <row r="181" ht="15.75" customHeight="1">
      <c r="D181" s="62"/>
    </row>
    <row r="182" ht="15.75" customHeight="1">
      <c r="D182" s="62"/>
    </row>
    <row r="183" ht="15.75" customHeight="1">
      <c r="D183" s="62"/>
    </row>
    <row r="184" ht="15.75" customHeight="1">
      <c r="D184" s="62"/>
    </row>
    <row r="185" ht="15.75" customHeight="1">
      <c r="D185" s="62"/>
    </row>
    <row r="186" ht="15.75" customHeight="1">
      <c r="D186" s="62"/>
    </row>
    <row r="187" ht="15.75" customHeight="1">
      <c r="D187" s="62"/>
    </row>
    <row r="188" ht="15.75" customHeight="1">
      <c r="D188" s="62"/>
    </row>
    <row r="189" ht="15.75" customHeight="1">
      <c r="D189" s="62"/>
    </row>
    <row r="190" ht="15.75" customHeight="1">
      <c r="D190" s="62"/>
    </row>
    <row r="191" ht="15.75" customHeight="1">
      <c r="D191" s="62"/>
    </row>
    <row r="192" ht="15.75" customHeight="1">
      <c r="D192" s="62"/>
    </row>
    <row r="193" ht="15.75" customHeight="1">
      <c r="D193" s="62"/>
    </row>
    <row r="194" ht="15.75" customHeight="1">
      <c r="D194" s="62"/>
    </row>
    <row r="195" ht="15.75" customHeight="1">
      <c r="D195" s="62"/>
    </row>
    <row r="196" ht="15.75" customHeight="1">
      <c r="D196" s="62"/>
    </row>
    <row r="197" ht="15.75" customHeight="1">
      <c r="D197" s="62"/>
    </row>
    <row r="198" ht="15.75" customHeight="1">
      <c r="D198" s="62"/>
    </row>
    <row r="199" ht="15.75" customHeight="1">
      <c r="D199" s="62"/>
    </row>
    <row r="200" ht="15.75" customHeight="1">
      <c r="D200" s="62"/>
    </row>
    <row r="201" ht="15.75" customHeight="1">
      <c r="D201" s="62"/>
    </row>
    <row r="202" ht="15.75" customHeight="1">
      <c r="D202" s="62"/>
    </row>
    <row r="203" ht="15.75" customHeight="1">
      <c r="D203" s="62"/>
    </row>
    <row r="204" ht="15.75" customHeight="1">
      <c r="D204" s="62"/>
    </row>
    <row r="205" ht="15.75" customHeight="1">
      <c r="D205" s="62"/>
    </row>
    <row r="206" ht="15.75" customHeight="1">
      <c r="D206" s="62"/>
    </row>
    <row r="207" ht="15.75" customHeight="1">
      <c r="D207" s="62"/>
    </row>
    <row r="208" ht="15.75" customHeight="1">
      <c r="D208" s="62"/>
    </row>
    <row r="209" ht="15.75" customHeight="1">
      <c r="D209" s="62"/>
    </row>
    <row r="210" ht="15.75" customHeight="1">
      <c r="D210" s="62"/>
    </row>
    <row r="211" ht="15.75" customHeight="1">
      <c r="D211" s="62"/>
    </row>
    <row r="212" ht="15.75" customHeight="1">
      <c r="D212" s="62"/>
    </row>
    <row r="213" ht="15.75" customHeight="1">
      <c r="D213" s="62"/>
    </row>
    <row r="214" ht="15.75" customHeight="1">
      <c r="D214" s="62"/>
    </row>
    <row r="215" ht="15.75" customHeight="1">
      <c r="D215" s="62"/>
    </row>
    <row r="216" ht="15.75" customHeight="1">
      <c r="D216" s="62"/>
    </row>
    <row r="217" ht="15.75" customHeight="1">
      <c r="D217" s="62"/>
    </row>
    <row r="218" ht="15.75" customHeight="1">
      <c r="D218" s="62"/>
    </row>
    <row r="219" ht="15.75" customHeight="1">
      <c r="D219" s="62"/>
    </row>
    <row r="220" ht="15.75" customHeight="1">
      <c r="D220" s="6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R1"/>
    <mergeCell ref="A2:R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L4:L11">
      <formula1>"Atendido,Não atendindo"</formula1>
    </dataValidation>
    <dataValidation type="list" allowBlank="1" showErrorMessage="1" sqref="C4:C11">
      <formula1>"Segunda,Terça,Quarta,Quinta,Sexta,Sábado"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Marin"</formula1>
    </dataValidation>
  </dataValidations>
  <printOptions gridLines="1" horizontalCentered="1"/>
  <pageMargins bottom="0.75" footer="0.0" header="0.0" left="0.7" right="0.7" top="0.75"/>
  <pageSetup paperSize="9" scale="8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.5"/>
    <col customWidth="1" min="2" max="2" width="12.63"/>
    <col customWidth="1" min="3" max="3" width="8.5"/>
    <col customWidth="1" min="4" max="4" width="24.5"/>
    <col customWidth="1" min="5" max="5" width="24.88"/>
    <col customWidth="1" min="6" max="6" width="12.63"/>
    <col customWidth="1" min="7" max="7" width="15.5"/>
    <col customWidth="1" min="8" max="8" width="17.25"/>
    <col customWidth="1" min="9" max="9" width="29.63"/>
    <col customWidth="1" min="10" max="10" width="11.5"/>
    <col customWidth="1" min="11" max="11" width="26.38"/>
    <col customWidth="1" min="12" max="12" width="12.0"/>
    <col customWidth="1" min="13" max="13" width="15.25"/>
    <col customWidth="1" min="14" max="14" width="15.5"/>
    <col customWidth="1" min="15" max="15" width="14.88"/>
    <col customWidth="1" min="16" max="16" width="19.38"/>
  </cols>
  <sheetData>
    <row r="1" ht="36.0" customHeight="1">
      <c r="A1" s="1" t="s">
        <v>3978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</row>
    <row r="2" ht="31.5" customHeight="1">
      <c r="A2" s="32" t="s">
        <v>3979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533" t="s">
        <v>19</v>
      </c>
      <c r="H3" s="8" t="s">
        <v>6</v>
      </c>
      <c r="I3" s="8" t="s">
        <v>7</v>
      </c>
      <c r="J3" s="9" t="s">
        <v>8</v>
      </c>
      <c r="K3" s="6" t="s">
        <v>9</v>
      </c>
      <c r="L3" s="6" t="s">
        <v>9</v>
      </c>
      <c r="M3" s="10" t="s">
        <v>20</v>
      </c>
      <c r="N3" s="8" t="s">
        <v>25</v>
      </c>
      <c r="O3" s="8" t="s">
        <v>26</v>
      </c>
      <c r="P3" s="8" t="s">
        <v>27</v>
      </c>
      <c r="Q3" s="9" t="s">
        <v>28</v>
      </c>
      <c r="R3" s="6" t="s">
        <v>29</v>
      </c>
      <c r="S3" s="9" t="s">
        <v>30</v>
      </c>
    </row>
    <row r="4" ht="15.75" customHeight="1">
      <c r="A4" s="11" t="s">
        <v>10</v>
      </c>
      <c r="B4" s="12">
        <v>45923.0</v>
      </c>
      <c r="C4" s="13" t="s">
        <v>3980</v>
      </c>
      <c r="D4" s="33" t="s">
        <v>65</v>
      </c>
      <c r="E4" s="13" t="s">
        <v>3981</v>
      </c>
      <c r="F4" s="14">
        <v>0.3333333333333333</v>
      </c>
      <c r="G4" s="534" t="s">
        <v>3982</v>
      </c>
      <c r="H4" s="535">
        <v>7.04008867806863E14</v>
      </c>
      <c r="I4" s="536" t="s">
        <v>3983</v>
      </c>
      <c r="J4" s="537">
        <v>17338.0</v>
      </c>
      <c r="K4" s="538" t="s">
        <v>3984</v>
      </c>
      <c r="L4" s="535">
        <v>176.0</v>
      </c>
      <c r="M4" s="18" t="s">
        <v>41</v>
      </c>
      <c r="N4" s="37" t="s">
        <v>3985</v>
      </c>
      <c r="O4" s="38" t="s">
        <v>178</v>
      </c>
      <c r="P4" s="41"/>
      <c r="Q4" s="40"/>
      <c r="R4" s="41"/>
      <c r="S4" s="42"/>
    </row>
    <row r="5" ht="15.75" customHeight="1">
      <c r="A5" s="11" t="s">
        <v>11</v>
      </c>
      <c r="B5" s="12">
        <v>45923.0</v>
      </c>
      <c r="C5" s="13" t="s">
        <v>3980</v>
      </c>
      <c r="D5" s="33" t="s">
        <v>65</v>
      </c>
      <c r="E5" s="13" t="s">
        <v>3981</v>
      </c>
      <c r="F5" s="14">
        <v>0.3541666666666667</v>
      </c>
      <c r="G5" s="534" t="s">
        <v>3986</v>
      </c>
      <c r="H5" s="535">
        <v>7.000062218182E14</v>
      </c>
      <c r="I5" s="536" t="s">
        <v>3987</v>
      </c>
      <c r="J5" s="537">
        <v>21732.0</v>
      </c>
      <c r="K5" s="538" t="s">
        <v>3988</v>
      </c>
      <c r="L5" s="18">
        <v>51.0</v>
      </c>
      <c r="M5" s="18" t="s">
        <v>41</v>
      </c>
      <c r="N5" s="37" t="s">
        <v>3989</v>
      </c>
      <c r="O5" s="45"/>
      <c r="P5" s="46"/>
      <c r="Q5" s="47"/>
      <c r="R5" s="46"/>
      <c r="S5" s="48"/>
    </row>
    <row r="6" ht="15.75" customHeight="1">
      <c r="A6" s="11" t="s">
        <v>12</v>
      </c>
      <c r="B6" s="12">
        <v>45923.0</v>
      </c>
      <c r="C6" s="13" t="s">
        <v>3980</v>
      </c>
      <c r="D6" s="33" t="s">
        <v>65</v>
      </c>
      <c r="E6" s="13" t="s">
        <v>3981</v>
      </c>
      <c r="F6" s="14">
        <v>0.375</v>
      </c>
      <c r="G6" s="539" t="s">
        <v>3990</v>
      </c>
      <c r="H6" s="535">
        <v>7.01006862217499E14</v>
      </c>
      <c r="I6" s="536" t="s">
        <v>3991</v>
      </c>
      <c r="J6" s="540">
        <v>21990.0</v>
      </c>
      <c r="K6" s="541" t="s">
        <v>3992</v>
      </c>
      <c r="L6" s="18">
        <v>53.0</v>
      </c>
      <c r="M6" s="18" t="s">
        <v>41</v>
      </c>
      <c r="N6" s="37" t="s">
        <v>3993</v>
      </c>
      <c r="O6" s="49"/>
      <c r="P6" s="50"/>
      <c r="Q6" s="51"/>
      <c r="R6" s="50"/>
      <c r="S6" s="52"/>
    </row>
    <row r="7" ht="15.75" customHeight="1">
      <c r="A7" s="11" t="s">
        <v>13</v>
      </c>
      <c r="B7" s="12">
        <v>45923.0</v>
      </c>
      <c r="C7" s="13" t="s">
        <v>3980</v>
      </c>
      <c r="D7" s="33" t="s">
        <v>65</v>
      </c>
      <c r="E7" s="13" t="s">
        <v>3981</v>
      </c>
      <c r="F7" s="14">
        <v>0.3958333333333333</v>
      </c>
      <c r="G7" s="542" t="s">
        <v>3994</v>
      </c>
      <c r="H7" s="535">
        <v>7.03202621138095E14</v>
      </c>
      <c r="I7" s="536" t="s">
        <v>3995</v>
      </c>
      <c r="J7" s="540">
        <v>17442.0</v>
      </c>
      <c r="K7" s="536" t="s">
        <v>3996</v>
      </c>
      <c r="L7" s="18">
        <v>28.0</v>
      </c>
      <c r="M7" s="18" t="s">
        <v>41</v>
      </c>
      <c r="N7" s="37" t="s">
        <v>3997</v>
      </c>
      <c r="O7" s="45"/>
      <c r="P7" s="56"/>
      <c r="Q7" s="57"/>
      <c r="R7" s="56"/>
      <c r="S7" s="48"/>
    </row>
    <row r="8" ht="15.75" customHeight="1">
      <c r="A8" s="11" t="s">
        <v>14</v>
      </c>
      <c r="B8" s="12">
        <v>45923.0</v>
      </c>
      <c r="C8" s="13" t="s">
        <v>3980</v>
      </c>
      <c r="D8" s="33" t="s">
        <v>65</v>
      </c>
      <c r="E8" s="13" t="s">
        <v>3981</v>
      </c>
      <c r="F8" s="14">
        <v>0.4166666666666667</v>
      </c>
      <c r="G8" s="543" t="s">
        <v>3998</v>
      </c>
      <c r="H8" s="535">
        <v>8.01440488252852E14</v>
      </c>
      <c r="I8" s="536" t="s">
        <v>3999</v>
      </c>
      <c r="J8" s="540">
        <v>22472.0</v>
      </c>
      <c r="K8" s="536" t="s">
        <v>4000</v>
      </c>
      <c r="L8" s="18">
        <v>171.0</v>
      </c>
      <c r="M8" s="18" t="s">
        <v>41</v>
      </c>
      <c r="N8" s="37" t="s">
        <v>4001</v>
      </c>
      <c r="O8" s="58"/>
      <c r="P8" s="59"/>
      <c r="Q8" s="51"/>
      <c r="R8" s="59"/>
      <c r="S8" s="60"/>
    </row>
    <row r="9" ht="15.75" customHeight="1">
      <c r="A9" s="11" t="s">
        <v>15</v>
      </c>
      <c r="B9" s="12">
        <v>45923.0</v>
      </c>
      <c r="C9" s="13" t="s">
        <v>3980</v>
      </c>
      <c r="D9" s="33" t="s">
        <v>65</v>
      </c>
      <c r="E9" s="13" t="s">
        <v>3981</v>
      </c>
      <c r="F9" s="14">
        <v>0.4375</v>
      </c>
      <c r="G9" s="543" t="s">
        <v>4002</v>
      </c>
      <c r="H9" s="535">
        <v>2.03923184520004E14</v>
      </c>
      <c r="I9" s="536" t="s">
        <v>4003</v>
      </c>
      <c r="J9" s="540">
        <v>21336.0</v>
      </c>
      <c r="K9" s="536" t="s">
        <v>4004</v>
      </c>
      <c r="L9" s="18">
        <v>153.0</v>
      </c>
      <c r="M9" s="18" t="s">
        <v>36</v>
      </c>
      <c r="N9" s="37" t="s">
        <v>4005</v>
      </c>
      <c r="O9" s="45"/>
      <c r="P9" s="56" t="s">
        <v>4006</v>
      </c>
      <c r="Q9" s="57"/>
      <c r="R9" s="56"/>
      <c r="S9" s="48"/>
    </row>
    <row r="10" ht="15.75" customHeight="1">
      <c r="A10" s="11" t="s">
        <v>16</v>
      </c>
      <c r="B10" s="12">
        <v>45923.0</v>
      </c>
      <c r="C10" s="13" t="s">
        <v>3980</v>
      </c>
      <c r="D10" s="33" t="s">
        <v>65</v>
      </c>
      <c r="E10" s="13" t="s">
        <v>3981</v>
      </c>
      <c r="F10" s="14">
        <v>0.4583333333333333</v>
      </c>
      <c r="G10" s="543" t="s">
        <v>4007</v>
      </c>
      <c r="H10" s="535">
        <v>7.08609047431183E14</v>
      </c>
      <c r="I10" s="536" t="s">
        <v>4008</v>
      </c>
      <c r="J10" s="537">
        <v>27809.0</v>
      </c>
      <c r="K10" s="538" t="s">
        <v>3988</v>
      </c>
      <c r="L10" s="18">
        <v>93.0</v>
      </c>
      <c r="M10" s="18" t="s">
        <v>41</v>
      </c>
      <c r="N10" s="37" t="s">
        <v>4009</v>
      </c>
      <c r="O10" s="58"/>
      <c r="P10" s="59"/>
      <c r="Q10" s="51"/>
      <c r="R10" s="59"/>
      <c r="S10" s="145" t="s">
        <v>4010</v>
      </c>
    </row>
    <row r="11" ht="15.75" customHeight="1">
      <c r="A11" s="11" t="s">
        <v>17</v>
      </c>
      <c r="B11" s="12">
        <v>45923.0</v>
      </c>
      <c r="C11" s="13" t="s">
        <v>3980</v>
      </c>
      <c r="D11" s="33" t="s">
        <v>65</v>
      </c>
      <c r="E11" s="13" t="s">
        <v>3981</v>
      </c>
      <c r="F11" s="14">
        <v>0.4791666666666667</v>
      </c>
      <c r="G11" s="544" t="s">
        <v>4011</v>
      </c>
      <c r="H11" s="535">
        <v>8.01440407070244E14</v>
      </c>
      <c r="I11" s="536" t="s">
        <v>4012</v>
      </c>
      <c r="J11" s="537">
        <v>15018.0</v>
      </c>
      <c r="K11" s="538" t="s">
        <v>3996</v>
      </c>
      <c r="L11" s="18">
        <v>39.0</v>
      </c>
      <c r="M11" s="18" t="s">
        <v>41</v>
      </c>
      <c r="N11" s="37" t="s">
        <v>4013</v>
      </c>
      <c r="O11" s="45"/>
      <c r="P11" s="56"/>
      <c r="Q11" s="57"/>
      <c r="R11" s="56"/>
      <c r="S11" s="48"/>
    </row>
    <row r="12" ht="15.75" customHeight="1">
      <c r="G12" s="167"/>
    </row>
    <row r="13" ht="15.75" customHeight="1">
      <c r="G13" s="167"/>
    </row>
    <row r="14" ht="15.75" customHeight="1">
      <c r="G14" s="167"/>
    </row>
    <row r="15" ht="15.75" customHeight="1">
      <c r="G15" s="167"/>
    </row>
    <row r="16" ht="15.75" customHeight="1">
      <c r="G16" s="167"/>
    </row>
    <row r="17" ht="15.75" customHeight="1">
      <c r="G17" s="167"/>
    </row>
    <row r="18" ht="15.75" customHeight="1">
      <c r="G18" s="167"/>
    </row>
    <row r="19" ht="15.75" customHeight="1">
      <c r="G19" s="167"/>
    </row>
    <row r="20" ht="15.75" customHeight="1">
      <c r="G20" s="167"/>
    </row>
    <row r="21" ht="15.75" customHeight="1">
      <c r="G21" s="167"/>
    </row>
    <row r="22" ht="15.75" customHeight="1">
      <c r="G22" s="167"/>
    </row>
    <row r="23" ht="15.75" customHeight="1">
      <c r="G23" s="167"/>
    </row>
    <row r="24" ht="15.75" customHeight="1">
      <c r="G24" s="167"/>
    </row>
    <row r="25" ht="15.75" customHeight="1">
      <c r="G25" s="167"/>
    </row>
    <row r="26" ht="15.75" customHeight="1">
      <c r="G26" s="167"/>
    </row>
    <row r="27" ht="15.75" customHeight="1">
      <c r="G27" s="167"/>
    </row>
    <row r="28" ht="15.75" customHeight="1">
      <c r="G28" s="167"/>
    </row>
    <row r="29" ht="15.75" customHeight="1">
      <c r="G29" s="167"/>
    </row>
    <row r="30" ht="15.75" customHeight="1">
      <c r="G30" s="167"/>
    </row>
    <row r="31" ht="15.75" customHeight="1">
      <c r="G31" s="167"/>
    </row>
    <row r="32" ht="15.75" customHeight="1">
      <c r="G32" s="167"/>
    </row>
    <row r="33" ht="15.75" customHeight="1">
      <c r="G33" s="167"/>
    </row>
    <row r="34" ht="15.75" customHeight="1">
      <c r="G34" s="167"/>
    </row>
    <row r="35" ht="15.75" customHeight="1">
      <c r="G35" s="167"/>
    </row>
    <row r="36" ht="15.75" customHeight="1">
      <c r="G36" s="167"/>
    </row>
    <row r="37" ht="15.75" customHeight="1">
      <c r="G37" s="167"/>
    </row>
    <row r="38" ht="15.75" customHeight="1">
      <c r="G38" s="167"/>
    </row>
    <row r="39" ht="15.75" customHeight="1">
      <c r="G39" s="167"/>
    </row>
    <row r="40" ht="15.75" customHeight="1">
      <c r="G40" s="167"/>
    </row>
    <row r="41" ht="15.75" customHeight="1">
      <c r="G41" s="167"/>
    </row>
    <row r="42" ht="15.75" customHeight="1">
      <c r="G42" s="167"/>
    </row>
    <row r="43" ht="15.75" customHeight="1">
      <c r="G43" s="167"/>
    </row>
    <row r="44" ht="15.75" customHeight="1">
      <c r="G44" s="167"/>
    </row>
    <row r="45" ht="15.75" customHeight="1">
      <c r="G45" s="167"/>
    </row>
    <row r="46" ht="15.75" customHeight="1">
      <c r="G46" s="167"/>
    </row>
    <row r="47" ht="15.75" customHeight="1">
      <c r="G47" s="167"/>
    </row>
    <row r="48" ht="15.75" customHeight="1">
      <c r="G48" s="167"/>
    </row>
    <row r="49" ht="15.75" customHeight="1">
      <c r="G49" s="167"/>
    </row>
    <row r="50" ht="15.75" customHeight="1">
      <c r="G50" s="167"/>
    </row>
    <row r="51" ht="15.75" customHeight="1">
      <c r="G51" s="167"/>
    </row>
    <row r="52" ht="15.75" customHeight="1">
      <c r="G52" s="167"/>
    </row>
    <row r="53" ht="15.75" customHeight="1">
      <c r="G53" s="167"/>
    </row>
    <row r="54" ht="15.75" customHeight="1">
      <c r="G54" s="167"/>
    </row>
    <row r="55" ht="15.75" customHeight="1">
      <c r="G55" s="167"/>
    </row>
    <row r="56" ht="15.75" customHeight="1">
      <c r="G56" s="167"/>
    </row>
    <row r="57" ht="15.75" customHeight="1">
      <c r="G57" s="167"/>
    </row>
    <row r="58" ht="15.75" customHeight="1">
      <c r="G58" s="167"/>
    </row>
    <row r="59" ht="15.75" customHeight="1">
      <c r="G59" s="167"/>
    </row>
    <row r="60" ht="15.75" customHeight="1">
      <c r="G60" s="167"/>
    </row>
    <row r="61" ht="15.75" customHeight="1">
      <c r="G61" s="167"/>
    </row>
    <row r="62" ht="15.75" customHeight="1">
      <c r="G62" s="167"/>
    </row>
    <row r="63" ht="15.75" customHeight="1">
      <c r="G63" s="167"/>
    </row>
    <row r="64" ht="15.75" customHeight="1">
      <c r="G64" s="167"/>
    </row>
    <row r="65" ht="15.75" customHeight="1">
      <c r="G65" s="167"/>
    </row>
    <row r="66" ht="15.75" customHeight="1">
      <c r="G66" s="167"/>
    </row>
    <row r="67" ht="15.75" customHeight="1">
      <c r="G67" s="167"/>
    </row>
    <row r="68" ht="15.75" customHeight="1">
      <c r="G68" s="167"/>
    </row>
    <row r="69" ht="15.75" customHeight="1">
      <c r="G69" s="167"/>
    </row>
    <row r="70" ht="15.75" customHeight="1">
      <c r="G70" s="167"/>
    </row>
    <row r="71" ht="15.75" customHeight="1">
      <c r="G71" s="167"/>
    </row>
    <row r="72" ht="15.75" customHeight="1">
      <c r="G72" s="167"/>
    </row>
    <row r="73" ht="15.75" customHeight="1">
      <c r="G73" s="167"/>
    </row>
    <row r="74" ht="15.75" customHeight="1">
      <c r="G74" s="167"/>
    </row>
    <row r="75" ht="15.75" customHeight="1">
      <c r="G75" s="167"/>
    </row>
    <row r="76" ht="15.75" customHeight="1">
      <c r="G76" s="167"/>
    </row>
    <row r="77" ht="15.75" customHeight="1">
      <c r="G77" s="167"/>
    </row>
    <row r="78" ht="15.75" customHeight="1">
      <c r="G78" s="167"/>
    </row>
    <row r="79" ht="15.75" customHeight="1">
      <c r="G79" s="167"/>
    </row>
    <row r="80" ht="15.75" customHeight="1">
      <c r="G80" s="167"/>
    </row>
    <row r="81" ht="15.75" customHeight="1">
      <c r="G81" s="167"/>
    </row>
    <row r="82" ht="15.75" customHeight="1">
      <c r="G82" s="167"/>
    </row>
    <row r="83" ht="15.75" customHeight="1">
      <c r="G83" s="167"/>
    </row>
    <row r="84" ht="15.75" customHeight="1">
      <c r="G84" s="167"/>
    </row>
    <row r="85" ht="15.75" customHeight="1">
      <c r="G85" s="167"/>
    </row>
    <row r="86" ht="15.75" customHeight="1">
      <c r="G86" s="167"/>
    </row>
    <row r="87" ht="15.75" customHeight="1">
      <c r="G87" s="167"/>
    </row>
    <row r="88" ht="15.75" customHeight="1">
      <c r="G88" s="167"/>
    </row>
    <row r="89" ht="15.75" customHeight="1">
      <c r="G89" s="167"/>
    </row>
    <row r="90" ht="15.75" customHeight="1">
      <c r="G90" s="167"/>
    </row>
    <row r="91" ht="15.75" customHeight="1">
      <c r="G91" s="167"/>
    </row>
    <row r="92" ht="15.75" customHeight="1">
      <c r="G92" s="167"/>
    </row>
    <row r="93" ht="15.75" customHeight="1">
      <c r="G93" s="167"/>
    </row>
    <row r="94" ht="15.75" customHeight="1">
      <c r="G94" s="167"/>
    </row>
    <row r="95" ht="15.75" customHeight="1">
      <c r="G95" s="167"/>
    </row>
    <row r="96" ht="15.75" customHeight="1">
      <c r="G96" s="167"/>
    </row>
    <row r="97" ht="15.75" customHeight="1">
      <c r="G97" s="167"/>
    </row>
    <row r="98" ht="15.75" customHeight="1">
      <c r="G98" s="167"/>
    </row>
    <row r="99" ht="15.75" customHeight="1">
      <c r="G99" s="167"/>
    </row>
    <row r="100" ht="15.75" customHeight="1">
      <c r="G100" s="167"/>
    </row>
    <row r="101" ht="15.75" customHeight="1">
      <c r="G101" s="167"/>
    </row>
    <row r="102" ht="15.75" customHeight="1">
      <c r="G102" s="167"/>
    </row>
    <row r="103" ht="15.75" customHeight="1">
      <c r="G103" s="167"/>
    </row>
    <row r="104" ht="15.75" customHeight="1">
      <c r="G104" s="167"/>
    </row>
    <row r="105" ht="15.75" customHeight="1">
      <c r="G105" s="167"/>
    </row>
    <row r="106" ht="15.75" customHeight="1">
      <c r="G106" s="167"/>
    </row>
    <row r="107" ht="15.75" customHeight="1">
      <c r="G107" s="167"/>
    </row>
    <row r="108" ht="15.75" customHeight="1">
      <c r="G108" s="167"/>
    </row>
    <row r="109" ht="15.75" customHeight="1">
      <c r="G109" s="167"/>
    </row>
    <row r="110" ht="15.75" customHeight="1">
      <c r="G110" s="167"/>
    </row>
    <row r="111" ht="15.75" customHeight="1">
      <c r="G111" s="167"/>
    </row>
    <row r="112" ht="15.75" customHeight="1">
      <c r="G112" s="167"/>
    </row>
    <row r="113" ht="15.75" customHeight="1">
      <c r="G113" s="167"/>
    </row>
    <row r="114" ht="15.75" customHeight="1">
      <c r="G114" s="167"/>
    </row>
    <row r="115" ht="15.75" customHeight="1">
      <c r="G115" s="167"/>
    </row>
    <row r="116" ht="15.75" customHeight="1">
      <c r="G116" s="167"/>
    </row>
    <row r="117" ht="15.75" customHeight="1">
      <c r="G117" s="167"/>
    </row>
    <row r="118" ht="15.75" customHeight="1">
      <c r="G118" s="167"/>
    </row>
    <row r="119" ht="15.75" customHeight="1">
      <c r="G119" s="167"/>
    </row>
    <row r="120" ht="15.75" customHeight="1">
      <c r="G120" s="167"/>
    </row>
    <row r="121" ht="15.75" customHeight="1">
      <c r="G121" s="167"/>
    </row>
    <row r="122" ht="15.75" customHeight="1">
      <c r="G122" s="167"/>
    </row>
    <row r="123" ht="15.75" customHeight="1">
      <c r="G123" s="167"/>
    </row>
    <row r="124" ht="15.75" customHeight="1">
      <c r="G124" s="167"/>
    </row>
    <row r="125" ht="15.75" customHeight="1">
      <c r="G125" s="167"/>
    </row>
    <row r="126" ht="15.75" customHeight="1">
      <c r="G126" s="167"/>
    </row>
    <row r="127" ht="15.75" customHeight="1">
      <c r="G127" s="167"/>
    </row>
    <row r="128" ht="15.75" customHeight="1">
      <c r="G128" s="167"/>
    </row>
    <row r="129" ht="15.75" customHeight="1">
      <c r="G129" s="167"/>
    </row>
    <row r="130" ht="15.75" customHeight="1">
      <c r="G130" s="167"/>
    </row>
    <row r="131" ht="15.75" customHeight="1">
      <c r="G131" s="167"/>
    </row>
    <row r="132" ht="15.75" customHeight="1">
      <c r="G132" s="167"/>
    </row>
    <row r="133" ht="15.75" customHeight="1">
      <c r="G133" s="167"/>
    </row>
    <row r="134" ht="15.75" customHeight="1">
      <c r="G134" s="167"/>
    </row>
    <row r="135" ht="15.75" customHeight="1">
      <c r="G135" s="167"/>
    </row>
    <row r="136" ht="15.75" customHeight="1">
      <c r="G136" s="167"/>
    </row>
    <row r="137" ht="15.75" customHeight="1">
      <c r="G137" s="167"/>
    </row>
    <row r="138" ht="15.75" customHeight="1">
      <c r="G138" s="167"/>
    </row>
    <row r="139" ht="15.75" customHeight="1">
      <c r="G139" s="167"/>
    </row>
    <row r="140" ht="15.75" customHeight="1">
      <c r="G140" s="167"/>
    </row>
    <row r="141" ht="15.75" customHeight="1">
      <c r="G141" s="167"/>
    </row>
    <row r="142" ht="15.75" customHeight="1">
      <c r="G142" s="167"/>
    </row>
    <row r="143" ht="15.75" customHeight="1">
      <c r="G143" s="167"/>
    </row>
    <row r="144" ht="15.75" customHeight="1">
      <c r="G144" s="167"/>
    </row>
    <row r="145" ht="15.75" customHeight="1">
      <c r="G145" s="167"/>
    </row>
    <row r="146" ht="15.75" customHeight="1">
      <c r="G146" s="167"/>
    </row>
    <row r="147" ht="15.75" customHeight="1">
      <c r="G147" s="167"/>
    </row>
    <row r="148" ht="15.75" customHeight="1">
      <c r="G148" s="167"/>
    </row>
    <row r="149" ht="15.75" customHeight="1">
      <c r="G149" s="167"/>
    </row>
    <row r="150" ht="15.75" customHeight="1">
      <c r="G150" s="167"/>
    </row>
    <row r="151" ht="15.75" customHeight="1">
      <c r="G151" s="167"/>
    </row>
    <row r="152" ht="15.75" customHeight="1">
      <c r="G152" s="167"/>
    </row>
    <row r="153" ht="15.75" customHeight="1">
      <c r="G153" s="167"/>
    </row>
    <row r="154" ht="15.75" customHeight="1">
      <c r="G154" s="167"/>
    </row>
    <row r="155" ht="15.75" customHeight="1">
      <c r="G155" s="167"/>
    </row>
    <row r="156" ht="15.75" customHeight="1">
      <c r="G156" s="167"/>
    </row>
    <row r="157" ht="15.75" customHeight="1">
      <c r="G157" s="167"/>
    </row>
    <row r="158" ht="15.75" customHeight="1">
      <c r="G158" s="167"/>
    </row>
    <row r="159" ht="15.75" customHeight="1">
      <c r="G159" s="167"/>
    </row>
    <row r="160" ht="15.75" customHeight="1">
      <c r="G160" s="167"/>
    </row>
    <row r="161" ht="15.75" customHeight="1">
      <c r="G161" s="167"/>
    </row>
    <row r="162" ht="15.75" customHeight="1">
      <c r="G162" s="167"/>
    </row>
    <row r="163" ht="15.75" customHeight="1">
      <c r="G163" s="167"/>
    </row>
    <row r="164" ht="15.75" customHeight="1">
      <c r="G164" s="167"/>
    </row>
    <row r="165" ht="15.75" customHeight="1">
      <c r="G165" s="167"/>
    </row>
    <row r="166" ht="15.75" customHeight="1">
      <c r="G166" s="167"/>
    </row>
    <row r="167" ht="15.75" customHeight="1">
      <c r="G167" s="167"/>
    </row>
    <row r="168" ht="15.75" customHeight="1">
      <c r="G168" s="167"/>
    </row>
    <row r="169" ht="15.75" customHeight="1">
      <c r="G169" s="167"/>
    </row>
    <row r="170" ht="15.75" customHeight="1">
      <c r="G170" s="167"/>
    </row>
    <row r="171" ht="15.75" customHeight="1">
      <c r="G171" s="167"/>
    </row>
    <row r="172" ht="15.75" customHeight="1">
      <c r="G172" s="167"/>
    </row>
    <row r="173" ht="15.75" customHeight="1">
      <c r="G173" s="167"/>
    </row>
    <row r="174" ht="15.75" customHeight="1">
      <c r="G174" s="167"/>
    </row>
    <row r="175" ht="15.75" customHeight="1">
      <c r="G175" s="167"/>
    </row>
    <row r="176" ht="15.75" customHeight="1">
      <c r="G176" s="167"/>
    </row>
    <row r="177" ht="15.75" customHeight="1">
      <c r="G177" s="167"/>
    </row>
    <row r="178" ht="15.75" customHeight="1">
      <c r="G178" s="167"/>
    </row>
    <row r="179" ht="15.75" customHeight="1">
      <c r="G179" s="167"/>
    </row>
    <row r="180" ht="15.75" customHeight="1">
      <c r="G180" s="167"/>
    </row>
    <row r="181" ht="15.75" customHeight="1">
      <c r="G181" s="167"/>
    </row>
    <row r="182" ht="15.75" customHeight="1">
      <c r="G182" s="167"/>
    </row>
    <row r="183" ht="15.75" customHeight="1">
      <c r="G183" s="167"/>
    </row>
    <row r="184" ht="15.75" customHeight="1">
      <c r="G184" s="167"/>
    </row>
    <row r="185" ht="15.75" customHeight="1">
      <c r="G185" s="167"/>
    </row>
    <row r="186" ht="15.75" customHeight="1">
      <c r="G186" s="167"/>
    </row>
    <row r="187" ht="15.75" customHeight="1">
      <c r="G187" s="167"/>
    </row>
    <row r="188" ht="15.75" customHeight="1">
      <c r="G188" s="167"/>
    </row>
    <row r="189" ht="15.75" customHeight="1">
      <c r="G189" s="167"/>
    </row>
    <row r="190" ht="15.75" customHeight="1">
      <c r="G190" s="167"/>
    </row>
    <row r="191" ht="15.75" customHeight="1">
      <c r="G191" s="167"/>
    </row>
    <row r="192" ht="15.75" customHeight="1">
      <c r="G192" s="167"/>
    </row>
    <row r="193" ht="15.75" customHeight="1">
      <c r="G193" s="167"/>
    </row>
    <row r="194" ht="15.75" customHeight="1">
      <c r="G194" s="167"/>
    </row>
    <row r="195" ht="15.75" customHeight="1">
      <c r="G195" s="167"/>
    </row>
    <row r="196" ht="15.75" customHeight="1">
      <c r="G196" s="167"/>
    </row>
    <row r="197" ht="15.75" customHeight="1">
      <c r="G197" s="167"/>
    </row>
    <row r="198" ht="15.75" customHeight="1">
      <c r="G198" s="167"/>
    </row>
    <row r="199" ht="15.75" customHeight="1">
      <c r="G199" s="167"/>
    </row>
    <row r="200" ht="15.75" customHeight="1">
      <c r="G200" s="167"/>
    </row>
    <row r="201" ht="15.75" customHeight="1">
      <c r="G201" s="167"/>
    </row>
    <row r="202" ht="15.75" customHeight="1">
      <c r="G202" s="167"/>
    </row>
    <row r="203" ht="15.75" customHeight="1">
      <c r="G203" s="167"/>
    </row>
    <row r="204" ht="15.75" customHeight="1">
      <c r="G204" s="167"/>
    </row>
    <row r="205" ht="15.75" customHeight="1">
      <c r="G205" s="167"/>
    </row>
    <row r="206" ht="15.75" customHeight="1">
      <c r="G206" s="167"/>
    </row>
    <row r="207" ht="15.75" customHeight="1">
      <c r="G207" s="167"/>
    </row>
    <row r="208" ht="15.75" customHeight="1">
      <c r="G208" s="167"/>
    </row>
    <row r="209" ht="15.75" customHeight="1">
      <c r="G209" s="167"/>
    </row>
    <row r="210" ht="15.75" customHeight="1">
      <c r="G210" s="167"/>
    </row>
    <row r="211" ht="15.75" customHeight="1">
      <c r="G211" s="167"/>
    </row>
    <row r="212" ht="15.75" customHeight="1">
      <c r="G212" s="167"/>
    </row>
    <row r="213" ht="15.75" customHeight="1">
      <c r="G213" s="167"/>
    </row>
    <row r="214" ht="15.75" customHeight="1">
      <c r="G214" s="167"/>
    </row>
    <row r="215" ht="15.75" customHeight="1">
      <c r="G215" s="167"/>
    </row>
    <row r="216" ht="15.75" customHeight="1">
      <c r="G216" s="167"/>
    </row>
    <row r="217" ht="15.75" customHeight="1">
      <c r="G217" s="167"/>
    </row>
    <row r="218" ht="15.75" customHeight="1">
      <c r="G218" s="167"/>
    </row>
    <row r="219" ht="15.75" customHeight="1">
      <c r="G219" s="167"/>
    </row>
    <row r="220" ht="15.75" customHeight="1">
      <c r="G220" s="16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S1"/>
    <mergeCell ref="A2:S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M4:M11">
      <formula1>"Atendido,Não atendindo"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Marin,Alice Peixoto da Silva Lobo,Kar"&amp;"izia Bianca Ferreira"</formula1>
    </dataValidation>
    <dataValidation type="list" allowBlank="1" showErrorMessage="1" sqref="C4:C11">
      <formula1>"Segunda,Terça,Quarta,Quinta,Sexta,Sábado"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.13"/>
    <col customWidth="1" min="2" max="2" width="12.63"/>
    <col customWidth="1" min="3" max="3" width="8.5"/>
    <col customWidth="1" min="4" max="4" width="24.5"/>
    <col customWidth="1" min="5" max="5" width="24.88"/>
    <col customWidth="1" min="6" max="6" width="12.63"/>
    <col customWidth="1" min="7" max="7" width="13.75"/>
    <col customWidth="1" min="8" max="8" width="25.25"/>
    <col customWidth="1" min="12" max="12" width="15.25"/>
  </cols>
  <sheetData>
    <row r="1" ht="36.0" customHeight="1">
      <c r="A1" s="1" t="s">
        <v>4014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31.5" customHeight="1">
      <c r="A2" s="32" t="s">
        <v>4015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10" t="s">
        <v>1</v>
      </c>
      <c r="L3" s="10" t="s">
        <v>20</v>
      </c>
      <c r="M3" s="8" t="s">
        <v>25</v>
      </c>
      <c r="N3" s="8" t="s">
        <v>26</v>
      </c>
      <c r="O3" s="8" t="s">
        <v>27</v>
      </c>
      <c r="P3" s="9" t="s">
        <v>28</v>
      </c>
      <c r="Q3" s="6" t="s">
        <v>29</v>
      </c>
      <c r="R3" s="9" t="s">
        <v>30</v>
      </c>
    </row>
    <row r="4" ht="15.75" customHeight="1">
      <c r="A4" s="11" t="s">
        <v>10</v>
      </c>
      <c r="B4" s="12">
        <v>45924.0</v>
      </c>
      <c r="C4" s="13" t="s">
        <v>4016</v>
      </c>
      <c r="D4" s="33" t="s">
        <v>72</v>
      </c>
      <c r="E4" s="13" t="s">
        <v>3961</v>
      </c>
      <c r="F4" s="14">
        <v>0.3333333333333333</v>
      </c>
      <c r="G4" s="14">
        <v>7.0310967348389E14</v>
      </c>
      <c r="H4" s="14" t="s">
        <v>4017</v>
      </c>
      <c r="I4" s="12">
        <v>26307.0</v>
      </c>
      <c r="J4" s="545" t="s">
        <v>4018</v>
      </c>
      <c r="K4" s="18"/>
      <c r="L4" s="18" t="s">
        <v>41</v>
      </c>
      <c r="M4" s="356">
        <v>1.1954779013E10</v>
      </c>
      <c r="N4" s="38"/>
      <c r="O4" s="41"/>
      <c r="P4" s="40"/>
      <c r="Q4" s="41"/>
      <c r="R4" s="42"/>
    </row>
    <row r="5" ht="15.75" customHeight="1">
      <c r="A5" s="11" t="s">
        <v>11</v>
      </c>
      <c r="B5" s="12">
        <v>45924.0</v>
      </c>
      <c r="C5" s="13" t="s">
        <v>4016</v>
      </c>
      <c r="D5" s="33" t="s">
        <v>72</v>
      </c>
      <c r="E5" s="13" t="s">
        <v>3961</v>
      </c>
      <c r="F5" s="14">
        <v>0.3541666666666667</v>
      </c>
      <c r="G5" s="14">
        <v>7.04206762263483E14</v>
      </c>
      <c r="H5" s="14" t="s">
        <v>4019</v>
      </c>
      <c r="I5" s="12">
        <v>14732.0</v>
      </c>
      <c r="J5" s="545" t="s">
        <v>4020</v>
      </c>
      <c r="K5" s="18"/>
      <c r="L5" s="18" t="s">
        <v>36</v>
      </c>
      <c r="M5" s="356">
        <v>1.1954880554E10</v>
      </c>
      <c r="N5" s="45" t="s">
        <v>4021</v>
      </c>
      <c r="O5" s="46"/>
      <c r="P5" s="546" t="s">
        <v>4022</v>
      </c>
      <c r="Q5" s="547" t="s">
        <v>4023</v>
      </c>
      <c r="R5" s="48"/>
    </row>
    <row r="6" ht="15.75" customHeight="1">
      <c r="A6" s="11" t="s">
        <v>12</v>
      </c>
      <c r="B6" s="12">
        <v>45924.0</v>
      </c>
      <c r="C6" s="13" t="s">
        <v>4016</v>
      </c>
      <c r="D6" s="33" t="s">
        <v>72</v>
      </c>
      <c r="E6" s="13" t="s">
        <v>3961</v>
      </c>
      <c r="F6" s="14">
        <v>0.375</v>
      </c>
      <c r="G6" s="14">
        <v>7.0050317032125E14</v>
      </c>
      <c r="H6" s="14" t="s">
        <v>4024</v>
      </c>
      <c r="I6" s="12">
        <v>18208.0</v>
      </c>
      <c r="J6" s="545" t="s">
        <v>4025</v>
      </c>
      <c r="K6" s="18"/>
      <c r="L6" s="18" t="s">
        <v>41</v>
      </c>
      <c r="M6" s="356">
        <v>1.198082181E10</v>
      </c>
      <c r="N6" s="49"/>
      <c r="O6" s="50"/>
      <c r="P6" s="51"/>
      <c r="Q6" s="50"/>
      <c r="R6" s="52"/>
    </row>
    <row r="7" ht="15.75" customHeight="1">
      <c r="A7" s="11" t="s">
        <v>13</v>
      </c>
      <c r="B7" s="12">
        <v>45924.0</v>
      </c>
      <c r="C7" s="13" t="s">
        <v>4016</v>
      </c>
      <c r="D7" s="33" t="s">
        <v>72</v>
      </c>
      <c r="E7" s="13" t="s">
        <v>3961</v>
      </c>
      <c r="F7" s="14">
        <v>0.3958333333333333</v>
      </c>
      <c r="G7" s="14">
        <v>2.06880587490009E14</v>
      </c>
      <c r="H7" s="14" t="s">
        <v>4026</v>
      </c>
      <c r="I7" s="12">
        <v>18910.0</v>
      </c>
      <c r="J7" s="545" t="s">
        <v>4027</v>
      </c>
      <c r="K7" s="18"/>
      <c r="L7" s="18" t="s">
        <v>41</v>
      </c>
      <c r="M7" s="356">
        <v>1.1973832109E10</v>
      </c>
      <c r="N7" s="45"/>
      <c r="O7" s="56"/>
      <c r="P7" s="57"/>
      <c r="Q7" s="56"/>
      <c r="R7" s="48"/>
    </row>
    <row r="8" ht="15.75" customHeight="1">
      <c r="A8" s="11" t="s">
        <v>14</v>
      </c>
      <c r="B8" s="12">
        <v>45924.0</v>
      </c>
      <c r="C8" s="13" t="s">
        <v>4016</v>
      </c>
      <c r="D8" s="33" t="s">
        <v>72</v>
      </c>
      <c r="E8" s="13" t="s">
        <v>3961</v>
      </c>
      <c r="F8" s="14">
        <v>0.4166666666666667</v>
      </c>
      <c r="G8" s="14">
        <v>8.01440435323607E14</v>
      </c>
      <c r="H8" s="14" t="s">
        <v>4028</v>
      </c>
      <c r="I8" s="12">
        <v>33742.0</v>
      </c>
      <c r="J8" s="545" t="s">
        <v>4029</v>
      </c>
      <c r="K8" s="18"/>
      <c r="L8" s="18" t="s">
        <v>41</v>
      </c>
      <c r="M8" s="356">
        <v>1.195828617E10</v>
      </c>
      <c r="N8" s="58"/>
      <c r="O8" s="59"/>
      <c r="P8" s="51"/>
      <c r="Q8" s="59"/>
      <c r="R8" s="60"/>
    </row>
    <row r="9" ht="15.75" customHeight="1">
      <c r="A9" s="11" t="s">
        <v>15</v>
      </c>
      <c r="B9" s="12">
        <v>45924.0</v>
      </c>
      <c r="C9" s="13" t="s">
        <v>4016</v>
      </c>
      <c r="D9" s="33" t="s">
        <v>72</v>
      </c>
      <c r="E9" s="13" t="s">
        <v>3961</v>
      </c>
      <c r="F9" s="14">
        <v>0.4375</v>
      </c>
      <c r="G9" s="14">
        <v>8.0143417882642E14</v>
      </c>
      <c r="H9" s="14" t="s">
        <v>2528</v>
      </c>
      <c r="I9" s="12">
        <v>19274.0</v>
      </c>
      <c r="J9" s="545" t="s">
        <v>4030</v>
      </c>
      <c r="K9" s="18"/>
      <c r="L9" s="18" t="s">
        <v>41</v>
      </c>
      <c r="M9" s="356">
        <v>1.1952254626E10</v>
      </c>
      <c r="N9" s="45"/>
      <c r="O9" s="56"/>
      <c r="P9" s="57"/>
      <c r="Q9" s="56"/>
      <c r="R9" s="48"/>
    </row>
    <row r="10" ht="15.75" customHeight="1">
      <c r="A10" s="11" t="s">
        <v>16</v>
      </c>
      <c r="B10" s="12">
        <v>45924.0</v>
      </c>
      <c r="C10" s="13" t="s">
        <v>4016</v>
      </c>
      <c r="D10" s="33" t="s">
        <v>72</v>
      </c>
      <c r="E10" s="13" t="s">
        <v>3961</v>
      </c>
      <c r="F10" s="14">
        <v>0.4583333333333333</v>
      </c>
      <c r="G10" s="14">
        <v>8.01440401127481E14</v>
      </c>
      <c r="H10" s="14" t="s">
        <v>2520</v>
      </c>
      <c r="I10" s="548">
        <v>17106.0</v>
      </c>
      <c r="J10" s="549" t="s">
        <v>4030</v>
      </c>
      <c r="K10" s="18"/>
      <c r="L10" s="18" t="s">
        <v>41</v>
      </c>
      <c r="M10" s="356">
        <v>1.1986693936E10</v>
      </c>
      <c r="N10" s="58"/>
      <c r="O10" s="59"/>
      <c r="P10" s="51"/>
      <c r="Q10" s="59"/>
      <c r="R10" s="60"/>
    </row>
    <row r="11" ht="15.75" customHeight="1">
      <c r="A11" s="11" t="s">
        <v>17</v>
      </c>
      <c r="B11" s="12">
        <v>45924.0</v>
      </c>
      <c r="C11" s="13" t="s">
        <v>4016</v>
      </c>
      <c r="D11" s="33" t="s">
        <v>72</v>
      </c>
      <c r="E11" s="13" t="s">
        <v>3961</v>
      </c>
      <c r="F11" s="14">
        <v>0.4791666666666667</v>
      </c>
      <c r="G11" s="14">
        <v>7.02808182773362E14</v>
      </c>
      <c r="H11" s="14" t="s">
        <v>4031</v>
      </c>
      <c r="I11" s="12">
        <v>21431.0</v>
      </c>
      <c r="J11" s="545" t="s">
        <v>4032</v>
      </c>
      <c r="K11" s="18"/>
      <c r="L11" s="18" t="s">
        <v>41</v>
      </c>
      <c r="M11" s="356">
        <v>1.1913136735E10</v>
      </c>
      <c r="N11" s="45"/>
      <c r="O11" s="56"/>
      <c r="P11" s="57"/>
      <c r="Q11" s="56"/>
      <c r="R11" s="48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R1"/>
    <mergeCell ref="A2:R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L4:L11">
      <formula1>"Atendido,Não atendindo"</formula1>
    </dataValidation>
    <dataValidation type="list" allowBlank="1" showErrorMessage="1" sqref="C4:C11">
      <formula1>"Segunda,Terça,Quarta,Quinta,Sexta,Sábado"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12.63"/>
    <col customWidth="1" min="3" max="3" width="8.5"/>
    <col customWidth="1" min="4" max="4" width="24.5"/>
    <col customWidth="1" min="5" max="5" width="24.88"/>
    <col customWidth="1" min="6" max="6" width="12.63"/>
    <col customWidth="1" min="7" max="7" width="13.75"/>
    <col customWidth="1" min="8" max="8" width="38.25"/>
    <col customWidth="1" min="10" max="10" width="57.75"/>
    <col customWidth="1" min="12" max="12" width="15.25"/>
    <col customWidth="1" min="14" max="14" width="48.13"/>
    <col customWidth="1" min="15" max="15" width="23.25"/>
    <col customWidth="1" min="16" max="16" width="20.88"/>
    <col customWidth="1" min="17" max="17" width="26.5"/>
  </cols>
  <sheetData>
    <row r="1" ht="36.0" customHeight="1">
      <c r="A1" s="31" t="s">
        <v>4033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31.5" customHeight="1">
      <c r="A2" s="64" t="s">
        <v>4034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 ht="15.75" customHeight="1">
      <c r="A3" s="230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67" t="s">
        <v>1</v>
      </c>
      <c r="L3" s="67" t="s">
        <v>20</v>
      </c>
      <c r="M3" s="8" t="s">
        <v>25</v>
      </c>
      <c r="N3" s="8" t="s">
        <v>26</v>
      </c>
      <c r="O3" s="8" t="s">
        <v>27</v>
      </c>
      <c r="P3" s="9" t="s">
        <v>28</v>
      </c>
      <c r="Q3" s="6" t="s">
        <v>29</v>
      </c>
      <c r="R3" s="9" t="s">
        <v>30</v>
      </c>
    </row>
    <row r="4" ht="18.0" customHeight="1">
      <c r="A4" s="11" t="s">
        <v>10</v>
      </c>
      <c r="B4" s="12">
        <v>45925.0</v>
      </c>
      <c r="C4" s="13" t="s">
        <v>4016</v>
      </c>
      <c r="D4" s="13" t="s">
        <v>98</v>
      </c>
      <c r="E4" s="13" t="s">
        <v>3961</v>
      </c>
      <c r="F4" s="14">
        <v>0.5416666666666666</v>
      </c>
      <c r="G4" s="15">
        <v>8.98001437723014E14</v>
      </c>
      <c r="H4" s="15" t="s">
        <v>4035</v>
      </c>
      <c r="I4" s="17">
        <v>22285.0</v>
      </c>
      <c r="J4" s="550" t="s">
        <v>4036</v>
      </c>
      <c r="K4" s="18"/>
      <c r="L4" s="18" t="s">
        <v>36</v>
      </c>
      <c r="M4" s="37" t="s">
        <v>4037</v>
      </c>
      <c r="N4" s="38" t="s">
        <v>4038</v>
      </c>
      <c r="O4" s="41"/>
      <c r="P4" s="73" t="s">
        <v>4039</v>
      </c>
      <c r="Q4" s="41" t="s">
        <v>4040</v>
      </c>
      <c r="R4" s="42"/>
    </row>
    <row r="5" ht="16.5" customHeight="1">
      <c r="A5" s="11" t="s">
        <v>11</v>
      </c>
      <c r="B5" s="12">
        <v>45925.0</v>
      </c>
      <c r="C5" s="13" t="s">
        <v>4016</v>
      </c>
      <c r="D5" s="13" t="s">
        <v>98</v>
      </c>
      <c r="E5" s="13" t="s">
        <v>3961</v>
      </c>
      <c r="F5" s="14">
        <v>0.5625</v>
      </c>
      <c r="G5" s="15">
        <v>7.02009313157188E14</v>
      </c>
      <c r="H5" s="550" t="s">
        <v>4041</v>
      </c>
      <c r="I5" s="17">
        <v>23704.0</v>
      </c>
      <c r="J5" s="15" t="s">
        <v>4042</v>
      </c>
      <c r="K5" s="18"/>
      <c r="L5" s="18" t="s">
        <v>41</v>
      </c>
      <c r="M5" s="37" t="s">
        <v>4043</v>
      </c>
      <c r="N5" s="45"/>
      <c r="O5" s="46"/>
      <c r="P5" s="47"/>
      <c r="Q5" s="46"/>
      <c r="R5" s="48"/>
    </row>
    <row r="6" ht="18.0" customHeight="1">
      <c r="A6" s="11" t="s">
        <v>12</v>
      </c>
      <c r="B6" s="12">
        <v>45925.0</v>
      </c>
      <c r="C6" s="13" t="s">
        <v>4016</v>
      </c>
      <c r="D6" s="13" t="s">
        <v>98</v>
      </c>
      <c r="E6" s="13" t="s">
        <v>3961</v>
      </c>
      <c r="F6" s="14">
        <v>0.5833333333333334</v>
      </c>
      <c r="G6" s="550">
        <v>8.01440415827901E14</v>
      </c>
      <c r="H6" s="550" t="s">
        <v>4044</v>
      </c>
      <c r="I6" s="551">
        <v>24347.0</v>
      </c>
      <c r="J6" s="552" t="s">
        <v>4045</v>
      </c>
      <c r="K6" s="18"/>
      <c r="L6" s="18" t="s">
        <v>41</v>
      </c>
      <c r="M6" s="37" t="s">
        <v>4046</v>
      </c>
      <c r="N6" s="49"/>
      <c r="O6" s="50"/>
      <c r="P6" s="51"/>
      <c r="Q6" s="50"/>
      <c r="R6" s="52"/>
    </row>
    <row r="7" ht="18.75" customHeight="1">
      <c r="A7" s="11" t="s">
        <v>13</v>
      </c>
      <c r="B7" s="12">
        <v>45925.0</v>
      </c>
      <c r="C7" s="13" t="s">
        <v>4016</v>
      </c>
      <c r="D7" s="13" t="s">
        <v>98</v>
      </c>
      <c r="E7" s="13" t="s">
        <v>3961</v>
      </c>
      <c r="F7" s="14">
        <v>0.6041666666666666</v>
      </c>
      <c r="G7" s="15">
        <v>8.0144049997506E14</v>
      </c>
      <c r="H7" s="550" t="s">
        <v>4047</v>
      </c>
      <c r="I7" s="78">
        <v>20222.0</v>
      </c>
      <c r="J7" s="15" t="s">
        <v>4048</v>
      </c>
      <c r="K7" s="18"/>
      <c r="L7" s="18" t="s">
        <v>41</v>
      </c>
      <c r="M7" s="37" t="s">
        <v>4049</v>
      </c>
      <c r="N7" s="45"/>
      <c r="O7" s="56"/>
      <c r="P7" s="57"/>
      <c r="Q7" s="56"/>
      <c r="R7" s="48"/>
    </row>
    <row r="8" ht="16.5" customHeight="1">
      <c r="A8" s="11" t="s">
        <v>14</v>
      </c>
      <c r="B8" s="12">
        <v>45925.0</v>
      </c>
      <c r="C8" s="13" t="s">
        <v>4016</v>
      </c>
      <c r="D8" s="13" t="s">
        <v>98</v>
      </c>
      <c r="E8" s="13" t="s">
        <v>3961</v>
      </c>
      <c r="F8" s="14">
        <v>0.625</v>
      </c>
      <c r="G8" s="550">
        <v>7.00008779708107E14</v>
      </c>
      <c r="H8" s="550" t="s">
        <v>4050</v>
      </c>
      <c r="I8" s="17">
        <v>29563.0</v>
      </c>
      <c r="J8" s="15" t="s">
        <v>4051</v>
      </c>
      <c r="K8" s="18"/>
      <c r="L8" s="18" t="s">
        <v>36</v>
      </c>
      <c r="M8" s="37" t="s">
        <v>4052</v>
      </c>
      <c r="N8" s="58" t="s">
        <v>4053</v>
      </c>
      <c r="O8" s="59"/>
      <c r="P8" s="51">
        <v>45925.0</v>
      </c>
      <c r="Q8" s="59" t="s">
        <v>4054</v>
      </c>
      <c r="R8" s="60"/>
    </row>
    <row r="9" ht="16.5" customHeight="1">
      <c r="A9" s="11" t="s">
        <v>15</v>
      </c>
      <c r="B9" s="12">
        <v>45925.0</v>
      </c>
      <c r="C9" s="13" t="s">
        <v>4016</v>
      </c>
      <c r="D9" s="13" t="s">
        <v>98</v>
      </c>
      <c r="E9" s="13" t="s">
        <v>3961</v>
      </c>
      <c r="F9" s="14">
        <v>0.6458333333333334</v>
      </c>
      <c r="G9" s="550">
        <v>7.06205582274962E14</v>
      </c>
      <c r="H9" s="550" t="s">
        <v>4055</v>
      </c>
      <c r="I9" s="551">
        <v>27162.0</v>
      </c>
      <c r="J9" s="550" t="s">
        <v>4056</v>
      </c>
      <c r="K9" s="18"/>
      <c r="L9" s="18" t="s">
        <v>41</v>
      </c>
      <c r="M9" s="37" t="s">
        <v>4057</v>
      </c>
      <c r="N9" s="45"/>
      <c r="O9" s="56"/>
      <c r="P9" s="57"/>
      <c r="Q9" s="56"/>
      <c r="R9" s="48"/>
    </row>
    <row r="10" ht="18.0" customHeight="1">
      <c r="A10" s="11" t="s">
        <v>16</v>
      </c>
      <c r="B10" s="12">
        <v>45925.0</v>
      </c>
      <c r="C10" s="13" t="s">
        <v>4016</v>
      </c>
      <c r="D10" s="13" t="s">
        <v>98</v>
      </c>
      <c r="E10" s="13" t="s">
        <v>3961</v>
      </c>
      <c r="F10" s="14">
        <v>0.6666666666666666</v>
      </c>
      <c r="G10" s="550">
        <v>1.26137917740004E14</v>
      </c>
      <c r="H10" s="550" t="s">
        <v>4058</v>
      </c>
      <c r="I10" s="551">
        <v>22123.0</v>
      </c>
      <c r="J10" s="16" t="s">
        <v>4059</v>
      </c>
      <c r="K10" s="18"/>
      <c r="L10" s="18" t="s">
        <v>41</v>
      </c>
      <c r="M10" s="37" t="s">
        <v>4060</v>
      </c>
      <c r="N10" s="58"/>
      <c r="O10" s="59"/>
      <c r="P10" s="51"/>
      <c r="Q10" s="59"/>
      <c r="R10" s="60"/>
    </row>
    <row r="11" ht="15.75" customHeight="1">
      <c r="A11" s="11" t="s">
        <v>17</v>
      </c>
      <c r="B11" s="12">
        <v>45925.0</v>
      </c>
      <c r="C11" s="13" t="s">
        <v>4016</v>
      </c>
      <c r="D11" s="13" t="s">
        <v>98</v>
      </c>
      <c r="E11" s="13" t="s">
        <v>3961</v>
      </c>
      <c r="F11" s="14">
        <v>0.6875</v>
      </c>
      <c r="G11" s="550">
        <v>7.0050249182056E14</v>
      </c>
      <c r="H11" s="550" t="s">
        <v>4061</v>
      </c>
      <c r="I11" s="551">
        <v>19492.0</v>
      </c>
      <c r="J11" s="550" t="s">
        <v>4062</v>
      </c>
      <c r="K11" s="18"/>
      <c r="L11" s="18" t="s">
        <v>41</v>
      </c>
      <c r="M11" s="37" t="s">
        <v>4063</v>
      </c>
      <c r="N11" s="45"/>
      <c r="O11" s="56"/>
      <c r="P11" s="57"/>
      <c r="Q11" s="56"/>
      <c r="R11" s="48"/>
    </row>
    <row r="12" ht="15.75" customHeight="1">
      <c r="A12" s="231"/>
    </row>
    <row r="13" ht="15.75" customHeight="1">
      <c r="A13" s="231"/>
    </row>
    <row r="14" ht="15.75" customHeight="1">
      <c r="A14" s="231"/>
    </row>
    <row r="15" ht="15.75" customHeight="1">
      <c r="A15" s="231"/>
    </row>
    <row r="16" ht="15.75" customHeight="1">
      <c r="A16" s="231"/>
    </row>
    <row r="17" ht="15.75" customHeight="1">
      <c r="A17" s="231"/>
    </row>
    <row r="18" ht="15.75" customHeight="1">
      <c r="A18" s="231"/>
    </row>
    <row r="19" ht="15.75" customHeight="1">
      <c r="A19" s="231"/>
    </row>
    <row r="20" ht="15.75" customHeight="1">
      <c r="A20" s="231"/>
    </row>
    <row r="21" ht="15.75" customHeight="1">
      <c r="A21" s="231"/>
    </row>
    <row r="22" ht="15.75" customHeight="1">
      <c r="A22" s="231"/>
    </row>
    <row r="23" ht="15.75" customHeight="1">
      <c r="A23" s="231"/>
    </row>
    <row r="24" ht="15.75" customHeight="1">
      <c r="A24" s="231"/>
    </row>
    <row r="25" ht="15.75" customHeight="1">
      <c r="A25" s="231"/>
    </row>
    <row r="26" ht="15.75" customHeight="1">
      <c r="A26" s="231"/>
    </row>
    <row r="27" ht="15.75" customHeight="1">
      <c r="A27" s="231"/>
    </row>
    <row r="28" ht="15.75" customHeight="1">
      <c r="A28" s="231"/>
    </row>
    <row r="29" ht="15.75" customHeight="1">
      <c r="A29" s="231"/>
    </row>
    <row r="30" ht="15.75" customHeight="1">
      <c r="A30" s="231"/>
    </row>
    <row r="31" ht="15.75" customHeight="1">
      <c r="A31" s="231"/>
    </row>
    <row r="32" ht="15.75" customHeight="1">
      <c r="A32" s="231"/>
    </row>
    <row r="33" ht="15.75" customHeight="1">
      <c r="A33" s="231"/>
    </row>
    <row r="34" ht="15.75" customHeight="1">
      <c r="A34" s="231"/>
    </row>
    <row r="35" ht="15.75" customHeight="1">
      <c r="A35" s="231"/>
    </row>
    <row r="36" ht="15.75" customHeight="1">
      <c r="A36" s="231"/>
    </row>
    <row r="37" ht="15.75" customHeight="1">
      <c r="A37" s="231"/>
    </row>
    <row r="38" ht="15.75" customHeight="1">
      <c r="A38" s="231"/>
    </row>
    <row r="39" ht="15.75" customHeight="1">
      <c r="A39" s="231"/>
    </row>
    <row r="40" ht="15.75" customHeight="1">
      <c r="A40" s="231"/>
    </row>
    <row r="41" ht="15.75" customHeight="1">
      <c r="A41" s="231"/>
    </row>
    <row r="42" ht="15.75" customHeight="1">
      <c r="A42" s="231"/>
    </row>
    <row r="43" ht="15.75" customHeight="1">
      <c r="A43" s="231"/>
    </row>
    <row r="44" ht="15.75" customHeight="1">
      <c r="A44" s="231"/>
    </row>
    <row r="45" ht="15.75" customHeight="1">
      <c r="A45" s="231"/>
    </row>
    <row r="46" ht="15.75" customHeight="1">
      <c r="A46" s="231"/>
    </row>
    <row r="47" ht="15.75" customHeight="1">
      <c r="A47" s="231"/>
    </row>
    <row r="48" ht="15.75" customHeight="1">
      <c r="A48" s="231"/>
    </row>
    <row r="49" ht="15.75" customHeight="1">
      <c r="A49" s="231"/>
    </row>
    <row r="50" ht="15.75" customHeight="1">
      <c r="A50" s="231"/>
    </row>
    <row r="51" ht="15.75" customHeight="1">
      <c r="A51" s="231"/>
    </row>
    <row r="52" ht="15.75" customHeight="1">
      <c r="A52" s="231"/>
    </row>
    <row r="53" ht="15.75" customHeight="1">
      <c r="A53" s="231"/>
    </row>
    <row r="54" ht="15.75" customHeight="1">
      <c r="A54" s="231"/>
    </row>
    <row r="55" ht="15.75" customHeight="1">
      <c r="A55" s="231"/>
    </row>
    <row r="56" ht="15.75" customHeight="1">
      <c r="A56" s="231"/>
    </row>
    <row r="57" ht="15.75" customHeight="1">
      <c r="A57" s="231"/>
    </row>
    <row r="58" ht="15.75" customHeight="1">
      <c r="A58" s="231"/>
    </row>
    <row r="59" ht="15.75" customHeight="1">
      <c r="A59" s="231"/>
    </row>
    <row r="60" ht="15.75" customHeight="1">
      <c r="A60" s="231"/>
    </row>
    <row r="61" ht="15.75" customHeight="1">
      <c r="A61" s="231"/>
    </row>
    <row r="62" ht="15.75" customHeight="1">
      <c r="A62" s="231"/>
    </row>
    <row r="63" ht="15.75" customHeight="1">
      <c r="A63" s="231"/>
    </row>
    <row r="64" ht="15.75" customHeight="1">
      <c r="A64" s="231"/>
    </row>
    <row r="65" ht="15.75" customHeight="1">
      <c r="A65" s="231"/>
    </row>
    <row r="66" ht="15.75" customHeight="1">
      <c r="A66" s="231"/>
    </row>
    <row r="67" ht="15.75" customHeight="1">
      <c r="A67" s="231"/>
    </row>
    <row r="68" ht="15.75" customHeight="1">
      <c r="A68" s="231"/>
    </row>
    <row r="69" ht="15.75" customHeight="1">
      <c r="A69" s="231"/>
    </row>
    <row r="70" ht="15.75" customHeight="1">
      <c r="A70" s="231"/>
    </row>
    <row r="71" ht="15.75" customHeight="1">
      <c r="A71" s="231"/>
    </row>
    <row r="72" ht="15.75" customHeight="1">
      <c r="A72" s="231"/>
    </row>
    <row r="73" ht="15.75" customHeight="1">
      <c r="A73" s="231"/>
    </row>
    <row r="74" ht="15.75" customHeight="1">
      <c r="A74" s="231"/>
    </row>
    <row r="75" ht="15.75" customHeight="1">
      <c r="A75" s="231"/>
    </row>
    <row r="76" ht="15.75" customHeight="1">
      <c r="A76" s="231"/>
    </row>
    <row r="77" ht="15.75" customHeight="1">
      <c r="A77" s="231"/>
    </row>
    <row r="78" ht="15.75" customHeight="1">
      <c r="A78" s="231"/>
    </row>
    <row r="79" ht="15.75" customHeight="1">
      <c r="A79" s="231"/>
    </row>
    <row r="80" ht="15.75" customHeight="1">
      <c r="A80" s="231"/>
    </row>
    <row r="81" ht="15.75" customHeight="1">
      <c r="A81" s="231"/>
    </row>
    <row r="82" ht="15.75" customHeight="1">
      <c r="A82" s="231"/>
    </row>
    <row r="83" ht="15.75" customHeight="1">
      <c r="A83" s="231"/>
    </row>
    <row r="84" ht="15.75" customHeight="1">
      <c r="A84" s="231"/>
    </row>
    <row r="85" ht="15.75" customHeight="1">
      <c r="A85" s="231"/>
    </row>
    <row r="86" ht="15.75" customHeight="1">
      <c r="A86" s="231"/>
    </row>
    <row r="87" ht="15.75" customHeight="1">
      <c r="A87" s="231"/>
    </row>
    <row r="88" ht="15.75" customHeight="1">
      <c r="A88" s="231"/>
    </row>
    <row r="89" ht="15.75" customHeight="1">
      <c r="A89" s="231"/>
    </row>
    <row r="90" ht="15.75" customHeight="1">
      <c r="A90" s="231"/>
    </row>
    <row r="91" ht="15.75" customHeight="1">
      <c r="A91" s="231"/>
    </row>
    <row r="92" ht="15.75" customHeight="1">
      <c r="A92" s="231"/>
    </row>
    <row r="93" ht="15.75" customHeight="1">
      <c r="A93" s="231"/>
    </row>
    <row r="94" ht="15.75" customHeight="1">
      <c r="A94" s="231"/>
    </row>
    <row r="95" ht="15.75" customHeight="1">
      <c r="A95" s="231"/>
    </row>
    <row r="96" ht="15.75" customHeight="1">
      <c r="A96" s="231"/>
    </row>
    <row r="97" ht="15.75" customHeight="1">
      <c r="A97" s="231"/>
    </row>
    <row r="98" ht="15.75" customHeight="1">
      <c r="A98" s="231"/>
    </row>
    <row r="99" ht="15.75" customHeight="1">
      <c r="A99" s="231"/>
    </row>
    <row r="100" ht="15.75" customHeight="1">
      <c r="A100" s="231"/>
    </row>
    <row r="101" ht="15.75" customHeight="1">
      <c r="A101" s="231"/>
    </row>
    <row r="102" ht="15.75" customHeight="1">
      <c r="A102" s="231"/>
    </row>
    <row r="103" ht="15.75" customHeight="1">
      <c r="A103" s="231"/>
    </row>
    <row r="104" ht="15.75" customHeight="1">
      <c r="A104" s="231"/>
    </row>
    <row r="105" ht="15.75" customHeight="1">
      <c r="A105" s="231"/>
    </row>
    <row r="106" ht="15.75" customHeight="1">
      <c r="A106" s="231"/>
    </row>
    <row r="107" ht="15.75" customHeight="1">
      <c r="A107" s="231"/>
    </row>
    <row r="108" ht="15.75" customHeight="1">
      <c r="A108" s="231"/>
    </row>
    <row r="109" ht="15.75" customHeight="1">
      <c r="A109" s="231"/>
    </row>
    <row r="110" ht="15.75" customHeight="1">
      <c r="A110" s="231"/>
    </row>
    <row r="111" ht="15.75" customHeight="1">
      <c r="A111" s="231"/>
    </row>
    <row r="112" ht="15.75" customHeight="1">
      <c r="A112" s="231"/>
    </row>
    <row r="113" ht="15.75" customHeight="1">
      <c r="A113" s="231"/>
    </row>
    <row r="114" ht="15.75" customHeight="1">
      <c r="A114" s="231"/>
    </row>
    <row r="115" ht="15.75" customHeight="1">
      <c r="A115" s="231"/>
    </row>
    <row r="116" ht="15.75" customHeight="1">
      <c r="A116" s="231"/>
    </row>
    <row r="117" ht="15.75" customHeight="1">
      <c r="A117" s="231"/>
    </row>
    <row r="118" ht="15.75" customHeight="1">
      <c r="A118" s="231"/>
    </row>
    <row r="119" ht="15.75" customHeight="1">
      <c r="A119" s="231"/>
    </row>
    <row r="120" ht="15.75" customHeight="1">
      <c r="A120" s="231"/>
    </row>
    <row r="121" ht="15.75" customHeight="1">
      <c r="A121" s="231"/>
    </row>
    <row r="122" ht="15.75" customHeight="1">
      <c r="A122" s="231"/>
    </row>
    <row r="123" ht="15.75" customHeight="1">
      <c r="A123" s="231"/>
    </row>
    <row r="124" ht="15.75" customHeight="1">
      <c r="A124" s="231"/>
    </row>
    <row r="125" ht="15.75" customHeight="1">
      <c r="A125" s="231"/>
    </row>
    <row r="126" ht="15.75" customHeight="1">
      <c r="A126" s="231"/>
    </row>
    <row r="127" ht="15.75" customHeight="1">
      <c r="A127" s="231"/>
    </row>
    <row r="128" ht="15.75" customHeight="1">
      <c r="A128" s="231"/>
    </row>
    <row r="129" ht="15.75" customHeight="1">
      <c r="A129" s="231"/>
    </row>
    <row r="130" ht="15.75" customHeight="1">
      <c r="A130" s="231"/>
    </row>
    <row r="131" ht="15.75" customHeight="1">
      <c r="A131" s="231"/>
    </row>
    <row r="132" ht="15.75" customHeight="1">
      <c r="A132" s="231"/>
    </row>
    <row r="133" ht="15.75" customHeight="1">
      <c r="A133" s="231"/>
    </row>
    <row r="134" ht="15.75" customHeight="1">
      <c r="A134" s="231"/>
    </row>
    <row r="135" ht="15.75" customHeight="1">
      <c r="A135" s="231"/>
    </row>
    <row r="136" ht="15.75" customHeight="1">
      <c r="A136" s="231"/>
    </row>
    <row r="137" ht="15.75" customHeight="1">
      <c r="A137" s="231"/>
    </row>
    <row r="138" ht="15.75" customHeight="1">
      <c r="A138" s="231"/>
    </row>
    <row r="139" ht="15.75" customHeight="1">
      <c r="A139" s="231"/>
    </row>
    <row r="140" ht="15.75" customHeight="1">
      <c r="A140" s="231"/>
    </row>
    <row r="141" ht="15.75" customHeight="1">
      <c r="A141" s="231"/>
    </row>
    <row r="142" ht="15.75" customHeight="1">
      <c r="A142" s="231"/>
    </row>
    <row r="143" ht="15.75" customHeight="1">
      <c r="A143" s="231"/>
    </row>
    <row r="144" ht="15.75" customHeight="1">
      <c r="A144" s="231"/>
    </row>
    <row r="145" ht="15.75" customHeight="1">
      <c r="A145" s="231"/>
    </row>
    <row r="146" ht="15.75" customHeight="1">
      <c r="A146" s="231"/>
    </row>
    <row r="147" ht="15.75" customHeight="1">
      <c r="A147" s="231"/>
    </row>
    <row r="148" ht="15.75" customHeight="1">
      <c r="A148" s="231"/>
    </row>
    <row r="149" ht="15.75" customHeight="1">
      <c r="A149" s="231"/>
    </row>
    <row r="150" ht="15.75" customHeight="1">
      <c r="A150" s="231"/>
    </row>
    <row r="151" ht="15.75" customHeight="1">
      <c r="A151" s="231"/>
    </row>
    <row r="152" ht="15.75" customHeight="1">
      <c r="A152" s="231"/>
    </row>
    <row r="153" ht="15.75" customHeight="1">
      <c r="A153" s="231"/>
    </row>
    <row r="154" ht="15.75" customHeight="1">
      <c r="A154" s="231"/>
    </row>
    <row r="155" ht="15.75" customHeight="1">
      <c r="A155" s="231"/>
    </row>
    <row r="156" ht="15.75" customHeight="1">
      <c r="A156" s="231"/>
    </row>
    <row r="157" ht="15.75" customHeight="1">
      <c r="A157" s="231"/>
    </row>
    <row r="158" ht="15.75" customHeight="1">
      <c r="A158" s="231"/>
    </row>
    <row r="159" ht="15.75" customHeight="1">
      <c r="A159" s="231"/>
    </row>
    <row r="160" ht="15.75" customHeight="1">
      <c r="A160" s="231"/>
    </row>
    <row r="161" ht="15.75" customHeight="1">
      <c r="A161" s="231"/>
    </row>
    <row r="162" ht="15.75" customHeight="1">
      <c r="A162" s="231"/>
    </row>
    <row r="163" ht="15.75" customHeight="1">
      <c r="A163" s="231"/>
    </row>
    <row r="164" ht="15.75" customHeight="1">
      <c r="A164" s="231"/>
    </row>
    <row r="165" ht="15.75" customHeight="1">
      <c r="A165" s="231"/>
    </row>
    <row r="166" ht="15.75" customHeight="1">
      <c r="A166" s="231"/>
    </row>
    <row r="167" ht="15.75" customHeight="1">
      <c r="A167" s="231"/>
    </row>
    <row r="168" ht="15.75" customHeight="1">
      <c r="A168" s="231"/>
    </row>
    <row r="169" ht="15.75" customHeight="1">
      <c r="A169" s="231"/>
    </row>
    <row r="170" ht="15.75" customHeight="1">
      <c r="A170" s="231"/>
    </row>
    <row r="171" ht="15.75" customHeight="1">
      <c r="A171" s="231"/>
    </row>
    <row r="172" ht="15.75" customHeight="1">
      <c r="A172" s="231"/>
    </row>
    <row r="173" ht="15.75" customHeight="1">
      <c r="A173" s="231"/>
    </row>
    <row r="174" ht="15.75" customHeight="1">
      <c r="A174" s="231"/>
    </row>
    <row r="175" ht="15.75" customHeight="1">
      <c r="A175" s="231"/>
    </row>
    <row r="176" ht="15.75" customHeight="1">
      <c r="A176" s="231"/>
    </row>
    <row r="177" ht="15.75" customHeight="1">
      <c r="A177" s="231"/>
    </row>
    <row r="178" ht="15.75" customHeight="1">
      <c r="A178" s="231"/>
    </row>
    <row r="179" ht="15.75" customHeight="1">
      <c r="A179" s="231"/>
    </row>
    <row r="180" ht="15.75" customHeight="1">
      <c r="A180" s="231"/>
    </row>
    <row r="181" ht="15.75" customHeight="1">
      <c r="A181" s="231"/>
    </row>
    <row r="182" ht="15.75" customHeight="1">
      <c r="A182" s="231"/>
    </row>
    <row r="183" ht="15.75" customHeight="1">
      <c r="A183" s="231"/>
    </row>
    <row r="184" ht="15.75" customHeight="1">
      <c r="A184" s="231"/>
    </row>
    <row r="185" ht="15.75" customHeight="1">
      <c r="A185" s="231"/>
    </row>
    <row r="186" ht="15.75" customHeight="1">
      <c r="A186" s="231"/>
    </row>
    <row r="187" ht="15.75" customHeight="1">
      <c r="A187" s="231"/>
    </row>
    <row r="188" ht="15.75" customHeight="1">
      <c r="A188" s="231"/>
    </row>
    <row r="189" ht="15.75" customHeight="1">
      <c r="A189" s="231"/>
    </row>
    <row r="190" ht="15.75" customHeight="1">
      <c r="A190" s="231"/>
    </row>
    <row r="191" ht="15.75" customHeight="1">
      <c r="A191" s="231"/>
    </row>
    <row r="192" ht="15.75" customHeight="1">
      <c r="A192" s="231"/>
    </row>
    <row r="193" ht="15.75" customHeight="1">
      <c r="A193" s="231"/>
    </row>
    <row r="194" ht="15.75" customHeight="1">
      <c r="A194" s="231"/>
    </row>
    <row r="195" ht="15.75" customHeight="1">
      <c r="A195" s="231"/>
    </row>
    <row r="196" ht="15.75" customHeight="1">
      <c r="A196" s="231"/>
    </row>
    <row r="197" ht="15.75" customHeight="1">
      <c r="A197" s="231"/>
    </row>
    <row r="198" ht="15.75" customHeight="1">
      <c r="A198" s="231"/>
    </row>
    <row r="199" ht="15.75" customHeight="1">
      <c r="A199" s="231"/>
    </row>
    <row r="200" ht="15.75" customHeight="1">
      <c r="A200" s="231"/>
    </row>
    <row r="201" ht="15.75" customHeight="1">
      <c r="A201" s="231"/>
    </row>
    <row r="202" ht="15.75" customHeight="1">
      <c r="A202" s="231"/>
    </row>
    <row r="203" ht="15.75" customHeight="1">
      <c r="A203" s="231"/>
    </row>
    <row r="204" ht="15.75" customHeight="1">
      <c r="A204" s="231"/>
    </row>
    <row r="205" ht="15.75" customHeight="1">
      <c r="A205" s="231"/>
    </row>
    <row r="206" ht="15.75" customHeight="1">
      <c r="A206" s="231"/>
    </row>
    <row r="207" ht="15.75" customHeight="1">
      <c r="A207" s="231"/>
    </row>
    <row r="208" ht="15.75" customHeight="1">
      <c r="A208" s="231"/>
    </row>
    <row r="209" ht="15.75" customHeight="1">
      <c r="A209" s="231"/>
    </row>
    <row r="210" ht="15.75" customHeight="1">
      <c r="A210" s="231"/>
    </row>
    <row r="211" ht="15.75" customHeight="1">
      <c r="A211" s="231"/>
    </row>
    <row r="212" ht="15.75" customHeight="1">
      <c r="A212" s="231"/>
    </row>
    <row r="213" ht="15.75" customHeight="1">
      <c r="A213" s="231"/>
    </row>
    <row r="214" ht="15.75" customHeight="1">
      <c r="A214" s="231"/>
    </row>
    <row r="215" ht="15.75" customHeight="1">
      <c r="A215" s="231"/>
    </row>
    <row r="216" ht="15.75" customHeight="1">
      <c r="A216" s="231"/>
    </row>
    <row r="217" ht="15.75" customHeight="1">
      <c r="A217" s="231"/>
    </row>
    <row r="218" ht="15.75" customHeight="1">
      <c r="A218" s="231"/>
    </row>
    <row r="219" ht="15.75" customHeight="1">
      <c r="A219" s="231"/>
    </row>
    <row r="220" ht="15.75" customHeight="1">
      <c r="A220" s="2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R1"/>
    <mergeCell ref="A2:R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L4:L11">
      <formula1>"Atendido,Não atendindo"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Marin,Alice Peixoto da Silva Lobo"</formula1>
    </dataValidation>
    <dataValidation type="list" allowBlank="1" showErrorMessage="1" sqref="C4:C11">
      <formula1>"Segunda,Terça,Quarta,Quinta,Sexta,Sábado"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.38"/>
    <col customWidth="1" min="2" max="2" width="12.63"/>
    <col customWidth="1" min="3" max="3" width="8.5"/>
    <col customWidth="1" min="4" max="4" width="24.5"/>
    <col customWidth="1" min="5" max="5" width="24.88"/>
    <col customWidth="1" min="6" max="6" width="12.63"/>
    <col customWidth="1" min="7" max="7" width="13.75"/>
    <col customWidth="1" min="8" max="8" width="25.25"/>
    <col customWidth="1" min="10" max="10" width="72.88"/>
    <col customWidth="1" min="12" max="12" width="15.25"/>
  </cols>
  <sheetData>
    <row r="1" ht="36.0" customHeight="1">
      <c r="A1" s="1" t="s">
        <v>4064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31.5" customHeight="1">
      <c r="A2" s="32" t="s">
        <v>4065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 ht="15.75" customHeight="1">
      <c r="A3" s="5" t="s">
        <v>1</v>
      </c>
      <c r="B3" s="3"/>
      <c r="C3" s="6" t="s">
        <v>2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I3" s="9" t="s">
        <v>8</v>
      </c>
      <c r="J3" s="6" t="s">
        <v>9</v>
      </c>
      <c r="K3" s="10" t="s">
        <v>1</v>
      </c>
      <c r="L3" s="10" t="s">
        <v>20</v>
      </c>
      <c r="M3" s="8" t="s">
        <v>25</v>
      </c>
      <c r="N3" s="8" t="s">
        <v>26</v>
      </c>
      <c r="O3" s="8" t="s">
        <v>27</v>
      </c>
      <c r="P3" s="9" t="s">
        <v>28</v>
      </c>
      <c r="Q3" s="6" t="s">
        <v>29</v>
      </c>
      <c r="R3" s="9" t="s">
        <v>30</v>
      </c>
    </row>
    <row r="4" ht="15.75" customHeight="1">
      <c r="A4" s="11" t="s">
        <v>10</v>
      </c>
      <c r="B4" s="12">
        <v>45926.0</v>
      </c>
      <c r="C4" s="13" t="s">
        <v>31</v>
      </c>
      <c r="D4" s="33" t="s">
        <v>69</v>
      </c>
      <c r="E4" s="13" t="s">
        <v>4066</v>
      </c>
      <c r="F4" s="14">
        <v>0.3333333333333333</v>
      </c>
      <c r="G4" s="15">
        <v>8.0144044824629E14</v>
      </c>
      <c r="H4" s="16" t="s">
        <v>4067</v>
      </c>
      <c r="I4" s="17">
        <v>27405.0</v>
      </c>
      <c r="J4" s="16" t="s">
        <v>4068</v>
      </c>
      <c r="K4" s="18"/>
      <c r="L4" s="18"/>
      <c r="M4" s="37" t="s">
        <v>4069</v>
      </c>
      <c r="N4" s="38"/>
      <c r="O4" s="41"/>
      <c r="P4" s="40"/>
      <c r="Q4" s="41"/>
      <c r="R4" s="42"/>
    </row>
    <row r="5" ht="15.75" customHeight="1">
      <c r="A5" s="11" t="s">
        <v>11</v>
      </c>
      <c r="B5" s="12">
        <v>45926.0</v>
      </c>
      <c r="C5" s="13" t="s">
        <v>31</v>
      </c>
      <c r="D5" s="33" t="s">
        <v>69</v>
      </c>
      <c r="E5" s="13" t="s">
        <v>4066</v>
      </c>
      <c r="F5" s="14">
        <v>0.3541666666666667</v>
      </c>
      <c r="G5" s="15">
        <v>2.1014697982E14</v>
      </c>
      <c r="H5" s="16" t="s">
        <v>4070</v>
      </c>
      <c r="I5" s="17">
        <v>19106.0</v>
      </c>
      <c r="J5" s="16" t="s">
        <v>4071</v>
      </c>
      <c r="K5" s="18"/>
      <c r="L5" s="18"/>
      <c r="M5" s="37" t="s">
        <v>4072</v>
      </c>
      <c r="N5" s="45"/>
      <c r="O5" s="46"/>
      <c r="P5" s="47"/>
      <c r="Q5" s="46"/>
      <c r="R5" s="48"/>
    </row>
    <row r="6" ht="15.75" customHeight="1">
      <c r="A6" s="11" t="s">
        <v>12</v>
      </c>
      <c r="B6" s="12">
        <v>45926.0</v>
      </c>
      <c r="C6" s="13" t="s">
        <v>31</v>
      </c>
      <c r="D6" s="33" t="s">
        <v>69</v>
      </c>
      <c r="E6" s="13" t="s">
        <v>4066</v>
      </c>
      <c r="F6" s="14">
        <v>0.375</v>
      </c>
      <c r="G6" s="553">
        <v>1.23870905100008E14</v>
      </c>
      <c r="H6" s="553" t="s">
        <v>4073</v>
      </c>
      <c r="I6" s="554">
        <v>23800.0</v>
      </c>
      <c r="J6" s="553" t="s">
        <v>4074</v>
      </c>
      <c r="K6" s="29"/>
      <c r="L6" s="29"/>
      <c r="M6" s="555" t="s">
        <v>4075</v>
      </c>
      <c r="N6" s="49"/>
      <c r="O6" s="50"/>
      <c r="P6" s="51"/>
      <c r="Q6" s="50"/>
      <c r="R6" s="52"/>
    </row>
    <row r="7" ht="15.75" customHeight="1">
      <c r="A7" s="11" t="s">
        <v>13</v>
      </c>
      <c r="B7" s="12">
        <v>45926.0</v>
      </c>
      <c r="C7" s="13" t="s">
        <v>31</v>
      </c>
      <c r="D7" s="33" t="s">
        <v>69</v>
      </c>
      <c r="E7" s="13" t="s">
        <v>4066</v>
      </c>
      <c r="F7" s="14">
        <v>0.3958333333333333</v>
      </c>
      <c r="G7" s="15">
        <v>2.10146429320005E14</v>
      </c>
      <c r="H7" s="16" t="s">
        <v>4076</v>
      </c>
      <c r="I7" s="17">
        <v>19810.0</v>
      </c>
      <c r="J7" s="19" t="s">
        <v>4077</v>
      </c>
      <c r="K7" s="18"/>
      <c r="L7" s="18"/>
      <c r="M7" s="37" t="s">
        <v>4078</v>
      </c>
      <c r="N7" s="45"/>
      <c r="O7" s="56"/>
      <c r="P7" s="57"/>
      <c r="Q7" s="56"/>
      <c r="R7" s="48"/>
    </row>
    <row r="8" ht="15.75" customHeight="1">
      <c r="A8" s="11" t="s">
        <v>14</v>
      </c>
      <c r="B8" s="12">
        <v>45926.0</v>
      </c>
      <c r="C8" s="13" t="s">
        <v>31</v>
      </c>
      <c r="D8" s="33" t="s">
        <v>69</v>
      </c>
      <c r="E8" s="13" t="s">
        <v>4066</v>
      </c>
      <c r="F8" s="14">
        <v>0.4166666666666667</v>
      </c>
      <c r="G8" s="15">
        <v>8.01440408653294E14</v>
      </c>
      <c r="H8" s="19" t="s">
        <v>4079</v>
      </c>
      <c r="I8" s="17">
        <v>13525.0</v>
      </c>
      <c r="J8" s="16" t="s">
        <v>4080</v>
      </c>
      <c r="K8" s="18"/>
      <c r="L8" s="18"/>
      <c r="M8" s="37" t="s">
        <v>4081</v>
      </c>
      <c r="N8" s="58"/>
      <c r="O8" s="59"/>
      <c r="P8" s="51"/>
      <c r="Q8" s="59"/>
      <c r="R8" s="60"/>
    </row>
    <row r="9" ht="15.75" customHeight="1">
      <c r="A9" s="11" t="s">
        <v>15</v>
      </c>
      <c r="B9" s="12">
        <v>45926.0</v>
      </c>
      <c r="C9" s="13" t="s">
        <v>31</v>
      </c>
      <c r="D9" s="33" t="s">
        <v>69</v>
      </c>
      <c r="E9" s="13" t="s">
        <v>4066</v>
      </c>
      <c r="F9" s="14">
        <v>0.4375</v>
      </c>
      <c r="G9" s="15">
        <v>7.08407291368665E14</v>
      </c>
      <c r="H9" s="16" t="s">
        <v>4082</v>
      </c>
      <c r="I9" s="17">
        <v>18500.0</v>
      </c>
      <c r="J9" s="16" t="s">
        <v>4083</v>
      </c>
      <c r="K9" s="18"/>
      <c r="L9" s="18"/>
      <c r="M9" s="37" t="s">
        <v>4084</v>
      </c>
      <c r="N9" s="45"/>
      <c r="O9" s="56"/>
      <c r="P9" s="57"/>
      <c r="Q9" s="56"/>
      <c r="R9" s="48"/>
    </row>
    <row r="10" ht="15.75" customHeight="1">
      <c r="A10" s="11" t="s">
        <v>16</v>
      </c>
      <c r="B10" s="12">
        <v>45926.0</v>
      </c>
      <c r="C10" s="13" t="s">
        <v>31</v>
      </c>
      <c r="D10" s="33" t="s">
        <v>69</v>
      </c>
      <c r="E10" s="13" t="s">
        <v>4066</v>
      </c>
      <c r="F10" s="14">
        <v>0.4583333333333333</v>
      </c>
      <c r="G10" s="15">
        <v>7.07807679830619E14</v>
      </c>
      <c r="H10" s="16" t="s">
        <v>4085</v>
      </c>
      <c r="I10" s="17">
        <v>16510.0</v>
      </c>
      <c r="J10" s="16" t="s">
        <v>4083</v>
      </c>
      <c r="K10" s="18"/>
      <c r="L10" s="18"/>
      <c r="M10" s="37" t="s">
        <v>4084</v>
      </c>
      <c r="N10" s="58"/>
      <c r="O10" s="59"/>
      <c r="P10" s="51"/>
      <c r="Q10" s="59"/>
      <c r="R10" s="60"/>
    </row>
    <row r="11" ht="15.75" customHeight="1">
      <c r="A11" s="11" t="s">
        <v>17</v>
      </c>
      <c r="B11" s="12">
        <v>45926.0</v>
      </c>
      <c r="C11" s="13" t="s">
        <v>31</v>
      </c>
      <c r="D11" s="33" t="s">
        <v>69</v>
      </c>
      <c r="E11" s="13" t="s">
        <v>4066</v>
      </c>
      <c r="F11" s="14">
        <v>0.4791666666666667</v>
      </c>
      <c r="G11" s="15">
        <v>8.01440411842418E14</v>
      </c>
      <c r="H11" s="16" t="s">
        <v>4086</v>
      </c>
      <c r="I11" s="17">
        <v>26022.0</v>
      </c>
      <c r="J11" s="16" t="s">
        <v>4087</v>
      </c>
      <c r="K11" s="18"/>
      <c r="L11" s="18"/>
      <c r="M11" s="37" t="s">
        <v>4088</v>
      </c>
      <c r="N11" s="45"/>
      <c r="O11" s="56"/>
      <c r="P11" s="57"/>
      <c r="Q11" s="56"/>
      <c r="R11" s="48"/>
    </row>
    <row r="12" ht="15.75" customHeight="1">
      <c r="A12" s="231"/>
      <c r="D12" s="62"/>
    </row>
    <row r="13" ht="15.75" customHeight="1">
      <c r="A13" s="231"/>
      <c r="D13" s="62"/>
    </row>
    <row r="14" ht="15.75" customHeight="1">
      <c r="A14" s="231"/>
      <c r="D14" s="62"/>
    </row>
    <row r="15" ht="15.75" customHeight="1">
      <c r="A15" s="231"/>
      <c r="D15" s="62"/>
    </row>
    <row r="16" ht="15.75" customHeight="1">
      <c r="A16" s="231"/>
      <c r="D16" s="62"/>
    </row>
    <row r="17" ht="15.75" customHeight="1">
      <c r="A17" s="231"/>
      <c r="D17" s="62"/>
    </row>
    <row r="18" ht="15.75" customHeight="1">
      <c r="A18" s="231"/>
      <c r="D18" s="62"/>
    </row>
    <row r="19" ht="15.75" customHeight="1">
      <c r="A19" s="231"/>
      <c r="D19" s="62"/>
    </row>
    <row r="20" ht="15.75" customHeight="1">
      <c r="A20" s="231"/>
      <c r="D20" s="62"/>
    </row>
    <row r="21" ht="15.75" customHeight="1">
      <c r="A21" s="231"/>
      <c r="D21" s="62"/>
    </row>
    <row r="22" ht="15.75" customHeight="1">
      <c r="A22" s="231"/>
      <c r="D22" s="62"/>
    </row>
    <row r="23" ht="15.75" customHeight="1">
      <c r="A23" s="231"/>
      <c r="D23" s="62"/>
    </row>
    <row r="24" ht="15.75" customHeight="1">
      <c r="A24" s="231"/>
      <c r="D24" s="62"/>
    </row>
    <row r="25" ht="15.75" customHeight="1">
      <c r="A25" s="231"/>
      <c r="D25" s="62"/>
    </row>
    <row r="26" ht="15.75" customHeight="1">
      <c r="A26" s="231"/>
      <c r="D26" s="62"/>
    </row>
    <row r="27" ht="15.75" customHeight="1">
      <c r="A27" s="231"/>
      <c r="D27" s="62"/>
    </row>
    <row r="28" ht="15.75" customHeight="1">
      <c r="A28" s="231"/>
      <c r="D28" s="62"/>
    </row>
    <row r="29" ht="15.75" customHeight="1">
      <c r="A29" s="231"/>
      <c r="D29" s="62"/>
    </row>
    <row r="30" ht="15.75" customHeight="1">
      <c r="A30" s="231"/>
      <c r="D30" s="62"/>
    </row>
    <row r="31" ht="15.75" customHeight="1">
      <c r="A31" s="231"/>
      <c r="D31" s="62"/>
    </row>
    <row r="32" ht="15.75" customHeight="1">
      <c r="A32" s="231"/>
      <c r="D32" s="62"/>
    </row>
    <row r="33" ht="15.75" customHeight="1">
      <c r="A33" s="231"/>
      <c r="D33" s="62"/>
    </row>
    <row r="34" ht="15.75" customHeight="1">
      <c r="A34" s="231"/>
      <c r="D34" s="62"/>
    </row>
    <row r="35" ht="15.75" customHeight="1">
      <c r="A35" s="231"/>
      <c r="D35" s="62"/>
    </row>
    <row r="36" ht="15.75" customHeight="1">
      <c r="A36" s="231"/>
      <c r="D36" s="62"/>
    </row>
    <row r="37" ht="15.75" customHeight="1">
      <c r="A37" s="231"/>
      <c r="D37" s="62"/>
    </row>
    <row r="38" ht="15.75" customHeight="1">
      <c r="A38" s="231"/>
      <c r="D38" s="62"/>
    </row>
    <row r="39" ht="15.75" customHeight="1">
      <c r="A39" s="231"/>
      <c r="D39" s="62"/>
    </row>
    <row r="40" ht="15.75" customHeight="1">
      <c r="A40" s="231"/>
      <c r="D40" s="62"/>
    </row>
    <row r="41" ht="15.75" customHeight="1">
      <c r="A41" s="231"/>
      <c r="D41" s="62"/>
    </row>
    <row r="42" ht="15.75" customHeight="1">
      <c r="A42" s="231"/>
      <c r="D42" s="62"/>
    </row>
    <row r="43" ht="15.75" customHeight="1">
      <c r="A43" s="231"/>
      <c r="D43" s="62"/>
    </row>
    <row r="44" ht="15.75" customHeight="1">
      <c r="A44" s="231"/>
      <c r="D44" s="62"/>
    </row>
    <row r="45" ht="15.75" customHeight="1">
      <c r="A45" s="231"/>
      <c r="D45" s="62"/>
    </row>
    <row r="46" ht="15.75" customHeight="1">
      <c r="A46" s="231"/>
      <c r="D46" s="62"/>
    </row>
    <row r="47" ht="15.75" customHeight="1">
      <c r="A47" s="231"/>
      <c r="D47" s="62"/>
    </row>
    <row r="48" ht="15.75" customHeight="1">
      <c r="A48" s="231"/>
      <c r="D48" s="62"/>
    </row>
    <row r="49" ht="15.75" customHeight="1">
      <c r="A49" s="231"/>
      <c r="D49" s="62"/>
    </row>
    <row r="50" ht="15.75" customHeight="1">
      <c r="A50" s="231"/>
      <c r="D50" s="62"/>
    </row>
    <row r="51" ht="15.75" customHeight="1">
      <c r="A51" s="231"/>
      <c r="D51" s="62"/>
    </row>
    <row r="52" ht="15.75" customHeight="1">
      <c r="A52" s="231"/>
      <c r="D52" s="62"/>
    </row>
    <row r="53" ht="15.75" customHeight="1">
      <c r="A53" s="231"/>
      <c r="D53" s="62"/>
    </row>
    <row r="54" ht="15.75" customHeight="1">
      <c r="A54" s="231"/>
      <c r="D54" s="62"/>
    </row>
    <row r="55" ht="15.75" customHeight="1">
      <c r="A55" s="231"/>
      <c r="D55" s="62"/>
    </row>
    <row r="56" ht="15.75" customHeight="1">
      <c r="A56" s="231"/>
      <c r="D56" s="62"/>
    </row>
    <row r="57" ht="15.75" customHeight="1">
      <c r="A57" s="231"/>
      <c r="D57" s="62"/>
    </row>
    <row r="58" ht="15.75" customHeight="1">
      <c r="A58" s="231"/>
      <c r="D58" s="62"/>
    </row>
    <row r="59" ht="15.75" customHeight="1">
      <c r="A59" s="231"/>
      <c r="D59" s="62"/>
    </row>
    <row r="60" ht="15.75" customHeight="1">
      <c r="A60" s="231"/>
      <c r="D60" s="62"/>
    </row>
    <row r="61" ht="15.75" customHeight="1">
      <c r="A61" s="231"/>
      <c r="D61" s="62"/>
    </row>
    <row r="62" ht="15.75" customHeight="1">
      <c r="A62" s="231"/>
      <c r="D62" s="62"/>
    </row>
    <row r="63" ht="15.75" customHeight="1">
      <c r="A63" s="231"/>
      <c r="D63" s="62"/>
    </row>
    <row r="64" ht="15.75" customHeight="1">
      <c r="A64" s="231"/>
      <c r="D64" s="62"/>
    </row>
    <row r="65" ht="15.75" customHeight="1">
      <c r="A65" s="231"/>
      <c r="D65" s="62"/>
    </row>
    <row r="66" ht="15.75" customHeight="1">
      <c r="A66" s="231"/>
      <c r="D66" s="62"/>
    </row>
    <row r="67" ht="15.75" customHeight="1">
      <c r="A67" s="231"/>
      <c r="D67" s="62"/>
    </row>
    <row r="68" ht="15.75" customHeight="1">
      <c r="A68" s="231"/>
      <c r="D68" s="62"/>
    </row>
    <row r="69" ht="15.75" customHeight="1">
      <c r="A69" s="231"/>
      <c r="D69" s="62"/>
    </row>
    <row r="70" ht="15.75" customHeight="1">
      <c r="A70" s="231"/>
      <c r="D70" s="62"/>
    </row>
    <row r="71" ht="15.75" customHeight="1">
      <c r="A71" s="231"/>
      <c r="D71" s="62"/>
    </row>
    <row r="72" ht="15.75" customHeight="1">
      <c r="A72" s="231"/>
      <c r="D72" s="62"/>
    </row>
    <row r="73" ht="15.75" customHeight="1">
      <c r="A73" s="231"/>
      <c r="D73" s="62"/>
    </row>
    <row r="74" ht="15.75" customHeight="1">
      <c r="A74" s="231"/>
      <c r="D74" s="62"/>
    </row>
    <row r="75" ht="15.75" customHeight="1">
      <c r="A75" s="231"/>
      <c r="D75" s="62"/>
    </row>
    <row r="76" ht="15.75" customHeight="1">
      <c r="A76" s="231"/>
      <c r="D76" s="62"/>
    </row>
    <row r="77" ht="15.75" customHeight="1">
      <c r="A77" s="231"/>
      <c r="D77" s="62"/>
    </row>
    <row r="78" ht="15.75" customHeight="1">
      <c r="A78" s="231"/>
      <c r="D78" s="62"/>
    </row>
    <row r="79" ht="15.75" customHeight="1">
      <c r="A79" s="231"/>
      <c r="D79" s="62"/>
    </row>
    <row r="80" ht="15.75" customHeight="1">
      <c r="A80" s="231"/>
      <c r="D80" s="62"/>
    </row>
    <row r="81" ht="15.75" customHeight="1">
      <c r="A81" s="231"/>
      <c r="D81" s="62"/>
    </row>
    <row r="82" ht="15.75" customHeight="1">
      <c r="A82" s="231"/>
      <c r="D82" s="62"/>
    </row>
    <row r="83" ht="15.75" customHeight="1">
      <c r="A83" s="231"/>
      <c r="D83" s="62"/>
    </row>
    <row r="84" ht="15.75" customHeight="1">
      <c r="A84" s="231"/>
      <c r="D84" s="62"/>
    </row>
    <row r="85" ht="15.75" customHeight="1">
      <c r="A85" s="231"/>
      <c r="D85" s="62"/>
    </row>
    <row r="86" ht="15.75" customHeight="1">
      <c r="A86" s="231"/>
      <c r="D86" s="62"/>
    </row>
    <row r="87" ht="15.75" customHeight="1">
      <c r="A87" s="231"/>
      <c r="D87" s="62"/>
    </row>
    <row r="88" ht="15.75" customHeight="1">
      <c r="A88" s="231"/>
      <c r="D88" s="62"/>
    </row>
    <row r="89" ht="15.75" customHeight="1">
      <c r="A89" s="231"/>
      <c r="D89" s="62"/>
    </row>
    <row r="90" ht="15.75" customHeight="1">
      <c r="A90" s="231"/>
      <c r="D90" s="62"/>
    </row>
    <row r="91" ht="15.75" customHeight="1">
      <c r="A91" s="231"/>
      <c r="D91" s="62"/>
    </row>
    <row r="92" ht="15.75" customHeight="1">
      <c r="A92" s="231"/>
      <c r="D92" s="62"/>
    </row>
    <row r="93" ht="15.75" customHeight="1">
      <c r="A93" s="231"/>
      <c r="D93" s="62"/>
    </row>
    <row r="94" ht="15.75" customHeight="1">
      <c r="A94" s="231"/>
      <c r="D94" s="62"/>
    </row>
    <row r="95" ht="15.75" customHeight="1">
      <c r="A95" s="231"/>
      <c r="D95" s="62"/>
    </row>
    <row r="96" ht="15.75" customHeight="1">
      <c r="A96" s="231"/>
      <c r="D96" s="62"/>
    </row>
    <row r="97" ht="15.75" customHeight="1">
      <c r="A97" s="231"/>
      <c r="D97" s="62"/>
    </row>
    <row r="98" ht="15.75" customHeight="1">
      <c r="A98" s="231"/>
      <c r="D98" s="62"/>
    </row>
    <row r="99" ht="15.75" customHeight="1">
      <c r="A99" s="231"/>
      <c r="D99" s="62"/>
    </row>
    <row r="100" ht="15.75" customHeight="1">
      <c r="A100" s="231"/>
      <c r="D100" s="62"/>
    </row>
    <row r="101" ht="15.75" customHeight="1">
      <c r="A101" s="231"/>
      <c r="D101" s="62"/>
    </row>
    <row r="102" ht="15.75" customHeight="1">
      <c r="A102" s="231"/>
      <c r="D102" s="62"/>
    </row>
    <row r="103" ht="15.75" customHeight="1">
      <c r="A103" s="231"/>
      <c r="D103" s="62"/>
    </row>
    <row r="104" ht="15.75" customHeight="1">
      <c r="A104" s="231"/>
      <c r="D104" s="62"/>
    </row>
    <row r="105" ht="15.75" customHeight="1">
      <c r="A105" s="231"/>
      <c r="D105" s="62"/>
    </row>
    <row r="106" ht="15.75" customHeight="1">
      <c r="A106" s="231"/>
      <c r="D106" s="62"/>
    </row>
    <row r="107" ht="15.75" customHeight="1">
      <c r="A107" s="231"/>
      <c r="D107" s="62"/>
    </row>
    <row r="108" ht="15.75" customHeight="1">
      <c r="A108" s="231"/>
      <c r="D108" s="62"/>
    </row>
    <row r="109" ht="15.75" customHeight="1">
      <c r="A109" s="231"/>
      <c r="D109" s="62"/>
    </row>
    <row r="110" ht="15.75" customHeight="1">
      <c r="A110" s="231"/>
      <c r="D110" s="62"/>
    </row>
    <row r="111" ht="15.75" customHeight="1">
      <c r="A111" s="231"/>
      <c r="D111" s="62"/>
    </row>
    <row r="112" ht="15.75" customHeight="1">
      <c r="A112" s="231"/>
      <c r="D112" s="62"/>
    </row>
    <row r="113" ht="15.75" customHeight="1">
      <c r="A113" s="231"/>
      <c r="D113" s="62"/>
    </row>
    <row r="114" ht="15.75" customHeight="1">
      <c r="A114" s="231"/>
      <c r="D114" s="62"/>
    </row>
    <row r="115" ht="15.75" customHeight="1">
      <c r="A115" s="231"/>
      <c r="D115" s="62"/>
    </row>
    <row r="116" ht="15.75" customHeight="1">
      <c r="A116" s="231"/>
      <c r="D116" s="62"/>
    </row>
    <row r="117" ht="15.75" customHeight="1">
      <c r="A117" s="231"/>
      <c r="D117" s="62"/>
    </row>
    <row r="118" ht="15.75" customHeight="1">
      <c r="A118" s="231"/>
      <c r="D118" s="62"/>
    </row>
    <row r="119" ht="15.75" customHeight="1">
      <c r="A119" s="231"/>
      <c r="D119" s="62"/>
    </row>
    <row r="120" ht="15.75" customHeight="1">
      <c r="A120" s="231"/>
      <c r="D120" s="62"/>
    </row>
    <row r="121" ht="15.75" customHeight="1">
      <c r="A121" s="231"/>
      <c r="D121" s="62"/>
    </row>
    <row r="122" ht="15.75" customHeight="1">
      <c r="A122" s="231"/>
      <c r="D122" s="62"/>
    </row>
    <row r="123" ht="15.75" customHeight="1">
      <c r="A123" s="231"/>
      <c r="D123" s="62"/>
    </row>
    <row r="124" ht="15.75" customHeight="1">
      <c r="A124" s="231"/>
      <c r="D124" s="62"/>
    </row>
    <row r="125" ht="15.75" customHeight="1">
      <c r="A125" s="231"/>
      <c r="D125" s="62"/>
    </row>
    <row r="126" ht="15.75" customHeight="1">
      <c r="A126" s="231"/>
      <c r="D126" s="62"/>
    </row>
    <row r="127" ht="15.75" customHeight="1">
      <c r="A127" s="231"/>
      <c r="D127" s="62"/>
    </row>
    <row r="128" ht="15.75" customHeight="1">
      <c r="A128" s="231"/>
      <c r="D128" s="62"/>
    </row>
    <row r="129" ht="15.75" customHeight="1">
      <c r="A129" s="231"/>
      <c r="D129" s="62"/>
    </row>
    <row r="130" ht="15.75" customHeight="1">
      <c r="A130" s="231"/>
      <c r="D130" s="62"/>
    </row>
    <row r="131" ht="15.75" customHeight="1">
      <c r="A131" s="231"/>
      <c r="D131" s="62"/>
    </row>
    <row r="132" ht="15.75" customHeight="1">
      <c r="A132" s="231"/>
      <c r="D132" s="62"/>
    </row>
    <row r="133" ht="15.75" customHeight="1">
      <c r="A133" s="231"/>
      <c r="D133" s="62"/>
    </row>
    <row r="134" ht="15.75" customHeight="1">
      <c r="A134" s="231"/>
      <c r="D134" s="62"/>
    </row>
    <row r="135" ht="15.75" customHeight="1">
      <c r="A135" s="231"/>
      <c r="D135" s="62"/>
    </row>
    <row r="136" ht="15.75" customHeight="1">
      <c r="A136" s="231"/>
      <c r="D136" s="62"/>
    </row>
    <row r="137" ht="15.75" customHeight="1">
      <c r="A137" s="231"/>
      <c r="D137" s="62"/>
    </row>
    <row r="138" ht="15.75" customHeight="1">
      <c r="A138" s="231"/>
      <c r="D138" s="62"/>
    </row>
    <row r="139" ht="15.75" customHeight="1">
      <c r="A139" s="231"/>
      <c r="D139" s="62"/>
    </row>
    <row r="140" ht="15.75" customHeight="1">
      <c r="A140" s="231"/>
      <c r="D140" s="62"/>
    </row>
    <row r="141" ht="15.75" customHeight="1">
      <c r="A141" s="231"/>
      <c r="D141" s="62"/>
    </row>
    <row r="142" ht="15.75" customHeight="1">
      <c r="A142" s="231"/>
      <c r="D142" s="62"/>
    </row>
    <row r="143" ht="15.75" customHeight="1">
      <c r="A143" s="231"/>
      <c r="D143" s="62"/>
    </row>
    <row r="144" ht="15.75" customHeight="1">
      <c r="A144" s="231"/>
      <c r="D144" s="62"/>
    </row>
    <row r="145" ht="15.75" customHeight="1">
      <c r="A145" s="231"/>
      <c r="D145" s="62"/>
    </row>
    <row r="146" ht="15.75" customHeight="1">
      <c r="A146" s="231"/>
      <c r="D146" s="62"/>
    </row>
    <row r="147" ht="15.75" customHeight="1">
      <c r="A147" s="231"/>
      <c r="D147" s="62"/>
    </row>
    <row r="148" ht="15.75" customHeight="1">
      <c r="A148" s="231"/>
      <c r="D148" s="62"/>
    </row>
    <row r="149" ht="15.75" customHeight="1">
      <c r="A149" s="231"/>
      <c r="D149" s="62"/>
    </row>
    <row r="150" ht="15.75" customHeight="1">
      <c r="A150" s="231"/>
      <c r="D150" s="62"/>
    </row>
    <row r="151" ht="15.75" customHeight="1">
      <c r="A151" s="231"/>
      <c r="D151" s="62"/>
    </row>
    <row r="152" ht="15.75" customHeight="1">
      <c r="A152" s="231"/>
      <c r="D152" s="62"/>
    </row>
    <row r="153" ht="15.75" customHeight="1">
      <c r="A153" s="231"/>
      <c r="D153" s="62"/>
    </row>
    <row r="154" ht="15.75" customHeight="1">
      <c r="A154" s="231"/>
      <c r="D154" s="62"/>
    </row>
    <row r="155" ht="15.75" customHeight="1">
      <c r="A155" s="231"/>
      <c r="D155" s="62"/>
    </row>
    <row r="156" ht="15.75" customHeight="1">
      <c r="A156" s="231"/>
      <c r="D156" s="62"/>
    </row>
    <row r="157" ht="15.75" customHeight="1">
      <c r="A157" s="231"/>
      <c r="D157" s="62"/>
    </row>
    <row r="158" ht="15.75" customHeight="1">
      <c r="A158" s="231"/>
      <c r="D158" s="62"/>
    </row>
    <row r="159" ht="15.75" customHeight="1">
      <c r="A159" s="231"/>
      <c r="D159" s="62"/>
    </row>
    <row r="160" ht="15.75" customHeight="1">
      <c r="A160" s="231"/>
      <c r="D160" s="62"/>
    </row>
    <row r="161" ht="15.75" customHeight="1">
      <c r="A161" s="231"/>
      <c r="D161" s="62"/>
    </row>
    <row r="162" ht="15.75" customHeight="1">
      <c r="A162" s="231"/>
      <c r="D162" s="62"/>
    </row>
    <row r="163" ht="15.75" customHeight="1">
      <c r="A163" s="231"/>
      <c r="D163" s="62"/>
    </row>
    <row r="164" ht="15.75" customHeight="1">
      <c r="A164" s="231"/>
      <c r="D164" s="62"/>
    </row>
    <row r="165" ht="15.75" customHeight="1">
      <c r="A165" s="231"/>
      <c r="D165" s="62"/>
    </row>
    <row r="166" ht="15.75" customHeight="1">
      <c r="A166" s="231"/>
      <c r="D166" s="62"/>
    </row>
    <row r="167" ht="15.75" customHeight="1">
      <c r="A167" s="231"/>
      <c r="D167" s="62"/>
    </row>
    <row r="168" ht="15.75" customHeight="1">
      <c r="A168" s="231"/>
      <c r="D168" s="62"/>
    </row>
    <row r="169" ht="15.75" customHeight="1">
      <c r="A169" s="231"/>
      <c r="D169" s="62"/>
    </row>
    <row r="170" ht="15.75" customHeight="1">
      <c r="A170" s="231"/>
      <c r="D170" s="62"/>
    </row>
    <row r="171" ht="15.75" customHeight="1">
      <c r="A171" s="231"/>
      <c r="D171" s="62"/>
    </row>
    <row r="172" ht="15.75" customHeight="1">
      <c r="A172" s="231"/>
      <c r="D172" s="62"/>
    </row>
    <row r="173" ht="15.75" customHeight="1">
      <c r="A173" s="231"/>
      <c r="D173" s="62"/>
    </row>
    <row r="174" ht="15.75" customHeight="1">
      <c r="A174" s="231"/>
      <c r="D174" s="62"/>
    </row>
    <row r="175" ht="15.75" customHeight="1">
      <c r="A175" s="231"/>
      <c r="D175" s="62"/>
    </row>
    <row r="176" ht="15.75" customHeight="1">
      <c r="A176" s="231"/>
      <c r="D176" s="62"/>
    </row>
    <row r="177" ht="15.75" customHeight="1">
      <c r="A177" s="231"/>
      <c r="D177" s="62"/>
    </row>
    <row r="178" ht="15.75" customHeight="1">
      <c r="A178" s="231"/>
      <c r="D178" s="62"/>
    </row>
    <row r="179" ht="15.75" customHeight="1">
      <c r="A179" s="231"/>
      <c r="D179" s="62"/>
    </row>
    <row r="180" ht="15.75" customHeight="1">
      <c r="A180" s="231"/>
      <c r="D180" s="62"/>
    </row>
    <row r="181" ht="15.75" customHeight="1">
      <c r="A181" s="231"/>
      <c r="D181" s="62"/>
    </row>
    <row r="182" ht="15.75" customHeight="1">
      <c r="A182" s="231"/>
      <c r="D182" s="62"/>
    </row>
    <row r="183" ht="15.75" customHeight="1">
      <c r="A183" s="231"/>
      <c r="D183" s="62"/>
    </row>
    <row r="184" ht="15.75" customHeight="1">
      <c r="A184" s="231"/>
      <c r="D184" s="62"/>
    </row>
    <row r="185" ht="15.75" customHeight="1">
      <c r="A185" s="231"/>
      <c r="D185" s="62"/>
    </row>
    <row r="186" ht="15.75" customHeight="1">
      <c r="A186" s="231"/>
      <c r="D186" s="62"/>
    </row>
    <row r="187" ht="15.75" customHeight="1">
      <c r="A187" s="231"/>
      <c r="D187" s="62"/>
    </row>
    <row r="188" ht="15.75" customHeight="1">
      <c r="A188" s="231"/>
      <c r="D188" s="62"/>
    </row>
    <row r="189" ht="15.75" customHeight="1">
      <c r="A189" s="231"/>
      <c r="D189" s="62"/>
    </row>
    <row r="190" ht="15.75" customHeight="1">
      <c r="A190" s="231"/>
      <c r="D190" s="62"/>
    </row>
    <row r="191" ht="15.75" customHeight="1">
      <c r="A191" s="231"/>
      <c r="D191" s="62"/>
    </row>
    <row r="192" ht="15.75" customHeight="1">
      <c r="A192" s="231"/>
      <c r="D192" s="62"/>
    </row>
    <row r="193" ht="15.75" customHeight="1">
      <c r="A193" s="231"/>
      <c r="D193" s="62"/>
    </row>
    <row r="194" ht="15.75" customHeight="1">
      <c r="A194" s="231"/>
      <c r="D194" s="62"/>
    </row>
    <row r="195" ht="15.75" customHeight="1">
      <c r="A195" s="231"/>
      <c r="D195" s="62"/>
    </row>
    <row r="196" ht="15.75" customHeight="1">
      <c r="A196" s="231"/>
      <c r="D196" s="62"/>
    </row>
    <row r="197" ht="15.75" customHeight="1">
      <c r="A197" s="231"/>
      <c r="D197" s="62"/>
    </row>
    <row r="198" ht="15.75" customHeight="1">
      <c r="A198" s="231"/>
      <c r="D198" s="62"/>
    </row>
    <row r="199" ht="15.75" customHeight="1">
      <c r="A199" s="231"/>
      <c r="D199" s="62"/>
    </row>
    <row r="200" ht="15.75" customHeight="1">
      <c r="A200" s="231"/>
      <c r="D200" s="62"/>
    </row>
    <row r="201" ht="15.75" customHeight="1">
      <c r="A201" s="231"/>
      <c r="D201" s="62"/>
    </row>
    <row r="202" ht="15.75" customHeight="1">
      <c r="A202" s="231"/>
      <c r="D202" s="62"/>
    </row>
    <row r="203" ht="15.75" customHeight="1">
      <c r="A203" s="231"/>
      <c r="D203" s="62"/>
    </row>
    <row r="204" ht="15.75" customHeight="1">
      <c r="A204" s="231"/>
      <c r="D204" s="62"/>
    </row>
    <row r="205" ht="15.75" customHeight="1">
      <c r="A205" s="231"/>
      <c r="D205" s="62"/>
    </row>
    <row r="206" ht="15.75" customHeight="1">
      <c r="A206" s="231"/>
      <c r="D206" s="62"/>
    </row>
    <row r="207" ht="15.75" customHeight="1">
      <c r="A207" s="231"/>
      <c r="D207" s="62"/>
    </row>
    <row r="208" ht="15.75" customHeight="1">
      <c r="A208" s="231"/>
      <c r="D208" s="62"/>
    </row>
    <row r="209" ht="15.75" customHeight="1">
      <c r="A209" s="231"/>
      <c r="D209" s="62"/>
    </row>
    <row r="210" ht="15.75" customHeight="1">
      <c r="A210" s="231"/>
      <c r="D210" s="62"/>
    </row>
    <row r="211" ht="15.75" customHeight="1">
      <c r="A211" s="231"/>
      <c r="D211" s="62"/>
    </row>
    <row r="212" ht="15.75" customHeight="1">
      <c r="A212" s="231"/>
      <c r="D212" s="62"/>
    </row>
    <row r="213" ht="15.75" customHeight="1">
      <c r="A213" s="231"/>
      <c r="D213" s="62"/>
    </row>
    <row r="214" ht="15.75" customHeight="1">
      <c r="A214" s="231"/>
      <c r="D214" s="62"/>
    </row>
    <row r="215" ht="15.75" customHeight="1">
      <c r="A215" s="231"/>
      <c r="D215" s="62"/>
    </row>
    <row r="216" ht="15.75" customHeight="1">
      <c r="A216" s="231"/>
      <c r="D216" s="62"/>
    </row>
    <row r="217" ht="15.75" customHeight="1">
      <c r="A217" s="231"/>
      <c r="D217" s="62"/>
    </row>
    <row r="218" ht="15.75" customHeight="1">
      <c r="A218" s="231"/>
      <c r="D218" s="62"/>
    </row>
    <row r="219" ht="15.75" customHeight="1">
      <c r="A219" s="231"/>
      <c r="D219" s="62"/>
    </row>
    <row r="220" ht="15.75" customHeight="1">
      <c r="A220" s="231"/>
      <c r="D220" s="6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R1"/>
    <mergeCell ref="A2:R2"/>
    <mergeCell ref="A3:B3"/>
  </mergeCells>
  <dataValidations>
    <dataValidation type="list" allowBlank="1" showErrorMessage="1" sqref="D4:D11">
      <formula1>"Ama/UBS Jardim Capela,UBS Jardim Comercial,UBS Cidade Ipava,UBS Jardim Paranapanema,UBS Parque Novo Santo Amaro,UBS Jardim Eledy,UBS Jardim Valquiria"</formula1>
    </dataValidation>
    <dataValidation type="list" allowBlank="1" showErrorMessage="1" sqref="E4:E11">
      <formula1>"Garcibal do Lago Silva Filho,Caroline Brandi Molina,Roberta Marques Delagnese Freitas,Fernanda Bento de Oliveira Viana,Milene de Avila Miranda Carvalho,Ana Luiza Sobreira Sena,Laemercy Emanuelle Gonçalves Martins,Danilo Ribeiro Galantini,Karen Favaretto S"&amp;"posito Isper,Giovanna Besagio Calegari,Priscila Ferreira da Silva,José Maria Sarmet Esteves,Francisco Assis dos Santos Neto,Cleverson Kiffer Marim,Viridiana Dourado Castro,Valentin Trevizani Neto,Isabella Seixas Cenci Marin,Alice Peixoto"</formula1>
    </dataValidation>
    <dataValidation type="list" allowBlank="1" showErrorMessage="1" sqref="L4:L5 L7:L11">
      <formula1>"Atendido,Não atendindo"</formula1>
    </dataValidation>
    <dataValidation type="list" allowBlank="1" showErrorMessage="1" sqref="C4:C11">
      <formula1>"Segunda,Terça,Quarta,Quinta,Sexta,Sábado"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